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leed\Downloads\"/>
    </mc:Choice>
  </mc:AlternateContent>
  <bookViews>
    <workbookView xWindow="0" yWindow="0" windowWidth="23016" windowHeight="2568"/>
  </bookViews>
  <sheets>
    <sheet name="Customers" sheetId="1" r:id="rId1"/>
    <sheet name="Vendors" sheetId="2" r:id="rId2"/>
    <sheet name="Services" sheetId="3" r:id="rId3"/>
    <sheet name="Sales_Invoices" sheetId="4" r:id="rId4"/>
    <sheet name="Customer_Payments" sheetId="5" r:id="rId5"/>
    <sheet name="AR_Aging" sheetId="16" r:id="rId6"/>
    <sheet name="AR_Aging_Summary" sheetId="17" r:id="rId7"/>
    <sheet name="Vendor_Bills" sheetId="6" r:id="rId8"/>
    <sheet name="Vendor_Payments" sheetId="7" r:id="rId9"/>
    <sheet name="AP_Aging" sheetId="10" r:id="rId10"/>
    <sheet name="AP_Aging_Summary" sheetId="19" r:id="rId11"/>
    <sheet name="Bank_Transactions" sheetId="8" r:id="rId12"/>
    <sheet name="Finance_KPIs" sheetId="13" r:id="rId13"/>
  </sheets>
  <calcPr calcId="162913"/>
</workbook>
</file>

<file path=xl/calcChain.xml><?xml version="1.0" encoding="utf-8"?>
<calcChain xmlns="http://schemas.openxmlformats.org/spreadsheetml/2006/main">
  <c r="I2" i="16" l="1"/>
  <c r="I3" i="16"/>
  <c r="I4" i="16"/>
  <c r="I5" i="16"/>
  <c r="I6" i="16"/>
  <c r="I7" i="16"/>
  <c r="I8" i="16"/>
  <c r="I9" i="16"/>
  <c r="J9" i="16" s="1"/>
  <c r="I10" i="16"/>
  <c r="I11" i="16"/>
  <c r="I12" i="16"/>
  <c r="I13" i="16"/>
  <c r="I14" i="16"/>
  <c r="I15" i="16"/>
  <c r="I16" i="16"/>
  <c r="I17" i="16"/>
  <c r="J17" i="16" s="1"/>
  <c r="I18" i="16"/>
  <c r="I19" i="16"/>
  <c r="I20" i="16"/>
  <c r="I21" i="16"/>
  <c r="I22" i="16"/>
  <c r="I23" i="16"/>
  <c r="I24" i="16"/>
  <c r="I25" i="16"/>
  <c r="J25" i="16" s="1"/>
  <c r="I26" i="16"/>
  <c r="I27" i="16"/>
  <c r="I28" i="16"/>
  <c r="I29" i="16"/>
  <c r="I30" i="16"/>
  <c r="I31" i="16"/>
  <c r="I32" i="16"/>
  <c r="I33" i="16"/>
  <c r="J33" i="16" s="1"/>
  <c r="I34" i="16"/>
  <c r="I35" i="16"/>
  <c r="I36" i="16"/>
  <c r="I37" i="16"/>
  <c r="I38" i="16"/>
  <c r="I39" i="16"/>
  <c r="I40" i="16"/>
  <c r="I41" i="16"/>
  <c r="I42" i="16"/>
  <c r="I43" i="16"/>
  <c r="I44" i="16"/>
  <c r="I45" i="16"/>
  <c r="I46" i="16"/>
  <c r="I47" i="16"/>
  <c r="I48" i="16"/>
  <c r="I49" i="16"/>
  <c r="J49" i="16" s="1"/>
  <c r="I50" i="16"/>
  <c r="I51" i="16"/>
  <c r="I52" i="16"/>
  <c r="I53" i="16"/>
  <c r="I54" i="16"/>
  <c r="I55" i="16"/>
  <c r="I56" i="16"/>
  <c r="I57" i="16"/>
  <c r="J57" i="16" s="1"/>
  <c r="I58" i="16"/>
  <c r="I59" i="16"/>
  <c r="I60" i="16"/>
  <c r="I61" i="16"/>
  <c r="I62" i="16"/>
  <c r="I63" i="16"/>
  <c r="I64" i="16"/>
  <c r="I65" i="16"/>
  <c r="J65" i="16" s="1"/>
  <c r="I66" i="16"/>
  <c r="I67" i="16"/>
  <c r="I68" i="16"/>
  <c r="I69" i="16"/>
  <c r="I70" i="16"/>
  <c r="I71" i="16"/>
  <c r="I72" i="16"/>
  <c r="I73" i="16"/>
  <c r="J73" i="16" s="1"/>
  <c r="I74" i="16"/>
  <c r="I75" i="16"/>
  <c r="I76" i="16"/>
  <c r="I77" i="16"/>
  <c r="I78" i="16"/>
  <c r="I79" i="16"/>
  <c r="I80" i="16"/>
  <c r="I81" i="16"/>
  <c r="J81" i="16" s="1"/>
  <c r="I82" i="16"/>
  <c r="I83" i="16"/>
  <c r="I84" i="16"/>
  <c r="I85" i="16"/>
  <c r="I86" i="16"/>
  <c r="I87" i="16"/>
  <c r="I88" i="16"/>
  <c r="I89" i="16"/>
  <c r="J89" i="16" s="1"/>
  <c r="I90" i="16"/>
  <c r="I91" i="16"/>
  <c r="I92" i="16"/>
  <c r="I93" i="16"/>
  <c r="I94" i="16"/>
  <c r="I95" i="16"/>
  <c r="I96" i="16"/>
  <c r="I97" i="16"/>
  <c r="J97" i="16" s="1"/>
  <c r="I98" i="16"/>
  <c r="I99" i="16"/>
  <c r="I100" i="16"/>
  <c r="I101" i="16"/>
  <c r="I102" i="16"/>
  <c r="I103" i="16"/>
  <c r="I104" i="16"/>
  <c r="I105" i="16"/>
  <c r="J105" i="16" s="1"/>
  <c r="I106" i="16"/>
  <c r="I107" i="16"/>
  <c r="I108" i="16"/>
  <c r="I109" i="16"/>
  <c r="I110" i="16"/>
  <c r="I111" i="16"/>
  <c r="I112" i="16"/>
  <c r="I113" i="16"/>
  <c r="I114" i="16"/>
  <c r="I115" i="16"/>
  <c r="I116" i="16"/>
  <c r="I117" i="16"/>
  <c r="I118" i="16"/>
  <c r="I119" i="16"/>
  <c r="I120" i="16"/>
  <c r="I121" i="16"/>
  <c r="J121" i="16" s="1"/>
  <c r="I122" i="16"/>
  <c r="I123" i="16"/>
  <c r="I124" i="16"/>
  <c r="I125" i="16"/>
  <c r="I126" i="16"/>
  <c r="I127" i="16"/>
  <c r="I128" i="16"/>
  <c r="I129" i="16"/>
  <c r="J129" i="16" s="1"/>
  <c r="I130" i="16"/>
  <c r="I131" i="16"/>
  <c r="I132" i="16"/>
  <c r="I133" i="16"/>
  <c r="I134" i="16"/>
  <c r="I135" i="16"/>
  <c r="I136" i="16"/>
  <c r="I137" i="16"/>
  <c r="J137" i="16" s="1"/>
  <c r="I138" i="16"/>
  <c r="I139" i="16"/>
  <c r="I140" i="16"/>
  <c r="I141" i="16"/>
  <c r="I142" i="16"/>
  <c r="I143" i="16"/>
  <c r="I144" i="16"/>
  <c r="I145" i="16"/>
  <c r="J145" i="16" s="1"/>
  <c r="I146" i="16"/>
  <c r="I147" i="16"/>
  <c r="I148" i="16"/>
  <c r="I149" i="16"/>
  <c r="I150" i="16"/>
  <c r="I151" i="16"/>
  <c r="I152" i="16"/>
  <c r="I153" i="16"/>
  <c r="J153" i="16" s="1"/>
  <c r="I154" i="16"/>
  <c r="I155" i="16"/>
  <c r="I156" i="16"/>
  <c r="I157" i="16"/>
  <c r="I158" i="16"/>
  <c r="I159" i="16"/>
  <c r="I160" i="16"/>
  <c r="I161" i="16"/>
  <c r="J161" i="16" s="1"/>
  <c r="I162" i="16"/>
  <c r="I163" i="16"/>
  <c r="I164" i="16"/>
  <c r="I165" i="16"/>
  <c r="I166" i="16"/>
  <c r="I167" i="16"/>
  <c r="I168" i="16"/>
  <c r="I169" i="16"/>
  <c r="J169" i="16" s="1"/>
  <c r="I170" i="16"/>
  <c r="I171" i="16"/>
  <c r="I172" i="16"/>
  <c r="I173" i="16"/>
  <c r="I174" i="16"/>
  <c r="I175" i="16"/>
  <c r="I176" i="16"/>
  <c r="I177" i="16"/>
  <c r="J177" i="16" s="1"/>
  <c r="I178" i="16"/>
  <c r="I179" i="16"/>
  <c r="I180" i="16"/>
  <c r="I181" i="16"/>
  <c r="I182" i="16"/>
  <c r="I183" i="16"/>
  <c r="I184" i="16"/>
  <c r="I185" i="16"/>
  <c r="I186" i="16"/>
  <c r="I187" i="16"/>
  <c r="I188" i="16"/>
  <c r="I189" i="16"/>
  <c r="I190" i="16"/>
  <c r="I191" i="16"/>
  <c r="I192" i="16"/>
  <c r="I193" i="16"/>
  <c r="J193" i="16" s="1"/>
  <c r="I194" i="16"/>
  <c r="I195" i="16"/>
  <c r="I196" i="16"/>
  <c r="I197" i="16"/>
  <c r="I198" i="16"/>
  <c r="I199" i="16"/>
  <c r="I200" i="16"/>
  <c r="I201" i="16"/>
  <c r="J201" i="16" s="1"/>
  <c r="I202" i="16"/>
  <c r="I203" i="16"/>
  <c r="I204" i="16"/>
  <c r="I205" i="16"/>
  <c r="I206" i="16"/>
  <c r="I207" i="16"/>
  <c r="I208" i="16"/>
  <c r="I209" i="16"/>
  <c r="J209" i="16" s="1"/>
  <c r="I210" i="16"/>
  <c r="I211" i="16"/>
  <c r="I212" i="16"/>
  <c r="I213" i="16"/>
  <c r="I214" i="16"/>
  <c r="I215" i="16"/>
  <c r="I216" i="16"/>
  <c r="I217" i="16"/>
  <c r="J217" i="16" s="1"/>
  <c r="I218" i="16"/>
  <c r="I219" i="16"/>
  <c r="I220" i="16"/>
  <c r="I221" i="16"/>
  <c r="I222" i="16"/>
  <c r="I223" i="16"/>
  <c r="I224" i="16"/>
  <c r="I225" i="16"/>
  <c r="J225" i="16" s="1"/>
  <c r="I226" i="16"/>
  <c r="I227" i="16"/>
  <c r="I228" i="16"/>
  <c r="I229" i="16"/>
  <c r="I230" i="16"/>
  <c r="I231" i="16"/>
  <c r="I232" i="16"/>
  <c r="I233" i="16"/>
  <c r="J233" i="16" s="1"/>
  <c r="I234" i="16"/>
  <c r="I235" i="16"/>
  <c r="I236" i="16"/>
  <c r="I237" i="16"/>
  <c r="I238" i="16"/>
  <c r="I239" i="16"/>
  <c r="I240" i="16"/>
  <c r="I241" i="16"/>
  <c r="J241" i="16" s="1"/>
  <c r="I242" i="16"/>
  <c r="I243" i="16"/>
  <c r="I244" i="16"/>
  <c r="I245" i="16"/>
  <c r="I246" i="16"/>
  <c r="I247" i="16"/>
  <c r="I248" i="16"/>
  <c r="I249" i="16"/>
  <c r="J249" i="16" s="1"/>
  <c r="I250" i="16"/>
  <c r="I251" i="16"/>
  <c r="I252" i="16"/>
  <c r="I253" i="16"/>
  <c r="I254" i="16"/>
  <c r="I255" i="16"/>
  <c r="I256" i="16"/>
  <c r="I257" i="16"/>
  <c r="J257" i="16" s="1"/>
  <c r="I258" i="16"/>
  <c r="I259" i="16"/>
  <c r="I260" i="16"/>
  <c r="I261" i="16"/>
  <c r="I262" i="16"/>
  <c r="I263" i="16"/>
  <c r="I264" i="16"/>
  <c r="I265" i="16"/>
  <c r="I266" i="16"/>
  <c r="I267" i="16"/>
  <c r="I268" i="16"/>
  <c r="I269" i="16"/>
  <c r="I270" i="16"/>
  <c r="I271" i="16"/>
  <c r="I272" i="16"/>
  <c r="I273" i="16"/>
  <c r="J273" i="16" s="1"/>
  <c r="I274" i="16"/>
  <c r="I275" i="16"/>
  <c r="I276" i="16"/>
  <c r="I277" i="16"/>
  <c r="I278" i="16"/>
  <c r="I279" i="16"/>
  <c r="I280" i="16"/>
  <c r="I281" i="16"/>
  <c r="J281" i="16" s="1"/>
  <c r="I282" i="16"/>
  <c r="I283" i="16"/>
  <c r="I284" i="16"/>
  <c r="I285" i="16"/>
  <c r="I286" i="16"/>
  <c r="I287" i="16"/>
  <c r="I288" i="16"/>
  <c r="I289" i="16"/>
  <c r="J289" i="16" s="1"/>
  <c r="I290" i="16"/>
  <c r="I291" i="16"/>
  <c r="I292" i="16"/>
  <c r="I293" i="16"/>
  <c r="I294" i="16"/>
  <c r="I295" i="16"/>
  <c r="I296" i="16"/>
  <c r="I297" i="16"/>
  <c r="J297" i="16" s="1"/>
  <c r="I298" i="16"/>
  <c r="I299" i="16"/>
  <c r="I300" i="16"/>
  <c r="I301" i="16"/>
  <c r="I302" i="16"/>
  <c r="I303" i="16"/>
  <c r="I304" i="16"/>
  <c r="I305" i="16"/>
  <c r="J305" i="16" s="1"/>
  <c r="I306" i="16"/>
  <c r="I307" i="16"/>
  <c r="I308" i="16"/>
  <c r="I309" i="16"/>
  <c r="I310" i="16"/>
  <c r="I311" i="16"/>
  <c r="I312" i="16"/>
  <c r="I313" i="16"/>
  <c r="J313" i="16" s="1"/>
  <c r="I314" i="16"/>
  <c r="I315" i="16"/>
  <c r="I316" i="16"/>
  <c r="I317" i="16"/>
  <c r="I318" i="16"/>
  <c r="I319" i="16"/>
  <c r="I320" i="16"/>
  <c r="I321" i="16"/>
  <c r="J321" i="16" s="1"/>
  <c r="I322" i="16"/>
  <c r="I323" i="16"/>
  <c r="I324" i="16"/>
  <c r="I325" i="16"/>
  <c r="I326" i="16"/>
  <c r="I327" i="16"/>
  <c r="I328" i="16"/>
  <c r="I329" i="16"/>
  <c r="J329" i="16" s="1"/>
  <c r="I330" i="16"/>
  <c r="I331" i="16"/>
  <c r="I332" i="16"/>
  <c r="I333" i="16"/>
  <c r="I334" i="16"/>
  <c r="I335" i="16"/>
  <c r="I336" i="16"/>
  <c r="I337" i="16"/>
  <c r="I338" i="16"/>
  <c r="I339" i="16"/>
  <c r="I340" i="16"/>
  <c r="I341" i="16"/>
  <c r="I342" i="16"/>
  <c r="I343" i="16"/>
  <c r="I344" i="16"/>
  <c r="I345" i="16"/>
  <c r="J345" i="16" s="1"/>
  <c r="I346" i="16"/>
  <c r="I347" i="16"/>
  <c r="I348" i="16"/>
  <c r="I349" i="16"/>
  <c r="I350" i="16"/>
  <c r="I351" i="16"/>
  <c r="I352" i="16"/>
  <c r="I353" i="16"/>
  <c r="J353" i="16" s="1"/>
  <c r="I354" i="16"/>
  <c r="I355" i="16"/>
  <c r="I356" i="16"/>
  <c r="I357" i="16"/>
  <c r="I358" i="16"/>
  <c r="I359" i="16"/>
  <c r="I360" i="16"/>
  <c r="I361" i="16"/>
  <c r="J361" i="16" s="1"/>
  <c r="I362" i="16"/>
  <c r="I363" i="16"/>
  <c r="I364" i="16"/>
  <c r="I365" i="16"/>
  <c r="I366" i="16"/>
  <c r="I367" i="16"/>
  <c r="I368" i="16"/>
  <c r="I369" i="16"/>
  <c r="J369" i="16" s="1"/>
  <c r="I370" i="16"/>
  <c r="I371" i="16"/>
  <c r="I372" i="16"/>
  <c r="I373" i="16"/>
  <c r="I374" i="16"/>
  <c r="I375" i="16"/>
  <c r="I376" i="16"/>
  <c r="I377" i="16"/>
  <c r="J377" i="16" s="1"/>
  <c r="I378" i="16"/>
  <c r="I379" i="16"/>
  <c r="I380" i="16"/>
  <c r="I381" i="16"/>
  <c r="I382" i="16"/>
  <c r="I383" i="16"/>
  <c r="I384" i="16"/>
  <c r="I385" i="16"/>
  <c r="J385" i="16" s="1"/>
  <c r="I386" i="16"/>
  <c r="I387" i="16"/>
  <c r="I388" i="16"/>
  <c r="I389" i="16"/>
  <c r="I390" i="16"/>
  <c r="I391" i="16"/>
  <c r="I392" i="16"/>
  <c r="I393" i="16"/>
  <c r="J393" i="16" s="1"/>
  <c r="I394" i="16"/>
  <c r="I395" i="16"/>
  <c r="I396" i="16"/>
  <c r="I397" i="16"/>
  <c r="I398" i="16"/>
  <c r="I399" i="16"/>
  <c r="I400" i="16"/>
  <c r="I401" i="16"/>
  <c r="J401" i="16" s="1"/>
  <c r="I402" i="16"/>
  <c r="I403" i="16"/>
  <c r="I404" i="16"/>
  <c r="I405" i="16"/>
  <c r="I406" i="16"/>
  <c r="I407" i="16"/>
  <c r="I408" i="16"/>
  <c r="I409" i="16"/>
  <c r="I410" i="16"/>
  <c r="I411" i="16"/>
  <c r="I412" i="16"/>
  <c r="I413" i="16"/>
  <c r="I414" i="16"/>
  <c r="I415" i="16"/>
  <c r="I416" i="16"/>
  <c r="I417" i="16"/>
  <c r="J417" i="16" s="1"/>
  <c r="I418" i="16"/>
  <c r="I419" i="16"/>
  <c r="I420" i="16"/>
  <c r="I421" i="16"/>
  <c r="I422" i="16"/>
  <c r="I423" i="16"/>
  <c r="I424" i="16"/>
  <c r="I425" i="16"/>
  <c r="J425" i="16" s="1"/>
  <c r="I426" i="16"/>
  <c r="I427" i="16"/>
  <c r="I428" i="16"/>
  <c r="I429" i="16"/>
  <c r="I430" i="16"/>
  <c r="I431" i="16"/>
  <c r="I432" i="16"/>
  <c r="I433" i="16"/>
  <c r="J433" i="16" s="1"/>
  <c r="I434" i="16"/>
  <c r="I435" i="16"/>
  <c r="I436" i="16"/>
  <c r="I437" i="16"/>
  <c r="I438" i="16"/>
  <c r="I439" i="16"/>
  <c r="I440" i="16"/>
  <c r="I441" i="16"/>
  <c r="J441" i="16" s="1"/>
  <c r="I442" i="16"/>
  <c r="I443" i="16"/>
  <c r="I444" i="16"/>
  <c r="I445" i="16"/>
  <c r="I446" i="16"/>
  <c r="I447" i="16"/>
  <c r="I448" i="16"/>
  <c r="I449" i="16"/>
  <c r="J449" i="16" s="1"/>
  <c r="I450" i="16"/>
  <c r="I451" i="16"/>
  <c r="I452" i="16"/>
  <c r="I453" i="16"/>
  <c r="I454" i="16"/>
  <c r="I455" i="16"/>
  <c r="I456" i="16"/>
  <c r="I457" i="16"/>
  <c r="J457" i="16" s="1"/>
  <c r="I458" i="16"/>
  <c r="I459" i="16"/>
  <c r="I460" i="16"/>
  <c r="I461" i="16"/>
  <c r="I462" i="16"/>
  <c r="I463" i="16"/>
  <c r="I464" i="16"/>
  <c r="I465" i="16"/>
  <c r="J465" i="16" s="1"/>
  <c r="I466" i="16"/>
  <c r="I467" i="16"/>
  <c r="I468" i="16"/>
  <c r="I469" i="16"/>
  <c r="I470" i="16"/>
  <c r="I471" i="16"/>
  <c r="I472" i="16"/>
  <c r="I473" i="16"/>
  <c r="J473" i="16" s="1"/>
  <c r="I474" i="16"/>
  <c r="I475" i="16"/>
  <c r="I476" i="16"/>
  <c r="I477" i="16"/>
  <c r="I478" i="16"/>
  <c r="I479" i="16"/>
  <c r="I480" i="16"/>
  <c r="I481" i="16"/>
  <c r="I482" i="16"/>
  <c r="I483" i="16"/>
  <c r="I484" i="16"/>
  <c r="I485" i="16"/>
  <c r="I486" i="16"/>
  <c r="I487" i="16"/>
  <c r="I488" i="16"/>
  <c r="I489" i="16"/>
  <c r="J489" i="16" s="1"/>
  <c r="I490" i="16"/>
  <c r="I491" i="16"/>
  <c r="I492" i="16"/>
  <c r="I493" i="16"/>
  <c r="I494" i="16"/>
  <c r="I495" i="16"/>
  <c r="I496" i="16"/>
  <c r="I497" i="16"/>
  <c r="J497" i="16" s="1"/>
  <c r="I498" i="16"/>
  <c r="I499" i="16"/>
  <c r="I500" i="16"/>
  <c r="I501" i="16"/>
  <c r="I502" i="16"/>
  <c r="I503" i="16"/>
  <c r="I504" i="16"/>
  <c r="I505" i="16"/>
  <c r="J505" i="16" s="1"/>
  <c r="I506" i="16"/>
  <c r="I507" i="16"/>
  <c r="I508" i="16"/>
  <c r="I509" i="16"/>
  <c r="I510" i="16"/>
  <c r="I511" i="16"/>
  <c r="I512" i="16"/>
  <c r="I513" i="16"/>
  <c r="J513" i="16" s="1"/>
  <c r="I514" i="16"/>
  <c r="I515" i="16"/>
  <c r="I516" i="16"/>
  <c r="I517" i="16"/>
  <c r="I518" i="16"/>
  <c r="I519" i="16"/>
  <c r="I520" i="16"/>
  <c r="I521" i="16"/>
  <c r="J521" i="16" s="1"/>
  <c r="I522" i="16"/>
  <c r="I523" i="16"/>
  <c r="I524" i="16"/>
  <c r="I525" i="16"/>
  <c r="I526" i="16"/>
  <c r="I527" i="16"/>
  <c r="I528" i="16"/>
  <c r="I529" i="16"/>
  <c r="J529" i="16" s="1"/>
  <c r="I530" i="16"/>
  <c r="I531" i="16"/>
  <c r="I532" i="16"/>
  <c r="I533" i="16"/>
  <c r="I534" i="16"/>
  <c r="I535" i="16"/>
  <c r="I536" i="16"/>
  <c r="I537" i="16"/>
  <c r="J537" i="16" s="1"/>
  <c r="I538" i="16"/>
  <c r="I539" i="16"/>
  <c r="I540" i="16"/>
  <c r="I541" i="16"/>
  <c r="I542" i="16"/>
  <c r="I543" i="16"/>
  <c r="I544" i="16"/>
  <c r="I545" i="16"/>
  <c r="J545" i="16" s="1"/>
  <c r="I546" i="16"/>
  <c r="I547" i="16"/>
  <c r="I548" i="16"/>
  <c r="I549" i="16"/>
  <c r="I550" i="16"/>
  <c r="I551" i="16"/>
  <c r="I552" i="16"/>
  <c r="I553" i="16"/>
  <c r="I554" i="16"/>
  <c r="I555" i="16"/>
  <c r="I556" i="16"/>
  <c r="I557" i="16"/>
  <c r="I558" i="16"/>
  <c r="I559" i="16"/>
  <c r="I560" i="16"/>
  <c r="I561" i="16"/>
  <c r="J561" i="16" s="1"/>
  <c r="I562" i="16"/>
  <c r="I563" i="16"/>
  <c r="I564" i="16"/>
  <c r="I565" i="16"/>
  <c r="I566" i="16"/>
  <c r="I567" i="16"/>
  <c r="I568" i="16"/>
  <c r="I569" i="16"/>
  <c r="J569" i="16" s="1"/>
  <c r="I570" i="16"/>
  <c r="I571" i="16"/>
  <c r="I572" i="16"/>
  <c r="I573" i="16"/>
  <c r="I574" i="16"/>
  <c r="I575" i="16"/>
  <c r="I576" i="16"/>
  <c r="I577" i="16"/>
  <c r="J577" i="16" s="1"/>
  <c r="I578" i="16"/>
  <c r="I579" i="16"/>
  <c r="I580" i="16"/>
  <c r="I581" i="16"/>
  <c r="I582" i="16"/>
  <c r="I583" i="16"/>
  <c r="I584" i="16"/>
  <c r="I585" i="16"/>
  <c r="J585" i="16" s="1"/>
  <c r="I586" i="16"/>
  <c r="I587" i="16"/>
  <c r="I588" i="16"/>
  <c r="I589" i="16"/>
  <c r="I590" i="16"/>
  <c r="I591" i="16"/>
  <c r="I592" i="16"/>
  <c r="I593" i="16"/>
  <c r="J593" i="16" s="1"/>
  <c r="I594" i="16"/>
  <c r="I595" i="16"/>
  <c r="I596" i="16"/>
  <c r="I597" i="16"/>
  <c r="I598" i="16"/>
  <c r="I599" i="16"/>
  <c r="I600" i="16"/>
  <c r="I601" i="16"/>
  <c r="J601" i="16" s="1"/>
  <c r="I602" i="16"/>
  <c r="I603" i="16"/>
  <c r="I604" i="16"/>
  <c r="I605" i="16"/>
  <c r="I606" i="16"/>
  <c r="I607" i="16"/>
  <c r="I608" i="16"/>
  <c r="I609" i="16"/>
  <c r="J609" i="16" s="1"/>
  <c r="I610" i="16"/>
  <c r="I611" i="16"/>
  <c r="I612" i="16"/>
  <c r="I613" i="16"/>
  <c r="I614" i="16"/>
  <c r="I615" i="16"/>
  <c r="I616" i="16"/>
  <c r="I617" i="16"/>
  <c r="J617" i="16" s="1"/>
  <c r="I618" i="16"/>
  <c r="I619" i="16"/>
  <c r="I620" i="16"/>
  <c r="I621" i="16"/>
  <c r="I622" i="16"/>
  <c r="I623" i="16"/>
  <c r="I624" i="16"/>
  <c r="I625" i="16"/>
  <c r="I626" i="16"/>
  <c r="I627" i="16"/>
  <c r="I628" i="16"/>
  <c r="I629" i="16"/>
  <c r="I630" i="16"/>
  <c r="I631" i="16"/>
  <c r="I632" i="16"/>
  <c r="I633" i="16"/>
  <c r="J633" i="16" s="1"/>
  <c r="I634" i="16"/>
  <c r="I635" i="16"/>
  <c r="I636" i="16"/>
  <c r="I637" i="16"/>
  <c r="I638" i="16"/>
  <c r="I639" i="16"/>
  <c r="I640" i="16"/>
  <c r="I641" i="16"/>
  <c r="J641" i="16" s="1"/>
  <c r="I642" i="16"/>
  <c r="I643" i="16"/>
  <c r="I644" i="16"/>
  <c r="I645" i="16"/>
  <c r="I646" i="16"/>
  <c r="I647" i="16"/>
  <c r="I648" i="16"/>
  <c r="I649" i="16"/>
  <c r="J649" i="16" s="1"/>
  <c r="I650" i="16"/>
  <c r="I651" i="16"/>
  <c r="I652" i="16"/>
  <c r="I653" i="16"/>
  <c r="I654" i="16"/>
  <c r="I655" i="16"/>
  <c r="I656" i="16"/>
  <c r="I657" i="16"/>
  <c r="J657" i="16" s="1"/>
  <c r="I658" i="16"/>
  <c r="I659" i="16"/>
  <c r="I660" i="16"/>
  <c r="I661" i="16"/>
  <c r="I662" i="16"/>
  <c r="I663" i="16"/>
  <c r="I664" i="16"/>
  <c r="I665" i="16"/>
  <c r="J665" i="16" s="1"/>
  <c r="I666" i="16"/>
  <c r="I667" i="16"/>
  <c r="I668" i="16"/>
  <c r="I669" i="16"/>
  <c r="I670" i="16"/>
  <c r="I671" i="16"/>
  <c r="I672" i="16"/>
  <c r="I673" i="16"/>
  <c r="J673" i="16" s="1"/>
  <c r="I674" i="16"/>
  <c r="I675" i="16"/>
  <c r="I676" i="16"/>
  <c r="I677" i="16"/>
  <c r="I678" i="16"/>
  <c r="I679" i="16"/>
  <c r="I680" i="16"/>
  <c r="I681" i="16"/>
  <c r="J681" i="16" s="1"/>
  <c r="I682" i="16"/>
  <c r="I683" i="16"/>
  <c r="I684" i="16"/>
  <c r="I685" i="16"/>
  <c r="I686" i="16"/>
  <c r="I687" i="16"/>
  <c r="I688" i="16"/>
  <c r="I689" i="16"/>
  <c r="J689" i="16" s="1"/>
  <c r="I690" i="16"/>
  <c r="I691" i="16"/>
  <c r="I692" i="16"/>
  <c r="I693" i="16"/>
  <c r="I694" i="16"/>
  <c r="I695" i="16"/>
  <c r="I696" i="16"/>
  <c r="I697" i="16"/>
  <c r="I698" i="16"/>
  <c r="I699" i="16"/>
  <c r="I700" i="16"/>
  <c r="I701" i="16"/>
  <c r="I702" i="16"/>
  <c r="I703" i="16"/>
  <c r="I704" i="16"/>
  <c r="I705" i="16"/>
  <c r="J705" i="16" s="1"/>
  <c r="I706" i="16"/>
  <c r="I707" i="16"/>
  <c r="I708" i="16"/>
  <c r="I709" i="16"/>
  <c r="I710" i="16"/>
  <c r="I711" i="16"/>
  <c r="I712" i="16"/>
  <c r="I713" i="16"/>
  <c r="J713" i="16" s="1"/>
  <c r="I714" i="16"/>
  <c r="I715" i="16"/>
  <c r="I716" i="16"/>
  <c r="I717" i="16"/>
  <c r="I718" i="16"/>
  <c r="I719" i="16"/>
  <c r="I720" i="16"/>
  <c r="I721" i="16"/>
  <c r="J721" i="16" s="1"/>
  <c r="I722" i="16"/>
  <c r="I723" i="16"/>
  <c r="I724" i="16"/>
  <c r="I725" i="16"/>
  <c r="I726" i="16"/>
  <c r="I727" i="16"/>
  <c r="I728" i="16"/>
  <c r="I729" i="16"/>
  <c r="J729" i="16" s="1"/>
  <c r="I730" i="16"/>
  <c r="I731" i="16"/>
  <c r="I732" i="16"/>
  <c r="I733" i="16"/>
  <c r="I734" i="16"/>
  <c r="I735" i="16"/>
  <c r="I736" i="16"/>
  <c r="I737" i="16"/>
  <c r="J737" i="16" s="1"/>
  <c r="I738" i="16"/>
  <c r="I739" i="16"/>
  <c r="I740" i="16"/>
  <c r="I741" i="16"/>
  <c r="I742" i="16"/>
  <c r="I743" i="16"/>
  <c r="I744" i="16"/>
  <c r="I745" i="16"/>
  <c r="J745" i="16" s="1"/>
  <c r="I746" i="16"/>
  <c r="I747" i="16"/>
  <c r="I748" i="16"/>
  <c r="I749" i="16"/>
  <c r="I750" i="16"/>
  <c r="I751" i="16"/>
  <c r="I752" i="16"/>
  <c r="I753" i="16"/>
  <c r="J753" i="16" s="1"/>
  <c r="I754" i="16"/>
  <c r="I755" i="16"/>
  <c r="I756" i="16"/>
  <c r="I757" i="16"/>
  <c r="I758" i="16"/>
  <c r="I759" i="16"/>
  <c r="I760" i="16"/>
  <c r="I761" i="16"/>
  <c r="J761" i="16" s="1"/>
  <c r="I762" i="16"/>
  <c r="I763" i="16"/>
  <c r="I764" i="16"/>
  <c r="I765" i="16"/>
  <c r="I766" i="16"/>
  <c r="I767" i="16"/>
  <c r="I768" i="16"/>
  <c r="I769" i="16"/>
  <c r="J769" i="16" s="1"/>
  <c r="I770" i="16"/>
  <c r="I771" i="16"/>
  <c r="I772" i="16"/>
  <c r="I773" i="16"/>
  <c r="I774" i="16"/>
  <c r="I775" i="16"/>
  <c r="I776" i="16"/>
  <c r="I777" i="16"/>
  <c r="I778" i="16"/>
  <c r="I779" i="16"/>
  <c r="I780" i="16"/>
  <c r="I781" i="16"/>
  <c r="I782" i="16"/>
  <c r="I783" i="16"/>
  <c r="I784" i="16"/>
  <c r="I785" i="16"/>
  <c r="J785" i="16" s="1"/>
  <c r="I786" i="16"/>
  <c r="I787" i="16"/>
  <c r="I788" i="16"/>
  <c r="I789" i="16"/>
  <c r="I790" i="16"/>
  <c r="I791" i="16"/>
  <c r="I792" i="16"/>
  <c r="I793" i="16"/>
  <c r="J793" i="16" s="1"/>
  <c r="I794" i="16"/>
  <c r="I795" i="16"/>
  <c r="I796" i="16"/>
  <c r="I797" i="16"/>
  <c r="I798" i="16"/>
  <c r="I799" i="16"/>
  <c r="I800" i="16"/>
  <c r="I801" i="16"/>
  <c r="J801" i="16" s="1"/>
  <c r="I802" i="16"/>
  <c r="I803" i="16"/>
  <c r="I804" i="16"/>
  <c r="I805" i="16"/>
  <c r="I806" i="16"/>
  <c r="I807" i="16"/>
  <c r="I808" i="16"/>
  <c r="I809" i="16"/>
  <c r="J809" i="16" s="1"/>
  <c r="I810" i="16"/>
  <c r="I811" i="16"/>
  <c r="I812" i="16"/>
  <c r="I813" i="16"/>
  <c r="I814" i="16"/>
  <c r="I815" i="16"/>
  <c r="I816" i="16"/>
  <c r="I817" i="16"/>
  <c r="J817" i="16" s="1"/>
  <c r="I818" i="16"/>
  <c r="I819" i="16"/>
  <c r="I820" i="16"/>
  <c r="I821" i="16"/>
  <c r="I822" i="16"/>
  <c r="I823" i="16"/>
  <c r="I824" i="16"/>
  <c r="I825" i="16"/>
  <c r="J825" i="16" s="1"/>
  <c r="I826" i="16"/>
  <c r="I827" i="16"/>
  <c r="I828" i="16"/>
  <c r="I829" i="16"/>
  <c r="I830" i="16"/>
  <c r="I831" i="16"/>
  <c r="I832" i="16"/>
  <c r="I833" i="16"/>
  <c r="J833" i="16" s="1"/>
  <c r="I834" i="16"/>
  <c r="I835" i="16"/>
  <c r="I836" i="16"/>
  <c r="I837" i="16"/>
  <c r="I838" i="16"/>
  <c r="I839" i="16"/>
  <c r="I840" i="16"/>
  <c r="I841" i="16"/>
  <c r="J841" i="16" s="1"/>
  <c r="I842" i="16"/>
  <c r="I843" i="16"/>
  <c r="I844" i="16"/>
  <c r="I845" i="16"/>
  <c r="I846" i="16"/>
  <c r="I847" i="16"/>
  <c r="I848" i="16"/>
  <c r="I849" i="16"/>
  <c r="I850" i="16"/>
  <c r="I851" i="16"/>
  <c r="I852" i="16"/>
  <c r="I853" i="16"/>
  <c r="I854" i="16"/>
  <c r="I855" i="16"/>
  <c r="I856" i="16"/>
  <c r="I857" i="16"/>
  <c r="J857" i="16" s="1"/>
  <c r="I858" i="16"/>
  <c r="I859" i="16"/>
  <c r="I860" i="16"/>
  <c r="I861" i="16"/>
  <c r="I862" i="16"/>
  <c r="I863" i="16"/>
  <c r="I864" i="16"/>
  <c r="I865" i="16"/>
  <c r="J865" i="16" s="1"/>
  <c r="I866" i="16"/>
  <c r="I867" i="16"/>
  <c r="I868" i="16"/>
  <c r="I869" i="16"/>
  <c r="I870" i="16"/>
  <c r="I871" i="16"/>
  <c r="I872" i="16"/>
  <c r="I873" i="16"/>
  <c r="J873" i="16" s="1"/>
  <c r="I874" i="16"/>
  <c r="I875" i="16"/>
  <c r="I876" i="16"/>
  <c r="I877" i="16"/>
  <c r="I878" i="16"/>
  <c r="I879" i="16"/>
  <c r="I880" i="16"/>
  <c r="I881" i="16"/>
  <c r="J881" i="16" s="1"/>
  <c r="I882" i="16"/>
  <c r="I883" i="16"/>
  <c r="I884" i="16"/>
  <c r="I885" i="16"/>
  <c r="I886" i="16"/>
  <c r="I887" i="16"/>
  <c r="I888" i="16"/>
  <c r="I889" i="16"/>
  <c r="J889" i="16" s="1"/>
  <c r="I890" i="16"/>
  <c r="I891" i="16"/>
  <c r="I892" i="16"/>
  <c r="I893" i="16"/>
  <c r="I894" i="16"/>
  <c r="I895" i="16"/>
  <c r="I896" i="16"/>
  <c r="I897" i="16"/>
  <c r="J897" i="16" s="1"/>
  <c r="I898" i="16"/>
  <c r="I899" i="16"/>
  <c r="I900" i="16"/>
  <c r="I901" i="16"/>
  <c r="I902" i="16"/>
  <c r="I903" i="16"/>
  <c r="I904" i="16"/>
  <c r="I905" i="16"/>
  <c r="J905" i="16" s="1"/>
  <c r="I906" i="16"/>
  <c r="I907" i="16"/>
  <c r="I908" i="16"/>
  <c r="I909" i="16"/>
  <c r="I910" i="16"/>
  <c r="I911" i="16"/>
  <c r="I912" i="16"/>
  <c r="I913" i="16"/>
  <c r="J913" i="16" s="1"/>
  <c r="I914" i="16"/>
  <c r="I915" i="16"/>
  <c r="I916" i="16"/>
  <c r="I917" i="16"/>
  <c r="I918" i="16"/>
  <c r="I919" i="16"/>
  <c r="I920" i="16"/>
  <c r="I921" i="16"/>
  <c r="I922" i="16"/>
  <c r="I923" i="16"/>
  <c r="I924" i="16"/>
  <c r="I925" i="16"/>
  <c r="I926" i="16"/>
  <c r="I927" i="16"/>
  <c r="I928" i="16"/>
  <c r="I929" i="16"/>
  <c r="J929" i="16" s="1"/>
  <c r="I930" i="16"/>
  <c r="I931" i="16"/>
  <c r="I932" i="16"/>
  <c r="I933" i="16"/>
  <c r="I934" i="16"/>
  <c r="I935" i="16"/>
  <c r="I936" i="16"/>
  <c r="I937" i="16"/>
  <c r="J937" i="16" s="1"/>
  <c r="I938" i="16"/>
  <c r="I939" i="16"/>
  <c r="I940" i="16"/>
  <c r="I941" i="16"/>
  <c r="I942" i="16"/>
  <c r="I943" i="16"/>
  <c r="I944" i="16"/>
  <c r="I945" i="16"/>
  <c r="J945" i="16" s="1"/>
  <c r="I946" i="16"/>
  <c r="I947" i="16"/>
  <c r="I948" i="16"/>
  <c r="I949" i="16"/>
  <c r="I950" i="16"/>
  <c r="I951" i="16"/>
  <c r="I952" i="16"/>
  <c r="I953" i="16"/>
  <c r="J953" i="16" s="1"/>
  <c r="I954" i="16"/>
  <c r="I955" i="16"/>
  <c r="I956" i="16"/>
  <c r="I957" i="16"/>
  <c r="I958" i="16"/>
  <c r="I959" i="16"/>
  <c r="I960" i="16"/>
  <c r="I961" i="16"/>
  <c r="J961" i="16" s="1"/>
  <c r="I962" i="16"/>
  <c r="I963" i="16"/>
  <c r="I964" i="16"/>
  <c r="I965" i="16"/>
  <c r="I966" i="16"/>
  <c r="I967" i="16"/>
  <c r="I968" i="16"/>
  <c r="I969" i="16"/>
  <c r="J969" i="16" s="1"/>
  <c r="I970" i="16"/>
  <c r="I971" i="16"/>
  <c r="I972" i="16"/>
  <c r="I973" i="16"/>
  <c r="I974" i="16"/>
  <c r="I975" i="16"/>
  <c r="I976" i="16"/>
  <c r="I977" i="16"/>
  <c r="J977" i="16" s="1"/>
  <c r="I978" i="16"/>
  <c r="I979" i="16"/>
  <c r="I980" i="16"/>
  <c r="I981" i="16"/>
  <c r="I982" i="16"/>
  <c r="I983" i="16"/>
  <c r="I984" i="16"/>
  <c r="I985" i="16"/>
  <c r="J985" i="16" s="1"/>
  <c r="I986" i="16"/>
  <c r="I987" i="16"/>
  <c r="I988" i="16"/>
  <c r="I989" i="16"/>
  <c r="I990" i="16"/>
  <c r="I991" i="16"/>
  <c r="I992" i="16"/>
  <c r="I993" i="16"/>
  <c r="I994" i="16"/>
  <c r="I995" i="16"/>
  <c r="I996" i="16"/>
  <c r="I997" i="16"/>
  <c r="I998" i="16"/>
  <c r="I999" i="16"/>
  <c r="I1000" i="16"/>
  <c r="I1001" i="16"/>
  <c r="J1001" i="16" s="1"/>
  <c r="I1002" i="16"/>
  <c r="I1003" i="16"/>
  <c r="I1004" i="16"/>
  <c r="I1005" i="16"/>
  <c r="I1006" i="16"/>
  <c r="I1007" i="16"/>
  <c r="I1008" i="16"/>
  <c r="I1009" i="16"/>
  <c r="J1009" i="16" s="1"/>
  <c r="I1010" i="16"/>
  <c r="I1011" i="16"/>
  <c r="I1012" i="16"/>
  <c r="I1013" i="16"/>
  <c r="I1014" i="16"/>
  <c r="I1015" i="16"/>
  <c r="I1016" i="16"/>
  <c r="I1017" i="16"/>
  <c r="J1017" i="16" s="1"/>
  <c r="I1018" i="16"/>
  <c r="I1019" i="16"/>
  <c r="I1020" i="16"/>
  <c r="I1021" i="16"/>
  <c r="I1022" i="16"/>
  <c r="I1023" i="16"/>
  <c r="I1024" i="16"/>
  <c r="I1025" i="16"/>
  <c r="J1025" i="16" s="1"/>
  <c r="I1026" i="16"/>
  <c r="I1027" i="16"/>
  <c r="I1028" i="16"/>
  <c r="I1029" i="16"/>
  <c r="I1030" i="16"/>
  <c r="I1031" i="16"/>
  <c r="I1032" i="16"/>
  <c r="I1033" i="16"/>
  <c r="J1033" i="16" s="1"/>
  <c r="I1034" i="16"/>
  <c r="I1035" i="16"/>
  <c r="I1036" i="16"/>
  <c r="I1037" i="16"/>
  <c r="I1038" i="16"/>
  <c r="I1039" i="16"/>
  <c r="I1040" i="16"/>
  <c r="I1041" i="16"/>
  <c r="J1041" i="16" s="1"/>
  <c r="I1042" i="16"/>
  <c r="I1043" i="16"/>
  <c r="I1044" i="16"/>
  <c r="I1045" i="16"/>
  <c r="I1046" i="16"/>
  <c r="I1047" i="16"/>
  <c r="I1048" i="16"/>
  <c r="I1049" i="16"/>
  <c r="J1049" i="16" s="1"/>
  <c r="I1050" i="16"/>
  <c r="I1051" i="16"/>
  <c r="I1052" i="16"/>
  <c r="I1053" i="16"/>
  <c r="I1054" i="16"/>
  <c r="I1055" i="16"/>
  <c r="I1056" i="16"/>
  <c r="I1057" i="16"/>
  <c r="J1057" i="16" s="1"/>
  <c r="I1058" i="16"/>
  <c r="I1059" i="16"/>
  <c r="I1060" i="16"/>
  <c r="I1061" i="16"/>
  <c r="I1062" i="16"/>
  <c r="I1063" i="16"/>
  <c r="I1064" i="16"/>
  <c r="I1065" i="16"/>
  <c r="I1066" i="16"/>
  <c r="I1067" i="16"/>
  <c r="I1068" i="16"/>
  <c r="I1069" i="16"/>
  <c r="I1070" i="16"/>
  <c r="I1071" i="16"/>
  <c r="I1072" i="16"/>
  <c r="I1073" i="16"/>
  <c r="J1073" i="16" s="1"/>
  <c r="I1074" i="16"/>
  <c r="I1075" i="16"/>
  <c r="I1076" i="16"/>
  <c r="I1077" i="16"/>
  <c r="I1078" i="16"/>
  <c r="I1079" i="16"/>
  <c r="I1080" i="16"/>
  <c r="I1081" i="16"/>
  <c r="J1081" i="16" s="1"/>
  <c r="I1082" i="16"/>
  <c r="I1083" i="16"/>
  <c r="I1084" i="16"/>
  <c r="I1085" i="16"/>
  <c r="I1086" i="16"/>
  <c r="I1087" i="16"/>
  <c r="I1088" i="16"/>
  <c r="I1089" i="16"/>
  <c r="J1089" i="16" s="1"/>
  <c r="I1090" i="16"/>
  <c r="I1091" i="16"/>
  <c r="I1092" i="16"/>
  <c r="I1093" i="16"/>
  <c r="I1094" i="16"/>
  <c r="I1095" i="16"/>
  <c r="I1096" i="16"/>
  <c r="I1097" i="16"/>
  <c r="J1097" i="16" s="1"/>
  <c r="I1098" i="16"/>
  <c r="I1099" i="16"/>
  <c r="I1100" i="16"/>
  <c r="I1101" i="16"/>
  <c r="I1102" i="16"/>
  <c r="I1103" i="16"/>
  <c r="I1104" i="16"/>
  <c r="I1105" i="16"/>
  <c r="J1105" i="16" s="1"/>
  <c r="I1106" i="16"/>
  <c r="I1107" i="16"/>
  <c r="I1108" i="16"/>
  <c r="I1109" i="16"/>
  <c r="I1110" i="16"/>
  <c r="I1111" i="16"/>
  <c r="I1112" i="16"/>
  <c r="I1113" i="16"/>
  <c r="J1113" i="16" s="1"/>
  <c r="I1114" i="16"/>
  <c r="I1115" i="16"/>
  <c r="I1116" i="16"/>
  <c r="I1117" i="16"/>
  <c r="I1118" i="16"/>
  <c r="I1119" i="16"/>
  <c r="I1120" i="16"/>
  <c r="I1121" i="16"/>
  <c r="J1121" i="16" s="1"/>
  <c r="I1122" i="16"/>
  <c r="I1123" i="16"/>
  <c r="I1124" i="16"/>
  <c r="I1125" i="16"/>
  <c r="I1126" i="16"/>
  <c r="I1127" i="16"/>
  <c r="I1128" i="16"/>
  <c r="I1129" i="16"/>
  <c r="J1129" i="16" s="1"/>
  <c r="I1130" i="16"/>
  <c r="I1131" i="16"/>
  <c r="I1132" i="16"/>
  <c r="I1133" i="16"/>
  <c r="I1134" i="16"/>
  <c r="I1135" i="16"/>
  <c r="I1136" i="16"/>
  <c r="I1137" i="16"/>
  <c r="I1138" i="16"/>
  <c r="I1139" i="16"/>
  <c r="I1140" i="16"/>
  <c r="I1141" i="16"/>
  <c r="I1142" i="16"/>
  <c r="I1143" i="16"/>
  <c r="I1144" i="16"/>
  <c r="I1145" i="16"/>
  <c r="J1145" i="16" s="1"/>
  <c r="I1146" i="16"/>
  <c r="I1147" i="16"/>
  <c r="I1148" i="16"/>
  <c r="I1149" i="16"/>
  <c r="I1150" i="16"/>
  <c r="I1151" i="16"/>
  <c r="I1152" i="16"/>
  <c r="I1153" i="16"/>
  <c r="J1153" i="16" s="1"/>
  <c r="I1154" i="16"/>
  <c r="I1155" i="16"/>
  <c r="I1156" i="16"/>
  <c r="I1157" i="16"/>
  <c r="I1158" i="16"/>
  <c r="I1159" i="16"/>
  <c r="I1160" i="16"/>
  <c r="I1161" i="16"/>
  <c r="J1161" i="16" s="1"/>
  <c r="I1162" i="16"/>
  <c r="I1163" i="16"/>
  <c r="I1164" i="16"/>
  <c r="I1165" i="16"/>
  <c r="I1166" i="16"/>
  <c r="I1167" i="16"/>
  <c r="I1168" i="16"/>
  <c r="I1169" i="16"/>
  <c r="J1169" i="16" s="1"/>
  <c r="I1170" i="16"/>
  <c r="I1171" i="16"/>
  <c r="I1172" i="16"/>
  <c r="I1173" i="16"/>
  <c r="I1174" i="16"/>
  <c r="I1175" i="16"/>
  <c r="I1176" i="16"/>
  <c r="I1177" i="16"/>
  <c r="J1177" i="16" s="1"/>
  <c r="I1178" i="16"/>
  <c r="I1179" i="16"/>
  <c r="I1180" i="16"/>
  <c r="I1181" i="16"/>
  <c r="I1182" i="16"/>
  <c r="I1183" i="16"/>
  <c r="I1184" i="16"/>
  <c r="I1185" i="16"/>
  <c r="J1185" i="16" s="1"/>
  <c r="I1186" i="16"/>
  <c r="I1187" i="16"/>
  <c r="I1188" i="16"/>
  <c r="I1189" i="16"/>
  <c r="I1190" i="16"/>
  <c r="I1191" i="16"/>
  <c r="I1192" i="16"/>
  <c r="I1193" i="16"/>
  <c r="J1193" i="16" s="1"/>
  <c r="I1194" i="16"/>
  <c r="I1195" i="16"/>
  <c r="I1196" i="16"/>
  <c r="I1197" i="16"/>
  <c r="I1198" i="16"/>
  <c r="I1199" i="16"/>
  <c r="I1200" i="16"/>
  <c r="I1201" i="16"/>
  <c r="J1201" i="16" s="1"/>
  <c r="I1202" i="16"/>
  <c r="I1203" i="16"/>
  <c r="I1204" i="16"/>
  <c r="I1205" i="16"/>
  <c r="I1206" i="16"/>
  <c r="I1207" i="16"/>
  <c r="I1208" i="16"/>
  <c r="I1209" i="16"/>
  <c r="I1210" i="16"/>
  <c r="I1211" i="16"/>
  <c r="I1212" i="16"/>
  <c r="I1213" i="16"/>
  <c r="I1214" i="16"/>
  <c r="I1215" i="16"/>
  <c r="I1216" i="16"/>
  <c r="I1217" i="16"/>
  <c r="J1217" i="16" s="1"/>
  <c r="I1218" i="16"/>
  <c r="I1219" i="16"/>
  <c r="I1220" i="16"/>
  <c r="I1221" i="16"/>
  <c r="I1222" i="16"/>
  <c r="I1223" i="16"/>
  <c r="I1224" i="16"/>
  <c r="I1225" i="16"/>
  <c r="J1225" i="16" s="1"/>
  <c r="I1226" i="16"/>
  <c r="I1227" i="16"/>
  <c r="I1228" i="16"/>
  <c r="I1229" i="16"/>
  <c r="I1230" i="16"/>
  <c r="I1231" i="16"/>
  <c r="I1232" i="16"/>
  <c r="I1233" i="16"/>
  <c r="J1233" i="16" s="1"/>
  <c r="I1234" i="16"/>
  <c r="I1235" i="16"/>
  <c r="I1236" i="16"/>
  <c r="I1237" i="16"/>
  <c r="I1238" i="16"/>
  <c r="I1239" i="16"/>
  <c r="I1240" i="16"/>
  <c r="I1241" i="16"/>
  <c r="J1241" i="16" s="1"/>
  <c r="I1242" i="16"/>
  <c r="I1243" i="16"/>
  <c r="I1244" i="16"/>
  <c r="I1245" i="16"/>
  <c r="I1246" i="16"/>
  <c r="I1247" i="16"/>
  <c r="I1248" i="16"/>
  <c r="I1249" i="16"/>
  <c r="J1249" i="16" s="1"/>
  <c r="I1250" i="16"/>
  <c r="I1251" i="16"/>
  <c r="I1252" i="16"/>
  <c r="I1253" i="16"/>
  <c r="I1254" i="16"/>
  <c r="I1255" i="16"/>
  <c r="I1256" i="16"/>
  <c r="I1257" i="16"/>
  <c r="J1257" i="16" s="1"/>
  <c r="I1258" i="16"/>
  <c r="I1259" i="16"/>
  <c r="I1260" i="16"/>
  <c r="I1261" i="16"/>
  <c r="I1262" i="16"/>
  <c r="I1263" i="16"/>
  <c r="I1264" i="16"/>
  <c r="I1265" i="16"/>
  <c r="J1265" i="16" s="1"/>
  <c r="I1266" i="16"/>
  <c r="I1267" i="16"/>
  <c r="I1268" i="16"/>
  <c r="I1269" i="16"/>
  <c r="I1270" i="16"/>
  <c r="I1271" i="16"/>
  <c r="I1272" i="16"/>
  <c r="I1273" i="16"/>
  <c r="J1273" i="16" s="1"/>
  <c r="I1274" i="16"/>
  <c r="I1275" i="16"/>
  <c r="I1276" i="16"/>
  <c r="I1277" i="16"/>
  <c r="I1278" i="16"/>
  <c r="I1279" i="16"/>
  <c r="I1280" i="16"/>
  <c r="I1281" i="16"/>
  <c r="J1281" i="16" s="1"/>
  <c r="I1282" i="16"/>
  <c r="I1283" i="16"/>
  <c r="I1284" i="16"/>
  <c r="I1285" i="16"/>
  <c r="I1286" i="16"/>
  <c r="I1287" i="16"/>
  <c r="I1288" i="16"/>
  <c r="I1289" i="16"/>
  <c r="J1289" i="16" s="1"/>
  <c r="I1290" i="16"/>
  <c r="I1291" i="16"/>
  <c r="I1292" i="16"/>
  <c r="I1293" i="16"/>
  <c r="I1294" i="16"/>
  <c r="I1295" i="16"/>
  <c r="I1296" i="16"/>
  <c r="I1297" i="16"/>
  <c r="J1297" i="16" s="1"/>
  <c r="I1298" i="16"/>
  <c r="I1299" i="16"/>
  <c r="I1300" i="16"/>
  <c r="I1301" i="16"/>
  <c r="I1302" i="16"/>
  <c r="I1303" i="16"/>
  <c r="I1304" i="16"/>
  <c r="I1305" i="16"/>
  <c r="J1305" i="16" s="1"/>
  <c r="I1306" i="16"/>
  <c r="I1307" i="16"/>
  <c r="I1308" i="16"/>
  <c r="I1309" i="16"/>
  <c r="I1310" i="16"/>
  <c r="I1311" i="16"/>
  <c r="I1312" i="16"/>
  <c r="I1313" i="16"/>
  <c r="J1313" i="16" s="1"/>
  <c r="I1314" i="16"/>
  <c r="I1315" i="16"/>
  <c r="I1316" i="16"/>
  <c r="I1317" i="16"/>
  <c r="I1318" i="16"/>
  <c r="I1319" i="16"/>
  <c r="I1320" i="16"/>
  <c r="I1321" i="16"/>
  <c r="J1321" i="16" s="1"/>
  <c r="I1322" i="16"/>
  <c r="I1323" i="16"/>
  <c r="I1324" i="16"/>
  <c r="I1325" i="16"/>
  <c r="I1326" i="16"/>
  <c r="I1327" i="16"/>
  <c r="I1328" i="16"/>
  <c r="I1329" i="16"/>
  <c r="J1329" i="16" s="1"/>
  <c r="I1330" i="16"/>
  <c r="I1331" i="16"/>
  <c r="I1332" i="16"/>
  <c r="I1333" i="16"/>
  <c r="I1334" i="16"/>
  <c r="I1335" i="16"/>
  <c r="I1336" i="16"/>
  <c r="I1337" i="16"/>
  <c r="J1337" i="16" s="1"/>
  <c r="I1338" i="16"/>
  <c r="I1339" i="16"/>
  <c r="I1340" i="16"/>
  <c r="I1341" i="16"/>
  <c r="I1342" i="16"/>
  <c r="I1343" i="16"/>
  <c r="I1344" i="16"/>
  <c r="I1345" i="16"/>
  <c r="J1345" i="16" s="1"/>
  <c r="I1346" i="16"/>
  <c r="I1347" i="16"/>
  <c r="I1348" i="16"/>
  <c r="I1349" i="16"/>
  <c r="I1350" i="16"/>
  <c r="I1351" i="16"/>
  <c r="I1352" i="16"/>
  <c r="I1353" i="16"/>
  <c r="J1353" i="16" s="1"/>
  <c r="I1354" i="16"/>
  <c r="I1355" i="16"/>
  <c r="I1356" i="16"/>
  <c r="I1357" i="16"/>
  <c r="I1358" i="16"/>
  <c r="I1359" i="16"/>
  <c r="I1360" i="16"/>
  <c r="I1361" i="16"/>
  <c r="J1361" i="16" s="1"/>
  <c r="I1362" i="16"/>
  <c r="I1363" i="16"/>
  <c r="I1364" i="16"/>
  <c r="I1365" i="16"/>
  <c r="I1366" i="16"/>
  <c r="I1367" i="16"/>
  <c r="I1368" i="16"/>
  <c r="I1369" i="16"/>
  <c r="J1369" i="16" s="1"/>
  <c r="I1370" i="16"/>
  <c r="I1371" i="16"/>
  <c r="I1372" i="16"/>
  <c r="I1373" i="16"/>
  <c r="I1374" i="16"/>
  <c r="I1375" i="16"/>
  <c r="I1376" i="16"/>
  <c r="I1377" i="16"/>
  <c r="J1377" i="16" s="1"/>
  <c r="I1378" i="16"/>
  <c r="I1379" i="16"/>
  <c r="I1380" i="16"/>
  <c r="I1381" i="16"/>
  <c r="I1382" i="16"/>
  <c r="I1383" i="16"/>
  <c r="I1384" i="16"/>
  <c r="I1385" i="16"/>
  <c r="J1385" i="16" s="1"/>
  <c r="I1386" i="16"/>
  <c r="I1387" i="16"/>
  <c r="I1388" i="16"/>
  <c r="I1389" i="16"/>
  <c r="I1390" i="16"/>
  <c r="I1391" i="16"/>
  <c r="I1392" i="16"/>
  <c r="I1393" i="16"/>
  <c r="J1393" i="16" s="1"/>
  <c r="I1394" i="16"/>
  <c r="I1395" i="16"/>
  <c r="I1396" i="16"/>
  <c r="I1397" i="16"/>
  <c r="I1398" i="16"/>
  <c r="I1399" i="16"/>
  <c r="I1400" i="16"/>
  <c r="I1401" i="16"/>
  <c r="J1401" i="16" s="1"/>
  <c r="I1402" i="16"/>
  <c r="I1403" i="16"/>
  <c r="I1404" i="16"/>
  <c r="I1405" i="16"/>
  <c r="I1406" i="16"/>
  <c r="I1407" i="16"/>
  <c r="I1408" i="16"/>
  <c r="I1409" i="16"/>
  <c r="J1409" i="16" s="1"/>
  <c r="I1410" i="16"/>
  <c r="I1411" i="16"/>
  <c r="I1412" i="16"/>
  <c r="I1413" i="16"/>
  <c r="I1414" i="16"/>
  <c r="I1415" i="16"/>
  <c r="I1416" i="16"/>
  <c r="I1417" i="16"/>
  <c r="J1417" i="16" s="1"/>
  <c r="I1418" i="16"/>
  <c r="I1419" i="16"/>
  <c r="I1420" i="16"/>
  <c r="I1421" i="16"/>
  <c r="I1422" i="16"/>
  <c r="I1423" i="16"/>
  <c r="I1424" i="16"/>
  <c r="I1425" i="16"/>
  <c r="J1425" i="16" s="1"/>
  <c r="I1426" i="16"/>
  <c r="I1427" i="16"/>
  <c r="I1428" i="16"/>
  <c r="I1429" i="16"/>
  <c r="I1430" i="16"/>
  <c r="I1431" i="16"/>
  <c r="I1432" i="16"/>
  <c r="I1433" i="16"/>
  <c r="J1433" i="16" s="1"/>
  <c r="I1434" i="16"/>
  <c r="I1435" i="16"/>
  <c r="I1436" i="16"/>
  <c r="I1437" i="16"/>
  <c r="I1438" i="16"/>
  <c r="I1439" i="16"/>
  <c r="I1440" i="16"/>
  <c r="I1441" i="16"/>
  <c r="J1441" i="16" s="1"/>
  <c r="I1442" i="16"/>
  <c r="I1443" i="16"/>
  <c r="I1444" i="16"/>
  <c r="I1445" i="16"/>
  <c r="I1446" i="16"/>
  <c r="I1447" i="16"/>
  <c r="I1448" i="16"/>
  <c r="I1449" i="16"/>
  <c r="J1449" i="16" s="1"/>
  <c r="I1450" i="16"/>
  <c r="I1451" i="16"/>
  <c r="I1452" i="16"/>
  <c r="I1453" i="16"/>
  <c r="I1454" i="16"/>
  <c r="I1455" i="16"/>
  <c r="I1456" i="16"/>
  <c r="I1457" i="16"/>
  <c r="J1457" i="16" s="1"/>
  <c r="I1458" i="16"/>
  <c r="I1459" i="16"/>
  <c r="I1460" i="16"/>
  <c r="I1461" i="16"/>
  <c r="I1462" i="16"/>
  <c r="I1463" i="16"/>
  <c r="I1464" i="16"/>
  <c r="I1465" i="16"/>
  <c r="J1465" i="16" s="1"/>
  <c r="I1466" i="16"/>
  <c r="I1467" i="16"/>
  <c r="I1468" i="16"/>
  <c r="I1469" i="16"/>
  <c r="I1470" i="16"/>
  <c r="I1471" i="16"/>
  <c r="I1472" i="16"/>
  <c r="I1473" i="16"/>
  <c r="J1473" i="16" s="1"/>
  <c r="I1474" i="16"/>
  <c r="I1475" i="16"/>
  <c r="I1476" i="16"/>
  <c r="I1477" i="16"/>
  <c r="I1478" i="16"/>
  <c r="I1479" i="16"/>
  <c r="I1480" i="16"/>
  <c r="I1481" i="16"/>
  <c r="J1481" i="16" s="1"/>
  <c r="I1482" i="16"/>
  <c r="I1483" i="16"/>
  <c r="I1484" i="16"/>
  <c r="I1485" i="16"/>
  <c r="I1486" i="16"/>
  <c r="I1487" i="16"/>
  <c r="I1488" i="16"/>
  <c r="I1489" i="16"/>
  <c r="J1489" i="16" s="1"/>
  <c r="I1490" i="16"/>
  <c r="I1491" i="16"/>
  <c r="I1492" i="16"/>
  <c r="I1493" i="16"/>
  <c r="I1494" i="16"/>
  <c r="I1495" i="16"/>
  <c r="I1496" i="16"/>
  <c r="I1497" i="16"/>
  <c r="J1497" i="16" s="1"/>
  <c r="I1498" i="16"/>
  <c r="I1499" i="16"/>
  <c r="I1500" i="16"/>
  <c r="I1501" i="16"/>
  <c r="I1502" i="16"/>
  <c r="I1503" i="16"/>
  <c r="I1504" i="16"/>
  <c r="I1505" i="16"/>
  <c r="J1505" i="16" s="1"/>
  <c r="I1506" i="16"/>
  <c r="I1507" i="16"/>
  <c r="I1508" i="16"/>
  <c r="I1509" i="16"/>
  <c r="I1510" i="16"/>
  <c r="I1511" i="16"/>
  <c r="I1512" i="16"/>
  <c r="I1513" i="16"/>
  <c r="J1513" i="16" s="1"/>
  <c r="I1514" i="16"/>
  <c r="I1515" i="16"/>
  <c r="I1516" i="16"/>
  <c r="I1517" i="16"/>
  <c r="I1518" i="16"/>
  <c r="I1519" i="16"/>
  <c r="I1520" i="16"/>
  <c r="I1521" i="16"/>
  <c r="J1521" i="16" s="1"/>
  <c r="I1522" i="16"/>
  <c r="I1523" i="16"/>
  <c r="I1524" i="16"/>
  <c r="I1525" i="16"/>
  <c r="I1526" i="16"/>
  <c r="I1527" i="16"/>
  <c r="I1528" i="16"/>
  <c r="I1529" i="16"/>
  <c r="J1529" i="16" s="1"/>
  <c r="I1530" i="16"/>
  <c r="I1531" i="16"/>
  <c r="I1532" i="16"/>
  <c r="I1533" i="16"/>
  <c r="I1534" i="16"/>
  <c r="I1535" i="16"/>
  <c r="I1536" i="16"/>
  <c r="I1537" i="16"/>
  <c r="J1537" i="16" s="1"/>
  <c r="I1538" i="16"/>
  <c r="I1539" i="16"/>
  <c r="I1540" i="16"/>
  <c r="I1541" i="16"/>
  <c r="I1542" i="16"/>
  <c r="I1543" i="16"/>
  <c r="I1544" i="16"/>
  <c r="I1545" i="16"/>
  <c r="J1545" i="16" s="1"/>
  <c r="I1546" i="16"/>
  <c r="I1547" i="16"/>
  <c r="I1548" i="16"/>
  <c r="I1549" i="16"/>
  <c r="I1550" i="16"/>
  <c r="I1551" i="16"/>
  <c r="I1552" i="16"/>
  <c r="I1553" i="16"/>
  <c r="J1553" i="16" s="1"/>
  <c r="I1554" i="16"/>
  <c r="I1555" i="16"/>
  <c r="I1556" i="16"/>
  <c r="I1557" i="16"/>
  <c r="I1558" i="16"/>
  <c r="I1559" i="16"/>
  <c r="I1560" i="16"/>
  <c r="I1561" i="16"/>
  <c r="J1561" i="16" s="1"/>
  <c r="I1562" i="16"/>
  <c r="I1563" i="16"/>
  <c r="I1564" i="16"/>
  <c r="I1565" i="16"/>
  <c r="I1566" i="16"/>
  <c r="I1567" i="16"/>
  <c r="I1568" i="16"/>
  <c r="I1569" i="16"/>
  <c r="J1569" i="16" s="1"/>
  <c r="I1570" i="16"/>
  <c r="I1571" i="16"/>
  <c r="I1572" i="16"/>
  <c r="I1573" i="16"/>
  <c r="I1574" i="16"/>
  <c r="I1575" i="16"/>
  <c r="I1576" i="16"/>
  <c r="I1577" i="16"/>
  <c r="J1577" i="16" s="1"/>
  <c r="I1578" i="16"/>
  <c r="I1579" i="16"/>
  <c r="I1580" i="16"/>
  <c r="I1581" i="16"/>
  <c r="I1582" i="16"/>
  <c r="I1583" i="16"/>
  <c r="I1584" i="16"/>
  <c r="I1585" i="16"/>
  <c r="J1585" i="16" s="1"/>
  <c r="I1586" i="16"/>
  <c r="I1587" i="16"/>
  <c r="I1588" i="16"/>
  <c r="I1589" i="16"/>
  <c r="I1590" i="16"/>
  <c r="I1591" i="16"/>
  <c r="I1592" i="16"/>
  <c r="I1593" i="16"/>
  <c r="I1594" i="16"/>
  <c r="I1595" i="16"/>
  <c r="I1596" i="16"/>
  <c r="I1597" i="16"/>
  <c r="I1598" i="16"/>
  <c r="I1599" i="16"/>
  <c r="I1600" i="16"/>
  <c r="I1601" i="16"/>
  <c r="I1602" i="16"/>
  <c r="I1603" i="16"/>
  <c r="I1604" i="16"/>
  <c r="I1605" i="16"/>
  <c r="I1606" i="16"/>
  <c r="I1607" i="16"/>
  <c r="I1608" i="16"/>
  <c r="I1609" i="16"/>
  <c r="I1610" i="16"/>
  <c r="I1611" i="16"/>
  <c r="I1612" i="16"/>
  <c r="I1613" i="16"/>
  <c r="I1614" i="16"/>
  <c r="I1615" i="16"/>
  <c r="I1616" i="16"/>
  <c r="I1617" i="16"/>
  <c r="I1618" i="16"/>
  <c r="I1619" i="16"/>
  <c r="I1620" i="16"/>
  <c r="I1621" i="16"/>
  <c r="I1622" i="16"/>
  <c r="I1623" i="16"/>
  <c r="I1624" i="16"/>
  <c r="I1625" i="16"/>
  <c r="I1626" i="16"/>
  <c r="I1627" i="16"/>
  <c r="I1628" i="16"/>
  <c r="I1629" i="16"/>
  <c r="I1630" i="16"/>
  <c r="I1631" i="16"/>
  <c r="I1632" i="16"/>
  <c r="I1633" i="16"/>
  <c r="I1634" i="16"/>
  <c r="I1635" i="16"/>
  <c r="I1636" i="16"/>
  <c r="I1637" i="16"/>
  <c r="I1638" i="16"/>
  <c r="I1639" i="16"/>
  <c r="I1640" i="16"/>
  <c r="I1641" i="16"/>
  <c r="I1642" i="16"/>
  <c r="I1643" i="16"/>
  <c r="I1644" i="16"/>
  <c r="I1645" i="16"/>
  <c r="I1646" i="16"/>
  <c r="I1647" i="16"/>
  <c r="I1648" i="16"/>
  <c r="I1649" i="16"/>
  <c r="I1650" i="16"/>
  <c r="I1651" i="16"/>
  <c r="I1652" i="16"/>
  <c r="I1653" i="16"/>
  <c r="I1654" i="16"/>
  <c r="I1655" i="16"/>
  <c r="I1656" i="16"/>
  <c r="I1657" i="16"/>
  <c r="I1658" i="16"/>
  <c r="I1659" i="16"/>
  <c r="I1660" i="16"/>
  <c r="I1661" i="16"/>
  <c r="I1662" i="16"/>
  <c r="I1663" i="16"/>
  <c r="I1664" i="16"/>
  <c r="I1665" i="16"/>
  <c r="I1666" i="16"/>
  <c r="I1667" i="16"/>
  <c r="I1668" i="16"/>
  <c r="I1669" i="16"/>
  <c r="I1670" i="16"/>
  <c r="I1671" i="16"/>
  <c r="I1672" i="16"/>
  <c r="I1673" i="16"/>
  <c r="I1674" i="16"/>
  <c r="I1675" i="16"/>
  <c r="I1676" i="16"/>
  <c r="I1677" i="16"/>
  <c r="I1678" i="16"/>
  <c r="I1679" i="16"/>
  <c r="I1680" i="16"/>
  <c r="I1681" i="16"/>
  <c r="I1682" i="16"/>
  <c r="I1683" i="16"/>
  <c r="I1684" i="16"/>
  <c r="I1685" i="16"/>
  <c r="I1686" i="16"/>
  <c r="I1687" i="16"/>
  <c r="I1688" i="16"/>
  <c r="I1689" i="16"/>
  <c r="I1690" i="16"/>
  <c r="I1691" i="16"/>
  <c r="I1692" i="16"/>
  <c r="I1693" i="16"/>
  <c r="I1694" i="16"/>
  <c r="I1695" i="16"/>
  <c r="I1696" i="16"/>
  <c r="I1697" i="16"/>
  <c r="I1698" i="16"/>
  <c r="I1699" i="16"/>
  <c r="I1700" i="16"/>
  <c r="I1701" i="16"/>
  <c r="I1702" i="16"/>
  <c r="I1703" i="16"/>
  <c r="I1704" i="16"/>
  <c r="I1705" i="16"/>
  <c r="I1706" i="16"/>
  <c r="I1707" i="16"/>
  <c r="I1708" i="16"/>
  <c r="I1709" i="16"/>
  <c r="I1710" i="16"/>
  <c r="I1711" i="16"/>
  <c r="I1712" i="16"/>
  <c r="I1713" i="16"/>
  <c r="I1714" i="16"/>
  <c r="I1715" i="16"/>
  <c r="I1716" i="16"/>
  <c r="I1717" i="16"/>
  <c r="I1718" i="16"/>
  <c r="I1719" i="16"/>
  <c r="I1720" i="16"/>
  <c r="I1721" i="16"/>
  <c r="I1722" i="16"/>
  <c r="I1723" i="16"/>
  <c r="I1724" i="16"/>
  <c r="I1725" i="16"/>
  <c r="I1726" i="16"/>
  <c r="I1727" i="16"/>
  <c r="I1728" i="16"/>
  <c r="I1729" i="16"/>
  <c r="I1730" i="16"/>
  <c r="I1731" i="16"/>
  <c r="I1732" i="16"/>
  <c r="I1733" i="16"/>
  <c r="I1734" i="16"/>
  <c r="I1735" i="16"/>
  <c r="I1736" i="16"/>
  <c r="I1737" i="16"/>
  <c r="I1738" i="16"/>
  <c r="I1739" i="16"/>
  <c r="I1740" i="16"/>
  <c r="I1741" i="16"/>
  <c r="I1742" i="16"/>
  <c r="I1743" i="16"/>
  <c r="I1744" i="16"/>
  <c r="I1745" i="16"/>
  <c r="I1746" i="16"/>
  <c r="I1747" i="16"/>
  <c r="I1748" i="16"/>
  <c r="I1749" i="16"/>
  <c r="I1750" i="16"/>
  <c r="I1751" i="16"/>
  <c r="I1752" i="16"/>
  <c r="I1753" i="16"/>
  <c r="I1754" i="16"/>
  <c r="I1755" i="16"/>
  <c r="I1756" i="16"/>
  <c r="I1757" i="16"/>
  <c r="I1758" i="16"/>
  <c r="I1759" i="16"/>
  <c r="I1760" i="16"/>
  <c r="I1761" i="16"/>
  <c r="I1762" i="16"/>
  <c r="I1763" i="16"/>
  <c r="I1764" i="16"/>
  <c r="I1765" i="16"/>
  <c r="I1766" i="16"/>
  <c r="I1767" i="16"/>
  <c r="I1768" i="16"/>
  <c r="I1769" i="16"/>
  <c r="I1770" i="16"/>
  <c r="I1771" i="16"/>
  <c r="I1772" i="16"/>
  <c r="I1773" i="16"/>
  <c r="I1774" i="16"/>
  <c r="I1775" i="16"/>
  <c r="I1776" i="16"/>
  <c r="I1777" i="16"/>
  <c r="I1778" i="16"/>
  <c r="I1779" i="16"/>
  <c r="I1780" i="16"/>
  <c r="I1781" i="16"/>
  <c r="I1782" i="16"/>
  <c r="I1783" i="16"/>
  <c r="I1784" i="16"/>
  <c r="I1785" i="16"/>
  <c r="I1786" i="16"/>
  <c r="I1787" i="16"/>
  <c r="I1788" i="16"/>
  <c r="I1789" i="16"/>
  <c r="I1790" i="16"/>
  <c r="I1791" i="16"/>
  <c r="I1792" i="16"/>
  <c r="I1793" i="16"/>
  <c r="I1794" i="16"/>
  <c r="I1795" i="16"/>
  <c r="I1796" i="16"/>
  <c r="I1797" i="16"/>
  <c r="I1798" i="16"/>
  <c r="I1799" i="16"/>
  <c r="I1800" i="16"/>
  <c r="I1801" i="16"/>
  <c r="I1802" i="16"/>
  <c r="I1803" i="16"/>
  <c r="I1804" i="16"/>
  <c r="I1805" i="16"/>
  <c r="I1806" i="16"/>
  <c r="I1807" i="16"/>
  <c r="I1808" i="16"/>
  <c r="I1809" i="16"/>
  <c r="I1810" i="16"/>
  <c r="I1811" i="16"/>
  <c r="I1812" i="16"/>
  <c r="I1813" i="16"/>
  <c r="I1814" i="16"/>
  <c r="I1815" i="16"/>
  <c r="I1816" i="16"/>
  <c r="I1817" i="16"/>
  <c r="I1818" i="16"/>
  <c r="I1819" i="16"/>
  <c r="I1820" i="16"/>
  <c r="I1821" i="16"/>
  <c r="I1822" i="16"/>
  <c r="I1823" i="16"/>
  <c r="I1824" i="16"/>
  <c r="I1825" i="16"/>
  <c r="I1826" i="16"/>
  <c r="I1827" i="16"/>
  <c r="I1828" i="16"/>
  <c r="I1829" i="16"/>
  <c r="I1830" i="16"/>
  <c r="I1831" i="16"/>
  <c r="I1832" i="16"/>
  <c r="I1833" i="16"/>
  <c r="I1834" i="16"/>
  <c r="I1835" i="16"/>
  <c r="I1836" i="16"/>
  <c r="I1837" i="16"/>
  <c r="I1838" i="16"/>
  <c r="I1839" i="16"/>
  <c r="I1840" i="16"/>
  <c r="I1841" i="16"/>
  <c r="I1842" i="16"/>
  <c r="I1843" i="16"/>
  <c r="I1844" i="16"/>
  <c r="I1845" i="16"/>
  <c r="I1846" i="16"/>
  <c r="I1847" i="16"/>
  <c r="I1848" i="16"/>
  <c r="I1849" i="16"/>
  <c r="I1850" i="16"/>
  <c r="I1851" i="16"/>
  <c r="I1852" i="16"/>
  <c r="I1853" i="16"/>
  <c r="I1854" i="16"/>
  <c r="I1855" i="16"/>
  <c r="I1856" i="16"/>
  <c r="I1857" i="16"/>
  <c r="I1858" i="16"/>
  <c r="I1859" i="16"/>
  <c r="I1860" i="16"/>
  <c r="I1861" i="16"/>
  <c r="I1862" i="16"/>
  <c r="I1863" i="16"/>
  <c r="I1864" i="16"/>
  <c r="I1865" i="16"/>
  <c r="I1866" i="16"/>
  <c r="I1867" i="16"/>
  <c r="I1868" i="16"/>
  <c r="I1869" i="16"/>
  <c r="I1870" i="16"/>
  <c r="I1871" i="16"/>
  <c r="I1872" i="16"/>
  <c r="I1873" i="16"/>
  <c r="I1874" i="16"/>
  <c r="I1875" i="16"/>
  <c r="I1876" i="16"/>
  <c r="I1877" i="16"/>
  <c r="I1878" i="16"/>
  <c r="I1879" i="16"/>
  <c r="I1880" i="16"/>
  <c r="I1881" i="16"/>
  <c r="I1882" i="16"/>
  <c r="I1883" i="16"/>
  <c r="I1884" i="16"/>
  <c r="I1885" i="16"/>
  <c r="I1886" i="16"/>
  <c r="I1887" i="16"/>
  <c r="I1888" i="16"/>
  <c r="I1889" i="16"/>
  <c r="I1890" i="16"/>
  <c r="I1891" i="16"/>
  <c r="I1892" i="16"/>
  <c r="I1893" i="16"/>
  <c r="I1894" i="16"/>
  <c r="I1895" i="16"/>
  <c r="I1896" i="16"/>
  <c r="I1897" i="16"/>
  <c r="I1898" i="16"/>
  <c r="I1899" i="16"/>
  <c r="I1900" i="16"/>
  <c r="I1901" i="16"/>
  <c r="I1902" i="16"/>
  <c r="I1903" i="16"/>
  <c r="I1904" i="16"/>
  <c r="I1905" i="16"/>
  <c r="I1906" i="16"/>
  <c r="I1907" i="16"/>
  <c r="I1908" i="16"/>
  <c r="I1909" i="16"/>
  <c r="I1910" i="16"/>
  <c r="I1911" i="16"/>
  <c r="I1912" i="16"/>
  <c r="I1913" i="16"/>
  <c r="I1914" i="16"/>
  <c r="I1915" i="16"/>
  <c r="I1916" i="16"/>
  <c r="I1917" i="16"/>
  <c r="I1918" i="16"/>
  <c r="I1919" i="16"/>
  <c r="I1920" i="16"/>
  <c r="I1921" i="16"/>
  <c r="I1922" i="16"/>
  <c r="I1923" i="16"/>
  <c r="I1924" i="16"/>
  <c r="I1925" i="16"/>
  <c r="I1926" i="16"/>
  <c r="I1927" i="16"/>
  <c r="I1928" i="16"/>
  <c r="I1929" i="16"/>
  <c r="I1930" i="16"/>
  <c r="I1931" i="16"/>
  <c r="I1932" i="16"/>
  <c r="I1933" i="16"/>
  <c r="I1934" i="16"/>
  <c r="I1935" i="16"/>
  <c r="I1936" i="16"/>
  <c r="I1937" i="16"/>
  <c r="I1938" i="16"/>
  <c r="I1939" i="16"/>
  <c r="I1940" i="16"/>
  <c r="I1941" i="16"/>
  <c r="I1942" i="16"/>
  <c r="I1943" i="16"/>
  <c r="I1944" i="16"/>
  <c r="I1945" i="16"/>
  <c r="I1946" i="16"/>
  <c r="I1947" i="16"/>
  <c r="I1948" i="16"/>
  <c r="I1949" i="16"/>
  <c r="I1950" i="16"/>
  <c r="I1951" i="16"/>
  <c r="I1952" i="16"/>
  <c r="I1953" i="16"/>
  <c r="I1954" i="16"/>
  <c r="I1955" i="16"/>
  <c r="I1956" i="16"/>
  <c r="I1957" i="16"/>
  <c r="I1958" i="16"/>
  <c r="I1959" i="16"/>
  <c r="I1960" i="16"/>
  <c r="I1961" i="16"/>
  <c r="I1962" i="16"/>
  <c r="I1963" i="16"/>
  <c r="I1964" i="16"/>
  <c r="I1965" i="16"/>
  <c r="I1966" i="16"/>
  <c r="I1967" i="16"/>
  <c r="I1968" i="16"/>
  <c r="I1969" i="16"/>
  <c r="I1970" i="16"/>
  <c r="I1971" i="16"/>
  <c r="I1972" i="16"/>
  <c r="I1973" i="16"/>
  <c r="I1974" i="16"/>
  <c r="I1975" i="16"/>
  <c r="I1976" i="16"/>
  <c r="I1977" i="16"/>
  <c r="I1978" i="16"/>
  <c r="I1979" i="16"/>
  <c r="I1980" i="16"/>
  <c r="I1981" i="16"/>
  <c r="I1982" i="16"/>
  <c r="I1983" i="16"/>
  <c r="I1984" i="16"/>
  <c r="I1985" i="16"/>
  <c r="I1986" i="16"/>
  <c r="I1987" i="16"/>
  <c r="I1988" i="16"/>
  <c r="I1989" i="16"/>
  <c r="I1990" i="16"/>
  <c r="I1991" i="16"/>
  <c r="I1992" i="16"/>
  <c r="I1993" i="16"/>
  <c r="I1994" i="16"/>
  <c r="I1995" i="16"/>
  <c r="I1996" i="16"/>
  <c r="I1997" i="16"/>
  <c r="I1998" i="16"/>
  <c r="I1999" i="16"/>
  <c r="I2000" i="16"/>
  <c r="I2001" i="16"/>
  <c r="I2002" i="16"/>
  <c r="I2003" i="16"/>
  <c r="I2004" i="16"/>
  <c r="I2005" i="16"/>
  <c r="I2006" i="16"/>
  <c r="I2007" i="16"/>
  <c r="I2008" i="16"/>
  <c r="I2009" i="16"/>
  <c r="I2010" i="16"/>
  <c r="I2011" i="16"/>
  <c r="I2012" i="16"/>
  <c r="I2013" i="16"/>
  <c r="I2014" i="16"/>
  <c r="I2015" i="16"/>
  <c r="I2016" i="16"/>
  <c r="I2017" i="16"/>
  <c r="I2018" i="16"/>
  <c r="I2019" i="16"/>
  <c r="I2020" i="16"/>
  <c r="I2021" i="16"/>
  <c r="I2022" i="16"/>
  <c r="I2023" i="16"/>
  <c r="I2024" i="16"/>
  <c r="I2025" i="16"/>
  <c r="I2026" i="16"/>
  <c r="I2027" i="16"/>
  <c r="I2028" i="16"/>
  <c r="I2029" i="16"/>
  <c r="I2030" i="16"/>
  <c r="I2031" i="16"/>
  <c r="I2032" i="16"/>
  <c r="I2033" i="16"/>
  <c r="I2034" i="16"/>
  <c r="I2035" i="16"/>
  <c r="I2036" i="16"/>
  <c r="I2037" i="16"/>
  <c r="I2038" i="16"/>
  <c r="I2039" i="16"/>
  <c r="I2040" i="16"/>
  <c r="I2041" i="16"/>
  <c r="I2042" i="16"/>
  <c r="I2043" i="16"/>
  <c r="I2044" i="16"/>
  <c r="I2045" i="16"/>
  <c r="I2046" i="16"/>
  <c r="I2047" i="16"/>
  <c r="I2048" i="16"/>
  <c r="I2049" i="16"/>
  <c r="I2050" i="16"/>
  <c r="I2051" i="16"/>
  <c r="I2052" i="16"/>
  <c r="I2053" i="16"/>
  <c r="I2054" i="16"/>
  <c r="I2055" i="16"/>
  <c r="I2056" i="16"/>
  <c r="I2057" i="16"/>
  <c r="I2058" i="16"/>
  <c r="I2059" i="16"/>
  <c r="I2060" i="16"/>
  <c r="I2061" i="16"/>
  <c r="I2062" i="16"/>
  <c r="I2063" i="16"/>
  <c r="I2064" i="16"/>
  <c r="I2065" i="16"/>
  <c r="I2066" i="16"/>
  <c r="I2067" i="16"/>
  <c r="I2068" i="16"/>
  <c r="I2069" i="16"/>
  <c r="I2070" i="16"/>
  <c r="I2071" i="16"/>
  <c r="I2072" i="16"/>
  <c r="I2073" i="16"/>
  <c r="I2074" i="16"/>
  <c r="I2075" i="16"/>
  <c r="I2076" i="16"/>
  <c r="I2077" i="16"/>
  <c r="I2078" i="16"/>
  <c r="I2079" i="16"/>
  <c r="I2080" i="16"/>
  <c r="I2081" i="16"/>
  <c r="I2082" i="16"/>
  <c r="I2083" i="16"/>
  <c r="I2084" i="16"/>
  <c r="I2085" i="16"/>
  <c r="I2086" i="16"/>
  <c r="I2087" i="16"/>
  <c r="I2088" i="16"/>
  <c r="I2089" i="16"/>
  <c r="I2090" i="16"/>
  <c r="I2091" i="16"/>
  <c r="I2092" i="16"/>
  <c r="I2093" i="16"/>
  <c r="I2094" i="16"/>
  <c r="I2095" i="16"/>
  <c r="I2096" i="16"/>
  <c r="I2097" i="16"/>
  <c r="I2098" i="16"/>
  <c r="I2099" i="16"/>
  <c r="I2100" i="16"/>
  <c r="I2101" i="16"/>
  <c r="I2102" i="16"/>
  <c r="I2103" i="16"/>
  <c r="I2104" i="16"/>
  <c r="I2105" i="16"/>
  <c r="I2106" i="16"/>
  <c r="I2107" i="16"/>
  <c r="I2108" i="16"/>
  <c r="I2109" i="16"/>
  <c r="I2110" i="16"/>
  <c r="I2111" i="16"/>
  <c r="I2112" i="16"/>
  <c r="I2113" i="16"/>
  <c r="I2114" i="16"/>
  <c r="I2115" i="16"/>
  <c r="I2116" i="16"/>
  <c r="I2117" i="16"/>
  <c r="I2118" i="16"/>
  <c r="I2119" i="16"/>
  <c r="I2120" i="16"/>
  <c r="I2121" i="16"/>
  <c r="I2122" i="16"/>
  <c r="I2123" i="16"/>
  <c r="I2124" i="16"/>
  <c r="I2125" i="16"/>
  <c r="I2126" i="16"/>
  <c r="I2127" i="16"/>
  <c r="I2128" i="16"/>
  <c r="I2129" i="16"/>
  <c r="I2130" i="16"/>
  <c r="I2131" i="16"/>
  <c r="I2132" i="16"/>
  <c r="I2133" i="16"/>
  <c r="I2134" i="16"/>
  <c r="I2135" i="16"/>
  <c r="I2136" i="16"/>
  <c r="I2137" i="16"/>
  <c r="I2138" i="16"/>
  <c r="I2139" i="16"/>
  <c r="I2140" i="16"/>
  <c r="I2141" i="16"/>
  <c r="I2142" i="16"/>
  <c r="I2143" i="16"/>
  <c r="I2144" i="16"/>
  <c r="I2145" i="16"/>
  <c r="I2146" i="16"/>
  <c r="I2147" i="16"/>
  <c r="I2148" i="16"/>
  <c r="I2149" i="16"/>
  <c r="I2150" i="16"/>
  <c r="I2151" i="16"/>
  <c r="I2152" i="16"/>
  <c r="I2153" i="16"/>
  <c r="I2154" i="16"/>
  <c r="I2155" i="16"/>
  <c r="I2156" i="16"/>
  <c r="I2157" i="16"/>
  <c r="I2158" i="16"/>
  <c r="I2159" i="16"/>
  <c r="I2160" i="16"/>
  <c r="I2161" i="16"/>
  <c r="I2162" i="16"/>
  <c r="I2163" i="16"/>
  <c r="I2164" i="16"/>
  <c r="I2165" i="16"/>
  <c r="I2166" i="16"/>
  <c r="I2167" i="16"/>
  <c r="I2168" i="16"/>
  <c r="I2169" i="16"/>
  <c r="I2170" i="16"/>
  <c r="I2171" i="16"/>
  <c r="I2172" i="16"/>
  <c r="I2173" i="16"/>
  <c r="I2174" i="16"/>
  <c r="I2175" i="16"/>
  <c r="I2176" i="16"/>
  <c r="I2177" i="16"/>
  <c r="I2178" i="16"/>
  <c r="I2179" i="16"/>
  <c r="I2180" i="16"/>
  <c r="I2181" i="16"/>
  <c r="I2182" i="16"/>
  <c r="I2183" i="16"/>
  <c r="I2184" i="16"/>
  <c r="I2185" i="16"/>
  <c r="I2186" i="16"/>
  <c r="I2187" i="16"/>
  <c r="I2188" i="16"/>
  <c r="I2189" i="16"/>
  <c r="I2190" i="16"/>
  <c r="I2191" i="16"/>
  <c r="I2192" i="16"/>
  <c r="I2193" i="16"/>
  <c r="I2194" i="16"/>
  <c r="I2195" i="16"/>
  <c r="I2196" i="16"/>
  <c r="I2197" i="16"/>
  <c r="I2198" i="16"/>
  <c r="I2199" i="16"/>
  <c r="I2200" i="16"/>
  <c r="I2201" i="16"/>
  <c r="I2202" i="16"/>
  <c r="I2203" i="16"/>
  <c r="I2204" i="16"/>
  <c r="I2205" i="16"/>
  <c r="I2206" i="16"/>
  <c r="I2207" i="16"/>
  <c r="I2208" i="16"/>
  <c r="I2209" i="16"/>
  <c r="I2210" i="16"/>
  <c r="I2211" i="16"/>
  <c r="I2212" i="16"/>
  <c r="I2213" i="16"/>
  <c r="I2214" i="16"/>
  <c r="I2215" i="16"/>
  <c r="I2216" i="16"/>
  <c r="I2217" i="16"/>
  <c r="I2218" i="16"/>
  <c r="I2219" i="16"/>
  <c r="I2220" i="16"/>
  <c r="I2221" i="16"/>
  <c r="I2222" i="16"/>
  <c r="I2223" i="16"/>
  <c r="I2224" i="16"/>
  <c r="I2225" i="16"/>
  <c r="I2226" i="16"/>
  <c r="I2227" i="16"/>
  <c r="I2228" i="16"/>
  <c r="I2229" i="16"/>
  <c r="I2230" i="16"/>
  <c r="I2231" i="16"/>
  <c r="I2232" i="16"/>
  <c r="I2233" i="16"/>
  <c r="I2234" i="16"/>
  <c r="I2235" i="16"/>
  <c r="I2236" i="16"/>
  <c r="I2237" i="16"/>
  <c r="I2238" i="16"/>
  <c r="I2239" i="16"/>
  <c r="I2240" i="16"/>
  <c r="I2241" i="16"/>
  <c r="I2242" i="16"/>
  <c r="I2243" i="16"/>
  <c r="I2244" i="16"/>
  <c r="I2245" i="16"/>
  <c r="I2246" i="16"/>
  <c r="I2247" i="16"/>
  <c r="I2248" i="16"/>
  <c r="I2249" i="16"/>
  <c r="I2250" i="16"/>
  <c r="I2251" i="16"/>
  <c r="I2252" i="16"/>
  <c r="I2253" i="16"/>
  <c r="I2254" i="16"/>
  <c r="I2255" i="16"/>
  <c r="I2256" i="16"/>
  <c r="I2257" i="16"/>
  <c r="I2258" i="16"/>
  <c r="I2259" i="16"/>
  <c r="I2260" i="16"/>
  <c r="I2261" i="16"/>
  <c r="I2262" i="16"/>
  <c r="I2263" i="16"/>
  <c r="I2264" i="16"/>
  <c r="I2265" i="16"/>
  <c r="I2266" i="16"/>
  <c r="I2267" i="16"/>
  <c r="I2268" i="16"/>
  <c r="I2269" i="16"/>
  <c r="I2270" i="16"/>
  <c r="I2271" i="16"/>
  <c r="I2272" i="16"/>
  <c r="I2273" i="16"/>
  <c r="I2274" i="16"/>
  <c r="I2275" i="16"/>
  <c r="I2276" i="16"/>
  <c r="I2277" i="16"/>
  <c r="I2278" i="16"/>
  <c r="I2279" i="16"/>
  <c r="I2280" i="16"/>
  <c r="I2281" i="16"/>
  <c r="I2282" i="16"/>
  <c r="I2283" i="16"/>
  <c r="I2284" i="16"/>
  <c r="I2285" i="16"/>
  <c r="I2286" i="16"/>
  <c r="I2287" i="16"/>
  <c r="I2288" i="16"/>
  <c r="I2289" i="16"/>
  <c r="I2290" i="16"/>
  <c r="I2291" i="16"/>
  <c r="I2292" i="16"/>
  <c r="I2293" i="16"/>
  <c r="I2294" i="16"/>
  <c r="I2295" i="16"/>
  <c r="I2296" i="16"/>
  <c r="I2297" i="16"/>
  <c r="I2298" i="16"/>
  <c r="I2299" i="16"/>
  <c r="I2300" i="16"/>
  <c r="I2301" i="16"/>
  <c r="I2302" i="16"/>
  <c r="I2303" i="16"/>
  <c r="I2304" i="16"/>
  <c r="I2305" i="16"/>
  <c r="I2306" i="16"/>
  <c r="I2307" i="16"/>
  <c r="I2308" i="16"/>
  <c r="I2309" i="16"/>
  <c r="I2310" i="16"/>
  <c r="I2311" i="16"/>
  <c r="I2312" i="16"/>
  <c r="I2313" i="16"/>
  <c r="I2314" i="16"/>
  <c r="I2315" i="16"/>
  <c r="I2316" i="16"/>
  <c r="I2317" i="16"/>
  <c r="I2318" i="16"/>
  <c r="I2319" i="16"/>
  <c r="I2320" i="16"/>
  <c r="I2321" i="16"/>
  <c r="I2322" i="16"/>
  <c r="I2323" i="16"/>
  <c r="I2324" i="16"/>
  <c r="I2325" i="16"/>
  <c r="I2326" i="16"/>
  <c r="I2327" i="16"/>
  <c r="I2328" i="16"/>
  <c r="I2329" i="16"/>
  <c r="I2330" i="16"/>
  <c r="I2331" i="16"/>
  <c r="I2332" i="16"/>
  <c r="I2333" i="16"/>
  <c r="I2334" i="16"/>
  <c r="I2335" i="16"/>
  <c r="I2336" i="16"/>
  <c r="I2337" i="16"/>
  <c r="I2338" i="16"/>
  <c r="I2339" i="16"/>
  <c r="I2340" i="16"/>
  <c r="I2341" i="16"/>
  <c r="I2342" i="16"/>
  <c r="I2343" i="16"/>
  <c r="I2344" i="16"/>
  <c r="I2345" i="16"/>
  <c r="I2346" i="16"/>
  <c r="I2347" i="16"/>
  <c r="I2348" i="16"/>
  <c r="I2349" i="16"/>
  <c r="I2350" i="16"/>
  <c r="I2351" i="16"/>
  <c r="I2352" i="16"/>
  <c r="I2353" i="16"/>
  <c r="I2354" i="16"/>
  <c r="I2355" i="16"/>
  <c r="I2356" i="16"/>
  <c r="I2357" i="16"/>
  <c r="I2358" i="16"/>
  <c r="I2359" i="16"/>
  <c r="I2360" i="16"/>
  <c r="I2361" i="16"/>
  <c r="I2362" i="16"/>
  <c r="I2363" i="16"/>
  <c r="I2364" i="16"/>
  <c r="I2365" i="16"/>
  <c r="I2366" i="16"/>
  <c r="I2367" i="16"/>
  <c r="I2368" i="16"/>
  <c r="I2369" i="16"/>
  <c r="I2370" i="16"/>
  <c r="I2371" i="16"/>
  <c r="I2372" i="16"/>
  <c r="I2373" i="16"/>
  <c r="I2374" i="16"/>
  <c r="I2375" i="16"/>
  <c r="I2376" i="16"/>
  <c r="I2377" i="16"/>
  <c r="I2378" i="16"/>
  <c r="I2379" i="16"/>
  <c r="I2380" i="16"/>
  <c r="I2381" i="16"/>
  <c r="I2382" i="16"/>
  <c r="I2383" i="16"/>
  <c r="I2384" i="16"/>
  <c r="I2385" i="16"/>
  <c r="I2386" i="16"/>
  <c r="I2387" i="16"/>
  <c r="I2388" i="16"/>
  <c r="I2389" i="16"/>
  <c r="I2390" i="16"/>
  <c r="I2391" i="16"/>
  <c r="I2392" i="16"/>
  <c r="I2393" i="16"/>
  <c r="I2394" i="16"/>
  <c r="I2395" i="16"/>
  <c r="I2396" i="16"/>
  <c r="I2397" i="16"/>
  <c r="I2398" i="16"/>
  <c r="I2399" i="16"/>
  <c r="I2400" i="16"/>
  <c r="I2401" i="16"/>
  <c r="I2402" i="16"/>
  <c r="I2403" i="16"/>
  <c r="I2404" i="16"/>
  <c r="I2405" i="16"/>
  <c r="I2406" i="16"/>
  <c r="I2407" i="16"/>
  <c r="I2408" i="16"/>
  <c r="I2409" i="16"/>
  <c r="I2410" i="16"/>
  <c r="I2411" i="16"/>
  <c r="I2412" i="16"/>
  <c r="I2413" i="16"/>
  <c r="I2414" i="16"/>
  <c r="I2415" i="16"/>
  <c r="I2416" i="16"/>
  <c r="I2417" i="16"/>
  <c r="I2418" i="16"/>
  <c r="I2419" i="16"/>
  <c r="I2420" i="16"/>
  <c r="I2421" i="16"/>
  <c r="I2422" i="16"/>
  <c r="I2423" i="16"/>
  <c r="I2424" i="16"/>
  <c r="I2425" i="16"/>
  <c r="I2426" i="16"/>
  <c r="I2427" i="16"/>
  <c r="I2428" i="16"/>
  <c r="I2429" i="16"/>
  <c r="I2430" i="16"/>
  <c r="I2431" i="16"/>
  <c r="I2432" i="16"/>
  <c r="I2433" i="16"/>
  <c r="I2434" i="16"/>
  <c r="I2435" i="16"/>
  <c r="I2436" i="16"/>
  <c r="I2437" i="16"/>
  <c r="I2438" i="16"/>
  <c r="I2439" i="16"/>
  <c r="I2440" i="16"/>
  <c r="I2441" i="16"/>
  <c r="I2442" i="16"/>
  <c r="I2443" i="16"/>
  <c r="I2444" i="16"/>
  <c r="I2445" i="16"/>
  <c r="I2446" i="16"/>
  <c r="I2447" i="16"/>
  <c r="I2448" i="16"/>
  <c r="I2449" i="16"/>
  <c r="I2450" i="16"/>
  <c r="I2451" i="16"/>
  <c r="I2452" i="16"/>
  <c r="I2453" i="16"/>
  <c r="I2454" i="16"/>
  <c r="I2455" i="16"/>
  <c r="I2456" i="16"/>
  <c r="I2457" i="16"/>
  <c r="I2458" i="16"/>
  <c r="I2459" i="16"/>
  <c r="I2460" i="16"/>
  <c r="I2461" i="16"/>
  <c r="I2462" i="16"/>
  <c r="I2463" i="16"/>
  <c r="I2464" i="16"/>
  <c r="I2465" i="16"/>
  <c r="I2466" i="16"/>
  <c r="I2467" i="16"/>
  <c r="I2468" i="16"/>
  <c r="I2469" i="16"/>
  <c r="I2470" i="16"/>
  <c r="I2471" i="16"/>
  <c r="I2472" i="16"/>
  <c r="I2473" i="16"/>
  <c r="I2474" i="16"/>
  <c r="I2475" i="16"/>
  <c r="I2476" i="16"/>
  <c r="I2477" i="16"/>
  <c r="I2478" i="16"/>
  <c r="I2479" i="16"/>
  <c r="I2480" i="16"/>
  <c r="I2481" i="16"/>
  <c r="I2482" i="16"/>
  <c r="I2483" i="16"/>
  <c r="I2484" i="16"/>
  <c r="I2485" i="16"/>
  <c r="I2486" i="16"/>
  <c r="I2487" i="16"/>
  <c r="I2488" i="16"/>
  <c r="I2489" i="16"/>
  <c r="I2490" i="16"/>
  <c r="I2491" i="16"/>
  <c r="I2492" i="16"/>
  <c r="I2493" i="16"/>
  <c r="I2494" i="16"/>
  <c r="I2495" i="16"/>
  <c r="I2496" i="16"/>
  <c r="I2497" i="16"/>
  <c r="I2498" i="16"/>
  <c r="I2499" i="16"/>
  <c r="I2500" i="16"/>
  <c r="I2501" i="16"/>
  <c r="I2502" i="16"/>
  <c r="I2503" i="16"/>
  <c r="I2504" i="16"/>
  <c r="I2505" i="16"/>
  <c r="I2506" i="16"/>
  <c r="I2507" i="16"/>
  <c r="I2508" i="16"/>
  <c r="I2509" i="16"/>
  <c r="I2510" i="16"/>
  <c r="I2511" i="16"/>
  <c r="I2512" i="16"/>
  <c r="I2513" i="16"/>
  <c r="I2514" i="16"/>
  <c r="I2515" i="16"/>
  <c r="I2516" i="16"/>
  <c r="I2517" i="16"/>
  <c r="I2518" i="16"/>
  <c r="I2519" i="16"/>
  <c r="I2520" i="16"/>
  <c r="I2521" i="16"/>
  <c r="I2522" i="16"/>
  <c r="I2523" i="16"/>
  <c r="I2524" i="16"/>
  <c r="I2525" i="16"/>
  <c r="I2526" i="16"/>
  <c r="I2527" i="16"/>
  <c r="I2528" i="16"/>
  <c r="I2529" i="16"/>
  <c r="I2530" i="16"/>
  <c r="I2531" i="16"/>
  <c r="I2532" i="16"/>
  <c r="I2533" i="16"/>
  <c r="I2534" i="16"/>
  <c r="I2535" i="16"/>
  <c r="I2536" i="16"/>
  <c r="I2537" i="16"/>
  <c r="I2538" i="16"/>
  <c r="I2539" i="16"/>
  <c r="I2540" i="16"/>
  <c r="I2541" i="16"/>
  <c r="I2542" i="16"/>
  <c r="I2543" i="16"/>
  <c r="I2544" i="16"/>
  <c r="I2545" i="16"/>
  <c r="I2546" i="16"/>
  <c r="I2547" i="16"/>
  <c r="I2548" i="16"/>
  <c r="I2549" i="16"/>
  <c r="I2550" i="16"/>
  <c r="I2551" i="16"/>
  <c r="I2552" i="16"/>
  <c r="I2553" i="16"/>
  <c r="I2554" i="16"/>
  <c r="I2555" i="16"/>
  <c r="I2556" i="16"/>
  <c r="I2557" i="16"/>
  <c r="I2558" i="16"/>
  <c r="I2559" i="16"/>
  <c r="I2560" i="16"/>
  <c r="I2561" i="16"/>
  <c r="I2562" i="16"/>
  <c r="I2563" i="16"/>
  <c r="I2564" i="16"/>
  <c r="I2565" i="16"/>
  <c r="I2566" i="16"/>
  <c r="I2567" i="16"/>
  <c r="I2568" i="16"/>
  <c r="I2569" i="16"/>
  <c r="I2570" i="16"/>
  <c r="I2571" i="16"/>
  <c r="I2572" i="16"/>
  <c r="I2573" i="16"/>
  <c r="I2574" i="16"/>
  <c r="I2575" i="16"/>
  <c r="I2576" i="16"/>
  <c r="I2577" i="16"/>
  <c r="I2578" i="16"/>
  <c r="I2579" i="16"/>
  <c r="I2580" i="16"/>
  <c r="I2581" i="16"/>
  <c r="I2582" i="16"/>
  <c r="I2583" i="16"/>
  <c r="I2584" i="16"/>
  <c r="I2585" i="16"/>
  <c r="I2586" i="16"/>
  <c r="I2587" i="16"/>
  <c r="I2588" i="16"/>
  <c r="I2589" i="16"/>
  <c r="I2590" i="16"/>
  <c r="I2591" i="16"/>
  <c r="I2592" i="16"/>
  <c r="I2593" i="16"/>
  <c r="I2594" i="16"/>
  <c r="I2595" i="16"/>
  <c r="I2596" i="16"/>
  <c r="I2597" i="16"/>
  <c r="I2598" i="16"/>
  <c r="I2599" i="16"/>
  <c r="I2600" i="16"/>
  <c r="I2601" i="16"/>
  <c r="I2602" i="16"/>
  <c r="I2603" i="16"/>
  <c r="I2604" i="16"/>
  <c r="I2605" i="16"/>
  <c r="I2606" i="16"/>
  <c r="I2607" i="16"/>
  <c r="I2608" i="16"/>
  <c r="I2609" i="16"/>
  <c r="I2610" i="16"/>
  <c r="I2611" i="16"/>
  <c r="I2612" i="16"/>
  <c r="I2613" i="16"/>
  <c r="I2614" i="16"/>
  <c r="I2615" i="16"/>
  <c r="I2616" i="16"/>
  <c r="I2617" i="16"/>
  <c r="I2618" i="16"/>
  <c r="I2619" i="16"/>
  <c r="I2620" i="16"/>
  <c r="I2621" i="16"/>
  <c r="I2622" i="16"/>
  <c r="I2623" i="16"/>
  <c r="I2624" i="16"/>
  <c r="I2625" i="16"/>
  <c r="I2626" i="16"/>
  <c r="I2627" i="16"/>
  <c r="I2628" i="16"/>
  <c r="I2629" i="16"/>
  <c r="I2630" i="16"/>
  <c r="I2631" i="16"/>
  <c r="I2632" i="16"/>
  <c r="I2633" i="16"/>
  <c r="I2634" i="16"/>
  <c r="I2635" i="16"/>
  <c r="I2636" i="16"/>
  <c r="I2637" i="16"/>
  <c r="I2638" i="16"/>
  <c r="I2639" i="16"/>
  <c r="I2640" i="16"/>
  <c r="I2641" i="16"/>
  <c r="I2642" i="16"/>
  <c r="I2643" i="16"/>
  <c r="I2644" i="16"/>
  <c r="I2645" i="16"/>
  <c r="I2646" i="16"/>
  <c r="I2647" i="16"/>
  <c r="I2648" i="16"/>
  <c r="I2649" i="16"/>
  <c r="I2650" i="16"/>
  <c r="I2651" i="16"/>
  <c r="I2652" i="16"/>
  <c r="I2653" i="16"/>
  <c r="I2654" i="16"/>
  <c r="I2655" i="16"/>
  <c r="I2656" i="16"/>
  <c r="I2657" i="16"/>
  <c r="I2658" i="16"/>
  <c r="I2659" i="16"/>
  <c r="I2660" i="16"/>
  <c r="I2661" i="16"/>
  <c r="I2662" i="16"/>
  <c r="I2663" i="16"/>
  <c r="I2664" i="16"/>
  <c r="I2665" i="16"/>
  <c r="I2666" i="16"/>
  <c r="I2667" i="16"/>
  <c r="I2668" i="16"/>
  <c r="I2669" i="16"/>
  <c r="I2670" i="16"/>
  <c r="I2671" i="16"/>
  <c r="I2672" i="16"/>
  <c r="I2673" i="16"/>
  <c r="I2674" i="16"/>
  <c r="I2675" i="16"/>
  <c r="I2676" i="16"/>
  <c r="I2677" i="16"/>
  <c r="I2678" i="16"/>
  <c r="I2679" i="16"/>
  <c r="I2680" i="16"/>
  <c r="I2681" i="16"/>
  <c r="I2682" i="16"/>
  <c r="I2683" i="16"/>
  <c r="I2684" i="16"/>
  <c r="I2685" i="16"/>
  <c r="I2686" i="16"/>
  <c r="I2687" i="16"/>
  <c r="I2688" i="16"/>
  <c r="I2689" i="16"/>
  <c r="I2690" i="16"/>
  <c r="I2691" i="16"/>
  <c r="I2692" i="16"/>
  <c r="I2693" i="16"/>
  <c r="I2694" i="16"/>
  <c r="I2695" i="16"/>
  <c r="I2696" i="16"/>
  <c r="I2697" i="16"/>
  <c r="I2698" i="16"/>
  <c r="I2699" i="16"/>
  <c r="I2700" i="16"/>
  <c r="I2701" i="16"/>
  <c r="I2702" i="16"/>
  <c r="I2703" i="16"/>
  <c r="I2704" i="16"/>
  <c r="I2705" i="16"/>
  <c r="I2706" i="16"/>
  <c r="I2707" i="16"/>
  <c r="I2708" i="16"/>
  <c r="I2709" i="16"/>
  <c r="I2710" i="16"/>
  <c r="I2711" i="16"/>
  <c r="I2712" i="16"/>
  <c r="I2713" i="16"/>
  <c r="I2714" i="16"/>
  <c r="I2715" i="16"/>
  <c r="I2716" i="16"/>
  <c r="I2717" i="16"/>
  <c r="I2718" i="16"/>
  <c r="I2719" i="16"/>
  <c r="I2720" i="16"/>
  <c r="I2721" i="16"/>
  <c r="I2722" i="16"/>
  <c r="I2723" i="16"/>
  <c r="I2724" i="16"/>
  <c r="I2725" i="16"/>
  <c r="I2726" i="16"/>
  <c r="I2727" i="16"/>
  <c r="I2728" i="16"/>
  <c r="I2729" i="16"/>
  <c r="I2730" i="16"/>
  <c r="I2731" i="16"/>
  <c r="I2732" i="16"/>
  <c r="I2733" i="16"/>
  <c r="I2734" i="16"/>
  <c r="I2735" i="16"/>
  <c r="I2736" i="16"/>
  <c r="I2737" i="16"/>
  <c r="I2738" i="16"/>
  <c r="I2739" i="16"/>
  <c r="I2740" i="16"/>
  <c r="I2741" i="16"/>
  <c r="I2742" i="16"/>
  <c r="I2743" i="16"/>
  <c r="I2744" i="16"/>
  <c r="I2745" i="16"/>
  <c r="I2746" i="16"/>
  <c r="I2747" i="16"/>
  <c r="I2748" i="16"/>
  <c r="I2749" i="16"/>
  <c r="I2750" i="16"/>
  <c r="I2751" i="16"/>
  <c r="I2752" i="16"/>
  <c r="I2753" i="16"/>
  <c r="I2754" i="16"/>
  <c r="I2755" i="16"/>
  <c r="I2756" i="16"/>
  <c r="I2757" i="16"/>
  <c r="I2758" i="16"/>
  <c r="I2759" i="16"/>
  <c r="I2760" i="16"/>
  <c r="I2761" i="16"/>
  <c r="I2762" i="16"/>
  <c r="I2763" i="16"/>
  <c r="I2764" i="16"/>
  <c r="I2765" i="16"/>
  <c r="I2766" i="16"/>
  <c r="I2767" i="16"/>
  <c r="I2768" i="16"/>
  <c r="I2769" i="16"/>
  <c r="I2770" i="16"/>
  <c r="I2771" i="16"/>
  <c r="I2772" i="16"/>
  <c r="I2773" i="16"/>
  <c r="I2774" i="16"/>
  <c r="I2775" i="16"/>
  <c r="I2776" i="16"/>
  <c r="I2777" i="16"/>
  <c r="I2778" i="16"/>
  <c r="I2779" i="16"/>
  <c r="I2780" i="16"/>
  <c r="I2781" i="16"/>
  <c r="I2782" i="16"/>
  <c r="I2783" i="16"/>
  <c r="I2784" i="16"/>
  <c r="I2785" i="16"/>
  <c r="I2786" i="16"/>
  <c r="I2787" i="16"/>
  <c r="I2788" i="16"/>
  <c r="I2789" i="16"/>
  <c r="I2790" i="16"/>
  <c r="I2791" i="16"/>
  <c r="I2792" i="16"/>
  <c r="I2793" i="16"/>
  <c r="I2794" i="16"/>
  <c r="I2795" i="16"/>
  <c r="I2796" i="16"/>
  <c r="I2797" i="16"/>
  <c r="I2798" i="16"/>
  <c r="I2799" i="16"/>
  <c r="I2800" i="16"/>
  <c r="I2801" i="16"/>
  <c r="J10" i="16"/>
  <c r="J26" i="16"/>
  <c r="J34" i="16"/>
  <c r="J42" i="16"/>
  <c r="J58" i="16"/>
  <c r="J66" i="16"/>
  <c r="J74" i="16"/>
  <c r="J82" i="16"/>
  <c r="J90" i="16"/>
  <c r="J98" i="16"/>
  <c r="J106" i="16"/>
  <c r="J114" i="16"/>
  <c r="J122" i="16"/>
  <c r="J130" i="16"/>
  <c r="J138" i="16"/>
  <c r="J146" i="16"/>
  <c r="J162" i="16"/>
  <c r="J170" i="16"/>
  <c r="J178" i="16"/>
  <c r="J194" i="16"/>
  <c r="J202" i="16"/>
  <c r="J210" i="16"/>
  <c r="J218" i="16"/>
  <c r="J226" i="16"/>
  <c r="J234" i="16"/>
  <c r="J242" i="16"/>
  <c r="J250" i="16"/>
  <c r="J266" i="16"/>
  <c r="J274" i="16"/>
  <c r="J282" i="16"/>
  <c r="J298" i="16"/>
  <c r="J306" i="16"/>
  <c r="J314" i="16"/>
  <c r="J322" i="16"/>
  <c r="J330" i="16"/>
  <c r="J338" i="16"/>
  <c r="J346" i="16"/>
  <c r="J354" i="16"/>
  <c r="J362" i="16"/>
  <c r="J370" i="16"/>
  <c r="J378" i="16"/>
  <c r="J386" i="16"/>
  <c r="J402" i="16"/>
  <c r="J410" i="16"/>
  <c r="J418" i="16"/>
  <c r="J434" i="16"/>
  <c r="J442" i="16"/>
  <c r="J450" i="16"/>
  <c r="J458" i="16"/>
  <c r="J466" i="16"/>
  <c r="J474" i="16"/>
  <c r="J482" i="16"/>
  <c r="J490" i="16"/>
  <c r="J498" i="16"/>
  <c r="J506" i="16"/>
  <c r="J514" i="16"/>
  <c r="J522" i="16"/>
  <c r="J538" i="16"/>
  <c r="J546" i="16"/>
  <c r="J554" i="16"/>
  <c r="J570" i="16"/>
  <c r="J578" i="16"/>
  <c r="J586" i="16"/>
  <c r="J594" i="16"/>
  <c r="J602" i="16"/>
  <c r="J610" i="16"/>
  <c r="J618" i="16"/>
  <c r="J626" i="16"/>
  <c r="J634" i="16"/>
  <c r="J642" i="16"/>
  <c r="J650" i="16"/>
  <c r="J658" i="16"/>
  <c r="J674" i="16"/>
  <c r="J682" i="16"/>
  <c r="J690" i="16"/>
  <c r="J706" i="16"/>
  <c r="J714" i="16"/>
  <c r="J722" i="16"/>
  <c r="J730" i="16"/>
  <c r="J738" i="16"/>
  <c r="J746" i="16"/>
  <c r="J754" i="16"/>
  <c r="J762" i="16"/>
  <c r="J778" i="16"/>
  <c r="J786" i="16"/>
  <c r="J794" i="16"/>
  <c r="J810" i="16"/>
  <c r="J818" i="16"/>
  <c r="J826" i="16"/>
  <c r="J834" i="16"/>
  <c r="J842" i="16"/>
  <c r="J850" i="16"/>
  <c r="J858" i="16"/>
  <c r="J866" i="16"/>
  <c r="J874" i="16"/>
  <c r="J882" i="16"/>
  <c r="J890" i="16"/>
  <c r="J898" i="16"/>
  <c r="J914" i="16"/>
  <c r="J922" i="16"/>
  <c r="J930" i="16"/>
  <c r="J946" i="16"/>
  <c r="J954" i="16"/>
  <c r="J962" i="16"/>
  <c r="J970" i="16"/>
  <c r="J978" i="16"/>
  <c r="J986" i="16"/>
  <c r="J994" i="16"/>
  <c r="J1002" i="16"/>
  <c r="J1010" i="16"/>
  <c r="J1018" i="16"/>
  <c r="J1026" i="16"/>
  <c r="J1034" i="16"/>
  <c r="J1050" i="16"/>
  <c r="J1058" i="16"/>
  <c r="J1066" i="16"/>
  <c r="J1082" i="16"/>
  <c r="J1090" i="16"/>
  <c r="J1098" i="16"/>
  <c r="J1106" i="16"/>
  <c r="J1114" i="16"/>
  <c r="J1122" i="16"/>
  <c r="J1130" i="16"/>
  <c r="J1138" i="16"/>
  <c r="J1146" i="16"/>
  <c r="J1154" i="16"/>
  <c r="J1162" i="16"/>
  <c r="J1170" i="16"/>
  <c r="J1186" i="16"/>
  <c r="J1194" i="16"/>
  <c r="J1202" i="16"/>
  <c r="J1218" i="16"/>
  <c r="J1226" i="16"/>
  <c r="J1234" i="16"/>
  <c r="J1242" i="16"/>
  <c r="J1250" i="16"/>
  <c r="J1258" i="16"/>
  <c r="J1266" i="16"/>
  <c r="J1274" i="16"/>
  <c r="J41" i="16"/>
  <c r="J113" i="16"/>
  <c r="J185" i="16"/>
  <c r="J265" i="16"/>
  <c r="J337" i="16"/>
  <c r="J409" i="16"/>
  <c r="J481" i="16"/>
  <c r="J553" i="16"/>
  <c r="J625" i="16"/>
  <c r="J697" i="16"/>
  <c r="J777" i="16"/>
  <c r="J849" i="16"/>
  <c r="J921" i="16"/>
  <c r="J993" i="16"/>
  <c r="J1065" i="16"/>
  <c r="J1137" i="16"/>
  <c r="J1209" i="16"/>
  <c r="J8" i="16"/>
  <c r="J16" i="16"/>
  <c r="J24" i="16"/>
  <c r="J32" i="16"/>
  <c r="J40" i="16"/>
  <c r="J48" i="16"/>
  <c r="J64" i="16"/>
  <c r="J72" i="16"/>
  <c r="J80" i="16"/>
  <c r="J88" i="16"/>
  <c r="J96" i="16"/>
  <c r="J104" i="16"/>
  <c r="J112" i="16"/>
  <c r="J128" i="16"/>
  <c r="J136" i="16"/>
  <c r="J144" i="16"/>
  <c r="J152" i="16"/>
  <c r="J160" i="16"/>
  <c r="J168" i="16"/>
  <c r="J176" i="16"/>
  <c r="J192" i="16"/>
  <c r="J200" i="16"/>
  <c r="J208" i="16"/>
  <c r="J216" i="16"/>
  <c r="J224" i="16"/>
  <c r="J232" i="16"/>
  <c r="J240" i="16"/>
  <c r="J256" i="16"/>
  <c r="J264" i="16"/>
  <c r="J272" i="16"/>
  <c r="J280" i="16"/>
  <c r="J288" i="16"/>
  <c r="J296" i="16"/>
  <c r="J304" i="16"/>
  <c r="J312" i="16"/>
  <c r="J320" i="16"/>
  <c r="J328" i="16"/>
  <c r="J336" i="16"/>
  <c r="J344" i="16"/>
  <c r="J352" i="16"/>
  <c r="J360" i="16"/>
  <c r="J368" i="16"/>
  <c r="J376" i="16"/>
  <c r="J384" i="16"/>
  <c r="J392" i="16"/>
  <c r="J400" i="16"/>
  <c r="J408" i="16"/>
  <c r="J416" i="16"/>
  <c r="J424" i="16"/>
  <c r="J432" i="16"/>
  <c r="J448" i="16"/>
  <c r="J456" i="16"/>
  <c r="J464" i="16"/>
  <c r="J472" i="16"/>
  <c r="J480" i="16"/>
  <c r="J488" i="16"/>
  <c r="J496" i="16"/>
  <c r="J504" i="16"/>
  <c r="J512" i="16"/>
  <c r="J520" i="16"/>
  <c r="J528" i="16"/>
  <c r="J536" i="16"/>
  <c r="J544" i="16"/>
  <c r="J552" i="16"/>
  <c r="J560" i="16"/>
  <c r="J568" i="16"/>
  <c r="J576" i="16"/>
  <c r="J584" i="16"/>
  <c r="J592" i="16"/>
  <c r="J600" i="16"/>
  <c r="J608" i="16"/>
  <c r="J616" i="16"/>
  <c r="J624" i="16"/>
  <c r="J632" i="16"/>
  <c r="J640" i="16"/>
  <c r="J648" i="16"/>
  <c r="J656" i="16"/>
  <c r="J664" i="16"/>
  <c r="J672" i="16"/>
  <c r="J680" i="16"/>
  <c r="J688" i="16"/>
  <c r="J696" i="16"/>
  <c r="J704" i="16"/>
  <c r="J712" i="16"/>
  <c r="J720" i="16"/>
  <c r="J728" i="16"/>
  <c r="J736" i="16"/>
  <c r="J744" i="16"/>
  <c r="J752" i="16"/>
  <c r="J760" i="16"/>
  <c r="J768" i="16"/>
  <c r="J776" i="16"/>
  <c r="J784" i="16"/>
  <c r="J792" i="16"/>
  <c r="J800" i="16"/>
  <c r="J808" i="16"/>
  <c r="J816" i="16"/>
  <c r="J824" i="16"/>
  <c r="J832" i="16"/>
  <c r="J840" i="16"/>
  <c r="J848" i="16"/>
  <c r="J856" i="16"/>
  <c r="J864" i="16"/>
  <c r="J872" i="16"/>
  <c r="J880" i="16"/>
  <c r="J888" i="16"/>
  <c r="J896" i="16"/>
  <c r="J904" i="16"/>
  <c r="J912" i="16"/>
  <c r="J920" i="16"/>
  <c r="J928" i="16"/>
  <c r="J936" i="16"/>
  <c r="J944" i="16"/>
  <c r="J952" i="16"/>
  <c r="J960" i="16"/>
  <c r="J968" i="16"/>
  <c r="J976" i="16"/>
  <c r="J984" i="16"/>
  <c r="J992" i="16"/>
  <c r="J1000" i="16"/>
  <c r="J1008" i="16"/>
  <c r="J1016" i="16"/>
  <c r="J1024" i="16"/>
  <c r="J1032" i="16"/>
  <c r="J1040" i="16"/>
  <c r="J1048" i="16"/>
  <c r="J1056" i="16"/>
  <c r="J1064" i="16"/>
  <c r="J1072" i="16"/>
  <c r="J1080" i="16"/>
  <c r="J1088" i="16"/>
  <c r="J1096" i="16"/>
  <c r="J1104" i="16"/>
  <c r="J1112" i="16"/>
  <c r="J1120" i="16"/>
  <c r="J1128" i="16"/>
  <c r="J1136" i="16"/>
  <c r="J1144" i="16"/>
  <c r="J1152" i="16"/>
  <c r="J1160" i="16"/>
  <c r="J1168" i="16"/>
  <c r="J1176" i="16"/>
  <c r="J1184" i="16"/>
  <c r="J1192" i="16"/>
  <c r="J1200" i="16"/>
  <c r="J1208" i="16"/>
  <c r="J1216" i="16"/>
  <c r="J1224" i="16"/>
  <c r="J1232" i="16"/>
  <c r="J1240" i="16"/>
  <c r="J1248" i="16"/>
  <c r="J1256" i="16"/>
  <c r="J1264" i="16"/>
  <c r="J1272" i="16"/>
  <c r="J1280" i="16"/>
  <c r="J56" i="16"/>
  <c r="J120" i="16"/>
  <c r="J184" i="16"/>
  <c r="J248" i="16"/>
  <c r="J440" i="16"/>
  <c r="B8" i="13"/>
  <c r="B7" i="13"/>
  <c r="B9" i="13" s="1"/>
  <c r="B10" i="13" s="1"/>
  <c r="B14" i="13"/>
  <c r="B15" i="13"/>
  <c r="C12" i="19"/>
  <c r="C8" i="19"/>
  <c r="C9" i="19"/>
  <c r="C10" i="19"/>
  <c r="C11" i="19"/>
  <c r="C7" i="19"/>
  <c r="B12" i="19"/>
  <c r="B11" i="19"/>
  <c r="B10" i="19"/>
  <c r="B9" i="19"/>
  <c r="B8" i="19"/>
  <c r="B7" i="19"/>
  <c r="J3" i="10"/>
  <c r="J4" i="10"/>
  <c r="J5" i="10"/>
  <c r="J6" i="10"/>
  <c r="J7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3" i="10"/>
  <c r="J54" i="10"/>
  <c r="J55" i="10"/>
  <c r="J56" i="10"/>
  <c r="J57" i="10"/>
  <c r="J58" i="10"/>
  <c r="J59" i="10"/>
  <c r="J60" i="10"/>
  <c r="J61" i="10"/>
  <c r="J62" i="10"/>
  <c r="J63" i="10"/>
  <c r="J64" i="10"/>
  <c r="J65" i="10"/>
  <c r="J66" i="10"/>
  <c r="J67" i="10"/>
  <c r="J68" i="10"/>
  <c r="J69" i="10"/>
  <c r="J70" i="10"/>
  <c r="J71" i="10"/>
  <c r="J72" i="10"/>
  <c r="J73" i="10"/>
  <c r="J74" i="10"/>
  <c r="J75" i="10"/>
  <c r="J76" i="10"/>
  <c r="J77" i="10"/>
  <c r="J78" i="10"/>
  <c r="J79" i="10"/>
  <c r="J80" i="10"/>
  <c r="J81" i="10"/>
  <c r="J82" i="10"/>
  <c r="J83" i="10"/>
  <c r="J84" i="10"/>
  <c r="J85" i="10"/>
  <c r="J86" i="10"/>
  <c r="J87" i="10"/>
  <c r="J88" i="10"/>
  <c r="J89" i="10"/>
  <c r="J90" i="10"/>
  <c r="J91" i="10"/>
  <c r="J92" i="10"/>
  <c r="J93" i="10"/>
  <c r="J94" i="10"/>
  <c r="J95" i="10"/>
  <c r="J96" i="10"/>
  <c r="J97" i="10"/>
  <c r="J98" i="10"/>
  <c r="J99" i="10"/>
  <c r="J100" i="10"/>
  <c r="J101" i="10"/>
  <c r="J102" i="10"/>
  <c r="J103" i="10"/>
  <c r="J104" i="10"/>
  <c r="J105" i="10"/>
  <c r="J106" i="10"/>
  <c r="J107" i="10"/>
  <c r="J108" i="10"/>
  <c r="J109" i="10"/>
  <c r="J110" i="10"/>
  <c r="J111" i="10"/>
  <c r="J112" i="10"/>
  <c r="J113" i="10"/>
  <c r="J114" i="10"/>
  <c r="J115" i="10"/>
  <c r="J116" i="10"/>
  <c r="J117" i="10"/>
  <c r="J118" i="10"/>
  <c r="J119" i="10"/>
  <c r="J120" i="10"/>
  <c r="J121" i="10"/>
  <c r="J122" i="10"/>
  <c r="J123" i="10"/>
  <c r="J124" i="10"/>
  <c r="J125" i="10"/>
  <c r="J126" i="10"/>
  <c r="J127" i="10"/>
  <c r="J128" i="10"/>
  <c r="J129" i="10"/>
  <c r="J130" i="10"/>
  <c r="J131" i="10"/>
  <c r="J132" i="10"/>
  <c r="J133" i="10"/>
  <c r="J134" i="10"/>
  <c r="J135" i="10"/>
  <c r="J136" i="10"/>
  <c r="J137" i="10"/>
  <c r="J138" i="10"/>
  <c r="J139" i="10"/>
  <c r="J140" i="10"/>
  <c r="J141" i="10"/>
  <c r="J142" i="10"/>
  <c r="J143" i="10"/>
  <c r="J144" i="10"/>
  <c r="J145" i="10"/>
  <c r="J146" i="10"/>
  <c r="J147" i="10"/>
  <c r="J148" i="10"/>
  <c r="J149" i="10"/>
  <c r="J150" i="10"/>
  <c r="J151" i="10"/>
  <c r="J152" i="10"/>
  <c r="J153" i="10"/>
  <c r="J154" i="10"/>
  <c r="J155" i="10"/>
  <c r="J156" i="10"/>
  <c r="J157" i="10"/>
  <c r="J158" i="10"/>
  <c r="J159" i="10"/>
  <c r="J160" i="10"/>
  <c r="J161" i="10"/>
  <c r="J162" i="10"/>
  <c r="J163" i="10"/>
  <c r="J164" i="10"/>
  <c r="J165" i="10"/>
  <c r="J166" i="10"/>
  <c r="J167" i="10"/>
  <c r="J168" i="10"/>
  <c r="J169" i="10"/>
  <c r="J170" i="10"/>
  <c r="J171" i="10"/>
  <c r="J172" i="10"/>
  <c r="J173" i="10"/>
  <c r="J174" i="10"/>
  <c r="J175" i="10"/>
  <c r="J176" i="10"/>
  <c r="J177" i="10"/>
  <c r="J178" i="10"/>
  <c r="J179" i="10"/>
  <c r="J180" i="10"/>
  <c r="J181" i="10"/>
  <c r="J182" i="10"/>
  <c r="J183" i="10"/>
  <c r="J184" i="10"/>
  <c r="J185" i="10"/>
  <c r="J186" i="10"/>
  <c r="J187" i="10"/>
  <c r="J188" i="10"/>
  <c r="J189" i="10"/>
  <c r="J190" i="10"/>
  <c r="J191" i="10"/>
  <c r="J192" i="10"/>
  <c r="J193" i="10"/>
  <c r="J194" i="10"/>
  <c r="J195" i="10"/>
  <c r="J196" i="10"/>
  <c r="J197" i="10"/>
  <c r="J198" i="10"/>
  <c r="J199" i="10"/>
  <c r="J200" i="10"/>
  <c r="J201" i="10"/>
  <c r="J202" i="10"/>
  <c r="J203" i="10"/>
  <c r="J204" i="10"/>
  <c r="J205" i="10"/>
  <c r="J206" i="10"/>
  <c r="J207" i="10"/>
  <c r="J208" i="10"/>
  <c r="J209" i="10"/>
  <c r="J210" i="10"/>
  <c r="J211" i="10"/>
  <c r="J212" i="10"/>
  <c r="J213" i="10"/>
  <c r="J214" i="10"/>
  <c r="J215" i="10"/>
  <c r="J216" i="10"/>
  <c r="J217" i="10"/>
  <c r="J218" i="10"/>
  <c r="J219" i="10"/>
  <c r="J220" i="10"/>
  <c r="J221" i="10"/>
  <c r="J222" i="10"/>
  <c r="J223" i="10"/>
  <c r="J224" i="10"/>
  <c r="J225" i="10"/>
  <c r="J226" i="10"/>
  <c r="J227" i="10"/>
  <c r="J228" i="10"/>
  <c r="J229" i="10"/>
  <c r="J230" i="10"/>
  <c r="J231" i="10"/>
  <c r="J232" i="10"/>
  <c r="J233" i="10"/>
  <c r="J234" i="10"/>
  <c r="J235" i="10"/>
  <c r="J236" i="10"/>
  <c r="J237" i="10"/>
  <c r="J238" i="10"/>
  <c r="J239" i="10"/>
  <c r="J240" i="10"/>
  <c r="J241" i="10"/>
  <c r="J242" i="10"/>
  <c r="J243" i="10"/>
  <c r="J244" i="10"/>
  <c r="J245" i="10"/>
  <c r="J246" i="10"/>
  <c r="J247" i="10"/>
  <c r="J248" i="10"/>
  <c r="J249" i="10"/>
  <c r="J250" i="10"/>
  <c r="J251" i="10"/>
  <c r="J252" i="10"/>
  <c r="J253" i="10"/>
  <c r="J254" i="10"/>
  <c r="J255" i="10"/>
  <c r="J256" i="10"/>
  <c r="J257" i="10"/>
  <c r="J258" i="10"/>
  <c r="J259" i="10"/>
  <c r="J260" i="10"/>
  <c r="J261" i="10"/>
  <c r="J262" i="10"/>
  <c r="J263" i="10"/>
  <c r="J264" i="10"/>
  <c r="J265" i="10"/>
  <c r="J266" i="10"/>
  <c r="J267" i="10"/>
  <c r="J268" i="10"/>
  <c r="J269" i="10"/>
  <c r="J270" i="10"/>
  <c r="J271" i="10"/>
  <c r="J272" i="10"/>
  <c r="J273" i="10"/>
  <c r="J274" i="10"/>
  <c r="J275" i="10"/>
  <c r="J276" i="10"/>
  <c r="J277" i="10"/>
  <c r="J278" i="10"/>
  <c r="J279" i="10"/>
  <c r="J280" i="10"/>
  <c r="J281" i="10"/>
  <c r="J282" i="10"/>
  <c r="J283" i="10"/>
  <c r="J284" i="10"/>
  <c r="J285" i="10"/>
  <c r="J286" i="10"/>
  <c r="J287" i="10"/>
  <c r="J288" i="10"/>
  <c r="J289" i="10"/>
  <c r="J290" i="10"/>
  <c r="J291" i="10"/>
  <c r="J292" i="10"/>
  <c r="J293" i="10"/>
  <c r="J294" i="10"/>
  <c r="J295" i="10"/>
  <c r="J296" i="10"/>
  <c r="J297" i="10"/>
  <c r="J298" i="10"/>
  <c r="J299" i="10"/>
  <c r="J300" i="10"/>
  <c r="J301" i="10"/>
  <c r="J302" i="10"/>
  <c r="J303" i="10"/>
  <c r="J304" i="10"/>
  <c r="J305" i="10"/>
  <c r="J306" i="10"/>
  <c r="J307" i="10"/>
  <c r="J308" i="10"/>
  <c r="J309" i="10"/>
  <c r="J310" i="10"/>
  <c r="J311" i="10"/>
  <c r="J312" i="10"/>
  <c r="J313" i="10"/>
  <c r="J314" i="10"/>
  <c r="J315" i="10"/>
  <c r="J316" i="10"/>
  <c r="J317" i="10"/>
  <c r="J318" i="10"/>
  <c r="J319" i="10"/>
  <c r="J320" i="10"/>
  <c r="J321" i="10"/>
  <c r="J322" i="10"/>
  <c r="J323" i="10"/>
  <c r="J324" i="10"/>
  <c r="J325" i="10"/>
  <c r="J326" i="10"/>
  <c r="J327" i="10"/>
  <c r="J328" i="10"/>
  <c r="J329" i="10"/>
  <c r="J330" i="10"/>
  <c r="J331" i="10"/>
  <c r="J332" i="10"/>
  <c r="J333" i="10"/>
  <c r="J334" i="10"/>
  <c r="J335" i="10"/>
  <c r="J336" i="10"/>
  <c r="J337" i="10"/>
  <c r="J338" i="10"/>
  <c r="J339" i="10"/>
  <c r="J340" i="10"/>
  <c r="J341" i="10"/>
  <c r="J342" i="10"/>
  <c r="J343" i="10"/>
  <c r="J344" i="10"/>
  <c r="J345" i="10"/>
  <c r="J346" i="10"/>
  <c r="J347" i="10"/>
  <c r="J348" i="10"/>
  <c r="J349" i="10"/>
  <c r="J350" i="10"/>
  <c r="J351" i="10"/>
  <c r="J352" i="10"/>
  <c r="J353" i="10"/>
  <c r="J354" i="10"/>
  <c r="J355" i="10"/>
  <c r="J356" i="10"/>
  <c r="J357" i="10"/>
  <c r="J358" i="10"/>
  <c r="J359" i="10"/>
  <c r="J360" i="10"/>
  <c r="J361" i="10"/>
  <c r="J362" i="10"/>
  <c r="J363" i="10"/>
  <c r="J364" i="10"/>
  <c r="J365" i="10"/>
  <c r="J366" i="10"/>
  <c r="J367" i="10"/>
  <c r="J368" i="10"/>
  <c r="J369" i="10"/>
  <c r="J370" i="10"/>
  <c r="J371" i="10"/>
  <c r="J372" i="10"/>
  <c r="J373" i="10"/>
  <c r="J374" i="10"/>
  <c r="J375" i="10"/>
  <c r="J376" i="10"/>
  <c r="J377" i="10"/>
  <c r="J378" i="10"/>
  <c r="J379" i="10"/>
  <c r="J380" i="10"/>
  <c r="J381" i="10"/>
  <c r="J382" i="10"/>
  <c r="J383" i="10"/>
  <c r="J384" i="10"/>
  <c r="J385" i="10"/>
  <c r="J386" i="10"/>
  <c r="J387" i="10"/>
  <c r="J388" i="10"/>
  <c r="J389" i="10"/>
  <c r="J390" i="10"/>
  <c r="J391" i="10"/>
  <c r="J392" i="10"/>
  <c r="J393" i="10"/>
  <c r="J394" i="10"/>
  <c r="J395" i="10"/>
  <c r="J396" i="10"/>
  <c r="J397" i="10"/>
  <c r="J398" i="10"/>
  <c r="J399" i="10"/>
  <c r="J400" i="10"/>
  <c r="J401" i="10"/>
  <c r="J402" i="10"/>
  <c r="J403" i="10"/>
  <c r="J404" i="10"/>
  <c r="J405" i="10"/>
  <c r="J406" i="10"/>
  <c r="J407" i="10"/>
  <c r="J408" i="10"/>
  <c r="J409" i="10"/>
  <c r="J410" i="10"/>
  <c r="J411" i="10"/>
  <c r="J412" i="10"/>
  <c r="J413" i="10"/>
  <c r="J414" i="10"/>
  <c r="J415" i="10"/>
  <c r="J416" i="10"/>
  <c r="J417" i="10"/>
  <c r="J418" i="10"/>
  <c r="J419" i="10"/>
  <c r="J420" i="10"/>
  <c r="J421" i="10"/>
  <c r="J422" i="10"/>
  <c r="J423" i="10"/>
  <c r="J424" i="10"/>
  <c r="J425" i="10"/>
  <c r="J426" i="10"/>
  <c r="J427" i="10"/>
  <c r="J428" i="10"/>
  <c r="J429" i="10"/>
  <c r="J430" i="10"/>
  <c r="J431" i="10"/>
  <c r="J432" i="10"/>
  <c r="J433" i="10"/>
  <c r="J434" i="10"/>
  <c r="J435" i="10"/>
  <c r="J436" i="10"/>
  <c r="J437" i="10"/>
  <c r="J438" i="10"/>
  <c r="J439" i="10"/>
  <c r="J440" i="10"/>
  <c r="J441" i="10"/>
  <c r="J442" i="10"/>
  <c r="J443" i="10"/>
  <c r="J444" i="10"/>
  <c r="J445" i="10"/>
  <c r="J446" i="10"/>
  <c r="J447" i="10"/>
  <c r="J448" i="10"/>
  <c r="J449" i="10"/>
  <c r="J450" i="10"/>
  <c r="J451" i="10"/>
  <c r="J452" i="10"/>
  <c r="J453" i="10"/>
  <c r="J454" i="10"/>
  <c r="J455" i="10"/>
  <c r="J456" i="10"/>
  <c r="J457" i="10"/>
  <c r="J458" i="10"/>
  <c r="J459" i="10"/>
  <c r="J460" i="10"/>
  <c r="J461" i="10"/>
  <c r="J462" i="10"/>
  <c r="J463" i="10"/>
  <c r="J464" i="10"/>
  <c r="J465" i="10"/>
  <c r="J466" i="10"/>
  <c r="J467" i="10"/>
  <c r="J468" i="10"/>
  <c r="J469" i="10"/>
  <c r="J470" i="10"/>
  <c r="J471" i="10"/>
  <c r="J472" i="10"/>
  <c r="J473" i="10"/>
  <c r="J474" i="10"/>
  <c r="J475" i="10"/>
  <c r="J476" i="10"/>
  <c r="J477" i="10"/>
  <c r="J478" i="10"/>
  <c r="J479" i="10"/>
  <c r="J480" i="10"/>
  <c r="J481" i="10"/>
  <c r="J482" i="10"/>
  <c r="J483" i="10"/>
  <c r="J484" i="10"/>
  <c r="J485" i="10"/>
  <c r="J486" i="10"/>
  <c r="J487" i="10"/>
  <c r="J488" i="10"/>
  <c r="J489" i="10"/>
  <c r="J490" i="10"/>
  <c r="J491" i="10"/>
  <c r="J492" i="10"/>
  <c r="J493" i="10"/>
  <c r="J494" i="10"/>
  <c r="J495" i="10"/>
  <c r="J496" i="10"/>
  <c r="J497" i="10"/>
  <c r="J498" i="10"/>
  <c r="J499" i="10"/>
  <c r="J500" i="10"/>
  <c r="J501" i="10"/>
  <c r="J502" i="10"/>
  <c r="J503" i="10"/>
  <c r="J504" i="10"/>
  <c r="J505" i="10"/>
  <c r="J506" i="10"/>
  <c r="J507" i="10"/>
  <c r="J508" i="10"/>
  <c r="J509" i="10"/>
  <c r="J510" i="10"/>
  <c r="J511" i="10"/>
  <c r="J512" i="10"/>
  <c r="J513" i="10"/>
  <c r="J514" i="10"/>
  <c r="J515" i="10"/>
  <c r="J516" i="10"/>
  <c r="J517" i="10"/>
  <c r="J518" i="10"/>
  <c r="J519" i="10"/>
  <c r="J520" i="10"/>
  <c r="J521" i="10"/>
  <c r="J522" i="10"/>
  <c r="J523" i="10"/>
  <c r="J524" i="10"/>
  <c r="J525" i="10"/>
  <c r="J526" i="10"/>
  <c r="J527" i="10"/>
  <c r="J528" i="10"/>
  <c r="J529" i="10"/>
  <c r="J530" i="10"/>
  <c r="J531" i="10"/>
  <c r="J532" i="10"/>
  <c r="J533" i="10"/>
  <c r="J534" i="10"/>
  <c r="J535" i="10"/>
  <c r="J536" i="10"/>
  <c r="J537" i="10"/>
  <c r="J538" i="10"/>
  <c r="J539" i="10"/>
  <c r="J540" i="10"/>
  <c r="J541" i="10"/>
  <c r="J542" i="10"/>
  <c r="J543" i="10"/>
  <c r="J544" i="10"/>
  <c r="J545" i="10"/>
  <c r="J546" i="10"/>
  <c r="J547" i="10"/>
  <c r="J548" i="10"/>
  <c r="J549" i="10"/>
  <c r="J550" i="10"/>
  <c r="J551" i="10"/>
  <c r="J552" i="10"/>
  <c r="J553" i="10"/>
  <c r="J554" i="10"/>
  <c r="J555" i="10"/>
  <c r="J556" i="10"/>
  <c r="J557" i="10"/>
  <c r="J558" i="10"/>
  <c r="J559" i="10"/>
  <c r="J560" i="10"/>
  <c r="J561" i="10"/>
  <c r="J562" i="10"/>
  <c r="J563" i="10"/>
  <c r="J564" i="10"/>
  <c r="J565" i="10"/>
  <c r="J566" i="10"/>
  <c r="J567" i="10"/>
  <c r="J568" i="10"/>
  <c r="J569" i="10"/>
  <c r="J570" i="10"/>
  <c r="J571" i="10"/>
  <c r="J572" i="10"/>
  <c r="J573" i="10"/>
  <c r="J574" i="10"/>
  <c r="J575" i="10"/>
  <c r="J576" i="10"/>
  <c r="J577" i="10"/>
  <c r="J578" i="10"/>
  <c r="J579" i="10"/>
  <c r="J580" i="10"/>
  <c r="J581" i="10"/>
  <c r="J582" i="10"/>
  <c r="J583" i="10"/>
  <c r="J584" i="10"/>
  <c r="J585" i="10"/>
  <c r="J586" i="10"/>
  <c r="J587" i="10"/>
  <c r="J588" i="10"/>
  <c r="J589" i="10"/>
  <c r="J590" i="10"/>
  <c r="J591" i="10"/>
  <c r="J592" i="10"/>
  <c r="J593" i="10"/>
  <c r="J594" i="10"/>
  <c r="J595" i="10"/>
  <c r="J596" i="10"/>
  <c r="J597" i="10"/>
  <c r="J598" i="10"/>
  <c r="J599" i="10"/>
  <c r="J600" i="10"/>
  <c r="J601" i="10"/>
  <c r="J602" i="10"/>
  <c r="J603" i="10"/>
  <c r="J604" i="10"/>
  <c r="J605" i="10"/>
  <c r="J606" i="10"/>
  <c r="J607" i="10"/>
  <c r="J608" i="10"/>
  <c r="J609" i="10"/>
  <c r="J610" i="10"/>
  <c r="J611" i="10"/>
  <c r="J612" i="10"/>
  <c r="J613" i="10"/>
  <c r="J614" i="10"/>
  <c r="J615" i="10"/>
  <c r="J616" i="10"/>
  <c r="J617" i="10"/>
  <c r="J618" i="10"/>
  <c r="J619" i="10"/>
  <c r="J620" i="10"/>
  <c r="J621" i="10"/>
  <c r="J622" i="10"/>
  <c r="J623" i="10"/>
  <c r="J624" i="10"/>
  <c r="J625" i="10"/>
  <c r="J626" i="10"/>
  <c r="J627" i="10"/>
  <c r="J628" i="10"/>
  <c r="J629" i="10"/>
  <c r="J630" i="10"/>
  <c r="J631" i="10"/>
  <c r="J632" i="10"/>
  <c r="J633" i="10"/>
  <c r="J634" i="10"/>
  <c r="J635" i="10"/>
  <c r="J636" i="10"/>
  <c r="J637" i="10"/>
  <c r="J638" i="10"/>
  <c r="J639" i="10"/>
  <c r="J640" i="10"/>
  <c r="J641" i="10"/>
  <c r="J642" i="10"/>
  <c r="J643" i="10"/>
  <c r="J644" i="10"/>
  <c r="J645" i="10"/>
  <c r="J646" i="10"/>
  <c r="J647" i="10"/>
  <c r="J648" i="10"/>
  <c r="J649" i="10"/>
  <c r="J650" i="10"/>
  <c r="J651" i="10"/>
  <c r="J652" i="10"/>
  <c r="J653" i="10"/>
  <c r="J654" i="10"/>
  <c r="J655" i="10"/>
  <c r="J656" i="10"/>
  <c r="J657" i="10"/>
  <c r="J658" i="10"/>
  <c r="J659" i="10"/>
  <c r="J660" i="10"/>
  <c r="J661" i="10"/>
  <c r="J662" i="10"/>
  <c r="J663" i="10"/>
  <c r="J664" i="10"/>
  <c r="J665" i="10"/>
  <c r="J666" i="10"/>
  <c r="J667" i="10"/>
  <c r="J668" i="10"/>
  <c r="J669" i="10"/>
  <c r="J670" i="10"/>
  <c r="J671" i="10"/>
  <c r="J672" i="10"/>
  <c r="J673" i="10"/>
  <c r="J674" i="10"/>
  <c r="J675" i="10"/>
  <c r="J676" i="10"/>
  <c r="J677" i="10"/>
  <c r="J678" i="10"/>
  <c r="J679" i="10"/>
  <c r="J680" i="10"/>
  <c r="J681" i="10"/>
  <c r="J682" i="10"/>
  <c r="J683" i="10"/>
  <c r="J684" i="10"/>
  <c r="J685" i="10"/>
  <c r="J686" i="10"/>
  <c r="J687" i="10"/>
  <c r="J688" i="10"/>
  <c r="J689" i="10"/>
  <c r="J690" i="10"/>
  <c r="J691" i="10"/>
  <c r="J692" i="10"/>
  <c r="J693" i="10"/>
  <c r="J694" i="10"/>
  <c r="J695" i="10"/>
  <c r="J696" i="10"/>
  <c r="J697" i="10"/>
  <c r="J698" i="10"/>
  <c r="J699" i="10"/>
  <c r="J700" i="10"/>
  <c r="J701" i="10"/>
  <c r="J702" i="10"/>
  <c r="J703" i="10"/>
  <c r="J704" i="10"/>
  <c r="J705" i="10"/>
  <c r="J706" i="10"/>
  <c r="J707" i="10"/>
  <c r="J708" i="10"/>
  <c r="J709" i="10"/>
  <c r="J710" i="10"/>
  <c r="J711" i="10"/>
  <c r="J712" i="10"/>
  <c r="J713" i="10"/>
  <c r="J714" i="10"/>
  <c r="J715" i="10"/>
  <c r="J716" i="10"/>
  <c r="J717" i="10"/>
  <c r="J718" i="10"/>
  <c r="J719" i="10"/>
  <c r="J720" i="10"/>
  <c r="J721" i="10"/>
  <c r="J722" i="10"/>
  <c r="J723" i="10"/>
  <c r="J724" i="10"/>
  <c r="J725" i="10"/>
  <c r="J726" i="10"/>
  <c r="J727" i="10"/>
  <c r="J728" i="10"/>
  <c r="J729" i="10"/>
  <c r="J730" i="10"/>
  <c r="J731" i="10"/>
  <c r="J732" i="10"/>
  <c r="J733" i="10"/>
  <c r="J734" i="10"/>
  <c r="J735" i="10"/>
  <c r="J736" i="10"/>
  <c r="J737" i="10"/>
  <c r="J738" i="10"/>
  <c r="J739" i="10"/>
  <c r="J740" i="10"/>
  <c r="J741" i="10"/>
  <c r="J742" i="10"/>
  <c r="J743" i="10"/>
  <c r="J744" i="10"/>
  <c r="J745" i="10"/>
  <c r="J746" i="10"/>
  <c r="J747" i="10"/>
  <c r="J748" i="10"/>
  <c r="J749" i="10"/>
  <c r="J750" i="10"/>
  <c r="J751" i="10"/>
  <c r="J752" i="10"/>
  <c r="J753" i="10"/>
  <c r="J754" i="10"/>
  <c r="J755" i="10"/>
  <c r="J756" i="10"/>
  <c r="J757" i="10"/>
  <c r="J758" i="10"/>
  <c r="J759" i="10"/>
  <c r="J760" i="10"/>
  <c r="J761" i="10"/>
  <c r="J762" i="10"/>
  <c r="J763" i="10"/>
  <c r="J764" i="10"/>
  <c r="J765" i="10"/>
  <c r="J766" i="10"/>
  <c r="J767" i="10"/>
  <c r="J768" i="10"/>
  <c r="J769" i="10"/>
  <c r="J770" i="10"/>
  <c r="J771" i="10"/>
  <c r="J772" i="10"/>
  <c r="J773" i="10"/>
  <c r="J774" i="10"/>
  <c r="J775" i="10"/>
  <c r="J776" i="10"/>
  <c r="J777" i="10"/>
  <c r="J778" i="10"/>
  <c r="J779" i="10"/>
  <c r="J780" i="10"/>
  <c r="J781" i="10"/>
  <c r="J782" i="10"/>
  <c r="J783" i="10"/>
  <c r="J784" i="10"/>
  <c r="J785" i="10"/>
  <c r="J786" i="10"/>
  <c r="J787" i="10"/>
  <c r="J788" i="10"/>
  <c r="J789" i="10"/>
  <c r="J790" i="10"/>
  <c r="J791" i="10"/>
  <c r="J792" i="10"/>
  <c r="J793" i="10"/>
  <c r="J794" i="10"/>
  <c r="J795" i="10"/>
  <c r="J796" i="10"/>
  <c r="J797" i="10"/>
  <c r="J798" i="10"/>
  <c r="J799" i="10"/>
  <c r="J800" i="10"/>
  <c r="J801" i="10"/>
  <c r="J802" i="10"/>
  <c r="J803" i="10"/>
  <c r="J804" i="10"/>
  <c r="J805" i="10"/>
  <c r="J806" i="10"/>
  <c r="J807" i="10"/>
  <c r="J808" i="10"/>
  <c r="J809" i="10"/>
  <c r="J810" i="10"/>
  <c r="J811" i="10"/>
  <c r="J812" i="10"/>
  <c r="J813" i="10"/>
  <c r="J814" i="10"/>
  <c r="J815" i="10"/>
  <c r="J816" i="10"/>
  <c r="J817" i="10"/>
  <c r="J818" i="10"/>
  <c r="J819" i="10"/>
  <c r="J820" i="10"/>
  <c r="J821" i="10"/>
  <c r="J822" i="10"/>
  <c r="J823" i="10"/>
  <c r="J824" i="10"/>
  <c r="J825" i="10"/>
  <c r="J826" i="10"/>
  <c r="J827" i="10"/>
  <c r="J828" i="10"/>
  <c r="J829" i="10"/>
  <c r="J830" i="10"/>
  <c r="J831" i="10"/>
  <c r="J832" i="10"/>
  <c r="J833" i="10"/>
  <c r="J834" i="10"/>
  <c r="J835" i="10"/>
  <c r="J836" i="10"/>
  <c r="J837" i="10"/>
  <c r="J838" i="10"/>
  <c r="J839" i="10"/>
  <c r="J840" i="10"/>
  <c r="J841" i="10"/>
  <c r="J842" i="10"/>
  <c r="J843" i="10"/>
  <c r="J844" i="10"/>
  <c r="J845" i="10"/>
  <c r="J846" i="10"/>
  <c r="J847" i="10"/>
  <c r="J848" i="10"/>
  <c r="J849" i="10"/>
  <c r="J850" i="10"/>
  <c r="J851" i="10"/>
  <c r="J852" i="10"/>
  <c r="J853" i="10"/>
  <c r="J854" i="10"/>
  <c r="J855" i="10"/>
  <c r="J856" i="10"/>
  <c r="J857" i="10"/>
  <c r="J858" i="10"/>
  <c r="J859" i="10"/>
  <c r="J860" i="10"/>
  <c r="J861" i="10"/>
  <c r="J862" i="10"/>
  <c r="J863" i="10"/>
  <c r="J864" i="10"/>
  <c r="J865" i="10"/>
  <c r="J866" i="10"/>
  <c r="J867" i="10"/>
  <c r="J868" i="10"/>
  <c r="J869" i="10"/>
  <c r="J870" i="10"/>
  <c r="J871" i="10"/>
  <c r="J872" i="10"/>
  <c r="J873" i="10"/>
  <c r="J874" i="10"/>
  <c r="J875" i="10"/>
  <c r="J876" i="10"/>
  <c r="J877" i="10"/>
  <c r="J878" i="10"/>
  <c r="J879" i="10"/>
  <c r="J880" i="10"/>
  <c r="J881" i="10"/>
  <c r="J882" i="10"/>
  <c r="J883" i="10"/>
  <c r="J884" i="10"/>
  <c r="J885" i="10"/>
  <c r="J886" i="10"/>
  <c r="J887" i="10"/>
  <c r="J888" i="10"/>
  <c r="J889" i="10"/>
  <c r="J890" i="10"/>
  <c r="J891" i="10"/>
  <c r="J892" i="10"/>
  <c r="J893" i="10"/>
  <c r="J894" i="10"/>
  <c r="J895" i="10"/>
  <c r="J896" i="10"/>
  <c r="J897" i="10"/>
  <c r="J898" i="10"/>
  <c r="J899" i="10"/>
  <c r="J900" i="10"/>
  <c r="J901" i="10"/>
  <c r="J902" i="10"/>
  <c r="J903" i="10"/>
  <c r="J904" i="10"/>
  <c r="J905" i="10"/>
  <c r="J906" i="10"/>
  <c r="J907" i="10"/>
  <c r="J908" i="10"/>
  <c r="J909" i="10"/>
  <c r="J910" i="10"/>
  <c r="J911" i="10"/>
  <c r="J912" i="10"/>
  <c r="J913" i="10"/>
  <c r="J914" i="10"/>
  <c r="J915" i="10"/>
  <c r="J916" i="10"/>
  <c r="J917" i="10"/>
  <c r="J918" i="10"/>
  <c r="J919" i="10"/>
  <c r="J920" i="10"/>
  <c r="J921" i="10"/>
  <c r="J922" i="10"/>
  <c r="J923" i="10"/>
  <c r="J924" i="10"/>
  <c r="J925" i="10"/>
  <c r="J926" i="10"/>
  <c r="J927" i="10"/>
  <c r="J928" i="10"/>
  <c r="J929" i="10"/>
  <c r="J930" i="10"/>
  <c r="J931" i="10"/>
  <c r="J932" i="10"/>
  <c r="J933" i="10"/>
  <c r="J934" i="10"/>
  <c r="J935" i="10"/>
  <c r="J936" i="10"/>
  <c r="J937" i="10"/>
  <c r="J938" i="10"/>
  <c r="J939" i="10"/>
  <c r="J940" i="10"/>
  <c r="J941" i="10"/>
  <c r="J942" i="10"/>
  <c r="J943" i="10"/>
  <c r="J944" i="10"/>
  <c r="J945" i="10"/>
  <c r="J946" i="10"/>
  <c r="J947" i="10"/>
  <c r="J948" i="10"/>
  <c r="J949" i="10"/>
  <c r="J950" i="10"/>
  <c r="J951" i="10"/>
  <c r="J952" i="10"/>
  <c r="J953" i="10"/>
  <c r="J954" i="10"/>
  <c r="J955" i="10"/>
  <c r="J956" i="10"/>
  <c r="J957" i="10"/>
  <c r="J958" i="10"/>
  <c r="J959" i="10"/>
  <c r="J960" i="10"/>
  <c r="J961" i="10"/>
  <c r="J962" i="10"/>
  <c r="J963" i="10"/>
  <c r="J964" i="10"/>
  <c r="J965" i="10"/>
  <c r="J966" i="10"/>
  <c r="J967" i="10"/>
  <c r="J968" i="10"/>
  <c r="J969" i="10"/>
  <c r="J970" i="10"/>
  <c r="J971" i="10"/>
  <c r="J972" i="10"/>
  <c r="J973" i="10"/>
  <c r="J974" i="10"/>
  <c r="J975" i="10"/>
  <c r="J976" i="10"/>
  <c r="J977" i="10"/>
  <c r="J978" i="10"/>
  <c r="J979" i="10"/>
  <c r="J980" i="10"/>
  <c r="J981" i="10"/>
  <c r="J982" i="10"/>
  <c r="J983" i="10"/>
  <c r="J984" i="10"/>
  <c r="J985" i="10"/>
  <c r="J986" i="10"/>
  <c r="J987" i="10"/>
  <c r="J988" i="10"/>
  <c r="J989" i="10"/>
  <c r="J990" i="10"/>
  <c r="J991" i="10"/>
  <c r="J992" i="10"/>
  <c r="J993" i="10"/>
  <c r="J994" i="10"/>
  <c r="J995" i="10"/>
  <c r="J996" i="10"/>
  <c r="J997" i="10"/>
  <c r="J998" i="10"/>
  <c r="J999" i="10"/>
  <c r="J1000" i="10"/>
  <c r="J1001" i="10"/>
  <c r="J1002" i="10"/>
  <c r="J1003" i="10"/>
  <c r="J1004" i="10"/>
  <c r="J1005" i="10"/>
  <c r="J1006" i="10"/>
  <c r="J1007" i="10"/>
  <c r="J1008" i="10"/>
  <c r="J1009" i="10"/>
  <c r="J1010" i="10"/>
  <c r="J1011" i="10"/>
  <c r="J1012" i="10"/>
  <c r="J1013" i="10"/>
  <c r="J1014" i="10"/>
  <c r="J1015" i="10"/>
  <c r="J1016" i="10"/>
  <c r="J1017" i="10"/>
  <c r="J1018" i="10"/>
  <c r="J1019" i="10"/>
  <c r="J1020" i="10"/>
  <c r="J1021" i="10"/>
  <c r="J1022" i="10"/>
  <c r="J1023" i="10"/>
  <c r="J1024" i="10"/>
  <c r="J1025" i="10"/>
  <c r="J1026" i="10"/>
  <c r="J1027" i="10"/>
  <c r="J1028" i="10"/>
  <c r="J1029" i="10"/>
  <c r="J1030" i="10"/>
  <c r="J1031" i="10"/>
  <c r="J1032" i="10"/>
  <c r="J1033" i="10"/>
  <c r="J1034" i="10"/>
  <c r="J1035" i="10"/>
  <c r="J1036" i="10"/>
  <c r="J1037" i="10"/>
  <c r="J1038" i="10"/>
  <c r="J1039" i="10"/>
  <c r="J1040" i="10"/>
  <c r="J1041" i="10"/>
  <c r="J1042" i="10"/>
  <c r="J1043" i="10"/>
  <c r="J1044" i="10"/>
  <c r="J1045" i="10"/>
  <c r="J1046" i="10"/>
  <c r="J1047" i="10"/>
  <c r="J1048" i="10"/>
  <c r="J1049" i="10"/>
  <c r="J1050" i="10"/>
  <c r="J1051" i="10"/>
  <c r="J1052" i="10"/>
  <c r="J1053" i="10"/>
  <c r="J1054" i="10"/>
  <c r="J1055" i="10"/>
  <c r="J1056" i="10"/>
  <c r="J1057" i="10"/>
  <c r="J1058" i="10"/>
  <c r="J1059" i="10"/>
  <c r="J1060" i="10"/>
  <c r="J1061" i="10"/>
  <c r="J1062" i="10"/>
  <c r="J1063" i="10"/>
  <c r="J1064" i="10"/>
  <c r="J1065" i="10"/>
  <c r="J1066" i="10"/>
  <c r="J1067" i="10"/>
  <c r="J1068" i="10"/>
  <c r="J1069" i="10"/>
  <c r="J1070" i="10"/>
  <c r="J1071" i="10"/>
  <c r="J1072" i="10"/>
  <c r="J1073" i="10"/>
  <c r="J1074" i="10"/>
  <c r="J1075" i="10"/>
  <c r="J1076" i="10"/>
  <c r="J1077" i="10"/>
  <c r="J1078" i="10"/>
  <c r="J1079" i="10"/>
  <c r="J1080" i="10"/>
  <c r="J1081" i="10"/>
  <c r="J1082" i="10"/>
  <c r="J1083" i="10"/>
  <c r="J1084" i="10"/>
  <c r="J1085" i="10"/>
  <c r="J1086" i="10"/>
  <c r="J1087" i="10"/>
  <c r="J1088" i="10"/>
  <c r="J1089" i="10"/>
  <c r="J1090" i="10"/>
  <c r="J1091" i="10"/>
  <c r="J1092" i="10"/>
  <c r="J1093" i="10"/>
  <c r="J1094" i="10"/>
  <c r="J1095" i="10"/>
  <c r="J1096" i="10"/>
  <c r="J1097" i="10"/>
  <c r="J1098" i="10"/>
  <c r="J1099" i="10"/>
  <c r="J1100" i="10"/>
  <c r="J1101" i="10"/>
  <c r="J1102" i="10"/>
  <c r="J1103" i="10"/>
  <c r="J1104" i="10"/>
  <c r="J1105" i="10"/>
  <c r="J1106" i="10"/>
  <c r="J1107" i="10"/>
  <c r="J1108" i="10"/>
  <c r="J1109" i="10"/>
  <c r="J1110" i="10"/>
  <c r="J1111" i="10"/>
  <c r="J1112" i="10"/>
  <c r="J1113" i="10"/>
  <c r="J1114" i="10"/>
  <c r="J1115" i="10"/>
  <c r="J1116" i="10"/>
  <c r="J1117" i="10"/>
  <c r="J1118" i="10"/>
  <c r="J1119" i="10"/>
  <c r="J1120" i="10"/>
  <c r="J1121" i="10"/>
  <c r="J1122" i="10"/>
  <c r="J1123" i="10"/>
  <c r="J1124" i="10"/>
  <c r="J1125" i="10"/>
  <c r="J1126" i="10"/>
  <c r="J1127" i="10"/>
  <c r="J1128" i="10"/>
  <c r="J1129" i="10"/>
  <c r="J1130" i="10"/>
  <c r="J1131" i="10"/>
  <c r="J1132" i="10"/>
  <c r="J1133" i="10"/>
  <c r="J1134" i="10"/>
  <c r="J1135" i="10"/>
  <c r="J1136" i="10"/>
  <c r="J1137" i="10"/>
  <c r="J1138" i="10"/>
  <c r="J1139" i="10"/>
  <c r="J1140" i="10"/>
  <c r="J1141" i="10"/>
  <c r="J1142" i="10"/>
  <c r="J1143" i="10"/>
  <c r="J1144" i="10"/>
  <c r="J1145" i="10"/>
  <c r="J1146" i="10"/>
  <c r="J1147" i="10"/>
  <c r="J1148" i="10"/>
  <c r="J1149" i="10"/>
  <c r="J1150" i="10"/>
  <c r="J1151" i="10"/>
  <c r="J1152" i="10"/>
  <c r="J1153" i="10"/>
  <c r="J1154" i="10"/>
  <c r="J1155" i="10"/>
  <c r="J1156" i="10"/>
  <c r="J1157" i="10"/>
  <c r="J1158" i="10"/>
  <c r="J1159" i="10"/>
  <c r="J1160" i="10"/>
  <c r="J1161" i="10"/>
  <c r="J1162" i="10"/>
  <c r="J1163" i="10"/>
  <c r="J1164" i="10"/>
  <c r="J1165" i="10"/>
  <c r="J1166" i="10"/>
  <c r="J1167" i="10"/>
  <c r="J1168" i="10"/>
  <c r="J1169" i="10"/>
  <c r="J1170" i="10"/>
  <c r="J1171" i="10"/>
  <c r="J1172" i="10"/>
  <c r="J1173" i="10"/>
  <c r="J1174" i="10"/>
  <c r="J1175" i="10"/>
  <c r="J1176" i="10"/>
  <c r="J1177" i="10"/>
  <c r="J1178" i="10"/>
  <c r="J1179" i="10"/>
  <c r="J1180" i="10"/>
  <c r="J1181" i="10"/>
  <c r="J1182" i="10"/>
  <c r="J1183" i="10"/>
  <c r="J1184" i="10"/>
  <c r="J1185" i="10"/>
  <c r="J1186" i="10"/>
  <c r="J1187" i="10"/>
  <c r="J1188" i="10"/>
  <c r="J1189" i="10"/>
  <c r="J1190" i="10"/>
  <c r="J1191" i="10"/>
  <c r="J1192" i="10"/>
  <c r="J1193" i="10"/>
  <c r="J1194" i="10"/>
  <c r="J1195" i="10"/>
  <c r="J1196" i="10"/>
  <c r="J1197" i="10"/>
  <c r="J1198" i="10"/>
  <c r="J1199" i="10"/>
  <c r="J1200" i="10"/>
  <c r="J1201" i="10"/>
  <c r="J1202" i="10"/>
  <c r="J1203" i="10"/>
  <c r="J1204" i="10"/>
  <c r="J1205" i="10"/>
  <c r="J1206" i="10"/>
  <c r="J1207" i="10"/>
  <c r="J1208" i="10"/>
  <c r="J1209" i="10"/>
  <c r="J1210" i="10"/>
  <c r="J1211" i="10"/>
  <c r="J1212" i="10"/>
  <c r="J1213" i="10"/>
  <c r="J1214" i="10"/>
  <c r="J1215" i="10"/>
  <c r="J1216" i="10"/>
  <c r="J1217" i="10"/>
  <c r="J1218" i="10"/>
  <c r="J1219" i="10"/>
  <c r="J1220" i="10"/>
  <c r="J1221" i="10"/>
  <c r="J1222" i="10"/>
  <c r="J1223" i="10"/>
  <c r="J1224" i="10"/>
  <c r="J1225" i="10"/>
  <c r="J1226" i="10"/>
  <c r="J1227" i="10"/>
  <c r="J1228" i="10"/>
  <c r="J1229" i="10"/>
  <c r="J1230" i="10"/>
  <c r="J1231" i="10"/>
  <c r="J1232" i="10"/>
  <c r="J1233" i="10"/>
  <c r="J1234" i="10"/>
  <c r="J1235" i="10"/>
  <c r="J1236" i="10"/>
  <c r="J1237" i="10"/>
  <c r="J1238" i="10"/>
  <c r="J1239" i="10"/>
  <c r="J1240" i="10"/>
  <c r="J1241" i="10"/>
  <c r="J1242" i="10"/>
  <c r="J1243" i="10"/>
  <c r="J1244" i="10"/>
  <c r="J1245" i="10"/>
  <c r="J1246" i="10"/>
  <c r="J1247" i="10"/>
  <c r="J1248" i="10"/>
  <c r="J1249" i="10"/>
  <c r="J1250" i="10"/>
  <c r="J1251" i="10"/>
  <c r="J1252" i="10"/>
  <c r="J1253" i="10"/>
  <c r="J1254" i="10"/>
  <c r="J1255" i="10"/>
  <c r="J1256" i="10"/>
  <c r="J1257" i="10"/>
  <c r="J1258" i="10"/>
  <c r="J1259" i="10"/>
  <c r="J1260" i="10"/>
  <c r="J1261" i="10"/>
  <c r="J1262" i="10"/>
  <c r="J1263" i="10"/>
  <c r="J1264" i="10"/>
  <c r="J1265" i="10"/>
  <c r="J1266" i="10"/>
  <c r="J1267" i="10"/>
  <c r="J1268" i="10"/>
  <c r="J1269" i="10"/>
  <c r="J1270" i="10"/>
  <c r="J1271" i="10"/>
  <c r="J1272" i="10"/>
  <c r="J1273" i="10"/>
  <c r="J1274" i="10"/>
  <c r="J1275" i="10"/>
  <c r="J1276" i="10"/>
  <c r="J1277" i="10"/>
  <c r="J1278" i="10"/>
  <c r="J1279" i="10"/>
  <c r="J1280" i="10"/>
  <c r="J1281" i="10"/>
  <c r="J1282" i="10"/>
  <c r="J1283" i="10"/>
  <c r="J1284" i="10"/>
  <c r="J1285" i="10"/>
  <c r="J1286" i="10"/>
  <c r="J1287" i="10"/>
  <c r="J1288" i="10"/>
  <c r="J1289" i="10"/>
  <c r="J1290" i="10"/>
  <c r="J1291" i="10"/>
  <c r="J1292" i="10"/>
  <c r="J1293" i="10"/>
  <c r="J1294" i="10"/>
  <c r="J1295" i="10"/>
  <c r="J1296" i="10"/>
  <c r="J1297" i="10"/>
  <c r="J1298" i="10"/>
  <c r="J1299" i="10"/>
  <c r="J1300" i="10"/>
  <c r="J1301" i="10"/>
  <c r="J1302" i="10"/>
  <c r="J1303" i="10"/>
  <c r="J1304" i="10"/>
  <c r="J1305" i="10"/>
  <c r="J1306" i="10"/>
  <c r="J1307" i="10"/>
  <c r="J1308" i="10"/>
  <c r="J1309" i="10"/>
  <c r="J1310" i="10"/>
  <c r="J1311" i="10"/>
  <c r="J1312" i="10"/>
  <c r="J1313" i="10"/>
  <c r="J1314" i="10"/>
  <c r="J1315" i="10"/>
  <c r="J1316" i="10"/>
  <c r="J1317" i="10"/>
  <c r="J1318" i="10"/>
  <c r="J1319" i="10"/>
  <c r="J1320" i="10"/>
  <c r="J1321" i="10"/>
  <c r="J1322" i="10"/>
  <c r="J1323" i="10"/>
  <c r="J1324" i="10"/>
  <c r="J1325" i="10"/>
  <c r="J1326" i="10"/>
  <c r="J1327" i="10"/>
  <c r="J1328" i="10"/>
  <c r="J1329" i="10"/>
  <c r="J1330" i="10"/>
  <c r="J1331" i="10"/>
  <c r="J1332" i="10"/>
  <c r="J1333" i="10"/>
  <c r="J1334" i="10"/>
  <c r="J1335" i="10"/>
  <c r="J1336" i="10"/>
  <c r="J1337" i="10"/>
  <c r="J1338" i="10"/>
  <c r="J1339" i="10"/>
  <c r="J1340" i="10"/>
  <c r="J1341" i="10"/>
  <c r="J1342" i="10"/>
  <c r="J1343" i="10"/>
  <c r="J1344" i="10"/>
  <c r="J1345" i="10"/>
  <c r="J1346" i="10"/>
  <c r="J1347" i="10"/>
  <c r="J1348" i="10"/>
  <c r="J1349" i="10"/>
  <c r="J1350" i="10"/>
  <c r="J1351" i="10"/>
  <c r="J1352" i="10"/>
  <c r="J1353" i="10"/>
  <c r="J1354" i="10"/>
  <c r="J1355" i="10"/>
  <c r="J1356" i="10"/>
  <c r="J1357" i="10"/>
  <c r="J1358" i="10"/>
  <c r="J1359" i="10"/>
  <c r="J1360" i="10"/>
  <c r="J1361" i="10"/>
  <c r="J1362" i="10"/>
  <c r="J1363" i="10"/>
  <c r="J1364" i="10"/>
  <c r="J1365" i="10"/>
  <c r="J1366" i="10"/>
  <c r="J1367" i="10"/>
  <c r="J1368" i="10"/>
  <c r="J1369" i="10"/>
  <c r="J1370" i="10"/>
  <c r="J1371" i="10"/>
  <c r="J1372" i="10"/>
  <c r="J1373" i="10"/>
  <c r="J1374" i="10"/>
  <c r="J1375" i="10"/>
  <c r="J1376" i="10"/>
  <c r="J1377" i="10"/>
  <c r="J1378" i="10"/>
  <c r="J1379" i="10"/>
  <c r="J1380" i="10"/>
  <c r="J1381" i="10"/>
  <c r="J1382" i="10"/>
  <c r="J1383" i="10"/>
  <c r="J1384" i="10"/>
  <c r="J1385" i="10"/>
  <c r="J1386" i="10"/>
  <c r="J1387" i="10"/>
  <c r="J1388" i="10"/>
  <c r="J1389" i="10"/>
  <c r="J1390" i="10"/>
  <c r="J1391" i="10"/>
  <c r="J1392" i="10"/>
  <c r="J1393" i="10"/>
  <c r="J1394" i="10"/>
  <c r="J1395" i="10"/>
  <c r="J1396" i="10"/>
  <c r="J1397" i="10"/>
  <c r="J1398" i="10"/>
  <c r="J1399" i="10"/>
  <c r="J1400" i="10"/>
  <c r="J1401" i="10"/>
  <c r="J2" i="10"/>
  <c r="I3" i="10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76" i="10"/>
  <c r="I77" i="10"/>
  <c r="I78" i="10"/>
  <c r="I79" i="10"/>
  <c r="I80" i="10"/>
  <c r="I81" i="10"/>
  <c r="I82" i="10"/>
  <c r="I83" i="10"/>
  <c r="I84" i="10"/>
  <c r="I85" i="10"/>
  <c r="I86" i="10"/>
  <c r="I87" i="10"/>
  <c r="I88" i="10"/>
  <c r="I89" i="10"/>
  <c r="I90" i="10"/>
  <c r="I91" i="10"/>
  <c r="I92" i="10"/>
  <c r="I93" i="10"/>
  <c r="I94" i="10"/>
  <c r="I95" i="10"/>
  <c r="I96" i="10"/>
  <c r="I97" i="10"/>
  <c r="I98" i="10"/>
  <c r="I99" i="10"/>
  <c r="I100" i="10"/>
  <c r="I101" i="10"/>
  <c r="I102" i="10"/>
  <c r="I103" i="10"/>
  <c r="I104" i="10"/>
  <c r="I105" i="10"/>
  <c r="I106" i="10"/>
  <c r="I107" i="10"/>
  <c r="I108" i="10"/>
  <c r="I109" i="10"/>
  <c r="I110" i="10"/>
  <c r="I111" i="10"/>
  <c r="I112" i="10"/>
  <c r="I113" i="10"/>
  <c r="I114" i="10"/>
  <c r="I115" i="10"/>
  <c r="I116" i="10"/>
  <c r="I117" i="10"/>
  <c r="I118" i="10"/>
  <c r="I119" i="10"/>
  <c r="I120" i="10"/>
  <c r="I121" i="10"/>
  <c r="I122" i="10"/>
  <c r="I123" i="10"/>
  <c r="I124" i="10"/>
  <c r="I125" i="10"/>
  <c r="I126" i="10"/>
  <c r="I127" i="10"/>
  <c r="I128" i="10"/>
  <c r="I129" i="10"/>
  <c r="I130" i="10"/>
  <c r="I131" i="10"/>
  <c r="I132" i="10"/>
  <c r="I133" i="10"/>
  <c r="I134" i="10"/>
  <c r="I135" i="10"/>
  <c r="I136" i="10"/>
  <c r="I137" i="10"/>
  <c r="I138" i="10"/>
  <c r="I139" i="10"/>
  <c r="I140" i="10"/>
  <c r="I141" i="10"/>
  <c r="I142" i="10"/>
  <c r="I143" i="10"/>
  <c r="I144" i="10"/>
  <c r="I145" i="10"/>
  <c r="I146" i="10"/>
  <c r="I147" i="10"/>
  <c r="I148" i="10"/>
  <c r="I149" i="10"/>
  <c r="I150" i="10"/>
  <c r="I151" i="10"/>
  <c r="I152" i="10"/>
  <c r="I153" i="10"/>
  <c r="I154" i="10"/>
  <c r="I155" i="10"/>
  <c r="I156" i="10"/>
  <c r="I157" i="10"/>
  <c r="I158" i="10"/>
  <c r="I159" i="10"/>
  <c r="I160" i="10"/>
  <c r="I161" i="10"/>
  <c r="I162" i="10"/>
  <c r="I163" i="10"/>
  <c r="I164" i="10"/>
  <c r="I165" i="10"/>
  <c r="I166" i="10"/>
  <c r="I167" i="10"/>
  <c r="I168" i="10"/>
  <c r="I169" i="10"/>
  <c r="I170" i="10"/>
  <c r="I171" i="10"/>
  <c r="I172" i="10"/>
  <c r="I173" i="10"/>
  <c r="I174" i="10"/>
  <c r="I175" i="10"/>
  <c r="I176" i="10"/>
  <c r="I177" i="10"/>
  <c r="I178" i="10"/>
  <c r="I179" i="10"/>
  <c r="I180" i="10"/>
  <c r="I181" i="10"/>
  <c r="I182" i="10"/>
  <c r="I183" i="10"/>
  <c r="I184" i="10"/>
  <c r="I185" i="10"/>
  <c r="I186" i="10"/>
  <c r="I187" i="10"/>
  <c r="I188" i="10"/>
  <c r="I189" i="10"/>
  <c r="I190" i="10"/>
  <c r="I191" i="10"/>
  <c r="I192" i="10"/>
  <c r="I193" i="10"/>
  <c r="I194" i="10"/>
  <c r="I195" i="10"/>
  <c r="I196" i="10"/>
  <c r="I197" i="10"/>
  <c r="I198" i="10"/>
  <c r="I199" i="10"/>
  <c r="I200" i="10"/>
  <c r="I201" i="10"/>
  <c r="I202" i="10"/>
  <c r="I203" i="10"/>
  <c r="I204" i="10"/>
  <c r="I205" i="10"/>
  <c r="I206" i="10"/>
  <c r="I207" i="10"/>
  <c r="I208" i="10"/>
  <c r="I209" i="10"/>
  <c r="I210" i="10"/>
  <c r="I211" i="10"/>
  <c r="I212" i="10"/>
  <c r="I213" i="10"/>
  <c r="I214" i="10"/>
  <c r="I215" i="10"/>
  <c r="I216" i="10"/>
  <c r="I217" i="10"/>
  <c r="I218" i="10"/>
  <c r="I219" i="10"/>
  <c r="I220" i="10"/>
  <c r="I221" i="10"/>
  <c r="I222" i="10"/>
  <c r="I223" i="10"/>
  <c r="I224" i="10"/>
  <c r="I225" i="10"/>
  <c r="I226" i="10"/>
  <c r="I227" i="10"/>
  <c r="I228" i="10"/>
  <c r="I229" i="10"/>
  <c r="I230" i="10"/>
  <c r="I231" i="10"/>
  <c r="I232" i="10"/>
  <c r="I233" i="10"/>
  <c r="I234" i="10"/>
  <c r="I235" i="10"/>
  <c r="I236" i="10"/>
  <c r="I237" i="10"/>
  <c r="I238" i="10"/>
  <c r="I239" i="10"/>
  <c r="I240" i="10"/>
  <c r="I241" i="10"/>
  <c r="I242" i="10"/>
  <c r="I243" i="10"/>
  <c r="I244" i="10"/>
  <c r="I245" i="10"/>
  <c r="I246" i="10"/>
  <c r="I247" i="10"/>
  <c r="I248" i="10"/>
  <c r="I249" i="10"/>
  <c r="I250" i="10"/>
  <c r="I251" i="10"/>
  <c r="I252" i="10"/>
  <c r="I253" i="10"/>
  <c r="I254" i="10"/>
  <c r="I255" i="10"/>
  <c r="I256" i="10"/>
  <c r="I257" i="10"/>
  <c r="I258" i="10"/>
  <c r="I259" i="10"/>
  <c r="I260" i="10"/>
  <c r="I261" i="10"/>
  <c r="I262" i="10"/>
  <c r="I263" i="10"/>
  <c r="I264" i="10"/>
  <c r="I265" i="10"/>
  <c r="I266" i="10"/>
  <c r="I267" i="10"/>
  <c r="I268" i="10"/>
  <c r="I269" i="10"/>
  <c r="I270" i="10"/>
  <c r="I271" i="10"/>
  <c r="I272" i="10"/>
  <c r="I273" i="10"/>
  <c r="I274" i="10"/>
  <c r="I275" i="10"/>
  <c r="I276" i="10"/>
  <c r="I277" i="10"/>
  <c r="I278" i="10"/>
  <c r="I279" i="10"/>
  <c r="I280" i="10"/>
  <c r="I281" i="10"/>
  <c r="I282" i="10"/>
  <c r="I283" i="10"/>
  <c r="I284" i="10"/>
  <c r="I285" i="10"/>
  <c r="I286" i="10"/>
  <c r="I287" i="10"/>
  <c r="I288" i="10"/>
  <c r="I289" i="10"/>
  <c r="I290" i="10"/>
  <c r="I291" i="10"/>
  <c r="I292" i="10"/>
  <c r="I293" i="10"/>
  <c r="I294" i="10"/>
  <c r="I295" i="10"/>
  <c r="I296" i="10"/>
  <c r="I297" i="10"/>
  <c r="I298" i="10"/>
  <c r="I299" i="10"/>
  <c r="I300" i="10"/>
  <c r="I301" i="10"/>
  <c r="I302" i="10"/>
  <c r="I303" i="10"/>
  <c r="I304" i="10"/>
  <c r="I305" i="10"/>
  <c r="I306" i="10"/>
  <c r="I307" i="10"/>
  <c r="I308" i="10"/>
  <c r="I309" i="10"/>
  <c r="I310" i="10"/>
  <c r="I311" i="10"/>
  <c r="I312" i="10"/>
  <c r="I313" i="10"/>
  <c r="I314" i="10"/>
  <c r="I315" i="10"/>
  <c r="I316" i="10"/>
  <c r="I317" i="10"/>
  <c r="I318" i="10"/>
  <c r="I319" i="10"/>
  <c r="I320" i="10"/>
  <c r="I321" i="10"/>
  <c r="I322" i="10"/>
  <c r="I323" i="10"/>
  <c r="I324" i="10"/>
  <c r="I325" i="10"/>
  <c r="I326" i="10"/>
  <c r="I327" i="10"/>
  <c r="I328" i="10"/>
  <c r="I329" i="10"/>
  <c r="I330" i="10"/>
  <c r="I331" i="10"/>
  <c r="I332" i="10"/>
  <c r="I333" i="10"/>
  <c r="I334" i="10"/>
  <c r="I335" i="10"/>
  <c r="I336" i="10"/>
  <c r="I337" i="10"/>
  <c r="I338" i="10"/>
  <c r="I339" i="10"/>
  <c r="I340" i="10"/>
  <c r="I341" i="10"/>
  <c r="I342" i="10"/>
  <c r="I343" i="10"/>
  <c r="I344" i="10"/>
  <c r="I345" i="10"/>
  <c r="I346" i="10"/>
  <c r="I347" i="10"/>
  <c r="I348" i="10"/>
  <c r="I349" i="10"/>
  <c r="I350" i="10"/>
  <c r="I351" i="10"/>
  <c r="I352" i="10"/>
  <c r="I353" i="10"/>
  <c r="I354" i="10"/>
  <c r="I355" i="10"/>
  <c r="I356" i="10"/>
  <c r="I357" i="10"/>
  <c r="I358" i="10"/>
  <c r="I359" i="10"/>
  <c r="I360" i="10"/>
  <c r="I361" i="10"/>
  <c r="I362" i="10"/>
  <c r="I363" i="10"/>
  <c r="I364" i="10"/>
  <c r="I365" i="10"/>
  <c r="I366" i="10"/>
  <c r="I367" i="10"/>
  <c r="I368" i="10"/>
  <c r="I369" i="10"/>
  <c r="I370" i="10"/>
  <c r="I371" i="10"/>
  <c r="I372" i="10"/>
  <c r="I373" i="10"/>
  <c r="I374" i="10"/>
  <c r="I375" i="10"/>
  <c r="I376" i="10"/>
  <c r="I377" i="10"/>
  <c r="I378" i="10"/>
  <c r="I379" i="10"/>
  <c r="I380" i="10"/>
  <c r="I381" i="10"/>
  <c r="I382" i="10"/>
  <c r="I383" i="10"/>
  <c r="I384" i="10"/>
  <c r="I385" i="10"/>
  <c r="I386" i="10"/>
  <c r="I387" i="10"/>
  <c r="I388" i="10"/>
  <c r="I389" i="10"/>
  <c r="I390" i="10"/>
  <c r="I391" i="10"/>
  <c r="I392" i="10"/>
  <c r="I393" i="10"/>
  <c r="I394" i="10"/>
  <c r="I395" i="10"/>
  <c r="I396" i="10"/>
  <c r="I397" i="10"/>
  <c r="I398" i="10"/>
  <c r="I399" i="10"/>
  <c r="I400" i="10"/>
  <c r="I401" i="10"/>
  <c r="I402" i="10"/>
  <c r="I403" i="10"/>
  <c r="I404" i="10"/>
  <c r="I405" i="10"/>
  <c r="I406" i="10"/>
  <c r="I407" i="10"/>
  <c r="I408" i="10"/>
  <c r="I409" i="10"/>
  <c r="I410" i="10"/>
  <c r="I411" i="10"/>
  <c r="I412" i="10"/>
  <c r="I413" i="10"/>
  <c r="I414" i="10"/>
  <c r="I415" i="10"/>
  <c r="I416" i="10"/>
  <c r="I417" i="10"/>
  <c r="I418" i="10"/>
  <c r="I419" i="10"/>
  <c r="I420" i="10"/>
  <c r="I421" i="10"/>
  <c r="I422" i="10"/>
  <c r="I423" i="10"/>
  <c r="I424" i="10"/>
  <c r="I425" i="10"/>
  <c r="I426" i="10"/>
  <c r="I427" i="10"/>
  <c r="I428" i="10"/>
  <c r="I429" i="10"/>
  <c r="I430" i="10"/>
  <c r="I431" i="10"/>
  <c r="I432" i="10"/>
  <c r="I433" i="10"/>
  <c r="I434" i="10"/>
  <c r="I435" i="10"/>
  <c r="I436" i="10"/>
  <c r="I437" i="10"/>
  <c r="I438" i="10"/>
  <c r="I439" i="10"/>
  <c r="I440" i="10"/>
  <c r="I441" i="10"/>
  <c r="I442" i="10"/>
  <c r="I443" i="10"/>
  <c r="I444" i="10"/>
  <c r="I445" i="10"/>
  <c r="I446" i="10"/>
  <c r="I447" i="10"/>
  <c r="I448" i="10"/>
  <c r="I449" i="10"/>
  <c r="I450" i="10"/>
  <c r="I451" i="10"/>
  <c r="I452" i="10"/>
  <c r="I453" i="10"/>
  <c r="I454" i="10"/>
  <c r="I455" i="10"/>
  <c r="I456" i="10"/>
  <c r="I457" i="10"/>
  <c r="I458" i="10"/>
  <c r="I459" i="10"/>
  <c r="I460" i="10"/>
  <c r="I461" i="10"/>
  <c r="I462" i="10"/>
  <c r="I463" i="10"/>
  <c r="I464" i="10"/>
  <c r="I465" i="10"/>
  <c r="I466" i="10"/>
  <c r="I467" i="10"/>
  <c r="I468" i="10"/>
  <c r="I469" i="10"/>
  <c r="I470" i="10"/>
  <c r="I471" i="10"/>
  <c r="I472" i="10"/>
  <c r="I473" i="10"/>
  <c r="I474" i="10"/>
  <c r="I475" i="10"/>
  <c r="I476" i="10"/>
  <c r="I477" i="10"/>
  <c r="I478" i="10"/>
  <c r="I479" i="10"/>
  <c r="I480" i="10"/>
  <c r="I481" i="10"/>
  <c r="I482" i="10"/>
  <c r="I483" i="10"/>
  <c r="I484" i="10"/>
  <c r="I485" i="10"/>
  <c r="I486" i="10"/>
  <c r="I487" i="10"/>
  <c r="I488" i="10"/>
  <c r="I489" i="10"/>
  <c r="I490" i="10"/>
  <c r="I491" i="10"/>
  <c r="I492" i="10"/>
  <c r="I493" i="10"/>
  <c r="I494" i="10"/>
  <c r="I495" i="10"/>
  <c r="I496" i="10"/>
  <c r="I497" i="10"/>
  <c r="I498" i="10"/>
  <c r="I499" i="10"/>
  <c r="I500" i="10"/>
  <c r="I501" i="10"/>
  <c r="I502" i="10"/>
  <c r="I503" i="10"/>
  <c r="I504" i="10"/>
  <c r="I505" i="10"/>
  <c r="I506" i="10"/>
  <c r="I507" i="10"/>
  <c r="I508" i="10"/>
  <c r="I509" i="10"/>
  <c r="I510" i="10"/>
  <c r="I511" i="10"/>
  <c r="I512" i="10"/>
  <c r="I513" i="10"/>
  <c r="I514" i="10"/>
  <c r="I515" i="10"/>
  <c r="I516" i="10"/>
  <c r="I517" i="10"/>
  <c r="I518" i="10"/>
  <c r="I519" i="10"/>
  <c r="I520" i="10"/>
  <c r="I521" i="10"/>
  <c r="I522" i="10"/>
  <c r="I523" i="10"/>
  <c r="I524" i="10"/>
  <c r="I525" i="10"/>
  <c r="I526" i="10"/>
  <c r="I527" i="10"/>
  <c r="I528" i="10"/>
  <c r="I529" i="10"/>
  <c r="I530" i="10"/>
  <c r="I531" i="10"/>
  <c r="I532" i="10"/>
  <c r="I533" i="10"/>
  <c r="I534" i="10"/>
  <c r="I535" i="10"/>
  <c r="I536" i="10"/>
  <c r="I537" i="10"/>
  <c r="I538" i="10"/>
  <c r="I539" i="10"/>
  <c r="I540" i="10"/>
  <c r="I541" i="10"/>
  <c r="I542" i="10"/>
  <c r="I543" i="10"/>
  <c r="I544" i="10"/>
  <c r="I545" i="10"/>
  <c r="I546" i="10"/>
  <c r="I547" i="10"/>
  <c r="I548" i="10"/>
  <c r="I549" i="10"/>
  <c r="I550" i="10"/>
  <c r="I551" i="10"/>
  <c r="I552" i="10"/>
  <c r="I553" i="10"/>
  <c r="I554" i="10"/>
  <c r="I555" i="10"/>
  <c r="I556" i="10"/>
  <c r="I557" i="10"/>
  <c r="I558" i="10"/>
  <c r="I559" i="10"/>
  <c r="I560" i="10"/>
  <c r="I561" i="10"/>
  <c r="I562" i="10"/>
  <c r="I563" i="10"/>
  <c r="I564" i="10"/>
  <c r="I565" i="10"/>
  <c r="I566" i="10"/>
  <c r="I567" i="10"/>
  <c r="I568" i="10"/>
  <c r="I569" i="10"/>
  <c r="I570" i="10"/>
  <c r="I571" i="10"/>
  <c r="I572" i="10"/>
  <c r="I573" i="10"/>
  <c r="I574" i="10"/>
  <c r="I575" i="10"/>
  <c r="I576" i="10"/>
  <c r="I577" i="10"/>
  <c r="I578" i="10"/>
  <c r="I579" i="10"/>
  <c r="I580" i="10"/>
  <c r="I581" i="10"/>
  <c r="I582" i="10"/>
  <c r="I583" i="10"/>
  <c r="I584" i="10"/>
  <c r="I585" i="10"/>
  <c r="I586" i="10"/>
  <c r="I587" i="10"/>
  <c r="I588" i="10"/>
  <c r="I589" i="10"/>
  <c r="I590" i="10"/>
  <c r="I591" i="10"/>
  <c r="I592" i="10"/>
  <c r="I593" i="10"/>
  <c r="I594" i="10"/>
  <c r="I595" i="10"/>
  <c r="I596" i="10"/>
  <c r="I597" i="10"/>
  <c r="I598" i="10"/>
  <c r="I599" i="10"/>
  <c r="I600" i="10"/>
  <c r="I601" i="10"/>
  <c r="I602" i="10"/>
  <c r="I603" i="10"/>
  <c r="I604" i="10"/>
  <c r="I605" i="10"/>
  <c r="I606" i="10"/>
  <c r="I607" i="10"/>
  <c r="I608" i="10"/>
  <c r="I609" i="10"/>
  <c r="I610" i="10"/>
  <c r="I611" i="10"/>
  <c r="I612" i="10"/>
  <c r="I613" i="10"/>
  <c r="I614" i="10"/>
  <c r="I615" i="10"/>
  <c r="I616" i="10"/>
  <c r="I617" i="10"/>
  <c r="I618" i="10"/>
  <c r="I619" i="10"/>
  <c r="I620" i="10"/>
  <c r="I621" i="10"/>
  <c r="I622" i="10"/>
  <c r="I623" i="10"/>
  <c r="I624" i="10"/>
  <c r="I625" i="10"/>
  <c r="I626" i="10"/>
  <c r="I627" i="10"/>
  <c r="I628" i="10"/>
  <c r="I629" i="10"/>
  <c r="I630" i="10"/>
  <c r="I631" i="10"/>
  <c r="I632" i="10"/>
  <c r="I633" i="10"/>
  <c r="I634" i="10"/>
  <c r="I635" i="10"/>
  <c r="I636" i="10"/>
  <c r="I637" i="10"/>
  <c r="I638" i="10"/>
  <c r="I639" i="10"/>
  <c r="I640" i="10"/>
  <c r="I641" i="10"/>
  <c r="I642" i="10"/>
  <c r="I643" i="10"/>
  <c r="I644" i="10"/>
  <c r="I645" i="10"/>
  <c r="I646" i="10"/>
  <c r="I647" i="10"/>
  <c r="I648" i="10"/>
  <c r="I649" i="10"/>
  <c r="I650" i="10"/>
  <c r="I651" i="10"/>
  <c r="I652" i="10"/>
  <c r="I653" i="10"/>
  <c r="I654" i="10"/>
  <c r="I655" i="10"/>
  <c r="I656" i="10"/>
  <c r="I657" i="10"/>
  <c r="I658" i="10"/>
  <c r="I659" i="10"/>
  <c r="I660" i="10"/>
  <c r="I661" i="10"/>
  <c r="I662" i="10"/>
  <c r="I663" i="10"/>
  <c r="I664" i="10"/>
  <c r="I665" i="10"/>
  <c r="I666" i="10"/>
  <c r="I667" i="10"/>
  <c r="I668" i="10"/>
  <c r="I669" i="10"/>
  <c r="I670" i="10"/>
  <c r="I671" i="10"/>
  <c r="I672" i="10"/>
  <c r="I673" i="10"/>
  <c r="I674" i="10"/>
  <c r="I675" i="10"/>
  <c r="I676" i="10"/>
  <c r="I677" i="10"/>
  <c r="I678" i="10"/>
  <c r="I679" i="10"/>
  <c r="I680" i="10"/>
  <c r="I681" i="10"/>
  <c r="I682" i="10"/>
  <c r="I683" i="10"/>
  <c r="I684" i="10"/>
  <c r="I685" i="10"/>
  <c r="I686" i="10"/>
  <c r="I687" i="10"/>
  <c r="I688" i="10"/>
  <c r="I689" i="10"/>
  <c r="I690" i="10"/>
  <c r="I691" i="10"/>
  <c r="I692" i="10"/>
  <c r="I693" i="10"/>
  <c r="I694" i="10"/>
  <c r="I695" i="10"/>
  <c r="I696" i="10"/>
  <c r="I697" i="10"/>
  <c r="I698" i="10"/>
  <c r="I699" i="10"/>
  <c r="I700" i="10"/>
  <c r="I701" i="10"/>
  <c r="I702" i="10"/>
  <c r="I703" i="10"/>
  <c r="I704" i="10"/>
  <c r="I705" i="10"/>
  <c r="I706" i="10"/>
  <c r="I707" i="10"/>
  <c r="I708" i="10"/>
  <c r="I709" i="10"/>
  <c r="I710" i="10"/>
  <c r="I711" i="10"/>
  <c r="I712" i="10"/>
  <c r="I713" i="10"/>
  <c r="I714" i="10"/>
  <c r="I715" i="10"/>
  <c r="I716" i="10"/>
  <c r="I717" i="10"/>
  <c r="I718" i="10"/>
  <c r="I719" i="10"/>
  <c r="I720" i="10"/>
  <c r="I721" i="10"/>
  <c r="I722" i="10"/>
  <c r="I723" i="10"/>
  <c r="I724" i="10"/>
  <c r="I725" i="10"/>
  <c r="I726" i="10"/>
  <c r="I727" i="10"/>
  <c r="I728" i="10"/>
  <c r="I729" i="10"/>
  <c r="I730" i="10"/>
  <c r="I731" i="10"/>
  <c r="I732" i="10"/>
  <c r="I733" i="10"/>
  <c r="I734" i="10"/>
  <c r="I735" i="10"/>
  <c r="I736" i="10"/>
  <c r="I737" i="10"/>
  <c r="I738" i="10"/>
  <c r="I739" i="10"/>
  <c r="I740" i="10"/>
  <c r="I741" i="10"/>
  <c r="I742" i="10"/>
  <c r="I743" i="10"/>
  <c r="I744" i="10"/>
  <c r="I745" i="10"/>
  <c r="I746" i="10"/>
  <c r="I747" i="10"/>
  <c r="I748" i="10"/>
  <c r="I749" i="10"/>
  <c r="I750" i="10"/>
  <c r="I751" i="10"/>
  <c r="I752" i="10"/>
  <c r="I753" i="10"/>
  <c r="I754" i="10"/>
  <c r="I755" i="10"/>
  <c r="I756" i="10"/>
  <c r="I757" i="10"/>
  <c r="I758" i="10"/>
  <c r="I759" i="10"/>
  <c r="I760" i="10"/>
  <c r="I761" i="10"/>
  <c r="I762" i="10"/>
  <c r="I763" i="10"/>
  <c r="I764" i="10"/>
  <c r="I765" i="10"/>
  <c r="I766" i="10"/>
  <c r="I767" i="10"/>
  <c r="I768" i="10"/>
  <c r="I769" i="10"/>
  <c r="I770" i="10"/>
  <c r="I771" i="10"/>
  <c r="I772" i="10"/>
  <c r="I773" i="10"/>
  <c r="I774" i="10"/>
  <c r="I775" i="10"/>
  <c r="I776" i="10"/>
  <c r="I777" i="10"/>
  <c r="I778" i="10"/>
  <c r="I779" i="10"/>
  <c r="I780" i="10"/>
  <c r="I781" i="10"/>
  <c r="I782" i="10"/>
  <c r="I783" i="10"/>
  <c r="I784" i="10"/>
  <c r="I785" i="10"/>
  <c r="I786" i="10"/>
  <c r="I787" i="10"/>
  <c r="I788" i="10"/>
  <c r="I789" i="10"/>
  <c r="I790" i="10"/>
  <c r="I791" i="10"/>
  <c r="I792" i="10"/>
  <c r="I793" i="10"/>
  <c r="I794" i="10"/>
  <c r="I795" i="10"/>
  <c r="I796" i="10"/>
  <c r="I797" i="10"/>
  <c r="I798" i="10"/>
  <c r="I799" i="10"/>
  <c r="I800" i="10"/>
  <c r="I801" i="10"/>
  <c r="I802" i="10"/>
  <c r="I803" i="10"/>
  <c r="I804" i="10"/>
  <c r="I805" i="10"/>
  <c r="I806" i="10"/>
  <c r="I807" i="10"/>
  <c r="I808" i="10"/>
  <c r="I809" i="10"/>
  <c r="I810" i="10"/>
  <c r="I811" i="10"/>
  <c r="I812" i="10"/>
  <c r="I813" i="10"/>
  <c r="I814" i="10"/>
  <c r="I815" i="10"/>
  <c r="I816" i="10"/>
  <c r="I817" i="10"/>
  <c r="I818" i="10"/>
  <c r="I819" i="10"/>
  <c r="I820" i="10"/>
  <c r="I821" i="10"/>
  <c r="I822" i="10"/>
  <c r="I823" i="10"/>
  <c r="I824" i="10"/>
  <c r="I825" i="10"/>
  <c r="I826" i="10"/>
  <c r="I827" i="10"/>
  <c r="I828" i="10"/>
  <c r="I829" i="10"/>
  <c r="I830" i="10"/>
  <c r="I831" i="10"/>
  <c r="I832" i="10"/>
  <c r="I833" i="10"/>
  <c r="I834" i="10"/>
  <c r="I835" i="10"/>
  <c r="I836" i="10"/>
  <c r="I837" i="10"/>
  <c r="I838" i="10"/>
  <c r="I839" i="10"/>
  <c r="I840" i="10"/>
  <c r="I841" i="10"/>
  <c r="I842" i="10"/>
  <c r="I843" i="10"/>
  <c r="I844" i="10"/>
  <c r="I845" i="10"/>
  <c r="I846" i="10"/>
  <c r="I847" i="10"/>
  <c r="I848" i="10"/>
  <c r="I849" i="10"/>
  <c r="I850" i="10"/>
  <c r="I851" i="10"/>
  <c r="I852" i="10"/>
  <c r="I853" i="10"/>
  <c r="I854" i="10"/>
  <c r="I855" i="10"/>
  <c r="I856" i="10"/>
  <c r="I857" i="10"/>
  <c r="I858" i="10"/>
  <c r="I859" i="10"/>
  <c r="I860" i="10"/>
  <c r="I861" i="10"/>
  <c r="I862" i="10"/>
  <c r="I863" i="10"/>
  <c r="I864" i="10"/>
  <c r="I865" i="10"/>
  <c r="I866" i="10"/>
  <c r="I867" i="10"/>
  <c r="I868" i="10"/>
  <c r="I869" i="10"/>
  <c r="I870" i="10"/>
  <c r="I871" i="10"/>
  <c r="I872" i="10"/>
  <c r="I873" i="10"/>
  <c r="I874" i="10"/>
  <c r="I875" i="10"/>
  <c r="I876" i="10"/>
  <c r="I877" i="10"/>
  <c r="I878" i="10"/>
  <c r="I879" i="10"/>
  <c r="I880" i="10"/>
  <c r="I881" i="10"/>
  <c r="I882" i="10"/>
  <c r="I883" i="10"/>
  <c r="I884" i="10"/>
  <c r="I885" i="10"/>
  <c r="I886" i="10"/>
  <c r="I887" i="10"/>
  <c r="I888" i="10"/>
  <c r="I889" i="10"/>
  <c r="I890" i="10"/>
  <c r="I891" i="10"/>
  <c r="I892" i="10"/>
  <c r="I893" i="10"/>
  <c r="I894" i="10"/>
  <c r="I895" i="10"/>
  <c r="I896" i="10"/>
  <c r="I897" i="10"/>
  <c r="I898" i="10"/>
  <c r="I899" i="10"/>
  <c r="I900" i="10"/>
  <c r="I901" i="10"/>
  <c r="I902" i="10"/>
  <c r="I903" i="10"/>
  <c r="I904" i="10"/>
  <c r="I905" i="10"/>
  <c r="I906" i="10"/>
  <c r="I907" i="10"/>
  <c r="I908" i="10"/>
  <c r="I909" i="10"/>
  <c r="I910" i="10"/>
  <c r="I911" i="10"/>
  <c r="I912" i="10"/>
  <c r="I913" i="10"/>
  <c r="I914" i="10"/>
  <c r="I915" i="10"/>
  <c r="I916" i="10"/>
  <c r="I917" i="10"/>
  <c r="I918" i="10"/>
  <c r="I919" i="10"/>
  <c r="I920" i="10"/>
  <c r="I921" i="10"/>
  <c r="I922" i="10"/>
  <c r="I923" i="10"/>
  <c r="I924" i="10"/>
  <c r="I925" i="10"/>
  <c r="I926" i="10"/>
  <c r="I927" i="10"/>
  <c r="I928" i="10"/>
  <c r="I929" i="10"/>
  <c r="I930" i="10"/>
  <c r="I931" i="10"/>
  <c r="I932" i="10"/>
  <c r="I933" i="10"/>
  <c r="I934" i="10"/>
  <c r="I935" i="10"/>
  <c r="I936" i="10"/>
  <c r="I937" i="10"/>
  <c r="I938" i="10"/>
  <c r="I939" i="10"/>
  <c r="I940" i="10"/>
  <c r="I941" i="10"/>
  <c r="I942" i="10"/>
  <c r="I943" i="10"/>
  <c r="I944" i="10"/>
  <c r="I945" i="10"/>
  <c r="I946" i="10"/>
  <c r="I947" i="10"/>
  <c r="I948" i="10"/>
  <c r="I949" i="10"/>
  <c r="I950" i="10"/>
  <c r="I951" i="10"/>
  <c r="I952" i="10"/>
  <c r="I953" i="10"/>
  <c r="I954" i="10"/>
  <c r="I955" i="10"/>
  <c r="I956" i="10"/>
  <c r="I957" i="10"/>
  <c r="I958" i="10"/>
  <c r="I959" i="10"/>
  <c r="I960" i="10"/>
  <c r="I961" i="10"/>
  <c r="I962" i="10"/>
  <c r="I963" i="10"/>
  <c r="I964" i="10"/>
  <c r="I965" i="10"/>
  <c r="I966" i="10"/>
  <c r="I967" i="10"/>
  <c r="I968" i="10"/>
  <c r="I969" i="10"/>
  <c r="I970" i="10"/>
  <c r="I971" i="10"/>
  <c r="I972" i="10"/>
  <c r="I973" i="10"/>
  <c r="I974" i="10"/>
  <c r="I975" i="10"/>
  <c r="I976" i="10"/>
  <c r="I977" i="10"/>
  <c r="I978" i="10"/>
  <c r="I979" i="10"/>
  <c r="I980" i="10"/>
  <c r="I981" i="10"/>
  <c r="I982" i="10"/>
  <c r="I983" i="10"/>
  <c r="I984" i="10"/>
  <c r="I985" i="10"/>
  <c r="I986" i="10"/>
  <c r="I987" i="10"/>
  <c r="I988" i="10"/>
  <c r="I989" i="10"/>
  <c r="I990" i="10"/>
  <c r="I991" i="10"/>
  <c r="I992" i="10"/>
  <c r="I993" i="10"/>
  <c r="I994" i="10"/>
  <c r="I995" i="10"/>
  <c r="I996" i="10"/>
  <c r="I997" i="10"/>
  <c r="I998" i="10"/>
  <c r="I999" i="10"/>
  <c r="I1000" i="10"/>
  <c r="I1001" i="10"/>
  <c r="I1002" i="10"/>
  <c r="I1003" i="10"/>
  <c r="I1004" i="10"/>
  <c r="I1005" i="10"/>
  <c r="I1006" i="10"/>
  <c r="I1007" i="10"/>
  <c r="I1008" i="10"/>
  <c r="I1009" i="10"/>
  <c r="I1010" i="10"/>
  <c r="I1011" i="10"/>
  <c r="I1012" i="10"/>
  <c r="I1013" i="10"/>
  <c r="I1014" i="10"/>
  <c r="I1015" i="10"/>
  <c r="I1016" i="10"/>
  <c r="I1017" i="10"/>
  <c r="I1018" i="10"/>
  <c r="I1019" i="10"/>
  <c r="I1020" i="10"/>
  <c r="I1021" i="10"/>
  <c r="I1022" i="10"/>
  <c r="I1023" i="10"/>
  <c r="I1024" i="10"/>
  <c r="I1025" i="10"/>
  <c r="I1026" i="10"/>
  <c r="I1027" i="10"/>
  <c r="I1028" i="10"/>
  <c r="I1029" i="10"/>
  <c r="I1030" i="10"/>
  <c r="I1031" i="10"/>
  <c r="I1032" i="10"/>
  <c r="I1033" i="10"/>
  <c r="I1034" i="10"/>
  <c r="I1035" i="10"/>
  <c r="I1036" i="10"/>
  <c r="I1037" i="10"/>
  <c r="I1038" i="10"/>
  <c r="I1039" i="10"/>
  <c r="I1040" i="10"/>
  <c r="I1041" i="10"/>
  <c r="I1042" i="10"/>
  <c r="I1043" i="10"/>
  <c r="I1044" i="10"/>
  <c r="I1045" i="10"/>
  <c r="I1046" i="10"/>
  <c r="I1047" i="10"/>
  <c r="I1048" i="10"/>
  <c r="I1049" i="10"/>
  <c r="I1050" i="10"/>
  <c r="I1051" i="10"/>
  <c r="I1052" i="10"/>
  <c r="I1053" i="10"/>
  <c r="I1054" i="10"/>
  <c r="I1055" i="10"/>
  <c r="I1056" i="10"/>
  <c r="I1057" i="10"/>
  <c r="I1058" i="10"/>
  <c r="I1059" i="10"/>
  <c r="I1060" i="10"/>
  <c r="I1061" i="10"/>
  <c r="I1062" i="10"/>
  <c r="I1063" i="10"/>
  <c r="I1064" i="10"/>
  <c r="I1065" i="10"/>
  <c r="I1066" i="10"/>
  <c r="I1067" i="10"/>
  <c r="I1068" i="10"/>
  <c r="I1069" i="10"/>
  <c r="I1070" i="10"/>
  <c r="I1071" i="10"/>
  <c r="I1072" i="10"/>
  <c r="I1073" i="10"/>
  <c r="I1074" i="10"/>
  <c r="I1075" i="10"/>
  <c r="I1076" i="10"/>
  <c r="I1077" i="10"/>
  <c r="I1078" i="10"/>
  <c r="I1079" i="10"/>
  <c r="I1080" i="10"/>
  <c r="I1081" i="10"/>
  <c r="I1082" i="10"/>
  <c r="I1083" i="10"/>
  <c r="I1084" i="10"/>
  <c r="I1085" i="10"/>
  <c r="I1086" i="10"/>
  <c r="I1087" i="10"/>
  <c r="I1088" i="10"/>
  <c r="I1089" i="10"/>
  <c r="I1090" i="10"/>
  <c r="I1091" i="10"/>
  <c r="I1092" i="10"/>
  <c r="I1093" i="10"/>
  <c r="I1094" i="10"/>
  <c r="I1095" i="10"/>
  <c r="I1096" i="10"/>
  <c r="I1097" i="10"/>
  <c r="I1098" i="10"/>
  <c r="I1099" i="10"/>
  <c r="I1100" i="10"/>
  <c r="I1101" i="10"/>
  <c r="I1102" i="10"/>
  <c r="I1103" i="10"/>
  <c r="I1104" i="10"/>
  <c r="I1105" i="10"/>
  <c r="I1106" i="10"/>
  <c r="I1107" i="10"/>
  <c r="I1108" i="10"/>
  <c r="I1109" i="10"/>
  <c r="I1110" i="10"/>
  <c r="I1111" i="10"/>
  <c r="I1112" i="10"/>
  <c r="I1113" i="10"/>
  <c r="I1114" i="10"/>
  <c r="I1115" i="10"/>
  <c r="I1116" i="10"/>
  <c r="I1117" i="10"/>
  <c r="I1118" i="10"/>
  <c r="I1119" i="10"/>
  <c r="I1120" i="10"/>
  <c r="I1121" i="10"/>
  <c r="I1122" i="10"/>
  <c r="I1123" i="10"/>
  <c r="I1124" i="10"/>
  <c r="I1125" i="10"/>
  <c r="I1126" i="10"/>
  <c r="I1127" i="10"/>
  <c r="I1128" i="10"/>
  <c r="I1129" i="10"/>
  <c r="I1130" i="10"/>
  <c r="I1131" i="10"/>
  <c r="I1132" i="10"/>
  <c r="I1133" i="10"/>
  <c r="I1134" i="10"/>
  <c r="I1135" i="10"/>
  <c r="I1136" i="10"/>
  <c r="I1137" i="10"/>
  <c r="I1138" i="10"/>
  <c r="I1139" i="10"/>
  <c r="I1140" i="10"/>
  <c r="I1141" i="10"/>
  <c r="I1142" i="10"/>
  <c r="I1143" i="10"/>
  <c r="I1144" i="10"/>
  <c r="I1145" i="10"/>
  <c r="I1146" i="10"/>
  <c r="I1147" i="10"/>
  <c r="I1148" i="10"/>
  <c r="I1149" i="10"/>
  <c r="I1150" i="10"/>
  <c r="I1151" i="10"/>
  <c r="I1152" i="10"/>
  <c r="I1153" i="10"/>
  <c r="I1154" i="10"/>
  <c r="I1155" i="10"/>
  <c r="I1156" i="10"/>
  <c r="I1157" i="10"/>
  <c r="I1158" i="10"/>
  <c r="I1159" i="10"/>
  <c r="I1160" i="10"/>
  <c r="I1161" i="10"/>
  <c r="I1162" i="10"/>
  <c r="I1163" i="10"/>
  <c r="I1164" i="10"/>
  <c r="I1165" i="10"/>
  <c r="I1166" i="10"/>
  <c r="I1167" i="10"/>
  <c r="I1168" i="10"/>
  <c r="I1169" i="10"/>
  <c r="I1170" i="10"/>
  <c r="I1171" i="10"/>
  <c r="I1172" i="10"/>
  <c r="I1173" i="10"/>
  <c r="I1174" i="10"/>
  <c r="I1175" i="10"/>
  <c r="I1176" i="10"/>
  <c r="I1177" i="10"/>
  <c r="I1178" i="10"/>
  <c r="I1179" i="10"/>
  <c r="I1180" i="10"/>
  <c r="I1181" i="10"/>
  <c r="I1182" i="10"/>
  <c r="I1183" i="10"/>
  <c r="I1184" i="10"/>
  <c r="I1185" i="10"/>
  <c r="I1186" i="10"/>
  <c r="I1187" i="10"/>
  <c r="I1188" i="10"/>
  <c r="I1189" i="10"/>
  <c r="I1190" i="10"/>
  <c r="I1191" i="10"/>
  <c r="I1192" i="10"/>
  <c r="I1193" i="10"/>
  <c r="I1194" i="10"/>
  <c r="I1195" i="10"/>
  <c r="I1196" i="10"/>
  <c r="I1197" i="10"/>
  <c r="I1198" i="10"/>
  <c r="I1199" i="10"/>
  <c r="I1200" i="10"/>
  <c r="I1201" i="10"/>
  <c r="I1202" i="10"/>
  <c r="I1203" i="10"/>
  <c r="I1204" i="10"/>
  <c r="I1205" i="10"/>
  <c r="I1206" i="10"/>
  <c r="I1207" i="10"/>
  <c r="I1208" i="10"/>
  <c r="I1209" i="10"/>
  <c r="I1210" i="10"/>
  <c r="I1211" i="10"/>
  <c r="I1212" i="10"/>
  <c r="I1213" i="10"/>
  <c r="I1214" i="10"/>
  <c r="I1215" i="10"/>
  <c r="I1216" i="10"/>
  <c r="I1217" i="10"/>
  <c r="I1218" i="10"/>
  <c r="I1219" i="10"/>
  <c r="I1220" i="10"/>
  <c r="I1221" i="10"/>
  <c r="I1222" i="10"/>
  <c r="I1223" i="10"/>
  <c r="I1224" i="10"/>
  <c r="I1225" i="10"/>
  <c r="I1226" i="10"/>
  <c r="I1227" i="10"/>
  <c r="I1228" i="10"/>
  <c r="I1229" i="10"/>
  <c r="I1230" i="10"/>
  <c r="I1231" i="10"/>
  <c r="I1232" i="10"/>
  <c r="I1233" i="10"/>
  <c r="I1234" i="10"/>
  <c r="I1235" i="10"/>
  <c r="I1236" i="10"/>
  <c r="I1237" i="10"/>
  <c r="I1238" i="10"/>
  <c r="I1239" i="10"/>
  <c r="I1240" i="10"/>
  <c r="I1241" i="10"/>
  <c r="I1242" i="10"/>
  <c r="I1243" i="10"/>
  <c r="I1244" i="10"/>
  <c r="I1245" i="10"/>
  <c r="I1246" i="10"/>
  <c r="I1247" i="10"/>
  <c r="I1248" i="10"/>
  <c r="I1249" i="10"/>
  <c r="I1250" i="10"/>
  <c r="I1251" i="10"/>
  <c r="I1252" i="10"/>
  <c r="I1253" i="10"/>
  <c r="I1254" i="10"/>
  <c r="I1255" i="10"/>
  <c r="I1256" i="10"/>
  <c r="I1257" i="10"/>
  <c r="I1258" i="10"/>
  <c r="I1259" i="10"/>
  <c r="I1260" i="10"/>
  <c r="I1261" i="10"/>
  <c r="I1262" i="10"/>
  <c r="I1263" i="10"/>
  <c r="I1264" i="10"/>
  <c r="I1265" i="10"/>
  <c r="I1266" i="10"/>
  <c r="I1267" i="10"/>
  <c r="I1268" i="10"/>
  <c r="I1269" i="10"/>
  <c r="I1270" i="10"/>
  <c r="I1271" i="10"/>
  <c r="I1272" i="10"/>
  <c r="I1273" i="10"/>
  <c r="I1274" i="10"/>
  <c r="I1275" i="10"/>
  <c r="I1276" i="10"/>
  <c r="I1277" i="10"/>
  <c r="I1278" i="10"/>
  <c r="I1279" i="10"/>
  <c r="I1280" i="10"/>
  <c r="I1281" i="10"/>
  <c r="I1282" i="10"/>
  <c r="I1283" i="10"/>
  <c r="I1284" i="10"/>
  <c r="I1285" i="10"/>
  <c r="I1286" i="10"/>
  <c r="I1287" i="10"/>
  <c r="I1288" i="10"/>
  <c r="I1289" i="10"/>
  <c r="I1290" i="10"/>
  <c r="I1291" i="10"/>
  <c r="I1292" i="10"/>
  <c r="I1293" i="10"/>
  <c r="I1294" i="10"/>
  <c r="I1295" i="10"/>
  <c r="I1296" i="10"/>
  <c r="I1297" i="10"/>
  <c r="I1298" i="10"/>
  <c r="I1299" i="10"/>
  <c r="I1300" i="10"/>
  <c r="I1301" i="10"/>
  <c r="I1302" i="10"/>
  <c r="I1303" i="10"/>
  <c r="I1304" i="10"/>
  <c r="I1305" i="10"/>
  <c r="I1306" i="10"/>
  <c r="I1307" i="10"/>
  <c r="I1308" i="10"/>
  <c r="I1309" i="10"/>
  <c r="I1310" i="10"/>
  <c r="I1311" i="10"/>
  <c r="I1312" i="10"/>
  <c r="I1313" i="10"/>
  <c r="I1314" i="10"/>
  <c r="I1315" i="10"/>
  <c r="I1316" i="10"/>
  <c r="I1317" i="10"/>
  <c r="I1318" i="10"/>
  <c r="I1319" i="10"/>
  <c r="I1320" i="10"/>
  <c r="I1321" i="10"/>
  <c r="I1322" i="10"/>
  <c r="I1323" i="10"/>
  <c r="I1324" i="10"/>
  <c r="I1325" i="10"/>
  <c r="I1326" i="10"/>
  <c r="I1327" i="10"/>
  <c r="I1328" i="10"/>
  <c r="I1329" i="10"/>
  <c r="I1330" i="10"/>
  <c r="I1331" i="10"/>
  <c r="I1332" i="10"/>
  <c r="I1333" i="10"/>
  <c r="I1334" i="10"/>
  <c r="I1335" i="10"/>
  <c r="I1336" i="10"/>
  <c r="I1337" i="10"/>
  <c r="I1338" i="10"/>
  <c r="I1339" i="10"/>
  <c r="I1340" i="10"/>
  <c r="I1341" i="10"/>
  <c r="I1342" i="10"/>
  <c r="I1343" i="10"/>
  <c r="I1344" i="10"/>
  <c r="I1345" i="10"/>
  <c r="I1346" i="10"/>
  <c r="I1347" i="10"/>
  <c r="I1348" i="10"/>
  <c r="I1349" i="10"/>
  <c r="I1350" i="10"/>
  <c r="I1351" i="10"/>
  <c r="I1352" i="10"/>
  <c r="I1353" i="10"/>
  <c r="I1354" i="10"/>
  <c r="I1355" i="10"/>
  <c r="I1356" i="10"/>
  <c r="I1357" i="10"/>
  <c r="I1358" i="10"/>
  <c r="I1359" i="10"/>
  <c r="I1360" i="10"/>
  <c r="I1361" i="10"/>
  <c r="I1362" i="10"/>
  <c r="I1363" i="10"/>
  <c r="I1364" i="10"/>
  <c r="I1365" i="10"/>
  <c r="I1366" i="10"/>
  <c r="I1367" i="10"/>
  <c r="I1368" i="10"/>
  <c r="I1369" i="10"/>
  <c r="I1370" i="10"/>
  <c r="I1371" i="10"/>
  <c r="I1372" i="10"/>
  <c r="I1373" i="10"/>
  <c r="I1374" i="10"/>
  <c r="I1375" i="10"/>
  <c r="I1376" i="10"/>
  <c r="I1377" i="10"/>
  <c r="I1378" i="10"/>
  <c r="I1379" i="10"/>
  <c r="I1380" i="10"/>
  <c r="I1381" i="10"/>
  <c r="I1382" i="10"/>
  <c r="I1383" i="10"/>
  <c r="I1384" i="10"/>
  <c r="I1385" i="10"/>
  <c r="I1386" i="10"/>
  <c r="I1387" i="10"/>
  <c r="I1388" i="10"/>
  <c r="I1389" i="10"/>
  <c r="I1390" i="10"/>
  <c r="I1391" i="10"/>
  <c r="I1392" i="10"/>
  <c r="I1393" i="10"/>
  <c r="I1394" i="10"/>
  <c r="I1395" i="10"/>
  <c r="I1396" i="10"/>
  <c r="I1397" i="10"/>
  <c r="I1398" i="10"/>
  <c r="I1399" i="10"/>
  <c r="I1400" i="10"/>
  <c r="I1401" i="10"/>
  <c r="I2" i="10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301" i="10"/>
  <c r="H302" i="10"/>
  <c r="H303" i="10"/>
  <c r="H304" i="10"/>
  <c r="H305" i="10"/>
  <c r="H306" i="10"/>
  <c r="H307" i="10"/>
  <c r="H308" i="10"/>
  <c r="H309" i="10"/>
  <c r="H310" i="10"/>
  <c r="H311" i="10"/>
  <c r="H312" i="10"/>
  <c r="H313" i="10"/>
  <c r="H314" i="10"/>
  <c r="H315" i="10"/>
  <c r="H316" i="10"/>
  <c r="H317" i="10"/>
  <c r="H318" i="10"/>
  <c r="H319" i="10"/>
  <c r="H320" i="10"/>
  <c r="H321" i="10"/>
  <c r="H322" i="10"/>
  <c r="H323" i="10"/>
  <c r="H324" i="10"/>
  <c r="H325" i="10"/>
  <c r="H326" i="10"/>
  <c r="H327" i="10"/>
  <c r="H328" i="10"/>
  <c r="H329" i="10"/>
  <c r="H330" i="10"/>
  <c r="H331" i="10"/>
  <c r="H332" i="10"/>
  <c r="H333" i="10"/>
  <c r="H334" i="10"/>
  <c r="H335" i="10"/>
  <c r="H336" i="10"/>
  <c r="H337" i="10"/>
  <c r="H338" i="10"/>
  <c r="H339" i="10"/>
  <c r="H340" i="10"/>
  <c r="H341" i="10"/>
  <c r="H342" i="10"/>
  <c r="H343" i="10"/>
  <c r="H344" i="10"/>
  <c r="H345" i="10"/>
  <c r="H346" i="10"/>
  <c r="H347" i="10"/>
  <c r="H348" i="10"/>
  <c r="H349" i="10"/>
  <c r="H350" i="10"/>
  <c r="H351" i="10"/>
  <c r="H352" i="10"/>
  <c r="H353" i="10"/>
  <c r="H354" i="10"/>
  <c r="H355" i="10"/>
  <c r="H356" i="10"/>
  <c r="H357" i="10"/>
  <c r="H358" i="10"/>
  <c r="H359" i="10"/>
  <c r="H360" i="10"/>
  <c r="H361" i="10"/>
  <c r="H362" i="10"/>
  <c r="H363" i="10"/>
  <c r="H364" i="10"/>
  <c r="H365" i="10"/>
  <c r="H366" i="10"/>
  <c r="H367" i="10"/>
  <c r="H368" i="10"/>
  <c r="H369" i="10"/>
  <c r="H370" i="10"/>
  <c r="H371" i="10"/>
  <c r="H372" i="10"/>
  <c r="H373" i="10"/>
  <c r="H374" i="10"/>
  <c r="H375" i="10"/>
  <c r="H376" i="10"/>
  <c r="H377" i="10"/>
  <c r="H378" i="10"/>
  <c r="H379" i="10"/>
  <c r="H380" i="10"/>
  <c r="H381" i="10"/>
  <c r="H382" i="10"/>
  <c r="H383" i="10"/>
  <c r="H384" i="10"/>
  <c r="H385" i="10"/>
  <c r="H386" i="10"/>
  <c r="H387" i="10"/>
  <c r="H388" i="10"/>
  <c r="H389" i="10"/>
  <c r="H390" i="10"/>
  <c r="H391" i="10"/>
  <c r="H392" i="10"/>
  <c r="H393" i="10"/>
  <c r="H394" i="10"/>
  <c r="H395" i="10"/>
  <c r="H396" i="10"/>
  <c r="H397" i="10"/>
  <c r="H398" i="10"/>
  <c r="H399" i="10"/>
  <c r="H400" i="10"/>
  <c r="H401" i="10"/>
  <c r="H402" i="10"/>
  <c r="H403" i="10"/>
  <c r="H404" i="10"/>
  <c r="H405" i="10"/>
  <c r="H406" i="10"/>
  <c r="H407" i="10"/>
  <c r="H408" i="10"/>
  <c r="H409" i="10"/>
  <c r="H410" i="10"/>
  <c r="H411" i="10"/>
  <c r="H412" i="10"/>
  <c r="H413" i="10"/>
  <c r="H414" i="10"/>
  <c r="H415" i="10"/>
  <c r="H416" i="10"/>
  <c r="H417" i="10"/>
  <c r="H418" i="10"/>
  <c r="H419" i="10"/>
  <c r="H420" i="10"/>
  <c r="H421" i="10"/>
  <c r="H422" i="10"/>
  <c r="H423" i="10"/>
  <c r="H424" i="10"/>
  <c r="H425" i="10"/>
  <c r="H426" i="10"/>
  <c r="H427" i="10"/>
  <c r="H428" i="10"/>
  <c r="H429" i="10"/>
  <c r="H430" i="10"/>
  <c r="H431" i="10"/>
  <c r="H432" i="10"/>
  <c r="H433" i="10"/>
  <c r="H434" i="10"/>
  <c r="H435" i="10"/>
  <c r="H436" i="10"/>
  <c r="H437" i="10"/>
  <c r="H438" i="10"/>
  <c r="H439" i="10"/>
  <c r="H440" i="10"/>
  <c r="H441" i="10"/>
  <c r="H442" i="10"/>
  <c r="H443" i="10"/>
  <c r="H444" i="10"/>
  <c r="H445" i="10"/>
  <c r="H446" i="10"/>
  <c r="H447" i="10"/>
  <c r="H448" i="10"/>
  <c r="H449" i="10"/>
  <c r="H450" i="10"/>
  <c r="H451" i="10"/>
  <c r="H452" i="10"/>
  <c r="H453" i="10"/>
  <c r="H454" i="10"/>
  <c r="H455" i="10"/>
  <c r="H456" i="10"/>
  <c r="H457" i="10"/>
  <c r="H458" i="10"/>
  <c r="H459" i="10"/>
  <c r="H460" i="10"/>
  <c r="H461" i="10"/>
  <c r="H462" i="10"/>
  <c r="H463" i="10"/>
  <c r="H464" i="10"/>
  <c r="H465" i="10"/>
  <c r="H466" i="10"/>
  <c r="H467" i="10"/>
  <c r="H468" i="10"/>
  <c r="H469" i="10"/>
  <c r="H470" i="10"/>
  <c r="H471" i="10"/>
  <c r="H472" i="10"/>
  <c r="H473" i="10"/>
  <c r="H474" i="10"/>
  <c r="H475" i="10"/>
  <c r="H476" i="10"/>
  <c r="H477" i="10"/>
  <c r="H478" i="10"/>
  <c r="H479" i="10"/>
  <c r="H480" i="10"/>
  <c r="H481" i="10"/>
  <c r="H482" i="10"/>
  <c r="H483" i="10"/>
  <c r="H484" i="10"/>
  <c r="H485" i="10"/>
  <c r="H486" i="10"/>
  <c r="H487" i="10"/>
  <c r="H488" i="10"/>
  <c r="H489" i="10"/>
  <c r="H490" i="10"/>
  <c r="H491" i="10"/>
  <c r="H492" i="10"/>
  <c r="H493" i="10"/>
  <c r="H494" i="10"/>
  <c r="H495" i="10"/>
  <c r="H496" i="10"/>
  <c r="H497" i="10"/>
  <c r="H498" i="10"/>
  <c r="H499" i="10"/>
  <c r="H500" i="10"/>
  <c r="H501" i="10"/>
  <c r="H502" i="10"/>
  <c r="H503" i="10"/>
  <c r="H504" i="10"/>
  <c r="H505" i="10"/>
  <c r="H506" i="10"/>
  <c r="H507" i="10"/>
  <c r="H508" i="10"/>
  <c r="H509" i="10"/>
  <c r="H510" i="10"/>
  <c r="H511" i="10"/>
  <c r="H512" i="10"/>
  <c r="H513" i="10"/>
  <c r="H514" i="10"/>
  <c r="H515" i="10"/>
  <c r="H516" i="10"/>
  <c r="H517" i="10"/>
  <c r="H518" i="10"/>
  <c r="H519" i="10"/>
  <c r="H520" i="10"/>
  <c r="H521" i="10"/>
  <c r="H522" i="10"/>
  <c r="H523" i="10"/>
  <c r="H524" i="10"/>
  <c r="H525" i="10"/>
  <c r="H526" i="10"/>
  <c r="H527" i="10"/>
  <c r="H528" i="10"/>
  <c r="H529" i="10"/>
  <c r="H530" i="10"/>
  <c r="H531" i="10"/>
  <c r="H532" i="10"/>
  <c r="H533" i="10"/>
  <c r="H534" i="10"/>
  <c r="H535" i="10"/>
  <c r="H536" i="10"/>
  <c r="H537" i="10"/>
  <c r="H538" i="10"/>
  <c r="H539" i="10"/>
  <c r="H540" i="10"/>
  <c r="H541" i="10"/>
  <c r="H542" i="10"/>
  <c r="H543" i="10"/>
  <c r="H544" i="10"/>
  <c r="H545" i="10"/>
  <c r="H546" i="10"/>
  <c r="H547" i="10"/>
  <c r="H548" i="10"/>
  <c r="H549" i="10"/>
  <c r="H550" i="10"/>
  <c r="H551" i="10"/>
  <c r="H552" i="10"/>
  <c r="H553" i="10"/>
  <c r="H554" i="10"/>
  <c r="H555" i="10"/>
  <c r="H556" i="10"/>
  <c r="H557" i="10"/>
  <c r="H558" i="10"/>
  <c r="H559" i="10"/>
  <c r="H560" i="10"/>
  <c r="H561" i="10"/>
  <c r="H562" i="10"/>
  <c r="H563" i="10"/>
  <c r="H564" i="10"/>
  <c r="H565" i="10"/>
  <c r="H566" i="10"/>
  <c r="H567" i="10"/>
  <c r="H568" i="10"/>
  <c r="H569" i="10"/>
  <c r="H570" i="10"/>
  <c r="H571" i="10"/>
  <c r="H572" i="10"/>
  <c r="H573" i="10"/>
  <c r="H574" i="10"/>
  <c r="H575" i="10"/>
  <c r="H576" i="10"/>
  <c r="H577" i="10"/>
  <c r="H578" i="10"/>
  <c r="H579" i="10"/>
  <c r="H580" i="10"/>
  <c r="H581" i="10"/>
  <c r="H582" i="10"/>
  <c r="H583" i="10"/>
  <c r="H584" i="10"/>
  <c r="H585" i="10"/>
  <c r="H586" i="10"/>
  <c r="H587" i="10"/>
  <c r="H588" i="10"/>
  <c r="H589" i="10"/>
  <c r="H590" i="10"/>
  <c r="H591" i="10"/>
  <c r="H592" i="10"/>
  <c r="H593" i="10"/>
  <c r="H594" i="10"/>
  <c r="H595" i="10"/>
  <c r="H596" i="10"/>
  <c r="H597" i="10"/>
  <c r="H598" i="10"/>
  <c r="H599" i="10"/>
  <c r="H600" i="10"/>
  <c r="H601" i="10"/>
  <c r="H602" i="10"/>
  <c r="H603" i="10"/>
  <c r="H604" i="10"/>
  <c r="H605" i="10"/>
  <c r="H606" i="10"/>
  <c r="H607" i="10"/>
  <c r="H608" i="10"/>
  <c r="H609" i="10"/>
  <c r="H610" i="10"/>
  <c r="H611" i="10"/>
  <c r="H612" i="10"/>
  <c r="H613" i="10"/>
  <c r="H614" i="10"/>
  <c r="H615" i="10"/>
  <c r="H616" i="10"/>
  <c r="H617" i="10"/>
  <c r="H618" i="10"/>
  <c r="H619" i="10"/>
  <c r="H620" i="10"/>
  <c r="H621" i="10"/>
  <c r="H622" i="10"/>
  <c r="H623" i="10"/>
  <c r="H624" i="10"/>
  <c r="H625" i="10"/>
  <c r="H626" i="10"/>
  <c r="H627" i="10"/>
  <c r="H628" i="10"/>
  <c r="H629" i="10"/>
  <c r="H630" i="10"/>
  <c r="H631" i="10"/>
  <c r="H632" i="10"/>
  <c r="H633" i="10"/>
  <c r="H634" i="10"/>
  <c r="H635" i="10"/>
  <c r="H636" i="10"/>
  <c r="H637" i="10"/>
  <c r="H638" i="10"/>
  <c r="H639" i="10"/>
  <c r="H640" i="10"/>
  <c r="H641" i="10"/>
  <c r="H642" i="10"/>
  <c r="H643" i="10"/>
  <c r="H644" i="10"/>
  <c r="H645" i="10"/>
  <c r="H646" i="10"/>
  <c r="H647" i="10"/>
  <c r="H648" i="10"/>
  <c r="H649" i="10"/>
  <c r="H650" i="10"/>
  <c r="H651" i="10"/>
  <c r="H652" i="10"/>
  <c r="H653" i="10"/>
  <c r="H654" i="10"/>
  <c r="H655" i="10"/>
  <c r="H656" i="10"/>
  <c r="H657" i="10"/>
  <c r="H658" i="10"/>
  <c r="H659" i="10"/>
  <c r="H660" i="10"/>
  <c r="H661" i="10"/>
  <c r="H662" i="10"/>
  <c r="H663" i="10"/>
  <c r="H664" i="10"/>
  <c r="H665" i="10"/>
  <c r="H666" i="10"/>
  <c r="H667" i="10"/>
  <c r="H668" i="10"/>
  <c r="H669" i="10"/>
  <c r="H670" i="10"/>
  <c r="H671" i="10"/>
  <c r="H672" i="10"/>
  <c r="H673" i="10"/>
  <c r="H674" i="10"/>
  <c r="H675" i="10"/>
  <c r="H676" i="10"/>
  <c r="H677" i="10"/>
  <c r="H678" i="10"/>
  <c r="H679" i="10"/>
  <c r="H680" i="10"/>
  <c r="H681" i="10"/>
  <c r="H682" i="10"/>
  <c r="H683" i="10"/>
  <c r="H684" i="10"/>
  <c r="H685" i="10"/>
  <c r="H686" i="10"/>
  <c r="H687" i="10"/>
  <c r="H688" i="10"/>
  <c r="H689" i="10"/>
  <c r="H690" i="10"/>
  <c r="H691" i="10"/>
  <c r="H692" i="10"/>
  <c r="H693" i="10"/>
  <c r="H694" i="10"/>
  <c r="H695" i="10"/>
  <c r="H696" i="10"/>
  <c r="H697" i="10"/>
  <c r="H698" i="10"/>
  <c r="H699" i="10"/>
  <c r="H700" i="10"/>
  <c r="H701" i="10"/>
  <c r="H702" i="10"/>
  <c r="H703" i="10"/>
  <c r="H704" i="10"/>
  <c r="H705" i="10"/>
  <c r="H706" i="10"/>
  <c r="H707" i="10"/>
  <c r="H708" i="10"/>
  <c r="H709" i="10"/>
  <c r="H710" i="10"/>
  <c r="H711" i="10"/>
  <c r="H712" i="10"/>
  <c r="H713" i="10"/>
  <c r="H714" i="10"/>
  <c r="H715" i="10"/>
  <c r="H716" i="10"/>
  <c r="H717" i="10"/>
  <c r="H718" i="10"/>
  <c r="H719" i="10"/>
  <c r="H720" i="10"/>
  <c r="H721" i="10"/>
  <c r="H722" i="10"/>
  <c r="H723" i="10"/>
  <c r="H724" i="10"/>
  <c r="H725" i="10"/>
  <c r="H726" i="10"/>
  <c r="H727" i="10"/>
  <c r="H728" i="10"/>
  <c r="H729" i="10"/>
  <c r="H730" i="10"/>
  <c r="H731" i="10"/>
  <c r="H732" i="10"/>
  <c r="H733" i="10"/>
  <c r="H734" i="10"/>
  <c r="H735" i="10"/>
  <c r="H736" i="10"/>
  <c r="H737" i="10"/>
  <c r="H738" i="10"/>
  <c r="H739" i="10"/>
  <c r="H740" i="10"/>
  <c r="H741" i="10"/>
  <c r="H742" i="10"/>
  <c r="H743" i="10"/>
  <c r="H744" i="10"/>
  <c r="H745" i="10"/>
  <c r="H746" i="10"/>
  <c r="H747" i="10"/>
  <c r="H748" i="10"/>
  <c r="H749" i="10"/>
  <c r="H750" i="10"/>
  <c r="H751" i="10"/>
  <c r="H752" i="10"/>
  <c r="H753" i="10"/>
  <c r="H754" i="10"/>
  <c r="H755" i="10"/>
  <c r="H756" i="10"/>
  <c r="H757" i="10"/>
  <c r="H758" i="10"/>
  <c r="H759" i="10"/>
  <c r="H760" i="10"/>
  <c r="H761" i="10"/>
  <c r="H762" i="10"/>
  <c r="H763" i="10"/>
  <c r="H764" i="10"/>
  <c r="H765" i="10"/>
  <c r="H766" i="10"/>
  <c r="H767" i="10"/>
  <c r="H768" i="10"/>
  <c r="H769" i="10"/>
  <c r="H770" i="10"/>
  <c r="H771" i="10"/>
  <c r="H772" i="10"/>
  <c r="H773" i="10"/>
  <c r="H774" i="10"/>
  <c r="H775" i="10"/>
  <c r="H776" i="10"/>
  <c r="H777" i="10"/>
  <c r="H778" i="10"/>
  <c r="H779" i="10"/>
  <c r="H780" i="10"/>
  <c r="H781" i="10"/>
  <c r="H782" i="10"/>
  <c r="H783" i="10"/>
  <c r="H784" i="10"/>
  <c r="H785" i="10"/>
  <c r="H786" i="10"/>
  <c r="H787" i="10"/>
  <c r="H788" i="10"/>
  <c r="H789" i="10"/>
  <c r="H790" i="10"/>
  <c r="H791" i="10"/>
  <c r="H792" i="10"/>
  <c r="H793" i="10"/>
  <c r="H794" i="10"/>
  <c r="H795" i="10"/>
  <c r="H796" i="10"/>
  <c r="H797" i="10"/>
  <c r="H798" i="10"/>
  <c r="H799" i="10"/>
  <c r="H800" i="10"/>
  <c r="H801" i="10"/>
  <c r="H802" i="10"/>
  <c r="H803" i="10"/>
  <c r="H804" i="10"/>
  <c r="H805" i="10"/>
  <c r="H806" i="10"/>
  <c r="H807" i="10"/>
  <c r="H808" i="10"/>
  <c r="H809" i="10"/>
  <c r="H810" i="10"/>
  <c r="H811" i="10"/>
  <c r="H812" i="10"/>
  <c r="H813" i="10"/>
  <c r="H814" i="10"/>
  <c r="H815" i="10"/>
  <c r="H816" i="10"/>
  <c r="H817" i="10"/>
  <c r="H818" i="10"/>
  <c r="H819" i="10"/>
  <c r="H820" i="10"/>
  <c r="H821" i="10"/>
  <c r="H822" i="10"/>
  <c r="H823" i="10"/>
  <c r="H824" i="10"/>
  <c r="H825" i="10"/>
  <c r="H826" i="10"/>
  <c r="H827" i="10"/>
  <c r="H828" i="10"/>
  <c r="H829" i="10"/>
  <c r="H830" i="10"/>
  <c r="H831" i="10"/>
  <c r="H832" i="10"/>
  <c r="H833" i="10"/>
  <c r="H834" i="10"/>
  <c r="H835" i="10"/>
  <c r="H836" i="10"/>
  <c r="H837" i="10"/>
  <c r="H838" i="10"/>
  <c r="H839" i="10"/>
  <c r="H840" i="10"/>
  <c r="H841" i="10"/>
  <c r="H842" i="10"/>
  <c r="H843" i="10"/>
  <c r="H844" i="10"/>
  <c r="H845" i="10"/>
  <c r="H846" i="10"/>
  <c r="H847" i="10"/>
  <c r="H848" i="10"/>
  <c r="H849" i="10"/>
  <c r="H850" i="10"/>
  <c r="H851" i="10"/>
  <c r="H852" i="10"/>
  <c r="H853" i="10"/>
  <c r="H854" i="10"/>
  <c r="H855" i="10"/>
  <c r="H856" i="10"/>
  <c r="H857" i="10"/>
  <c r="H858" i="10"/>
  <c r="H859" i="10"/>
  <c r="H860" i="10"/>
  <c r="H861" i="10"/>
  <c r="H862" i="10"/>
  <c r="H863" i="10"/>
  <c r="H864" i="10"/>
  <c r="H865" i="10"/>
  <c r="H866" i="10"/>
  <c r="H867" i="10"/>
  <c r="H868" i="10"/>
  <c r="H869" i="10"/>
  <c r="H870" i="10"/>
  <c r="H871" i="10"/>
  <c r="H872" i="10"/>
  <c r="H873" i="10"/>
  <c r="H874" i="10"/>
  <c r="H875" i="10"/>
  <c r="H876" i="10"/>
  <c r="H877" i="10"/>
  <c r="H878" i="10"/>
  <c r="H879" i="10"/>
  <c r="H880" i="10"/>
  <c r="H881" i="10"/>
  <c r="H882" i="10"/>
  <c r="H883" i="10"/>
  <c r="H884" i="10"/>
  <c r="H885" i="10"/>
  <c r="H886" i="10"/>
  <c r="H887" i="10"/>
  <c r="H888" i="10"/>
  <c r="H889" i="10"/>
  <c r="H890" i="10"/>
  <c r="H891" i="10"/>
  <c r="H892" i="10"/>
  <c r="H893" i="10"/>
  <c r="H894" i="10"/>
  <c r="H895" i="10"/>
  <c r="H896" i="10"/>
  <c r="H897" i="10"/>
  <c r="H898" i="10"/>
  <c r="H899" i="10"/>
  <c r="H900" i="10"/>
  <c r="H901" i="10"/>
  <c r="H902" i="10"/>
  <c r="H903" i="10"/>
  <c r="H904" i="10"/>
  <c r="H905" i="10"/>
  <c r="H906" i="10"/>
  <c r="H907" i="10"/>
  <c r="H908" i="10"/>
  <c r="H909" i="10"/>
  <c r="H910" i="10"/>
  <c r="H911" i="10"/>
  <c r="H912" i="10"/>
  <c r="H913" i="10"/>
  <c r="H914" i="10"/>
  <c r="H915" i="10"/>
  <c r="H916" i="10"/>
  <c r="H917" i="10"/>
  <c r="H918" i="10"/>
  <c r="H919" i="10"/>
  <c r="H920" i="10"/>
  <c r="H921" i="10"/>
  <c r="H922" i="10"/>
  <c r="H923" i="10"/>
  <c r="H924" i="10"/>
  <c r="H925" i="10"/>
  <c r="H926" i="10"/>
  <c r="H927" i="10"/>
  <c r="H928" i="10"/>
  <c r="H929" i="10"/>
  <c r="H930" i="10"/>
  <c r="H931" i="10"/>
  <c r="H932" i="10"/>
  <c r="H933" i="10"/>
  <c r="H934" i="10"/>
  <c r="H935" i="10"/>
  <c r="H936" i="10"/>
  <c r="H937" i="10"/>
  <c r="H938" i="10"/>
  <c r="H939" i="10"/>
  <c r="H940" i="10"/>
  <c r="H941" i="10"/>
  <c r="H942" i="10"/>
  <c r="H943" i="10"/>
  <c r="H944" i="10"/>
  <c r="H945" i="10"/>
  <c r="H946" i="10"/>
  <c r="H947" i="10"/>
  <c r="H948" i="10"/>
  <c r="H949" i="10"/>
  <c r="H950" i="10"/>
  <c r="H951" i="10"/>
  <c r="H952" i="10"/>
  <c r="H953" i="10"/>
  <c r="H954" i="10"/>
  <c r="H955" i="10"/>
  <c r="H956" i="10"/>
  <c r="H957" i="10"/>
  <c r="H958" i="10"/>
  <c r="H959" i="10"/>
  <c r="H960" i="10"/>
  <c r="H961" i="10"/>
  <c r="H962" i="10"/>
  <c r="H963" i="10"/>
  <c r="H964" i="10"/>
  <c r="H965" i="10"/>
  <c r="H966" i="10"/>
  <c r="H967" i="10"/>
  <c r="H968" i="10"/>
  <c r="H969" i="10"/>
  <c r="H970" i="10"/>
  <c r="H971" i="10"/>
  <c r="H972" i="10"/>
  <c r="H973" i="10"/>
  <c r="H974" i="10"/>
  <c r="H975" i="10"/>
  <c r="H976" i="10"/>
  <c r="H977" i="10"/>
  <c r="H978" i="10"/>
  <c r="H979" i="10"/>
  <c r="H980" i="10"/>
  <c r="H981" i="10"/>
  <c r="H982" i="10"/>
  <c r="H983" i="10"/>
  <c r="H984" i="10"/>
  <c r="H985" i="10"/>
  <c r="H986" i="10"/>
  <c r="H987" i="10"/>
  <c r="H988" i="10"/>
  <c r="H989" i="10"/>
  <c r="H990" i="10"/>
  <c r="H991" i="10"/>
  <c r="H992" i="10"/>
  <c r="H993" i="10"/>
  <c r="H994" i="10"/>
  <c r="H995" i="10"/>
  <c r="H996" i="10"/>
  <c r="H997" i="10"/>
  <c r="H998" i="10"/>
  <c r="H999" i="10"/>
  <c r="H1000" i="10"/>
  <c r="H1001" i="10"/>
  <c r="H1002" i="10"/>
  <c r="H1003" i="10"/>
  <c r="H1004" i="10"/>
  <c r="H1005" i="10"/>
  <c r="H1006" i="10"/>
  <c r="H1007" i="10"/>
  <c r="H1008" i="10"/>
  <c r="H1009" i="10"/>
  <c r="H1010" i="10"/>
  <c r="H1011" i="10"/>
  <c r="H1012" i="10"/>
  <c r="H1013" i="10"/>
  <c r="H1014" i="10"/>
  <c r="H1015" i="10"/>
  <c r="H1016" i="10"/>
  <c r="H1017" i="10"/>
  <c r="H1018" i="10"/>
  <c r="H1019" i="10"/>
  <c r="H1020" i="10"/>
  <c r="H1021" i="10"/>
  <c r="H1022" i="10"/>
  <c r="H1023" i="10"/>
  <c r="H1024" i="10"/>
  <c r="H1025" i="10"/>
  <c r="H1026" i="10"/>
  <c r="H1027" i="10"/>
  <c r="H1028" i="10"/>
  <c r="H1029" i="10"/>
  <c r="H1030" i="10"/>
  <c r="H1031" i="10"/>
  <c r="H1032" i="10"/>
  <c r="H1033" i="10"/>
  <c r="H1034" i="10"/>
  <c r="H1035" i="10"/>
  <c r="H1036" i="10"/>
  <c r="H1037" i="10"/>
  <c r="H1038" i="10"/>
  <c r="H1039" i="10"/>
  <c r="H1040" i="10"/>
  <c r="H1041" i="10"/>
  <c r="H1042" i="10"/>
  <c r="H1043" i="10"/>
  <c r="H1044" i="10"/>
  <c r="H1045" i="10"/>
  <c r="H1046" i="10"/>
  <c r="H1047" i="10"/>
  <c r="H1048" i="10"/>
  <c r="H1049" i="10"/>
  <c r="H1050" i="10"/>
  <c r="H1051" i="10"/>
  <c r="H1052" i="10"/>
  <c r="H1053" i="10"/>
  <c r="H1054" i="10"/>
  <c r="H1055" i="10"/>
  <c r="H1056" i="10"/>
  <c r="H1057" i="10"/>
  <c r="H1058" i="10"/>
  <c r="H1059" i="10"/>
  <c r="H1060" i="10"/>
  <c r="H1061" i="10"/>
  <c r="H1062" i="10"/>
  <c r="H1063" i="10"/>
  <c r="H1064" i="10"/>
  <c r="H1065" i="10"/>
  <c r="H1066" i="10"/>
  <c r="H1067" i="10"/>
  <c r="H1068" i="10"/>
  <c r="H1069" i="10"/>
  <c r="H1070" i="10"/>
  <c r="H1071" i="10"/>
  <c r="H1072" i="10"/>
  <c r="H1073" i="10"/>
  <c r="H1074" i="10"/>
  <c r="H1075" i="10"/>
  <c r="H1076" i="10"/>
  <c r="H1077" i="10"/>
  <c r="H1078" i="10"/>
  <c r="H1079" i="10"/>
  <c r="H1080" i="10"/>
  <c r="H1081" i="10"/>
  <c r="H1082" i="10"/>
  <c r="H1083" i="10"/>
  <c r="H1084" i="10"/>
  <c r="H1085" i="10"/>
  <c r="H1086" i="10"/>
  <c r="H1087" i="10"/>
  <c r="H1088" i="10"/>
  <c r="H1089" i="10"/>
  <c r="H1090" i="10"/>
  <c r="H1091" i="10"/>
  <c r="H1092" i="10"/>
  <c r="H1093" i="10"/>
  <c r="H1094" i="10"/>
  <c r="H1095" i="10"/>
  <c r="H1096" i="10"/>
  <c r="H1097" i="10"/>
  <c r="H1098" i="10"/>
  <c r="H1099" i="10"/>
  <c r="H1100" i="10"/>
  <c r="H1101" i="10"/>
  <c r="H1102" i="10"/>
  <c r="H1103" i="10"/>
  <c r="H1104" i="10"/>
  <c r="H1105" i="10"/>
  <c r="H1106" i="10"/>
  <c r="H1107" i="10"/>
  <c r="H1108" i="10"/>
  <c r="H1109" i="10"/>
  <c r="H1110" i="10"/>
  <c r="H1111" i="10"/>
  <c r="H1112" i="10"/>
  <c r="H1113" i="10"/>
  <c r="H1114" i="10"/>
  <c r="H1115" i="10"/>
  <c r="H1116" i="10"/>
  <c r="H1117" i="10"/>
  <c r="H1118" i="10"/>
  <c r="H1119" i="10"/>
  <c r="H1120" i="10"/>
  <c r="H1121" i="10"/>
  <c r="H1122" i="10"/>
  <c r="H1123" i="10"/>
  <c r="H1124" i="10"/>
  <c r="H1125" i="10"/>
  <c r="H1126" i="10"/>
  <c r="H1127" i="10"/>
  <c r="H1128" i="10"/>
  <c r="H1129" i="10"/>
  <c r="H1130" i="10"/>
  <c r="H1131" i="10"/>
  <c r="H1132" i="10"/>
  <c r="H1133" i="10"/>
  <c r="H1134" i="10"/>
  <c r="H1135" i="10"/>
  <c r="H1136" i="10"/>
  <c r="H1137" i="10"/>
  <c r="H1138" i="10"/>
  <c r="H1139" i="10"/>
  <c r="H1140" i="10"/>
  <c r="H1141" i="10"/>
  <c r="H1142" i="10"/>
  <c r="H1143" i="10"/>
  <c r="H1144" i="10"/>
  <c r="H1145" i="10"/>
  <c r="H1146" i="10"/>
  <c r="H1147" i="10"/>
  <c r="H1148" i="10"/>
  <c r="H1149" i="10"/>
  <c r="H1150" i="10"/>
  <c r="H1151" i="10"/>
  <c r="H1152" i="10"/>
  <c r="H1153" i="10"/>
  <c r="H1154" i="10"/>
  <c r="H1155" i="10"/>
  <c r="H1156" i="10"/>
  <c r="H1157" i="10"/>
  <c r="H1158" i="10"/>
  <c r="H1159" i="10"/>
  <c r="H1160" i="10"/>
  <c r="H1161" i="10"/>
  <c r="H1162" i="10"/>
  <c r="H1163" i="10"/>
  <c r="H1164" i="10"/>
  <c r="H1165" i="10"/>
  <c r="H1166" i="10"/>
  <c r="H1167" i="10"/>
  <c r="H1168" i="10"/>
  <c r="H1169" i="10"/>
  <c r="H1170" i="10"/>
  <c r="H1171" i="10"/>
  <c r="H1172" i="10"/>
  <c r="H1173" i="10"/>
  <c r="H1174" i="10"/>
  <c r="H1175" i="10"/>
  <c r="H1176" i="10"/>
  <c r="H1177" i="10"/>
  <c r="H1178" i="10"/>
  <c r="H1179" i="10"/>
  <c r="H1180" i="10"/>
  <c r="H1181" i="10"/>
  <c r="H1182" i="10"/>
  <c r="H1183" i="10"/>
  <c r="H1184" i="10"/>
  <c r="H1185" i="10"/>
  <c r="H1186" i="10"/>
  <c r="H1187" i="10"/>
  <c r="H1188" i="10"/>
  <c r="H1189" i="10"/>
  <c r="H1190" i="10"/>
  <c r="H1191" i="10"/>
  <c r="H1192" i="10"/>
  <c r="H1193" i="10"/>
  <c r="H1194" i="10"/>
  <c r="H1195" i="10"/>
  <c r="H1196" i="10"/>
  <c r="H1197" i="10"/>
  <c r="H1198" i="10"/>
  <c r="H1199" i="10"/>
  <c r="H1200" i="10"/>
  <c r="H1201" i="10"/>
  <c r="H1202" i="10"/>
  <c r="H1203" i="10"/>
  <c r="H1204" i="10"/>
  <c r="H1205" i="10"/>
  <c r="H1206" i="10"/>
  <c r="H1207" i="10"/>
  <c r="H1208" i="10"/>
  <c r="H1209" i="10"/>
  <c r="H1210" i="10"/>
  <c r="H1211" i="10"/>
  <c r="H1212" i="10"/>
  <c r="H1213" i="10"/>
  <c r="H1214" i="10"/>
  <c r="H1215" i="10"/>
  <c r="H1216" i="10"/>
  <c r="H1217" i="10"/>
  <c r="H1218" i="10"/>
  <c r="H1219" i="10"/>
  <c r="H1220" i="10"/>
  <c r="H1221" i="10"/>
  <c r="H1222" i="10"/>
  <c r="H1223" i="10"/>
  <c r="H1224" i="10"/>
  <c r="H1225" i="10"/>
  <c r="H1226" i="10"/>
  <c r="H1227" i="10"/>
  <c r="H1228" i="10"/>
  <c r="H1229" i="10"/>
  <c r="H1230" i="10"/>
  <c r="H1231" i="10"/>
  <c r="H1232" i="10"/>
  <c r="H1233" i="10"/>
  <c r="H1234" i="10"/>
  <c r="H1235" i="10"/>
  <c r="H1236" i="10"/>
  <c r="H1237" i="10"/>
  <c r="H1238" i="10"/>
  <c r="H1239" i="10"/>
  <c r="H1240" i="10"/>
  <c r="H1241" i="10"/>
  <c r="H1242" i="10"/>
  <c r="H1243" i="10"/>
  <c r="H1244" i="10"/>
  <c r="H1245" i="10"/>
  <c r="H1246" i="10"/>
  <c r="H1247" i="10"/>
  <c r="H1248" i="10"/>
  <c r="H1249" i="10"/>
  <c r="H1250" i="10"/>
  <c r="H1251" i="10"/>
  <c r="H1252" i="10"/>
  <c r="H1253" i="10"/>
  <c r="H1254" i="10"/>
  <c r="H1255" i="10"/>
  <c r="H1256" i="10"/>
  <c r="H1257" i="10"/>
  <c r="H1258" i="10"/>
  <c r="H1259" i="10"/>
  <c r="H1260" i="10"/>
  <c r="H1261" i="10"/>
  <c r="H1262" i="10"/>
  <c r="H1263" i="10"/>
  <c r="H1264" i="10"/>
  <c r="H1265" i="10"/>
  <c r="H1266" i="10"/>
  <c r="H1267" i="10"/>
  <c r="H1268" i="10"/>
  <c r="H1269" i="10"/>
  <c r="H1270" i="10"/>
  <c r="H1271" i="10"/>
  <c r="H1272" i="10"/>
  <c r="H1273" i="10"/>
  <c r="H1274" i="10"/>
  <c r="H1275" i="10"/>
  <c r="H1276" i="10"/>
  <c r="H1277" i="10"/>
  <c r="H1278" i="10"/>
  <c r="H1279" i="10"/>
  <c r="H1280" i="10"/>
  <c r="H1281" i="10"/>
  <c r="H1282" i="10"/>
  <c r="H1283" i="10"/>
  <c r="H1284" i="10"/>
  <c r="H1285" i="10"/>
  <c r="H1286" i="10"/>
  <c r="H1287" i="10"/>
  <c r="H1288" i="10"/>
  <c r="H1289" i="10"/>
  <c r="H1290" i="10"/>
  <c r="H1291" i="10"/>
  <c r="H1292" i="10"/>
  <c r="H1293" i="10"/>
  <c r="H1294" i="10"/>
  <c r="H1295" i="10"/>
  <c r="H1296" i="10"/>
  <c r="H1297" i="10"/>
  <c r="H1298" i="10"/>
  <c r="H1299" i="10"/>
  <c r="H1300" i="10"/>
  <c r="H1301" i="10"/>
  <c r="H1302" i="10"/>
  <c r="H1303" i="10"/>
  <c r="H1304" i="10"/>
  <c r="H1305" i="10"/>
  <c r="H1306" i="10"/>
  <c r="H1307" i="10"/>
  <c r="H1308" i="10"/>
  <c r="H1309" i="10"/>
  <c r="H1310" i="10"/>
  <c r="H1311" i="10"/>
  <c r="H1312" i="10"/>
  <c r="H1313" i="10"/>
  <c r="H1314" i="10"/>
  <c r="H1315" i="10"/>
  <c r="H1316" i="10"/>
  <c r="H1317" i="10"/>
  <c r="H1318" i="10"/>
  <c r="H1319" i="10"/>
  <c r="H1320" i="10"/>
  <c r="H1321" i="10"/>
  <c r="H1322" i="10"/>
  <c r="H1323" i="10"/>
  <c r="H1324" i="10"/>
  <c r="H1325" i="10"/>
  <c r="H1326" i="10"/>
  <c r="H1327" i="10"/>
  <c r="H1328" i="10"/>
  <c r="H1329" i="10"/>
  <c r="H1330" i="10"/>
  <c r="H1331" i="10"/>
  <c r="H1332" i="10"/>
  <c r="H1333" i="10"/>
  <c r="H1334" i="10"/>
  <c r="H1335" i="10"/>
  <c r="H1336" i="10"/>
  <c r="H1337" i="10"/>
  <c r="H1338" i="10"/>
  <c r="H1339" i="10"/>
  <c r="H1340" i="10"/>
  <c r="H1341" i="10"/>
  <c r="H1342" i="10"/>
  <c r="H1343" i="10"/>
  <c r="H1344" i="10"/>
  <c r="H1345" i="10"/>
  <c r="H1346" i="10"/>
  <c r="H1347" i="10"/>
  <c r="H1348" i="10"/>
  <c r="H1349" i="10"/>
  <c r="H1350" i="10"/>
  <c r="H1351" i="10"/>
  <c r="H1352" i="10"/>
  <c r="H1353" i="10"/>
  <c r="H1354" i="10"/>
  <c r="H1355" i="10"/>
  <c r="H1356" i="10"/>
  <c r="H1357" i="10"/>
  <c r="H1358" i="10"/>
  <c r="H1359" i="10"/>
  <c r="H1360" i="10"/>
  <c r="H1361" i="10"/>
  <c r="H1362" i="10"/>
  <c r="H1363" i="10"/>
  <c r="H1364" i="10"/>
  <c r="H1365" i="10"/>
  <c r="H1366" i="10"/>
  <c r="H1367" i="10"/>
  <c r="H1368" i="10"/>
  <c r="H1369" i="10"/>
  <c r="H1370" i="10"/>
  <c r="H1371" i="10"/>
  <c r="H1372" i="10"/>
  <c r="H1373" i="10"/>
  <c r="H1374" i="10"/>
  <c r="H1375" i="10"/>
  <c r="H1376" i="10"/>
  <c r="H1377" i="10"/>
  <c r="H1378" i="10"/>
  <c r="H1379" i="10"/>
  <c r="H1380" i="10"/>
  <c r="H1381" i="10"/>
  <c r="H1382" i="10"/>
  <c r="H1383" i="10"/>
  <c r="H1384" i="10"/>
  <c r="H1385" i="10"/>
  <c r="H1386" i="10"/>
  <c r="H1387" i="10"/>
  <c r="H1388" i="10"/>
  <c r="H1389" i="10"/>
  <c r="H1390" i="10"/>
  <c r="H1391" i="10"/>
  <c r="H1392" i="10"/>
  <c r="H1393" i="10"/>
  <c r="H1394" i="10"/>
  <c r="H1395" i="10"/>
  <c r="H1396" i="10"/>
  <c r="H1397" i="10"/>
  <c r="H1398" i="10"/>
  <c r="H1399" i="10"/>
  <c r="H1400" i="10"/>
  <c r="H1401" i="10"/>
  <c r="H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301" i="10"/>
  <c r="G302" i="10"/>
  <c r="G303" i="10"/>
  <c r="G304" i="10"/>
  <c r="G305" i="10"/>
  <c r="G306" i="10"/>
  <c r="G307" i="10"/>
  <c r="G308" i="10"/>
  <c r="G309" i="10"/>
  <c r="G310" i="10"/>
  <c r="G311" i="10"/>
  <c r="G312" i="10"/>
  <c r="G313" i="10"/>
  <c r="G314" i="10"/>
  <c r="G315" i="10"/>
  <c r="G316" i="10"/>
  <c r="G317" i="10"/>
  <c r="G318" i="10"/>
  <c r="G319" i="10"/>
  <c r="G320" i="10"/>
  <c r="G321" i="10"/>
  <c r="G322" i="10"/>
  <c r="G323" i="10"/>
  <c r="G324" i="10"/>
  <c r="G325" i="10"/>
  <c r="G326" i="10"/>
  <c r="G327" i="10"/>
  <c r="G328" i="10"/>
  <c r="G329" i="10"/>
  <c r="G330" i="10"/>
  <c r="G331" i="10"/>
  <c r="G332" i="10"/>
  <c r="G333" i="10"/>
  <c r="G334" i="10"/>
  <c r="G335" i="10"/>
  <c r="G336" i="10"/>
  <c r="G337" i="10"/>
  <c r="G338" i="10"/>
  <c r="G339" i="10"/>
  <c r="G340" i="10"/>
  <c r="G341" i="10"/>
  <c r="G342" i="10"/>
  <c r="G343" i="10"/>
  <c r="G344" i="10"/>
  <c r="G345" i="10"/>
  <c r="G346" i="10"/>
  <c r="G347" i="10"/>
  <c r="G348" i="10"/>
  <c r="G349" i="10"/>
  <c r="G350" i="10"/>
  <c r="G351" i="10"/>
  <c r="G352" i="10"/>
  <c r="G353" i="10"/>
  <c r="G354" i="10"/>
  <c r="G355" i="10"/>
  <c r="G356" i="10"/>
  <c r="G357" i="10"/>
  <c r="G358" i="10"/>
  <c r="G359" i="10"/>
  <c r="G360" i="10"/>
  <c r="G361" i="10"/>
  <c r="G362" i="10"/>
  <c r="G363" i="10"/>
  <c r="G364" i="10"/>
  <c r="G365" i="10"/>
  <c r="G366" i="10"/>
  <c r="G367" i="10"/>
  <c r="G368" i="10"/>
  <c r="G369" i="10"/>
  <c r="G370" i="10"/>
  <c r="G371" i="10"/>
  <c r="G372" i="10"/>
  <c r="G373" i="10"/>
  <c r="G374" i="10"/>
  <c r="G375" i="10"/>
  <c r="G376" i="10"/>
  <c r="G377" i="10"/>
  <c r="G378" i="10"/>
  <c r="G379" i="10"/>
  <c r="G380" i="10"/>
  <c r="G381" i="10"/>
  <c r="G382" i="10"/>
  <c r="G383" i="10"/>
  <c r="G384" i="10"/>
  <c r="G385" i="10"/>
  <c r="G386" i="10"/>
  <c r="G387" i="10"/>
  <c r="G388" i="10"/>
  <c r="G389" i="10"/>
  <c r="G390" i="10"/>
  <c r="G391" i="10"/>
  <c r="G392" i="10"/>
  <c r="G393" i="10"/>
  <c r="G394" i="10"/>
  <c r="G395" i="10"/>
  <c r="G396" i="10"/>
  <c r="G397" i="10"/>
  <c r="G398" i="10"/>
  <c r="G399" i="10"/>
  <c r="G400" i="10"/>
  <c r="G401" i="10"/>
  <c r="G402" i="10"/>
  <c r="G403" i="10"/>
  <c r="G404" i="10"/>
  <c r="G405" i="10"/>
  <c r="G406" i="10"/>
  <c r="G407" i="10"/>
  <c r="G408" i="10"/>
  <c r="G409" i="10"/>
  <c r="G410" i="10"/>
  <c r="G411" i="10"/>
  <c r="G412" i="10"/>
  <c r="G413" i="10"/>
  <c r="G414" i="10"/>
  <c r="G415" i="10"/>
  <c r="G416" i="10"/>
  <c r="G417" i="10"/>
  <c r="G418" i="10"/>
  <c r="G419" i="10"/>
  <c r="G420" i="10"/>
  <c r="G421" i="10"/>
  <c r="G422" i="10"/>
  <c r="G423" i="10"/>
  <c r="G424" i="10"/>
  <c r="G425" i="10"/>
  <c r="G426" i="10"/>
  <c r="G427" i="10"/>
  <c r="G428" i="10"/>
  <c r="G429" i="10"/>
  <c r="G430" i="10"/>
  <c r="G431" i="10"/>
  <c r="G432" i="10"/>
  <c r="G433" i="10"/>
  <c r="G434" i="10"/>
  <c r="G435" i="10"/>
  <c r="G436" i="10"/>
  <c r="G437" i="10"/>
  <c r="G438" i="10"/>
  <c r="G439" i="10"/>
  <c r="G440" i="10"/>
  <c r="G441" i="10"/>
  <c r="G442" i="10"/>
  <c r="G443" i="10"/>
  <c r="G444" i="10"/>
  <c r="G445" i="10"/>
  <c r="G446" i="10"/>
  <c r="G447" i="10"/>
  <c r="G448" i="10"/>
  <c r="G449" i="10"/>
  <c r="G450" i="10"/>
  <c r="G451" i="10"/>
  <c r="G452" i="10"/>
  <c r="G453" i="10"/>
  <c r="G454" i="10"/>
  <c r="G455" i="10"/>
  <c r="G456" i="10"/>
  <c r="G457" i="10"/>
  <c r="G458" i="10"/>
  <c r="G459" i="10"/>
  <c r="G460" i="10"/>
  <c r="G461" i="10"/>
  <c r="G462" i="10"/>
  <c r="G463" i="10"/>
  <c r="G464" i="10"/>
  <c r="G465" i="10"/>
  <c r="G466" i="10"/>
  <c r="G467" i="10"/>
  <c r="G468" i="10"/>
  <c r="G469" i="10"/>
  <c r="G470" i="10"/>
  <c r="G471" i="10"/>
  <c r="G472" i="10"/>
  <c r="G473" i="10"/>
  <c r="G474" i="10"/>
  <c r="G475" i="10"/>
  <c r="G476" i="10"/>
  <c r="G477" i="10"/>
  <c r="G478" i="10"/>
  <c r="G479" i="10"/>
  <c r="G480" i="10"/>
  <c r="G481" i="10"/>
  <c r="G482" i="10"/>
  <c r="G483" i="10"/>
  <c r="G484" i="10"/>
  <c r="G485" i="10"/>
  <c r="G486" i="10"/>
  <c r="G487" i="10"/>
  <c r="G488" i="10"/>
  <c r="G489" i="10"/>
  <c r="G490" i="10"/>
  <c r="G491" i="10"/>
  <c r="G492" i="10"/>
  <c r="G493" i="10"/>
  <c r="G494" i="10"/>
  <c r="G495" i="10"/>
  <c r="G496" i="10"/>
  <c r="G497" i="10"/>
  <c r="G498" i="10"/>
  <c r="G499" i="10"/>
  <c r="G500" i="10"/>
  <c r="G501" i="10"/>
  <c r="G502" i="10"/>
  <c r="G503" i="10"/>
  <c r="G504" i="10"/>
  <c r="G505" i="10"/>
  <c r="G506" i="10"/>
  <c r="G507" i="10"/>
  <c r="G508" i="10"/>
  <c r="G509" i="10"/>
  <c r="G510" i="10"/>
  <c r="G511" i="10"/>
  <c r="G512" i="10"/>
  <c r="G513" i="10"/>
  <c r="G514" i="10"/>
  <c r="G515" i="10"/>
  <c r="G516" i="10"/>
  <c r="G517" i="10"/>
  <c r="G518" i="10"/>
  <c r="G519" i="10"/>
  <c r="G520" i="10"/>
  <c r="G521" i="10"/>
  <c r="G522" i="10"/>
  <c r="G523" i="10"/>
  <c r="G524" i="10"/>
  <c r="G525" i="10"/>
  <c r="G526" i="10"/>
  <c r="G527" i="10"/>
  <c r="G528" i="10"/>
  <c r="G529" i="10"/>
  <c r="G530" i="10"/>
  <c r="G531" i="10"/>
  <c r="G532" i="10"/>
  <c r="G533" i="10"/>
  <c r="G534" i="10"/>
  <c r="G535" i="10"/>
  <c r="G536" i="10"/>
  <c r="G537" i="10"/>
  <c r="G538" i="10"/>
  <c r="G539" i="10"/>
  <c r="G540" i="10"/>
  <c r="G541" i="10"/>
  <c r="G542" i="10"/>
  <c r="G543" i="10"/>
  <c r="G544" i="10"/>
  <c r="G545" i="10"/>
  <c r="G546" i="10"/>
  <c r="G547" i="10"/>
  <c r="G548" i="10"/>
  <c r="G549" i="10"/>
  <c r="G550" i="10"/>
  <c r="G551" i="10"/>
  <c r="G552" i="10"/>
  <c r="G553" i="10"/>
  <c r="G554" i="10"/>
  <c r="G555" i="10"/>
  <c r="G556" i="10"/>
  <c r="G557" i="10"/>
  <c r="G558" i="10"/>
  <c r="G559" i="10"/>
  <c r="G560" i="10"/>
  <c r="G561" i="10"/>
  <c r="G562" i="10"/>
  <c r="G563" i="10"/>
  <c r="G564" i="10"/>
  <c r="G565" i="10"/>
  <c r="G566" i="10"/>
  <c r="G567" i="10"/>
  <c r="G568" i="10"/>
  <c r="G569" i="10"/>
  <c r="G570" i="10"/>
  <c r="G571" i="10"/>
  <c r="G572" i="10"/>
  <c r="G573" i="10"/>
  <c r="G574" i="10"/>
  <c r="G575" i="10"/>
  <c r="G576" i="10"/>
  <c r="G577" i="10"/>
  <c r="G578" i="10"/>
  <c r="G579" i="10"/>
  <c r="G580" i="10"/>
  <c r="G581" i="10"/>
  <c r="G582" i="10"/>
  <c r="G583" i="10"/>
  <c r="G584" i="10"/>
  <c r="G585" i="10"/>
  <c r="G586" i="10"/>
  <c r="G587" i="10"/>
  <c r="G588" i="10"/>
  <c r="G589" i="10"/>
  <c r="G590" i="10"/>
  <c r="G591" i="10"/>
  <c r="G592" i="10"/>
  <c r="G593" i="10"/>
  <c r="G594" i="10"/>
  <c r="G595" i="10"/>
  <c r="G596" i="10"/>
  <c r="G597" i="10"/>
  <c r="G598" i="10"/>
  <c r="G599" i="10"/>
  <c r="G600" i="10"/>
  <c r="G601" i="10"/>
  <c r="G602" i="10"/>
  <c r="G603" i="10"/>
  <c r="G604" i="10"/>
  <c r="G605" i="10"/>
  <c r="G606" i="10"/>
  <c r="G607" i="10"/>
  <c r="G608" i="10"/>
  <c r="G609" i="10"/>
  <c r="G610" i="10"/>
  <c r="G611" i="10"/>
  <c r="G612" i="10"/>
  <c r="G613" i="10"/>
  <c r="G614" i="10"/>
  <c r="G615" i="10"/>
  <c r="G616" i="10"/>
  <c r="G617" i="10"/>
  <c r="G618" i="10"/>
  <c r="G619" i="10"/>
  <c r="G620" i="10"/>
  <c r="G621" i="10"/>
  <c r="G622" i="10"/>
  <c r="G623" i="10"/>
  <c r="G624" i="10"/>
  <c r="G625" i="10"/>
  <c r="G626" i="10"/>
  <c r="G627" i="10"/>
  <c r="G628" i="10"/>
  <c r="G629" i="10"/>
  <c r="G630" i="10"/>
  <c r="G631" i="10"/>
  <c r="G632" i="10"/>
  <c r="G633" i="10"/>
  <c r="G634" i="10"/>
  <c r="G635" i="10"/>
  <c r="G636" i="10"/>
  <c r="G637" i="10"/>
  <c r="G638" i="10"/>
  <c r="G639" i="10"/>
  <c r="G640" i="10"/>
  <c r="G641" i="10"/>
  <c r="G642" i="10"/>
  <c r="G643" i="10"/>
  <c r="G644" i="10"/>
  <c r="G645" i="10"/>
  <c r="G646" i="10"/>
  <c r="G647" i="10"/>
  <c r="G648" i="10"/>
  <c r="G649" i="10"/>
  <c r="G650" i="10"/>
  <c r="G651" i="10"/>
  <c r="G652" i="10"/>
  <c r="G653" i="10"/>
  <c r="G654" i="10"/>
  <c r="G655" i="10"/>
  <c r="G656" i="10"/>
  <c r="G657" i="10"/>
  <c r="G658" i="10"/>
  <c r="G659" i="10"/>
  <c r="G660" i="10"/>
  <c r="G661" i="10"/>
  <c r="G662" i="10"/>
  <c r="G663" i="10"/>
  <c r="G664" i="10"/>
  <c r="G665" i="10"/>
  <c r="G666" i="10"/>
  <c r="G667" i="10"/>
  <c r="G668" i="10"/>
  <c r="G669" i="10"/>
  <c r="G670" i="10"/>
  <c r="G671" i="10"/>
  <c r="G672" i="10"/>
  <c r="G673" i="10"/>
  <c r="G674" i="10"/>
  <c r="G675" i="10"/>
  <c r="G676" i="10"/>
  <c r="G677" i="10"/>
  <c r="G678" i="10"/>
  <c r="G679" i="10"/>
  <c r="G680" i="10"/>
  <c r="G681" i="10"/>
  <c r="G682" i="10"/>
  <c r="G683" i="10"/>
  <c r="G684" i="10"/>
  <c r="G685" i="10"/>
  <c r="G686" i="10"/>
  <c r="G687" i="10"/>
  <c r="G688" i="10"/>
  <c r="G689" i="10"/>
  <c r="G690" i="10"/>
  <c r="G691" i="10"/>
  <c r="G692" i="10"/>
  <c r="G693" i="10"/>
  <c r="G694" i="10"/>
  <c r="G695" i="10"/>
  <c r="G696" i="10"/>
  <c r="G697" i="10"/>
  <c r="G698" i="10"/>
  <c r="G699" i="10"/>
  <c r="G700" i="10"/>
  <c r="G701" i="10"/>
  <c r="G702" i="10"/>
  <c r="G703" i="10"/>
  <c r="G704" i="10"/>
  <c r="G705" i="10"/>
  <c r="G706" i="10"/>
  <c r="G707" i="10"/>
  <c r="G708" i="10"/>
  <c r="G709" i="10"/>
  <c r="G710" i="10"/>
  <c r="G711" i="10"/>
  <c r="G712" i="10"/>
  <c r="G713" i="10"/>
  <c r="G714" i="10"/>
  <c r="G715" i="10"/>
  <c r="G716" i="10"/>
  <c r="G717" i="10"/>
  <c r="G718" i="10"/>
  <c r="G719" i="10"/>
  <c r="G720" i="10"/>
  <c r="G721" i="10"/>
  <c r="G722" i="10"/>
  <c r="G723" i="10"/>
  <c r="G724" i="10"/>
  <c r="G725" i="10"/>
  <c r="G726" i="10"/>
  <c r="G727" i="10"/>
  <c r="G728" i="10"/>
  <c r="G729" i="10"/>
  <c r="G730" i="10"/>
  <c r="G731" i="10"/>
  <c r="G732" i="10"/>
  <c r="G733" i="10"/>
  <c r="G734" i="10"/>
  <c r="G735" i="10"/>
  <c r="G736" i="10"/>
  <c r="G737" i="10"/>
  <c r="G738" i="10"/>
  <c r="G739" i="10"/>
  <c r="G740" i="10"/>
  <c r="G741" i="10"/>
  <c r="G742" i="10"/>
  <c r="G743" i="10"/>
  <c r="G744" i="10"/>
  <c r="G745" i="10"/>
  <c r="G746" i="10"/>
  <c r="G747" i="10"/>
  <c r="G748" i="10"/>
  <c r="G749" i="10"/>
  <c r="G750" i="10"/>
  <c r="G751" i="10"/>
  <c r="G752" i="10"/>
  <c r="G753" i="10"/>
  <c r="G754" i="10"/>
  <c r="G755" i="10"/>
  <c r="G756" i="10"/>
  <c r="G757" i="10"/>
  <c r="G758" i="10"/>
  <c r="G759" i="10"/>
  <c r="G760" i="10"/>
  <c r="G761" i="10"/>
  <c r="G762" i="10"/>
  <c r="G763" i="10"/>
  <c r="G764" i="10"/>
  <c r="G765" i="10"/>
  <c r="G766" i="10"/>
  <c r="G767" i="10"/>
  <c r="G768" i="10"/>
  <c r="G769" i="10"/>
  <c r="G770" i="10"/>
  <c r="G771" i="10"/>
  <c r="G772" i="10"/>
  <c r="G773" i="10"/>
  <c r="G774" i="10"/>
  <c r="G775" i="10"/>
  <c r="G776" i="10"/>
  <c r="G777" i="10"/>
  <c r="G778" i="10"/>
  <c r="G779" i="10"/>
  <c r="G780" i="10"/>
  <c r="G781" i="10"/>
  <c r="G782" i="10"/>
  <c r="G783" i="10"/>
  <c r="G784" i="10"/>
  <c r="G785" i="10"/>
  <c r="G786" i="10"/>
  <c r="G787" i="10"/>
  <c r="G788" i="10"/>
  <c r="G789" i="10"/>
  <c r="G790" i="10"/>
  <c r="G791" i="10"/>
  <c r="G792" i="10"/>
  <c r="G793" i="10"/>
  <c r="G794" i="10"/>
  <c r="G795" i="10"/>
  <c r="G796" i="10"/>
  <c r="G797" i="10"/>
  <c r="G798" i="10"/>
  <c r="G799" i="10"/>
  <c r="G800" i="10"/>
  <c r="G801" i="10"/>
  <c r="G802" i="10"/>
  <c r="G803" i="10"/>
  <c r="G804" i="10"/>
  <c r="G805" i="10"/>
  <c r="G806" i="10"/>
  <c r="G807" i="10"/>
  <c r="G808" i="10"/>
  <c r="G809" i="10"/>
  <c r="G810" i="10"/>
  <c r="G811" i="10"/>
  <c r="G812" i="10"/>
  <c r="G813" i="10"/>
  <c r="G814" i="10"/>
  <c r="G815" i="10"/>
  <c r="G816" i="10"/>
  <c r="G817" i="10"/>
  <c r="G818" i="10"/>
  <c r="G819" i="10"/>
  <c r="G820" i="10"/>
  <c r="G821" i="10"/>
  <c r="G822" i="10"/>
  <c r="G823" i="10"/>
  <c r="G824" i="10"/>
  <c r="G825" i="10"/>
  <c r="G826" i="10"/>
  <c r="G827" i="10"/>
  <c r="G828" i="10"/>
  <c r="G829" i="10"/>
  <c r="G830" i="10"/>
  <c r="G831" i="10"/>
  <c r="G832" i="10"/>
  <c r="G833" i="10"/>
  <c r="G834" i="10"/>
  <c r="G835" i="10"/>
  <c r="G836" i="10"/>
  <c r="G837" i="10"/>
  <c r="G838" i="10"/>
  <c r="G839" i="10"/>
  <c r="G840" i="10"/>
  <c r="G841" i="10"/>
  <c r="G842" i="10"/>
  <c r="G843" i="10"/>
  <c r="G844" i="10"/>
  <c r="G845" i="10"/>
  <c r="G846" i="10"/>
  <c r="G847" i="10"/>
  <c r="G848" i="10"/>
  <c r="G849" i="10"/>
  <c r="G850" i="10"/>
  <c r="G851" i="10"/>
  <c r="G852" i="10"/>
  <c r="G853" i="10"/>
  <c r="G854" i="10"/>
  <c r="G855" i="10"/>
  <c r="G856" i="10"/>
  <c r="G857" i="10"/>
  <c r="G858" i="10"/>
  <c r="G859" i="10"/>
  <c r="G860" i="10"/>
  <c r="G861" i="10"/>
  <c r="G862" i="10"/>
  <c r="G863" i="10"/>
  <c r="G864" i="10"/>
  <c r="G865" i="10"/>
  <c r="G866" i="10"/>
  <c r="G867" i="10"/>
  <c r="G868" i="10"/>
  <c r="G869" i="10"/>
  <c r="G870" i="10"/>
  <c r="G871" i="10"/>
  <c r="G872" i="10"/>
  <c r="G873" i="10"/>
  <c r="G874" i="10"/>
  <c r="G875" i="10"/>
  <c r="G876" i="10"/>
  <c r="G877" i="10"/>
  <c r="G878" i="10"/>
  <c r="G879" i="10"/>
  <c r="G880" i="10"/>
  <c r="G881" i="10"/>
  <c r="G882" i="10"/>
  <c r="G883" i="10"/>
  <c r="G884" i="10"/>
  <c r="G885" i="10"/>
  <c r="G886" i="10"/>
  <c r="G887" i="10"/>
  <c r="G888" i="10"/>
  <c r="G889" i="10"/>
  <c r="G890" i="10"/>
  <c r="G891" i="10"/>
  <c r="G892" i="10"/>
  <c r="G893" i="10"/>
  <c r="G894" i="10"/>
  <c r="G895" i="10"/>
  <c r="G896" i="10"/>
  <c r="G897" i="10"/>
  <c r="G898" i="10"/>
  <c r="G899" i="10"/>
  <c r="G900" i="10"/>
  <c r="G901" i="10"/>
  <c r="G902" i="10"/>
  <c r="G903" i="10"/>
  <c r="G904" i="10"/>
  <c r="G905" i="10"/>
  <c r="G906" i="10"/>
  <c r="G907" i="10"/>
  <c r="G908" i="10"/>
  <c r="G909" i="10"/>
  <c r="G910" i="10"/>
  <c r="G911" i="10"/>
  <c r="G912" i="10"/>
  <c r="G913" i="10"/>
  <c r="G914" i="10"/>
  <c r="G915" i="10"/>
  <c r="G916" i="10"/>
  <c r="G917" i="10"/>
  <c r="G918" i="10"/>
  <c r="G919" i="10"/>
  <c r="G920" i="10"/>
  <c r="G921" i="10"/>
  <c r="G922" i="10"/>
  <c r="G923" i="10"/>
  <c r="G924" i="10"/>
  <c r="G925" i="10"/>
  <c r="G926" i="10"/>
  <c r="G927" i="10"/>
  <c r="G928" i="10"/>
  <c r="G929" i="10"/>
  <c r="G930" i="10"/>
  <c r="G931" i="10"/>
  <c r="G932" i="10"/>
  <c r="G933" i="10"/>
  <c r="G934" i="10"/>
  <c r="G935" i="10"/>
  <c r="G936" i="10"/>
  <c r="G937" i="10"/>
  <c r="G938" i="10"/>
  <c r="G939" i="10"/>
  <c r="G940" i="10"/>
  <c r="G941" i="10"/>
  <c r="G942" i="10"/>
  <c r="G943" i="10"/>
  <c r="G944" i="10"/>
  <c r="G945" i="10"/>
  <c r="G946" i="10"/>
  <c r="G947" i="10"/>
  <c r="G948" i="10"/>
  <c r="G949" i="10"/>
  <c r="G950" i="10"/>
  <c r="G951" i="10"/>
  <c r="G952" i="10"/>
  <c r="G953" i="10"/>
  <c r="G954" i="10"/>
  <c r="G955" i="10"/>
  <c r="G956" i="10"/>
  <c r="G957" i="10"/>
  <c r="G958" i="10"/>
  <c r="G959" i="10"/>
  <c r="G960" i="10"/>
  <c r="G961" i="10"/>
  <c r="G962" i="10"/>
  <c r="G963" i="10"/>
  <c r="G964" i="10"/>
  <c r="G965" i="10"/>
  <c r="G966" i="10"/>
  <c r="G967" i="10"/>
  <c r="G968" i="10"/>
  <c r="G969" i="10"/>
  <c r="G970" i="10"/>
  <c r="G971" i="10"/>
  <c r="G972" i="10"/>
  <c r="G973" i="10"/>
  <c r="G974" i="10"/>
  <c r="G975" i="10"/>
  <c r="G976" i="10"/>
  <c r="G977" i="10"/>
  <c r="G978" i="10"/>
  <c r="G979" i="10"/>
  <c r="G980" i="10"/>
  <c r="G981" i="10"/>
  <c r="G982" i="10"/>
  <c r="G983" i="10"/>
  <c r="G984" i="10"/>
  <c r="G985" i="10"/>
  <c r="G986" i="10"/>
  <c r="G987" i="10"/>
  <c r="G988" i="10"/>
  <c r="G989" i="10"/>
  <c r="G990" i="10"/>
  <c r="G991" i="10"/>
  <c r="G992" i="10"/>
  <c r="G993" i="10"/>
  <c r="G994" i="10"/>
  <c r="G995" i="10"/>
  <c r="G996" i="10"/>
  <c r="G997" i="10"/>
  <c r="G998" i="10"/>
  <c r="G999" i="10"/>
  <c r="G1000" i="10"/>
  <c r="G1001" i="10"/>
  <c r="G1002" i="10"/>
  <c r="G1003" i="10"/>
  <c r="G1004" i="10"/>
  <c r="G1005" i="10"/>
  <c r="G1006" i="10"/>
  <c r="G1007" i="10"/>
  <c r="G1008" i="10"/>
  <c r="G1009" i="10"/>
  <c r="G1010" i="10"/>
  <c r="G1011" i="10"/>
  <c r="G1012" i="10"/>
  <c r="G1013" i="10"/>
  <c r="G1014" i="10"/>
  <c r="G1015" i="10"/>
  <c r="G1016" i="10"/>
  <c r="G1017" i="10"/>
  <c r="G1018" i="10"/>
  <c r="G1019" i="10"/>
  <c r="G1020" i="10"/>
  <c r="G1021" i="10"/>
  <c r="G1022" i="10"/>
  <c r="G1023" i="10"/>
  <c r="G1024" i="10"/>
  <c r="G1025" i="10"/>
  <c r="G1026" i="10"/>
  <c r="G1027" i="10"/>
  <c r="G1028" i="10"/>
  <c r="G1029" i="10"/>
  <c r="G1030" i="10"/>
  <c r="G1031" i="10"/>
  <c r="G1032" i="10"/>
  <c r="G1033" i="10"/>
  <c r="G1034" i="10"/>
  <c r="G1035" i="10"/>
  <c r="G1036" i="10"/>
  <c r="G1037" i="10"/>
  <c r="G1038" i="10"/>
  <c r="G1039" i="10"/>
  <c r="G1040" i="10"/>
  <c r="G1041" i="10"/>
  <c r="G1042" i="10"/>
  <c r="G1043" i="10"/>
  <c r="G1044" i="10"/>
  <c r="G1045" i="10"/>
  <c r="G1046" i="10"/>
  <c r="G1047" i="10"/>
  <c r="G1048" i="10"/>
  <c r="G1049" i="10"/>
  <c r="G1050" i="10"/>
  <c r="G1051" i="10"/>
  <c r="G1052" i="10"/>
  <c r="G1053" i="10"/>
  <c r="G1054" i="10"/>
  <c r="G1055" i="10"/>
  <c r="G1056" i="10"/>
  <c r="G1057" i="10"/>
  <c r="G1058" i="10"/>
  <c r="G1059" i="10"/>
  <c r="G1060" i="10"/>
  <c r="G1061" i="10"/>
  <c r="G1062" i="10"/>
  <c r="G1063" i="10"/>
  <c r="G1064" i="10"/>
  <c r="G1065" i="10"/>
  <c r="G1066" i="10"/>
  <c r="G1067" i="10"/>
  <c r="G1068" i="10"/>
  <c r="G1069" i="10"/>
  <c r="G1070" i="10"/>
  <c r="G1071" i="10"/>
  <c r="G1072" i="10"/>
  <c r="G1073" i="10"/>
  <c r="G1074" i="10"/>
  <c r="G1075" i="10"/>
  <c r="G1076" i="10"/>
  <c r="G1077" i="10"/>
  <c r="G1078" i="10"/>
  <c r="G1079" i="10"/>
  <c r="G1080" i="10"/>
  <c r="G1081" i="10"/>
  <c r="G1082" i="10"/>
  <c r="G1083" i="10"/>
  <c r="G1084" i="10"/>
  <c r="G1085" i="10"/>
  <c r="G1086" i="10"/>
  <c r="G1087" i="10"/>
  <c r="G1088" i="10"/>
  <c r="G1089" i="10"/>
  <c r="G1090" i="10"/>
  <c r="G1091" i="10"/>
  <c r="G1092" i="10"/>
  <c r="G1093" i="10"/>
  <c r="G1094" i="10"/>
  <c r="G1095" i="10"/>
  <c r="G1096" i="10"/>
  <c r="G1097" i="10"/>
  <c r="G1098" i="10"/>
  <c r="G1099" i="10"/>
  <c r="G1100" i="10"/>
  <c r="G1101" i="10"/>
  <c r="G1102" i="10"/>
  <c r="G1103" i="10"/>
  <c r="G1104" i="10"/>
  <c r="G1105" i="10"/>
  <c r="G1106" i="10"/>
  <c r="G1107" i="10"/>
  <c r="G1108" i="10"/>
  <c r="G1109" i="10"/>
  <c r="G1110" i="10"/>
  <c r="G1111" i="10"/>
  <c r="G1112" i="10"/>
  <c r="G1113" i="10"/>
  <c r="G1114" i="10"/>
  <c r="G1115" i="10"/>
  <c r="G1116" i="10"/>
  <c r="G1117" i="10"/>
  <c r="G1118" i="10"/>
  <c r="G1119" i="10"/>
  <c r="G1120" i="10"/>
  <c r="G1121" i="10"/>
  <c r="G1122" i="10"/>
  <c r="G1123" i="10"/>
  <c r="G1124" i="10"/>
  <c r="G1125" i="10"/>
  <c r="G1126" i="10"/>
  <c r="G1127" i="10"/>
  <c r="G1128" i="10"/>
  <c r="G1129" i="10"/>
  <c r="G1130" i="10"/>
  <c r="G1131" i="10"/>
  <c r="G1132" i="10"/>
  <c r="G1133" i="10"/>
  <c r="G1134" i="10"/>
  <c r="G1135" i="10"/>
  <c r="G1136" i="10"/>
  <c r="G1137" i="10"/>
  <c r="G1138" i="10"/>
  <c r="G1139" i="10"/>
  <c r="G1140" i="10"/>
  <c r="G1141" i="10"/>
  <c r="G1142" i="10"/>
  <c r="G1143" i="10"/>
  <c r="G1144" i="10"/>
  <c r="G1145" i="10"/>
  <c r="G1146" i="10"/>
  <c r="G1147" i="10"/>
  <c r="G1148" i="10"/>
  <c r="G1149" i="10"/>
  <c r="G1150" i="10"/>
  <c r="G1151" i="10"/>
  <c r="G1152" i="10"/>
  <c r="G1153" i="10"/>
  <c r="G1154" i="10"/>
  <c r="G1155" i="10"/>
  <c r="G1156" i="10"/>
  <c r="G1157" i="10"/>
  <c r="G1158" i="10"/>
  <c r="G1159" i="10"/>
  <c r="G1160" i="10"/>
  <c r="G1161" i="10"/>
  <c r="G1162" i="10"/>
  <c r="G1163" i="10"/>
  <c r="G1164" i="10"/>
  <c r="G1165" i="10"/>
  <c r="G1166" i="10"/>
  <c r="G1167" i="10"/>
  <c r="G1168" i="10"/>
  <c r="G1169" i="10"/>
  <c r="G1170" i="10"/>
  <c r="G1171" i="10"/>
  <c r="G1172" i="10"/>
  <c r="G1173" i="10"/>
  <c r="G1174" i="10"/>
  <c r="G1175" i="10"/>
  <c r="G1176" i="10"/>
  <c r="G1177" i="10"/>
  <c r="G1178" i="10"/>
  <c r="G1179" i="10"/>
  <c r="G1180" i="10"/>
  <c r="G1181" i="10"/>
  <c r="G1182" i="10"/>
  <c r="G1183" i="10"/>
  <c r="G1184" i="10"/>
  <c r="G1185" i="10"/>
  <c r="G1186" i="10"/>
  <c r="G1187" i="10"/>
  <c r="G1188" i="10"/>
  <c r="G1189" i="10"/>
  <c r="G1190" i="10"/>
  <c r="G1191" i="10"/>
  <c r="G1192" i="10"/>
  <c r="G1193" i="10"/>
  <c r="G1194" i="10"/>
  <c r="G1195" i="10"/>
  <c r="G1196" i="10"/>
  <c r="G1197" i="10"/>
  <c r="G1198" i="10"/>
  <c r="G1199" i="10"/>
  <c r="G1200" i="10"/>
  <c r="G1201" i="10"/>
  <c r="G1202" i="10"/>
  <c r="G1203" i="10"/>
  <c r="G1204" i="10"/>
  <c r="G1205" i="10"/>
  <c r="G1206" i="10"/>
  <c r="G1207" i="10"/>
  <c r="G1208" i="10"/>
  <c r="G1209" i="10"/>
  <c r="G1210" i="10"/>
  <c r="G1211" i="10"/>
  <c r="G1212" i="10"/>
  <c r="G1213" i="10"/>
  <c r="G1214" i="10"/>
  <c r="G1215" i="10"/>
  <c r="G1216" i="10"/>
  <c r="G1217" i="10"/>
  <c r="G1218" i="10"/>
  <c r="G1219" i="10"/>
  <c r="G1220" i="10"/>
  <c r="G1221" i="10"/>
  <c r="G1222" i="10"/>
  <c r="G1223" i="10"/>
  <c r="G1224" i="10"/>
  <c r="G1225" i="10"/>
  <c r="G1226" i="10"/>
  <c r="G1227" i="10"/>
  <c r="G1228" i="10"/>
  <c r="G1229" i="10"/>
  <c r="G1230" i="10"/>
  <c r="G1231" i="10"/>
  <c r="G1232" i="10"/>
  <c r="G1233" i="10"/>
  <c r="G1234" i="10"/>
  <c r="G1235" i="10"/>
  <c r="G1236" i="10"/>
  <c r="G1237" i="10"/>
  <c r="G1238" i="10"/>
  <c r="G1239" i="10"/>
  <c r="G1240" i="10"/>
  <c r="G1241" i="10"/>
  <c r="G1242" i="10"/>
  <c r="G1243" i="10"/>
  <c r="G1244" i="10"/>
  <c r="G1245" i="10"/>
  <c r="G1246" i="10"/>
  <c r="G1247" i="10"/>
  <c r="G1248" i="10"/>
  <c r="G1249" i="10"/>
  <c r="G1250" i="10"/>
  <c r="G1251" i="10"/>
  <c r="G1252" i="10"/>
  <c r="G1253" i="10"/>
  <c r="G1254" i="10"/>
  <c r="G1255" i="10"/>
  <c r="G1256" i="10"/>
  <c r="G1257" i="10"/>
  <c r="G1258" i="10"/>
  <c r="G1259" i="10"/>
  <c r="G1260" i="10"/>
  <c r="G1261" i="10"/>
  <c r="G1262" i="10"/>
  <c r="G1263" i="10"/>
  <c r="G1264" i="10"/>
  <c r="G1265" i="10"/>
  <c r="G1266" i="10"/>
  <c r="G1267" i="10"/>
  <c r="G1268" i="10"/>
  <c r="G1269" i="10"/>
  <c r="G1270" i="10"/>
  <c r="G1271" i="10"/>
  <c r="G1272" i="10"/>
  <c r="G1273" i="10"/>
  <c r="G1274" i="10"/>
  <c r="G1275" i="10"/>
  <c r="G1276" i="10"/>
  <c r="G1277" i="10"/>
  <c r="G1278" i="10"/>
  <c r="G1279" i="10"/>
  <c r="G1280" i="10"/>
  <c r="G1281" i="10"/>
  <c r="G1282" i="10"/>
  <c r="G1283" i="10"/>
  <c r="G1284" i="10"/>
  <c r="G1285" i="10"/>
  <c r="G1286" i="10"/>
  <c r="G1287" i="10"/>
  <c r="G1288" i="10"/>
  <c r="G1289" i="10"/>
  <c r="G1290" i="10"/>
  <c r="G1291" i="10"/>
  <c r="G1292" i="10"/>
  <c r="G1293" i="10"/>
  <c r="G1294" i="10"/>
  <c r="G1295" i="10"/>
  <c r="G1296" i="10"/>
  <c r="G1297" i="10"/>
  <c r="G1298" i="10"/>
  <c r="G1299" i="10"/>
  <c r="G1300" i="10"/>
  <c r="G1301" i="10"/>
  <c r="G1302" i="10"/>
  <c r="G1303" i="10"/>
  <c r="G1304" i="10"/>
  <c r="G1305" i="10"/>
  <c r="G1306" i="10"/>
  <c r="G1307" i="10"/>
  <c r="G1308" i="10"/>
  <c r="G1309" i="10"/>
  <c r="G1310" i="10"/>
  <c r="G1311" i="10"/>
  <c r="G1312" i="10"/>
  <c r="G1313" i="10"/>
  <c r="G1314" i="10"/>
  <c r="G1315" i="10"/>
  <c r="G1316" i="10"/>
  <c r="G1317" i="10"/>
  <c r="G1318" i="10"/>
  <c r="G1319" i="10"/>
  <c r="G1320" i="10"/>
  <c r="G1321" i="10"/>
  <c r="G1322" i="10"/>
  <c r="G1323" i="10"/>
  <c r="G1324" i="10"/>
  <c r="G1325" i="10"/>
  <c r="G1326" i="10"/>
  <c r="G1327" i="10"/>
  <c r="G1328" i="10"/>
  <c r="G1329" i="10"/>
  <c r="G1330" i="10"/>
  <c r="G1331" i="10"/>
  <c r="G1332" i="10"/>
  <c r="G1333" i="10"/>
  <c r="G1334" i="10"/>
  <c r="G1335" i="10"/>
  <c r="G1336" i="10"/>
  <c r="G1337" i="10"/>
  <c r="G1338" i="10"/>
  <c r="G1339" i="10"/>
  <c r="G1340" i="10"/>
  <c r="G1341" i="10"/>
  <c r="G1342" i="10"/>
  <c r="G1343" i="10"/>
  <c r="G1344" i="10"/>
  <c r="G1345" i="10"/>
  <c r="G1346" i="10"/>
  <c r="G1347" i="10"/>
  <c r="G1348" i="10"/>
  <c r="G1349" i="10"/>
  <c r="G1350" i="10"/>
  <c r="G1351" i="10"/>
  <c r="G1352" i="10"/>
  <c r="G1353" i="10"/>
  <c r="G1354" i="10"/>
  <c r="G1355" i="10"/>
  <c r="G1356" i="10"/>
  <c r="G1357" i="10"/>
  <c r="G1358" i="10"/>
  <c r="G1359" i="10"/>
  <c r="G1360" i="10"/>
  <c r="G1361" i="10"/>
  <c r="G1362" i="10"/>
  <c r="G1363" i="10"/>
  <c r="G1364" i="10"/>
  <c r="G1365" i="10"/>
  <c r="G1366" i="10"/>
  <c r="G1367" i="10"/>
  <c r="G1368" i="10"/>
  <c r="G1369" i="10"/>
  <c r="G1370" i="10"/>
  <c r="G1371" i="10"/>
  <c r="G1372" i="10"/>
  <c r="G1373" i="10"/>
  <c r="G1374" i="10"/>
  <c r="G1375" i="10"/>
  <c r="G1376" i="10"/>
  <c r="G1377" i="10"/>
  <c r="G1378" i="10"/>
  <c r="G1379" i="10"/>
  <c r="G1380" i="10"/>
  <c r="G1381" i="10"/>
  <c r="G1382" i="10"/>
  <c r="G1383" i="10"/>
  <c r="G1384" i="10"/>
  <c r="G1385" i="10"/>
  <c r="G1386" i="10"/>
  <c r="G1387" i="10"/>
  <c r="G1388" i="10"/>
  <c r="G1389" i="10"/>
  <c r="G1390" i="10"/>
  <c r="G1391" i="10"/>
  <c r="G1392" i="10"/>
  <c r="G1393" i="10"/>
  <c r="G1394" i="10"/>
  <c r="G1395" i="10"/>
  <c r="G1396" i="10"/>
  <c r="G1397" i="10"/>
  <c r="G1398" i="10"/>
  <c r="G1399" i="10"/>
  <c r="G1400" i="10"/>
  <c r="G1401" i="10"/>
  <c r="G2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C309" i="10"/>
  <c r="C310" i="10"/>
  <c r="C311" i="10"/>
  <c r="C312" i="10"/>
  <c r="C313" i="10"/>
  <c r="C314" i="10"/>
  <c r="C315" i="10"/>
  <c r="C316" i="10"/>
  <c r="C317" i="10"/>
  <c r="C318" i="10"/>
  <c r="C319" i="10"/>
  <c r="C320" i="10"/>
  <c r="C321" i="10"/>
  <c r="C322" i="10"/>
  <c r="C323" i="10"/>
  <c r="C324" i="10"/>
  <c r="C325" i="10"/>
  <c r="C326" i="10"/>
  <c r="C327" i="10"/>
  <c r="C328" i="10"/>
  <c r="C329" i="10"/>
  <c r="C330" i="10"/>
  <c r="C331" i="10"/>
  <c r="C332" i="10"/>
  <c r="C333" i="10"/>
  <c r="C334" i="10"/>
  <c r="C335" i="10"/>
  <c r="C336" i="10"/>
  <c r="C337" i="10"/>
  <c r="C338" i="10"/>
  <c r="C339" i="10"/>
  <c r="C340" i="10"/>
  <c r="C341" i="10"/>
  <c r="C342" i="10"/>
  <c r="C343" i="10"/>
  <c r="C344" i="10"/>
  <c r="C345" i="10"/>
  <c r="C346" i="10"/>
  <c r="C347" i="10"/>
  <c r="C348" i="10"/>
  <c r="C349" i="10"/>
  <c r="C350" i="10"/>
  <c r="C351" i="10"/>
  <c r="C352" i="10"/>
  <c r="C353" i="10"/>
  <c r="C354" i="10"/>
  <c r="C355" i="10"/>
  <c r="C356" i="10"/>
  <c r="C357" i="10"/>
  <c r="C358" i="10"/>
  <c r="C359" i="10"/>
  <c r="C360" i="10"/>
  <c r="C361" i="10"/>
  <c r="C362" i="10"/>
  <c r="C363" i="10"/>
  <c r="C364" i="10"/>
  <c r="C365" i="10"/>
  <c r="C366" i="10"/>
  <c r="C367" i="10"/>
  <c r="C368" i="10"/>
  <c r="C369" i="10"/>
  <c r="C370" i="10"/>
  <c r="C371" i="10"/>
  <c r="C372" i="10"/>
  <c r="C373" i="10"/>
  <c r="C374" i="10"/>
  <c r="C375" i="10"/>
  <c r="C376" i="10"/>
  <c r="C377" i="10"/>
  <c r="C378" i="10"/>
  <c r="C379" i="10"/>
  <c r="C380" i="10"/>
  <c r="C381" i="10"/>
  <c r="C382" i="10"/>
  <c r="C383" i="10"/>
  <c r="C384" i="10"/>
  <c r="C385" i="10"/>
  <c r="C386" i="10"/>
  <c r="C387" i="10"/>
  <c r="C388" i="10"/>
  <c r="C389" i="10"/>
  <c r="C390" i="10"/>
  <c r="C391" i="10"/>
  <c r="C392" i="10"/>
  <c r="C393" i="10"/>
  <c r="C394" i="10"/>
  <c r="C395" i="10"/>
  <c r="C396" i="10"/>
  <c r="C397" i="10"/>
  <c r="C398" i="10"/>
  <c r="C399" i="10"/>
  <c r="C400" i="10"/>
  <c r="C401" i="10"/>
  <c r="C402" i="10"/>
  <c r="C403" i="10"/>
  <c r="C404" i="10"/>
  <c r="C405" i="10"/>
  <c r="C406" i="10"/>
  <c r="C407" i="10"/>
  <c r="C408" i="10"/>
  <c r="C409" i="10"/>
  <c r="C410" i="10"/>
  <c r="C411" i="10"/>
  <c r="C412" i="10"/>
  <c r="C413" i="10"/>
  <c r="C414" i="10"/>
  <c r="C415" i="10"/>
  <c r="C416" i="10"/>
  <c r="C417" i="10"/>
  <c r="C418" i="10"/>
  <c r="C419" i="10"/>
  <c r="C420" i="10"/>
  <c r="C421" i="10"/>
  <c r="C422" i="10"/>
  <c r="C423" i="10"/>
  <c r="C424" i="10"/>
  <c r="C425" i="10"/>
  <c r="C426" i="10"/>
  <c r="C427" i="10"/>
  <c r="C428" i="10"/>
  <c r="C429" i="10"/>
  <c r="C430" i="10"/>
  <c r="C431" i="10"/>
  <c r="C432" i="10"/>
  <c r="C433" i="10"/>
  <c r="C434" i="10"/>
  <c r="C435" i="10"/>
  <c r="C436" i="10"/>
  <c r="C437" i="10"/>
  <c r="C438" i="10"/>
  <c r="C439" i="10"/>
  <c r="C440" i="10"/>
  <c r="C441" i="10"/>
  <c r="C442" i="10"/>
  <c r="C443" i="10"/>
  <c r="C444" i="10"/>
  <c r="C445" i="10"/>
  <c r="C446" i="10"/>
  <c r="C447" i="10"/>
  <c r="C448" i="10"/>
  <c r="C449" i="10"/>
  <c r="C450" i="10"/>
  <c r="C451" i="10"/>
  <c r="C452" i="10"/>
  <c r="C453" i="10"/>
  <c r="C454" i="10"/>
  <c r="C455" i="10"/>
  <c r="C456" i="10"/>
  <c r="C457" i="10"/>
  <c r="C458" i="10"/>
  <c r="C459" i="10"/>
  <c r="C460" i="10"/>
  <c r="C461" i="10"/>
  <c r="C462" i="10"/>
  <c r="C463" i="10"/>
  <c r="C464" i="10"/>
  <c r="C465" i="10"/>
  <c r="C466" i="10"/>
  <c r="C467" i="10"/>
  <c r="C468" i="10"/>
  <c r="C469" i="10"/>
  <c r="C470" i="10"/>
  <c r="C471" i="10"/>
  <c r="C472" i="10"/>
  <c r="C473" i="10"/>
  <c r="C474" i="10"/>
  <c r="C475" i="10"/>
  <c r="C476" i="10"/>
  <c r="C477" i="10"/>
  <c r="C478" i="10"/>
  <c r="C479" i="10"/>
  <c r="C480" i="10"/>
  <c r="C481" i="10"/>
  <c r="C482" i="10"/>
  <c r="C483" i="10"/>
  <c r="C484" i="10"/>
  <c r="C485" i="10"/>
  <c r="C486" i="10"/>
  <c r="C487" i="10"/>
  <c r="C488" i="10"/>
  <c r="C489" i="10"/>
  <c r="C490" i="10"/>
  <c r="C491" i="10"/>
  <c r="C492" i="10"/>
  <c r="C493" i="10"/>
  <c r="C494" i="10"/>
  <c r="C495" i="10"/>
  <c r="C496" i="10"/>
  <c r="C497" i="10"/>
  <c r="C498" i="10"/>
  <c r="C499" i="10"/>
  <c r="C500" i="10"/>
  <c r="C501" i="10"/>
  <c r="C502" i="10"/>
  <c r="C503" i="10"/>
  <c r="C504" i="10"/>
  <c r="C505" i="10"/>
  <c r="C506" i="10"/>
  <c r="C507" i="10"/>
  <c r="C508" i="10"/>
  <c r="C509" i="10"/>
  <c r="C510" i="10"/>
  <c r="C511" i="10"/>
  <c r="C512" i="10"/>
  <c r="C513" i="10"/>
  <c r="C514" i="10"/>
  <c r="C515" i="10"/>
  <c r="C516" i="10"/>
  <c r="C517" i="10"/>
  <c r="C518" i="10"/>
  <c r="C519" i="10"/>
  <c r="C520" i="10"/>
  <c r="C521" i="10"/>
  <c r="C522" i="10"/>
  <c r="C523" i="10"/>
  <c r="C524" i="10"/>
  <c r="C525" i="10"/>
  <c r="C526" i="10"/>
  <c r="C527" i="10"/>
  <c r="C528" i="10"/>
  <c r="C529" i="10"/>
  <c r="C530" i="10"/>
  <c r="C531" i="10"/>
  <c r="C532" i="10"/>
  <c r="C533" i="10"/>
  <c r="C534" i="10"/>
  <c r="C535" i="10"/>
  <c r="C536" i="10"/>
  <c r="C537" i="10"/>
  <c r="C538" i="10"/>
  <c r="C539" i="10"/>
  <c r="C540" i="10"/>
  <c r="C541" i="10"/>
  <c r="C542" i="10"/>
  <c r="C543" i="10"/>
  <c r="C544" i="10"/>
  <c r="C545" i="10"/>
  <c r="C546" i="10"/>
  <c r="C547" i="10"/>
  <c r="C548" i="10"/>
  <c r="C549" i="10"/>
  <c r="C550" i="10"/>
  <c r="C551" i="10"/>
  <c r="C552" i="10"/>
  <c r="C553" i="10"/>
  <c r="C554" i="10"/>
  <c r="C555" i="10"/>
  <c r="C556" i="10"/>
  <c r="C557" i="10"/>
  <c r="C558" i="10"/>
  <c r="C559" i="10"/>
  <c r="C560" i="10"/>
  <c r="C561" i="10"/>
  <c r="C562" i="10"/>
  <c r="C563" i="10"/>
  <c r="C564" i="10"/>
  <c r="C565" i="10"/>
  <c r="C566" i="10"/>
  <c r="C567" i="10"/>
  <c r="C568" i="10"/>
  <c r="C569" i="10"/>
  <c r="C570" i="10"/>
  <c r="C571" i="10"/>
  <c r="C572" i="10"/>
  <c r="C573" i="10"/>
  <c r="C574" i="10"/>
  <c r="C575" i="10"/>
  <c r="C576" i="10"/>
  <c r="C577" i="10"/>
  <c r="C578" i="10"/>
  <c r="C579" i="10"/>
  <c r="C580" i="10"/>
  <c r="C581" i="10"/>
  <c r="C582" i="10"/>
  <c r="C583" i="10"/>
  <c r="C584" i="10"/>
  <c r="C585" i="10"/>
  <c r="C586" i="10"/>
  <c r="C587" i="10"/>
  <c r="C588" i="10"/>
  <c r="C589" i="10"/>
  <c r="C590" i="10"/>
  <c r="C591" i="10"/>
  <c r="C592" i="10"/>
  <c r="C593" i="10"/>
  <c r="C594" i="10"/>
  <c r="C595" i="10"/>
  <c r="C596" i="10"/>
  <c r="C597" i="10"/>
  <c r="C598" i="10"/>
  <c r="C599" i="10"/>
  <c r="C600" i="10"/>
  <c r="C601" i="10"/>
  <c r="C602" i="10"/>
  <c r="C603" i="10"/>
  <c r="C604" i="10"/>
  <c r="C605" i="10"/>
  <c r="C606" i="10"/>
  <c r="C607" i="10"/>
  <c r="C608" i="10"/>
  <c r="C609" i="10"/>
  <c r="C610" i="10"/>
  <c r="C611" i="10"/>
  <c r="C612" i="10"/>
  <c r="C613" i="10"/>
  <c r="C614" i="10"/>
  <c r="C615" i="10"/>
  <c r="C616" i="10"/>
  <c r="C617" i="10"/>
  <c r="C618" i="10"/>
  <c r="C619" i="10"/>
  <c r="C620" i="10"/>
  <c r="C621" i="10"/>
  <c r="C622" i="10"/>
  <c r="C623" i="10"/>
  <c r="C624" i="10"/>
  <c r="C625" i="10"/>
  <c r="C626" i="10"/>
  <c r="C627" i="10"/>
  <c r="C628" i="10"/>
  <c r="C629" i="10"/>
  <c r="C630" i="10"/>
  <c r="C631" i="10"/>
  <c r="C632" i="10"/>
  <c r="C633" i="10"/>
  <c r="C634" i="10"/>
  <c r="C635" i="10"/>
  <c r="C636" i="10"/>
  <c r="C637" i="10"/>
  <c r="C638" i="10"/>
  <c r="C639" i="10"/>
  <c r="C640" i="10"/>
  <c r="C641" i="10"/>
  <c r="C642" i="10"/>
  <c r="C643" i="10"/>
  <c r="C644" i="10"/>
  <c r="C645" i="10"/>
  <c r="C646" i="10"/>
  <c r="C647" i="10"/>
  <c r="C648" i="10"/>
  <c r="C649" i="10"/>
  <c r="C650" i="10"/>
  <c r="C651" i="10"/>
  <c r="C652" i="10"/>
  <c r="C653" i="10"/>
  <c r="C654" i="10"/>
  <c r="C655" i="10"/>
  <c r="C656" i="10"/>
  <c r="C657" i="10"/>
  <c r="C658" i="10"/>
  <c r="C659" i="10"/>
  <c r="C660" i="10"/>
  <c r="C661" i="10"/>
  <c r="C662" i="10"/>
  <c r="C663" i="10"/>
  <c r="C664" i="10"/>
  <c r="C665" i="10"/>
  <c r="C666" i="10"/>
  <c r="C667" i="10"/>
  <c r="C668" i="10"/>
  <c r="C669" i="10"/>
  <c r="C670" i="10"/>
  <c r="C671" i="10"/>
  <c r="C672" i="10"/>
  <c r="C673" i="10"/>
  <c r="C674" i="10"/>
  <c r="C675" i="10"/>
  <c r="C676" i="10"/>
  <c r="C677" i="10"/>
  <c r="C678" i="10"/>
  <c r="C679" i="10"/>
  <c r="C680" i="10"/>
  <c r="C681" i="10"/>
  <c r="C682" i="10"/>
  <c r="C683" i="10"/>
  <c r="C684" i="10"/>
  <c r="C685" i="10"/>
  <c r="C686" i="10"/>
  <c r="C687" i="10"/>
  <c r="C688" i="10"/>
  <c r="C689" i="10"/>
  <c r="C690" i="10"/>
  <c r="C691" i="10"/>
  <c r="C692" i="10"/>
  <c r="C693" i="10"/>
  <c r="C694" i="10"/>
  <c r="C695" i="10"/>
  <c r="C696" i="10"/>
  <c r="C697" i="10"/>
  <c r="C698" i="10"/>
  <c r="C699" i="10"/>
  <c r="C700" i="10"/>
  <c r="C701" i="10"/>
  <c r="C702" i="10"/>
  <c r="C703" i="10"/>
  <c r="C704" i="10"/>
  <c r="C705" i="10"/>
  <c r="C706" i="10"/>
  <c r="C707" i="10"/>
  <c r="C708" i="10"/>
  <c r="C709" i="10"/>
  <c r="C710" i="10"/>
  <c r="C711" i="10"/>
  <c r="C712" i="10"/>
  <c r="C713" i="10"/>
  <c r="C714" i="10"/>
  <c r="C715" i="10"/>
  <c r="C716" i="10"/>
  <c r="C717" i="10"/>
  <c r="C718" i="10"/>
  <c r="C719" i="10"/>
  <c r="C720" i="10"/>
  <c r="C721" i="10"/>
  <c r="C722" i="10"/>
  <c r="C723" i="10"/>
  <c r="C724" i="10"/>
  <c r="C725" i="10"/>
  <c r="C726" i="10"/>
  <c r="C727" i="10"/>
  <c r="C728" i="10"/>
  <c r="C729" i="10"/>
  <c r="C730" i="10"/>
  <c r="C731" i="10"/>
  <c r="C732" i="10"/>
  <c r="C733" i="10"/>
  <c r="C734" i="10"/>
  <c r="C735" i="10"/>
  <c r="C736" i="10"/>
  <c r="C737" i="10"/>
  <c r="C738" i="10"/>
  <c r="C739" i="10"/>
  <c r="C740" i="10"/>
  <c r="C741" i="10"/>
  <c r="C742" i="10"/>
  <c r="C743" i="10"/>
  <c r="C744" i="10"/>
  <c r="C745" i="10"/>
  <c r="C746" i="10"/>
  <c r="C747" i="10"/>
  <c r="C748" i="10"/>
  <c r="C749" i="10"/>
  <c r="C750" i="10"/>
  <c r="C751" i="10"/>
  <c r="C752" i="10"/>
  <c r="C753" i="10"/>
  <c r="C754" i="10"/>
  <c r="C755" i="10"/>
  <c r="C756" i="10"/>
  <c r="C757" i="10"/>
  <c r="C758" i="10"/>
  <c r="C759" i="10"/>
  <c r="C760" i="10"/>
  <c r="C761" i="10"/>
  <c r="C762" i="10"/>
  <c r="C763" i="10"/>
  <c r="C764" i="10"/>
  <c r="C765" i="10"/>
  <c r="C766" i="10"/>
  <c r="C767" i="10"/>
  <c r="C768" i="10"/>
  <c r="C769" i="10"/>
  <c r="C770" i="10"/>
  <c r="C771" i="10"/>
  <c r="C772" i="10"/>
  <c r="C773" i="10"/>
  <c r="C774" i="10"/>
  <c r="C775" i="10"/>
  <c r="C776" i="10"/>
  <c r="C777" i="10"/>
  <c r="C778" i="10"/>
  <c r="C779" i="10"/>
  <c r="C780" i="10"/>
  <c r="C781" i="10"/>
  <c r="C782" i="10"/>
  <c r="C783" i="10"/>
  <c r="C784" i="10"/>
  <c r="C785" i="10"/>
  <c r="C786" i="10"/>
  <c r="C787" i="10"/>
  <c r="C788" i="10"/>
  <c r="C789" i="10"/>
  <c r="C790" i="10"/>
  <c r="C791" i="10"/>
  <c r="C792" i="10"/>
  <c r="C793" i="10"/>
  <c r="C794" i="10"/>
  <c r="C795" i="10"/>
  <c r="C796" i="10"/>
  <c r="C797" i="10"/>
  <c r="C798" i="10"/>
  <c r="C799" i="10"/>
  <c r="C800" i="10"/>
  <c r="C801" i="10"/>
  <c r="C802" i="10"/>
  <c r="C803" i="10"/>
  <c r="C804" i="10"/>
  <c r="C805" i="10"/>
  <c r="C806" i="10"/>
  <c r="C807" i="10"/>
  <c r="C808" i="10"/>
  <c r="C809" i="10"/>
  <c r="C810" i="10"/>
  <c r="C811" i="10"/>
  <c r="C812" i="10"/>
  <c r="C813" i="10"/>
  <c r="C814" i="10"/>
  <c r="C815" i="10"/>
  <c r="C816" i="10"/>
  <c r="C817" i="10"/>
  <c r="C818" i="10"/>
  <c r="C819" i="10"/>
  <c r="C820" i="10"/>
  <c r="C821" i="10"/>
  <c r="C822" i="10"/>
  <c r="C823" i="10"/>
  <c r="C824" i="10"/>
  <c r="C825" i="10"/>
  <c r="C826" i="10"/>
  <c r="C827" i="10"/>
  <c r="C828" i="10"/>
  <c r="C829" i="10"/>
  <c r="C830" i="10"/>
  <c r="C831" i="10"/>
  <c r="C832" i="10"/>
  <c r="C833" i="10"/>
  <c r="C834" i="10"/>
  <c r="C835" i="10"/>
  <c r="C836" i="10"/>
  <c r="C837" i="10"/>
  <c r="C838" i="10"/>
  <c r="C839" i="10"/>
  <c r="C840" i="10"/>
  <c r="C841" i="10"/>
  <c r="C842" i="10"/>
  <c r="C843" i="10"/>
  <c r="C844" i="10"/>
  <c r="C845" i="10"/>
  <c r="C846" i="10"/>
  <c r="C847" i="10"/>
  <c r="C848" i="10"/>
  <c r="C849" i="10"/>
  <c r="C850" i="10"/>
  <c r="C851" i="10"/>
  <c r="C852" i="10"/>
  <c r="C853" i="10"/>
  <c r="C854" i="10"/>
  <c r="C855" i="10"/>
  <c r="C856" i="10"/>
  <c r="C857" i="10"/>
  <c r="C858" i="10"/>
  <c r="C859" i="10"/>
  <c r="C860" i="10"/>
  <c r="C861" i="10"/>
  <c r="C862" i="10"/>
  <c r="C863" i="10"/>
  <c r="C864" i="10"/>
  <c r="C865" i="10"/>
  <c r="C866" i="10"/>
  <c r="C867" i="10"/>
  <c r="C868" i="10"/>
  <c r="C869" i="10"/>
  <c r="C870" i="10"/>
  <c r="C871" i="10"/>
  <c r="C872" i="10"/>
  <c r="C873" i="10"/>
  <c r="C874" i="10"/>
  <c r="C875" i="10"/>
  <c r="C876" i="10"/>
  <c r="C877" i="10"/>
  <c r="C878" i="10"/>
  <c r="C879" i="10"/>
  <c r="C880" i="10"/>
  <c r="C881" i="10"/>
  <c r="C882" i="10"/>
  <c r="C883" i="10"/>
  <c r="C884" i="10"/>
  <c r="C885" i="10"/>
  <c r="C886" i="10"/>
  <c r="C887" i="10"/>
  <c r="C888" i="10"/>
  <c r="C889" i="10"/>
  <c r="C890" i="10"/>
  <c r="C891" i="10"/>
  <c r="C892" i="10"/>
  <c r="C893" i="10"/>
  <c r="C894" i="10"/>
  <c r="C895" i="10"/>
  <c r="C896" i="10"/>
  <c r="C897" i="10"/>
  <c r="C898" i="10"/>
  <c r="C899" i="10"/>
  <c r="C900" i="10"/>
  <c r="C901" i="10"/>
  <c r="C902" i="10"/>
  <c r="C903" i="10"/>
  <c r="C904" i="10"/>
  <c r="C905" i="10"/>
  <c r="C906" i="10"/>
  <c r="C907" i="10"/>
  <c r="C908" i="10"/>
  <c r="C909" i="10"/>
  <c r="C910" i="10"/>
  <c r="C911" i="10"/>
  <c r="C912" i="10"/>
  <c r="C913" i="10"/>
  <c r="C914" i="10"/>
  <c r="C915" i="10"/>
  <c r="C916" i="10"/>
  <c r="C917" i="10"/>
  <c r="C918" i="10"/>
  <c r="C919" i="10"/>
  <c r="C920" i="10"/>
  <c r="C921" i="10"/>
  <c r="C922" i="10"/>
  <c r="C923" i="10"/>
  <c r="C924" i="10"/>
  <c r="C925" i="10"/>
  <c r="C926" i="10"/>
  <c r="C927" i="10"/>
  <c r="C928" i="10"/>
  <c r="C929" i="10"/>
  <c r="C930" i="10"/>
  <c r="C931" i="10"/>
  <c r="C932" i="10"/>
  <c r="C933" i="10"/>
  <c r="C934" i="10"/>
  <c r="C935" i="10"/>
  <c r="C936" i="10"/>
  <c r="C937" i="10"/>
  <c r="C938" i="10"/>
  <c r="C939" i="10"/>
  <c r="C940" i="10"/>
  <c r="C941" i="10"/>
  <c r="C942" i="10"/>
  <c r="C943" i="10"/>
  <c r="C944" i="10"/>
  <c r="C945" i="10"/>
  <c r="C946" i="10"/>
  <c r="C947" i="10"/>
  <c r="C948" i="10"/>
  <c r="C949" i="10"/>
  <c r="C950" i="10"/>
  <c r="C951" i="10"/>
  <c r="C952" i="10"/>
  <c r="C953" i="10"/>
  <c r="C954" i="10"/>
  <c r="C955" i="10"/>
  <c r="C956" i="10"/>
  <c r="C957" i="10"/>
  <c r="C958" i="10"/>
  <c r="C959" i="10"/>
  <c r="C960" i="10"/>
  <c r="C961" i="10"/>
  <c r="C962" i="10"/>
  <c r="C963" i="10"/>
  <c r="C964" i="10"/>
  <c r="C965" i="10"/>
  <c r="C966" i="10"/>
  <c r="C967" i="10"/>
  <c r="C968" i="10"/>
  <c r="C969" i="10"/>
  <c r="C970" i="10"/>
  <c r="C971" i="10"/>
  <c r="C972" i="10"/>
  <c r="C973" i="10"/>
  <c r="C974" i="10"/>
  <c r="C975" i="10"/>
  <c r="C976" i="10"/>
  <c r="C977" i="10"/>
  <c r="C978" i="10"/>
  <c r="C979" i="10"/>
  <c r="C980" i="10"/>
  <c r="C981" i="10"/>
  <c r="C982" i="10"/>
  <c r="C983" i="10"/>
  <c r="C984" i="10"/>
  <c r="C985" i="10"/>
  <c r="C986" i="10"/>
  <c r="C987" i="10"/>
  <c r="C988" i="10"/>
  <c r="C989" i="10"/>
  <c r="C990" i="10"/>
  <c r="C991" i="10"/>
  <c r="C992" i="10"/>
  <c r="C993" i="10"/>
  <c r="C994" i="10"/>
  <c r="C995" i="10"/>
  <c r="C996" i="10"/>
  <c r="C997" i="10"/>
  <c r="C998" i="10"/>
  <c r="C999" i="10"/>
  <c r="C1000" i="10"/>
  <c r="C1001" i="10"/>
  <c r="C1002" i="10"/>
  <c r="C1003" i="10"/>
  <c r="C1004" i="10"/>
  <c r="C1005" i="10"/>
  <c r="C1006" i="10"/>
  <c r="C1007" i="10"/>
  <c r="C1008" i="10"/>
  <c r="C1009" i="10"/>
  <c r="C1010" i="10"/>
  <c r="C1011" i="10"/>
  <c r="C1012" i="10"/>
  <c r="C1013" i="10"/>
  <c r="C1014" i="10"/>
  <c r="C1015" i="10"/>
  <c r="C1016" i="10"/>
  <c r="C1017" i="10"/>
  <c r="C1018" i="10"/>
  <c r="C1019" i="10"/>
  <c r="C1020" i="10"/>
  <c r="C1021" i="10"/>
  <c r="C1022" i="10"/>
  <c r="C1023" i="10"/>
  <c r="C1024" i="10"/>
  <c r="C1025" i="10"/>
  <c r="C1026" i="10"/>
  <c r="C1027" i="10"/>
  <c r="C1028" i="10"/>
  <c r="C1029" i="10"/>
  <c r="C1030" i="10"/>
  <c r="C1031" i="10"/>
  <c r="C1032" i="10"/>
  <c r="C1033" i="10"/>
  <c r="C1034" i="10"/>
  <c r="C1035" i="10"/>
  <c r="C1036" i="10"/>
  <c r="C1037" i="10"/>
  <c r="C1038" i="10"/>
  <c r="C1039" i="10"/>
  <c r="C1040" i="10"/>
  <c r="C1041" i="10"/>
  <c r="C1042" i="10"/>
  <c r="C1043" i="10"/>
  <c r="C1044" i="10"/>
  <c r="C1045" i="10"/>
  <c r="C1046" i="10"/>
  <c r="C1047" i="10"/>
  <c r="C1048" i="10"/>
  <c r="C1049" i="10"/>
  <c r="C1050" i="10"/>
  <c r="C1051" i="10"/>
  <c r="C1052" i="10"/>
  <c r="C1053" i="10"/>
  <c r="C1054" i="10"/>
  <c r="C1055" i="10"/>
  <c r="C1056" i="10"/>
  <c r="C1057" i="10"/>
  <c r="C1058" i="10"/>
  <c r="C1059" i="10"/>
  <c r="C1060" i="10"/>
  <c r="C1061" i="10"/>
  <c r="C1062" i="10"/>
  <c r="C1063" i="10"/>
  <c r="C1064" i="10"/>
  <c r="C1065" i="10"/>
  <c r="C1066" i="10"/>
  <c r="C1067" i="10"/>
  <c r="C1068" i="10"/>
  <c r="C1069" i="10"/>
  <c r="C1070" i="10"/>
  <c r="C1071" i="10"/>
  <c r="C1072" i="10"/>
  <c r="C1073" i="10"/>
  <c r="C1074" i="10"/>
  <c r="C1075" i="10"/>
  <c r="C1076" i="10"/>
  <c r="C1077" i="10"/>
  <c r="C1078" i="10"/>
  <c r="C1079" i="10"/>
  <c r="C1080" i="10"/>
  <c r="C1081" i="10"/>
  <c r="C1082" i="10"/>
  <c r="C1083" i="10"/>
  <c r="C1084" i="10"/>
  <c r="C1085" i="10"/>
  <c r="C1086" i="10"/>
  <c r="C1087" i="10"/>
  <c r="C1088" i="10"/>
  <c r="C1089" i="10"/>
  <c r="C1090" i="10"/>
  <c r="C1091" i="10"/>
  <c r="C1092" i="10"/>
  <c r="C1093" i="10"/>
  <c r="C1094" i="10"/>
  <c r="C1095" i="10"/>
  <c r="C1096" i="10"/>
  <c r="C1097" i="10"/>
  <c r="C1098" i="10"/>
  <c r="C1099" i="10"/>
  <c r="C1100" i="10"/>
  <c r="C1101" i="10"/>
  <c r="C1102" i="10"/>
  <c r="C1103" i="10"/>
  <c r="C1104" i="10"/>
  <c r="C1105" i="10"/>
  <c r="C1106" i="10"/>
  <c r="C1107" i="10"/>
  <c r="C1108" i="10"/>
  <c r="C1109" i="10"/>
  <c r="C1110" i="10"/>
  <c r="C1111" i="10"/>
  <c r="C1112" i="10"/>
  <c r="C1113" i="10"/>
  <c r="C1114" i="10"/>
  <c r="C1115" i="10"/>
  <c r="C1116" i="10"/>
  <c r="C1117" i="10"/>
  <c r="C1118" i="10"/>
  <c r="C1119" i="10"/>
  <c r="C1120" i="10"/>
  <c r="C1121" i="10"/>
  <c r="C1122" i="10"/>
  <c r="C1123" i="10"/>
  <c r="C1124" i="10"/>
  <c r="C1125" i="10"/>
  <c r="C1126" i="10"/>
  <c r="C1127" i="10"/>
  <c r="C1128" i="10"/>
  <c r="C1129" i="10"/>
  <c r="C1130" i="10"/>
  <c r="C1131" i="10"/>
  <c r="C1132" i="10"/>
  <c r="C1133" i="10"/>
  <c r="C1134" i="10"/>
  <c r="C1135" i="10"/>
  <c r="C1136" i="10"/>
  <c r="C1137" i="10"/>
  <c r="C1138" i="10"/>
  <c r="C1139" i="10"/>
  <c r="C1140" i="10"/>
  <c r="C1141" i="10"/>
  <c r="C1142" i="10"/>
  <c r="C1143" i="10"/>
  <c r="C1144" i="10"/>
  <c r="C1145" i="10"/>
  <c r="C1146" i="10"/>
  <c r="C1147" i="10"/>
  <c r="C1148" i="10"/>
  <c r="C1149" i="10"/>
  <c r="C1150" i="10"/>
  <c r="C1151" i="10"/>
  <c r="C1152" i="10"/>
  <c r="C1153" i="10"/>
  <c r="C1154" i="10"/>
  <c r="C1155" i="10"/>
  <c r="C1156" i="10"/>
  <c r="C1157" i="10"/>
  <c r="C1158" i="10"/>
  <c r="C1159" i="10"/>
  <c r="C1160" i="10"/>
  <c r="C1161" i="10"/>
  <c r="C1162" i="10"/>
  <c r="C1163" i="10"/>
  <c r="C1164" i="10"/>
  <c r="C1165" i="10"/>
  <c r="C1166" i="10"/>
  <c r="C1167" i="10"/>
  <c r="C1168" i="10"/>
  <c r="C1169" i="10"/>
  <c r="C1170" i="10"/>
  <c r="C1171" i="10"/>
  <c r="C1172" i="10"/>
  <c r="C1173" i="10"/>
  <c r="C1174" i="10"/>
  <c r="C1175" i="10"/>
  <c r="C1176" i="10"/>
  <c r="C1177" i="10"/>
  <c r="C1178" i="10"/>
  <c r="C1179" i="10"/>
  <c r="C1180" i="10"/>
  <c r="C1181" i="10"/>
  <c r="C1182" i="10"/>
  <c r="C1183" i="10"/>
  <c r="C1184" i="10"/>
  <c r="C1185" i="10"/>
  <c r="C1186" i="10"/>
  <c r="C1187" i="10"/>
  <c r="C1188" i="10"/>
  <c r="C1189" i="10"/>
  <c r="C1190" i="10"/>
  <c r="C1191" i="10"/>
  <c r="C1192" i="10"/>
  <c r="C1193" i="10"/>
  <c r="C1194" i="10"/>
  <c r="C1195" i="10"/>
  <c r="C1196" i="10"/>
  <c r="C1197" i="10"/>
  <c r="C1198" i="10"/>
  <c r="C1199" i="10"/>
  <c r="C1200" i="10"/>
  <c r="C1201" i="10"/>
  <c r="C1202" i="10"/>
  <c r="C1203" i="10"/>
  <c r="C1204" i="10"/>
  <c r="C1205" i="10"/>
  <c r="C1206" i="10"/>
  <c r="C1207" i="10"/>
  <c r="C1208" i="10"/>
  <c r="C1209" i="10"/>
  <c r="C1210" i="10"/>
  <c r="C1211" i="10"/>
  <c r="C1212" i="10"/>
  <c r="C1213" i="10"/>
  <c r="C1214" i="10"/>
  <c r="C1215" i="10"/>
  <c r="C1216" i="10"/>
  <c r="C1217" i="10"/>
  <c r="C1218" i="10"/>
  <c r="C1219" i="10"/>
  <c r="C1220" i="10"/>
  <c r="C1221" i="10"/>
  <c r="C1222" i="10"/>
  <c r="C1223" i="10"/>
  <c r="C1224" i="10"/>
  <c r="C1225" i="10"/>
  <c r="C1226" i="10"/>
  <c r="C1227" i="10"/>
  <c r="C1228" i="10"/>
  <c r="C1229" i="10"/>
  <c r="C1230" i="10"/>
  <c r="C1231" i="10"/>
  <c r="C1232" i="10"/>
  <c r="C1233" i="10"/>
  <c r="C1234" i="10"/>
  <c r="C1235" i="10"/>
  <c r="C1236" i="10"/>
  <c r="C1237" i="10"/>
  <c r="C1238" i="10"/>
  <c r="C1239" i="10"/>
  <c r="C1240" i="10"/>
  <c r="C1241" i="10"/>
  <c r="C1242" i="10"/>
  <c r="C1243" i="10"/>
  <c r="C1244" i="10"/>
  <c r="C1245" i="10"/>
  <c r="C1246" i="10"/>
  <c r="C1247" i="10"/>
  <c r="C1248" i="10"/>
  <c r="C1249" i="10"/>
  <c r="C1250" i="10"/>
  <c r="C1251" i="10"/>
  <c r="C1252" i="10"/>
  <c r="C1253" i="10"/>
  <c r="C1254" i="10"/>
  <c r="C1255" i="10"/>
  <c r="C1256" i="10"/>
  <c r="C1257" i="10"/>
  <c r="C1258" i="10"/>
  <c r="C1259" i="10"/>
  <c r="C1260" i="10"/>
  <c r="C1261" i="10"/>
  <c r="C1262" i="10"/>
  <c r="C1263" i="10"/>
  <c r="C1264" i="10"/>
  <c r="C1265" i="10"/>
  <c r="C1266" i="10"/>
  <c r="C1267" i="10"/>
  <c r="C1268" i="10"/>
  <c r="C1269" i="10"/>
  <c r="C1270" i="10"/>
  <c r="C1271" i="10"/>
  <c r="C1272" i="10"/>
  <c r="C1273" i="10"/>
  <c r="C1274" i="10"/>
  <c r="C1275" i="10"/>
  <c r="C1276" i="10"/>
  <c r="C1277" i="10"/>
  <c r="C1278" i="10"/>
  <c r="C1279" i="10"/>
  <c r="C1280" i="10"/>
  <c r="C1281" i="10"/>
  <c r="C1282" i="10"/>
  <c r="C1283" i="10"/>
  <c r="C1284" i="10"/>
  <c r="C1285" i="10"/>
  <c r="C1286" i="10"/>
  <c r="C1287" i="10"/>
  <c r="C1288" i="10"/>
  <c r="C1289" i="10"/>
  <c r="C1290" i="10"/>
  <c r="C1291" i="10"/>
  <c r="C1292" i="10"/>
  <c r="C1293" i="10"/>
  <c r="C1294" i="10"/>
  <c r="C1295" i="10"/>
  <c r="C1296" i="10"/>
  <c r="C1297" i="10"/>
  <c r="C1298" i="10"/>
  <c r="C1299" i="10"/>
  <c r="C1300" i="10"/>
  <c r="C1301" i="10"/>
  <c r="C1302" i="10"/>
  <c r="C1303" i="10"/>
  <c r="C1304" i="10"/>
  <c r="C1305" i="10"/>
  <c r="C1306" i="10"/>
  <c r="C1307" i="10"/>
  <c r="C1308" i="10"/>
  <c r="C1309" i="10"/>
  <c r="C1310" i="10"/>
  <c r="C1311" i="10"/>
  <c r="C1312" i="10"/>
  <c r="C1313" i="10"/>
  <c r="C1314" i="10"/>
  <c r="C1315" i="10"/>
  <c r="C1316" i="10"/>
  <c r="C1317" i="10"/>
  <c r="C1318" i="10"/>
  <c r="C1319" i="10"/>
  <c r="C1320" i="10"/>
  <c r="C1321" i="10"/>
  <c r="C1322" i="10"/>
  <c r="C1323" i="10"/>
  <c r="C1324" i="10"/>
  <c r="C1325" i="10"/>
  <c r="C1326" i="10"/>
  <c r="C1327" i="10"/>
  <c r="C1328" i="10"/>
  <c r="C1329" i="10"/>
  <c r="C1330" i="10"/>
  <c r="C1331" i="10"/>
  <c r="C1332" i="10"/>
  <c r="C1333" i="10"/>
  <c r="C1334" i="10"/>
  <c r="C1335" i="10"/>
  <c r="C1336" i="10"/>
  <c r="C1337" i="10"/>
  <c r="C1338" i="10"/>
  <c r="C1339" i="10"/>
  <c r="C1340" i="10"/>
  <c r="C1341" i="10"/>
  <c r="C1342" i="10"/>
  <c r="C1343" i="10"/>
  <c r="C1344" i="10"/>
  <c r="C1345" i="10"/>
  <c r="C1346" i="10"/>
  <c r="C1347" i="10"/>
  <c r="C1348" i="10"/>
  <c r="C1349" i="10"/>
  <c r="C1350" i="10"/>
  <c r="C1351" i="10"/>
  <c r="C1352" i="10"/>
  <c r="C1353" i="10"/>
  <c r="C1354" i="10"/>
  <c r="C1355" i="10"/>
  <c r="C1356" i="10"/>
  <c r="C1357" i="10"/>
  <c r="C1358" i="10"/>
  <c r="C1359" i="10"/>
  <c r="C1360" i="10"/>
  <c r="C1361" i="10"/>
  <c r="C1362" i="10"/>
  <c r="C1363" i="10"/>
  <c r="C1364" i="10"/>
  <c r="C1365" i="10"/>
  <c r="C1366" i="10"/>
  <c r="C1367" i="10"/>
  <c r="C1368" i="10"/>
  <c r="C1369" i="10"/>
  <c r="C1370" i="10"/>
  <c r="C1371" i="10"/>
  <c r="C1372" i="10"/>
  <c r="C1373" i="10"/>
  <c r="C1374" i="10"/>
  <c r="C1375" i="10"/>
  <c r="C1376" i="10"/>
  <c r="C1377" i="10"/>
  <c r="C1378" i="10"/>
  <c r="C1379" i="10"/>
  <c r="C1380" i="10"/>
  <c r="C1381" i="10"/>
  <c r="C1382" i="10"/>
  <c r="C1383" i="10"/>
  <c r="C1384" i="10"/>
  <c r="C1385" i="10"/>
  <c r="C1386" i="10"/>
  <c r="C1387" i="10"/>
  <c r="C1388" i="10"/>
  <c r="C1389" i="10"/>
  <c r="C1390" i="10"/>
  <c r="C1391" i="10"/>
  <c r="C1392" i="10"/>
  <c r="C1393" i="10"/>
  <c r="C1394" i="10"/>
  <c r="C1395" i="10"/>
  <c r="C1396" i="10"/>
  <c r="C1397" i="10"/>
  <c r="C1398" i="10"/>
  <c r="C1399" i="10"/>
  <c r="C1400" i="10"/>
  <c r="C1401" i="10"/>
  <c r="C2" i="10"/>
  <c r="F1401" i="10"/>
  <c r="F1400" i="10"/>
  <c r="F1399" i="10"/>
  <c r="F1398" i="10"/>
  <c r="F1397" i="10"/>
  <c r="F1396" i="10"/>
  <c r="F1395" i="10"/>
  <c r="F1394" i="10"/>
  <c r="F1393" i="10"/>
  <c r="F1392" i="10"/>
  <c r="F1391" i="10"/>
  <c r="F1390" i="10"/>
  <c r="F1389" i="10"/>
  <c r="F1388" i="10"/>
  <c r="F1387" i="10"/>
  <c r="F1386" i="10"/>
  <c r="F1385" i="10"/>
  <c r="F1384" i="10"/>
  <c r="F1383" i="10"/>
  <c r="F1382" i="10"/>
  <c r="F1381" i="10"/>
  <c r="F1380" i="10"/>
  <c r="F1379" i="10"/>
  <c r="F1378" i="10"/>
  <c r="F1377" i="10"/>
  <c r="F1376" i="10"/>
  <c r="F1375" i="10"/>
  <c r="F1374" i="10"/>
  <c r="F1373" i="10"/>
  <c r="F1372" i="10"/>
  <c r="F1371" i="10"/>
  <c r="F1370" i="10"/>
  <c r="F1369" i="10"/>
  <c r="F1368" i="10"/>
  <c r="F1367" i="10"/>
  <c r="F1366" i="10"/>
  <c r="F1365" i="10"/>
  <c r="F1364" i="10"/>
  <c r="F1363" i="10"/>
  <c r="F1362" i="10"/>
  <c r="F1361" i="10"/>
  <c r="F1360" i="10"/>
  <c r="F1359" i="10"/>
  <c r="F1358" i="10"/>
  <c r="F1357" i="10"/>
  <c r="F1356" i="10"/>
  <c r="F1355" i="10"/>
  <c r="F1354" i="10"/>
  <c r="F1353" i="10"/>
  <c r="F1352" i="10"/>
  <c r="F1351" i="10"/>
  <c r="F1350" i="10"/>
  <c r="F1349" i="10"/>
  <c r="F1348" i="10"/>
  <c r="F1347" i="10"/>
  <c r="F1346" i="10"/>
  <c r="F1345" i="10"/>
  <c r="F1344" i="10"/>
  <c r="F1343" i="10"/>
  <c r="F1342" i="10"/>
  <c r="F1341" i="10"/>
  <c r="F1340" i="10"/>
  <c r="F1339" i="10"/>
  <c r="F1338" i="10"/>
  <c r="F1337" i="10"/>
  <c r="F1336" i="10"/>
  <c r="F1335" i="10"/>
  <c r="F1334" i="10"/>
  <c r="F1333" i="10"/>
  <c r="F1332" i="10"/>
  <c r="F1331" i="10"/>
  <c r="F1330" i="10"/>
  <c r="F1329" i="10"/>
  <c r="F1328" i="10"/>
  <c r="F1327" i="10"/>
  <c r="F1326" i="10"/>
  <c r="F1325" i="10"/>
  <c r="F1324" i="10"/>
  <c r="F1323" i="10"/>
  <c r="F1322" i="10"/>
  <c r="F1321" i="10"/>
  <c r="F1320" i="10"/>
  <c r="F1319" i="10"/>
  <c r="F1318" i="10"/>
  <c r="F1317" i="10"/>
  <c r="F1316" i="10"/>
  <c r="F1315" i="10"/>
  <c r="F1314" i="10"/>
  <c r="F1313" i="10"/>
  <c r="F1312" i="10"/>
  <c r="F1311" i="10"/>
  <c r="F1310" i="10"/>
  <c r="F1309" i="10"/>
  <c r="F1308" i="10"/>
  <c r="F1307" i="10"/>
  <c r="F1306" i="10"/>
  <c r="F1305" i="10"/>
  <c r="F1304" i="10"/>
  <c r="F1303" i="10"/>
  <c r="F1302" i="10"/>
  <c r="F1301" i="10"/>
  <c r="F1300" i="10"/>
  <c r="F1299" i="10"/>
  <c r="F1298" i="10"/>
  <c r="F1297" i="10"/>
  <c r="F1296" i="10"/>
  <c r="F1295" i="10"/>
  <c r="F1294" i="10"/>
  <c r="F1293" i="10"/>
  <c r="F1292" i="10"/>
  <c r="F1291" i="10"/>
  <c r="F1290" i="10"/>
  <c r="F1289" i="10"/>
  <c r="F1288" i="10"/>
  <c r="F1287" i="10"/>
  <c r="F1286" i="10"/>
  <c r="F1285" i="10"/>
  <c r="F1284" i="10"/>
  <c r="F1283" i="10"/>
  <c r="F1282" i="10"/>
  <c r="F1281" i="10"/>
  <c r="F1280" i="10"/>
  <c r="F1279" i="10"/>
  <c r="F1278" i="10"/>
  <c r="F1277" i="10"/>
  <c r="F1276" i="10"/>
  <c r="F1275" i="10"/>
  <c r="F1274" i="10"/>
  <c r="F1273" i="10"/>
  <c r="F1272" i="10"/>
  <c r="F1271" i="10"/>
  <c r="F1270" i="10"/>
  <c r="F1269" i="10"/>
  <c r="F1268" i="10"/>
  <c r="F1267" i="10"/>
  <c r="F1266" i="10"/>
  <c r="F1265" i="10"/>
  <c r="F1264" i="10"/>
  <c r="F1263" i="10"/>
  <c r="F1262" i="10"/>
  <c r="F1261" i="10"/>
  <c r="F1260" i="10"/>
  <c r="F1259" i="10"/>
  <c r="F1258" i="10"/>
  <c r="F1257" i="10"/>
  <c r="F1256" i="10"/>
  <c r="F1255" i="10"/>
  <c r="F1254" i="10"/>
  <c r="F1253" i="10"/>
  <c r="F1252" i="10"/>
  <c r="F1251" i="10"/>
  <c r="F1250" i="10"/>
  <c r="F1249" i="10"/>
  <c r="F1248" i="10"/>
  <c r="F1247" i="10"/>
  <c r="F1246" i="10"/>
  <c r="F1245" i="10"/>
  <c r="F1244" i="10"/>
  <c r="F1243" i="10"/>
  <c r="F1242" i="10"/>
  <c r="F1241" i="10"/>
  <c r="F1240" i="10"/>
  <c r="F1239" i="10"/>
  <c r="F1238" i="10"/>
  <c r="F1237" i="10"/>
  <c r="F1236" i="10"/>
  <c r="F1235" i="10"/>
  <c r="F1234" i="10"/>
  <c r="F1233" i="10"/>
  <c r="F1232" i="10"/>
  <c r="F1231" i="10"/>
  <c r="F1230" i="10"/>
  <c r="F1229" i="10"/>
  <c r="F1228" i="10"/>
  <c r="F1227" i="10"/>
  <c r="F1226" i="10"/>
  <c r="F1225" i="10"/>
  <c r="F1224" i="10"/>
  <c r="F1223" i="10"/>
  <c r="F1222" i="10"/>
  <c r="F1221" i="10"/>
  <c r="F1220" i="10"/>
  <c r="F1219" i="10"/>
  <c r="F1218" i="10"/>
  <c r="F1217" i="10"/>
  <c r="F1216" i="10"/>
  <c r="F1215" i="10"/>
  <c r="F1214" i="10"/>
  <c r="F1213" i="10"/>
  <c r="F1212" i="10"/>
  <c r="F1211" i="10"/>
  <c r="F1210" i="10"/>
  <c r="F1209" i="10"/>
  <c r="F1208" i="10"/>
  <c r="F1207" i="10"/>
  <c r="F1206" i="10"/>
  <c r="F1205" i="10"/>
  <c r="F1204" i="10"/>
  <c r="F1203" i="10"/>
  <c r="F1202" i="10"/>
  <c r="F1201" i="10"/>
  <c r="F1200" i="10"/>
  <c r="F1199" i="10"/>
  <c r="F1198" i="10"/>
  <c r="F1197" i="10"/>
  <c r="F1196" i="10"/>
  <c r="F1195" i="10"/>
  <c r="F1194" i="10"/>
  <c r="F1193" i="10"/>
  <c r="F1192" i="10"/>
  <c r="F1191" i="10"/>
  <c r="F1190" i="10"/>
  <c r="F1189" i="10"/>
  <c r="F1188" i="10"/>
  <c r="F1187" i="10"/>
  <c r="F1186" i="10"/>
  <c r="F1185" i="10"/>
  <c r="F1184" i="10"/>
  <c r="F1183" i="10"/>
  <c r="F1182" i="10"/>
  <c r="F1181" i="10"/>
  <c r="F1180" i="10"/>
  <c r="F1179" i="10"/>
  <c r="F1178" i="10"/>
  <c r="F1177" i="10"/>
  <c r="F1176" i="10"/>
  <c r="F1175" i="10"/>
  <c r="F1174" i="10"/>
  <c r="F1173" i="10"/>
  <c r="F1172" i="10"/>
  <c r="F1171" i="10"/>
  <c r="F1170" i="10"/>
  <c r="F1169" i="10"/>
  <c r="F1168" i="10"/>
  <c r="F1167" i="10"/>
  <c r="F1166" i="10"/>
  <c r="F1165" i="10"/>
  <c r="F1164" i="10"/>
  <c r="F1163" i="10"/>
  <c r="F1162" i="10"/>
  <c r="F1161" i="10"/>
  <c r="F1160" i="10"/>
  <c r="F1159" i="10"/>
  <c r="F1158" i="10"/>
  <c r="F1157" i="10"/>
  <c r="F1156" i="10"/>
  <c r="F1155" i="10"/>
  <c r="F1154" i="10"/>
  <c r="F1153" i="10"/>
  <c r="F1152" i="10"/>
  <c r="F1151" i="10"/>
  <c r="F1150" i="10"/>
  <c r="F1149" i="10"/>
  <c r="F1148" i="10"/>
  <c r="F1147" i="10"/>
  <c r="F1146" i="10"/>
  <c r="F1145" i="10"/>
  <c r="F1144" i="10"/>
  <c r="F1143" i="10"/>
  <c r="F1142" i="10"/>
  <c r="F1141" i="10"/>
  <c r="F1140" i="10"/>
  <c r="F1139" i="10"/>
  <c r="F1138" i="10"/>
  <c r="F1137" i="10"/>
  <c r="F1136" i="10"/>
  <c r="F1135" i="10"/>
  <c r="F1134" i="10"/>
  <c r="F1133" i="10"/>
  <c r="F1132" i="10"/>
  <c r="F1131" i="10"/>
  <c r="F1130" i="10"/>
  <c r="F1129" i="10"/>
  <c r="F1128" i="10"/>
  <c r="F1127" i="10"/>
  <c r="F1126" i="10"/>
  <c r="F1125" i="10"/>
  <c r="F1124" i="10"/>
  <c r="F1123" i="10"/>
  <c r="F1122" i="10"/>
  <c r="F1121" i="10"/>
  <c r="F1120" i="10"/>
  <c r="F1119" i="10"/>
  <c r="F1118" i="10"/>
  <c r="F1117" i="10"/>
  <c r="F1116" i="10"/>
  <c r="F1115" i="10"/>
  <c r="F1114" i="10"/>
  <c r="F1113" i="10"/>
  <c r="F1112" i="10"/>
  <c r="F1111" i="10"/>
  <c r="F1110" i="10"/>
  <c r="F1109" i="10"/>
  <c r="F1108" i="10"/>
  <c r="F1107" i="10"/>
  <c r="F1106" i="10"/>
  <c r="F1105" i="10"/>
  <c r="F1104" i="10"/>
  <c r="F1103" i="10"/>
  <c r="F1102" i="10"/>
  <c r="F1101" i="10"/>
  <c r="F1100" i="10"/>
  <c r="F1099" i="10"/>
  <c r="F1098" i="10"/>
  <c r="F1097" i="10"/>
  <c r="F1096" i="10"/>
  <c r="F1095" i="10"/>
  <c r="F1094" i="10"/>
  <c r="F1093" i="10"/>
  <c r="F1092" i="10"/>
  <c r="F1091" i="10"/>
  <c r="F1090" i="10"/>
  <c r="F1089" i="10"/>
  <c r="F1088" i="10"/>
  <c r="F1087" i="10"/>
  <c r="F1086" i="10"/>
  <c r="F1085" i="10"/>
  <c r="F1084" i="10"/>
  <c r="F1083" i="10"/>
  <c r="F1082" i="10"/>
  <c r="F1081" i="10"/>
  <c r="F1080" i="10"/>
  <c r="F1079" i="10"/>
  <c r="F1078" i="10"/>
  <c r="F1077" i="10"/>
  <c r="F1076" i="10"/>
  <c r="F1075" i="10"/>
  <c r="F1074" i="10"/>
  <c r="F1073" i="10"/>
  <c r="F1072" i="10"/>
  <c r="F1071" i="10"/>
  <c r="F1070" i="10"/>
  <c r="F1069" i="10"/>
  <c r="F1068" i="10"/>
  <c r="F1067" i="10"/>
  <c r="F1066" i="10"/>
  <c r="F1065" i="10"/>
  <c r="F1064" i="10"/>
  <c r="F1063" i="10"/>
  <c r="F1062" i="10"/>
  <c r="F1061" i="10"/>
  <c r="F1060" i="10"/>
  <c r="F1059" i="10"/>
  <c r="F1058" i="10"/>
  <c r="F1057" i="10"/>
  <c r="F1056" i="10"/>
  <c r="F1055" i="10"/>
  <c r="F1054" i="10"/>
  <c r="F1053" i="10"/>
  <c r="F1052" i="10"/>
  <c r="F1051" i="10"/>
  <c r="F1050" i="10"/>
  <c r="F1049" i="10"/>
  <c r="F1048" i="10"/>
  <c r="F1047" i="10"/>
  <c r="F1046" i="10"/>
  <c r="F1045" i="10"/>
  <c r="F1044" i="10"/>
  <c r="F1043" i="10"/>
  <c r="F1042" i="10"/>
  <c r="F1041" i="10"/>
  <c r="F1040" i="10"/>
  <c r="F1039" i="10"/>
  <c r="F1038" i="10"/>
  <c r="F1037" i="10"/>
  <c r="F1036" i="10"/>
  <c r="F1035" i="10"/>
  <c r="F1034" i="10"/>
  <c r="F1033" i="10"/>
  <c r="F1032" i="10"/>
  <c r="F1031" i="10"/>
  <c r="F1030" i="10"/>
  <c r="F1029" i="10"/>
  <c r="F1028" i="10"/>
  <c r="F1027" i="10"/>
  <c r="F1026" i="10"/>
  <c r="F1025" i="10"/>
  <c r="F1024" i="10"/>
  <c r="F1023" i="10"/>
  <c r="F1022" i="10"/>
  <c r="F1021" i="10"/>
  <c r="F1020" i="10"/>
  <c r="F1019" i="10"/>
  <c r="F1018" i="10"/>
  <c r="F1017" i="10"/>
  <c r="F1016" i="10"/>
  <c r="F1015" i="10"/>
  <c r="F1014" i="10"/>
  <c r="F1013" i="10"/>
  <c r="F1012" i="10"/>
  <c r="F1011" i="10"/>
  <c r="F1010" i="10"/>
  <c r="F1009" i="10"/>
  <c r="F1008" i="10"/>
  <c r="F1007" i="10"/>
  <c r="F1006" i="10"/>
  <c r="F1005" i="10"/>
  <c r="F1004" i="10"/>
  <c r="F1003" i="10"/>
  <c r="F1002" i="10"/>
  <c r="F1001" i="10"/>
  <c r="F1000" i="10"/>
  <c r="F999" i="10"/>
  <c r="F998" i="10"/>
  <c r="F997" i="10"/>
  <c r="F996" i="10"/>
  <c r="F995" i="10"/>
  <c r="F994" i="10"/>
  <c r="F993" i="10"/>
  <c r="F992" i="10"/>
  <c r="F991" i="10"/>
  <c r="F990" i="10"/>
  <c r="F989" i="10"/>
  <c r="F988" i="10"/>
  <c r="F987" i="10"/>
  <c r="F986" i="10"/>
  <c r="F985" i="10"/>
  <c r="F984" i="10"/>
  <c r="F983" i="10"/>
  <c r="F982" i="10"/>
  <c r="F981" i="10"/>
  <c r="F980" i="10"/>
  <c r="F979" i="10"/>
  <c r="F978" i="10"/>
  <c r="F977" i="10"/>
  <c r="F976" i="10"/>
  <c r="F975" i="10"/>
  <c r="F974" i="10"/>
  <c r="F973" i="10"/>
  <c r="F972" i="10"/>
  <c r="F971" i="10"/>
  <c r="F970" i="10"/>
  <c r="F969" i="10"/>
  <c r="F968" i="10"/>
  <c r="F967" i="10"/>
  <c r="F966" i="10"/>
  <c r="F965" i="10"/>
  <c r="F964" i="10"/>
  <c r="F963" i="10"/>
  <c r="F962" i="10"/>
  <c r="F961" i="10"/>
  <c r="F960" i="10"/>
  <c r="F959" i="10"/>
  <c r="F958" i="10"/>
  <c r="F957" i="10"/>
  <c r="F956" i="10"/>
  <c r="F955" i="10"/>
  <c r="F954" i="10"/>
  <c r="F953" i="10"/>
  <c r="F952" i="10"/>
  <c r="F951" i="10"/>
  <c r="F950" i="10"/>
  <c r="F949" i="10"/>
  <c r="F948" i="10"/>
  <c r="F947" i="10"/>
  <c r="F946" i="10"/>
  <c r="F945" i="10"/>
  <c r="F944" i="10"/>
  <c r="F943" i="10"/>
  <c r="F942" i="10"/>
  <c r="F941" i="10"/>
  <c r="F940" i="10"/>
  <c r="F939" i="10"/>
  <c r="F938" i="10"/>
  <c r="F937" i="10"/>
  <c r="F936" i="10"/>
  <c r="F935" i="10"/>
  <c r="F934" i="10"/>
  <c r="F933" i="10"/>
  <c r="F932" i="10"/>
  <c r="F931" i="10"/>
  <c r="F930" i="10"/>
  <c r="F929" i="10"/>
  <c r="F928" i="10"/>
  <c r="F927" i="10"/>
  <c r="F926" i="10"/>
  <c r="F925" i="10"/>
  <c r="F924" i="10"/>
  <c r="F923" i="10"/>
  <c r="F922" i="10"/>
  <c r="F921" i="10"/>
  <c r="F920" i="10"/>
  <c r="F919" i="10"/>
  <c r="F918" i="10"/>
  <c r="F917" i="10"/>
  <c r="F916" i="10"/>
  <c r="F915" i="10"/>
  <c r="F914" i="10"/>
  <c r="F913" i="10"/>
  <c r="F912" i="10"/>
  <c r="F911" i="10"/>
  <c r="F910" i="10"/>
  <c r="F909" i="10"/>
  <c r="F908" i="10"/>
  <c r="F907" i="10"/>
  <c r="F906" i="10"/>
  <c r="F905" i="10"/>
  <c r="F904" i="10"/>
  <c r="F903" i="10"/>
  <c r="F902" i="10"/>
  <c r="F901" i="10"/>
  <c r="F900" i="10"/>
  <c r="F899" i="10"/>
  <c r="F898" i="10"/>
  <c r="F897" i="10"/>
  <c r="F896" i="10"/>
  <c r="F895" i="10"/>
  <c r="F894" i="10"/>
  <c r="F893" i="10"/>
  <c r="F892" i="10"/>
  <c r="F891" i="10"/>
  <c r="F890" i="10"/>
  <c r="F889" i="10"/>
  <c r="F888" i="10"/>
  <c r="F887" i="10"/>
  <c r="F886" i="10"/>
  <c r="F885" i="10"/>
  <c r="F884" i="10"/>
  <c r="F883" i="10"/>
  <c r="F882" i="10"/>
  <c r="F881" i="10"/>
  <c r="F880" i="10"/>
  <c r="F879" i="10"/>
  <c r="F878" i="10"/>
  <c r="F877" i="10"/>
  <c r="F876" i="10"/>
  <c r="F875" i="10"/>
  <c r="F874" i="10"/>
  <c r="F873" i="10"/>
  <c r="F872" i="10"/>
  <c r="F871" i="10"/>
  <c r="F870" i="10"/>
  <c r="F869" i="10"/>
  <c r="F868" i="10"/>
  <c r="F867" i="10"/>
  <c r="F866" i="10"/>
  <c r="F865" i="10"/>
  <c r="F864" i="10"/>
  <c r="F863" i="10"/>
  <c r="F862" i="10"/>
  <c r="F861" i="10"/>
  <c r="F860" i="10"/>
  <c r="F859" i="10"/>
  <c r="F858" i="10"/>
  <c r="F857" i="10"/>
  <c r="F856" i="10"/>
  <c r="F855" i="10"/>
  <c r="F854" i="10"/>
  <c r="F853" i="10"/>
  <c r="F852" i="10"/>
  <c r="F851" i="10"/>
  <c r="F850" i="10"/>
  <c r="F849" i="10"/>
  <c r="F848" i="10"/>
  <c r="F847" i="10"/>
  <c r="F846" i="10"/>
  <c r="F845" i="10"/>
  <c r="F844" i="10"/>
  <c r="F843" i="10"/>
  <c r="F842" i="10"/>
  <c r="F841" i="10"/>
  <c r="F840" i="10"/>
  <c r="F839" i="10"/>
  <c r="F838" i="10"/>
  <c r="F837" i="10"/>
  <c r="F836" i="10"/>
  <c r="F835" i="10"/>
  <c r="F834" i="10"/>
  <c r="F833" i="10"/>
  <c r="F832" i="10"/>
  <c r="F831" i="10"/>
  <c r="F830" i="10"/>
  <c r="F829" i="10"/>
  <c r="F828" i="10"/>
  <c r="F827" i="10"/>
  <c r="F826" i="10"/>
  <c r="F825" i="10"/>
  <c r="F824" i="10"/>
  <c r="F823" i="10"/>
  <c r="F822" i="10"/>
  <c r="F821" i="10"/>
  <c r="F820" i="10"/>
  <c r="F819" i="10"/>
  <c r="F818" i="10"/>
  <c r="F817" i="10"/>
  <c r="F816" i="10"/>
  <c r="F815" i="10"/>
  <c r="F814" i="10"/>
  <c r="F813" i="10"/>
  <c r="F812" i="10"/>
  <c r="F811" i="10"/>
  <c r="F810" i="10"/>
  <c r="F809" i="10"/>
  <c r="F808" i="10"/>
  <c r="F807" i="10"/>
  <c r="F806" i="10"/>
  <c r="F805" i="10"/>
  <c r="F804" i="10"/>
  <c r="F803" i="10"/>
  <c r="F802" i="10"/>
  <c r="F801" i="10"/>
  <c r="F800" i="10"/>
  <c r="F799" i="10"/>
  <c r="F798" i="10"/>
  <c r="F797" i="10"/>
  <c r="F796" i="10"/>
  <c r="F795" i="10"/>
  <c r="F794" i="10"/>
  <c r="F793" i="10"/>
  <c r="F792" i="10"/>
  <c r="F791" i="10"/>
  <c r="F790" i="10"/>
  <c r="F789" i="10"/>
  <c r="F788" i="10"/>
  <c r="F787" i="10"/>
  <c r="F786" i="10"/>
  <c r="F785" i="10"/>
  <c r="F784" i="10"/>
  <c r="F783" i="10"/>
  <c r="F782" i="10"/>
  <c r="F781" i="10"/>
  <c r="F780" i="10"/>
  <c r="F779" i="10"/>
  <c r="F778" i="10"/>
  <c r="F777" i="10"/>
  <c r="F776" i="10"/>
  <c r="F775" i="10"/>
  <c r="F774" i="10"/>
  <c r="F773" i="10"/>
  <c r="F772" i="10"/>
  <c r="F771" i="10"/>
  <c r="F770" i="10"/>
  <c r="F769" i="10"/>
  <c r="F768" i="10"/>
  <c r="F767" i="10"/>
  <c r="F766" i="10"/>
  <c r="F765" i="10"/>
  <c r="F764" i="10"/>
  <c r="F763" i="10"/>
  <c r="F762" i="10"/>
  <c r="F761" i="10"/>
  <c r="F760" i="10"/>
  <c r="F759" i="10"/>
  <c r="F758" i="10"/>
  <c r="F757" i="10"/>
  <c r="F756" i="10"/>
  <c r="F755" i="10"/>
  <c r="F754" i="10"/>
  <c r="F753" i="10"/>
  <c r="F752" i="10"/>
  <c r="F751" i="10"/>
  <c r="F750" i="10"/>
  <c r="F749" i="10"/>
  <c r="F748" i="10"/>
  <c r="F747" i="10"/>
  <c r="F746" i="10"/>
  <c r="F745" i="10"/>
  <c r="F744" i="10"/>
  <c r="F743" i="10"/>
  <c r="F742" i="10"/>
  <c r="F741" i="10"/>
  <c r="F740" i="10"/>
  <c r="F739" i="10"/>
  <c r="F738" i="10"/>
  <c r="F737" i="10"/>
  <c r="F736" i="10"/>
  <c r="F735" i="10"/>
  <c r="F734" i="10"/>
  <c r="F733" i="10"/>
  <c r="F732" i="10"/>
  <c r="F731" i="10"/>
  <c r="F730" i="10"/>
  <c r="F729" i="10"/>
  <c r="F728" i="10"/>
  <c r="F727" i="10"/>
  <c r="F726" i="10"/>
  <c r="F725" i="10"/>
  <c r="F724" i="10"/>
  <c r="F723" i="10"/>
  <c r="F722" i="10"/>
  <c r="F721" i="10"/>
  <c r="F720" i="10"/>
  <c r="F719" i="10"/>
  <c r="F718" i="10"/>
  <c r="F717" i="10"/>
  <c r="F716" i="10"/>
  <c r="F715" i="10"/>
  <c r="F714" i="10"/>
  <c r="F713" i="10"/>
  <c r="F712" i="10"/>
  <c r="F711" i="10"/>
  <c r="F710" i="10"/>
  <c r="F709" i="10"/>
  <c r="F708" i="10"/>
  <c r="F707" i="10"/>
  <c r="F706" i="10"/>
  <c r="F705" i="10"/>
  <c r="F704" i="10"/>
  <c r="F703" i="10"/>
  <c r="F702" i="10"/>
  <c r="F701" i="10"/>
  <c r="F700" i="10"/>
  <c r="F699" i="10"/>
  <c r="F698" i="10"/>
  <c r="F697" i="10"/>
  <c r="F696" i="10"/>
  <c r="F695" i="10"/>
  <c r="F694" i="10"/>
  <c r="F693" i="10"/>
  <c r="F692" i="10"/>
  <c r="F691" i="10"/>
  <c r="F690" i="10"/>
  <c r="F689" i="10"/>
  <c r="F688" i="10"/>
  <c r="F687" i="10"/>
  <c r="F686" i="10"/>
  <c r="F685" i="10"/>
  <c r="F684" i="10"/>
  <c r="F683" i="10"/>
  <c r="F682" i="10"/>
  <c r="F681" i="10"/>
  <c r="F680" i="10"/>
  <c r="F679" i="10"/>
  <c r="F678" i="10"/>
  <c r="F677" i="10"/>
  <c r="F676" i="10"/>
  <c r="F675" i="10"/>
  <c r="F674" i="10"/>
  <c r="F673" i="10"/>
  <c r="F672" i="10"/>
  <c r="F671" i="10"/>
  <c r="F670" i="10"/>
  <c r="F669" i="10"/>
  <c r="F668" i="10"/>
  <c r="F667" i="10"/>
  <c r="F666" i="10"/>
  <c r="F665" i="10"/>
  <c r="F664" i="10"/>
  <c r="F663" i="10"/>
  <c r="F662" i="10"/>
  <c r="F661" i="10"/>
  <c r="F660" i="10"/>
  <c r="F659" i="10"/>
  <c r="F658" i="10"/>
  <c r="F657" i="10"/>
  <c r="F656" i="10"/>
  <c r="F655" i="10"/>
  <c r="F654" i="10"/>
  <c r="F653" i="10"/>
  <c r="F652" i="10"/>
  <c r="F651" i="10"/>
  <c r="F650" i="10"/>
  <c r="F649" i="10"/>
  <c r="F648" i="10"/>
  <c r="F647" i="10"/>
  <c r="F646" i="10"/>
  <c r="F645" i="10"/>
  <c r="F644" i="10"/>
  <c r="F643" i="10"/>
  <c r="F642" i="10"/>
  <c r="F641" i="10"/>
  <c r="F640" i="10"/>
  <c r="F639" i="10"/>
  <c r="F638" i="10"/>
  <c r="F637" i="10"/>
  <c r="F636" i="10"/>
  <c r="F635" i="10"/>
  <c r="F634" i="10"/>
  <c r="F633" i="10"/>
  <c r="F632" i="10"/>
  <c r="F631" i="10"/>
  <c r="F630" i="10"/>
  <c r="F629" i="10"/>
  <c r="F628" i="10"/>
  <c r="F627" i="10"/>
  <c r="F626" i="10"/>
  <c r="F625" i="10"/>
  <c r="F624" i="10"/>
  <c r="F623" i="10"/>
  <c r="F622" i="10"/>
  <c r="F621" i="10"/>
  <c r="F620" i="10"/>
  <c r="F619" i="10"/>
  <c r="F618" i="10"/>
  <c r="F617" i="10"/>
  <c r="F616" i="10"/>
  <c r="F615" i="10"/>
  <c r="F614" i="10"/>
  <c r="F613" i="10"/>
  <c r="F612" i="10"/>
  <c r="F611" i="10"/>
  <c r="F610" i="10"/>
  <c r="F609" i="10"/>
  <c r="F608" i="10"/>
  <c r="F607" i="10"/>
  <c r="F606" i="10"/>
  <c r="F605" i="10"/>
  <c r="F604" i="10"/>
  <c r="F603" i="10"/>
  <c r="F602" i="10"/>
  <c r="F601" i="10"/>
  <c r="F600" i="10"/>
  <c r="F599" i="10"/>
  <c r="F598" i="10"/>
  <c r="F597" i="10"/>
  <c r="F596" i="10"/>
  <c r="F595" i="10"/>
  <c r="F594" i="10"/>
  <c r="F593" i="10"/>
  <c r="F592" i="10"/>
  <c r="F591" i="10"/>
  <c r="F590" i="10"/>
  <c r="F589" i="10"/>
  <c r="F588" i="10"/>
  <c r="F587" i="10"/>
  <c r="F586" i="10"/>
  <c r="F585" i="10"/>
  <c r="F584" i="10"/>
  <c r="F583" i="10"/>
  <c r="F582" i="10"/>
  <c r="F581" i="10"/>
  <c r="F580" i="10"/>
  <c r="F579" i="10"/>
  <c r="F578" i="10"/>
  <c r="F577" i="10"/>
  <c r="F576" i="10"/>
  <c r="F575" i="10"/>
  <c r="F574" i="10"/>
  <c r="F573" i="10"/>
  <c r="F572" i="10"/>
  <c r="F571" i="10"/>
  <c r="F570" i="10"/>
  <c r="F569" i="10"/>
  <c r="F568" i="10"/>
  <c r="F567" i="10"/>
  <c r="F566" i="10"/>
  <c r="F565" i="10"/>
  <c r="F564" i="10"/>
  <c r="F563" i="10"/>
  <c r="F562" i="10"/>
  <c r="F561" i="10"/>
  <c r="F560" i="10"/>
  <c r="F559" i="10"/>
  <c r="F558" i="10"/>
  <c r="F557" i="10"/>
  <c r="F556" i="10"/>
  <c r="F555" i="10"/>
  <c r="F554" i="10"/>
  <c r="F553" i="10"/>
  <c r="F552" i="10"/>
  <c r="F551" i="10"/>
  <c r="F550" i="10"/>
  <c r="F549" i="10"/>
  <c r="F548" i="10"/>
  <c r="F547" i="10"/>
  <c r="F546" i="10"/>
  <c r="F545" i="10"/>
  <c r="F544" i="10"/>
  <c r="F543" i="10"/>
  <c r="F542" i="10"/>
  <c r="F541" i="10"/>
  <c r="F540" i="10"/>
  <c r="F539" i="10"/>
  <c r="F538" i="10"/>
  <c r="F537" i="10"/>
  <c r="F536" i="10"/>
  <c r="F535" i="10"/>
  <c r="F534" i="10"/>
  <c r="F533" i="10"/>
  <c r="F532" i="10"/>
  <c r="F531" i="10"/>
  <c r="F530" i="10"/>
  <c r="F529" i="10"/>
  <c r="F528" i="10"/>
  <c r="F527" i="10"/>
  <c r="F526" i="10"/>
  <c r="F525" i="10"/>
  <c r="F524" i="10"/>
  <c r="F523" i="10"/>
  <c r="F522" i="10"/>
  <c r="F521" i="10"/>
  <c r="F520" i="10"/>
  <c r="F519" i="10"/>
  <c r="F518" i="10"/>
  <c r="F517" i="10"/>
  <c r="F516" i="10"/>
  <c r="F515" i="10"/>
  <c r="F514" i="10"/>
  <c r="F513" i="10"/>
  <c r="F512" i="10"/>
  <c r="F511" i="10"/>
  <c r="F510" i="10"/>
  <c r="F509" i="10"/>
  <c r="F508" i="10"/>
  <c r="F507" i="10"/>
  <c r="F506" i="10"/>
  <c r="F505" i="10"/>
  <c r="F504" i="10"/>
  <c r="F503" i="10"/>
  <c r="F502" i="10"/>
  <c r="F501" i="10"/>
  <c r="F500" i="10"/>
  <c r="F499" i="10"/>
  <c r="F498" i="10"/>
  <c r="F497" i="10"/>
  <c r="F496" i="10"/>
  <c r="F495" i="10"/>
  <c r="F494" i="10"/>
  <c r="F493" i="10"/>
  <c r="F492" i="10"/>
  <c r="F491" i="10"/>
  <c r="F490" i="10"/>
  <c r="F489" i="10"/>
  <c r="F488" i="10"/>
  <c r="F487" i="10"/>
  <c r="F486" i="10"/>
  <c r="F485" i="10"/>
  <c r="F484" i="10"/>
  <c r="F483" i="10"/>
  <c r="F482" i="10"/>
  <c r="F481" i="10"/>
  <c r="F480" i="10"/>
  <c r="F479" i="10"/>
  <c r="F478" i="10"/>
  <c r="F477" i="10"/>
  <c r="F476" i="10"/>
  <c r="F475" i="10"/>
  <c r="F474" i="10"/>
  <c r="F473" i="10"/>
  <c r="F472" i="10"/>
  <c r="F471" i="10"/>
  <c r="F470" i="10"/>
  <c r="F469" i="10"/>
  <c r="F468" i="10"/>
  <c r="F467" i="10"/>
  <c r="F466" i="10"/>
  <c r="F465" i="10"/>
  <c r="F464" i="10"/>
  <c r="F463" i="10"/>
  <c r="F462" i="10"/>
  <c r="F461" i="10"/>
  <c r="F460" i="10"/>
  <c r="F459" i="10"/>
  <c r="F458" i="10"/>
  <c r="F457" i="10"/>
  <c r="F456" i="10"/>
  <c r="F455" i="10"/>
  <c r="F454" i="10"/>
  <c r="F453" i="10"/>
  <c r="F452" i="10"/>
  <c r="F451" i="10"/>
  <c r="F450" i="10"/>
  <c r="F449" i="10"/>
  <c r="F448" i="10"/>
  <c r="F447" i="10"/>
  <c r="F446" i="10"/>
  <c r="F445" i="10"/>
  <c r="F444" i="10"/>
  <c r="F443" i="10"/>
  <c r="F442" i="10"/>
  <c r="F441" i="10"/>
  <c r="F440" i="10"/>
  <c r="F439" i="10"/>
  <c r="F438" i="10"/>
  <c r="F437" i="10"/>
  <c r="F436" i="10"/>
  <c r="F435" i="10"/>
  <c r="F434" i="10"/>
  <c r="F433" i="10"/>
  <c r="F432" i="10"/>
  <c r="F431" i="10"/>
  <c r="F430" i="10"/>
  <c r="F429" i="10"/>
  <c r="F428" i="10"/>
  <c r="F427" i="10"/>
  <c r="F426" i="10"/>
  <c r="F425" i="10"/>
  <c r="F424" i="10"/>
  <c r="F423" i="10"/>
  <c r="F422" i="10"/>
  <c r="F421" i="10"/>
  <c r="F420" i="10"/>
  <c r="F419" i="10"/>
  <c r="F418" i="10"/>
  <c r="F417" i="10"/>
  <c r="F416" i="10"/>
  <c r="F415" i="10"/>
  <c r="F414" i="10"/>
  <c r="F413" i="10"/>
  <c r="F412" i="10"/>
  <c r="F411" i="10"/>
  <c r="F410" i="10"/>
  <c r="F409" i="10"/>
  <c r="F408" i="10"/>
  <c r="F407" i="10"/>
  <c r="F406" i="10"/>
  <c r="F405" i="10"/>
  <c r="F404" i="10"/>
  <c r="F403" i="10"/>
  <c r="F402" i="10"/>
  <c r="F401" i="10"/>
  <c r="F400" i="10"/>
  <c r="F399" i="10"/>
  <c r="F398" i="10"/>
  <c r="F397" i="10"/>
  <c r="F396" i="10"/>
  <c r="F395" i="10"/>
  <c r="F394" i="10"/>
  <c r="F393" i="10"/>
  <c r="F392" i="10"/>
  <c r="F391" i="10"/>
  <c r="F390" i="10"/>
  <c r="F389" i="10"/>
  <c r="F388" i="10"/>
  <c r="F387" i="10"/>
  <c r="F386" i="10"/>
  <c r="F385" i="10"/>
  <c r="F384" i="10"/>
  <c r="F383" i="10"/>
  <c r="F382" i="10"/>
  <c r="F381" i="10"/>
  <c r="F380" i="10"/>
  <c r="F379" i="10"/>
  <c r="F378" i="10"/>
  <c r="F377" i="10"/>
  <c r="F376" i="10"/>
  <c r="F375" i="10"/>
  <c r="F374" i="10"/>
  <c r="F373" i="10"/>
  <c r="F372" i="10"/>
  <c r="F371" i="10"/>
  <c r="F370" i="10"/>
  <c r="F369" i="10"/>
  <c r="F368" i="10"/>
  <c r="F367" i="10"/>
  <c r="F366" i="10"/>
  <c r="F365" i="10"/>
  <c r="F364" i="10"/>
  <c r="F363" i="10"/>
  <c r="F362" i="10"/>
  <c r="F361" i="10"/>
  <c r="F360" i="10"/>
  <c r="F359" i="10"/>
  <c r="F358" i="10"/>
  <c r="F357" i="10"/>
  <c r="F356" i="10"/>
  <c r="F355" i="10"/>
  <c r="F354" i="10"/>
  <c r="F353" i="10"/>
  <c r="F352" i="10"/>
  <c r="F351" i="10"/>
  <c r="F350" i="10"/>
  <c r="F349" i="10"/>
  <c r="F348" i="10"/>
  <c r="F347" i="10"/>
  <c r="F346" i="10"/>
  <c r="F345" i="10"/>
  <c r="F344" i="10"/>
  <c r="F343" i="10"/>
  <c r="F342" i="10"/>
  <c r="F341" i="10"/>
  <c r="F340" i="10"/>
  <c r="F339" i="10"/>
  <c r="F338" i="10"/>
  <c r="F337" i="10"/>
  <c r="F336" i="10"/>
  <c r="F335" i="10"/>
  <c r="F334" i="10"/>
  <c r="F333" i="10"/>
  <c r="F332" i="10"/>
  <c r="F331" i="10"/>
  <c r="F330" i="10"/>
  <c r="F329" i="10"/>
  <c r="F328" i="10"/>
  <c r="F327" i="10"/>
  <c r="F326" i="10"/>
  <c r="F325" i="10"/>
  <c r="F324" i="10"/>
  <c r="F323" i="10"/>
  <c r="F322" i="10"/>
  <c r="F321" i="10"/>
  <c r="F320" i="10"/>
  <c r="F319" i="10"/>
  <c r="F318" i="10"/>
  <c r="F317" i="10"/>
  <c r="F316" i="10"/>
  <c r="F315" i="10"/>
  <c r="F314" i="10"/>
  <c r="F313" i="10"/>
  <c r="F312" i="10"/>
  <c r="F311" i="10"/>
  <c r="F310" i="10"/>
  <c r="F309" i="10"/>
  <c r="F308" i="10"/>
  <c r="F307" i="10"/>
  <c r="F306" i="10"/>
  <c r="F305" i="10"/>
  <c r="F304" i="10"/>
  <c r="F303" i="10"/>
  <c r="F302" i="10"/>
  <c r="F301" i="10"/>
  <c r="F300" i="10"/>
  <c r="F299" i="10"/>
  <c r="F298" i="10"/>
  <c r="F297" i="10"/>
  <c r="F296" i="10"/>
  <c r="F295" i="10"/>
  <c r="F294" i="10"/>
  <c r="F293" i="10"/>
  <c r="F292" i="10"/>
  <c r="F291" i="10"/>
  <c r="F290" i="10"/>
  <c r="F289" i="10"/>
  <c r="F288" i="10"/>
  <c r="F287" i="10"/>
  <c r="F286" i="10"/>
  <c r="F285" i="10"/>
  <c r="F284" i="10"/>
  <c r="F283" i="10"/>
  <c r="F282" i="10"/>
  <c r="F281" i="10"/>
  <c r="F280" i="10"/>
  <c r="F279" i="10"/>
  <c r="F278" i="10"/>
  <c r="F277" i="10"/>
  <c r="F276" i="10"/>
  <c r="F275" i="10"/>
  <c r="F274" i="10"/>
  <c r="F273" i="10"/>
  <c r="F272" i="10"/>
  <c r="F271" i="10"/>
  <c r="F270" i="10"/>
  <c r="F269" i="10"/>
  <c r="F268" i="10"/>
  <c r="F267" i="10"/>
  <c r="F266" i="10"/>
  <c r="F265" i="10"/>
  <c r="F264" i="10"/>
  <c r="F263" i="10"/>
  <c r="F262" i="10"/>
  <c r="F261" i="10"/>
  <c r="F260" i="10"/>
  <c r="F259" i="10"/>
  <c r="F258" i="10"/>
  <c r="F257" i="10"/>
  <c r="F256" i="10"/>
  <c r="F255" i="10"/>
  <c r="F254" i="10"/>
  <c r="F253" i="10"/>
  <c r="F252" i="10"/>
  <c r="F251" i="10"/>
  <c r="F250" i="10"/>
  <c r="F249" i="10"/>
  <c r="F248" i="10"/>
  <c r="F247" i="10"/>
  <c r="F246" i="10"/>
  <c r="F245" i="10"/>
  <c r="F244" i="10"/>
  <c r="F243" i="10"/>
  <c r="F242" i="10"/>
  <c r="F241" i="10"/>
  <c r="F240" i="10"/>
  <c r="F239" i="10"/>
  <c r="F238" i="10"/>
  <c r="F237" i="10"/>
  <c r="F236" i="10"/>
  <c r="F235" i="10"/>
  <c r="F234" i="10"/>
  <c r="F233" i="10"/>
  <c r="F232" i="10"/>
  <c r="F231" i="10"/>
  <c r="F230" i="10"/>
  <c r="F229" i="10"/>
  <c r="F228" i="10"/>
  <c r="F227" i="10"/>
  <c r="F226" i="10"/>
  <c r="F225" i="10"/>
  <c r="F224" i="10"/>
  <c r="F223" i="10"/>
  <c r="F222" i="10"/>
  <c r="F221" i="10"/>
  <c r="F220" i="10"/>
  <c r="F219" i="10"/>
  <c r="F218" i="10"/>
  <c r="F217" i="10"/>
  <c r="F216" i="10"/>
  <c r="F215" i="10"/>
  <c r="F214" i="10"/>
  <c r="F213" i="10"/>
  <c r="F212" i="10"/>
  <c r="F211" i="10"/>
  <c r="F210" i="10"/>
  <c r="F209" i="10"/>
  <c r="F208" i="10"/>
  <c r="F207" i="10"/>
  <c r="F206" i="10"/>
  <c r="F205" i="10"/>
  <c r="F204" i="10"/>
  <c r="F203" i="10"/>
  <c r="F202" i="10"/>
  <c r="F201" i="10"/>
  <c r="F200" i="10"/>
  <c r="F199" i="10"/>
  <c r="F198" i="10"/>
  <c r="F197" i="10"/>
  <c r="F196" i="10"/>
  <c r="F195" i="10"/>
  <c r="F194" i="10"/>
  <c r="F193" i="10"/>
  <c r="F192" i="10"/>
  <c r="F191" i="10"/>
  <c r="F190" i="10"/>
  <c r="F189" i="10"/>
  <c r="F188" i="10"/>
  <c r="F187" i="10"/>
  <c r="F186" i="10"/>
  <c r="F185" i="10"/>
  <c r="F184" i="10"/>
  <c r="F183" i="10"/>
  <c r="F182" i="10"/>
  <c r="F181" i="10"/>
  <c r="F180" i="10"/>
  <c r="F179" i="10"/>
  <c r="F178" i="10"/>
  <c r="F177" i="10"/>
  <c r="F176" i="10"/>
  <c r="F175" i="10"/>
  <c r="F174" i="10"/>
  <c r="F173" i="10"/>
  <c r="F172" i="10"/>
  <c r="F171" i="10"/>
  <c r="F170" i="10"/>
  <c r="F169" i="10"/>
  <c r="F168" i="10"/>
  <c r="F167" i="10"/>
  <c r="F166" i="10"/>
  <c r="F165" i="10"/>
  <c r="F164" i="10"/>
  <c r="F163" i="10"/>
  <c r="F162" i="10"/>
  <c r="F161" i="10"/>
  <c r="F160" i="10"/>
  <c r="F159" i="10"/>
  <c r="F158" i="10"/>
  <c r="F157" i="10"/>
  <c r="F156" i="10"/>
  <c r="F155" i="10"/>
  <c r="F154" i="10"/>
  <c r="F153" i="10"/>
  <c r="F152" i="10"/>
  <c r="F151" i="10"/>
  <c r="F150" i="10"/>
  <c r="F149" i="10"/>
  <c r="F148" i="10"/>
  <c r="F147" i="10"/>
  <c r="F146" i="10"/>
  <c r="F145" i="10"/>
  <c r="F144" i="10"/>
  <c r="F143" i="10"/>
  <c r="F142" i="10"/>
  <c r="F141" i="10"/>
  <c r="F140" i="10"/>
  <c r="F139" i="10"/>
  <c r="F138" i="10"/>
  <c r="F137" i="10"/>
  <c r="F136" i="10"/>
  <c r="F135" i="10"/>
  <c r="F134" i="10"/>
  <c r="F133" i="10"/>
  <c r="F132" i="10"/>
  <c r="F131" i="10"/>
  <c r="F130" i="10"/>
  <c r="F129" i="10"/>
  <c r="F128" i="10"/>
  <c r="F127" i="10"/>
  <c r="F126" i="10"/>
  <c r="F125" i="10"/>
  <c r="F124" i="10"/>
  <c r="F123" i="10"/>
  <c r="F122" i="10"/>
  <c r="F121" i="10"/>
  <c r="F120" i="10"/>
  <c r="F119" i="10"/>
  <c r="F118" i="10"/>
  <c r="F117" i="10"/>
  <c r="F116" i="10"/>
  <c r="F115" i="10"/>
  <c r="F114" i="10"/>
  <c r="F113" i="10"/>
  <c r="F112" i="10"/>
  <c r="F111" i="10"/>
  <c r="F110" i="10"/>
  <c r="F109" i="10"/>
  <c r="F108" i="10"/>
  <c r="F107" i="10"/>
  <c r="F106" i="10"/>
  <c r="F105" i="10"/>
  <c r="F104" i="10"/>
  <c r="F103" i="10"/>
  <c r="F102" i="10"/>
  <c r="F101" i="10"/>
  <c r="F100" i="10"/>
  <c r="F99" i="10"/>
  <c r="F98" i="10"/>
  <c r="F97" i="10"/>
  <c r="F96" i="10"/>
  <c r="F95" i="10"/>
  <c r="F94" i="10"/>
  <c r="F93" i="10"/>
  <c r="F92" i="10"/>
  <c r="F91" i="10"/>
  <c r="F90" i="10"/>
  <c r="F89" i="10"/>
  <c r="F88" i="10"/>
  <c r="F87" i="10"/>
  <c r="F86" i="10"/>
  <c r="F85" i="10"/>
  <c r="F84" i="10"/>
  <c r="F83" i="10"/>
  <c r="F82" i="10"/>
  <c r="F81" i="10"/>
  <c r="F80" i="10"/>
  <c r="F79" i="10"/>
  <c r="F78" i="10"/>
  <c r="F77" i="10"/>
  <c r="F76" i="10"/>
  <c r="F75" i="10"/>
  <c r="F74" i="10"/>
  <c r="F73" i="10"/>
  <c r="F72" i="10"/>
  <c r="F71" i="10"/>
  <c r="F70" i="10"/>
  <c r="F69" i="10"/>
  <c r="F68" i="10"/>
  <c r="F67" i="10"/>
  <c r="F66" i="10"/>
  <c r="F65" i="10"/>
  <c r="F64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F6" i="10"/>
  <c r="F5" i="10"/>
  <c r="F4" i="10"/>
  <c r="F3" i="10"/>
  <c r="F2" i="10"/>
  <c r="E1401" i="10"/>
  <c r="E1400" i="10"/>
  <c r="E1399" i="10"/>
  <c r="E1398" i="10"/>
  <c r="E1397" i="10"/>
  <c r="E1396" i="10"/>
  <c r="E1395" i="10"/>
  <c r="E1394" i="10"/>
  <c r="E1393" i="10"/>
  <c r="E1392" i="10"/>
  <c r="E1391" i="10"/>
  <c r="E1390" i="10"/>
  <c r="E1389" i="10"/>
  <c r="E1388" i="10"/>
  <c r="E1387" i="10"/>
  <c r="E1386" i="10"/>
  <c r="E1385" i="10"/>
  <c r="E1384" i="10"/>
  <c r="E1383" i="10"/>
  <c r="E1382" i="10"/>
  <c r="E1381" i="10"/>
  <c r="E1380" i="10"/>
  <c r="E1379" i="10"/>
  <c r="E1378" i="10"/>
  <c r="E1377" i="10"/>
  <c r="E1376" i="10"/>
  <c r="E1375" i="10"/>
  <c r="E1374" i="10"/>
  <c r="E1373" i="10"/>
  <c r="E1372" i="10"/>
  <c r="E1371" i="10"/>
  <c r="E1370" i="10"/>
  <c r="E1369" i="10"/>
  <c r="E1368" i="10"/>
  <c r="E1367" i="10"/>
  <c r="E1366" i="10"/>
  <c r="E1365" i="10"/>
  <c r="E1364" i="10"/>
  <c r="E1363" i="10"/>
  <c r="E1362" i="10"/>
  <c r="E1361" i="10"/>
  <c r="E1360" i="10"/>
  <c r="E1359" i="10"/>
  <c r="E1358" i="10"/>
  <c r="E1357" i="10"/>
  <c r="E1356" i="10"/>
  <c r="E1355" i="10"/>
  <c r="E1354" i="10"/>
  <c r="E1353" i="10"/>
  <c r="E1352" i="10"/>
  <c r="E1351" i="10"/>
  <c r="E1350" i="10"/>
  <c r="E1349" i="10"/>
  <c r="E1348" i="10"/>
  <c r="E1347" i="10"/>
  <c r="E1346" i="10"/>
  <c r="E1345" i="10"/>
  <c r="E1344" i="10"/>
  <c r="E1343" i="10"/>
  <c r="E1342" i="10"/>
  <c r="E1341" i="10"/>
  <c r="E1340" i="10"/>
  <c r="E1339" i="10"/>
  <c r="E1338" i="10"/>
  <c r="E1337" i="10"/>
  <c r="E1336" i="10"/>
  <c r="E1335" i="10"/>
  <c r="E1334" i="10"/>
  <c r="E1333" i="10"/>
  <c r="E1332" i="10"/>
  <c r="E1331" i="10"/>
  <c r="E1330" i="10"/>
  <c r="E1329" i="10"/>
  <c r="E1328" i="10"/>
  <c r="E1327" i="10"/>
  <c r="E1326" i="10"/>
  <c r="E1325" i="10"/>
  <c r="E1324" i="10"/>
  <c r="E1323" i="10"/>
  <c r="E1322" i="10"/>
  <c r="E1321" i="10"/>
  <c r="E1320" i="10"/>
  <c r="E1319" i="10"/>
  <c r="E1318" i="10"/>
  <c r="E1317" i="10"/>
  <c r="E1316" i="10"/>
  <c r="E1315" i="10"/>
  <c r="E1314" i="10"/>
  <c r="E1313" i="10"/>
  <c r="E1312" i="10"/>
  <c r="E1311" i="10"/>
  <c r="E1310" i="10"/>
  <c r="E1309" i="10"/>
  <c r="E1308" i="10"/>
  <c r="E1307" i="10"/>
  <c r="E1306" i="10"/>
  <c r="E1305" i="10"/>
  <c r="E1304" i="10"/>
  <c r="E1303" i="10"/>
  <c r="E1302" i="10"/>
  <c r="E1301" i="10"/>
  <c r="E1300" i="10"/>
  <c r="E1299" i="10"/>
  <c r="E1298" i="10"/>
  <c r="E1297" i="10"/>
  <c r="E1296" i="10"/>
  <c r="E1295" i="10"/>
  <c r="E1294" i="10"/>
  <c r="E1293" i="10"/>
  <c r="E1292" i="10"/>
  <c r="E1291" i="10"/>
  <c r="E1290" i="10"/>
  <c r="E1289" i="10"/>
  <c r="E1288" i="10"/>
  <c r="E1287" i="10"/>
  <c r="E1286" i="10"/>
  <c r="E1285" i="10"/>
  <c r="E1284" i="10"/>
  <c r="E1283" i="10"/>
  <c r="E1282" i="10"/>
  <c r="E1281" i="10"/>
  <c r="E1280" i="10"/>
  <c r="E1279" i="10"/>
  <c r="E1278" i="10"/>
  <c r="E1277" i="10"/>
  <c r="E1276" i="10"/>
  <c r="E1275" i="10"/>
  <c r="E1274" i="10"/>
  <c r="E1273" i="10"/>
  <c r="E1272" i="10"/>
  <c r="E1271" i="10"/>
  <c r="E1270" i="10"/>
  <c r="E1269" i="10"/>
  <c r="E1268" i="10"/>
  <c r="E1267" i="10"/>
  <c r="E1266" i="10"/>
  <c r="E1265" i="10"/>
  <c r="E1264" i="10"/>
  <c r="E1263" i="10"/>
  <c r="E1262" i="10"/>
  <c r="E1261" i="10"/>
  <c r="E1260" i="10"/>
  <c r="E1259" i="10"/>
  <c r="E1258" i="10"/>
  <c r="E1257" i="10"/>
  <c r="E1256" i="10"/>
  <c r="E1255" i="10"/>
  <c r="E1254" i="10"/>
  <c r="E1253" i="10"/>
  <c r="E1252" i="10"/>
  <c r="E1251" i="10"/>
  <c r="E1250" i="10"/>
  <c r="E1249" i="10"/>
  <c r="E1248" i="10"/>
  <c r="E1247" i="10"/>
  <c r="E1246" i="10"/>
  <c r="E1245" i="10"/>
  <c r="E1244" i="10"/>
  <c r="E1243" i="10"/>
  <c r="E1242" i="10"/>
  <c r="E1241" i="10"/>
  <c r="E1240" i="10"/>
  <c r="E1239" i="10"/>
  <c r="E1238" i="10"/>
  <c r="E1237" i="10"/>
  <c r="E1236" i="10"/>
  <c r="E1235" i="10"/>
  <c r="E1234" i="10"/>
  <c r="E1233" i="10"/>
  <c r="E1232" i="10"/>
  <c r="E1231" i="10"/>
  <c r="E1230" i="10"/>
  <c r="E1229" i="10"/>
  <c r="E1228" i="10"/>
  <c r="E1227" i="10"/>
  <c r="E1226" i="10"/>
  <c r="E1225" i="10"/>
  <c r="E1224" i="10"/>
  <c r="E1223" i="10"/>
  <c r="E1222" i="10"/>
  <c r="E1221" i="10"/>
  <c r="E1220" i="10"/>
  <c r="E1219" i="10"/>
  <c r="E1218" i="10"/>
  <c r="E1217" i="10"/>
  <c r="E1216" i="10"/>
  <c r="E1215" i="10"/>
  <c r="E1214" i="10"/>
  <c r="E1213" i="10"/>
  <c r="E1212" i="10"/>
  <c r="E1211" i="10"/>
  <c r="E1210" i="10"/>
  <c r="E1209" i="10"/>
  <c r="E1208" i="10"/>
  <c r="E1207" i="10"/>
  <c r="E1206" i="10"/>
  <c r="E1205" i="10"/>
  <c r="E1204" i="10"/>
  <c r="E1203" i="10"/>
  <c r="E1202" i="10"/>
  <c r="E1201" i="10"/>
  <c r="E1200" i="10"/>
  <c r="E1199" i="10"/>
  <c r="E1198" i="10"/>
  <c r="E1197" i="10"/>
  <c r="E1196" i="10"/>
  <c r="E1195" i="10"/>
  <c r="E1194" i="10"/>
  <c r="E1193" i="10"/>
  <c r="E1192" i="10"/>
  <c r="E1191" i="10"/>
  <c r="E1190" i="10"/>
  <c r="E1189" i="10"/>
  <c r="E1188" i="10"/>
  <c r="E1187" i="10"/>
  <c r="E1186" i="10"/>
  <c r="E1185" i="10"/>
  <c r="E1184" i="10"/>
  <c r="E1183" i="10"/>
  <c r="E1182" i="10"/>
  <c r="E1181" i="10"/>
  <c r="E1180" i="10"/>
  <c r="E1179" i="10"/>
  <c r="E1178" i="10"/>
  <c r="E1177" i="10"/>
  <c r="E1176" i="10"/>
  <c r="E1175" i="10"/>
  <c r="E1174" i="10"/>
  <c r="E1173" i="10"/>
  <c r="E1172" i="10"/>
  <c r="E1171" i="10"/>
  <c r="E1170" i="10"/>
  <c r="E1169" i="10"/>
  <c r="E1168" i="10"/>
  <c r="E1167" i="10"/>
  <c r="E1166" i="10"/>
  <c r="E1165" i="10"/>
  <c r="E1164" i="10"/>
  <c r="E1163" i="10"/>
  <c r="E1162" i="10"/>
  <c r="E1161" i="10"/>
  <c r="E1160" i="10"/>
  <c r="E1159" i="10"/>
  <c r="E1158" i="10"/>
  <c r="E1157" i="10"/>
  <c r="E1156" i="10"/>
  <c r="E1155" i="10"/>
  <c r="E1154" i="10"/>
  <c r="E1153" i="10"/>
  <c r="E1152" i="10"/>
  <c r="E1151" i="10"/>
  <c r="E1150" i="10"/>
  <c r="E1149" i="10"/>
  <c r="E1148" i="10"/>
  <c r="E1147" i="10"/>
  <c r="E1146" i="10"/>
  <c r="E1145" i="10"/>
  <c r="E1144" i="10"/>
  <c r="E1143" i="10"/>
  <c r="E1142" i="10"/>
  <c r="E1141" i="10"/>
  <c r="E1140" i="10"/>
  <c r="E1139" i="10"/>
  <c r="E1138" i="10"/>
  <c r="E1137" i="10"/>
  <c r="E1136" i="10"/>
  <c r="E1135" i="10"/>
  <c r="E1134" i="10"/>
  <c r="E1133" i="10"/>
  <c r="E1132" i="10"/>
  <c r="E1131" i="10"/>
  <c r="E1130" i="10"/>
  <c r="E1129" i="10"/>
  <c r="E1128" i="10"/>
  <c r="E1127" i="10"/>
  <c r="E1126" i="10"/>
  <c r="E1125" i="10"/>
  <c r="E1124" i="10"/>
  <c r="E1123" i="10"/>
  <c r="E1122" i="10"/>
  <c r="E1121" i="10"/>
  <c r="E1120" i="10"/>
  <c r="E1119" i="10"/>
  <c r="E1118" i="10"/>
  <c r="E1117" i="10"/>
  <c r="E1116" i="10"/>
  <c r="E1115" i="10"/>
  <c r="E1114" i="10"/>
  <c r="E1113" i="10"/>
  <c r="E1112" i="10"/>
  <c r="E1111" i="10"/>
  <c r="E1110" i="10"/>
  <c r="E1109" i="10"/>
  <c r="E1108" i="10"/>
  <c r="E1107" i="10"/>
  <c r="E1106" i="10"/>
  <c r="E1105" i="10"/>
  <c r="E1104" i="10"/>
  <c r="E1103" i="10"/>
  <c r="E1102" i="10"/>
  <c r="E1101" i="10"/>
  <c r="E1100" i="10"/>
  <c r="E1099" i="10"/>
  <c r="E1098" i="10"/>
  <c r="E1097" i="10"/>
  <c r="E1096" i="10"/>
  <c r="E1095" i="10"/>
  <c r="E1094" i="10"/>
  <c r="E1093" i="10"/>
  <c r="E1092" i="10"/>
  <c r="E1091" i="10"/>
  <c r="E1090" i="10"/>
  <c r="E1089" i="10"/>
  <c r="E1088" i="10"/>
  <c r="E1087" i="10"/>
  <c r="E1086" i="10"/>
  <c r="E1085" i="10"/>
  <c r="E1084" i="10"/>
  <c r="E1083" i="10"/>
  <c r="E1082" i="10"/>
  <c r="E1081" i="10"/>
  <c r="E1080" i="10"/>
  <c r="E1079" i="10"/>
  <c r="E1078" i="10"/>
  <c r="E1077" i="10"/>
  <c r="E1076" i="10"/>
  <c r="E1075" i="10"/>
  <c r="E1074" i="10"/>
  <c r="E1073" i="10"/>
  <c r="E1072" i="10"/>
  <c r="E1071" i="10"/>
  <c r="E1070" i="10"/>
  <c r="E1069" i="10"/>
  <c r="E1068" i="10"/>
  <c r="E1067" i="10"/>
  <c r="E1066" i="10"/>
  <c r="E1065" i="10"/>
  <c r="E1064" i="10"/>
  <c r="E1063" i="10"/>
  <c r="E1062" i="10"/>
  <c r="E1061" i="10"/>
  <c r="E1060" i="10"/>
  <c r="E1059" i="10"/>
  <c r="E1058" i="10"/>
  <c r="E1057" i="10"/>
  <c r="E1056" i="10"/>
  <c r="E1055" i="10"/>
  <c r="E1054" i="10"/>
  <c r="E1053" i="10"/>
  <c r="E1052" i="10"/>
  <c r="E1051" i="10"/>
  <c r="E1050" i="10"/>
  <c r="E1049" i="10"/>
  <c r="E1048" i="10"/>
  <c r="E1047" i="10"/>
  <c r="E1046" i="10"/>
  <c r="E1045" i="10"/>
  <c r="E1044" i="10"/>
  <c r="E1043" i="10"/>
  <c r="E1042" i="10"/>
  <c r="E1041" i="10"/>
  <c r="E1040" i="10"/>
  <c r="E1039" i="10"/>
  <c r="E1038" i="10"/>
  <c r="E1037" i="10"/>
  <c r="E1036" i="10"/>
  <c r="E1035" i="10"/>
  <c r="E1034" i="10"/>
  <c r="E1033" i="10"/>
  <c r="E1032" i="10"/>
  <c r="E1031" i="10"/>
  <c r="E1030" i="10"/>
  <c r="E1029" i="10"/>
  <c r="E1028" i="10"/>
  <c r="E1027" i="10"/>
  <c r="E1026" i="10"/>
  <c r="E1025" i="10"/>
  <c r="E1024" i="10"/>
  <c r="E1023" i="10"/>
  <c r="E1022" i="10"/>
  <c r="E1021" i="10"/>
  <c r="E1020" i="10"/>
  <c r="E1019" i="10"/>
  <c r="E1018" i="10"/>
  <c r="E1017" i="10"/>
  <c r="E1016" i="10"/>
  <c r="E1015" i="10"/>
  <c r="E1014" i="10"/>
  <c r="E1013" i="10"/>
  <c r="E1012" i="10"/>
  <c r="E1011" i="10"/>
  <c r="E1010" i="10"/>
  <c r="E1009" i="10"/>
  <c r="E1008" i="10"/>
  <c r="E1007" i="10"/>
  <c r="E1006" i="10"/>
  <c r="E1005" i="10"/>
  <c r="E1004" i="10"/>
  <c r="E1003" i="10"/>
  <c r="E1002" i="10"/>
  <c r="E1001" i="10"/>
  <c r="E1000" i="10"/>
  <c r="E999" i="10"/>
  <c r="E998" i="10"/>
  <c r="E997" i="10"/>
  <c r="E996" i="10"/>
  <c r="E995" i="10"/>
  <c r="E994" i="10"/>
  <c r="E993" i="10"/>
  <c r="E992" i="10"/>
  <c r="E991" i="10"/>
  <c r="E990" i="10"/>
  <c r="E989" i="10"/>
  <c r="E988" i="10"/>
  <c r="E987" i="10"/>
  <c r="E986" i="10"/>
  <c r="E985" i="10"/>
  <c r="E984" i="10"/>
  <c r="E983" i="10"/>
  <c r="E982" i="10"/>
  <c r="E981" i="10"/>
  <c r="E980" i="10"/>
  <c r="E979" i="10"/>
  <c r="E978" i="10"/>
  <c r="E977" i="10"/>
  <c r="E976" i="10"/>
  <c r="E975" i="10"/>
  <c r="E974" i="10"/>
  <c r="E973" i="10"/>
  <c r="E972" i="10"/>
  <c r="E971" i="10"/>
  <c r="E970" i="10"/>
  <c r="E969" i="10"/>
  <c r="E968" i="10"/>
  <c r="E967" i="10"/>
  <c r="E966" i="10"/>
  <c r="E965" i="10"/>
  <c r="E964" i="10"/>
  <c r="E963" i="10"/>
  <c r="E962" i="10"/>
  <c r="E961" i="10"/>
  <c r="E960" i="10"/>
  <c r="E959" i="10"/>
  <c r="E958" i="10"/>
  <c r="E957" i="10"/>
  <c r="E956" i="10"/>
  <c r="E955" i="10"/>
  <c r="E954" i="10"/>
  <c r="E953" i="10"/>
  <c r="E952" i="10"/>
  <c r="E951" i="10"/>
  <c r="E950" i="10"/>
  <c r="E949" i="10"/>
  <c r="E948" i="10"/>
  <c r="E947" i="10"/>
  <c r="E946" i="10"/>
  <c r="E945" i="10"/>
  <c r="E944" i="10"/>
  <c r="E943" i="10"/>
  <c r="E942" i="10"/>
  <c r="E941" i="10"/>
  <c r="E940" i="10"/>
  <c r="E939" i="10"/>
  <c r="E938" i="10"/>
  <c r="E937" i="10"/>
  <c r="E936" i="10"/>
  <c r="E935" i="10"/>
  <c r="E934" i="10"/>
  <c r="E933" i="10"/>
  <c r="E932" i="10"/>
  <c r="E931" i="10"/>
  <c r="E930" i="10"/>
  <c r="E929" i="10"/>
  <c r="E928" i="10"/>
  <c r="E927" i="10"/>
  <c r="E926" i="10"/>
  <c r="E925" i="10"/>
  <c r="E924" i="10"/>
  <c r="E923" i="10"/>
  <c r="E922" i="10"/>
  <c r="E921" i="10"/>
  <c r="E920" i="10"/>
  <c r="E919" i="10"/>
  <c r="E918" i="10"/>
  <c r="E917" i="10"/>
  <c r="E916" i="10"/>
  <c r="E915" i="10"/>
  <c r="E914" i="10"/>
  <c r="E913" i="10"/>
  <c r="E912" i="10"/>
  <c r="E911" i="10"/>
  <c r="E910" i="10"/>
  <c r="E909" i="10"/>
  <c r="E908" i="10"/>
  <c r="E907" i="10"/>
  <c r="E906" i="10"/>
  <c r="E905" i="10"/>
  <c r="E904" i="10"/>
  <c r="E903" i="10"/>
  <c r="E902" i="10"/>
  <c r="E901" i="10"/>
  <c r="E900" i="10"/>
  <c r="E899" i="10"/>
  <c r="E898" i="10"/>
  <c r="E897" i="10"/>
  <c r="E896" i="10"/>
  <c r="E895" i="10"/>
  <c r="E894" i="10"/>
  <c r="E893" i="10"/>
  <c r="E892" i="10"/>
  <c r="E891" i="10"/>
  <c r="E890" i="10"/>
  <c r="E889" i="10"/>
  <c r="E888" i="10"/>
  <c r="E887" i="10"/>
  <c r="E886" i="10"/>
  <c r="E885" i="10"/>
  <c r="E884" i="10"/>
  <c r="E883" i="10"/>
  <c r="E882" i="10"/>
  <c r="E881" i="10"/>
  <c r="E880" i="10"/>
  <c r="E879" i="10"/>
  <c r="E878" i="10"/>
  <c r="E877" i="10"/>
  <c r="E876" i="10"/>
  <c r="E875" i="10"/>
  <c r="E874" i="10"/>
  <c r="E873" i="10"/>
  <c r="E872" i="10"/>
  <c r="E871" i="10"/>
  <c r="E870" i="10"/>
  <c r="E869" i="10"/>
  <c r="E868" i="10"/>
  <c r="E867" i="10"/>
  <c r="E866" i="10"/>
  <c r="E865" i="10"/>
  <c r="E864" i="10"/>
  <c r="E863" i="10"/>
  <c r="E862" i="10"/>
  <c r="E861" i="10"/>
  <c r="E860" i="10"/>
  <c r="E859" i="10"/>
  <c r="E858" i="10"/>
  <c r="E857" i="10"/>
  <c r="E856" i="10"/>
  <c r="E855" i="10"/>
  <c r="E854" i="10"/>
  <c r="E853" i="10"/>
  <c r="E852" i="10"/>
  <c r="E851" i="10"/>
  <c r="E850" i="10"/>
  <c r="E849" i="10"/>
  <c r="E848" i="10"/>
  <c r="E847" i="10"/>
  <c r="E846" i="10"/>
  <c r="E845" i="10"/>
  <c r="E844" i="10"/>
  <c r="E843" i="10"/>
  <c r="E842" i="10"/>
  <c r="E841" i="10"/>
  <c r="E840" i="10"/>
  <c r="E839" i="10"/>
  <c r="E838" i="10"/>
  <c r="E837" i="10"/>
  <c r="E836" i="10"/>
  <c r="E835" i="10"/>
  <c r="E834" i="10"/>
  <c r="E833" i="10"/>
  <c r="E832" i="10"/>
  <c r="E831" i="10"/>
  <c r="E830" i="10"/>
  <c r="E829" i="10"/>
  <c r="E828" i="10"/>
  <c r="E827" i="10"/>
  <c r="E826" i="10"/>
  <c r="E825" i="10"/>
  <c r="E824" i="10"/>
  <c r="E823" i="10"/>
  <c r="E822" i="10"/>
  <c r="E821" i="10"/>
  <c r="E820" i="10"/>
  <c r="E819" i="10"/>
  <c r="E818" i="10"/>
  <c r="E817" i="10"/>
  <c r="E816" i="10"/>
  <c r="E815" i="10"/>
  <c r="E814" i="10"/>
  <c r="E813" i="10"/>
  <c r="E812" i="10"/>
  <c r="E811" i="10"/>
  <c r="E810" i="10"/>
  <c r="E809" i="10"/>
  <c r="E808" i="10"/>
  <c r="E807" i="10"/>
  <c r="E806" i="10"/>
  <c r="E805" i="10"/>
  <c r="E804" i="10"/>
  <c r="E803" i="10"/>
  <c r="E802" i="10"/>
  <c r="E801" i="10"/>
  <c r="E800" i="10"/>
  <c r="E799" i="10"/>
  <c r="E798" i="10"/>
  <c r="E797" i="10"/>
  <c r="E796" i="10"/>
  <c r="E795" i="10"/>
  <c r="E794" i="10"/>
  <c r="E793" i="10"/>
  <c r="E792" i="10"/>
  <c r="E791" i="10"/>
  <c r="E790" i="10"/>
  <c r="E789" i="10"/>
  <c r="E788" i="10"/>
  <c r="E787" i="10"/>
  <c r="E786" i="10"/>
  <c r="E785" i="10"/>
  <c r="E784" i="10"/>
  <c r="E783" i="10"/>
  <c r="E782" i="10"/>
  <c r="E781" i="10"/>
  <c r="E780" i="10"/>
  <c r="E779" i="10"/>
  <c r="E778" i="10"/>
  <c r="E777" i="10"/>
  <c r="E776" i="10"/>
  <c r="E775" i="10"/>
  <c r="E774" i="10"/>
  <c r="E773" i="10"/>
  <c r="E772" i="10"/>
  <c r="E771" i="10"/>
  <c r="E770" i="10"/>
  <c r="E769" i="10"/>
  <c r="E768" i="10"/>
  <c r="E767" i="10"/>
  <c r="E766" i="10"/>
  <c r="E765" i="10"/>
  <c r="E764" i="10"/>
  <c r="E763" i="10"/>
  <c r="E762" i="10"/>
  <c r="E761" i="10"/>
  <c r="E760" i="10"/>
  <c r="E759" i="10"/>
  <c r="E758" i="10"/>
  <c r="E757" i="10"/>
  <c r="E756" i="10"/>
  <c r="E755" i="10"/>
  <c r="E754" i="10"/>
  <c r="E753" i="10"/>
  <c r="E752" i="10"/>
  <c r="E751" i="10"/>
  <c r="E750" i="10"/>
  <c r="E749" i="10"/>
  <c r="E748" i="10"/>
  <c r="E747" i="10"/>
  <c r="E746" i="10"/>
  <c r="E745" i="10"/>
  <c r="E744" i="10"/>
  <c r="E743" i="10"/>
  <c r="E742" i="10"/>
  <c r="E741" i="10"/>
  <c r="E740" i="10"/>
  <c r="E739" i="10"/>
  <c r="E738" i="10"/>
  <c r="E737" i="10"/>
  <c r="E736" i="10"/>
  <c r="E735" i="10"/>
  <c r="E734" i="10"/>
  <c r="E733" i="10"/>
  <c r="E732" i="10"/>
  <c r="E731" i="10"/>
  <c r="E730" i="10"/>
  <c r="E729" i="10"/>
  <c r="E728" i="10"/>
  <c r="E727" i="10"/>
  <c r="E726" i="10"/>
  <c r="E725" i="10"/>
  <c r="E724" i="10"/>
  <c r="E723" i="10"/>
  <c r="E722" i="10"/>
  <c r="E721" i="10"/>
  <c r="E720" i="10"/>
  <c r="E719" i="10"/>
  <c r="E718" i="10"/>
  <c r="E717" i="10"/>
  <c r="E716" i="10"/>
  <c r="E715" i="10"/>
  <c r="E714" i="10"/>
  <c r="E713" i="10"/>
  <c r="E712" i="10"/>
  <c r="E711" i="10"/>
  <c r="E710" i="10"/>
  <c r="E709" i="10"/>
  <c r="E708" i="10"/>
  <c r="E707" i="10"/>
  <c r="E706" i="10"/>
  <c r="E705" i="10"/>
  <c r="E704" i="10"/>
  <c r="E703" i="10"/>
  <c r="E702" i="10"/>
  <c r="E701" i="10"/>
  <c r="E700" i="10"/>
  <c r="E699" i="10"/>
  <c r="E698" i="10"/>
  <c r="E697" i="10"/>
  <c r="E696" i="10"/>
  <c r="E695" i="10"/>
  <c r="E694" i="10"/>
  <c r="E693" i="10"/>
  <c r="E692" i="10"/>
  <c r="E691" i="10"/>
  <c r="E690" i="10"/>
  <c r="E689" i="10"/>
  <c r="E688" i="10"/>
  <c r="E687" i="10"/>
  <c r="E686" i="10"/>
  <c r="E685" i="10"/>
  <c r="E684" i="10"/>
  <c r="E683" i="10"/>
  <c r="E682" i="10"/>
  <c r="E681" i="10"/>
  <c r="E680" i="10"/>
  <c r="E679" i="10"/>
  <c r="E678" i="10"/>
  <c r="E677" i="10"/>
  <c r="E676" i="10"/>
  <c r="E675" i="10"/>
  <c r="E674" i="10"/>
  <c r="E673" i="10"/>
  <c r="E672" i="10"/>
  <c r="E671" i="10"/>
  <c r="E670" i="10"/>
  <c r="E669" i="10"/>
  <c r="E668" i="10"/>
  <c r="E667" i="10"/>
  <c r="E666" i="10"/>
  <c r="E665" i="10"/>
  <c r="E664" i="10"/>
  <c r="E663" i="10"/>
  <c r="E662" i="10"/>
  <c r="E661" i="10"/>
  <c r="E660" i="10"/>
  <c r="E659" i="10"/>
  <c r="E658" i="10"/>
  <c r="E657" i="10"/>
  <c r="E656" i="10"/>
  <c r="E655" i="10"/>
  <c r="E654" i="10"/>
  <c r="E653" i="10"/>
  <c r="E652" i="10"/>
  <c r="E651" i="10"/>
  <c r="E650" i="10"/>
  <c r="E649" i="10"/>
  <c r="E648" i="10"/>
  <c r="E647" i="10"/>
  <c r="E646" i="10"/>
  <c r="E645" i="10"/>
  <c r="E644" i="10"/>
  <c r="E643" i="10"/>
  <c r="E642" i="10"/>
  <c r="E641" i="10"/>
  <c r="E640" i="10"/>
  <c r="E639" i="10"/>
  <c r="E638" i="10"/>
  <c r="E637" i="10"/>
  <c r="E636" i="10"/>
  <c r="E635" i="10"/>
  <c r="E634" i="10"/>
  <c r="E633" i="10"/>
  <c r="E632" i="10"/>
  <c r="E631" i="10"/>
  <c r="E630" i="10"/>
  <c r="E629" i="10"/>
  <c r="E628" i="10"/>
  <c r="E627" i="10"/>
  <c r="E626" i="10"/>
  <c r="E625" i="10"/>
  <c r="E624" i="10"/>
  <c r="E623" i="10"/>
  <c r="E622" i="10"/>
  <c r="E621" i="10"/>
  <c r="E620" i="10"/>
  <c r="E619" i="10"/>
  <c r="E618" i="10"/>
  <c r="E617" i="10"/>
  <c r="E616" i="10"/>
  <c r="E615" i="10"/>
  <c r="E614" i="10"/>
  <c r="E613" i="10"/>
  <c r="E612" i="10"/>
  <c r="E611" i="10"/>
  <c r="E610" i="10"/>
  <c r="E609" i="10"/>
  <c r="E608" i="10"/>
  <c r="E607" i="10"/>
  <c r="E606" i="10"/>
  <c r="E605" i="10"/>
  <c r="E604" i="10"/>
  <c r="E603" i="10"/>
  <c r="E602" i="10"/>
  <c r="E601" i="10"/>
  <c r="E600" i="10"/>
  <c r="E599" i="10"/>
  <c r="E598" i="10"/>
  <c r="E597" i="10"/>
  <c r="E596" i="10"/>
  <c r="E595" i="10"/>
  <c r="E594" i="10"/>
  <c r="E593" i="10"/>
  <c r="E592" i="10"/>
  <c r="E591" i="10"/>
  <c r="E590" i="10"/>
  <c r="E589" i="10"/>
  <c r="E588" i="10"/>
  <c r="E587" i="10"/>
  <c r="E586" i="10"/>
  <c r="E585" i="10"/>
  <c r="E584" i="10"/>
  <c r="E583" i="10"/>
  <c r="E582" i="10"/>
  <c r="E581" i="10"/>
  <c r="E580" i="10"/>
  <c r="E579" i="10"/>
  <c r="E578" i="10"/>
  <c r="E577" i="10"/>
  <c r="E576" i="10"/>
  <c r="E575" i="10"/>
  <c r="E574" i="10"/>
  <c r="E573" i="10"/>
  <c r="E572" i="10"/>
  <c r="E571" i="10"/>
  <c r="E570" i="10"/>
  <c r="E569" i="10"/>
  <c r="E568" i="10"/>
  <c r="E567" i="10"/>
  <c r="E566" i="10"/>
  <c r="E565" i="10"/>
  <c r="E564" i="10"/>
  <c r="E563" i="10"/>
  <c r="E562" i="10"/>
  <c r="E561" i="10"/>
  <c r="E560" i="10"/>
  <c r="E559" i="10"/>
  <c r="E558" i="10"/>
  <c r="E557" i="10"/>
  <c r="E556" i="10"/>
  <c r="E555" i="10"/>
  <c r="E554" i="10"/>
  <c r="E553" i="10"/>
  <c r="E552" i="10"/>
  <c r="E551" i="10"/>
  <c r="E550" i="10"/>
  <c r="E549" i="10"/>
  <c r="E548" i="10"/>
  <c r="E547" i="10"/>
  <c r="E546" i="10"/>
  <c r="E545" i="10"/>
  <c r="E544" i="10"/>
  <c r="E543" i="10"/>
  <c r="E542" i="10"/>
  <c r="E541" i="10"/>
  <c r="E540" i="10"/>
  <c r="E539" i="10"/>
  <c r="E538" i="10"/>
  <c r="E537" i="10"/>
  <c r="E536" i="10"/>
  <c r="E535" i="10"/>
  <c r="E534" i="10"/>
  <c r="E533" i="10"/>
  <c r="E532" i="10"/>
  <c r="E531" i="10"/>
  <c r="E530" i="10"/>
  <c r="E529" i="10"/>
  <c r="E528" i="10"/>
  <c r="E527" i="10"/>
  <c r="E526" i="10"/>
  <c r="E525" i="10"/>
  <c r="E524" i="10"/>
  <c r="E523" i="10"/>
  <c r="E522" i="10"/>
  <c r="E521" i="10"/>
  <c r="E520" i="10"/>
  <c r="E519" i="10"/>
  <c r="E518" i="10"/>
  <c r="E517" i="10"/>
  <c r="E516" i="10"/>
  <c r="E515" i="10"/>
  <c r="E514" i="10"/>
  <c r="E513" i="10"/>
  <c r="E512" i="10"/>
  <c r="E511" i="10"/>
  <c r="E510" i="10"/>
  <c r="E509" i="10"/>
  <c r="E508" i="10"/>
  <c r="E507" i="10"/>
  <c r="E506" i="10"/>
  <c r="E505" i="10"/>
  <c r="E504" i="10"/>
  <c r="E503" i="10"/>
  <c r="E502" i="10"/>
  <c r="E501" i="10"/>
  <c r="E500" i="10"/>
  <c r="E499" i="10"/>
  <c r="E498" i="10"/>
  <c r="E497" i="10"/>
  <c r="E496" i="10"/>
  <c r="E495" i="10"/>
  <c r="E494" i="10"/>
  <c r="E493" i="10"/>
  <c r="E492" i="10"/>
  <c r="E491" i="10"/>
  <c r="E490" i="10"/>
  <c r="E489" i="10"/>
  <c r="E488" i="10"/>
  <c r="E487" i="10"/>
  <c r="E486" i="10"/>
  <c r="E485" i="10"/>
  <c r="E484" i="10"/>
  <c r="E483" i="10"/>
  <c r="E482" i="10"/>
  <c r="E481" i="10"/>
  <c r="E480" i="10"/>
  <c r="E479" i="10"/>
  <c r="E478" i="10"/>
  <c r="E477" i="10"/>
  <c r="E476" i="10"/>
  <c r="E475" i="10"/>
  <c r="E474" i="10"/>
  <c r="E473" i="10"/>
  <c r="E472" i="10"/>
  <c r="E471" i="10"/>
  <c r="E470" i="10"/>
  <c r="E469" i="10"/>
  <c r="E468" i="10"/>
  <c r="E467" i="10"/>
  <c r="E466" i="10"/>
  <c r="E465" i="10"/>
  <c r="E464" i="10"/>
  <c r="E463" i="10"/>
  <c r="E462" i="10"/>
  <c r="E461" i="10"/>
  <c r="E460" i="10"/>
  <c r="E459" i="10"/>
  <c r="E458" i="10"/>
  <c r="E457" i="10"/>
  <c r="E456" i="10"/>
  <c r="E455" i="10"/>
  <c r="E454" i="10"/>
  <c r="E453" i="10"/>
  <c r="E452" i="10"/>
  <c r="E451" i="10"/>
  <c r="E450" i="10"/>
  <c r="E449" i="10"/>
  <c r="E448" i="10"/>
  <c r="E447" i="10"/>
  <c r="E446" i="10"/>
  <c r="E445" i="10"/>
  <c r="E444" i="10"/>
  <c r="E443" i="10"/>
  <c r="E442" i="10"/>
  <c r="E441" i="10"/>
  <c r="E440" i="10"/>
  <c r="E439" i="10"/>
  <c r="E438" i="10"/>
  <c r="E437" i="10"/>
  <c r="E436" i="10"/>
  <c r="E435" i="10"/>
  <c r="E434" i="10"/>
  <c r="E433" i="10"/>
  <c r="E432" i="10"/>
  <c r="E431" i="10"/>
  <c r="E430" i="10"/>
  <c r="E429" i="10"/>
  <c r="E428" i="10"/>
  <c r="E427" i="10"/>
  <c r="E426" i="10"/>
  <c r="E425" i="10"/>
  <c r="E424" i="10"/>
  <c r="E423" i="10"/>
  <c r="E422" i="10"/>
  <c r="E421" i="10"/>
  <c r="E420" i="10"/>
  <c r="E419" i="10"/>
  <c r="E418" i="10"/>
  <c r="E417" i="10"/>
  <c r="E416" i="10"/>
  <c r="E415" i="10"/>
  <c r="E414" i="10"/>
  <c r="E413" i="10"/>
  <c r="E412" i="10"/>
  <c r="E411" i="10"/>
  <c r="E410" i="10"/>
  <c r="E409" i="10"/>
  <c r="E408" i="10"/>
  <c r="E407" i="10"/>
  <c r="E406" i="10"/>
  <c r="E405" i="10"/>
  <c r="E404" i="10"/>
  <c r="E403" i="10"/>
  <c r="E402" i="10"/>
  <c r="E401" i="10"/>
  <c r="E400" i="10"/>
  <c r="E399" i="10"/>
  <c r="E398" i="10"/>
  <c r="E397" i="10"/>
  <c r="E396" i="10"/>
  <c r="E395" i="10"/>
  <c r="E394" i="10"/>
  <c r="E393" i="10"/>
  <c r="E392" i="10"/>
  <c r="E391" i="10"/>
  <c r="E390" i="10"/>
  <c r="E389" i="10"/>
  <c r="E388" i="10"/>
  <c r="E387" i="10"/>
  <c r="E386" i="10"/>
  <c r="E385" i="10"/>
  <c r="E384" i="10"/>
  <c r="E383" i="10"/>
  <c r="E382" i="10"/>
  <c r="E381" i="10"/>
  <c r="E380" i="10"/>
  <c r="E379" i="10"/>
  <c r="E378" i="10"/>
  <c r="E377" i="10"/>
  <c r="E376" i="10"/>
  <c r="E375" i="10"/>
  <c r="E374" i="10"/>
  <c r="E373" i="10"/>
  <c r="E372" i="10"/>
  <c r="E371" i="10"/>
  <c r="E370" i="10"/>
  <c r="E369" i="10"/>
  <c r="E368" i="10"/>
  <c r="E367" i="10"/>
  <c r="E366" i="10"/>
  <c r="E365" i="10"/>
  <c r="E364" i="10"/>
  <c r="E363" i="10"/>
  <c r="E362" i="10"/>
  <c r="E361" i="10"/>
  <c r="E360" i="10"/>
  <c r="E359" i="10"/>
  <c r="E358" i="10"/>
  <c r="E357" i="10"/>
  <c r="E356" i="10"/>
  <c r="E355" i="10"/>
  <c r="E354" i="10"/>
  <c r="E353" i="10"/>
  <c r="E352" i="10"/>
  <c r="E351" i="10"/>
  <c r="E350" i="10"/>
  <c r="E349" i="10"/>
  <c r="E348" i="10"/>
  <c r="E347" i="10"/>
  <c r="E346" i="10"/>
  <c r="E345" i="10"/>
  <c r="E344" i="10"/>
  <c r="E343" i="10"/>
  <c r="E342" i="10"/>
  <c r="E341" i="10"/>
  <c r="E340" i="10"/>
  <c r="E339" i="10"/>
  <c r="E338" i="10"/>
  <c r="E337" i="10"/>
  <c r="E336" i="10"/>
  <c r="E335" i="10"/>
  <c r="E334" i="10"/>
  <c r="E333" i="10"/>
  <c r="E332" i="10"/>
  <c r="E331" i="10"/>
  <c r="E330" i="10"/>
  <c r="E329" i="10"/>
  <c r="E328" i="10"/>
  <c r="E327" i="10"/>
  <c r="E326" i="10"/>
  <c r="E325" i="10"/>
  <c r="E324" i="10"/>
  <c r="E323" i="10"/>
  <c r="E322" i="10"/>
  <c r="E321" i="10"/>
  <c r="E320" i="10"/>
  <c r="E319" i="10"/>
  <c r="E318" i="10"/>
  <c r="E317" i="10"/>
  <c r="E316" i="10"/>
  <c r="E315" i="10"/>
  <c r="E314" i="10"/>
  <c r="E313" i="10"/>
  <c r="E312" i="10"/>
  <c r="E311" i="10"/>
  <c r="E310" i="10"/>
  <c r="E309" i="10"/>
  <c r="E308" i="10"/>
  <c r="E307" i="10"/>
  <c r="E306" i="10"/>
  <c r="E305" i="10"/>
  <c r="E304" i="10"/>
  <c r="E303" i="10"/>
  <c r="E302" i="10"/>
  <c r="E301" i="10"/>
  <c r="E300" i="10"/>
  <c r="E299" i="10"/>
  <c r="E298" i="10"/>
  <c r="E297" i="10"/>
  <c r="E296" i="10"/>
  <c r="E295" i="10"/>
  <c r="E294" i="10"/>
  <c r="E293" i="10"/>
  <c r="E292" i="10"/>
  <c r="E291" i="10"/>
  <c r="E290" i="10"/>
  <c r="E289" i="10"/>
  <c r="E288" i="10"/>
  <c r="E287" i="10"/>
  <c r="E286" i="10"/>
  <c r="E285" i="10"/>
  <c r="E284" i="10"/>
  <c r="E283" i="10"/>
  <c r="E282" i="10"/>
  <c r="E281" i="10"/>
  <c r="E280" i="10"/>
  <c r="E279" i="10"/>
  <c r="E278" i="10"/>
  <c r="E277" i="10"/>
  <c r="E276" i="10"/>
  <c r="E275" i="10"/>
  <c r="E274" i="10"/>
  <c r="E273" i="10"/>
  <c r="E272" i="10"/>
  <c r="E271" i="10"/>
  <c r="E270" i="10"/>
  <c r="E269" i="10"/>
  <c r="E268" i="10"/>
  <c r="E267" i="10"/>
  <c r="E266" i="10"/>
  <c r="E265" i="10"/>
  <c r="E264" i="10"/>
  <c r="E263" i="10"/>
  <c r="E262" i="10"/>
  <c r="E261" i="10"/>
  <c r="E260" i="10"/>
  <c r="E259" i="10"/>
  <c r="E258" i="10"/>
  <c r="E257" i="10"/>
  <c r="E256" i="10"/>
  <c r="E255" i="10"/>
  <c r="E254" i="10"/>
  <c r="E253" i="10"/>
  <c r="E252" i="10"/>
  <c r="E251" i="10"/>
  <c r="E250" i="10"/>
  <c r="E249" i="10"/>
  <c r="E248" i="10"/>
  <c r="E247" i="10"/>
  <c r="E246" i="10"/>
  <c r="E245" i="10"/>
  <c r="E244" i="10"/>
  <c r="E243" i="10"/>
  <c r="E242" i="10"/>
  <c r="E241" i="10"/>
  <c r="E240" i="10"/>
  <c r="E239" i="10"/>
  <c r="E238" i="10"/>
  <c r="E237" i="10"/>
  <c r="E236" i="10"/>
  <c r="E235" i="10"/>
  <c r="E234" i="10"/>
  <c r="E233" i="10"/>
  <c r="E232" i="10"/>
  <c r="E231" i="10"/>
  <c r="E230" i="10"/>
  <c r="E229" i="10"/>
  <c r="E228" i="10"/>
  <c r="E227" i="10"/>
  <c r="E226" i="10"/>
  <c r="E225" i="10"/>
  <c r="E224" i="10"/>
  <c r="E223" i="10"/>
  <c r="E222" i="10"/>
  <c r="E221" i="10"/>
  <c r="E220" i="10"/>
  <c r="E219" i="10"/>
  <c r="E218" i="10"/>
  <c r="E217" i="10"/>
  <c r="E216" i="10"/>
  <c r="E215" i="10"/>
  <c r="E214" i="10"/>
  <c r="E213" i="10"/>
  <c r="E212" i="10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E198" i="10"/>
  <c r="E197" i="10"/>
  <c r="E196" i="10"/>
  <c r="E195" i="10"/>
  <c r="E194" i="10"/>
  <c r="E193" i="10"/>
  <c r="E192" i="10"/>
  <c r="E191" i="10"/>
  <c r="E190" i="10"/>
  <c r="E189" i="10"/>
  <c r="E188" i="10"/>
  <c r="E187" i="10"/>
  <c r="E186" i="10"/>
  <c r="E185" i="10"/>
  <c r="E184" i="10"/>
  <c r="E183" i="10"/>
  <c r="E182" i="10"/>
  <c r="E181" i="10"/>
  <c r="E180" i="10"/>
  <c r="E179" i="10"/>
  <c r="E178" i="10"/>
  <c r="E177" i="10"/>
  <c r="E176" i="10"/>
  <c r="E175" i="10"/>
  <c r="E174" i="10"/>
  <c r="E173" i="10"/>
  <c r="E172" i="10"/>
  <c r="E171" i="10"/>
  <c r="E170" i="10"/>
  <c r="E169" i="10"/>
  <c r="E168" i="10"/>
  <c r="E167" i="10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E150" i="10"/>
  <c r="E149" i="10"/>
  <c r="E148" i="10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E134" i="10"/>
  <c r="E133" i="10"/>
  <c r="E132" i="10"/>
  <c r="E131" i="10"/>
  <c r="E130" i="10"/>
  <c r="E129" i="10"/>
  <c r="E128" i="10"/>
  <c r="E127" i="10"/>
  <c r="E126" i="10"/>
  <c r="E125" i="10"/>
  <c r="E124" i="10"/>
  <c r="E123" i="10"/>
  <c r="E122" i="10"/>
  <c r="E121" i="10"/>
  <c r="E120" i="10"/>
  <c r="E119" i="10"/>
  <c r="E118" i="10"/>
  <c r="E117" i="10"/>
  <c r="E116" i="10"/>
  <c r="E115" i="10"/>
  <c r="E114" i="10"/>
  <c r="E113" i="10"/>
  <c r="E112" i="10"/>
  <c r="E111" i="10"/>
  <c r="E110" i="10"/>
  <c r="E109" i="10"/>
  <c r="E108" i="10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E91" i="10"/>
  <c r="E90" i="10"/>
  <c r="E89" i="10"/>
  <c r="E88" i="10"/>
  <c r="E87" i="10"/>
  <c r="E86" i="10"/>
  <c r="E85" i="10"/>
  <c r="E84" i="10"/>
  <c r="E83" i="10"/>
  <c r="E82" i="10"/>
  <c r="E81" i="10"/>
  <c r="E80" i="10"/>
  <c r="E79" i="10"/>
  <c r="E78" i="10"/>
  <c r="E77" i="10"/>
  <c r="E76" i="10"/>
  <c r="E75" i="10"/>
  <c r="E74" i="10"/>
  <c r="E73" i="10"/>
  <c r="E72" i="10"/>
  <c r="E71" i="10"/>
  <c r="E70" i="10"/>
  <c r="E69" i="10"/>
  <c r="E68" i="10"/>
  <c r="E67" i="10"/>
  <c r="E66" i="10"/>
  <c r="E65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4" i="10"/>
  <c r="E3" i="10"/>
  <c r="E2" i="10"/>
  <c r="D1401" i="10"/>
  <c r="D1400" i="10"/>
  <c r="D1399" i="10"/>
  <c r="D1398" i="10"/>
  <c r="D1397" i="10"/>
  <c r="D1396" i="10"/>
  <c r="D1395" i="10"/>
  <c r="D1394" i="10"/>
  <c r="D1393" i="10"/>
  <c r="D1392" i="10"/>
  <c r="D1391" i="10"/>
  <c r="D1390" i="10"/>
  <c r="D1389" i="10"/>
  <c r="D1388" i="10"/>
  <c r="D1387" i="10"/>
  <c r="D1386" i="10"/>
  <c r="D1385" i="10"/>
  <c r="D1384" i="10"/>
  <c r="D1383" i="10"/>
  <c r="D1382" i="10"/>
  <c r="D1381" i="10"/>
  <c r="D1380" i="10"/>
  <c r="D1379" i="10"/>
  <c r="D1378" i="10"/>
  <c r="D1377" i="10"/>
  <c r="D1376" i="10"/>
  <c r="D1375" i="10"/>
  <c r="D1374" i="10"/>
  <c r="D1373" i="10"/>
  <c r="D1372" i="10"/>
  <c r="D1371" i="10"/>
  <c r="D1370" i="10"/>
  <c r="D1369" i="10"/>
  <c r="D1368" i="10"/>
  <c r="D1367" i="10"/>
  <c r="D1366" i="10"/>
  <c r="D1365" i="10"/>
  <c r="D1364" i="10"/>
  <c r="D1363" i="10"/>
  <c r="D1362" i="10"/>
  <c r="D1361" i="10"/>
  <c r="D1360" i="10"/>
  <c r="D1359" i="10"/>
  <c r="D1358" i="10"/>
  <c r="D1357" i="10"/>
  <c r="D1356" i="10"/>
  <c r="D1355" i="10"/>
  <c r="D1354" i="10"/>
  <c r="D1353" i="10"/>
  <c r="D1352" i="10"/>
  <c r="D1351" i="10"/>
  <c r="D1350" i="10"/>
  <c r="D1349" i="10"/>
  <c r="D1348" i="10"/>
  <c r="D1347" i="10"/>
  <c r="D1346" i="10"/>
  <c r="D1345" i="10"/>
  <c r="D1344" i="10"/>
  <c r="D1343" i="10"/>
  <c r="D1342" i="10"/>
  <c r="D1341" i="10"/>
  <c r="D1340" i="10"/>
  <c r="D1339" i="10"/>
  <c r="D1338" i="10"/>
  <c r="D1337" i="10"/>
  <c r="D1336" i="10"/>
  <c r="D1335" i="10"/>
  <c r="D1334" i="10"/>
  <c r="D1333" i="10"/>
  <c r="D1332" i="10"/>
  <c r="D1331" i="10"/>
  <c r="D1330" i="10"/>
  <c r="D1329" i="10"/>
  <c r="D1328" i="10"/>
  <c r="D1327" i="10"/>
  <c r="D1326" i="10"/>
  <c r="D1325" i="10"/>
  <c r="D1324" i="10"/>
  <c r="D1323" i="10"/>
  <c r="D1322" i="10"/>
  <c r="D1321" i="10"/>
  <c r="D1320" i="10"/>
  <c r="D1319" i="10"/>
  <c r="D1318" i="10"/>
  <c r="D1317" i="10"/>
  <c r="D1316" i="10"/>
  <c r="D1315" i="10"/>
  <c r="D1314" i="10"/>
  <c r="D1313" i="10"/>
  <c r="D1312" i="10"/>
  <c r="D1311" i="10"/>
  <c r="D1310" i="10"/>
  <c r="D1309" i="10"/>
  <c r="D1308" i="10"/>
  <c r="D1307" i="10"/>
  <c r="D1306" i="10"/>
  <c r="D1305" i="10"/>
  <c r="D1304" i="10"/>
  <c r="D1303" i="10"/>
  <c r="D1302" i="10"/>
  <c r="D1301" i="10"/>
  <c r="D1300" i="10"/>
  <c r="D1299" i="10"/>
  <c r="D1298" i="10"/>
  <c r="D1297" i="10"/>
  <c r="D1296" i="10"/>
  <c r="D1295" i="10"/>
  <c r="D1294" i="10"/>
  <c r="D1293" i="10"/>
  <c r="D1292" i="10"/>
  <c r="D1291" i="10"/>
  <c r="D1290" i="10"/>
  <c r="D1289" i="10"/>
  <c r="D1288" i="10"/>
  <c r="D1287" i="10"/>
  <c r="D1286" i="10"/>
  <c r="D1285" i="10"/>
  <c r="D1284" i="10"/>
  <c r="D1283" i="10"/>
  <c r="D1282" i="10"/>
  <c r="D1281" i="10"/>
  <c r="D1280" i="10"/>
  <c r="D1279" i="10"/>
  <c r="D1278" i="10"/>
  <c r="D1277" i="10"/>
  <c r="D1276" i="10"/>
  <c r="D1275" i="10"/>
  <c r="D1274" i="10"/>
  <c r="D1273" i="10"/>
  <c r="D1272" i="10"/>
  <c r="D1271" i="10"/>
  <c r="D1270" i="10"/>
  <c r="D1269" i="10"/>
  <c r="D1268" i="10"/>
  <c r="D1267" i="10"/>
  <c r="D1266" i="10"/>
  <c r="D1265" i="10"/>
  <c r="D1264" i="10"/>
  <c r="D1263" i="10"/>
  <c r="D1262" i="10"/>
  <c r="D1261" i="10"/>
  <c r="D1260" i="10"/>
  <c r="D1259" i="10"/>
  <c r="D1258" i="10"/>
  <c r="D1257" i="10"/>
  <c r="D1256" i="10"/>
  <c r="D1255" i="10"/>
  <c r="D1254" i="10"/>
  <c r="D1253" i="10"/>
  <c r="D1252" i="10"/>
  <c r="D1251" i="10"/>
  <c r="D1250" i="10"/>
  <c r="D1249" i="10"/>
  <c r="D1248" i="10"/>
  <c r="D1247" i="10"/>
  <c r="D1246" i="10"/>
  <c r="D1245" i="10"/>
  <c r="D1244" i="10"/>
  <c r="D1243" i="10"/>
  <c r="D1242" i="10"/>
  <c r="D1241" i="10"/>
  <c r="D1240" i="10"/>
  <c r="D1239" i="10"/>
  <c r="D1238" i="10"/>
  <c r="D1237" i="10"/>
  <c r="D1236" i="10"/>
  <c r="D1235" i="10"/>
  <c r="D1234" i="10"/>
  <c r="D1233" i="10"/>
  <c r="D1232" i="10"/>
  <c r="D1231" i="10"/>
  <c r="D1230" i="10"/>
  <c r="D1229" i="10"/>
  <c r="D1228" i="10"/>
  <c r="D1227" i="10"/>
  <c r="D1226" i="10"/>
  <c r="D1225" i="10"/>
  <c r="D1224" i="10"/>
  <c r="D1223" i="10"/>
  <c r="D1222" i="10"/>
  <c r="D1221" i="10"/>
  <c r="D1220" i="10"/>
  <c r="D1219" i="10"/>
  <c r="D1218" i="10"/>
  <c r="D1217" i="10"/>
  <c r="D1216" i="10"/>
  <c r="D1215" i="10"/>
  <c r="D1214" i="10"/>
  <c r="D1213" i="10"/>
  <c r="D1212" i="10"/>
  <c r="D1211" i="10"/>
  <c r="D1210" i="10"/>
  <c r="D1209" i="10"/>
  <c r="D1208" i="10"/>
  <c r="D1207" i="10"/>
  <c r="D1206" i="10"/>
  <c r="D1205" i="10"/>
  <c r="D1204" i="10"/>
  <c r="D1203" i="10"/>
  <c r="D1202" i="10"/>
  <c r="D1201" i="10"/>
  <c r="D1200" i="10"/>
  <c r="D1199" i="10"/>
  <c r="D1198" i="10"/>
  <c r="D1197" i="10"/>
  <c r="D1196" i="10"/>
  <c r="D1195" i="10"/>
  <c r="D1194" i="10"/>
  <c r="D1193" i="10"/>
  <c r="D1192" i="10"/>
  <c r="D1191" i="10"/>
  <c r="D1190" i="10"/>
  <c r="D1189" i="10"/>
  <c r="D1188" i="10"/>
  <c r="D1187" i="10"/>
  <c r="D1186" i="10"/>
  <c r="D1185" i="10"/>
  <c r="D1184" i="10"/>
  <c r="D1183" i="10"/>
  <c r="D1182" i="10"/>
  <c r="D1181" i="10"/>
  <c r="D1180" i="10"/>
  <c r="D1179" i="10"/>
  <c r="D1178" i="10"/>
  <c r="D1177" i="10"/>
  <c r="D1176" i="10"/>
  <c r="D1175" i="10"/>
  <c r="D1174" i="10"/>
  <c r="D1173" i="10"/>
  <c r="D1172" i="10"/>
  <c r="D1171" i="10"/>
  <c r="D1170" i="10"/>
  <c r="D1169" i="10"/>
  <c r="D1168" i="10"/>
  <c r="D1167" i="10"/>
  <c r="D1166" i="10"/>
  <c r="D1165" i="10"/>
  <c r="D1164" i="10"/>
  <c r="D1163" i="10"/>
  <c r="D1162" i="10"/>
  <c r="D1161" i="10"/>
  <c r="D1160" i="10"/>
  <c r="D1159" i="10"/>
  <c r="D1158" i="10"/>
  <c r="D1157" i="10"/>
  <c r="D1156" i="10"/>
  <c r="D1155" i="10"/>
  <c r="D1154" i="10"/>
  <c r="D1153" i="10"/>
  <c r="D1152" i="10"/>
  <c r="D1151" i="10"/>
  <c r="D1150" i="10"/>
  <c r="D1149" i="10"/>
  <c r="D1148" i="10"/>
  <c r="D1147" i="10"/>
  <c r="D1146" i="10"/>
  <c r="D1145" i="10"/>
  <c r="D1144" i="10"/>
  <c r="D1143" i="10"/>
  <c r="D1142" i="10"/>
  <c r="D1141" i="10"/>
  <c r="D1140" i="10"/>
  <c r="D1139" i="10"/>
  <c r="D1138" i="10"/>
  <c r="D1137" i="10"/>
  <c r="D1136" i="10"/>
  <c r="D1135" i="10"/>
  <c r="D1134" i="10"/>
  <c r="D1133" i="10"/>
  <c r="D1132" i="10"/>
  <c r="D1131" i="10"/>
  <c r="D1130" i="10"/>
  <c r="D1129" i="10"/>
  <c r="D1128" i="10"/>
  <c r="D1127" i="10"/>
  <c r="D1126" i="10"/>
  <c r="D1125" i="10"/>
  <c r="D1124" i="10"/>
  <c r="D1123" i="10"/>
  <c r="D1122" i="10"/>
  <c r="D1121" i="10"/>
  <c r="D1120" i="10"/>
  <c r="D1119" i="10"/>
  <c r="D1118" i="10"/>
  <c r="D1117" i="10"/>
  <c r="D1116" i="10"/>
  <c r="D1115" i="10"/>
  <c r="D1114" i="10"/>
  <c r="D1113" i="10"/>
  <c r="D1112" i="10"/>
  <c r="D1111" i="10"/>
  <c r="D1110" i="10"/>
  <c r="D1109" i="10"/>
  <c r="D1108" i="10"/>
  <c r="D1107" i="10"/>
  <c r="D1106" i="10"/>
  <c r="D1105" i="10"/>
  <c r="D1104" i="10"/>
  <c r="D1103" i="10"/>
  <c r="D1102" i="10"/>
  <c r="D1101" i="10"/>
  <c r="D1100" i="10"/>
  <c r="D1099" i="10"/>
  <c r="D1098" i="10"/>
  <c r="D1097" i="10"/>
  <c r="D1096" i="10"/>
  <c r="D1095" i="10"/>
  <c r="D1094" i="10"/>
  <c r="D1093" i="10"/>
  <c r="D1092" i="10"/>
  <c r="D1091" i="10"/>
  <c r="D1090" i="10"/>
  <c r="D1089" i="10"/>
  <c r="D1088" i="10"/>
  <c r="D1087" i="10"/>
  <c r="D1086" i="10"/>
  <c r="D1085" i="10"/>
  <c r="D1084" i="10"/>
  <c r="D1083" i="10"/>
  <c r="D1082" i="10"/>
  <c r="D1081" i="10"/>
  <c r="D1080" i="10"/>
  <c r="D1079" i="10"/>
  <c r="D1078" i="10"/>
  <c r="D1077" i="10"/>
  <c r="D1076" i="10"/>
  <c r="D1075" i="10"/>
  <c r="D1074" i="10"/>
  <c r="D1073" i="10"/>
  <c r="D1072" i="10"/>
  <c r="D1071" i="10"/>
  <c r="D1070" i="10"/>
  <c r="D1069" i="10"/>
  <c r="D1068" i="10"/>
  <c r="D1067" i="10"/>
  <c r="D1066" i="10"/>
  <c r="D1065" i="10"/>
  <c r="D1064" i="10"/>
  <c r="D1063" i="10"/>
  <c r="D1062" i="10"/>
  <c r="D1061" i="10"/>
  <c r="D1060" i="10"/>
  <c r="D1059" i="10"/>
  <c r="D1058" i="10"/>
  <c r="D1057" i="10"/>
  <c r="D1056" i="10"/>
  <c r="D1055" i="10"/>
  <c r="D1054" i="10"/>
  <c r="D1053" i="10"/>
  <c r="D1052" i="10"/>
  <c r="D1051" i="10"/>
  <c r="D1050" i="10"/>
  <c r="D1049" i="10"/>
  <c r="D1048" i="10"/>
  <c r="D1047" i="10"/>
  <c r="D1046" i="10"/>
  <c r="D1045" i="10"/>
  <c r="D1044" i="10"/>
  <c r="D1043" i="10"/>
  <c r="D1042" i="10"/>
  <c r="D1041" i="10"/>
  <c r="D1040" i="10"/>
  <c r="D1039" i="10"/>
  <c r="D1038" i="10"/>
  <c r="D1037" i="10"/>
  <c r="D1036" i="10"/>
  <c r="D1035" i="10"/>
  <c r="D1034" i="10"/>
  <c r="D1033" i="10"/>
  <c r="D1032" i="10"/>
  <c r="D1031" i="10"/>
  <c r="D1030" i="10"/>
  <c r="D1029" i="10"/>
  <c r="D1028" i="10"/>
  <c r="D1027" i="10"/>
  <c r="D1026" i="10"/>
  <c r="D1025" i="10"/>
  <c r="D1024" i="10"/>
  <c r="D1023" i="10"/>
  <c r="D1022" i="10"/>
  <c r="D1021" i="10"/>
  <c r="D1020" i="10"/>
  <c r="D1019" i="10"/>
  <c r="D1018" i="10"/>
  <c r="D1017" i="10"/>
  <c r="D1016" i="10"/>
  <c r="D1015" i="10"/>
  <c r="D1014" i="10"/>
  <c r="D1013" i="10"/>
  <c r="D1012" i="10"/>
  <c r="D1011" i="10"/>
  <c r="D1010" i="10"/>
  <c r="D1009" i="10"/>
  <c r="D1008" i="10"/>
  <c r="D1007" i="10"/>
  <c r="D1006" i="10"/>
  <c r="D1005" i="10"/>
  <c r="D1004" i="10"/>
  <c r="D1003" i="10"/>
  <c r="D1002" i="10"/>
  <c r="D1001" i="10"/>
  <c r="D1000" i="10"/>
  <c r="D999" i="10"/>
  <c r="D998" i="10"/>
  <c r="D997" i="10"/>
  <c r="D996" i="10"/>
  <c r="D995" i="10"/>
  <c r="D994" i="10"/>
  <c r="D993" i="10"/>
  <c r="D992" i="10"/>
  <c r="D991" i="10"/>
  <c r="D990" i="10"/>
  <c r="D989" i="10"/>
  <c r="D988" i="10"/>
  <c r="D987" i="10"/>
  <c r="D986" i="10"/>
  <c r="D985" i="10"/>
  <c r="D984" i="10"/>
  <c r="D983" i="10"/>
  <c r="D982" i="10"/>
  <c r="D981" i="10"/>
  <c r="D980" i="10"/>
  <c r="D979" i="10"/>
  <c r="D978" i="10"/>
  <c r="D977" i="10"/>
  <c r="D976" i="10"/>
  <c r="D975" i="10"/>
  <c r="D974" i="10"/>
  <c r="D973" i="10"/>
  <c r="D972" i="10"/>
  <c r="D971" i="10"/>
  <c r="D970" i="10"/>
  <c r="D969" i="10"/>
  <c r="D968" i="10"/>
  <c r="D967" i="10"/>
  <c r="D966" i="10"/>
  <c r="D965" i="10"/>
  <c r="D964" i="10"/>
  <c r="D963" i="10"/>
  <c r="D962" i="10"/>
  <c r="D961" i="10"/>
  <c r="D960" i="10"/>
  <c r="D959" i="10"/>
  <c r="D958" i="10"/>
  <c r="D957" i="10"/>
  <c r="D956" i="10"/>
  <c r="D955" i="10"/>
  <c r="D954" i="10"/>
  <c r="D953" i="10"/>
  <c r="D952" i="10"/>
  <c r="D951" i="10"/>
  <c r="D950" i="10"/>
  <c r="D949" i="10"/>
  <c r="D948" i="10"/>
  <c r="D947" i="10"/>
  <c r="D946" i="10"/>
  <c r="D945" i="10"/>
  <c r="D944" i="10"/>
  <c r="D943" i="10"/>
  <c r="D942" i="10"/>
  <c r="D941" i="10"/>
  <c r="D940" i="10"/>
  <c r="D939" i="10"/>
  <c r="D938" i="10"/>
  <c r="D937" i="10"/>
  <c r="D936" i="10"/>
  <c r="D935" i="10"/>
  <c r="D934" i="10"/>
  <c r="D933" i="10"/>
  <c r="D932" i="10"/>
  <c r="D931" i="10"/>
  <c r="D930" i="10"/>
  <c r="D929" i="10"/>
  <c r="D928" i="10"/>
  <c r="D927" i="10"/>
  <c r="D926" i="10"/>
  <c r="D925" i="10"/>
  <c r="D924" i="10"/>
  <c r="D923" i="10"/>
  <c r="D922" i="10"/>
  <c r="D921" i="10"/>
  <c r="D920" i="10"/>
  <c r="D919" i="10"/>
  <c r="D918" i="10"/>
  <c r="D917" i="10"/>
  <c r="D916" i="10"/>
  <c r="D915" i="10"/>
  <c r="D914" i="10"/>
  <c r="D913" i="10"/>
  <c r="D912" i="10"/>
  <c r="D911" i="10"/>
  <c r="D910" i="10"/>
  <c r="D909" i="10"/>
  <c r="D908" i="10"/>
  <c r="D907" i="10"/>
  <c r="D906" i="10"/>
  <c r="D905" i="10"/>
  <c r="D904" i="10"/>
  <c r="D903" i="10"/>
  <c r="D902" i="10"/>
  <c r="D901" i="10"/>
  <c r="D900" i="10"/>
  <c r="D899" i="10"/>
  <c r="D898" i="10"/>
  <c r="D897" i="10"/>
  <c r="D896" i="10"/>
  <c r="D895" i="10"/>
  <c r="D894" i="10"/>
  <c r="D893" i="10"/>
  <c r="D892" i="10"/>
  <c r="D891" i="10"/>
  <c r="D890" i="10"/>
  <c r="D889" i="10"/>
  <c r="D888" i="10"/>
  <c r="D887" i="10"/>
  <c r="D886" i="10"/>
  <c r="D885" i="10"/>
  <c r="D884" i="10"/>
  <c r="D883" i="10"/>
  <c r="D882" i="10"/>
  <c r="D881" i="10"/>
  <c r="D880" i="10"/>
  <c r="D879" i="10"/>
  <c r="D878" i="10"/>
  <c r="D877" i="10"/>
  <c r="D876" i="10"/>
  <c r="D875" i="10"/>
  <c r="D874" i="10"/>
  <c r="D873" i="10"/>
  <c r="D872" i="10"/>
  <c r="D871" i="10"/>
  <c r="D870" i="10"/>
  <c r="D869" i="10"/>
  <c r="D868" i="10"/>
  <c r="D867" i="10"/>
  <c r="D866" i="10"/>
  <c r="D865" i="10"/>
  <c r="D864" i="10"/>
  <c r="D863" i="10"/>
  <c r="D862" i="10"/>
  <c r="D861" i="10"/>
  <c r="D860" i="10"/>
  <c r="D859" i="10"/>
  <c r="D858" i="10"/>
  <c r="D857" i="10"/>
  <c r="D856" i="10"/>
  <c r="D855" i="10"/>
  <c r="D854" i="10"/>
  <c r="D853" i="10"/>
  <c r="D852" i="10"/>
  <c r="D851" i="10"/>
  <c r="D850" i="10"/>
  <c r="D849" i="10"/>
  <c r="D848" i="10"/>
  <c r="D847" i="10"/>
  <c r="D846" i="10"/>
  <c r="D845" i="10"/>
  <c r="D844" i="10"/>
  <c r="D843" i="10"/>
  <c r="D842" i="10"/>
  <c r="D841" i="10"/>
  <c r="D840" i="10"/>
  <c r="D839" i="10"/>
  <c r="D838" i="10"/>
  <c r="D837" i="10"/>
  <c r="D836" i="10"/>
  <c r="D835" i="10"/>
  <c r="D834" i="10"/>
  <c r="D833" i="10"/>
  <c r="D832" i="10"/>
  <c r="D831" i="10"/>
  <c r="D830" i="10"/>
  <c r="D829" i="10"/>
  <c r="D828" i="10"/>
  <c r="D827" i="10"/>
  <c r="D826" i="10"/>
  <c r="D825" i="10"/>
  <c r="D824" i="10"/>
  <c r="D823" i="10"/>
  <c r="D822" i="10"/>
  <c r="D821" i="10"/>
  <c r="D820" i="10"/>
  <c r="D819" i="10"/>
  <c r="D818" i="10"/>
  <c r="D817" i="10"/>
  <c r="D816" i="10"/>
  <c r="D815" i="10"/>
  <c r="D814" i="10"/>
  <c r="D813" i="10"/>
  <c r="D812" i="10"/>
  <c r="D811" i="10"/>
  <c r="D810" i="10"/>
  <c r="D809" i="10"/>
  <c r="D808" i="10"/>
  <c r="D807" i="10"/>
  <c r="D806" i="10"/>
  <c r="D805" i="10"/>
  <c r="D804" i="10"/>
  <c r="D803" i="10"/>
  <c r="D802" i="10"/>
  <c r="D801" i="10"/>
  <c r="D800" i="10"/>
  <c r="D799" i="10"/>
  <c r="D798" i="10"/>
  <c r="D797" i="10"/>
  <c r="D796" i="10"/>
  <c r="D795" i="10"/>
  <c r="D794" i="10"/>
  <c r="D793" i="10"/>
  <c r="D792" i="10"/>
  <c r="D791" i="10"/>
  <c r="D790" i="10"/>
  <c r="D789" i="10"/>
  <c r="D788" i="10"/>
  <c r="D787" i="10"/>
  <c r="D786" i="10"/>
  <c r="D785" i="10"/>
  <c r="D784" i="10"/>
  <c r="D783" i="10"/>
  <c r="D782" i="10"/>
  <c r="D781" i="10"/>
  <c r="D780" i="10"/>
  <c r="D779" i="10"/>
  <c r="D778" i="10"/>
  <c r="D777" i="10"/>
  <c r="D776" i="10"/>
  <c r="D775" i="10"/>
  <c r="D774" i="10"/>
  <c r="D773" i="10"/>
  <c r="D772" i="10"/>
  <c r="D771" i="10"/>
  <c r="D770" i="10"/>
  <c r="D769" i="10"/>
  <c r="D768" i="10"/>
  <c r="D767" i="10"/>
  <c r="D766" i="10"/>
  <c r="D765" i="10"/>
  <c r="D764" i="10"/>
  <c r="D763" i="10"/>
  <c r="D762" i="10"/>
  <c r="D761" i="10"/>
  <c r="D760" i="10"/>
  <c r="D759" i="10"/>
  <c r="D758" i="10"/>
  <c r="D757" i="10"/>
  <c r="D756" i="10"/>
  <c r="D755" i="10"/>
  <c r="D754" i="10"/>
  <c r="D753" i="10"/>
  <c r="D752" i="10"/>
  <c r="D751" i="10"/>
  <c r="D750" i="10"/>
  <c r="D749" i="10"/>
  <c r="D748" i="10"/>
  <c r="D747" i="10"/>
  <c r="D746" i="10"/>
  <c r="D745" i="10"/>
  <c r="D744" i="10"/>
  <c r="D743" i="10"/>
  <c r="D742" i="10"/>
  <c r="D741" i="10"/>
  <c r="D740" i="10"/>
  <c r="D739" i="10"/>
  <c r="D738" i="10"/>
  <c r="D737" i="10"/>
  <c r="D736" i="10"/>
  <c r="D735" i="10"/>
  <c r="D734" i="10"/>
  <c r="D733" i="10"/>
  <c r="D732" i="10"/>
  <c r="D731" i="10"/>
  <c r="D730" i="10"/>
  <c r="D729" i="10"/>
  <c r="D728" i="10"/>
  <c r="D727" i="10"/>
  <c r="D726" i="10"/>
  <c r="D725" i="10"/>
  <c r="D724" i="10"/>
  <c r="D723" i="10"/>
  <c r="D722" i="10"/>
  <c r="D721" i="10"/>
  <c r="D720" i="10"/>
  <c r="D719" i="10"/>
  <c r="D718" i="10"/>
  <c r="D717" i="10"/>
  <c r="D716" i="10"/>
  <c r="D715" i="10"/>
  <c r="D714" i="10"/>
  <c r="D713" i="10"/>
  <c r="D712" i="10"/>
  <c r="D711" i="10"/>
  <c r="D710" i="10"/>
  <c r="D709" i="10"/>
  <c r="D708" i="10"/>
  <c r="D707" i="10"/>
  <c r="D706" i="10"/>
  <c r="D705" i="10"/>
  <c r="D704" i="10"/>
  <c r="D703" i="10"/>
  <c r="D702" i="10"/>
  <c r="D701" i="10"/>
  <c r="D700" i="10"/>
  <c r="D699" i="10"/>
  <c r="D698" i="10"/>
  <c r="D697" i="10"/>
  <c r="D696" i="10"/>
  <c r="D695" i="10"/>
  <c r="D694" i="10"/>
  <c r="D693" i="10"/>
  <c r="D692" i="10"/>
  <c r="D691" i="10"/>
  <c r="D690" i="10"/>
  <c r="D689" i="10"/>
  <c r="D688" i="10"/>
  <c r="D687" i="10"/>
  <c r="D686" i="10"/>
  <c r="D685" i="10"/>
  <c r="D684" i="10"/>
  <c r="D683" i="10"/>
  <c r="D682" i="10"/>
  <c r="D681" i="10"/>
  <c r="D680" i="10"/>
  <c r="D679" i="10"/>
  <c r="D678" i="10"/>
  <c r="D677" i="10"/>
  <c r="D676" i="10"/>
  <c r="D675" i="10"/>
  <c r="D674" i="10"/>
  <c r="D673" i="10"/>
  <c r="D672" i="10"/>
  <c r="D671" i="10"/>
  <c r="D670" i="10"/>
  <c r="D669" i="10"/>
  <c r="D668" i="10"/>
  <c r="D667" i="10"/>
  <c r="D666" i="10"/>
  <c r="D665" i="10"/>
  <c r="D664" i="10"/>
  <c r="D663" i="10"/>
  <c r="D662" i="10"/>
  <c r="D661" i="10"/>
  <c r="D660" i="10"/>
  <c r="D659" i="10"/>
  <c r="D658" i="10"/>
  <c r="D657" i="10"/>
  <c r="D656" i="10"/>
  <c r="D655" i="10"/>
  <c r="D654" i="10"/>
  <c r="D653" i="10"/>
  <c r="D652" i="10"/>
  <c r="D651" i="10"/>
  <c r="D650" i="10"/>
  <c r="D649" i="10"/>
  <c r="D648" i="10"/>
  <c r="D647" i="10"/>
  <c r="D646" i="10"/>
  <c r="D645" i="10"/>
  <c r="D644" i="10"/>
  <c r="D643" i="10"/>
  <c r="D642" i="10"/>
  <c r="D641" i="10"/>
  <c r="D640" i="10"/>
  <c r="D639" i="10"/>
  <c r="D638" i="10"/>
  <c r="D637" i="10"/>
  <c r="D636" i="10"/>
  <c r="D635" i="10"/>
  <c r="D634" i="10"/>
  <c r="D633" i="10"/>
  <c r="D632" i="10"/>
  <c r="D631" i="10"/>
  <c r="D630" i="10"/>
  <c r="D629" i="10"/>
  <c r="D628" i="10"/>
  <c r="D627" i="10"/>
  <c r="D626" i="10"/>
  <c r="D625" i="10"/>
  <c r="D624" i="10"/>
  <c r="D623" i="10"/>
  <c r="D622" i="10"/>
  <c r="D621" i="10"/>
  <c r="D620" i="10"/>
  <c r="D619" i="10"/>
  <c r="D618" i="10"/>
  <c r="D617" i="10"/>
  <c r="D616" i="10"/>
  <c r="D615" i="10"/>
  <c r="D614" i="10"/>
  <c r="D613" i="10"/>
  <c r="D612" i="10"/>
  <c r="D611" i="10"/>
  <c r="D610" i="10"/>
  <c r="D609" i="10"/>
  <c r="D608" i="10"/>
  <c r="D607" i="10"/>
  <c r="D606" i="10"/>
  <c r="D605" i="10"/>
  <c r="D604" i="10"/>
  <c r="D603" i="10"/>
  <c r="D602" i="10"/>
  <c r="D601" i="10"/>
  <c r="D600" i="10"/>
  <c r="D599" i="10"/>
  <c r="D598" i="10"/>
  <c r="D597" i="10"/>
  <c r="D596" i="10"/>
  <c r="D595" i="10"/>
  <c r="D594" i="10"/>
  <c r="D593" i="10"/>
  <c r="D592" i="10"/>
  <c r="D591" i="10"/>
  <c r="D590" i="10"/>
  <c r="D589" i="10"/>
  <c r="D588" i="10"/>
  <c r="D587" i="10"/>
  <c r="D586" i="10"/>
  <c r="D585" i="10"/>
  <c r="D584" i="10"/>
  <c r="D583" i="10"/>
  <c r="D582" i="10"/>
  <c r="D581" i="10"/>
  <c r="D580" i="10"/>
  <c r="D579" i="10"/>
  <c r="D578" i="10"/>
  <c r="D577" i="10"/>
  <c r="D576" i="10"/>
  <c r="D575" i="10"/>
  <c r="D574" i="10"/>
  <c r="D573" i="10"/>
  <c r="D572" i="10"/>
  <c r="D571" i="10"/>
  <c r="D570" i="10"/>
  <c r="D569" i="10"/>
  <c r="D568" i="10"/>
  <c r="D567" i="10"/>
  <c r="D566" i="10"/>
  <c r="D565" i="10"/>
  <c r="D564" i="10"/>
  <c r="D563" i="10"/>
  <c r="D562" i="10"/>
  <c r="D561" i="10"/>
  <c r="D560" i="10"/>
  <c r="D559" i="10"/>
  <c r="D558" i="10"/>
  <c r="D557" i="10"/>
  <c r="D556" i="10"/>
  <c r="D555" i="10"/>
  <c r="D554" i="10"/>
  <c r="D553" i="10"/>
  <c r="D552" i="10"/>
  <c r="D551" i="10"/>
  <c r="D550" i="10"/>
  <c r="D549" i="10"/>
  <c r="D548" i="10"/>
  <c r="D547" i="10"/>
  <c r="D546" i="10"/>
  <c r="D545" i="10"/>
  <c r="D544" i="10"/>
  <c r="D543" i="10"/>
  <c r="D542" i="10"/>
  <c r="D541" i="10"/>
  <c r="D540" i="10"/>
  <c r="D539" i="10"/>
  <c r="D538" i="10"/>
  <c r="D537" i="10"/>
  <c r="D536" i="10"/>
  <c r="D535" i="10"/>
  <c r="D534" i="10"/>
  <c r="D533" i="10"/>
  <c r="D532" i="10"/>
  <c r="D531" i="10"/>
  <c r="D530" i="10"/>
  <c r="D529" i="10"/>
  <c r="D528" i="10"/>
  <c r="D527" i="10"/>
  <c r="D526" i="10"/>
  <c r="D525" i="10"/>
  <c r="D524" i="10"/>
  <c r="D523" i="10"/>
  <c r="D522" i="10"/>
  <c r="D521" i="10"/>
  <c r="D520" i="10"/>
  <c r="D519" i="10"/>
  <c r="D518" i="10"/>
  <c r="D517" i="10"/>
  <c r="D516" i="10"/>
  <c r="D515" i="10"/>
  <c r="D514" i="10"/>
  <c r="D513" i="10"/>
  <c r="D512" i="10"/>
  <c r="D511" i="10"/>
  <c r="D510" i="10"/>
  <c r="D509" i="10"/>
  <c r="D508" i="10"/>
  <c r="D507" i="10"/>
  <c r="D506" i="10"/>
  <c r="D505" i="10"/>
  <c r="D504" i="10"/>
  <c r="D503" i="10"/>
  <c r="D502" i="10"/>
  <c r="D501" i="10"/>
  <c r="D500" i="10"/>
  <c r="D499" i="10"/>
  <c r="D498" i="10"/>
  <c r="D497" i="10"/>
  <c r="D496" i="10"/>
  <c r="D495" i="10"/>
  <c r="D494" i="10"/>
  <c r="D493" i="10"/>
  <c r="D492" i="10"/>
  <c r="D491" i="10"/>
  <c r="D490" i="10"/>
  <c r="D489" i="10"/>
  <c r="D488" i="10"/>
  <c r="D487" i="10"/>
  <c r="D486" i="10"/>
  <c r="D485" i="10"/>
  <c r="D484" i="10"/>
  <c r="D483" i="10"/>
  <c r="D482" i="10"/>
  <c r="D481" i="10"/>
  <c r="D480" i="10"/>
  <c r="D479" i="10"/>
  <c r="D478" i="10"/>
  <c r="D477" i="10"/>
  <c r="D476" i="10"/>
  <c r="D475" i="10"/>
  <c r="D474" i="10"/>
  <c r="D473" i="10"/>
  <c r="D472" i="10"/>
  <c r="D471" i="10"/>
  <c r="D470" i="10"/>
  <c r="D469" i="10"/>
  <c r="D468" i="10"/>
  <c r="D467" i="10"/>
  <c r="D466" i="10"/>
  <c r="D465" i="10"/>
  <c r="D464" i="10"/>
  <c r="D463" i="10"/>
  <c r="D462" i="10"/>
  <c r="D461" i="10"/>
  <c r="D460" i="10"/>
  <c r="D459" i="10"/>
  <c r="D458" i="10"/>
  <c r="D457" i="10"/>
  <c r="D456" i="10"/>
  <c r="D455" i="10"/>
  <c r="D454" i="10"/>
  <c r="D453" i="10"/>
  <c r="D452" i="10"/>
  <c r="D451" i="10"/>
  <c r="D450" i="10"/>
  <c r="D449" i="10"/>
  <c r="D448" i="10"/>
  <c r="D447" i="10"/>
  <c r="D446" i="10"/>
  <c r="D445" i="10"/>
  <c r="D444" i="10"/>
  <c r="D443" i="10"/>
  <c r="D442" i="10"/>
  <c r="D441" i="10"/>
  <c r="D440" i="10"/>
  <c r="D439" i="10"/>
  <c r="D438" i="10"/>
  <c r="D437" i="10"/>
  <c r="D436" i="10"/>
  <c r="D435" i="10"/>
  <c r="D434" i="10"/>
  <c r="D433" i="10"/>
  <c r="D432" i="10"/>
  <c r="D431" i="10"/>
  <c r="D430" i="10"/>
  <c r="D429" i="10"/>
  <c r="D428" i="10"/>
  <c r="D427" i="10"/>
  <c r="D426" i="10"/>
  <c r="D425" i="10"/>
  <c r="D424" i="10"/>
  <c r="D423" i="10"/>
  <c r="D422" i="10"/>
  <c r="D421" i="10"/>
  <c r="D420" i="10"/>
  <c r="D419" i="10"/>
  <c r="D418" i="10"/>
  <c r="D417" i="10"/>
  <c r="D416" i="10"/>
  <c r="D415" i="10"/>
  <c r="D414" i="10"/>
  <c r="D413" i="10"/>
  <c r="D412" i="10"/>
  <c r="D411" i="10"/>
  <c r="D410" i="10"/>
  <c r="D409" i="10"/>
  <c r="D408" i="10"/>
  <c r="D407" i="10"/>
  <c r="D406" i="10"/>
  <c r="D405" i="10"/>
  <c r="D404" i="10"/>
  <c r="D403" i="10"/>
  <c r="D402" i="10"/>
  <c r="D401" i="10"/>
  <c r="D400" i="10"/>
  <c r="D399" i="10"/>
  <c r="D398" i="10"/>
  <c r="D397" i="10"/>
  <c r="D396" i="10"/>
  <c r="D395" i="10"/>
  <c r="D394" i="10"/>
  <c r="D393" i="10"/>
  <c r="D392" i="10"/>
  <c r="D391" i="10"/>
  <c r="D390" i="10"/>
  <c r="D389" i="10"/>
  <c r="D388" i="10"/>
  <c r="D387" i="10"/>
  <c r="D386" i="10"/>
  <c r="D385" i="10"/>
  <c r="D384" i="10"/>
  <c r="D383" i="10"/>
  <c r="D382" i="10"/>
  <c r="D381" i="10"/>
  <c r="D380" i="10"/>
  <c r="D379" i="10"/>
  <c r="D378" i="10"/>
  <c r="D377" i="10"/>
  <c r="D376" i="10"/>
  <c r="D375" i="10"/>
  <c r="D374" i="10"/>
  <c r="D373" i="10"/>
  <c r="D372" i="10"/>
  <c r="D371" i="10"/>
  <c r="D370" i="10"/>
  <c r="D369" i="10"/>
  <c r="D368" i="10"/>
  <c r="D367" i="10"/>
  <c r="D366" i="10"/>
  <c r="D365" i="10"/>
  <c r="D364" i="10"/>
  <c r="D363" i="10"/>
  <c r="D362" i="10"/>
  <c r="D361" i="10"/>
  <c r="D360" i="10"/>
  <c r="D359" i="10"/>
  <c r="D358" i="10"/>
  <c r="D357" i="10"/>
  <c r="D356" i="10"/>
  <c r="D355" i="10"/>
  <c r="D354" i="10"/>
  <c r="D353" i="10"/>
  <c r="D352" i="10"/>
  <c r="D351" i="10"/>
  <c r="D350" i="10"/>
  <c r="D349" i="10"/>
  <c r="D348" i="10"/>
  <c r="D347" i="10"/>
  <c r="D346" i="10"/>
  <c r="D345" i="10"/>
  <c r="D344" i="10"/>
  <c r="D343" i="10"/>
  <c r="D342" i="10"/>
  <c r="D341" i="10"/>
  <c r="D340" i="10"/>
  <c r="D339" i="10"/>
  <c r="D338" i="10"/>
  <c r="D337" i="10"/>
  <c r="D336" i="10"/>
  <c r="D335" i="10"/>
  <c r="D334" i="10"/>
  <c r="D333" i="10"/>
  <c r="D332" i="10"/>
  <c r="D331" i="10"/>
  <c r="D330" i="10"/>
  <c r="D329" i="10"/>
  <c r="D328" i="10"/>
  <c r="D327" i="10"/>
  <c r="D326" i="10"/>
  <c r="D325" i="10"/>
  <c r="D324" i="10"/>
  <c r="D323" i="10"/>
  <c r="D322" i="10"/>
  <c r="D321" i="10"/>
  <c r="D320" i="10"/>
  <c r="D319" i="10"/>
  <c r="D318" i="10"/>
  <c r="D317" i="10"/>
  <c r="D316" i="10"/>
  <c r="D315" i="10"/>
  <c r="D314" i="10"/>
  <c r="D313" i="10"/>
  <c r="D312" i="10"/>
  <c r="D311" i="10"/>
  <c r="D310" i="10"/>
  <c r="D309" i="10"/>
  <c r="D308" i="10"/>
  <c r="D307" i="10"/>
  <c r="D306" i="10"/>
  <c r="D305" i="10"/>
  <c r="D304" i="10"/>
  <c r="D303" i="10"/>
  <c r="D302" i="10"/>
  <c r="D301" i="10"/>
  <c r="D300" i="10"/>
  <c r="D299" i="10"/>
  <c r="D298" i="10"/>
  <c r="D297" i="10"/>
  <c r="D296" i="10"/>
  <c r="D295" i="10"/>
  <c r="D294" i="10"/>
  <c r="D293" i="10"/>
  <c r="D292" i="10"/>
  <c r="D291" i="10"/>
  <c r="D290" i="10"/>
  <c r="D289" i="10"/>
  <c r="D288" i="10"/>
  <c r="D287" i="10"/>
  <c r="D286" i="10"/>
  <c r="D285" i="10"/>
  <c r="D284" i="10"/>
  <c r="D283" i="10"/>
  <c r="D282" i="10"/>
  <c r="D281" i="10"/>
  <c r="D280" i="10"/>
  <c r="D279" i="10"/>
  <c r="D278" i="10"/>
  <c r="D277" i="10"/>
  <c r="D276" i="10"/>
  <c r="D275" i="10"/>
  <c r="D274" i="10"/>
  <c r="D273" i="10"/>
  <c r="D272" i="10"/>
  <c r="D271" i="10"/>
  <c r="D270" i="10"/>
  <c r="D269" i="10"/>
  <c r="D268" i="10"/>
  <c r="D267" i="10"/>
  <c r="D266" i="10"/>
  <c r="D265" i="10"/>
  <c r="D264" i="10"/>
  <c r="D263" i="10"/>
  <c r="D262" i="10"/>
  <c r="D261" i="10"/>
  <c r="D260" i="10"/>
  <c r="D259" i="10"/>
  <c r="D258" i="10"/>
  <c r="D257" i="10"/>
  <c r="D256" i="10"/>
  <c r="D255" i="10"/>
  <c r="D254" i="10"/>
  <c r="D253" i="10"/>
  <c r="D252" i="10"/>
  <c r="D251" i="10"/>
  <c r="D250" i="10"/>
  <c r="D249" i="10"/>
  <c r="D248" i="10"/>
  <c r="D247" i="10"/>
  <c r="D246" i="10"/>
  <c r="D245" i="10"/>
  <c r="D244" i="10"/>
  <c r="D243" i="10"/>
  <c r="D242" i="10"/>
  <c r="D241" i="10"/>
  <c r="D240" i="10"/>
  <c r="D239" i="10"/>
  <c r="D238" i="10"/>
  <c r="D237" i="10"/>
  <c r="D236" i="10"/>
  <c r="D235" i="10"/>
  <c r="D234" i="10"/>
  <c r="D233" i="10"/>
  <c r="D232" i="10"/>
  <c r="D231" i="10"/>
  <c r="D230" i="10"/>
  <c r="D229" i="10"/>
  <c r="D228" i="10"/>
  <c r="D227" i="10"/>
  <c r="D226" i="10"/>
  <c r="D225" i="10"/>
  <c r="D224" i="10"/>
  <c r="D223" i="10"/>
  <c r="D222" i="10"/>
  <c r="D221" i="10"/>
  <c r="D220" i="10"/>
  <c r="D219" i="10"/>
  <c r="D218" i="10"/>
  <c r="D217" i="10"/>
  <c r="D216" i="10"/>
  <c r="D215" i="10"/>
  <c r="D214" i="10"/>
  <c r="D213" i="10"/>
  <c r="D212" i="10"/>
  <c r="D211" i="10"/>
  <c r="D210" i="10"/>
  <c r="D209" i="10"/>
  <c r="D208" i="10"/>
  <c r="D207" i="10"/>
  <c r="D206" i="10"/>
  <c r="D205" i="10"/>
  <c r="D204" i="10"/>
  <c r="D203" i="10"/>
  <c r="D202" i="10"/>
  <c r="D201" i="10"/>
  <c r="D200" i="10"/>
  <c r="D199" i="10"/>
  <c r="D198" i="10"/>
  <c r="D197" i="10"/>
  <c r="D196" i="10"/>
  <c r="D195" i="10"/>
  <c r="D194" i="10"/>
  <c r="D193" i="10"/>
  <c r="D192" i="10"/>
  <c r="D191" i="10"/>
  <c r="D190" i="10"/>
  <c r="D189" i="10"/>
  <c r="D188" i="10"/>
  <c r="D187" i="10"/>
  <c r="D186" i="10"/>
  <c r="D185" i="10"/>
  <c r="D184" i="10"/>
  <c r="D183" i="10"/>
  <c r="D182" i="10"/>
  <c r="D181" i="10"/>
  <c r="D180" i="10"/>
  <c r="D179" i="10"/>
  <c r="D178" i="10"/>
  <c r="D177" i="10"/>
  <c r="D176" i="10"/>
  <c r="D175" i="10"/>
  <c r="D174" i="10"/>
  <c r="D173" i="10"/>
  <c r="D172" i="10"/>
  <c r="D171" i="10"/>
  <c r="D170" i="10"/>
  <c r="D169" i="10"/>
  <c r="D168" i="10"/>
  <c r="D167" i="10"/>
  <c r="D166" i="10"/>
  <c r="D165" i="10"/>
  <c r="D164" i="10"/>
  <c r="D163" i="10"/>
  <c r="D162" i="10"/>
  <c r="D161" i="10"/>
  <c r="D160" i="10"/>
  <c r="D159" i="10"/>
  <c r="D158" i="10"/>
  <c r="D157" i="10"/>
  <c r="D156" i="10"/>
  <c r="D155" i="10"/>
  <c r="D154" i="10"/>
  <c r="D153" i="10"/>
  <c r="D152" i="10"/>
  <c r="D151" i="10"/>
  <c r="D150" i="10"/>
  <c r="D149" i="10"/>
  <c r="D148" i="10"/>
  <c r="D147" i="10"/>
  <c r="D146" i="10"/>
  <c r="D145" i="10"/>
  <c r="D144" i="10"/>
  <c r="D143" i="10"/>
  <c r="D142" i="10"/>
  <c r="D141" i="10"/>
  <c r="D140" i="10"/>
  <c r="D139" i="10"/>
  <c r="D138" i="10"/>
  <c r="D137" i="10"/>
  <c r="D136" i="10"/>
  <c r="D135" i="10"/>
  <c r="D134" i="10"/>
  <c r="D133" i="10"/>
  <c r="D132" i="10"/>
  <c r="D131" i="10"/>
  <c r="D130" i="10"/>
  <c r="D129" i="10"/>
  <c r="D128" i="10"/>
  <c r="D127" i="10"/>
  <c r="D126" i="10"/>
  <c r="D125" i="10"/>
  <c r="D124" i="10"/>
  <c r="D123" i="10"/>
  <c r="D122" i="10"/>
  <c r="D121" i="10"/>
  <c r="D120" i="10"/>
  <c r="D119" i="10"/>
  <c r="D118" i="10"/>
  <c r="D117" i="10"/>
  <c r="D116" i="10"/>
  <c r="D115" i="10"/>
  <c r="D114" i="10"/>
  <c r="D113" i="10"/>
  <c r="D112" i="10"/>
  <c r="D111" i="10"/>
  <c r="D110" i="10"/>
  <c r="D109" i="10"/>
  <c r="D108" i="10"/>
  <c r="D107" i="10"/>
  <c r="D106" i="10"/>
  <c r="D105" i="10"/>
  <c r="D104" i="10"/>
  <c r="D103" i="10"/>
  <c r="D102" i="10"/>
  <c r="D101" i="10"/>
  <c r="D100" i="10"/>
  <c r="D99" i="10"/>
  <c r="D98" i="10"/>
  <c r="D97" i="10"/>
  <c r="D96" i="10"/>
  <c r="D95" i="10"/>
  <c r="D94" i="10"/>
  <c r="D93" i="10"/>
  <c r="D92" i="10"/>
  <c r="D91" i="10"/>
  <c r="D90" i="10"/>
  <c r="D89" i="10"/>
  <c r="D88" i="10"/>
  <c r="D87" i="10"/>
  <c r="D86" i="10"/>
  <c r="D85" i="10"/>
  <c r="D84" i="10"/>
  <c r="D83" i="10"/>
  <c r="D82" i="10"/>
  <c r="D81" i="10"/>
  <c r="D80" i="10"/>
  <c r="D79" i="10"/>
  <c r="D78" i="10"/>
  <c r="D77" i="10"/>
  <c r="D76" i="10"/>
  <c r="D75" i="10"/>
  <c r="D74" i="10"/>
  <c r="D73" i="10"/>
  <c r="D72" i="10"/>
  <c r="D71" i="10"/>
  <c r="D70" i="10"/>
  <c r="D69" i="10"/>
  <c r="D68" i="10"/>
  <c r="D67" i="10"/>
  <c r="D66" i="10"/>
  <c r="D65" i="10"/>
  <c r="D64" i="10"/>
  <c r="D63" i="10"/>
  <c r="D62" i="10"/>
  <c r="D61" i="10"/>
  <c r="D60" i="10"/>
  <c r="D59" i="10"/>
  <c r="D58" i="10"/>
  <c r="D57" i="10"/>
  <c r="D56" i="10"/>
  <c r="D55" i="10"/>
  <c r="D54" i="10"/>
  <c r="D53" i="10"/>
  <c r="D52" i="10"/>
  <c r="D51" i="10"/>
  <c r="D50" i="10"/>
  <c r="D49" i="10"/>
  <c r="D48" i="10"/>
  <c r="D47" i="10"/>
  <c r="D46" i="10"/>
  <c r="D45" i="10"/>
  <c r="D44" i="10"/>
  <c r="D43" i="10"/>
  <c r="D42" i="10"/>
  <c r="D41" i="10"/>
  <c r="D40" i="10"/>
  <c r="D39" i="10"/>
  <c r="D38" i="10"/>
  <c r="D37" i="10"/>
  <c r="D36" i="10"/>
  <c r="D35" i="10"/>
  <c r="D34" i="10"/>
  <c r="D33" i="10"/>
  <c r="D32" i="10"/>
  <c r="D31" i="10"/>
  <c r="D30" i="10"/>
  <c r="D29" i="10"/>
  <c r="D28" i="10"/>
  <c r="D27" i="10"/>
  <c r="D26" i="10"/>
  <c r="D25" i="10"/>
  <c r="D24" i="10"/>
  <c r="D23" i="10"/>
  <c r="D22" i="10"/>
  <c r="D21" i="10"/>
  <c r="D20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D7" i="10"/>
  <c r="D6" i="10"/>
  <c r="D5" i="10"/>
  <c r="D4" i="10"/>
  <c r="D3" i="10"/>
  <c r="D2" i="10"/>
  <c r="B1401" i="10"/>
  <c r="B1400" i="10"/>
  <c r="B1399" i="10"/>
  <c r="B1398" i="10"/>
  <c r="B1397" i="10"/>
  <c r="B1396" i="10"/>
  <c r="B1395" i="10"/>
  <c r="B1394" i="10"/>
  <c r="B1393" i="10"/>
  <c r="B1392" i="10"/>
  <c r="B1391" i="10"/>
  <c r="B1390" i="10"/>
  <c r="B1389" i="10"/>
  <c r="B1388" i="10"/>
  <c r="B1387" i="10"/>
  <c r="B1386" i="10"/>
  <c r="B1385" i="10"/>
  <c r="B1384" i="10"/>
  <c r="B1383" i="10"/>
  <c r="B1382" i="10"/>
  <c r="B1381" i="10"/>
  <c r="B1380" i="10"/>
  <c r="B1379" i="10"/>
  <c r="B1378" i="10"/>
  <c r="B1377" i="10"/>
  <c r="B1376" i="10"/>
  <c r="B1375" i="10"/>
  <c r="B1374" i="10"/>
  <c r="B1373" i="10"/>
  <c r="B1372" i="10"/>
  <c r="B1371" i="10"/>
  <c r="B1370" i="10"/>
  <c r="B1369" i="10"/>
  <c r="B1368" i="10"/>
  <c r="B1367" i="10"/>
  <c r="B1366" i="10"/>
  <c r="B1365" i="10"/>
  <c r="B1364" i="10"/>
  <c r="B1363" i="10"/>
  <c r="B1362" i="10"/>
  <c r="B1361" i="10"/>
  <c r="B1360" i="10"/>
  <c r="B1359" i="10"/>
  <c r="B1358" i="10"/>
  <c r="B1357" i="10"/>
  <c r="B1356" i="10"/>
  <c r="B1355" i="10"/>
  <c r="B1354" i="10"/>
  <c r="B1353" i="10"/>
  <c r="B1352" i="10"/>
  <c r="B1351" i="10"/>
  <c r="B1350" i="10"/>
  <c r="B1349" i="10"/>
  <c r="B1348" i="10"/>
  <c r="B1347" i="10"/>
  <c r="B1346" i="10"/>
  <c r="B1345" i="10"/>
  <c r="B1344" i="10"/>
  <c r="B1343" i="10"/>
  <c r="B1342" i="10"/>
  <c r="B1341" i="10"/>
  <c r="B1340" i="10"/>
  <c r="B1339" i="10"/>
  <c r="B1338" i="10"/>
  <c r="B1337" i="10"/>
  <c r="B1336" i="10"/>
  <c r="B1335" i="10"/>
  <c r="B1334" i="10"/>
  <c r="B1333" i="10"/>
  <c r="B1332" i="10"/>
  <c r="B1331" i="10"/>
  <c r="B1330" i="10"/>
  <c r="B1329" i="10"/>
  <c r="B1328" i="10"/>
  <c r="B1327" i="10"/>
  <c r="B1326" i="10"/>
  <c r="B1325" i="10"/>
  <c r="B1324" i="10"/>
  <c r="B1323" i="10"/>
  <c r="B1322" i="10"/>
  <c r="B1321" i="10"/>
  <c r="B1320" i="10"/>
  <c r="B1319" i="10"/>
  <c r="B1318" i="10"/>
  <c r="B1317" i="10"/>
  <c r="B1316" i="10"/>
  <c r="B1315" i="10"/>
  <c r="B1314" i="10"/>
  <c r="B1313" i="10"/>
  <c r="B1312" i="10"/>
  <c r="B1311" i="10"/>
  <c r="B1310" i="10"/>
  <c r="B1309" i="10"/>
  <c r="B1308" i="10"/>
  <c r="B1307" i="10"/>
  <c r="B1306" i="10"/>
  <c r="B1305" i="10"/>
  <c r="B1304" i="10"/>
  <c r="B1303" i="10"/>
  <c r="B1302" i="10"/>
  <c r="B1301" i="10"/>
  <c r="B1300" i="10"/>
  <c r="B1299" i="10"/>
  <c r="B1298" i="10"/>
  <c r="B1297" i="10"/>
  <c r="B1296" i="10"/>
  <c r="B1295" i="10"/>
  <c r="B1294" i="10"/>
  <c r="B1293" i="10"/>
  <c r="B1292" i="10"/>
  <c r="B1291" i="10"/>
  <c r="B1290" i="10"/>
  <c r="B1289" i="10"/>
  <c r="B1288" i="10"/>
  <c r="B1287" i="10"/>
  <c r="B1286" i="10"/>
  <c r="B1285" i="10"/>
  <c r="B1284" i="10"/>
  <c r="B1283" i="10"/>
  <c r="B1282" i="10"/>
  <c r="B1281" i="10"/>
  <c r="B1280" i="10"/>
  <c r="B1279" i="10"/>
  <c r="B1278" i="10"/>
  <c r="B1277" i="10"/>
  <c r="B1276" i="10"/>
  <c r="B1275" i="10"/>
  <c r="B1274" i="10"/>
  <c r="B1273" i="10"/>
  <c r="B1272" i="10"/>
  <c r="B1271" i="10"/>
  <c r="B1270" i="10"/>
  <c r="B1269" i="10"/>
  <c r="B1268" i="10"/>
  <c r="B1267" i="10"/>
  <c r="B1266" i="10"/>
  <c r="B1265" i="10"/>
  <c r="B1264" i="10"/>
  <c r="B1263" i="10"/>
  <c r="B1262" i="10"/>
  <c r="B1261" i="10"/>
  <c r="B1260" i="10"/>
  <c r="B1259" i="10"/>
  <c r="B1258" i="10"/>
  <c r="B1257" i="10"/>
  <c r="B1256" i="10"/>
  <c r="B1255" i="10"/>
  <c r="B1254" i="10"/>
  <c r="B1253" i="10"/>
  <c r="B1252" i="10"/>
  <c r="B1251" i="10"/>
  <c r="B1250" i="10"/>
  <c r="B1249" i="10"/>
  <c r="B1248" i="10"/>
  <c r="B1247" i="10"/>
  <c r="B1246" i="10"/>
  <c r="B1245" i="10"/>
  <c r="B1244" i="10"/>
  <c r="B1243" i="10"/>
  <c r="B1242" i="10"/>
  <c r="B1241" i="10"/>
  <c r="B1240" i="10"/>
  <c r="B1239" i="10"/>
  <c r="B1238" i="10"/>
  <c r="B1237" i="10"/>
  <c r="B1236" i="10"/>
  <c r="B1235" i="10"/>
  <c r="B1234" i="10"/>
  <c r="B1233" i="10"/>
  <c r="B1232" i="10"/>
  <c r="B1231" i="10"/>
  <c r="B1230" i="10"/>
  <c r="B1229" i="10"/>
  <c r="B1228" i="10"/>
  <c r="B1227" i="10"/>
  <c r="B1226" i="10"/>
  <c r="B1225" i="10"/>
  <c r="B1224" i="10"/>
  <c r="B1223" i="10"/>
  <c r="B1222" i="10"/>
  <c r="B1221" i="10"/>
  <c r="B1220" i="10"/>
  <c r="B1219" i="10"/>
  <c r="B1218" i="10"/>
  <c r="B1217" i="10"/>
  <c r="B1216" i="10"/>
  <c r="B1215" i="10"/>
  <c r="B1214" i="10"/>
  <c r="B1213" i="10"/>
  <c r="B1212" i="10"/>
  <c r="B1211" i="10"/>
  <c r="B1210" i="10"/>
  <c r="B1209" i="10"/>
  <c r="B1208" i="10"/>
  <c r="B1207" i="10"/>
  <c r="B1206" i="10"/>
  <c r="B1205" i="10"/>
  <c r="B1204" i="10"/>
  <c r="B1203" i="10"/>
  <c r="B1202" i="10"/>
  <c r="B1201" i="10"/>
  <c r="B1200" i="10"/>
  <c r="B1199" i="10"/>
  <c r="B1198" i="10"/>
  <c r="B1197" i="10"/>
  <c r="B1196" i="10"/>
  <c r="B1195" i="10"/>
  <c r="B1194" i="10"/>
  <c r="B1193" i="10"/>
  <c r="B1192" i="10"/>
  <c r="B1191" i="10"/>
  <c r="B1190" i="10"/>
  <c r="B1189" i="10"/>
  <c r="B1188" i="10"/>
  <c r="B1187" i="10"/>
  <c r="B1186" i="10"/>
  <c r="B1185" i="10"/>
  <c r="B1184" i="10"/>
  <c r="B1183" i="10"/>
  <c r="B1182" i="10"/>
  <c r="B1181" i="10"/>
  <c r="B1180" i="10"/>
  <c r="B1179" i="10"/>
  <c r="B1178" i="10"/>
  <c r="B1177" i="10"/>
  <c r="B1176" i="10"/>
  <c r="B1175" i="10"/>
  <c r="B1174" i="10"/>
  <c r="B1173" i="10"/>
  <c r="B1172" i="10"/>
  <c r="B1171" i="10"/>
  <c r="B1170" i="10"/>
  <c r="B1169" i="10"/>
  <c r="B1168" i="10"/>
  <c r="B1167" i="10"/>
  <c r="B1166" i="10"/>
  <c r="B1165" i="10"/>
  <c r="B1164" i="10"/>
  <c r="B1163" i="10"/>
  <c r="B1162" i="10"/>
  <c r="B1161" i="10"/>
  <c r="B1160" i="10"/>
  <c r="B1159" i="10"/>
  <c r="B1158" i="10"/>
  <c r="B1157" i="10"/>
  <c r="B1156" i="10"/>
  <c r="B1155" i="10"/>
  <c r="B1154" i="10"/>
  <c r="B1153" i="10"/>
  <c r="B1152" i="10"/>
  <c r="B1151" i="10"/>
  <c r="B1150" i="10"/>
  <c r="B1149" i="10"/>
  <c r="B1148" i="10"/>
  <c r="B1147" i="10"/>
  <c r="B1146" i="10"/>
  <c r="B1145" i="10"/>
  <c r="B1144" i="10"/>
  <c r="B1143" i="10"/>
  <c r="B1142" i="10"/>
  <c r="B1141" i="10"/>
  <c r="B1140" i="10"/>
  <c r="B1139" i="10"/>
  <c r="B1138" i="10"/>
  <c r="B1137" i="10"/>
  <c r="B1136" i="10"/>
  <c r="B1135" i="10"/>
  <c r="B1134" i="10"/>
  <c r="B1133" i="10"/>
  <c r="B1132" i="10"/>
  <c r="B1131" i="10"/>
  <c r="B1130" i="10"/>
  <c r="B1129" i="10"/>
  <c r="B1128" i="10"/>
  <c r="B1127" i="10"/>
  <c r="B1126" i="10"/>
  <c r="B1125" i="10"/>
  <c r="B1124" i="10"/>
  <c r="B1123" i="10"/>
  <c r="B1122" i="10"/>
  <c r="B1121" i="10"/>
  <c r="B1120" i="10"/>
  <c r="B1119" i="10"/>
  <c r="B1118" i="10"/>
  <c r="B1117" i="10"/>
  <c r="B1116" i="10"/>
  <c r="B1115" i="10"/>
  <c r="B1114" i="10"/>
  <c r="B1113" i="10"/>
  <c r="B1112" i="10"/>
  <c r="B1111" i="10"/>
  <c r="B1110" i="10"/>
  <c r="B1109" i="10"/>
  <c r="B1108" i="10"/>
  <c r="B1107" i="10"/>
  <c r="B1106" i="10"/>
  <c r="B1105" i="10"/>
  <c r="B1104" i="10"/>
  <c r="B1103" i="10"/>
  <c r="B1102" i="10"/>
  <c r="B1101" i="10"/>
  <c r="B1100" i="10"/>
  <c r="B1099" i="10"/>
  <c r="B1098" i="10"/>
  <c r="B1097" i="10"/>
  <c r="B1096" i="10"/>
  <c r="B1095" i="10"/>
  <c r="B1094" i="10"/>
  <c r="B1093" i="10"/>
  <c r="B1092" i="10"/>
  <c r="B1091" i="10"/>
  <c r="B1090" i="10"/>
  <c r="B1089" i="10"/>
  <c r="B1088" i="10"/>
  <c r="B1087" i="10"/>
  <c r="B1086" i="10"/>
  <c r="B1085" i="10"/>
  <c r="B1084" i="10"/>
  <c r="B1083" i="10"/>
  <c r="B1082" i="10"/>
  <c r="B1081" i="10"/>
  <c r="B1080" i="10"/>
  <c r="B1079" i="10"/>
  <c r="B1078" i="10"/>
  <c r="B1077" i="10"/>
  <c r="B1076" i="10"/>
  <c r="B1075" i="10"/>
  <c r="B1074" i="10"/>
  <c r="B1073" i="10"/>
  <c r="B1072" i="10"/>
  <c r="B1071" i="10"/>
  <c r="B1070" i="10"/>
  <c r="B1069" i="10"/>
  <c r="B1068" i="10"/>
  <c r="B1067" i="10"/>
  <c r="B1066" i="10"/>
  <c r="B1065" i="10"/>
  <c r="B1064" i="10"/>
  <c r="B1063" i="10"/>
  <c r="B1062" i="10"/>
  <c r="B1061" i="10"/>
  <c r="B1060" i="10"/>
  <c r="B1059" i="10"/>
  <c r="B1058" i="10"/>
  <c r="B1057" i="10"/>
  <c r="B1056" i="10"/>
  <c r="B1055" i="10"/>
  <c r="B1054" i="10"/>
  <c r="B1053" i="10"/>
  <c r="B1052" i="10"/>
  <c r="B1051" i="10"/>
  <c r="B1050" i="10"/>
  <c r="B1049" i="10"/>
  <c r="B1048" i="10"/>
  <c r="B1047" i="10"/>
  <c r="B1046" i="10"/>
  <c r="B1045" i="10"/>
  <c r="B1044" i="10"/>
  <c r="B1043" i="10"/>
  <c r="B1042" i="10"/>
  <c r="B1041" i="10"/>
  <c r="B1040" i="10"/>
  <c r="B1039" i="10"/>
  <c r="B1038" i="10"/>
  <c r="B1037" i="10"/>
  <c r="B1036" i="10"/>
  <c r="B1035" i="10"/>
  <c r="B1034" i="10"/>
  <c r="B1033" i="10"/>
  <c r="B1032" i="10"/>
  <c r="B1031" i="10"/>
  <c r="B1030" i="10"/>
  <c r="B1029" i="10"/>
  <c r="B1028" i="10"/>
  <c r="B1027" i="10"/>
  <c r="B1026" i="10"/>
  <c r="B1025" i="10"/>
  <c r="B1024" i="10"/>
  <c r="B1023" i="10"/>
  <c r="B1022" i="10"/>
  <c r="B1021" i="10"/>
  <c r="B1020" i="10"/>
  <c r="B1019" i="10"/>
  <c r="B1018" i="10"/>
  <c r="B1017" i="10"/>
  <c r="B1016" i="10"/>
  <c r="B1015" i="10"/>
  <c r="B1014" i="10"/>
  <c r="B1013" i="10"/>
  <c r="B1012" i="10"/>
  <c r="B1011" i="10"/>
  <c r="B1010" i="10"/>
  <c r="B1009" i="10"/>
  <c r="B1008" i="10"/>
  <c r="B1007" i="10"/>
  <c r="B1006" i="10"/>
  <c r="B1005" i="10"/>
  <c r="B1004" i="10"/>
  <c r="B1003" i="10"/>
  <c r="B1002" i="10"/>
  <c r="B1001" i="10"/>
  <c r="B1000" i="10"/>
  <c r="B999" i="10"/>
  <c r="B998" i="10"/>
  <c r="B997" i="10"/>
  <c r="B996" i="10"/>
  <c r="B995" i="10"/>
  <c r="B994" i="10"/>
  <c r="B993" i="10"/>
  <c r="B992" i="10"/>
  <c r="B991" i="10"/>
  <c r="B990" i="10"/>
  <c r="B989" i="10"/>
  <c r="B988" i="10"/>
  <c r="B987" i="10"/>
  <c r="B986" i="10"/>
  <c r="B985" i="10"/>
  <c r="B984" i="10"/>
  <c r="B983" i="10"/>
  <c r="B982" i="10"/>
  <c r="B981" i="10"/>
  <c r="B980" i="10"/>
  <c r="B979" i="10"/>
  <c r="B978" i="10"/>
  <c r="B977" i="10"/>
  <c r="B976" i="10"/>
  <c r="B975" i="10"/>
  <c r="B974" i="10"/>
  <c r="B973" i="10"/>
  <c r="B972" i="10"/>
  <c r="B971" i="10"/>
  <c r="B970" i="10"/>
  <c r="B969" i="10"/>
  <c r="B968" i="10"/>
  <c r="B967" i="10"/>
  <c r="B966" i="10"/>
  <c r="B965" i="10"/>
  <c r="B964" i="10"/>
  <c r="B963" i="10"/>
  <c r="B962" i="10"/>
  <c r="B961" i="10"/>
  <c r="B960" i="10"/>
  <c r="B959" i="10"/>
  <c r="B958" i="10"/>
  <c r="B957" i="10"/>
  <c r="B956" i="10"/>
  <c r="B955" i="10"/>
  <c r="B954" i="10"/>
  <c r="B953" i="10"/>
  <c r="B952" i="10"/>
  <c r="B951" i="10"/>
  <c r="B950" i="10"/>
  <c r="B949" i="10"/>
  <c r="B948" i="10"/>
  <c r="B947" i="10"/>
  <c r="B946" i="10"/>
  <c r="B945" i="10"/>
  <c r="B944" i="10"/>
  <c r="B943" i="10"/>
  <c r="B942" i="10"/>
  <c r="B941" i="10"/>
  <c r="B940" i="10"/>
  <c r="B939" i="10"/>
  <c r="B938" i="10"/>
  <c r="B937" i="10"/>
  <c r="B936" i="10"/>
  <c r="B935" i="10"/>
  <c r="B934" i="10"/>
  <c r="B933" i="10"/>
  <c r="B932" i="10"/>
  <c r="B931" i="10"/>
  <c r="B930" i="10"/>
  <c r="B929" i="10"/>
  <c r="B928" i="10"/>
  <c r="B927" i="10"/>
  <c r="B926" i="10"/>
  <c r="B925" i="10"/>
  <c r="B924" i="10"/>
  <c r="B923" i="10"/>
  <c r="B922" i="10"/>
  <c r="B921" i="10"/>
  <c r="B920" i="10"/>
  <c r="B919" i="10"/>
  <c r="B918" i="10"/>
  <c r="B917" i="10"/>
  <c r="B916" i="10"/>
  <c r="B915" i="10"/>
  <c r="B914" i="10"/>
  <c r="B913" i="10"/>
  <c r="B912" i="10"/>
  <c r="B911" i="10"/>
  <c r="B910" i="10"/>
  <c r="B909" i="10"/>
  <c r="B908" i="10"/>
  <c r="B907" i="10"/>
  <c r="B906" i="10"/>
  <c r="B905" i="10"/>
  <c r="B904" i="10"/>
  <c r="B903" i="10"/>
  <c r="B902" i="10"/>
  <c r="B901" i="10"/>
  <c r="B900" i="10"/>
  <c r="B899" i="10"/>
  <c r="B898" i="10"/>
  <c r="B897" i="10"/>
  <c r="B896" i="10"/>
  <c r="B895" i="10"/>
  <c r="B894" i="10"/>
  <c r="B893" i="10"/>
  <c r="B892" i="10"/>
  <c r="B891" i="10"/>
  <c r="B890" i="10"/>
  <c r="B889" i="10"/>
  <c r="B888" i="10"/>
  <c r="B887" i="10"/>
  <c r="B886" i="10"/>
  <c r="B885" i="10"/>
  <c r="B884" i="10"/>
  <c r="B883" i="10"/>
  <c r="B882" i="10"/>
  <c r="B881" i="10"/>
  <c r="B880" i="10"/>
  <c r="B879" i="10"/>
  <c r="B878" i="10"/>
  <c r="B877" i="10"/>
  <c r="B876" i="10"/>
  <c r="B875" i="10"/>
  <c r="B874" i="10"/>
  <c r="B873" i="10"/>
  <c r="B872" i="10"/>
  <c r="B871" i="10"/>
  <c r="B870" i="10"/>
  <c r="B869" i="10"/>
  <c r="B868" i="10"/>
  <c r="B867" i="10"/>
  <c r="B866" i="10"/>
  <c r="B865" i="10"/>
  <c r="B864" i="10"/>
  <c r="B863" i="10"/>
  <c r="B862" i="10"/>
  <c r="B861" i="10"/>
  <c r="B860" i="10"/>
  <c r="B859" i="10"/>
  <c r="B858" i="10"/>
  <c r="B857" i="10"/>
  <c r="B856" i="10"/>
  <c r="B855" i="10"/>
  <c r="B854" i="10"/>
  <c r="B853" i="10"/>
  <c r="B852" i="10"/>
  <c r="B851" i="10"/>
  <c r="B850" i="10"/>
  <c r="B849" i="10"/>
  <c r="B848" i="10"/>
  <c r="B847" i="10"/>
  <c r="B846" i="10"/>
  <c r="B845" i="10"/>
  <c r="B844" i="10"/>
  <c r="B843" i="10"/>
  <c r="B842" i="10"/>
  <c r="B841" i="10"/>
  <c r="B840" i="10"/>
  <c r="B839" i="10"/>
  <c r="B838" i="10"/>
  <c r="B837" i="10"/>
  <c r="B836" i="10"/>
  <c r="B835" i="10"/>
  <c r="B834" i="10"/>
  <c r="B833" i="10"/>
  <c r="B832" i="10"/>
  <c r="B831" i="10"/>
  <c r="B830" i="10"/>
  <c r="B829" i="10"/>
  <c r="B828" i="10"/>
  <c r="B827" i="10"/>
  <c r="B826" i="10"/>
  <c r="B825" i="10"/>
  <c r="B824" i="10"/>
  <c r="B823" i="10"/>
  <c r="B822" i="10"/>
  <c r="B821" i="10"/>
  <c r="B820" i="10"/>
  <c r="B819" i="10"/>
  <c r="B818" i="10"/>
  <c r="B817" i="10"/>
  <c r="B816" i="10"/>
  <c r="B815" i="10"/>
  <c r="B814" i="10"/>
  <c r="B813" i="10"/>
  <c r="B812" i="10"/>
  <c r="B811" i="10"/>
  <c r="B810" i="10"/>
  <c r="B809" i="10"/>
  <c r="B808" i="10"/>
  <c r="B807" i="10"/>
  <c r="B806" i="10"/>
  <c r="B805" i="10"/>
  <c r="B804" i="10"/>
  <c r="B803" i="10"/>
  <c r="B802" i="10"/>
  <c r="B801" i="10"/>
  <c r="B800" i="10"/>
  <c r="B799" i="10"/>
  <c r="B798" i="10"/>
  <c r="B797" i="10"/>
  <c r="B796" i="10"/>
  <c r="B795" i="10"/>
  <c r="B794" i="10"/>
  <c r="B793" i="10"/>
  <c r="B792" i="10"/>
  <c r="B791" i="10"/>
  <c r="B790" i="10"/>
  <c r="B789" i="10"/>
  <c r="B788" i="10"/>
  <c r="B787" i="10"/>
  <c r="B786" i="10"/>
  <c r="B785" i="10"/>
  <c r="B784" i="10"/>
  <c r="B783" i="10"/>
  <c r="B782" i="10"/>
  <c r="B781" i="10"/>
  <c r="B780" i="10"/>
  <c r="B779" i="10"/>
  <c r="B778" i="10"/>
  <c r="B777" i="10"/>
  <c r="B776" i="10"/>
  <c r="B775" i="10"/>
  <c r="B774" i="10"/>
  <c r="B773" i="10"/>
  <c r="B772" i="10"/>
  <c r="B771" i="10"/>
  <c r="B770" i="10"/>
  <c r="B769" i="10"/>
  <c r="B768" i="10"/>
  <c r="B767" i="10"/>
  <c r="B766" i="10"/>
  <c r="B765" i="10"/>
  <c r="B764" i="10"/>
  <c r="B763" i="10"/>
  <c r="B762" i="10"/>
  <c r="B761" i="10"/>
  <c r="B760" i="10"/>
  <c r="B759" i="10"/>
  <c r="B758" i="10"/>
  <c r="B757" i="10"/>
  <c r="B756" i="10"/>
  <c r="B755" i="10"/>
  <c r="B754" i="10"/>
  <c r="B753" i="10"/>
  <c r="B752" i="10"/>
  <c r="B751" i="10"/>
  <c r="B750" i="10"/>
  <c r="B749" i="10"/>
  <c r="B748" i="10"/>
  <c r="B747" i="10"/>
  <c r="B746" i="10"/>
  <c r="B745" i="10"/>
  <c r="B744" i="10"/>
  <c r="B743" i="10"/>
  <c r="B742" i="10"/>
  <c r="B741" i="10"/>
  <c r="B740" i="10"/>
  <c r="B739" i="10"/>
  <c r="B738" i="10"/>
  <c r="B737" i="10"/>
  <c r="B736" i="10"/>
  <c r="B735" i="10"/>
  <c r="B734" i="10"/>
  <c r="B733" i="10"/>
  <c r="B732" i="10"/>
  <c r="B731" i="10"/>
  <c r="B730" i="10"/>
  <c r="B729" i="10"/>
  <c r="B728" i="10"/>
  <c r="B727" i="10"/>
  <c r="B726" i="10"/>
  <c r="B725" i="10"/>
  <c r="B724" i="10"/>
  <c r="B723" i="10"/>
  <c r="B722" i="10"/>
  <c r="B721" i="10"/>
  <c r="B720" i="10"/>
  <c r="B719" i="10"/>
  <c r="B718" i="10"/>
  <c r="B717" i="10"/>
  <c r="B716" i="10"/>
  <c r="B715" i="10"/>
  <c r="B714" i="10"/>
  <c r="B713" i="10"/>
  <c r="B712" i="10"/>
  <c r="B711" i="10"/>
  <c r="B710" i="10"/>
  <c r="B709" i="10"/>
  <c r="B708" i="10"/>
  <c r="B707" i="10"/>
  <c r="B706" i="10"/>
  <c r="B705" i="10"/>
  <c r="B704" i="10"/>
  <c r="B703" i="10"/>
  <c r="B702" i="10"/>
  <c r="B701" i="10"/>
  <c r="B700" i="10"/>
  <c r="B699" i="10"/>
  <c r="B698" i="10"/>
  <c r="B697" i="10"/>
  <c r="B696" i="10"/>
  <c r="B695" i="10"/>
  <c r="B694" i="10"/>
  <c r="B693" i="10"/>
  <c r="B692" i="10"/>
  <c r="B691" i="10"/>
  <c r="B690" i="10"/>
  <c r="B689" i="10"/>
  <c r="B688" i="10"/>
  <c r="B687" i="10"/>
  <c r="B686" i="10"/>
  <c r="B685" i="10"/>
  <c r="B684" i="10"/>
  <c r="B683" i="10"/>
  <c r="B682" i="10"/>
  <c r="B681" i="10"/>
  <c r="B680" i="10"/>
  <c r="B679" i="10"/>
  <c r="B678" i="10"/>
  <c r="B677" i="10"/>
  <c r="B676" i="10"/>
  <c r="B675" i="10"/>
  <c r="B674" i="10"/>
  <c r="B673" i="10"/>
  <c r="B672" i="10"/>
  <c r="B671" i="10"/>
  <c r="B670" i="10"/>
  <c r="B669" i="10"/>
  <c r="B668" i="10"/>
  <c r="B667" i="10"/>
  <c r="B666" i="10"/>
  <c r="B665" i="10"/>
  <c r="B664" i="10"/>
  <c r="B663" i="10"/>
  <c r="B662" i="10"/>
  <c r="B661" i="10"/>
  <c r="B660" i="10"/>
  <c r="B659" i="10"/>
  <c r="B658" i="10"/>
  <c r="B657" i="10"/>
  <c r="B656" i="10"/>
  <c r="B655" i="10"/>
  <c r="B654" i="10"/>
  <c r="B653" i="10"/>
  <c r="B652" i="10"/>
  <c r="B651" i="10"/>
  <c r="B650" i="10"/>
  <c r="B649" i="10"/>
  <c r="B648" i="10"/>
  <c r="B647" i="10"/>
  <c r="B646" i="10"/>
  <c r="B645" i="10"/>
  <c r="B644" i="10"/>
  <c r="B643" i="10"/>
  <c r="B642" i="10"/>
  <c r="B641" i="10"/>
  <c r="B640" i="10"/>
  <c r="B639" i="10"/>
  <c r="B638" i="10"/>
  <c r="B637" i="10"/>
  <c r="B636" i="10"/>
  <c r="B635" i="10"/>
  <c r="B634" i="10"/>
  <c r="B633" i="10"/>
  <c r="B632" i="10"/>
  <c r="B631" i="10"/>
  <c r="B630" i="10"/>
  <c r="B629" i="10"/>
  <c r="B628" i="10"/>
  <c r="B627" i="10"/>
  <c r="B626" i="10"/>
  <c r="B625" i="10"/>
  <c r="B624" i="10"/>
  <c r="B623" i="10"/>
  <c r="B622" i="10"/>
  <c r="B621" i="10"/>
  <c r="B620" i="10"/>
  <c r="B619" i="10"/>
  <c r="B618" i="10"/>
  <c r="B617" i="10"/>
  <c r="B616" i="10"/>
  <c r="B615" i="10"/>
  <c r="B614" i="10"/>
  <c r="B613" i="10"/>
  <c r="B612" i="10"/>
  <c r="B611" i="10"/>
  <c r="B610" i="10"/>
  <c r="B609" i="10"/>
  <c r="B608" i="10"/>
  <c r="B607" i="10"/>
  <c r="B606" i="10"/>
  <c r="B605" i="10"/>
  <c r="B604" i="10"/>
  <c r="B603" i="10"/>
  <c r="B602" i="10"/>
  <c r="B601" i="10"/>
  <c r="B600" i="10"/>
  <c r="B599" i="10"/>
  <c r="B598" i="10"/>
  <c r="B597" i="10"/>
  <c r="B596" i="10"/>
  <c r="B595" i="10"/>
  <c r="B594" i="10"/>
  <c r="B593" i="10"/>
  <c r="B592" i="10"/>
  <c r="B591" i="10"/>
  <c r="B590" i="10"/>
  <c r="B589" i="10"/>
  <c r="B588" i="10"/>
  <c r="B587" i="10"/>
  <c r="B586" i="10"/>
  <c r="B585" i="10"/>
  <c r="B584" i="10"/>
  <c r="B583" i="10"/>
  <c r="B582" i="10"/>
  <c r="B581" i="10"/>
  <c r="B580" i="10"/>
  <c r="B579" i="10"/>
  <c r="B578" i="10"/>
  <c r="B577" i="10"/>
  <c r="B576" i="10"/>
  <c r="B575" i="10"/>
  <c r="B574" i="10"/>
  <c r="B573" i="10"/>
  <c r="B572" i="10"/>
  <c r="B571" i="10"/>
  <c r="B570" i="10"/>
  <c r="B569" i="10"/>
  <c r="B568" i="10"/>
  <c r="B567" i="10"/>
  <c r="B566" i="10"/>
  <c r="B565" i="10"/>
  <c r="B564" i="10"/>
  <c r="B563" i="10"/>
  <c r="B562" i="10"/>
  <c r="B561" i="10"/>
  <c r="B560" i="10"/>
  <c r="B559" i="10"/>
  <c r="B558" i="10"/>
  <c r="B557" i="10"/>
  <c r="B556" i="10"/>
  <c r="B555" i="10"/>
  <c r="B554" i="10"/>
  <c r="B553" i="10"/>
  <c r="B552" i="10"/>
  <c r="B551" i="10"/>
  <c r="B550" i="10"/>
  <c r="B549" i="10"/>
  <c r="B548" i="10"/>
  <c r="B547" i="10"/>
  <c r="B546" i="10"/>
  <c r="B545" i="10"/>
  <c r="B544" i="10"/>
  <c r="B543" i="10"/>
  <c r="B542" i="10"/>
  <c r="B541" i="10"/>
  <c r="B540" i="10"/>
  <c r="B539" i="10"/>
  <c r="B538" i="10"/>
  <c r="B537" i="10"/>
  <c r="B536" i="10"/>
  <c r="B535" i="10"/>
  <c r="B534" i="10"/>
  <c r="B533" i="10"/>
  <c r="B532" i="10"/>
  <c r="B531" i="10"/>
  <c r="B530" i="10"/>
  <c r="B529" i="10"/>
  <c r="B528" i="10"/>
  <c r="B527" i="10"/>
  <c r="B526" i="10"/>
  <c r="B525" i="10"/>
  <c r="B524" i="10"/>
  <c r="B523" i="10"/>
  <c r="B522" i="10"/>
  <c r="B521" i="10"/>
  <c r="B520" i="10"/>
  <c r="B519" i="10"/>
  <c r="B518" i="10"/>
  <c r="B517" i="10"/>
  <c r="B516" i="10"/>
  <c r="B515" i="10"/>
  <c r="B514" i="10"/>
  <c r="B513" i="10"/>
  <c r="B512" i="10"/>
  <c r="B511" i="10"/>
  <c r="B510" i="10"/>
  <c r="B509" i="10"/>
  <c r="B508" i="10"/>
  <c r="B507" i="10"/>
  <c r="B506" i="10"/>
  <c r="B505" i="10"/>
  <c r="B504" i="10"/>
  <c r="B503" i="10"/>
  <c r="B502" i="10"/>
  <c r="B501" i="10"/>
  <c r="B500" i="10"/>
  <c r="B499" i="10"/>
  <c r="B498" i="10"/>
  <c r="B497" i="10"/>
  <c r="B496" i="10"/>
  <c r="B495" i="10"/>
  <c r="B494" i="10"/>
  <c r="B493" i="10"/>
  <c r="B492" i="10"/>
  <c r="B491" i="10"/>
  <c r="B490" i="10"/>
  <c r="B489" i="10"/>
  <c r="B488" i="10"/>
  <c r="B487" i="10"/>
  <c r="B486" i="10"/>
  <c r="B485" i="10"/>
  <c r="B484" i="10"/>
  <c r="B483" i="10"/>
  <c r="B482" i="10"/>
  <c r="B481" i="10"/>
  <c r="B480" i="10"/>
  <c r="B479" i="10"/>
  <c r="B478" i="10"/>
  <c r="B477" i="10"/>
  <c r="B476" i="10"/>
  <c r="B475" i="10"/>
  <c r="B474" i="10"/>
  <c r="B473" i="10"/>
  <c r="B472" i="10"/>
  <c r="B471" i="10"/>
  <c r="B470" i="10"/>
  <c r="B469" i="10"/>
  <c r="B468" i="10"/>
  <c r="B467" i="10"/>
  <c r="B466" i="10"/>
  <c r="B465" i="10"/>
  <c r="B464" i="10"/>
  <c r="B463" i="10"/>
  <c r="B462" i="10"/>
  <c r="B461" i="10"/>
  <c r="B460" i="10"/>
  <c r="B459" i="10"/>
  <c r="B458" i="10"/>
  <c r="B457" i="10"/>
  <c r="B456" i="10"/>
  <c r="B455" i="10"/>
  <c r="B454" i="10"/>
  <c r="B453" i="10"/>
  <c r="B452" i="10"/>
  <c r="B451" i="10"/>
  <c r="B450" i="10"/>
  <c r="B449" i="10"/>
  <c r="B448" i="10"/>
  <c r="B447" i="10"/>
  <c r="B446" i="10"/>
  <c r="B445" i="10"/>
  <c r="B444" i="10"/>
  <c r="B443" i="10"/>
  <c r="B442" i="10"/>
  <c r="B441" i="10"/>
  <c r="B440" i="10"/>
  <c r="B439" i="10"/>
  <c r="B438" i="10"/>
  <c r="B437" i="10"/>
  <c r="B436" i="10"/>
  <c r="B435" i="10"/>
  <c r="B434" i="10"/>
  <c r="B433" i="10"/>
  <c r="B432" i="10"/>
  <c r="B431" i="10"/>
  <c r="B430" i="10"/>
  <c r="B429" i="10"/>
  <c r="B428" i="10"/>
  <c r="B427" i="10"/>
  <c r="B426" i="10"/>
  <c r="B425" i="10"/>
  <c r="B424" i="10"/>
  <c r="B423" i="10"/>
  <c r="B422" i="10"/>
  <c r="B421" i="10"/>
  <c r="B420" i="10"/>
  <c r="B419" i="10"/>
  <c r="B418" i="10"/>
  <c r="B417" i="10"/>
  <c r="B416" i="10"/>
  <c r="B415" i="10"/>
  <c r="B414" i="10"/>
  <c r="B413" i="10"/>
  <c r="B412" i="10"/>
  <c r="B411" i="10"/>
  <c r="B410" i="10"/>
  <c r="B409" i="10"/>
  <c r="B408" i="10"/>
  <c r="B407" i="10"/>
  <c r="B406" i="10"/>
  <c r="B405" i="10"/>
  <c r="B404" i="10"/>
  <c r="B403" i="10"/>
  <c r="B402" i="10"/>
  <c r="B401" i="10"/>
  <c r="B400" i="10"/>
  <c r="B399" i="10"/>
  <c r="B398" i="10"/>
  <c r="B397" i="10"/>
  <c r="B396" i="10"/>
  <c r="B395" i="10"/>
  <c r="B394" i="10"/>
  <c r="B393" i="10"/>
  <c r="B392" i="10"/>
  <c r="B391" i="10"/>
  <c r="B390" i="10"/>
  <c r="B389" i="10"/>
  <c r="B388" i="10"/>
  <c r="B387" i="10"/>
  <c r="B386" i="10"/>
  <c r="B385" i="10"/>
  <c r="B384" i="10"/>
  <c r="B383" i="10"/>
  <c r="B382" i="10"/>
  <c r="B381" i="10"/>
  <c r="B380" i="10"/>
  <c r="B379" i="10"/>
  <c r="B378" i="10"/>
  <c r="B377" i="10"/>
  <c r="B376" i="10"/>
  <c r="B375" i="10"/>
  <c r="B374" i="10"/>
  <c r="B373" i="10"/>
  <c r="B372" i="10"/>
  <c r="B371" i="10"/>
  <c r="B370" i="10"/>
  <c r="B369" i="10"/>
  <c r="B368" i="10"/>
  <c r="B367" i="10"/>
  <c r="B366" i="10"/>
  <c r="B365" i="10"/>
  <c r="B364" i="10"/>
  <c r="B363" i="10"/>
  <c r="B362" i="10"/>
  <c r="B361" i="10"/>
  <c r="B360" i="10"/>
  <c r="B359" i="10"/>
  <c r="B358" i="10"/>
  <c r="B357" i="10"/>
  <c r="B356" i="10"/>
  <c r="B355" i="10"/>
  <c r="B354" i="10"/>
  <c r="B353" i="10"/>
  <c r="B352" i="10"/>
  <c r="B351" i="10"/>
  <c r="B350" i="10"/>
  <c r="B349" i="10"/>
  <c r="B348" i="10"/>
  <c r="B347" i="10"/>
  <c r="B346" i="10"/>
  <c r="B345" i="10"/>
  <c r="B344" i="10"/>
  <c r="B343" i="10"/>
  <c r="B342" i="10"/>
  <c r="B341" i="10"/>
  <c r="B340" i="10"/>
  <c r="B339" i="10"/>
  <c r="B338" i="10"/>
  <c r="B337" i="10"/>
  <c r="B336" i="10"/>
  <c r="B335" i="10"/>
  <c r="B334" i="10"/>
  <c r="B333" i="10"/>
  <c r="B332" i="10"/>
  <c r="B331" i="10"/>
  <c r="B330" i="10"/>
  <c r="B329" i="10"/>
  <c r="B328" i="10"/>
  <c r="B327" i="10"/>
  <c r="B326" i="10"/>
  <c r="B325" i="10"/>
  <c r="B324" i="10"/>
  <c r="B323" i="10"/>
  <c r="B322" i="10"/>
  <c r="B321" i="10"/>
  <c r="B320" i="10"/>
  <c r="B319" i="10"/>
  <c r="B318" i="10"/>
  <c r="B317" i="10"/>
  <c r="B316" i="10"/>
  <c r="B315" i="10"/>
  <c r="B314" i="10"/>
  <c r="B313" i="10"/>
  <c r="B312" i="10"/>
  <c r="B311" i="10"/>
  <c r="B310" i="10"/>
  <c r="B309" i="10"/>
  <c r="B308" i="10"/>
  <c r="B307" i="10"/>
  <c r="B306" i="10"/>
  <c r="B305" i="10"/>
  <c r="B304" i="10"/>
  <c r="B303" i="10"/>
  <c r="B302" i="10"/>
  <c r="B301" i="10"/>
  <c r="B300" i="10"/>
  <c r="B299" i="10"/>
  <c r="B298" i="10"/>
  <c r="B297" i="10"/>
  <c r="B296" i="10"/>
  <c r="B295" i="10"/>
  <c r="B294" i="10"/>
  <c r="B293" i="10"/>
  <c r="B292" i="10"/>
  <c r="B291" i="10"/>
  <c r="B290" i="10"/>
  <c r="B289" i="10"/>
  <c r="B288" i="10"/>
  <c r="B287" i="10"/>
  <c r="B286" i="10"/>
  <c r="B285" i="10"/>
  <c r="B284" i="10"/>
  <c r="B283" i="10"/>
  <c r="B282" i="10"/>
  <c r="B281" i="10"/>
  <c r="B280" i="10"/>
  <c r="B279" i="10"/>
  <c r="B278" i="10"/>
  <c r="B277" i="10"/>
  <c r="B276" i="10"/>
  <c r="B275" i="10"/>
  <c r="B274" i="10"/>
  <c r="B273" i="10"/>
  <c r="B272" i="10"/>
  <c r="B271" i="10"/>
  <c r="B270" i="10"/>
  <c r="B269" i="10"/>
  <c r="B268" i="10"/>
  <c r="B267" i="10"/>
  <c r="B266" i="10"/>
  <c r="B265" i="10"/>
  <c r="B264" i="10"/>
  <c r="B263" i="10"/>
  <c r="B262" i="10"/>
  <c r="B261" i="10"/>
  <c r="B260" i="10"/>
  <c r="B259" i="10"/>
  <c r="B258" i="10"/>
  <c r="B257" i="10"/>
  <c r="B256" i="10"/>
  <c r="B255" i="10"/>
  <c r="B254" i="10"/>
  <c r="B253" i="10"/>
  <c r="B252" i="10"/>
  <c r="B251" i="10"/>
  <c r="B250" i="10"/>
  <c r="B249" i="10"/>
  <c r="B248" i="10"/>
  <c r="B247" i="10"/>
  <c r="B246" i="10"/>
  <c r="B245" i="10"/>
  <c r="B244" i="10"/>
  <c r="B243" i="10"/>
  <c r="B242" i="10"/>
  <c r="B241" i="10"/>
  <c r="B240" i="10"/>
  <c r="B239" i="10"/>
  <c r="B238" i="10"/>
  <c r="B237" i="10"/>
  <c r="B236" i="10"/>
  <c r="B235" i="10"/>
  <c r="B234" i="10"/>
  <c r="B233" i="10"/>
  <c r="B232" i="10"/>
  <c r="B231" i="10"/>
  <c r="B230" i="10"/>
  <c r="B229" i="10"/>
  <c r="B228" i="10"/>
  <c r="B227" i="10"/>
  <c r="B226" i="10"/>
  <c r="B225" i="10"/>
  <c r="B224" i="10"/>
  <c r="B223" i="10"/>
  <c r="B222" i="10"/>
  <c r="B221" i="10"/>
  <c r="B220" i="10"/>
  <c r="B219" i="10"/>
  <c r="B218" i="10"/>
  <c r="B217" i="10"/>
  <c r="B216" i="10"/>
  <c r="B215" i="10"/>
  <c r="B214" i="10"/>
  <c r="B213" i="10"/>
  <c r="B212" i="10"/>
  <c r="B211" i="10"/>
  <c r="B210" i="10"/>
  <c r="B209" i="10"/>
  <c r="B208" i="10"/>
  <c r="B207" i="10"/>
  <c r="B206" i="10"/>
  <c r="B205" i="10"/>
  <c r="B204" i="10"/>
  <c r="B203" i="10"/>
  <c r="B202" i="10"/>
  <c r="B201" i="10"/>
  <c r="B200" i="10"/>
  <c r="B199" i="10"/>
  <c r="B198" i="10"/>
  <c r="B197" i="10"/>
  <c r="B196" i="10"/>
  <c r="B195" i="10"/>
  <c r="B194" i="10"/>
  <c r="B193" i="10"/>
  <c r="B192" i="10"/>
  <c r="B191" i="10"/>
  <c r="B190" i="10"/>
  <c r="B189" i="10"/>
  <c r="B188" i="10"/>
  <c r="B187" i="10"/>
  <c r="B186" i="10"/>
  <c r="B185" i="10"/>
  <c r="B184" i="10"/>
  <c r="B183" i="10"/>
  <c r="B182" i="10"/>
  <c r="B181" i="10"/>
  <c r="B180" i="10"/>
  <c r="B179" i="10"/>
  <c r="B178" i="10"/>
  <c r="B177" i="10"/>
  <c r="B176" i="10"/>
  <c r="B175" i="10"/>
  <c r="B174" i="10"/>
  <c r="B173" i="10"/>
  <c r="B172" i="10"/>
  <c r="B171" i="10"/>
  <c r="B170" i="10"/>
  <c r="B169" i="10"/>
  <c r="B168" i="10"/>
  <c r="B167" i="10"/>
  <c r="B166" i="10"/>
  <c r="B165" i="10"/>
  <c r="B164" i="10"/>
  <c r="B163" i="10"/>
  <c r="B162" i="10"/>
  <c r="B161" i="10"/>
  <c r="B160" i="10"/>
  <c r="B159" i="10"/>
  <c r="B158" i="10"/>
  <c r="B157" i="10"/>
  <c r="B156" i="10"/>
  <c r="B155" i="10"/>
  <c r="B154" i="10"/>
  <c r="B153" i="10"/>
  <c r="B152" i="10"/>
  <c r="B151" i="10"/>
  <c r="B150" i="10"/>
  <c r="B149" i="10"/>
  <c r="B148" i="10"/>
  <c r="B147" i="10"/>
  <c r="B146" i="10"/>
  <c r="B145" i="10"/>
  <c r="B144" i="10"/>
  <c r="B143" i="10"/>
  <c r="B142" i="10"/>
  <c r="B141" i="10"/>
  <c r="B140" i="10"/>
  <c r="B139" i="10"/>
  <c r="B138" i="10"/>
  <c r="B137" i="10"/>
  <c r="B136" i="10"/>
  <c r="B135" i="10"/>
  <c r="B134" i="10"/>
  <c r="B133" i="10"/>
  <c r="B132" i="10"/>
  <c r="B131" i="10"/>
  <c r="B130" i="10"/>
  <c r="B129" i="10"/>
  <c r="B128" i="10"/>
  <c r="B127" i="10"/>
  <c r="B126" i="10"/>
  <c r="B125" i="10"/>
  <c r="B124" i="10"/>
  <c r="B123" i="10"/>
  <c r="B122" i="10"/>
  <c r="B121" i="10"/>
  <c r="B120" i="10"/>
  <c r="B119" i="10"/>
  <c r="B118" i="10"/>
  <c r="B117" i="10"/>
  <c r="B116" i="10"/>
  <c r="B115" i="10"/>
  <c r="B114" i="10"/>
  <c r="B113" i="10"/>
  <c r="B112" i="10"/>
  <c r="B111" i="10"/>
  <c r="B110" i="10"/>
  <c r="B109" i="10"/>
  <c r="B108" i="10"/>
  <c r="B107" i="10"/>
  <c r="B106" i="10"/>
  <c r="B105" i="10"/>
  <c r="B104" i="10"/>
  <c r="B103" i="10"/>
  <c r="B102" i="10"/>
  <c r="B101" i="10"/>
  <c r="B100" i="10"/>
  <c r="B99" i="10"/>
  <c r="B98" i="10"/>
  <c r="B97" i="10"/>
  <c r="B96" i="10"/>
  <c r="B95" i="10"/>
  <c r="B94" i="10"/>
  <c r="B93" i="10"/>
  <c r="B92" i="10"/>
  <c r="B91" i="10"/>
  <c r="B90" i="10"/>
  <c r="B89" i="10"/>
  <c r="B88" i="10"/>
  <c r="B87" i="10"/>
  <c r="B86" i="10"/>
  <c r="B85" i="10"/>
  <c r="B84" i="10"/>
  <c r="B83" i="10"/>
  <c r="B82" i="10"/>
  <c r="B81" i="10"/>
  <c r="B80" i="10"/>
  <c r="B79" i="10"/>
  <c r="B78" i="10"/>
  <c r="B77" i="10"/>
  <c r="B76" i="10"/>
  <c r="B75" i="10"/>
  <c r="B74" i="10"/>
  <c r="B73" i="10"/>
  <c r="B72" i="10"/>
  <c r="B71" i="10"/>
  <c r="B70" i="10"/>
  <c r="B69" i="10"/>
  <c r="B68" i="10"/>
  <c r="B67" i="10"/>
  <c r="B66" i="10"/>
  <c r="B65" i="10"/>
  <c r="B64" i="10"/>
  <c r="B63" i="10"/>
  <c r="B62" i="10"/>
  <c r="B61" i="10"/>
  <c r="B60" i="10"/>
  <c r="B59" i="10"/>
  <c r="B58" i="10"/>
  <c r="B57" i="10"/>
  <c r="B56" i="10"/>
  <c r="B55" i="10"/>
  <c r="B54" i="10"/>
  <c r="B53" i="10"/>
  <c r="B52" i="10"/>
  <c r="B51" i="10"/>
  <c r="B50" i="10"/>
  <c r="B49" i="10"/>
  <c r="B48" i="10"/>
  <c r="B47" i="10"/>
  <c r="B46" i="10"/>
  <c r="B45" i="10"/>
  <c r="B44" i="10"/>
  <c r="B43" i="10"/>
  <c r="B42" i="10"/>
  <c r="B41" i="10"/>
  <c r="B40" i="10"/>
  <c r="B39" i="10"/>
  <c r="B38" i="10"/>
  <c r="B37" i="10"/>
  <c r="B36" i="10"/>
  <c r="B35" i="10"/>
  <c r="B34" i="10"/>
  <c r="B33" i="10"/>
  <c r="B32" i="10"/>
  <c r="B31" i="10"/>
  <c r="B30" i="10"/>
  <c r="B29" i="10"/>
  <c r="B28" i="10"/>
  <c r="B27" i="10"/>
  <c r="B26" i="10"/>
  <c r="B25" i="10"/>
  <c r="B24" i="10"/>
  <c r="B23" i="10"/>
  <c r="B22" i="10"/>
  <c r="B21" i="10"/>
  <c r="B20" i="10"/>
  <c r="B19" i="10"/>
  <c r="B18" i="10"/>
  <c r="B17" i="10"/>
  <c r="B16" i="10"/>
  <c r="B15" i="10"/>
  <c r="B14" i="10"/>
  <c r="B13" i="10"/>
  <c r="B12" i="10"/>
  <c r="B11" i="10"/>
  <c r="B10" i="10"/>
  <c r="B9" i="10"/>
  <c r="B8" i="10"/>
  <c r="B7" i="10"/>
  <c r="B6" i="10"/>
  <c r="B5" i="10"/>
  <c r="B4" i="10"/>
  <c r="B3" i="10"/>
  <c r="B2" i="10"/>
  <c r="A336" i="10"/>
  <c r="A337" i="10"/>
  <c r="A338" i="10"/>
  <c r="A339" i="10"/>
  <c r="A340" i="10"/>
  <c r="A341" i="10"/>
  <c r="A342" i="10"/>
  <c r="A343" i="10"/>
  <c r="A344" i="10"/>
  <c r="A345" i="10"/>
  <c r="A346" i="10"/>
  <c r="A347" i="10"/>
  <c r="A348" i="10"/>
  <c r="A349" i="10"/>
  <c r="A350" i="10"/>
  <c r="A351" i="10"/>
  <c r="A352" i="10"/>
  <c r="A353" i="10"/>
  <c r="A354" i="10"/>
  <c r="A355" i="10"/>
  <c r="A356" i="10"/>
  <c r="A357" i="10"/>
  <c r="A358" i="10"/>
  <c r="A359" i="10"/>
  <c r="A360" i="10"/>
  <c r="A361" i="10"/>
  <c r="A362" i="10"/>
  <c r="A363" i="10"/>
  <c r="A364" i="10"/>
  <c r="A365" i="10"/>
  <c r="A366" i="10"/>
  <c r="A367" i="10"/>
  <c r="A368" i="10"/>
  <c r="A369" i="10"/>
  <c r="A370" i="10"/>
  <c r="A371" i="10"/>
  <c r="A372" i="10"/>
  <c r="A373" i="10"/>
  <c r="A374" i="10"/>
  <c r="A375" i="10"/>
  <c r="A376" i="10"/>
  <c r="A377" i="10"/>
  <c r="A378" i="10"/>
  <c r="A379" i="10"/>
  <c r="A380" i="10"/>
  <c r="A381" i="10"/>
  <c r="A382" i="10"/>
  <c r="A383" i="10"/>
  <c r="A384" i="10"/>
  <c r="A385" i="10"/>
  <c r="A386" i="10"/>
  <c r="A387" i="10"/>
  <c r="A388" i="10"/>
  <c r="A389" i="10"/>
  <c r="A390" i="10"/>
  <c r="A391" i="10"/>
  <c r="A392" i="10"/>
  <c r="A393" i="10"/>
  <c r="A394" i="10"/>
  <c r="A395" i="10"/>
  <c r="A396" i="10"/>
  <c r="A397" i="10"/>
  <c r="A398" i="10"/>
  <c r="A399" i="10"/>
  <c r="A400" i="10"/>
  <c r="A401" i="10"/>
  <c r="A402" i="10"/>
  <c r="A403" i="10"/>
  <c r="A404" i="10"/>
  <c r="A405" i="10"/>
  <c r="A406" i="10"/>
  <c r="A407" i="10"/>
  <c r="A408" i="10"/>
  <c r="A409" i="10"/>
  <c r="A410" i="10"/>
  <c r="A411" i="10"/>
  <c r="A412" i="10"/>
  <c r="A413" i="10"/>
  <c r="A414" i="10"/>
  <c r="A415" i="10"/>
  <c r="A416" i="10"/>
  <c r="A417" i="10"/>
  <c r="A418" i="10"/>
  <c r="A419" i="10"/>
  <c r="A420" i="10"/>
  <c r="A421" i="10"/>
  <c r="A422" i="10"/>
  <c r="A423" i="10"/>
  <c r="A424" i="10"/>
  <c r="A425" i="10"/>
  <c r="A426" i="10"/>
  <c r="A427" i="10"/>
  <c r="A428" i="10"/>
  <c r="A429" i="10"/>
  <c r="A430" i="10"/>
  <c r="A431" i="10"/>
  <c r="A432" i="10"/>
  <c r="A433" i="10"/>
  <c r="A434" i="10"/>
  <c r="A435" i="10"/>
  <c r="A436" i="10"/>
  <c r="A437" i="10"/>
  <c r="A438" i="10"/>
  <c r="A439" i="10"/>
  <c r="A440" i="10"/>
  <c r="A441" i="10"/>
  <c r="A442" i="10"/>
  <c r="A443" i="10"/>
  <c r="A444" i="10"/>
  <c r="A445" i="10"/>
  <c r="A446" i="10"/>
  <c r="A447" i="10"/>
  <c r="A448" i="10"/>
  <c r="A449" i="10"/>
  <c r="A450" i="10"/>
  <c r="A451" i="10"/>
  <c r="A452" i="10"/>
  <c r="A453" i="10"/>
  <c r="A454" i="10"/>
  <c r="A455" i="10"/>
  <c r="A456" i="10"/>
  <c r="A457" i="10"/>
  <c r="A458" i="10"/>
  <c r="A459" i="10"/>
  <c r="A460" i="10"/>
  <c r="A461" i="10"/>
  <c r="A462" i="10"/>
  <c r="A463" i="10"/>
  <c r="A464" i="10"/>
  <c r="A465" i="10"/>
  <c r="A466" i="10"/>
  <c r="A467" i="10"/>
  <c r="A468" i="10"/>
  <c r="A469" i="10"/>
  <c r="A470" i="10"/>
  <c r="A471" i="10"/>
  <c r="A472" i="10"/>
  <c r="A473" i="10"/>
  <c r="A474" i="10"/>
  <c r="A475" i="10"/>
  <c r="A476" i="10"/>
  <c r="A477" i="10"/>
  <c r="A478" i="10"/>
  <c r="A479" i="10"/>
  <c r="A480" i="10"/>
  <c r="A481" i="10"/>
  <c r="A482" i="10"/>
  <c r="A483" i="10"/>
  <c r="A484" i="10"/>
  <c r="A485" i="10"/>
  <c r="A486" i="10"/>
  <c r="A487" i="10"/>
  <c r="A488" i="10"/>
  <c r="A489" i="10"/>
  <c r="A490" i="10"/>
  <c r="A491" i="10"/>
  <c r="A492" i="10"/>
  <c r="A493" i="10"/>
  <c r="A494" i="10"/>
  <c r="A495" i="10"/>
  <c r="A496" i="10"/>
  <c r="A497" i="10"/>
  <c r="A498" i="10"/>
  <c r="A499" i="10"/>
  <c r="A500" i="10"/>
  <c r="A501" i="10"/>
  <c r="A502" i="10"/>
  <c r="A503" i="10"/>
  <c r="A504" i="10"/>
  <c r="A505" i="10"/>
  <c r="A506" i="10"/>
  <c r="A507" i="10"/>
  <c r="A508" i="10"/>
  <c r="A509" i="10"/>
  <c r="A510" i="10"/>
  <c r="A511" i="10"/>
  <c r="A512" i="10"/>
  <c r="A513" i="10"/>
  <c r="A514" i="10"/>
  <c r="A515" i="10"/>
  <c r="A516" i="10"/>
  <c r="A517" i="10"/>
  <c r="A518" i="10"/>
  <c r="A519" i="10"/>
  <c r="A520" i="10"/>
  <c r="A521" i="10"/>
  <c r="A522" i="10"/>
  <c r="A523" i="10"/>
  <c r="A524" i="10"/>
  <c r="A525" i="10"/>
  <c r="A526" i="10"/>
  <c r="A527" i="10"/>
  <c r="A528" i="10"/>
  <c r="A529" i="10"/>
  <c r="A530" i="10"/>
  <c r="A531" i="10"/>
  <c r="A532" i="10"/>
  <c r="A533" i="10"/>
  <c r="A534" i="10"/>
  <c r="A535" i="10"/>
  <c r="A536" i="10"/>
  <c r="A537" i="10"/>
  <c r="A538" i="10"/>
  <c r="A539" i="10"/>
  <c r="A540" i="10"/>
  <c r="A541" i="10"/>
  <c r="A542" i="10"/>
  <c r="A543" i="10"/>
  <c r="A544" i="10"/>
  <c r="A545" i="10"/>
  <c r="A546" i="10"/>
  <c r="A547" i="10"/>
  <c r="A548" i="10"/>
  <c r="A549" i="10"/>
  <c r="A550" i="10"/>
  <c r="A551" i="10"/>
  <c r="A552" i="10"/>
  <c r="A553" i="10"/>
  <c r="A554" i="10"/>
  <c r="A555" i="10"/>
  <c r="A556" i="10"/>
  <c r="A557" i="10"/>
  <c r="A558" i="10"/>
  <c r="A559" i="10"/>
  <c r="A560" i="10"/>
  <c r="A561" i="10"/>
  <c r="A562" i="10"/>
  <c r="A563" i="10"/>
  <c r="A564" i="10"/>
  <c r="A565" i="10"/>
  <c r="A566" i="10"/>
  <c r="A567" i="10"/>
  <c r="A568" i="10"/>
  <c r="A569" i="10"/>
  <c r="A570" i="10"/>
  <c r="A571" i="10"/>
  <c r="A572" i="10"/>
  <c r="A573" i="10"/>
  <c r="A574" i="10"/>
  <c r="A575" i="10"/>
  <c r="A576" i="10"/>
  <c r="A577" i="10"/>
  <c r="A578" i="10"/>
  <c r="A579" i="10"/>
  <c r="A580" i="10"/>
  <c r="A581" i="10"/>
  <c r="A582" i="10"/>
  <c r="A583" i="10"/>
  <c r="A584" i="10"/>
  <c r="A585" i="10"/>
  <c r="A586" i="10"/>
  <c r="A587" i="10"/>
  <c r="A588" i="10"/>
  <c r="A589" i="10"/>
  <c r="A590" i="10"/>
  <c r="A591" i="10"/>
  <c r="A592" i="10"/>
  <c r="A593" i="10"/>
  <c r="A594" i="10"/>
  <c r="A595" i="10"/>
  <c r="A596" i="10"/>
  <c r="A597" i="10"/>
  <c r="A598" i="10"/>
  <c r="A599" i="10"/>
  <c r="A600" i="10"/>
  <c r="A601" i="10"/>
  <c r="A602" i="10"/>
  <c r="A603" i="10"/>
  <c r="A604" i="10"/>
  <c r="A605" i="10"/>
  <c r="A606" i="10"/>
  <c r="A607" i="10"/>
  <c r="A608" i="10"/>
  <c r="A609" i="10"/>
  <c r="A610" i="10"/>
  <c r="A611" i="10"/>
  <c r="A612" i="10"/>
  <c r="A613" i="10"/>
  <c r="A614" i="10"/>
  <c r="A615" i="10"/>
  <c r="A616" i="10"/>
  <c r="A617" i="10"/>
  <c r="A618" i="10"/>
  <c r="A619" i="10"/>
  <c r="A620" i="10"/>
  <c r="A621" i="10"/>
  <c r="A622" i="10"/>
  <c r="A623" i="10"/>
  <c r="A624" i="10"/>
  <c r="A625" i="10"/>
  <c r="A626" i="10"/>
  <c r="A627" i="10"/>
  <c r="A628" i="10"/>
  <c r="A629" i="10"/>
  <c r="A630" i="10"/>
  <c r="A631" i="10"/>
  <c r="A632" i="10"/>
  <c r="A633" i="10"/>
  <c r="A634" i="10"/>
  <c r="A635" i="10"/>
  <c r="A636" i="10"/>
  <c r="A637" i="10"/>
  <c r="A638" i="10"/>
  <c r="A639" i="10"/>
  <c r="A640" i="10"/>
  <c r="A641" i="10"/>
  <c r="A642" i="10"/>
  <c r="A643" i="10"/>
  <c r="A644" i="10"/>
  <c r="A645" i="10"/>
  <c r="A646" i="10"/>
  <c r="A647" i="10"/>
  <c r="A648" i="10"/>
  <c r="A649" i="10"/>
  <c r="A650" i="10"/>
  <c r="A651" i="10"/>
  <c r="A652" i="10"/>
  <c r="A653" i="10"/>
  <c r="A654" i="10"/>
  <c r="A655" i="10"/>
  <c r="A656" i="10"/>
  <c r="A657" i="10"/>
  <c r="A658" i="10"/>
  <c r="A659" i="10"/>
  <c r="A660" i="10"/>
  <c r="A661" i="10"/>
  <c r="A662" i="10"/>
  <c r="A663" i="10"/>
  <c r="A664" i="10"/>
  <c r="A665" i="10"/>
  <c r="A666" i="10"/>
  <c r="A667" i="10"/>
  <c r="A668" i="10"/>
  <c r="A669" i="10"/>
  <c r="A670" i="10"/>
  <c r="A671" i="10"/>
  <c r="A672" i="10"/>
  <c r="A673" i="10"/>
  <c r="A674" i="10"/>
  <c r="A675" i="10"/>
  <c r="A676" i="10"/>
  <c r="A677" i="10"/>
  <c r="A678" i="10"/>
  <c r="A679" i="10"/>
  <c r="A680" i="10"/>
  <c r="A681" i="10"/>
  <c r="A682" i="10"/>
  <c r="A683" i="10"/>
  <c r="A684" i="10"/>
  <c r="A685" i="10"/>
  <c r="A686" i="10"/>
  <c r="A687" i="10"/>
  <c r="A688" i="10"/>
  <c r="A689" i="10"/>
  <c r="A690" i="10"/>
  <c r="A691" i="10"/>
  <c r="A692" i="10"/>
  <c r="A693" i="10"/>
  <c r="A694" i="10"/>
  <c r="A695" i="10"/>
  <c r="A696" i="10"/>
  <c r="A697" i="10"/>
  <c r="A698" i="10"/>
  <c r="A699" i="10"/>
  <c r="A700" i="10"/>
  <c r="A701" i="10"/>
  <c r="A702" i="10"/>
  <c r="A703" i="10"/>
  <c r="A704" i="10"/>
  <c r="A705" i="10"/>
  <c r="A706" i="10"/>
  <c r="A707" i="10"/>
  <c r="A708" i="10"/>
  <c r="A709" i="10"/>
  <c r="A710" i="10"/>
  <c r="A711" i="10"/>
  <c r="A712" i="10"/>
  <c r="A713" i="10"/>
  <c r="A714" i="10"/>
  <c r="A715" i="10"/>
  <c r="A716" i="10"/>
  <c r="A717" i="10"/>
  <c r="A718" i="10"/>
  <c r="A719" i="10"/>
  <c r="A720" i="10"/>
  <c r="A721" i="10"/>
  <c r="A722" i="10"/>
  <c r="A723" i="10"/>
  <c r="A724" i="10"/>
  <c r="A725" i="10"/>
  <c r="A726" i="10"/>
  <c r="A727" i="10"/>
  <c r="A728" i="10"/>
  <c r="A729" i="10"/>
  <c r="A730" i="10"/>
  <c r="A731" i="10"/>
  <c r="A732" i="10"/>
  <c r="A733" i="10"/>
  <c r="A734" i="10"/>
  <c r="A735" i="10"/>
  <c r="A736" i="10"/>
  <c r="A737" i="10"/>
  <c r="A738" i="10"/>
  <c r="A739" i="10"/>
  <c r="A740" i="10"/>
  <c r="A741" i="10"/>
  <c r="A742" i="10"/>
  <c r="A743" i="10"/>
  <c r="A744" i="10"/>
  <c r="A745" i="10"/>
  <c r="A746" i="10"/>
  <c r="A747" i="10"/>
  <c r="A748" i="10"/>
  <c r="A749" i="10"/>
  <c r="A750" i="10"/>
  <c r="A751" i="10"/>
  <c r="A752" i="10"/>
  <c r="A753" i="10"/>
  <c r="A754" i="10"/>
  <c r="A755" i="10"/>
  <c r="A756" i="10"/>
  <c r="A757" i="10"/>
  <c r="A758" i="10"/>
  <c r="A759" i="10"/>
  <c r="A760" i="10"/>
  <c r="A761" i="10"/>
  <c r="A762" i="10"/>
  <c r="A763" i="10"/>
  <c r="A764" i="10"/>
  <c r="A765" i="10"/>
  <c r="A766" i="10"/>
  <c r="A767" i="10"/>
  <c r="A768" i="10"/>
  <c r="A769" i="10"/>
  <c r="A770" i="10"/>
  <c r="A771" i="10"/>
  <c r="A772" i="10"/>
  <c r="A773" i="10"/>
  <c r="A774" i="10"/>
  <c r="A775" i="10"/>
  <c r="A776" i="10"/>
  <c r="A777" i="10"/>
  <c r="A778" i="10"/>
  <c r="A779" i="10"/>
  <c r="A780" i="10"/>
  <c r="A781" i="10"/>
  <c r="A782" i="10"/>
  <c r="A783" i="10"/>
  <c r="A784" i="10"/>
  <c r="A785" i="10"/>
  <c r="A786" i="10"/>
  <c r="A787" i="10"/>
  <c r="A788" i="10"/>
  <c r="A789" i="10"/>
  <c r="A790" i="10"/>
  <c r="A791" i="10"/>
  <c r="A792" i="10"/>
  <c r="A793" i="10"/>
  <c r="A794" i="10"/>
  <c r="A795" i="10"/>
  <c r="A796" i="10"/>
  <c r="A797" i="10"/>
  <c r="A798" i="10"/>
  <c r="A799" i="10"/>
  <c r="A800" i="10"/>
  <c r="A801" i="10"/>
  <c r="A802" i="10"/>
  <c r="A803" i="10"/>
  <c r="A804" i="10"/>
  <c r="A805" i="10"/>
  <c r="A806" i="10"/>
  <c r="A807" i="10"/>
  <c r="A808" i="10"/>
  <c r="A809" i="10"/>
  <c r="A810" i="10"/>
  <c r="A811" i="10"/>
  <c r="A812" i="10"/>
  <c r="A813" i="10"/>
  <c r="A814" i="10"/>
  <c r="A815" i="10"/>
  <c r="A816" i="10"/>
  <c r="A817" i="10"/>
  <c r="A818" i="10"/>
  <c r="A819" i="10"/>
  <c r="A820" i="10"/>
  <c r="A821" i="10"/>
  <c r="A822" i="10"/>
  <c r="A823" i="10"/>
  <c r="A824" i="10"/>
  <c r="A825" i="10"/>
  <c r="A826" i="10"/>
  <c r="A827" i="10"/>
  <c r="A828" i="10"/>
  <c r="A829" i="10"/>
  <c r="A830" i="10"/>
  <c r="A831" i="10"/>
  <c r="A832" i="10"/>
  <c r="A833" i="10"/>
  <c r="A834" i="10"/>
  <c r="A835" i="10"/>
  <c r="A836" i="10"/>
  <c r="A837" i="10"/>
  <c r="A838" i="10"/>
  <c r="A839" i="10"/>
  <c r="A840" i="10"/>
  <c r="A841" i="10"/>
  <c r="A842" i="10"/>
  <c r="A843" i="10"/>
  <c r="A844" i="10"/>
  <c r="A845" i="10"/>
  <c r="A846" i="10"/>
  <c r="A847" i="10"/>
  <c r="A848" i="10"/>
  <c r="A849" i="10"/>
  <c r="A850" i="10"/>
  <c r="A851" i="10"/>
  <c r="A852" i="10"/>
  <c r="A853" i="10"/>
  <c r="A854" i="10"/>
  <c r="A855" i="10"/>
  <c r="A856" i="10"/>
  <c r="A857" i="10"/>
  <c r="A858" i="10"/>
  <c r="A859" i="10"/>
  <c r="A860" i="10"/>
  <c r="A861" i="10"/>
  <c r="A862" i="10"/>
  <c r="A863" i="10"/>
  <c r="A864" i="10"/>
  <c r="A865" i="10"/>
  <c r="A866" i="10"/>
  <c r="A867" i="10"/>
  <c r="A868" i="10"/>
  <c r="A869" i="10"/>
  <c r="A870" i="10"/>
  <c r="A871" i="10"/>
  <c r="A872" i="10"/>
  <c r="A873" i="10"/>
  <c r="A874" i="10"/>
  <c r="A875" i="10"/>
  <c r="A876" i="10"/>
  <c r="A877" i="10"/>
  <c r="A878" i="10"/>
  <c r="A879" i="10"/>
  <c r="A880" i="10"/>
  <c r="A881" i="10"/>
  <c r="A882" i="10"/>
  <c r="A883" i="10"/>
  <c r="A884" i="10"/>
  <c r="A885" i="10"/>
  <c r="A886" i="10"/>
  <c r="A887" i="10"/>
  <c r="A888" i="10"/>
  <c r="A889" i="10"/>
  <c r="A890" i="10"/>
  <c r="A891" i="10"/>
  <c r="A892" i="10"/>
  <c r="A893" i="10"/>
  <c r="A894" i="10"/>
  <c r="A895" i="10"/>
  <c r="A896" i="10"/>
  <c r="A897" i="10"/>
  <c r="A898" i="10"/>
  <c r="A899" i="10"/>
  <c r="A900" i="10"/>
  <c r="A901" i="10"/>
  <c r="A902" i="10"/>
  <c r="A903" i="10"/>
  <c r="A904" i="10"/>
  <c r="A905" i="10"/>
  <c r="A906" i="10"/>
  <c r="A907" i="10"/>
  <c r="A908" i="10"/>
  <c r="A909" i="10"/>
  <c r="A910" i="10"/>
  <c r="A911" i="10"/>
  <c r="A912" i="10"/>
  <c r="A913" i="10"/>
  <c r="A914" i="10"/>
  <c r="A915" i="10"/>
  <c r="A916" i="10"/>
  <c r="A917" i="10"/>
  <c r="A918" i="10"/>
  <c r="A919" i="10"/>
  <c r="A920" i="10"/>
  <c r="A921" i="10"/>
  <c r="A922" i="10"/>
  <c r="A923" i="10"/>
  <c r="A924" i="10"/>
  <c r="A925" i="10"/>
  <c r="A926" i="10"/>
  <c r="A927" i="10"/>
  <c r="A928" i="10"/>
  <c r="A929" i="10"/>
  <c r="A930" i="10"/>
  <c r="A931" i="10"/>
  <c r="A932" i="10"/>
  <c r="A933" i="10"/>
  <c r="A934" i="10"/>
  <c r="A935" i="10"/>
  <c r="A936" i="10"/>
  <c r="A937" i="10"/>
  <c r="A938" i="10"/>
  <c r="A939" i="10"/>
  <c r="A940" i="10"/>
  <c r="A941" i="10"/>
  <c r="A942" i="10"/>
  <c r="A943" i="10"/>
  <c r="A944" i="10"/>
  <c r="A945" i="10"/>
  <c r="A946" i="10"/>
  <c r="A947" i="10"/>
  <c r="A948" i="10"/>
  <c r="A949" i="10"/>
  <c r="A950" i="10"/>
  <c r="A951" i="10"/>
  <c r="A952" i="10"/>
  <c r="A953" i="10"/>
  <c r="A954" i="10"/>
  <c r="A955" i="10"/>
  <c r="A956" i="10"/>
  <c r="A957" i="10"/>
  <c r="A958" i="10"/>
  <c r="A959" i="10"/>
  <c r="A960" i="10"/>
  <c r="A961" i="10"/>
  <c r="A962" i="10"/>
  <c r="A963" i="10"/>
  <c r="A964" i="10"/>
  <c r="A965" i="10"/>
  <c r="A966" i="10"/>
  <c r="A967" i="10"/>
  <c r="A968" i="10"/>
  <c r="A969" i="10"/>
  <c r="A970" i="10"/>
  <c r="A971" i="10"/>
  <c r="A972" i="10"/>
  <c r="A973" i="10"/>
  <c r="A974" i="10"/>
  <c r="A975" i="10"/>
  <c r="A976" i="10"/>
  <c r="A977" i="10"/>
  <c r="A978" i="10"/>
  <c r="A979" i="10"/>
  <c r="A980" i="10"/>
  <c r="A981" i="10"/>
  <c r="A982" i="10"/>
  <c r="A983" i="10"/>
  <c r="A984" i="10"/>
  <c r="A985" i="10"/>
  <c r="A986" i="10"/>
  <c r="A987" i="10"/>
  <c r="A988" i="10"/>
  <c r="A989" i="10"/>
  <c r="A990" i="10"/>
  <c r="A991" i="10"/>
  <c r="A992" i="10"/>
  <c r="A993" i="10"/>
  <c r="A994" i="10"/>
  <c r="A995" i="10"/>
  <c r="A996" i="10"/>
  <c r="A997" i="10"/>
  <c r="A998" i="10"/>
  <c r="A999" i="10"/>
  <c r="A1000" i="10"/>
  <c r="A1001" i="10"/>
  <c r="A1002" i="10"/>
  <c r="A1003" i="10"/>
  <c r="A1004" i="10"/>
  <c r="A1005" i="10"/>
  <c r="A1006" i="10"/>
  <c r="A1007" i="10"/>
  <c r="A1008" i="10"/>
  <c r="A1009" i="10"/>
  <c r="A1010" i="10"/>
  <c r="A1011" i="10"/>
  <c r="A1012" i="10"/>
  <c r="A1013" i="10"/>
  <c r="A1014" i="10"/>
  <c r="A1015" i="10"/>
  <c r="A1016" i="10"/>
  <c r="A1017" i="10"/>
  <c r="A1018" i="10"/>
  <c r="A1019" i="10"/>
  <c r="A1020" i="10"/>
  <c r="A1021" i="10"/>
  <c r="A1022" i="10"/>
  <c r="A1023" i="10"/>
  <c r="A1024" i="10"/>
  <c r="A1025" i="10"/>
  <c r="A1026" i="10"/>
  <c r="A1027" i="10"/>
  <c r="A1028" i="10"/>
  <c r="A1029" i="10"/>
  <c r="A1030" i="10"/>
  <c r="A1031" i="10"/>
  <c r="A1032" i="10"/>
  <c r="A1033" i="10"/>
  <c r="A1034" i="10"/>
  <c r="A1035" i="10"/>
  <c r="A1036" i="10"/>
  <c r="A1037" i="10"/>
  <c r="A1038" i="10"/>
  <c r="A1039" i="10"/>
  <c r="A1040" i="10"/>
  <c r="A1041" i="10"/>
  <c r="A1042" i="10"/>
  <c r="A1043" i="10"/>
  <c r="A1044" i="10"/>
  <c r="A1045" i="10"/>
  <c r="A1046" i="10"/>
  <c r="A1047" i="10"/>
  <c r="A1048" i="10"/>
  <c r="A1049" i="10"/>
  <c r="A1050" i="10"/>
  <c r="A1051" i="10"/>
  <c r="A1052" i="10"/>
  <c r="A1053" i="10"/>
  <c r="A1054" i="10"/>
  <c r="A1055" i="10"/>
  <c r="A1056" i="10"/>
  <c r="A1057" i="10"/>
  <c r="A1058" i="10"/>
  <c r="A1059" i="10"/>
  <c r="A1060" i="10"/>
  <c r="A1061" i="10"/>
  <c r="A1062" i="10"/>
  <c r="A1063" i="10"/>
  <c r="A1064" i="10"/>
  <c r="A1065" i="10"/>
  <c r="A1066" i="10"/>
  <c r="A1067" i="10"/>
  <c r="A1068" i="10"/>
  <c r="A1069" i="10"/>
  <c r="A1070" i="10"/>
  <c r="A1071" i="10"/>
  <c r="A1072" i="10"/>
  <c r="A1073" i="10"/>
  <c r="A1074" i="10"/>
  <c r="A1075" i="10"/>
  <c r="A1076" i="10"/>
  <c r="A1077" i="10"/>
  <c r="A1078" i="10"/>
  <c r="A1079" i="10"/>
  <c r="A1080" i="10"/>
  <c r="A1081" i="10"/>
  <c r="A1082" i="10"/>
  <c r="A1083" i="10"/>
  <c r="A1084" i="10"/>
  <c r="A1085" i="10"/>
  <c r="A1086" i="10"/>
  <c r="A1087" i="10"/>
  <c r="A1088" i="10"/>
  <c r="A1089" i="10"/>
  <c r="A1090" i="10"/>
  <c r="A1091" i="10"/>
  <c r="A1092" i="10"/>
  <c r="A1093" i="10"/>
  <c r="A1094" i="10"/>
  <c r="A1095" i="10"/>
  <c r="A1096" i="10"/>
  <c r="A1097" i="10"/>
  <c r="A1098" i="10"/>
  <c r="A1099" i="10"/>
  <c r="A1100" i="10"/>
  <c r="A1101" i="10"/>
  <c r="A1102" i="10"/>
  <c r="A1103" i="10"/>
  <c r="A1104" i="10"/>
  <c r="A1105" i="10"/>
  <c r="A1106" i="10"/>
  <c r="A1107" i="10"/>
  <c r="A1108" i="10"/>
  <c r="A1109" i="10"/>
  <c r="A1110" i="10"/>
  <c r="A1111" i="10"/>
  <c r="A1112" i="10"/>
  <c r="A1113" i="10"/>
  <c r="A1114" i="10"/>
  <c r="A1115" i="10"/>
  <c r="A1116" i="10"/>
  <c r="A1117" i="10"/>
  <c r="A1118" i="10"/>
  <c r="A1119" i="10"/>
  <c r="A1120" i="10"/>
  <c r="A1121" i="10"/>
  <c r="A1122" i="10"/>
  <c r="A1123" i="10"/>
  <c r="A1124" i="10"/>
  <c r="A1125" i="10"/>
  <c r="A1126" i="10"/>
  <c r="A1127" i="10"/>
  <c r="A1128" i="10"/>
  <c r="A1129" i="10"/>
  <c r="A1130" i="10"/>
  <c r="A1131" i="10"/>
  <c r="A1132" i="10"/>
  <c r="A1133" i="10"/>
  <c r="A1134" i="10"/>
  <c r="A1135" i="10"/>
  <c r="A1136" i="10"/>
  <c r="A1137" i="10"/>
  <c r="A1138" i="10"/>
  <c r="A1139" i="10"/>
  <c r="A1140" i="10"/>
  <c r="A1141" i="10"/>
  <c r="A1142" i="10"/>
  <c r="A1143" i="10"/>
  <c r="A1144" i="10"/>
  <c r="A1145" i="10"/>
  <c r="A1146" i="10"/>
  <c r="A1147" i="10"/>
  <c r="A1148" i="10"/>
  <c r="A1149" i="10"/>
  <c r="A1150" i="10"/>
  <c r="A1151" i="10"/>
  <c r="A1152" i="10"/>
  <c r="A1153" i="10"/>
  <c r="A1154" i="10"/>
  <c r="A1155" i="10"/>
  <c r="A1156" i="10"/>
  <c r="A1157" i="10"/>
  <c r="A1158" i="10"/>
  <c r="A1159" i="10"/>
  <c r="A1160" i="10"/>
  <c r="A1161" i="10"/>
  <c r="A1162" i="10"/>
  <c r="A1163" i="10"/>
  <c r="A1164" i="10"/>
  <c r="A1165" i="10"/>
  <c r="A1166" i="10"/>
  <c r="A1167" i="10"/>
  <c r="A1168" i="10"/>
  <c r="A1169" i="10"/>
  <c r="A1170" i="10"/>
  <c r="A1171" i="10"/>
  <c r="A1172" i="10"/>
  <c r="A1173" i="10"/>
  <c r="A1174" i="10"/>
  <c r="A1175" i="10"/>
  <c r="A1176" i="10"/>
  <c r="A1177" i="10"/>
  <c r="A1178" i="10"/>
  <c r="A1179" i="10"/>
  <c r="A1180" i="10"/>
  <c r="A1181" i="10"/>
  <c r="A1182" i="10"/>
  <c r="A1183" i="10"/>
  <c r="A1184" i="10"/>
  <c r="A1185" i="10"/>
  <c r="A1186" i="10"/>
  <c r="A1187" i="10"/>
  <c r="A1188" i="10"/>
  <c r="A1189" i="10"/>
  <c r="A1190" i="10"/>
  <c r="A1191" i="10"/>
  <c r="A1192" i="10"/>
  <c r="A1193" i="10"/>
  <c r="A1194" i="10"/>
  <c r="A1195" i="10"/>
  <c r="A1196" i="10"/>
  <c r="A1197" i="10"/>
  <c r="A1198" i="10"/>
  <c r="A1199" i="10"/>
  <c r="A1200" i="10"/>
  <c r="A1201" i="10"/>
  <c r="A1202" i="10"/>
  <c r="A1203" i="10"/>
  <c r="A1204" i="10"/>
  <c r="A1205" i="10"/>
  <c r="A1206" i="10"/>
  <c r="A1207" i="10"/>
  <c r="A1208" i="10"/>
  <c r="A1209" i="10"/>
  <c r="A1210" i="10"/>
  <c r="A1211" i="10"/>
  <c r="A1212" i="10"/>
  <c r="A1213" i="10"/>
  <c r="A1214" i="10"/>
  <c r="A1215" i="10"/>
  <c r="A1216" i="10"/>
  <c r="A1217" i="10"/>
  <c r="A1218" i="10"/>
  <c r="A1219" i="10"/>
  <c r="A1220" i="10"/>
  <c r="A1221" i="10"/>
  <c r="A1222" i="10"/>
  <c r="A1223" i="10"/>
  <c r="A1224" i="10"/>
  <c r="A1225" i="10"/>
  <c r="A1226" i="10"/>
  <c r="A1227" i="10"/>
  <c r="A1228" i="10"/>
  <c r="A1229" i="10"/>
  <c r="A1230" i="10"/>
  <c r="A1231" i="10"/>
  <c r="A1232" i="10"/>
  <c r="A1233" i="10"/>
  <c r="A1234" i="10"/>
  <c r="A1235" i="10"/>
  <c r="A1236" i="10"/>
  <c r="A1237" i="10"/>
  <c r="A1238" i="10"/>
  <c r="A1239" i="10"/>
  <c r="A1240" i="10"/>
  <c r="A1241" i="10"/>
  <c r="A1242" i="10"/>
  <c r="A1243" i="10"/>
  <c r="A1244" i="10"/>
  <c r="A1245" i="10"/>
  <c r="A1246" i="10"/>
  <c r="A1247" i="10"/>
  <c r="A1248" i="10"/>
  <c r="A1249" i="10"/>
  <c r="A1250" i="10"/>
  <c r="A1251" i="10"/>
  <c r="A1252" i="10"/>
  <c r="A1253" i="10"/>
  <c r="A1254" i="10"/>
  <c r="A1255" i="10"/>
  <c r="A1256" i="10"/>
  <c r="A1257" i="10"/>
  <c r="A1258" i="10"/>
  <c r="A1259" i="10"/>
  <c r="A1260" i="10"/>
  <c r="A1261" i="10"/>
  <c r="A1262" i="10"/>
  <c r="A1263" i="10"/>
  <c r="A1264" i="10"/>
  <c r="A1265" i="10"/>
  <c r="A1266" i="10"/>
  <c r="A1267" i="10"/>
  <c r="A1268" i="10"/>
  <c r="A1269" i="10"/>
  <c r="A1270" i="10"/>
  <c r="A1271" i="10"/>
  <c r="A1272" i="10"/>
  <c r="A1273" i="10"/>
  <c r="A1274" i="10"/>
  <c r="A1275" i="10"/>
  <c r="A1276" i="10"/>
  <c r="A1277" i="10"/>
  <c r="A1278" i="10"/>
  <c r="A1279" i="10"/>
  <c r="A1280" i="10"/>
  <c r="A1281" i="10"/>
  <c r="A1282" i="10"/>
  <c r="A1283" i="10"/>
  <c r="A1284" i="10"/>
  <c r="A1285" i="10"/>
  <c r="A1286" i="10"/>
  <c r="A1287" i="10"/>
  <c r="A1288" i="10"/>
  <c r="A1289" i="10"/>
  <c r="A1290" i="10"/>
  <c r="A1291" i="10"/>
  <c r="A1292" i="10"/>
  <c r="A1293" i="10"/>
  <c r="A1294" i="10"/>
  <c r="A1295" i="10"/>
  <c r="A1296" i="10"/>
  <c r="A1297" i="10"/>
  <c r="A1298" i="10"/>
  <c r="A1299" i="10"/>
  <c r="A1300" i="10"/>
  <c r="A1301" i="10"/>
  <c r="A1302" i="10"/>
  <c r="A1303" i="10"/>
  <c r="A1304" i="10"/>
  <c r="A1305" i="10"/>
  <c r="A1306" i="10"/>
  <c r="A1307" i="10"/>
  <c r="A1308" i="10"/>
  <c r="A1309" i="10"/>
  <c r="A1310" i="10"/>
  <c r="A1311" i="10"/>
  <c r="A1312" i="10"/>
  <c r="A1313" i="10"/>
  <c r="A1314" i="10"/>
  <c r="A1315" i="10"/>
  <c r="A1316" i="10"/>
  <c r="A1317" i="10"/>
  <c r="A1318" i="10"/>
  <c r="A1319" i="10"/>
  <c r="A1320" i="10"/>
  <c r="A1321" i="10"/>
  <c r="A1322" i="10"/>
  <c r="A1323" i="10"/>
  <c r="A1324" i="10"/>
  <c r="A1325" i="10"/>
  <c r="A1326" i="10"/>
  <c r="A1327" i="10"/>
  <c r="A1328" i="10"/>
  <c r="A1329" i="10"/>
  <c r="A1330" i="10"/>
  <c r="A1331" i="10"/>
  <c r="A1332" i="10"/>
  <c r="A1333" i="10"/>
  <c r="A1334" i="10"/>
  <c r="A1335" i="10"/>
  <c r="A1336" i="10"/>
  <c r="A1337" i="10"/>
  <c r="A1338" i="10"/>
  <c r="A1339" i="10"/>
  <c r="A1340" i="10"/>
  <c r="A1341" i="10"/>
  <c r="A1342" i="10"/>
  <c r="A1343" i="10"/>
  <c r="A1344" i="10"/>
  <c r="A1345" i="10"/>
  <c r="A1346" i="10"/>
  <c r="A1347" i="10"/>
  <c r="A1348" i="10"/>
  <c r="A1349" i="10"/>
  <c r="A1350" i="10"/>
  <c r="A1351" i="10"/>
  <c r="A1352" i="10"/>
  <c r="A1353" i="10"/>
  <c r="A1354" i="10"/>
  <c r="A1355" i="10"/>
  <c r="A1356" i="10"/>
  <c r="A1357" i="10"/>
  <c r="A1358" i="10"/>
  <c r="A1359" i="10"/>
  <c r="A1360" i="10"/>
  <c r="A1361" i="10"/>
  <c r="A1362" i="10"/>
  <c r="A1363" i="10"/>
  <c r="A1364" i="10"/>
  <c r="A1365" i="10"/>
  <c r="A1366" i="10"/>
  <c r="A1367" i="10"/>
  <c r="A1368" i="10"/>
  <c r="A1369" i="10"/>
  <c r="A1370" i="10"/>
  <c r="A1371" i="10"/>
  <c r="A1372" i="10"/>
  <c r="A1373" i="10"/>
  <c r="A1374" i="10"/>
  <c r="A1375" i="10"/>
  <c r="A1376" i="10"/>
  <c r="A1377" i="10"/>
  <c r="A1378" i="10"/>
  <c r="A1379" i="10"/>
  <c r="A1380" i="10"/>
  <c r="A1381" i="10"/>
  <c r="A1382" i="10"/>
  <c r="A1383" i="10"/>
  <c r="A1384" i="10"/>
  <c r="A1385" i="10"/>
  <c r="A1386" i="10"/>
  <c r="A1387" i="10"/>
  <c r="A1388" i="10"/>
  <c r="A1389" i="10"/>
  <c r="A1390" i="10"/>
  <c r="A1391" i="10"/>
  <c r="A1392" i="10"/>
  <c r="A1393" i="10"/>
  <c r="A1394" i="10"/>
  <c r="A1395" i="10"/>
  <c r="A1396" i="10"/>
  <c r="A1397" i="10"/>
  <c r="A1398" i="10"/>
  <c r="A1399" i="10"/>
  <c r="A1400" i="10"/>
  <c r="A1401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102" i="10"/>
  <c r="A103" i="10"/>
  <c r="A104" i="10"/>
  <c r="A105" i="10"/>
  <c r="A106" i="10"/>
  <c r="A107" i="10"/>
  <c r="A108" i="10"/>
  <c r="A109" i="10"/>
  <c r="A110" i="10"/>
  <c r="A111" i="10"/>
  <c r="A112" i="10"/>
  <c r="A113" i="10"/>
  <c r="A114" i="10"/>
  <c r="A115" i="10"/>
  <c r="A116" i="10"/>
  <c r="A117" i="10"/>
  <c r="A118" i="10"/>
  <c r="A119" i="10"/>
  <c r="A120" i="10"/>
  <c r="A121" i="10"/>
  <c r="A122" i="10"/>
  <c r="A123" i="10"/>
  <c r="A124" i="10"/>
  <c r="A125" i="10"/>
  <c r="A126" i="10"/>
  <c r="A127" i="10"/>
  <c r="A128" i="10"/>
  <c r="A129" i="10"/>
  <c r="A130" i="10"/>
  <c r="A131" i="10"/>
  <c r="A132" i="10"/>
  <c r="A133" i="10"/>
  <c r="A134" i="10"/>
  <c r="A135" i="10"/>
  <c r="A136" i="10"/>
  <c r="A137" i="10"/>
  <c r="A138" i="10"/>
  <c r="A139" i="10"/>
  <c r="A140" i="10"/>
  <c r="A141" i="10"/>
  <c r="A142" i="10"/>
  <c r="A143" i="10"/>
  <c r="A144" i="10"/>
  <c r="A145" i="10"/>
  <c r="A146" i="10"/>
  <c r="A147" i="10"/>
  <c r="A148" i="10"/>
  <c r="A149" i="10"/>
  <c r="A150" i="10"/>
  <c r="A151" i="10"/>
  <c r="A152" i="10"/>
  <c r="A153" i="10"/>
  <c r="A154" i="10"/>
  <c r="A155" i="10"/>
  <c r="A156" i="10"/>
  <c r="A157" i="10"/>
  <c r="A158" i="10"/>
  <c r="A159" i="10"/>
  <c r="A160" i="10"/>
  <c r="A161" i="10"/>
  <c r="A162" i="10"/>
  <c r="A163" i="10"/>
  <c r="A164" i="10"/>
  <c r="A165" i="10"/>
  <c r="A166" i="10"/>
  <c r="A167" i="10"/>
  <c r="A168" i="10"/>
  <c r="A169" i="10"/>
  <c r="A170" i="10"/>
  <c r="A171" i="10"/>
  <c r="A172" i="10"/>
  <c r="A173" i="10"/>
  <c r="A174" i="10"/>
  <c r="A175" i="10"/>
  <c r="A176" i="10"/>
  <c r="A177" i="10"/>
  <c r="A178" i="10"/>
  <c r="A179" i="10"/>
  <c r="A180" i="10"/>
  <c r="A181" i="10"/>
  <c r="A182" i="10"/>
  <c r="A183" i="10"/>
  <c r="A184" i="10"/>
  <c r="A185" i="10"/>
  <c r="A186" i="10"/>
  <c r="A187" i="10"/>
  <c r="A188" i="10"/>
  <c r="A189" i="10"/>
  <c r="A190" i="10"/>
  <c r="A191" i="10"/>
  <c r="A192" i="10"/>
  <c r="A193" i="10"/>
  <c r="A194" i="10"/>
  <c r="A195" i="10"/>
  <c r="A196" i="10"/>
  <c r="A197" i="10"/>
  <c r="A198" i="10"/>
  <c r="A199" i="10"/>
  <c r="A200" i="10"/>
  <c r="A201" i="10"/>
  <c r="A202" i="10"/>
  <c r="A203" i="10"/>
  <c r="A204" i="10"/>
  <c r="A205" i="10"/>
  <c r="A206" i="10"/>
  <c r="A207" i="10"/>
  <c r="A208" i="10"/>
  <c r="A209" i="10"/>
  <c r="A210" i="10"/>
  <c r="A211" i="10"/>
  <c r="A212" i="10"/>
  <c r="A213" i="10"/>
  <c r="A214" i="10"/>
  <c r="A215" i="10"/>
  <c r="A216" i="10"/>
  <c r="A217" i="10"/>
  <c r="A218" i="10"/>
  <c r="A219" i="10"/>
  <c r="A220" i="10"/>
  <c r="A221" i="10"/>
  <c r="A222" i="10"/>
  <c r="A223" i="10"/>
  <c r="A224" i="10"/>
  <c r="A225" i="10"/>
  <c r="A226" i="10"/>
  <c r="A227" i="10"/>
  <c r="A228" i="10"/>
  <c r="A229" i="10"/>
  <c r="A230" i="10"/>
  <c r="A231" i="10"/>
  <c r="A232" i="10"/>
  <c r="A233" i="10"/>
  <c r="A234" i="10"/>
  <c r="A235" i="10"/>
  <c r="A236" i="10"/>
  <c r="A237" i="10"/>
  <c r="A238" i="10"/>
  <c r="A239" i="10"/>
  <c r="A240" i="10"/>
  <c r="A241" i="10"/>
  <c r="A242" i="10"/>
  <c r="A243" i="10"/>
  <c r="A244" i="10"/>
  <c r="A245" i="10"/>
  <c r="A246" i="10"/>
  <c r="A247" i="10"/>
  <c r="A248" i="10"/>
  <c r="A249" i="10"/>
  <c r="A250" i="10"/>
  <c r="A251" i="10"/>
  <c r="A252" i="10"/>
  <c r="A253" i="10"/>
  <c r="A254" i="10"/>
  <c r="A255" i="10"/>
  <c r="A256" i="10"/>
  <c r="A257" i="10"/>
  <c r="A258" i="10"/>
  <c r="A259" i="10"/>
  <c r="A260" i="10"/>
  <c r="A261" i="10"/>
  <c r="A262" i="10"/>
  <c r="A263" i="10"/>
  <c r="A264" i="10"/>
  <c r="A265" i="10"/>
  <c r="A266" i="10"/>
  <c r="A267" i="10"/>
  <c r="A268" i="10"/>
  <c r="A269" i="10"/>
  <c r="A270" i="10"/>
  <c r="A271" i="10"/>
  <c r="A272" i="10"/>
  <c r="A273" i="10"/>
  <c r="A274" i="10"/>
  <c r="A275" i="10"/>
  <c r="A276" i="10"/>
  <c r="A277" i="10"/>
  <c r="A278" i="10"/>
  <c r="A279" i="10"/>
  <c r="A280" i="10"/>
  <c r="A281" i="10"/>
  <c r="A282" i="10"/>
  <c r="A283" i="10"/>
  <c r="A284" i="10"/>
  <c r="A285" i="10"/>
  <c r="A286" i="10"/>
  <c r="A287" i="10"/>
  <c r="A288" i="10"/>
  <c r="A289" i="10"/>
  <c r="A290" i="10"/>
  <c r="A291" i="10"/>
  <c r="A292" i="10"/>
  <c r="A293" i="10"/>
  <c r="A294" i="10"/>
  <c r="A295" i="10"/>
  <c r="A296" i="10"/>
  <c r="A297" i="10"/>
  <c r="A298" i="10"/>
  <c r="A299" i="10"/>
  <c r="A300" i="10"/>
  <c r="A301" i="10"/>
  <c r="A302" i="10"/>
  <c r="A303" i="10"/>
  <c r="A304" i="10"/>
  <c r="A305" i="10"/>
  <c r="A306" i="10"/>
  <c r="A307" i="10"/>
  <c r="A308" i="10"/>
  <c r="A309" i="10"/>
  <c r="A310" i="10"/>
  <c r="A311" i="10"/>
  <c r="A312" i="10"/>
  <c r="A313" i="10"/>
  <c r="A314" i="10"/>
  <c r="A315" i="10"/>
  <c r="A316" i="10"/>
  <c r="A317" i="10"/>
  <c r="A318" i="10"/>
  <c r="A319" i="10"/>
  <c r="A320" i="10"/>
  <c r="A321" i="10"/>
  <c r="A322" i="10"/>
  <c r="A323" i="10"/>
  <c r="A324" i="10"/>
  <c r="A325" i="10"/>
  <c r="A326" i="10"/>
  <c r="A327" i="10"/>
  <c r="A328" i="10"/>
  <c r="A329" i="10"/>
  <c r="A330" i="10"/>
  <c r="A331" i="10"/>
  <c r="A332" i="10"/>
  <c r="A333" i="10"/>
  <c r="A334" i="10"/>
  <c r="A335" i="10"/>
  <c r="A5" i="10"/>
  <c r="A6" i="10"/>
  <c r="A7" i="10"/>
  <c r="A8" i="10"/>
  <c r="A9" i="10"/>
  <c r="A10" i="10"/>
  <c r="A11" i="10"/>
  <c r="A12" i="10"/>
  <c r="A13" i="10"/>
  <c r="A14" i="10"/>
  <c r="A15" i="10"/>
  <c r="A16" i="10"/>
  <c r="A3" i="10"/>
  <c r="A4" i="10"/>
  <c r="A2" i="10"/>
  <c r="J3" i="16"/>
  <c r="J4" i="16"/>
  <c r="J5" i="16"/>
  <c r="J6" i="16"/>
  <c r="J7" i="16"/>
  <c r="J11" i="16"/>
  <c r="J12" i="16"/>
  <c r="J13" i="16"/>
  <c r="J14" i="16"/>
  <c r="J15" i="16"/>
  <c r="J18" i="16"/>
  <c r="J19" i="16"/>
  <c r="J20" i="16"/>
  <c r="J21" i="16"/>
  <c r="J22" i="16"/>
  <c r="J23" i="16"/>
  <c r="J27" i="16"/>
  <c r="J28" i="16"/>
  <c r="J29" i="16"/>
  <c r="J30" i="16"/>
  <c r="J31" i="16"/>
  <c r="J35" i="16"/>
  <c r="J36" i="16"/>
  <c r="J37" i="16"/>
  <c r="J38" i="16"/>
  <c r="J39" i="16"/>
  <c r="J43" i="16"/>
  <c r="J44" i="16"/>
  <c r="J45" i="16"/>
  <c r="J46" i="16"/>
  <c r="J47" i="16"/>
  <c r="J50" i="16"/>
  <c r="J51" i="16"/>
  <c r="J52" i="16"/>
  <c r="J53" i="16"/>
  <c r="J54" i="16"/>
  <c r="J55" i="16"/>
  <c r="J59" i="16"/>
  <c r="J60" i="16"/>
  <c r="J61" i="16"/>
  <c r="J62" i="16"/>
  <c r="J63" i="16"/>
  <c r="J67" i="16"/>
  <c r="J68" i="16"/>
  <c r="J69" i="16"/>
  <c r="J70" i="16"/>
  <c r="J71" i="16"/>
  <c r="J75" i="16"/>
  <c r="J76" i="16"/>
  <c r="J77" i="16"/>
  <c r="J78" i="16"/>
  <c r="J79" i="16"/>
  <c r="J83" i="16"/>
  <c r="J84" i="16"/>
  <c r="J85" i="16"/>
  <c r="J86" i="16"/>
  <c r="J87" i="16"/>
  <c r="J91" i="16"/>
  <c r="J92" i="16"/>
  <c r="J93" i="16"/>
  <c r="J94" i="16"/>
  <c r="J95" i="16"/>
  <c r="J99" i="16"/>
  <c r="J100" i="16"/>
  <c r="J101" i="16"/>
  <c r="J102" i="16"/>
  <c r="J103" i="16"/>
  <c r="J107" i="16"/>
  <c r="J108" i="16"/>
  <c r="J109" i="16"/>
  <c r="J110" i="16"/>
  <c r="J111" i="16"/>
  <c r="J115" i="16"/>
  <c r="J116" i="16"/>
  <c r="J117" i="16"/>
  <c r="J118" i="16"/>
  <c r="J119" i="16"/>
  <c r="J123" i="16"/>
  <c r="J124" i="16"/>
  <c r="J125" i="16"/>
  <c r="J126" i="16"/>
  <c r="J127" i="16"/>
  <c r="J131" i="16"/>
  <c r="J132" i="16"/>
  <c r="J133" i="16"/>
  <c r="J134" i="16"/>
  <c r="J135" i="16"/>
  <c r="J139" i="16"/>
  <c r="J140" i="16"/>
  <c r="J141" i="16"/>
  <c r="J142" i="16"/>
  <c r="J143" i="16"/>
  <c r="J147" i="16"/>
  <c r="J148" i="16"/>
  <c r="J149" i="16"/>
  <c r="J150" i="16"/>
  <c r="J151" i="16"/>
  <c r="J154" i="16"/>
  <c r="J155" i="16"/>
  <c r="J156" i="16"/>
  <c r="J157" i="16"/>
  <c r="J158" i="16"/>
  <c r="J159" i="16"/>
  <c r="J163" i="16"/>
  <c r="J164" i="16"/>
  <c r="J165" i="16"/>
  <c r="J166" i="16"/>
  <c r="J167" i="16"/>
  <c r="J171" i="16"/>
  <c r="J172" i="16"/>
  <c r="J173" i="16"/>
  <c r="J174" i="16"/>
  <c r="J175" i="16"/>
  <c r="J179" i="16"/>
  <c r="J180" i="16"/>
  <c r="J181" i="16"/>
  <c r="J182" i="16"/>
  <c r="J183" i="16"/>
  <c r="J186" i="16"/>
  <c r="J187" i="16"/>
  <c r="J188" i="16"/>
  <c r="J189" i="16"/>
  <c r="J190" i="16"/>
  <c r="J191" i="16"/>
  <c r="J195" i="16"/>
  <c r="J196" i="16"/>
  <c r="J197" i="16"/>
  <c r="J198" i="16"/>
  <c r="J199" i="16"/>
  <c r="J203" i="16"/>
  <c r="J204" i="16"/>
  <c r="J205" i="16"/>
  <c r="J206" i="16"/>
  <c r="J207" i="16"/>
  <c r="J211" i="16"/>
  <c r="J212" i="16"/>
  <c r="J213" i="16"/>
  <c r="J214" i="16"/>
  <c r="J215" i="16"/>
  <c r="J219" i="16"/>
  <c r="J220" i="16"/>
  <c r="J221" i="16"/>
  <c r="J222" i="16"/>
  <c r="J223" i="16"/>
  <c r="J227" i="16"/>
  <c r="J228" i="16"/>
  <c r="J229" i="16"/>
  <c r="J230" i="16"/>
  <c r="J231" i="16"/>
  <c r="J235" i="16"/>
  <c r="J236" i="16"/>
  <c r="J237" i="16"/>
  <c r="J238" i="16"/>
  <c r="J239" i="16"/>
  <c r="J243" i="16"/>
  <c r="J244" i="16"/>
  <c r="J245" i="16"/>
  <c r="J246" i="16"/>
  <c r="J247" i="16"/>
  <c r="J251" i="16"/>
  <c r="J252" i="16"/>
  <c r="J253" i="16"/>
  <c r="J254" i="16"/>
  <c r="J255" i="16"/>
  <c r="J258" i="16"/>
  <c r="J259" i="16"/>
  <c r="J260" i="16"/>
  <c r="J261" i="16"/>
  <c r="J262" i="16"/>
  <c r="J263" i="16"/>
  <c r="J267" i="16"/>
  <c r="J268" i="16"/>
  <c r="J269" i="16"/>
  <c r="J270" i="16"/>
  <c r="J271" i="16"/>
  <c r="J275" i="16"/>
  <c r="J276" i="16"/>
  <c r="J277" i="16"/>
  <c r="J278" i="16"/>
  <c r="J279" i="16"/>
  <c r="J283" i="16"/>
  <c r="J284" i="16"/>
  <c r="J285" i="16"/>
  <c r="J286" i="16"/>
  <c r="J287" i="16"/>
  <c r="J290" i="16"/>
  <c r="J291" i="16"/>
  <c r="J292" i="16"/>
  <c r="J293" i="16"/>
  <c r="J294" i="16"/>
  <c r="J295" i="16"/>
  <c r="J299" i="16"/>
  <c r="J300" i="16"/>
  <c r="J301" i="16"/>
  <c r="J302" i="16"/>
  <c r="J303" i="16"/>
  <c r="J307" i="16"/>
  <c r="J308" i="16"/>
  <c r="J309" i="16"/>
  <c r="J310" i="16"/>
  <c r="J311" i="16"/>
  <c r="J315" i="16"/>
  <c r="J316" i="16"/>
  <c r="J317" i="16"/>
  <c r="J318" i="16"/>
  <c r="J319" i="16"/>
  <c r="J323" i="16"/>
  <c r="J324" i="16"/>
  <c r="J325" i="16"/>
  <c r="J326" i="16"/>
  <c r="J327" i="16"/>
  <c r="J331" i="16"/>
  <c r="J332" i="16"/>
  <c r="J333" i="16"/>
  <c r="J334" i="16"/>
  <c r="J335" i="16"/>
  <c r="J339" i="16"/>
  <c r="J340" i="16"/>
  <c r="J341" i="16"/>
  <c r="J342" i="16"/>
  <c r="J343" i="16"/>
  <c r="J347" i="16"/>
  <c r="J348" i="16"/>
  <c r="J349" i="16"/>
  <c r="J350" i="16"/>
  <c r="J351" i="16"/>
  <c r="J355" i="16"/>
  <c r="J356" i="16"/>
  <c r="J357" i="16"/>
  <c r="J358" i="16"/>
  <c r="J359" i="16"/>
  <c r="J363" i="16"/>
  <c r="J364" i="16"/>
  <c r="J365" i="16"/>
  <c r="J366" i="16"/>
  <c r="J367" i="16"/>
  <c r="J371" i="16"/>
  <c r="J372" i="16"/>
  <c r="J373" i="16"/>
  <c r="J374" i="16"/>
  <c r="J375" i="16"/>
  <c r="J379" i="16"/>
  <c r="J380" i="16"/>
  <c r="J381" i="16"/>
  <c r="J382" i="16"/>
  <c r="J383" i="16"/>
  <c r="J387" i="16"/>
  <c r="J388" i="16"/>
  <c r="J389" i="16"/>
  <c r="J390" i="16"/>
  <c r="J391" i="16"/>
  <c r="J394" i="16"/>
  <c r="J395" i="16"/>
  <c r="J396" i="16"/>
  <c r="J397" i="16"/>
  <c r="J398" i="16"/>
  <c r="J399" i="16"/>
  <c r="J403" i="16"/>
  <c r="J404" i="16"/>
  <c r="J405" i="16"/>
  <c r="J406" i="16"/>
  <c r="J407" i="16"/>
  <c r="J411" i="16"/>
  <c r="J412" i="16"/>
  <c r="J413" i="16"/>
  <c r="J414" i="16"/>
  <c r="J415" i="16"/>
  <c r="J419" i="16"/>
  <c r="J420" i="16"/>
  <c r="J421" i="16"/>
  <c r="J422" i="16"/>
  <c r="J423" i="16"/>
  <c r="J426" i="16"/>
  <c r="J427" i="16"/>
  <c r="J428" i="16"/>
  <c r="J429" i="16"/>
  <c r="J430" i="16"/>
  <c r="J431" i="16"/>
  <c r="J435" i="16"/>
  <c r="J436" i="16"/>
  <c r="J437" i="16"/>
  <c r="J438" i="16"/>
  <c r="J439" i="16"/>
  <c r="J443" i="16"/>
  <c r="J444" i="16"/>
  <c r="J445" i="16"/>
  <c r="J446" i="16"/>
  <c r="J447" i="16"/>
  <c r="J451" i="16"/>
  <c r="J452" i="16"/>
  <c r="J453" i="16"/>
  <c r="J454" i="16"/>
  <c r="J455" i="16"/>
  <c r="J459" i="16"/>
  <c r="J460" i="16"/>
  <c r="J461" i="16"/>
  <c r="J462" i="16"/>
  <c r="J463" i="16"/>
  <c r="J467" i="16"/>
  <c r="J468" i="16"/>
  <c r="J469" i="16"/>
  <c r="J470" i="16"/>
  <c r="J471" i="16"/>
  <c r="J475" i="16"/>
  <c r="J476" i="16"/>
  <c r="J477" i="16"/>
  <c r="J478" i="16"/>
  <c r="J479" i="16"/>
  <c r="J483" i="16"/>
  <c r="J484" i="16"/>
  <c r="J485" i="16"/>
  <c r="J486" i="16"/>
  <c r="J487" i="16"/>
  <c r="J491" i="16"/>
  <c r="J492" i="16"/>
  <c r="J493" i="16"/>
  <c r="J494" i="16"/>
  <c r="J495" i="16"/>
  <c r="J499" i="16"/>
  <c r="J500" i="16"/>
  <c r="J501" i="16"/>
  <c r="J502" i="16"/>
  <c r="J503" i="16"/>
  <c r="J507" i="16"/>
  <c r="J508" i="16"/>
  <c r="J509" i="16"/>
  <c r="J510" i="16"/>
  <c r="J511" i="16"/>
  <c r="J515" i="16"/>
  <c r="J516" i="16"/>
  <c r="J517" i="16"/>
  <c r="J518" i="16"/>
  <c r="J519" i="16"/>
  <c r="J523" i="16"/>
  <c r="J524" i="16"/>
  <c r="J525" i="16"/>
  <c r="J526" i="16"/>
  <c r="J527" i="16"/>
  <c r="J530" i="16"/>
  <c r="J531" i="16"/>
  <c r="J532" i="16"/>
  <c r="J533" i="16"/>
  <c r="J534" i="16"/>
  <c r="J535" i="16"/>
  <c r="J539" i="16"/>
  <c r="J540" i="16"/>
  <c r="J541" i="16"/>
  <c r="J542" i="16"/>
  <c r="J543" i="16"/>
  <c r="J547" i="16"/>
  <c r="J548" i="16"/>
  <c r="J549" i="16"/>
  <c r="J550" i="16"/>
  <c r="J551" i="16"/>
  <c r="J555" i="16"/>
  <c r="J556" i="16"/>
  <c r="J557" i="16"/>
  <c r="J558" i="16"/>
  <c r="J559" i="16"/>
  <c r="J562" i="16"/>
  <c r="J563" i="16"/>
  <c r="J564" i="16"/>
  <c r="J565" i="16"/>
  <c r="J566" i="16"/>
  <c r="J567" i="16"/>
  <c r="J571" i="16"/>
  <c r="J572" i="16"/>
  <c r="J573" i="16"/>
  <c r="J574" i="16"/>
  <c r="J575" i="16"/>
  <c r="J579" i="16"/>
  <c r="J580" i="16"/>
  <c r="J581" i="16"/>
  <c r="J582" i="16"/>
  <c r="J583" i="16"/>
  <c r="J587" i="16"/>
  <c r="J588" i="16"/>
  <c r="J589" i="16"/>
  <c r="J590" i="16"/>
  <c r="J591" i="16"/>
  <c r="J595" i="16"/>
  <c r="J596" i="16"/>
  <c r="J597" i="16"/>
  <c r="J598" i="16"/>
  <c r="J599" i="16"/>
  <c r="J603" i="16"/>
  <c r="J604" i="16"/>
  <c r="J605" i="16"/>
  <c r="J606" i="16"/>
  <c r="J607" i="16"/>
  <c r="J611" i="16"/>
  <c r="J612" i="16"/>
  <c r="J613" i="16"/>
  <c r="J614" i="16"/>
  <c r="J615" i="16"/>
  <c r="J619" i="16"/>
  <c r="J620" i="16"/>
  <c r="J621" i="16"/>
  <c r="J622" i="16"/>
  <c r="J623" i="16"/>
  <c r="J627" i="16"/>
  <c r="J628" i="16"/>
  <c r="J629" i="16"/>
  <c r="J630" i="16"/>
  <c r="J631" i="16"/>
  <c r="J635" i="16"/>
  <c r="J636" i="16"/>
  <c r="J637" i="16"/>
  <c r="J638" i="16"/>
  <c r="J639" i="16"/>
  <c r="J643" i="16"/>
  <c r="J644" i="16"/>
  <c r="J645" i="16"/>
  <c r="J646" i="16"/>
  <c r="J647" i="16"/>
  <c r="J651" i="16"/>
  <c r="J652" i="16"/>
  <c r="J653" i="16"/>
  <c r="J654" i="16"/>
  <c r="J655" i="16"/>
  <c r="J659" i="16"/>
  <c r="J660" i="16"/>
  <c r="J661" i="16"/>
  <c r="J662" i="16"/>
  <c r="J663" i="16"/>
  <c r="J666" i="16"/>
  <c r="J667" i="16"/>
  <c r="J668" i="16"/>
  <c r="J669" i="16"/>
  <c r="J670" i="16"/>
  <c r="J671" i="16"/>
  <c r="J675" i="16"/>
  <c r="J676" i="16"/>
  <c r="J677" i="16"/>
  <c r="J678" i="16"/>
  <c r="J679" i="16"/>
  <c r="J683" i="16"/>
  <c r="J684" i="16"/>
  <c r="J685" i="16"/>
  <c r="J686" i="16"/>
  <c r="J687" i="16"/>
  <c r="J691" i="16"/>
  <c r="J692" i="16"/>
  <c r="J693" i="16"/>
  <c r="J694" i="16"/>
  <c r="J695" i="16"/>
  <c r="J698" i="16"/>
  <c r="J699" i="16"/>
  <c r="J700" i="16"/>
  <c r="J701" i="16"/>
  <c r="J702" i="16"/>
  <c r="J703" i="16"/>
  <c r="J707" i="16"/>
  <c r="J708" i="16"/>
  <c r="J709" i="16"/>
  <c r="J710" i="16"/>
  <c r="J711" i="16"/>
  <c r="J715" i="16"/>
  <c r="J716" i="16"/>
  <c r="J717" i="16"/>
  <c r="J718" i="16"/>
  <c r="J719" i="16"/>
  <c r="J723" i="16"/>
  <c r="J724" i="16"/>
  <c r="J725" i="16"/>
  <c r="J726" i="16"/>
  <c r="J727" i="16"/>
  <c r="J731" i="16"/>
  <c r="J732" i="16"/>
  <c r="J733" i="16"/>
  <c r="J734" i="16"/>
  <c r="J735" i="16"/>
  <c r="J739" i="16"/>
  <c r="J740" i="16"/>
  <c r="J741" i="16"/>
  <c r="J742" i="16"/>
  <c r="J743" i="16"/>
  <c r="J747" i="16"/>
  <c r="J748" i="16"/>
  <c r="J749" i="16"/>
  <c r="J750" i="16"/>
  <c r="J751" i="16"/>
  <c r="J755" i="16"/>
  <c r="J756" i="16"/>
  <c r="J757" i="16"/>
  <c r="J758" i="16"/>
  <c r="J759" i="16"/>
  <c r="J763" i="16"/>
  <c r="J764" i="16"/>
  <c r="J765" i="16"/>
  <c r="J766" i="16"/>
  <c r="J767" i="16"/>
  <c r="J770" i="16"/>
  <c r="J771" i="16"/>
  <c r="J772" i="16"/>
  <c r="J773" i="16"/>
  <c r="J774" i="16"/>
  <c r="J775" i="16"/>
  <c r="J779" i="16"/>
  <c r="J780" i="16"/>
  <c r="J781" i="16"/>
  <c r="J782" i="16"/>
  <c r="J783" i="16"/>
  <c r="J787" i="16"/>
  <c r="J788" i="16"/>
  <c r="J789" i="16"/>
  <c r="J790" i="16"/>
  <c r="J791" i="16"/>
  <c r="J795" i="16"/>
  <c r="J796" i="16"/>
  <c r="J797" i="16"/>
  <c r="J798" i="16"/>
  <c r="J799" i="16"/>
  <c r="J802" i="16"/>
  <c r="J803" i="16"/>
  <c r="J804" i="16"/>
  <c r="J805" i="16"/>
  <c r="J806" i="16"/>
  <c r="J807" i="16"/>
  <c r="J811" i="16"/>
  <c r="J812" i="16"/>
  <c r="J813" i="16"/>
  <c r="J814" i="16"/>
  <c r="J815" i="16"/>
  <c r="J819" i="16"/>
  <c r="J820" i="16"/>
  <c r="J821" i="16"/>
  <c r="J822" i="16"/>
  <c r="J823" i="16"/>
  <c r="J827" i="16"/>
  <c r="J828" i="16"/>
  <c r="J829" i="16"/>
  <c r="J830" i="16"/>
  <c r="J831" i="16"/>
  <c r="J835" i="16"/>
  <c r="J836" i="16"/>
  <c r="J837" i="16"/>
  <c r="J838" i="16"/>
  <c r="J839" i="16"/>
  <c r="J843" i="16"/>
  <c r="J844" i="16"/>
  <c r="J845" i="16"/>
  <c r="J846" i="16"/>
  <c r="J847" i="16"/>
  <c r="J851" i="16"/>
  <c r="J852" i="16"/>
  <c r="J853" i="16"/>
  <c r="J854" i="16"/>
  <c r="J855" i="16"/>
  <c r="J859" i="16"/>
  <c r="J860" i="16"/>
  <c r="J861" i="16"/>
  <c r="J862" i="16"/>
  <c r="J863" i="16"/>
  <c r="J867" i="16"/>
  <c r="J868" i="16"/>
  <c r="J869" i="16"/>
  <c r="J870" i="16"/>
  <c r="J871" i="16"/>
  <c r="J875" i="16"/>
  <c r="J876" i="16"/>
  <c r="J877" i="16"/>
  <c r="J878" i="16"/>
  <c r="J879" i="16"/>
  <c r="J883" i="16"/>
  <c r="J884" i="16"/>
  <c r="J885" i="16"/>
  <c r="J886" i="16"/>
  <c r="J887" i="16"/>
  <c r="J891" i="16"/>
  <c r="J892" i="16"/>
  <c r="J893" i="16"/>
  <c r="J894" i="16"/>
  <c r="J895" i="16"/>
  <c r="J899" i="16"/>
  <c r="J900" i="16"/>
  <c r="J901" i="16"/>
  <c r="J902" i="16"/>
  <c r="J903" i="16"/>
  <c r="J906" i="16"/>
  <c r="J907" i="16"/>
  <c r="J908" i="16"/>
  <c r="J909" i="16"/>
  <c r="J910" i="16"/>
  <c r="J911" i="16"/>
  <c r="J915" i="16"/>
  <c r="J916" i="16"/>
  <c r="J917" i="16"/>
  <c r="J918" i="16"/>
  <c r="J919" i="16"/>
  <c r="J923" i="16"/>
  <c r="J924" i="16"/>
  <c r="J925" i="16"/>
  <c r="J926" i="16"/>
  <c r="J927" i="16"/>
  <c r="J931" i="16"/>
  <c r="J932" i="16"/>
  <c r="J933" i="16"/>
  <c r="J934" i="16"/>
  <c r="J935" i="16"/>
  <c r="J938" i="16"/>
  <c r="J939" i="16"/>
  <c r="J940" i="16"/>
  <c r="J941" i="16"/>
  <c r="J942" i="16"/>
  <c r="J943" i="16"/>
  <c r="J947" i="16"/>
  <c r="J948" i="16"/>
  <c r="J949" i="16"/>
  <c r="J950" i="16"/>
  <c r="J951" i="16"/>
  <c r="J955" i="16"/>
  <c r="J956" i="16"/>
  <c r="J957" i="16"/>
  <c r="J958" i="16"/>
  <c r="J959" i="16"/>
  <c r="J963" i="16"/>
  <c r="J964" i="16"/>
  <c r="J965" i="16"/>
  <c r="J966" i="16"/>
  <c r="J967" i="16"/>
  <c r="J971" i="16"/>
  <c r="J972" i="16"/>
  <c r="J973" i="16"/>
  <c r="J974" i="16"/>
  <c r="J975" i="16"/>
  <c r="J979" i="16"/>
  <c r="J980" i="16"/>
  <c r="J981" i="16"/>
  <c r="J982" i="16"/>
  <c r="J983" i="16"/>
  <c r="J987" i="16"/>
  <c r="J988" i="16"/>
  <c r="J989" i="16"/>
  <c r="J990" i="16"/>
  <c r="J991" i="16"/>
  <c r="J995" i="16"/>
  <c r="J996" i="16"/>
  <c r="J997" i="16"/>
  <c r="J998" i="16"/>
  <c r="J999" i="16"/>
  <c r="J1003" i="16"/>
  <c r="J1004" i="16"/>
  <c r="J1005" i="16"/>
  <c r="J1006" i="16"/>
  <c r="J1007" i="16"/>
  <c r="J1011" i="16"/>
  <c r="J1012" i="16"/>
  <c r="J1013" i="16"/>
  <c r="J1014" i="16"/>
  <c r="J1015" i="16"/>
  <c r="J1019" i="16"/>
  <c r="J1020" i="16"/>
  <c r="J1021" i="16"/>
  <c r="J1022" i="16"/>
  <c r="J1023" i="16"/>
  <c r="J1027" i="16"/>
  <c r="J1028" i="16"/>
  <c r="J1029" i="16"/>
  <c r="J1030" i="16"/>
  <c r="J1031" i="16"/>
  <c r="J1035" i="16"/>
  <c r="J1036" i="16"/>
  <c r="J1037" i="16"/>
  <c r="J1038" i="16"/>
  <c r="J1039" i="16"/>
  <c r="J1042" i="16"/>
  <c r="J1043" i="16"/>
  <c r="J1044" i="16"/>
  <c r="J1045" i="16"/>
  <c r="J1046" i="16"/>
  <c r="J1047" i="16"/>
  <c r="J1051" i="16"/>
  <c r="J1052" i="16"/>
  <c r="J1053" i="16"/>
  <c r="J1054" i="16"/>
  <c r="J1055" i="16"/>
  <c r="J1059" i="16"/>
  <c r="J1060" i="16"/>
  <c r="J1061" i="16"/>
  <c r="J1062" i="16"/>
  <c r="J1063" i="16"/>
  <c r="J1067" i="16"/>
  <c r="J1068" i="16"/>
  <c r="J1069" i="16"/>
  <c r="J1070" i="16"/>
  <c r="J1071" i="16"/>
  <c r="J1074" i="16"/>
  <c r="J1075" i="16"/>
  <c r="J1076" i="16"/>
  <c r="J1077" i="16"/>
  <c r="J1078" i="16"/>
  <c r="J1079" i="16"/>
  <c r="J1083" i="16"/>
  <c r="J1084" i="16"/>
  <c r="J1085" i="16"/>
  <c r="J1086" i="16"/>
  <c r="J1087" i="16"/>
  <c r="J1091" i="16"/>
  <c r="J1092" i="16"/>
  <c r="J1093" i="16"/>
  <c r="J1094" i="16"/>
  <c r="J1095" i="16"/>
  <c r="J1099" i="16"/>
  <c r="J1100" i="16"/>
  <c r="J1101" i="16"/>
  <c r="J1102" i="16"/>
  <c r="J1103" i="16"/>
  <c r="J1107" i="16"/>
  <c r="J1108" i="16"/>
  <c r="J1109" i="16"/>
  <c r="J1110" i="16"/>
  <c r="J1111" i="16"/>
  <c r="J1115" i="16"/>
  <c r="J1116" i="16"/>
  <c r="J1117" i="16"/>
  <c r="J1118" i="16"/>
  <c r="J1119" i="16"/>
  <c r="J1123" i="16"/>
  <c r="J1124" i="16"/>
  <c r="J1125" i="16"/>
  <c r="J1126" i="16"/>
  <c r="J1127" i="16"/>
  <c r="J1131" i="16"/>
  <c r="J1132" i="16"/>
  <c r="J1133" i="16"/>
  <c r="J1134" i="16"/>
  <c r="J1135" i="16"/>
  <c r="J1139" i="16"/>
  <c r="J1140" i="16"/>
  <c r="J1141" i="16"/>
  <c r="J1142" i="16"/>
  <c r="J1143" i="16"/>
  <c r="J1147" i="16"/>
  <c r="J1148" i="16"/>
  <c r="J1149" i="16"/>
  <c r="J1150" i="16"/>
  <c r="J1151" i="16"/>
  <c r="J1155" i="16"/>
  <c r="J1156" i="16"/>
  <c r="J1157" i="16"/>
  <c r="J1158" i="16"/>
  <c r="J1159" i="16"/>
  <c r="J1163" i="16"/>
  <c r="J1164" i="16"/>
  <c r="J1165" i="16"/>
  <c r="J1166" i="16"/>
  <c r="J1167" i="16"/>
  <c r="J1171" i="16"/>
  <c r="J1172" i="16"/>
  <c r="J1173" i="16"/>
  <c r="J1174" i="16"/>
  <c r="J1175" i="16"/>
  <c r="J1178" i="16"/>
  <c r="J1179" i="16"/>
  <c r="J1180" i="16"/>
  <c r="J1181" i="16"/>
  <c r="J1182" i="16"/>
  <c r="J1183" i="16"/>
  <c r="J1187" i="16"/>
  <c r="J1188" i="16"/>
  <c r="J1189" i="16"/>
  <c r="J1190" i="16"/>
  <c r="J1191" i="16"/>
  <c r="J1195" i="16"/>
  <c r="J1196" i="16"/>
  <c r="J1197" i="16"/>
  <c r="J1198" i="16"/>
  <c r="J1199" i="16"/>
  <c r="J1203" i="16"/>
  <c r="J1204" i="16"/>
  <c r="J1205" i="16"/>
  <c r="J1206" i="16"/>
  <c r="J1207" i="16"/>
  <c r="J1210" i="16"/>
  <c r="J1211" i="16"/>
  <c r="J1212" i="16"/>
  <c r="J1213" i="16"/>
  <c r="J1214" i="16"/>
  <c r="J1215" i="16"/>
  <c r="J1219" i="16"/>
  <c r="J1220" i="16"/>
  <c r="J1221" i="16"/>
  <c r="J1222" i="16"/>
  <c r="J1223" i="16"/>
  <c r="J1227" i="16"/>
  <c r="J1228" i="16"/>
  <c r="J1229" i="16"/>
  <c r="J1230" i="16"/>
  <c r="J1231" i="16"/>
  <c r="J1235" i="16"/>
  <c r="J1236" i="16"/>
  <c r="J1237" i="16"/>
  <c r="J1238" i="16"/>
  <c r="J1239" i="16"/>
  <c r="J1243" i="16"/>
  <c r="J1244" i="16"/>
  <c r="J1245" i="16"/>
  <c r="J1246" i="16"/>
  <c r="J1247" i="16"/>
  <c r="J1251" i="16"/>
  <c r="J1252" i="16"/>
  <c r="J1253" i="16"/>
  <c r="J1254" i="16"/>
  <c r="J1255" i="16"/>
  <c r="J1259" i="16"/>
  <c r="J1260" i="16"/>
  <c r="J1261" i="16"/>
  <c r="J1262" i="16"/>
  <c r="J1263" i="16"/>
  <c r="J1267" i="16"/>
  <c r="J1268" i="16"/>
  <c r="J1269" i="16"/>
  <c r="J1270" i="16"/>
  <c r="J1271" i="16"/>
  <c r="J1275" i="16"/>
  <c r="J1276" i="16"/>
  <c r="J1277" i="16"/>
  <c r="J1278" i="16"/>
  <c r="J1279" i="16"/>
  <c r="J1282" i="16"/>
  <c r="J1283" i="16"/>
  <c r="J1284" i="16"/>
  <c r="J1285" i="16"/>
  <c r="J1286" i="16"/>
  <c r="J1287" i="16"/>
  <c r="J1288" i="16"/>
  <c r="J1290" i="16"/>
  <c r="J1291" i="16"/>
  <c r="J1292" i="16"/>
  <c r="J1293" i="16"/>
  <c r="J1294" i="16"/>
  <c r="J1295" i="16"/>
  <c r="J1296" i="16"/>
  <c r="J1298" i="16"/>
  <c r="J1299" i="16"/>
  <c r="J1300" i="16"/>
  <c r="J1301" i="16"/>
  <c r="J1302" i="16"/>
  <c r="J1303" i="16"/>
  <c r="J1304" i="16"/>
  <c r="J1306" i="16"/>
  <c r="J1307" i="16"/>
  <c r="J1308" i="16"/>
  <c r="J1309" i="16"/>
  <c r="J1310" i="16"/>
  <c r="J1311" i="16"/>
  <c r="J1312" i="16"/>
  <c r="J1314" i="16"/>
  <c r="J1315" i="16"/>
  <c r="J1316" i="16"/>
  <c r="J1317" i="16"/>
  <c r="J1318" i="16"/>
  <c r="J1319" i="16"/>
  <c r="J1320" i="16"/>
  <c r="J1322" i="16"/>
  <c r="J1323" i="16"/>
  <c r="J1324" i="16"/>
  <c r="J1325" i="16"/>
  <c r="J1326" i="16"/>
  <c r="J1327" i="16"/>
  <c r="J1328" i="16"/>
  <c r="J1330" i="16"/>
  <c r="J1331" i="16"/>
  <c r="J1332" i="16"/>
  <c r="J1333" i="16"/>
  <c r="J1334" i="16"/>
  <c r="J1335" i="16"/>
  <c r="J1336" i="16"/>
  <c r="J1338" i="16"/>
  <c r="J1339" i="16"/>
  <c r="J1340" i="16"/>
  <c r="J1341" i="16"/>
  <c r="J1342" i="16"/>
  <c r="J1343" i="16"/>
  <c r="J1344" i="16"/>
  <c r="J1346" i="16"/>
  <c r="J1347" i="16"/>
  <c r="J1348" i="16"/>
  <c r="J1349" i="16"/>
  <c r="J1350" i="16"/>
  <c r="J1351" i="16"/>
  <c r="J1352" i="16"/>
  <c r="J1354" i="16"/>
  <c r="J1355" i="16"/>
  <c r="J1356" i="16"/>
  <c r="J1357" i="16"/>
  <c r="J1358" i="16"/>
  <c r="J1359" i="16"/>
  <c r="J1360" i="16"/>
  <c r="J1362" i="16"/>
  <c r="J1363" i="16"/>
  <c r="J1364" i="16"/>
  <c r="J1365" i="16"/>
  <c r="J1366" i="16"/>
  <c r="J1367" i="16"/>
  <c r="J1368" i="16"/>
  <c r="J1370" i="16"/>
  <c r="J1371" i="16"/>
  <c r="J1372" i="16"/>
  <c r="J1373" i="16"/>
  <c r="J1374" i="16"/>
  <c r="J1375" i="16"/>
  <c r="J1376" i="16"/>
  <c r="J1378" i="16"/>
  <c r="J1379" i="16"/>
  <c r="J1380" i="16"/>
  <c r="J1381" i="16"/>
  <c r="J1382" i="16"/>
  <c r="J1383" i="16"/>
  <c r="J1384" i="16"/>
  <c r="J1386" i="16"/>
  <c r="J1387" i="16"/>
  <c r="J1388" i="16"/>
  <c r="J1389" i="16"/>
  <c r="J1390" i="16"/>
  <c r="J1391" i="16"/>
  <c r="J1392" i="16"/>
  <c r="J1394" i="16"/>
  <c r="J1395" i="16"/>
  <c r="J1396" i="16"/>
  <c r="J1397" i="16"/>
  <c r="J1398" i="16"/>
  <c r="J1399" i="16"/>
  <c r="J1400" i="16"/>
  <c r="J1402" i="16"/>
  <c r="J1403" i="16"/>
  <c r="J1404" i="16"/>
  <c r="J1405" i="16"/>
  <c r="J1406" i="16"/>
  <c r="J1407" i="16"/>
  <c r="J1408" i="16"/>
  <c r="J1410" i="16"/>
  <c r="J1411" i="16"/>
  <c r="J1412" i="16"/>
  <c r="J1413" i="16"/>
  <c r="J1414" i="16"/>
  <c r="J1415" i="16"/>
  <c r="J1416" i="16"/>
  <c r="J1418" i="16"/>
  <c r="J1419" i="16"/>
  <c r="J1420" i="16"/>
  <c r="J1421" i="16"/>
  <c r="J1422" i="16"/>
  <c r="J1423" i="16"/>
  <c r="J1424" i="16"/>
  <c r="J1426" i="16"/>
  <c r="J1427" i="16"/>
  <c r="J1428" i="16"/>
  <c r="J1429" i="16"/>
  <c r="J1430" i="16"/>
  <c r="J1431" i="16"/>
  <c r="J1432" i="16"/>
  <c r="J1434" i="16"/>
  <c r="J1435" i="16"/>
  <c r="J1436" i="16"/>
  <c r="J1437" i="16"/>
  <c r="J1438" i="16"/>
  <c r="J1439" i="16"/>
  <c r="J1440" i="16"/>
  <c r="J1442" i="16"/>
  <c r="J1443" i="16"/>
  <c r="J1444" i="16"/>
  <c r="J1445" i="16"/>
  <c r="J1446" i="16"/>
  <c r="J1447" i="16"/>
  <c r="J1448" i="16"/>
  <c r="J1450" i="16"/>
  <c r="J1451" i="16"/>
  <c r="J1452" i="16"/>
  <c r="J1453" i="16"/>
  <c r="J1454" i="16"/>
  <c r="J1455" i="16"/>
  <c r="J1456" i="16"/>
  <c r="J1458" i="16"/>
  <c r="J1459" i="16"/>
  <c r="J1460" i="16"/>
  <c r="J1461" i="16"/>
  <c r="J1462" i="16"/>
  <c r="J1463" i="16"/>
  <c r="J1464" i="16"/>
  <c r="J1466" i="16"/>
  <c r="J1467" i="16"/>
  <c r="J1468" i="16"/>
  <c r="J1469" i="16"/>
  <c r="J1470" i="16"/>
  <c r="J1471" i="16"/>
  <c r="J1472" i="16"/>
  <c r="J1474" i="16"/>
  <c r="J1475" i="16"/>
  <c r="J1476" i="16"/>
  <c r="J1477" i="16"/>
  <c r="J1478" i="16"/>
  <c r="J1479" i="16"/>
  <c r="J1480" i="16"/>
  <c r="J1482" i="16"/>
  <c r="J1483" i="16"/>
  <c r="J1484" i="16"/>
  <c r="J1485" i="16"/>
  <c r="J1486" i="16"/>
  <c r="J1487" i="16"/>
  <c r="J1488" i="16"/>
  <c r="J1490" i="16"/>
  <c r="J1491" i="16"/>
  <c r="J1492" i="16"/>
  <c r="J1493" i="16"/>
  <c r="J1494" i="16"/>
  <c r="J1495" i="16"/>
  <c r="J1496" i="16"/>
  <c r="J1498" i="16"/>
  <c r="J1499" i="16"/>
  <c r="J1500" i="16"/>
  <c r="J1501" i="16"/>
  <c r="J1502" i="16"/>
  <c r="J1503" i="16"/>
  <c r="J1504" i="16"/>
  <c r="J1506" i="16"/>
  <c r="J1507" i="16"/>
  <c r="J1508" i="16"/>
  <c r="J1509" i="16"/>
  <c r="J1510" i="16"/>
  <c r="J1511" i="16"/>
  <c r="J1512" i="16"/>
  <c r="J1514" i="16"/>
  <c r="J1515" i="16"/>
  <c r="J1516" i="16"/>
  <c r="J1517" i="16"/>
  <c r="J1518" i="16"/>
  <c r="J1519" i="16"/>
  <c r="J1520" i="16"/>
  <c r="J1522" i="16"/>
  <c r="J1523" i="16"/>
  <c r="J1524" i="16"/>
  <c r="J1525" i="16"/>
  <c r="J1526" i="16"/>
  <c r="J1527" i="16"/>
  <c r="J1528" i="16"/>
  <c r="J1530" i="16"/>
  <c r="J1531" i="16"/>
  <c r="J1532" i="16"/>
  <c r="J1533" i="16"/>
  <c r="J1534" i="16"/>
  <c r="J1535" i="16"/>
  <c r="J1536" i="16"/>
  <c r="J1538" i="16"/>
  <c r="J1539" i="16"/>
  <c r="J1540" i="16"/>
  <c r="J1541" i="16"/>
  <c r="J1542" i="16"/>
  <c r="J1543" i="16"/>
  <c r="J1544" i="16"/>
  <c r="J1546" i="16"/>
  <c r="J1547" i="16"/>
  <c r="J1548" i="16"/>
  <c r="J1549" i="16"/>
  <c r="J1550" i="16"/>
  <c r="J1551" i="16"/>
  <c r="J1552" i="16"/>
  <c r="J1554" i="16"/>
  <c r="J1555" i="16"/>
  <c r="J1556" i="16"/>
  <c r="J1557" i="16"/>
  <c r="J1558" i="16"/>
  <c r="J1559" i="16"/>
  <c r="J1560" i="16"/>
  <c r="J1562" i="16"/>
  <c r="J1563" i="16"/>
  <c r="J1564" i="16"/>
  <c r="J1565" i="16"/>
  <c r="J1566" i="16"/>
  <c r="J1567" i="16"/>
  <c r="J1568" i="16"/>
  <c r="J1570" i="16"/>
  <c r="J1571" i="16"/>
  <c r="J1572" i="16"/>
  <c r="J1573" i="16"/>
  <c r="J1574" i="16"/>
  <c r="J1575" i="16"/>
  <c r="J1576" i="16"/>
  <c r="J1578" i="16"/>
  <c r="J1579" i="16"/>
  <c r="J1580" i="16"/>
  <c r="J1581" i="16"/>
  <c r="J1582" i="16"/>
  <c r="J1583" i="16"/>
  <c r="J1584" i="16"/>
  <c r="J1586" i="16"/>
  <c r="J1587" i="16"/>
  <c r="J1588" i="16"/>
  <c r="J1589" i="16"/>
  <c r="J1590" i="16"/>
  <c r="J1591" i="16"/>
  <c r="J1592" i="16"/>
  <c r="J1593" i="16"/>
  <c r="J1594" i="16"/>
  <c r="J1595" i="16"/>
  <c r="J1596" i="16"/>
  <c r="J1597" i="16"/>
  <c r="J1598" i="16"/>
  <c r="J1599" i="16"/>
  <c r="J1600" i="16"/>
  <c r="J1601" i="16"/>
  <c r="J1602" i="16"/>
  <c r="J1603" i="16"/>
  <c r="J1604" i="16"/>
  <c r="J1605" i="16"/>
  <c r="J1606" i="16"/>
  <c r="J1607" i="16"/>
  <c r="J1608" i="16"/>
  <c r="J1609" i="16"/>
  <c r="J1610" i="16"/>
  <c r="J1611" i="16"/>
  <c r="J1612" i="16"/>
  <c r="J1613" i="16"/>
  <c r="J1614" i="16"/>
  <c r="J1615" i="16"/>
  <c r="J1616" i="16"/>
  <c r="J1617" i="16"/>
  <c r="J1618" i="16"/>
  <c r="J1619" i="16"/>
  <c r="J1620" i="16"/>
  <c r="J1621" i="16"/>
  <c r="J1622" i="16"/>
  <c r="J1623" i="16"/>
  <c r="J1624" i="16"/>
  <c r="J1625" i="16"/>
  <c r="J1626" i="16"/>
  <c r="J1627" i="16"/>
  <c r="J1628" i="16"/>
  <c r="J1629" i="16"/>
  <c r="J1630" i="16"/>
  <c r="J1631" i="16"/>
  <c r="J1632" i="16"/>
  <c r="J1633" i="16"/>
  <c r="J1634" i="16"/>
  <c r="J1635" i="16"/>
  <c r="J1636" i="16"/>
  <c r="J1637" i="16"/>
  <c r="J1638" i="16"/>
  <c r="J1639" i="16"/>
  <c r="J1640" i="16"/>
  <c r="J1641" i="16"/>
  <c r="J1642" i="16"/>
  <c r="J1643" i="16"/>
  <c r="J1644" i="16"/>
  <c r="J1645" i="16"/>
  <c r="J1646" i="16"/>
  <c r="J1647" i="16"/>
  <c r="J1648" i="16"/>
  <c r="J1649" i="16"/>
  <c r="J1650" i="16"/>
  <c r="J1651" i="16"/>
  <c r="J1652" i="16"/>
  <c r="J1653" i="16"/>
  <c r="J1654" i="16"/>
  <c r="J1655" i="16"/>
  <c r="J1656" i="16"/>
  <c r="J1657" i="16"/>
  <c r="J1658" i="16"/>
  <c r="J1659" i="16"/>
  <c r="J1660" i="16"/>
  <c r="J1661" i="16"/>
  <c r="J1662" i="16"/>
  <c r="J1663" i="16"/>
  <c r="J1664" i="16"/>
  <c r="J1665" i="16"/>
  <c r="J1666" i="16"/>
  <c r="J1667" i="16"/>
  <c r="J1668" i="16"/>
  <c r="J1669" i="16"/>
  <c r="J1670" i="16"/>
  <c r="J1671" i="16"/>
  <c r="J1672" i="16"/>
  <c r="J1673" i="16"/>
  <c r="J1674" i="16"/>
  <c r="J1675" i="16"/>
  <c r="J1676" i="16"/>
  <c r="J1677" i="16"/>
  <c r="J1678" i="16"/>
  <c r="J1679" i="16"/>
  <c r="J1680" i="16"/>
  <c r="J1681" i="16"/>
  <c r="J1682" i="16"/>
  <c r="J1683" i="16"/>
  <c r="J1684" i="16"/>
  <c r="J1685" i="16"/>
  <c r="J1686" i="16"/>
  <c r="J1687" i="16"/>
  <c r="J1688" i="16"/>
  <c r="J1689" i="16"/>
  <c r="J1690" i="16"/>
  <c r="J1691" i="16"/>
  <c r="J1692" i="16"/>
  <c r="J1693" i="16"/>
  <c r="J1694" i="16"/>
  <c r="J1695" i="16"/>
  <c r="J1696" i="16"/>
  <c r="J1697" i="16"/>
  <c r="J1698" i="16"/>
  <c r="J1699" i="16"/>
  <c r="J1700" i="16"/>
  <c r="J1701" i="16"/>
  <c r="J1702" i="16"/>
  <c r="J1703" i="16"/>
  <c r="J1704" i="16"/>
  <c r="J1705" i="16"/>
  <c r="J1706" i="16"/>
  <c r="J1707" i="16"/>
  <c r="J1708" i="16"/>
  <c r="J1709" i="16"/>
  <c r="J1710" i="16"/>
  <c r="J1711" i="16"/>
  <c r="J1712" i="16"/>
  <c r="J1713" i="16"/>
  <c r="J1714" i="16"/>
  <c r="J1715" i="16"/>
  <c r="J1716" i="16"/>
  <c r="J1717" i="16"/>
  <c r="J1718" i="16"/>
  <c r="J1719" i="16"/>
  <c r="J1720" i="16"/>
  <c r="J1721" i="16"/>
  <c r="J1722" i="16"/>
  <c r="J1723" i="16"/>
  <c r="J1724" i="16"/>
  <c r="J1725" i="16"/>
  <c r="J1726" i="16"/>
  <c r="J1727" i="16"/>
  <c r="J1728" i="16"/>
  <c r="J1729" i="16"/>
  <c r="J1730" i="16"/>
  <c r="J1731" i="16"/>
  <c r="J1732" i="16"/>
  <c r="J1733" i="16"/>
  <c r="J1734" i="16"/>
  <c r="J1735" i="16"/>
  <c r="J1736" i="16"/>
  <c r="J1737" i="16"/>
  <c r="J1738" i="16"/>
  <c r="J1739" i="16"/>
  <c r="J1740" i="16"/>
  <c r="J1741" i="16"/>
  <c r="J1742" i="16"/>
  <c r="J1743" i="16"/>
  <c r="J1744" i="16"/>
  <c r="J1745" i="16"/>
  <c r="J1746" i="16"/>
  <c r="J1747" i="16"/>
  <c r="J1748" i="16"/>
  <c r="J1749" i="16"/>
  <c r="J1750" i="16"/>
  <c r="J1751" i="16"/>
  <c r="J1752" i="16"/>
  <c r="J1753" i="16"/>
  <c r="J1754" i="16"/>
  <c r="J1755" i="16"/>
  <c r="J1756" i="16"/>
  <c r="J1757" i="16"/>
  <c r="J1758" i="16"/>
  <c r="J1759" i="16"/>
  <c r="J1760" i="16"/>
  <c r="J1761" i="16"/>
  <c r="J1762" i="16"/>
  <c r="J1763" i="16"/>
  <c r="J1764" i="16"/>
  <c r="J1765" i="16"/>
  <c r="J1766" i="16"/>
  <c r="J1767" i="16"/>
  <c r="J1768" i="16"/>
  <c r="J1769" i="16"/>
  <c r="J1770" i="16"/>
  <c r="J1771" i="16"/>
  <c r="J1772" i="16"/>
  <c r="J1773" i="16"/>
  <c r="J1774" i="16"/>
  <c r="J1775" i="16"/>
  <c r="J1776" i="16"/>
  <c r="J1777" i="16"/>
  <c r="J1778" i="16"/>
  <c r="J1779" i="16"/>
  <c r="J1780" i="16"/>
  <c r="J1781" i="16"/>
  <c r="J1782" i="16"/>
  <c r="J1783" i="16"/>
  <c r="J1784" i="16"/>
  <c r="J1785" i="16"/>
  <c r="J1786" i="16"/>
  <c r="J1787" i="16"/>
  <c r="J1788" i="16"/>
  <c r="J1789" i="16"/>
  <c r="J1790" i="16"/>
  <c r="J1791" i="16"/>
  <c r="J1792" i="16"/>
  <c r="J1793" i="16"/>
  <c r="J1794" i="16"/>
  <c r="J1795" i="16"/>
  <c r="J1796" i="16"/>
  <c r="J1797" i="16"/>
  <c r="J1798" i="16"/>
  <c r="J1799" i="16"/>
  <c r="J1800" i="16"/>
  <c r="J1801" i="16"/>
  <c r="J1802" i="16"/>
  <c r="J1803" i="16"/>
  <c r="J1804" i="16"/>
  <c r="J1805" i="16"/>
  <c r="J1806" i="16"/>
  <c r="J1807" i="16"/>
  <c r="J1808" i="16"/>
  <c r="J1809" i="16"/>
  <c r="J1810" i="16"/>
  <c r="J1811" i="16"/>
  <c r="J1812" i="16"/>
  <c r="J1813" i="16"/>
  <c r="J1814" i="16"/>
  <c r="J1815" i="16"/>
  <c r="J1816" i="16"/>
  <c r="J1817" i="16"/>
  <c r="J1818" i="16"/>
  <c r="J1819" i="16"/>
  <c r="J1820" i="16"/>
  <c r="J1821" i="16"/>
  <c r="J1822" i="16"/>
  <c r="J1823" i="16"/>
  <c r="J1824" i="16"/>
  <c r="J1825" i="16"/>
  <c r="J1826" i="16"/>
  <c r="J1827" i="16"/>
  <c r="J1828" i="16"/>
  <c r="J1829" i="16"/>
  <c r="J1830" i="16"/>
  <c r="J1831" i="16"/>
  <c r="J1832" i="16"/>
  <c r="J1833" i="16"/>
  <c r="J1834" i="16"/>
  <c r="J1835" i="16"/>
  <c r="J1836" i="16"/>
  <c r="J1837" i="16"/>
  <c r="J1838" i="16"/>
  <c r="J1839" i="16"/>
  <c r="J1840" i="16"/>
  <c r="J1841" i="16"/>
  <c r="J1842" i="16"/>
  <c r="J1843" i="16"/>
  <c r="J1844" i="16"/>
  <c r="J1845" i="16"/>
  <c r="J1846" i="16"/>
  <c r="J1847" i="16"/>
  <c r="J1848" i="16"/>
  <c r="J1849" i="16"/>
  <c r="J1850" i="16"/>
  <c r="J1851" i="16"/>
  <c r="J1852" i="16"/>
  <c r="J1853" i="16"/>
  <c r="J1854" i="16"/>
  <c r="J1855" i="16"/>
  <c r="J1856" i="16"/>
  <c r="J1857" i="16"/>
  <c r="J1858" i="16"/>
  <c r="J1859" i="16"/>
  <c r="J1860" i="16"/>
  <c r="J1861" i="16"/>
  <c r="J1862" i="16"/>
  <c r="J1863" i="16"/>
  <c r="J1864" i="16"/>
  <c r="J1865" i="16"/>
  <c r="J1866" i="16"/>
  <c r="J1867" i="16"/>
  <c r="J1868" i="16"/>
  <c r="J1869" i="16"/>
  <c r="J1870" i="16"/>
  <c r="J1871" i="16"/>
  <c r="J1872" i="16"/>
  <c r="J1873" i="16"/>
  <c r="J1874" i="16"/>
  <c r="J1875" i="16"/>
  <c r="J1876" i="16"/>
  <c r="J1877" i="16"/>
  <c r="J1878" i="16"/>
  <c r="J1879" i="16"/>
  <c r="J1880" i="16"/>
  <c r="J1881" i="16"/>
  <c r="J1882" i="16"/>
  <c r="J1883" i="16"/>
  <c r="J1884" i="16"/>
  <c r="J1885" i="16"/>
  <c r="J1886" i="16"/>
  <c r="J1887" i="16"/>
  <c r="J1888" i="16"/>
  <c r="J1889" i="16"/>
  <c r="J1890" i="16"/>
  <c r="J1891" i="16"/>
  <c r="J1892" i="16"/>
  <c r="J1893" i="16"/>
  <c r="J1894" i="16"/>
  <c r="J1895" i="16"/>
  <c r="J1896" i="16"/>
  <c r="J1897" i="16"/>
  <c r="J1898" i="16"/>
  <c r="J1899" i="16"/>
  <c r="J1900" i="16"/>
  <c r="J1901" i="16"/>
  <c r="J1902" i="16"/>
  <c r="J1903" i="16"/>
  <c r="J1904" i="16"/>
  <c r="J1905" i="16"/>
  <c r="J1906" i="16"/>
  <c r="J1907" i="16"/>
  <c r="J1908" i="16"/>
  <c r="J1909" i="16"/>
  <c r="J1910" i="16"/>
  <c r="J1911" i="16"/>
  <c r="J1912" i="16"/>
  <c r="J1913" i="16"/>
  <c r="J1914" i="16"/>
  <c r="J1915" i="16"/>
  <c r="J1916" i="16"/>
  <c r="J1917" i="16"/>
  <c r="J1918" i="16"/>
  <c r="J1919" i="16"/>
  <c r="J1920" i="16"/>
  <c r="J1921" i="16"/>
  <c r="J1922" i="16"/>
  <c r="J1923" i="16"/>
  <c r="J1924" i="16"/>
  <c r="J1925" i="16"/>
  <c r="J1926" i="16"/>
  <c r="J1927" i="16"/>
  <c r="J1928" i="16"/>
  <c r="J1929" i="16"/>
  <c r="J1930" i="16"/>
  <c r="J1931" i="16"/>
  <c r="J1932" i="16"/>
  <c r="J1933" i="16"/>
  <c r="J1934" i="16"/>
  <c r="J1935" i="16"/>
  <c r="J1936" i="16"/>
  <c r="J1937" i="16"/>
  <c r="J1938" i="16"/>
  <c r="J1939" i="16"/>
  <c r="J1940" i="16"/>
  <c r="J1941" i="16"/>
  <c r="J1942" i="16"/>
  <c r="J1943" i="16"/>
  <c r="J1944" i="16"/>
  <c r="J1945" i="16"/>
  <c r="J1946" i="16"/>
  <c r="J1947" i="16"/>
  <c r="J1948" i="16"/>
  <c r="J1949" i="16"/>
  <c r="J1950" i="16"/>
  <c r="J1951" i="16"/>
  <c r="J1952" i="16"/>
  <c r="J1953" i="16"/>
  <c r="J1954" i="16"/>
  <c r="J1955" i="16"/>
  <c r="J1956" i="16"/>
  <c r="J1957" i="16"/>
  <c r="J1958" i="16"/>
  <c r="J1959" i="16"/>
  <c r="J1960" i="16"/>
  <c r="J1961" i="16"/>
  <c r="J1962" i="16"/>
  <c r="J1963" i="16"/>
  <c r="J1964" i="16"/>
  <c r="J1965" i="16"/>
  <c r="J1966" i="16"/>
  <c r="J1967" i="16"/>
  <c r="J1968" i="16"/>
  <c r="J1969" i="16"/>
  <c r="J1970" i="16"/>
  <c r="J1971" i="16"/>
  <c r="J1972" i="16"/>
  <c r="J1973" i="16"/>
  <c r="J1974" i="16"/>
  <c r="J1975" i="16"/>
  <c r="J1976" i="16"/>
  <c r="J1977" i="16"/>
  <c r="J1978" i="16"/>
  <c r="J1979" i="16"/>
  <c r="J1980" i="16"/>
  <c r="J1981" i="16"/>
  <c r="J1982" i="16"/>
  <c r="J1983" i="16"/>
  <c r="J1984" i="16"/>
  <c r="J1985" i="16"/>
  <c r="J1986" i="16"/>
  <c r="J1987" i="16"/>
  <c r="J1988" i="16"/>
  <c r="J1989" i="16"/>
  <c r="J1990" i="16"/>
  <c r="J1991" i="16"/>
  <c r="J1992" i="16"/>
  <c r="J1993" i="16"/>
  <c r="J1994" i="16"/>
  <c r="J1995" i="16"/>
  <c r="J1996" i="16"/>
  <c r="J1997" i="16"/>
  <c r="J1998" i="16"/>
  <c r="J1999" i="16"/>
  <c r="J2000" i="16"/>
  <c r="J2001" i="16"/>
  <c r="J2002" i="16"/>
  <c r="J2003" i="16"/>
  <c r="J2004" i="16"/>
  <c r="J2005" i="16"/>
  <c r="J2006" i="16"/>
  <c r="J2007" i="16"/>
  <c r="J2008" i="16"/>
  <c r="J2009" i="16"/>
  <c r="J2010" i="16"/>
  <c r="J2011" i="16"/>
  <c r="J2012" i="16"/>
  <c r="J2013" i="16"/>
  <c r="J2014" i="16"/>
  <c r="J2015" i="16"/>
  <c r="J2016" i="16"/>
  <c r="J2017" i="16"/>
  <c r="J2018" i="16"/>
  <c r="J2019" i="16"/>
  <c r="J2020" i="16"/>
  <c r="J2021" i="16"/>
  <c r="J2022" i="16"/>
  <c r="J2023" i="16"/>
  <c r="J2024" i="16"/>
  <c r="J2025" i="16"/>
  <c r="J2026" i="16"/>
  <c r="J2027" i="16"/>
  <c r="J2028" i="16"/>
  <c r="J2029" i="16"/>
  <c r="J2030" i="16"/>
  <c r="J2031" i="16"/>
  <c r="J2032" i="16"/>
  <c r="J2033" i="16"/>
  <c r="J2034" i="16"/>
  <c r="J2035" i="16"/>
  <c r="J2036" i="16"/>
  <c r="J2037" i="16"/>
  <c r="J2038" i="16"/>
  <c r="J2039" i="16"/>
  <c r="J2040" i="16"/>
  <c r="J2041" i="16"/>
  <c r="J2042" i="16"/>
  <c r="J2043" i="16"/>
  <c r="J2044" i="16"/>
  <c r="J2045" i="16"/>
  <c r="J2046" i="16"/>
  <c r="J2047" i="16"/>
  <c r="J2048" i="16"/>
  <c r="J2049" i="16"/>
  <c r="J2050" i="16"/>
  <c r="J2051" i="16"/>
  <c r="J2052" i="16"/>
  <c r="J2053" i="16"/>
  <c r="J2054" i="16"/>
  <c r="J2055" i="16"/>
  <c r="J2056" i="16"/>
  <c r="J2057" i="16"/>
  <c r="J2058" i="16"/>
  <c r="J2059" i="16"/>
  <c r="J2060" i="16"/>
  <c r="J2061" i="16"/>
  <c r="J2062" i="16"/>
  <c r="J2063" i="16"/>
  <c r="J2064" i="16"/>
  <c r="J2065" i="16"/>
  <c r="J2066" i="16"/>
  <c r="J2067" i="16"/>
  <c r="J2068" i="16"/>
  <c r="J2069" i="16"/>
  <c r="J2070" i="16"/>
  <c r="J2071" i="16"/>
  <c r="J2072" i="16"/>
  <c r="J2073" i="16"/>
  <c r="J2074" i="16"/>
  <c r="J2075" i="16"/>
  <c r="J2076" i="16"/>
  <c r="J2077" i="16"/>
  <c r="J2078" i="16"/>
  <c r="J2079" i="16"/>
  <c r="J2080" i="16"/>
  <c r="J2081" i="16"/>
  <c r="J2082" i="16"/>
  <c r="J2083" i="16"/>
  <c r="J2084" i="16"/>
  <c r="J2085" i="16"/>
  <c r="J2086" i="16"/>
  <c r="J2087" i="16"/>
  <c r="J2088" i="16"/>
  <c r="J2089" i="16"/>
  <c r="J2090" i="16"/>
  <c r="J2091" i="16"/>
  <c r="J2092" i="16"/>
  <c r="J2093" i="16"/>
  <c r="J2094" i="16"/>
  <c r="J2095" i="16"/>
  <c r="J2096" i="16"/>
  <c r="J2097" i="16"/>
  <c r="J2098" i="16"/>
  <c r="J2099" i="16"/>
  <c r="J2100" i="16"/>
  <c r="J2101" i="16"/>
  <c r="J2102" i="16"/>
  <c r="J2103" i="16"/>
  <c r="J2104" i="16"/>
  <c r="J2105" i="16"/>
  <c r="J2106" i="16"/>
  <c r="J2107" i="16"/>
  <c r="J2108" i="16"/>
  <c r="J2109" i="16"/>
  <c r="J2110" i="16"/>
  <c r="J2111" i="16"/>
  <c r="J2112" i="16"/>
  <c r="J2113" i="16"/>
  <c r="J2114" i="16"/>
  <c r="J2115" i="16"/>
  <c r="J2116" i="16"/>
  <c r="J2117" i="16"/>
  <c r="J2118" i="16"/>
  <c r="J2119" i="16"/>
  <c r="J2120" i="16"/>
  <c r="J2121" i="16"/>
  <c r="J2122" i="16"/>
  <c r="J2123" i="16"/>
  <c r="J2124" i="16"/>
  <c r="J2125" i="16"/>
  <c r="J2126" i="16"/>
  <c r="J2127" i="16"/>
  <c r="J2128" i="16"/>
  <c r="J2129" i="16"/>
  <c r="J2130" i="16"/>
  <c r="J2131" i="16"/>
  <c r="J2132" i="16"/>
  <c r="J2133" i="16"/>
  <c r="J2134" i="16"/>
  <c r="J2135" i="16"/>
  <c r="J2136" i="16"/>
  <c r="J2137" i="16"/>
  <c r="J2138" i="16"/>
  <c r="J2139" i="16"/>
  <c r="J2140" i="16"/>
  <c r="J2141" i="16"/>
  <c r="J2142" i="16"/>
  <c r="J2143" i="16"/>
  <c r="J2144" i="16"/>
  <c r="J2145" i="16"/>
  <c r="J2146" i="16"/>
  <c r="J2147" i="16"/>
  <c r="J2148" i="16"/>
  <c r="J2149" i="16"/>
  <c r="J2150" i="16"/>
  <c r="J2151" i="16"/>
  <c r="J2152" i="16"/>
  <c r="J2153" i="16"/>
  <c r="J2154" i="16"/>
  <c r="J2155" i="16"/>
  <c r="J2156" i="16"/>
  <c r="J2157" i="16"/>
  <c r="J2158" i="16"/>
  <c r="J2159" i="16"/>
  <c r="J2160" i="16"/>
  <c r="J2161" i="16"/>
  <c r="J2162" i="16"/>
  <c r="J2163" i="16"/>
  <c r="J2164" i="16"/>
  <c r="J2165" i="16"/>
  <c r="J2166" i="16"/>
  <c r="J2167" i="16"/>
  <c r="J2168" i="16"/>
  <c r="J2169" i="16"/>
  <c r="J2170" i="16"/>
  <c r="J2171" i="16"/>
  <c r="J2172" i="16"/>
  <c r="J2173" i="16"/>
  <c r="J2174" i="16"/>
  <c r="J2175" i="16"/>
  <c r="J2176" i="16"/>
  <c r="J2177" i="16"/>
  <c r="J2178" i="16"/>
  <c r="J2179" i="16"/>
  <c r="J2180" i="16"/>
  <c r="J2181" i="16"/>
  <c r="J2182" i="16"/>
  <c r="J2183" i="16"/>
  <c r="J2184" i="16"/>
  <c r="J2185" i="16"/>
  <c r="J2186" i="16"/>
  <c r="J2187" i="16"/>
  <c r="J2188" i="16"/>
  <c r="J2189" i="16"/>
  <c r="J2190" i="16"/>
  <c r="J2191" i="16"/>
  <c r="J2192" i="16"/>
  <c r="J2193" i="16"/>
  <c r="J2194" i="16"/>
  <c r="J2195" i="16"/>
  <c r="J2196" i="16"/>
  <c r="J2197" i="16"/>
  <c r="J2198" i="16"/>
  <c r="J2199" i="16"/>
  <c r="J2200" i="16"/>
  <c r="J2201" i="16"/>
  <c r="J2202" i="16"/>
  <c r="J2203" i="16"/>
  <c r="J2204" i="16"/>
  <c r="J2205" i="16"/>
  <c r="J2206" i="16"/>
  <c r="J2207" i="16"/>
  <c r="J2208" i="16"/>
  <c r="J2209" i="16"/>
  <c r="J2210" i="16"/>
  <c r="J2211" i="16"/>
  <c r="J2212" i="16"/>
  <c r="J2213" i="16"/>
  <c r="J2214" i="16"/>
  <c r="J2215" i="16"/>
  <c r="J2216" i="16"/>
  <c r="J2217" i="16"/>
  <c r="J2218" i="16"/>
  <c r="J2219" i="16"/>
  <c r="J2220" i="16"/>
  <c r="J2221" i="16"/>
  <c r="J2222" i="16"/>
  <c r="J2223" i="16"/>
  <c r="J2224" i="16"/>
  <c r="J2225" i="16"/>
  <c r="J2226" i="16"/>
  <c r="J2227" i="16"/>
  <c r="J2228" i="16"/>
  <c r="J2229" i="16"/>
  <c r="J2230" i="16"/>
  <c r="J2231" i="16"/>
  <c r="J2232" i="16"/>
  <c r="J2233" i="16"/>
  <c r="J2234" i="16"/>
  <c r="J2235" i="16"/>
  <c r="J2236" i="16"/>
  <c r="J2237" i="16"/>
  <c r="J2238" i="16"/>
  <c r="J2239" i="16"/>
  <c r="J2240" i="16"/>
  <c r="J2241" i="16"/>
  <c r="J2242" i="16"/>
  <c r="J2243" i="16"/>
  <c r="J2244" i="16"/>
  <c r="J2245" i="16"/>
  <c r="J2246" i="16"/>
  <c r="J2247" i="16"/>
  <c r="J2248" i="16"/>
  <c r="J2249" i="16"/>
  <c r="J2250" i="16"/>
  <c r="J2251" i="16"/>
  <c r="J2252" i="16"/>
  <c r="J2253" i="16"/>
  <c r="J2254" i="16"/>
  <c r="J2255" i="16"/>
  <c r="J2256" i="16"/>
  <c r="J2257" i="16"/>
  <c r="J2258" i="16"/>
  <c r="J2259" i="16"/>
  <c r="J2260" i="16"/>
  <c r="J2261" i="16"/>
  <c r="J2262" i="16"/>
  <c r="J2263" i="16"/>
  <c r="J2264" i="16"/>
  <c r="J2265" i="16"/>
  <c r="J2266" i="16"/>
  <c r="J2267" i="16"/>
  <c r="J2268" i="16"/>
  <c r="J2269" i="16"/>
  <c r="J2270" i="16"/>
  <c r="J2271" i="16"/>
  <c r="J2272" i="16"/>
  <c r="J2273" i="16"/>
  <c r="J2274" i="16"/>
  <c r="J2275" i="16"/>
  <c r="J2276" i="16"/>
  <c r="J2277" i="16"/>
  <c r="J2278" i="16"/>
  <c r="J2279" i="16"/>
  <c r="J2280" i="16"/>
  <c r="J2281" i="16"/>
  <c r="J2282" i="16"/>
  <c r="J2283" i="16"/>
  <c r="J2284" i="16"/>
  <c r="J2285" i="16"/>
  <c r="J2286" i="16"/>
  <c r="J2287" i="16"/>
  <c r="J2288" i="16"/>
  <c r="J2289" i="16"/>
  <c r="J2290" i="16"/>
  <c r="J2291" i="16"/>
  <c r="J2292" i="16"/>
  <c r="J2293" i="16"/>
  <c r="J2294" i="16"/>
  <c r="J2295" i="16"/>
  <c r="J2296" i="16"/>
  <c r="J2297" i="16"/>
  <c r="J2298" i="16"/>
  <c r="J2299" i="16"/>
  <c r="J2300" i="16"/>
  <c r="J2301" i="16"/>
  <c r="J2302" i="16"/>
  <c r="J2303" i="16"/>
  <c r="J2304" i="16"/>
  <c r="J2305" i="16"/>
  <c r="J2306" i="16"/>
  <c r="J2307" i="16"/>
  <c r="J2308" i="16"/>
  <c r="J2309" i="16"/>
  <c r="J2310" i="16"/>
  <c r="J2311" i="16"/>
  <c r="J2312" i="16"/>
  <c r="J2313" i="16"/>
  <c r="J2314" i="16"/>
  <c r="J2315" i="16"/>
  <c r="J2316" i="16"/>
  <c r="J2317" i="16"/>
  <c r="J2318" i="16"/>
  <c r="J2319" i="16"/>
  <c r="J2320" i="16"/>
  <c r="J2321" i="16"/>
  <c r="J2322" i="16"/>
  <c r="J2323" i="16"/>
  <c r="J2324" i="16"/>
  <c r="J2325" i="16"/>
  <c r="J2326" i="16"/>
  <c r="J2327" i="16"/>
  <c r="J2328" i="16"/>
  <c r="J2329" i="16"/>
  <c r="J2330" i="16"/>
  <c r="J2331" i="16"/>
  <c r="J2332" i="16"/>
  <c r="J2333" i="16"/>
  <c r="J2334" i="16"/>
  <c r="J2335" i="16"/>
  <c r="J2336" i="16"/>
  <c r="J2337" i="16"/>
  <c r="J2338" i="16"/>
  <c r="J2339" i="16"/>
  <c r="J2340" i="16"/>
  <c r="J2341" i="16"/>
  <c r="J2342" i="16"/>
  <c r="J2343" i="16"/>
  <c r="J2344" i="16"/>
  <c r="J2345" i="16"/>
  <c r="J2346" i="16"/>
  <c r="J2347" i="16"/>
  <c r="J2348" i="16"/>
  <c r="J2349" i="16"/>
  <c r="J2350" i="16"/>
  <c r="J2351" i="16"/>
  <c r="J2352" i="16"/>
  <c r="J2353" i="16"/>
  <c r="J2354" i="16"/>
  <c r="J2355" i="16"/>
  <c r="J2356" i="16"/>
  <c r="J2357" i="16"/>
  <c r="J2358" i="16"/>
  <c r="J2359" i="16"/>
  <c r="J2360" i="16"/>
  <c r="J2361" i="16"/>
  <c r="J2362" i="16"/>
  <c r="J2363" i="16"/>
  <c r="J2364" i="16"/>
  <c r="J2365" i="16"/>
  <c r="J2366" i="16"/>
  <c r="J2367" i="16"/>
  <c r="J2368" i="16"/>
  <c r="J2369" i="16"/>
  <c r="J2370" i="16"/>
  <c r="J2371" i="16"/>
  <c r="J2372" i="16"/>
  <c r="J2373" i="16"/>
  <c r="J2374" i="16"/>
  <c r="J2375" i="16"/>
  <c r="J2376" i="16"/>
  <c r="J2377" i="16"/>
  <c r="J2378" i="16"/>
  <c r="J2379" i="16"/>
  <c r="J2380" i="16"/>
  <c r="J2381" i="16"/>
  <c r="J2382" i="16"/>
  <c r="J2383" i="16"/>
  <c r="J2384" i="16"/>
  <c r="J2385" i="16"/>
  <c r="J2386" i="16"/>
  <c r="J2387" i="16"/>
  <c r="J2388" i="16"/>
  <c r="J2389" i="16"/>
  <c r="J2390" i="16"/>
  <c r="J2391" i="16"/>
  <c r="J2392" i="16"/>
  <c r="J2393" i="16"/>
  <c r="J2394" i="16"/>
  <c r="J2395" i="16"/>
  <c r="J2396" i="16"/>
  <c r="J2397" i="16"/>
  <c r="J2398" i="16"/>
  <c r="J2399" i="16"/>
  <c r="J2400" i="16"/>
  <c r="J2401" i="16"/>
  <c r="J2402" i="16"/>
  <c r="J2403" i="16"/>
  <c r="J2404" i="16"/>
  <c r="J2405" i="16"/>
  <c r="J2406" i="16"/>
  <c r="J2407" i="16"/>
  <c r="J2408" i="16"/>
  <c r="J2409" i="16"/>
  <c r="J2410" i="16"/>
  <c r="J2411" i="16"/>
  <c r="J2412" i="16"/>
  <c r="J2413" i="16"/>
  <c r="J2414" i="16"/>
  <c r="J2415" i="16"/>
  <c r="J2416" i="16"/>
  <c r="J2417" i="16"/>
  <c r="J2418" i="16"/>
  <c r="J2419" i="16"/>
  <c r="J2420" i="16"/>
  <c r="J2421" i="16"/>
  <c r="J2422" i="16"/>
  <c r="J2423" i="16"/>
  <c r="J2424" i="16"/>
  <c r="J2425" i="16"/>
  <c r="J2426" i="16"/>
  <c r="J2427" i="16"/>
  <c r="J2428" i="16"/>
  <c r="J2429" i="16"/>
  <c r="J2430" i="16"/>
  <c r="J2431" i="16"/>
  <c r="J2432" i="16"/>
  <c r="J2433" i="16"/>
  <c r="J2434" i="16"/>
  <c r="J2435" i="16"/>
  <c r="J2436" i="16"/>
  <c r="J2437" i="16"/>
  <c r="J2438" i="16"/>
  <c r="J2439" i="16"/>
  <c r="J2440" i="16"/>
  <c r="J2441" i="16"/>
  <c r="J2442" i="16"/>
  <c r="J2443" i="16"/>
  <c r="J2444" i="16"/>
  <c r="J2445" i="16"/>
  <c r="J2446" i="16"/>
  <c r="J2447" i="16"/>
  <c r="J2448" i="16"/>
  <c r="J2449" i="16"/>
  <c r="J2450" i="16"/>
  <c r="J2451" i="16"/>
  <c r="J2452" i="16"/>
  <c r="J2453" i="16"/>
  <c r="J2454" i="16"/>
  <c r="J2455" i="16"/>
  <c r="J2456" i="16"/>
  <c r="J2457" i="16"/>
  <c r="J2458" i="16"/>
  <c r="J2459" i="16"/>
  <c r="J2460" i="16"/>
  <c r="J2461" i="16"/>
  <c r="J2462" i="16"/>
  <c r="J2463" i="16"/>
  <c r="J2464" i="16"/>
  <c r="J2465" i="16"/>
  <c r="J2466" i="16"/>
  <c r="J2467" i="16"/>
  <c r="J2468" i="16"/>
  <c r="J2469" i="16"/>
  <c r="J2470" i="16"/>
  <c r="J2471" i="16"/>
  <c r="J2472" i="16"/>
  <c r="J2473" i="16"/>
  <c r="J2474" i="16"/>
  <c r="J2475" i="16"/>
  <c r="J2476" i="16"/>
  <c r="J2477" i="16"/>
  <c r="J2478" i="16"/>
  <c r="J2479" i="16"/>
  <c r="J2480" i="16"/>
  <c r="J2481" i="16"/>
  <c r="J2482" i="16"/>
  <c r="J2483" i="16"/>
  <c r="J2484" i="16"/>
  <c r="J2485" i="16"/>
  <c r="J2486" i="16"/>
  <c r="J2487" i="16"/>
  <c r="J2488" i="16"/>
  <c r="J2489" i="16"/>
  <c r="J2490" i="16"/>
  <c r="J2491" i="16"/>
  <c r="J2492" i="16"/>
  <c r="J2493" i="16"/>
  <c r="J2494" i="16"/>
  <c r="J2495" i="16"/>
  <c r="J2496" i="16"/>
  <c r="J2497" i="16"/>
  <c r="J2498" i="16"/>
  <c r="J2499" i="16"/>
  <c r="J2500" i="16"/>
  <c r="J2501" i="16"/>
  <c r="J2502" i="16"/>
  <c r="J2503" i="16"/>
  <c r="J2504" i="16"/>
  <c r="J2505" i="16"/>
  <c r="J2506" i="16"/>
  <c r="J2507" i="16"/>
  <c r="J2508" i="16"/>
  <c r="J2509" i="16"/>
  <c r="J2510" i="16"/>
  <c r="J2511" i="16"/>
  <c r="J2512" i="16"/>
  <c r="J2513" i="16"/>
  <c r="J2514" i="16"/>
  <c r="J2515" i="16"/>
  <c r="J2516" i="16"/>
  <c r="J2517" i="16"/>
  <c r="J2518" i="16"/>
  <c r="J2519" i="16"/>
  <c r="J2520" i="16"/>
  <c r="J2521" i="16"/>
  <c r="J2522" i="16"/>
  <c r="J2523" i="16"/>
  <c r="J2524" i="16"/>
  <c r="J2525" i="16"/>
  <c r="J2526" i="16"/>
  <c r="J2527" i="16"/>
  <c r="J2528" i="16"/>
  <c r="J2529" i="16"/>
  <c r="J2530" i="16"/>
  <c r="J2531" i="16"/>
  <c r="J2532" i="16"/>
  <c r="J2533" i="16"/>
  <c r="J2534" i="16"/>
  <c r="J2535" i="16"/>
  <c r="J2536" i="16"/>
  <c r="J2537" i="16"/>
  <c r="J2538" i="16"/>
  <c r="J2539" i="16"/>
  <c r="J2540" i="16"/>
  <c r="J2541" i="16"/>
  <c r="J2542" i="16"/>
  <c r="J2543" i="16"/>
  <c r="J2544" i="16"/>
  <c r="J2545" i="16"/>
  <c r="J2546" i="16"/>
  <c r="J2547" i="16"/>
  <c r="J2548" i="16"/>
  <c r="J2549" i="16"/>
  <c r="J2550" i="16"/>
  <c r="J2551" i="16"/>
  <c r="J2552" i="16"/>
  <c r="J2553" i="16"/>
  <c r="J2554" i="16"/>
  <c r="J2555" i="16"/>
  <c r="J2556" i="16"/>
  <c r="J2557" i="16"/>
  <c r="J2558" i="16"/>
  <c r="J2559" i="16"/>
  <c r="J2560" i="16"/>
  <c r="J2561" i="16"/>
  <c r="J2562" i="16"/>
  <c r="J2563" i="16"/>
  <c r="J2564" i="16"/>
  <c r="J2565" i="16"/>
  <c r="J2566" i="16"/>
  <c r="J2567" i="16"/>
  <c r="J2568" i="16"/>
  <c r="J2569" i="16"/>
  <c r="J2570" i="16"/>
  <c r="J2571" i="16"/>
  <c r="J2572" i="16"/>
  <c r="J2573" i="16"/>
  <c r="J2574" i="16"/>
  <c r="J2575" i="16"/>
  <c r="J2576" i="16"/>
  <c r="J2577" i="16"/>
  <c r="J2578" i="16"/>
  <c r="J2579" i="16"/>
  <c r="J2580" i="16"/>
  <c r="J2581" i="16"/>
  <c r="J2582" i="16"/>
  <c r="J2583" i="16"/>
  <c r="J2584" i="16"/>
  <c r="J2585" i="16"/>
  <c r="J2586" i="16"/>
  <c r="J2587" i="16"/>
  <c r="J2588" i="16"/>
  <c r="J2589" i="16"/>
  <c r="J2590" i="16"/>
  <c r="J2591" i="16"/>
  <c r="J2592" i="16"/>
  <c r="J2593" i="16"/>
  <c r="J2594" i="16"/>
  <c r="J2595" i="16"/>
  <c r="J2596" i="16"/>
  <c r="J2597" i="16"/>
  <c r="J2598" i="16"/>
  <c r="J2599" i="16"/>
  <c r="J2600" i="16"/>
  <c r="J2601" i="16"/>
  <c r="J2602" i="16"/>
  <c r="J2603" i="16"/>
  <c r="J2604" i="16"/>
  <c r="J2605" i="16"/>
  <c r="J2606" i="16"/>
  <c r="J2607" i="16"/>
  <c r="J2608" i="16"/>
  <c r="J2609" i="16"/>
  <c r="J2610" i="16"/>
  <c r="J2611" i="16"/>
  <c r="J2612" i="16"/>
  <c r="J2613" i="16"/>
  <c r="J2614" i="16"/>
  <c r="J2615" i="16"/>
  <c r="J2616" i="16"/>
  <c r="J2617" i="16"/>
  <c r="J2618" i="16"/>
  <c r="J2619" i="16"/>
  <c r="J2620" i="16"/>
  <c r="J2621" i="16"/>
  <c r="J2622" i="16"/>
  <c r="J2623" i="16"/>
  <c r="J2624" i="16"/>
  <c r="J2625" i="16"/>
  <c r="J2626" i="16"/>
  <c r="J2627" i="16"/>
  <c r="J2628" i="16"/>
  <c r="J2629" i="16"/>
  <c r="J2630" i="16"/>
  <c r="J2631" i="16"/>
  <c r="J2632" i="16"/>
  <c r="J2633" i="16"/>
  <c r="J2634" i="16"/>
  <c r="J2635" i="16"/>
  <c r="J2636" i="16"/>
  <c r="J2637" i="16"/>
  <c r="J2638" i="16"/>
  <c r="J2639" i="16"/>
  <c r="J2640" i="16"/>
  <c r="J2641" i="16"/>
  <c r="J2642" i="16"/>
  <c r="J2643" i="16"/>
  <c r="J2644" i="16"/>
  <c r="J2645" i="16"/>
  <c r="J2646" i="16"/>
  <c r="J2647" i="16"/>
  <c r="J2648" i="16"/>
  <c r="J2649" i="16"/>
  <c r="J2650" i="16"/>
  <c r="J2651" i="16"/>
  <c r="J2652" i="16"/>
  <c r="J2653" i="16"/>
  <c r="J2654" i="16"/>
  <c r="J2655" i="16"/>
  <c r="J2656" i="16"/>
  <c r="J2657" i="16"/>
  <c r="J2658" i="16"/>
  <c r="J2659" i="16"/>
  <c r="J2660" i="16"/>
  <c r="J2661" i="16"/>
  <c r="J2662" i="16"/>
  <c r="J2663" i="16"/>
  <c r="J2664" i="16"/>
  <c r="J2665" i="16"/>
  <c r="J2666" i="16"/>
  <c r="J2667" i="16"/>
  <c r="J2668" i="16"/>
  <c r="J2669" i="16"/>
  <c r="J2670" i="16"/>
  <c r="J2671" i="16"/>
  <c r="J2672" i="16"/>
  <c r="J2673" i="16"/>
  <c r="J2674" i="16"/>
  <c r="J2675" i="16"/>
  <c r="J2676" i="16"/>
  <c r="J2677" i="16"/>
  <c r="J2678" i="16"/>
  <c r="J2679" i="16"/>
  <c r="J2680" i="16"/>
  <c r="J2681" i="16"/>
  <c r="J2682" i="16"/>
  <c r="J2683" i="16"/>
  <c r="J2684" i="16"/>
  <c r="J2685" i="16"/>
  <c r="J2686" i="16"/>
  <c r="J2687" i="16"/>
  <c r="J2688" i="16"/>
  <c r="J2689" i="16"/>
  <c r="J2690" i="16"/>
  <c r="J2691" i="16"/>
  <c r="J2692" i="16"/>
  <c r="J2693" i="16"/>
  <c r="J2694" i="16"/>
  <c r="J2695" i="16"/>
  <c r="J2696" i="16"/>
  <c r="J2697" i="16"/>
  <c r="J2698" i="16"/>
  <c r="J2699" i="16"/>
  <c r="J2700" i="16"/>
  <c r="J2701" i="16"/>
  <c r="J2702" i="16"/>
  <c r="J2703" i="16"/>
  <c r="J2704" i="16"/>
  <c r="J2705" i="16"/>
  <c r="J2706" i="16"/>
  <c r="J2707" i="16"/>
  <c r="J2708" i="16"/>
  <c r="J2709" i="16"/>
  <c r="J2710" i="16"/>
  <c r="J2711" i="16"/>
  <c r="J2712" i="16"/>
  <c r="J2713" i="16"/>
  <c r="J2714" i="16"/>
  <c r="J2715" i="16"/>
  <c r="J2716" i="16"/>
  <c r="J2717" i="16"/>
  <c r="J2718" i="16"/>
  <c r="J2719" i="16"/>
  <c r="J2720" i="16"/>
  <c r="J2721" i="16"/>
  <c r="J2722" i="16"/>
  <c r="J2723" i="16"/>
  <c r="J2724" i="16"/>
  <c r="J2725" i="16"/>
  <c r="J2726" i="16"/>
  <c r="J2727" i="16"/>
  <c r="J2728" i="16"/>
  <c r="J2729" i="16"/>
  <c r="J2730" i="16"/>
  <c r="J2731" i="16"/>
  <c r="J2732" i="16"/>
  <c r="J2733" i="16"/>
  <c r="J2734" i="16"/>
  <c r="J2735" i="16"/>
  <c r="J2736" i="16"/>
  <c r="J2737" i="16"/>
  <c r="J2738" i="16"/>
  <c r="J2739" i="16"/>
  <c r="J2740" i="16"/>
  <c r="J2741" i="16"/>
  <c r="J2742" i="16"/>
  <c r="J2743" i="16"/>
  <c r="J2744" i="16"/>
  <c r="J2745" i="16"/>
  <c r="J2746" i="16"/>
  <c r="J2747" i="16"/>
  <c r="J2748" i="16"/>
  <c r="J2749" i="16"/>
  <c r="J2750" i="16"/>
  <c r="J2751" i="16"/>
  <c r="J2752" i="16"/>
  <c r="J2753" i="16"/>
  <c r="J2754" i="16"/>
  <c r="J2755" i="16"/>
  <c r="J2756" i="16"/>
  <c r="J2757" i="16"/>
  <c r="J2758" i="16"/>
  <c r="J2759" i="16"/>
  <c r="J2760" i="16"/>
  <c r="J2761" i="16"/>
  <c r="J2762" i="16"/>
  <c r="J2763" i="16"/>
  <c r="J2764" i="16"/>
  <c r="J2765" i="16"/>
  <c r="J2766" i="16"/>
  <c r="J2767" i="16"/>
  <c r="J2768" i="16"/>
  <c r="J2769" i="16"/>
  <c r="J2770" i="16"/>
  <c r="J2771" i="16"/>
  <c r="J2772" i="16"/>
  <c r="J2773" i="16"/>
  <c r="J2774" i="16"/>
  <c r="J2775" i="16"/>
  <c r="J2776" i="16"/>
  <c r="J2777" i="16"/>
  <c r="J2778" i="16"/>
  <c r="J2779" i="16"/>
  <c r="J2780" i="16"/>
  <c r="J2781" i="16"/>
  <c r="J2782" i="16"/>
  <c r="J2783" i="16"/>
  <c r="J2784" i="16"/>
  <c r="J2785" i="16"/>
  <c r="J2786" i="16"/>
  <c r="J2787" i="16"/>
  <c r="J2788" i="16"/>
  <c r="J2789" i="16"/>
  <c r="J2790" i="16"/>
  <c r="J2791" i="16"/>
  <c r="J2792" i="16"/>
  <c r="J2793" i="16"/>
  <c r="J2794" i="16"/>
  <c r="J2795" i="16"/>
  <c r="J2796" i="16"/>
  <c r="J2797" i="16"/>
  <c r="J2798" i="16"/>
  <c r="J2799" i="16"/>
  <c r="J2800" i="16"/>
  <c r="J2801" i="16"/>
  <c r="J2" i="16"/>
  <c r="H3" i="16"/>
  <c r="H20" i="16"/>
  <c r="H42" i="16"/>
  <c r="H53" i="16"/>
  <c r="H54" i="16"/>
  <c r="H57" i="16"/>
  <c r="H61" i="16"/>
  <c r="H64" i="16"/>
  <c r="H65" i="16"/>
  <c r="H84" i="16"/>
  <c r="H85" i="16"/>
  <c r="H90" i="16"/>
  <c r="H96" i="16"/>
  <c r="H97" i="16"/>
  <c r="H98" i="16"/>
  <c r="H100" i="16"/>
  <c r="H125" i="16"/>
  <c r="H127" i="16"/>
  <c r="H130" i="16"/>
  <c r="H131" i="16"/>
  <c r="H145" i="16"/>
  <c r="H149" i="16"/>
  <c r="H156" i="16"/>
  <c r="H162" i="16"/>
  <c r="H164" i="16"/>
  <c r="H169" i="16"/>
  <c r="H173" i="16"/>
  <c r="H175" i="16"/>
  <c r="H177" i="16"/>
  <c r="H179" i="16"/>
  <c r="H181" i="16"/>
  <c r="H182" i="16"/>
  <c r="H188" i="16"/>
  <c r="H189" i="16"/>
  <c r="H191" i="16"/>
  <c r="H200" i="16"/>
  <c r="H205" i="16"/>
  <c r="H211" i="16"/>
  <c r="H222" i="16"/>
  <c r="H234" i="16"/>
  <c r="G417" i="16"/>
  <c r="H417" i="16" s="1"/>
  <c r="G408" i="16"/>
  <c r="H408" i="16" s="1"/>
  <c r="G404" i="16"/>
  <c r="H404" i="16" s="1"/>
  <c r="G402" i="16"/>
  <c r="H402" i="16" s="1"/>
  <c r="G400" i="16"/>
  <c r="H400" i="16" s="1"/>
  <c r="G397" i="16"/>
  <c r="H397" i="16" s="1"/>
  <c r="G396" i="16"/>
  <c r="H396" i="16" s="1"/>
  <c r="G391" i="16"/>
  <c r="H391" i="16" s="1"/>
  <c r="G390" i="16"/>
  <c r="H390" i="16" s="1"/>
  <c r="G384" i="16"/>
  <c r="H384" i="16" s="1"/>
  <c r="G377" i="16"/>
  <c r="H377" i="16" s="1"/>
  <c r="G375" i="16"/>
  <c r="H375" i="16" s="1"/>
  <c r="G373" i="16"/>
  <c r="H373" i="16" s="1"/>
  <c r="G371" i="16"/>
  <c r="H371" i="16" s="1"/>
  <c r="G370" i="16"/>
  <c r="H370" i="16" s="1"/>
  <c r="G367" i="16"/>
  <c r="H367" i="16" s="1"/>
  <c r="G364" i="16"/>
  <c r="H364" i="16" s="1"/>
  <c r="G362" i="16"/>
  <c r="H362" i="16" s="1"/>
  <c r="G360" i="16"/>
  <c r="H360" i="16" s="1"/>
  <c r="G359" i="16"/>
  <c r="H359" i="16" s="1"/>
  <c r="G353" i="16"/>
  <c r="H353" i="16" s="1"/>
  <c r="G349" i="16"/>
  <c r="H349" i="16" s="1"/>
  <c r="G342" i="16"/>
  <c r="H342" i="16" s="1"/>
  <c r="G341" i="16"/>
  <c r="H341" i="16" s="1"/>
  <c r="G335" i="16"/>
  <c r="H335" i="16" s="1"/>
  <c r="G332" i="16"/>
  <c r="H332" i="16" s="1"/>
  <c r="G331" i="16"/>
  <c r="H331" i="16" s="1"/>
  <c r="G329" i="16"/>
  <c r="H329" i="16" s="1"/>
  <c r="G328" i="16"/>
  <c r="H328" i="16" s="1"/>
  <c r="G327" i="16"/>
  <c r="H327" i="16" s="1"/>
  <c r="G321" i="16"/>
  <c r="H321" i="16" s="1"/>
  <c r="G320" i="16"/>
  <c r="H320" i="16" s="1"/>
  <c r="G319" i="16"/>
  <c r="H319" i="16" s="1"/>
  <c r="G318" i="16"/>
  <c r="H318" i="16" s="1"/>
  <c r="G317" i="16"/>
  <c r="H317" i="16" s="1"/>
  <c r="G314" i="16"/>
  <c r="H314" i="16" s="1"/>
  <c r="G307" i="16"/>
  <c r="H307" i="16" s="1"/>
  <c r="G298" i="16"/>
  <c r="H298" i="16" s="1"/>
  <c r="G292" i="16"/>
  <c r="H292" i="16" s="1"/>
  <c r="G284" i="16"/>
  <c r="H284" i="16" s="1"/>
  <c r="G278" i="16"/>
  <c r="H278" i="16" s="1"/>
  <c r="G276" i="16"/>
  <c r="H276" i="16" s="1"/>
  <c r="G275" i="16"/>
  <c r="H275" i="16" s="1"/>
  <c r="G269" i="16"/>
  <c r="H269" i="16" s="1"/>
  <c r="G268" i="16"/>
  <c r="H268" i="16" s="1"/>
  <c r="G265" i="16"/>
  <c r="H265" i="16" s="1"/>
  <c r="G4" i="16"/>
  <c r="H4" i="16" s="1"/>
  <c r="G5" i="16"/>
  <c r="H5" i="16" s="1"/>
  <c r="G6" i="16"/>
  <c r="H6" i="16" s="1"/>
  <c r="G7" i="16"/>
  <c r="H7" i="16" s="1"/>
  <c r="G8" i="16"/>
  <c r="H8" i="16" s="1"/>
  <c r="G9" i="16"/>
  <c r="H9" i="16" s="1"/>
  <c r="G10" i="16"/>
  <c r="H10" i="16" s="1"/>
  <c r="G11" i="16"/>
  <c r="H11" i="16" s="1"/>
  <c r="G12" i="16"/>
  <c r="H12" i="16" s="1"/>
  <c r="G13" i="16"/>
  <c r="H13" i="16" s="1"/>
  <c r="G14" i="16"/>
  <c r="H14" i="16" s="1"/>
  <c r="G15" i="16"/>
  <c r="H15" i="16" s="1"/>
  <c r="G16" i="16"/>
  <c r="H16" i="16" s="1"/>
  <c r="G17" i="16"/>
  <c r="H17" i="16" s="1"/>
  <c r="G18" i="16"/>
  <c r="H18" i="16" s="1"/>
  <c r="G19" i="16"/>
  <c r="H19" i="16" s="1"/>
  <c r="G21" i="16"/>
  <c r="H21" i="16" s="1"/>
  <c r="G22" i="16"/>
  <c r="H22" i="16" s="1"/>
  <c r="G23" i="16"/>
  <c r="H23" i="16" s="1"/>
  <c r="G24" i="16"/>
  <c r="H24" i="16" s="1"/>
  <c r="G25" i="16"/>
  <c r="H25" i="16" s="1"/>
  <c r="G26" i="16"/>
  <c r="H26" i="16" s="1"/>
  <c r="G27" i="16"/>
  <c r="H27" i="16" s="1"/>
  <c r="G28" i="16"/>
  <c r="H28" i="16" s="1"/>
  <c r="G29" i="16"/>
  <c r="H29" i="16" s="1"/>
  <c r="G30" i="16"/>
  <c r="H30" i="16" s="1"/>
  <c r="G31" i="16"/>
  <c r="H31" i="16" s="1"/>
  <c r="G32" i="16"/>
  <c r="H32" i="16" s="1"/>
  <c r="G33" i="16"/>
  <c r="H33" i="16" s="1"/>
  <c r="G34" i="16"/>
  <c r="H34" i="16" s="1"/>
  <c r="G35" i="16"/>
  <c r="H35" i="16" s="1"/>
  <c r="G36" i="16"/>
  <c r="H36" i="16" s="1"/>
  <c r="G37" i="16"/>
  <c r="H37" i="16" s="1"/>
  <c r="G38" i="16"/>
  <c r="H38" i="16" s="1"/>
  <c r="G39" i="16"/>
  <c r="H39" i="16" s="1"/>
  <c r="G40" i="16"/>
  <c r="H40" i="16" s="1"/>
  <c r="G41" i="16"/>
  <c r="H41" i="16" s="1"/>
  <c r="G43" i="16"/>
  <c r="H43" i="16" s="1"/>
  <c r="G44" i="16"/>
  <c r="H44" i="16" s="1"/>
  <c r="G45" i="16"/>
  <c r="H45" i="16" s="1"/>
  <c r="G46" i="16"/>
  <c r="H46" i="16" s="1"/>
  <c r="G47" i="16"/>
  <c r="H47" i="16" s="1"/>
  <c r="G48" i="16"/>
  <c r="H48" i="16" s="1"/>
  <c r="G49" i="16"/>
  <c r="H49" i="16" s="1"/>
  <c r="G50" i="16"/>
  <c r="H50" i="16" s="1"/>
  <c r="G51" i="16"/>
  <c r="H51" i="16" s="1"/>
  <c r="G52" i="16"/>
  <c r="H52" i="16" s="1"/>
  <c r="G55" i="16"/>
  <c r="H55" i="16" s="1"/>
  <c r="G56" i="16"/>
  <c r="H56" i="16" s="1"/>
  <c r="G58" i="16"/>
  <c r="H58" i="16" s="1"/>
  <c r="G59" i="16"/>
  <c r="H59" i="16" s="1"/>
  <c r="G60" i="16"/>
  <c r="H60" i="16" s="1"/>
  <c r="G62" i="16"/>
  <c r="H62" i="16" s="1"/>
  <c r="G63" i="16"/>
  <c r="H63" i="16" s="1"/>
  <c r="G66" i="16"/>
  <c r="H66" i="16" s="1"/>
  <c r="G67" i="16"/>
  <c r="H67" i="16" s="1"/>
  <c r="G68" i="16"/>
  <c r="H68" i="16" s="1"/>
  <c r="G69" i="16"/>
  <c r="H69" i="16" s="1"/>
  <c r="G70" i="16"/>
  <c r="H70" i="16" s="1"/>
  <c r="G71" i="16"/>
  <c r="H71" i="16" s="1"/>
  <c r="G72" i="16"/>
  <c r="H72" i="16" s="1"/>
  <c r="G73" i="16"/>
  <c r="H73" i="16" s="1"/>
  <c r="G74" i="16"/>
  <c r="H74" i="16" s="1"/>
  <c r="G75" i="16"/>
  <c r="H75" i="16" s="1"/>
  <c r="G76" i="16"/>
  <c r="H76" i="16" s="1"/>
  <c r="G77" i="16"/>
  <c r="H77" i="16" s="1"/>
  <c r="G78" i="16"/>
  <c r="H78" i="16" s="1"/>
  <c r="G79" i="16"/>
  <c r="H79" i="16" s="1"/>
  <c r="G80" i="16"/>
  <c r="H80" i="16" s="1"/>
  <c r="G81" i="16"/>
  <c r="H81" i="16" s="1"/>
  <c r="G82" i="16"/>
  <c r="H82" i="16" s="1"/>
  <c r="G83" i="16"/>
  <c r="H83" i="16" s="1"/>
  <c r="G86" i="16"/>
  <c r="H86" i="16" s="1"/>
  <c r="G87" i="16"/>
  <c r="H87" i="16" s="1"/>
  <c r="G88" i="16"/>
  <c r="H88" i="16" s="1"/>
  <c r="G89" i="16"/>
  <c r="H89" i="16" s="1"/>
  <c r="G91" i="16"/>
  <c r="H91" i="16" s="1"/>
  <c r="G92" i="16"/>
  <c r="H92" i="16" s="1"/>
  <c r="G93" i="16"/>
  <c r="H93" i="16" s="1"/>
  <c r="G94" i="16"/>
  <c r="H94" i="16" s="1"/>
  <c r="G95" i="16"/>
  <c r="H95" i="16" s="1"/>
  <c r="G99" i="16"/>
  <c r="H99" i="16" s="1"/>
  <c r="G101" i="16"/>
  <c r="H101" i="16" s="1"/>
  <c r="G102" i="16"/>
  <c r="H102" i="16" s="1"/>
  <c r="G103" i="16"/>
  <c r="H103" i="16" s="1"/>
  <c r="G104" i="16"/>
  <c r="H104" i="16" s="1"/>
  <c r="G105" i="16"/>
  <c r="H105" i="16" s="1"/>
  <c r="G106" i="16"/>
  <c r="H106" i="16" s="1"/>
  <c r="G107" i="16"/>
  <c r="H107" i="16" s="1"/>
  <c r="G108" i="16"/>
  <c r="H108" i="16" s="1"/>
  <c r="G109" i="16"/>
  <c r="H109" i="16" s="1"/>
  <c r="G110" i="16"/>
  <c r="H110" i="16" s="1"/>
  <c r="G111" i="16"/>
  <c r="H111" i="16" s="1"/>
  <c r="G112" i="16"/>
  <c r="H112" i="16" s="1"/>
  <c r="G113" i="16"/>
  <c r="H113" i="16" s="1"/>
  <c r="G114" i="16"/>
  <c r="H114" i="16" s="1"/>
  <c r="G115" i="16"/>
  <c r="H115" i="16" s="1"/>
  <c r="G116" i="16"/>
  <c r="H116" i="16" s="1"/>
  <c r="G117" i="16"/>
  <c r="H117" i="16" s="1"/>
  <c r="G118" i="16"/>
  <c r="H118" i="16" s="1"/>
  <c r="G119" i="16"/>
  <c r="H119" i="16" s="1"/>
  <c r="G120" i="16"/>
  <c r="H120" i="16" s="1"/>
  <c r="G121" i="16"/>
  <c r="H121" i="16" s="1"/>
  <c r="G122" i="16"/>
  <c r="H122" i="16" s="1"/>
  <c r="G123" i="16"/>
  <c r="H123" i="16" s="1"/>
  <c r="G124" i="16"/>
  <c r="H124" i="16" s="1"/>
  <c r="G126" i="16"/>
  <c r="H126" i="16" s="1"/>
  <c r="G128" i="16"/>
  <c r="H128" i="16" s="1"/>
  <c r="G129" i="16"/>
  <c r="H129" i="16" s="1"/>
  <c r="G132" i="16"/>
  <c r="H132" i="16" s="1"/>
  <c r="G133" i="16"/>
  <c r="H133" i="16" s="1"/>
  <c r="G134" i="16"/>
  <c r="H134" i="16" s="1"/>
  <c r="G135" i="16"/>
  <c r="H135" i="16" s="1"/>
  <c r="G136" i="16"/>
  <c r="H136" i="16" s="1"/>
  <c r="G137" i="16"/>
  <c r="H137" i="16" s="1"/>
  <c r="G138" i="16"/>
  <c r="H138" i="16" s="1"/>
  <c r="G139" i="16"/>
  <c r="H139" i="16" s="1"/>
  <c r="G140" i="16"/>
  <c r="H140" i="16" s="1"/>
  <c r="G141" i="16"/>
  <c r="H141" i="16" s="1"/>
  <c r="G142" i="16"/>
  <c r="H142" i="16" s="1"/>
  <c r="G143" i="16"/>
  <c r="H143" i="16" s="1"/>
  <c r="G144" i="16"/>
  <c r="H144" i="16" s="1"/>
  <c r="G146" i="16"/>
  <c r="H146" i="16" s="1"/>
  <c r="G147" i="16"/>
  <c r="H147" i="16" s="1"/>
  <c r="G148" i="16"/>
  <c r="H148" i="16" s="1"/>
  <c r="G150" i="16"/>
  <c r="H150" i="16" s="1"/>
  <c r="G151" i="16"/>
  <c r="H151" i="16" s="1"/>
  <c r="G152" i="16"/>
  <c r="H152" i="16" s="1"/>
  <c r="G153" i="16"/>
  <c r="H153" i="16" s="1"/>
  <c r="G154" i="16"/>
  <c r="H154" i="16" s="1"/>
  <c r="G155" i="16"/>
  <c r="H155" i="16" s="1"/>
  <c r="G157" i="16"/>
  <c r="H157" i="16" s="1"/>
  <c r="G158" i="16"/>
  <c r="H158" i="16" s="1"/>
  <c r="G159" i="16"/>
  <c r="H159" i="16" s="1"/>
  <c r="G160" i="16"/>
  <c r="H160" i="16" s="1"/>
  <c r="G161" i="16"/>
  <c r="H161" i="16" s="1"/>
  <c r="G163" i="16"/>
  <c r="H163" i="16" s="1"/>
  <c r="G165" i="16"/>
  <c r="H165" i="16" s="1"/>
  <c r="G166" i="16"/>
  <c r="H166" i="16" s="1"/>
  <c r="G167" i="16"/>
  <c r="H167" i="16" s="1"/>
  <c r="G168" i="16"/>
  <c r="H168" i="16" s="1"/>
  <c r="G170" i="16"/>
  <c r="H170" i="16" s="1"/>
  <c r="G171" i="16"/>
  <c r="H171" i="16" s="1"/>
  <c r="G172" i="16"/>
  <c r="H172" i="16" s="1"/>
  <c r="G174" i="16"/>
  <c r="H174" i="16" s="1"/>
  <c r="G176" i="16"/>
  <c r="H176" i="16" s="1"/>
  <c r="G178" i="16"/>
  <c r="H178" i="16" s="1"/>
  <c r="G180" i="16"/>
  <c r="H180" i="16" s="1"/>
  <c r="G183" i="16"/>
  <c r="H183" i="16" s="1"/>
  <c r="G184" i="16"/>
  <c r="H184" i="16" s="1"/>
  <c r="G185" i="16"/>
  <c r="H185" i="16" s="1"/>
  <c r="G186" i="16"/>
  <c r="H186" i="16" s="1"/>
  <c r="G187" i="16"/>
  <c r="H187" i="16" s="1"/>
  <c r="G190" i="16"/>
  <c r="H190" i="16" s="1"/>
  <c r="G192" i="16"/>
  <c r="H192" i="16" s="1"/>
  <c r="G193" i="16"/>
  <c r="H193" i="16" s="1"/>
  <c r="G194" i="16"/>
  <c r="H194" i="16" s="1"/>
  <c r="G195" i="16"/>
  <c r="H195" i="16" s="1"/>
  <c r="G196" i="16"/>
  <c r="H196" i="16" s="1"/>
  <c r="G197" i="16"/>
  <c r="H197" i="16" s="1"/>
  <c r="G198" i="16"/>
  <c r="H198" i="16" s="1"/>
  <c r="G199" i="16"/>
  <c r="H199" i="16" s="1"/>
  <c r="G201" i="16"/>
  <c r="H201" i="16" s="1"/>
  <c r="G202" i="16"/>
  <c r="H202" i="16" s="1"/>
  <c r="G203" i="16"/>
  <c r="H203" i="16" s="1"/>
  <c r="G204" i="16"/>
  <c r="H204" i="16" s="1"/>
  <c r="G206" i="16"/>
  <c r="H206" i="16" s="1"/>
  <c r="G207" i="16"/>
  <c r="H207" i="16" s="1"/>
  <c r="G208" i="16"/>
  <c r="H208" i="16" s="1"/>
  <c r="G209" i="16"/>
  <c r="H209" i="16" s="1"/>
  <c r="G210" i="16"/>
  <c r="H210" i="16" s="1"/>
  <c r="G212" i="16"/>
  <c r="H212" i="16" s="1"/>
  <c r="G213" i="16"/>
  <c r="H213" i="16" s="1"/>
  <c r="G214" i="16"/>
  <c r="H214" i="16" s="1"/>
  <c r="G215" i="16"/>
  <c r="H215" i="16" s="1"/>
  <c r="G216" i="16"/>
  <c r="H216" i="16" s="1"/>
  <c r="G217" i="16"/>
  <c r="H217" i="16" s="1"/>
  <c r="G218" i="16"/>
  <c r="H218" i="16" s="1"/>
  <c r="G219" i="16"/>
  <c r="H219" i="16" s="1"/>
  <c r="G220" i="16"/>
  <c r="H220" i="16" s="1"/>
  <c r="G221" i="16"/>
  <c r="H221" i="16" s="1"/>
  <c r="G223" i="16"/>
  <c r="H223" i="16" s="1"/>
  <c r="G224" i="16"/>
  <c r="H224" i="16" s="1"/>
  <c r="G225" i="16"/>
  <c r="H225" i="16" s="1"/>
  <c r="G226" i="16"/>
  <c r="H226" i="16" s="1"/>
  <c r="G227" i="16"/>
  <c r="H227" i="16" s="1"/>
  <c r="G228" i="16"/>
  <c r="H228" i="16" s="1"/>
  <c r="G229" i="16"/>
  <c r="H229" i="16" s="1"/>
  <c r="G230" i="16"/>
  <c r="H230" i="16" s="1"/>
  <c r="G231" i="16"/>
  <c r="H231" i="16" s="1"/>
  <c r="G232" i="16"/>
  <c r="H232" i="16" s="1"/>
  <c r="G233" i="16"/>
  <c r="H233" i="16" s="1"/>
  <c r="G235" i="16"/>
  <c r="H235" i="16" s="1"/>
  <c r="G236" i="16"/>
  <c r="H236" i="16" s="1"/>
  <c r="G237" i="16"/>
  <c r="H237" i="16" s="1"/>
  <c r="G238" i="16"/>
  <c r="H238" i="16" s="1"/>
  <c r="G239" i="16"/>
  <c r="H239" i="16" s="1"/>
  <c r="G240" i="16"/>
  <c r="H240" i="16" s="1"/>
  <c r="G241" i="16"/>
  <c r="H241" i="16" s="1"/>
  <c r="G242" i="16"/>
  <c r="H242" i="16" s="1"/>
  <c r="G243" i="16"/>
  <c r="H243" i="16" s="1"/>
  <c r="G244" i="16"/>
  <c r="H244" i="16" s="1"/>
  <c r="G245" i="16"/>
  <c r="H245" i="16" s="1"/>
  <c r="G246" i="16"/>
  <c r="H246" i="16" s="1"/>
  <c r="G247" i="16"/>
  <c r="H247" i="16" s="1"/>
  <c r="G248" i="16"/>
  <c r="H248" i="16" s="1"/>
  <c r="G249" i="16"/>
  <c r="H249" i="16" s="1"/>
  <c r="G250" i="16"/>
  <c r="H250" i="16" s="1"/>
  <c r="G251" i="16"/>
  <c r="H251" i="16" s="1"/>
  <c r="G252" i="16"/>
  <c r="H252" i="16" s="1"/>
  <c r="G253" i="16"/>
  <c r="H253" i="16" s="1"/>
  <c r="G254" i="16"/>
  <c r="H254" i="16" s="1"/>
  <c r="G255" i="16"/>
  <c r="H255" i="16" s="1"/>
  <c r="G256" i="16"/>
  <c r="H256" i="16" s="1"/>
  <c r="G257" i="16"/>
  <c r="H257" i="16" s="1"/>
  <c r="G258" i="16"/>
  <c r="H258" i="16" s="1"/>
  <c r="G259" i="16"/>
  <c r="H259" i="16" s="1"/>
  <c r="G260" i="16"/>
  <c r="H260" i="16" s="1"/>
  <c r="G261" i="16"/>
  <c r="H261" i="16" s="1"/>
  <c r="G262" i="16"/>
  <c r="H262" i="16" s="1"/>
  <c r="G263" i="16"/>
  <c r="H263" i="16" s="1"/>
  <c r="G264" i="16"/>
  <c r="H264" i="16" s="1"/>
  <c r="G266" i="16"/>
  <c r="H266" i="16" s="1"/>
  <c r="G267" i="16"/>
  <c r="H267" i="16" s="1"/>
  <c r="G270" i="16"/>
  <c r="H270" i="16" s="1"/>
  <c r="G271" i="16"/>
  <c r="H271" i="16" s="1"/>
  <c r="G272" i="16"/>
  <c r="H272" i="16" s="1"/>
  <c r="G273" i="16"/>
  <c r="H273" i="16" s="1"/>
  <c r="G274" i="16"/>
  <c r="H274" i="16" s="1"/>
  <c r="G277" i="16"/>
  <c r="H277" i="16" s="1"/>
  <c r="G279" i="16"/>
  <c r="H279" i="16" s="1"/>
  <c r="G280" i="16"/>
  <c r="H280" i="16" s="1"/>
  <c r="G281" i="16"/>
  <c r="H281" i="16" s="1"/>
  <c r="G282" i="16"/>
  <c r="H282" i="16" s="1"/>
  <c r="G283" i="16"/>
  <c r="H283" i="16" s="1"/>
  <c r="G285" i="16"/>
  <c r="H285" i="16" s="1"/>
  <c r="G286" i="16"/>
  <c r="H286" i="16" s="1"/>
  <c r="G287" i="16"/>
  <c r="H287" i="16" s="1"/>
  <c r="G288" i="16"/>
  <c r="H288" i="16" s="1"/>
  <c r="G289" i="16"/>
  <c r="H289" i="16" s="1"/>
  <c r="G290" i="16"/>
  <c r="H290" i="16" s="1"/>
  <c r="G291" i="16"/>
  <c r="H291" i="16" s="1"/>
  <c r="G293" i="16"/>
  <c r="H293" i="16" s="1"/>
  <c r="G294" i="16"/>
  <c r="H294" i="16" s="1"/>
  <c r="G295" i="16"/>
  <c r="H295" i="16" s="1"/>
  <c r="G296" i="16"/>
  <c r="H296" i="16" s="1"/>
  <c r="G297" i="16"/>
  <c r="H297" i="16" s="1"/>
  <c r="G299" i="16"/>
  <c r="H299" i="16" s="1"/>
  <c r="G300" i="16"/>
  <c r="H300" i="16" s="1"/>
  <c r="G301" i="16"/>
  <c r="H301" i="16" s="1"/>
  <c r="G302" i="16"/>
  <c r="H302" i="16" s="1"/>
  <c r="G303" i="16"/>
  <c r="H303" i="16" s="1"/>
  <c r="G304" i="16"/>
  <c r="H304" i="16" s="1"/>
  <c r="G305" i="16"/>
  <c r="H305" i="16" s="1"/>
  <c r="G306" i="16"/>
  <c r="H306" i="16" s="1"/>
  <c r="G308" i="16"/>
  <c r="H308" i="16" s="1"/>
  <c r="G309" i="16"/>
  <c r="H309" i="16" s="1"/>
  <c r="G310" i="16"/>
  <c r="H310" i="16" s="1"/>
  <c r="G311" i="16"/>
  <c r="H311" i="16" s="1"/>
  <c r="G312" i="16"/>
  <c r="H312" i="16" s="1"/>
  <c r="G313" i="16"/>
  <c r="H313" i="16" s="1"/>
  <c r="G315" i="16"/>
  <c r="H315" i="16" s="1"/>
  <c r="G316" i="16"/>
  <c r="H316" i="16" s="1"/>
  <c r="G322" i="16"/>
  <c r="H322" i="16" s="1"/>
  <c r="G323" i="16"/>
  <c r="H323" i="16" s="1"/>
  <c r="G324" i="16"/>
  <c r="H324" i="16" s="1"/>
  <c r="G325" i="16"/>
  <c r="H325" i="16" s="1"/>
  <c r="G326" i="16"/>
  <c r="H326" i="16" s="1"/>
  <c r="G330" i="16"/>
  <c r="H330" i="16" s="1"/>
  <c r="G333" i="16"/>
  <c r="H333" i="16" s="1"/>
  <c r="G334" i="16"/>
  <c r="H334" i="16" s="1"/>
  <c r="G336" i="16"/>
  <c r="H336" i="16" s="1"/>
  <c r="G337" i="16"/>
  <c r="H337" i="16" s="1"/>
  <c r="G338" i="16"/>
  <c r="H338" i="16" s="1"/>
  <c r="G339" i="16"/>
  <c r="H339" i="16" s="1"/>
  <c r="G340" i="16"/>
  <c r="H340" i="16" s="1"/>
  <c r="G343" i="16"/>
  <c r="H343" i="16" s="1"/>
  <c r="G344" i="16"/>
  <c r="H344" i="16" s="1"/>
  <c r="G345" i="16"/>
  <c r="H345" i="16" s="1"/>
  <c r="G346" i="16"/>
  <c r="H346" i="16" s="1"/>
  <c r="G347" i="16"/>
  <c r="H347" i="16" s="1"/>
  <c r="G348" i="16"/>
  <c r="H348" i="16" s="1"/>
  <c r="G350" i="16"/>
  <c r="H350" i="16" s="1"/>
  <c r="G351" i="16"/>
  <c r="H351" i="16" s="1"/>
  <c r="G352" i="16"/>
  <c r="H352" i="16" s="1"/>
  <c r="G354" i="16"/>
  <c r="H354" i="16" s="1"/>
  <c r="G355" i="16"/>
  <c r="H355" i="16" s="1"/>
  <c r="G356" i="16"/>
  <c r="H356" i="16" s="1"/>
  <c r="G357" i="16"/>
  <c r="H357" i="16" s="1"/>
  <c r="G358" i="16"/>
  <c r="H358" i="16" s="1"/>
  <c r="G361" i="16"/>
  <c r="H361" i="16" s="1"/>
  <c r="G363" i="16"/>
  <c r="H363" i="16" s="1"/>
  <c r="G365" i="16"/>
  <c r="H365" i="16" s="1"/>
  <c r="G366" i="16"/>
  <c r="H366" i="16" s="1"/>
  <c r="G368" i="16"/>
  <c r="H368" i="16" s="1"/>
  <c r="G369" i="16"/>
  <c r="H369" i="16" s="1"/>
  <c r="G372" i="16"/>
  <c r="H372" i="16" s="1"/>
  <c r="G374" i="16"/>
  <c r="H374" i="16" s="1"/>
  <c r="G376" i="16"/>
  <c r="H376" i="16" s="1"/>
  <c r="G378" i="16"/>
  <c r="H378" i="16" s="1"/>
  <c r="G379" i="16"/>
  <c r="H379" i="16" s="1"/>
  <c r="G380" i="16"/>
  <c r="H380" i="16" s="1"/>
  <c r="G381" i="16"/>
  <c r="H381" i="16" s="1"/>
  <c r="G382" i="16"/>
  <c r="H382" i="16" s="1"/>
  <c r="G383" i="16"/>
  <c r="H383" i="16" s="1"/>
  <c r="G385" i="16"/>
  <c r="H385" i="16" s="1"/>
  <c r="G386" i="16"/>
  <c r="H386" i="16" s="1"/>
  <c r="G387" i="16"/>
  <c r="H387" i="16" s="1"/>
  <c r="G388" i="16"/>
  <c r="H388" i="16" s="1"/>
  <c r="G389" i="16"/>
  <c r="H389" i="16" s="1"/>
  <c r="G392" i="16"/>
  <c r="H392" i="16" s="1"/>
  <c r="G393" i="16"/>
  <c r="H393" i="16" s="1"/>
  <c r="G394" i="16"/>
  <c r="H394" i="16" s="1"/>
  <c r="G395" i="16"/>
  <c r="H395" i="16" s="1"/>
  <c r="G398" i="16"/>
  <c r="H398" i="16" s="1"/>
  <c r="G399" i="16"/>
  <c r="H399" i="16" s="1"/>
  <c r="G401" i="16"/>
  <c r="H401" i="16" s="1"/>
  <c r="G403" i="16"/>
  <c r="H403" i="16" s="1"/>
  <c r="G405" i="16"/>
  <c r="H405" i="16" s="1"/>
  <c r="G406" i="16"/>
  <c r="H406" i="16" s="1"/>
  <c r="G407" i="16"/>
  <c r="H407" i="16" s="1"/>
  <c r="G409" i="16"/>
  <c r="H409" i="16" s="1"/>
  <c r="G410" i="16"/>
  <c r="H410" i="16" s="1"/>
  <c r="G411" i="16"/>
  <c r="H411" i="16" s="1"/>
  <c r="G412" i="16"/>
  <c r="H412" i="16" s="1"/>
  <c r="G413" i="16"/>
  <c r="H413" i="16" s="1"/>
  <c r="G414" i="16"/>
  <c r="H414" i="16" s="1"/>
  <c r="G415" i="16"/>
  <c r="H415" i="16" s="1"/>
  <c r="G416" i="16"/>
  <c r="H416" i="16" s="1"/>
  <c r="G418" i="16"/>
  <c r="H418" i="16" s="1"/>
  <c r="G419" i="16"/>
  <c r="H419" i="16" s="1"/>
  <c r="G420" i="16"/>
  <c r="H420" i="16" s="1"/>
  <c r="G421" i="16"/>
  <c r="H421" i="16" s="1"/>
  <c r="G422" i="16"/>
  <c r="H422" i="16" s="1"/>
  <c r="G423" i="16"/>
  <c r="H423" i="16" s="1"/>
  <c r="G424" i="16"/>
  <c r="H424" i="16" s="1"/>
  <c r="G425" i="16"/>
  <c r="H425" i="16" s="1"/>
  <c r="G426" i="16"/>
  <c r="H426" i="16" s="1"/>
  <c r="G427" i="16"/>
  <c r="H427" i="16" s="1"/>
  <c r="G428" i="16"/>
  <c r="H428" i="16" s="1"/>
  <c r="G429" i="16"/>
  <c r="H429" i="16" s="1"/>
  <c r="G430" i="16"/>
  <c r="H430" i="16" s="1"/>
  <c r="G431" i="16"/>
  <c r="H431" i="16" s="1"/>
  <c r="G432" i="16"/>
  <c r="H432" i="16" s="1"/>
  <c r="G433" i="16"/>
  <c r="H433" i="16" s="1"/>
  <c r="G434" i="16"/>
  <c r="H434" i="16" s="1"/>
  <c r="G435" i="16"/>
  <c r="H435" i="16" s="1"/>
  <c r="G436" i="16"/>
  <c r="H436" i="16" s="1"/>
  <c r="G437" i="16"/>
  <c r="H437" i="16" s="1"/>
  <c r="G438" i="16"/>
  <c r="H438" i="16" s="1"/>
  <c r="G439" i="16"/>
  <c r="H439" i="16" s="1"/>
  <c r="G440" i="16"/>
  <c r="H440" i="16" s="1"/>
  <c r="G441" i="16"/>
  <c r="H441" i="16" s="1"/>
  <c r="G442" i="16"/>
  <c r="H442" i="16" s="1"/>
  <c r="G443" i="16"/>
  <c r="H443" i="16" s="1"/>
  <c r="G444" i="16"/>
  <c r="H444" i="16" s="1"/>
  <c r="G445" i="16"/>
  <c r="H445" i="16" s="1"/>
  <c r="G446" i="16"/>
  <c r="H446" i="16" s="1"/>
  <c r="G447" i="16"/>
  <c r="H447" i="16" s="1"/>
  <c r="G448" i="16"/>
  <c r="H448" i="16" s="1"/>
  <c r="G449" i="16"/>
  <c r="H449" i="16" s="1"/>
  <c r="G450" i="16"/>
  <c r="H450" i="16" s="1"/>
  <c r="G451" i="16"/>
  <c r="H451" i="16" s="1"/>
  <c r="G452" i="16"/>
  <c r="H452" i="16" s="1"/>
  <c r="G453" i="16"/>
  <c r="H453" i="16" s="1"/>
  <c r="G454" i="16"/>
  <c r="H454" i="16" s="1"/>
  <c r="G455" i="16"/>
  <c r="H455" i="16" s="1"/>
  <c r="G456" i="16"/>
  <c r="H456" i="16" s="1"/>
  <c r="G457" i="16"/>
  <c r="H457" i="16" s="1"/>
  <c r="G458" i="16"/>
  <c r="H458" i="16" s="1"/>
  <c r="G459" i="16"/>
  <c r="H459" i="16" s="1"/>
  <c r="G460" i="16"/>
  <c r="H460" i="16" s="1"/>
  <c r="G461" i="16"/>
  <c r="H461" i="16" s="1"/>
  <c r="G462" i="16"/>
  <c r="H462" i="16" s="1"/>
  <c r="G463" i="16"/>
  <c r="H463" i="16" s="1"/>
  <c r="G464" i="16"/>
  <c r="H464" i="16" s="1"/>
  <c r="G465" i="16"/>
  <c r="H465" i="16" s="1"/>
  <c r="G466" i="16"/>
  <c r="H466" i="16" s="1"/>
  <c r="G467" i="16"/>
  <c r="H467" i="16" s="1"/>
  <c r="G468" i="16"/>
  <c r="H468" i="16" s="1"/>
  <c r="G469" i="16"/>
  <c r="H469" i="16" s="1"/>
  <c r="G470" i="16"/>
  <c r="H470" i="16" s="1"/>
  <c r="G471" i="16"/>
  <c r="H471" i="16" s="1"/>
  <c r="G472" i="16"/>
  <c r="H472" i="16" s="1"/>
  <c r="G473" i="16"/>
  <c r="H473" i="16" s="1"/>
  <c r="G474" i="16"/>
  <c r="H474" i="16" s="1"/>
  <c r="G475" i="16"/>
  <c r="H475" i="16" s="1"/>
  <c r="G476" i="16"/>
  <c r="H476" i="16" s="1"/>
  <c r="G477" i="16"/>
  <c r="H477" i="16" s="1"/>
  <c r="G478" i="16"/>
  <c r="H478" i="16" s="1"/>
  <c r="G479" i="16"/>
  <c r="H479" i="16" s="1"/>
  <c r="G480" i="16"/>
  <c r="H480" i="16" s="1"/>
  <c r="G481" i="16"/>
  <c r="H481" i="16" s="1"/>
  <c r="G482" i="16"/>
  <c r="H482" i="16" s="1"/>
  <c r="G483" i="16"/>
  <c r="H483" i="16" s="1"/>
  <c r="G484" i="16"/>
  <c r="H484" i="16" s="1"/>
  <c r="G485" i="16"/>
  <c r="H485" i="16" s="1"/>
  <c r="G486" i="16"/>
  <c r="H486" i="16" s="1"/>
  <c r="G487" i="16"/>
  <c r="H487" i="16" s="1"/>
  <c r="G488" i="16"/>
  <c r="H488" i="16" s="1"/>
  <c r="G489" i="16"/>
  <c r="H489" i="16" s="1"/>
  <c r="G490" i="16"/>
  <c r="H490" i="16" s="1"/>
  <c r="G491" i="16"/>
  <c r="H491" i="16" s="1"/>
  <c r="G492" i="16"/>
  <c r="H492" i="16" s="1"/>
  <c r="G493" i="16"/>
  <c r="H493" i="16" s="1"/>
  <c r="G494" i="16"/>
  <c r="H494" i="16" s="1"/>
  <c r="G495" i="16"/>
  <c r="H495" i="16" s="1"/>
  <c r="G496" i="16"/>
  <c r="H496" i="16" s="1"/>
  <c r="G497" i="16"/>
  <c r="H497" i="16" s="1"/>
  <c r="G498" i="16"/>
  <c r="H498" i="16" s="1"/>
  <c r="G499" i="16"/>
  <c r="H499" i="16" s="1"/>
  <c r="G500" i="16"/>
  <c r="H500" i="16" s="1"/>
  <c r="G501" i="16"/>
  <c r="H501" i="16" s="1"/>
  <c r="G502" i="16"/>
  <c r="H502" i="16" s="1"/>
  <c r="G503" i="16"/>
  <c r="H503" i="16" s="1"/>
  <c r="G504" i="16"/>
  <c r="H504" i="16" s="1"/>
  <c r="G505" i="16"/>
  <c r="H505" i="16" s="1"/>
  <c r="G506" i="16"/>
  <c r="H506" i="16" s="1"/>
  <c r="G507" i="16"/>
  <c r="H507" i="16" s="1"/>
  <c r="G508" i="16"/>
  <c r="H508" i="16" s="1"/>
  <c r="G509" i="16"/>
  <c r="H509" i="16" s="1"/>
  <c r="G510" i="16"/>
  <c r="H510" i="16" s="1"/>
  <c r="G511" i="16"/>
  <c r="H511" i="16" s="1"/>
  <c r="G512" i="16"/>
  <c r="H512" i="16" s="1"/>
  <c r="G513" i="16"/>
  <c r="H513" i="16" s="1"/>
  <c r="G514" i="16"/>
  <c r="H514" i="16" s="1"/>
  <c r="G515" i="16"/>
  <c r="H515" i="16" s="1"/>
  <c r="G516" i="16"/>
  <c r="H516" i="16" s="1"/>
  <c r="G517" i="16"/>
  <c r="H517" i="16" s="1"/>
  <c r="G518" i="16"/>
  <c r="H518" i="16" s="1"/>
  <c r="G519" i="16"/>
  <c r="H519" i="16" s="1"/>
  <c r="G520" i="16"/>
  <c r="H520" i="16" s="1"/>
  <c r="G521" i="16"/>
  <c r="H521" i="16" s="1"/>
  <c r="G522" i="16"/>
  <c r="H522" i="16" s="1"/>
  <c r="G523" i="16"/>
  <c r="H523" i="16" s="1"/>
  <c r="G524" i="16"/>
  <c r="H524" i="16" s="1"/>
  <c r="G525" i="16"/>
  <c r="H525" i="16" s="1"/>
  <c r="G526" i="16"/>
  <c r="H526" i="16" s="1"/>
  <c r="G527" i="16"/>
  <c r="H527" i="16" s="1"/>
  <c r="G528" i="16"/>
  <c r="H528" i="16" s="1"/>
  <c r="G529" i="16"/>
  <c r="H529" i="16" s="1"/>
  <c r="G530" i="16"/>
  <c r="H530" i="16" s="1"/>
  <c r="G531" i="16"/>
  <c r="H531" i="16" s="1"/>
  <c r="G532" i="16"/>
  <c r="H532" i="16" s="1"/>
  <c r="G533" i="16"/>
  <c r="H533" i="16" s="1"/>
  <c r="G534" i="16"/>
  <c r="H534" i="16" s="1"/>
  <c r="G535" i="16"/>
  <c r="H535" i="16" s="1"/>
  <c r="G536" i="16"/>
  <c r="H536" i="16" s="1"/>
  <c r="G537" i="16"/>
  <c r="H537" i="16" s="1"/>
  <c r="G538" i="16"/>
  <c r="H538" i="16" s="1"/>
  <c r="G539" i="16"/>
  <c r="H539" i="16" s="1"/>
  <c r="G540" i="16"/>
  <c r="H540" i="16" s="1"/>
  <c r="G541" i="16"/>
  <c r="H541" i="16" s="1"/>
  <c r="G542" i="16"/>
  <c r="H542" i="16" s="1"/>
  <c r="G543" i="16"/>
  <c r="H543" i="16" s="1"/>
  <c r="G544" i="16"/>
  <c r="H544" i="16" s="1"/>
  <c r="G545" i="16"/>
  <c r="H545" i="16" s="1"/>
  <c r="G546" i="16"/>
  <c r="H546" i="16" s="1"/>
  <c r="G547" i="16"/>
  <c r="H547" i="16" s="1"/>
  <c r="G548" i="16"/>
  <c r="H548" i="16" s="1"/>
  <c r="G549" i="16"/>
  <c r="H549" i="16" s="1"/>
  <c r="G550" i="16"/>
  <c r="H550" i="16" s="1"/>
  <c r="G551" i="16"/>
  <c r="H551" i="16" s="1"/>
  <c r="G552" i="16"/>
  <c r="H552" i="16" s="1"/>
  <c r="G553" i="16"/>
  <c r="H553" i="16" s="1"/>
  <c r="G554" i="16"/>
  <c r="H554" i="16" s="1"/>
  <c r="G555" i="16"/>
  <c r="H555" i="16" s="1"/>
  <c r="G556" i="16"/>
  <c r="H556" i="16" s="1"/>
  <c r="G557" i="16"/>
  <c r="H557" i="16" s="1"/>
  <c r="G558" i="16"/>
  <c r="H558" i="16" s="1"/>
  <c r="G559" i="16"/>
  <c r="H559" i="16" s="1"/>
  <c r="G560" i="16"/>
  <c r="H560" i="16" s="1"/>
  <c r="G561" i="16"/>
  <c r="H561" i="16" s="1"/>
  <c r="G562" i="16"/>
  <c r="H562" i="16" s="1"/>
  <c r="G563" i="16"/>
  <c r="H563" i="16" s="1"/>
  <c r="G564" i="16"/>
  <c r="H564" i="16" s="1"/>
  <c r="G565" i="16"/>
  <c r="H565" i="16" s="1"/>
  <c r="G566" i="16"/>
  <c r="H566" i="16" s="1"/>
  <c r="G567" i="16"/>
  <c r="H567" i="16" s="1"/>
  <c r="G568" i="16"/>
  <c r="H568" i="16" s="1"/>
  <c r="G569" i="16"/>
  <c r="H569" i="16" s="1"/>
  <c r="G570" i="16"/>
  <c r="H570" i="16" s="1"/>
  <c r="G571" i="16"/>
  <c r="H571" i="16" s="1"/>
  <c r="G572" i="16"/>
  <c r="H572" i="16" s="1"/>
  <c r="G573" i="16"/>
  <c r="H573" i="16" s="1"/>
  <c r="G574" i="16"/>
  <c r="H574" i="16" s="1"/>
  <c r="G575" i="16"/>
  <c r="H575" i="16" s="1"/>
  <c r="G576" i="16"/>
  <c r="H576" i="16" s="1"/>
  <c r="G577" i="16"/>
  <c r="H577" i="16" s="1"/>
  <c r="G578" i="16"/>
  <c r="H578" i="16" s="1"/>
  <c r="G579" i="16"/>
  <c r="H579" i="16" s="1"/>
  <c r="G580" i="16"/>
  <c r="H580" i="16" s="1"/>
  <c r="G581" i="16"/>
  <c r="H581" i="16" s="1"/>
  <c r="G582" i="16"/>
  <c r="H582" i="16" s="1"/>
  <c r="G583" i="16"/>
  <c r="H583" i="16" s="1"/>
  <c r="G584" i="16"/>
  <c r="H584" i="16" s="1"/>
  <c r="G585" i="16"/>
  <c r="H585" i="16" s="1"/>
  <c r="G586" i="16"/>
  <c r="H586" i="16" s="1"/>
  <c r="G587" i="16"/>
  <c r="H587" i="16" s="1"/>
  <c r="G588" i="16"/>
  <c r="H588" i="16" s="1"/>
  <c r="G589" i="16"/>
  <c r="H589" i="16" s="1"/>
  <c r="G590" i="16"/>
  <c r="H590" i="16" s="1"/>
  <c r="G591" i="16"/>
  <c r="H591" i="16" s="1"/>
  <c r="G592" i="16"/>
  <c r="H592" i="16" s="1"/>
  <c r="G593" i="16"/>
  <c r="H593" i="16" s="1"/>
  <c r="G594" i="16"/>
  <c r="H594" i="16" s="1"/>
  <c r="G595" i="16"/>
  <c r="H595" i="16" s="1"/>
  <c r="G596" i="16"/>
  <c r="H596" i="16" s="1"/>
  <c r="G597" i="16"/>
  <c r="H597" i="16" s="1"/>
  <c r="G598" i="16"/>
  <c r="H598" i="16" s="1"/>
  <c r="G599" i="16"/>
  <c r="H599" i="16" s="1"/>
  <c r="G600" i="16"/>
  <c r="H600" i="16" s="1"/>
  <c r="G601" i="16"/>
  <c r="H601" i="16" s="1"/>
  <c r="G602" i="16"/>
  <c r="H602" i="16" s="1"/>
  <c r="G603" i="16"/>
  <c r="H603" i="16" s="1"/>
  <c r="G604" i="16"/>
  <c r="H604" i="16" s="1"/>
  <c r="G605" i="16"/>
  <c r="H605" i="16" s="1"/>
  <c r="G606" i="16"/>
  <c r="H606" i="16" s="1"/>
  <c r="G607" i="16"/>
  <c r="H607" i="16" s="1"/>
  <c r="G608" i="16"/>
  <c r="H608" i="16" s="1"/>
  <c r="G609" i="16"/>
  <c r="H609" i="16" s="1"/>
  <c r="G610" i="16"/>
  <c r="H610" i="16" s="1"/>
  <c r="G611" i="16"/>
  <c r="H611" i="16" s="1"/>
  <c r="G612" i="16"/>
  <c r="H612" i="16" s="1"/>
  <c r="G613" i="16"/>
  <c r="H613" i="16" s="1"/>
  <c r="G614" i="16"/>
  <c r="H614" i="16" s="1"/>
  <c r="G615" i="16"/>
  <c r="H615" i="16" s="1"/>
  <c r="G616" i="16"/>
  <c r="H616" i="16" s="1"/>
  <c r="G617" i="16"/>
  <c r="H617" i="16" s="1"/>
  <c r="G618" i="16"/>
  <c r="H618" i="16" s="1"/>
  <c r="G619" i="16"/>
  <c r="H619" i="16" s="1"/>
  <c r="G620" i="16"/>
  <c r="H620" i="16" s="1"/>
  <c r="G621" i="16"/>
  <c r="H621" i="16" s="1"/>
  <c r="G622" i="16"/>
  <c r="H622" i="16" s="1"/>
  <c r="G623" i="16"/>
  <c r="H623" i="16" s="1"/>
  <c r="G624" i="16"/>
  <c r="H624" i="16" s="1"/>
  <c r="G625" i="16"/>
  <c r="H625" i="16" s="1"/>
  <c r="G626" i="16"/>
  <c r="H626" i="16" s="1"/>
  <c r="G627" i="16"/>
  <c r="H627" i="16" s="1"/>
  <c r="G628" i="16"/>
  <c r="H628" i="16" s="1"/>
  <c r="G629" i="16"/>
  <c r="H629" i="16" s="1"/>
  <c r="G630" i="16"/>
  <c r="H630" i="16" s="1"/>
  <c r="G631" i="16"/>
  <c r="H631" i="16" s="1"/>
  <c r="G632" i="16"/>
  <c r="H632" i="16" s="1"/>
  <c r="G633" i="16"/>
  <c r="H633" i="16" s="1"/>
  <c r="G634" i="16"/>
  <c r="H634" i="16" s="1"/>
  <c r="G635" i="16"/>
  <c r="H635" i="16" s="1"/>
  <c r="G636" i="16"/>
  <c r="H636" i="16" s="1"/>
  <c r="G637" i="16"/>
  <c r="H637" i="16" s="1"/>
  <c r="G638" i="16"/>
  <c r="H638" i="16" s="1"/>
  <c r="G639" i="16"/>
  <c r="H639" i="16" s="1"/>
  <c r="G640" i="16"/>
  <c r="H640" i="16" s="1"/>
  <c r="G641" i="16"/>
  <c r="H641" i="16" s="1"/>
  <c r="G642" i="16"/>
  <c r="H642" i="16" s="1"/>
  <c r="G643" i="16"/>
  <c r="H643" i="16" s="1"/>
  <c r="G644" i="16"/>
  <c r="H644" i="16" s="1"/>
  <c r="G645" i="16"/>
  <c r="H645" i="16" s="1"/>
  <c r="G646" i="16"/>
  <c r="H646" i="16" s="1"/>
  <c r="G647" i="16"/>
  <c r="H647" i="16" s="1"/>
  <c r="G648" i="16"/>
  <c r="H648" i="16" s="1"/>
  <c r="G649" i="16"/>
  <c r="H649" i="16" s="1"/>
  <c r="G650" i="16"/>
  <c r="H650" i="16" s="1"/>
  <c r="G651" i="16"/>
  <c r="H651" i="16" s="1"/>
  <c r="G652" i="16"/>
  <c r="H652" i="16" s="1"/>
  <c r="G653" i="16"/>
  <c r="H653" i="16" s="1"/>
  <c r="G654" i="16"/>
  <c r="H654" i="16" s="1"/>
  <c r="G655" i="16"/>
  <c r="H655" i="16" s="1"/>
  <c r="G656" i="16"/>
  <c r="H656" i="16" s="1"/>
  <c r="G657" i="16"/>
  <c r="H657" i="16" s="1"/>
  <c r="G658" i="16"/>
  <c r="H658" i="16" s="1"/>
  <c r="G659" i="16"/>
  <c r="H659" i="16" s="1"/>
  <c r="G660" i="16"/>
  <c r="H660" i="16" s="1"/>
  <c r="G661" i="16"/>
  <c r="H661" i="16" s="1"/>
  <c r="G662" i="16"/>
  <c r="H662" i="16" s="1"/>
  <c r="G663" i="16"/>
  <c r="H663" i="16" s="1"/>
  <c r="G664" i="16"/>
  <c r="H664" i="16" s="1"/>
  <c r="G665" i="16"/>
  <c r="H665" i="16" s="1"/>
  <c r="G666" i="16"/>
  <c r="H666" i="16" s="1"/>
  <c r="G667" i="16"/>
  <c r="H667" i="16" s="1"/>
  <c r="G668" i="16"/>
  <c r="H668" i="16" s="1"/>
  <c r="G669" i="16"/>
  <c r="H669" i="16" s="1"/>
  <c r="G670" i="16"/>
  <c r="H670" i="16" s="1"/>
  <c r="G671" i="16"/>
  <c r="H671" i="16" s="1"/>
  <c r="G672" i="16"/>
  <c r="H672" i="16" s="1"/>
  <c r="G673" i="16"/>
  <c r="H673" i="16" s="1"/>
  <c r="G674" i="16"/>
  <c r="H674" i="16" s="1"/>
  <c r="G675" i="16"/>
  <c r="H675" i="16" s="1"/>
  <c r="G676" i="16"/>
  <c r="H676" i="16" s="1"/>
  <c r="G677" i="16"/>
  <c r="H677" i="16" s="1"/>
  <c r="G678" i="16"/>
  <c r="H678" i="16" s="1"/>
  <c r="G679" i="16"/>
  <c r="H679" i="16" s="1"/>
  <c r="G680" i="16"/>
  <c r="H680" i="16" s="1"/>
  <c r="G681" i="16"/>
  <c r="H681" i="16" s="1"/>
  <c r="G682" i="16"/>
  <c r="H682" i="16" s="1"/>
  <c r="G683" i="16"/>
  <c r="H683" i="16" s="1"/>
  <c r="G684" i="16"/>
  <c r="H684" i="16" s="1"/>
  <c r="G685" i="16"/>
  <c r="H685" i="16" s="1"/>
  <c r="G686" i="16"/>
  <c r="H686" i="16" s="1"/>
  <c r="G687" i="16"/>
  <c r="H687" i="16" s="1"/>
  <c r="G688" i="16"/>
  <c r="H688" i="16" s="1"/>
  <c r="G689" i="16"/>
  <c r="H689" i="16" s="1"/>
  <c r="G690" i="16"/>
  <c r="H690" i="16" s="1"/>
  <c r="G691" i="16"/>
  <c r="H691" i="16" s="1"/>
  <c r="G692" i="16"/>
  <c r="H692" i="16" s="1"/>
  <c r="G693" i="16"/>
  <c r="H693" i="16" s="1"/>
  <c r="G694" i="16"/>
  <c r="H694" i="16" s="1"/>
  <c r="G695" i="16"/>
  <c r="H695" i="16" s="1"/>
  <c r="G696" i="16"/>
  <c r="H696" i="16" s="1"/>
  <c r="G697" i="16"/>
  <c r="H697" i="16" s="1"/>
  <c r="G698" i="16"/>
  <c r="H698" i="16" s="1"/>
  <c r="G699" i="16"/>
  <c r="H699" i="16" s="1"/>
  <c r="G700" i="16"/>
  <c r="H700" i="16" s="1"/>
  <c r="G701" i="16"/>
  <c r="H701" i="16" s="1"/>
  <c r="G702" i="16"/>
  <c r="H702" i="16" s="1"/>
  <c r="G703" i="16"/>
  <c r="H703" i="16" s="1"/>
  <c r="G704" i="16"/>
  <c r="H704" i="16" s="1"/>
  <c r="G705" i="16"/>
  <c r="H705" i="16" s="1"/>
  <c r="G706" i="16"/>
  <c r="H706" i="16" s="1"/>
  <c r="G707" i="16"/>
  <c r="H707" i="16" s="1"/>
  <c r="G708" i="16"/>
  <c r="H708" i="16" s="1"/>
  <c r="G709" i="16"/>
  <c r="H709" i="16" s="1"/>
  <c r="G710" i="16"/>
  <c r="H710" i="16" s="1"/>
  <c r="G711" i="16"/>
  <c r="H711" i="16" s="1"/>
  <c r="G712" i="16"/>
  <c r="H712" i="16" s="1"/>
  <c r="G713" i="16"/>
  <c r="H713" i="16" s="1"/>
  <c r="G714" i="16"/>
  <c r="H714" i="16" s="1"/>
  <c r="G715" i="16"/>
  <c r="H715" i="16" s="1"/>
  <c r="G716" i="16"/>
  <c r="H716" i="16" s="1"/>
  <c r="G717" i="16"/>
  <c r="H717" i="16" s="1"/>
  <c r="G718" i="16"/>
  <c r="H718" i="16" s="1"/>
  <c r="G719" i="16"/>
  <c r="H719" i="16" s="1"/>
  <c r="G720" i="16"/>
  <c r="H720" i="16" s="1"/>
  <c r="G721" i="16"/>
  <c r="H721" i="16" s="1"/>
  <c r="G722" i="16"/>
  <c r="H722" i="16" s="1"/>
  <c r="G723" i="16"/>
  <c r="H723" i="16" s="1"/>
  <c r="G724" i="16"/>
  <c r="H724" i="16" s="1"/>
  <c r="G725" i="16"/>
  <c r="H725" i="16" s="1"/>
  <c r="G726" i="16"/>
  <c r="H726" i="16" s="1"/>
  <c r="G727" i="16"/>
  <c r="H727" i="16" s="1"/>
  <c r="G728" i="16"/>
  <c r="H728" i="16" s="1"/>
  <c r="G729" i="16"/>
  <c r="H729" i="16" s="1"/>
  <c r="G730" i="16"/>
  <c r="H730" i="16" s="1"/>
  <c r="G731" i="16"/>
  <c r="H731" i="16" s="1"/>
  <c r="G732" i="16"/>
  <c r="H732" i="16" s="1"/>
  <c r="G733" i="16"/>
  <c r="H733" i="16" s="1"/>
  <c r="G734" i="16"/>
  <c r="H734" i="16" s="1"/>
  <c r="G735" i="16"/>
  <c r="H735" i="16" s="1"/>
  <c r="G736" i="16"/>
  <c r="H736" i="16" s="1"/>
  <c r="G737" i="16"/>
  <c r="H737" i="16" s="1"/>
  <c r="G738" i="16"/>
  <c r="H738" i="16" s="1"/>
  <c r="G739" i="16"/>
  <c r="H739" i="16" s="1"/>
  <c r="G740" i="16"/>
  <c r="H740" i="16" s="1"/>
  <c r="G741" i="16"/>
  <c r="H741" i="16" s="1"/>
  <c r="G742" i="16"/>
  <c r="H742" i="16" s="1"/>
  <c r="G743" i="16"/>
  <c r="H743" i="16" s="1"/>
  <c r="G744" i="16"/>
  <c r="H744" i="16" s="1"/>
  <c r="G745" i="16"/>
  <c r="H745" i="16" s="1"/>
  <c r="G746" i="16"/>
  <c r="H746" i="16" s="1"/>
  <c r="G747" i="16"/>
  <c r="H747" i="16" s="1"/>
  <c r="G748" i="16"/>
  <c r="H748" i="16" s="1"/>
  <c r="G749" i="16"/>
  <c r="H749" i="16" s="1"/>
  <c r="G750" i="16"/>
  <c r="H750" i="16" s="1"/>
  <c r="G751" i="16"/>
  <c r="H751" i="16" s="1"/>
  <c r="G752" i="16"/>
  <c r="H752" i="16" s="1"/>
  <c r="G753" i="16"/>
  <c r="H753" i="16" s="1"/>
  <c r="G754" i="16"/>
  <c r="H754" i="16" s="1"/>
  <c r="G755" i="16"/>
  <c r="H755" i="16" s="1"/>
  <c r="G756" i="16"/>
  <c r="H756" i="16" s="1"/>
  <c r="G757" i="16"/>
  <c r="H757" i="16" s="1"/>
  <c r="G758" i="16"/>
  <c r="H758" i="16" s="1"/>
  <c r="G759" i="16"/>
  <c r="H759" i="16" s="1"/>
  <c r="G760" i="16"/>
  <c r="H760" i="16" s="1"/>
  <c r="G761" i="16"/>
  <c r="H761" i="16" s="1"/>
  <c r="G762" i="16"/>
  <c r="H762" i="16" s="1"/>
  <c r="G763" i="16"/>
  <c r="H763" i="16" s="1"/>
  <c r="G764" i="16"/>
  <c r="H764" i="16" s="1"/>
  <c r="G765" i="16"/>
  <c r="H765" i="16" s="1"/>
  <c r="G766" i="16"/>
  <c r="H766" i="16" s="1"/>
  <c r="G767" i="16"/>
  <c r="H767" i="16" s="1"/>
  <c r="G768" i="16"/>
  <c r="H768" i="16" s="1"/>
  <c r="G769" i="16"/>
  <c r="H769" i="16" s="1"/>
  <c r="G770" i="16"/>
  <c r="H770" i="16" s="1"/>
  <c r="G771" i="16"/>
  <c r="H771" i="16" s="1"/>
  <c r="G772" i="16"/>
  <c r="H772" i="16" s="1"/>
  <c r="G773" i="16"/>
  <c r="H773" i="16" s="1"/>
  <c r="G774" i="16"/>
  <c r="H774" i="16" s="1"/>
  <c r="G775" i="16"/>
  <c r="H775" i="16" s="1"/>
  <c r="G776" i="16"/>
  <c r="H776" i="16" s="1"/>
  <c r="G777" i="16"/>
  <c r="H777" i="16" s="1"/>
  <c r="G778" i="16"/>
  <c r="H778" i="16" s="1"/>
  <c r="G779" i="16"/>
  <c r="H779" i="16" s="1"/>
  <c r="G780" i="16"/>
  <c r="H780" i="16" s="1"/>
  <c r="G781" i="16"/>
  <c r="H781" i="16" s="1"/>
  <c r="G782" i="16"/>
  <c r="H782" i="16" s="1"/>
  <c r="G783" i="16"/>
  <c r="H783" i="16" s="1"/>
  <c r="G784" i="16"/>
  <c r="H784" i="16" s="1"/>
  <c r="G785" i="16"/>
  <c r="H785" i="16" s="1"/>
  <c r="G786" i="16"/>
  <c r="H786" i="16" s="1"/>
  <c r="G787" i="16"/>
  <c r="H787" i="16" s="1"/>
  <c r="G788" i="16"/>
  <c r="H788" i="16" s="1"/>
  <c r="G789" i="16"/>
  <c r="H789" i="16" s="1"/>
  <c r="G790" i="16"/>
  <c r="H790" i="16" s="1"/>
  <c r="G791" i="16"/>
  <c r="H791" i="16" s="1"/>
  <c r="G792" i="16"/>
  <c r="H792" i="16" s="1"/>
  <c r="G793" i="16"/>
  <c r="H793" i="16" s="1"/>
  <c r="G794" i="16"/>
  <c r="H794" i="16" s="1"/>
  <c r="G795" i="16"/>
  <c r="H795" i="16" s="1"/>
  <c r="G796" i="16"/>
  <c r="H796" i="16" s="1"/>
  <c r="G797" i="16"/>
  <c r="H797" i="16" s="1"/>
  <c r="G798" i="16"/>
  <c r="H798" i="16" s="1"/>
  <c r="G799" i="16"/>
  <c r="H799" i="16" s="1"/>
  <c r="G800" i="16"/>
  <c r="H800" i="16" s="1"/>
  <c r="G801" i="16"/>
  <c r="H801" i="16" s="1"/>
  <c r="G802" i="16"/>
  <c r="H802" i="16" s="1"/>
  <c r="G803" i="16"/>
  <c r="H803" i="16" s="1"/>
  <c r="G804" i="16"/>
  <c r="H804" i="16" s="1"/>
  <c r="G805" i="16"/>
  <c r="H805" i="16" s="1"/>
  <c r="G806" i="16"/>
  <c r="H806" i="16" s="1"/>
  <c r="G807" i="16"/>
  <c r="H807" i="16" s="1"/>
  <c r="G808" i="16"/>
  <c r="H808" i="16" s="1"/>
  <c r="G809" i="16"/>
  <c r="H809" i="16" s="1"/>
  <c r="G810" i="16"/>
  <c r="H810" i="16" s="1"/>
  <c r="G811" i="16"/>
  <c r="H811" i="16" s="1"/>
  <c r="G812" i="16"/>
  <c r="H812" i="16" s="1"/>
  <c r="G813" i="16"/>
  <c r="H813" i="16" s="1"/>
  <c r="G814" i="16"/>
  <c r="H814" i="16" s="1"/>
  <c r="G815" i="16"/>
  <c r="H815" i="16" s="1"/>
  <c r="G816" i="16"/>
  <c r="H816" i="16" s="1"/>
  <c r="G817" i="16"/>
  <c r="H817" i="16" s="1"/>
  <c r="G818" i="16"/>
  <c r="H818" i="16" s="1"/>
  <c r="G819" i="16"/>
  <c r="H819" i="16" s="1"/>
  <c r="G820" i="16"/>
  <c r="H820" i="16" s="1"/>
  <c r="G821" i="16"/>
  <c r="H821" i="16" s="1"/>
  <c r="G822" i="16"/>
  <c r="H822" i="16" s="1"/>
  <c r="G823" i="16"/>
  <c r="H823" i="16" s="1"/>
  <c r="G824" i="16"/>
  <c r="H824" i="16" s="1"/>
  <c r="G825" i="16"/>
  <c r="H825" i="16" s="1"/>
  <c r="G826" i="16"/>
  <c r="H826" i="16" s="1"/>
  <c r="G827" i="16"/>
  <c r="H827" i="16" s="1"/>
  <c r="G828" i="16"/>
  <c r="H828" i="16" s="1"/>
  <c r="G829" i="16"/>
  <c r="H829" i="16" s="1"/>
  <c r="G830" i="16"/>
  <c r="H830" i="16" s="1"/>
  <c r="G831" i="16"/>
  <c r="H831" i="16" s="1"/>
  <c r="G832" i="16"/>
  <c r="H832" i="16" s="1"/>
  <c r="G833" i="16"/>
  <c r="H833" i="16" s="1"/>
  <c r="G834" i="16"/>
  <c r="H834" i="16" s="1"/>
  <c r="G835" i="16"/>
  <c r="H835" i="16" s="1"/>
  <c r="G836" i="16"/>
  <c r="H836" i="16" s="1"/>
  <c r="G837" i="16"/>
  <c r="H837" i="16" s="1"/>
  <c r="G838" i="16"/>
  <c r="H838" i="16" s="1"/>
  <c r="G839" i="16"/>
  <c r="H839" i="16" s="1"/>
  <c r="G840" i="16"/>
  <c r="H840" i="16" s="1"/>
  <c r="G841" i="16"/>
  <c r="H841" i="16" s="1"/>
  <c r="G842" i="16"/>
  <c r="H842" i="16" s="1"/>
  <c r="G843" i="16"/>
  <c r="H843" i="16" s="1"/>
  <c r="G844" i="16"/>
  <c r="H844" i="16" s="1"/>
  <c r="G845" i="16"/>
  <c r="H845" i="16" s="1"/>
  <c r="G846" i="16"/>
  <c r="H846" i="16" s="1"/>
  <c r="G847" i="16"/>
  <c r="H847" i="16" s="1"/>
  <c r="G848" i="16"/>
  <c r="H848" i="16" s="1"/>
  <c r="G849" i="16"/>
  <c r="H849" i="16" s="1"/>
  <c r="G850" i="16"/>
  <c r="H850" i="16" s="1"/>
  <c r="G851" i="16"/>
  <c r="H851" i="16" s="1"/>
  <c r="G852" i="16"/>
  <c r="H852" i="16" s="1"/>
  <c r="G853" i="16"/>
  <c r="H853" i="16" s="1"/>
  <c r="G854" i="16"/>
  <c r="H854" i="16" s="1"/>
  <c r="G855" i="16"/>
  <c r="H855" i="16" s="1"/>
  <c r="G856" i="16"/>
  <c r="H856" i="16" s="1"/>
  <c r="G857" i="16"/>
  <c r="H857" i="16" s="1"/>
  <c r="G858" i="16"/>
  <c r="H858" i="16" s="1"/>
  <c r="G859" i="16"/>
  <c r="H859" i="16" s="1"/>
  <c r="G860" i="16"/>
  <c r="H860" i="16" s="1"/>
  <c r="G861" i="16"/>
  <c r="H861" i="16" s="1"/>
  <c r="G862" i="16"/>
  <c r="H862" i="16" s="1"/>
  <c r="G863" i="16"/>
  <c r="H863" i="16" s="1"/>
  <c r="G864" i="16"/>
  <c r="H864" i="16" s="1"/>
  <c r="G865" i="16"/>
  <c r="H865" i="16" s="1"/>
  <c r="G866" i="16"/>
  <c r="H866" i="16" s="1"/>
  <c r="G867" i="16"/>
  <c r="H867" i="16" s="1"/>
  <c r="G868" i="16"/>
  <c r="H868" i="16" s="1"/>
  <c r="G869" i="16"/>
  <c r="H869" i="16" s="1"/>
  <c r="G870" i="16"/>
  <c r="H870" i="16" s="1"/>
  <c r="G871" i="16"/>
  <c r="H871" i="16" s="1"/>
  <c r="G872" i="16"/>
  <c r="H872" i="16" s="1"/>
  <c r="G873" i="16"/>
  <c r="H873" i="16" s="1"/>
  <c r="G874" i="16"/>
  <c r="H874" i="16" s="1"/>
  <c r="G875" i="16"/>
  <c r="H875" i="16" s="1"/>
  <c r="G876" i="16"/>
  <c r="H876" i="16" s="1"/>
  <c r="G877" i="16"/>
  <c r="H877" i="16" s="1"/>
  <c r="G878" i="16"/>
  <c r="H878" i="16" s="1"/>
  <c r="G879" i="16"/>
  <c r="H879" i="16" s="1"/>
  <c r="G880" i="16"/>
  <c r="H880" i="16" s="1"/>
  <c r="G881" i="16"/>
  <c r="H881" i="16" s="1"/>
  <c r="G882" i="16"/>
  <c r="H882" i="16" s="1"/>
  <c r="G883" i="16"/>
  <c r="H883" i="16" s="1"/>
  <c r="G884" i="16"/>
  <c r="H884" i="16" s="1"/>
  <c r="G885" i="16"/>
  <c r="H885" i="16" s="1"/>
  <c r="G886" i="16"/>
  <c r="H886" i="16" s="1"/>
  <c r="G887" i="16"/>
  <c r="H887" i="16" s="1"/>
  <c r="G888" i="16"/>
  <c r="H888" i="16" s="1"/>
  <c r="G889" i="16"/>
  <c r="H889" i="16" s="1"/>
  <c r="G890" i="16"/>
  <c r="H890" i="16" s="1"/>
  <c r="G891" i="16"/>
  <c r="H891" i="16" s="1"/>
  <c r="G892" i="16"/>
  <c r="H892" i="16" s="1"/>
  <c r="G893" i="16"/>
  <c r="H893" i="16" s="1"/>
  <c r="G894" i="16"/>
  <c r="H894" i="16" s="1"/>
  <c r="G895" i="16"/>
  <c r="H895" i="16" s="1"/>
  <c r="G896" i="16"/>
  <c r="H896" i="16" s="1"/>
  <c r="G897" i="16"/>
  <c r="H897" i="16" s="1"/>
  <c r="G898" i="16"/>
  <c r="H898" i="16" s="1"/>
  <c r="G899" i="16"/>
  <c r="H899" i="16" s="1"/>
  <c r="G900" i="16"/>
  <c r="H900" i="16" s="1"/>
  <c r="G901" i="16"/>
  <c r="H901" i="16" s="1"/>
  <c r="G902" i="16"/>
  <c r="H902" i="16" s="1"/>
  <c r="G903" i="16"/>
  <c r="H903" i="16" s="1"/>
  <c r="G904" i="16"/>
  <c r="H904" i="16" s="1"/>
  <c r="G905" i="16"/>
  <c r="H905" i="16" s="1"/>
  <c r="G906" i="16"/>
  <c r="H906" i="16" s="1"/>
  <c r="G907" i="16"/>
  <c r="H907" i="16" s="1"/>
  <c r="G908" i="16"/>
  <c r="H908" i="16" s="1"/>
  <c r="G909" i="16"/>
  <c r="H909" i="16" s="1"/>
  <c r="G910" i="16"/>
  <c r="H910" i="16" s="1"/>
  <c r="G911" i="16"/>
  <c r="H911" i="16" s="1"/>
  <c r="G912" i="16"/>
  <c r="H912" i="16" s="1"/>
  <c r="G913" i="16"/>
  <c r="H913" i="16" s="1"/>
  <c r="G914" i="16"/>
  <c r="H914" i="16" s="1"/>
  <c r="G915" i="16"/>
  <c r="H915" i="16" s="1"/>
  <c r="G916" i="16"/>
  <c r="H916" i="16" s="1"/>
  <c r="G917" i="16"/>
  <c r="H917" i="16" s="1"/>
  <c r="G918" i="16"/>
  <c r="H918" i="16" s="1"/>
  <c r="G919" i="16"/>
  <c r="H919" i="16" s="1"/>
  <c r="G920" i="16"/>
  <c r="H920" i="16" s="1"/>
  <c r="G921" i="16"/>
  <c r="H921" i="16" s="1"/>
  <c r="G922" i="16"/>
  <c r="H922" i="16" s="1"/>
  <c r="G923" i="16"/>
  <c r="H923" i="16" s="1"/>
  <c r="G924" i="16"/>
  <c r="H924" i="16" s="1"/>
  <c r="G925" i="16"/>
  <c r="H925" i="16" s="1"/>
  <c r="G926" i="16"/>
  <c r="H926" i="16" s="1"/>
  <c r="G927" i="16"/>
  <c r="H927" i="16" s="1"/>
  <c r="G928" i="16"/>
  <c r="H928" i="16" s="1"/>
  <c r="G929" i="16"/>
  <c r="H929" i="16" s="1"/>
  <c r="G930" i="16"/>
  <c r="H930" i="16" s="1"/>
  <c r="G931" i="16"/>
  <c r="H931" i="16" s="1"/>
  <c r="G932" i="16"/>
  <c r="H932" i="16" s="1"/>
  <c r="G933" i="16"/>
  <c r="H933" i="16" s="1"/>
  <c r="G934" i="16"/>
  <c r="H934" i="16" s="1"/>
  <c r="G935" i="16"/>
  <c r="H935" i="16" s="1"/>
  <c r="G936" i="16"/>
  <c r="H936" i="16" s="1"/>
  <c r="G937" i="16"/>
  <c r="H937" i="16" s="1"/>
  <c r="G938" i="16"/>
  <c r="H938" i="16" s="1"/>
  <c r="G939" i="16"/>
  <c r="H939" i="16" s="1"/>
  <c r="G940" i="16"/>
  <c r="H940" i="16" s="1"/>
  <c r="G941" i="16"/>
  <c r="H941" i="16" s="1"/>
  <c r="G942" i="16"/>
  <c r="H942" i="16" s="1"/>
  <c r="G943" i="16"/>
  <c r="H943" i="16" s="1"/>
  <c r="G944" i="16"/>
  <c r="H944" i="16" s="1"/>
  <c r="G945" i="16"/>
  <c r="H945" i="16" s="1"/>
  <c r="G946" i="16"/>
  <c r="H946" i="16" s="1"/>
  <c r="G947" i="16"/>
  <c r="H947" i="16" s="1"/>
  <c r="G948" i="16"/>
  <c r="H948" i="16" s="1"/>
  <c r="G949" i="16"/>
  <c r="H949" i="16" s="1"/>
  <c r="G950" i="16"/>
  <c r="H950" i="16" s="1"/>
  <c r="G951" i="16"/>
  <c r="H951" i="16" s="1"/>
  <c r="G952" i="16"/>
  <c r="H952" i="16" s="1"/>
  <c r="G953" i="16"/>
  <c r="H953" i="16" s="1"/>
  <c r="G954" i="16"/>
  <c r="H954" i="16" s="1"/>
  <c r="G955" i="16"/>
  <c r="H955" i="16" s="1"/>
  <c r="G956" i="16"/>
  <c r="H956" i="16" s="1"/>
  <c r="G957" i="16"/>
  <c r="H957" i="16" s="1"/>
  <c r="G958" i="16"/>
  <c r="H958" i="16" s="1"/>
  <c r="G959" i="16"/>
  <c r="H959" i="16" s="1"/>
  <c r="G960" i="16"/>
  <c r="H960" i="16" s="1"/>
  <c r="G961" i="16"/>
  <c r="H961" i="16" s="1"/>
  <c r="G962" i="16"/>
  <c r="H962" i="16" s="1"/>
  <c r="G963" i="16"/>
  <c r="H963" i="16" s="1"/>
  <c r="G964" i="16"/>
  <c r="H964" i="16" s="1"/>
  <c r="G965" i="16"/>
  <c r="H965" i="16" s="1"/>
  <c r="G966" i="16"/>
  <c r="H966" i="16" s="1"/>
  <c r="G967" i="16"/>
  <c r="H967" i="16" s="1"/>
  <c r="G968" i="16"/>
  <c r="H968" i="16" s="1"/>
  <c r="G969" i="16"/>
  <c r="H969" i="16" s="1"/>
  <c r="G970" i="16"/>
  <c r="H970" i="16" s="1"/>
  <c r="G971" i="16"/>
  <c r="H971" i="16" s="1"/>
  <c r="G972" i="16"/>
  <c r="H972" i="16" s="1"/>
  <c r="G973" i="16"/>
  <c r="H973" i="16" s="1"/>
  <c r="G974" i="16"/>
  <c r="H974" i="16" s="1"/>
  <c r="G975" i="16"/>
  <c r="H975" i="16" s="1"/>
  <c r="G976" i="16"/>
  <c r="H976" i="16" s="1"/>
  <c r="G977" i="16"/>
  <c r="H977" i="16" s="1"/>
  <c r="G978" i="16"/>
  <c r="H978" i="16" s="1"/>
  <c r="G979" i="16"/>
  <c r="H979" i="16" s="1"/>
  <c r="G980" i="16"/>
  <c r="H980" i="16" s="1"/>
  <c r="G981" i="16"/>
  <c r="H981" i="16" s="1"/>
  <c r="G982" i="16"/>
  <c r="H982" i="16" s="1"/>
  <c r="G983" i="16"/>
  <c r="H983" i="16" s="1"/>
  <c r="G984" i="16"/>
  <c r="H984" i="16" s="1"/>
  <c r="G985" i="16"/>
  <c r="H985" i="16" s="1"/>
  <c r="G986" i="16"/>
  <c r="H986" i="16" s="1"/>
  <c r="G987" i="16"/>
  <c r="H987" i="16" s="1"/>
  <c r="G988" i="16"/>
  <c r="H988" i="16" s="1"/>
  <c r="G989" i="16"/>
  <c r="H989" i="16" s="1"/>
  <c r="G990" i="16"/>
  <c r="H990" i="16" s="1"/>
  <c r="G991" i="16"/>
  <c r="H991" i="16" s="1"/>
  <c r="G992" i="16"/>
  <c r="H992" i="16" s="1"/>
  <c r="G993" i="16"/>
  <c r="H993" i="16" s="1"/>
  <c r="G994" i="16"/>
  <c r="H994" i="16" s="1"/>
  <c r="G995" i="16"/>
  <c r="H995" i="16" s="1"/>
  <c r="G996" i="16"/>
  <c r="H996" i="16" s="1"/>
  <c r="G997" i="16"/>
  <c r="H997" i="16" s="1"/>
  <c r="G998" i="16"/>
  <c r="H998" i="16" s="1"/>
  <c r="G999" i="16"/>
  <c r="H999" i="16" s="1"/>
  <c r="G1000" i="16"/>
  <c r="H1000" i="16" s="1"/>
  <c r="G1001" i="16"/>
  <c r="H1001" i="16" s="1"/>
  <c r="G1002" i="16"/>
  <c r="H1002" i="16" s="1"/>
  <c r="G1003" i="16"/>
  <c r="H1003" i="16" s="1"/>
  <c r="G1004" i="16"/>
  <c r="H1004" i="16" s="1"/>
  <c r="G1005" i="16"/>
  <c r="H1005" i="16" s="1"/>
  <c r="G1006" i="16"/>
  <c r="H1006" i="16" s="1"/>
  <c r="G1007" i="16"/>
  <c r="H1007" i="16" s="1"/>
  <c r="G1008" i="16"/>
  <c r="H1008" i="16" s="1"/>
  <c r="G1009" i="16"/>
  <c r="H1009" i="16" s="1"/>
  <c r="G1010" i="16"/>
  <c r="H1010" i="16" s="1"/>
  <c r="G1011" i="16"/>
  <c r="H1011" i="16" s="1"/>
  <c r="G1012" i="16"/>
  <c r="H1012" i="16" s="1"/>
  <c r="G1013" i="16"/>
  <c r="H1013" i="16" s="1"/>
  <c r="G1014" i="16"/>
  <c r="H1014" i="16" s="1"/>
  <c r="G1015" i="16"/>
  <c r="H1015" i="16" s="1"/>
  <c r="G1016" i="16"/>
  <c r="H1016" i="16" s="1"/>
  <c r="G1017" i="16"/>
  <c r="H1017" i="16" s="1"/>
  <c r="G1018" i="16"/>
  <c r="H1018" i="16" s="1"/>
  <c r="G1019" i="16"/>
  <c r="H1019" i="16" s="1"/>
  <c r="G1020" i="16"/>
  <c r="H1020" i="16" s="1"/>
  <c r="G1021" i="16"/>
  <c r="H1021" i="16" s="1"/>
  <c r="G1022" i="16"/>
  <c r="H1022" i="16" s="1"/>
  <c r="G1023" i="16"/>
  <c r="H1023" i="16" s="1"/>
  <c r="G1024" i="16"/>
  <c r="H1024" i="16" s="1"/>
  <c r="G1025" i="16"/>
  <c r="H1025" i="16" s="1"/>
  <c r="G1026" i="16"/>
  <c r="H1026" i="16" s="1"/>
  <c r="G1027" i="16"/>
  <c r="H1027" i="16" s="1"/>
  <c r="G1028" i="16"/>
  <c r="H1028" i="16" s="1"/>
  <c r="G1029" i="16"/>
  <c r="H1029" i="16" s="1"/>
  <c r="G1030" i="16"/>
  <c r="H1030" i="16" s="1"/>
  <c r="G1031" i="16"/>
  <c r="H1031" i="16" s="1"/>
  <c r="G1032" i="16"/>
  <c r="H1032" i="16" s="1"/>
  <c r="G1033" i="16"/>
  <c r="H1033" i="16" s="1"/>
  <c r="G1034" i="16"/>
  <c r="H1034" i="16" s="1"/>
  <c r="G1035" i="16"/>
  <c r="H1035" i="16" s="1"/>
  <c r="G1036" i="16"/>
  <c r="H1036" i="16" s="1"/>
  <c r="G1037" i="16"/>
  <c r="H1037" i="16" s="1"/>
  <c r="G1038" i="16"/>
  <c r="H1038" i="16" s="1"/>
  <c r="G1039" i="16"/>
  <c r="H1039" i="16" s="1"/>
  <c r="G1040" i="16"/>
  <c r="H1040" i="16" s="1"/>
  <c r="G1041" i="16"/>
  <c r="H1041" i="16" s="1"/>
  <c r="G1042" i="16"/>
  <c r="H1042" i="16" s="1"/>
  <c r="G1043" i="16"/>
  <c r="H1043" i="16" s="1"/>
  <c r="G1044" i="16"/>
  <c r="H1044" i="16" s="1"/>
  <c r="G1045" i="16"/>
  <c r="H1045" i="16" s="1"/>
  <c r="G1046" i="16"/>
  <c r="H1046" i="16" s="1"/>
  <c r="G1047" i="16"/>
  <c r="H1047" i="16" s="1"/>
  <c r="G1048" i="16"/>
  <c r="H1048" i="16" s="1"/>
  <c r="G1049" i="16"/>
  <c r="H1049" i="16" s="1"/>
  <c r="G1050" i="16"/>
  <c r="H1050" i="16" s="1"/>
  <c r="G1051" i="16"/>
  <c r="H1051" i="16" s="1"/>
  <c r="G1052" i="16"/>
  <c r="H1052" i="16" s="1"/>
  <c r="G1053" i="16"/>
  <c r="H1053" i="16" s="1"/>
  <c r="G1054" i="16"/>
  <c r="H1054" i="16" s="1"/>
  <c r="G1055" i="16"/>
  <c r="H1055" i="16" s="1"/>
  <c r="G1056" i="16"/>
  <c r="H1056" i="16" s="1"/>
  <c r="G1057" i="16"/>
  <c r="H1057" i="16" s="1"/>
  <c r="G1058" i="16"/>
  <c r="H1058" i="16" s="1"/>
  <c r="G1059" i="16"/>
  <c r="H1059" i="16" s="1"/>
  <c r="G1060" i="16"/>
  <c r="H1060" i="16" s="1"/>
  <c r="G1061" i="16"/>
  <c r="H1061" i="16" s="1"/>
  <c r="G1062" i="16"/>
  <c r="H1062" i="16" s="1"/>
  <c r="G1063" i="16"/>
  <c r="H1063" i="16" s="1"/>
  <c r="G1064" i="16"/>
  <c r="H1064" i="16" s="1"/>
  <c r="G1065" i="16"/>
  <c r="H1065" i="16" s="1"/>
  <c r="G1066" i="16"/>
  <c r="H1066" i="16" s="1"/>
  <c r="G1067" i="16"/>
  <c r="H1067" i="16" s="1"/>
  <c r="G1068" i="16"/>
  <c r="H1068" i="16" s="1"/>
  <c r="G1069" i="16"/>
  <c r="H1069" i="16" s="1"/>
  <c r="G1070" i="16"/>
  <c r="H1070" i="16" s="1"/>
  <c r="G1071" i="16"/>
  <c r="H1071" i="16" s="1"/>
  <c r="G1072" i="16"/>
  <c r="H1072" i="16" s="1"/>
  <c r="G1073" i="16"/>
  <c r="H1073" i="16" s="1"/>
  <c r="G1074" i="16"/>
  <c r="H1074" i="16" s="1"/>
  <c r="G1075" i="16"/>
  <c r="H1075" i="16" s="1"/>
  <c r="G1076" i="16"/>
  <c r="H1076" i="16" s="1"/>
  <c r="G1077" i="16"/>
  <c r="H1077" i="16" s="1"/>
  <c r="G1078" i="16"/>
  <c r="H1078" i="16" s="1"/>
  <c r="G1079" i="16"/>
  <c r="H1079" i="16" s="1"/>
  <c r="G1080" i="16"/>
  <c r="H1080" i="16" s="1"/>
  <c r="G1081" i="16"/>
  <c r="H1081" i="16" s="1"/>
  <c r="G1082" i="16"/>
  <c r="H1082" i="16" s="1"/>
  <c r="G1083" i="16"/>
  <c r="H1083" i="16" s="1"/>
  <c r="G1084" i="16"/>
  <c r="H1084" i="16" s="1"/>
  <c r="G1085" i="16"/>
  <c r="H1085" i="16" s="1"/>
  <c r="G1086" i="16"/>
  <c r="H1086" i="16" s="1"/>
  <c r="G1087" i="16"/>
  <c r="H1087" i="16" s="1"/>
  <c r="G1088" i="16"/>
  <c r="H1088" i="16" s="1"/>
  <c r="G1089" i="16"/>
  <c r="H1089" i="16" s="1"/>
  <c r="G1090" i="16"/>
  <c r="H1090" i="16" s="1"/>
  <c r="G1091" i="16"/>
  <c r="H1091" i="16" s="1"/>
  <c r="G1092" i="16"/>
  <c r="H1092" i="16" s="1"/>
  <c r="G1093" i="16"/>
  <c r="H1093" i="16" s="1"/>
  <c r="G1094" i="16"/>
  <c r="H1094" i="16" s="1"/>
  <c r="G1095" i="16"/>
  <c r="H1095" i="16" s="1"/>
  <c r="G1096" i="16"/>
  <c r="H1096" i="16" s="1"/>
  <c r="G1097" i="16"/>
  <c r="H1097" i="16" s="1"/>
  <c r="G1098" i="16"/>
  <c r="H1098" i="16" s="1"/>
  <c r="G1099" i="16"/>
  <c r="H1099" i="16" s="1"/>
  <c r="G1100" i="16"/>
  <c r="H1100" i="16" s="1"/>
  <c r="G1101" i="16"/>
  <c r="H1101" i="16" s="1"/>
  <c r="G1102" i="16"/>
  <c r="H1102" i="16" s="1"/>
  <c r="G1103" i="16"/>
  <c r="H1103" i="16" s="1"/>
  <c r="G1104" i="16"/>
  <c r="H1104" i="16" s="1"/>
  <c r="G1105" i="16"/>
  <c r="H1105" i="16" s="1"/>
  <c r="G1106" i="16"/>
  <c r="H1106" i="16" s="1"/>
  <c r="G1107" i="16"/>
  <c r="H1107" i="16" s="1"/>
  <c r="G1108" i="16"/>
  <c r="H1108" i="16" s="1"/>
  <c r="G1109" i="16"/>
  <c r="H1109" i="16" s="1"/>
  <c r="G1110" i="16"/>
  <c r="H1110" i="16" s="1"/>
  <c r="G1111" i="16"/>
  <c r="H1111" i="16" s="1"/>
  <c r="G1112" i="16"/>
  <c r="H1112" i="16" s="1"/>
  <c r="G1113" i="16"/>
  <c r="H1113" i="16" s="1"/>
  <c r="G1114" i="16"/>
  <c r="H1114" i="16" s="1"/>
  <c r="G1115" i="16"/>
  <c r="H1115" i="16" s="1"/>
  <c r="G1116" i="16"/>
  <c r="H1116" i="16" s="1"/>
  <c r="G1117" i="16"/>
  <c r="H1117" i="16" s="1"/>
  <c r="G1118" i="16"/>
  <c r="H1118" i="16" s="1"/>
  <c r="G1119" i="16"/>
  <c r="H1119" i="16" s="1"/>
  <c r="G1120" i="16"/>
  <c r="H1120" i="16" s="1"/>
  <c r="G1121" i="16"/>
  <c r="H1121" i="16" s="1"/>
  <c r="G1122" i="16"/>
  <c r="H1122" i="16" s="1"/>
  <c r="G1123" i="16"/>
  <c r="H1123" i="16" s="1"/>
  <c r="G1124" i="16"/>
  <c r="H1124" i="16" s="1"/>
  <c r="G1125" i="16"/>
  <c r="H1125" i="16" s="1"/>
  <c r="G1126" i="16"/>
  <c r="H1126" i="16" s="1"/>
  <c r="G1127" i="16"/>
  <c r="H1127" i="16" s="1"/>
  <c r="G1128" i="16"/>
  <c r="H1128" i="16" s="1"/>
  <c r="G1129" i="16"/>
  <c r="H1129" i="16" s="1"/>
  <c r="G1130" i="16"/>
  <c r="H1130" i="16" s="1"/>
  <c r="G1131" i="16"/>
  <c r="H1131" i="16" s="1"/>
  <c r="G1132" i="16"/>
  <c r="H1132" i="16" s="1"/>
  <c r="G1133" i="16"/>
  <c r="H1133" i="16" s="1"/>
  <c r="G1134" i="16"/>
  <c r="H1134" i="16" s="1"/>
  <c r="G1135" i="16"/>
  <c r="H1135" i="16" s="1"/>
  <c r="G1136" i="16"/>
  <c r="H1136" i="16" s="1"/>
  <c r="G1137" i="16"/>
  <c r="H1137" i="16" s="1"/>
  <c r="G1138" i="16"/>
  <c r="H1138" i="16" s="1"/>
  <c r="G1139" i="16"/>
  <c r="H1139" i="16" s="1"/>
  <c r="G1140" i="16"/>
  <c r="H1140" i="16" s="1"/>
  <c r="G1141" i="16"/>
  <c r="H1141" i="16" s="1"/>
  <c r="G1142" i="16"/>
  <c r="H1142" i="16" s="1"/>
  <c r="G1143" i="16"/>
  <c r="H1143" i="16" s="1"/>
  <c r="G1144" i="16"/>
  <c r="H1144" i="16" s="1"/>
  <c r="G1145" i="16"/>
  <c r="H1145" i="16" s="1"/>
  <c r="G1146" i="16"/>
  <c r="H1146" i="16" s="1"/>
  <c r="G1147" i="16"/>
  <c r="H1147" i="16" s="1"/>
  <c r="G1148" i="16"/>
  <c r="H1148" i="16" s="1"/>
  <c r="G1149" i="16"/>
  <c r="H1149" i="16" s="1"/>
  <c r="G1150" i="16"/>
  <c r="H1150" i="16" s="1"/>
  <c r="G1151" i="16"/>
  <c r="H1151" i="16" s="1"/>
  <c r="G1152" i="16"/>
  <c r="H1152" i="16" s="1"/>
  <c r="G1153" i="16"/>
  <c r="H1153" i="16" s="1"/>
  <c r="G1154" i="16"/>
  <c r="H1154" i="16" s="1"/>
  <c r="G1155" i="16"/>
  <c r="H1155" i="16" s="1"/>
  <c r="G1156" i="16"/>
  <c r="H1156" i="16" s="1"/>
  <c r="G1157" i="16"/>
  <c r="H1157" i="16" s="1"/>
  <c r="G1158" i="16"/>
  <c r="H1158" i="16" s="1"/>
  <c r="G1159" i="16"/>
  <c r="H1159" i="16" s="1"/>
  <c r="G1160" i="16"/>
  <c r="H1160" i="16" s="1"/>
  <c r="G1161" i="16"/>
  <c r="H1161" i="16" s="1"/>
  <c r="G1162" i="16"/>
  <c r="H1162" i="16" s="1"/>
  <c r="G1163" i="16"/>
  <c r="H1163" i="16" s="1"/>
  <c r="G1164" i="16"/>
  <c r="H1164" i="16" s="1"/>
  <c r="G1165" i="16"/>
  <c r="H1165" i="16" s="1"/>
  <c r="G1166" i="16"/>
  <c r="H1166" i="16" s="1"/>
  <c r="G1167" i="16"/>
  <c r="H1167" i="16" s="1"/>
  <c r="G1168" i="16"/>
  <c r="H1168" i="16" s="1"/>
  <c r="G1169" i="16"/>
  <c r="H1169" i="16" s="1"/>
  <c r="G1170" i="16"/>
  <c r="H1170" i="16" s="1"/>
  <c r="G1171" i="16"/>
  <c r="H1171" i="16" s="1"/>
  <c r="G1172" i="16"/>
  <c r="H1172" i="16" s="1"/>
  <c r="G1173" i="16"/>
  <c r="H1173" i="16" s="1"/>
  <c r="G1174" i="16"/>
  <c r="H1174" i="16" s="1"/>
  <c r="G1175" i="16"/>
  <c r="H1175" i="16" s="1"/>
  <c r="G1176" i="16"/>
  <c r="H1176" i="16" s="1"/>
  <c r="G1177" i="16"/>
  <c r="H1177" i="16" s="1"/>
  <c r="G1178" i="16"/>
  <c r="H1178" i="16" s="1"/>
  <c r="G1179" i="16"/>
  <c r="H1179" i="16" s="1"/>
  <c r="G1180" i="16"/>
  <c r="H1180" i="16" s="1"/>
  <c r="G1181" i="16"/>
  <c r="H1181" i="16" s="1"/>
  <c r="G1182" i="16"/>
  <c r="H1182" i="16" s="1"/>
  <c r="G1183" i="16"/>
  <c r="H1183" i="16" s="1"/>
  <c r="G1184" i="16"/>
  <c r="H1184" i="16" s="1"/>
  <c r="G1185" i="16"/>
  <c r="H1185" i="16" s="1"/>
  <c r="G1186" i="16"/>
  <c r="H1186" i="16" s="1"/>
  <c r="G1187" i="16"/>
  <c r="H1187" i="16" s="1"/>
  <c r="G1188" i="16"/>
  <c r="H1188" i="16" s="1"/>
  <c r="G1189" i="16"/>
  <c r="H1189" i="16" s="1"/>
  <c r="G1190" i="16"/>
  <c r="H1190" i="16" s="1"/>
  <c r="G1191" i="16"/>
  <c r="H1191" i="16" s="1"/>
  <c r="G1192" i="16"/>
  <c r="H1192" i="16" s="1"/>
  <c r="G1193" i="16"/>
  <c r="H1193" i="16" s="1"/>
  <c r="G1194" i="16"/>
  <c r="H1194" i="16" s="1"/>
  <c r="G1195" i="16"/>
  <c r="H1195" i="16" s="1"/>
  <c r="G1196" i="16"/>
  <c r="H1196" i="16" s="1"/>
  <c r="G1197" i="16"/>
  <c r="H1197" i="16" s="1"/>
  <c r="G1198" i="16"/>
  <c r="H1198" i="16" s="1"/>
  <c r="G1199" i="16"/>
  <c r="H1199" i="16" s="1"/>
  <c r="G1200" i="16"/>
  <c r="H1200" i="16" s="1"/>
  <c r="G1201" i="16"/>
  <c r="H1201" i="16" s="1"/>
  <c r="G1202" i="16"/>
  <c r="H1202" i="16" s="1"/>
  <c r="G1203" i="16"/>
  <c r="H1203" i="16" s="1"/>
  <c r="G1204" i="16"/>
  <c r="H1204" i="16" s="1"/>
  <c r="G1205" i="16"/>
  <c r="H1205" i="16" s="1"/>
  <c r="G1206" i="16"/>
  <c r="H1206" i="16" s="1"/>
  <c r="G1207" i="16"/>
  <c r="H1207" i="16" s="1"/>
  <c r="G1208" i="16"/>
  <c r="H1208" i="16" s="1"/>
  <c r="G1209" i="16"/>
  <c r="H1209" i="16" s="1"/>
  <c r="G1210" i="16"/>
  <c r="H1210" i="16" s="1"/>
  <c r="G1211" i="16"/>
  <c r="H1211" i="16" s="1"/>
  <c r="G1212" i="16"/>
  <c r="H1212" i="16" s="1"/>
  <c r="G1213" i="16"/>
  <c r="H1213" i="16" s="1"/>
  <c r="G1214" i="16"/>
  <c r="H1214" i="16" s="1"/>
  <c r="G1215" i="16"/>
  <c r="H1215" i="16" s="1"/>
  <c r="G1216" i="16"/>
  <c r="H1216" i="16" s="1"/>
  <c r="G1217" i="16"/>
  <c r="H1217" i="16" s="1"/>
  <c r="G1218" i="16"/>
  <c r="H1218" i="16" s="1"/>
  <c r="G1219" i="16"/>
  <c r="H1219" i="16" s="1"/>
  <c r="G1220" i="16"/>
  <c r="H1220" i="16" s="1"/>
  <c r="G1221" i="16"/>
  <c r="H1221" i="16" s="1"/>
  <c r="G1222" i="16"/>
  <c r="H1222" i="16" s="1"/>
  <c r="G1223" i="16"/>
  <c r="H1223" i="16" s="1"/>
  <c r="G1224" i="16"/>
  <c r="H1224" i="16" s="1"/>
  <c r="G1225" i="16"/>
  <c r="H1225" i="16" s="1"/>
  <c r="G1226" i="16"/>
  <c r="H1226" i="16" s="1"/>
  <c r="G1227" i="16"/>
  <c r="H1227" i="16" s="1"/>
  <c r="G1228" i="16"/>
  <c r="H1228" i="16" s="1"/>
  <c r="G1229" i="16"/>
  <c r="H1229" i="16" s="1"/>
  <c r="G1230" i="16"/>
  <c r="H1230" i="16" s="1"/>
  <c r="G1231" i="16"/>
  <c r="H1231" i="16" s="1"/>
  <c r="G1232" i="16"/>
  <c r="H1232" i="16" s="1"/>
  <c r="G1233" i="16"/>
  <c r="H1233" i="16" s="1"/>
  <c r="G1234" i="16"/>
  <c r="H1234" i="16" s="1"/>
  <c r="G1235" i="16"/>
  <c r="H1235" i="16" s="1"/>
  <c r="G1236" i="16"/>
  <c r="H1236" i="16" s="1"/>
  <c r="G1237" i="16"/>
  <c r="H1237" i="16" s="1"/>
  <c r="G1238" i="16"/>
  <c r="H1238" i="16" s="1"/>
  <c r="G1239" i="16"/>
  <c r="H1239" i="16" s="1"/>
  <c r="G1240" i="16"/>
  <c r="H1240" i="16" s="1"/>
  <c r="G1241" i="16"/>
  <c r="H1241" i="16" s="1"/>
  <c r="G1242" i="16"/>
  <c r="H1242" i="16" s="1"/>
  <c r="G1243" i="16"/>
  <c r="H1243" i="16" s="1"/>
  <c r="G1244" i="16"/>
  <c r="H1244" i="16" s="1"/>
  <c r="G1245" i="16"/>
  <c r="H1245" i="16" s="1"/>
  <c r="G1246" i="16"/>
  <c r="H1246" i="16" s="1"/>
  <c r="G1247" i="16"/>
  <c r="H1247" i="16" s="1"/>
  <c r="G1248" i="16"/>
  <c r="H1248" i="16" s="1"/>
  <c r="G1249" i="16"/>
  <c r="H1249" i="16" s="1"/>
  <c r="G1250" i="16"/>
  <c r="H1250" i="16" s="1"/>
  <c r="G1251" i="16"/>
  <c r="H1251" i="16" s="1"/>
  <c r="G1252" i="16"/>
  <c r="H1252" i="16" s="1"/>
  <c r="G1253" i="16"/>
  <c r="H1253" i="16" s="1"/>
  <c r="G1254" i="16"/>
  <c r="H1254" i="16" s="1"/>
  <c r="G1255" i="16"/>
  <c r="H1255" i="16" s="1"/>
  <c r="G1256" i="16"/>
  <c r="H1256" i="16" s="1"/>
  <c r="G1257" i="16"/>
  <c r="H1257" i="16" s="1"/>
  <c r="G1258" i="16"/>
  <c r="H1258" i="16" s="1"/>
  <c r="G1259" i="16"/>
  <c r="H1259" i="16" s="1"/>
  <c r="G1260" i="16"/>
  <c r="H1260" i="16" s="1"/>
  <c r="G1261" i="16"/>
  <c r="H1261" i="16" s="1"/>
  <c r="G1262" i="16"/>
  <c r="H1262" i="16" s="1"/>
  <c r="G1263" i="16"/>
  <c r="H1263" i="16" s="1"/>
  <c r="G1264" i="16"/>
  <c r="H1264" i="16" s="1"/>
  <c r="G1265" i="16"/>
  <c r="H1265" i="16" s="1"/>
  <c r="G1266" i="16"/>
  <c r="H1266" i="16" s="1"/>
  <c r="G1267" i="16"/>
  <c r="H1267" i="16" s="1"/>
  <c r="G1268" i="16"/>
  <c r="H1268" i="16" s="1"/>
  <c r="G1269" i="16"/>
  <c r="H1269" i="16" s="1"/>
  <c r="G1270" i="16"/>
  <c r="H1270" i="16" s="1"/>
  <c r="G1271" i="16"/>
  <c r="H1271" i="16" s="1"/>
  <c r="G1272" i="16"/>
  <c r="H1272" i="16" s="1"/>
  <c r="G1273" i="16"/>
  <c r="H1273" i="16" s="1"/>
  <c r="G1274" i="16"/>
  <c r="H1274" i="16" s="1"/>
  <c r="G1275" i="16"/>
  <c r="H1275" i="16" s="1"/>
  <c r="G1276" i="16"/>
  <c r="H1276" i="16" s="1"/>
  <c r="G1277" i="16"/>
  <c r="H1277" i="16" s="1"/>
  <c r="G1278" i="16"/>
  <c r="H1278" i="16" s="1"/>
  <c r="G1279" i="16"/>
  <c r="H1279" i="16" s="1"/>
  <c r="G1280" i="16"/>
  <c r="H1280" i="16" s="1"/>
  <c r="G1281" i="16"/>
  <c r="H1281" i="16" s="1"/>
  <c r="G1282" i="16"/>
  <c r="H1282" i="16" s="1"/>
  <c r="G1283" i="16"/>
  <c r="H1283" i="16" s="1"/>
  <c r="G1284" i="16"/>
  <c r="H1284" i="16" s="1"/>
  <c r="G1285" i="16"/>
  <c r="H1285" i="16" s="1"/>
  <c r="G1286" i="16"/>
  <c r="H1286" i="16" s="1"/>
  <c r="G1287" i="16"/>
  <c r="H1287" i="16" s="1"/>
  <c r="G1288" i="16"/>
  <c r="H1288" i="16" s="1"/>
  <c r="G1289" i="16"/>
  <c r="H1289" i="16" s="1"/>
  <c r="G1290" i="16"/>
  <c r="H1290" i="16" s="1"/>
  <c r="G1291" i="16"/>
  <c r="H1291" i="16" s="1"/>
  <c r="G1292" i="16"/>
  <c r="H1292" i="16" s="1"/>
  <c r="G1293" i="16"/>
  <c r="H1293" i="16" s="1"/>
  <c r="G1294" i="16"/>
  <c r="H1294" i="16" s="1"/>
  <c r="G1295" i="16"/>
  <c r="H1295" i="16" s="1"/>
  <c r="G1296" i="16"/>
  <c r="H1296" i="16" s="1"/>
  <c r="G1297" i="16"/>
  <c r="H1297" i="16" s="1"/>
  <c r="G1298" i="16"/>
  <c r="H1298" i="16" s="1"/>
  <c r="G1299" i="16"/>
  <c r="H1299" i="16" s="1"/>
  <c r="G1300" i="16"/>
  <c r="H1300" i="16" s="1"/>
  <c r="G1301" i="16"/>
  <c r="H1301" i="16" s="1"/>
  <c r="G1302" i="16"/>
  <c r="H1302" i="16" s="1"/>
  <c r="G1303" i="16"/>
  <c r="H1303" i="16" s="1"/>
  <c r="G1304" i="16"/>
  <c r="H1304" i="16" s="1"/>
  <c r="G1305" i="16"/>
  <c r="H1305" i="16" s="1"/>
  <c r="G1306" i="16"/>
  <c r="H1306" i="16" s="1"/>
  <c r="G1307" i="16"/>
  <c r="H1307" i="16" s="1"/>
  <c r="G1308" i="16"/>
  <c r="H1308" i="16" s="1"/>
  <c r="G1309" i="16"/>
  <c r="H1309" i="16" s="1"/>
  <c r="G1310" i="16"/>
  <c r="H1310" i="16" s="1"/>
  <c r="G1311" i="16"/>
  <c r="H1311" i="16" s="1"/>
  <c r="G1312" i="16"/>
  <c r="H1312" i="16" s="1"/>
  <c r="G1313" i="16"/>
  <c r="H1313" i="16" s="1"/>
  <c r="G1314" i="16"/>
  <c r="H1314" i="16" s="1"/>
  <c r="G1315" i="16"/>
  <c r="H1315" i="16" s="1"/>
  <c r="G1316" i="16"/>
  <c r="H1316" i="16" s="1"/>
  <c r="G1317" i="16"/>
  <c r="H1317" i="16" s="1"/>
  <c r="G1318" i="16"/>
  <c r="H1318" i="16" s="1"/>
  <c r="G1319" i="16"/>
  <c r="H1319" i="16" s="1"/>
  <c r="G1320" i="16"/>
  <c r="H1320" i="16" s="1"/>
  <c r="G1321" i="16"/>
  <c r="H1321" i="16" s="1"/>
  <c r="G1322" i="16"/>
  <c r="H1322" i="16" s="1"/>
  <c r="G1323" i="16"/>
  <c r="H1323" i="16" s="1"/>
  <c r="G1324" i="16"/>
  <c r="H1324" i="16" s="1"/>
  <c r="G1325" i="16"/>
  <c r="H1325" i="16" s="1"/>
  <c r="G1326" i="16"/>
  <c r="H1326" i="16" s="1"/>
  <c r="G1327" i="16"/>
  <c r="H1327" i="16" s="1"/>
  <c r="G1328" i="16"/>
  <c r="H1328" i="16" s="1"/>
  <c r="G1329" i="16"/>
  <c r="H1329" i="16" s="1"/>
  <c r="G1330" i="16"/>
  <c r="H1330" i="16" s="1"/>
  <c r="G1331" i="16"/>
  <c r="H1331" i="16" s="1"/>
  <c r="G1332" i="16"/>
  <c r="H1332" i="16" s="1"/>
  <c r="G1333" i="16"/>
  <c r="H1333" i="16" s="1"/>
  <c r="G1334" i="16"/>
  <c r="H1334" i="16" s="1"/>
  <c r="G1335" i="16"/>
  <c r="H1335" i="16" s="1"/>
  <c r="G1336" i="16"/>
  <c r="H1336" i="16" s="1"/>
  <c r="G1337" i="16"/>
  <c r="H1337" i="16" s="1"/>
  <c r="G1338" i="16"/>
  <c r="H1338" i="16" s="1"/>
  <c r="G1339" i="16"/>
  <c r="H1339" i="16" s="1"/>
  <c r="G1340" i="16"/>
  <c r="H1340" i="16" s="1"/>
  <c r="G1341" i="16"/>
  <c r="H1341" i="16" s="1"/>
  <c r="G1342" i="16"/>
  <c r="H1342" i="16" s="1"/>
  <c r="G1343" i="16"/>
  <c r="H1343" i="16" s="1"/>
  <c r="G1344" i="16"/>
  <c r="H1344" i="16" s="1"/>
  <c r="G1345" i="16"/>
  <c r="H1345" i="16" s="1"/>
  <c r="G1346" i="16"/>
  <c r="H1346" i="16" s="1"/>
  <c r="G1347" i="16"/>
  <c r="H1347" i="16" s="1"/>
  <c r="G1348" i="16"/>
  <c r="H1348" i="16" s="1"/>
  <c r="G1349" i="16"/>
  <c r="H1349" i="16" s="1"/>
  <c r="G1350" i="16"/>
  <c r="H1350" i="16" s="1"/>
  <c r="G1351" i="16"/>
  <c r="H1351" i="16" s="1"/>
  <c r="G1352" i="16"/>
  <c r="H1352" i="16" s="1"/>
  <c r="G1353" i="16"/>
  <c r="H1353" i="16" s="1"/>
  <c r="G1354" i="16"/>
  <c r="H1354" i="16" s="1"/>
  <c r="G1355" i="16"/>
  <c r="H1355" i="16" s="1"/>
  <c r="G1356" i="16"/>
  <c r="H1356" i="16" s="1"/>
  <c r="G1357" i="16"/>
  <c r="H1357" i="16" s="1"/>
  <c r="G1358" i="16"/>
  <c r="H1358" i="16" s="1"/>
  <c r="G1359" i="16"/>
  <c r="H1359" i="16" s="1"/>
  <c r="G1360" i="16"/>
  <c r="H1360" i="16" s="1"/>
  <c r="G1361" i="16"/>
  <c r="H1361" i="16" s="1"/>
  <c r="G1362" i="16"/>
  <c r="H1362" i="16" s="1"/>
  <c r="G1363" i="16"/>
  <c r="H1363" i="16" s="1"/>
  <c r="G1364" i="16"/>
  <c r="H1364" i="16" s="1"/>
  <c r="G1365" i="16"/>
  <c r="H1365" i="16" s="1"/>
  <c r="G1366" i="16"/>
  <c r="H1366" i="16" s="1"/>
  <c r="G1367" i="16"/>
  <c r="H1367" i="16" s="1"/>
  <c r="G1368" i="16"/>
  <c r="H1368" i="16" s="1"/>
  <c r="G1369" i="16"/>
  <c r="H1369" i="16" s="1"/>
  <c r="G1370" i="16"/>
  <c r="H1370" i="16" s="1"/>
  <c r="G1371" i="16"/>
  <c r="H1371" i="16" s="1"/>
  <c r="G1372" i="16"/>
  <c r="H1372" i="16" s="1"/>
  <c r="G1373" i="16"/>
  <c r="H1373" i="16" s="1"/>
  <c r="G1374" i="16"/>
  <c r="H1374" i="16" s="1"/>
  <c r="G1375" i="16"/>
  <c r="H1375" i="16" s="1"/>
  <c r="G1376" i="16"/>
  <c r="H1376" i="16" s="1"/>
  <c r="G1377" i="16"/>
  <c r="H1377" i="16" s="1"/>
  <c r="G1378" i="16"/>
  <c r="H1378" i="16" s="1"/>
  <c r="G1379" i="16"/>
  <c r="H1379" i="16" s="1"/>
  <c r="G1380" i="16"/>
  <c r="H1380" i="16" s="1"/>
  <c r="G1381" i="16"/>
  <c r="H1381" i="16" s="1"/>
  <c r="G1382" i="16"/>
  <c r="H1382" i="16" s="1"/>
  <c r="G1383" i="16"/>
  <c r="H1383" i="16" s="1"/>
  <c r="G1384" i="16"/>
  <c r="H1384" i="16" s="1"/>
  <c r="G1385" i="16"/>
  <c r="H1385" i="16" s="1"/>
  <c r="G1386" i="16"/>
  <c r="H1386" i="16" s="1"/>
  <c r="G1387" i="16"/>
  <c r="H1387" i="16" s="1"/>
  <c r="G1388" i="16"/>
  <c r="H1388" i="16" s="1"/>
  <c r="G1389" i="16"/>
  <c r="H1389" i="16" s="1"/>
  <c r="G1390" i="16"/>
  <c r="H1390" i="16" s="1"/>
  <c r="G1391" i="16"/>
  <c r="H1391" i="16" s="1"/>
  <c r="G1392" i="16"/>
  <c r="H1392" i="16" s="1"/>
  <c r="G1393" i="16"/>
  <c r="H1393" i="16" s="1"/>
  <c r="G1394" i="16"/>
  <c r="H1394" i="16" s="1"/>
  <c r="G1395" i="16"/>
  <c r="H1395" i="16" s="1"/>
  <c r="G1396" i="16"/>
  <c r="H1396" i="16" s="1"/>
  <c r="G1397" i="16"/>
  <c r="H1397" i="16" s="1"/>
  <c r="G1398" i="16"/>
  <c r="H1398" i="16" s="1"/>
  <c r="G1399" i="16"/>
  <c r="H1399" i="16" s="1"/>
  <c r="G1400" i="16"/>
  <c r="H1400" i="16" s="1"/>
  <c r="G1401" i="16"/>
  <c r="H1401" i="16" s="1"/>
  <c r="G1402" i="16"/>
  <c r="H1402" i="16" s="1"/>
  <c r="G1403" i="16"/>
  <c r="H1403" i="16" s="1"/>
  <c r="G1404" i="16"/>
  <c r="H1404" i="16" s="1"/>
  <c r="G1405" i="16"/>
  <c r="H1405" i="16" s="1"/>
  <c r="G1406" i="16"/>
  <c r="H1406" i="16" s="1"/>
  <c r="G1407" i="16"/>
  <c r="H1407" i="16" s="1"/>
  <c r="G1408" i="16"/>
  <c r="H1408" i="16" s="1"/>
  <c r="G1409" i="16"/>
  <c r="H1409" i="16" s="1"/>
  <c r="G1410" i="16"/>
  <c r="H1410" i="16" s="1"/>
  <c r="G1411" i="16"/>
  <c r="H1411" i="16" s="1"/>
  <c r="G1412" i="16"/>
  <c r="H1412" i="16" s="1"/>
  <c r="G1413" i="16"/>
  <c r="H1413" i="16" s="1"/>
  <c r="G1414" i="16"/>
  <c r="H1414" i="16" s="1"/>
  <c r="G1415" i="16"/>
  <c r="H1415" i="16" s="1"/>
  <c r="G1416" i="16"/>
  <c r="H1416" i="16" s="1"/>
  <c r="G1417" i="16"/>
  <c r="H1417" i="16" s="1"/>
  <c r="G1418" i="16"/>
  <c r="H1418" i="16" s="1"/>
  <c r="G1419" i="16"/>
  <c r="H1419" i="16" s="1"/>
  <c r="G1420" i="16"/>
  <c r="H1420" i="16" s="1"/>
  <c r="G1421" i="16"/>
  <c r="H1421" i="16" s="1"/>
  <c r="G1422" i="16"/>
  <c r="H1422" i="16" s="1"/>
  <c r="G1423" i="16"/>
  <c r="H1423" i="16" s="1"/>
  <c r="G1424" i="16"/>
  <c r="H1424" i="16" s="1"/>
  <c r="G1425" i="16"/>
  <c r="H1425" i="16" s="1"/>
  <c r="G1426" i="16"/>
  <c r="H1426" i="16" s="1"/>
  <c r="G1427" i="16"/>
  <c r="H1427" i="16" s="1"/>
  <c r="G1428" i="16"/>
  <c r="H1428" i="16" s="1"/>
  <c r="G1429" i="16"/>
  <c r="H1429" i="16" s="1"/>
  <c r="G1430" i="16"/>
  <c r="H1430" i="16" s="1"/>
  <c r="G1431" i="16"/>
  <c r="H1431" i="16" s="1"/>
  <c r="G1432" i="16"/>
  <c r="H1432" i="16" s="1"/>
  <c r="G1433" i="16"/>
  <c r="H1433" i="16" s="1"/>
  <c r="G1434" i="16"/>
  <c r="H1434" i="16" s="1"/>
  <c r="G1435" i="16"/>
  <c r="H1435" i="16" s="1"/>
  <c r="G1436" i="16"/>
  <c r="H1436" i="16" s="1"/>
  <c r="G1437" i="16"/>
  <c r="H1437" i="16" s="1"/>
  <c r="G1438" i="16"/>
  <c r="H1438" i="16" s="1"/>
  <c r="G1439" i="16"/>
  <c r="H1439" i="16" s="1"/>
  <c r="G1440" i="16"/>
  <c r="H1440" i="16" s="1"/>
  <c r="G1441" i="16"/>
  <c r="H1441" i="16" s="1"/>
  <c r="G1442" i="16"/>
  <c r="H1442" i="16" s="1"/>
  <c r="G1443" i="16"/>
  <c r="H1443" i="16" s="1"/>
  <c r="G1444" i="16"/>
  <c r="H1444" i="16" s="1"/>
  <c r="G1445" i="16"/>
  <c r="H1445" i="16" s="1"/>
  <c r="G1446" i="16"/>
  <c r="H1446" i="16" s="1"/>
  <c r="G1447" i="16"/>
  <c r="H1447" i="16" s="1"/>
  <c r="G1448" i="16"/>
  <c r="H1448" i="16" s="1"/>
  <c r="G1449" i="16"/>
  <c r="H1449" i="16" s="1"/>
  <c r="G1450" i="16"/>
  <c r="H1450" i="16" s="1"/>
  <c r="G1451" i="16"/>
  <c r="H1451" i="16" s="1"/>
  <c r="G1452" i="16"/>
  <c r="H1452" i="16" s="1"/>
  <c r="G1453" i="16"/>
  <c r="H1453" i="16" s="1"/>
  <c r="G1454" i="16"/>
  <c r="H1454" i="16" s="1"/>
  <c r="G1455" i="16"/>
  <c r="H1455" i="16" s="1"/>
  <c r="G1456" i="16"/>
  <c r="H1456" i="16" s="1"/>
  <c r="G1457" i="16"/>
  <c r="H1457" i="16" s="1"/>
  <c r="G1458" i="16"/>
  <c r="H1458" i="16" s="1"/>
  <c r="G1459" i="16"/>
  <c r="H1459" i="16" s="1"/>
  <c r="G1460" i="16"/>
  <c r="H1460" i="16" s="1"/>
  <c r="G1461" i="16"/>
  <c r="H1461" i="16" s="1"/>
  <c r="G1462" i="16"/>
  <c r="H1462" i="16" s="1"/>
  <c r="G1463" i="16"/>
  <c r="H1463" i="16" s="1"/>
  <c r="G1464" i="16"/>
  <c r="H1464" i="16" s="1"/>
  <c r="G1465" i="16"/>
  <c r="H1465" i="16" s="1"/>
  <c r="G1466" i="16"/>
  <c r="H1466" i="16" s="1"/>
  <c r="G1467" i="16"/>
  <c r="H1467" i="16" s="1"/>
  <c r="G1468" i="16"/>
  <c r="H1468" i="16" s="1"/>
  <c r="G1469" i="16"/>
  <c r="H1469" i="16" s="1"/>
  <c r="G1470" i="16"/>
  <c r="H1470" i="16" s="1"/>
  <c r="G1471" i="16"/>
  <c r="H1471" i="16" s="1"/>
  <c r="G1472" i="16"/>
  <c r="H1472" i="16" s="1"/>
  <c r="G1473" i="16"/>
  <c r="H1473" i="16" s="1"/>
  <c r="G1474" i="16"/>
  <c r="H1474" i="16" s="1"/>
  <c r="G1475" i="16"/>
  <c r="H1475" i="16" s="1"/>
  <c r="G1476" i="16"/>
  <c r="H1476" i="16" s="1"/>
  <c r="G1477" i="16"/>
  <c r="H1477" i="16" s="1"/>
  <c r="G1478" i="16"/>
  <c r="H1478" i="16" s="1"/>
  <c r="G1479" i="16"/>
  <c r="H1479" i="16" s="1"/>
  <c r="G1480" i="16"/>
  <c r="H1480" i="16" s="1"/>
  <c r="G1481" i="16"/>
  <c r="H1481" i="16" s="1"/>
  <c r="G1482" i="16"/>
  <c r="H1482" i="16" s="1"/>
  <c r="G1483" i="16"/>
  <c r="H1483" i="16" s="1"/>
  <c r="G1484" i="16"/>
  <c r="H1484" i="16" s="1"/>
  <c r="G1485" i="16"/>
  <c r="H1485" i="16" s="1"/>
  <c r="G1486" i="16"/>
  <c r="H1486" i="16" s="1"/>
  <c r="G1487" i="16"/>
  <c r="H1487" i="16" s="1"/>
  <c r="G1488" i="16"/>
  <c r="H1488" i="16" s="1"/>
  <c r="G1489" i="16"/>
  <c r="H1489" i="16" s="1"/>
  <c r="G1490" i="16"/>
  <c r="H1490" i="16" s="1"/>
  <c r="G1491" i="16"/>
  <c r="H1491" i="16" s="1"/>
  <c r="G1492" i="16"/>
  <c r="H1492" i="16" s="1"/>
  <c r="G1493" i="16"/>
  <c r="H1493" i="16" s="1"/>
  <c r="G1494" i="16"/>
  <c r="H1494" i="16" s="1"/>
  <c r="G1495" i="16"/>
  <c r="H1495" i="16" s="1"/>
  <c r="G1496" i="16"/>
  <c r="H1496" i="16" s="1"/>
  <c r="G1497" i="16"/>
  <c r="H1497" i="16" s="1"/>
  <c r="G1498" i="16"/>
  <c r="H1498" i="16" s="1"/>
  <c r="G1499" i="16"/>
  <c r="H1499" i="16" s="1"/>
  <c r="G1500" i="16"/>
  <c r="H1500" i="16" s="1"/>
  <c r="G1501" i="16"/>
  <c r="H1501" i="16" s="1"/>
  <c r="G1502" i="16"/>
  <c r="H1502" i="16" s="1"/>
  <c r="G1503" i="16"/>
  <c r="H1503" i="16" s="1"/>
  <c r="G1504" i="16"/>
  <c r="H1504" i="16" s="1"/>
  <c r="G1505" i="16"/>
  <c r="H1505" i="16" s="1"/>
  <c r="G1506" i="16"/>
  <c r="H1506" i="16" s="1"/>
  <c r="G1507" i="16"/>
  <c r="H1507" i="16" s="1"/>
  <c r="G1508" i="16"/>
  <c r="H1508" i="16" s="1"/>
  <c r="G1509" i="16"/>
  <c r="H1509" i="16" s="1"/>
  <c r="G1510" i="16"/>
  <c r="H1510" i="16" s="1"/>
  <c r="G1511" i="16"/>
  <c r="H1511" i="16" s="1"/>
  <c r="G1512" i="16"/>
  <c r="H1512" i="16" s="1"/>
  <c r="G1513" i="16"/>
  <c r="H1513" i="16" s="1"/>
  <c r="G1514" i="16"/>
  <c r="H1514" i="16" s="1"/>
  <c r="G1515" i="16"/>
  <c r="H1515" i="16" s="1"/>
  <c r="G1516" i="16"/>
  <c r="H1516" i="16" s="1"/>
  <c r="G1517" i="16"/>
  <c r="H1517" i="16" s="1"/>
  <c r="G1518" i="16"/>
  <c r="H1518" i="16" s="1"/>
  <c r="G1519" i="16"/>
  <c r="H1519" i="16" s="1"/>
  <c r="G1520" i="16"/>
  <c r="H1520" i="16" s="1"/>
  <c r="G1521" i="16"/>
  <c r="H1521" i="16" s="1"/>
  <c r="G1522" i="16"/>
  <c r="H1522" i="16" s="1"/>
  <c r="G1523" i="16"/>
  <c r="H1523" i="16" s="1"/>
  <c r="G1524" i="16"/>
  <c r="H1524" i="16" s="1"/>
  <c r="G1525" i="16"/>
  <c r="H1525" i="16" s="1"/>
  <c r="G1526" i="16"/>
  <c r="H1526" i="16" s="1"/>
  <c r="G1527" i="16"/>
  <c r="H1527" i="16" s="1"/>
  <c r="G1528" i="16"/>
  <c r="H1528" i="16" s="1"/>
  <c r="G1529" i="16"/>
  <c r="H1529" i="16" s="1"/>
  <c r="G1530" i="16"/>
  <c r="H1530" i="16" s="1"/>
  <c r="G1531" i="16"/>
  <c r="H1531" i="16" s="1"/>
  <c r="G1532" i="16"/>
  <c r="H1532" i="16" s="1"/>
  <c r="G1533" i="16"/>
  <c r="H1533" i="16" s="1"/>
  <c r="G1534" i="16"/>
  <c r="H1534" i="16" s="1"/>
  <c r="G1535" i="16"/>
  <c r="H1535" i="16" s="1"/>
  <c r="G1536" i="16"/>
  <c r="H1536" i="16" s="1"/>
  <c r="G1537" i="16"/>
  <c r="H1537" i="16" s="1"/>
  <c r="G1538" i="16"/>
  <c r="H1538" i="16" s="1"/>
  <c r="G1539" i="16"/>
  <c r="H1539" i="16" s="1"/>
  <c r="G1540" i="16"/>
  <c r="H1540" i="16" s="1"/>
  <c r="G1541" i="16"/>
  <c r="H1541" i="16" s="1"/>
  <c r="G1542" i="16"/>
  <c r="H1542" i="16" s="1"/>
  <c r="G1543" i="16"/>
  <c r="H1543" i="16" s="1"/>
  <c r="G1544" i="16"/>
  <c r="H1544" i="16" s="1"/>
  <c r="G1545" i="16"/>
  <c r="H1545" i="16" s="1"/>
  <c r="G1546" i="16"/>
  <c r="H1546" i="16" s="1"/>
  <c r="G1547" i="16"/>
  <c r="H1547" i="16" s="1"/>
  <c r="G1548" i="16"/>
  <c r="H1548" i="16" s="1"/>
  <c r="G1549" i="16"/>
  <c r="H1549" i="16" s="1"/>
  <c r="G1550" i="16"/>
  <c r="H1550" i="16" s="1"/>
  <c r="G1551" i="16"/>
  <c r="H1551" i="16" s="1"/>
  <c r="G1552" i="16"/>
  <c r="H1552" i="16" s="1"/>
  <c r="G1553" i="16"/>
  <c r="H1553" i="16" s="1"/>
  <c r="G1554" i="16"/>
  <c r="H1554" i="16" s="1"/>
  <c r="G1555" i="16"/>
  <c r="H1555" i="16" s="1"/>
  <c r="G1556" i="16"/>
  <c r="H1556" i="16" s="1"/>
  <c r="G1557" i="16"/>
  <c r="H1557" i="16" s="1"/>
  <c r="G1558" i="16"/>
  <c r="H1558" i="16" s="1"/>
  <c r="G1559" i="16"/>
  <c r="H1559" i="16" s="1"/>
  <c r="G1560" i="16"/>
  <c r="H1560" i="16" s="1"/>
  <c r="G1561" i="16"/>
  <c r="H1561" i="16" s="1"/>
  <c r="G1562" i="16"/>
  <c r="H1562" i="16" s="1"/>
  <c r="G1563" i="16"/>
  <c r="H1563" i="16" s="1"/>
  <c r="G1564" i="16"/>
  <c r="H1564" i="16" s="1"/>
  <c r="G1565" i="16"/>
  <c r="H1565" i="16" s="1"/>
  <c r="G1566" i="16"/>
  <c r="H1566" i="16" s="1"/>
  <c r="G1567" i="16"/>
  <c r="H1567" i="16" s="1"/>
  <c r="G1568" i="16"/>
  <c r="H1568" i="16" s="1"/>
  <c r="G1569" i="16"/>
  <c r="H1569" i="16" s="1"/>
  <c r="G1570" i="16"/>
  <c r="H1570" i="16" s="1"/>
  <c r="G1571" i="16"/>
  <c r="H1571" i="16" s="1"/>
  <c r="G1572" i="16"/>
  <c r="H1572" i="16" s="1"/>
  <c r="G1573" i="16"/>
  <c r="H1573" i="16" s="1"/>
  <c r="G1574" i="16"/>
  <c r="H1574" i="16" s="1"/>
  <c r="G1575" i="16"/>
  <c r="H1575" i="16" s="1"/>
  <c r="G1576" i="16"/>
  <c r="H1576" i="16" s="1"/>
  <c r="G1577" i="16"/>
  <c r="H1577" i="16" s="1"/>
  <c r="G1578" i="16"/>
  <c r="H1578" i="16" s="1"/>
  <c r="G1579" i="16"/>
  <c r="H1579" i="16" s="1"/>
  <c r="G1580" i="16"/>
  <c r="H1580" i="16" s="1"/>
  <c r="G1581" i="16"/>
  <c r="H1581" i="16" s="1"/>
  <c r="G1582" i="16"/>
  <c r="H1582" i="16" s="1"/>
  <c r="G1583" i="16"/>
  <c r="H1583" i="16" s="1"/>
  <c r="G1584" i="16"/>
  <c r="H1584" i="16" s="1"/>
  <c r="G1585" i="16"/>
  <c r="H1585" i="16" s="1"/>
  <c r="G1586" i="16"/>
  <c r="H1586" i="16" s="1"/>
  <c r="G1587" i="16"/>
  <c r="H1587" i="16" s="1"/>
  <c r="G1588" i="16"/>
  <c r="H1588" i="16" s="1"/>
  <c r="G1589" i="16"/>
  <c r="H1589" i="16" s="1"/>
  <c r="G1590" i="16"/>
  <c r="H1590" i="16" s="1"/>
  <c r="G1591" i="16"/>
  <c r="H1591" i="16" s="1"/>
  <c r="G1592" i="16"/>
  <c r="H1592" i="16" s="1"/>
  <c r="G1593" i="16"/>
  <c r="H1593" i="16" s="1"/>
  <c r="G1594" i="16"/>
  <c r="H1594" i="16" s="1"/>
  <c r="G1595" i="16"/>
  <c r="H1595" i="16" s="1"/>
  <c r="G1596" i="16"/>
  <c r="H1596" i="16" s="1"/>
  <c r="G1597" i="16"/>
  <c r="H1597" i="16" s="1"/>
  <c r="G1598" i="16"/>
  <c r="H1598" i="16" s="1"/>
  <c r="G1599" i="16"/>
  <c r="H1599" i="16" s="1"/>
  <c r="G1600" i="16"/>
  <c r="H1600" i="16" s="1"/>
  <c r="G1601" i="16"/>
  <c r="H1601" i="16" s="1"/>
  <c r="G1602" i="16"/>
  <c r="H1602" i="16" s="1"/>
  <c r="G1603" i="16"/>
  <c r="H1603" i="16" s="1"/>
  <c r="G1604" i="16"/>
  <c r="H1604" i="16" s="1"/>
  <c r="G1605" i="16"/>
  <c r="H1605" i="16" s="1"/>
  <c r="G1606" i="16"/>
  <c r="H1606" i="16" s="1"/>
  <c r="G1607" i="16"/>
  <c r="H1607" i="16" s="1"/>
  <c r="G1608" i="16"/>
  <c r="H1608" i="16" s="1"/>
  <c r="G1609" i="16"/>
  <c r="H1609" i="16" s="1"/>
  <c r="G1610" i="16"/>
  <c r="H1610" i="16" s="1"/>
  <c r="G1611" i="16"/>
  <c r="H1611" i="16" s="1"/>
  <c r="G1612" i="16"/>
  <c r="H1612" i="16" s="1"/>
  <c r="G1613" i="16"/>
  <c r="H1613" i="16" s="1"/>
  <c r="G1614" i="16"/>
  <c r="H1614" i="16" s="1"/>
  <c r="G1615" i="16"/>
  <c r="H1615" i="16" s="1"/>
  <c r="G1616" i="16"/>
  <c r="H1616" i="16" s="1"/>
  <c r="G1617" i="16"/>
  <c r="H1617" i="16" s="1"/>
  <c r="G1618" i="16"/>
  <c r="H1618" i="16" s="1"/>
  <c r="G1619" i="16"/>
  <c r="H1619" i="16" s="1"/>
  <c r="G1620" i="16"/>
  <c r="H1620" i="16" s="1"/>
  <c r="G1621" i="16"/>
  <c r="H1621" i="16" s="1"/>
  <c r="G1622" i="16"/>
  <c r="H1622" i="16" s="1"/>
  <c r="G1623" i="16"/>
  <c r="H1623" i="16" s="1"/>
  <c r="G1624" i="16"/>
  <c r="H1624" i="16" s="1"/>
  <c r="G1625" i="16"/>
  <c r="H1625" i="16" s="1"/>
  <c r="G1626" i="16"/>
  <c r="H1626" i="16" s="1"/>
  <c r="G1627" i="16"/>
  <c r="H1627" i="16" s="1"/>
  <c r="G1628" i="16"/>
  <c r="H1628" i="16" s="1"/>
  <c r="G1629" i="16"/>
  <c r="H1629" i="16" s="1"/>
  <c r="G1630" i="16"/>
  <c r="H1630" i="16" s="1"/>
  <c r="G1631" i="16"/>
  <c r="H1631" i="16" s="1"/>
  <c r="G1632" i="16"/>
  <c r="H1632" i="16" s="1"/>
  <c r="G1633" i="16"/>
  <c r="H1633" i="16" s="1"/>
  <c r="G1634" i="16"/>
  <c r="H1634" i="16" s="1"/>
  <c r="G1635" i="16"/>
  <c r="H1635" i="16" s="1"/>
  <c r="G1636" i="16"/>
  <c r="H1636" i="16" s="1"/>
  <c r="G1637" i="16"/>
  <c r="H1637" i="16" s="1"/>
  <c r="G1638" i="16"/>
  <c r="H1638" i="16" s="1"/>
  <c r="G1639" i="16"/>
  <c r="H1639" i="16" s="1"/>
  <c r="G1640" i="16"/>
  <c r="H1640" i="16" s="1"/>
  <c r="G1641" i="16"/>
  <c r="H1641" i="16" s="1"/>
  <c r="G1642" i="16"/>
  <c r="H1642" i="16" s="1"/>
  <c r="G1643" i="16"/>
  <c r="H1643" i="16" s="1"/>
  <c r="G1644" i="16"/>
  <c r="H1644" i="16" s="1"/>
  <c r="G1645" i="16"/>
  <c r="H1645" i="16" s="1"/>
  <c r="G1646" i="16"/>
  <c r="H1646" i="16" s="1"/>
  <c r="G1647" i="16"/>
  <c r="H1647" i="16" s="1"/>
  <c r="G1648" i="16"/>
  <c r="H1648" i="16" s="1"/>
  <c r="G1649" i="16"/>
  <c r="H1649" i="16" s="1"/>
  <c r="G1650" i="16"/>
  <c r="H1650" i="16" s="1"/>
  <c r="G1651" i="16"/>
  <c r="H1651" i="16" s="1"/>
  <c r="G1652" i="16"/>
  <c r="H1652" i="16" s="1"/>
  <c r="G1653" i="16"/>
  <c r="H1653" i="16" s="1"/>
  <c r="G1654" i="16"/>
  <c r="H1654" i="16" s="1"/>
  <c r="G1655" i="16"/>
  <c r="H1655" i="16" s="1"/>
  <c r="G1656" i="16"/>
  <c r="H1656" i="16" s="1"/>
  <c r="G1657" i="16"/>
  <c r="H1657" i="16" s="1"/>
  <c r="G1658" i="16"/>
  <c r="H1658" i="16" s="1"/>
  <c r="G1659" i="16"/>
  <c r="H1659" i="16" s="1"/>
  <c r="G1660" i="16"/>
  <c r="H1660" i="16" s="1"/>
  <c r="G1661" i="16"/>
  <c r="H1661" i="16" s="1"/>
  <c r="G1662" i="16"/>
  <c r="H1662" i="16" s="1"/>
  <c r="G1663" i="16"/>
  <c r="H1663" i="16" s="1"/>
  <c r="G1664" i="16"/>
  <c r="H1664" i="16" s="1"/>
  <c r="G1665" i="16"/>
  <c r="H1665" i="16" s="1"/>
  <c r="G1666" i="16"/>
  <c r="H1666" i="16" s="1"/>
  <c r="G1667" i="16"/>
  <c r="H1667" i="16" s="1"/>
  <c r="G1668" i="16"/>
  <c r="H1668" i="16" s="1"/>
  <c r="G1669" i="16"/>
  <c r="H1669" i="16" s="1"/>
  <c r="G1670" i="16"/>
  <c r="H1670" i="16" s="1"/>
  <c r="G1671" i="16"/>
  <c r="H1671" i="16" s="1"/>
  <c r="G1672" i="16"/>
  <c r="H1672" i="16" s="1"/>
  <c r="G1673" i="16"/>
  <c r="H1673" i="16" s="1"/>
  <c r="G1674" i="16"/>
  <c r="H1674" i="16" s="1"/>
  <c r="G1675" i="16"/>
  <c r="H1675" i="16" s="1"/>
  <c r="G1676" i="16"/>
  <c r="H1676" i="16" s="1"/>
  <c r="G1677" i="16"/>
  <c r="H1677" i="16" s="1"/>
  <c r="G1678" i="16"/>
  <c r="H1678" i="16" s="1"/>
  <c r="G1679" i="16"/>
  <c r="H1679" i="16" s="1"/>
  <c r="G1680" i="16"/>
  <c r="H1680" i="16" s="1"/>
  <c r="G1681" i="16"/>
  <c r="H1681" i="16" s="1"/>
  <c r="G1682" i="16"/>
  <c r="H1682" i="16" s="1"/>
  <c r="G1683" i="16"/>
  <c r="H1683" i="16" s="1"/>
  <c r="G1684" i="16"/>
  <c r="H1684" i="16" s="1"/>
  <c r="G1685" i="16"/>
  <c r="H1685" i="16" s="1"/>
  <c r="G1686" i="16"/>
  <c r="H1686" i="16" s="1"/>
  <c r="G1687" i="16"/>
  <c r="H1687" i="16" s="1"/>
  <c r="G1688" i="16"/>
  <c r="H1688" i="16" s="1"/>
  <c r="G1689" i="16"/>
  <c r="H1689" i="16" s="1"/>
  <c r="G1690" i="16"/>
  <c r="H1690" i="16" s="1"/>
  <c r="G1691" i="16"/>
  <c r="H1691" i="16" s="1"/>
  <c r="G1692" i="16"/>
  <c r="H1692" i="16" s="1"/>
  <c r="G1693" i="16"/>
  <c r="H1693" i="16" s="1"/>
  <c r="G1694" i="16"/>
  <c r="H1694" i="16" s="1"/>
  <c r="G1695" i="16"/>
  <c r="H1695" i="16" s="1"/>
  <c r="G1696" i="16"/>
  <c r="H1696" i="16" s="1"/>
  <c r="G1697" i="16"/>
  <c r="H1697" i="16" s="1"/>
  <c r="G1698" i="16"/>
  <c r="H1698" i="16" s="1"/>
  <c r="G1699" i="16"/>
  <c r="H1699" i="16" s="1"/>
  <c r="G1700" i="16"/>
  <c r="H1700" i="16" s="1"/>
  <c r="G1701" i="16"/>
  <c r="H1701" i="16" s="1"/>
  <c r="G1702" i="16"/>
  <c r="H1702" i="16" s="1"/>
  <c r="G1703" i="16"/>
  <c r="H1703" i="16" s="1"/>
  <c r="G1704" i="16"/>
  <c r="H1704" i="16" s="1"/>
  <c r="G1705" i="16"/>
  <c r="H1705" i="16" s="1"/>
  <c r="G1706" i="16"/>
  <c r="H1706" i="16" s="1"/>
  <c r="G1707" i="16"/>
  <c r="H1707" i="16" s="1"/>
  <c r="G1708" i="16"/>
  <c r="H1708" i="16" s="1"/>
  <c r="G1709" i="16"/>
  <c r="H1709" i="16" s="1"/>
  <c r="G1710" i="16"/>
  <c r="H1710" i="16" s="1"/>
  <c r="G1711" i="16"/>
  <c r="H1711" i="16" s="1"/>
  <c r="G1712" i="16"/>
  <c r="H1712" i="16" s="1"/>
  <c r="G1713" i="16"/>
  <c r="H1713" i="16" s="1"/>
  <c r="G1714" i="16"/>
  <c r="H1714" i="16" s="1"/>
  <c r="G1715" i="16"/>
  <c r="H1715" i="16" s="1"/>
  <c r="G1716" i="16"/>
  <c r="H1716" i="16" s="1"/>
  <c r="G1717" i="16"/>
  <c r="H1717" i="16" s="1"/>
  <c r="G1718" i="16"/>
  <c r="H1718" i="16" s="1"/>
  <c r="G1719" i="16"/>
  <c r="H1719" i="16" s="1"/>
  <c r="G1720" i="16"/>
  <c r="H1720" i="16" s="1"/>
  <c r="G1721" i="16"/>
  <c r="H1721" i="16" s="1"/>
  <c r="G1722" i="16"/>
  <c r="H1722" i="16" s="1"/>
  <c r="G1723" i="16"/>
  <c r="H1723" i="16" s="1"/>
  <c r="G1724" i="16"/>
  <c r="H1724" i="16" s="1"/>
  <c r="G1725" i="16"/>
  <c r="H1725" i="16" s="1"/>
  <c r="G1726" i="16"/>
  <c r="H1726" i="16" s="1"/>
  <c r="G1727" i="16"/>
  <c r="H1727" i="16" s="1"/>
  <c r="G1728" i="16"/>
  <c r="H1728" i="16" s="1"/>
  <c r="G1729" i="16"/>
  <c r="H1729" i="16" s="1"/>
  <c r="G1730" i="16"/>
  <c r="H1730" i="16" s="1"/>
  <c r="G1731" i="16"/>
  <c r="H1731" i="16" s="1"/>
  <c r="G1732" i="16"/>
  <c r="H1732" i="16" s="1"/>
  <c r="G1733" i="16"/>
  <c r="H1733" i="16" s="1"/>
  <c r="G1734" i="16"/>
  <c r="H1734" i="16" s="1"/>
  <c r="G1735" i="16"/>
  <c r="H1735" i="16" s="1"/>
  <c r="G1736" i="16"/>
  <c r="H1736" i="16" s="1"/>
  <c r="G1737" i="16"/>
  <c r="H1737" i="16" s="1"/>
  <c r="G1738" i="16"/>
  <c r="H1738" i="16" s="1"/>
  <c r="G1739" i="16"/>
  <c r="H1739" i="16" s="1"/>
  <c r="G1740" i="16"/>
  <c r="H1740" i="16" s="1"/>
  <c r="G1741" i="16"/>
  <c r="H1741" i="16" s="1"/>
  <c r="G1742" i="16"/>
  <c r="H1742" i="16" s="1"/>
  <c r="G1743" i="16"/>
  <c r="H1743" i="16" s="1"/>
  <c r="G1744" i="16"/>
  <c r="H1744" i="16" s="1"/>
  <c r="G1745" i="16"/>
  <c r="H1745" i="16" s="1"/>
  <c r="G1746" i="16"/>
  <c r="H1746" i="16" s="1"/>
  <c r="G1747" i="16"/>
  <c r="H1747" i="16" s="1"/>
  <c r="G1748" i="16"/>
  <c r="H1748" i="16" s="1"/>
  <c r="G1749" i="16"/>
  <c r="H1749" i="16" s="1"/>
  <c r="G1750" i="16"/>
  <c r="H1750" i="16" s="1"/>
  <c r="G1751" i="16"/>
  <c r="H1751" i="16" s="1"/>
  <c r="G1752" i="16"/>
  <c r="H1752" i="16" s="1"/>
  <c r="G1753" i="16"/>
  <c r="H1753" i="16" s="1"/>
  <c r="G1754" i="16"/>
  <c r="H1754" i="16" s="1"/>
  <c r="G1755" i="16"/>
  <c r="H1755" i="16" s="1"/>
  <c r="G1756" i="16"/>
  <c r="H1756" i="16" s="1"/>
  <c r="G1757" i="16"/>
  <c r="H1757" i="16" s="1"/>
  <c r="G1758" i="16"/>
  <c r="H1758" i="16" s="1"/>
  <c r="G1759" i="16"/>
  <c r="H1759" i="16" s="1"/>
  <c r="G1760" i="16"/>
  <c r="H1760" i="16" s="1"/>
  <c r="G1761" i="16"/>
  <c r="H1761" i="16" s="1"/>
  <c r="G1762" i="16"/>
  <c r="H1762" i="16" s="1"/>
  <c r="G1763" i="16"/>
  <c r="H1763" i="16" s="1"/>
  <c r="G1764" i="16"/>
  <c r="H1764" i="16" s="1"/>
  <c r="G1765" i="16"/>
  <c r="H1765" i="16" s="1"/>
  <c r="G1766" i="16"/>
  <c r="H1766" i="16" s="1"/>
  <c r="G1767" i="16"/>
  <c r="H1767" i="16" s="1"/>
  <c r="G1768" i="16"/>
  <c r="H1768" i="16" s="1"/>
  <c r="G1769" i="16"/>
  <c r="H1769" i="16" s="1"/>
  <c r="G1770" i="16"/>
  <c r="H1770" i="16" s="1"/>
  <c r="G1771" i="16"/>
  <c r="H1771" i="16" s="1"/>
  <c r="G1772" i="16"/>
  <c r="H1772" i="16" s="1"/>
  <c r="G1773" i="16"/>
  <c r="H1773" i="16" s="1"/>
  <c r="G1774" i="16"/>
  <c r="H1774" i="16" s="1"/>
  <c r="G1775" i="16"/>
  <c r="H1775" i="16" s="1"/>
  <c r="G1776" i="16"/>
  <c r="H1776" i="16" s="1"/>
  <c r="G1777" i="16"/>
  <c r="H1777" i="16" s="1"/>
  <c r="G1778" i="16"/>
  <c r="H1778" i="16" s="1"/>
  <c r="G1779" i="16"/>
  <c r="H1779" i="16" s="1"/>
  <c r="G1780" i="16"/>
  <c r="H1780" i="16" s="1"/>
  <c r="G1781" i="16"/>
  <c r="H1781" i="16" s="1"/>
  <c r="G1782" i="16"/>
  <c r="H1782" i="16" s="1"/>
  <c r="G1783" i="16"/>
  <c r="H1783" i="16" s="1"/>
  <c r="G1784" i="16"/>
  <c r="H1784" i="16" s="1"/>
  <c r="G1785" i="16"/>
  <c r="H1785" i="16" s="1"/>
  <c r="G1786" i="16"/>
  <c r="H1786" i="16" s="1"/>
  <c r="G1787" i="16"/>
  <c r="H1787" i="16" s="1"/>
  <c r="G1788" i="16"/>
  <c r="H1788" i="16" s="1"/>
  <c r="G1789" i="16"/>
  <c r="H1789" i="16" s="1"/>
  <c r="G1790" i="16"/>
  <c r="H1790" i="16" s="1"/>
  <c r="G1791" i="16"/>
  <c r="H1791" i="16" s="1"/>
  <c r="G1792" i="16"/>
  <c r="H1792" i="16" s="1"/>
  <c r="G1793" i="16"/>
  <c r="H1793" i="16" s="1"/>
  <c r="G1794" i="16"/>
  <c r="H1794" i="16" s="1"/>
  <c r="G1795" i="16"/>
  <c r="H1795" i="16" s="1"/>
  <c r="G1796" i="16"/>
  <c r="H1796" i="16" s="1"/>
  <c r="G1797" i="16"/>
  <c r="H1797" i="16" s="1"/>
  <c r="G1798" i="16"/>
  <c r="H1798" i="16" s="1"/>
  <c r="G1799" i="16"/>
  <c r="H1799" i="16" s="1"/>
  <c r="G1800" i="16"/>
  <c r="H1800" i="16" s="1"/>
  <c r="G1801" i="16"/>
  <c r="H1801" i="16" s="1"/>
  <c r="G1802" i="16"/>
  <c r="H1802" i="16" s="1"/>
  <c r="G1803" i="16"/>
  <c r="H1803" i="16" s="1"/>
  <c r="G1804" i="16"/>
  <c r="H1804" i="16" s="1"/>
  <c r="G1805" i="16"/>
  <c r="H1805" i="16" s="1"/>
  <c r="G1806" i="16"/>
  <c r="H1806" i="16" s="1"/>
  <c r="G1807" i="16"/>
  <c r="H1807" i="16" s="1"/>
  <c r="G1808" i="16"/>
  <c r="H1808" i="16" s="1"/>
  <c r="G1809" i="16"/>
  <c r="H1809" i="16" s="1"/>
  <c r="G1810" i="16"/>
  <c r="H1810" i="16" s="1"/>
  <c r="G1811" i="16"/>
  <c r="H1811" i="16" s="1"/>
  <c r="G1812" i="16"/>
  <c r="H1812" i="16" s="1"/>
  <c r="G1813" i="16"/>
  <c r="H1813" i="16" s="1"/>
  <c r="G1814" i="16"/>
  <c r="H1814" i="16" s="1"/>
  <c r="G1815" i="16"/>
  <c r="H1815" i="16" s="1"/>
  <c r="G1816" i="16"/>
  <c r="H1816" i="16" s="1"/>
  <c r="G1817" i="16"/>
  <c r="H1817" i="16" s="1"/>
  <c r="G1818" i="16"/>
  <c r="H1818" i="16" s="1"/>
  <c r="G1819" i="16"/>
  <c r="H1819" i="16" s="1"/>
  <c r="G1820" i="16"/>
  <c r="H1820" i="16" s="1"/>
  <c r="G1821" i="16"/>
  <c r="H1821" i="16" s="1"/>
  <c r="G1822" i="16"/>
  <c r="H1822" i="16" s="1"/>
  <c r="G1823" i="16"/>
  <c r="H1823" i="16" s="1"/>
  <c r="G1824" i="16"/>
  <c r="H1824" i="16" s="1"/>
  <c r="G1825" i="16"/>
  <c r="H1825" i="16" s="1"/>
  <c r="G1826" i="16"/>
  <c r="H1826" i="16" s="1"/>
  <c r="G1827" i="16"/>
  <c r="H1827" i="16" s="1"/>
  <c r="G1828" i="16"/>
  <c r="H1828" i="16" s="1"/>
  <c r="G1829" i="16"/>
  <c r="H1829" i="16" s="1"/>
  <c r="G1830" i="16"/>
  <c r="H1830" i="16" s="1"/>
  <c r="G1831" i="16"/>
  <c r="H1831" i="16" s="1"/>
  <c r="G1832" i="16"/>
  <c r="H1832" i="16" s="1"/>
  <c r="G1833" i="16"/>
  <c r="H1833" i="16" s="1"/>
  <c r="G1834" i="16"/>
  <c r="H1834" i="16" s="1"/>
  <c r="G1835" i="16"/>
  <c r="H1835" i="16" s="1"/>
  <c r="G1836" i="16"/>
  <c r="H1836" i="16" s="1"/>
  <c r="G1837" i="16"/>
  <c r="H1837" i="16" s="1"/>
  <c r="G1838" i="16"/>
  <c r="H1838" i="16" s="1"/>
  <c r="G1839" i="16"/>
  <c r="H1839" i="16" s="1"/>
  <c r="G1840" i="16"/>
  <c r="H1840" i="16" s="1"/>
  <c r="G1841" i="16"/>
  <c r="H1841" i="16" s="1"/>
  <c r="G1842" i="16"/>
  <c r="H1842" i="16" s="1"/>
  <c r="G1843" i="16"/>
  <c r="H1843" i="16" s="1"/>
  <c r="G1844" i="16"/>
  <c r="H1844" i="16" s="1"/>
  <c r="G1845" i="16"/>
  <c r="H1845" i="16" s="1"/>
  <c r="G1846" i="16"/>
  <c r="H1846" i="16" s="1"/>
  <c r="G1847" i="16"/>
  <c r="H1847" i="16" s="1"/>
  <c r="G1848" i="16"/>
  <c r="H1848" i="16" s="1"/>
  <c r="G1849" i="16"/>
  <c r="H1849" i="16" s="1"/>
  <c r="G1850" i="16"/>
  <c r="H1850" i="16" s="1"/>
  <c r="G1851" i="16"/>
  <c r="H1851" i="16" s="1"/>
  <c r="G1852" i="16"/>
  <c r="H1852" i="16" s="1"/>
  <c r="G1853" i="16"/>
  <c r="H1853" i="16" s="1"/>
  <c r="G1854" i="16"/>
  <c r="H1854" i="16" s="1"/>
  <c r="G1855" i="16"/>
  <c r="H1855" i="16" s="1"/>
  <c r="G1856" i="16"/>
  <c r="H1856" i="16" s="1"/>
  <c r="G1857" i="16"/>
  <c r="H1857" i="16" s="1"/>
  <c r="G1858" i="16"/>
  <c r="H1858" i="16" s="1"/>
  <c r="G1859" i="16"/>
  <c r="H1859" i="16" s="1"/>
  <c r="G1860" i="16"/>
  <c r="H1860" i="16" s="1"/>
  <c r="G1861" i="16"/>
  <c r="H1861" i="16" s="1"/>
  <c r="G1862" i="16"/>
  <c r="H1862" i="16" s="1"/>
  <c r="G1863" i="16"/>
  <c r="H1863" i="16" s="1"/>
  <c r="G1864" i="16"/>
  <c r="H1864" i="16" s="1"/>
  <c r="G1865" i="16"/>
  <c r="H1865" i="16" s="1"/>
  <c r="G1866" i="16"/>
  <c r="H1866" i="16" s="1"/>
  <c r="G1867" i="16"/>
  <c r="H1867" i="16" s="1"/>
  <c r="G1868" i="16"/>
  <c r="H1868" i="16" s="1"/>
  <c r="G1869" i="16"/>
  <c r="H1869" i="16" s="1"/>
  <c r="G1870" i="16"/>
  <c r="H1870" i="16" s="1"/>
  <c r="G1871" i="16"/>
  <c r="H1871" i="16" s="1"/>
  <c r="G1872" i="16"/>
  <c r="H1872" i="16" s="1"/>
  <c r="G1873" i="16"/>
  <c r="H1873" i="16" s="1"/>
  <c r="G1874" i="16"/>
  <c r="H1874" i="16" s="1"/>
  <c r="G1875" i="16"/>
  <c r="H1875" i="16" s="1"/>
  <c r="G1876" i="16"/>
  <c r="H1876" i="16" s="1"/>
  <c r="G1877" i="16"/>
  <c r="H1877" i="16" s="1"/>
  <c r="G1878" i="16"/>
  <c r="H1878" i="16" s="1"/>
  <c r="G1879" i="16"/>
  <c r="H1879" i="16" s="1"/>
  <c r="G1880" i="16"/>
  <c r="H1880" i="16" s="1"/>
  <c r="G1881" i="16"/>
  <c r="H1881" i="16" s="1"/>
  <c r="G1882" i="16"/>
  <c r="H1882" i="16" s="1"/>
  <c r="G1883" i="16"/>
  <c r="H1883" i="16" s="1"/>
  <c r="G1884" i="16"/>
  <c r="H1884" i="16" s="1"/>
  <c r="G1885" i="16"/>
  <c r="H1885" i="16" s="1"/>
  <c r="G1886" i="16"/>
  <c r="H1886" i="16" s="1"/>
  <c r="G1887" i="16"/>
  <c r="H1887" i="16" s="1"/>
  <c r="G1888" i="16"/>
  <c r="H1888" i="16" s="1"/>
  <c r="G1889" i="16"/>
  <c r="H1889" i="16" s="1"/>
  <c r="G1890" i="16"/>
  <c r="H1890" i="16" s="1"/>
  <c r="G1891" i="16"/>
  <c r="H1891" i="16" s="1"/>
  <c r="G1892" i="16"/>
  <c r="H1892" i="16" s="1"/>
  <c r="G1893" i="16"/>
  <c r="H1893" i="16" s="1"/>
  <c r="G1894" i="16"/>
  <c r="H1894" i="16" s="1"/>
  <c r="G1895" i="16"/>
  <c r="H1895" i="16" s="1"/>
  <c r="G1896" i="16"/>
  <c r="H1896" i="16" s="1"/>
  <c r="G1897" i="16"/>
  <c r="H1897" i="16" s="1"/>
  <c r="G1898" i="16"/>
  <c r="H1898" i="16" s="1"/>
  <c r="G1899" i="16"/>
  <c r="H1899" i="16" s="1"/>
  <c r="G1900" i="16"/>
  <c r="H1900" i="16" s="1"/>
  <c r="G1901" i="16"/>
  <c r="H1901" i="16" s="1"/>
  <c r="G1902" i="16"/>
  <c r="H1902" i="16" s="1"/>
  <c r="G1903" i="16"/>
  <c r="H1903" i="16" s="1"/>
  <c r="G1904" i="16"/>
  <c r="H1904" i="16" s="1"/>
  <c r="G1905" i="16"/>
  <c r="H1905" i="16" s="1"/>
  <c r="G1906" i="16"/>
  <c r="H1906" i="16" s="1"/>
  <c r="G1907" i="16"/>
  <c r="H1907" i="16" s="1"/>
  <c r="G1908" i="16"/>
  <c r="H1908" i="16" s="1"/>
  <c r="G1909" i="16"/>
  <c r="H1909" i="16" s="1"/>
  <c r="G1910" i="16"/>
  <c r="H1910" i="16" s="1"/>
  <c r="G1911" i="16"/>
  <c r="H1911" i="16" s="1"/>
  <c r="G1912" i="16"/>
  <c r="H1912" i="16" s="1"/>
  <c r="G1913" i="16"/>
  <c r="H1913" i="16" s="1"/>
  <c r="G1914" i="16"/>
  <c r="H1914" i="16" s="1"/>
  <c r="G1915" i="16"/>
  <c r="H1915" i="16" s="1"/>
  <c r="G1916" i="16"/>
  <c r="H1916" i="16" s="1"/>
  <c r="G1917" i="16"/>
  <c r="H1917" i="16" s="1"/>
  <c r="G1918" i="16"/>
  <c r="H1918" i="16" s="1"/>
  <c r="G1919" i="16"/>
  <c r="H1919" i="16" s="1"/>
  <c r="G1920" i="16"/>
  <c r="H1920" i="16" s="1"/>
  <c r="G1921" i="16"/>
  <c r="H1921" i="16" s="1"/>
  <c r="G1922" i="16"/>
  <c r="H1922" i="16" s="1"/>
  <c r="G1923" i="16"/>
  <c r="H1923" i="16" s="1"/>
  <c r="G1924" i="16"/>
  <c r="H1924" i="16" s="1"/>
  <c r="G1925" i="16"/>
  <c r="H1925" i="16" s="1"/>
  <c r="G1926" i="16"/>
  <c r="H1926" i="16" s="1"/>
  <c r="G1927" i="16"/>
  <c r="H1927" i="16" s="1"/>
  <c r="G1928" i="16"/>
  <c r="H1928" i="16" s="1"/>
  <c r="G1929" i="16"/>
  <c r="H1929" i="16" s="1"/>
  <c r="G1930" i="16"/>
  <c r="H1930" i="16" s="1"/>
  <c r="G1931" i="16"/>
  <c r="H1931" i="16" s="1"/>
  <c r="G1932" i="16"/>
  <c r="H1932" i="16" s="1"/>
  <c r="G1933" i="16"/>
  <c r="H1933" i="16" s="1"/>
  <c r="G1934" i="16"/>
  <c r="H1934" i="16" s="1"/>
  <c r="G1935" i="16"/>
  <c r="H1935" i="16" s="1"/>
  <c r="G1936" i="16"/>
  <c r="H1936" i="16" s="1"/>
  <c r="G1937" i="16"/>
  <c r="H1937" i="16" s="1"/>
  <c r="G1938" i="16"/>
  <c r="H1938" i="16" s="1"/>
  <c r="G1939" i="16"/>
  <c r="H1939" i="16" s="1"/>
  <c r="G1940" i="16"/>
  <c r="H1940" i="16" s="1"/>
  <c r="G1941" i="16"/>
  <c r="H1941" i="16" s="1"/>
  <c r="G1942" i="16"/>
  <c r="H1942" i="16" s="1"/>
  <c r="G1943" i="16"/>
  <c r="H1943" i="16" s="1"/>
  <c r="G1944" i="16"/>
  <c r="H1944" i="16" s="1"/>
  <c r="G1945" i="16"/>
  <c r="H1945" i="16" s="1"/>
  <c r="G1946" i="16"/>
  <c r="H1946" i="16" s="1"/>
  <c r="G1947" i="16"/>
  <c r="H1947" i="16" s="1"/>
  <c r="G1948" i="16"/>
  <c r="H1948" i="16" s="1"/>
  <c r="G1949" i="16"/>
  <c r="H1949" i="16" s="1"/>
  <c r="G1950" i="16"/>
  <c r="H1950" i="16" s="1"/>
  <c r="G1951" i="16"/>
  <c r="H1951" i="16" s="1"/>
  <c r="G1952" i="16"/>
  <c r="H1952" i="16" s="1"/>
  <c r="G1953" i="16"/>
  <c r="H1953" i="16" s="1"/>
  <c r="G1954" i="16"/>
  <c r="H1954" i="16" s="1"/>
  <c r="G1955" i="16"/>
  <c r="H1955" i="16" s="1"/>
  <c r="G1956" i="16"/>
  <c r="H1956" i="16" s="1"/>
  <c r="G1957" i="16"/>
  <c r="H1957" i="16" s="1"/>
  <c r="G1958" i="16"/>
  <c r="H1958" i="16" s="1"/>
  <c r="G1959" i="16"/>
  <c r="H1959" i="16" s="1"/>
  <c r="G1960" i="16"/>
  <c r="H1960" i="16" s="1"/>
  <c r="G1961" i="16"/>
  <c r="H1961" i="16" s="1"/>
  <c r="G1962" i="16"/>
  <c r="H1962" i="16" s="1"/>
  <c r="G1963" i="16"/>
  <c r="H1963" i="16" s="1"/>
  <c r="G1964" i="16"/>
  <c r="H1964" i="16" s="1"/>
  <c r="G1965" i="16"/>
  <c r="H1965" i="16" s="1"/>
  <c r="G1966" i="16"/>
  <c r="H1966" i="16" s="1"/>
  <c r="G1967" i="16"/>
  <c r="H1967" i="16" s="1"/>
  <c r="G1968" i="16"/>
  <c r="H1968" i="16" s="1"/>
  <c r="G1969" i="16"/>
  <c r="H1969" i="16" s="1"/>
  <c r="G1970" i="16"/>
  <c r="H1970" i="16" s="1"/>
  <c r="G1971" i="16"/>
  <c r="H1971" i="16" s="1"/>
  <c r="G1972" i="16"/>
  <c r="H1972" i="16" s="1"/>
  <c r="G1973" i="16"/>
  <c r="H1973" i="16" s="1"/>
  <c r="G1974" i="16"/>
  <c r="H1974" i="16" s="1"/>
  <c r="G1975" i="16"/>
  <c r="H1975" i="16" s="1"/>
  <c r="G1976" i="16"/>
  <c r="H1976" i="16" s="1"/>
  <c r="G1977" i="16"/>
  <c r="H1977" i="16" s="1"/>
  <c r="G1978" i="16"/>
  <c r="H1978" i="16" s="1"/>
  <c r="G1979" i="16"/>
  <c r="H1979" i="16" s="1"/>
  <c r="G1980" i="16"/>
  <c r="H1980" i="16" s="1"/>
  <c r="G1981" i="16"/>
  <c r="H1981" i="16" s="1"/>
  <c r="G1982" i="16"/>
  <c r="H1982" i="16" s="1"/>
  <c r="G1983" i="16"/>
  <c r="H1983" i="16" s="1"/>
  <c r="G1984" i="16"/>
  <c r="H1984" i="16" s="1"/>
  <c r="G1985" i="16"/>
  <c r="H1985" i="16" s="1"/>
  <c r="G1986" i="16"/>
  <c r="H1986" i="16" s="1"/>
  <c r="G1987" i="16"/>
  <c r="H1987" i="16" s="1"/>
  <c r="G1988" i="16"/>
  <c r="H1988" i="16" s="1"/>
  <c r="G1989" i="16"/>
  <c r="H1989" i="16" s="1"/>
  <c r="G1990" i="16"/>
  <c r="H1990" i="16" s="1"/>
  <c r="G1991" i="16"/>
  <c r="H1991" i="16" s="1"/>
  <c r="G1992" i="16"/>
  <c r="H1992" i="16" s="1"/>
  <c r="G1993" i="16"/>
  <c r="H1993" i="16" s="1"/>
  <c r="G1994" i="16"/>
  <c r="H1994" i="16" s="1"/>
  <c r="G1995" i="16"/>
  <c r="H1995" i="16" s="1"/>
  <c r="G1996" i="16"/>
  <c r="H1996" i="16" s="1"/>
  <c r="G1997" i="16"/>
  <c r="H1997" i="16" s="1"/>
  <c r="G1998" i="16"/>
  <c r="H1998" i="16" s="1"/>
  <c r="G1999" i="16"/>
  <c r="H1999" i="16" s="1"/>
  <c r="G2000" i="16"/>
  <c r="H2000" i="16" s="1"/>
  <c r="G2001" i="16"/>
  <c r="H2001" i="16" s="1"/>
  <c r="G2002" i="16"/>
  <c r="H2002" i="16" s="1"/>
  <c r="G2003" i="16"/>
  <c r="H2003" i="16" s="1"/>
  <c r="G2004" i="16"/>
  <c r="H2004" i="16" s="1"/>
  <c r="G2005" i="16"/>
  <c r="H2005" i="16" s="1"/>
  <c r="G2006" i="16"/>
  <c r="H2006" i="16" s="1"/>
  <c r="G2007" i="16"/>
  <c r="H2007" i="16" s="1"/>
  <c r="G2008" i="16"/>
  <c r="H2008" i="16" s="1"/>
  <c r="G2009" i="16"/>
  <c r="H2009" i="16" s="1"/>
  <c r="G2010" i="16"/>
  <c r="H2010" i="16" s="1"/>
  <c r="G2011" i="16"/>
  <c r="H2011" i="16" s="1"/>
  <c r="G2012" i="16"/>
  <c r="H2012" i="16" s="1"/>
  <c r="G2013" i="16"/>
  <c r="H2013" i="16" s="1"/>
  <c r="G2014" i="16"/>
  <c r="H2014" i="16" s="1"/>
  <c r="G2015" i="16"/>
  <c r="H2015" i="16" s="1"/>
  <c r="G2016" i="16"/>
  <c r="H2016" i="16" s="1"/>
  <c r="G2017" i="16"/>
  <c r="H2017" i="16" s="1"/>
  <c r="G2018" i="16"/>
  <c r="H2018" i="16" s="1"/>
  <c r="G2019" i="16"/>
  <c r="H2019" i="16" s="1"/>
  <c r="G2020" i="16"/>
  <c r="H2020" i="16" s="1"/>
  <c r="G2021" i="16"/>
  <c r="H2021" i="16" s="1"/>
  <c r="G2022" i="16"/>
  <c r="H2022" i="16" s="1"/>
  <c r="G2023" i="16"/>
  <c r="H2023" i="16" s="1"/>
  <c r="G2024" i="16"/>
  <c r="H2024" i="16" s="1"/>
  <c r="G2025" i="16"/>
  <c r="H2025" i="16" s="1"/>
  <c r="G2026" i="16"/>
  <c r="H2026" i="16" s="1"/>
  <c r="G2027" i="16"/>
  <c r="H2027" i="16" s="1"/>
  <c r="G2028" i="16"/>
  <c r="H2028" i="16" s="1"/>
  <c r="G2029" i="16"/>
  <c r="H2029" i="16" s="1"/>
  <c r="G2030" i="16"/>
  <c r="H2030" i="16" s="1"/>
  <c r="G2031" i="16"/>
  <c r="H2031" i="16" s="1"/>
  <c r="G2032" i="16"/>
  <c r="H2032" i="16" s="1"/>
  <c r="G2033" i="16"/>
  <c r="H2033" i="16" s="1"/>
  <c r="G2034" i="16"/>
  <c r="H2034" i="16" s="1"/>
  <c r="G2035" i="16"/>
  <c r="H2035" i="16" s="1"/>
  <c r="G2036" i="16"/>
  <c r="H2036" i="16" s="1"/>
  <c r="G2037" i="16"/>
  <c r="H2037" i="16" s="1"/>
  <c r="G2038" i="16"/>
  <c r="H2038" i="16" s="1"/>
  <c r="G2039" i="16"/>
  <c r="H2039" i="16" s="1"/>
  <c r="G2040" i="16"/>
  <c r="H2040" i="16" s="1"/>
  <c r="G2041" i="16"/>
  <c r="H2041" i="16" s="1"/>
  <c r="G2042" i="16"/>
  <c r="H2042" i="16" s="1"/>
  <c r="G2043" i="16"/>
  <c r="H2043" i="16" s="1"/>
  <c r="G2044" i="16"/>
  <c r="H2044" i="16" s="1"/>
  <c r="G2045" i="16"/>
  <c r="H2045" i="16" s="1"/>
  <c r="G2046" i="16"/>
  <c r="H2046" i="16" s="1"/>
  <c r="G2047" i="16"/>
  <c r="H2047" i="16" s="1"/>
  <c r="G2048" i="16"/>
  <c r="H2048" i="16" s="1"/>
  <c r="G2049" i="16"/>
  <c r="H2049" i="16" s="1"/>
  <c r="G2050" i="16"/>
  <c r="H2050" i="16" s="1"/>
  <c r="G2051" i="16"/>
  <c r="H2051" i="16" s="1"/>
  <c r="G2052" i="16"/>
  <c r="H2052" i="16" s="1"/>
  <c r="G2053" i="16"/>
  <c r="H2053" i="16" s="1"/>
  <c r="G2054" i="16"/>
  <c r="H2054" i="16" s="1"/>
  <c r="G2055" i="16"/>
  <c r="H2055" i="16" s="1"/>
  <c r="G2056" i="16"/>
  <c r="H2056" i="16" s="1"/>
  <c r="G2057" i="16"/>
  <c r="H2057" i="16" s="1"/>
  <c r="G2058" i="16"/>
  <c r="H2058" i="16" s="1"/>
  <c r="G2059" i="16"/>
  <c r="H2059" i="16" s="1"/>
  <c r="G2060" i="16"/>
  <c r="H2060" i="16" s="1"/>
  <c r="G2061" i="16"/>
  <c r="H2061" i="16" s="1"/>
  <c r="G2062" i="16"/>
  <c r="H2062" i="16" s="1"/>
  <c r="G2063" i="16"/>
  <c r="H2063" i="16" s="1"/>
  <c r="G2064" i="16"/>
  <c r="H2064" i="16" s="1"/>
  <c r="G2065" i="16"/>
  <c r="H2065" i="16" s="1"/>
  <c r="G2066" i="16"/>
  <c r="H2066" i="16" s="1"/>
  <c r="G2067" i="16"/>
  <c r="H2067" i="16" s="1"/>
  <c r="G2068" i="16"/>
  <c r="H2068" i="16" s="1"/>
  <c r="G2069" i="16"/>
  <c r="H2069" i="16" s="1"/>
  <c r="G2070" i="16"/>
  <c r="H2070" i="16" s="1"/>
  <c r="G2071" i="16"/>
  <c r="H2071" i="16" s="1"/>
  <c r="G2072" i="16"/>
  <c r="H2072" i="16" s="1"/>
  <c r="G2073" i="16"/>
  <c r="H2073" i="16" s="1"/>
  <c r="G2074" i="16"/>
  <c r="H2074" i="16" s="1"/>
  <c r="G2075" i="16"/>
  <c r="H2075" i="16" s="1"/>
  <c r="G2076" i="16"/>
  <c r="H2076" i="16" s="1"/>
  <c r="G2077" i="16"/>
  <c r="H2077" i="16" s="1"/>
  <c r="G2078" i="16"/>
  <c r="H2078" i="16" s="1"/>
  <c r="G2079" i="16"/>
  <c r="H2079" i="16" s="1"/>
  <c r="G2080" i="16"/>
  <c r="H2080" i="16" s="1"/>
  <c r="G2081" i="16"/>
  <c r="H2081" i="16" s="1"/>
  <c r="G2082" i="16"/>
  <c r="H2082" i="16" s="1"/>
  <c r="G2083" i="16"/>
  <c r="H2083" i="16" s="1"/>
  <c r="G2084" i="16"/>
  <c r="H2084" i="16" s="1"/>
  <c r="G2085" i="16"/>
  <c r="H2085" i="16" s="1"/>
  <c r="G2086" i="16"/>
  <c r="H2086" i="16" s="1"/>
  <c r="G2087" i="16"/>
  <c r="H2087" i="16" s="1"/>
  <c r="G2088" i="16"/>
  <c r="H2088" i="16" s="1"/>
  <c r="G2089" i="16"/>
  <c r="H2089" i="16" s="1"/>
  <c r="G2090" i="16"/>
  <c r="H2090" i="16" s="1"/>
  <c r="G2091" i="16"/>
  <c r="H2091" i="16" s="1"/>
  <c r="G2092" i="16"/>
  <c r="H2092" i="16" s="1"/>
  <c r="G2093" i="16"/>
  <c r="H2093" i="16" s="1"/>
  <c r="G2094" i="16"/>
  <c r="H2094" i="16" s="1"/>
  <c r="G2095" i="16"/>
  <c r="H2095" i="16" s="1"/>
  <c r="G2096" i="16"/>
  <c r="H2096" i="16" s="1"/>
  <c r="G2097" i="16"/>
  <c r="H2097" i="16" s="1"/>
  <c r="G2098" i="16"/>
  <c r="H2098" i="16" s="1"/>
  <c r="G2099" i="16"/>
  <c r="H2099" i="16" s="1"/>
  <c r="G2100" i="16"/>
  <c r="H2100" i="16" s="1"/>
  <c r="G2101" i="16"/>
  <c r="H2101" i="16" s="1"/>
  <c r="G2102" i="16"/>
  <c r="H2102" i="16" s="1"/>
  <c r="G2103" i="16"/>
  <c r="H2103" i="16" s="1"/>
  <c r="G2104" i="16"/>
  <c r="H2104" i="16" s="1"/>
  <c r="G2105" i="16"/>
  <c r="H2105" i="16" s="1"/>
  <c r="G2106" i="16"/>
  <c r="H2106" i="16" s="1"/>
  <c r="G2107" i="16"/>
  <c r="H2107" i="16" s="1"/>
  <c r="G2108" i="16"/>
  <c r="H2108" i="16" s="1"/>
  <c r="G2109" i="16"/>
  <c r="H2109" i="16" s="1"/>
  <c r="G2110" i="16"/>
  <c r="H2110" i="16" s="1"/>
  <c r="G2111" i="16"/>
  <c r="H2111" i="16" s="1"/>
  <c r="G2112" i="16"/>
  <c r="H2112" i="16" s="1"/>
  <c r="G2113" i="16"/>
  <c r="H2113" i="16" s="1"/>
  <c r="G2114" i="16"/>
  <c r="H2114" i="16" s="1"/>
  <c r="G2115" i="16"/>
  <c r="H2115" i="16" s="1"/>
  <c r="G2116" i="16"/>
  <c r="H2116" i="16" s="1"/>
  <c r="G2117" i="16"/>
  <c r="H2117" i="16" s="1"/>
  <c r="G2118" i="16"/>
  <c r="H2118" i="16" s="1"/>
  <c r="G2119" i="16"/>
  <c r="H2119" i="16" s="1"/>
  <c r="G2120" i="16"/>
  <c r="H2120" i="16" s="1"/>
  <c r="G2121" i="16"/>
  <c r="H2121" i="16" s="1"/>
  <c r="G2122" i="16"/>
  <c r="H2122" i="16" s="1"/>
  <c r="G2123" i="16"/>
  <c r="H2123" i="16" s="1"/>
  <c r="G2124" i="16"/>
  <c r="H2124" i="16" s="1"/>
  <c r="G2125" i="16"/>
  <c r="H2125" i="16" s="1"/>
  <c r="G2126" i="16"/>
  <c r="H2126" i="16" s="1"/>
  <c r="G2127" i="16"/>
  <c r="H2127" i="16" s="1"/>
  <c r="G2128" i="16"/>
  <c r="H2128" i="16" s="1"/>
  <c r="G2129" i="16"/>
  <c r="H2129" i="16" s="1"/>
  <c r="G2130" i="16"/>
  <c r="H2130" i="16" s="1"/>
  <c r="G2131" i="16"/>
  <c r="H2131" i="16" s="1"/>
  <c r="G2132" i="16"/>
  <c r="H2132" i="16" s="1"/>
  <c r="G2133" i="16"/>
  <c r="H2133" i="16" s="1"/>
  <c r="G2134" i="16"/>
  <c r="H2134" i="16" s="1"/>
  <c r="G2135" i="16"/>
  <c r="H2135" i="16" s="1"/>
  <c r="G2136" i="16"/>
  <c r="H2136" i="16" s="1"/>
  <c r="G2137" i="16"/>
  <c r="H2137" i="16" s="1"/>
  <c r="G2138" i="16"/>
  <c r="H2138" i="16" s="1"/>
  <c r="G2139" i="16"/>
  <c r="H2139" i="16" s="1"/>
  <c r="G2140" i="16"/>
  <c r="H2140" i="16" s="1"/>
  <c r="G2141" i="16"/>
  <c r="H2141" i="16" s="1"/>
  <c r="G2142" i="16"/>
  <c r="H2142" i="16" s="1"/>
  <c r="G2143" i="16"/>
  <c r="H2143" i="16" s="1"/>
  <c r="G2144" i="16"/>
  <c r="H2144" i="16" s="1"/>
  <c r="G2145" i="16"/>
  <c r="H2145" i="16" s="1"/>
  <c r="G2146" i="16"/>
  <c r="H2146" i="16" s="1"/>
  <c r="G2147" i="16"/>
  <c r="H2147" i="16" s="1"/>
  <c r="G2148" i="16"/>
  <c r="H2148" i="16" s="1"/>
  <c r="G2149" i="16"/>
  <c r="H2149" i="16" s="1"/>
  <c r="G2150" i="16"/>
  <c r="H2150" i="16" s="1"/>
  <c r="G2151" i="16"/>
  <c r="H2151" i="16" s="1"/>
  <c r="G2152" i="16"/>
  <c r="H2152" i="16" s="1"/>
  <c r="G2153" i="16"/>
  <c r="H2153" i="16" s="1"/>
  <c r="G2154" i="16"/>
  <c r="H2154" i="16" s="1"/>
  <c r="G2155" i="16"/>
  <c r="H2155" i="16" s="1"/>
  <c r="G2156" i="16"/>
  <c r="H2156" i="16" s="1"/>
  <c r="G2157" i="16"/>
  <c r="H2157" i="16" s="1"/>
  <c r="G2158" i="16"/>
  <c r="H2158" i="16" s="1"/>
  <c r="G2159" i="16"/>
  <c r="H2159" i="16" s="1"/>
  <c r="G2160" i="16"/>
  <c r="H2160" i="16" s="1"/>
  <c r="G2161" i="16"/>
  <c r="H2161" i="16" s="1"/>
  <c r="G2162" i="16"/>
  <c r="H2162" i="16" s="1"/>
  <c r="G2163" i="16"/>
  <c r="H2163" i="16" s="1"/>
  <c r="G2164" i="16"/>
  <c r="H2164" i="16" s="1"/>
  <c r="G2165" i="16"/>
  <c r="H2165" i="16" s="1"/>
  <c r="G2166" i="16"/>
  <c r="H2166" i="16" s="1"/>
  <c r="G2167" i="16"/>
  <c r="H2167" i="16" s="1"/>
  <c r="G2168" i="16"/>
  <c r="H2168" i="16" s="1"/>
  <c r="G2169" i="16"/>
  <c r="H2169" i="16" s="1"/>
  <c r="G2170" i="16"/>
  <c r="H2170" i="16" s="1"/>
  <c r="G2171" i="16"/>
  <c r="H2171" i="16" s="1"/>
  <c r="G2172" i="16"/>
  <c r="H2172" i="16" s="1"/>
  <c r="G2173" i="16"/>
  <c r="H2173" i="16" s="1"/>
  <c r="G2174" i="16"/>
  <c r="H2174" i="16" s="1"/>
  <c r="G2175" i="16"/>
  <c r="H2175" i="16" s="1"/>
  <c r="G2176" i="16"/>
  <c r="H2176" i="16" s="1"/>
  <c r="G2177" i="16"/>
  <c r="H2177" i="16" s="1"/>
  <c r="G2178" i="16"/>
  <c r="H2178" i="16" s="1"/>
  <c r="G2179" i="16"/>
  <c r="H2179" i="16" s="1"/>
  <c r="G2180" i="16"/>
  <c r="H2180" i="16" s="1"/>
  <c r="G2181" i="16"/>
  <c r="H2181" i="16" s="1"/>
  <c r="G2182" i="16"/>
  <c r="H2182" i="16" s="1"/>
  <c r="G2183" i="16"/>
  <c r="H2183" i="16" s="1"/>
  <c r="G2184" i="16"/>
  <c r="H2184" i="16" s="1"/>
  <c r="G2185" i="16"/>
  <c r="H2185" i="16" s="1"/>
  <c r="G2186" i="16"/>
  <c r="H2186" i="16" s="1"/>
  <c r="G2187" i="16"/>
  <c r="H2187" i="16" s="1"/>
  <c r="G2188" i="16"/>
  <c r="H2188" i="16" s="1"/>
  <c r="G2189" i="16"/>
  <c r="H2189" i="16" s="1"/>
  <c r="G2190" i="16"/>
  <c r="H2190" i="16" s="1"/>
  <c r="G2191" i="16"/>
  <c r="H2191" i="16" s="1"/>
  <c r="G2192" i="16"/>
  <c r="H2192" i="16" s="1"/>
  <c r="G2193" i="16"/>
  <c r="H2193" i="16" s="1"/>
  <c r="G2194" i="16"/>
  <c r="H2194" i="16" s="1"/>
  <c r="G2195" i="16"/>
  <c r="H2195" i="16" s="1"/>
  <c r="G2196" i="16"/>
  <c r="H2196" i="16" s="1"/>
  <c r="G2197" i="16"/>
  <c r="H2197" i="16" s="1"/>
  <c r="G2198" i="16"/>
  <c r="H2198" i="16" s="1"/>
  <c r="G2199" i="16"/>
  <c r="H2199" i="16" s="1"/>
  <c r="G2200" i="16"/>
  <c r="H2200" i="16" s="1"/>
  <c r="G2201" i="16"/>
  <c r="H2201" i="16" s="1"/>
  <c r="G2202" i="16"/>
  <c r="H2202" i="16" s="1"/>
  <c r="G2203" i="16"/>
  <c r="H2203" i="16" s="1"/>
  <c r="G2204" i="16"/>
  <c r="H2204" i="16" s="1"/>
  <c r="G2205" i="16"/>
  <c r="H2205" i="16" s="1"/>
  <c r="G2206" i="16"/>
  <c r="H2206" i="16" s="1"/>
  <c r="G2207" i="16"/>
  <c r="H2207" i="16" s="1"/>
  <c r="G2208" i="16"/>
  <c r="H2208" i="16" s="1"/>
  <c r="G2209" i="16"/>
  <c r="H2209" i="16" s="1"/>
  <c r="G2210" i="16"/>
  <c r="H2210" i="16" s="1"/>
  <c r="G2211" i="16"/>
  <c r="H2211" i="16" s="1"/>
  <c r="G2212" i="16"/>
  <c r="H2212" i="16" s="1"/>
  <c r="G2213" i="16"/>
  <c r="H2213" i="16" s="1"/>
  <c r="G2214" i="16"/>
  <c r="H2214" i="16" s="1"/>
  <c r="G2215" i="16"/>
  <c r="H2215" i="16" s="1"/>
  <c r="G2216" i="16"/>
  <c r="H2216" i="16" s="1"/>
  <c r="G2217" i="16"/>
  <c r="H2217" i="16" s="1"/>
  <c r="G2218" i="16"/>
  <c r="H2218" i="16" s="1"/>
  <c r="G2219" i="16"/>
  <c r="H2219" i="16" s="1"/>
  <c r="G2220" i="16"/>
  <c r="H2220" i="16" s="1"/>
  <c r="G2221" i="16"/>
  <c r="H2221" i="16" s="1"/>
  <c r="G2222" i="16"/>
  <c r="H2222" i="16" s="1"/>
  <c r="G2223" i="16"/>
  <c r="H2223" i="16" s="1"/>
  <c r="G2224" i="16"/>
  <c r="H2224" i="16" s="1"/>
  <c r="G2225" i="16"/>
  <c r="H2225" i="16" s="1"/>
  <c r="G2226" i="16"/>
  <c r="H2226" i="16" s="1"/>
  <c r="G2227" i="16"/>
  <c r="H2227" i="16" s="1"/>
  <c r="G2228" i="16"/>
  <c r="H2228" i="16" s="1"/>
  <c r="G2229" i="16"/>
  <c r="H2229" i="16" s="1"/>
  <c r="G2230" i="16"/>
  <c r="H2230" i="16" s="1"/>
  <c r="G2231" i="16"/>
  <c r="H2231" i="16" s="1"/>
  <c r="G2232" i="16"/>
  <c r="H2232" i="16" s="1"/>
  <c r="G2233" i="16"/>
  <c r="H2233" i="16" s="1"/>
  <c r="G2234" i="16"/>
  <c r="H2234" i="16" s="1"/>
  <c r="G2235" i="16"/>
  <c r="H2235" i="16" s="1"/>
  <c r="G2236" i="16"/>
  <c r="H2236" i="16" s="1"/>
  <c r="G2237" i="16"/>
  <c r="H2237" i="16" s="1"/>
  <c r="G2238" i="16"/>
  <c r="H2238" i="16" s="1"/>
  <c r="G2239" i="16"/>
  <c r="H2239" i="16" s="1"/>
  <c r="G2240" i="16"/>
  <c r="H2240" i="16" s="1"/>
  <c r="G2241" i="16"/>
  <c r="H2241" i="16" s="1"/>
  <c r="G2242" i="16"/>
  <c r="H2242" i="16" s="1"/>
  <c r="G2243" i="16"/>
  <c r="H2243" i="16" s="1"/>
  <c r="G2244" i="16"/>
  <c r="H2244" i="16" s="1"/>
  <c r="G2245" i="16"/>
  <c r="H2245" i="16" s="1"/>
  <c r="G2246" i="16"/>
  <c r="H2246" i="16" s="1"/>
  <c r="G2247" i="16"/>
  <c r="H2247" i="16" s="1"/>
  <c r="G2248" i="16"/>
  <c r="H2248" i="16" s="1"/>
  <c r="G2249" i="16"/>
  <c r="H2249" i="16" s="1"/>
  <c r="G2250" i="16"/>
  <c r="H2250" i="16" s="1"/>
  <c r="G2251" i="16"/>
  <c r="H2251" i="16" s="1"/>
  <c r="G2252" i="16"/>
  <c r="H2252" i="16" s="1"/>
  <c r="G2253" i="16"/>
  <c r="H2253" i="16" s="1"/>
  <c r="G2254" i="16"/>
  <c r="H2254" i="16" s="1"/>
  <c r="G2255" i="16"/>
  <c r="H2255" i="16" s="1"/>
  <c r="G2256" i="16"/>
  <c r="H2256" i="16" s="1"/>
  <c r="G2257" i="16"/>
  <c r="H2257" i="16" s="1"/>
  <c r="G2258" i="16"/>
  <c r="H2258" i="16" s="1"/>
  <c r="G2259" i="16"/>
  <c r="H2259" i="16" s="1"/>
  <c r="G2260" i="16"/>
  <c r="H2260" i="16" s="1"/>
  <c r="G2261" i="16"/>
  <c r="H2261" i="16" s="1"/>
  <c r="G2262" i="16"/>
  <c r="H2262" i="16" s="1"/>
  <c r="G2263" i="16"/>
  <c r="H2263" i="16" s="1"/>
  <c r="G2264" i="16"/>
  <c r="H2264" i="16" s="1"/>
  <c r="G2265" i="16"/>
  <c r="H2265" i="16" s="1"/>
  <c r="G2266" i="16"/>
  <c r="H2266" i="16" s="1"/>
  <c r="G2267" i="16"/>
  <c r="H2267" i="16" s="1"/>
  <c r="G2268" i="16"/>
  <c r="H2268" i="16" s="1"/>
  <c r="G2269" i="16"/>
  <c r="H2269" i="16" s="1"/>
  <c r="G2270" i="16"/>
  <c r="H2270" i="16" s="1"/>
  <c r="G2271" i="16"/>
  <c r="H2271" i="16" s="1"/>
  <c r="G2272" i="16"/>
  <c r="H2272" i="16" s="1"/>
  <c r="G2273" i="16"/>
  <c r="H2273" i="16" s="1"/>
  <c r="G2274" i="16"/>
  <c r="H2274" i="16" s="1"/>
  <c r="G2275" i="16"/>
  <c r="H2275" i="16" s="1"/>
  <c r="G2276" i="16"/>
  <c r="H2276" i="16" s="1"/>
  <c r="G2277" i="16"/>
  <c r="H2277" i="16" s="1"/>
  <c r="G2278" i="16"/>
  <c r="H2278" i="16" s="1"/>
  <c r="G2279" i="16"/>
  <c r="H2279" i="16" s="1"/>
  <c r="G2280" i="16"/>
  <c r="H2280" i="16" s="1"/>
  <c r="G2281" i="16"/>
  <c r="H2281" i="16" s="1"/>
  <c r="G2282" i="16"/>
  <c r="H2282" i="16" s="1"/>
  <c r="G2283" i="16"/>
  <c r="H2283" i="16" s="1"/>
  <c r="G2284" i="16"/>
  <c r="H2284" i="16" s="1"/>
  <c r="G2285" i="16"/>
  <c r="H2285" i="16" s="1"/>
  <c r="G2286" i="16"/>
  <c r="H2286" i="16" s="1"/>
  <c r="G2287" i="16"/>
  <c r="H2287" i="16" s="1"/>
  <c r="G2288" i="16"/>
  <c r="H2288" i="16" s="1"/>
  <c r="G2289" i="16"/>
  <c r="H2289" i="16" s="1"/>
  <c r="G2290" i="16"/>
  <c r="H2290" i="16" s="1"/>
  <c r="G2291" i="16"/>
  <c r="H2291" i="16" s="1"/>
  <c r="G2292" i="16"/>
  <c r="H2292" i="16" s="1"/>
  <c r="G2293" i="16"/>
  <c r="H2293" i="16" s="1"/>
  <c r="G2294" i="16"/>
  <c r="H2294" i="16" s="1"/>
  <c r="G2295" i="16"/>
  <c r="H2295" i="16" s="1"/>
  <c r="G2296" i="16"/>
  <c r="H2296" i="16" s="1"/>
  <c r="G2297" i="16"/>
  <c r="H2297" i="16" s="1"/>
  <c r="G2298" i="16"/>
  <c r="H2298" i="16" s="1"/>
  <c r="G2299" i="16"/>
  <c r="H2299" i="16" s="1"/>
  <c r="G2300" i="16"/>
  <c r="H2300" i="16" s="1"/>
  <c r="G2301" i="16"/>
  <c r="H2301" i="16" s="1"/>
  <c r="G2302" i="16"/>
  <c r="H2302" i="16" s="1"/>
  <c r="G2303" i="16"/>
  <c r="H2303" i="16" s="1"/>
  <c r="G2304" i="16"/>
  <c r="H2304" i="16" s="1"/>
  <c r="G2305" i="16"/>
  <c r="H2305" i="16" s="1"/>
  <c r="G2306" i="16"/>
  <c r="H2306" i="16" s="1"/>
  <c r="G2307" i="16"/>
  <c r="H2307" i="16" s="1"/>
  <c r="G2308" i="16"/>
  <c r="H2308" i="16" s="1"/>
  <c r="G2309" i="16"/>
  <c r="H2309" i="16" s="1"/>
  <c r="G2310" i="16"/>
  <c r="H2310" i="16" s="1"/>
  <c r="G2311" i="16"/>
  <c r="H2311" i="16" s="1"/>
  <c r="G2312" i="16"/>
  <c r="H2312" i="16" s="1"/>
  <c r="G2313" i="16"/>
  <c r="H2313" i="16" s="1"/>
  <c r="G2314" i="16"/>
  <c r="H2314" i="16" s="1"/>
  <c r="G2315" i="16"/>
  <c r="H2315" i="16" s="1"/>
  <c r="G2316" i="16"/>
  <c r="H2316" i="16" s="1"/>
  <c r="G2317" i="16"/>
  <c r="H2317" i="16" s="1"/>
  <c r="G2318" i="16"/>
  <c r="H2318" i="16" s="1"/>
  <c r="G2319" i="16"/>
  <c r="H2319" i="16" s="1"/>
  <c r="G2320" i="16"/>
  <c r="H2320" i="16" s="1"/>
  <c r="G2321" i="16"/>
  <c r="H2321" i="16" s="1"/>
  <c r="G2322" i="16"/>
  <c r="H2322" i="16" s="1"/>
  <c r="G2323" i="16"/>
  <c r="H2323" i="16" s="1"/>
  <c r="G2324" i="16"/>
  <c r="H2324" i="16" s="1"/>
  <c r="G2325" i="16"/>
  <c r="H2325" i="16" s="1"/>
  <c r="G2326" i="16"/>
  <c r="H2326" i="16" s="1"/>
  <c r="G2327" i="16"/>
  <c r="H2327" i="16" s="1"/>
  <c r="G2328" i="16"/>
  <c r="H2328" i="16" s="1"/>
  <c r="G2329" i="16"/>
  <c r="H2329" i="16" s="1"/>
  <c r="G2330" i="16"/>
  <c r="H2330" i="16" s="1"/>
  <c r="G2331" i="16"/>
  <c r="H2331" i="16" s="1"/>
  <c r="G2332" i="16"/>
  <c r="H2332" i="16" s="1"/>
  <c r="G2333" i="16"/>
  <c r="H2333" i="16" s="1"/>
  <c r="G2334" i="16"/>
  <c r="H2334" i="16" s="1"/>
  <c r="G2335" i="16"/>
  <c r="H2335" i="16" s="1"/>
  <c r="G2336" i="16"/>
  <c r="H2336" i="16" s="1"/>
  <c r="G2337" i="16"/>
  <c r="H2337" i="16" s="1"/>
  <c r="G2338" i="16"/>
  <c r="H2338" i="16" s="1"/>
  <c r="G2339" i="16"/>
  <c r="H2339" i="16" s="1"/>
  <c r="G2340" i="16"/>
  <c r="H2340" i="16" s="1"/>
  <c r="G2341" i="16"/>
  <c r="H2341" i="16" s="1"/>
  <c r="G2342" i="16"/>
  <c r="H2342" i="16" s="1"/>
  <c r="G2343" i="16"/>
  <c r="H2343" i="16" s="1"/>
  <c r="G2344" i="16"/>
  <c r="H2344" i="16" s="1"/>
  <c r="G2345" i="16"/>
  <c r="H2345" i="16" s="1"/>
  <c r="G2346" i="16"/>
  <c r="H2346" i="16" s="1"/>
  <c r="G2347" i="16"/>
  <c r="H2347" i="16" s="1"/>
  <c r="G2348" i="16"/>
  <c r="H2348" i="16" s="1"/>
  <c r="G2349" i="16"/>
  <c r="H2349" i="16" s="1"/>
  <c r="G2350" i="16"/>
  <c r="H2350" i="16" s="1"/>
  <c r="G2351" i="16"/>
  <c r="H2351" i="16" s="1"/>
  <c r="G2352" i="16"/>
  <c r="H2352" i="16" s="1"/>
  <c r="G2353" i="16"/>
  <c r="H2353" i="16" s="1"/>
  <c r="G2354" i="16"/>
  <c r="H2354" i="16" s="1"/>
  <c r="G2355" i="16"/>
  <c r="H2355" i="16" s="1"/>
  <c r="G2356" i="16"/>
  <c r="H2356" i="16" s="1"/>
  <c r="G2357" i="16"/>
  <c r="H2357" i="16" s="1"/>
  <c r="G2358" i="16"/>
  <c r="H2358" i="16" s="1"/>
  <c r="G2359" i="16"/>
  <c r="H2359" i="16" s="1"/>
  <c r="G2360" i="16"/>
  <c r="H2360" i="16" s="1"/>
  <c r="G2361" i="16"/>
  <c r="H2361" i="16" s="1"/>
  <c r="G2362" i="16"/>
  <c r="H2362" i="16" s="1"/>
  <c r="G2363" i="16"/>
  <c r="H2363" i="16" s="1"/>
  <c r="G2364" i="16"/>
  <c r="H2364" i="16" s="1"/>
  <c r="G2365" i="16"/>
  <c r="H2365" i="16" s="1"/>
  <c r="G2366" i="16"/>
  <c r="H2366" i="16" s="1"/>
  <c r="G2367" i="16"/>
  <c r="H2367" i="16" s="1"/>
  <c r="G2368" i="16"/>
  <c r="H2368" i="16" s="1"/>
  <c r="G2369" i="16"/>
  <c r="H2369" i="16" s="1"/>
  <c r="G2370" i="16"/>
  <c r="H2370" i="16" s="1"/>
  <c r="G2371" i="16"/>
  <c r="H2371" i="16" s="1"/>
  <c r="G2372" i="16"/>
  <c r="H2372" i="16" s="1"/>
  <c r="G2373" i="16"/>
  <c r="H2373" i="16" s="1"/>
  <c r="G2374" i="16"/>
  <c r="H2374" i="16" s="1"/>
  <c r="G2375" i="16"/>
  <c r="H2375" i="16" s="1"/>
  <c r="G2376" i="16"/>
  <c r="H2376" i="16" s="1"/>
  <c r="G2377" i="16"/>
  <c r="H2377" i="16" s="1"/>
  <c r="G2378" i="16"/>
  <c r="H2378" i="16" s="1"/>
  <c r="G2379" i="16"/>
  <c r="H2379" i="16" s="1"/>
  <c r="G2380" i="16"/>
  <c r="H2380" i="16" s="1"/>
  <c r="G2381" i="16"/>
  <c r="H2381" i="16" s="1"/>
  <c r="G2382" i="16"/>
  <c r="H2382" i="16" s="1"/>
  <c r="G2383" i="16"/>
  <c r="H2383" i="16" s="1"/>
  <c r="G2384" i="16"/>
  <c r="H2384" i="16" s="1"/>
  <c r="G2385" i="16"/>
  <c r="H2385" i="16" s="1"/>
  <c r="G2386" i="16"/>
  <c r="H2386" i="16" s="1"/>
  <c r="G2387" i="16"/>
  <c r="H2387" i="16" s="1"/>
  <c r="G2388" i="16"/>
  <c r="H2388" i="16" s="1"/>
  <c r="G2389" i="16"/>
  <c r="H2389" i="16" s="1"/>
  <c r="G2390" i="16"/>
  <c r="H2390" i="16" s="1"/>
  <c r="G2391" i="16"/>
  <c r="H2391" i="16" s="1"/>
  <c r="G2392" i="16"/>
  <c r="H2392" i="16" s="1"/>
  <c r="G2393" i="16"/>
  <c r="H2393" i="16" s="1"/>
  <c r="G2394" i="16"/>
  <c r="H2394" i="16" s="1"/>
  <c r="G2395" i="16"/>
  <c r="H2395" i="16" s="1"/>
  <c r="G2396" i="16"/>
  <c r="H2396" i="16" s="1"/>
  <c r="G2397" i="16"/>
  <c r="H2397" i="16" s="1"/>
  <c r="G2398" i="16"/>
  <c r="H2398" i="16" s="1"/>
  <c r="G2399" i="16"/>
  <c r="H2399" i="16" s="1"/>
  <c r="G2400" i="16"/>
  <c r="H2400" i="16" s="1"/>
  <c r="G2401" i="16"/>
  <c r="H2401" i="16" s="1"/>
  <c r="G2402" i="16"/>
  <c r="H2402" i="16" s="1"/>
  <c r="G2403" i="16"/>
  <c r="H2403" i="16" s="1"/>
  <c r="G2404" i="16"/>
  <c r="H2404" i="16" s="1"/>
  <c r="G2405" i="16"/>
  <c r="H2405" i="16" s="1"/>
  <c r="G2406" i="16"/>
  <c r="H2406" i="16" s="1"/>
  <c r="G2407" i="16"/>
  <c r="H2407" i="16" s="1"/>
  <c r="G2408" i="16"/>
  <c r="H2408" i="16" s="1"/>
  <c r="G2409" i="16"/>
  <c r="H2409" i="16" s="1"/>
  <c r="G2410" i="16"/>
  <c r="H2410" i="16" s="1"/>
  <c r="G2411" i="16"/>
  <c r="H2411" i="16" s="1"/>
  <c r="G2412" i="16"/>
  <c r="H2412" i="16" s="1"/>
  <c r="G2413" i="16"/>
  <c r="H2413" i="16" s="1"/>
  <c r="G2414" i="16"/>
  <c r="H2414" i="16" s="1"/>
  <c r="G2415" i="16"/>
  <c r="H2415" i="16" s="1"/>
  <c r="G2416" i="16"/>
  <c r="H2416" i="16" s="1"/>
  <c r="G2417" i="16"/>
  <c r="H2417" i="16" s="1"/>
  <c r="G2418" i="16"/>
  <c r="H2418" i="16" s="1"/>
  <c r="G2419" i="16"/>
  <c r="H2419" i="16" s="1"/>
  <c r="G2420" i="16"/>
  <c r="H2420" i="16" s="1"/>
  <c r="G2421" i="16"/>
  <c r="H2421" i="16" s="1"/>
  <c r="G2422" i="16"/>
  <c r="H2422" i="16" s="1"/>
  <c r="G2423" i="16"/>
  <c r="H2423" i="16" s="1"/>
  <c r="G2424" i="16"/>
  <c r="H2424" i="16" s="1"/>
  <c r="G2425" i="16"/>
  <c r="H2425" i="16" s="1"/>
  <c r="G2426" i="16"/>
  <c r="H2426" i="16" s="1"/>
  <c r="G2427" i="16"/>
  <c r="H2427" i="16" s="1"/>
  <c r="G2428" i="16"/>
  <c r="H2428" i="16" s="1"/>
  <c r="G2429" i="16"/>
  <c r="H2429" i="16" s="1"/>
  <c r="G2430" i="16"/>
  <c r="H2430" i="16" s="1"/>
  <c r="G2431" i="16"/>
  <c r="H2431" i="16" s="1"/>
  <c r="G2432" i="16"/>
  <c r="H2432" i="16" s="1"/>
  <c r="G2433" i="16"/>
  <c r="H2433" i="16" s="1"/>
  <c r="G2434" i="16"/>
  <c r="H2434" i="16" s="1"/>
  <c r="G2435" i="16"/>
  <c r="H2435" i="16" s="1"/>
  <c r="G2436" i="16"/>
  <c r="H2436" i="16" s="1"/>
  <c r="G2437" i="16"/>
  <c r="H2437" i="16" s="1"/>
  <c r="G2438" i="16"/>
  <c r="H2438" i="16" s="1"/>
  <c r="G2439" i="16"/>
  <c r="H2439" i="16" s="1"/>
  <c r="G2440" i="16"/>
  <c r="H2440" i="16" s="1"/>
  <c r="G2441" i="16"/>
  <c r="H2441" i="16" s="1"/>
  <c r="G2442" i="16"/>
  <c r="H2442" i="16" s="1"/>
  <c r="G2443" i="16"/>
  <c r="H2443" i="16" s="1"/>
  <c r="G2444" i="16"/>
  <c r="H2444" i="16" s="1"/>
  <c r="G2445" i="16"/>
  <c r="H2445" i="16" s="1"/>
  <c r="G2446" i="16"/>
  <c r="H2446" i="16" s="1"/>
  <c r="G2447" i="16"/>
  <c r="H2447" i="16" s="1"/>
  <c r="G2448" i="16"/>
  <c r="H2448" i="16" s="1"/>
  <c r="G2449" i="16"/>
  <c r="H2449" i="16" s="1"/>
  <c r="G2450" i="16"/>
  <c r="H2450" i="16" s="1"/>
  <c r="G2451" i="16"/>
  <c r="H2451" i="16" s="1"/>
  <c r="G2452" i="16"/>
  <c r="H2452" i="16" s="1"/>
  <c r="G2453" i="16"/>
  <c r="H2453" i="16" s="1"/>
  <c r="G2454" i="16"/>
  <c r="H2454" i="16" s="1"/>
  <c r="G2455" i="16"/>
  <c r="H2455" i="16" s="1"/>
  <c r="G2456" i="16"/>
  <c r="H2456" i="16" s="1"/>
  <c r="G2457" i="16"/>
  <c r="H2457" i="16" s="1"/>
  <c r="G2458" i="16"/>
  <c r="H2458" i="16" s="1"/>
  <c r="G2459" i="16"/>
  <c r="H2459" i="16" s="1"/>
  <c r="G2460" i="16"/>
  <c r="H2460" i="16" s="1"/>
  <c r="G2461" i="16"/>
  <c r="H2461" i="16" s="1"/>
  <c r="G2462" i="16"/>
  <c r="H2462" i="16" s="1"/>
  <c r="G2463" i="16"/>
  <c r="H2463" i="16" s="1"/>
  <c r="G2464" i="16"/>
  <c r="H2464" i="16" s="1"/>
  <c r="G2465" i="16"/>
  <c r="H2465" i="16" s="1"/>
  <c r="G2466" i="16"/>
  <c r="H2466" i="16" s="1"/>
  <c r="G2467" i="16"/>
  <c r="H2467" i="16" s="1"/>
  <c r="G2468" i="16"/>
  <c r="H2468" i="16" s="1"/>
  <c r="G2469" i="16"/>
  <c r="H2469" i="16" s="1"/>
  <c r="G2470" i="16"/>
  <c r="H2470" i="16" s="1"/>
  <c r="G2471" i="16"/>
  <c r="H2471" i="16" s="1"/>
  <c r="G2472" i="16"/>
  <c r="H2472" i="16" s="1"/>
  <c r="G2473" i="16"/>
  <c r="H2473" i="16" s="1"/>
  <c r="G2474" i="16"/>
  <c r="H2474" i="16" s="1"/>
  <c r="G2475" i="16"/>
  <c r="H2475" i="16" s="1"/>
  <c r="G2476" i="16"/>
  <c r="H2476" i="16" s="1"/>
  <c r="G2477" i="16"/>
  <c r="H2477" i="16" s="1"/>
  <c r="G2478" i="16"/>
  <c r="H2478" i="16" s="1"/>
  <c r="G2479" i="16"/>
  <c r="H2479" i="16" s="1"/>
  <c r="G2480" i="16"/>
  <c r="H2480" i="16" s="1"/>
  <c r="G2481" i="16"/>
  <c r="H2481" i="16" s="1"/>
  <c r="G2482" i="16"/>
  <c r="H2482" i="16" s="1"/>
  <c r="G2483" i="16"/>
  <c r="H2483" i="16" s="1"/>
  <c r="G2484" i="16"/>
  <c r="H2484" i="16" s="1"/>
  <c r="G2485" i="16"/>
  <c r="H2485" i="16" s="1"/>
  <c r="G2486" i="16"/>
  <c r="H2486" i="16" s="1"/>
  <c r="G2487" i="16"/>
  <c r="H2487" i="16" s="1"/>
  <c r="G2488" i="16"/>
  <c r="H2488" i="16" s="1"/>
  <c r="G2489" i="16"/>
  <c r="H2489" i="16" s="1"/>
  <c r="G2490" i="16"/>
  <c r="H2490" i="16" s="1"/>
  <c r="G2491" i="16"/>
  <c r="H2491" i="16" s="1"/>
  <c r="G2492" i="16"/>
  <c r="H2492" i="16" s="1"/>
  <c r="G2493" i="16"/>
  <c r="H2493" i="16" s="1"/>
  <c r="G2494" i="16"/>
  <c r="H2494" i="16" s="1"/>
  <c r="G2495" i="16"/>
  <c r="H2495" i="16" s="1"/>
  <c r="G2496" i="16"/>
  <c r="H2496" i="16" s="1"/>
  <c r="G2497" i="16"/>
  <c r="H2497" i="16" s="1"/>
  <c r="G2498" i="16"/>
  <c r="H2498" i="16" s="1"/>
  <c r="G2499" i="16"/>
  <c r="H2499" i="16" s="1"/>
  <c r="G2500" i="16"/>
  <c r="H2500" i="16" s="1"/>
  <c r="G2501" i="16"/>
  <c r="H2501" i="16" s="1"/>
  <c r="G2502" i="16"/>
  <c r="H2502" i="16" s="1"/>
  <c r="G2503" i="16"/>
  <c r="H2503" i="16" s="1"/>
  <c r="G2504" i="16"/>
  <c r="H2504" i="16" s="1"/>
  <c r="G2505" i="16"/>
  <c r="H2505" i="16" s="1"/>
  <c r="G2506" i="16"/>
  <c r="H2506" i="16" s="1"/>
  <c r="G2507" i="16"/>
  <c r="H2507" i="16" s="1"/>
  <c r="G2508" i="16"/>
  <c r="H2508" i="16" s="1"/>
  <c r="G2509" i="16"/>
  <c r="H2509" i="16" s="1"/>
  <c r="G2510" i="16"/>
  <c r="H2510" i="16" s="1"/>
  <c r="G2511" i="16"/>
  <c r="H2511" i="16" s="1"/>
  <c r="G2512" i="16"/>
  <c r="H2512" i="16" s="1"/>
  <c r="G2513" i="16"/>
  <c r="H2513" i="16" s="1"/>
  <c r="G2514" i="16"/>
  <c r="H2514" i="16" s="1"/>
  <c r="G2515" i="16"/>
  <c r="H2515" i="16" s="1"/>
  <c r="G2516" i="16"/>
  <c r="H2516" i="16" s="1"/>
  <c r="G2517" i="16"/>
  <c r="H2517" i="16" s="1"/>
  <c r="G2518" i="16"/>
  <c r="H2518" i="16" s="1"/>
  <c r="G2519" i="16"/>
  <c r="H2519" i="16" s="1"/>
  <c r="G2520" i="16"/>
  <c r="H2520" i="16" s="1"/>
  <c r="G2521" i="16"/>
  <c r="H2521" i="16" s="1"/>
  <c r="G2522" i="16"/>
  <c r="H2522" i="16" s="1"/>
  <c r="G2523" i="16"/>
  <c r="H2523" i="16" s="1"/>
  <c r="G2524" i="16"/>
  <c r="H2524" i="16" s="1"/>
  <c r="G2525" i="16"/>
  <c r="H2525" i="16" s="1"/>
  <c r="G2526" i="16"/>
  <c r="H2526" i="16" s="1"/>
  <c r="G2527" i="16"/>
  <c r="H2527" i="16" s="1"/>
  <c r="G2528" i="16"/>
  <c r="H2528" i="16" s="1"/>
  <c r="G2529" i="16"/>
  <c r="H2529" i="16" s="1"/>
  <c r="G2530" i="16"/>
  <c r="H2530" i="16" s="1"/>
  <c r="G2531" i="16"/>
  <c r="H2531" i="16" s="1"/>
  <c r="G2532" i="16"/>
  <c r="H2532" i="16" s="1"/>
  <c r="G2533" i="16"/>
  <c r="H2533" i="16" s="1"/>
  <c r="G2534" i="16"/>
  <c r="H2534" i="16" s="1"/>
  <c r="G2535" i="16"/>
  <c r="H2535" i="16" s="1"/>
  <c r="G2536" i="16"/>
  <c r="H2536" i="16" s="1"/>
  <c r="G2537" i="16"/>
  <c r="H2537" i="16" s="1"/>
  <c r="G2538" i="16"/>
  <c r="H2538" i="16" s="1"/>
  <c r="G2539" i="16"/>
  <c r="H2539" i="16" s="1"/>
  <c r="G2540" i="16"/>
  <c r="H2540" i="16" s="1"/>
  <c r="G2541" i="16"/>
  <c r="H2541" i="16" s="1"/>
  <c r="G2542" i="16"/>
  <c r="H2542" i="16" s="1"/>
  <c r="G2543" i="16"/>
  <c r="H2543" i="16" s="1"/>
  <c r="G2544" i="16"/>
  <c r="H2544" i="16" s="1"/>
  <c r="G2545" i="16"/>
  <c r="H2545" i="16" s="1"/>
  <c r="G2546" i="16"/>
  <c r="H2546" i="16" s="1"/>
  <c r="G2547" i="16"/>
  <c r="H2547" i="16" s="1"/>
  <c r="G2548" i="16"/>
  <c r="H2548" i="16" s="1"/>
  <c r="G2549" i="16"/>
  <c r="H2549" i="16" s="1"/>
  <c r="G2550" i="16"/>
  <c r="H2550" i="16" s="1"/>
  <c r="G2551" i="16"/>
  <c r="H2551" i="16" s="1"/>
  <c r="G2552" i="16"/>
  <c r="H2552" i="16" s="1"/>
  <c r="G2553" i="16"/>
  <c r="H2553" i="16" s="1"/>
  <c r="G2554" i="16"/>
  <c r="H2554" i="16" s="1"/>
  <c r="G2555" i="16"/>
  <c r="H2555" i="16" s="1"/>
  <c r="G2556" i="16"/>
  <c r="H2556" i="16" s="1"/>
  <c r="G2557" i="16"/>
  <c r="H2557" i="16" s="1"/>
  <c r="G2558" i="16"/>
  <c r="H2558" i="16" s="1"/>
  <c r="G2559" i="16"/>
  <c r="H2559" i="16" s="1"/>
  <c r="G2560" i="16"/>
  <c r="H2560" i="16" s="1"/>
  <c r="G2561" i="16"/>
  <c r="H2561" i="16" s="1"/>
  <c r="G2562" i="16"/>
  <c r="H2562" i="16" s="1"/>
  <c r="G2563" i="16"/>
  <c r="H2563" i="16" s="1"/>
  <c r="G2564" i="16"/>
  <c r="H2564" i="16" s="1"/>
  <c r="G2565" i="16"/>
  <c r="H2565" i="16" s="1"/>
  <c r="G2566" i="16"/>
  <c r="H2566" i="16" s="1"/>
  <c r="G2567" i="16"/>
  <c r="H2567" i="16" s="1"/>
  <c r="G2568" i="16"/>
  <c r="H2568" i="16" s="1"/>
  <c r="G2569" i="16"/>
  <c r="H2569" i="16" s="1"/>
  <c r="G2570" i="16"/>
  <c r="H2570" i="16" s="1"/>
  <c r="G2571" i="16"/>
  <c r="H2571" i="16" s="1"/>
  <c r="G2572" i="16"/>
  <c r="H2572" i="16" s="1"/>
  <c r="G2573" i="16"/>
  <c r="H2573" i="16" s="1"/>
  <c r="G2574" i="16"/>
  <c r="H2574" i="16" s="1"/>
  <c r="G2575" i="16"/>
  <c r="H2575" i="16" s="1"/>
  <c r="G2576" i="16"/>
  <c r="H2576" i="16" s="1"/>
  <c r="G2577" i="16"/>
  <c r="H2577" i="16" s="1"/>
  <c r="G2578" i="16"/>
  <c r="H2578" i="16" s="1"/>
  <c r="G2579" i="16"/>
  <c r="H2579" i="16" s="1"/>
  <c r="G2580" i="16"/>
  <c r="H2580" i="16" s="1"/>
  <c r="G2581" i="16"/>
  <c r="H2581" i="16" s="1"/>
  <c r="G2582" i="16"/>
  <c r="H2582" i="16" s="1"/>
  <c r="G2583" i="16"/>
  <c r="H2583" i="16" s="1"/>
  <c r="G2584" i="16"/>
  <c r="H2584" i="16" s="1"/>
  <c r="G2585" i="16"/>
  <c r="H2585" i="16" s="1"/>
  <c r="G2586" i="16"/>
  <c r="H2586" i="16" s="1"/>
  <c r="G2587" i="16"/>
  <c r="H2587" i="16" s="1"/>
  <c r="G2588" i="16"/>
  <c r="H2588" i="16" s="1"/>
  <c r="G2589" i="16"/>
  <c r="H2589" i="16" s="1"/>
  <c r="G2590" i="16"/>
  <c r="H2590" i="16" s="1"/>
  <c r="G2591" i="16"/>
  <c r="H2591" i="16" s="1"/>
  <c r="G2592" i="16"/>
  <c r="H2592" i="16" s="1"/>
  <c r="G2593" i="16"/>
  <c r="H2593" i="16" s="1"/>
  <c r="G2594" i="16"/>
  <c r="H2594" i="16" s="1"/>
  <c r="G2595" i="16"/>
  <c r="H2595" i="16" s="1"/>
  <c r="G2596" i="16"/>
  <c r="H2596" i="16" s="1"/>
  <c r="G2597" i="16"/>
  <c r="H2597" i="16" s="1"/>
  <c r="G2598" i="16"/>
  <c r="H2598" i="16" s="1"/>
  <c r="G2599" i="16"/>
  <c r="H2599" i="16" s="1"/>
  <c r="G2600" i="16"/>
  <c r="H2600" i="16" s="1"/>
  <c r="G2601" i="16"/>
  <c r="H2601" i="16" s="1"/>
  <c r="G2602" i="16"/>
  <c r="H2602" i="16" s="1"/>
  <c r="G2603" i="16"/>
  <c r="H2603" i="16" s="1"/>
  <c r="G2604" i="16"/>
  <c r="H2604" i="16" s="1"/>
  <c r="G2605" i="16"/>
  <c r="H2605" i="16" s="1"/>
  <c r="G2606" i="16"/>
  <c r="H2606" i="16" s="1"/>
  <c r="G2607" i="16"/>
  <c r="H2607" i="16" s="1"/>
  <c r="G2608" i="16"/>
  <c r="H2608" i="16" s="1"/>
  <c r="G2609" i="16"/>
  <c r="H2609" i="16" s="1"/>
  <c r="G2610" i="16"/>
  <c r="H2610" i="16" s="1"/>
  <c r="G2611" i="16"/>
  <c r="H2611" i="16" s="1"/>
  <c r="G2612" i="16"/>
  <c r="H2612" i="16" s="1"/>
  <c r="G2613" i="16"/>
  <c r="H2613" i="16" s="1"/>
  <c r="G2614" i="16"/>
  <c r="H2614" i="16" s="1"/>
  <c r="G2615" i="16"/>
  <c r="H2615" i="16" s="1"/>
  <c r="G2616" i="16"/>
  <c r="H2616" i="16" s="1"/>
  <c r="G2617" i="16"/>
  <c r="H2617" i="16" s="1"/>
  <c r="G2618" i="16"/>
  <c r="H2618" i="16" s="1"/>
  <c r="G2619" i="16"/>
  <c r="H2619" i="16" s="1"/>
  <c r="G2620" i="16"/>
  <c r="H2620" i="16" s="1"/>
  <c r="G2621" i="16"/>
  <c r="H2621" i="16" s="1"/>
  <c r="G2622" i="16"/>
  <c r="H2622" i="16" s="1"/>
  <c r="G2623" i="16"/>
  <c r="H2623" i="16" s="1"/>
  <c r="G2624" i="16"/>
  <c r="H2624" i="16" s="1"/>
  <c r="G2625" i="16"/>
  <c r="H2625" i="16" s="1"/>
  <c r="G2626" i="16"/>
  <c r="H2626" i="16" s="1"/>
  <c r="G2627" i="16"/>
  <c r="H2627" i="16" s="1"/>
  <c r="G2628" i="16"/>
  <c r="H2628" i="16" s="1"/>
  <c r="G2629" i="16"/>
  <c r="H2629" i="16" s="1"/>
  <c r="G2630" i="16"/>
  <c r="H2630" i="16" s="1"/>
  <c r="G2631" i="16"/>
  <c r="H2631" i="16" s="1"/>
  <c r="G2632" i="16"/>
  <c r="H2632" i="16" s="1"/>
  <c r="G2633" i="16"/>
  <c r="H2633" i="16" s="1"/>
  <c r="G2634" i="16"/>
  <c r="H2634" i="16" s="1"/>
  <c r="G2635" i="16"/>
  <c r="H2635" i="16" s="1"/>
  <c r="G2636" i="16"/>
  <c r="H2636" i="16" s="1"/>
  <c r="G2637" i="16"/>
  <c r="H2637" i="16" s="1"/>
  <c r="G2638" i="16"/>
  <c r="H2638" i="16" s="1"/>
  <c r="G2639" i="16"/>
  <c r="H2639" i="16" s="1"/>
  <c r="G2640" i="16"/>
  <c r="H2640" i="16" s="1"/>
  <c r="G2641" i="16"/>
  <c r="H2641" i="16" s="1"/>
  <c r="G2642" i="16"/>
  <c r="H2642" i="16" s="1"/>
  <c r="G2643" i="16"/>
  <c r="H2643" i="16" s="1"/>
  <c r="G2644" i="16"/>
  <c r="H2644" i="16" s="1"/>
  <c r="G2645" i="16"/>
  <c r="H2645" i="16" s="1"/>
  <c r="G2646" i="16"/>
  <c r="H2646" i="16" s="1"/>
  <c r="G2647" i="16"/>
  <c r="H2647" i="16" s="1"/>
  <c r="G2648" i="16"/>
  <c r="H2648" i="16" s="1"/>
  <c r="G2649" i="16"/>
  <c r="H2649" i="16" s="1"/>
  <c r="G2650" i="16"/>
  <c r="H2650" i="16" s="1"/>
  <c r="G2651" i="16"/>
  <c r="H2651" i="16" s="1"/>
  <c r="G2652" i="16"/>
  <c r="H2652" i="16" s="1"/>
  <c r="G2653" i="16"/>
  <c r="H2653" i="16" s="1"/>
  <c r="G2654" i="16"/>
  <c r="H2654" i="16" s="1"/>
  <c r="G2655" i="16"/>
  <c r="H2655" i="16" s="1"/>
  <c r="G2656" i="16"/>
  <c r="H2656" i="16" s="1"/>
  <c r="G2657" i="16"/>
  <c r="H2657" i="16" s="1"/>
  <c r="G2658" i="16"/>
  <c r="H2658" i="16" s="1"/>
  <c r="G2659" i="16"/>
  <c r="H2659" i="16" s="1"/>
  <c r="G2660" i="16"/>
  <c r="H2660" i="16" s="1"/>
  <c r="G2661" i="16"/>
  <c r="H2661" i="16" s="1"/>
  <c r="G2662" i="16"/>
  <c r="H2662" i="16" s="1"/>
  <c r="G2663" i="16"/>
  <c r="H2663" i="16" s="1"/>
  <c r="G2664" i="16"/>
  <c r="H2664" i="16" s="1"/>
  <c r="G2665" i="16"/>
  <c r="H2665" i="16" s="1"/>
  <c r="G2666" i="16"/>
  <c r="H2666" i="16" s="1"/>
  <c r="G2667" i="16"/>
  <c r="H2667" i="16" s="1"/>
  <c r="G2668" i="16"/>
  <c r="H2668" i="16" s="1"/>
  <c r="G2669" i="16"/>
  <c r="H2669" i="16" s="1"/>
  <c r="G2670" i="16"/>
  <c r="H2670" i="16" s="1"/>
  <c r="G2671" i="16"/>
  <c r="H2671" i="16" s="1"/>
  <c r="G2672" i="16"/>
  <c r="H2672" i="16" s="1"/>
  <c r="G2673" i="16"/>
  <c r="H2673" i="16" s="1"/>
  <c r="G2674" i="16"/>
  <c r="H2674" i="16" s="1"/>
  <c r="G2675" i="16"/>
  <c r="H2675" i="16" s="1"/>
  <c r="G2676" i="16"/>
  <c r="H2676" i="16" s="1"/>
  <c r="G2677" i="16"/>
  <c r="H2677" i="16" s="1"/>
  <c r="G2678" i="16"/>
  <c r="H2678" i="16" s="1"/>
  <c r="G2679" i="16"/>
  <c r="H2679" i="16" s="1"/>
  <c r="G2680" i="16"/>
  <c r="H2680" i="16" s="1"/>
  <c r="G2681" i="16"/>
  <c r="H2681" i="16" s="1"/>
  <c r="G2682" i="16"/>
  <c r="H2682" i="16" s="1"/>
  <c r="G2683" i="16"/>
  <c r="H2683" i="16" s="1"/>
  <c r="G2684" i="16"/>
  <c r="H2684" i="16" s="1"/>
  <c r="G2685" i="16"/>
  <c r="H2685" i="16" s="1"/>
  <c r="G2686" i="16"/>
  <c r="H2686" i="16" s="1"/>
  <c r="G2687" i="16"/>
  <c r="H2687" i="16" s="1"/>
  <c r="G2688" i="16"/>
  <c r="H2688" i="16" s="1"/>
  <c r="G2689" i="16"/>
  <c r="H2689" i="16" s="1"/>
  <c r="G2690" i="16"/>
  <c r="H2690" i="16" s="1"/>
  <c r="G2691" i="16"/>
  <c r="H2691" i="16" s="1"/>
  <c r="G2692" i="16"/>
  <c r="H2692" i="16" s="1"/>
  <c r="G2693" i="16"/>
  <c r="H2693" i="16" s="1"/>
  <c r="G2694" i="16"/>
  <c r="H2694" i="16" s="1"/>
  <c r="G2695" i="16"/>
  <c r="H2695" i="16" s="1"/>
  <c r="G2696" i="16"/>
  <c r="H2696" i="16" s="1"/>
  <c r="G2697" i="16"/>
  <c r="H2697" i="16" s="1"/>
  <c r="G2698" i="16"/>
  <c r="H2698" i="16" s="1"/>
  <c r="G2699" i="16"/>
  <c r="H2699" i="16" s="1"/>
  <c r="G2700" i="16"/>
  <c r="H2700" i="16" s="1"/>
  <c r="G2701" i="16"/>
  <c r="H2701" i="16" s="1"/>
  <c r="G2702" i="16"/>
  <c r="H2702" i="16" s="1"/>
  <c r="G2703" i="16"/>
  <c r="H2703" i="16" s="1"/>
  <c r="G2704" i="16"/>
  <c r="H2704" i="16" s="1"/>
  <c r="G2705" i="16"/>
  <c r="H2705" i="16" s="1"/>
  <c r="G2706" i="16"/>
  <c r="H2706" i="16" s="1"/>
  <c r="G2707" i="16"/>
  <c r="H2707" i="16" s="1"/>
  <c r="G2708" i="16"/>
  <c r="H2708" i="16" s="1"/>
  <c r="G2709" i="16"/>
  <c r="H2709" i="16" s="1"/>
  <c r="G2710" i="16"/>
  <c r="H2710" i="16" s="1"/>
  <c r="G2711" i="16"/>
  <c r="H2711" i="16" s="1"/>
  <c r="G2712" i="16"/>
  <c r="H2712" i="16" s="1"/>
  <c r="G2713" i="16"/>
  <c r="H2713" i="16" s="1"/>
  <c r="G2714" i="16"/>
  <c r="H2714" i="16" s="1"/>
  <c r="G2715" i="16"/>
  <c r="H2715" i="16" s="1"/>
  <c r="G2716" i="16"/>
  <c r="H2716" i="16" s="1"/>
  <c r="G2717" i="16"/>
  <c r="H2717" i="16" s="1"/>
  <c r="G2718" i="16"/>
  <c r="H2718" i="16" s="1"/>
  <c r="G2719" i="16"/>
  <c r="H2719" i="16" s="1"/>
  <c r="G2720" i="16"/>
  <c r="H2720" i="16" s="1"/>
  <c r="G2721" i="16"/>
  <c r="H2721" i="16" s="1"/>
  <c r="G2722" i="16"/>
  <c r="H2722" i="16" s="1"/>
  <c r="G2723" i="16"/>
  <c r="H2723" i="16" s="1"/>
  <c r="G2724" i="16"/>
  <c r="H2724" i="16" s="1"/>
  <c r="G2725" i="16"/>
  <c r="H2725" i="16" s="1"/>
  <c r="G2726" i="16"/>
  <c r="H2726" i="16" s="1"/>
  <c r="G2727" i="16"/>
  <c r="H2727" i="16" s="1"/>
  <c r="G2728" i="16"/>
  <c r="H2728" i="16" s="1"/>
  <c r="G2729" i="16"/>
  <c r="H2729" i="16" s="1"/>
  <c r="G2730" i="16"/>
  <c r="H2730" i="16" s="1"/>
  <c r="G2731" i="16"/>
  <c r="H2731" i="16" s="1"/>
  <c r="G2732" i="16"/>
  <c r="H2732" i="16" s="1"/>
  <c r="G2733" i="16"/>
  <c r="H2733" i="16" s="1"/>
  <c r="G2734" i="16"/>
  <c r="H2734" i="16" s="1"/>
  <c r="G2735" i="16"/>
  <c r="H2735" i="16" s="1"/>
  <c r="G2736" i="16"/>
  <c r="H2736" i="16" s="1"/>
  <c r="G2737" i="16"/>
  <c r="H2737" i="16" s="1"/>
  <c r="G2738" i="16"/>
  <c r="H2738" i="16" s="1"/>
  <c r="G2739" i="16"/>
  <c r="H2739" i="16" s="1"/>
  <c r="G2740" i="16"/>
  <c r="H2740" i="16" s="1"/>
  <c r="G2741" i="16"/>
  <c r="H2741" i="16" s="1"/>
  <c r="G2742" i="16"/>
  <c r="H2742" i="16" s="1"/>
  <c r="G2743" i="16"/>
  <c r="H2743" i="16" s="1"/>
  <c r="G2744" i="16"/>
  <c r="H2744" i="16" s="1"/>
  <c r="G2745" i="16"/>
  <c r="H2745" i="16" s="1"/>
  <c r="G2746" i="16"/>
  <c r="H2746" i="16" s="1"/>
  <c r="G2747" i="16"/>
  <c r="H2747" i="16" s="1"/>
  <c r="G2748" i="16"/>
  <c r="H2748" i="16" s="1"/>
  <c r="G2749" i="16"/>
  <c r="H2749" i="16" s="1"/>
  <c r="G2750" i="16"/>
  <c r="H2750" i="16" s="1"/>
  <c r="G2751" i="16"/>
  <c r="H2751" i="16" s="1"/>
  <c r="G2752" i="16"/>
  <c r="H2752" i="16" s="1"/>
  <c r="G2753" i="16"/>
  <c r="H2753" i="16" s="1"/>
  <c r="G2754" i="16"/>
  <c r="H2754" i="16" s="1"/>
  <c r="G2755" i="16"/>
  <c r="H2755" i="16" s="1"/>
  <c r="G2756" i="16"/>
  <c r="H2756" i="16" s="1"/>
  <c r="G2757" i="16"/>
  <c r="H2757" i="16" s="1"/>
  <c r="G2758" i="16"/>
  <c r="H2758" i="16" s="1"/>
  <c r="G2759" i="16"/>
  <c r="H2759" i="16" s="1"/>
  <c r="G2760" i="16"/>
  <c r="H2760" i="16" s="1"/>
  <c r="G2761" i="16"/>
  <c r="H2761" i="16" s="1"/>
  <c r="G2762" i="16"/>
  <c r="H2762" i="16" s="1"/>
  <c r="G2763" i="16"/>
  <c r="H2763" i="16" s="1"/>
  <c r="G2764" i="16"/>
  <c r="H2764" i="16" s="1"/>
  <c r="G2765" i="16"/>
  <c r="H2765" i="16" s="1"/>
  <c r="G2766" i="16"/>
  <c r="H2766" i="16" s="1"/>
  <c r="G2767" i="16"/>
  <c r="H2767" i="16" s="1"/>
  <c r="G2768" i="16"/>
  <c r="H2768" i="16" s="1"/>
  <c r="G2769" i="16"/>
  <c r="H2769" i="16" s="1"/>
  <c r="G2770" i="16"/>
  <c r="H2770" i="16" s="1"/>
  <c r="G2771" i="16"/>
  <c r="H2771" i="16" s="1"/>
  <c r="G2772" i="16"/>
  <c r="H2772" i="16" s="1"/>
  <c r="G2773" i="16"/>
  <c r="H2773" i="16" s="1"/>
  <c r="G2774" i="16"/>
  <c r="H2774" i="16" s="1"/>
  <c r="G2775" i="16"/>
  <c r="H2775" i="16" s="1"/>
  <c r="G2776" i="16"/>
  <c r="H2776" i="16" s="1"/>
  <c r="G2777" i="16"/>
  <c r="H2777" i="16" s="1"/>
  <c r="G2778" i="16"/>
  <c r="H2778" i="16" s="1"/>
  <c r="G2779" i="16"/>
  <c r="H2779" i="16" s="1"/>
  <c r="G2780" i="16"/>
  <c r="H2780" i="16" s="1"/>
  <c r="G2781" i="16"/>
  <c r="H2781" i="16" s="1"/>
  <c r="G2782" i="16"/>
  <c r="H2782" i="16" s="1"/>
  <c r="G2783" i="16"/>
  <c r="H2783" i="16" s="1"/>
  <c r="G2784" i="16"/>
  <c r="H2784" i="16" s="1"/>
  <c r="G2785" i="16"/>
  <c r="H2785" i="16" s="1"/>
  <c r="G2786" i="16"/>
  <c r="H2786" i="16" s="1"/>
  <c r="G2787" i="16"/>
  <c r="H2787" i="16" s="1"/>
  <c r="G2788" i="16"/>
  <c r="H2788" i="16" s="1"/>
  <c r="G2789" i="16"/>
  <c r="H2789" i="16" s="1"/>
  <c r="G2790" i="16"/>
  <c r="H2790" i="16" s="1"/>
  <c r="G2791" i="16"/>
  <c r="H2791" i="16" s="1"/>
  <c r="G2792" i="16"/>
  <c r="H2792" i="16" s="1"/>
  <c r="G2793" i="16"/>
  <c r="H2793" i="16" s="1"/>
  <c r="G2794" i="16"/>
  <c r="H2794" i="16" s="1"/>
  <c r="G2795" i="16"/>
  <c r="H2795" i="16" s="1"/>
  <c r="G2796" i="16"/>
  <c r="H2796" i="16" s="1"/>
  <c r="G2797" i="16"/>
  <c r="H2797" i="16" s="1"/>
  <c r="G2798" i="16"/>
  <c r="H2798" i="16" s="1"/>
  <c r="G2799" i="16"/>
  <c r="H2799" i="16" s="1"/>
  <c r="G2800" i="16"/>
  <c r="H2800" i="16" s="1"/>
  <c r="G2801" i="16"/>
  <c r="H2801" i="16" s="1"/>
  <c r="G2" i="16"/>
  <c r="H2" i="16" s="1"/>
  <c r="B13" i="13" s="1"/>
  <c r="B18" i="13" s="1"/>
  <c r="B3" i="16"/>
  <c r="B4" i="16"/>
  <c r="B5" i="16"/>
  <c r="B6" i="16"/>
  <c r="B7" i="16"/>
  <c r="B8" i="16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  <c r="B48" i="16"/>
  <c r="B49" i="16"/>
  <c r="B50" i="16"/>
  <c r="B51" i="16"/>
  <c r="B52" i="16"/>
  <c r="B53" i="16"/>
  <c r="B54" i="16"/>
  <c r="B55" i="16"/>
  <c r="B56" i="16"/>
  <c r="B57" i="16"/>
  <c r="B58" i="16"/>
  <c r="B59" i="16"/>
  <c r="B60" i="16"/>
  <c r="B61" i="16"/>
  <c r="B62" i="16"/>
  <c r="B63" i="16"/>
  <c r="B64" i="16"/>
  <c r="B65" i="16"/>
  <c r="B66" i="16"/>
  <c r="B67" i="16"/>
  <c r="B68" i="16"/>
  <c r="B69" i="16"/>
  <c r="B70" i="16"/>
  <c r="B71" i="16"/>
  <c r="B72" i="16"/>
  <c r="B73" i="16"/>
  <c r="B74" i="16"/>
  <c r="B75" i="16"/>
  <c r="B76" i="16"/>
  <c r="B77" i="16"/>
  <c r="B78" i="16"/>
  <c r="B79" i="16"/>
  <c r="B80" i="16"/>
  <c r="B81" i="16"/>
  <c r="B82" i="16"/>
  <c r="B83" i="16"/>
  <c r="B84" i="16"/>
  <c r="B85" i="16"/>
  <c r="B86" i="16"/>
  <c r="B87" i="16"/>
  <c r="B88" i="16"/>
  <c r="B89" i="16"/>
  <c r="B90" i="16"/>
  <c r="B91" i="16"/>
  <c r="B92" i="16"/>
  <c r="B93" i="16"/>
  <c r="B94" i="16"/>
  <c r="B95" i="16"/>
  <c r="B96" i="16"/>
  <c r="B97" i="16"/>
  <c r="B98" i="16"/>
  <c r="B99" i="16"/>
  <c r="B100" i="16"/>
  <c r="B101" i="16"/>
  <c r="B102" i="16"/>
  <c r="B103" i="16"/>
  <c r="B104" i="16"/>
  <c r="B105" i="16"/>
  <c r="B106" i="16"/>
  <c r="B107" i="16"/>
  <c r="B108" i="16"/>
  <c r="B109" i="16"/>
  <c r="B110" i="16"/>
  <c r="B111" i="16"/>
  <c r="B112" i="16"/>
  <c r="B113" i="16"/>
  <c r="B114" i="16"/>
  <c r="B115" i="16"/>
  <c r="B116" i="16"/>
  <c r="B117" i="16"/>
  <c r="B118" i="16"/>
  <c r="B119" i="16"/>
  <c r="B120" i="16"/>
  <c r="B121" i="16"/>
  <c r="B122" i="16"/>
  <c r="B123" i="16"/>
  <c r="B124" i="16"/>
  <c r="B125" i="16"/>
  <c r="B126" i="16"/>
  <c r="B127" i="16"/>
  <c r="B128" i="16"/>
  <c r="B129" i="16"/>
  <c r="B130" i="16"/>
  <c r="B131" i="16"/>
  <c r="B132" i="16"/>
  <c r="B133" i="16"/>
  <c r="B134" i="16"/>
  <c r="B135" i="16"/>
  <c r="B136" i="16"/>
  <c r="B137" i="16"/>
  <c r="B138" i="16"/>
  <c r="B139" i="16"/>
  <c r="B140" i="16"/>
  <c r="B141" i="16"/>
  <c r="B142" i="16"/>
  <c r="B143" i="16"/>
  <c r="B144" i="16"/>
  <c r="B145" i="16"/>
  <c r="B146" i="16"/>
  <c r="B147" i="16"/>
  <c r="B148" i="16"/>
  <c r="B149" i="16"/>
  <c r="B150" i="16"/>
  <c r="B151" i="16"/>
  <c r="B152" i="16"/>
  <c r="B153" i="16"/>
  <c r="B154" i="16"/>
  <c r="B155" i="16"/>
  <c r="B156" i="16"/>
  <c r="B157" i="16"/>
  <c r="B158" i="16"/>
  <c r="B159" i="16"/>
  <c r="B160" i="16"/>
  <c r="B161" i="16"/>
  <c r="B162" i="16"/>
  <c r="B163" i="16"/>
  <c r="B164" i="16"/>
  <c r="B165" i="16"/>
  <c r="B166" i="16"/>
  <c r="B167" i="16"/>
  <c r="B168" i="16"/>
  <c r="B169" i="16"/>
  <c r="B170" i="16"/>
  <c r="B171" i="16"/>
  <c r="B172" i="16"/>
  <c r="B173" i="16"/>
  <c r="B174" i="16"/>
  <c r="B175" i="16"/>
  <c r="B176" i="16"/>
  <c r="B177" i="16"/>
  <c r="B178" i="16"/>
  <c r="B179" i="16"/>
  <c r="B180" i="16"/>
  <c r="B181" i="16"/>
  <c r="B182" i="16"/>
  <c r="B183" i="16"/>
  <c r="B184" i="16"/>
  <c r="B185" i="16"/>
  <c r="B186" i="16"/>
  <c r="B187" i="16"/>
  <c r="B188" i="16"/>
  <c r="B189" i="16"/>
  <c r="B190" i="16"/>
  <c r="B191" i="16"/>
  <c r="B192" i="16"/>
  <c r="B193" i="16"/>
  <c r="B194" i="16"/>
  <c r="B195" i="16"/>
  <c r="B196" i="16"/>
  <c r="B197" i="16"/>
  <c r="B198" i="16"/>
  <c r="B199" i="16"/>
  <c r="B200" i="16"/>
  <c r="B201" i="16"/>
  <c r="B202" i="16"/>
  <c r="B203" i="16"/>
  <c r="B204" i="16"/>
  <c r="B205" i="16"/>
  <c r="B206" i="16"/>
  <c r="B207" i="16"/>
  <c r="B208" i="16"/>
  <c r="B209" i="16"/>
  <c r="B210" i="16"/>
  <c r="B211" i="16"/>
  <c r="B212" i="16"/>
  <c r="B213" i="16"/>
  <c r="B214" i="16"/>
  <c r="B215" i="16"/>
  <c r="B216" i="16"/>
  <c r="B217" i="16"/>
  <c r="B218" i="16"/>
  <c r="B219" i="16"/>
  <c r="B220" i="16"/>
  <c r="B221" i="16"/>
  <c r="B222" i="16"/>
  <c r="B223" i="16"/>
  <c r="B224" i="16"/>
  <c r="B225" i="16"/>
  <c r="B226" i="16"/>
  <c r="B227" i="16"/>
  <c r="B228" i="16"/>
  <c r="B229" i="16"/>
  <c r="B230" i="16"/>
  <c r="B231" i="16"/>
  <c r="B232" i="16"/>
  <c r="B233" i="16"/>
  <c r="B234" i="16"/>
  <c r="B235" i="16"/>
  <c r="B236" i="16"/>
  <c r="B237" i="16"/>
  <c r="B238" i="16"/>
  <c r="B239" i="16"/>
  <c r="B240" i="16"/>
  <c r="B241" i="16"/>
  <c r="B242" i="16"/>
  <c r="B243" i="16"/>
  <c r="B244" i="16"/>
  <c r="B245" i="16"/>
  <c r="B246" i="16"/>
  <c r="B247" i="16"/>
  <c r="B248" i="16"/>
  <c r="B249" i="16"/>
  <c r="B250" i="16"/>
  <c r="B251" i="16"/>
  <c r="B252" i="16"/>
  <c r="B253" i="16"/>
  <c r="B254" i="16"/>
  <c r="B255" i="16"/>
  <c r="B256" i="16"/>
  <c r="B257" i="16"/>
  <c r="B258" i="16"/>
  <c r="B259" i="16"/>
  <c r="B260" i="16"/>
  <c r="B261" i="16"/>
  <c r="B262" i="16"/>
  <c r="B263" i="16"/>
  <c r="B264" i="16"/>
  <c r="B265" i="16"/>
  <c r="B266" i="16"/>
  <c r="B267" i="16"/>
  <c r="B268" i="16"/>
  <c r="B269" i="16"/>
  <c r="B270" i="16"/>
  <c r="B271" i="16"/>
  <c r="B272" i="16"/>
  <c r="B273" i="16"/>
  <c r="B274" i="16"/>
  <c r="B275" i="16"/>
  <c r="B276" i="16"/>
  <c r="B277" i="16"/>
  <c r="B278" i="16"/>
  <c r="B279" i="16"/>
  <c r="B280" i="16"/>
  <c r="B281" i="16"/>
  <c r="B282" i="16"/>
  <c r="B283" i="16"/>
  <c r="B284" i="16"/>
  <c r="B285" i="16"/>
  <c r="B286" i="16"/>
  <c r="B287" i="16"/>
  <c r="B288" i="16"/>
  <c r="B289" i="16"/>
  <c r="B290" i="16"/>
  <c r="B291" i="16"/>
  <c r="B292" i="16"/>
  <c r="B293" i="16"/>
  <c r="B294" i="16"/>
  <c r="B295" i="16"/>
  <c r="B296" i="16"/>
  <c r="B297" i="16"/>
  <c r="B298" i="16"/>
  <c r="B299" i="16"/>
  <c r="B300" i="16"/>
  <c r="B301" i="16"/>
  <c r="B302" i="16"/>
  <c r="B303" i="16"/>
  <c r="B304" i="16"/>
  <c r="B305" i="16"/>
  <c r="B306" i="16"/>
  <c r="B307" i="16"/>
  <c r="B308" i="16"/>
  <c r="B309" i="16"/>
  <c r="B310" i="16"/>
  <c r="B311" i="16"/>
  <c r="B312" i="16"/>
  <c r="B313" i="16"/>
  <c r="B314" i="16"/>
  <c r="B315" i="16"/>
  <c r="B316" i="16"/>
  <c r="B317" i="16"/>
  <c r="B318" i="16"/>
  <c r="B319" i="16"/>
  <c r="B320" i="16"/>
  <c r="B321" i="16"/>
  <c r="B322" i="16"/>
  <c r="B323" i="16"/>
  <c r="B324" i="16"/>
  <c r="B325" i="16"/>
  <c r="B326" i="16"/>
  <c r="B327" i="16"/>
  <c r="B328" i="16"/>
  <c r="B329" i="16"/>
  <c r="B330" i="16"/>
  <c r="B331" i="16"/>
  <c r="B332" i="16"/>
  <c r="B333" i="16"/>
  <c r="B334" i="16"/>
  <c r="B335" i="16"/>
  <c r="B336" i="16"/>
  <c r="B337" i="16"/>
  <c r="B338" i="16"/>
  <c r="B339" i="16"/>
  <c r="B340" i="16"/>
  <c r="B341" i="16"/>
  <c r="B342" i="16"/>
  <c r="B343" i="16"/>
  <c r="B344" i="16"/>
  <c r="B345" i="16"/>
  <c r="B346" i="16"/>
  <c r="B347" i="16"/>
  <c r="B348" i="16"/>
  <c r="B349" i="16"/>
  <c r="B350" i="16"/>
  <c r="B351" i="16"/>
  <c r="B352" i="16"/>
  <c r="B353" i="16"/>
  <c r="B354" i="16"/>
  <c r="B355" i="16"/>
  <c r="B356" i="16"/>
  <c r="B357" i="16"/>
  <c r="B358" i="16"/>
  <c r="B359" i="16"/>
  <c r="B360" i="16"/>
  <c r="B361" i="16"/>
  <c r="B362" i="16"/>
  <c r="B363" i="16"/>
  <c r="B364" i="16"/>
  <c r="B365" i="16"/>
  <c r="B366" i="16"/>
  <c r="B367" i="16"/>
  <c r="B368" i="16"/>
  <c r="B369" i="16"/>
  <c r="B370" i="16"/>
  <c r="B371" i="16"/>
  <c r="B372" i="16"/>
  <c r="B373" i="16"/>
  <c r="B374" i="16"/>
  <c r="B375" i="16"/>
  <c r="B376" i="16"/>
  <c r="B377" i="16"/>
  <c r="B378" i="16"/>
  <c r="B379" i="16"/>
  <c r="B380" i="16"/>
  <c r="B381" i="16"/>
  <c r="B382" i="16"/>
  <c r="B383" i="16"/>
  <c r="B384" i="16"/>
  <c r="B385" i="16"/>
  <c r="B386" i="16"/>
  <c r="B387" i="16"/>
  <c r="B388" i="16"/>
  <c r="B389" i="16"/>
  <c r="B390" i="16"/>
  <c r="B391" i="16"/>
  <c r="B392" i="16"/>
  <c r="B393" i="16"/>
  <c r="B394" i="16"/>
  <c r="B395" i="16"/>
  <c r="B396" i="16"/>
  <c r="B397" i="16"/>
  <c r="B398" i="16"/>
  <c r="B399" i="16"/>
  <c r="B400" i="16"/>
  <c r="B401" i="16"/>
  <c r="B402" i="16"/>
  <c r="B403" i="16"/>
  <c r="B404" i="16"/>
  <c r="B405" i="16"/>
  <c r="B406" i="16"/>
  <c r="B407" i="16"/>
  <c r="B408" i="16"/>
  <c r="B409" i="16"/>
  <c r="B410" i="16"/>
  <c r="B411" i="16"/>
  <c r="B412" i="16"/>
  <c r="B413" i="16"/>
  <c r="B414" i="16"/>
  <c r="B415" i="16"/>
  <c r="B416" i="16"/>
  <c r="B417" i="16"/>
  <c r="B418" i="16"/>
  <c r="B419" i="16"/>
  <c r="B420" i="16"/>
  <c r="B421" i="16"/>
  <c r="B422" i="16"/>
  <c r="B423" i="16"/>
  <c r="B424" i="16"/>
  <c r="B425" i="16"/>
  <c r="B426" i="16"/>
  <c r="B427" i="16"/>
  <c r="B428" i="16"/>
  <c r="B429" i="16"/>
  <c r="B430" i="16"/>
  <c r="B431" i="16"/>
  <c r="B432" i="16"/>
  <c r="B433" i="16"/>
  <c r="B434" i="16"/>
  <c r="B435" i="16"/>
  <c r="B436" i="16"/>
  <c r="B437" i="16"/>
  <c r="B438" i="16"/>
  <c r="B439" i="16"/>
  <c r="B440" i="16"/>
  <c r="B441" i="16"/>
  <c r="B442" i="16"/>
  <c r="B443" i="16"/>
  <c r="B444" i="16"/>
  <c r="B445" i="16"/>
  <c r="B446" i="16"/>
  <c r="B447" i="16"/>
  <c r="B448" i="16"/>
  <c r="B449" i="16"/>
  <c r="B450" i="16"/>
  <c r="B451" i="16"/>
  <c r="B452" i="16"/>
  <c r="B453" i="16"/>
  <c r="B454" i="16"/>
  <c r="B455" i="16"/>
  <c r="B456" i="16"/>
  <c r="B457" i="16"/>
  <c r="B458" i="16"/>
  <c r="B459" i="16"/>
  <c r="B460" i="16"/>
  <c r="B461" i="16"/>
  <c r="B462" i="16"/>
  <c r="B463" i="16"/>
  <c r="B464" i="16"/>
  <c r="B465" i="16"/>
  <c r="B466" i="16"/>
  <c r="B467" i="16"/>
  <c r="B468" i="16"/>
  <c r="B469" i="16"/>
  <c r="B470" i="16"/>
  <c r="B471" i="16"/>
  <c r="B472" i="16"/>
  <c r="B473" i="16"/>
  <c r="B474" i="16"/>
  <c r="B475" i="16"/>
  <c r="B476" i="16"/>
  <c r="B477" i="16"/>
  <c r="B478" i="16"/>
  <c r="B479" i="16"/>
  <c r="B480" i="16"/>
  <c r="B481" i="16"/>
  <c r="B482" i="16"/>
  <c r="B483" i="16"/>
  <c r="B484" i="16"/>
  <c r="B485" i="16"/>
  <c r="B486" i="16"/>
  <c r="B487" i="16"/>
  <c r="B488" i="16"/>
  <c r="B489" i="16"/>
  <c r="B490" i="16"/>
  <c r="B491" i="16"/>
  <c r="B492" i="16"/>
  <c r="B493" i="16"/>
  <c r="B494" i="16"/>
  <c r="B495" i="16"/>
  <c r="B496" i="16"/>
  <c r="B497" i="16"/>
  <c r="B498" i="16"/>
  <c r="B499" i="16"/>
  <c r="B500" i="16"/>
  <c r="B501" i="16"/>
  <c r="B502" i="16"/>
  <c r="B503" i="16"/>
  <c r="B504" i="16"/>
  <c r="B505" i="16"/>
  <c r="B506" i="16"/>
  <c r="B507" i="16"/>
  <c r="B508" i="16"/>
  <c r="B509" i="16"/>
  <c r="B510" i="16"/>
  <c r="B511" i="16"/>
  <c r="B512" i="16"/>
  <c r="B513" i="16"/>
  <c r="B514" i="16"/>
  <c r="B515" i="16"/>
  <c r="B516" i="16"/>
  <c r="B517" i="16"/>
  <c r="B518" i="16"/>
  <c r="B519" i="16"/>
  <c r="B520" i="16"/>
  <c r="B521" i="16"/>
  <c r="B522" i="16"/>
  <c r="B523" i="16"/>
  <c r="B524" i="16"/>
  <c r="B525" i="16"/>
  <c r="B526" i="16"/>
  <c r="B527" i="16"/>
  <c r="B528" i="16"/>
  <c r="B529" i="16"/>
  <c r="B530" i="16"/>
  <c r="B531" i="16"/>
  <c r="B532" i="16"/>
  <c r="B533" i="16"/>
  <c r="B534" i="16"/>
  <c r="B535" i="16"/>
  <c r="B536" i="16"/>
  <c r="B537" i="16"/>
  <c r="B538" i="16"/>
  <c r="B539" i="16"/>
  <c r="B540" i="16"/>
  <c r="B541" i="16"/>
  <c r="B542" i="16"/>
  <c r="B543" i="16"/>
  <c r="B544" i="16"/>
  <c r="B545" i="16"/>
  <c r="B546" i="16"/>
  <c r="B547" i="16"/>
  <c r="B548" i="16"/>
  <c r="B549" i="16"/>
  <c r="B550" i="16"/>
  <c r="B551" i="16"/>
  <c r="B552" i="16"/>
  <c r="B553" i="16"/>
  <c r="B554" i="16"/>
  <c r="B555" i="16"/>
  <c r="B556" i="16"/>
  <c r="B557" i="16"/>
  <c r="B558" i="16"/>
  <c r="B559" i="16"/>
  <c r="B560" i="16"/>
  <c r="B561" i="16"/>
  <c r="B562" i="16"/>
  <c r="B563" i="16"/>
  <c r="B564" i="16"/>
  <c r="B565" i="16"/>
  <c r="B566" i="16"/>
  <c r="B567" i="16"/>
  <c r="B568" i="16"/>
  <c r="B569" i="16"/>
  <c r="B570" i="16"/>
  <c r="B571" i="16"/>
  <c r="B572" i="16"/>
  <c r="B573" i="16"/>
  <c r="B574" i="16"/>
  <c r="B575" i="16"/>
  <c r="B576" i="16"/>
  <c r="B577" i="16"/>
  <c r="B578" i="16"/>
  <c r="B579" i="16"/>
  <c r="B580" i="16"/>
  <c r="B581" i="16"/>
  <c r="B582" i="16"/>
  <c r="B583" i="16"/>
  <c r="B584" i="16"/>
  <c r="B585" i="16"/>
  <c r="B586" i="16"/>
  <c r="B587" i="16"/>
  <c r="B588" i="16"/>
  <c r="B589" i="16"/>
  <c r="B590" i="16"/>
  <c r="B591" i="16"/>
  <c r="B592" i="16"/>
  <c r="B593" i="16"/>
  <c r="B594" i="16"/>
  <c r="B595" i="16"/>
  <c r="B596" i="16"/>
  <c r="B597" i="16"/>
  <c r="B598" i="16"/>
  <c r="B599" i="16"/>
  <c r="B600" i="16"/>
  <c r="B601" i="16"/>
  <c r="B602" i="16"/>
  <c r="B603" i="16"/>
  <c r="B604" i="16"/>
  <c r="B605" i="16"/>
  <c r="B606" i="16"/>
  <c r="B607" i="16"/>
  <c r="B608" i="16"/>
  <c r="B609" i="16"/>
  <c r="B610" i="16"/>
  <c r="B611" i="16"/>
  <c r="B612" i="16"/>
  <c r="B613" i="16"/>
  <c r="B614" i="16"/>
  <c r="B615" i="16"/>
  <c r="B616" i="16"/>
  <c r="B617" i="16"/>
  <c r="B618" i="16"/>
  <c r="B619" i="16"/>
  <c r="B620" i="16"/>
  <c r="B621" i="16"/>
  <c r="B622" i="16"/>
  <c r="B623" i="16"/>
  <c r="B624" i="16"/>
  <c r="B625" i="16"/>
  <c r="B626" i="16"/>
  <c r="B627" i="16"/>
  <c r="B628" i="16"/>
  <c r="B629" i="16"/>
  <c r="B630" i="16"/>
  <c r="B631" i="16"/>
  <c r="B632" i="16"/>
  <c r="B633" i="16"/>
  <c r="B634" i="16"/>
  <c r="B635" i="16"/>
  <c r="B636" i="16"/>
  <c r="B637" i="16"/>
  <c r="B638" i="16"/>
  <c r="B639" i="16"/>
  <c r="B640" i="16"/>
  <c r="B641" i="16"/>
  <c r="B642" i="16"/>
  <c r="B643" i="16"/>
  <c r="B644" i="16"/>
  <c r="B645" i="16"/>
  <c r="B646" i="16"/>
  <c r="B647" i="16"/>
  <c r="B648" i="16"/>
  <c r="B649" i="16"/>
  <c r="B650" i="16"/>
  <c r="B651" i="16"/>
  <c r="B652" i="16"/>
  <c r="B653" i="16"/>
  <c r="B654" i="16"/>
  <c r="B655" i="16"/>
  <c r="B656" i="16"/>
  <c r="B657" i="16"/>
  <c r="B658" i="16"/>
  <c r="B659" i="16"/>
  <c r="B660" i="16"/>
  <c r="B661" i="16"/>
  <c r="B662" i="16"/>
  <c r="B663" i="16"/>
  <c r="B664" i="16"/>
  <c r="B665" i="16"/>
  <c r="B666" i="16"/>
  <c r="B667" i="16"/>
  <c r="B668" i="16"/>
  <c r="B669" i="16"/>
  <c r="B670" i="16"/>
  <c r="B671" i="16"/>
  <c r="B672" i="16"/>
  <c r="B673" i="16"/>
  <c r="B674" i="16"/>
  <c r="B675" i="16"/>
  <c r="B676" i="16"/>
  <c r="B677" i="16"/>
  <c r="B678" i="16"/>
  <c r="B679" i="16"/>
  <c r="B680" i="16"/>
  <c r="B681" i="16"/>
  <c r="B682" i="16"/>
  <c r="B683" i="16"/>
  <c r="B684" i="16"/>
  <c r="B685" i="16"/>
  <c r="B686" i="16"/>
  <c r="B687" i="16"/>
  <c r="B688" i="16"/>
  <c r="B689" i="16"/>
  <c r="B690" i="16"/>
  <c r="B691" i="16"/>
  <c r="B692" i="16"/>
  <c r="B693" i="16"/>
  <c r="B694" i="16"/>
  <c r="B695" i="16"/>
  <c r="B696" i="16"/>
  <c r="B697" i="16"/>
  <c r="B698" i="16"/>
  <c r="B699" i="16"/>
  <c r="B700" i="16"/>
  <c r="B701" i="16"/>
  <c r="B702" i="16"/>
  <c r="B703" i="16"/>
  <c r="B704" i="16"/>
  <c r="B705" i="16"/>
  <c r="B706" i="16"/>
  <c r="B707" i="16"/>
  <c r="B708" i="16"/>
  <c r="B709" i="16"/>
  <c r="B710" i="16"/>
  <c r="B711" i="16"/>
  <c r="B712" i="16"/>
  <c r="B713" i="16"/>
  <c r="B714" i="16"/>
  <c r="B715" i="16"/>
  <c r="B716" i="16"/>
  <c r="B717" i="16"/>
  <c r="B718" i="16"/>
  <c r="B719" i="16"/>
  <c r="B720" i="16"/>
  <c r="B721" i="16"/>
  <c r="B722" i="16"/>
  <c r="B723" i="16"/>
  <c r="B724" i="16"/>
  <c r="B725" i="16"/>
  <c r="B726" i="16"/>
  <c r="B727" i="16"/>
  <c r="B728" i="16"/>
  <c r="B729" i="16"/>
  <c r="B730" i="16"/>
  <c r="B731" i="16"/>
  <c r="B732" i="16"/>
  <c r="B733" i="16"/>
  <c r="B734" i="16"/>
  <c r="B735" i="16"/>
  <c r="B736" i="16"/>
  <c r="B737" i="16"/>
  <c r="B738" i="16"/>
  <c r="B739" i="16"/>
  <c r="B740" i="16"/>
  <c r="B741" i="16"/>
  <c r="B742" i="16"/>
  <c r="B743" i="16"/>
  <c r="B744" i="16"/>
  <c r="B745" i="16"/>
  <c r="B746" i="16"/>
  <c r="B747" i="16"/>
  <c r="B748" i="16"/>
  <c r="B749" i="16"/>
  <c r="B750" i="16"/>
  <c r="B751" i="16"/>
  <c r="B752" i="16"/>
  <c r="B753" i="16"/>
  <c r="B754" i="16"/>
  <c r="B755" i="16"/>
  <c r="B756" i="16"/>
  <c r="B757" i="16"/>
  <c r="B758" i="16"/>
  <c r="B759" i="16"/>
  <c r="B760" i="16"/>
  <c r="B761" i="16"/>
  <c r="B762" i="16"/>
  <c r="B763" i="16"/>
  <c r="B764" i="16"/>
  <c r="B765" i="16"/>
  <c r="B766" i="16"/>
  <c r="B767" i="16"/>
  <c r="B768" i="16"/>
  <c r="B769" i="16"/>
  <c r="B770" i="16"/>
  <c r="B771" i="16"/>
  <c r="B772" i="16"/>
  <c r="B773" i="16"/>
  <c r="B774" i="16"/>
  <c r="B775" i="16"/>
  <c r="B776" i="16"/>
  <c r="B777" i="16"/>
  <c r="B778" i="16"/>
  <c r="B779" i="16"/>
  <c r="B780" i="16"/>
  <c r="B781" i="16"/>
  <c r="B782" i="16"/>
  <c r="B783" i="16"/>
  <c r="B784" i="16"/>
  <c r="B785" i="16"/>
  <c r="B786" i="16"/>
  <c r="B787" i="16"/>
  <c r="B788" i="16"/>
  <c r="B789" i="16"/>
  <c r="B790" i="16"/>
  <c r="B791" i="16"/>
  <c r="B792" i="16"/>
  <c r="B793" i="16"/>
  <c r="B794" i="16"/>
  <c r="B795" i="16"/>
  <c r="B796" i="16"/>
  <c r="B797" i="16"/>
  <c r="B798" i="16"/>
  <c r="B799" i="16"/>
  <c r="B800" i="16"/>
  <c r="B801" i="16"/>
  <c r="B802" i="16"/>
  <c r="B803" i="16"/>
  <c r="B804" i="16"/>
  <c r="B805" i="16"/>
  <c r="B806" i="16"/>
  <c r="B807" i="16"/>
  <c r="B808" i="16"/>
  <c r="B809" i="16"/>
  <c r="B810" i="16"/>
  <c r="B811" i="16"/>
  <c r="B812" i="16"/>
  <c r="B813" i="16"/>
  <c r="B814" i="16"/>
  <c r="B815" i="16"/>
  <c r="B816" i="16"/>
  <c r="B817" i="16"/>
  <c r="B818" i="16"/>
  <c r="B819" i="16"/>
  <c r="B820" i="16"/>
  <c r="B821" i="16"/>
  <c r="B822" i="16"/>
  <c r="B823" i="16"/>
  <c r="B824" i="16"/>
  <c r="B825" i="16"/>
  <c r="B826" i="16"/>
  <c r="B827" i="16"/>
  <c r="B828" i="16"/>
  <c r="B829" i="16"/>
  <c r="B830" i="16"/>
  <c r="B831" i="16"/>
  <c r="B832" i="16"/>
  <c r="B833" i="16"/>
  <c r="B834" i="16"/>
  <c r="B835" i="16"/>
  <c r="B836" i="16"/>
  <c r="B837" i="16"/>
  <c r="B838" i="16"/>
  <c r="B839" i="16"/>
  <c r="B840" i="16"/>
  <c r="B841" i="16"/>
  <c r="B842" i="16"/>
  <c r="B843" i="16"/>
  <c r="B844" i="16"/>
  <c r="B845" i="16"/>
  <c r="B846" i="16"/>
  <c r="B847" i="16"/>
  <c r="B848" i="16"/>
  <c r="B849" i="16"/>
  <c r="B850" i="16"/>
  <c r="B851" i="16"/>
  <c r="B852" i="16"/>
  <c r="B853" i="16"/>
  <c r="B854" i="16"/>
  <c r="B855" i="16"/>
  <c r="B856" i="16"/>
  <c r="B857" i="16"/>
  <c r="B858" i="16"/>
  <c r="B859" i="16"/>
  <c r="B860" i="16"/>
  <c r="B861" i="16"/>
  <c r="B862" i="16"/>
  <c r="B863" i="16"/>
  <c r="B864" i="16"/>
  <c r="B865" i="16"/>
  <c r="B866" i="16"/>
  <c r="B867" i="16"/>
  <c r="B868" i="16"/>
  <c r="B869" i="16"/>
  <c r="B870" i="16"/>
  <c r="B871" i="16"/>
  <c r="B872" i="16"/>
  <c r="B873" i="16"/>
  <c r="B874" i="16"/>
  <c r="B875" i="16"/>
  <c r="B876" i="16"/>
  <c r="B877" i="16"/>
  <c r="B878" i="16"/>
  <c r="B879" i="16"/>
  <c r="B880" i="16"/>
  <c r="B881" i="16"/>
  <c r="B882" i="16"/>
  <c r="B883" i="16"/>
  <c r="B884" i="16"/>
  <c r="B885" i="16"/>
  <c r="B886" i="16"/>
  <c r="B887" i="16"/>
  <c r="B888" i="16"/>
  <c r="B889" i="16"/>
  <c r="B890" i="16"/>
  <c r="B891" i="16"/>
  <c r="B892" i="16"/>
  <c r="B893" i="16"/>
  <c r="B894" i="16"/>
  <c r="B895" i="16"/>
  <c r="B896" i="16"/>
  <c r="B897" i="16"/>
  <c r="B898" i="16"/>
  <c r="B899" i="16"/>
  <c r="B900" i="16"/>
  <c r="B901" i="16"/>
  <c r="B902" i="16"/>
  <c r="B903" i="16"/>
  <c r="B904" i="16"/>
  <c r="B905" i="16"/>
  <c r="B906" i="16"/>
  <c r="B907" i="16"/>
  <c r="B908" i="16"/>
  <c r="B909" i="16"/>
  <c r="B910" i="16"/>
  <c r="B911" i="16"/>
  <c r="B912" i="16"/>
  <c r="B913" i="16"/>
  <c r="B914" i="16"/>
  <c r="B915" i="16"/>
  <c r="B916" i="16"/>
  <c r="B917" i="16"/>
  <c r="B918" i="16"/>
  <c r="B919" i="16"/>
  <c r="B920" i="16"/>
  <c r="B921" i="16"/>
  <c r="B922" i="16"/>
  <c r="B923" i="16"/>
  <c r="B924" i="16"/>
  <c r="B925" i="16"/>
  <c r="B926" i="16"/>
  <c r="B927" i="16"/>
  <c r="B928" i="16"/>
  <c r="B929" i="16"/>
  <c r="B930" i="16"/>
  <c r="B931" i="16"/>
  <c r="B932" i="16"/>
  <c r="B933" i="16"/>
  <c r="B934" i="16"/>
  <c r="B935" i="16"/>
  <c r="B936" i="16"/>
  <c r="B937" i="16"/>
  <c r="B938" i="16"/>
  <c r="B939" i="16"/>
  <c r="B940" i="16"/>
  <c r="B941" i="16"/>
  <c r="B942" i="16"/>
  <c r="B943" i="16"/>
  <c r="B944" i="16"/>
  <c r="B945" i="16"/>
  <c r="B946" i="16"/>
  <c r="B947" i="16"/>
  <c r="B948" i="16"/>
  <c r="B949" i="16"/>
  <c r="B950" i="16"/>
  <c r="B951" i="16"/>
  <c r="B952" i="16"/>
  <c r="B953" i="16"/>
  <c r="B954" i="16"/>
  <c r="B955" i="16"/>
  <c r="B956" i="16"/>
  <c r="B957" i="16"/>
  <c r="B958" i="16"/>
  <c r="B959" i="16"/>
  <c r="B960" i="16"/>
  <c r="B961" i="16"/>
  <c r="B962" i="16"/>
  <c r="B963" i="16"/>
  <c r="B964" i="16"/>
  <c r="B965" i="16"/>
  <c r="B966" i="16"/>
  <c r="B967" i="16"/>
  <c r="B968" i="16"/>
  <c r="B969" i="16"/>
  <c r="B970" i="16"/>
  <c r="B971" i="16"/>
  <c r="B972" i="16"/>
  <c r="B973" i="16"/>
  <c r="B974" i="16"/>
  <c r="B975" i="16"/>
  <c r="B976" i="16"/>
  <c r="B977" i="16"/>
  <c r="B978" i="16"/>
  <c r="B979" i="16"/>
  <c r="B980" i="16"/>
  <c r="B981" i="16"/>
  <c r="B982" i="16"/>
  <c r="B983" i="16"/>
  <c r="B984" i="16"/>
  <c r="B985" i="16"/>
  <c r="B986" i="16"/>
  <c r="B987" i="16"/>
  <c r="B988" i="16"/>
  <c r="B989" i="16"/>
  <c r="B990" i="16"/>
  <c r="B991" i="16"/>
  <c r="B992" i="16"/>
  <c r="B993" i="16"/>
  <c r="B994" i="16"/>
  <c r="B995" i="16"/>
  <c r="B996" i="16"/>
  <c r="B997" i="16"/>
  <c r="B998" i="16"/>
  <c r="B999" i="16"/>
  <c r="B1000" i="16"/>
  <c r="B1001" i="16"/>
  <c r="B1002" i="16"/>
  <c r="B1003" i="16"/>
  <c r="B1004" i="16"/>
  <c r="B1005" i="16"/>
  <c r="B1006" i="16"/>
  <c r="B1007" i="16"/>
  <c r="B1008" i="16"/>
  <c r="B1009" i="16"/>
  <c r="B1010" i="16"/>
  <c r="B1011" i="16"/>
  <c r="B1012" i="16"/>
  <c r="B1013" i="16"/>
  <c r="B1014" i="16"/>
  <c r="B1015" i="16"/>
  <c r="B1016" i="16"/>
  <c r="B1017" i="16"/>
  <c r="B1018" i="16"/>
  <c r="B1019" i="16"/>
  <c r="B1020" i="16"/>
  <c r="B1021" i="16"/>
  <c r="B1022" i="16"/>
  <c r="B1023" i="16"/>
  <c r="B1024" i="16"/>
  <c r="B1025" i="16"/>
  <c r="B1026" i="16"/>
  <c r="B1027" i="16"/>
  <c r="B1028" i="16"/>
  <c r="B1029" i="16"/>
  <c r="B1030" i="16"/>
  <c r="B1031" i="16"/>
  <c r="B1032" i="16"/>
  <c r="B1033" i="16"/>
  <c r="B1034" i="16"/>
  <c r="B1035" i="16"/>
  <c r="B1036" i="16"/>
  <c r="B1037" i="16"/>
  <c r="B1038" i="16"/>
  <c r="B1039" i="16"/>
  <c r="B1040" i="16"/>
  <c r="B1041" i="16"/>
  <c r="B1042" i="16"/>
  <c r="B1043" i="16"/>
  <c r="B1044" i="16"/>
  <c r="B1045" i="16"/>
  <c r="B1046" i="16"/>
  <c r="B1047" i="16"/>
  <c r="B1048" i="16"/>
  <c r="B1049" i="16"/>
  <c r="B1050" i="16"/>
  <c r="B1051" i="16"/>
  <c r="B1052" i="16"/>
  <c r="B1053" i="16"/>
  <c r="B1054" i="16"/>
  <c r="B1055" i="16"/>
  <c r="B1056" i="16"/>
  <c r="B1057" i="16"/>
  <c r="B1058" i="16"/>
  <c r="B1059" i="16"/>
  <c r="B1060" i="16"/>
  <c r="B1061" i="16"/>
  <c r="B1062" i="16"/>
  <c r="B1063" i="16"/>
  <c r="B1064" i="16"/>
  <c r="B1065" i="16"/>
  <c r="B1066" i="16"/>
  <c r="B1067" i="16"/>
  <c r="B1068" i="16"/>
  <c r="B1069" i="16"/>
  <c r="B1070" i="16"/>
  <c r="B1071" i="16"/>
  <c r="B1072" i="16"/>
  <c r="B1073" i="16"/>
  <c r="B1074" i="16"/>
  <c r="B1075" i="16"/>
  <c r="B1076" i="16"/>
  <c r="B1077" i="16"/>
  <c r="B1078" i="16"/>
  <c r="B1079" i="16"/>
  <c r="B1080" i="16"/>
  <c r="B1081" i="16"/>
  <c r="B1082" i="16"/>
  <c r="B1083" i="16"/>
  <c r="B1084" i="16"/>
  <c r="B1085" i="16"/>
  <c r="B1086" i="16"/>
  <c r="B1087" i="16"/>
  <c r="B1088" i="16"/>
  <c r="B1089" i="16"/>
  <c r="B1090" i="16"/>
  <c r="B1091" i="16"/>
  <c r="B1092" i="16"/>
  <c r="B1093" i="16"/>
  <c r="B1094" i="16"/>
  <c r="B1095" i="16"/>
  <c r="B1096" i="16"/>
  <c r="B1097" i="16"/>
  <c r="B1098" i="16"/>
  <c r="B1099" i="16"/>
  <c r="B1100" i="16"/>
  <c r="B1101" i="16"/>
  <c r="B1102" i="16"/>
  <c r="B1103" i="16"/>
  <c r="B1104" i="16"/>
  <c r="B1105" i="16"/>
  <c r="B1106" i="16"/>
  <c r="B1107" i="16"/>
  <c r="B1108" i="16"/>
  <c r="B1109" i="16"/>
  <c r="B1110" i="16"/>
  <c r="B1111" i="16"/>
  <c r="B1112" i="16"/>
  <c r="B1113" i="16"/>
  <c r="B1114" i="16"/>
  <c r="B1115" i="16"/>
  <c r="B1116" i="16"/>
  <c r="B1117" i="16"/>
  <c r="B1118" i="16"/>
  <c r="B1119" i="16"/>
  <c r="B1120" i="16"/>
  <c r="B1121" i="16"/>
  <c r="B1122" i="16"/>
  <c r="B1123" i="16"/>
  <c r="B1124" i="16"/>
  <c r="B1125" i="16"/>
  <c r="B1126" i="16"/>
  <c r="B1127" i="16"/>
  <c r="B1128" i="16"/>
  <c r="B1129" i="16"/>
  <c r="B1130" i="16"/>
  <c r="B1131" i="16"/>
  <c r="B1132" i="16"/>
  <c r="B1133" i="16"/>
  <c r="B1134" i="16"/>
  <c r="B1135" i="16"/>
  <c r="B1136" i="16"/>
  <c r="B1137" i="16"/>
  <c r="B1138" i="16"/>
  <c r="B1139" i="16"/>
  <c r="B1140" i="16"/>
  <c r="B1141" i="16"/>
  <c r="B1142" i="16"/>
  <c r="B1143" i="16"/>
  <c r="B1144" i="16"/>
  <c r="B1145" i="16"/>
  <c r="B1146" i="16"/>
  <c r="B1147" i="16"/>
  <c r="B1148" i="16"/>
  <c r="B1149" i="16"/>
  <c r="B1150" i="16"/>
  <c r="B1151" i="16"/>
  <c r="B1152" i="16"/>
  <c r="B1153" i="16"/>
  <c r="B1154" i="16"/>
  <c r="B1155" i="16"/>
  <c r="B1156" i="16"/>
  <c r="B1157" i="16"/>
  <c r="B1158" i="16"/>
  <c r="B1159" i="16"/>
  <c r="B1160" i="16"/>
  <c r="B1161" i="16"/>
  <c r="B1162" i="16"/>
  <c r="B1163" i="16"/>
  <c r="B1164" i="16"/>
  <c r="B1165" i="16"/>
  <c r="B1166" i="16"/>
  <c r="B1167" i="16"/>
  <c r="B1168" i="16"/>
  <c r="B1169" i="16"/>
  <c r="B1170" i="16"/>
  <c r="B1171" i="16"/>
  <c r="B1172" i="16"/>
  <c r="B1173" i="16"/>
  <c r="B1174" i="16"/>
  <c r="B1175" i="16"/>
  <c r="B1176" i="16"/>
  <c r="B1177" i="16"/>
  <c r="B1178" i="16"/>
  <c r="B1179" i="16"/>
  <c r="B1180" i="16"/>
  <c r="B1181" i="16"/>
  <c r="B1182" i="16"/>
  <c r="B1183" i="16"/>
  <c r="B1184" i="16"/>
  <c r="B1185" i="16"/>
  <c r="B1186" i="16"/>
  <c r="B1187" i="16"/>
  <c r="B1188" i="16"/>
  <c r="B1189" i="16"/>
  <c r="B1190" i="16"/>
  <c r="B1191" i="16"/>
  <c r="B1192" i="16"/>
  <c r="B1193" i="16"/>
  <c r="B1194" i="16"/>
  <c r="B1195" i="16"/>
  <c r="B1196" i="16"/>
  <c r="B1197" i="16"/>
  <c r="B1198" i="16"/>
  <c r="B1199" i="16"/>
  <c r="B1200" i="16"/>
  <c r="B1201" i="16"/>
  <c r="B1202" i="16"/>
  <c r="B1203" i="16"/>
  <c r="B1204" i="16"/>
  <c r="B1205" i="16"/>
  <c r="B1206" i="16"/>
  <c r="B1207" i="16"/>
  <c r="B1208" i="16"/>
  <c r="B1209" i="16"/>
  <c r="B1210" i="16"/>
  <c r="B1211" i="16"/>
  <c r="B1212" i="16"/>
  <c r="B1213" i="16"/>
  <c r="B1214" i="16"/>
  <c r="B1215" i="16"/>
  <c r="B1216" i="16"/>
  <c r="B1217" i="16"/>
  <c r="B1218" i="16"/>
  <c r="B1219" i="16"/>
  <c r="B1220" i="16"/>
  <c r="B1221" i="16"/>
  <c r="B1222" i="16"/>
  <c r="B1223" i="16"/>
  <c r="B1224" i="16"/>
  <c r="B1225" i="16"/>
  <c r="B1226" i="16"/>
  <c r="B1227" i="16"/>
  <c r="B1228" i="16"/>
  <c r="B1229" i="16"/>
  <c r="B1230" i="16"/>
  <c r="B1231" i="16"/>
  <c r="B1232" i="16"/>
  <c r="B1233" i="16"/>
  <c r="B1234" i="16"/>
  <c r="B1235" i="16"/>
  <c r="B1236" i="16"/>
  <c r="B1237" i="16"/>
  <c r="B1238" i="16"/>
  <c r="B1239" i="16"/>
  <c r="B1240" i="16"/>
  <c r="B1241" i="16"/>
  <c r="B1242" i="16"/>
  <c r="B1243" i="16"/>
  <c r="B1244" i="16"/>
  <c r="B1245" i="16"/>
  <c r="B1246" i="16"/>
  <c r="B1247" i="16"/>
  <c r="B1248" i="16"/>
  <c r="B1249" i="16"/>
  <c r="B1250" i="16"/>
  <c r="B1251" i="16"/>
  <c r="B1252" i="16"/>
  <c r="B1253" i="16"/>
  <c r="B1254" i="16"/>
  <c r="B1255" i="16"/>
  <c r="B1256" i="16"/>
  <c r="B1257" i="16"/>
  <c r="B1258" i="16"/>
  <c r="B1259" i="16"/>
  <c r="B1260" i="16"/>
  <c r="B1261" i="16"/>
  <c r="B1262" i="16"/>
  <c r="B1263" i="16"/>
  <c r="B1264" i="16"/>
  <c r="B1265" i="16"/>
  <c r="B1266" i="16"/>
  <c r="B1267" i="16"/>
  <c r="B1268" i="16"/>
  <c r="B1269" i="16"/>
  <c r="B1270" i="16"/>
  <c r="B1271" i="16"/>
  <c r="B1272" i="16"/>
  <c r="B1273" i="16"/>
  <c r="B1274" i="16"/>
  <c r="B1275" i="16"/>
  <c r="B1276" i="16"/>
  <c r="B1277" i="16"/>
  <c r="B1278" i="16"/>
  <c r="B1279" i="16"/>
  <c r="B1280" i="16"/>
  <c r="B1281" i="16"/>
  <c r="B1282" i="16"/>
  <c r="B1283" i="16"/>
  <c r="B1284" i="16"/>
  <c r="B1285" i="16"/>
  <c r="B1286" i="16"/>
  <c r="B1287" i="16"/>
  <c r="B1288" i="16"/>
  <c r="B1289" i="16"/>
  <c r="B1290" i="16"/>
  <c r="B1291" i="16"/>
  <c r="B1292" i="16"/>
  <c r="B1293" i="16"/>
  <c r="B1294" i="16"/>
  <c r="B1295" i="16"/>
  <c r="B1296" i="16"/>
  <c r="B1297" i="16"/>
  <c r="B1298" i="16"/>
  <c r="B1299" i="16"/>
  <c r="B1300" i="16"/>
  <c r="B1301" i="16"/>
  <c r="B1302" i="16"/>
  <c r="B1303" i="16"/>
  <c r="B1304" i="16"/>
  <c r="B1305" i="16"/>
  <c r="B1306" i="16"/>
  <c r="B1307" i="16"/>
  <c r="B1308" i="16"/>
  <c r="B1309" i="16"/>
  <c r="B1310" i="16"/>
  <c r="B1311" i="16"/>
  <c r="B1312" i="16"/>
  <c r="B1313" i="16"/>
  <c r="B1314" i="16"/>
  <c r="B1315" i="16"/>
  <c r="B1316" i="16"/>
  <c r="B1317" i="16"/>
  <c r="B1318" i="16"/>
  <c r="B1319" i="16"/>
  <c r="B1320" i="16"/>
  <c r="B1321" i="16"/>
  <c r="B1322" i="16"/>
  <c r="B1323" i="16"/>
  <c r="B1324" i="16"/>
  <c r="B1325" i="16"/>
  <c r="B1326" i="16"/>
  <c r="B1327" i="16"/>
  <c r="B1328" i="16"/>
  <c r="B1329" i="16"/>
  <c r="B1330" i="16"/>
  <c r="B1331" i="16"/>
  <c r="B1332" i="16"/>
  <c r="B1333" i="16"/>
  <c r="B1334" i="16"/>
  <c r="B1335" i="16"/>
  <c r="B1336" i="16"/>
  <c r="B1337" i="16"/>
  <c r="B1338" i="16"/>
  <c r="B1339" i="16"/>
  <c r="B1340" i="16"/>
  <c r="B1341" i="16"/>
  <c r="B1342" i="16"/>
  <c r="B1343" i="16"/>
  <c r="B1344" i="16"/>
  <c r="B1345" i="16"/>
  <c r="B1346" i="16"/>
  <c r="B1347" i="16"/>
  <c r="B1348" i="16"/>
  <c r="B1349" i="16"/>
  <c r="B1350" i="16"/>
  <c r="B1351" i="16"/>
  <c r="B1352" i="16"/>
  <c r="B1353" i="16"/>
  <c r="B1354" i="16"/>
  <c r="B1355" i="16"/>
  <c r="B1356" i="16"/>
  <c r="B1357" i="16"/>
  <c r="B1358" i="16"/>
  <c r="B1359" i="16"/>
  <c r="B1360" i="16"/>
  <c r="B1361" i="16"/>
  <c r="B1362" i="16"/>
  <c r="B1363" i="16"/>
  <c r="B1364" i="16"/>
  <c r="B1365" i="16"/>
  <c r="B1366" i="16"/>
  <c r="B1367" i="16"/>
  <c r="B1368" i="16"/>
  <c r="B1369" i="16"/>
  <c r="B1370" i="16"/>
  <c r="B1371" i="16"/>
  <c r="B1372" i="16"/>
  <c r="B1373" i="16"/>
  <c r="B1374" i="16"/>
  <c r="B1375" i="16"/>
  <c r="B1376" i="16"/>
  <c r="B1377" i="16"/>
  <c r="B1378" i="16"/>
  <c r="B1379" i="16"/>
  <c r="B1380" i="16"/>
  <c r="B1381" i="16"/>
  <c r="B1382" i="16"/>
  <c r="B1383" i="16"/>
  <c r="B1384" i="16"/>
  <c r="B1385" i="16"/>
  <c r="B1386" i="16"/>
  <c r="B1387" i="16"/>
  <c r="B1388" i="16"/>
  <c r="B1389" i="16"/>
  <c r="B1390" i="16"/>
  <c r="B1391" i="16"/>
  <c r="B1392" i="16"/>
  <c r="B1393" i="16"/>
  <c r="B1394" i="16"/>
  <c r="B1395" i="16"/>
  <c r="B1396" i="16"/>
  <c r="B1397" i="16"/>
  <c r="B1398" i="16"/>
  <c r="B1399" i="16"/>
  <c r="B1400" i="16"/>
  <c r="B1401" i="16"/>
  <c r="B1402" i="16"/>
  <c r="B1403" i="16"/>
  <c r="B1404" i="16"/>
  <c r="B1405" i="16"/>
  <c r="B1406" i="16"/>
  <c r="B1407" i="16"/>
  <c r="B1408" i="16"/>
  <c r="B1409" i="16"/>
  <c r="B1410" i="16"/>
  <c r="B1411" i="16"/>
  <c r="B1412" i="16"/>
  <c r="B1413" i="16"/>
  <c r="B1414" i="16"/>
  <c r="B1415" i="16"/>
  <c r="B1416" i="16"/>
  <c r="B1417" i="16"/>
  <c r="B1418" i="16"/>
  <c r="B1419" i="16"/>
  <c r="B1420" i="16"/>
  <c r="B1421" i="16"/>
  <c r="B1422" i="16"/>
  <c r="B1423" i="16"/>
  <c r="B1424" i="16"/>
  <c r="B1425" i="16"/>
  <c r="B1426" i="16"/>
  <c r="B1427" i="16"/>
  <c r="B1428" i="16"/>
  <c r="B1429" i="16"/>
  <c r="B1430" i="16"/>
  <c r="B1431" i="16"/>
  <c r="B1432" i="16"/>
  <c r="B1433" i="16"/>
  <c r="B1434" i="16"/>
  <c r="B1435" i="16"/>
  <c r="B1436" i="16"/>
  <c r="B1437" i="16"/>
  <c r="B1438" i="16"/>
  <c r="B1439" i="16"/>
  <c r="B1440" i="16"/>
  <c r="B1441" i="16"/>
  <c r="B1442" i="16"/>
  <c r="B1443" i="16"/>
  <c r="B1444" i="16"/>
  <c r="B1445" i="16"/>
  <c r="B1446" i="16"/>
  <c r="B1447" i="16"/>
  <c r="B1448" i="16"/>
  <c r="B1449" i="16"/>
  <c r="B1450" i="16"/>
  <c r="B1451" i="16"/>
  <c r="B1452" i="16"/>
  <c r="B1453" i="16"/>
  <c r="B1454" i="16"/>
  <c r="B1455" i="16"/>
  <c r="B1456" i="16"/>
  <c r="B1457" i="16"/>
  <c r="B1458" i="16"/>
  <c r="B1459" i="16"/>
  <c r="B1460" i="16"/>
  <c r="B1461" i="16"/>
  <c r="B1462" i="16"/>
  <c r="B1463" i="16"/>
  <c r="B1464" i="16"/>
  <c r="B1465" i="16"/>
  <c r="B1466" i="16"/>
  <c r="B1467" i="16"/>
  <c r="B1468" i="16"/>
  <c r="B1469" i="16"/>
  <c r="B1470" i="16"/>
  <c r="B1471" i="16"/>
  <c r="B1472" i="16"/>
  <c r="B1473" i="16"/>
  <c r="B1474" i="16"/>
  <c r="B1475" i="16"/>
  <c r="B1476" i="16"/>
  <c r="B1477" i="16"/>
  <c r="B1478" i="16"/>
  <c r="B1479" i="16"/>
  <c r="B1480" i="16"/>
  <c r="B1481" i="16"/>
  <c r="B1482" i="16"/>
  <c r="B1483" i="16"/>
  <c r="B1484" i="16"/>
  <c r="B1485" i="16"/>
  <c r="B1486" i="16"/>
  <c r="B1487" i="16"/>
  <c r="B1488" i="16"/>
  <c r="B1489" i="16"/>
  <c r="B1490" i="16"/>
  <c r="B1491" i="16"/>
  <c r="B1492" i="16"/>
  <c r="B1493" i="16"/>
  <c r="B1494" i="16"/>
  <c r="B1495" i="16"/>
  <c r="B1496" i="16"/>
  <c r="B1497" i="16"/>
  <c r="B1498" i="16"/>
  <c r="B1499" i="16"/>
  <c r="B1500" i="16"/>
  <c r="B1501" i="16"/>
  <c r="B1502" i="16"/>
  <c r="B1503" i="16"/>
  <c r="B1504" i="16"/>
  <c r="B1505" i="16"/>
  <c r="B1506" i="16"/>
  <c r="B1507" i="16"/>
  <c r="B1508" i="16"/>
  <c r="B1509" i="16"/>
  <c r="B1510" i="16"/>
  <c r="B1511" i="16"/>
  <c r="B1512" i="16"/>
  <c r="B1513" i="16"/>
  <c r="B1514" i="16"/>
  <c r="B1515" i="16"/>
  <c r="B1516" i="16"/>
  <c r="B1517" i="16"/>
  <c r="B1518" i="16"/>
  <c r="B1519" i="16"/>
  <c r="B1520" i="16"/>
  <c r="B1521" i="16"/>
  <c r="B1522" i="16"/>
  <c r="B1523" i="16"/>
  <c r="B1524" i="16"/>
  <c r="B1525" i="16"/>
  <c r="B1526" i="16"/>
  <c r="B1527" i="16"/>
  <c r="B1528" i="16"/>
  <c r="B1529" i="16"/>
  <c r="B1530" i="16"/>
  <c r="B1531" i="16"/>
  <c r="B1532" i="16"/>
  <c r="B1533" i="16"/>
  <c r="B1534" i="16"/>
  <c r="B1535" i="16"/>
  <c r="B1536" i="16"/>
  <c r="B1537" i="16"/>
  <c r="B1538" i="16"/>
  <c r="B1539" i="16"/>
  <c r="B1540" i="16"/>
  <c r="B1541" i="16"/>
  <c r="B1542" i="16"/>
  <c r="B1543" i="16"/>
  <c r="B1544" i="16"/>
  <c r="B1545" i="16"/>
  <c r="B1546" i="16"/>
  <c r="B1547" i="16"/>
  <c r="B1548" i="16"/>
  <c r="B1549" i="16"/>
  <c r="B1550" i="16"/>
  <c r="B1551" i="16"/>
  <c r="B1552" i="16"/>
  <c r="B1553" i="16"/>
  <c r="B1554" i="16"/>
  <c r="B1555" i="16"/>
  <c r="B1556" i="16"/>
  <c r="B1557" i="16"/>
  <c r="B1558" i="16"/>
  <c r="B1559" i="16"/>
  <c r="B1560" i="16"/>
  <c r="B1561" i="16"/>
  <c r="B1562" i="16"/>
  <c r="B1563" i="16"/>
  <c r="B1564" i="16"/>
  <c r="B1565" i="16"/>
  <c r="B1566" i="16"/>
  <c r="B1567" i="16"/>
  <c r="B1568" i="16"/>
  <c r="B1569" i="16"/>
  <c r="B1570" i="16"/>
  <c r="B1571" i="16"/>
  <c r="B1572" i="16"/>
  <c r="B1573" i="16"/>
  <c r="B1574" i="16"/>
  <c r="B1575" i="16"/>
  <c r="B1576" i="16"/>
  <c r="B1577" i="16"/>
  <c r="B1578" i="16"/>
  <c r="B1579" i="16"/>
  <c r="B1580" i="16"/>
  <c r="B1581" i="16"/>
  <c r="B1582" i="16"/>
  <c r="B1583" i="16"/>
  <c r="B1584" i="16"/>
  <c r="B1585" i="16"/>
  <c r="B1586" i="16"/>
  <c r="B1587" i="16"/>
  <c r="B1588" i="16"/>
  <c r="B1589" i="16"/>
  <c r="B1590" i="16"/>
  <c r="B1591" i="16"/>
  <c r="B1592" i="16"/>
  <c r="B1593" i="16"/>
  <c r="B1594" i="16"/>
  <c r="B1595" i="16"/>
  <c r="B1596" i="16"/>
  <c r="B1597" i="16"/>
  <c r="B1598" i="16"/>
  <c r="B1599" i="16"/>
  <c r="B1600" i="16"/>
  <c r="B1601" i="16"/>
  <c r="B1602" i="16"/>
  <c r="B1603" i="16"/>
  <c r="B1604" i="16"/>
  <c r="B1605" i="16"/>
  <c r="B1606" i="16"/>
  <c r="B1607" i="16"/>
  <c r="B1608" i="16"/>
  <c r="B1609" i="16"/>
  <c r="B1610" i="16"/>
  <c r="B1611" i="16"/>
  <c r="B1612" i="16"/>
  <c r="B1613" i="16"/>
  <c r="B1614" i="16"/>
  <c r="B1615" i="16"/>
  <c r="B1616" i="16"/>
  <c r="B1617" i="16"/>
  <c r="B1618" i="16"/>
  <c r="B1619" i="16"/>
  <c r="B1620" i="16"/>
  <c r="B1621" i="16"/>
  <c r="B1622" i="16"/>
  <c r="B1623" i="16"/>
  <c r="B1624" i="16"/>
  <c r="B1625" i="16"/>
  <c r="B1626" i="16"/>
  <c r="B1627" i="16"/>
  <c r="B1628" i="16"/>
  <c r="B1629" i="16"/>
  <c r="B1630" i="16"/>
  <c r="B1631" i="16"/>
  <c r="B1632" i="16"/>
  <c r="B1633" i="16"/>
  <c r="B1634" i="16"/>
  <c r="B1635" i="16"/>
  <c r="B1636" i="16"/>
  <c r="B1637" i="16"/>
  <c r="B1638" i="16"/>
  <c r="B1639" i="16"/>
  <c r="B1640" i="16"/>
  <c r="B1641" i="16"/>
  <c r="B1642" i="16"/>
  <c r="B1643" i="16"/>
  <c r="B1644" i="16"/>
  <c r="B1645" i="16"/>
  <c r="B1646" i="16"/>
  <c r="B1647" i="16"/>
  <c r="B1648" i="16"/>
  <c r="B1649" i="16"/>
  <c r="B1650" i="16"/>
  <c r="B1651" i="16"/>
  <c r="B1652" i="16"/>
  <c r="B1653" i="16"/>
  <c r="B1654" i="16"/>
  <c r="B1655" i="16"/>
  <c r="B1656" i="16"/>
  <c r="B1657" i="16"/>
  <c r="B1658" i="16"/>
  <c r="B1659" i="16"/>
  <c r="B1660" i="16"/>
  <c r="B1661" i="16"/>
  <c r="B1662" i="16"/>
  <c r="B1663" i="16"/>
  <c r="B1664" i="16"/>
  <c r="B1665" i="16"/>
  <c r="B1666" i="16"/>
  <c r="B1667" i="16"/>
  <c r="B1668" i="16"/>
  <c r="B1669" i="16"/>
  <c r="B1670" i="16"/>
  <c r="B1671" i="16"/>
  <c r="B1672" i="16"/>
  <c r="B1673" i="16"/>
  <c r="B1674" i="16"/>
  <c r="B1675" i="16"/>
  <c r="B1676" i="16"/>
  <c r="B1677" i="16"/>
  <c r="B1678" i="16"/>
  <c r="B1679" i="16"/>
  <c r="B1680" i="16"/>
  <c r="B1681" i="16"/>
  <c r="B1682" i="16"/>
  <c r="B1683" i="16"/>
  <c r="B1684" i="16"/>
  <c r="B1685" i="16"/>
  <c r="B1686" i="16"/>
  <c r="B1687" i="16"/>
  <c r="B1688" i="16"/>
  <c r="B1689" i="16"/>
  <c r="B1690" i="16"/>
  <c r="B1691" i="16"/>
  <c r="B1692" i="16"/>
  <c r="B1693" i="16"/>
  <c r="B1694" i="16"/>
  <c r="B1695" i="16"/>
  <c r="B1696" i="16"/>
  <c r="B1697" i="16"/>
  <c r="B1698" i="16"/>
  <c r="B1699" i="16"/>
  <c r="B1700" i="16"/>
  <c r="B1701" i="16"/>
  <c r="B1702" i="16"/>
  <c r="B1703" i="16"/>
  <c r="B1704" i="16"/>
  <c r="B1705" i="16"/>
  <c r="B1706" i="16"/>
  <c r="B1707" i="16"/>
  <c r="B1708" i="16"/>
  <c r="B1709" i="16"/>
  <c r="B1710" i="16"/>
  <c r="B1711" i="16"/>
  <c r="B1712" i="16"/>
  <c r="B1713" i="16"/>
  <c r="B1714" i="16"/>
  <c r="B1715" i="16"/>
  <c r="B1716" i="16"/>
  <c r="B1717" i="16"/>
  <c r="B1718" i="16"/>
  <c r="B1719" i="16"/>
  <c r="B1720" i="16"/>
  <c r="B1721" i="16"/>
  <c r="B1722" i="16"/>
  <c r="B1723" i="16"/>
  <c r="B1724" i="16"/>
  <c r="B1725" i="16"/>
  <c r="B1726" i="16"/>
  <c r="B1727" i="16"/>
  <c r="B1728" i="16"/>
  <c r="B1729" i="16"/>
  <c r="B1730" i="16"/>
  <c r="B1731" i="16"/>
  <c r="B1732" i="16"/>
  <c r="B1733" i="16"/>
  <c r="B1734" i="16"/>
  <c r="B1735" i="16"/>
  <c r="B1736" i="16"/>
  <c r="B1737" i="16"/>
  <c r="B1738" i="16"/>
  <c r="B1739" i="16"/>
  <c r="B1740" i="16"/>
  <c r="B1741" i="16"/>
  <c r="B1742" i="16"/>
  <c r="B1743" i="16"/>
  <c r="B1744" i="16"/>
  <c r="B1745" i="16"/>
  <c r="B1746" i="16"/>
  <c r="B1747" i="16"/>
  <c r="B1748" i="16"/>
  <c r="B1749" i="16"/>
  <c r="B1750" i="16"/>
  <c r="B1751" i="16"/>
  <c r="B1752" i="16"/>
  <c r="B1753" i="16"/>
  <c r="B1754" i="16"/>
  <c r="B1755" i="16"/>
  <c r="B1756" i="16"/>
  <c r="B1757" i="16"/>
  <c r="B1758" i="16"/>
  <c r="B1759" i="16"/>
  <c r="B1760" i="16"/>
  <c r="B1761" i="16"/>
  <c r="B1762" i="16"/>
  <c r="B1763" i="16"/>
  <c r="B1764" i="16"/>
  <c r="B1765" i="16"/>
  <c r="B1766" i="16"/>
  <c r="B1767" i="16"/>
  <c r="B1768" i="16"/>
  <c r="B1769" i="16"/>
  <c r="B1770" i="16"/>
  <c r="B1771" i="16"/>
  <c r="B1772" i="16"/>
  <c r="B1773" i="16"/>
  <c r="B1774" i="16"/>
  <c r="B1775" i="16"/>
  <c r="B1776" i="16"/>
  <c r="B1777" i="16"/>
  <c r="B1778" i="16"/>
  <c r="B1779" i="16"/>
  <c r="B1780" i="16"/>
  <c r="B1781" i="16"/>
  <c r="B1782" i="16"/>
  <c r="B1783" i="16"/>
  <c r="B1784" i="16"/>
  <c r="B1785" i="16"/>
  <c r="B1786" i="16"/>
  <c r="B1787" i="16"/>
  <c r="B1788" i="16"/>
  <c r="B1789" i="16"/>
  <c r="B1790" i="16"/>
  <c r="B1791" i="16"/>
  <c r="B1792" i="16"/>
  <c r="B1793" i="16"/>
  <c r="B1794" i="16"/>
  <c r="B1795" i="16"/>
  <c r="B1796" i="16"/>
  <c r="B1797" i="16"/>
  <c r="B1798" i="16"/>
  <c r="B1799" i="16"/>
  <c r="B1800" i="16"/>
  <c r="B1801" i="16"/>
  <c r="B1802" i="16"/>
  <c r="B1803" i="16"/>
  <c r="B1804" i="16"/>
  <c r="B1805" i="16"/>
  <c r="B1806" i="16"/>
  <c r="B1807" i="16"/>
  <c r="B1808" i="16"/>
  <c r="B1809" i="16"/>
  <c r="B1810" i="16"/>
  <c r="B1811" i="16"/>
  <c r="B1812" i="16"/>
  <c r="B1813" i="16"/>
  <c r="B1814" i="16"/>
  <c r="B1815" i="16"/>
  <c r="B1816" i="16"/>
  <c r="B1817" i="16"/>
  <c r="B1818" i="16"/>
  <c r="B1819" i="16"/>
  <c r="B1820" i="16"/>
  <c r="B1821" i="16"/>
  <c r="B1822" i="16"/>
  <c r="B1823" i="16"/>
  <c r="B1824" i="16"/>
  <c r="B1825" i="16"/>
  <c r="B1826" i="16"/>
  <c r="B1827" i="16"/>
  <c r="B1828" i="16"/>
  <c r="B1829" i="16"/>
  <c r="B1830" i="16"/>
  <c r="B1831" i="16"/>
  <c r="B1832" i="16"/>
  <c r="B1833" i="16"/>
  <c r="B1834" i="16"/>
  <c r="B1835" i="16"/>
  <c r="B1836" i="16"/>
  <c r="B1837" i="16"/>
  <c r="B1838" i="16"/>
  <c r="B1839" i="16"/>
  <c r="B1840" i="16"/>
  <c r="B1841" i="16"/>
  <c r="B1842" i="16"/>
  <c r="B1843" i="16"/>
  <c r="B1844" i="16"/>
  <c r="B1845" i="16"/>
  <c r="B1846" i="16"/>
  <c r="B1847" i="16"/>
  <c r="B1848" i="16"/>
  <c r="B1849" i="16"/>
  <c r="B1850" i="16"/>
  <c r="B1851" i="16"/>
  <c r="B1852" i="16"/>
  <c r="B1853" i="16"/>
  <c r="B1854" i="16"/>
  <c r="B1855" i="16"/>
  <c r="B1856" i="16"/>
  <c r="B1857" i="16"/>
  <c r="B1858" i="16"/>
  <c r="B1859" i="16"/>
  <c r="B1860" i="16"/>
  <c r="B1861" i="16"/>
  <c r="B1862" i="16"/>
  <c r="B1863" i="16"/>
  <c r="B1864" i="16"/>
  <c r="B1865" i="16"/>
  <c r="B1866" i="16"/>
  <c r="B1867" i="16"/>
  <c r="B1868" i="16"/>
  <c r="B1869" i="16"/>
  <c r="B1870" i="16"/>
  <c r="B1871" i="16"/>
  <c r="B1872" i="16"/>
  <c r="B1873" i="16"/>
  <c r="B1874" i="16"/>
  <c r="B1875" i="16"/>
  <c r="B1876" i="16"/>
  <c r="B1877" i="16"/>
  <c r="B1878" i="16"/>
  <c r="B1879" i="16"/>
  <c r="B1880" i="16"/>
  <c r="B1881" i="16"/>
  <c r="B1882" i="16"/>
  <c r="B1883" i="16"/>
  <c r="B1884" i="16"/>
  <c r="B1885" i="16"/>
  <c r="B1886" i="16"/>
  <c r="B1887" i="16"/>
  <c r="B1888" i="16"/>
  <c r="B1889" i="16"/>
  <c r="B1890" i="16"/>
  <c r="B1891" i="16"/>
  <c r="B1892" i="16"/>
  <c r="B1893" i="16"/>
  <c r="B1894" i="16"/>
  <c r="B1895" i="16"/>
  <c r="B1896" i="16"/>
  <c r="B1897" i="16"/>
  <c r="B1898" i="16"/>
  <c r="B1899" i="16"/>
  <c r="B1900" i="16"/>
  <c r="B1901" i="16"/>
  <c r="B1902" i="16"/>
  <c r="B1903" i="16"/>
  <c r="B1904" i="16"/>
  <c r="B1905" i="16"/>
  <c r="B1906" i="16"/>
  <c r="B1907" i="16"/>
  <c r="B1908" i="16"/>
  <c r="B1909" i="16"/>
  <c r="B1910" i="16"/>
  <c r="B1911" i="16"/>
  <c r="B1912" i="16"/>
  <c r="B1913" i="16"/>
  <c r="B1914" i="16"/>
  <c r="B1915" i="16"/>
  <c r="B1916" i="16"/>
  <c r="B1917" i="16"/>
  <c r="B1918" i="16"/>
  <c r="B1919" i="16"/>
  <c r="B1920" i="16"/>
  <c r="B1921" i="16"/>
  <c r="B1922" i="16"/>
  <c r="B1923" i="16"/>
  <c r="B1924" i="16"/>
  <c r="B1925" i="16"/>
  <c r="B1926" i="16"/>
  <c r="B1927" i="16"/>
  <c r="B1928" i="16"/>
  <c r="B1929" i="16"/>
  <c r="B1930" i="16"/>
  <c r="B1931" i="16"/>
  <c r="B1932" i="16"/>
  <c r="B1933" i="16"/>
  <c r="B1934" i="16"/>
  <c r="B1935" i="16"/>
  <c r="B1936" i="16"/>
  <c r="B1937" i="16"/>
  <c r="B1938" i="16"/>
  <c r="B1939" i="16"/>
  <c r="B1940" i="16"/>
  <c r="B1941" i="16"/>
  <c r="B1942" i="16"/>
  <c r="B1943" i="16"/>
  <c r="B1944" i="16"/>
  <c r="B1945" i="16"/>
  <c r="B1946" i="16"/>
  <c r="B1947" i="16"/>
  <c r="B1948" i="16"/>
  <c r="B1949" i="16"/>
  <c r="B1950" i="16"/>
  <c r="B1951" i="16"/>
  <c r="B1952" i="16"/>
  <c r="B1953" i="16"/>
  <c r="B1954" i="16"/>
  <c r="B1955" i="16"/>
  <c r="B1956" i="16"/>
  <c r="B1957" i="16"/>
  <c r="B1958" i="16"/>
  <c r="B1959" i="16"/>
  <c r="B1960" i="16"/>
  <c r="B1961" i="16"/>
  <c r="B1962" i="16"/>
  <c r="B1963" i="16"/>
  <c r="B1964" i="16"/>
  <c r="B1965" i="16"/>
  <c r="B1966" i="16"/>
  <c r="B1967" i="16"/>
  <c r="B1968" i="16"/>
  <c r="B1969" i="16"/>
  <c r="B1970" i="16"/>
  <c r="B1971" i="16"/>
  <c r="B1972" i="16"/>
  <c r="B1973" i="16"/>
  <c r="B1974" i="16"/>
  <c r="B1975" i="16"/>
  <c r="B1976" i="16"/>
  <c r="B1977" i="16"/>
  <c r="B1978" i="16"/>
  <c r="B1979" i="16"/>
  <c r="B1980" i="16"/>
  <c r="B1981" i="16"/>
  <c r="B1982" i="16"/>
  <c r="B1983" i="16"/>
  <c r="B1984" i="16"/>
  <c r="B1985" i="16"/>
  <c r="B1986" i="16"/>
  <c r="B1987" i="16"/>
  <c r="B1988" i="16"/>
  <c r="B1989" i="16"/>
  <c r="B1990" i="16"/>
  <c r="B1991" i="16"/>
  <c r="B1992" i="16"/>
  <c r="B1993" i="16"/>
  <c r="B1994" i="16"/>
  <c r="B1995" i="16"/>
  <c r="B1996" i="16"/>
  <c r="B1997" i="16"/>
  <c r="B1998" i="16"/>
  <c r="B1999" i="16"/>
  <c r="B2000" i="16"/>
  <c r="B2001" i="16"/>
  <c r="B2002" i="16"/>
  <c r="B2003" i="16"/>
  <c r="B2004" i="16"/>
  <c r="B2005" i="16"/>
  <c r="B2006" i="16"/>
  <c r="B2007" i="16"/>
  <c r="B2008" i="16"/>
  <c r="B2009" i="16"/>
  <c r="B2010" i="16"/>
  <c r="B2011" i="16"/>
  <c r="B2012" i="16"/>
  <c r="B2013" i="16"/>
  <c r="B2014" i="16"/>
  <c r="B2015" i="16"/>
  <c r="B2016" i="16"/>
  <c r="B2017" i="16"/>
  <c r="B2018" i="16"/>
  <c r="B2019" i="16"/>
  <c r="B2020" i="16"/>
  <c r="B2021" i="16"/>
  <c r="B2022" i="16"/>
  <c r="B2023" i="16"/>
  <c r="B2024" i="16"/>
  <c r="B2025" i="16"/>
  <c r="B2026" i="16"/>
  <c r="B2027" i="16"/>
  <c r="B2028" i="16"/>
  <c r="B2029" i="16"/>
  <c r="B2030" i="16"/>
  <c r="B2031" i="16"/>
  <c r="B2032" i="16"/>
  <c r="B2033" i="16"/>
  <c r="B2034" i="16"/>
  <c r="B2035" i="16"/>
  <c r="B2036" i="16"/>
  <c r="B2037" i="16"/>
  <c r="B2038" i="16"/>
  <c r="B2039" i="16"/>
  <c r="B2040" i="16"/>
  <c r="B2041" i="16"/>
  <c r="B2042" i="16"/>
  <c r="B2043" i="16"/>
  <c r="B2044" i="16"/>
  <c r="B2045" i="16"/>
  <c r="B2046" i="16"/>
  <c r="B2047" i="16"/>
  <c r="B2048" i="16"/>
  <c r="B2049" i="16"/>
  <c r="B2050" i="16"/>
  <c r="B2051" i="16"/>
  <c r="B2052" i="16"/>
  <c r="B2053" i="16"/>
  <c r="B2054" i="16"/>
  <c r="B2055" i="16"/>
  <c r="B2056" i="16"/>
  <c r="B2057" i="16"/>
  <c r="B2058" i="16"/>
  <c r="B2059" i="16"/>
  <c r="B2060" i="16"/>
  <c r="B2061" i="16"/>
  <c r="B2062" i="16"/>
  <c r="B2063" i="16"/>
  <c r="B2064" i="16"/>
  <c r="B2065" i="16"/>
  <c r="B2066" i="16"/>
  <c r="B2067" i="16"/>
  <c r="B2068" i="16"/>
  <c r="B2069" i="16"/>
  <c r="B2070" i="16"/>
  <c r="B2071" i="16"/>
  <c r="B2072" i="16"/>
  <c r="B2073" i="16"/>
  <c r="B2074" i="16"/>
  <c r="B2075" i="16"/>
  <c r="B2076" i="16"/>
  <c r="B2077" i="16"/>
  <c r="B2078" i="16"/>
  <c r="B2079" i="16"/>
  <c r="B2080" i="16"/>
  <c r="B2081" i="16"/>
  <c r="B2082" i="16"/>
  <c r="B2083" i="16"/>
  <c r="B2084" i="16"/>
  <c r="B2085" i="16"/>
  <c r="B2086" i="16"/>
  <c r="B2087" i="16"/>
  <c r="B2088" i="16"/>
  <c r="B2089" i="16"/>
  <c r="B2090" i="16"/>
  <c r="B2091" i="16"/>
  <c r="B2092" i="16"/>
  <c r="B2093" i="16"/>
  <c r="B2094" i="16"/>
  <c r="B2095" i="16"/>
  <c r="B2096" i="16"/>
  <c r="B2097" i="16"/>
  <c r="B2098" i="16"/>
  <c r="B2099" i="16"/>
  <c r="B2100" i="16"/>
  <c r="B2101" i="16"/>
  <c r="B2102" i="16"/>
  <c r="B2103" i="16"/>
  <c r="B2104" i="16"/>
  <c r="B2105" i="16"/>
  <c r="B2106" i="16"/>
  <c r="B2107" i="16"/>
  <c r="B2108" i="16"/>
  <c r="B2109" i="16"/>
  <c r="B2110" i="16"/>
  <c r="B2111" i="16"/>
  <c r="B2112" i="16"/>
  <c r="B2113" i="16"/>
  <c r="B2114" i="16"/>
  <c r="B2115" i="16"/>
  <c r="B2116" i="16"/>
  <c r="B2117" i="16"/>
  <c r="B2118" i="16"/>
  <c r="B2119" i="16"/>
  <c r="B2120" i="16"/>
  <c r="B2121" i="16"/>
  <c r="B2122" i="16"/>
  <c r="B2123" i="16"/>
  <c r="B2124" i="16"/>
  <c r="B2125" i="16"/>
  <c r="B2126" i="16"/>
  <c r="B2127" i="16"/>
  <c r="B2128" i="16"/>
  <c r="B2129" i="16"/>
  <c r="B2130" i="16"/>
  <c r="B2131" i="16"/>
  <c r="B2132" i="16"/>
  <c r="B2133" i="16"/>
  <c r="B2134" i="16"/>
  <c r="B2135" i="16"/>
  <c r="B2136" i="16"/>
  <c r="B2137" i="16"/>
  <c r="B2138" i="16"/>
  <c r="B2139" i="16"/>
  <c r="B2140" i="16"/>
  <c r="B2141" i="16"/>
  <c r="B2142" i="16"/>
  <c r="B2143" i="16"/>
  <c r="B2144" i="16"/>
  <c r="B2145" i="16"/>
  <c r="B2146" i="16"/>
  <c r="B2147" i="16"/>
  <c r="B2148" i="16"/>
  <c r="B2149" i="16"/>
  <c r="B2150" i="16"/>
  <c r="B2151" i="16"/>
  <c r="B2152" i="16"/>
  <c r="B2153" i="16"/>
  <c r="B2154" i="16"/>
  <c r="B2155" i="16"/>
  <c r="B2156" i="16"/>
  <c r="B2157" i="16"/>
  <c r="B2158" i="16"/>
  <c r="B2159" i="16"/>
  <c r="B2160" i="16"/>
  <c r="B2161" i="16"/>
  <c r="B2162" i="16"/>
  <c r="B2163" i="16"/>
  <c r="B2164" i="16"/>
  <c r="B2165" i="16"/>
  <c r="B2166" i="16"/>
  <c r="B2167" i="16"/>
  <c r="B2168" i="16"/>
  <c r="B2169" i="16"/>
  <c r="B2170" i="16"/>
  <c r="B2171" i="16"/>
  <c r="B2172" i="16"/>
  <c r="B2173" i="16"/>
  <c r="B2174" i="16"/>
  <c r="B2175" i="16"/>
  <c r="B2176" i="16"/>
  <c r="B2177" i="16"/>
  <c r="B2178" i="16"/>
  <c r="B2179" i="16"/>
  <c r="B2180" i="16"/>
  <c r="B2181" i="16"/>
  <c r="B2182" i="16"/>
  <c r="B2183" i="16"/>
  <c r="B2184" i="16"/>
  <c r="B2185" i="16"/>
  <c r="B2186" i="16"/>
  <c r="B2187" i="16"/>
  <c r="B2188" i="16"/>
  <c r="B2189" i="16"/>
  <c r="B2190" i="16"/>
  <c r="B2191" i="16"/>
  <c r="B2192" i="16"/>
  <c r="B2193" i="16"/>
  <c r="B2194" i="16"/>
  <c r="B2195" i="16"/>
  <c r="B2196" i="16"/>
  <c r="B2197" i="16"/>
  <c r="B2198" i="16"/>
  <c r="B2199" i="16"/>
  <c r="B2200" i="16"/>
  <c r="B2201" i="16"/>
  <c r="B2202" i="16"/>
  <c r="B2203" i="16"/>
  <c r="B2204" i="16"/>
  <c r="B2205" i="16"/>
  <c r="B2206" i="16"/>
  <c r="B2207" i="16"/>
  <c r="B2208" i="16"/>
  <c r="B2209" i="16"/>
  <c r="B2210" i="16"/>
  <c r="B2211" i="16"/>
  <c r="B2212" i="16"/>
  <c r="B2213" i="16"/>
  <c r="B2214" i="16"/>
  <c r="B2215" i="16"/>
  <c r="B2216" i="16"/>
  <c r="B2217" i="16"/>
  <c r="B2218" i="16"/>
  <c r="B2219" i="16"/>
  <c r="B2220" i="16"/>
  <c r="B2221" i="16"/>
  <c r="B2222" i="16"/>
  <c r="B2223" i="16"/>
  <c r="B2224" i="16"/>
  <c r="B2225" i="16"/>
  <c r="B2226" i="16"/>
  <c r="B2227" i="16"/>
  <c r="B2228" i="16"/>
  <c r="B2229" i="16"/>
  <c r="B2230" i="16"/>
  <c r="B2231" i="16"/>
  <c r="B2232" i="16"/>
  <c r="B2233" i="16"/>
  <c r="B2234" i="16"/>
  <c r="B2235" i="16"/>
  <c r="B2236" i="16"/>
  <c r="B2237" i="16"/>
  <c r="B2238" i="16"/>
  <c r="B2239" i="16"/>
  <c r="B2240" i="16"/>
  <c r="B2241" i="16"/>
  <c r="B2242" i="16"/>
  <c r="B2243" i="16"/>
  <c r="B2244" i="16"/>
  <c r="B2245" i="16"/>
  <c r="B2246" i="16"/>
  <c r="B2247" i="16"/>
  <c r="B2248" i="16"/>
  <c r="B2249" i="16"/>
  <c r="B2250" i="16"/>
  <c r="B2251" i="16"/>
  <c r="B2252" i="16"/>
  <c r="B2253" i="16"/>
  <c r="B2254" i="16"/>
  <c r="B2255" i="16"/>
  <c r="B2256" i="16"/>
  <c r="B2257" i="16"/>
  <c r="B2258" i="16"/>
  <c r="B2259" i="16"/>
  <c r="B2260" i="16"/>
  <c r="B2261" i="16"/>
  <c r="B2262" i="16"/>
  <c r="B2263" i="16"/>
  <c r="B2264" i="16"/>
  <c r="B2265" i="16"/>
  <c r="B2266" i="16"/>
  <c r="B2267" i="16"/>
  <c r="B2268" i="16"/>
  <c r="B2269" i="16"/>
  <c r="B2270" i="16"/>
  <c r="B2271" i="16"/>
  <c r="B2272" i="16"/>
  <c r="B2273" i="16"/>
  <c r="B2274" i="16"/>
  <c r="B2275" i="16"/>
  <c r="B2276" i="16"/>
  <c r="B2277" i="16"/>
  <c r="B2278" i="16"/>
  <c r="B2279" i="16"/>
  <c r="B2280" i="16"/>
  <c r="B2281" i="16"/>
  <c r="B2282" i="16"/>
  <c r="B2283" i="16"/>
  <c r="B2284" i="16"/>
  <c r="B2285" i="16"/>
  <c r="B2286" i="16"/>
  <c r="B2287" i="16"/>
  <c r="B2288" i="16"/>
  <c r="B2289" i="16"/>
  <c r="B2290" i="16"/>
  <c r="B2291" i="16"/>
  <c r="B2292" i="16"/>
  <c r="B2293" i="16"/>
  <c r="B2294" i="16"/>
  <c r="B2295" i="16"/>
  <c r="B2296" i="16"/>
  <c r="B2297" i="16"/>
  <c r="B2298" i="16"/>
  <c r="B2299" i="16"/>
  <c r="B2300" i="16"/>
  <c r="B2301" i="16"/>
  <c r="B2302" i="16"/>
  <c r="B2303" i="16"/>
  <c r="B2304" i="16"/>
  <c r="B2305" i="16"/>
  <c r="B2306" i="16"/>
  <c r="B2307" i="16"/>
  <c r="B2308" i="16"/>
  <c r="B2309" i="16"/>
  <c r="B2310" i="16"/>
  <c r="B2311" i="16"/>
  <c r="B2312" i="16"/>
  <c r="B2313" i="16"/>
  <c r="B2314" i="16"/>
  <c r="B2315" i="16"/>
  <c r="B2316" i="16"/>
  <c r="B2317" i="16"/>
  <c r="B2318" i="16"/>
  <c r="B2319" i="16"/>
  <c r="B2320" i="16"/>
  <c r="B2321" i="16"/>
  <c r="B2322" i="16"/>
  <c r="B2323" i="16"/>
  <c r="B2324" i="16"/>
  <c r="B2325" i="16"/>
  <c r="B2326" i="16"/>
  <c r="B2327" i="16"/>
  <c r="B2328" i="16"/>
  <c r="B2329" i="16"/>
  <c r="B2330" i="16"/>
  <c r="B2331" i="16"/>
  <c r="B2332" i="16"/>
  <c r="B2333" i="16"/>
  <c r="B2334" i="16"/>
  <c r="B2335" i="16"/>
  <c r="B2336" i="16"/>
  <c r="B2337" i="16"/>
  <c r="B2338" i="16"/>
  <c r="B2339" i="16"/>
  <c r="B2340" i="16"/>
  <c r="B2341" i="16"/>
  <c r="B2342" i="16"/>
  <c r="B2343" i="16"/>
  <c r="B2344" i="16"/>
  <c r="B2345" i="16"/>
  <c r="B2346" i="16"/>
  <c r="B2347" i="16"/>
  <c r="B2348" i="16"/>
  <c r="B2349" i="16"/>
  <c r="B2350" i="16"/>
  <c r="B2351" i="16"/>
  <c r="B2352" i="16"/>
  <c r="B2353" i="16"/>
  <c r="B2354" i="16"/>
  <c r="B2355" i="16"/>
  <c r="B2356" i="16"/>
  <c r="B2357" i="16"/>
  <c r="B2358" i="16"/>
  <c r="B2359" i="16"/>
  <c r="B2360" i="16"/>
  <c r="B2361" i="16"/>
  <c r="B2362" i="16"/>
  <c r="B2363" i="16"/>
  <c r="B2364" i="16"/>
  <c r="B2365" i="16"/>
  <c r="B2366" i="16"/>
  <c r="B2367" i="16"/>
  <c r="B2368" i="16"/>
  <c r="B2369" i="16"/>
  <c r="B2370" i="16"/>
  <c r="B2371" i="16"/>
  <c r="B2372" i="16"/>
  <c r="B2373" i="16"/>
  <c r="B2374" i="16"/>
  <c r="B2375" i="16"/>
  <c r="B2376" i="16"/>
  <c r="B2377" i="16"/>
  <c r="B2378" i="16"/>
  <c r="B2379" i="16"/>
  <c r="B2380" i="16"/>
  <c r="B2381" i="16"/>
  <c r="B2382" i="16"/>
  <c r="B2383" i="16"/>
  <c r="B2384" i="16"/>
  <c r="B2385" i="16"/>
  <c r="B2386" i="16"/>
  <c r="B2387" i="16"/>
  <c r="B2388" i="16"/>
  <c r="B2389" i="16"/>
  <c r="B2390" i="16"/>
  <c r="B2391" i="16"/>
  <c r="B2392" i="16"/>
  <c r="B2393" i="16"/>
  <c r="B2394" i="16"/>
  <c r="B2395" i="16"/>
  <c r="B2396" i="16"/>
  <c r="B2397" i="16"/>
  <c r="B2398" i="16"/>
  <c r="B2399" i="16"/>
  <c r="B2400" i="16"/>
  <c r="B2401" i="16"/>
  <c r="B2402" i="16"/>
  <c r="B2403" i="16"/>
  <c r="B2404" i="16"/>
  <c r="B2405" i="16"/>
  <c r="B2406" i="16"/>
  <c r="B2407" i="16"/>
  <c r="B2408" i="16"/>
  <c r="B2409" i="16"/>
  <c r="B2410" i="16"/>
  <c r="B2411" i="16"/>
  <c r="B2412" i="16"/>
  <c r="B2413" i="16"/>
  <c r="B2414" i="16"/>
  <c r="B2415" i="16"/>
  <c r="B2416" i="16"/>
  <c r="B2417" i="16"/>
  <c r="B2418" i="16"/>
  <c r="B2419" i="16"/>
  <c r="B2420" i="16"/>
  <c r="B2421" i="16"/>
  <c r="B2422" i="16"/>
  <c r="B2423" i="16"/>
  <c r="B2424" i="16"/>
  <c r="B2425" i="16"/>
  <c r="B2426" i="16"/>
  <c r="B2427" i="16"/>
  <c r="B2428" i="16"/>
  <c r="B2429" i="16"/>
  <c r="B2430" i="16"/>
  <c r="B2431" i="16"/>
  <c r="B2432" i="16"/>
  <c r="B2433" i="16"/>
  <c r="B2434" i="16"/>
  <c r="B2435" i="16"/>
  <c r="B2436" i="16"/>
  <c r="B2437" i="16"/>
  <c r="B2438" i="16"/>
  <c r="B2439" i="16"/>
  <c r="B2440" i="16"/>
  <c r="B2441" i="16"/>
  <c r="B2442" i="16"/>
  <c r="B2443" i="16"/>
  <c r="B2444" i="16"/>
  <c r="B2445" i="16"/>
  <c r="B2446" i="16"/>
  <c r="B2447" i="16"/>
  <c r="B2448" i="16"/>
  <c r="B2449" i="16"/>
  <c r="B2450" i="16"/>
  <c r="B2451" i="16"/>
  <c r="B2452" i="16"/>
  <c r="B2453" i="16"/>
  <c r="B2454" i="16"/>
  <c r="B2455" i="16"/>
  <c r="B2456" i="16"/>
  <c r="B2457" i="16"/>
  <c r="B2458" i="16"/>
  <c r="B2459" i="16"/>
  <c r="B2460" i="16"/>
  <c r="B2461" i="16"/>
  <c r="B2462" i="16"/>
  <c r="B2463" i="16"/>
  <c r="B2464" i="16"/>
  <c r="B2465" i="16"/>
  <c r="B2466" i="16"/>
  <c r="B2467" i="16"/>
  <c r="B2468" i="16"/>
  <c r="B2469" i="16"/>
  <c r="B2470" i="16"/>
  <c r="B2471" i="16"/>
  <c r="B2472" i="16"/>
  <c r="B2473" i="16"/>
  <c r="B2474" i="16"/>
  <c r="B2475" i="16"/>
  <c r="B2476" i="16"/>
  <c r="B2477" i="16"/>
  <c r="B2478" i="16"/>
  <c r="B2479" i="16"/>
  <c r="B2480" i="16"/>
  <c r="B2481" i="16"/>
  <c r="B2482" i="16"/>
  <c r="B2483" i="16"/>
  <c r="B2484" i="16"/>
  <c r="B2485" i="16"/>
  <c r="B2486" i="16"/>
  <c r="B2487" i="16"/>
  <c r="B2488" i="16"/>
  <c r="B2489" i="16"/>
  <c r="B2490" i="16"/>
  <c r="B2491" i="16"/>
  <c r="B2492" i="16"/>
  <c r="B2493" i="16"/>
  <c r="B2494" i="16"/>
  <c r="B2495" i="16"/>
  <c r="B2496" i="16"/>
  <c r="B2497" i="16"/>
  <c r="B2498" i="16"/>
  <c r="B2499" i="16"/>
  <c r="B2500" i="16"/>
  <c r="B2501" i="16"/>
  <c r="B2502" i="16"/>
  <c r="B2503" i="16"/>
  <c r="B2504" i="16"/>
  <c r="B2505" i="16"/>
  <c r="B2506" i="16"/>
  <c r="B2507" i="16"/>
  <c r="B2508" i="16"/>
  <c r="B2509" i="16"/>
  <c r="B2510" i="16"/>
  <c r="B2511" i="16"/>
  <c r="B2512" i="16"/>
  <c r="B2513" i="16"/>
  <c r="B2514" i="16"/>
  <c r="B2515" i="16"/>
  <c r="B2516" i="16"/>
  <c r="B2517" i="16"/>
  <c r="B2518" i="16"/>
  <c r="B2519" i="16"/>
  <c r="B2520" i="16"/>
  <c r="B2521" i="16"/>
  <c r="B2522" i="16"/>
  <c r="B2523" i="16"/>
  <c r="B2524" i="16"/>
  <c r="B2525" i="16"/>
  <c r="B2526" i="16"/>
  <c r="B2527" i="16"/>
  <c r="B2528" i="16"/>
  <c r="B2529" i="16"/>
  <c r="B2530" i="16"/>
  <c r="B2531" i="16"/>
  <c r="B2532" i="16"/>
  <c r="B2533" i="16"/>
  <c r="B2534" i="16"/>
  <c r="B2535" i="16"/>
  <c r="B2536" i="16"/>
  <c r="B2537" i="16"/>
  <c r="B2538" i="16"/>
  <c r="B2539" i="16"/>
  <c r="B2540" i="16"/>
  <c r="B2541" i="16"/>
  <c r="B2542" i="16"/>
  <c r="B2543" i="16"/>
  <c r="B2544" i="16"/>
  <c r="B2545" i="16"/>
  <c r="B2546" i="16"/>
  <c r="B2547" i="16"/>
  <c r="B2548" i="16"/>
  <c r="B2549" i="16"/>
  <c r="B2550" i="16"/>
  <c r="B2551" i="16"/>
  <c r="B2552" i="16"/>
  <c r="B2553" i="16"/>
  <c r="B2554" i="16"/>
  <c r="B2555" i="16"/>
  <c r="B2556" i="16"/>
  <c r="B2557" i="16"/>
  <c r="B2558" i="16"/>
  <c r="B2559" i="16"/>
  <c r="B2560" i="16"/>
  <c r="B2561" i="16"/>
  <c r="B2562" i="16"/>
  <c r="B2563" i="16"/>
  <c r="B2564" i="16"/>
  <c r="B2565" i="16"/>
  <c r="B2566" i="16"/>
  <c r="B2567" i="16"/>
  <c r="B2568" i="16"/>
  <c r="B2569" i="16"/>
  <c r="B2570" i="16"/>
  <c r="B2571" i="16"/>
  <c r="B2572" i="16"/>
  <c r="B2573" i="16"/>
  <c r="B2574" i="16"/>
  <c r="B2575" i="16"/>
  <c r="B2576" i="16"/>
  <c r="B2577" i="16"/>
  <c r="B2578" i="16"/>
  <c r="B2579" i="16"/>
  <c r="B2580" i="16"/>
  <c r="B2581" i="16"/>
  <c r="B2582" i="16"/>
  <c r="B2583" i="16"/>
  <c r="B2584" i="16"/>
  <c r="B2585" i="16"/>
  <c r="B2586" i="16"/>
  <c r="B2587" i="16"/>
  <c r="B2588" i="16"/>
  <c r="B2589" i="16"/>
  <c r="B2590" i="16"/>
  <c r="B2591" i="16"/>
  <c r="B2592" i="16"/>
  <c r="B2593" i="16"/>
  <c r="B2594" i="16"/>
  <c r="B2595" i="16"/>
  <c r="B2596" i="16"/>
  <c r="B2597" i="16"/>
  <c r="B2598" i="16"/>
  <c r="B2599" i="16"/>
  <c r="B2600" i="16"/>
  <c r="B2601" i="16"/>
  <c r="B2602" i="16"/>
  <c r="B2603" i="16"/>
  <c r="B2604" i="16"/>
  <c r="B2605" i="16"/>
  <c r="B2606" i="16"/>
  <c r="B2607" i="16"/>
  <c r="B2608" i="16"/>
  <c r="B2609" i="16"/>
  <c r="B2610" i="16"/>
  <c r="B2611" i="16"/>
  <c r="B2612" i="16"/>
  <c r="B2613" i="16"/>
  <c r="B2614" i="16"/>
  <c r="B2615" i="16"/>
  <c r="B2616" i="16"/>
  <c r="B2617" i="16"/>
  <c r="B2618" i="16"/>
  <c r="B2619" i="16"/>
  <c r="B2620" i="16"/>
  <c r="B2621" i="16"/>
  <c r="B2622" i="16"/>
  <c r="B2623" i="16"/>
  <c r="B2624" i="16"/>
  <c r="B2625" i="16"/>
  <c r="B2626" i="16"/>
  <c r="B2627" i="16"/>
  <c r="B2628" i="16"/>
  <c r="B2629" i="16"/>
  <c r="B2630" i="16"/>
  <c r="B2631" i="16"/>
  <c r="B2632" i="16"/>
  <c r="B2633" i="16"/>
  <c r="B2634" i="16"/>
  <c r="B2635" i="16"/>
  <c r="B2636" i="16"/>
  <c r="B2637" i="16"/>
  <c r="B2638" i="16"/>
  <c r="B2639" i="16"/>
  <c r="B2640" i="16"/>
  <c r="B2641" i="16"/>
  <c r="B2642" i="16"/>
  <c r="B2643" i="16"/>
  <c r="B2644" i="16"/>
  <c r="B2645" i="16"/>
  <c r="B2646" i="16"/>
  <c r="B2647" i="16"/>
  <c r="B2648" i="16"/>
  <c r="B2649" i="16"/>
  <c r="B2650" i="16"/>
  <c r="B2651" i="16"/>
  <c r="B2652" i="16"/>
  <c r="B2653" i="16"/>
  <c r="B2654" i="16"/>
  <c r="B2655" i="16"/>
  <c r="B2656" i="16"/>
  <c r="B2657" i="16"/>
  <c r="B2658" i="16"/>
  <c r="B2659" i="16"/>
  <c r="B2660" i="16"/>
  <c r="B2661" i="16"/>
  <c r="B2662" i="16"/>
  <c r="B2663" i="16"/>
  <c r="B2664" i="16"/>
  <c r="B2665" i="16"/>
  <c r="B2666" i="16"/>
  <c r="B2667" i="16"/>
  <c r="B2668" i="16"/>
  <c r="B2669" i="16"/>
  <c r="B2670" i="16"/>
  <c r="B2671" i="16"/>
  <c r="B2672" i="16"/>
  <c r="B2673" i="16"/>
  <c r="B2674" i="16"/>
  <c r="B2675" i="16"/>
  <c r="B2676" i="16"/>
  <c r="B2677" i="16"/>
  <c r="B2678" i="16"/>
  <c r="B2679" i="16"/>
  <c r="B2680" i="16"/>
  <c r="B2681" i="16"/>
  <c r="B2682" i="16"/>
  <c r="B2683" i="16"/>
  <c r="B2684" i="16"/>
  <c r="B2685" i="16"/>
  <c r="B2686" i="16"/>
  <c r="B2687" i="16"/>
  <c r="B2688" i="16"/>
  <c r="B2689" i="16"/>
  <c r="B2690" i="16"/>
  <c r="B2691" i="16"/>
  <c r="B2692" i="16"/>
  <c r="B2693" i="16"/>
  <c r="B2694" i="16"/>
  <c r="B2695" i="16"/>
  <c r="B2696" i="16"/>
  <c r="B2697" i="16"/>
  <c r="B2698" i="16"/>
  <c r="B2699" i="16"/>
  <c r="B2700" i="16"/>
  <c r="B2701" i="16"/>
  <c r="B2702" i="16"/>
  <c r="B2703" i="16"/>
  <c r="B2704" i="16"/>
  <c r="B2705" i="16"/>
  <c r="B2706" i="16"/>
  <c r="B2707" i="16"/>
  <c r="B2708" i="16"/>
  <c r="B2709" i="16"/>
  <c r="B2710" i="16"/>
  <c r="B2711" i="16"/>
  <c r="B2712" i="16"/>
  <c r="B2713" i="16"/>
  <c r="B2714" i="16"/>
  <c r="B2715" i="16"/>
  <c r="B2716" i="16"/>
  <c r="B2717" i="16"/>
  <c r="B2718" i="16"/>
  <c r="B2719" i="16"/>
  <c r="B2720" i="16"/>
  <c r="B2721" i="16"/>
  <c r="B2722" i="16"/>
  <c r="B2723" i="16"/>
  <c r="B2724" i="16"/>
  <c r="B2725" i="16"/>
  <c r="B2726" i="16"/>
  <c r="B2727" i="16"/>
  <c r="B2728" i="16"/>
  <c r="B2729" i="16"/>
  <c r="B2730" i="16"/>
  <c r="B2731" i="16"/>
  <c r="B2732" i="16"/>
  <c r="B2733" i="16"/>
  <c r="B2734" i="16"/>
  <c r="B2735" i="16"/>
  <c r="B2736" i="16"/>
  <c r="B2737" i="16"/>
  <c r="B2738" i="16"/>
  <c r="B2739" i="16"/>
  <c r="B2740" i="16"/>
  <c r="B2741" i="16"/>
  <c r="B2742" i="16"/>
  <c r="B2743" i="16"/>
  <c r="B2744" i="16"/>
  <c r="B2745" i="16"/>
  <c r="B2746" i="16"/>
  <c r="B2747" i="16"/>
  <c r="B2748" i="16"/>
  <c r="B2749" i="16"/>
  <c r="B2750" i="16"/>
  <c r="B2751" i="16"/>
  <c r="B2752" i="16"/>
  <c r="B2753" i="16"/>
  <c r="B2754" i="16"/>
  <c r="B2755" i="16"/>
  <c r="B2756" i="16"/>
  <c r="B2757" i="16"/>
  <c r="B2758" i="16"/>
  <c r="B2759" i="16"/>
  <c r="B2760" i="16"/>
  <c r="B2761" i="16"/>
  <c r="B2762" i="16"/>
  <c r="B2763" i="16"/>
  <c r="B2764" i="16"/>
  <c r="B2765" i="16"/>
  <c r="B2766" i="16"/>
  <c r="B2767" i="16"/>
  <c r="B2768" i="16"/>
  <c r="B2769" i="16"/>
  <c r="B2770" i="16"/>
  <c r="B2771" i="16"/>
  <c r="B2772" i="16"/>
  <c r="B2773" i="16"/>
  <c r="B2774" i="16"/>
  <c r="B2775" i="16"/>
  <c r="B2776" i="16"/>
  <c r="B2777" i="16"/>
  <c r="B2778" i="16"/>
  <c r="B2779" i="16"/>
  <c r="B2780" i="16"/>
  <c r="B2781" i="16"/>
  <c r="B2782" i="16"/>
  <c r="B2783" i="16"/>
  <c r="B2784" i="16"/>
  <c r="B2785" i="16"/>
  <c r="B2786" i="16"/>
  <c r="B2787" i="16"/>
  <c r="B2788" i="16"/>
  <c r="B2789" i="16"/>
  <c r="B2790" i="16"/>
  <c r="B2791" i="16"/>
  <c r="B2792" i="16"/>
  <c r="B2793" i="16"/>
  <c r="B2794" i="16"/>
  <c r="B2795" i="16"/>
  <c r="B2796" i="16"/>
  <c r="B2797" i="16"/>
  <c r="B2798" i="16"/>
  <c r="B2799" i="16"/>
  <c r="B2800" i="16"/>
  <c r="B2801" i="16"/>
  <c r="B2" i="16"/>
  <c r="B19" i="13" l="1"/>
  <c r="B20" i="13" s="1"/>
  <c r="B8" i="17"/>
  <c r="B9" i="17"/>
  <c r="B6" i="17"/>
  <c r="B7" i="17"/>
  <c r="B5" i="17"/>
  <c r="B10" i="17" l="1"/>
  <c r="C5" i="17" l="1"/>
  <c r="C9" i="17"/>
  <c r="C7" i="17"/>
  <c r="C6" i="17"/>
  <c r="C8" i="17"/>
  <c r="C10" i="17" l="1"/>
</calcChain>
</file>

<file path=xl/sharedStrings.xml><?xml version="1.0" encoding="utf-8"?>
<sst xmlns="http://schemas.openxmlformats.org/spreadsheetml/2006/main" count="44570" uniqueCount="7858">
  <si>
    <t>CustomerID</t>
  </si>
  <si>
    <t>CustomerName</t>
  </si>
  <si>
    <t>Industry</t>
  </si>
  <si>
    <t>Country</t>
  </si>
  <si>
    <t>PaymentTerms</t>
  </si>
  <si>
    <t>CreditLimit</t>
  </si>
  <si>
    <t>CustomerSince</t>
  </si>
  <si>
    <t>CUST-001</t>
  </si>
  <si>
    <t>CUST-002</t>
  </si>
  <si>
    <t>CUST-003</t>
  </si>
  <si>
    <t>CUST-004</t>
  </si>
  <si>
    <t>CUST-005</t>
  </si>
  <si>
    <t>CUST-006</t>
  </si>
  <si>
    <t>CUST-007</t>
  </si>
  <si>
    <t>CUST-008</t>
  </si>
  <si>
    <t>CUST-009</t>
  </si>
  <si>
    <t>CUST-010</t>
  </si>
  <si>
    <t>CUST-011</t>
  </si>
  <si>
    <t>CUST-012</t>
  </si>
  <si>
    <t>CUST-013</t>
  </si>
  <si>
    <t>CUST-014</t>
  </si>
  <si>
    <t>CUST-015</t>
  </si>
  <si>
    <t>CUST-016</t>
  </si>
  <si>
    <t>CUST-017</t>
  </si>
  <si>
    <t>CUST-018</t>
  </si>
  <si>
    <t>CUST-019</t>
  </si>
  <si>
    <t>CUST-020</t>
  </si>
  <si>
    <t>CUST-021</t>
  </si>
  <si>
    <t>CUST-022</t>
  </si>
  <si>
    <t>CUST-023</t>
  </si>
  <si>
    <t>CUST-024</t>
  </si>
  <si>
    <t>CUST-025</t>
  </si>
  <si>
    <t>CUST-026</t>
  </si>
  <si>
    <t>CUST-027</t>
  </si>
  <si>
    <t>CUST-028</t>
  </si>
  <si>
    <t>CUST-029</t>
  </si>
  <si>
    <t>CUST-030</t>
  </si>
  <si>
    <t>CUST-031</t>
  </si>
  <si>
    <t>CUST-032</t>
  </si>
  <si>
    <t>CUST-033</t>
  </si>
  <si>
    <t>CUST-034</t>
  </si>
  <si>
    <t>CUST-035</t>
  </si>
  <si>
    <t>CUST-036</t>
  </si>
  <si>
    <t>CUST-037</t>
  </si>
  <si>
    <t>CUST-038</t>
  </si>
  <si>
    <t>CUST-039</t>
  </si>
  <si>
    <t>CUST-040</t>
  </si>
  <si>
    <t>CUST-041</t>
  </si>
  <si>
    <t>CUST-042</t>
  </si>
  <si>
    <t>CUST-043</t>
  </si>
  <si>
    <t>CUST-044</t>
  </si>
  <si>
    <t>CUST-045</t>
  </si>
  <si>
    <t>CUST-046</t>
  </si>
  <si>
    <t>CUST-047</t>
  </si>
  <si>
    <t>CUST-048</t>
  </si>
  <si>
    <t>CUST-049</t>
  </si>
  <si>
    <t>CUST-050</t>
  </si>
  <si>
    <t>CUST-051</t>
  </si>
  <si>
    <t>CUST-052</t>
  </si>
  <si>
    <t>CUST-053</t>
  </si>
  <si>
    <t>CUST-054</t>
  </si>
  <si>
    <t>CUST-055</t>
  </si>
  <si>
    <t>CUST-056</t>
  </si>
  <si>
    <t>CUST-057</t>
  </si>
  <si>
    <t>CUST-058</t>
  </si>
  <si>
    <t>CUST-059</t>
  </si>
  <si>
    <t>CUST-060</t>
  </si>
  <si>
    <t>CUST-061</t>
  </si>
  <si>
    <t>CUST-062</t>
  </si>
  <si>
    <t>CUST-063</t>
  </si>
  <si>
    <t>CUST-064</t>
  </si>
  <si>
    <t>CUST-065</t>
  </si>
  <si>
    <t>CUST-066</t>
  </si>
  <si>
    <t>CUST-067</t>
  </si>
  <si>
    <t>CUST-068</t>
  </si>
  <si>
    <t>CUST-069</t>
  </si>
  <si>
    <t>CUST-070</t>
  </si>
  <si>
    <t>CUST-071</t>
  </si>
  <si>
    <t>CUST-072</t>
  </si>
  <si>
    <t>CUST-073</t>
  </si>
  <si>
    <t>CUST-074</t>
  </si>
  <si>
    <t>CUST-075</t>
  </si>
  <si>
    <t>CUST-076</t>
  </si>
  <si>
    <t>CUST-077</t>
  </si>
  <si>
    <t>CUST-078</t>
  </si>
  <si>
    <t>CUST-079</t>
  </si>
  <si>
    <t>CUST-080</t>
  </si>
  <si>
    <t>CUST-081</t>
  </si>
  <si>
    <t>CUST-082</t>
  </si>
  <si>
    <t>CUST-083</t>
  </si>
  <si>
    <t>CUST-084</t>
  </si>
  <si>
    <t>CUST-085</t>
  </si>
  <si>
    <t>CUST-086</t>
  </si>
  <si>
    <t>CUST-087</t>
  </si>
  <si>
    <t>CUST-088</t>
  </si>
  <si>
    <t>CUST-089</t>
  </si>
  <si>
    <t>CUST-090</t>
  </si>
  <si>
    <t>CUST-091</t>
  </si>
  <si>
    <t>CUST-092</t>
  </si>
  <si>
    <t>CUST-093</t>
  </si>
  <si>
    <t>CUST-094</t>
  </si>
  <si>
    <t>CUST-095</t>
  </si>
  <si>
    <t>CUST-096</t>
  </si>
  <si>
    <t>CUST-097</t>
  </si>
  <si>
    <t>CUST-098</t>
  </si>
  <si>
    <t>CUST-099</t>
  </si>
  <si>
    <t>CUST-100</t>
  </si>
  <si>
    <t>CUST-101</t>
  </si>
  <si>
    <t>CUST-102</t>
  </si>
  <si>
    <t>CUST-103</t>
  </si>
  <si>
    <t>CUST-104</t>
  </si>
  <si>
    <t>CUST-105</t>
  </si>
  <si>
    <t>CUST-106</t>
  </si>
  <si>
    <t>CUST-107</t>
  </si>
  <si>
    <t>CUST-108</t>
  </si>
  <si>
    <t>CUST-109</t>
  </si>
  <si>
    <t>CUST-110</t>
  </si>
  <si>
    <t>CUST-111</t>
  </si>
  <si>
    <t>CUST-112</t>
  </si>
  <si>
    <t>CUST-113</t>
  </si>
  <si>
    <t>CUST-114</t>
  </si>
  <si>
    <t>CUST-115</t>
  </si>
  <si>
    <t>CUST-116</t>
  </si>
  <si>
    <t>CUST-117</t>
  </si>
  <si>
    <t>CUST-118</t>
  </si>
  <si>
    <t>BrightCart</t>
  </si>
  <si>
    <t>NexaSoft</t>
  </si>
  <si>
    <t>UrbanRetail</t>
  </si>
  <si>
    <t>LaunchLabs</t>
  </si>
  <si>
    <t>DataHive</t>
  </si>
  <si>
    <t>ShopOrbit</t>
  </si>
  <si>
    <t>EduNova</t>
  </si>
  <si>
    <t>MarketPulse</t>
  </si>
  <si>
    <t>CloudScale</t>
  </si>
  <si>
    <t>RetailHub</t>
  </si>
  <si>
    <t>AlphaCommerce</t>
  </si>
  <si>
    <t>BluePeak Systems</t>
  </si>
  <si>
    <t>NextWave Digital</t>
  </si>
  <si>
    <t>GrowthSphere</t>
  </si>
  <si>
    <t>InsightLoop</t>
  </si>
  <si>
    <t>QuantumRetail</t>
  </si>
  <si>
    <t>VertexCommerce</t>
  </si>
  <si>
    <t>OmniTrade</t>
  </si>
  <si>
    <t>OrbitEdge</t>
  </si>
  <si>
    <t>NovaRetail</t>
  </si>
  <si>
    <t>Skyline Commerce</t>
  </si>
  <si>
    <t>FutureCart</t>
  </si>
  <si>
    <t>DigitalBridge</t>
  </si>
  <si>
    <t>CommerceFlow</t>
  </si>
  <si>
    <t>SparkRetail</t>
  </si>
  <si>
    <t>RetailVista</t>
  </si>
  <si>
    <t>CloudCart</t>
  </si>
  <si>
    <t>OptiCommerce</t>
  </si>
  <si>
    <t>FusionRetail</t>
  </si>
  <si>
    <t>RapidMarket</t>
  </si>
  <si>
    <t>SmartCart</t>
  </si>
  <si>
    <t>RetailForge</t>
  </si>
  <si>
    <t>VisionCommerce</t>
  </si>
  <si>
    <t>GlobalCart</t>
  </si>
  <si>
    <t>DynamicRetail</t>
  </si>
  <si>
    <t>RetailWorks</t>
  </si>
  <si>
    <t>CommerceSpark</t>
  </si>
  <si>
    <t>BrightMarket</t>
  </si>
  <si>
    <t>EdgeRetail</t>
  </si>
  <si>
    <t>NovaMarket</t>
  </si>
  <si>
    <t>SmartRetail</t>
  </si>
  <si>
    <t>RetailGenius</t>
  </si>
  <si>
    <t>CommercePilot</t>
  </si>
  <si>
    <t>RetailNexus</t>
  </si>
  <si>
    <t>CartMasters</t>
  </si>
  <si>
    <t>RetailShift</t>
  </si>
  <si>
    <t>PrimeCart</t>
  </si>
  <si>
    <t>RetailEdge</t>
  </si>
  <si>
    <t>CommerceLabs</t>
  </si>
  <si>
    <t>RetailBoost</t>
  </si>
  <si>
    <t>MarketGenius</t>
  </si>
  <si>
    <t>RetailAxis</t>
  </si>
  <si>
    <t>MarketBridge</t>
  </si>
  <si>
    <t>RetailSpark</t>
  </si>
  <si>
    <t>RetailOrbit</t>
  </si>
  <si>
    <t>MarketNova</t>
  </si>
  <si>
    <t>RetailCore</t>
  </si>
  <si>
    <t>MarketScale</t>
  </si>
  <si>
    <t>RetailFlow</t>
  </si>
  <si>
    <t>MarketWorks</t>
  </si>
  <si>
    <t>RetailDynamics</t>
  </si>
  <si>
    <t>RetailVision</t>
  </si>
  <si>
    <t>RetailNext</t>
  </si>
  <si>
    <t>RetailPath</t>
  </si>
  <si>
    <t>RetailPulse</t>
  </si>
  <si>
    <t>RetailStream</t>
  </si>
  <si>
    <t>RetailWave</t>
  </si>
  <si>
    <t>RetailPrime</t>
  </si>
  <si>
    <t>RetailMatrix</t>
  </si>
  <si>
    <t>RetailSphere</t>
  </si>
  <si>
    <t>RetailBridge</t>
  </si>
  <si>
    <t>RetailOrbitX</t>
  </si>
  <si>
    <t>RetailBoostX</t>
  </si>
  <si>
    <t>RetailEdgeX</t>
  </si>
  <si>
    <t>RetailFlowX</t>
  </si>
  <si>
    <t>RetailNovaX</t>
  </si>
  <si>
    <t>RetailCoreX</t>
  </si>
  <si>
    <t>RetailVisionX</t>
  </si>
  <si>
    <t>RetailWorksX</t>
  </si>
  <si>
    <t>RetailNextX</t>
  </si>
  <si>
    <t>RetailStreamX</t>
  </si>
  <si>
    <t>RetailPrimeX</t>
  </si>
  <si>
    <t>RetailAxisX</t>
  </si>
  <si>
    <t>RetailPulseX</t>
  </si>
  <si>
    <t>RetailBridgeX</t>
  </si>
  <si>
    <t>RetailMatrixX</t>
  </si>
  <si>
    <t>RetailSphereX</t>
  </si>
  <si>
    <t>RetailDynamicsX</t>
  </si>
  <si>
    <t>RetailScaleX</t>
  </si>
  <si>
    <t>RetailLabs</t>
  </si>
  <si>
    <t>RetailSparkX</t>
  </si>
  <si>
    <t>RetailEdgePro</t>
  </si>
  <si>
    <t>RetailNovaPro</t>
  </si>
  <si>
    <t>RetailBoostPro</t>
  </si>
  <si>
    <t>RetailMatrixPro</t>
  </si>
  <si>
    <t>RetailPrimePro</t>
  </si>
  <si>
    <t>RetailVisionPro</t>
  </si>
  <si>
    <t>RetailCorePro</t>
  </si>
  <si>
    <t>RetailFlowPro</t>
  </si>
  <si>
    <t>RetailOrbitPro</t>
  </si>
  <si>
    <t>RetailWorksPro</t>
  </si>
  <si>
    <t>RetailNextPro</t>
  </si>
  <si>
    <t>RetailStreamPro</t>
  </si>
  <si>
    <t>RetailAxisPro</t>
  </si>
  <si>
    <t>RetailPulsePro</t>
  </si>
  <si>
    <t>RetailBridgePro</t>
  </si>
  <si>
    <t>RetailSpherePro</t>
  </si>
  <si>
    <t>RetailScalePro</t>
  </si>
  <si>
    <t>RetailDynamicsPro</t>
  </si>
  <si>
    <t>RetailLabsPro</t>
  </si>
  <si>
    <t>RetailSparkPro</t>
  </si>
  <si>
    <t>RetailEdgeGlobal</t>
  </si>
  <si>
    <t>RetailNovaGlobal</t>
  </si>
  <si>
    <t>RetailPrimeGlobal</t>
  </si>
  <si>
    <t>RetailVisionGlobal</t>
  </si>
  <si>
    <t>RetailCoreGlobal</t>
  </si>
  <si>
    <t>RetailFlowGlobal</t>
  </si>
  <si>
    <t>RetailOrbitGlobal</t>
  </si>
  <si>
    <t>E-commerce</t>
  </si>
  <si>
    <t>SaaS</t>
  </si>
  <si>
    <t>Education</t>
  </si>
  <si>
    <t>Retail</t>
  </si>
  <si>
    <t>Startup</t>
  </si>
  <si>
    <t>USA</t>
  </si>
  <si>
    <t>UK</t>
  </si>
  <si>
    <t>UAE</t>
  </si>
  <si>
    <t>Canada</t>
  </si>
  <si>
    <t>Germany</t>
  </si>
  <si>
    <t>Australia</t>
  </si>
  <si>
    <t>Net 60</t>
  </si>
  <si>
    <t>Net 30</t>
  </si>
  <si>
    <t>Net 45</t>
  </si>
  <si>
    <t>VendorID</t>
  </si>
  <si>
    <t>VendorName</t>
  </si>
  <si>
    <t>Category</t>
  </si>
  <si>
    <t>VendorSince</t>
  </si>
  <si>
    <t>VEN-001</t>
  </si>
  <si>
    <t>Google Ads</t>
  </si>
  <si>
    <t>Consulting</t>
  </si>
  <si>
    <t>VEN-002</t>
  </si>
  <si>
    <t>Meta Ads</t>
  </si>
  <si>
    <t>Freelancer</t>
  </si>
  <si>
    <t>VEN-003</t>
  </si>
  <si>
    <t>TikTok Ads</t>
  </si>
  <si>
    <t>VEN-004</t>
  </si>
  <si>
    <t>LinkedIn Ads</t>
  </si>
  <si>
    <t>Software</t>
  </si>
  <si>
    <t>VEN-005</t>
  </si>
  <si>
    <t>HubSpot</t>
  </si>
  <si>
    <t>VEN-006</t>
  </si>
  <si>
    <t>Salesforce</t>
  </si>
  <si>
    <t>VEN-007</t>
  </si>
  <si>
    <t>Mailchimp</t>
  </si>
  <si>
    <t>Advertising</t>
  </si>
  <si>
    <t>VEN-008</t>
  </si>
  <si>
    <t>Ahrefs</t>
  </si>
  <si>
    <t>VEN-009</t>
  </si>
  <si>
    <t>SEMrush</t>
  </si>
  <si>
    <t>VEN-010</t>
  </si>
  <si>
    <t>Adobe Creative Cloud</t>
  </si>
  <si>
    <t>VEN-011</t>
  </si>
  <si>
    <t>AWS</t>
  </si>
  <si>
    <t>VEN-012</t>
  </si>
  <si>
    <t>Google Cloud</t>
  </si>
  <si>
    <t>VEN-013</t>
  </si>
  <si>
    <t>Canva Pro</t>
  </si>
  <si>
    <t>VEN-014</t>
  </si>
  <si>
    <t>Figma</t>
  </si>
  <si>
    <t>VEN-015</t>
  </si>
  <si>
    <t>Zapier</t>
  </si>
  <si>
    <t>VEN-016</t>
  </si>
  <si>
    <t>Stripe</t>
  </si>
  <si>
    <t>VEN-017</t>
  </si>
  <si>
    <t>PayPal</t>
  </si>
  <si>
    <t>VEN-018</t>
  </si>
  <si>
    <t>Cloudflare</t>
  </si>
  <si>
    <t>VEN-019</t>
  </si>
  <si>
    <t>Notion</t>
  </si>
  <si>
    <t>VEN-020</t>
  </si>
  <si>
    <t>Slack</t>
  </si>
  <si>
    <t>VEN-021</t>
  </si>
  <si>
    <t>Upwork Freelancers</t>
  </si>
  <si>
    <t>VEN-022</t>
  </si>
  <si>
    <t>Toptal Talent</t>
  </si>
  <si>
    <t>VEN-023</t>
  </si>
  <si>
    <t>Fiverr Pro</t>
  </si>
  <si>
    <t>VEN-024</t>
  </si>
  <si>
    <t>Growth Strategy Group</t>
  </si>
  <si>
    <t>VEN-025</t>
  </si>
  <si>
    <t>Digital Growth Consultants</t>
  </si>
  <si>
    <t>VEN-026</t>
  </si>
  <si>
    <t>PixelForge Studio</t>
  </si>
  <si>
    <t>VEN-027</t>
  </si>
  <si>
    <t>DevCraft Agency</t>
  </si>
  <si>
    <t>VEN-028</t>
  </si>
  <si>
    <t>MarketEdge Consulting</t>
  </si>
  <si>
    <t>VEN-029</t>
  </si>
  <si>
    <t>BrightSEO Agency</t>
  </si>
  <si>
    <t>VEN-030</t>
  </si>
  <si>
    <t>ContentCraft Studio</t>
  </si>
  <si>
    <t>VEN-031</t>
  </si>
  <si>
    <t>DataInsight Analytics</t>
  </si>
  <si>
    <t>VEN-032</t>
  </si>
  <si>
    <t>Marketing Automation Labs</t>
  </si>
  <si>
    <t>VEN-033</t>
  </si>
  <si>
    <t>AdScale Solutions</t>
  </si>
  <si>
    <t>VEN-034</t>
  </si>
  <si>
    <t>SocialBoost Agency</t>
  </si>
  <si>
    <t>VEN-035</t>
  </si>
  <si>
    <t>ClickFlow Marketing</t>
  </si>
  <si>
    <t>VEN-036</t>
  </si>
  <si>
    <t>WebDev Masters</t>
  </si>
  <si>
    <t>VEN-037</t>
  </si>
  <si>
    <t>CreativeSpark Studio</t>
  </si>
  <si>
    <t>VEN-038</t>
  </si>
  <si>
    <t>Insight Marketing Partners</t>
  </si>
  <si>
    <t>VEN-039</t>
  </si>
  <si>
    <t>Global Growth Advisors</t>
  </si>
  <si>
    <t>VEN-040</t>
  </si>
  <si>
    <t>Digital Performance Lab</t>
  </si>
  <si>
    <t>ServiceID</t>
  </si>
  <si>
    <t>ServiceName</t>
  </si>
  <si>
    <t>StandardPrice</t>
  </si>
  <si>
    <t>EstimatedCost</t>
  </si>
  <si>
    <t>SER-001</t>
  </si>
  <si>
    <t>SEO Management</t>
  </si>
  <si>
    <t>SER-002</t>
  </si>
  <si>
    <t>Paid Ads Management</t>
  </si>
  <si>
    <t>SER-003</t>
  </si>
  <si>
    <t>Social Media Marketing</t>
  </si>
  <si>
    <t>SER-004</t>
  </si>
  <si>
    <t>Website Development</t>
  </si>
  <si>
    <t>SER-005</t>
  </si>
  <si>
    <t>Content Marketing</t>
  </si>
  <si>
    <t>SER-006</t>
  </si>
  <si>
    <t>Email Marketing</t>
  </si>
  <si>
    <t>InvoiceID</t>
  </si>
  <si>
    <t>InvoiceDate</t>
  </si>
  <si>
    <t>DueDate</t>
  </si>
  <si>
    <t>TotalAmount</t>
  </si>
  <si>
    <t>Status</t>
  </si>
  <si>
    <t>INV-00001</t>
  </si>
  <si>
    <t>Paid</t>
  </si>
  <si>
    <t>INV-00002</t>
  </si>
  <si>
    <t>Open</t>
  </si>
  <si>
    <t>INV-00003</t>
  </si>
  <si>
    <t>INV-00004</t>
  </si>
  <si>
    <t>INV-00005</t>
  </si>
  <si>
    <t>INV-00006</t>
  </si>
  <si>
    <t>INV-00007</t>
  </si>
  <si>
    <t>INV-00008</t>
  </si>
  <si>
    <t>INV-00009</t>
  </si>
  <si>
    <t>INV-00010</t>
  </si>
  <si>
    <t>INV-00011</t>
  </si>
  <si>
    <t>INV-00012</t>
  </si>
  <si>
    <t>INV-00013</t>
  </si>
  <si>
    <t>INV-00014</t>
  </si>
  <si>
    <t>INV-00015</t>
  </si>
  <si>
    <t>INV-00016</t>
  </si>
  <si>
    <t>INV-00017</t>
  </si>
  <si>
    <t>INV-00018</t>
  </si>
  <si>
    <t>INV-00019</t>
  </si>
  <si>
    <t>Overdue</t>
  </si>
  <si>
    <t>INV-00020</t>
  </si>
  <si>
    <t>INV-00021</t>
  </si>
  <si>
    <t>INV-00022</t>
  </si>
  <si>
    <t>INV-00023</t>
  </si>
  <si>
    <t>INV-00024</t>
  </si>
  <si>
    <t>INV-00025</t>
  </si>
  <si>
    <t>INV-00026</t>
  </si>
  <si>
    <t>INV-00027</t>
  </si>
  <si>
    <t>INV-00028</t>
  </si>
  <si>
    <t>INV-00029</t>
  </si>
  <si>
    <t>INV-00030</t>
  </si>
  <si>
    <t>INV-00031</t>
  </si>
  <si>
    <t>INV-00032</t>
  </si>
  <si>
    <t>INV-00033</t>
  </si>
  <si>
    <t>INV-00034</t>
  </si>
  <si>
    <t>INV-00035</t>
  </si>
  <si>
    <t>INV-00036</t>
  </si>
  <si>
    <t>INV-00037</t>
  </si>
  <si>
    <t>INV-00038</t>
  </si>
  <si>
    <t>INV-00039</t>
  </si>
  <si>
    <t>INV-00040</t>
  </si>
  <si>
    <t>INV-00041</t>
  </si>
  <si>
    <t>INV-00042</t>
  </si>
  <si>
    <t>INV-00043</t>
  </si>
  <si>
    <t>INV-00044</t>
  </si>
  <si>
    <t>INV-00045</t>
  </si>
  <si>
    <t>INV-00046</t>
  </si>
  <si>
    <t>INV-00047</t>
  </si>
  <si>
    <t>INV-00048</t>
  </si>
  <si>
    <t>INV-00049</t>
  </si>
  <si>
    <t>INV-00050</t>
  </si>
  <si>
    <t>INV-00051</t>
  </si>
  <si>
    <t>INV-00052</t>
  </si>
  <si>
    <t>INV-00053</t>
  </si>
  <si>
    <t>INV-00054</t>
  </si>
  <si>
    <t>INV-00055</t>
  </si>
  <si>
    <t>INV-00056</t>
  </si>
  <si>
    <t>INV-00057</t>
  </si>
  <si>
    <t>INV-00058</t>
  </si>
  <si>
    <t>INV-00059</t>
  </si>
  <si>
    <t>INV-00060</t>
  </si>
  <si>
    <t>INV-00061</t>
  </si>
  <si>
    <t>INV-00062</t>
  </si>
  <si>
    <t>INV-00063</t>
  </si>
  <si>
    <t>INV-00064</t>
  </si>
  <si>
    <t>INV-00065</t>
  </si>
  <si>
    <t>INV-00066</t>
  </si>
  <si>
    <t>INV-00067</t>
  </si>
  <si>
    <t>INV-00068</t>
  </si>
  <si>
    <t>INV-00069</t>
  </si>
  <si>
    <t>INV-00070</t>
  </si>
  <si>
    <t>INV-00071</t>
  </si>
  <si>
    <t>INV-00072</t>
  </si>
  <si>
    <t>INV-00073</t>
  </si>
  <si>
    <t>INV-00074</t>
  </si>
  <si>
    <t>INV-00075</t>
  </si>
  <si>
    <t>INV-00076</t>
  </si>
  <si>
    <t>INV-00077</t>
  </si>
  <si>
    <t>INV-00078</t>
  </si>
  <si>
    <t>INV-00079</t>
  </si>
  <si>
    <t>INV-00080</t>
  </si>
  <si>
    <t>INV-00081</t>
  </si>
  <si>
    <t>INV-00082</t>
  </si>
  <si>
    <t>INV-00083</t>
  </si>
  <si>
    <t>INV-00084</t>
  </si>
  <si>
    <t>INV-00085</t>
  </si>
  <si>
    <t>INV-00086</t>
  </si>
  <si>
    <t>INV-00087</t>
  </si>
  <si>
    <t>INV-00088</t>
  </si>
  <si>
    <t>INV-00089</t>
  </si>
  <si>
    <t>INV-00090</t>
  </si>
  <si>
    <t>INV-00091</t>
  </si>
  <si>
    <t>INV-00092</t>
  </si>
  <si>
    <t>INV-00093</t>
  </si>
  <si>
    <t>INV-00094</t>
  </si>
  <si>
    <t>INV-00095</t>
  </si>
  <si>
    <t>INV-00096</t>
  </si>
  <si>
    <t>INV-00097</t>
  </si>
  <si>
    <t>INV-00098</t>
  </si>
  <si>
    <t>INV-00099</t>
  </si>
  <si>
    <t>INV-00100</t>
  </si>
  <si>
    <t>INV-00101</t>
  </si>
  <si>
    <t>INV-00102</t>
  </si>
  <si>
    <t>INV-00103</t>
  </si>
  <si>
    <t>INV-00104</t>
  </si>
  <si>
    <t>INV-00105</t>
  </si>
  <si>
    <t>INV-00106</t>
  </si>
  <si>
    <t>INV-00107</t>
  </si>
  <si>
    <t>INV-00108</t>
  </si>
  <si>
    <t>INV-00109</t>
  </si>
  <si>
    <t>INV-00110</t>
  </si>
  <si>
    <t>INV-00111</t>
  </si>
  <si>
    <t>INV-00112</t>
  </si>
  <si>
    <t>INV-00113</t>
  </si>
  <si>
    <t>INV-00114</t>
  </si>
  <si>
    <t>INV-00115</t>
  </si>
  <si>
    <t>INV-00116</t>
  </si>
  <si>
    <t>INV-00117</t>
  </si>
  <si>
    <t>INV-00118</t>
  </si>
  <si>
    <t>INV-00119</t>
  </si>
  <si>
    <t>INV-00120</t>
  </si>
  <si>
    <t>INV-00121</t>
  </si>
  <si>
    <t>INV-00122</t>
  </si>
  <si>
    <t>INV-00123</t>
  </si>
  <si>
    <t>INV-00124</t>
  </si>
  <si>
    <t>INV-00125</t>
  </si>
  <si>
    <t>INV-00126</t>
  </si>
  <si>
    <t>INV-00127</t>
  </si>
  <si>
    <t>INV-00128</t>
  </si>
  <si>
    <t>INV-00129</t>
  </si>
  <si>
    <t>INV-00130</t>
  </si>
  <si>
    <t>INV-00131</t>
  </si>
  <si>
    <t>INV-00132</t>
  </si>
  <si>
    <t>INV-00133</t>
  </si>
  <si>
    <t>INV-00134</t>
  </si>
  <si>
    <t>INV-00135</t>
  </si>
  <si>
    <t>INV-00136</t>
  </si>
  <si>
    <t>INV-00137</t>
  </si>
  <si>
    <t>INV-00138</t>
  </si>
  <si>
    <t>INV-00139</t>
  </si>
  <si>
    <t>INV-00140</t>
  </si>
  <si>
    <t>INV-00141</t>
  </si>
  <si>
    <t>INV-00142</t>
  </si>
  <si>
    <t>INV-00143</t>
  </si>
  <si>
    <t>INV-00144</t>
  </si>
  <si>
    <t>INV-00145</t>
  </si>
  <si>
    <t>INV-00146</t>
  </si>
  <si>
    <t>INV-00147</t>
  </si>
  <si>
    <t>INV-00148</t>
  </si>
  <si>
    <t>INV-00149</t>
  </si>
  <si>
    <t>INV-00150</t>
  </si>
  <si>
    <t>INV-00151</t>
  </si>
  <si>
    <t>INV-00152</t>
  </si>
  <si>
    <t>INV-00153</t>
  </si>
  <si>
    <t>INV-00154</t>
  </si>
  <si>
    <t>INV-00155</t>
  </si>
  <si>
    <t>INV-00156</t>
  </si>
  <si>
    <t>INV-00157</t>
  </si>
  <si>
    <t>INV-00158</t>
  </si>
  <si>
    <t>INV-00159</t>
  </si>
  <si>
    <t>INV-00160</t>
  </si>
  <si>
    <t>INV-00161</t>
  </si>
  <si>
    <t>INV-00162</t>
  </si>
  <si>
    <t>INV-00163</t>
  </si>
  <si>
    <t>INV-00164</t>
  </si>
  <si>
    <t>INV-00165</t>
  </si>
  <si>
    <t>INV-00166</t>
  </si>
  <si>
    <t>INV-00167</t>
  </si>
  <si>
    <t>INV-00168</t>
  </si>
  <si>
    <t>INV-00169</t>
  </si>
  <si>
    <t>INV-00170</t>
  </si>
  <si>
    <t>INV-00171</t>
  </si>
  <si>
    <t>INV-00172</t>
  </si>
  <si>
    <t>INV-00173</t>
  </si>
  <si>
    <t>INV-00174</t>
  </si>
  <si>
    <t>INV-00175</t>
  </si>
  <si>
    <t>INV-00176</t>
  </si>
  <si>
    <t>INV-00177</t>
  </si>
  <si>
    <t>INV-00178</t>
  </si>
  <si>
    <t>INV-00179</t>
  </si>
  <si>
    <t>INV-00180</t>
  </si>
  <si>
    <t>INV-00181</t>
  </si>
  <si>
    <t>INV-00182</t>
  </si>
  <si>
    <t>INV-00183</t>
  </si>
  <si>
    <t>INV-00184</t>
  </si>
  <si>
    <t>INV-00185</t>
  </si>
  <si>
    <t>INV-00186</t>
  </si>
  <si>
    <t>INV-00187</t>
  </si>
  <si>
    <t>INV-00188</t>
  </si>
  <si>
    <t>INV-00189</t>
  </si>
  <si>
    <t>INV-00190</t>
  </si>
  <si>
    <t>INV-00191</t>
  </si>
  <si>
    <t>INV-00192</t>
  </si>
  <si>
    <t>INV-00193</t>
  </si>
  <si>
    <t>INV-00194</t>
  </si>
  <si>
    <t>INV-00195</t>
  </si>
  <si>
    <t>INV-00196</t>
  </si>
  <si>
    <t>INV-00197</t>
  </si>
  <si>
    <t>INV-00198</t>
  </si>
  <si>
    <t>INV-00199</t>
  </si>
  <si>
    <t>INV-00200</t>
  </si>
  <si>
    <t>INV-00201</t>
  </si>
  <si>
    <t>INV-00202</t>
  </si>
  <si>
    <t>INV-00203</t>
  </si>
  <si>
    <t>INV-00204</t>
  </si>
  <si>
    <t>INV-00205</t>
  </si>
  <si>
    <t>INV-00206</t>
  </si>
  <si>
    <t>INV-00207</t>
  </si>
  <si>
    <t>INV-00208</t>
  </si>
  <si>
    <t>INV-00209</t>
  </si>
  <si>
    <t>INV-00210</t>
  </si>
  <si>
    <t>INV-00211</t>
  </si>
  <si>
    <t>INV-00212</t>
  </si>
  <si>
    <t>INV-00213</t>
  </si>
  <si>
    <t>INV-00214</t>
  </si>
  <si>
    <t>INV-00215</t>
  </si>
  <si>
    <t>INV-00216</t>
  </si>
  <si>
    <t>INV-00217</t>
  </si>
  <si>
    <t>INV-00218</t>
  </si>
  <si>
    <t>INV-00219</t>
  </si>
  <si>
    <t>INV-00220</t>
  </si>
  <si>
    <t>INV-00221</t>
  </si>
  <si>
    <t>INV-00222</t>
  </si>
  <si>
    <t>INV-00223</t>
  </si>
  <si>
    <t>INV-00224</t>
  </si>
  <si>
    <t>INV-00225</t>
  </si>
  <si>
    <t>INV-00226</t>
  </si>
  <si>
    <t>INV-00227</t>
  </si>
  <si>
    <t>INV-00228</t>
  </si>
  <si>
    <t>INV-00229</t>
  </si>
  <si>
    <t>INV-00230</t>
  </si>
  <si>
    <t>INV-00231</t>
  </si>
  <si>
    <t>INV-00232</t>
  </si>
  <si>
    <t>INV-00233</t>
  </si>
  <si>
    <t>INV-00234</t>
  </si>
  <si>
    <t>INV-00235</t>
  </si>
  <si>
    <t>INV-00236</t>
  </si>
  <si>
    <t>INV-00237</t>
  </si>
  <si>
    <t>INV-00238</t>
  </si>
  <si>
    <t>INV-00239</t>
  </si>
  <si>
    <t>INV-00240</t>
  </si>
  <si>
    <t>INV-00241</t>
  </si>
  <si>
    <t>INV-00242</t>
  </si>
  <si>
    <t>INV-00243</t>
  </si>
  <si>
    <t>INV-00244</t>
  </si>
  <si>
    <t>INV-00245</t>
  </si>
  <si>
    <t>INV-00246</t>
  </si>
  <si>
    <t>INV-00247</t>
  </si>
  <si>
    <t>INV-00248</t>
  </si>
  <si>
    <t>INV-00249</t>
  </si>
  <si>
    <t>INV-00250</t>
  </si>
  <si>
    <t>INV-00251</t>
  </si>
  <si>
    <t>INV-00252</t>
  </si>
  <si>
    <t>INV-00253</t>
  </si>
  <si>
    <t>INV-00254</t>
  </si>
  <si>
    <t>INV-00255</t>
  </si>
  <si>
    <t>INV-00256</t>
  </si>
  <si>
    <t>INV-00257</t>
  </si>
  <si>
    <t>INV-00258</t>
  </si>
  <si>
    <t>INV-00259</t>
  </si>
  <si>
    <t>INV-00260</t>
  </si>
  <si>
    <t>INV-00261</t>
  </si>
  <si>
    <t>INV-00262</t>
  </si>
  <si>
    <t>INV-00263</t>
  </si>
  <si>
    <t>INV-00264</t>
  </si>
  <si>
    <t>INV-00265</t>
  </si>
  <si>
    <t>INV-00266</t>
  </si>
  <si>
    <t>INV-00267</t>
  </si>
  <si>
    <t>INV-00268</t>
  </si>
  <si>
    <t>INV-00269</t>
  </si>
  <si>
    <t>INV-00270</t>
  </si>
  <si>
    <t>INV-00271</t>
  </si>
  <si>
    <t>INV-00272</t>
  </si>
  <si>
    <t>INV-00273</t>
  </si>
  <si>
    <t>INV-00274</t>
  </si>
  <si>
    <t>INV-00275</t>
  </si>
  <si>
    <t>INV-00276</t>
  </si>
  <si>
    <t>INV-00277</t>
  </si>
  <si>
    <t>INV-00278</t>
  </si>
  <si>
    <t>INV-00279</t>
  </si>
  <si>
    <t>INV-00280</t>
  </si>
  <si>
    <t>INV-00281</t>
  </si>
  <si>
    <t>INV-00282</t>
  </si>
  <si>
    <t>INV-00283</t>
  </si>
  <si>
    <t>INV-00284</t>
  </si>
  <si>
    <t>INV-00285</t>
  </si>
  <si>
    <t>INV-00286</t>
  </si>
  <si>
    <t>INV-00287</t>
  </si>
  <si>
    <t>INV-00288</t>
  </si>
  <si>
    <t>INV-00289</t>
  </si>
  <si>
    <t>INV-00290</t>
  </si>
  <si>
    <t>INV-00291</t>
  </si>
  <si>
    <t>INV-00292</t>
  </si>
  <si>
    <t>INV-00293</t>
  </si>
  <si>
    <t>INV-00294</t>
  </si>
  <si>
    <t>INV-00295</t>
  </si>
  <si>
    <t>INV-00296</t>
  </si>
  <si>
    <t>INV-00297</t>
  </si>
  <si>
    <t>INV-00298</t>
  </si>
  <si>
    <t>INV-00299</t>
  </si>
  <si>
    <t>INV-00300</t>
  </si>
  <si>
    <t>INV-00301</t>
  </si>
  <si>
    <t>INV-00302</t>
  </si>
  <si>
    <t>INV-00303</t>
  </si>
  <si>
    <t>INV-00304</t>
  </si>
  <si>
    <t>INV-00305</t>
  </si>
  <si>
    <t>INV-00306</t>
  </si>
  <si>
    <t>INV-00307</t>
  </si>
  <si>
    <t>INV-00308</t>
  </si>
  <si>
    <t>INV-00309</t>
  </si>
  <si>
    <t>INV-00310</t>
  </si>
  <si>
    <t>INV-00311</t>
  </si>
  <si>
    <t>INV-00312</t>
  </si>
  <si>
    <t>INV-00313</t>
  </si>
  <si>
    <t>INV-00314</t>
  </si>
  <si>
    <t>INV-00315</t>
  </si>
  <si>
    <t>INV-00316</t>
  </si>
  <si>
    <t>INV-00317</t>
  </si>
  <si>
    <t>INV-00318</t>
  </si>
  <si>
    <t>INV-00319</t>
  </si>
  <si>
    <t>INV-00320</t>
  </si>
  <si>
    <t>INV-00321</t>
  </si>
  <si>
    <t>INV-00322</t>
  </si>
  <si>
    <t>INV-00323</t>
  </si>
  <si>
    <t>INV-00324</t>
  </si>
  <si>
    <t>INV-00325</t>
  </si>
  <si>
    <t>INV-00326</t>
  </si>
  <si>
    <t>INV-00327</t>
  </si>
  <si>
    <t>INV-00328</t>
  </si>
  <si>
    <t>INV-00329</t>
  </si>
  <si>
    <t>INV-00330</t>
  </si>
  <si>
    <t>INV-00331</t>
  </si>
  <si>
    <t>INV-00332</t>
  </si>
  <si>
    <t>INV-00333</t>
  </si>
  <si>
    <t>INV-00334</t>
  </si>
  <si>
    <t>INV-00335</t>
  </si>
  <si>
    <t>INV-00336</t>
  </si>
  <si>
    <t>INV-00337</t>
  </si>
  <si>
    <t>INV-00338</t>
  </si>
  <si>
    <t>INV-00339</t>
  </si>
  <si>
    <t>INV-00340</t>
  </si>
  <si>
    <t>INV-00341</t>
  </si>
  <si>
    <t>INV-00342</t>
  </si>
  <si>
    <t>INV-00343</t>
  </si>
  <si>
    <t>INV-00344</t>
  </si>
  <si>
    <t>INV-00345</t>
  </si>
  <si>
    <t>INV-00346</t>
  </si>
  <si>
    <t>INV-00347</t>
  </si>
  <si>
    <t>INV-00348</t>
  </si>
  <si>
    <t>INV-00349</t>
  </si>
  <si>
    <t>INV-00350</t>
  </si>
  <si>
    <t>INV-00351</t>
  </si>
  <si>
    <t>INV-00352</t>
  </si>
  <si>
    <t>INV-00353</t>
  </si>
  <si>
    <t>INV-00354</t>
  </si>
  <si>
    <t>INV-00355</t>
  </si>
  <si>
    <t>INV-00356</t>
  </si>
  <si>
    <t>INV-00357</t>
  </si>
  <si>
    <t>INV-00358</t>
  </si>
  <si>
    <t>INV-00359</t>
  </si>
  <si>
    <t>INV-00360</t>
  </si>
  <si>
    <t>INV-00361</t>
  </si>
  <si>
    <t>INV-00362</t>
  </si>
  <si>
    <t>INV-00363</t>
  </si>
  <si>
    <t>INV-00364</t>
  </si>
  <si>
    <t>INV-00365</t>
  </si>
  <si>
    <t>INV-00366</t>
  </si>
  <si>
    <t>INV-00367</t>
  </si>
  <si>
    <t>INV-00368</t>
  </si>
  <si>
    <t>INV-00369</t>
  </si>
  <si>
    <t>INV-00370</t>
  </si>
  <si>
    <t>INV-00371</t>
  </si>
  <si>
    <t>INV-00372</t>
  </si>
  <si>
    <t>INV-00373</t>
  </si>
  <si>
    <t>INV-00374</t>
  </si>
  <si>
    <t>INV-00375</t>
  </si>
  <si>
    <t>INV-00376</t>
  </si>
  <si>
    <t>INV-00377</t>
  </si>
  <si>
    <t>INV-00378</t>
  </si>
  <si>
    <t>INV-00379</t>
  </si>
  <si>
    <t>INV-00380</t>
  </si>
  <si>
    <t>INV-00381</t>
  </si>
  <si>
    <t>INV-00382</t>
  </si>
  <si>
    <t>INV-00383</t>
  </si>
  <si>
    <t>INV-00384</t>
  </si>
  <si>
    <t>INV-00385</t>
  </si>
  <si>
    <t>INV-00386</t>
  </si>
  <si>
    <t>INV-00387</t>
  </si>
  <si>
    <t>INV-00388</t>
  </si>
  <si>
    <t>INV-00389</t>
  </si>
  <si>
    <t>INV-00390</t>
  </si>
  <si>
    <t>INV-00391</t>
  </si>
  <si>
    <t>INV-00392</t>
  </si>
  <si>
    <t>INV-00393</t>
  </si>
  <si>
    <t>INV-00394</t>
  </si>
  <si>
    <t>INV-00395</t>
  </si>
  <si>
    <t>INV-00396</t>
  </si>
  <si>
    <t>INV-00397</t>
  </si>
  <si>
    <t>INV-00398</t>
  </si>
  <si>
    <t>INV-00399</t>
  </si>
  <si>
    <t>INV-00400</t>
  </si>
  <si>
    <t>INV-00401</t>
  </si>
  <si>
    <t>INV-00402</t>
  </si>
  <si>
    <t>INV-00403</t>
  </si>
  <si>
    <t>INV-00404</t>
  </si>
  <si>
    <t>INV-00405</t>
  </si>
  <si>
    <t>INV-00406</t>
  </si>
  <si>
    <t>INV-00407</t>
  </si>
  <si>
    <t>INV-00408</t>
  </si>
  <si>
    <t>INV-00409</t>
  </si>
  <si>
    <t>INV-00410</t>
  </si>
  <si>
    <t>INV-00411</t>
  </si>
  <si>
    <t>INV-00412</t>
  </si>
  <si>
    <t>INV-00413</t>
  </si>
  <si>
    <t>INV-00414</t>
  </si>
  <si>
    <t>INV-00415</t>
  </si>
  <si>
    <t>INV-00416</t>
  </si>
  <si>
    <t>INV-00417</t>
  </si>
  <si>
    <t>INV-00418</t>
  </si>
  <si>
    <t>INV-00419</t>
  </si>
  <si>
    <t>INV-00420</t>
  </si>
  <si>
    <t>INV-00421</t>
  </si>
  <si>
    <t>INV-00422</t>
  </si>
  <si>
    <t>INV-00423</t>
  </si>
  <si>
    <t>INV-00424</t>
  </si>
  <si>
    <t>INV-00425</t>
  </si>
  <si>
    <t>INV-00426</t>
  </si>
  <si>
    <t>INV-00427</t>
  </si>
  <si>
    <t>INV-00428</t>
  </si>
  <si>
    <t>INV-00429</t>
  </si>
  <si>
    <t>INV-00430</t>
  </si>
  <si>
    <t>INV-00431</t>
  </si>
  <si>
    <t>INV-00432</t>
  </si>
  <si>
    <t>INV-00433</t>
  </si>
  <si>
    <t>INV-00434</t>
  </si>
  <si>
    <t>INV-00435</t>
  </si>
  <si>
    <t>INV-00436</t>
  </si>
  <si>
    <t>INV-00437</t>
  </si>
  <si>
    <t>INV-00438</t>
  </si>
  <si>
    <t>INV-00439</t>
  </si>
  <si>
    <t>INV-00440</t>
  </si>
  <si>
    <t>INV-00441</t>
  </si>
  <si>
    <t>INV-00442</t>
  </si>
  <si>
    <t>INV-00443</t>
  </si>
  <si>
    <t>INV-00444</t>
  </si>
  <si>
    <t>INV-00445</t>
  </si>
  <si>
    <t>INV-00446</t>
  </si>
  <si>
    <t>INV-00447</t>
  </si>
  <si>
    <t>INV-00448</t>
  </si>
  <si>
    <t>INV-00449</t>
  </si>
  <si>
    <t>INV-00450</t>
  </si>
  <si>
    <t>INV-00451</t>
  </si>
  <si>
    <t>INV-00452</t>
  </si>
  <si>
    <t>INV-00453</t>
  </si>
  <si>
    <t>INV-00454</t>
  </si>
  <si>
    <t>INV-00455</t>
  </si>
  <si>
    <t>INV-00456</t>
  </si>
  <si>
    <t>INV-00457</t>
  </si>
  <si>
    <t>INV-00458</t>
  </si>
  <si>
    <t>INV-00459</t>
  </si>
  <si>
    <t>INV-00460</t>
  </si>
  <si>
    <t>INV-00461</t>
  </si>
  <si>
    <t>INV-00462</t>
  </si>
  <si>
    <t>INV-00463</t>
  </si>
  <si>
    <t>INV-00464</t>
  </si>
  <si>
    <t>INV-00465</t>
  </si>
  <si>
    <t>INV-00466</t>
  </si>
  <si>
    <t>INV-00467</t>
  </si>
  <si>
    <t>INV-00468</t>
  </si>
  <si>
    <t>INV-00469</t>
  </si>
  <si>
    <t>INV-00470</t>
  </si>
  <si>
    <t>INV-00471</t>
  </si>
  <si>
    <t>INV-00472</t>
  </si>
  <si>
    <t>INV-00473</t>
  </si>
  <si>
    <t>INV-00474</t>
  </si>
  <si>
    <t>INV-00475</t>
  </si>
  <si>
    <t>INV-00476</t>
  </si>
  <si>
    <t>INV-00477</t>
  </si>
  <si>
    <t>INV-00478</t>
  </si>
  <si>
    <t>INV-00479</t>
  </si>
  <si>
    <t>INV-00480</t>
  </si>
  <si>
    <t>INV-00481</t>
  </si>
  <si>
    <t>INV-00482</t>
  </si>
  <si>
    <t>INV-00483</t>
  </si>
  <si>
    <t>INV-00484</t>
  </si>
  <si>
    <t>INV-00485</t>
  </si>
  <si>
    <t>INV-00486</t>
  </si>
  <si>
    <t>INV-00487</t>
  </si>
  <si>
    <t>INV-00488</t>
  </si>
  <si>
    <t>INV-00489</t>
  </si>
  <si>
    <t>INV-00490</t>
  </si>
  <si>
    <t>INV-00491</t>
  </si>
  <si>
    <t>INV-00492</t>
  </si>
  <si>
    <t>INV-00493</t>
  </si>
  <si>
    <t>INV-00494</t>
  </si>
  <si>
    <t>INV-00495</t>
  </si>
  <si>
    <t>INV-00496</t>
  </si>
  <si>
    <t>INV-00497</t>
  </si>
  <si>
    <t>INV-00498</t>
  </si>
  <si>
    <t>INV-00499</t>
  </si>
  <si>
    <t>INV-00500</t>
  </si>
  <si>
    <t>INV-00501</t>
  </si>
  <si>
    <t>INV-00502</t>
  </si>
  <si>
    <t>INV-00503</t>
  </si>
  <si>
    <t>INV-00504</t>
  </si>
  <si>
    <t>INV-00505</t>
  </si>
  <si>
    <t>INV-00506</t>
  </si>
  <si>
    <t>INV-00507</t>
  </si>
  <si>
    <t>INV-00508</t>
  </si>
  <si>
    <t>INV-00509</t>
  </si>
  <si>
    <t>INV-00510</t>
  </si>
  <si>
    <t>INV-00511</t>
  </si>
  <si>
    <t>INV-00512</t>
  </si>
  <si>
    <t>INV-00513</t>
  </si>
  <si>
    <t>INV-00514</t>
  </si>
  <si>
    <t>INV-00515</t>
  </si>
  <si>
    <t>INV-00516</t>
  </si>
  <si>
    <t>INV-00517</t>
  </si>
  <si>
    <t>INV-00518</t>
  </si>
  <si>
    <t>INV-00519</t>
  </si>
  <si>
    <t>INV-00520</t>
  </si>
  <si>
    <t>INV-00521</t>
  </si>
  <si>
    <t>INV-00522</t>
  </si>
  <si>
    <t>INV-00523</t>
  </si>
  <si>
    <t>INV-00524</t>
  </si>
  <si>
    <t>INV-00525</t>
  </si>
  <si>
    <t>INV-00526</t>
  </si>
  <si>
    <t>INV-00527</t>
  </si>
  <si>
    <t>INV-00528</t>
  </si>
  <si>
    <t>INV-00529</t>
  </si>
  <si>
    <t>INV-00530</t>
  </si>
  <si>
    <t>INV-00531</t>
  </si>
  <si>
    <t>INV-00532</t>
  </si>
  <si>
    <t>INV-00533</t>
  </si>
  <si>
    <t>INV-00534</t>
  </si>
  <si>
    <t>INV-00535</t>
  </si>
  <si>
    <t>INV-00536</t>
  </si>
  <si>
    <t>INV-00537</t>
  </si>
  <si>
    <t>INV-00538</t>
  </si>
  <si>
    <t>INV-00539</t>
  </si>
  <si>
    <t>INV-00540</t>
  </si>
  <si>
    <t>INV-00541</t>
  </si>
  <si>
    <t>INV-00542</t>
  </si>
  <si>
    <t>INV-00543</t>
  </si>
  <si>
    <t>INV-00544</t>
  </si>
  <si>
    <t>INV-00545</t>
  </si>
  <si>
    <t>INV-00546</t>
  </si>
  <si>
    <t>INV-00547</t>
  </si>
  <si>
    <t>INV-00548</t>
  </si>
  <si>
    <t>INV-00549</t>
  </si>
  <si>
    <t>INV-00550</t>
  </si>
  <si>
    <t>INV-00551</t>
  </si>
  <si>
    <t>INV-00552</t>
  </si>
  <si>
    <t>INV-00553</t>
  </si>
  <si>
    <t>INV-00554</t>
  </si>
  <si>
    <t>INV-00555</t>
  </si>
  <si>
    <t>INV-00556</t>
  </si>
  <si>
    <t>INV-00557</t>
  </si>
  <si>
    <t>INV-00558</t>
  </si>
  <si>
    <t>INV-00559</t>
  </si>
  <si>
    <t>INV-00560</t>
  </si>
  <si>
    <t>INV-00561</t>
  </si>
  <si>
    <t>INV-00562</t>
  </si>
  <si>
    <t>INV-00563</t>
  </si>
  <si>
    <t>INV-00564</t>
  </si>
  <si>
    <t>INV-00565</t>
  </si>
  <si>
    <t>INV-00566</t>
  </si>
  <si>
    <t>INV-00567</t>
  </si>
  <si>
    <t>INV-00568</t>
  </si>
  <si>
    <t>INV-00569</t>
  </si>
  <si>
    <t>INV-00570</t>
  </si>
  <si>
    <t>INV-00571</t>
  </si>
  <si>
    <t>INV-00572</t>
  </si>
  <si>
    <t>INV-00573</t>
  </si>
  <si>
    <t>INV-00574</t>
  </si>
  <si>
    <t>INV-00575</t>
  </si>
  <si>
    <t>INV-00576</t>
  </si>
  <si>
    <t>INV-00577</t>
  </si>
  <si>
    <t>INV-00578</t>
  </si>
  <si>
    <t>INV-00579</t>
  </si>
  <si>
    <t>INV-00580</t>
  </si>
  <si>
    <t>INV-00581</t>
  </si>
  <si>
    <t>INV-00582</t>
  </si>
  <si>
    <t>INV-00583</t>
  </si>
  <si>
    <t>INV-00584</t>
  </si>
  <si>
    <t>INV-00585</t>
  </si>
  <si>
    <t>INV-00586</t>
  </si>
  <si>
    <t>INV-00587</t>
  </si>
  <si>
    <t>INV-00588</t>
  </si>
  <si>
    <t>INV-00589</t>
  </si>
  <si>
    <t>INV-00590</t>
  </si>
  <si>
    <t>INV-00591</t>
  </si>
  <si>
    <t>INV-00592</t>
  </si>
  <si>
    <t>INV-00593</t>
  </si>
  <si>
    <t>INV-00594</t>
  </si>
  <si>
    <t>INV-00595</t>
  </si>
  <si>
    <t>INV-00596</t>
  </si>
  <si>
    <t>INV-00597</t>
  </si>
  <si>
    <t>INV-00598</t>
  </si>
  <si>
    <t>INV-00599</t>
  </si>
  <si>
    <t>INV-00600</t>
  </si>
  <si>
    <t>INV-00601</t>
  </si>
  <si>
    <t>INV-00602</t>
  </si>
  <si>
    <t>INV-00603</t>
  </si>
  <si>
    <t>INV-00604</t>
  </si>
  <si>
    <t>INV-00605</t>
  </si>
  <si>
    <t>INV-00606</t>
  </si>
  <si>
    <t>INV-00607</t>
  </si>
  <si>
    <t>INV-00608</t>
  </si>
  <si>
    <t>INV-00609</t>
  </si>
  <si>
    <t>INV-00610</t>
  </si>
  <si>
    <t>INV-00611</t>
  </si>
  <si>
    <t>INV-00612</t>
  </si>
  <si>
    <t>INV-00613</t>
  </si>
  <si>
    <t>INV-00614</t>
  </si>
  <si>
    <t>INV-00615</t>
  </si>
  <si>
    <t>INV-00616</t>
  </si>
  <si>
    <t>INV-00617</t>
  </si>
  <si>
    <t>INV-00618</t>
  </si>
  <si>
    <t>INV-00619</t>
  </si>
  <si>
    <t>INV-00620</t>
  </si>
  <si>
    <t>INV-00621</t>
  </si>
  <si>
    <t>INV-00622</t>
  </si>
  <si>
    <t>INV-00623</t>
  </si>
  <si>
    <t>INV-00624</t>
  </si>
  <si>
    <t>INV-00625</t>
  </si>
  <si>
    <t>INV-00626</t>
  </si>
  <si>
    <t>INV-00627</t>
  </si>
  <si>
    <t>INV-00628</t>
  </si>
  <si>
    <t>INV-00629</t>
  </si>
  <si>
    <t>INV-00630</t>
  </si>
  <si>
    <t>INV-00631</t>
  </si>
  <si>
    <t>INV-00632</t>
  </si>
  <si>
    <t>INV-00633</t>
  </si>
  <si>
    <t>INV-00634</t>
  </si>
  <si>
    <t>INV-00635</t>
  </si>
  <si>
    <t>INV-00636</t>
  </si>
  <si>
    <t>INV-00637</t>
  </si>
  <si>
    <t>INV-00638</t>
  </si>
  <si>
    <t>INV-00639</t>
  </si>
  <si>
    <t>INV-00640</t>
  </si>
  <si>
    <t>INV-00641</t>
  </si>
  <si>
    <t>INV-00642</t>
  </si>
  <si>
    <t>INV-00643</t>
  </si>
  <si>
    <t>INV-00644</t>
  </si>
  <si>
    <t>INV-00645</t>
  </si>
  <si>
    <t>INV-00646</t>
  </si>
  <si>
    <t>INV-00647</t>
  </si>
  <si>
    <t>INV-00648</t>
  </si>
  <si>
    <t>INV-00649</t>
  </si>
  <si>
    <t>INV-00650</t>
  </si>
  <si>
    <t>INV-00651</t>
  </si>
  <si>
    <t>INV-00652</t>
  </si>
  <si>
    <t>INV-00653</t>
  </si>
  <si>
    <t>INV-00654</t>
  </si>
  <si>
    <t>INV-00655</t>
  </si>
  <si>
    <t>INV-00656</t>
  </si>
  <si>
    <t>INV-00657</t>
  </si>
  <si>
    <t>INV-00658</t>
  </si>
  <si>
    <t>INV-00659</t>
  </si>
  <si>
    <t>INV-00660</t>
  </si>
  <si>
    <t>INV-00661</t>
  </si>
  <si>
    <t>INV-00662</t>
  </si>
  <si>
    <t>INV-00663</t>
  </si>
  <si>
    <t>INV-00664</t>
  </si>
  <si>
    <t>INV-00665</t>
  </si>
  <si>
    <t>INV-00666</t>
  </si>
  <si>
    <t>INV-00667</t>
  </si>
  <si>
    <t>INV-00668</t>
  </si>
  <si>
    <t>INV-00669</t>
  </si>
  <si>
    <t>INV-00670</t>
  </si>
  <si>
    <t>INV-00671</t>
  </si>
  <si>
    <t>INV-00672</t>
  </si>
  <si>
    <t>INV-00673</t>
  </si>
  <si>
    <t>INV-00674</t>
  </si>
  <si>
    <t>INV-00675</t>
  </si>
  <si>
    <t>INV-00676</t>
  </si>
  <si>
    <t>INV-00677</t>
  </si>
  <si>
    <t>INV-00678</t>
  </si>
  <si>
    <t>INV-00679</t>
  </si>
  <si>
    <t>INV-00680</t>
  </si>
  <si>
    <t>INV-00681</t>
  </si>
  <si>
    <t>INV-00682</t>
  </si>
  <si>
    <t>INV-00683</t>
  </si>
  <si>
    <t>INV-00684</t>
  </si>
  <si>
    <t>INV-00685</t>
  </si>
  <si>
    <t>INV-00686</t>
  </si>
  <si>
    <t>INV-00687</t>
  </si>
  <si>
    <t>INV-00688</t>
  </si>
  <si>
    <t>INV-00689</t>
  </si>
  <si>
    <t>INV-00690</t>
  </si>
  <si>
    <t>INV-00691</t>
  </si>
  <si>
    <t>INV-00692</t>
  </si>
  <si>
    <t>INV-00693</t>
  </si>
  <si>
    <t>INV-00694</t>
  </si>
  <si>
    <t>INV-00695</t>
  </si>
  <si>
    <t>INV-00696</t>
  </si>
  <si>
    <t>INV-00697</t>
  </si>
  <si>
    <t>INV-00698</t>
  </si>
  <si>
    <t>INV-00699</t>
  </si>
  <si>
    <t>INV-00700</t>
  </si>
  <si>
    <t>INV-00701</t>
  </si>
  <si>
    <t>INV-00702</t>
  </si>
  <si>
    <t>INV-00703</t>
  </si>
  <si>
    <t>INV-00704</t>
  </si>
  <si>
    <t>INV-00705</t>
  </si>
  <si>
    <t>INV-00706</t>
  </si>
  <si>
    <t>INV-00707</t>
  </si>
  <si>
    <t>INV-00708</t>
  </si>
  <si>
    <t>INV-00709</t>
  </si>
  <si>
    <t>INV-00710</t>
  </si>
  <si>
    <t>INV-00711</t>
  </si>
  <si>
    <t>INV-00712</t>
  </si>
  <si>
    <t>INV-00713</t>
  </si>
  <si>
    <t>INV-00714</t>
  </si>
  <si>
    <t>INV-00715</t>
  </si>
  <si>
    <t>INV-00716</t>
  </si>
  <si>
    <t>INV-00717</t>
  </si>
  <si>
    <t>INV-00718</t>
  </si>
  <si>
    <t>INV-00719</t>
  </si>
  <si>
    <t>INV-00720</t>
  </si>
  <si>
    <t>INV-00721</t>
  </si>
  <si>
    <t>INV-00722</t>
  </si>
  <si>
    <t>INV-00723</t>
  </si>
  <si>
    <t>INV-00724</t>
  </si>
  <si>
    <t>INV-00725</t>
  </si>
  <si>
    <t>INV-00726</t>
  </si>
  <si>
    <t>INV-00727</t>
  </si>
  <si>
    <t>INV-00728</t>
  </si>
  <si>
    <t>INV-00729</t>
  </si>
  <si>
    <t>INV-00730</t>
  </si>
  <si>
    <t>INV-00731</t>
  </si>
  <si>
    <t>INV-00732</t>
  </si>
  <si>
    <t>INV-00733</t>
  </si>
  <si>
    <t>INV-00734</t>
  </si>
  <si>
    <t>INV-00735</t>
  </si>
  <si>
    <t>INV-00736</t>
  </si>
  <si>
    <t>INV-00737</t>
  </si>
  <si>
    <t>INV-00738</t>
  </si>
  <si>
    <t>INV-00739</t>
  </si>
  <si>
    <t>INV-00740</t>
  </si>
  <si>
    <t>INV-00741</t>
  </si>
  <si>
    <t>INV-00742</t>
  </si>
  <si>
    <t>INV-00743</t>
  </si>
  <si>
    <t>INV-00744</t>
  </si>
  <si>
    <t>INV-00745</t>
  </si>
  <si>
    <t>INV-00746</t>
  </si>
  <si>
    <t>INV-00747</t>
  </si>
  <si>
    <t>INV-00748</t>
  </si>
  <si>
    <t>INV-00749</t>
  </si>
  <si>
    <t>INV-00750</t>
  </si>
  <si>
    <t>INV-00751</t>
  </si>
  <si>
    <t>INV-00752</t>
  </si>
  <si>
    <t>INV-00753</t>
  </si>
  <si>
    <t>INV-00754</t>
  </si>
  <si>
    <t>INV-00755</t>
  </si>
  <si>
    <t>INV-00756</t>
  </si>
  <si>
    <t>INV-00757</t>
  </si>
  <si>
    <t>INV-00758</t>
  </si>
  <si>
    <t>INV-00759</t>
  </si>
  <si>
    <t>INV-00760</t>
  </si>
  <si>
    <t>INV-00761</t>
  </si>
  <si>
    <t>INV-00762</t>
  </si>
  <si>
    <t>INV-00763</t>
  </si>
  <si>
    <t>INV-00764</t>
  </si>
  <si>
    <t>INV-00765</t>
  </si>
  <si>
    <t>INV-00766</t>
  </si>
  <si>
    <t>INV-00767</t>
  </si>
  <si>
    <t>INV-00768</t>
  </si>
  <si>
    <t>INV-00769</t>
  </si>
  <si>
    <t>INV-00770</t>
  </si>
  <si>
    <t>INV-00771</t>
  </si>
  <si>
    <t>INV-00772</t>
  </si>
  <si>
    <t>INV-00773</t>
  </si>
  <si>
    <t>INV-00774</t>
  </si>
  <si>
    <t>INV-00775</t>
  </si>
  <si>
    <t>INV-00776</t>
  </si>
  <si>
    <t>INV-00777</t>
  </si>
  <si>
    <t>INV-00778</t>
  </si>
  <si>
    <t>INV-00779</t>
  </si>
  <si>
    <t>INV-00780</t>
  </si>
  <si>
    <t>INV-00781</t>
  </si>
  <si>
    <t>INV-00782</t>
  </si>
  <si>
    <t>INV-00783</t>
  </si>
  <si>
    <t>INV-00784</t>
  </si>
  <si>
    <t>INV-00785</t>
  </si>
  <si>
    <t>INV-00786</t>
  </si>
  <si>
    <t>INV-00787</t>
  </si>
  <si>
    <t>INV-00788</t>
  </si>
  <si>
    <t>INV-00789</t>
  </si>
  <si>
    <t>INV-00790</t>
  </si>
  <si>
    <t>INV-00791</t>
  </si>
  <si>
    <t>INV-00792</t>
  </si>
  <si>
    <t>INV-00793</t>
  </si>
  <si>
    <t>INV-00794</t>
  </si>
  <si>
    <t>INV-00795</t>
  </si>
  <si>
    <t>INV-00796</t>
  </si>
  <si>
    <t>INV-00797</t>
  </si>
  <si>
    <t>INV-00798</t>
  </si>
  <si>
    <t>INV-00799</t>
  </si>
  <si>
    <t>INV-00800</t>
  </si>
  <si>
    <t>INV-00801</t>
  </si>
  <si>
    <t>INV-00802</t>
  </si>
  <si>
    <t>INV-00803</t>
  </si>
  <si>
    <t>INV-00804</t>
  </si>
  <si>
    <t>INV-00805</t>
  </si>
  <si>
    <t>INV-00806</t>
  </si>
  <si>
    <t>INV-00807</t>
  </si>
  <si>
    <t>INV-00808</t>
  </si>
  <si>
    <t>INV-00809</t>
  </si>
  <si>
    <t>INV-00810</t>
  </si>
  <si>
    <t>INV-00811</t>
  </si>
  <si>
    <t>INV-00812</t>
  </si>
  <si>
    <t>INV-00813</t>
  </si>
  <si>
    <t>INV-00814</t>
  </si>
  <si>
    <t>INV-00815</t>
  </si>
  <si>
    <t>INV-00816</t>
  </si>
  <si>
    <t>INV-00817</t>
  </si>
  <si>
    <t>INV-00818</t>
  </si>
  <si>
    <t>INV-00819</t>
  </si>
  <si>
    <t>INV-00820</t>
  </si>
  <si>
    <t>INV-00821</t>
  </si>
  <si>
    <t>INV-00822</t>
  </si>
  <si>
    <t>INV-00823</t>
  </si>
  <si>
    <t>INV-00824</t>
  </si>
  <si>
    <t>INV-00825</t>
  </si>
  <si>
    <t>INV-00826</t>
  </si>
  <si>
    <t>INV-00827</t>
  </si>
  <si>
    <t>INV-00828</t>
  </si>
  <si>
    <t>INV-00829</t>
  </si>
  <si>
    <t>INV-00830</t>
  </si>
  <si>
    <t>INV-00831</t>
  </si>
  <si>
    <t>INV-00832</t>
  </si>
  <si>
    <t>INV-00833</t>
  </si>
  <si>
    <t>INV-00834</t>
  </si>
  <si>
    <t>INV-00835</t>
  </si>
  <si>
    <t>INV-00836</t>
  </si>
  <si>
    <t>INV-00837</t>
  </si>
  <si>
    <t>INV-00838</t>
  </si>
  <si>
    <t>INV-00839</t>
  </si>
  <si>
    <t>INV-00840</t>
  </si>
  <si>
    <t>INV-00841</t>
  </si>
  <si>
    <t>INV-00842</t>
  </si>
  <si>
    <t>INV-00843</t>
  </si>
  <si>
    <t>INV-00844</t>
  </si>
  <si>
    <t>INV-00845</t>
  </si>
  <si>
    <t>INV-00846</t>
  </si>
  <si>
    <t>INV-00847</t>
  </si>
  <si>
    <t>INV-00848</t>
  </si>
  <si>
    <t>INV-00849</t>
  </si>
  <si>
    <t>INV-00850</t>
  </si>
  <si>
    <t>INV-00851</t>
  </si>
  <si>
    <t>INV-00852</t>
  </si>
  <si>
    <t>INV-00853</t>
  </si>
  <si>
    <t>INV-00854</t>
  </si>
  <si>
    <t>INV-00855</t>
  </si>
  <si>
    <t>INV-00856</t>
  </si>
  <si>
    <t>INV-00857</t>
  </si>
  <si>
    <t>INV-00858</t>
  </si>
  <si>
    <t>INV-00859</t>
  </si>
  <si>
    <t>INV-00860</t>
  </si>
  <si>
    <t>INV-00861</t>
  </si>
  <si>
    <t>INV-00862</t>
  </si>
  <si>
    <t>INV-00863</t>
  </si>
  <si>
    <t>INV-00864</t>
  </si>
  <si>
    <t>INV-00865</t>
  </si>
  <si>
    <t>INV-00866</t>
  </si>
  <si>
    <t>INV-00867</t>
  </si>
  <si>
    <t>INV-00868</t>
  </si>
  <si>
    <t>INV-00869</t>
  </si>
  <si>
    <t>INV-00870</t>
  </si>
  <si>
    <t>INV-00871</t>
  </si>
  <si>
    <t>INV-00872</t>
  </si>
  <si>
    <t>INV-00873</t>
  </si>
  <si>
    <t>INV-00874</t>
  </si>
  <si>
    <t>INV-00875</t>
  </si>
  <si>
    <t>INV-00876</t>
  </si>
  <si>
    <t>INV-00877</t>
  </si>
  <si>
    <t>INV-00878</t>
  </si>
  <si>
    <t>INV-00879</t>
  </si>
  <si>
    <t>INV-00880</t>
  </si>
  <si>
    <t>INV-00881</t>
  </si>
  <si>
    <t>INV-00882</t>
  </si>
  <si>
    <t>INV-00883</t>
  </si>
  <si>
    <t>INV-00884</t>
  </si>
  <si>
    <t>INV-00885</t>
  </si>
  <si>
    <t>INV-00886</t>
  </si>
  <si>
    <t>INV-00887</t>
  </si>
  <si>
    <t>INV-00888</t>
  </si>
  <si>
    <t>INV-00889</t>
  </si>
  <si>
    <t>INV-00890</t>
  </si>
  <si>
    <t>INV-00891</t>
  </si>
  <si>
    <t>INV-00892</t>
  </si>
  <si>
    <t>INV-00893</t>
  </si>
  <si>
    <t>INV-00894</t>
  </si>
  <si>
    <t>INV-00895</t>
  </si>
  <si>
    <t>INV-00896</t>
  </si>
  <si>
    <t>INV-00897</t>
  </si>
  <si>
    <t>INV-00898</t>
  </si>
  <si>
    <t>INV-00899</t>
  </si>
  <si>
    <t>INV-00900</t>
  </si>
  <si>
    <t>INV-00901</t>
  </si>
  <si>
    <t>INV-00902</t>
  </si>
  <si>
    <t>INV-00903</t>
  </si>
  <si>
    <t>INV-00904</t>
  </si>
  <si>
    <t>INV-00905</t>
  </si>
  <si>
    <t>INV-00906</t>
  </si>
  <si>
    <t>INV-00907</t>
  </si>
  <si>
    <t>INV-00908</t>
  </si>
  <si>
    <t>INV-00909</t>
  </si>
  <si>
    <t>INV-00910</t>
  </si>
  <si>
    <t>INV-00911</t>
  </si>
  <si>
    <t>INV-00912</t>
  </si>
  <si>
    <t>INV-00913</t>
  </si>
  <si>
    <t>INV-00914</t>
  </si>
  <si>
    <t>INV-00915</t>
  </si>
  <si>
    <t>INV-00916</t>
  </si>
  <si>
    <t>INV-00917</t>
  </si>
  <si>
    <t>INV-00918</t>
  </si>
  <si>
    <t>INV-00919</t>
  </si>
  <si>
    <t>INV-00920</t>
  </si>
  <si>
    <t>INV-00921</t>
  </si>
  <si>
    <t>INV-00922</t>
  </si>
  <si>
    <t>INV-00923</t>
  </si>
  <si>
    <t>INV-00924</t>
  </si>
  <si>
    <t>INV-00925</t>
  </si>
  <si>
    <t>INV-00926</t>
  </si>
  <si>
    <t>INV-00927</t>
  </si>
  <si>
    <t>INV-00928</t>
  </si>
  <si>
    <t>INV-00929</t>
  </si>
  <si>
    <t>INV-00930</t>
  </si>
  <si>
    <t>INV-00931</t>
  </si>
  <si>
    <t>INV-00932</t>
  </si>
  <si>
    <t>INV-00933</t>
  </si>
  <si>
    <t>INV-00934</t>
  </si>
  <si>
    <t>INV-00935</t>
  </si>
  <si>
    <t>INV-00936</t>
  </si>
  <si>
    <t>INV-00937</t>
  </si>
  <si>
    <t>INV-00938</t>
  </si>
  <si>
    <t>INV-00939</t>
  </si>
  <si>
    <t>INV-00940</t>
  </si>
  <si>
    <t>INV-00941</t>
  </si>
  <si>
    <t>INV-00942</t>
  </si>
  <si>
    <t>INV-00943</t>
  </si>
  <si>
    <t>INV-00944</t>
  </si>
  <si>
    <t>INV-00945</t>
  </si>
  <si>
    <t>INV-00946</t>
  </si>
  <si>
    <t>INV-00947</t>
  </si>
  <si>
    <t>INV-00948</t>
  </si>
  <si>
    <t>INV-00949</t>
  </si>
  <si>
    <t>INV-00950</t>
  </si>
  <si>
    <t>INV-00951</t>
  </si>
  <si>
    <t>INV-00952</t>
  </si>
  <si>
    <t>INV-00953</t>
  </si>
  <si>
    <t>INV-00954</t>
  </si>
  <si>
    <t>INV-00955</t>
  </si>
  <si>
    <t>INV-00956</t>
  </si>
  <si>
    <t>INV-00957</t>
  </si>
  <si>
    <t>INV-00958</t>
  </si>
  <si>
    <t>INV-00959</t>
  </si>
  <si>
    <t>INV-00960</t>
  </si>
  <si>
    <t>INV-00961</t>
  </si>
  <si>
    <t>INV-00962</t>
  </si>
  <si>
    <t>INV-00963</t>
  </si>
  <si>
    <t>INV-00964</t>
  </si>
  <si>
    <t>INV-00965</t>
  </si>
  <si>
    <t>INV-00966</t>
  </si>
  <si>
    <t>INV-00967</t>
  </si>
  <si>
    <t>INV-00968</t>
  </si>
  <si>
    <t>INV-00969</t>
  </si>
  <si>
    <t>INV-00970</t>
  </si>
  <si>
    <t>INV-00971</t>
  </si>
  <si>
    <t>INV-00972</t>
  </si>
  <si>
    <t>INV-00973</t>
  </si>
  <si>
    <t>INV-00974</t>
  </si>
  <si>
    <t>INV-00975</t>
  </si>
  <si>
    <t>INV-00976</t>
  </si>
  <si>
    <t>INV-00977</t>
  </si>
  <si>
    <t>INV-00978</t>
  </si>
  <si>
    <t>INV-00979</t>
  </si>
  <si>
    <t>INV-00980</t>
  </si>
  <si>
    <t>INV-00981</t>
  </si>
  <si>
    <t>INV-00982</t>
  </si>
  <si>
    <t>INV-00983</t>
  </si>
  <si>
    <t>INV-00984</t>
  </si>
  <si>
    <t>INV-00985</t>
  </si>
  <si>
    <t>INV-00986</t>
  </si>
  <si>
    <t>INV-00987</t>
  </si>
  <si>
    <t>INV-00988</t>
  </si>
  <si>
    <t>INV-00989</t>
  </si>
  <si>
    <t>INV-00990</t>
  </si>
  <si>
    <t>INV-00991</t>
  </si>
  <si>
    <t>INV-00992</t>
  </si>
  <si>
    <t>INV-00993</t>
  </si>
  <si>
    <t>INV-00994</t>
  </si>
  <si>
    <t>INV-00995</t>
  </si>
  <si>
    <t>INV-00996</t>
  </si>
  <si>
    <t>INV-00997</t>
  </si>
  <si>
    <t>INV-00998</t>
  </si>
  <si>
    <t>INV-00999</t>
  </si>
  <si>
    <t>INV-01000</t>
  </si>
  <si>
    <t>INV-01001</t>
  </si>
  <si>
    <t>INV-01002</t>
  </si>
  <si>
    <t>INV-01003</t>
  </si>
  <si>
    <t>INV-01004</t>
  </si>
  <si>
    <t>INV-01005</t>
  </si>
  <si>
    <t>INV-01006</t>
  </si>
  <si>
    <t>INV-01007</t>
  </si>
  <si>
    <t>INV-01008</t>
  </si>
  <si>
    <t>INV-01009</t>
  </si>
  <si>
    <t>INV-01010</t>
  </si>
  <si>
    <t>INV-01011</t>
  </si>
  <si>
    <t>INV-01012</t>
  </si>
  <si>
    <t>INV-01013</t>
  </si>
  <si>
    <t>INV-01014</t>
  </si>
  <si>
    <t>INV-01015</t>
  </si>
  <si>
    <t>INV-01016</t>
  </si>
  <si>
    <t>INV-01017</t>
  </si>
  <si>
    <t>INV-01018</t>
  </si>
  <si>
    <t>INV-01019</t>
  </si>
  <si>
    <t>INV-01020</t>
  </si>
  <si>
    <t>INV-01021</t>
  </si>
  <si>
    <t>INV-01022</t>
  </si>
  <si>
    <t>INV-01023</t>
  </si>
  <si>
    <t>INV-01024</t>
  </si>
  <si>
    <t>INV-01025</t>
  </si>
  <si>
    <t>INV-01026</t>
  </si>
  <si>
    <t>INV-01027</t>
  </si>
  <si>
    <t>INV-01028</t>
  </si>
  <si>
    <t>INV-01029</t>
  </si>
  <si>
    <t>INV-01030</t>
  </si>
  <si>
    <t>INV-01031</t>
  </si>
  <si>
    <t>INV-01032</t>
  </si>
  <si>
    <t>INV-01033</t>
  </si>
  <si>
    <t>INV-01034</t>
  </si>
  <si>
    <t>INV-01035</t>
  </si>
  <si>
    <t>INV-01036</t>
  </si>
  <si>
    <t>INV-01037</t>
  </si>
  <si>
    <t>INV-01038</t>
  </si>
  <si>
    <t>INV-01039</t>
  </si>
  <si>
    <t>INV-01040</t>
  </si>
  <si>
    <t>INV-01041</t>
  </si>
  <si>
    <t>INV-01042</t>
  </si>
  <si>
    <t>INV-01043</t>
  </si>
  <si>
    <t>INV-01044</t>
  </si>
  <si>
    <t>INV-01045</t>
  </si>
  <si>
    <t>INV-01046</t>
  </si>
  <si>
    <t>INV-01047</t>
  </si>
  <si>
    <t>INV-01048</t>
  </si>
  <si>
    <t>INV-01049</t>
  </si>
  <si>
    <t>INV-01050</t>
  </si>
  <si>
    <t>INV-01051</t>
  </si>
  <si>
    <t>INV-01052</t>
  </si>
  <si>
    <t>INV-01053</t>
  </si>
  <si>
    <t>INV-01054</t>
  </si>
  <si>
    <t>INV-01055</t>
  </si>
  <si>
    <t>INV-01056</t>
  </si>
  <si>
    <t>INV-01057</t>
  </si>
  <si>
    <t>INV-01058</t>
  </si>
  <si>
    <t>INV-01059</t>
  </si>
  <si>
    <t>INV-01060</t>
  </si>
  <si>
    <t>INV-01061</t>
  </si>
  <si>
    <t>INV-01062</t>
  </si>
  <si>
    <t>INV-01063</t>
  </si>
  <si>
    <t>INV-01064</t>
  </si>
  <si>
    <t>INV-01065</t>
  </si>
  <si>
    <t>INV-01066</t>
  </si>
  <si>
    <t>INV-01067</t>
  </si>
  <si>
    <t>INV-01068</t>
  </si>
  <si>
    <t>INV-01069</t>
  </si>
  <si>
    <t>INV-01070</t>
  </si>
  <si>
    <t>INV-01071</t>
  </si>
  <si>
    <t>INV-01072</t>
  </si>
  <si>
    <t>INV-01073</t>
  </si>
  <si>
    <t>INV-01074</t>
  </si>
  <si>
    <t>INV-01075</t>
  </si>
  <si>
    <t>INV-01076</t>
  </si>
  <si>
    <t>INV-01077</t>
  </si>
  <si>
    <t>INV-01078</t>
  </si>
  <si>
    <t>INV-01079</t>
  </si>
  <si>
    <t>INV-01080</t>
  </si>
  <si>
    <t>INV-01081</t>
  </si>
  <si>
    <t>INV-01082</t>
  </si>
  <si>
    <t>INV-01083</t>
  </si>
  <si>
    <t>INV-01084</t>
  </si>
  <si>
    <t>INV-01085</t>
  </si>
  <si>
    <t>INV-01086</t>
  </si>
  <si>
    <t>INV-01087</t>
  </si>
  <si>
    <t>INV-01088</t>
  </si>
  <si>
    <t>INV-01089</t>
  </si>
  <si>
    <t>INV-01090</t>
  </si>
  <si>
    <t>INV-01091</t>
  </si>
  <si>
    <t>INV-01092</t>
  </si>
  <si>
    <t>INV-01093</t>
  </si>
  <si>
    <t>INV-01094</t>
  </si>
  <si>
    <t>INV-01095</t>
  </si>
  <si>
    <t>INV-01096</t>
  </si>
  <si>
    <t>INV-01097</t>
  </si>
  <si>
    <t>INV-01098</t>
  </si>
  <si>
    <t>INV-01099</t>
  </si>
  <si>
    <t>INV-01100</t>
  </si>
  <si>
    <t>INV-01101</t>
  </si>
  <si>
    <t>INV-01102</t>
  </si>
  <si>
    <t>INV-01103</t>
  </si>
  <si>
    <t>INV-01104</t>
  </si>
  <si>
    <t>INV-01105</t>
  </si>
  <si>
    <t>INV-01106</t>
  </si>
  <si>
    <t>INV-01107</t>
  </si>
  <si>
    <t>INV-01108</t>
  </si>
  <si>
    <t>INV-01109</t>
  </si>
  <si>
    <t>INV-01110</t>
  </si>
  <si>
    <t>INV-01111</t>
  </si>
  <si>
    <t>INV-01112</t>
  </si>
  <si>
    <t>INV-01113</t>
  </si>
  <si>
    <t>INV-01114</t>
  </si>
  <si>
    <t>INV-01115</t>
  </si>
  <si>
    <t>INV-01116</t>
  </si>
  <si>
    <t>INV-01117</t>
  </si>
  <si>
    <t>INV-01118</t>
  </si>
  <si>
    <t>INV-01119</t>
  </si>
  <si>
    <t>INV-01120</t>
  </si>
  <si>
    <t>INV-01121</t>
  </si>
  <si>
    <t>INV-01122</t>
  </si>
  <si>
    <t>INV-01123</t>
  </si>
  <si>
    <t>INV-01124</t>
  </si>
  <si>
    <t>INV-01125</t>
  </si>
  <si>
    <t>INV-01126</t>
  </si>
  <si>
    <t>INV-01127</t>
  </si>
  <si>
    <t>INV-01128</t>
  </si>
  <si>
    <t>INV-01129</t>
  </si>
  <si>
    <t>INV-01130</t>
  </si>
  <si>
    <t>INV-01131</t>
  </si>
  <si>
    <t>INV-01132</t>
  </si>
  <si>
    <t>INV-01133</t>
  </si>
  <si>
    <t>INV-01134</t>
  </si>
  <si>
    <t>INV-01135</t>
  </si>
  <si>
    <t>INV-01136</t>
  </si>
  <si>
    <t>INV-01137</t>
  </si>
  <si>
    <t>INV-01138</t>
  </si>
  <si>
    <t>INV-01139</t>
  </si>
  <si>
    <t>INV-01140</t>
  </si>
  <si>
    <t>INV-01141</t>
  </si>
  <si>
    <t>INV-01142</t>
  </si>
  <si>
    <t>INV-01143</t>
  </si>
  <si>
    <t>INV-01144</t>
  </si>
  <si>
    <t>INV-01145</t>
  </si>
  <si>
    <t>INV-01146</t>
  </si>
  <si>
    <t>INV-01147</t>
  </si>
  <si>
    <t>INV-01148</t>
  </si>
  <si>
    <t>INV-01149</t>
  </si>
  <si>
    <t>INV-01150</t>
  </si>
  <si>
    <t>INV-01151</t>
  </si>
  <si>
    <t>INV-01152</t>
  </si>
  <si>
    <t>INV-01153</t>
  </si>
  <si>
    <t>INV-01154</t>
  </si>
  <si>
    <t>INV-01155</t>
  </si>
  <si>
    <t>INV-01156</t>
  </si>
  <si>
    <t>INV-01157</t>
  </si>
  <si>
    <t>INV-01158</t>
  </si>
  <si>
    <t>INV-01159</t>
  </si>
  <si>
    <t>INV-01160</t>
  </si>
  <si>
    <t>INV-01161</t>
  </si>
  <si>
    <t>INV-01162</t>
  </si>
  <si>
    <t>INV-01163</t>
  </si>
  <si>
    <t>INV-01164</t>
  </si>
  <si>
    <t>INV-01165</t>
  </si>
  <si>
    <t>INV-01166</t>
  </si>
  <si>
    <t>INV-01167</t>
  </si>
  <si>
    <t>INV-01168</t>
  </si>
  <si>
    <t>INV-01169</t>
  </si>
  <si>
    <t>INV-01170</t>
  </si>
  <si>
    <t>INV-01171</t>
  </si>
  <si>
    <t>INV-01172</t>
  </si>
  <si>
    <t>INV-01173</t>
  </si>
  <si>
    <t>INV-01174</t>
  </si>
  <si>
    <t>INV-01175</t>
  </si>
  <si>
    <t>INV-01176</t>
  </si>
  <si>
    <t>INV-01177</t>
  </si>
  <si>
    <t>INV-01178</t>
  </si>
  <si>
    <t>INV-01179</t>
  </si>
  <si>
    <t>INV-01180</t>
  </si>
  <si>
    <t>INV-01181</t>
  </si>
  <si>
    <t>INV-01182</t>
  </si>
  <si>
    <t>INV-01183</t>
  </si>
  <si>
    <t>INV-01184</t>
  </si>
  <si>
    <t>INV-01185</t>
  </si>
  <si>
    <t>INV-01186</t>
  </si>
  <si>
    <t>INV-01187</t>
  </si>
  <si>
    <t>INV-01188</t>
  </si>
  <si>
    <t>INV-01189</t>
  </si>
  <si>
    <t>INV-01190</t>
  </si>
  <si>
    <t>INV-01191</t>
  </si>
  <si>
    <t>INV-01192</t>
  </si>
  <si>
    <t>INV-01193</t>
  </si>
  <si>
    <t>INV-01194</t>
  </si>
  <si>
    <t>INV-01195</t>
  </si>
  <si>
    <t>INV-01196</t>
  </si>
  <si>
    <t>INV-01197</t>
  </si>
  <si>
    <t>INV-01198</t>
  </si>
  <si>
    <t>INV-01199</t>
  </si>
  <si>
    <t>INV-01200</t>
  </si>
  <si>
    <t>INV-01201</t>
  </si>
  <si>
    <t>INV-01202</t>
  </si>
  <si>
    <t>INV-01203</t>
  </si>
  <si>
    <t>INV-01204</t>
  </si>
  <si>
    <t>INV-01205</t>
  </si>
  <si>
    <t>INV-01206</t>
  </si>
  <si>
    <t>INV-01207</t>
  </si>
  <si>
    <t>INV-01208</t>
  </si>
  <si>
    <t>INV-01209</t>
  </si>
  <si>
    <t>INV-01210</t>
  </si>
  <si>
    <t>INV-01211</t>
  </si>
  <si>
    <t>INV-01212</t>
  </si>
  <si>
    <t>INV-01213</t>
  </si>
  <si>
    <t>INV-01214</t>
  </si>
  <si>
    <t>INV-01215</t>
  </si>
  <si>
    <t>INV-01216</t>
  </si>
  <si>
    <t>INV-01217</t>
  </si>
  <si>
    <t>INV-01218</t>
  </si>
  <si>
    <t>INV-01219</t>
  </si>
  <si>
    <t>INV-01220</t>
  </si>
  <si>
    <t>INV-01221</t>
  </si>
  <si>
    <t>INV-01222</t>
  </si>
  <si>
    <t>INV-01223</t>
  </si>
  <si>
    <t>INV-01224</t>
  </si>
  <si>
    <t>INV-01225</t>
  </si>
  <si>
    <t>INV-01226</t>
  </si>
  <si>
    <t>INV-01227</t>
  </si>
  <si>
    <t>INV-01228</t>
  </si>
  <si>
    <t>INV-01229</t>
  </si>
  <si>
    <t>INV-01230</t>
  </si>
  <si>
    <t>INV-01231</t>
  </si>
  <si>
    <t>INV-01232</t>
  </si>
  <si>
    <t>INV-01233</t>
  </si>
  <si>
    <t>INV-01234</t>
  </si>
  <si>
    <t>INV-01235</t>
  </si>
  <si>
    <t>INV-01236</t>
  </si>
  <si>
    <t>INV-01237</t>
  </si>
  <si>
    <t>INV-01238</t>
  </si>
  <si>
    <t>INV-01239</t>
  </si>
  <si>
    <t>INV-01240</t>
  </si>
  <si>
    <t>INV-01241</t>
  </si>
  <si>
    <t>INV-01242</t>
  </si>
  <si>
    <t>INV-01243</t>
  </si>
  <si>
    <t>INV-01244</t>
  </si>
  <si>
    <t>INV-01245</t>
  </si>
  <si>
    <t>INV-01246</t>
  </si>
  <si>
    <t>INV-01247</t>
  </si>
  <si>
    <t>INV-01248</t>
  </si>
  <si>
    <t>INV-01249</t>
  </si>
  <si>
    <t>INV-01250</t>
  </si>
  <si>
    <t>INV-01251</t>
  </si>
  <si>
    <t>INV-01252</t>
  </si>
  <si>
    <t>INV-01253</t>
  </si>
  <si>
    <t>INV-01254</t>
  </si>
  <si>
    <t>INV-01255</t>
  </si>
  <si>
    <t>INV-01256</t>
  </si>
  <si>
    <t>INV-01257</t>
  </si>
  <si>
    <t>INV-01258</t>
  </si>
  <si>
    <t>INV-01259</t>
  </si>
  <si>
    <t>INV-01260</t>
  </si>
  <si>
    <t>INV-01261</t>
  </si>
  <si>
    <t>INV-01262</t>
  </si>
  <si>
    <t>INV-01263</t>
  </si>
  <si>
    <t>INV-01264</t>
  </si>
  <si>
    <t>INV-01265</t>
  </si>
  <si>
    <t>INV-01266</t>
  </si>
  <si>
    <t>INV-01267</t>
  </si>
  <si>
    <t>INV-01268</t>
  </si>
  <si>
    <t>INV-01269</t>
  </si>
  <si>
    <t>INV-01270</t>
  </si>
  <si>
    <t>INV-01271</t>
  </si>
  <si>
    <t>INV-01272</t>
  </si>
  <si>
    <t>INV-01273</t>
  </si>
  <si>
    <t>INV-01274</t>
  </si>
  <si>
    <t>INV-01275</t>
  </si>
  <si>
    <t>INV-01276</t>
  </si>
  <si>
    <t>INV-01277</t>
  </si>
  <si>
    <t>INV-01278</t>
  </si>
  <si>
    <t>INV-01279</t>
  </si>
  <si>
    <t>INV-01280</t>
  </si>
  <si>
    <t>INV-01281</t>
  </si>
  <si>
    <t>INV-01282</t>
  </si>
  <si>
    <t>INV-01283</t>
  </si>
  <si>
    <t>INV-01284</t>
  </si>
  <si>
    <t>INV-01285</t>
  </si>
  <si>
    <t>INV-01286</t>
  </si>
  <si>
    <t>INV-01287</t>
  </si>
  <si>
    <t>INV-01288</t>
  </si>
  <si>
    <t>INV-01289</t>
  </si>
  <si>
    <t>INV-01290</t>
  </si>
  <si>
    <t>INV-01291</t>
  </si>
  <si>
    <t>INV-01292</t>
  </si>
  <si>
    <t>INV-01293</t>
  </si>
  <si>
    <t>INV-01294</t>
  </si>
  <si>
    <t>INV-01295</t>
  </si>
  <si>
    <t>INV-01296</t>
  </si>
  <si>
    <t>INV-01297</t>
  </si>
  <si>
    <t>INV-01298</t>
  </si>
  <si>
    <t>INV-01299</t>
  </si>
  <si>
    <t>INV-01300</t>
  </si>
  <si>
    <t>INV-01301</t>
  </si>
  <si>
    <t>INV-01302</t>
  </si>
  <si>
    <t>INV-01303</t>
  </si>
  <si>
    <t>INV-01304</t>
  </si>
  <si>
    <t>INV-01305</t>
  </si>
  <si>
    <t>INV-01306</t>
  </si>
  <si>
    <t>INV-01307</t>
  </si>
  <si>
    <t>INV-01308</t>
  </si>
  <si>
    <t>INV-01309</t>
  </si>
  <si>
    <t>INV-01310</t>
  </si>
  <si>
    <t>INV-01311</t>
  </si>
  <si>
    <t>INV-01312</t>
  </si>
  <si>
    <t>INV-01313</t>
  </si>
  <si>
    <t>INV-01314</t>
  </si>
  <si>
    <t>INV-01315</t>
  </si>
  <si>
    <t>INV-01316</t>
  </si>
  <si>
    <t>INV-01317</t>
  </si>
  <si>
    <t>INV-01318</t>
  </si>
  <si>
    <t>INV-01319</t>
  </si>
  <si>
    <t>INV-01320</t>
  </si>
  <si>
    <t>INV-01321</t>
  </si>
  <si>
    <t>INV-01322</t>
  </si>
  <si>
    <t>INV-01323</t>
  </si>
  <si>
    <t>INV-01324</t>
  </si>
  <si>
    <t>INV-01325</t>
  </si>
  <si>
    <t>INV-01326</t>
  </si>
  <si>
    <t>INV-01327</t>
  </si>
  <si>
    <t>INV-01328</t>
  </si>
  <si>
    <t>INV-01329</t>
  </si>
  <si>
    <t>INV-01330</t>
  </si>
  <si>
    <t>INV-01331</t>
  </si>
  <si>
    <t>INV-01332</t>
  </si>
  <si>
    <t>INV-01333</t>
  </si>
  <si>
    <t>INV-01334</t>
  </si>
  <si>
    <t>INV-01335</t>
  </si>
  <si>
    <t>INV-01336</t>
  </si>
  <si>
    <t>INV-01337</t>
  </si>
  <si>
    <t>INV-01338</t>
  </si>
  <si>
    <t>INV-01339</t>
  </si>
  <si>
    <t>INV-01340</t>
  </si>
  <si>
    <t>INV-01341</t>
  </si>
  <si>
    <t>INV-01342</t>
  </si>
  <si>
    <t>INV-01343</t>
  </si>
  <si>
    <t>INV-01344</t>
  </si>
  <si>
    <t>INV-01345</t>
  </si>
  <si>
    <t>INV-01346</t>
  </si>
  <si>
    <t>INV-01347</t>
  </si>
  <si>
    <t>INV-01348</t>
  </si>
  <si>
    <t>INV-01349</t>
  </si>
  <si>
    <t>INV-01350</t>
  </si>
  <si>
    <t>INV-01351</t>
  </si>
  <si>
    <t>INV-01352</t>
  </si>
  <si>
    <t>INV-01353</t>
  </si>
  <si>
    <t>INV-01354</t>
  </si>
  <si>
    <t>INV-01355</t>
  </si>
  <si>
    <t>INV-01356</t>
  </si>
  <si>
    <t>INV-01357</t>
  </si>
  <si>
    <t>INV-01358</t>
  </si>
  <si>
    <t>INV-01359</t>
  </si>
  <si>
    <t>INV-01360</t>
  </si>
  <si>
    <t>INV-01361</t>
  </si>
  <si>
    <t>INV-01362</t>
  </si>
  <si>
    <t>INV-01363</t>
  </si>
  <si>
    <t>INV-01364</t>
  </si>
  <si>
    <t>INV-01365</t>
  </si>
  <si>
    <t>INV-01366</t>
  </si>
  <si>
    <t>INV-01367</t>
  </si>
  <si>
    <t>INV-01368</t>
  </si>
  <si>
    <t>INV-01369</t>
  </si>
  <si>
    <t>INV-01370</t>
  </si>
  <si>
    <t>INV-01371</t>
  </si>
  <si>
    <t>INV-01372</t>
  </si>
  <si>
    <t>INV-01373</t>
  </si>
  <si>
    <t>INV-01374</t>
  </si>
  <si>
    <t>INV-01375</t>
  </si>
  <si>
    <t>INV-01376</t>
  </si>
  <si>
    <t>INV-01377</t>
  </si>
  <si>
    <t>INV-01378</t>
  </si>
  <si>
    <t>INV-01379</t>
  </si>
  <si>
    <t>INV-01380</t>
  </si>
  <si>
    <t>INV-01381</t>
  </si>
  <si>
    <t>INV-01382</t>
  </si>
  <si>
    <t>INV-01383</t>
  </si>
  <si>
    <t>INV-01384</t>
  </si>
  <si>
    <t>INV-01385</t>
  </si>
  <si>
    <t>INV-01386</t>
  </si>
  <si>
    <t>INV-01387</t>
  </si>
  <si>
    <t>INV-01388</t>
  </si>
  <si>
    <t>INV-01389</t>
  </si>
  <si>
    <t>INV-01390</t>
  </si>
  <si>
    <t>INV-01391</t>
  </si>
  <si>
    <t>INV-01392</t>
  </si>
  <si>
    <t>INV-01393</t>
  </si>
  <si>
    <t>INV-01394</t>
  </si>
  <si>
    <t>INV-01395</t>
  </si>
  <si>
    <t>INV-01396</t>
  </si>
  <si>
    <t>INV-01397</t>
  </si>
  <si>
    <t>INV-01398</t>
  </si>
  <si>
    <t>INV-01399</t>
  </si>
  <si>
    <t>INV-01400</t>
  </si>
  <si>
    <t>INV-01401</t>
  </si>
  <si>
    <t>INV-01402</t>
  </si>
  <si>
    <t>INV-01403</t>
  </si>
  <si>
    <t>INV-01404</t>
  </si>
  <si>
    <t>INV-01405</t>
  </si>
  <si>
    <t>INV-01406</t>
  </si>
  <si>
    <t>INV-01407</t>
  </si>
  <si>
    <t>INV-01408</t>
  </si>
  <si>
    <t>INV-01409</t>
  </si>
  <si>
    <t>INV-01410</t>
  </si>
  <si>
    <t>INV-01411</t>
  </si>
  <si>
    <t>INV-01412</t>
  </si>
  <si>
    <t>INV-01413</t>
  </si>
  <si>
    <t>INV-01414</t>
  </si>
  <si>
    <t>INV-01415</t>
  </si>
  <si>
    <t>INV-01416</t>
  </si>
  <si>
    <t>INV-01417</t>
  </si>
  <si>
    <t>INV-01418</t>
  </si>
  <si>
    <t>INV-01419</t>
  </si>
  <si>
    <t>INV-01420</t>
  </si>
  <si>
    <t>INV-01421</t>
  </si>
  <si>
    <t>INV-01422</t>
  </si>
  <si>
    <t>INV-01423</t>
  </si>
  <si>
    <t>INV-01424</t>
  </si>
  <si>
    <t>INV-01425</t>
  </si>
  <si>
    <t>INV-01426</t>
  </si>
  <si>
    <t>INV-01427</t>
  </si>
  <si>
    <t>INV-01428</t>
  </si>
  <si>
    <t>INV-01429</t>
  </si>
  <si>
    <t>INV-01430</t>
  </si>
  <si>
    <t>INV-01431</t>
  </si>
  <si>
    <t>INV-01432</t>
  </si>
  <si>
    <t>INV-01433</t>
  </si>
  <si>
    <t>INV-01434</t>
  </si>
  <si>
    <t>INV-01435</t>
  </si>
  <si>
    <t>INV-01436</t>
  </si>
  <si>
    <t>INV-01437</t>
  </si>
  <si>
    <t>INV-01438</t>
  </si>
  <si>
    <t>INV-01439</t>
  </si>
  <si>
    <t>INV-01440</t>
  </si>
  <si>
    <t>INV-01441</t>
  </si>
  <si>
    <t>INV-01442</t>
  </si>
  <si>
    <t>INV-01443</t>
  </si>
  <si>
    <t>INV-01444</t>
  </si>
  <si>
    <t>INV-01445</t>
  </si>
  <si>
    <t>INV-01446</t>
  </si>
  <si>
    <t>INV-01447</t>
  </si>
  <si>
    <t>INV-01448</t>
  </si>
  <si>
    <t>INV-01449</t>
  </si>
  <si>
    <t>INV-01450</t>
  </si>
  <si>
    <t>INV-01451</t>
  </si>
  <si>
    <t>INV-01452</t>
  </si>
  <si>
    <t>INV-01453</t>
  </si>
  <si>
    <t>INV-01454</t>
  </si>
  <si>
    <t>INV-01455</t>
  </si>
  <si>
    <t>INV-01456</t>
  </si>
  <si>
    <t>INV-01457</t>
  </si>
  <si>
    <t>INV-01458</t>
  </si>
  <si>
    <t>INV-01459</t>
  </si>
  <si>
    <t>INV-01460</t>
  </si>
  <si>
    <t>INV-01461</t>
  </si>
  <si>
    <t>INV-01462</t>
  </si>
  <si>
    <t>INV-01463</t>
  </si>
  <si>
    <t>INV-01464</t>
  </si>
  <si>
    <t>INV-01465</t>
  </si>
  <si>
    <t>INV-01466</t>
  </si>
  <si>
    <t>INV-01467</t>
  </si>
  <si>
    <t>INV-01468</t>
  </si>
  <si>
    <t>INV-01469</t>
  </si>
  <si>
    <t>INV-01470</t>
  </si>
  <si>
    <t>INV-01471</t>
  </si>
  <si>
    <t>INV-01472</t>
  </si>
  <si>
    <t>INV-01473</t>
  </si>
  <si>
    <t>INV-01474</t>
  </si>
  <si>
    <t>INV-01475</t>
  </si>
  <si>
    <t>INV-01476</t>
  </si>
  <si>
    <t>INV-01477</t>
  </si>
  <si>
    <t>INV-01478</t>
  </si>
  <si>
    <t>INV-01479</t>
  </si>
  <si>
    <t>INV-01480</t>
  </si>
  <si>
    <t>INV-01481</t>
  </si>
  <si>
    <t>INV-01482</t>
  </si>
  <si>
    <t>INV-01483</t>
  </si>
  <si>
    <t>INV-01484</t>
  </si>
  <si>
    <t>INV-01485</t>
  </si>
  <si>
    <t>INV-01486</t>
  </si>
  <si>
    <t>INV-01487</t>
  </si>
  <si>
    <t>INV-01488</t>
  </si>
  <si>
    <t>INV-01489</t>
  </si>
  <si>
    <t>INV-01490</t>
  </si>
  <si>
    <t>INV-01491</t>
  </si>
  <si>
    <t>INV-01492</t>
  </si>
  <si>
    <t>INV-01493</t>
  </si>
  <si>
    <t>INV-01494</t>
  </si>
  <si>
    <t>INV-01495</t>
  </si>
  <si>
    <t>INV-01496</t>
  </si>
  <si>
    <t>INV-01497</t>
  </si>
  <si>
    <t>INV-01498</t>
  </si>
  <si>
    <t>INV-01499</t>
  </si>
  <si>
    <t>INV-01500</t>
  </si>
  <si>
    <t>INV-01501</t>
  </si>
  <si>
    <t>INV-01502</t>
  </si>
  <si>
    <t>INV-01503</t>
  </si>
  <si>
    <t>INV-01504</t>
  </si>
  <si>
    <t>INV-01505</t>
  </si>
  <si>
    <t>INV-01506</t>
  </si>
  <si>
    <t>INV-01507</t>
  </si>
  <si>
    <t>INV-01508</t>
  </si>
  <si>
    <t>INV-01509</t>
  </si>
  <si>
    <t>INV-01510</t>
  </si>
  <si>
    <t>INV-01511</t>
  </si>
  <si>
    <t>INV-01512</t>
  </si>
  <si>
    <t>INV-01513</t>
  </si>
  <si>
    <t>INV-01514</t>
  </si>
  <si>
    <t>INV-01515</t>
  </si>
  <si>
    <t>INV-01516</t>
  </si>
  <si>
    <t>INV-01517</t>
  </si>
  <si>
    <t>INV-01518</t>
  </si>
  <si>
    <t>INV-01519</t>
  </si>
  <si>
    <t>INV-01520</t>
  </si>
  <si>
    <t>INV-01521</t>
  </si>
  <si>
    <t>INV-01522</t>
  </si>
  <si>
    <t>INV-01523</t>
  </si>
  <si>
    <t>INV-01524</t>
  </si>
  <si>
    <t>INV-01525</t>
  </si>
  <si>
    <t>INV-01526</t>
  </si>
  <si>
    <t>INV-01527</t>
  </si>
  <si>
    <t>INV-01528</t>
  </si>
  <si>
    <t>INV-01529</t>
  </si>
  <si>
    <t>INV-01530</t>
  </si>
  <si>
    <t>INV-01531</t>
  </si>
  <si>
    <t>INV-01532</t>
  </si>
  <si>
    <t>INV-01533</t>
  </si>
  <si>
    <t>INV-01534</t>
  </si>
  <si>
    <t>INV-01535</t>
  </si>
  <si>
    <t>INV-01536</t>
  </si>
  <si>
    <t>INV-01537</t>
  </si>
  <si>
    <t>INV-01538</t>
  </si>
  <si>
    <t>INV-01539</t>
  </si>
  <si>
    <t>INV-01540</t>
  </si>
  <si>
    <t>INV-01541</t>
  </si>
  <si>
    <t>INV-01542</t>
  </si>
  <si>
    <t>INV-01543</t>
  </si>
  <si>
    <t>INV-01544</t>
  </si>
  <si>
    <t>INV-01545</t>
  </si>
  <si>
    <t>INV-01546</t>
  </si>
  <si>
    <t>INV-01547</t>
  </si>
  <si>
    <t>INV-01548</t>
  </si>
  <si>
    <t>INV-01549</t>
  </si>
  <si>
    <t>INV-01550</t>
  </si>
  <si>
    <t>INV-01551</t>
  </si>
  <si>
    <t>INV-01552</t>
  </si>
  <si>
    <t>INV-01553</t>
  </si>
  <si>
    <t>INV-01554</t>
  </si>
  <si>
    <t>INV-01555</t>
  </si>
  <si>
    <t>INV-01556</t>
  </si>
  <si>
    <t>INV-01557</t>
  </si>
  <si>
    <t>INV-01558</t>
  </si>
  <si>
    <t>INV-01559</t>
  </si>
  <si>
    <t>INV-01560</t>
  </si>
  <si>
    <t>INV-01561</t>
  </si>
  <si>
    <t>INV-01562</t>
  </si>
  <si>
    <t>INV-01563</t>
  </si>
  <si>
    <t>INV-01564</t>
  </si>
  <si>
    <t>INV-01565</t>
  </si>
  <si>
    <t>INV-01566</t>
  </si>
  <si>
    <t>INV-01567</t>
  </si>
  <si>
    <t>INV-01568</t>
  </si>
  <si>
    <t>INV-01569</t>
  </si>
  <si>
    <t>INV-01570</t>
  </si>
  <si>
    <t>INV-01571</t>
  </si>
  <si>
    <t>INV-01572</t>
  </si>
  <si>
    <t>INV-01573</t>
  </si>
  <si>
    <t>INV-01574</t>
  </si>
  <si>
    <t>INV-01575</t>
  </si>
  <si>
    <t>INV-01576</t>
  </si>
  <si>
    <t>INV-01577</t>
  </si>
  <si>
    <t>INV-01578</t>
  </si>
  <si>
    <t>INV-01579</t>
  </si>
  <si>
    <t>INV-01580</t>
  </si>
  <si>
    <t>INV-01581</t>
  </si>
  <si>
    <t>INV-01582</t>
  </si>
  <si>
    <t>INV-01583</t>
  </si>
  <si>
    <t>INV-01584</t>
  </si>
  <si>
    <t>INV-01585</t>
  </si>
  <si>
    <t>INV-01586</t>
  </si>
  <si>
    <t>INV-01587</t>
  </si>
  <si>
    <t>INV-01588</t>
  </si>
  <si>
    <t>INV-01589</t>
  </si>
  <si>
    <t>INV-01590</t>
  </si>
  <si>
    <t>INV-01591</t>
  </si>
  <si>
    <t>INV-01592</t>
  </si>
  <si>
    <t>INV-01593</t>
  </si>
  <si>
    <t>INV-01594</t>
  </si>
  <si>
    <t>INV-01595</t>
  </si>
  <si>
    <t>INV-01596</t>
  </si>
  <si>
    <t>INV-01597</t>
  </si>
  <si>
    <t>INV-01598</t>
  </si>
  <si>
    <t>INV-01599</t>
  </si>
  <si>
    <t>INV-01600</t>
  </si>
  <si>
    <t>INV-01601</t>
  </si>
  <si>
    <t>INV-01602</t>
  </si>
  <si>
    <t>INV-01603</t>
  </si>
  <si>
    <t>INV-01604</t>
  </si>
  <si>
    <t>INV-01605</t>
  </si>
  <si>
    <t>INV-01606</t>
  </si>
  <si>
    <t>INV-01607</t>
  </si>
  <si>
    <t>INV-01608</t>
  </si>
  <si>
    <t>INV-01609</t>
  </si>
  <si>
    <t>INV-01610</t>
  </si>
  <si>
    <t>INV-01611</t>
  </si>
  <si>
    <t>INV-01612</t>
  </si>
  <si>
    <t>INV-01613</t>
  </si>
  <si>
    <t>INV-01614</t>
  </si>
  <si>
    <t>INV-01615</t>
  </si>
  <si>
    <t>INV-01616</t>
  </si>
  <si>
    <t>INV-01617</t>
  </si>
  <si>
    <t>INV-01618</t>
  </si>
  <si>
    <t>INV-01619</t>
  </si>
  <si>
    <t>INV-01620</t>
  </si>
  <si>
    <t>INV-01621</t>
  </si>
  <si>
    <t>INV-01622</t>
  </si>
  <si>
    <t>INV-01623</t>
  </si>
  <si>
    <t>INV-01624</t>
  </si>
  <si>
    <t>INV-01625</t>
  </si>
  <si>
    <t>INV-01626</t>
  </si>
  <si>
    <t>INV-01627</t>
  </si>
  <si>
    <t>INV-01628</t>
  </si>
  <si>
    <t>INV-01629</t>
  </si>
  <si>
    <t>INV-01630</t>
  </si>
  <si>
    <t>INV-01631</t>
  </si>
  <si>
    <t>INV-01632</t>
  </si>
  <si>
    <t>INV-01633</t>
  </si>
  <si>
    <t>INV-01634</t>
  </si>
  <si>
    <t>INV-01635</t>
  </si>
  <si>
    <t>INV-01636</t>
  </si>
  <si>
    <t>INV-01637</t>
  </si>
  <si>
    <t>INV-01638</t>
  </si>
  <si>
    <t>INV-01639</t>
  </si>
  <si>
    <t>INV-01640</t>
  </si>
  <si>
    <t>INV-01641</t>
  </si>
  <si>
    <t>INV-01642</t>
  </si>
  <si>
    <t>INV-01643</t>
  </si>
  <si>
    <t>INV-01644</t>
  </si>
  <si>
    <t>INV-01645</t>
  </si>
  <si>
    <t>INV-01646</t>
  </si>
  <si>
    <t>INV-01647</t>
  </si>
  <si>
    <t>INV-01648</t>
  </si>
  <si>
    <t>INV-01649</t>
  </si>
  <si>
    <t>INV-01650</t>
  </si>
  <si>
    <t>INV-01651</t>
  </si>
  <si>
    <t>INV-01652</t>
  </si>
  <si>
    <t>INV-01653</t>
  </si>
  <si>
    <t>INV-01654</t>
  </si>
  <si>
    <t>INV-01655</t>
  </si>
  <si>
    <t>INV-01656</t>
  </si>
  <si>
    <t>INV-01657</t>
  </si>
  <si>
    <t>INV-01658</t>
  </si>
  <si>
    <t>INV-01659</t>
  </si>
  <si>
    <t>INV-01660</t>
  </si>
  <si>
    <t>INV-01661</t>
  </si>
  <si>
    <t>INV-01662</t>
  </si>
  <si>
    <t>INV-01663</t>
  </si>
  <si>
    <t>INV-01664</t>
  </si>
  <si>
    <t>INV-01665</t>
  </si>
  <si>
    <t>INV-01666</t>
  </si>
  <si>
    <t>INV-01667</t>
  </si>
  <si>
    <t>INV-01668</t>
  </si>
  <si>
    <t>INV-01669</t>
  </si>
  <si>
    <t>INV-01670</t>
  </si>
  <si>
    <t>INV-01671</t>
  </si>
  <si>
    <t>INV-01672</t>
  </si>
  <si>
    <t>INV-01673</t>
  </si>
  <si>
    <t>INV-01674</t>
  </si>
  <si>
    <t>INV-01675</t>
  </si>
  <si>
    <t>INV-01676</t>
  </si>
  <si>
    <t>INV-01677</t>
  </si>
  <si>
    <t>INV-01678</t>
  </si>
  <si>
    <t>INV-01679</t>
  </si>
  <si>
    <t>INV-01680</t>
  </si>
  <si>
    <t>INV-01681</t>
  </si>
  <si>
    <t>INV-01682</t>
  </si>
  <si>
    <t>INV-01683</t>
  </si>
  <si>
    <t>INV-01684</t>
  </si>
  <si>
    <t>INV-01685</t>
  </si>
  <si>
    <t>INV-01686</t>
  </si>
  <si>
    <t>INV-01687</t>
  </si>
  <si>
    <t>INV-01688</t>
  </si>
  <si>
    <t>INV-01689</t>
  </si>
  <si>
    <t>INV-01690</t>
  </si>
  <si>
    <t>INV-01691</t>
  </si>
  <si>
    <t>INV-01692</t>
  </si>
  <si>
    <t>INV-01693</t>
  </si>
  <si>
    <t>INV-01694</t>
  </si>
  <si>
    <t>INV-01695</t>
  </si>
  <si>
    <t>INV-01696</t>
  </si>
  <si>
    <t>INV-01697</t>
  </si>
  <si>
    <t>INV-01698</t>
  </si>
  <si>
    <t>INV-01699</t>
  </si>
  <si>
    <t>INV-01700</t>
  </si>
  <si>
    <t>INV-01701</t>
  </si>
  <si>
    <t>INV-01702</t>
  </si>
  <si>
    <t>INV-01703</t>
  </si>
  <si>
    <t>INV-01704</t>
  </si>
  <si>
    <t>INV-01705</t>
  </si>
  <si>
    <t>INV-01706</t>
  </si>
  <si>
    <t>INV-01707</t>
  </si>
  <si>
    <t>INV-01708</t>
  </si>
  <si>
    <t>INV-01709</t>
  </si>
  <si>
    <t>INV-01710</t>
  </si>
  <si>
    <t>INV-01711</t>
  </si>
  <si>
    <t>INV-01712</t>
  </si>
  <si>
    <t>INV-01713</t>
  </si>
  <si>
    <t>INV-01714</t>
  </si>
  <si>
    <t>INV-01715</t>
  </si>
  <si>
    <t>INV-01716</t>
  </si>
  <si>
    <t>INV-01717</t>
  </si>
  <si>
    <t>INV-01718</t>
  </si>
  <si>
    <t>INV-01719</t>
  </si>
  <si>
    <t>INV-01720</t>
  </si>
  <si>
    <t>INV-01721</t>
  </si>
  <si>
    <t>INV-01722</t>
  </si>
  <si>
    <t>INV-01723</t>
  </si>
  <si>
    <t>INV-01724</t>
  </si>
  <si>
    <t>INV-01725</t>
  </si>
  <si>
    <t>INV-01726</t>
  </si>
  <si>
    <t>INV-01727</t>
  </si>
  <si>
    <t>INV-01728</t>
  </si>
  <si>
    <t>INV-01729</t>
  </si>
  <si>
    <t>INV-01730</t>
  </si>
  <si>
    <t>INV-01731</t>
  </si>
  <si>
    <t>INV-01732</t>
  </si>
  <si>
    <t>INV-01733</t>
  </si>
  <si>
    <t>INV-01734</t>
  </si>
  <si>
    <t>INV-01735</t>
  </si>
  <si>
    <t>INV-01736</t>
  </si>
  <si>
    <t>INV-01737</t>
  </si>
  <si>
    <t>INV-01738</t>
  </si>
  <si>
    <t>INV-01739</t>
  </si>
  <si>
    <t>INV-01740</t>
  </si>
  <si>
    <t>INV-01741</t>
  </si>
  <si>
    <t>INV-01742</t>
  </si>
  <si>
    <t>INV-01743</t>
  </si>
  <si>
    <t>INV-01744</t>
  </si>
  <si>
    <t>INV-01745</t>
  </si>
  <si>
    <t>INV-01746</t>
  </si>
  <si>
    <t>INV-01747</t>
  </si>
  <si>
    <t>INV-01748</t>
  </si>
  <si>
    <t>INV-01749</t>
  </si>
  <si>
    <t>INV-01750</t>
  </si>
  <si>
    <t>INV-01751</t>
  </si>
  <si>
    <t>INV-01752</t>
  </si>
  <si>
    <t>INV-01753</t>
  </si>
  <si>
    <t>INV-01754</t>
  </si>
  <si>
    <t>INV-01755</t>
  </si>
  <si>
    <t>INV-01756</t>
  </si>
  <si>
    <t>INV-01757</t>
  </si>
  <si>
    <t>INV-01758</t>
  </si>
  <si>
    <t>INV-01759</t>
  </si>
  <si>
    <t>INV-01760</t>
  </si>
  <si>
    <t>INV-01761</t>
  </si>
  <si>
    <t>INV-01762</t>
  </si>
  <si>
    <t>INV-01763</t>
  </si>
  <si>
    <t>INV-01764</t>
  </si>
  <si>
    <t>INV-01765</t>
  </si>
  <si>
    <t>INV-01766</t>
  </si>
  <si>
    <t>INV-01767</t>
  </si>
  <si>
    <t>INV-01768</t>
  </si>
  <si>
    <t>INV-01769</t>
  </si>
  <si>
    <t>INV-01770</t>
  </si>
  <si>
    <t>INV-01771</t>
  </si>
  <si>
    <t>INV-01772</t>
  </si>
  <si>
    <t>INV-01773</t>
  </si>
  <si>
    <t>INV-01774</t>
  </si>
  <si>
    <t>INV-01775</t>
  </si>
  <si>
    <t>INV-01776</t>
  </si>
  <si>
    <t>INV-01777</t>
  </si>
  <si>
    <t>INV-01778</t>
  </si>
  <si>
    <t>INV-01779</t>
  </si>
  <si>
    <t>INV-01780</t>
  </si>
  <si>
    <t>INV-01781</t>
  </si>
  <si>
    <t>INV-01782</t>
  </si>
  <si>
    <t>INV-01783</t>
  </si>
  <si>
    <t>INV-01784</t>
  </si>
  <si>
    <t>INV-01785</t>
  </si>
  <si>
    <t>INV-01786</t>
  </si>
  <si>
    <t>INV-01787</t>
  </si>
  <si>
    <t>INV-01788</t>
  </si>
  <si>
    <t>INV-01789</t>
  </si>
  <si>
    <t>INV-01790</t>
  </si>
  <si>
    <t>INV-01791</t>
  </si>
  <si>
    <t>INV-01792</t>
  </si>
  <si>
    <t>INV-01793</t>
  </si>
  <si>
    <t>INV-01794</t>
  </si>
  <si>
    <t>INV-01795</t>
  </si>
  <si>
    <t>INV-01796</t>
  </si>
  <si>
    <t>INV-01797</t>
  </si>
  <si>
    <t>INV-01798</t>
  </si>
  <si>
    <t>INV-01799</t>
  </si>
  <si>
    <t>INV-01800</t>
  </si>
  <si>
    <t>INV-01801</t>
  </si>
  <si>
    <t>INV-01802</t>
  </si>
  <si>
    <t>INV-01803</t>
  </si>
  <si>
    <t>INV-01804</t>
  </si>
  <si>
    <t>INV-01805</t>
  </si>
  <si>
    <t>INV-01806</t>
  </si>
  <si>
    <t>INV-01807</t>
  </si>
  <si>
    <t>INV-01808</t>
  </si>
  <si>
    <t>INV-01809</t>
  </si>
  <si>
    <t>INV-01810</t>
  </si>
  <si>
    <t>INV-01811</t>
  </si>
  <si>
    <t>INV-01812</t>
  </si>
  <si>
    <t>INV-01813</t>
  </si>
  <si>
    <t>INV-01814</t>
  </si>
  <si>
    <t>INV-01815</t>
  </si>
  <si>
    <t>INV-01816</t>
  </si>
  <si>
    <t>INV-01817</t>
  </si>
  <si>
    <t>INV-01818</t>
  </si>
  <si>
    <t>INV-01819</t>
  </si>
  <si>
    <t>INV-01820</t>
  </si>
  <si>
    <t>INV-01821</t>
  </si>
  <si>
    <t>INV-01822</t>
  </si>
  <si>
    <t>INV-01823</t>
  </si>
  <si>
    <t>INV-01824</t>
  </si>
  <si>
    <t>INV-01825</t>
  </si>
  <si>
    <t>INV-01826</t>
  </si>
  <si>
    <t>INV-01827</t>
  </si>
  <si>
    <t>INV-01828</t>
  </si>
  <si>
    <t>INV-01829</t>
  </si>
  <si>
    <t>INV-01830</t>
  </si>
  <si>
    <t>INV-01831</t>
  </si>
  <si>
    <t>INV-01832</t>
  </si>
  <si>
    <t>INV-01833</t>
  </si>
  <si>
    <t>INV-01834</t>
  </si>
  <si>
    <t>INV-01835</t>
  </si>
  <si>
    <t>INV-01836</t>
  </si>
  <si>
    <t>INV-01837</t>
  </si>
  <si>
    <t>INV-01838</t>
  </si>
  <si>
    <t>INV-01839</t>
  </si>
  <si>
    <t>INV-01840</t>
  </si>
  <si>
    <t>INV-01841</t>
  </si>
  <si>
    <t>INV-01842</t>
  </si>
  <si>
    <t>INV-01843</t>
  </si>
  <si>
    <t>INV-01844</t>
  </si>
  <si>
    <t>INV-01845</t>
  </si>
  <si>
    <t>INV-01846</t>
  </si>
  <si>
    <t>INV-01847</t>
  </si>
  <si>
    <t>INV-01848</t>
  </si>
  <si>
    <t>INV-01849</t>
  </si>
  <si>
    <t>INV-01850</t>
  </si>
  <si>
    <t>INV-01851</t>
  </si>
  <si>
    <t>INV-01852</t>
  </si>
  <si>
    <t>INV-01853</t>
  </si>
  <si>
    <t>INV-01854</t>
  </si>
  <si>
    <t>INV-01855</t>
  </si>
  <si>
    <t>INV-01856</t>
  </si>
  <si>
    <t>INV-01857</t>
  </si>
  <si>
    <t>INV-01858</t>
  </si>
  <si>
    <t>INV-01859</t>
  </si>
  <si>
    <t>INV-01860</t>
  </si>
  <si>
    <t>INV-01861</t>
  </si>
  <si>
    <t>INV-01862</t>
  </si>
  <si>
    <t>INV-01863</t>
  </si>
  <si>
    <t>INV-01864</t>
  </si>
  <si>
    <t>INV-01865</t>
  </si>
  <si>
    <t>INV-01866</t>
  </si>
  <si>
    <t>INV-01867</t>
  </si>
  <si>
    <t>INV-01868</t>
  </si>
  <si>
    <t>INV-01869</t>
  </si>
  <si>
    <t>INV-01870</t>
  </si>
  <si>
    <t>INV-01871</t>
  </si>
  <si>
    <t>INV-01872</t>
  </si>
  <si>
    <t>INV-01873</t>
  </si>
  <si>
    <t>INV-01874</t>
  </si>
  <si>
    <t>INV-01875</t>
  </si>
  <si>
    <t>INV-01876</t>
  </si>
  <si>
    <t>INV-01877</t>
  </si>
  <si>
    <t>INV-01878</t>
  </si>
  <si>
    <t>INV-01879</t>
  </si>
  <si>
    <t>INV-01880</t>
  </si>
  <si>
    <t>INV-01881</t>
  </si>
  <si>
    <t>INV-01882</t>
  </si>
  <si>
    <t>INV-01883</t>
  </si>
  <si>
    <t>INV-01884</t>
  </si>
  <si>
    <t>INV-01885</t>
  </si>
  <si>
    <t>INV-01886</t>
  </si>
  <si>
    <t>INV-01887</t>
  </si>
  <si>
    <t>INV-01888</t>
  </si>
  <si>
    <t>INV-01889</t>
  </si>
  <si>
    <t>INV-01890</t>
  </si>
  <si>
    <t>INV-01891</t>
  </si>
  <si>
    <t>INV-01892</t>
  </si>
  <si>
    <t>INV-01893</t>
  </si>
  <si>
    <t>INV-01894</t>
  </si>
  <si>
    <t>INV-01895</t>
  </si>
  <si>
    <t>INV-01896</t>
  </si>
  <si>
    <t>INV-01897</t>
  </si>
  <si>
    <t>INV-01898</t>
  </si>
  <si>
    <t>INV-01899</t>
  </si>
  <si>
    <t>INV-01900</t>
  </si>
  <si>
    <t>INV-01901</t>
  </si>
  <si>
    <t>INV-01902</t>
  </si>
  <si>
    <t>INV-01903</t>
  </si>
  <si>
    <t>INV-01904</t>
  </si>
  <si>
    <t>INV-01905</t>
  </si>
  <si>
    <t>INV-01906</t>
  </si>
  <si>
    <t>INV-01907</t>
  </si>
  <si>
    <t>INV-01908</t>
  </si>
  <si>
    <t>INV-01909</t>
  </si>
  <si>
    <t>INV-01910</t>
  </si>
  <si>
    <t>INV-01911</t>
  </si>
  <si>
    <t>INV-01912</t>
  </si>
  <si>
    <t>INV-01913</t>
  </si>
  <si>
    <t>INV-01914</t>
  </si>
  <si>
    <t>INV-01915</t>
  </si>
  <si>
    <t>INV-01916</t>
  </si>
  <si>
    <t>INV-01917</t>
  </si>
  <si>
    <t>INV-01918</t>
  </si>
  <si>
    <t>INV-01919</t>
  </si>
  <si>
    <t>INV-01920</t>
  </si>
  <si>
    <t>INV-01921</t>
  </si>
  <si>
    <t>INV-01922</t>
  </si>
  <si>
    <t>INV-01923</t>
  </si>
  <si>
    <t>INV-01924</t>
  </si>
  <si>
    <t>INV-01925</t>
  </si>
  <si>
    <t>INV-01926</t>
  </si>
  <si>
    <t>INV-01927</t>
  </si>
  <si>
    <t>INV-01928</t>
  </si>
  <si>
    <t>INV-01929</t>
  </si>
  <si>
    <t>INV-01930</t>
  </si>
  <si>
    <t>INV-01931</t>
  </si>
  <si>
    <t>INV-01932</t>
  </si>
  <si>
    <t>INV-01933</t>
  </si>
  <si>
    <t>INV-01934</t>
  </si>
  <si>
    <t>INV-01935</t>
  </si>
  <si>
    <t>INV-01936</t>
  </si>
  <si>
    <t>INV-01937</t>
  </si>
  <si>
    <t>INV-01938</t>
  </si>
  <si>
    <t>INV-01939</t>
  </si>
  <si>
    <t>INV-01940</t>
  </si>
  <si>
    <t>INV-01941</t>
  </si>
  <si>
    <t>INV-01942</t>
  </si>
  <si>
    <t>INV-01943</t>
  </si>
  <si>
    <t>INV-01944</t>
  </si>
  <si>
    <t>INV-01945</t>
  </si>
  <si>
    <t>INV-01946</t>
  </si>
  <si>
    <t>INV-01947</t>
  </si>
  <si>
    <t>INV-01948</t>
  </si>
  <si>
    <t>INV-01949</t>
  </si>
  <si>
    <t>INV-01950</t>
  </si>
  <si>
    <t>INV-01951</t>
  </si>
  <si>
    <t>INV-01952</t>
  </si>
  <si>
    <t>INV-01953</t>
  </si>
  <si>
    <t>INV-01954</t>
  </si>
  <si>
    <t>INV-01955</t>
  </si>
  <si>
    <t>INV-01956</t>
  </si>
  <si>
    <t>INV-01957</t>
  </si>
  <si>
    <t>INV-01958</t>
  </si>
  <si>
    <t>INV-01959</t>
  </si>
  <si>
    <t>INV-01960</t>
  </si>
  <si>
    <t>INV-01961</t>
  </si>
  <si>
    <t>INV-01962</t>
  </si>
  <si>
    <t>INV-01963</t>
  </si>
  <si>
    <t>INV-01964</t>
  </si>
  <si>
    <t>INV-01965</t>
  </si>
  <si>
    <t>INV-01966</t>
  </si>
  <si>
    <t>INV-01967</t>
  </si>
  <si>
    <t>INV-01968</t>
  </si>
  <si>
    <t>INV-01969</t>
  </si>
  <si>
    <t>INV-01970</t>
  </si>
  <si>
    <t>INV-01971</t>
  </si>
  <si>
    <t>INV-01972</t>
  </si>
  <si>
    <t>INV-01973</t>
  </si>
  <si>
    <t>INV-01974</t>
  </si>
  <si>
    <t>INV-01975</t>
  </si>
  <si>
    <t>INV-01976</t>
  </si>
  <si>
    <t>INV-01977</t>
  </si>
  <si>
    <t>INV-01978</t>
  </si>
  <si>
    <t>INV-01979</t>
  </si>
  <si>
    <t>INV-01980</t>
  </si>
  <si>
    <t>INV-01981</t>
  </si>
  <si>
    <t>INV-01982</t>
  </si>
  <si>
    <t>INV-01983</t>
  </si>
  <si>
    <t>INV-01984</t>
  </si>
  <si>
    <t>INV-01985</t>
  </si>
  <si>
    <t>INV-01986</t>
  </si>
  <si>
    <t>INV-01987</t>
  </si>
  <si>
    <t>INV-01988</t>
  </si>
  <si>
    <t>INV-01989</t>
  </si>
  <si>
    <t>INV-01990</t>
  </si>
  <si>
    <t>INV-01991</t>
  </si>
  <si>
    <t>INV-01992</t>
  </si>
  <si>
    <t>INV-01993</t>
  </si>
  <si>
    <t>INV-01994</t>
  </si>
  <si>
    <t>INV-01995</t>
  </si>
  <si>
    <t>INV-01996</t>
  </si>
  <si>
    <t>INV-01997</t>
  </si>
  <si>
    <t>INV-01998</t>
  </si>
  <si>
    <t>INV-01999</t>
  </si>
  <si>
    <t>INV-02000</t>
  </si>
  <si>
    <t>INV-02001</t>
  </si>
  <si>
    <t>INV-02002</t>
  </si>
  <si>
    <t>INV-02003</t>
  </si>
  <si>
    <t>INV-02004</t>
  </si>
  <si>
    <t>INV-02005</t>
  </si>
  <si>
    <t>INV-02006</t>
  </si>
  <si>
    <t>INV-02007</t>
  </si>
  <si>
    <t>INV-02008</t>
  </si>
  <si>
    <t>INV-02009</t>
  </si>
  <si>
    <t>INV-02010</t>
  </si>
  <si>
    <t>INV-02011</t>
  </si>
  <si>
    <t>INV-02012</t>
  </si>
  <si>
    <t>INV-02013</t>
  </si>
  <si>
    <t>INV-02014</t>
  </si>
  <si>
    <t>INV-02015</t>
  </si>
  <si>
    <t>INV-02016</t>
  </si>
  <si>
    <t>INV-02017</t>
  </si>
  <si>
    <t>INV-02018</t>
  </si>
  <si>
    <t>INV-02019</t>
  </si>
  <si>
    <t>INV-02020</t>
  </si>
  <si>
    <t>INV-02021</t>
  </si>
  <si>
    <t>INV-02022</t>
  </si>
  <si>
    <t>INV-02023</t>
  </si>
  <si>
    <t>INV-02024</t>
  </si>
  <si>
    <t>INV-02025</t>
  </si>
  <si>
    <t>INV-02026</t>
  </si>
  <si>
    <t>INV-02027</t>
  </si>
  <si>
    <t>INV-02028</t>
  </si>
  <si>
    <t>INV-02029</t>
  </si>
  <si>
    <t>INV-02030</t>
  </si>
  <si>
    <t>INV-02031</t>
  </si>
  <si>
    <t>INV-02032</t>
  </si>
  <si>
    <t>INV-02033</t>
  </si>
  <si>
    <t>INV-02034</t>
  </si>
  <si>
    <t>INV-02035</t>
  </si>
  <si>
    <t>INV-02036</t>
  </si>
  <si>
    <t>INV-02037</t>
  </si>
  <si>
    <t>INV-02038</t>
  </si>
  <si>
    <t>INV-02039</t>
  </si>
  <si>
    <t>INV-02040</t>
  </si>
  <si>
    <t>INV-02041</t>
  </si>
  <si>
    <t>INV-02042</t>
  </si>
  <si>
    <t>INV-02043</t>
  </si>
  <si>
    <t>INV-02044</t>
  </si>
  <si>
    <t>INV-02045</t>
  </si>
  <si>
    <t>INV-02046</t>
  </si>
  <si>
    <t>INV-02047</t>
  </si>
  <si>
    <t>INV-02048</t>
  </si>
  <si>
    <t>INV-02049</t>
  </si>
  <si>
    <t>INV-02050</t>
  </si>
  <si>
    <t>INV-02051</t>
  </si>
  <si>
    <t>INV-02052</t>
  </si>
  <si>
    <t>INV-02053</t>
  </si>
  <si>
    <t>INV-02054</t>
  </si>
  <si>
    <t>INV-02055</t>
  </si>
  <si>
    <t>INV-02056</t>
  </si>
  <si>
    <t>INV-02057</t>
  </si>
  <si>
    <t>INV-02058</t>
  </si>
  <si>
    <t>INV-02059</t>
  </si>
  <si>
    <t>INV-02060</t>
  </si>
  <si>
    <t>INV-02061</t>
  </si>
  <si>
    <t>INV-02062</t>
  </si>
  <si>
    <t>INV-02063</t>
  </si>
  <si>
    <t>INV-02064</t>
  </si>
  <si>
    <t>INV-02065</t>
  </si>
  <si>
    <t>INV-02066</t>
  </si>
  <si>
    <t>INV-02067</t>
  </si>
  <si>
    <t>INV-02068</t>
  </si>
  <si>
    <t>INV-02069</t>
  </si>
  <si>
    <t>INV-02070</t>
  </si>
  <si>
    <t>INV-02071</t>
  </si>
  <si>
    <t>INV-02072</t>
  </si>
  <si>
    <t>INV-02073</t>
  </si>
  <si>
    <t>INV-02074</t>
  </si>
  <si>
    <t>INV-02075</t>
  </si>
  <si>
    <t>INV-02076</t>
  </si>
  <si>
    <t>INV-02077</t>
  </si>
  <si>
    <t>INV-02078</t>
  </si>
  <si>
    <t>INV-02079</t>
  </si>
  <si>
    <t>INV-02080</t>
  </si>
  <si>
    <t>INV-02081</t>
  </si>
  <si>
    <t>INV-02082</t>
  </si>
  <si>
    <t>INV-02083</t>
  </si>
  <si>
    <t>INV-02084</t>
  </si>
  <si>
    <t>INV-02085</t>
  </si>
  <si>
    <t>INV-02086</t>
  </si>
  <si>
    <t>INV-02087</t>
  </si>
  <si>
    <t>INV-02088</t>
  </si>
  <si>
    <t>INV-02089</t>
  </si>
  <si>
    <t>INV-02090</t>
  </si>
  <si>
    <t>INV-02091</t>
  </si>
  <si>
    <t>INV-02092</t>
  </si>
  <si>
    <t>INV-02093</t>
  </si>
  <si>
    <t>INV-02094</t>
  </si>
  <si>
    <t>INV-02095</t>
  </si>
  <si>
    <t>INV-02096</t>
  </si>
  <si>
    <t>INV-02097</t>
  </si>
  <si>
    <t>INV-02098</t>
  </si>
  <si>
    <t>INV-02099</t>
  </si>
  <si>
    <t>INV-02100</t>
  </si>
  <si>
    <t>INV-02101</t>
  </si>
  <si>
    <t>INV-02102</t>
  </si>
  <si>
    <t>INV-02103</t>
  </si>
  <si>
    <t>INV-02104</t>
  </si>
  <si>
    <t>INV-02105</t>
  </si>
  <si>
    <t>INV-02106</t>
  </si>
  <si>
    <t>INV-02107</t>
  </si>
  <si>
    <t>INV-02108</t>
  </si>
  <si>
    <t>INV-02109</t>
  </si>
  <si>
    <t>INV-02110</t>
  </si>
  <si>
    <t>INV-02111</t>
  </si>
  <si>
    <t>INV-02112</t>
  </si>
  <si>
    <t>INV-02113</t>
  </si>
  <si>
    <t>INV-02114</t>
  </si>
  <si>
    <t>INV-02115</t>
  </si>
  <si>
    <t>INV-02116</t>
  </si>
  <si>
    <t>INV-02117</t>
  </si>
  <si>
    <t>INV-02118</t>
  </si>
  <si>
    <t>INV-02119</t>
  </si>
  <si>
    <t>INV-02120</t>
  </si>
  <si>
    <t>INV-02121</t>
  </si>
  <si>
    <t>INV-02122</t>
  </si>
  <si>
    <t>INV-02123</t>
  </si>
  <si>
    <t>INV-02124</t>
  </si>
  <si>
    <t>INV-02125</t>
  </si>
  <si>
    <t>INV-02126</t>
  </si>
  <si>
    <t>INV-02127</t>
  </si>
  <si>
    <t>INV-02128</t>
  </si>
  <si>
    <t>INV-02129</t>
  </si>
  <si>
    <t>INV-02130</t>
  </si>
  <si>
    <t>INV-02131</t>
  </si>
  <si>
    <t>INV-02132</t>
  </si>
  <si>
    <t>INV-02133</t>
  </si>
  <si>
    <t>INV-02134</t>
  </si>
  <si>
    <t>INV-02135</t>
  </si>
  <si>
    <t>INV-02136</t>
  </si>
  <si>
    <t>INV-02137</t>
  </si>
  <si>
    <t>INV-02138</t>
  </si>
  <si>
    <t>INV-02139</t>
  </si>
  <si>
    <t>INV-02140</t>
  </si>
  <si>
    <t>INV-02141</t>
  </si>
  <si>
    <t>INV-02142</t>
  </si>
  <si>
    <t>INV-02143</t>
  </si>
  <si>
    <t>INV-02144</t>
  </si>
  <si>
    <t>INV-02145</t>
  </si>
  <si>
    <t>INV-02146</t>
  </si>
  <si>
    <t>INV-02147</t>
  </si>
  <si>
    <t>INV-02148</t>
  </si>
  <si>
    <t>INV-02149</t>
  </si>
  <si>
    <t>INV-02150</t>
  </si>
  <si>
    <t>INV-02151</t>
  </si>
  <si>
    <t>INV-02152</t>
  </si>
  <si>
    <t>INV-02153</t>
  </si>
  <si>
    <t>INV-02154</t>
  </si>
  <si>
    <t>INV-02155</t>
  </si>
  <si>
    <t>INV-02156</t>
  </si>
  <si>
    <t>INV-02157</t>
  </si>
  <si>
    <t>INV-02158</t>
  </si>
  <si>
    <t>INV-02159</t>
  </si>
  <si>
    <t>INV-02160</t>
  </si>
  <si>
    <t>INV-02161</t>
  </si>
  <si>
    <t>INV-02162</t>
  </si>
  <si>
    <t>INV-02163</t>
  </si>
  <si>
    <t>INV-02164</t>
  </si>
  <si>
    <t>INV-02165</t>
  </si>
  <si>
    <t>INV-02166</t>
  </si>
  <si>
    <t>INV-02167</t>
  </si>
  <si>
    <t>INV-02168</t>
  </si>
  <si>
    <t>INV-02169</t>
  </si>
  <si>
    <t>INV-02170</t>
  </si>
  <si>
    <t>INV-02171</t>
  </si>
  <si>
    <t>INV-02172</t>
  </si>
  <si>
    <t>INV-02173</t>
  </si>
  <si>
    <t>INV-02174</t>
  </si>
  <si>
    <t>INV-02175</t>
  </si>
  <si>
    <t>INV-02176</t>
  </si>
  <si>
    <t>INV-02177</t>
  </si>
  <si>
    <t>INV-02178</t>
  </si>
  <si>
    <t>INV-02179</t>
  </si>
  <si>
    <t>INV-02180</t>
  </si>
  <si>
    <t>INV-02181</t>
  </si>
  <si>
    <t>INV-02182</t>
  </si>
  <si>
    <t>INV-02183</t>
  </si>
  <si>
    <t>INV-02184</t>
  </si>
  <si>
    <t>INV-02185</t>
  </si>
  <si>
    <t>INV-02186</t>
  </si>
  <si>
    <t>INV-02187</t>
  </si>
  <si>
    <t>INV-02188</t>
  </si>
  <si>
    <t>INV-02189</t>
  </si>
  <si>
    <t>INV-02190</t>
  </si>
  <si>
    <t>INV-02191</t>
  </si>
  <si>
    <t>INV-02192</t>
  </si>
  <si>
    <t>INV-02193</t>
  </si>
  <si>
    <t>INV-02194</t>
  </si>
  <si>
    <t>INV-02195</t>
  </si>
  <si>
    <t>INV-02196</t>
  </si>
  <si>
    <t>INV-02197</t>
  </si>
  <si>
    <t>INV-02198</t>
  </si>
  <si>
    <t>INV-02199</t>
  </si>
  <si>
    <t>INV-02200</t>
  </si>
  <si>
    <t>INV-02201</t>
  </si>
  <si>
    <t>INV-02202</t>
  </si>
  <si>
    <t>INV-02203</t>
  </si>
  <si>
    <t>INV-02204</t>
  </si>
  <si>
    <t>INV-02205</t>
  </si>
  <si>
    <t>INV-02206</t>
  </si>
  <si>
    <t>INV-02207</t>
  </si>
  <si>
    <t>INV-02208</t>
  </si>
  <si>
    <t>INV-02209</t>
  </si>
  <si>
    <t>INV-02210</t>
  </si>
  <si>
    <t>INV-02211</t>
  </si>
  <si>
    <t>INV-02212</t>
  </si>
  <si>
    <t>INV-02213</t>
  </si>
  <si>
    <t>INV-02214</t>
  </si>
  <si>
    <t>INV-02215</t>
  </si>
  <si>
    <t>INV-02216</t>
  </si>
  <si>
    <t>INV-02217</t>
  </si>
  <si>
    <t>INV-02218</t>
  </si>
  <si>
    <t>INV-02219</t>
  </si>
  <si>
    <t>INV-02220</t>
  </si>
  <si>
    <t>INV-02221</t>
  </si>
  <si>
    <t>INV-02222</t>
  </si>
  <si>
    <t>INV-02223</t>
  </si>
  <si>
    <t>INV-02224</t>
  </si>
  <si>
    <t>INV-02225</t>
  </si>
  <si>
    <t>INV-02226</t>
  </si>
  <si>
    <t>INV-02227</t>
  </si>
  <si>
    <t>INV-02228</t>
  </si>
  <si>
    <t>INV-02229</t>
  </si>
  <si>
    <t>INV-02230</t>
  </si>
  <si>
    <t>INV-02231</t>
  </si>
  <si>
    <t>INV-02232</t>
  </si>
  <si>
    <t>INV-02233</t>
  </si>
  <si>
    <t>INV-02234</t>
  </si>
  <si>
    <t>INV-02235</t>
  </si>
  <si>
    <t>INV-02236</t>
  </si>
  <si>
    <t>INV-02237</t>
  </si>
  <si>
    <t>INV-02238</t>
  </si>
  <si>
    <t>INV-02239</t>
  </si>
  <si>
    <t>INV-02240</t>
  </si>
  <si>
    <t>INV-02241</t>
  </si>
  <si>
    <t>INV-02242</t>
  </si>
  <si>
    <t>INV-02243</t>
  </si>
  <si>
    <t>INV-02244</t>
  </si>
  <si>
    <t>INV-02245</t>
  </si>
  <si>
    <t>INV-02246</t>
  </si>
  <si>
    <t>INV-02247</t>
  </si>
  <si>
    <t>INV-02248</t>
  </si>
  <si>
    <t>INV-02249</t>
  </si>
  <si>
    <t>INV-02250</t>
  </si>
  <si>
    <t>INV-02251</t>
  </si>
  <si>
    <t>INV-02252</t>
  </si>
  <si>
    <t>INV-02253</t>
  </si>
  <si>
    <t>INV-02254</t>
  </si>
  <si>
    <t>INV-02255</t>
  </si>
  <si>
    <t>INV-02256</t>
  </si>
  <si>
    <t>INV-02257</t>
  </si>
  <si>
    <t>INV-02258</t>
  </si>
  <si>
    <t>INV-02259</t>
  </si>
  <si>
    <t>INV-02260</t>
  </si>
  <si>
    <t>INV-02261</t>
  </si>
  <si>
    <t>INV-02262</t>
  </si>
  <si>
    <t>INV-02263</t>
  </si>
  <si>
    <t>INV-02264</t>
  </si>
  <si>
    <t>INV-02265</t>
  </si>
  <si>
    <t>INV-02266</t>
  </si>
  <si>
    <t>INV-02267</t>
  </si>
  <si>
    <t>INV-02268</t>
  </si>
  <si>
    <t>INV-02269</t>
  </si>
  <si>
    <t>INV-02270</t>
  </si>
  <si>
    <t>INV-02271</t>
  </si>
  <si>
    <t>INV-02272</t>
  </si>
  <si>
    <t>INV-02273</t>
  </si>
  <si>
    <t>INV-02274</t>
  </si>
  <si>
    <t>INV-02275</t>
  </si>
  <si>
    <t>INV-02276</t>
  </si>
  <si>
    <t>INV-02277</t>
  </si>
  <si>
    <t>INV-02278</t>
  </si>
  <si>
    <t>INV-02279</t>
  </si>
  <si>
    <t>INV-02280</t>
  </si>
  <si>
    <t>INV-02281</t>
  </si>
  <si>
    <t>INV-02282</t>
  </si>
  <si>
    <t>INV-02283</t>
  </si>
  <si>
    <t>INV-02284</t>
  </si>
  <si>
    <t>INV-02285</t>
  </si>
  <si>
    <t>INV-02286</t>
  </si>
  <si>
    <t>INV-02287</t>
  </si>
  <si>
    <t>INV-02288</t>
  </si>
  <si>
    <t>INV-02289</t>
  </si>
  <si>
    <t>INV-02290</t>
  </si>
  <si>
    <t>INV-02291</t>
  </si>
  <si>
    <t>INV-02292</t>
  </si>
  <si>
    <t>INV-02293</t>
  </si>
  <si>
    <t>INV-02294</t>
  </si>
  <si>
    <t>INV-02295</t>
  </si>
  <si>
    <t>INV-02296</t>
  </si>
  <si>
    <t>INV-02297</t>
  </si>
  <si>
    <t>INV-02298</t>
  </si>
  <si>
    <t>INV-02299</t>
  </si>
  <si>
    <t>INV-02300</t>
  </si>
  <si>
    <t>INV-02301</t>
  </si>
  <si>
    <t>INV-02302</t>
  </si>
  <si>
    <t>INV-02303</t>
  </si>
  <si>
    <t>INV-02304</t>
  </si>
  <si>
    <t>INV-02305</t>
  </si>
  <si>
    <t>INV-02306</t>
  </si>
  <si>
    <t>INV-02307</t>
  </si>
  <si>
    <t>INV-02308</t>
  </si>
  <si>
    <t>INV-02309</t>
  </si>
  <si>
    <t>INV-02310</t>
  </si>
  <si>
    <t>INV-02311</t>
  </si>
  <si>
    <t>INV-02312</t>
  </si>
  <si>
    <t>INV-02313</t>
  </si>
  <si>
    <t>INV-02314</t>
  </si>
  <si>
    <t>INV-02315</t>
  </si>
  <si>
    <t>INV-02316</t>
  </si>
  <si>
    <t>INV-02317</t>
  </si>
  <si>
    <t>INV-02318</t>
  </si>
  <si>
    <t>INV-02319</t>
  </si>
  <si>
    <t>INV-02320</t>
  </si>
  <si>
    <t>INV-02321</t>
  </si>
  <si>
    <t>INV-02322</t>
  </si>
  <si>
    <t>INV-02323</t>
  </si>
  <si>
    <t>INV-02324</t>
  </si>
  <si>
    <t>INV-02325</t>
  </si>
  <si>
    <t>INV-02326</t>
  </si>
  <si>
    <t>INV-02327</t>
  </si>
  <si>
    <t>INV-02328</t>
  </si>
  <si>
    <t>INV-02329</t>
  </si>
  <si>
    <t>INV-02330</t>
  </si>
  <si>
    <t>INV-02331</t>
  </si>
  <si>
    <t>INV-02332</t>
  </si>
  <si>
    <t>INV-02333</t>
  </si>
  <si>
    <t>INV-02334</t>
  </si>
  <si>
    <t>INV-02335</t>
  </si>
  <si>
    <t>INV-02336</t>
  </si>
  <si>
    <t>INV-02337</t>
  </si>
  <si>
    <t>INV-02338</t>
  </si>
  <si>
    <t>INV-02339</t>
  </si>
  <si>
    <t>INV-02340</t>
  </si>
  <si>
    <t>INV-02341</t>
  </si>
  <si>
    <t>INV-02342</t>
  </si>
  <si>
    <t>INV-02343</t>
  </si>
  <si>
    <t>INV-02344</t>
  </si>
  <si>
    <t>INV-02345</t>
  </si>
  <si>
    <t>INV-02346</t>
  </si>
  <si>
    <t>INV-02347</t>
  </si>
  <si>
    <t>INV-02348</t>
  </si>
  <si>
    <t>INV-02349</t>
  </si>
  <si>
    <t>INV-02350</t>
  </si>
  <si>
    <t>INV-02351</t>
  </si>
  <si>
    <t>INV-02352</t>
  </si>
  <si>
    <t>INV-02353</t>
  </si>
  <si>
    <t>INV-02354</t>
  </si>
  <si>
    <t>INV-02355</t>
  </si>
  <si>
    <t>INV-02356</t>
  </si>
  <si>
    <t>INV-02357</t>
  </si>
  <si>
    <t>INV-02358</t>
  </si>
  <si>
    <t>INV-02359</t>
  </si>
  <si>
    <t>INV-02360</t>
  </si>
  <si>
    <t>INV-02361</t>
  </si>
  <si>
    <t>INV-02362</t>
  </si>
  <si>
    <t>INV-02363</t>
  </si>
  <si>
    <t>INV-02364</t>
  </si>
  <si>
    <t>INV-02365</t>
  </si>
  <si>
    <t>INV-02366</t>
  </si>
  <si>
    <t>INV-02367</t>
  </si>
  <si>
    <t>INV-02368</t>
  </si>
  <si>
    <t>INV-02369</t>
  </si>
  <si>
    <t>INV-02370</t>
  </si>
  <si>
    <t>INV-02371</t>
  </si>
  <si>
    <t>INV-02372</t>
  </si>
  <si>
    <t>INV-02373</t>
  </si>
  <si>
    <t>INV-02374</t>
  </si>
  <si>
    <t>INV-02375</t>
  </si>
  <si>
    <t>INV-02376</t>
  </si>
  <si>
    <t>INV-02377</t>
  </si>
  <si>
    <t>INV-02378</t>
  </si>
  <si>
    <t>INV-02379</t>
  </si>
  <si>
    <t>INV-02380</t>
  </si>
  <si>
    <t>INV-02381</t>
  </si>
  <si>
    <t>INV-02382</t>
  </si>
  <si>
    <t>INV-02383</t>
  </si>
  <si>
    <t>INV-02384</t>
  </si>
  <si>
    <t>INV-02385</t>
  </si>
  <si>
    <t>INV-02386</t>
  </si>
  <si>
    <t>INV-02387</t>
  </si>
  <si>
    <t>INV-02388</t>
  </si>
  <si>
    <t>INV-02389</t>
  </si>
  <si>
    <t>INV-02390</t>
  </si>
  <si>
    <t>INV-02391</t>
  </si>
  <si>
    <t>INV-02392</t>
  </si>
  <si>
    <t>INV-02393</t>
  </si>
  <si>
    <t>INV-02394</t>
  </si>
  <si>
    <t>INV-02395</t>
  </si>
  <si>
    <t>INV-02396</t>
  </si>
  <si>
    <t>INV-02397</t>
  </si>
  <si>
    <t>INV-02398</t>
  </si>
  <si>
    <t>INV-02399</t>
  </si>
  <si>
    <t>INV-02400</t>
  </si>
  <si>
    <t>INV-02401</t>
  </si>
  <si>
    <t>INV-02402</t>
  </si>
  <si>
    <t>INV-02403</t>
  </si>
  <si>
    <t>INV-02404</t>
  </si>
  <si>
    <t>INV-02405</t>
  </si>
  <si>
    <t>INV-02406</t>
  </si>
  <si>
    <t>INV-02407</t>
  </si>
  <si>
    <t>INV-02408</t>
  </si>
  <si>
    <t>INV-02409</t>
  </si>
  <si>
    <t>INV-02410</t>
  </si>
  <si>
    <t>INV-02411</t>
  </si>
  <si>
    <t>INV-02412</t>
  </si>
  <si>
    <t>INV-02413</t>
  </si>
  <si>
    <t>INV-02414</t>
  </si>
  <si>
    <t>INV-02415</t>
  </si>
  <si>
    <t>INV-02416</t>
  </si>
  <si>
    <t>INV-02417</t>
  </si>
  <si>
    <t>INV-02418</t>
  </si>
  <si>
    <t>INV-02419</t>
  </si>
  <si>
    <t>INV-02420</t>
  </si>
  <si>
    <t>INV-02421</t>
  </si>
  <si>
    <t>INV-02422</t>
  </si>
  <si>
    <t>INV-02423</t>
  </si>
  <si>
    <t>INV-02424</t>
  </si>
  <si>
    <t>INV-02425</t>
  </si>
  <si>
    <t>INV-02426</t>
  </si>
  <si>
    <t>INV-02427</t>
  </si>
  <si>
    <t>INV-02428</t>
  </si>
  <si>
    <t>INV-02429</t>
  </si>
  <si>
    <t>INV-02430</t>
  </si>
  <si>
    <t>INV-02431</t>
  </si>
  <si>
    <t>INV-02432</t>
  </si>
  <si>
    <t>INV-02433</t>
  </si>
  <si>
    <t>INV-02434</t>
  </si>
  <si>
    <t>INV-02435</t>
  </si>
  <si>
    <t>INV-02436</t>
  </si>
  <si>
    <t>INV-02437</t>
  </si>
  <si>
    <t>INV-02438</t>
  </si>
  <si>
    <t>INV-02439</t>
  </si>
  <si>
    <t>INV-02440</t>
  </si>
  <si>
    <t>INV-02441</t>
  </si>
  <si>
    <t>INV-02442</t>
  </si>
  <si>
    <t>INV-02443</t>
  </si>
  <si>
    <t>INV-02444</t>
  </si>
  <si>
    <t>INV-02445</t>
  </si>
  <si>
    <t>INV-02446</t>
  </si>
  <si>
    <t>INV-02447</t>
  </si>
  <si>
    <t>INV-02448</t>
  </si>
  <si>
    <t>INV-02449</t>
  </si>
  <si>
    <t>INV-02450</t>
  </si>
  <si>
    <t>INV-02451</t>
  </si>
  <si>
    <t>INV-02452</t>
  </si>
  <si>
    <t>INV-02453</t>
  </si>
  <si>
    <t>INV-02454</t>
  </si>
  <si>
    <t>INV-02455</t>
  </si>
  <si>
    <t>INV-02456</t>
  </si>
  <si>
    <t>INV-02457</t>
  </si>
  <si>
    <t>INV-02458</t>
  </si>
  <si>
    <t>INV-02459</t>
  </si>
  <si>
    <t>INV-02460</t>
  </si>
  <si>
    <t>INV-02461</t>
  </si>
  <si>
    <t>INV-02462</t>
  </si>
  <si>
    <t>INV-02463</t>
  </si>
  <si>
    <t>INV-02464</t>
  </si>
  <si>
    <t>INV-02465</t>
  </si>
  <si>
    <t>INV-02466</t>
  </si>
  <si>
    <t>INV-02467</t>
  </si>
  <si>
    <t>INV-02468</t>
  </si>
  <si>
    <t>INV-02469</t>
  </si>
  <si>
    <t>INV-02470</t>
  </si>
  <si>
    <t>INV-02471</t>
  </si>
  <si>
    <t>INV-02472</t>
  </si>
  <si>
    <t>INV-02473</t>
  </si>
  <si>
    <t>INV-02474</t>
  </si>
  <si>
    <t>INV-02475</t>
  </si>
  <si>
    <t>INV-02476</t>
  </si>
  <si>
    <t>INV-02477</t>
  </si>
  <si>
    <t>INV-02478</t>
  </si>
  <si>
    <t>INV-02479</t>
  </si>
  <si>
    <t>INV-02480</t>
  </si>
  <si>
    <t>INV-02481</t>
  </si>
  <si>
    <t>INV-02482</t>
  </si>
  <si>
    <t>INV-02483</t>
  </si>
  <si>
    <t>INV-02484</t>
  </si>
  <si>
    <t>INV-02485</t>
  </si>
  <si>
    <t>INV-02486</t>
  </si>
  <si>
    <t>INV-02487</t>
  </si>
  <si>
    <t>INV-02488</t>
  </si>
  <si>
    <t>INV-02489</t>
  </si>
  <si>
    <t>INV-02490</t>
  </si>
  <si>
    <t>INV-02491</t>
  </si>
  <si>
    <t>INV-02492</t>
  </si>
  <si>
    <t>INV-02493</t>
  </si>
  <si>
    <t>INV-02494</t>
  </si>
  <si>
    <t>INV-02495</t>
  </si>
  <si>
    <t>INV-02496</t>
  </si>
  <si>
    <t>INV-02497</t>
  </si>
  <si>
    <t>INV-02498</t>
  </si>
  <si>
    <t>INV-02499</t>
  </si>
  <si>
    <t>INV-02500</t>
  </si>
  <si>
    <t>INV-02501</t>
  </si>
  <si>
    <t>INV-02502</t>
  </si>
  <si>
    <t>INV-02503</t>
  </si>
  <si>
    <t>INV-02504</t>
  </si>
  <si>
    <t>INV-02505</t>
  </si>
  <si>
    <t>INV-02506</t>
  </si>
  <si>
    <t>INV-02507</t>
  </si>
  <si>
    <t>INV-02508</t>
  </si>
  <si>
    <t>INV-02509</t>
  </si>
  <si>
    <t>INV-02510</t>
  </si>
  <si>
    <t>INV-02511</t>
  </si>
  <si>
    <t>INV-02512</t>
  </si>
  <si>
    <t>INV-02513</t>
  </si>
  <si>
    <t>INV-02514</t>
  </si>
  <si>
    <t>INV-02515</t>
  </si>
  <si>
    <t>INV-02516</t>
  </si>
  <si>
    <t>INV-02517</t>
  </si>
  <si>
    <t>INV-02518</t>
  </si>
  <si>
    <t>INV-02519</t>
  </si>
  <si>
    <t>INV-02520</t>
  </si>
  <si>
    <t>INV-02521</t>
  </si>
  <si>
    <t>INV-02522</t>
  </si>
  <si>
    <t>INV-02523</t>
  </si>
  <si>
    <t>INV-02524</t>
  </si>
  <si>
    <t>INV-02525</t>
  </si>
  <si>
    <t>INV-02526</t>
  </si>
  <si>
    <t>INV-02527</t>
  </si>
  <si>
    <t>INV-02528</t>
  </si>
  <si>
    <t>INV-02529</t>
  </si>
  <si>
    <t>INV-02530</t>
  </si>
  <si>
    <t>INV-02531</t>
  </si>
  <si>
    <t>INV-02532</t>
  </si>
  <si>
    <t>INV-02533</t>
  </si>
  <si>
    <t>INV-02534</t>
  </si>
  <si>
    <t>INV-02535</t>
  </si>
  <si>
    <t>INV-02536</t>
  </si>
  <si>
    <t>INV-02537</t>
  </si>
  <si>
    <t>INV-02538</t>
  </si>
  <si>
    <t>INV-02539</t>
  </si>
  <si>
    <t>INV-02540</t>
  </si>
  <si>
    <t>INV-02541</t>
  </si>
  <si>
    <t>INV-02542</t>
  </si>
  <si>
    <t>INV-02543</t>
  </si>
  <si>
    <t>INV-02544</t>
  </si>
  <si>
    <t>INV-02545</t>
  </si>
  <si>
    <t>INV-02546</t>
  </si>
  <si>
    <t>INV-02547</t>
  </si>
  <si>
    <t>INV-02548</t>
  </si>
  <si>
    <t>INV-02549</t>
  </si>
  <si>
    <t>INV-02550</t>
  </si>
  <si>
    <t>INV-02551</t>
  </si>
  <si>
    <t>INV-02552</t>
  </si>
  <si>
    <t>INV-02553</t>
  </si>
  <si>
    <t>INV-02554</t>
  </si>
  <si>
    <t>INV-02555</t>
  </si>
  <si>
    <t>INV-02556</t>
  </si>
  <si>
    <t>INV-02557</t>
  </si>
  <si>
    <t>INV-02558</t>
  </si>
  <si>
    <t>INV-02559</t>
  </si>
  <si>
    <t>INV-02560</t>
  </si>
  <si>
    <t>INV-02561</t>
  </si>
  <si>
    <t>INV-02562</t>
  </si>
  <si>
    <t>INV-02563</t>
  </si>
  <si>
    <t>INV-02564</t>
  </si>
  <si>
    <t>INV-02565</t>
  </si>
  <si>
    <t>INV-02566</t>
  </si>
  <si>
    <t>INV-02567</t>
  </si>
  <si>
    <t>INV-02568</t>
  </si>
  <si>
    <t>INV-02569</t>
  </si>
  <si>
    <t>INV-02570</t>
  </si>
  <si>
    <t>INV-02571</t>
  </si>
  <si>
    <t>INV-02572</t>
  </si>
  <si>
    <t>INV-02573</t>
  </si>
  <si>
    <t>INV-02574</t>
  </si>
  <si>
    <t>INV-02575</t>
  </si>
  <si>
    <t>INV-02576</t>
  </si>
  <si>
    <t>INV-02577</t>
  </si>
  <si>
    <t>INV-02578</t>
  </si>
  <si>
    <t>INV-02579</t>
  </si>
  <si>
    <t>INV-02580</t>
  </si>
  <si>
    <t>INV-02581</t>
  </si>
  <si>
    <t>INV-02582</t>
  </si>
  <si>
    <t>INV-02583</t>
  </si>
  <si>
    <t>INV-02584</t>
  </si>
  <si>
    <t>INV-02585</t>
  </si>
  <si>
    <t>INV-02586</t>
  </si>
  <si>
    <t>INV-02587</t>
  </si>
  <si>
    <t>INV-02588</t>
  </si>
  <si>
    <t>INV-02589</t>
  </si>
  <si>
    <t>INV-02590</t>
  </si>
  <si>
    <t>INV-02591</t>
  </si>
  <si>
    <t>INV-02592</t>
  </si>
  <si>
    <t>INV-02593</t>
  </si>
  <si>
    <t>INV-02594</t>
  </si>
  <si>
    <t>INV-02595</t>
  </si>
  <si>
    <t>INV-02596</t>
  </si>
  <si>
    <t>INV-02597</t>
  </si>
  <si>
    <t>INV-02598</t>
  </si>
  <si>
    <t>INV-02599</t>
  </si>
  <si>
    <t>INV-02600</t>
  </si>
  <si>
    <t>INV-02601</t>
  </si>
  <si>
    <t>INV-02602</t>
  </si>
  <si>
    <t>INV-02603</t>
  </si>
  <si>
    <t>INV-02604</t>
  </si>
  <si>
    <t>INV-02605</t>
  </si>
  <si>
    <t>INV-02606</t>
  </si>
  <si>
    <t>INV-02607</t>
  </si>
  <si>
    <t>INV-02608</t>
  </si>
  <si>
    <t>INV-02609</t>
  </si>
  <si>
    <t>INV-02610</t>
  </si>
  <si>
    <t>INV-02611</t>
  </si>
  <si>
    <t>INV-02612</t>
  </si>
  <si>
    <t>INV-02613</t>
  </si>
  <si>
    <t>INV-02614</t>
  </si>
  <si>
    <t>INV-02615</t>
  </si>
  <si>
    <t>INV-02616</t>
  </si>
  <si>
    <t>INV-02617</t>
  </si>
  <si>
    <t>INV-02618</t>
  </si>
  <si>
    <t>INV-02619</t>
  </si>
  <si>
    <t>INV-02620</t>
  </si>
  <si>
    <t>INV-02621</t>
  </si>
  <si>
    <t>INV-02622</t>
  </si>
  <si>
    <t>INV-02623</t>
  </si>
  <si>
    <t>INV-02624</t>
  </si>
  <si>
    <t>INV-02625</t>
  </si>
  <si>
    <t>INV-02626</t>
  </si>
  <si>
    <t>INV-02627</t>
  </si>
  <si>
    <t>INV-02628</t>
  </si>
  <si>
    <t>INV-02629</t>
  </si>
  <si>
    <t>INV-02630</t>
  </si>
  <si>
    <t>INV-02631</t>
  </si>
  <si>
    <t>INV-02632</t>
  </si>
  <si>
    <t>INV-02633</t>
  </si>
  <si>
    <t>INV-02634</t>
  </si>
  <si>
    <t>INV-02635</t>
  </si>
  <si>
    <t>INV-02636</t>
  </si>
  <si>
    <t>INV-02637</t>
  </si>
  <si>
    <t>INV-02638</t>
  </si>
  <si>
    <t>INV-02639</t>
  </si>
  <si>
    <t>INV-02640</t>
  </si>
  <si>
    <t>INV-02641</t>
  </si>
  <si>
    <t>INV-02642</t>
  </si>
  <si>
    <t>INV-02643</t>
  </si>
  <si>
    <t>INV-02644</t>
  </si>
  <si>
    <t>INV-02645</t>
  </si>
  <si>
    <t>INV-02646</t>
  </si>
  <si>
    <t>INV-02647</t>
  </si>
  <si>
    <t>INV-02648</t>
  </si>
  <si>
    <t>INV-02649</t>
  </si>
  <si>
    <t>INV-02650</t>
  </si>
  <si>
    <t>INV-02651</t>
  </si>
  <si>
    <t>INV-02652</t>
  </si>
  <si>
    <t>INV-02653</t>
  </si>
  <si>
    <t>INV-02654</t>
  </si>
  <si>
    <t>INV-02655</t>
  </si>
  <si>
    <t>INV-02656</t>
  </si>
  <si>
    <t>INV-02657</t>
  </si>
  <si>
    <t>INV-02658</t>
  </si>
  <si>
    <t>INV-02659</t>
  </si>
  <si>
    <t>INV-02660</t>
  </si>
  <si>
    <t>INV-02661</t>
  </si>
  <si>
    <t>INV-02662</t>
  </si>
  <si>
    <t>INV-02663</t>
  </si>
  <si>
    <t>INV-02664</t>
  </si>
  <si>
    <t>INV-02665</t>
  </si>
  <si>
    <t>INV-02666</t>
  </si>
  <si>
    <t>INV-02667</t>
  </si>
  <si>
    <t>INV-02668</t>
  </si>
  <si>
    <t>INV-02669</t>
  </si>
  <si>
    <t>INV-02670</t>
  </si>
  <si>
    <t>INV-02671</t>
  </si>
  <si>
    <t>INV-02672</t>
  </si>
  <si>
    <t>INV-02673</t>
  </si>
  <si>
    <t>INV-02674</t>
  </si>
  <si>
    <t>INV-02675</t>
  </si>
  <si>
    <t>INV-02676</t>
  </si>
  <si>
    <t>INV-02677</t>
  </si>
  <si>
    <t>INV-02678</t>
  </si>
  <si>
    <t>INV-02679</t>
  </si>
  <si>
    <t>INV-02680</t>
  </si>
  <si>
    <t>INV-02681</t>
  </si>
  <si>
    <t>INV-02682</t>
  </si>
  <si>
    <t>INV-02683</t>
  </si>
  <si>
    <t>INV-02684</t>
  </si>
  <si>
    <t>INV-02685</t>
  </si>
  <si>
    <t>INV-02686</t>
  </si>
  <si>
    <t>INV-02687</t>
  </si>
  <si>
    <t>INV-02688</t>
  </si>
  <si>
    <t>INV-02689</t>
  </si>
  <si>
    <t>INV-02690</t>
  </si>
  <si>
    <t>INV-02691</t>
  </si>
  <si>
    <t>INV-02692</t>
  </si>
  <si>
    <t>INV-02693</t>
  </si>
  <si>
    <t>INV-02694</t>
  </si>
  <si>
    <t>INV-02695</t>
  </si>
  <si>
    <t>INV-02696</t>
  </si>
  <si>
    <t>INV-02697</t>
  </si>
  <si>
    <t>INV-02698</t>
  </si>
  <si>
    <t>INV-02699</t>
  </si>
  <si>
    <t>INV-02700</t>
  </si>
  <si>
    <t>INV-02701</t>
  </si>
  <si>
    <t>INV-02702</t>
  </si>
  <si>
    <t>INV-02703</t>
  </si>
  <si>
    <t>INV-02704</t>
  </si>
  <si>
    <t>INV-02705</t>
  </si>
  <si>
    <t>INV-02706</t>
  </si>
  <si>
    <t>INV-02707</t>
  </si>
  <si>
    <t>INV-02708</t>
  </si>
  <si>
    <t>INV-02709</t>
  </si>
  <si>
    <t>INV-02710</t>
  </si>
  <si>
    <t>INV-02711</t>
  </si>
  <si>
    <t>INV-02712</t>
  </si>
  <si>
    <t>INV-02713</t>
  </si>
  <si>
    <t>INV-02714</t>
  </si>
  <si>
    <t>INV-02715</t>
  </si>
  <si>
    <t>INV-02716</t>
  </si>
  <si>
    <t>INV-02717</t>
  </si>
  <si>
    <t>INV-02718</t>
  </si>
  <si>
    <t>INV-02719</t>
  </si>
  <si>
    <t>INV-02720</t>
  </si>
  <si>
    <t>INV-02721</t>
  </si>
  <si>
    <t>INV-02722</t>
  </si>
  <si>
    <t>INV-02723</t>
  </si>
  <si>
    <t>INV-02724</t>
  </si>
  <si>
    <t>INV-02725</t>
  </si>
  <si>
    <t>INV-02726</t>
  </si>
  <si>
    <t>INV-02727</t>
  </si>
  <si>
    <t>INV-02728</t>
  </si>
  <si>
    <t>INV-02729</t>
  </si>
  <si>
    <t>INV-02730</t>
  </si>
  <si>
    <t>INV-02731</t>
  </si>
  <si>
    <t>INV-02732</t>
  </si>
  <si>
    <t>INV-02733</t>
  </si>
  <si>
    <t>INV-02734</t>
  </si>
  <si>
    <t>INV-02735</t>
  </si>
  <si>
    <t>INV-02736</t>
  </si>
  <si>
    <t>INV-02737</t>
  </si>
  <si>
    <t>INV-02738</t>
  </si>
  <si>
    <t>INV-02739</t>
  </si>
  <si>
    <t>INV-02740</t>
  </si>
  <si>
    <t>INV-02741</t>
  </si>
  <si>
    <t>INV-02742</t>
  </si>
  <si>
    <t>INV-02743</t>
  </si>
  <si>
    <t>INV-02744</t>
  </si>
  <si>
    <t>INV-02745</t>
  </si>
  <si>
    <t>INV-02746</t>
  </si>
  <si>
    <t>INV-02747</t>
  </si>
  <si>
    <t>INV-02748</t>
  </si>
  <si>
    <t>INV-02749</t>
  </si>
  <si>
    <t>INV-02750</t>
  </si>
  <si>
    <t>INV-02751</t>
  </si>
  <si>
    <t>INV-02752</t>
  </si>
  <si>
    <t>INV-02753</t>
  </si>
  <si>
    <t>INV-02754</t>
  </si>
  <si>
    <t>INV-02755</t>
  </si>
  <si>
    <t>INV-02756</t>
  </si>
  <si>
    <t>INV-02757</t>
  </si>
  <si>
    <t>INV-02758</t>
  </si>
  <si>
    <t>INV-02759</t>
  </si>
  <si>
    <t>INV-02760</t>
  </si>
  <si>
    <t>INV-02761</t>
  </si>
  <si>
    <t>INV-02762</t>
  </si>
  <si>
    <t>INV-02763</t>
  </si>
  <si>
    <t>INV-02764</t>
  </si>
  <si>
    <t>INV-02765</t>
  </si>
  <si>
    <t>INV-02766</t>
  </si>
  <si>
    <t>INV-02767</t>
  </si>
  <si>
    <t>INV-02768</t>
  </si>
  <si>
    <t>INV-02769</t>
  </si>
  <si>
    <t>INV-02770</t>
  </si>
  <si>
    <t>INV-02771</t>
  </si>
  <si>
    <t>INV-02772</t>
  </si>
  <si>
    <t>INV-02773</t>
  </si>
  <si>
    <t>INV-02774</t>
  </si>
  <si>
    <t>INV-02775</t>
  </si>
  <si>
    <t>INV-02776</t>
  </si>
  <si>
    <t>INV-02777</t>
  </si>
  <si>
    <t>INV-02778</t>
  </si>
  <si>
    <t>INV-02779</t>
  </si>
  <si>
    <t>INV-02780</t>
  </si>
  <si>
    <t>INV-02781</t>
  </si>
  <si>
    <t>INV-02782</t>
  </si>
  <si>
    <t>INV-02783</t>
  </si>
  <si>
    <t>INV-02784</t>
  </si>
  <si>
    <t>INV-02785</t>
  </si>
  <si>
    <t>INV-02786</t>
  </si>
  <si>
    <t>INV-02787</t>
  </si>
  <si>
    <t>INV-02788</t>
  </si>
  <si>
    <t>INV-02789</t>
  </si>
  <si>
    <t>INV-02790</t>
  </si>
  <si>
    <t>INV-02791</t>
  </si>
  <si>
    <t>INV-02792</t>
  </si>
  <si>
    <t>INV-02793</t>
  </si>
  <si>
    <t>INV-02794</t>
  </si>
  <si>
    <t>INV-02795</t>
  </si>
  <si>
    <t>INV-02796</t>
  </si>
  <si>
    <t>INV-02797</t>
  </si>
  <si>
    <t>INV-02798</t>
  </si>
  <si>
    <t>INV-02799</t>
  </si>
  <si>
    <t>INV-02800</t>
  </si>
  <si>
    <t>PaymentID</t>
  </si>
  <si>
    <t>PaymentDate</t>
  </si>
  <si>
    <t>PaymentAmount</t>
  </si>
  <si>
    <t>Method</t>
  </si>
  <si>
    <t>PAY-00001</t>
  </si>
  <si>
    <t>Credit Card</t>
  </si>
  <si>
    <t>PAY-00002</t>
  </si>
  <si>
    <t>PAY-00003</t>
  </si>
  <si>
    <t>PAY-00004</t>
  </si>
  <si>
    <t>PAY-00005</t>
  </si>
  <si>
    <t>PAY-00006</t>
  </si>
  <si>
    <t>PAY-00007</t>
  </si>
  <si>
    <t>PAY-00008</t>
  </si>
  <si>
    <t>PAY-00009</t>
  </si>
  <si>
    <t>PAY-00010</t>
  </si>
  <si>
    <t>Bank Transfer</t>
  </si>
  <si>
    <t>PAY-00011</t>
  </si>
  <si>
    <t>PAY-00012</t>
  </si>
  <si>
    <t>PAY-00013</t>
  </si>
  <si>
    <t>PAY-00014</t>
  </si>
  <si>
    <t>PAY-00015</t>
  </si>
  <si>
    <t>PAY-00016</t>
  </si>
  <si>
    <t>PAY-00017</t>
  </si>
  <si>
    <t>PAY-00018</t>
  </si>
  <si>
    <t>PAY-00019</t>
  </si>
  <si>
    <t>PAY-00020</t>
  </si>
  <si>
    <t>PAY-00021</t>
  </si>
  <si>
    <t>PAY-00022</t>
  </si>
  <si>
    <t>PAY-00023</t>
  </si>
  <si>
    <t>PAY-00024</t>
  </si>
  <si>
    <t>PAY-00025</t>
  </si>
  <si>
    <t>PAY-00026</t>
  </si>
  <si>
    <t>PAY-00027</t>
  </si>
  <si>
    <t>PAY-00028</t>
  </si>
  <si>
    <t>PAY-00029</t>
  </si>
  <si>
    <t>PAY-00030</t>
  </si>
  <si>
    <t>PAY-00031</t>
  </si>
  <si>
    <t>PAY-00032</t>
  </si>
  <si>
    <t>PAY-00033</t>
  </si>
  <si>
    <t>PAY-00034</t>
  </si>
  <si>
    <t>PAY-00035</t>
  </si>
  <si>
    <t>PAY-00036</t>
  </si>
  <si>
    <t>PAY-00037</t>
  </si>
  <si>
    <t>PAY-00038</t>
  </si>
  <si>
    <t>PAY-00039</t>
  </si>
  <si>
    <t>PAY-00040</t>
  </si>
  <si>
    <t>PAY-00041</t>
  </si>
  <si>
    <t>PAY-00042</t>
  </si>
  <si>
    <t>PAY-00043</t>
  </si>
  <si>
    <t>PAY-00044</t>
  </si>
  <si>
    <t>PAY-00045</t>
  </si>
  <si>
    <t>PAY-00046</t>
  </si>
  <si>
    <t>PAY-00047</t>
  </si>
  <si>
    <t>PAY-00048</t>
  </si>
  <si>
    <t>PAY-00049</t>
  </si>
  <si>
    <t>PAY-00050</t>
  </si>
  <si>
    <t>PAY-00051</t>
  </si>
  <si>
    <t>PAY-00052</t>
  </si>
  <si>
    <t>PAY-00053</t>
  </si>
  <si>
    <t>PAY-00054</t>
  </si>
  <si>
    <t>PAY-00055</t>
  </si>
  <si>
    <t>PAY-00056</t>
  </si>
  <si>
    <t>PAY-00057</t>
  </si>
  <si>
    <t>PAY-00058</t>
  </si>
  <si>
    <t>PAY-00059</t>
  </si>
  <si>
    <t>PAY-00060</t>
  </si>
  <si>
    <t>PAY-00061</t>
  </si>
  <si>
    <t>PAY-00062</t>
  </si>
  <si>
    <t>PAY-00063</t>
  </si>
  <si>
    <t>PAY-00064</t>
  </si>
  <si>
    <t>PAY-00065</t>
  </si>
  <si>
    <t>PAY-00066</t>
  </si>
  <si>
    <t>PAY-00067</t>
  </si>
  <si>
    <t>PAY-00068</t>
  </si>
  <si>
    <t>PAY-00069</t>
  </si>
  <si>
    <t>PAY-00070</t>
  </si>
  <si>
    <t>PAY-00071</t>
  </si>
  <si>
    <t>PAY-00072</t>
  </si>
  <si>
    <t>PAY-00073</t>
  </si>
  <si>
    <t>PAY-00074</t>
  </si>
  <si>
    <t>PAY-00075</t>
  </si>
  <si>
    <t>PAY-00076</t>
  </si>
  <si>
    <t>PAY-00077</t>
  </si>
  <si>
    <t>PAY-00078</t>
  </si>
  <si>
    <t>PAY-00079</t>
  </si>
  <si>
    <t>PAY-00080</t>
  </si>
  <si>
    <t>PAY-00081</t>
  </si>
  <si>
    <t>PAY-00082</t>
  </si>
  <si>
    <t>PAY-00083</t>
  </si>
  <si>
    <t>PAY-00084</t>
  </si>
  <si>
    <t>PAY-00085</t>
  </si>
  <si>
    <t>PAY-00086</t>
  </si>
  <si>
    <t>PAY-00087</t>
  </si>
  <si>
    <t>PAY-00088</t>
  </si>
  <si>
    <t>PAY-00089</t>
  </si>
  <si>
    <t>PAY-00090</t>
  </si>
  <si>
    <t>PAY-00091</t>
  </si>
  <si>
    <t>PAY-00092</t>
  </si>
  <si>
    <t>PAY-00093</t>
  </si>
  <si>
    <t>PAY-00094</t>
  </si>
  <si>
    <t>PAY-00095</t>
  </si>
  <si>
    <t>PAY-00096</t>
  </si>
  <si>
    <t>PAY-00097</t>
  </si>
  <si>
    <t>PAY-00098</t>
  </si>
  <si>
    <t>PAY-00099</t>
  </si>
  <si>
    <t>PAY-00100</t>
  </si>
  <si>
    <t>PAY-00101</t>
  </si>
  <si>
    <t>PAY-00102</t>
  </si>
  <si>
    <t>PAY-00103</t>
  </si>
  <si>
    <t>PAY-00104</t>
  </si>
  <si>
    <t>PAY-00105</t>
  </si>
  <si>
    <t>PAY-00106</t>
  </si>
  <si>
    <t>PAY-00107</t>
  </si>
  <si>
    <t>PAY-00108</t>
  </si>
  <si>
    <t>PAY-00109</t>
  </si>
  <si>
    <t>PAY-00110</t>
  </si>
  <si>
    <t>PAY-00111</t>
  </si>
  <si>
    <t>PAY-00112</t>
  </si>
  <si>
    <t>PAY-00113</t>
  </si>
  <si>
    <t>PAY-00114</t>
  </si>
  <si>
    <t>PAY-00115</t>
  </si>
  <si>
    <t>PAY-00116</t>
  </si>
  <si>
    <t>PAY-00117</t>
  </si>
  <si>
    <t>PAY-00118</t>
  </si>
  <si>
    <t>PAY-00119</t>
  </si>
  <si>
    <t>PAY-00120</t>
  </si>
  <si>
    <t>PAY-00121</t>
  </si>
  <si>
    <t>PAY-00122</t>
  </si>
  <si>
    <t>PAY-00123</t>
  </si>
  <si>
    <t>PAY-00124</t>
  </si>
  <si>
    <t>PAY-00125</t>
  </si>
  <si>
    <t>PAY-00126</t>
  </si>
  <si>
    <t>PAY-00127</t>
  </si>
  <si>
    <t>PAY-00128</t>
  </si>
  <si>
    <t>PAY-00129</t>
  </si>
  <si>
    <t>PAY-00130</t>
  </si>
  <si>
    <t>PAY-00131</t>
  </si>
  <si>
    <t>PAY-00132</t>
  </si>
  <si>
    <t>PAY-00133</t>
  </si>
  <si>
    <t>PAY-00134</t>
  </si>
  <si>
    <t>PAY-00135</t>
  </si>
  <si>
    <t>PAY-00136</t>
  </si>
  <si>
    <t>PAY-00137</t>
  </si>
  <si>
    <t>PAY-00138</t>
  </si>
  <si>
    <t>PAY-00139</t>
  </si>
  <si>
    <t>PAY-00140</t>
  </si>
  <si>
    <t>PAY-00141</t>
  </si>
  <si>
    <t>PAY-00142</t>
  </si>
  <si>
    <t>PAY-00143</t>
  </si>
  <si>
    <t>PAY-00144</t>
  </si>
  <si>
    <t>PAY-00145</t>
  </si>
  <si>
    <t>PAY-00146</t>
  </si>
  <si>
    <t>PAY-00147</t>
  </si>
  <si>
    <t>PAY-00148</t>
  </si>
  <si>
    <t>PAY-00149</t>
  </si>
  <si>
    <t>PAY-00150</t>
  </si>
  <si>
    <t>PAY-00151</t>
  </si>
  <si>
    <t>PAY-00152</t>
  </si>
  <si>
    <t>PAY-00153</t>
  </si>
  <si>
    <t>PAY-00154</t>
  </si>
  <si>
    <t>PAY-00155</t>
  </si>
  <si>
    <t>PAY-00156</t>
  </si>
  <si>
    <t>PAY-00157</t>
  </si>
  <si>
    <t>PAY-00158</t>
  </si>
  <si>
    <t>PAY-00159</t>
  </si>
  <si>
    <t>PAY-00160</t>
  </si>
  <si>
    <t>PAY-00161</t>
  </si>
  <si>
    <t>PAY-00162</t>
  </si>
  <si>
    <t>PAY-00163</t>
  </si>
  <si>
    <t>PAY-00164</t>
  </si>
  <si>
    <t>PAY-00165</t>
  </si>
  <si>
    <t>PAY-00166</t>
  </si>
  <si>
    <t>PAY-00167</t>
  </si>
  <si>
    <t>PAY-00168</t>
  </si>
  <si>
    <t>PAY-00169</t>
  </si>
  <si>
    <t>PAY-00170</t>
  </si>
  <si>
    <t>PAY-00171</t>
  </si>
  <si>
    <t>PAY-00172</t>
  </si>
  <si>
    <t>PAY-00173</t>
  </si>
  <si>
    <t>PAY-00174</t>
  </si>
  <si>
    <t>PAY-00175</t>
  </si>
  <si>
    <t>PAY-00176</t>
  </si>
  <si>
    <t>PAY-00177</t>
  </si>
  <si>
    <t>PAY-00178</t>
  </si>
  <si>
    <t>PAY-00179</t>
  </si>
  <si>
    <t>PAY-00180</t>
  </si>
  <si>
    <t>PAY-00181</t>
  </si>
  <si>
    <t>PAY-00182</t>
  </si>
  <si>
    <t>PAY-00183</t>
  </si>
  <si>
    <t>PAY-00184</t>
  </si>
  <si>
    <t>PAY-00185</t>
  </si>
  <si>
    <t>PAY-00186</t>
  </si>
  <si>
    <t>PAY-00187</t>
  </si>
  <si>
    <t>PAY-00188</t>
  </si>
  <si>
    <t>PAY-00189</t>
  </si>
  <si>
    <t>PAY-00190</t>
  </si>
  <si>
    <t>PAY-00191</t>
  </si>
  <si>
    <t>PAY-00192</t>
  </si>
  <si>
    <t>PAY-00193</t>
  </si>
  <si>
    <t>PAY-00194</t>
  </si>
  <si>
    <t>PAY-00195</t>
  </si>
  <si>
    <t>PAY-00196</t>
  </si>
  <si>
    <t>PAY-00197</t>
  </si>
  <si>
    <t>PAY-00198</t>
  </si>
  <si>
    <t>PAY-00199</t>
  </si>
  <si>
    <t>PAY-00200</t>
  </si>
  <si>
    <t>PAY-00201</t>
  </si>
  <si>
    <t>PAY-00202</t>
  </si>
  <si>
    <t>PAY-00203</t>
  </si>
  <si>
    <t>PAY-00204</t>
  </si>
  <si>
    <t>PAY-00205</t>
  </si>
  <si>
    <t>PAY-00206</t>
  </si>
  <si>
    <t>PAY-00207</t>
  </si>
  <si>
    <t>PAY-00208</t>
  </si>
  <si>
    <t>PAY-00209</t>
  </si>
  <si>
    <t>PAY-00210</t>
  </si>
  <si>
    <t>PAY-00211</t>
  </si>
  <si>
    <t>PAY-00212</t>
  </si>
  <si>
    <t>PAY-00213</t>
  </si>
  <si>
    <t>PAY-00214</t>
  </si>
  <si>
    <t>PAY-00215</t>
  </si>
  <si>
    <t>PAY-00216</t>
  </si>
  <si>
    <t>PAY-00217</t>
  </si>
  <si>
    <t>PAY-00218</t>
  </si>
  <si>
    <t>PAY-00219</t>
  </si>
  <si>
    <t>PAY-00220</t>
  </si>
  <si>
    <t>PAY-00221</t>
  </si>
  <si>
    <t>PAY-00222</t>
  </si>
  <si>
    <t>PAY-00223</t>
  </si>
  <si>
    <t>PAY-00224</t>
  </si>
  <si>
    <t>PAY-00225</t>
  </si>
  <si>
    <t>PAY-00226</t>
  </si>
  <si>
    <t>PAY-00227</t>
  </si>
  <si>
    <t>PAY-00228</t>
  </si>
  <si>
    <t>PAY-00229</t>
  </si>
  <si>
    <t>PAY-00230</t>
  </si>
  <si>
    <t>PAY-00231</t>
  </si>
  <si>
    <t>PAY-00232</t>
  </si>
  <si>
    <t>PAY-00233</t>
  </si>
  <si>
    <t>PAY-00234</t>
  </si>
  <si>
    <t>PAY-00235</t>
  </si>
  <si>
    <t>PAY-00236</t>
  </si>
  <si>
    <t>PAY-00237</t>
  </si>
  <si>
    <t>PAY-00238</t>
  </si>
  <si>
    <t>PAY-00239</t>
  </si>
  <si>
    <t>PAY-00240</t>
  </si>
  <si>
    <t>PAY-00241</t>
  </si>
  <si>
    <t>PAY-00242</t>
  </si>
  <si>
    <t>PAY-00243</t>
  </si>
  <si>
    <t>PAY-00244</t>
  </si>
  <si>
    <t>PAY-00245</t>
  </si>
  <si>
    <t>PAY-00246</t>
  </si>
  <si>
    <t>PAY-00247</t>
  </si>
  <si>
    <t>PAY-00248</t>
  </si>
  <si>
    <t>PAY-00249</t>
  </si>
  <si>
    <t>PAY-00250</t>
  </si>
  <si>
    <t>PAY-00251</t>
  </si>
  <si>
    <t>PAY-00252</t>
  </si>
  <si>
    <t>PAY-00253</t>
  </si>
  <si>
    <t>PAY-00254</t>
  </si>
  <si>
    <t>PAY-00255</t>
  </si>
  <si>
    <t>PAY-00256</t>
  </si>
  <si>
    <t>PAY-00257</t>
  </si>
  <si>
    <t>PAY-00258</t>
  </si>
  <si>
    <t>PAY-00259</t>
  </si>
  <si>
    <t>PAY-00260</t>
  </si>
  <si>
    <t>PAY-00261</t>
  </si>
  <si>
    <t>PAY-00262</t>
  </si>
  <si>
    <t>PAY-00263</t>
  </si>
  <si>
    <t>PAY-00264</t>
  </si>
  <si>
    <t>PAY-00265</t>
  </si>
  <si>
    <t>PAY-00266</t>
  </si>
  <si>
    <t>PAY-00267</t>
  </si>
  <si>
    <t>PAY-00268</t>
  </si>
  <si>
    <t>PAY-00269</t>
  </si>
  <si>
    <t>PAY-00270</t>
  </si>
  <si>
    <t>PAY-00271</t>
  </si>
  <si>
    <t>PAY-00272</t>
  </si>
  <si>
    <t>PAY-00273</t>
  </si>
  <si>
    <t>PAY-00274</t>
  </si>
  <si>
    <t>PAY-00275</t>
  </si>
  <si>
    <t>PAY-00276</t>
  </si>
  <si>
    <t>PAY-00277</t>
  </si>
  <si>
    <t>PAY-00278</t>
  </si>
  <si>
    <t>PAY-00279</t>
  </si>
  <si>
    <t>PAY-00280</t>
  </si>
  <si>
    <t>PAY-00281</t>
  </si>
  <si>
    <t>PAY-00282</t>
  </si>
  <si>
    <t>PAY-00283</t>
  </si>
  <si>
    <t>PAY-00284</t>
  </si>
  <si>
    <t>PAY-00285</t>
  </si>
  <si>
    <t>PAY-00286</t>
  </si>
  <si>
    <t>PAY-00287</t>
  </si>
  <si>
    <t>PAY-00288</t>
  </si>
  <si>
    <t>PAY-00289</t>
  </si>
  <si>
    <t>PAY-00290</t>
  </si>
  <si>
    <t>PAY-00291</t>
  </si>
  <si>
    <t>PAY-00292</t>
  </si>
  <si>
    <t>PAY-00293</t>
  </si>
  <si>
    <t>PAY-00294</t>
  </si>
  <si>
    <t>PAY-00295</t>
  </si>
  <si>
    <t>PAY-00296</t>
  </si>
  <si>
    <t>PAY-00297</t>
  </si>
  <si>
    <t>PAY-00298</t>
  </si>
  <si>
    <t>PAY-00299</t>
  </si>
  <si>
    <t>PAY-00300</t>
  </si>
  <si>
    <t>PAY-00301</t>
  </si>
  <si>
    <t>PAY-00302</t>
  </si>
  <si>
    <t>PAY-00303</t>
  </si>
  <si>
    <t>PAY-00304</t>
  </si>
  <si>
    <t>PAY-00305</t>
  </si>
  <si>
    <t>PAY-00306</t>
  </si>
  <si>
    <t>PAY-00307</t>
  </si>
  <si>
    <t>PAY-00308</t>
  </si>
  <si>
    <t>PAY-00309</t>
  </si>
  <si>
    <t>PAY-00310</t>
  </si>
  <si>
    <t>PAY-00311</t>
  </si>
  <si>
    <t>PAY-00312</t>
  </si>
  <si>
    <t>PAY-00313</t>
  </si>
  <si>
    <t>PAY-00314</t>
  </si>
  <si>
    <t>PAY-00315</t>
  </si>
  <si>
    <t>PAY-00316</t>
  </si>
  <si>
    <t>PAY-00317</t>
  </si>
  <si>
    <t>PAY-00318</t>
  </si>
  <si>
    <t>PAY-00319</t>
  </si>
  <si>
    <t>PAY-00320</t>
  </si>
  <si>
    <t>PAY-00321</t>
  </si>
  <si>
    <t>PAY-00322</t>
  </si>
  <si>
    <t>PAY-00323</t>
  </si>
  <si>
    <t>PAY-00324</t>
  </si>
  <si>
    <t>PAY-00325</t>
  </si>
  <si>
    <t>PAY-00326</t>
  </si>
  <si>
    <t>PAY-00327</t>
  </si>
  <si>
    <t>PAY-00328</t>
  </si>
  <si>
    <t>PAY-00329</t>
  </si>
  <si>
    <t>PAY-00330</t>
  </si>
  <si>
    <t>PAY-00331</t>
  </si>
  <si>
    <t>PAY-00332</t>
  </si>
  <si>
    <t>PAY-00333</t>
  </si>
  <si>
    <t>PAY-00334</t>
  </si>
  <si>
    <t>PAY-00335</t>
  </si>
  <si>
    <t>PAY-00336</t>
  </si>
  <si>
    <t>PAY-00337</t>
  </si>
  <si>
    <t>PAY-00338</t>
  </si>
  <si>
    <t>PAY-00339</t>
  </si>
  <si>
    <t>PAY-00340</t>
  </si>
  <si>
    <t>PAY-00341</t>
  </si>
  <si>
    <t>PAY-00342</t>
  </si>
  <si>
    <t>PAY-00343</t>
  </si>
  <si>
    <t>PAY-00344</t>
  </si>
  <si>
    <t>PAY-00345</t>
  </si>
  <si>
    <t>PAY-00346</t>
  </si>
  <si>
    <t>PAY-00347</t>
  </si>
  <si>
    <t>PAY-00348</t>
  </si>
  <si>
    <t>PAY-00349</t>
  </si>
  <si>
    <t>PAY-00350</t>
  </si>
  <si>
    <t>PAY-00351</t>
  </si>
  <si>
    <t>PAY-00352</t>
  </si>
  <si>
    <t>PAY-00353</t>
  </si>
  <si>
    <t>PAY-00354</t>
  </si>
  <si>
    <t>PAY-00355</t>
  </si>
  <si>
    <t>PAY-00356</t>
  </si>
  <si>
    <t>PAY-00357</t>
  </si>
  <si>
    <t>PAY-00358</t>
  </si>
  <si>
    <t>PAY-00359</t>
  </si>
  <si>
    <t>PAY-00360</t>
  </si>
  <si>
    <t>PAY-00361</t>
  </si>
  <si>
    <t>PAY-00362</t>
  </si>
  <si>
    <t>PAY-00363</t>
  </si>
  <si>
    <t>PAY-00364</t>
  </si>
  <si>
    <t>PAY-00365</t>
  </si>
  <si>
    <t>PAY-00366</t>
  </si>
  <si>
    <t>PAY-00367</t>
  </si>
  <si>
    <t>PAY-00368</t>
  </si>
  <si>
    <t>PAY-00369</t>
  </si>
  <si>
    <t>PAY-00370</t>
  </si>
  <si>
    <t>PAY-00371</t>
  </si>
  <si>
    <t>PAY-00372</t>
  </si>
  <si>
    <t>PAY-00373</t>
  </si>
  <si>
    <t>PAY-00374</t>
  </si>
  <si>
    <t>PAY-00375</t>
  </si>
  <si>
    <t>PAY-00376</t>
  </si>
  <si>
    <t>PAY-00377</t>
  </si>
  <si>
    <t>PAY-00378</t>
  </si>
  <si>
    <t>PAY-00379</t>
  </si>
  <si>
    <t>PAY-00380</t>
  </si>
  <si>
    <t>PAY-00381</t>
  </si>
  <si>
    <t>PAY-00382</t>
  </si>
  <si>
    <t>PAY-00383</t>
  </si>
  <si>
    <t>PAY-00384</t>
  </si>
  <si>
    <t>PAY-00385</t>
  </si>
  <si>
    <t>PAY-00386</t>
  </si>
  <si>
    <t>PAY-00387</t>
  </si>
  <si>
    <t>PAY-00388</t>
  </si>
  <si>
    <t>PAY-00389</t>
  </si>
  <si>
    <t>PAY-00390</t>
  </si>
  <si>
    <t>PAY-00391</t>
  </si>
  <si>
    <t>PAY-00392</t>
  </si>
  <si>
    <t>PAY-00393</t>
  </si>
  <si>
    <t>PAY-00394</t>
  </si>
  <si>
    <t>PAY-00395</t>
  </si>
  <si>
    <t>PAY-00396</t>
  </si>
  <si>
    <t>PAY-00397</t>
  </si>
  <si>
    <t>PAY-00398</t>
  </si>
  <si>
    <t>PAY-00399</t>
  </si>
  <si>
    <t>PAY-00400</t>
  </si>
  <si>
    <t>PAY-00401</t>
  </si>
  <si>
    <t>PAY-00402</t>
  </si>
  <si>
    <t>PAY-00403</t>
  </si>
  <si>
    <t>PAY-00404</t>
  </si>
  <si>
    <t>PAY-00405</t>
  </si>
  <si>
    <t>PAY-00406</t>
  </si>
  <si>
    <t>PAY-00407</t>
  </si>
  <si>
    <t>PAY-00408</t>
  </si>
  <si>
    <t>PAY-00409</t>
  </si>
  <si>
    <t>PAY-00410</t>
  </si>
  <si>
    <t>PAY-00411</t>
  </si>
  <si>
    <t>PAY-00412</t>
  </si>
  <si>
    <t>PAY-00413</t>
  </si>
  <si>
    <t>PAY-00414</t>
  </si>
  <si>
    <t>PAY-00415</t>
  </si>
  <si>
    <t>PAY-00416</t>
  </si>
  <si>
    <t>PAY-00417</t>
  </si>
  <si>
    <t>PAY-00418</t>
  </si>
  <si>
    <t>PAY-00419</t>
  </si>
  <si>
    <t>PAY-00420</t>
  </si>
  <si>
    <t>PAY-00421</t>
  </si>
  <si>
    <t>PAY-00422</t>
  </si>
  <si>
    <t>PAY-00423</t>
  </si>
  <si>
    <t>PAY-00424</t>
  </si>
  <si>
    <t>PAY-00425</t>
  </si>
  <si>
    <t>PAY-00426</t>
  </si>
  <si>
    <t>PAY-00427</t>
  </si>
  <si>
    <t>PAY-00428</t>
  </si>
  <si>
    <t>PAY-00429</t>
  </si>
  <si>
    <t>PAY-00430</t>
  </si>
  <si>
    <t>PAY-00431</t>
  </si>
  <si>
    <t>PAY-00432</t>
  </si>
  <si>
    <t>PAY-00433</t>
  </si>
  <si>
    <t>PAY-00434</t>
  </si>
  <si>
    <t>PAY-00435</t>
  </si>
  <si>
    <t>PAY-00436</t>
  </si>
  <si>
    <t>PAY-00437</t>
  </si>
  <si>
    <t>PAY-00438</t>
  </si>
  <si>
    <t>PAY-00439</t>
  </si>
  <si>
    <t>PAY-00440</t>
  </si>
  <si>
    <t>PAY-00441</t>
  </si>
  <si>
    <t>PAY-00442</t>
  </si>
  <si>
    <t>PAY-00443</t>
  </si>
  <si>
    <t>PAY-00444</t>
  </si>
  <si>
    <t>PAY-00445</t>
  </si>
  <si>
    <t>PAY-00446</t>
  </si>
  <si>
    <t>PAY-00447</t>
  </si>
  <si>
    <t>PAY-00448</t>
  </si>
  <si>
    <t>PAY-00449</t>
  </si>
  <si>
    <t>PAY-00450</t>
  </si>
  <si>
    <t>PAY-00451</t>
  </si>
  <si>
    <t>PAY-00452</t>
  </si>
  <si>
    <t>PAY-00453</t>
  </si>
  <si>
    <t>PAY-00454</t>
  </si>
  <si>
    <t>PAY-00455</t>
  </si>
  <si>
    <t>PAY-00456</t>
  </si>
  <si>
    <t>PAY-00457</t>
  </si>
  <si>
    <t>PAY-00458</t>
  </si>
  <si>
    <t>PAY-00459</t>
  </si>
  <si>
    <t>PAY-00460</t>
  </si>
  <si>
    <t>PAY-00461</t>
  </si>
  <si>
    <t>PAY-00462</t>
  </si>
  <si>
    <t>PAY-00463</t>
  </si>
  <si>
    <t>PAY-00464</t>
  </si>
  <si>
    <t>PAY-00465</t>
  </si>
  <si>
    <t>PAY-00466</t>
  </si>
  <si>
    <t>PAY-00467</t>
  </si>
  <si>
    <t>PAY-00468</t>
  </si>
  <si>
    <t>PAY-00469</t>
  </si>
  <si>
    <t>PAY-00470</t>
  </si>
  <si>
    <t>PAY-00471</t>
  </si>
  <si>
    <t>PAY-00472</t>
  </si>
  <si>
    <t>PAY-00473</t>
  </si>
  <si>
    <t>PAY-00474</t>
  </si>
  <si>
    <t>PAY-00475</t>
  </si>
  <si>
    <t>PAY-00476</t>
  </si>
  <si>
    <t>PAY-00477</t>
  </si>
  <si>
    <t>PAY-00478</t>
  </si>
  <si>
    <t>PAY-00479</t>
  </si>
  <si>
    <t>PAY-00480</t>
  </si>
  <si>
    <t>PAY-00481</t>
  </si>
  <si>
    <t>PAY-00482</t>
  </si>
  <si>
    <t>PAY-00483</t>
  </si>
  <si>
    <t>PAY-00484</t>
  </si>
  <si>
    <t>PAY-00485</t>
  </si>
  <si>
    <t>PAY-00486</t>
  </si>
  <si>
    <t>PAY-00487</t>
  </si>
  <si>
    <t>PAY-00488</t>
  </si>
  <si>
    <t>PAY-00489</t>
  </si>
  <si>
    <t>PAY-00490</t>
  </si>
  <si>
    <t>PAY-00491</t>
  </si>
  <si>
    <t>PAY-00492</t>
  </si>
  <si>
    <t>PAY-00493</t>
  </si>
  <si>
    <t>PAY-00494</t>
  </si>
  <si>
    <t>PAY-00495</t>
  </si>
  <si>
    <t>PAY-00496</t>
  </si>
  <si>
    <t>PAY-00497</t>
  </si>
  <si>
    <t>PAY-00498</t>
  </si>
  <si>
    <t>PAY-00499</t>
  </si>
  <si>
    <t>PAY-00500</t>
  </si>
  <si>
    <t>PAY-00501</t>
  </si>
  <si>
    <t>PAY-00502</t>
  </si>
  <si>
    <t>PAY-00503</t>
  </si>
  <si>
    <t>PAY-00504</t>
  </si>
  <si>
    <t>PAY-00505</t>
  </si>
  <si>
    <t>PAY-00506</t>
  </si>
  <si>
    <t>PAY-00507</t>
  </si>
  <si>
    <t>PAY-00508</t>
  </si>
  <si>
    <t>PAY-00509</t>
  </si>
  <si>
    <t>PAY-00510</t>
  </si>
  <si>
    <t>PAY-00511</t>
  </si>
  <si>
    <t>PAY-00512</t>
  </si>
  <si>
    <t>PAY-00513</t>
  </si>
  <si>
    <t>PAY-00514</t>
  </si>
  <si>
    <t>PAY-00515</t>
  </si>
  <si>
    <t>PAY-00516</t>
  </si>
  <si>
    <t>PAY-00517</t>
  </si>
  <si>
    <t>PAY-00518</t>
  </si>
  <si>
    <t>PAY-00519</t>
  </si>
  <si>
    <t>PAY-00520</t>
  </si>
  <si>
    <t>PAY-00521</t>
  </si>
  <si>
    <t>PAY-00522</t>
  </si>
  <si>
    <t>PAY-00523</t>
  </si>
  <si>
    <t>PAY-00524</t>
  </si>
  <si>
    <t>PAY-00525</t>
  </si>
  <si>
    <t>PAY-00526</t>
  </si>
  <si>
    <t>PAY-00527</t>
  </si>
  <si>
    <t>PAY-00528</t>
  </si>
  <si>
    <t>PAY-00529</t>
  </si>
  <si>
    <t>PAY-00530</t>
  </si>
  <si>
    <t>PAY-00531</t>
  </si>
  <si>
    <t>PAY-00532</t>
  </si>
  <si>
    <t>PAY-00533</t>
  </si>
  <si>
    <t>PAY-00534</t>
  </si>
  <si>
    <t>PAY-00535</t>
  </si>
  <si>
    <t>PAY-00536</t>
  </si>
  <si>
    <t>PAY-00537</t>
  </si>
  <si>
    <t>PAY-00538</t>
  </si>
  <si>
    <t>PAY-00539</t>
  </si>
  <si>
    <t>PAY-00540</t>
  </si>
  <si>
    <t>PAY-00541</t>
  </si>
  <si>
    <t>PAY-00542</t>
  </si>
  <si>
    <t>PAY-00543</t>
  </si>
  <si>
    <t>PAY-00544</t>
  </si>
  <si>
    <t>PAY-00545</t>
  </si>
  <si>
    <t>PAY-00546</t>
  </si>
  <si>
    <t>PAY-00547</t>
  </si>
  <si>
    <t>PAY-00548</t>
  </si>
  <si>
    <t>PAY-00549</t>
  </si>
  <si>
    <t>PAY-00550</t>
  </si>
  <si>
    <t>PAY-00551</t>
  </si>
  <si>
    <t>PAY-00552</t>
  </si>
  <si>
    <t>PAY-00553</t>
  </si>
  <si>
    <t>PAY-00554</t>
  </si>
  <si>
    <t>PAY-00555</t>
  </si>
  <si>
    <t>PAY-00556</t>
  </si>
  <si>
    <t>PAY-00557</t>
  </si>
  <si>
    <t>PAY-00558</t>
  </si>
  <si>
    <t>PAY-00559</t>
  </si>
  <si>
    <t>PAY-00560</t>
  </si>
  <si>
    <t>PAY-00561</t>
  </si>
  <si>
    <t>PAY-00562</t>
  </si>
  <si>
    <t>PAY-00563</t>
  </si>
  <si>
    <t>PAY-00564</t>
  </si>
  <si>
    <t>PAY-00565</t>
  </si>
  <si>
    <t>PAY-00566</t>
  </si>
  <si>
    <t>PAY-00567</t>
  </si>
  <si>
    <t>PAY-00568</t>
  </si>
  <si>
    <t>PAY-00569</t>
  </si>
  <si>
    <t>PAY-00570</t>
  </si>
  <si>
    <t>PAY-00571</t>
  </si>
  <si>
    <t>PAY-00572</t>
  </si>
  <si>
    <t>PAY-00573</t>
  </si>
  <si>
    <t>PAY-00574</t>
  </si>
  <si>
    <t>PAY-00575</t>
  </si>
  <si>
    <t>PAY-00576</t>
  </si>
  <si>
    <t>PAY-00577</t>
  </si>
  <si>
    <t>PAY-00578</t>
  </si>
  <si>
    <t>PAY-00579</t>
  </si>
  <si>
    <t>PAY-00580</t>
  </si>
  <si>
    <t>PAY-00581</t>
  </si>
  <si>
    <t>PAY-00582</t>
  </si>
  <si>
    <t>PAY-00583</t>
  </si>
  <si>
    <t>PAY-00584</t>
  </si>
  <si>
    <t>PAY-00585</t>
  </si>
  <si>
    <t>PAY-00586</t>
  </si>
  <si>
    <t>PAY-00587</t>
  </si>
  <si>
    <t>PAY-00588</t>
  </si>
  <si>
    <t>PAY-00589</t>
  </si>
  <si>
    <t>PAY-00590</t>
  </si>
  <si>
    <t>PAY-00591</t>
  </si>
  <si>
    <t>PAY-00592</t>
  </si>
  <si>
    <t>PAY-00593</t>
  </si>
  <si>
    <t>PAY-00594</t>
  </si>
  <si>
    <t>PAY-00595</t>
  </si>
  <si>
    <t>PAY-00596</t>
  </si>
  <si>
    <t>PAY-00597</t>
  </si>
  <si>
    <t>PAY-00598</t>
  </si>
  <si>
    <t>PAY-00599</t>
  </si>
  <si>
    <t>PAY-00600</t>
  </si>
  <si>
    <t>PAY-00601</t>
  </si>
  <si>
    <t>PAY-00602</t>
  </si>
  <si>
    <t>PAY-00603</t>
  </si>
  <si>
    <t>PAY-00604</t>
  </si>
  <si>
    <t>PAY-00605</t>
  </si>
  <si>
    <t>PAY-00606</t>
  </si>
  <si>
    <t>PAY-00607</t>
  </si>
  <si>
    <t>PAY-00608</t>
  </si>
  <si>
    <t>PAY-00609</t>
  </si>
  <si>
    <t>PAY-00610</t>
  </si>
  <si>
    <t>PAY-00611</t>
  </si>
  <si>
    <t>PAY-00612</t>
  </si>
  <si>
    <t>PAY-00613</t>
  </si>
  <si>
    <t>PAY-00614</t>
  </si>
  <si>
    <t>PAY-00615</t>
  </si>
  <si>
    <t>PAY-00616</t>
  </si>
  <si>
    <t>PAY-00617</t>
  </si>
  <si>
    <t>PAY-00618</t>
  </si>
  <si>
    <t>PAY-00619</t>
  </si>
  <si>
    <t>PAY-00620</t>
  </si>
  <si>
    <t>PAY-00621</t>
  </si>
  <si>
    <t>PAY-00622</t>
  </si>
  <si>
    <t>PAY-00623</t>
  </si>
  <si>
    <t>PAY-00624</t>
  </si>
  <si>
    <t>PAY-00625</t>
  </si>
  <si>
    <t>PAY-00626</t>
  </si>
  <si>
    <t>PAY-00627</t>
  </si>
  <si>
    <t>PAY-00628</t>
  </si>
  <si>
    <t>PAY-00629</t>
  </si>
  <si>
    <t>PAY-00630</t>
  </si>
  <si>
    <t>PAY-00631</t>
  </si>
  <si>
    <t>PAY-00632</t>
  </si>
  <si>
    <t>PAY-00633</t>
  </si>
  <si>
    <t>PAY-00634</t>
  </si>
  <si>
    <t>PAY-00635</t>
  </si>
  <si>
    <t>PAY-00636</t>
  </si>
  <si>
    <t>PAY-00637</t>
  </si>
  <si>
    <t>PAY-00638</t>
  </si>
  <si>
    <t>PAY-00639</t>
  </si>
  <si>
    <t>PAY-00640</t>
  </si>
  <si>
    <t>PAY-00641</t>
  </si>
  <si>
    <t>PAY-00642</t>
  </si>
  <si>
    <t>PAY-00643</t>
  </si>
  <si>
    <t>PAY-00644</t>
  </si>
  <si>
    <t>PAY-00645</t>
  </si>
  <si>
    <t>PAY-00646</t>
  </si>
  <si>
    <t>PAY-00647</t>
  </si>
  <si>
    <t>PAY-00648</t>
  </si>
  <si>
    <t>PAY-00649</t>
  </si>
  <si>
    <t>PAY-00650</t>
  </si>
  <si>
    <t>PAY-00651</t>
  </si>
  <si>
    <t>PAY-00652</t>
  </si>
  <si>
    <t>PAY-00653</t>
  </si>
  <si>
    <t>PAY-00654</t>
  </si>
  <si>
    <t>PAY-00655</t>
  </si>
  <si>
    <t>PAY-00656</t>
  </si>
  <si>
    <t>PAY-00657</t>
  </si>
  <si>
    <t>PAY-00658</t>
  </si>
  <si>
    <t>PAY-00659</t>
  </si>
  <si>
    <t>PAY-00660</t>
  </si>
  <si>
    <t>PAY-00661</t>
  </si>
  <si>
    <t>PAY-00662</t>
  </si>
  <si>
    <t>PAY-00663</t>
  </si>
  <si>
    <t>PAY-00664</t>
  </si>
  <si>
    <t>PAY-00665</t>
  </si>
  <si>
    <t>PAY-00666</t>
  </si>
  <si>
    <t>PAY-00667</t>
  </si>
  <si>
    <t>PAY-00668</t>
  </si>
  <si>
    <t>PAY-00669</t>
  </si>
  <si>
    <t>PAY-00670</t>
  </si>
  <si>
    <t>PAY-00671</t>
  </si>
  <si>
    <t>PAY-00672</t>
  </si>
  <si>
    <t>PAY-00673</t>
  </si>
  <si>
    <t>PAY-00674</t>
  </si>
  <si>
    <t>PAY-00675</t>
  </si>
  <si>
    <t>PAY-00676</t>
  </si>
  <si>
    <t>PAY-00677</t>
  </si>
  <si>
    <t>PAY-00678</t>
  </si>
  <si>
    <t>PAY-00679</t>
  </si>
  <si>
    <t>PAY-00680</t>
  </si>
  <si>
    <t>PAY-00681</t>
  </si>
  <si>
    <t>PAY-00682</t>
  </si>
  <si>
    <t>PAY-00683</t>
  </si>
  <si>
    <t>PAY-00684</t>
  </si>
  <si>
    <t>PAY-00685</t>
  </si>
  <si>
    <t>PAY-00686</t>
  </si>
  <si>
    <t>PAY-00687</t>
  </si>
  <si>
    <t>PAY-00688</t>
  </si>
  <si>
    <t>PAY-00689</t>
  </si>
  <si>
    <t>PAY-00690</t>
  </si>
  <si>
    <t>PAY-00691</t>
  </si>
  <si>
    <t>PAY-00692</t>
  </si>
  <si>
    <t>PAY-00693</t>
  </si>
  <si>
    <t>PAY-00694</t>
  </si>
  <si>
    <t>PAY-00695</t>
  </si>
  <si>
    <t>PAY-00696</t>
  </si>
  <si>
    <t>PAY-00697</t>
  </si>
  <si>
    <t>PAY-00698</t>
  </si>
  <si>
    <t>PAY-00699</t>
  </si>
  <si>
    <t>PAY-00700</t>
  </si>
  <si>
    <t>PAY-00701</t>
  </si>
  <si>
    <t>PAY-00702</t>
  </si>
  <si>
    <t>PAY-00703</t>
  </si>
  <si>
    <t>PAY-00704</t>
  </si>
  <si>
    <t>PAY-00705</t>
  </si>
  <si>
    <t>PAY-00706</t>
  </si>
  <si>
    <t>PAY-00707</t>
  </si>
  <si>
    <t>PAY-00708</t>
  </si>
  <si>
    <t>PAY-00709</t>
  </si>
  <si>
    <t>PAY-00710</t>
  </si>
  <si>
    <t>PAY-00711</t>
  </si>
  <si>
    <t>PAY-00712</t>
  </si>
  <si>
    <t>PAY-00713</t>
  </si>
  <si>
    <t>PAY-00714</t>
  </si>
  <si>
    <t>PAY-00715</t>
  </si>
  <si>
    <t>PAY-00716</t>
  </si>
  <si>
    <t>PAY-00717</t>
  </si>
  <si>
    <t>PAY-00718</t>
  </si>
  <si>
    <t>PAY-00719</t>
  </si>
  <si>
    <t>PAY-00720</t>
  </si>
  <si>
    <t>PAY-00721</t>
  </si>
  <si>
    <t>PAY-00722</t>
  </si>
  <si>
    <t>PAY-00723</t>
  </si>
  <si>
    <t>PAY-00724</t>
  </si>
  <si>
    <t>PAY-00725</t>
  </si>
  <si>
    <t>PAY-00726</t>
  </si>
  <si>
    <t>PAY-00727</t>
  </si>
  <si>
    <t>PAY-00728</t>
  </si>
  <si>
    <t>PAY-00729</t>
  </si>
  <si>
    <t>PAY-00730</t>
  </si>
  <si>
    <t>PAY-00731</t>
  </si>
  <si>
    <t>PAY-00732</t>
  </si>
  <si>
    <t>PAY-00733</t>
  </si>
  <si>
    <t>PAY-00734</t>
  </si>
  <si>
    <t>PAY-00735</t>
  </si>
  <si>
    <t>PAY-00736</t>
  </si>
  <si>
    <t>PAY-00737</t>
  </si>
  <si>
    <t>PAY-00738</t>
  </si>
  <si>
    <t>PAY-00739</t>
  </si>
  <si>
    <t>PAY-00740</t>
  </si>
  <si>
    <t>PAY-00741</t>
  </si>
  <si>
    <t>PAY-00742</t>
  </si>
  <si>
    <t>PAY-00743</t>
  </si>
  <si>
    <t>PAY-00744</t>
  </si>
  <si>
    <t>PAY-00745</t>
  </si>
  <si>
    <t>PAY-00746</t>
  </si>
  <si>
    <t>PAY-00747</t>
  </si>
  <si>
    <t>PAY-00748</t>
  </si>
  <si>
    <t>PAY-00749</t>
  </si>
  <si>
    <t>PAY-00750</t>
  </si>
  <si>
    <t>PAY-00751</t>
  </si>
  <si>
    <t>PAY-00752</t>
  </si>
  <si>
    <t>PAY-00753</t>
  </si>
  <si>
    <t>PAY-00754</t>
  </si>
  <si>
    <t>PAY-00755</t>
  </si>
  <si>
    <t>PAY-00756</t>
  </si>
  <si>
    <t>PAY-00757</t>
  </si>
  <si>
    <t>PAY-00758</t>
  </si>
  <si>
    <t>PAY-00759</t>
  </si>
  <si>
    <t>PAY-00760</t>
  </si>
  <si>
    <t>PAY-00761</t>
  </si>
  <si>
    <t>PAY-00762</t>
  </si>
  <si>
    <t>PAY-00763</t>
  </si>
  <si>
    <t>PAY-00764</t>
  </si>
  <si>
    <t>PAY-00765</t>
  </si>
  <si>
    <t>PAY-00766</t>
  </si>
  <si>
    <t>PAY-00767</t>
  </si>
  <si>
    <t>PAY-00768</t>
  </si>
  <si>
    <t>PAY-00769</t>
  </si>
  <si>
    <t>PAY-00770</t>
  </si>
  <si>
    <t>PAY-00771</t>
  </si>
  <si>
    <t>PAY-00772</t>
  </si>
  <si>
    <t>PAY-00773</t>
  </si>
  <si>
    <t>PAY-00774</t>
  </si>
  <si>
    <t>PAY-00775</t>
  </si>
  <si>
    <t>PAY-00776</t>
  </si>
  <si>
    <t>PAY-00777</t>
  </si>
  <si>
    <t>PAY-00778</t>
  </si>
  <si>
    <t>PAY-00779</t>
  </si>
  <si>
    <t>PAY-00780</t>
  </si>
  <si>
    <t>PAY-00781</t>
  </si>
  <si>
    <t>PAY-00782</t>
  </si>
  <si>
    <t>PAY-00783</t>
  </si>
  <si>
    <t>PAY-00784</t>
  </si>
  <si>
    <t>PAY-00785</t>
  </si>
  <si>
    <t>PAY-00786</t>
  </si>
  <si>
    <t>PAY-00787</t>
  </si>
  <si>
    <t>PAY-00788</t>
  </si>
  <si>
    <t>PAY-00789</t>
  </si>
  <si>
    <t>PAY-00790</t>
  </si>
  <si>
    <t>PAY-00791</t>
  </si>
  <si>
    <t>PAY-00792</t>
  </si>
  <si>
    <t>PAY-00793</t>
  </si>
  <si>
    <t>PAY-00794</t>
  </si>
  <si>
    <t>PAY-00795</t>
  </si>
  <si>
    <t>PAY-00796</t>
  </si>
  <si>
    <t>PAY-00797</t>
  </si>
  <si>
    <t>PAY-00798</t>
  </si>
  <si>
    <t>PAY-00799</t>
  </si>
  <si>
    <t>PAY-00800</t>
  </si>
  <si>
    <t>PAY-00801</t>
  </si>
  <si>
    <t>PAY-00802</t>
  </si>
  <si>
    <t>PAY-00803</t>
  </si>
  <si>
    <t>PAY-00804</t>
  </si>
  <si>
    <t>PAY-00805</t>
  </si>
  <si>
    <t>PAY-00806</t>
  </si>
  <si>
    <t>PAY-00807</t>
  </si>
  <si>
    <t>PAY-00808</t>
  </si>
  <si>
    <t>PAY-00809</t>
  </si>
  <si>
    <t>PAY-00810</t>
  </si>
  <si>
    <t>PAY-00811</t>
  </si>
  <si>
    <t>PAY-00812</t>
  </si>
  <si>
    <t>PAY-00813</t>
  </si>
  <si>
    <t>PAY-00814</t>
  </si>
  <si>
    <t>PAY-00815</t>
  </si>
  <si>
    <t>PAY-00816</t>
  </si>
  <si>
    <t>PAY-00817</t>
  </si>
  <si>
    <t>PAY-00818</t>
  </si>
  <si>
    <t>PAY-00819</t>
  </si>
  <si>
    <t>PAY-00820</t>
  </si>
  <si>
    <t>PAY-00821</t>
  </si>
  <si>
    <t>PAY-00822</t>
  </si>
  <si>
    <t>PAY-00823</t>
  </si>
  <si>
    <t>PAY-00824</t>
  </si>
  <si>
    <t>PAY-00825</t>
  </si>
  <si>
    <t>PAY-00826</t>
  </si>
  <si>
    <t>PAY-00827</t>
  </si>
  <si>
    <t>PAY-00828</t>
  </si>
  <si>
    <t>PAY-00829</t>
  </si>
  <si>
    <t>PAY-00830</t>
  </si>
  <si>
    <t>PAY-00831</t>
  </si>
  <si>
    <t>PAY-00832</t>
  </si>
  <si>
    <t>PAY-00833</t>
  </si>
  <si>
    <t>PAY-00834</t>
  </si>
  <si>
    <t>PAY-00835</t>
  </si>
  <si>
    <t>PAY-00836</t>
  </si>
  <si>
    <t>PAY-00837</t>
  </si>
  <si>
    <t>PAY-00838</t>
  </si>
  <si>
    <t>PAY-00839</t>
  </si>
  <si>
    <t>PAY-00840</t>
  </si>
  <si>
    <t>PAY-00841</t>
  </si>
  <si>
    <t>PAY-00842</t>
  </si>
  <si>
    <t>PAY-00843</t>
  </si>
  <si>
    <t>PAY-00844</t>
  </si>
  <si>
    <t>PAY-00845</t>
  </si>
  <si>
    <t>PAY-00846</t>
  </si>
  <si>
    <t>PAY-00847</t>
  </si>
  <si>
    <t>PAY-00848</t>
  </si>
  <si>
    <t>PAY-00849</t>
  </si>
  <si>
    <t>PAY-00850</t>
  </si>
  <si>
    <t>PAY-00851</t>
  </si>
  <si>
    <t>PAY-00852</t>
  </si>
  <si>
    <t>PAY-00853</t>
  </si>
  <si>
    <t>PAY-00854</t>
  </si>
  <si>
    <t>PAY-00855</t>
  </si>
  <si>
    <t>PAY-00856</t>
  </si>
  <si>
    <t>PAY-00857</t>
  </si>
  <si>
    <t>PAY-00858</t>
  </si>
  <si>
    <t>PAY-00859</t>
  </si>
  <si>
    <t>PAY-00860</t>
  </si>
  <si>
    <t>PAY-00861</t>
  </si>
  <si>
    <t>PAY-00862</t>
  </si>
  <si>
    <t>PAY-00863</t>
  </si>
  <si>
    <t>PAY-00864</t>
  </si>
  <si>
    <t>PAY-00865</t>
  </si>
  <si>
    <t>PAY-00866</t>
  </si>
  <si>
    <t>PAY-00867</t>
  </si>
  <si>
    <t>PAY-00868</t>
  </si>
  <si>
    <t>PAY-00869</t>
  </si>
  <si>
    <t>PAY-00870</t>
  </si>
  <si>
    <t>PAY-00871</t>
  </si>
  <si>
    <t>PAY-00872</t>
  </si>
  <si>
    <t>PAY-00873</t>
  </si>
  <si>
    <t>PAY-00874</t>
  </si>
  <si>
    <t>PAY-00875</t>
  </si>
  <si>
    <t>PAY-00876</t>
  </si>
  <si>
    <t>PAY-00877</t>
  </si>
  <si>
    <t>PAY-00878</t>
  </si>
  <si>
    <t>PAY-00879</t>
  </si>
  <si>
    <t>PAY-00880</t>
  </si>
  <si>
    <t>PAY-00881</t>
  </si>
  <si>
    <t>PAY-00882</t>
  </si>
  <si>
    <t>PAY-00883</t>
  </si>
  <si>
    <t>PAY-00884</t>
  </si>
  <si>
    <t>PAY-00885</t>
  </si>
  <si>
    <t>PAY-00886</t>
  </si>
  <si>
    <t>PAY-00887</t>
  </si>
  <si>
    <t>PAY-00888</t>
  </si>
  <si>
    <t>PAY-00889</t>
  </si>
  <si>
    <t>PAY-00890</t>
  </si>
  <si>
    <t>PAY-00891</t>
  </si>
  <si>
    <t>PAY-00892</t>
  </si>
  <si>
    <t>PAY-00893</t>
  </si>
  <si>
    <t>PAY-00894</t>
  </si>
  <si>
    <t>PAY-00895</t>
  </si>
  <si>
    <t>PAY-00896</t>
  </si>
  <si>
    <t>PAY-00897</t>
  </si>
  <si>
    <t>PAY-00898</t>
  </si>
  <si>
    <t>PAY-00899</t>
  </si>
  <si>
    <t>PAY-00900</t>
  </si>
  <si>
    <t>PAY-00901</t>
  </si>
  <si>
    <t>PAY-00902</t>
  </si>
  <si>
    <t>PAY-00903</t>
  </si>
  <si>
    <t>PAY-00904</t>
  </si>
  <si>
    <t>PAY-00905</t>
  </si>
  <si>
    <t>PAY-00906</t>
  </si>
  <si>
    <t>PAY-00907</t>
  </si>
  <si>
    <t>PAY-00908</t>
  </si>
  <si>
    <t>PAY-00909</t>
  </si>
  <si>
    <t>PAY-00910</t>
  </si>
  <si>
    <t>PAY-00911</t>
  </si>
  <si>
    <t>PAY-00912</t>
  </si>
  <si>
    <t>PAY-00913</t>
  </si>
  <si>
    <t>PAY-00914</t>
  </si>
  <si>
    <t>PAY-00915</t>
  </si>
  <si>
    <t>PAY-00916</t>
  </si>
  <si>
    <t>PAY-00917</t>
  </si>
  <si>
    <t>PAY-00918</t>
  </si>
  <si>
    <t>PAY-00919</t>
  </si>
  <si>
    <t>PAY-00920</t>
  </si>
  <si>
    <t>PAY-00921</t>
  </si>
  <si>
    <t>PAY-00922</t>
  </si>
  <si>
    <t>PAY-00923</t>
  </si>
  <si>
    <t>PAY-00924</t>
  </si>
  <si>
    <t>PAY-00925</t>
  </si>
  <si>
    <t>PAY-00926</t>
  </si>
  <si>
    <t>PAY-00927</t>
  </si>
  <si>
    <t>PAY-00928</t>
  </si>
  <si>
    <t>PAY-00929</t>
  </si>
  <si>
    <t>PAY-00930</t>
  </si>
  <si>
    <t>PAY-00931</t>
  </si>
  <si>
    <t>PAY-00932</t>
  </si>
  <si>
    <t>PAY-00933</t>
  </si>
  <si>
    <t>PAY-00934</t>
  </si>
  <si>
    <t>PAY-00935</t>
  </si>
  <si>
    <t>PAY-00936</t>
  </si>
  <si>
    <t>PAY-00937</t>
  </si>
  <si>
    <t>PAY-00938</t>
  </si>
  <si>
    <t>PAY-00939</t>
  </si>
  <si>
    <t>PAY-00940</t>
  </si>
  <si>
    <t>PAY-00941</t>
  </si>
  <si>
    <t>PAY-00942</t>
  </si>
  <si>
    <t>PAY-00943</t>
  </si>
  <si>
    <t>PAY-00944</t>
  </si>
  <si>
    <t>PAY-00945</t>
  </si>
  <si>
    <t>PAY-00946</t>
  </si>
  <si>
    <t>PAY-00947</t>
  </si>
  <si>
    <t>PAY-00948</t>
  </si>
  <si>
    <t>PAY-00949</t>
  </si>
  <si>
    <t>PAY-00950</t>
  </si>
  <si>
    <t>PAY-00951</t>
  </si>
  <si>
    <t>PAY-00952</t>
  </si>
  <si>
    <t>PAY-00953</t>
  </si>
  <si>
    <t>PAY-00954</t>
  </si>
  <si>
    <t>PAY-00955</t>
  </si>
  <si>
    <t>PAY-00956</t>
  </si>
  <si>
    <t>PAY-00957</t>
  </si>
  <si>
    <t>PAY-00958</t>
  </si>
  <si>
    <t>PAY-00959</t>
  </si>
  <si>
    <t>PAY-00960</t>
  </si>
  <si>
    <t>PAY-00961</t>
  </si>
  <si>
    <t>PAY-00962</t>
  </si>
  <si>
    <t>PAY-00963</t>
  </si>
  <si>
    <t>PAY-00964</t>
  </si>
  <si>
    <t>PAY-00965</t>
  </si>
  <si>
    <t>PAY-00966</t>
  </si>
  <si>
    <t>PAY-00967</t>
  </si>
  <si>
    <t>PAY-00968</t>
  </si>
  <si>
    <t>PAY-00969</t>
  </si>
  <si>
    <t>PAY-00970</t>
  </si>
  <si>
    <t>PAY-00971</t>
  </si>
  <si>
    <t>PAY-00972</t>
  </si>
  <si>
    <t>PAY-00973</t>
  </si>
  <si>
    <t>PAY-00974</t>
  </si>
  <si>
    <t>PAY-00975</t>
  </si>
  <si>
    <t>PAY-00976</t>
  </si>
  <si>
    <t>PAY-00977</t>
  </si>
  <si>
    <t>PAY-00978</t>
  </si>
  <si>
    <t>PAY-00979</t>
  </si>
  <si>
    <t>PAY-00980</t>
  </si>
  <si>
    <t>PAY-00981</t>
  </si>
  <si>
    <t>PAY-00982</t>
  </si>
  <si>
    <t>PAY-00983</t>
  </si>
  <si>
    <t>PAY-00984</t>
  </si>
  <si>
    <t>PAY-00985</t>
  </si>
  <si>
    <t>PAY-00986</t>
  </si>
  <si>
    <t>PAY-00987</t>
  </si>
  <si>
    <t>PAY-00988</t>
  </si>
  <si>
    <t>PAY-00989</t>
  </si>
  <si>
    <t>PAY-00990</t>
  </si>
  <si>
    <t>PAY-00991</t>
  </si>
  <si>
    <t>PAY-00992</t>
  </si>
  <si>
    <t>PAY-00993</t>
  </si>
  <si>
    <t>PAY-00994</t>
  </si>
  <si>
    <t>PAY-00995</t>
  </si>
  <si>
    <t>PAY-00996</t>
  </si>
  <si>
    <t>PAY-00997</t>
  </si>
  <si>
    <t>PAY-00998</t>
  </si>
  <si>
    <t>PAY-00999</t>
  </si>
  <si>
    <t>PAY-01000</t>
  </si>
  <si>
    <t>PAY-01001</t>
  </si>
  <si>
    <t>PAY-01002</t>
  </si>
  <si>
    <t>PAY-01003</t>
  </si>
  <si>
    <t>PAY-01004</t>
  </si>
  <si>
    <t>PAY-01005</t>
  </si>
  <si>
    <t>PAY-01006</t>
  </si>
  <si>
    <t>PAY-01007</t>
  </si>
  <si>
    <t>PAY-01008</t>
  </si>
  <si>
    <t>PAY-01009</t>
  </si>
  <si>
    <t>PAY-01010</t>
  </si>
  <si>
    <t>PAY-01011</t>
  </si>
  <si>
    <t>PAY-01012</t>
  </si>
  <si>
    <t>PAY-01013</t>
  </si>
  <si>
    <t>PAY-01014</t>
  </si>
  <si>
    <t>PAY-01015</t>
  </si>
  <si>
    <t>PAY-01016</t>
  </si>
  <si>
    <t>PAY-01017</t>
  </si>
  <si>
    <t>PAY-01018</t>
  </si>
  <si>
    <t>PAY-01019</t>
  </si>
  <si>
    <t>PAY-01020</t>
  </si>
  <si>
    <t>PAY-01021</t>
  </si>
  <si>
    <t>PAY-01022</t>
  </si>
  <si>
    <t>PAY-01023</t>
  </si>
  <si>
    <t>PAY-01024</t>
  </si>
  <si>
    <t>PAY-01025</t>
  </si>
  <si>
    <t>PAY-01026</t>
  </si>
  <si>
    <t>PAY-01027</t>
  </si>
  <si>
    <t>PAY-01028</t>
  </si>
  <si>
    <t>PAY-01029</t>
  </si>
  <si>
    <t>PAY-01030</t>
  </si>
  <si>
    <t>PAY-01031</t>
  </si>
  <si>
    <t>PAY-01032</t>
  </si>
  <si>
    <t>PAY-01033</t>
  </si>
  <si>
    <t>PAY-01034</t>
  </si>
  <si>
    <t>PAY-01035</t>
  </si>
  <si>
    <t>PAY-01036</t>
  </si>
  <si>
    <t>PAY-01037</t>
  </si>
  <si>
    <t>PAY-01038</t>
  </si>
  <si>
    <t>PAY-01039</t>
  </si>
  <si>
    <t>PAY-01040</t>
  </si>
  <si>
    <t>PAY-01041</t>
  </si>
  <si>
    <t>PAY-01042</t>
  </si>
  <si>
    <t>PAY-01043</t>
  </si>
  <si>
    <t>PAY-01044</t>
  </si>
  <si>
    <t>PAY-01045</t>
  </si>
  <si>
    <t>PAY-01046</t>
  </si>
  <si>
    <t>PAY-01047</t>
  </si>
  <si>
    <t>PAY-01048</t>
  </si>
  <si>
    <t>PAY-01049</t>
  </si>
  <si>
    <t>PAY-01050</t>
  </si>
  <si>
    <t>PAY-01051</t>
  </si>
  <si>
    <t>PAY-01052</t>
  </si>
  <si>
    <t>PAY-01053</t>
  </si>
  <si>
    <t>PAY-01054</t>
  </si>
  <si>
    <t>PAY-01055</t>
  </si>
  <si>
    <t>PAY-01056</t>
  </si>
  <si>
    <t>PAY-01057</t>
  </si>
  <si>
    <t>PAY-01058</t>
  </si>
  <si>
    <t>PAY-01059</t>
  </si>
  <si>
    <t>PAY-01060</t>
  </si>
  <si>
    <t>PAY-01061</t>
  </si>
  <si>
    <t>PAY-01062</t>
  </si>
  <si>
    <t>PAY-01063</t>
  </si>
  <si>
    <t>PAY-01064</t>
  </si>
  <si>
    <t>PAY-01065</t>
  </si>
  <si>
    <t>PAY-01066</t>
  </si>
  <si>
    <t>PAY-01067</t>
  </si>
  <si>
    <t>PAY-01068</t>
  </si>
  <si>
    <t>PAY-01069</t>
  </si>
  <si>
    <t>PAY-01070</t>
  </si>
  <si>
    <t>PAY-01071</t>
  </si>
  <si>
    <t>PAY-01072</t>
  </si>
  <si>
    <t>PAY-01073</t>
  </si>
  <si>
    <t>PAY-01074</t>
  </si>
  <si>
    <t>PAY-01075</t>
  </si>
  <si>
    <t>PAY-01076</t>
  </si>
  <si>
    <t>PAY-01077</t>
  </si>
  <si>
    <t>PAY-01078</t>
  </si>
  <si>
    <t>PAY-01079</t>
  </si>
  <si>
    <t>PAY-01080</t>
  </si>
  <si>
    <t>PAY-01081</t>
  </si>
  <si>
    <t>PAY-01082</t>
  </si>
  <si>
    <t>PAY-01083</t>
  </si>
  <si>
    <t>PAY-01084</t>
  </si>
  <si>
    <t>PAY-01085</t>
  </si>
  <si>
    <t>PAY-01086</t>
  </si>
  <si>
    <t>PAY-01087</t>
  </si>
  <si>
    <t>PAY-01088</t>
  </si>
  <si>
    <t>PAY-01089</t>
  </si>
  <si>
    <t>PAY-01090</t>
  </si>
  <si>
    <t>PAY-01091</t>
  </si>
  <si>
    <t>PAY-01092</t>
  </si>
  <si>
    <t>PAY-01093</t>
  </si>
  <si>
    <t>PAY-01094</t>
  </si>
  <si>
    <t>PAY-01095</t>
  </si>
  <si>
    <t>PAY-01096</t>
  </si>
  <si>
    <t>PAY-01097</t>
  </si>
  <si>
    <t>PAY-01098</t>
  </si>
  <si>
    <t>PAY-01099</t>
  </si>
  <si>
    <t>PAY-01100</t>
  </si>
  <si>
    <t>PAY-01101</t>
  </si>
  <si>
    <t>PAY-01102</t>
  </si>
  <si>
    <t>PAY-01103</t>
  </si>
  <si>
    <t>PAY-01104</t>
  </si>
  <si>
    <t>PAY-01105</t>
  </si>
  <si>
    <t>PAY-01106</t>
  </si>
  <si>
    <t>PAY-01107</t>
  </si>
  <si>
    <t>PAY-01108</t>
  </si>
  <si>
    <t>PAY-01109</t>
  </si>
  <si>
    <t>PAY-01110</t>
  </si>
  <si>
    <t>PAY-01111</t>
  </si>
  <si>
    <t>PAY-01112</t>
  </si>
  <si>
    <t>PAY-01113</t>
  </si>
  <si>
    <t>PAY-01114</t>
  </si>
  <si>
    <t>PAY-01115</t>
  </si>
  <si>
    <t>PAY-01116</t>
  </si>
  <si>
    <t>PAY-01117</t>
  </si>
  <si>
    <t>PAY-01118</t>
  </si>
  <si>
    <t>PAY-01119</t>
  </si>
  <si>
    <t>PAY-01120</t>
  </si>
  <si>
    <t>PAY-01121</t>
  </si>
  <si>
    <t>PAY-01122</t>
  </si>
  <si>
    <t>PAY-01123</t>
  </si>
  <si>
    <t>PAY-01124</t>
  </si>
  <si>
    <t>PAY-01125</t>
  </si>
  <si>
    <t>PAY-01126</t>
  </si>
  <si>
    <t>PAY-01127</t>
  </si>
  <si>
    <t>PAY-01128</t>
  </si>
  <si>
    <t>PAY-01129</t>
  </si>
  <si>
    <t>PAY-01130</t>
  </si>
  <si>
    <t>PAY-01131</t>
  </si>
  <si>
    <t>PAY-01132</t>
  </si>
  <si>
    <t>PAY-01133</t>
  </si>
  <si>
    <t>PAY-01134</t>
  </si>
  <si>
    <t>PAY-01135</t>
  </si>
  <si>
    <t>PAY-01136</t>
  </si>
  <si>
    <t>PAY-01137</t>
  </si>
  <si>
    <t>PAY-01138</t>
  </si>
  <si>
    <t>PAY-01139</t>
  </si>
  <si>
    <t>PAY-01140</t>
  </si>
  <si>
    <t>PAY-01141</t>
  </si>
  <si>
    <t>PAY-01142</t>
  </si>
  <si>
    <t>PAY-01143</t>
  </si>
  <si>
    <t>PAY-01144</t>
  </si>
  <si>
    <t>PAY-01145</t>
  </si>
  <si>
    <t>PAY-01146</t>
  </si>
  <si>
    <t>PAY-01147</t>
  </si>
  <si>
    <t>PAY-01148</t>
  </si>
  <si>
    <t>PAY-01149</t>
  </si>
  <si>
    <t>PAY-01150</t>
  </si>
  <si>
    <t>PAY-01151</t>
  </si>
  <si>
    <t>PAY-01152</t>
  </si>
  <si>
    <t>PAY-01153</t>
  </si>
  <si>
    <t>PAY-01154</t>
  </si>
  <si>
    <t>PAY-01155</t>
  </si>
  <si>
    <t>PAY-01156</t>
  </si>
  <si>
    <t>PAY-01157</t>
  </si>
  <si>
    <t>PAY-01158</t>
  </si>
  <si>
    <t>PAY-01159</t>
  </si>
  <si>
    <t>PAY-01160</t>
  </si>
  <si>
    <t>PAY-01161</t>
  </si>
  <si>
    <t>PAY-01162</t>
  </si>
  <si>
    <t>PAY-01163</t>
  </si>
  <si>
    <t>PAY-01164</t>
  </si>
  <si>
    <t>PAY-01165</t>
  </si>
  <si>
    <t>PAY-01166</t>
  </si>
  <si>
    <t>PAY-01167</t>
  </si>
  <si>
    <t>PAY-01168</t>
  </si>
  <si>
    <t>PAY-01169</t>
  </si>
  <si>
    <t>PAY-01170</t>
  </si>
  <si>
    <t>PAY-01171</t>
  </si>
  <si>
    <t>PAY-01172</t>
  </si>
  <si>
    <t>PAY-01173</t>
  </si>
  <si>
    <t>PAY-01174</t>
  </si>
  <si>
    <t>PAY-01175</t>
  </si>
  <si>
    <t>PAY-01176</t>
  </si>
  <si>
    <t>PAY-01177</t>
  </si>
  <si>
    <t>PAY-01178</t>
  </si>
  <si>
    <t>PAY-01179</t>
  </si>
  <si>
    <t>PAY-01180</t>
  </si>
  <si>
    <t>PAY-01181</t>
  </si>
  <si>
    <t>PAY-01182</t>
  </si>
  <si>
    <t>PAY-01183</t>
  </si>
  <si>
    <t>PAY-01184</t>
  </si>
  <si>
    <t>PAY-01185</t>
  </si>
  <si>
    <t>PAY-01186</t>
  </si>
  <si>
    <t>PAY-01187</t>
  </si>
  <si>
    <t>PAY-01188</t>
  </si>
  <si>
    <t>PAY-01189</t>
  </si>
  <si>
    <t>PAY-01190</t>
  </si>
  <si>
    <t>PAY-01191</t>
  </si>
  <si>
    <t>PAY-01192</t>
  </si>
  <si>
    <t>PAY-01193</t>
  </si>
  <si>
    <t>PAY-01194</t>
  </si>
  <si>
    <t>PAY-01195</t>
  </si>
  <si>
    <t>PAY-01196</t>
  </si>
  <si>
    <t>PAY-01197</t>
  </si>
  <si>
    <t>PAY-01198</t>
  </si>
  <si>
    <t>PAY-01199</t>
  </si>
  <si>
    <t>PAY-01200</t>
  </si>
  <si>
    <t>PAY-01201</t>
  </si>
  <si>
    <t>PAY-01202</t>
  </si>
  <si>
    <t>PAY-01203</t>
  </si>
  <si>
    <t>PAY-01204</t>
  </si>
  <si>
    <t>PAY-01205</t>
  </si>
  <si>
    <t>PAY-01206</t>
  </si>
  <si>
    <t>PAY-01207</t>
  </si>
  <si>
    <t>PAY-01208</t>
  </si>
  <si>
    <t>PAY-01209</t>
  </si>
  <si>
    <t>PAY-01210</t>
  </si>
  <si>
    <t>PAY-01211</t>
  </si>
  <si>
    <t>PAY-01212</t>
  </si>
  <si>
    <t>PAY-01213</t>
  </si>
  <si>
    <t>PAY-01214</t>
  </si>
  <si>
    <t>PAY-01215</t>
  </si>
  <si>
    <t>PAY-01216</t>
  </si>
  <si>
    <t>PAY-01217</t>
  </si>
  <si>
    <t>PAY-01218</t>
  </si>
  <si>
    <t>PAY-01219</t>
  </si>
  <si>
    <t>PAY-01220</t>
  </si>
  <si>
    <t>PAY-01221</t>
  </si>
  <si>
    <t>PAY-01222</t>
  </si>
  <si>
    <t>PAY-01223</t>
  </si>
  <si>
    <t>PAY-01224</t>
  </si>
  <si>
    <t>PAY-01225</t>
  </si>
  <si>
    <t>PAY-01226</t>
  </si>
  <si>
    <t>PAY-01227</t>
  </si>
  <si>
    <t>PAY-01228</t>
  </si>
  <si>
    <t>PAY-01229</t>
  </si>
  <si>
    <t>PAY-01230</t>
  </si>
  <si>
    <t>PAY-01231</t>
  </si>
  <si>
    <t>PAY-01232</t>
  </si>
  <si>
    <t>PAY-01233</t>
  </si>
  <si>
    <t>PAY-01234</t>
  </si>
  <si>
    <t>PAY-01235</t>
  </si>
  <si>
    <t>PAY-01236</t>
  </si>
  <si>
    <t>PAY-01237</t>
  </si>
  <si>
    <t>PAY-01238</t>
  </si>
  <si>
    <t>PAY-01239</t>
  </si>
  <si>
    <t>PAY-01240</t>
  </si>
  <si>
    <t>PAY-01241</t>
  </si>
  <si>
    <t>PAY-01242</t>
  </si>
  <si>
    <t>PAY-01243</t>
  </si>
  <si>
    <t>PAY-01244</t>
  </si>
  <si>
    <t>PAY-01245</t>
  </si>
  <si>
    <t>PAY-01246</t>
  </si>
  <si>
    <t>PAY-01247</t>
  </si>
  <si>
    <t>PAY-01248</t>
  </si>
  <si>
    <t>PAY-01249</t>
  </si>
  <si>
    <t>PAY-01250</t>
  </si>
  <si>
    <t>PAY-01251</t>
  </si>
  <si>
    <t>PAY-01252</t>
  </si>
  <si>
    <t>PAY-01253</t>
  </si>
  <si>
    <t>PAY-01254</t>
  </si>
  <si>
    <t>PAY-01255</t>
  </si>
  <si>
    <t>PAY-01256</t>
  </si>
  <si>
    <t>PAY-01257</t>
  </si>
  <si>
    <t>PAY-01258</t>
  </si>
  <si>
    <t>PAY-01259</t>
  </si>
  <si>
    <t>PAY-01260</t>
  </si>
  <si>
    <t>PAY-01261</t>
  </si>
  <si>
    <t>PAY-01262</t>
  </si>
  <si>
    <t>PAY-01263</t>
  </si>
  <si>
    <t>PAY-01264</t>
  </si>
  <si>
    <t>PAY-01265</t>
  </si>
  <si>
    <t>PAY-01266</t>
  </si>
  <si>
    <t>PAY-01267</t>
  </si>
  <si>
    <t>PAY-01268</t>
  </si>
  <si>
    <t>PAY-01269</t>
  </si>
  <si>
    <t>PAY-01270</t>
  </si>
  <si>
    <t>PAY-01271</t>
  </si>
  <si>
    <t>PAY-01272</t>
  </si>
  <si>
    <t>PAY-01273</t>
  </si>
  <si>
    <t>PAY-01274</t>
  </si>
  <si>
    <t>PAY-01275</t>
  </si>
  <si>
    <t>PAY-01276</t>
  </si>
  <si>
    <t>PAY-01277</t>
  </si>
  <si>
    <t>PAY-01278</t>
  </si>
  <si>
    <t>PAY-01279</t>
  </si>
  <si>
    <t>PAY-01280</t>
  </si>
  <si>
    <t>PAY-01281</t>
  </si>
  <si>
    <t>PAY-01282</t>
  </si>
  <si>
    <t>PAY-01283</t>
  </si>
  <si>
    <t>PAY-01284</t>
  </si>
  <si>
    <t>PAY-01285</t>
  </si>
  <si>
    <t>PAY-01286</t>
  </si>
  <si>
    <t>PAY-01287</t>
  </si>
  <si>
    <t>PAY-01288</t>
  </si>
  <si>
    <t>PAY-01289</t>
  </si>
  <si>
    <t>PAY-01290</t>
  </si>
  <si>
    <t>PAY-01291</t>
  </si>
  <si>
    <t>PAY-01292</t>
  </si>
  <si>
    <t>PAY-01293</t>
  </si>
  <si>
    <t>PAY-01294</t>
  </si>
  <si>
    <t>PAY-01295</t>
  </si>
  <si>
    <t>PAY-01296</t>
  </si>
  <si>
    <t>PAY-01297</t>
  </si>
  <si>
    <t>PAY-01298</t>
  </si>
  <si>
    <t>PAY-01299</t>
  </si>
  <si>
    <t>PAY-01300</t>
  </si>
  <si>
    <t>PAY-01301</t>
  </si>
  <si>
    <t>PAY-01302</t>
  </si>
  <si>
    <t>PAY-01303</t>
  </si>
  <si>
    <t>PAY-01304</t>
  </si>
  <si>
    <t>PAY-01305</t>
  </si>
  <si>
    <t>PAY-01306</t>
  </si>
  <si>
    <t>PAY-01307</t>
  </si>
  <si>
    <t>PAY-01308</t>
  </si>
  <si>
    <t>PAY-01309</t>
  </si>
  <si>
    <t>PAY-01310</t>
  </si>
  <si>
    <t>PAY-01311</t>
  </si>
  <si>
    <t>PAY-01312</t>
  </si>
  <si>
    <t>PAY-01313</t>
  </si>
  <si>
    <t>PAY-01314</t>
  </si>
  <si>
    <t>PAY-01315</t>
  </si>
  <si>
    <t>PAY-01316</t>
  </si>
  <si>
    <t>PAY-01317</t>
  </si>
  <si>
    <t>PAY-01318</t>
  </si>
  <si>
    <t>PAY-01319</t>
  </si>
  <si>
    <t>PAY-01320</t>
  </si>
  <si>
    <t>PAY-01321</t>
  </si>
  <si>
    <t>PAY-01322</t>
  </si>
  <si>
    <t>PAY-01323</t>
  </si>
  <si>
    <t>PAY-01324</t>
  </si>
  <si>
    <t>PAY-01325</t>
  </si>
  <si>
    <t>PAY-01326</t>
  </si>
  <si>
    <t>PAY-01327</t>
  </si>
  <si>
    <t>PAY-01328</t>
  </si>
  <si>
    <t>PAY-01329</t>
  </si>
  <si>
    <t>PAY-01330</t>
  </si>
  <si>
    <t>PAY-01331</t>
  </si>
  <si>
    <t>PAY-01332</t>
  </si>
  <si>
    <t>PAY-01333</t>
  </si>
  <si>
    <t>PAY-01334</t>
  </si>
  <si>
    <t>PAY-01335</t>
  </si>
  <si>
    <t>PAY-01336</t>
  </si>
  <si>
    <t>PAY-01337</t>
  </si>
  <si>
    <t>PAY-01338</t>
  </si>
  <si>
    <t>PAY-01339</t>
  </si>
  <si>
    <t>PAY-01340</t>
  </si>
  <si>
    <t>PAY-01341</t>
  </si>
  <si>
    <t>PAY-01342</t>
  </si>
  <si>
    <t>PAY-01343</t>
  </si>
  <si>
    <t>PAY-01344</t>
  </si>
  <si>
    <t>PAY-01345</t>
  </si>
  <si>
    <t>PAY-01346</t>
  </si>
  <si>
    <t>PAY-01347</t>
  </si>
  <si>
    <t>PAY-01348</t>
  </si>
  <si>
    <t>PAY-01349</t>
  </si>
  <si>
    <t>PAY-01350</t>
  </si>
  <si>
    <t>PAY-01351</t>
  </si>
  <si>
    <t>PAY-01352</t>
  </si>
  <si>
    <t>PAY-01353</t>
  </si>
  <si>
    <t>PAY-01354</t>
  </si>
  <si>
    <t>PAY-01355</t>
  </si>
  <si>
    <t>PAY-01356</t>
  </si>
  <si>
    <t>PAY-01357</t>
  </si>
  <si>
    <t>PAY-01358</t>
  </si>
  <si>
    <t>PAY-01359</t>
  </si>
  <si>
    <t>PAY-01360</t>
  </si>
  <si>
    <t>PAY-01361</t>
  </si>
  <si>
    <t>PAY-01362</t>
  </si>
  <si>
    <t>PAY-01363</t>
  </si>
  <si>
    <t>PAY-01364</t>
  </si>
  <si>
    <t>PAY-01365</t>
  </si>
  <si>
    <t>PAY-01366</t>
  </si>
  <si>
    <t>PAY-01367</t>
  </si>
  <si>
    <t>PAY-01368</t>
  </si>
  <si>
    <t>PAY-01369</t>
  </si>
  <si>
    <t>PAY-01370</t>
  </si>
  <si>
    <t>PAY-01371</t>
  </si>
  <si>
    <t>PAY-01372</t>
  </si>
  <si>
    <t>PAY-01373</t>
  </si>
  <si>
    <t>PAY-01374</t>
  </si>
  <si>
    <t>PAY-01375</t>
  </si>
  <si>
    <t>PAY-01376</t>
  </si>
  <si>
    <t>PAY-01377</t>
  </si>
  <si>
    <t>PAY-01378</t>
  </si>
  <si>
    <t>PAY-01379</t>
  </si>
  <si>
    <t>PAY-01380</t>
  </si>
  <si>
    <t>PAY-01381</t>
  </si>
  <si>
    <t>PAY-01382</t>
  </si>
  <si>
    <t>PAY-01383</t>
  </si>
  <si>
    <t>PAY-01384</t>
  </si>
  <si>
    <t>PAY-01385</t>
  </si>
  <si>
    <t>PAY-01386</t>
  </si>
  <si>
    <t>PAY-01387</t>
  </si>
  <si>
    <t>PAY-01388</t>
  </si>
  <si>
    <t>PAY-01389</t>
  </si>
  <si>
    <t>PAY-01390</t>
  </si>
  <si>
    <t>PAY-01391</t>
  </si>
  <si>
    <t>PAY-01392</t>
  </si>
  <si>
    <t>PAY-01393</t>
  </si>
  <si>
    <t>PAY-01394</t>
  </si>
  <si>
    <t>PAY-01395</t>
  </si>
  <si>
    <t>PAY-01396</t>
  </si>
  <si>
    <t>PAY-01397</t>
  </si>
  <si>
    <t>PAY-01398</t>
  </si>
  <si>
    <t>PAY-01399</t>
  </si>
  <si>
    <t>PAY-01400</t>
  </si>
  <si>
    <t>PAY-01401</t>
  </si>
  <si>
    <t>PAY-01402</t>
  </si>
  <si>
    <t>PAY-01403</t>
  </si>
  <si>
    <t>PAY-01404</t>
  </si>
  <si>
    <t>PAY-01405</t>
  </si>
  <si>
    <t>PAY-01406</t>
  </si>
  <si>
    <t>PAY-01407</t>
  </si>
  <si>
    <t>PAY-01408</t>
  </si>
  <si>
    <t>PAY-01409</t>
  </si>
  <si>
    <t>PAY-01410</t>
  </si>
  <si>
    <t>PAY-01411</t>
  </si>
  <si>
    <t>PAY-01412</t>
  </si>
  <si>
    <t>PAY-01413</t>
  </si>
  <si>
    <t>PAY-01414</t>
  </si>
  <si>
    <t>PAY-01415</t>
  </si>
  <si>
    <t>PAY-01416</t>
  </si>
  <si>
    <t>PAY-01417</t>
  </si>
  <si>
    <t>PAY-01418</t>
  </si>
  <si>
    <t>PAY-01419</t>
  </si>
  <si>
    <t>PAY-01420</t>
  </si>
  <si>
    <t>PAY-01421</t>
  </si>
  <si>
    <t>PAY-01422</t>
  </si>
  <si>
    <t>PAY-01423</t>
  </si>
  <si>
    <t>PAY-01424</t>
  </si>
  <si>
    <t>PAY-01425</t>
  </si>
  <si>
    <t>PAY-01426</t>
  </si>
  <si>
    <t>PAY-01427</t>
  </si>
  <si>
    <t>PAY-01428</t>
  </si>
  <si>
    <t>PAY-01429</t>
  </si>
  <si>
    <t>PAY-01430</t>
  </si>
  <si>
    <t>PAY-01431</t>
  </si>
  <si>
    <t>PAY-01432</t>
  </si>
  <si>
    <t>PAY-01433</t>
  </si>
  <si>
    <t>PAY-01434</t>
  </si>
  <si>
    <t>PAY-01435</t>
  </si>
  <si>
    <t>PAY-01436</t>
  </si>
  <si>
    <t>PAY-01437</t>
  </si>
  <si>
    <t>PAY-01438</t>
  </si>
  <si>
    <t>PAY-01439</t>
  </si>
  <si>
    <t>PAY-01440</t>
  </si>
  <si>
    <t>PAY-01441</t>
  </si>
  <si>
    <t>PAY-01442</t>
  </si>
  <si>
    <t>PAY-01443</t>
  </si>
  <si>
    <t>PAY-01444</t>
  </si>
  <si>
    <t>PAY-01445</t>
  </si>
  <si>
    <t>PAY-01446</t>
  </si>
  <si>
    <t>PAY-01447</t>
  </si>
  <si>
    <t>PAY-01448</t>
  </si>
  <si>
    <t>PAY-01449</t>
  </si>
  <si>
    <t>PAY-01450</t>
  </si>
  <si>
    <t>PAY-01451</t>
  </si>
  <si>
    <t>PAY-01452</t>
  </si>
  <si>
    <t>PAY-01453</t>
  </si>
  <si>
    <t>PAY-01454</t>
  </si>
  <si>
    <t>PAY-01455</t>
  </si>
  <si>
    <t>PAY-01456</t>
  </si>
  <si>
    <t>PAY-01457</t>
  </si>
  <si>
    <t>PAY-01458</t>
  </si>
  <si>
    <t>PAY-01459</t>
  </si>
  <si>
    <t>PAY-01460</t>
  </si>
  <si>
    <t>PAY-01461</t>
  </si>
  <si>
    <t>PAY-01462</t>
  </si>
  <si>
    <t>PAY-01463</t>
  </si>
  <si>
    <t>PAY-01464</t>
  </si>
  <si>
    <t>PAY-01465</t>
  </si>
  <si>
    <t>PAY-01466</t>
  </si>
  <si>
    <t>PAY-01467</t>
  </si>
  <si>
    <t>PAY-01468</t>
  </si>
  <si>
    <t>PAY-01469</t>
  </si>
  <si>
    <t>PAY-01470</t>
  </si>
  <si>
    <t>PAY-01471</t>
  </si>
  <si>
    <t>PAY-01472</t>
  </si>
  <si>
    <t>PAY-01473</t>
  </si>
  <si>
    <t>PAY-01474</t>
  </si>
  <si>
    <t>PAY-01475</t>
  </si>
  <si>
    <t>PAY-01476</t>
  </si>
  <si>
    <t>PAY-01477</t>
  </si>
  <si>
    <t>PAY-01478</t>
  </si>
  <si>
    <t>PAY-01479</t>
  </si>
  <si>
    <t>PAY-01480</t>
  </si>
  <si>
    <t>PAY-01481</t>
  </si>
  <si>
    <t>PAY-01482</t>
  </si>
  <si>
    <t>PAY-01483</t>
  </si>
  <si>
    <t>PAY-01484</t>
  </si>
  <si>
    <t>PAY-01485</t>
  </si>
  <si>
    <t>PAY-01486</t>
  </si>
  <si>
    <t>PAY-01487</t>
  </si>
  <si>
    <t>PAY-01488</t>
  </si>
  <si>
    <t>PAY-01489</t>
  </si>
  <si>
    <t>PAY-01490</t>
  </si>
  <si>
    <t>PAY-01491</t>
  </si>
  <si>
    <t>PAY-01492</t>
  </si>
  <si>
    <t>PAY-01493</t>
  </si>
  <si>
    <t>PAY-01494</t>
  </si>
  <si>
    <t>PAY-01495</t>
  </si>
  <si>
    <t>PAY-01496</t>
  </si>
  <si>
    <t>PAY-01497</t>
  </si>
  <si>
    <t>PAY-01498</t>
  </si>
  <si>
    <t>PAY-01499</t>
  </si>
  <si>
    <t>PAY-01500</t>
  </si>
  <si>
    <t>PAY-01501</t>
  </si>
  <si>
    <t>PAY-01502</t>
  </si>
  <si>
    <t>PAY-01503</t>
  </si>
  <si>
    <t>PAY-01504</t>
  </si>
  <si>
    <t>PAY-01505</t>
  </si>
  <si>
    <t>PAY-01506</t>
  </si>
  <si>
    <t>PAY-01507</t>
  </si>
  <si>
    <t>PAY-01508</t>
  </si>
  <si>
    <t>PAY-01509</t>
  </si>
  <si>
    <t>PAY-01510</t>
  </si>
  <si>
    <t>PAY-01511</t>
  </si>
  <si>
    <t>PAY-01512</t>
  </si>
  <si>
    <t>PAY-01513</t>
  </si>
  <si>
    <t>PAY-01514</t>
  </si>
  <si>
    <t>PAY-01515</t>
  </si>
  <si>
    <t>PAY-01516</t>
  </si>
  <si>
    <t>PAY-01517</t>
  </si>
  <si>
    <t>PAY-01518</t>
  </si>
  <si>
    <t>PAY-01519</t>
  </si>
  <si>
    <t>PAY-01520</t>
  </si>
  <si>
    <t>PAY-01521</t>
  </si>
  <si>
    <t>PAY-01522</t>
  </si>
  <si>
    <t>PAY-01523</t>
  </si>
  <si>
    <t>PAY-01524</t>
  </si>
  <si>
    <t>PAY-01525</t>
  </si>
  <si>
    <t>PAY-01526</t>
  </si>
  <si>
    <t>PAY-01527</t>
  </si>
  <si>
    <t>PAY-01528</t>
  </si>
  <si>
    <t>PAY-01529</t>
  </si>
  <si>
    <t>PAY-01530</t>
  </si>
  <si>
    <t>PAY-01531</t>
  </si>
  <si>
    <t>PAY-01532</t>
  </si>
  <si>
    <t>PAY-01533</t>
  </si>
  <si>
    <t>PAY-01534</t>
  </si>
  <si>
    <t>PAY-01535</t>
  </si>
  <si>
    <t>PAY-01536</t>
  </si>
  <si>
    <t>PAY-01537</t>
  </si>
  <si>
    <t>PAY-01538</t>
  </si>
  <si>
    <t>PAY-01539</t>
  </si>
  <si>
    <t>PAY-01540</t>
  </si>
  <si>
    <t>PAY-01541</t>
  </si>
  <si>
    <t>PAY-01542</t>
  </si>
  <si>
    <t>PAY-01543</t>
  </si>
  <si>
    <t>PAY-01544</t>
  </si>
  <si>
    <t>PAY-01545</t>
  </si>
  <si>
    <t>PAY-01546</t>
  </si>
  <si>
    <t>PAY-01547</t>
  </si>
  <si>
    <t>PAY-01548</t>
  </si>
  <si>
    <t>PAY-01549</t>
  </si>
  <si>
    <t>PAY-01550</t>
  </si>
  <si>
    <t>PAY-01551</t>
  </si>
  <si>
    <t>PAY-01552</t>
  </si>
  <si>
    <t>PAY-01553</t>
  </si>
  <si>
    <t>PAY-01554</t>
  </si>
  <si>
    <t>PAY-01555</t>
  </si>
  <si>
    <t>PAY-01556</t>
  </si>
  <si>
    <t>PAY-01557</t>
  </si>
  <si>
    <t>PAY-01558</t>
  </si>
  <si>
    <t>PAY-01559</t>
  </si>
  <si>
    <t>PAY-01560</t>
  </si>
  <si>
    <t>PAY-01561</t>
  </si>
  <si>
    <t>PAY-01562</t>
  </si>
  <si>
    <t>PAY-01563</t>
  </si>
  <si>
    <t>PAY-01564</t>
  </si>
  <si>
    <t>PAY-01565</t>
  </si>
  <si>
    <t>PAY-01566</t>
  </si>
  <si>
    <t>PAY-01567</t>
  </si>
  <si>
    <t>PAY-01568</t>
  </si>
  <si>
    <t>PAY-01569</t>
  </si>
  <si>
    <t>PAY-01570</t>
  </si>
  <si>
    <t>PAY-01571</t>
  </si>
  <si>
    <t>PAY-01572</t>
  </si>
  <si>
    <t>PAY-01573</t>
  </si>
  <si>
    <t>PAY-01574</t>
  </si>
  <si>
    <t>PAY-01575</t>
  </si>
  <si>
    <t>PAY-01576</t>
  </si>
  <si>
    <t>PAY-01577</t>
  </si>
  <si>
    <t>PAY-01578</t>
  </si>
  <si>
    <t>PAY-01579</t>
  </si>
  <si>
    <t>PAY-01580</t>
  </si>
  <si>
    <t>PAY-01581</t>
  </si>
  <si>
    <t>PAY-01582</t>
  </si>
  <si>
    <t>PAY-01583</t>
  </si>
  <si>
    <t>PAY-01584</t>
  </si>
  <si>
    <t>PAY-01585</t>
  </si>
  <si>
    <t>PAY-01586</t>
  </si>
  <si>
    <t>PAY-01587</t>
  </si>
  <si>
    <t>PAY-01588</t>
  </si>
  <si>
    <t>PAY-01589</t>
  </si>
  <si>
    <t>PAY-01590</t>
  </si>
  <si>
    <t>PAY-01591</t>
  </si>
  <si>
    <t>PAY-01592</t>
  </si>
  <si>
    <t>PAY-01593</t>
  </si>
  <si>
    <t>PAY-01594</t>
  </si>
  <si>
    <t>PAY-01595</t>
  </si>
  <si>
    <t>PAY-01596</t>
  </si>
  <si>
    <t>PAY-01597</t>
  </si>
  <si>
    <t>PAY-01598</t>
  </si>
  <si>
    <t>PAY-01599</t>
  </si>
  <si>
    <t>PAY-01600</t>
  </si>
  <si>
    <t>PAY-01601</t>
  </si>
  <si>
    <t>PAY-01602</t>
  </si>
  <si>
    <t>PAY-01603</t>
  </si>
  <si>
    <t>PAY-01604</t>
  </si>
  <si>
    <t>PAY-01605</t>
  </si>
  <si>
    <t>PAY-01606</t>
  </si>
  <si>
    <t>PAY-01607</t>
  </si>
  <si>
    <t>PAY-01608</t>
  </si>
  <si>
    <t>PAY-01609</t>
  </si>
  <si>
    <t>PAY-01610</t>
  </si>
  <si>
    <t>PAY-01611</t>
  </si>
  <si>
    <t>PAY-01612</t>
  </si>
  <si>
    <t>PAY-01613</t>
  </si>
  <si>
    <t>PAY-01614</t>
  </si>
  <si>
    <t>PAY-01615</t>
  </si>
  <si>
    <t>PAY-01616</t>
  </si>
  <si>
    <t>PAY-01617</t>
  </si>
  <si>
    <t>PAY-01618</t>
  </si>
  <si>
    <t>PAY-01619</t>
  </si>
  <si>
    <t>PAY-01620</t>
  </si>
  <si>
    <t>PAY-01621</t>
  </si>
  <si>
    <t>PAY-01622</t>
  </si>
  <si>
    <t>PAY-01623</t>
  </si>
  <si>
    <t>PAY-01624</t>
  </si>
  <si>
    <t>PAY-01625</t>
  </si>
  <si>
    <t>PAY-01626</t>
  </si>
  <si>
    <t>PAY-01627</t>
  </si>
  <si>
    <t>PAY-01628</t>
  </si>
  <si>
    <t>PAY-01629</t>
  </si>
  <si>
    <t>PAY-01630</t>
  </si>
  <si>
    <t>PAY-01631</t>
  </si>
  <si>
    <t>PAY-01632</t>
  </si>
  <si>
    <t>PAY-01633</t>
  </si>
  <si>
    <t>PAY-01634</t>
  </si>
  <si>
    <t>PAY-01635</t>
  </si>
  <si>
    <t>PAY-01636</t>
  </si>
  <si>
    <t>PAY-01637</t>
  </si>
  <si>
    <t>PAY-01638</t>
  </si>
  <si>
    <t>PAY-01639</t>
  </si>
  <si>
    <t>PAY-01640</t>
  </si>
  <si>
    <t>PAY-01641</t>
  </si>
  <si>
    <t>PAY-01642</t>
  </si>
  <si>
    <t>PAY-01643</t>
  </si>
  <si>
    <t>PAY-01644</t>
  </si>
  <si>
    <t>PAY-01645</t>
  </si>
  <si>
    <t>PAY-01646</t>
  </si>
  <si>
    <t>PAY-01647</t>
  </si>
  <si>
    <t>PAY-01648</t>
  </si>
  <si>
    <t>PAY-01649</t>
  </si>
  <si>
    <t>PAY-01650</t>
  </si>
  <si>
    <t>PAY-01651</t>
  </si>
  <si>
    <t>PAY-01652</t>
  </si>
  <si>
    <t>PAY-01653</t>
  </si>
  <si>
    <t>PAY-01654</t>
  </si>
  <si>
    <t>PAY-01655</t>
  </si>
  <si>
    <t>PAY-01656</t>
  </si>
  <si>
    <t>PAY-01657</t>
  </si>
  <si>
    <t>PAY-01658</t>
  </si>
  <si>
    <t>PAY-01659</t>
  </si>
  <si>
    <t>PAY-01660</t>
  </si>
  <si>
    <t>PAY-01661</t>
  </si>
  <si>
    <t>PAY-01662</t>
  </si>
  <si>
    <t>PAY-01663</t>
  </si>
  <si>
    <t>PAY-01664</t>
  </si>
  <si>
    <t>PAY-01665</t>
  </si>
  <si>
    <t>PAY-01666</t>
  </si>
  <si>
    <t>PAY-01667</t>
  </si>
  <si>
    <t>PAY-01668</t>
  </si>
  <si>
    <t>PAY-01669</t>
  </si>
  <si>
    <t>PAY-01670</t>
  </si>
  <si>
    <t>PAY-01671</t>
  </si>
  <si>
    <t>PAY-01672</t>
  </si>
  <si>
    <t>PAY-01673</t>
  </si>
  <si>
    <t>PAY-01674</t>
  </si>
  <si>
    <t>PAY-01675</t>
  </si>
  <si>
    <t>PAY-01676</t>
  </si>
  <si>
    <t>PAY-01677</t>
  </si>
  <si>
    <t>PAY-01678</t>
  </si>
  <si>
    <t>PAY-01679</t>
  </si>
  <si>
    <t>PAY-01680</t>
  </si>
  <si>
    <t>PAY-01681</t>
  </si>
  <si>
    <t>PAY-01682</t>
  </si>
  <si>
    <t>PAY-01683</t>
  </si>
  <si>
    <t>PAY-01684</t>
  </si>
  <si>
    <t>PAY-01685</t>
  </si>
  <si>
    <t>PAY-01686</t>
  </si>
  <si>
    <t>PAY-01687</t>
  </si>
  <si>
    <t>PAY-01688</t>
  </si>
  <si>
    <t>PAY-01689</t>
  </si>
  <si>
    <t>PAY-01690</t>
  </si>
  <si>
    <t>PAY-01691</t>
  </si>
  <si>
    <t>PAY-01692</t>
  </si>
  <si>
    <t>PAY-01693</t>
  </si>
  <si>
    <t>PAY-01694</t>
  </si>
  <si>
    <t>PAY-01695</t>
  </si>
  <si>
    <t>PAY-01696</t>
  </si>
  <si>
    <t>PAY-01697</t>
  </si>
  <si>
    <t>PAY-01698</t>
  </si>
  <si>
    <t>PAY-01699</t>
  </si>
  <si>
    <t>PAY-01700</t>
  </si>
  <si>
    <t>PAY-01701</t>
  </si>
  <si>
    <t>PAY-01702</t>
  </si>
  <si>
    <t>PAY-01703</t>
  </si>
  <si>
    <t>PAY-01704</t>
  </si>
  <si>
    <t>PAY-01705</t>
  </si>
  <si>
    <t>PAY-01706</t>
  </si>
  <si>
    <t>PAY-01707</t>
  </si>
  <si>
    <t>PAY-01708</t>
  </si>
  <si>
    <t>PAY-01709</t>
  </si>
  <si>
    <t>PAY-01710</t>
  </si>
  <si>
    <t>PAY-01711</t>
  </si>
  <si>
    <t>PAY-01712</t>
  </si>
  <si>
    <t>PAY-01713</t>
  </si>
  <si>
    <t>PAY-01714</t>
  </si>
  <si>
    <t>PAY-01715</t>
  </si>
  <si>
    <t>PAY-01716</t>
  </si>
  <si>
    <t>PAY-01717</t>
  </si>
  <si>
    <t>PAY-01718</t>
  </si>
  <si>
    <t>PAY-01719</t>
  </si>
  <si>
    <t>PAY-01720</t>
  </si>
  <si>
    <t>PAY-01721</t>
  </si>
  <si>
    <t>PAY-01722</t>
  </si>
  <si>
    <t>PAY-01723</t>
  </si>
  <si>
    <t>PAY-01724</t>
  </si>
  <si>
    <t>PAY-01725</t>
  </si>
  <si>
    <t>PAY-01726</t>
  </si>
  <si>
    <t>PAY-01727</t>
  </si>
  <si>
    <t>PAY-01728</t>
  </si>
  <si>
    <t>PAY-01729</t>
  </si>
  <si>
    <t>PAY-01730</t>
  </si>
  <si>
    <t>PAY-01731</t>
  </si>
  <si>
    <t>PAY-01732</t>
  </si>
  <si>
    <t>PAY-01733</t>
  </si>
  <si>
    <t>PAY-01734</t>
  </si>
  <si>
    <t>PAY-01735</t>
  </si>
  <si>
    <t>PAY-01736</t>
  </si>
  <si>
    <t>PAY-01737</t>
  </si>
  <si>
    <t>PAY-01738</t>
  </si>
  <si>
    <t>PAY-01739</t>
  </si>
  <si>
    <t>PAY-01740</t>
  </si>
  <si>
    <t>PAY-01741</t>
  </si>
  <si>
    <t>PAY-01742</t>
  </si>
  <si>
    <t>PAY-01743</t>
  </si>
  <si>
    <t>PAY-01744</t>
  </si>
  <si>
    <t>PAY-01745</t>
  </si>
  <si>
    <t>PAY-01746</t>
  </si>
  <si>
    <t>PAY-01747</t>
  </si>
  <si>
    <t>PAY-01748</t>
  </si>
  <si>
    <t>PAY-01749</t>
  </si>
  <si>
    <t>PAY-01750</t>
  </si>
  <si>
    <t>PAY-01751</t>
  </si>
  <si>
    <t>PAY-01752</t>
  </si>
  <si>
    <t>PAY-01753</t>
  </si>
  <si>
    <t>PAY-01754</t>
  </si>
  <si>
    <t>PAY-01755</t>
  </si>
  <si>
    <t>PAY-01756</t>
  </si>
  <si>
    <t>PAY-01757</t>
  </si>
  <si>
    <t>PAY-01758</t>
  </si>
  <si>
    <t>PAY-01759</t>
  </si>
  <si>
    <t>PAY-01760</t>
  </si>
  <si>
    <t>PAY-01761</t>
  </si>
  <si>
    <t>PAY-01762</t>
  </si>
  <si>
    <t>PAY-01763</t>
  </si>
  <si>
    <t>PAY-01764</t>
  </si>
  <si>
    <t>PAY-01765</t>
  </si>
  <si>
    <t>PAY-01766</t>
  </si>
  <si>
    <t>PAY-01767</t>
  </si>
  <si>
    <t>PAY-01768</t>
  </si>
  <si>
    <t>PAY-01769</t>
  </si>
  <si>
    <t>PAY-01770</t>
  </si>
  <si>
    <t>PAY-01771</t>
  </si>
  <si>
    <t>PAY-01772</t>
  </si>
  <si>
    <t>PAY-01773</t>
  </si>
  <si>
    <t>PAY-01774</t>
  </si>
  <si>
    <t>PAY-01775</t>
  </si>
  <si>
    <t>PAY-01776</t>
  </si>
  <si>
    <t>PAY-01777</t>
  </si>
  <si>
    <t>PAY-01778</t>
  </si>
  <si>
    <t>PAY-01779</t>
  </si>
  <si>
    <t>PAY-01780</t>
  </si>
  <si>
    <t>PAY-01781</t>
  </si>
  <si>
    <t>PAY-01782</t>
  </si>
  <si>
    <t>PAY-01783</t>
  </si>
  <si>
    <t>PAY-01784</t>
  </si>
  <si>
    <t>PAY-01785</t>
  </si>
  <si>
    <t>PAY-01786</t>
  </si>
  <si>
    <t>PAY-01787</t>
  </si>
  <si>
    <t>PAY-01788</t>
  </si>
  <si>
    <t>PAY-01789</t>
  </si>
  <si>
    <t>PAY-01790</t>
  </si>
  <si>
    <t>PAY-01791</t>
  </si>
  <si>
    <t>PAY-01792</t>
  </si>
  <si>
    <t>PAY-01793</t>
  </si>
  <si>
    <t>PAY-01794</t>
  </si>
  <si>
    <t>PAY-01795</t>
  </si>
  <si>
    <t>PAY-01796</t>
  </si>
  <si>
    <t>PAY-01797</t>
  </si>
  <si>
    <t>PAY-01798</t>
  </si>
  <si>
    <t>PAY-01799</t>
  </si>
  <si>
    <t>PAY-01800</t>
  </si>
  <si>
    <t>PAY-01801</t>
  </si>
  <si>
    <t>PAY-01802</t>
  </si>
  <si>
    <t>PAY-01803</t>
  </si>
  <si>
    <t>PAY-01804</t>
  </si>
  <si>
    <t>PAY-01805</t>
  </si>
  <si>
    <t>PAY-01806</t>
  </si>
  <si>
    <t>PAY-01807</t>
  </si>
  <si>
    <t>PAY-01808</t>
  </si>
  <si>
    <t>PAY-01809</t>
  </si>
  <si>
    <t>PAY-01810</t>
  </si>
  <si>
    <t>PAY-01811</t>
  </si>
  <si>
    <t>PAY-01812</t>
  </si>
  <si>
    <t>PAY-01813</t>
  </si>
  <si>
    <t>PAY-01814</t>
  </si>
  <si>
    <t>PAY-01815</t>
  </si>
  <si>
    <t>PAY-01816</t>
  </si>
  <si>
    <t>PAY-01817</t>
  </si>
  <si>
    <t>PAY-01818</t>
  </si>
  <si>
    <t>PAY-01819</t>
  </si>
  <si>
    <t>PAY-01820</t>
  </si>
  <si>
    <t>PAY-01821</t>
  </si>
  <si>
    <t>PAY-01822</t>
  </si>
  <si>
    <t>PAY-01823</t>
  </si>
  <si>
    <t>PAY-01824</t>
  </si>
  <si>
    <t>PAY-01825</t>
  </si>
  <si>
    <t>PAY-01826</t>
  </si>
  <si>
    <t>PAY-01827</t>
  </si>
  <si>
    <t>PAY-01828</t>
  </si>
  <si>
    <t>PAY-01829</t>
  </si>
  <si>
    <t>PAY-01830</t>
  </si>
  <si>
    <t>PAY-01831</t>
  </si>
  <si>
    <t>PAY-01832</t>
  </si>
  <si>
    <t>PAY-01833</t>
  </si>
  <si>
    <t>PAY-01834</t>
  </si>
  <si>
    <t>PAY-01835</t>
  </si>
  <si>
    <t>PAY-01836</t>
  </si>
  <si>
    <t>PAY-01837</t>
  </si>
  <si>
    <t>PAY-01838</t>
  </si>
  <si>
    <t>PAY-01839</t>
  </si>
  <si>
    <t>PAY-01840</t>
  </si>
  <si>
    <t>PAY-01841</t>
  </si>
  <si>
    <t>PAY-01842</t>
  </si>
  <si>
    <t>PAY-01843</t>
  </si>
  <si>
    <t>PAY-01844</t>
  </si>
  <si>
    <t>PAY-01845</t>
  </si>
  <si>
    <t>PAY-01846</t>
  </si>
  <si>
    <t>PAY-01847</t>
  </si>
  <si>
    <t>PAY-01848</t>
  </si>
  <si>
    <t>PAY-01849</t>
  </si>
  <si>
    <t>PAY-01850</t>
  </si>
  <si>
    <t>PAY-01851</t>
  </si>
  <si>
    <t>PAY-01852</t>
  </si>
  <si>
    <t>PAY-01853</t>
  </si>
  <si>
    <t>PAY-01854</t>
  </si>
  <si>
    <t>PAY-01855</t>
  </si>
  <si>
    <t>PAY-01856</t>
  </si>
  <si>
    <t>PAY-01857</t>
  </si>
  <si>
    <t>PAY-01858</t>
  </si>
  <si>
    <t>PAY-01859</t>
  </si>
  <si>
    <t>PAY-01860</t>
  </si>
  <si>
    <t>PAY-01861</t>
  </si>
  <si>
    <t>PAY-01862</t>
  </si>
  <si>
    <t>PAY-01863</t>
  </si>
  <si>
    <t>PAY-01864</t>
  </si>
  <si>
    <t>PAY-01865</t>
  </si>
  <si>
    <t>PAY-01866</t>
  </si>
  <si>
    <t>PAY-01867</t>
  </si>
  <si>
    <t>PAY-01868</t>
  </si>
  <si>
    <t>PAY-01869</t>
  </si>
  <si>
    <t>PAY-01870</t>
  </si>
  <si>
    <t>PAY-01871</t>
  </si>
  <si>
    <t>PAY-01872</t>
  </si>
  <si>
    <t>PAY-01873</t>
  </si>
  <si>
    <t>PAY-01874</t>
  </si>
  <si>
    <t>PAY-01875</t>
  </si>
  <si>
    <t>PAY-01876</t>
  </si>
  <si>
    <t>PAY-01877</t>
  </si>
  <si>
    <t>PAY-01878</t>
  </si>
  <si>
    <t>PAY-01879</t>
  </si>
  <si>
    <t>PAY-01880</t>
  </si>
  <si>
    <t>PAY-01881</t>
  </si>
  <si>
    <t>PAY-01882</t>
  </si>
  <si>
    <t>PAY-01883</t>
  </si>
  <si>
    <t>PAY-01884</t>
  </si>
  <si>
    <t>PAY-01885</t>
  </si>
  <si>
    <t>PAY-01886</t>
  </si>
  <si>
    <t>PAY-01887</t>
  </si>
  <si>
    <t>PAY-01888</t>
  </si>
  <si>
    <t>PAY-01889</t>
  </si>
  <si>
    <t>PAY-01890</t>
  </si>
  <si>
    <t>PAY-01891</t>
  </si>
  <si>
    <t>PAY-01892</t>
  </si>
  <si>
    <t>PAY-01893</t>
  </si>
  <si>
    <t>PAY-01894</t>
  </si>
  <si>
    <t>PAY-01895</t>
  </si>
  <si>
    <t>PAY-01896</t>
  </si>
  <si>
    <t>PAY-01897</t>
  </si>
  <si>
    <t>PAY-01898</t>
  </si>
  <si>
    <t>PAY-01899</t>
  </si>
  <si>
    <t>PAY-01900</t>
  </si>
  <si>
    <t>PAY-01901</t>
  </si>
  <si>
    <t>PAY-01902</t>
  </si>
  <si>
    <t>PAY-01903</t>
  </si>
  <si>
    <t>PAY-01904</t>
  </si>
  <si>
    <t>PAY-01905</t>
  </si>
  <si>
    <t>PAY-01906</t>
  </si>
  <si>
    <t>PAY-01907</t>
  </si>
  <si>
    <t>PAY-01908</t>
  </si>
  <si>
    <t>PAY-01909</t>
  </si>
  <si>
    <t>PAY-01910</t>
  </si>
  <si>
    <t>PAY-01911</t>
  </si>
  <si>
    <t>PAY-01912</t>
  </si>
  <si>
    <t>PAY-01913</t>
  </si>
  <si>
    <t>PAY-01914</t>
  </si>
  <si>
    <t>PAY-01915</t>
  </si>
  <si>
    <t>PAY-01916</t>
  </si>
  <si>
    <t>PAY-01917</t>
  </si>
  <si>
    <t>PAY-01918</t>
  </si>
  <si>
    <t>PAY-01919</t>
  </si>
  <si>
    <t>PAY-01920</t>
  </si>
  <si>
    <t>PAY-01921</t>
  </si>
  <si>
    <t>PAY-01922</t>
  </si>
  <si>
    <t>PAY-01923</t>
  </si>
  <si>
    <t>PAY-01924</t>
  </si>
  <si>
    <t>PAY-01925</t>
  </si>
  <si>
    <t>PAY-01926</t>
  </si>
  <si>
    <t>PAY-01927</t>
  </si>
  <si>
    <t>PAY-01928</t>
  </si>
  <si>
    <t>PAY-01929</t>
  </si>
  <si>
    <t>PAY-01930</t>
  </si>
  <si>
    <t>PAY-01931</t>
  </si>
  <si>
    <t>PAY-01932</t>
  </si>
  <si>
    <t>PAY-01933</t>
  </si>
  <si>
    <t>PAY-01934</t>
  </si>
  <si>
    <t>PAY-01935</t>
  </si>
  <si>
    <t>PAY-01936</t>
  </si>
  <si>
    <t>PAY-01937</t>
  </si>
  <si>
    <t>PAY-01938</t>
  </si>
  <si>
    <t>PAY-01939</t>
  </si>
  <si>
    <t>PAY-01940</t>
  </si>
  <si>
    <t>PAY-01941</t>
  </si>
  <si>
    <t>PAY-01942</t>
  </si>
  <si>
    <t>PAY-01943</t>
  </si>
  <si>
    <t>PAY-01944</t>
  </si>
  <si>
    <t>PAY-01945</t>
  </si>
  <si>
    <t>PAY-01946</t>
  </si>
  <si>
    <t>PAY-01947</t>
  </si>
  <si>
    <t>PAY-01948</t>
  </si>
  <si>
    <t>PAY-01949</t>
  </si>
  <si>
    <t>PAY-01950</t>
  </si>
  <si>
    <t>PAY-01951</t>
  </si>
  <si>
    <t>PAY-01952</t>
  </si>
  <si>
    <t>PAY-01953</t>
  </si>
  <si>
    <t>PAY-01954</t>
  </si>
  <si>
    <t>PAY-01955</t>
  </si>
  <si>
    <t>PAY-01956</t>
  </si>
  <si>
    <t>PAY-01957</t>
  </si>
  <si>
    <t>PAY-01958</t>
  </si>
  <si>
    <t>PAY-01959</t>
  </si>
  <si>
    <t>PAY-01960</t>
  </si>
  <si>
    <t>PAY-01961</t>
  </si>
  <si>
    <t>PAY-01962</t>
  </si>
  <si>
    <t>PAY-01963</t>
  </si>
  <si>
    <t>PAY-01964</t>
  </si>
  <si>
    <t>PAY-01965</t>
  </si>
  <si>
    <t>PAY-01966</t>
  </si>
  <si>
    <t>PAY-01967</t>
  </si>
  <si>
    <t>PAY-01968</t>
  </si>
  <si>
    <t>PAY-01969</t>
  </si>
  <si>
    <t>PAY-01970</t>
  </si>
  <si>
    <t>PAY-01971</t>
  </si>
  <si>
    <t>PAY-01972</t>
  </si>
  <si>
    <t>PAY-01973</t>
  </si>
  <si>
    <t>PAY-01974</t>
  </si>
  <si>
    <t>PAY-01975</t>
  </si>
  <si>
    <t>PAY-01976</t>
  </si>
  <si>
    <t>PAY-01977</t>
  </si>
  <si>
    <t>PAY-01978</t>
  </si>
  <si>
    <t>PAY-01979</t>
  </si>
  <si>
    <t>PAY-01980</t>
  </si>
  <si>
    <t>PAY-01981</t>
  </si>
  <si>
    <t>PAY-01982</t>
  </si>
  <si>
    <t>PAY-01983</t>
  </si>
  <si>
    <t>PAY-01984</t>
  </si>
  <si>
    <t>PAY-01985</t>
  </si>
  <si>
    <t>PAY-01986</t>
  </si>
  <si>
    <t>PAY-01987</t>
  </si>
  <si>
    <t>PAY-01988</t>
  </si>
  <si>
    <t>PAY-01989</t>
  </si>
  <si>
    <t>PAY-01990</t>
  </si>
  <si>
    <t>PAY-01991</t>
  </si>
  <si>
    <t>PAY-01992</t>
  </si>
  <si>
    <t>PAY-01993</t>
  </si>
  <si>
    <t>PAY-01994</t>
  </si>
  <si>
    <t>PAY-01995</t>
  </si>
  <si>
    <t>PAY-01996</t>
  </si>
  <si>
    <t>PAY-01997</t>
  </si>
  <si>
    <t>PAY-01998</t>
  </si>
  <si>
    <t>PAY-01999</t>
  </si>
  <si>
    <t>PAY-02000</t>
  </si>
  <si>
    <t>PAY-02001</t>
  </si>
  <si>
    <t>PAY-02002</t>
  </si>
  <si>
    <t>PAY-02003</t>
  </si>
  <si>
    <t>PAY-02004</t>
  </si>
  <si>
    <t>PAY-02005</t>
  </si>
  <si>
    <t>PAY-02006</t>
  </si>
  <si>
    <t>PAY-02007</t>
  </si>
  <si>
    <t>PAY-02008</t>
  </si>
  <si>
    <t>PAY-02009</t>
  </si>
  <si>
    <t>PAY-02010</t>
  </si>
  <si>
    <t>PAY-02011</t>
  </si>
  <si>
    <t>PAY-02012</t>
  </si>
  <si>
    <t>PAY-02013</t>
  </si>
  <si>
    <t>PAY-02014</t>
  </si>
  <si>
    <t>PAY-02015</t>
  </si>
  <si>
    <t>PAY-02016</t>
  </si>
  <si>
    <t>PAY-02017</t>
  </si>
  <si>
    <t>PAY-02018</t>
  </si>
  <si>
    <t>PAY-02019</t>
  </si>
  <si>
    <t>PAY-02020</t>
  </si>
  <si>
    <t>PAY-02021</t>
  </si>
  <si>
    <t>PAY-02022</t>
  </si>
  <si>
    <t>PAY-02023</t>
  </si>
  <si>
    <t>PAY-02024</t>
  </si>
  <si>
    <t>PAY-02025</t>
  </si>
  <si>
    <t>PAY-02026</t>
  </si>
  <si>
    <t>PAY-02027</t>
  </si>
  <si>
    <t>PAY-02028</t>
  </si>
  <si>
    <t>PAY-02029</t>
  </si>
  <si>
    <t>PAY-02030</t>
  </si>
  <si>
    <t>PAY-02031</t>
  </si>
  <si>
    <t>PAY-02032</t>
  </si>
  <si>
    <t>PAY-02033</t>
  </si>
  <si>
    <t>PAY-02034</t>
  </si>
  <si>
    <t>PAY-02035</t>
  </si>
  <si>
    <t>PAY-02036</t>
  </si>
  <si>
    <t>PAY-02037</t>
  </si>
  <si>
    <t>PAY-02038</t>
  </si>
  <si>
    <t>PAY-02039</t>
  </si>
  <si>
    <t>PAY-02040</t>
  </si>
  <si>
    <t>PAY-02041</t>
  </si>
  <si>
    <t>PAY-02042</t>
  </si>
  <si>
    <t>PAY-02043</t>
  </si>
  <si>
    <t>PAY-02044</t>
  </si>
  <si>
    <t>PAY-02045</t>
  </si>
  <si>
    <t>PAY-02046</t>
  </si>
  <si>
    <t>PAY-02047</t>
  </si>
  <si>
    <t>PAY-02048</t>
  </si>
  <si>
    <t>PAY-02049</t>
  </si>
  <si>
    <t>PAY-02050</t>
  </si>
  <si>
    <t>PAY-02051</t>
  </si>
  <si>
    <t>PAY-02052</t>
  </si>
  <si>
    <t>PAY-02053</t>
  </si>
  <si>
    <t>PAY-02054</t>
  </si>
  <si>
    <t>PAY-02055</t>
  </si>
  <si>
    <t>PAY-02056</t>
  </si>
  <si>
    <t>PAY-02057</t>
  </si>
  <si>
    <t>PAY-02058</t>
  </si>
  <si>
    <t>PAY-02059</t>
  </si>
  <si>
    <t>PAY-02060</t>
  </si>
  <si>
    <t>PAY-02061</t>
  </si>
  <si>
    <t>PAY-02062</t>
  </si>
  <si>
    <t>PAY-02063</t>
  </si>
  <si>
    <t>PAY-02064</t>
  </si>
  <si>
    <t>PAY-02065</t>
  </si>
  <si>
    <t>PAY-02066</t>
  </si>
  <si>
    <t>PAY-02067</t>
  </si>
  <si>
    <t>PAY-02068</t>
  </si>
  <si>
    <t>PAY-02069</t>
  </si>
  <si>
    <t>PAY-02070</t>
  </si>
  <si>
    <t>PAY-02071</t>
  </si>
  <si>
    <t>PAY-02072</t>
  </si>
  <si>
    <t>PAY-02073</t>
  </si>
  <si>
    <t>PAY-02074</t>
  </si>
  <si>
    <t>PAY-02075</t>
  </si>
  <si>
    <t>PAY-02076</t>
  </si>
  <si>
    <t>PAY-02077</t>
  </si>
  <si>
    <t>PAY-02078</t>
  </si>
  <si>
    <t>PAY-02079</t>
  </si>
  <si>
    <t>PAY-02080</t>
  </si>
  <si>
    <t>PAY-02081</t>
  </si>
  <si>
    <t>PAY-02082</t>
  </si>
  <si>
    <t>PAY-02083</t>
  </si>
  <si>
    <t>PAY-02084</t>
  </si>
  <si>
    <t>PAY-02085</t>
  </si>
  <si>
    <t>PAY-02086</t>
  </si>
  <si>
    <t>PAY-02087</t>
  </si>
  <si>
    <t>PAY-02088</t>
  </si>
  <si>
    <t>PAY-02089</t>
  </si>
  <si>
    <t>PAY-02090</t>
  </si>
  <si>
    <t>PAY-02091</t>
  </si>
  <si>
    <t>PAY-02092</t>
  </si>
  <si>
    <t>PAY-02093</t>
  </si>
  <si>
    <t>PAY-02094</t>
  </si>
  <si>
    <t>PAY-02095</t>
  </si>
  <si>
    <t>PAY-02096</t>
  </si>
  <si>
    <t>PAY-02097</t>
  </si>
  <si>
    <t>PAY-02098</t>
  </si>
  <si>
    <t>PAY-02099</t>
  </si>
  <si>
    <t>PAY-02100</t>
  </si>
  <si>
    <t>PAY-02101</t>
  </si>
  <si>
    <t>PAY-02102</t>
  </si>
  <si>
    <t>PAY-02103</t>
  </si>
  <si>
    <t>PAY-02104</t>
  </si>
  <si>
    <t>PAY-02105</t>
  </si>
  <si>
    <t>PAY-02106</t>
  </si>
  <si>
    <t>PAY-02107</t>
  </si>
  <si>
    <t>PAY-02108</t>
  </si>
  <si>
    <t>PAY-02109</t>
  </si>
  <si>
    <t>PAY-02110</t>
  </si>
  <si>
    <t>PAY-02111</t>
  </si>
  <si>
    <t>PAY-02112</t>
  </si>
  <si>
    <t>PAY-02113</t>
  </si>
  <si>
    <t>PAY-02114</t>
  </si>
  <si>
    <t>PAY-02115</t>
  </si>
  <si>
    <t>PAY-02116</t>
  </si>
  <si>
    <t>PAY-02117</t>
  </si>
  <si>
    <t>PAY-02118</t>
  </si>
  <si>
    <t>PAY-02119</t>
  </si>
  <si>
    <t>PAY-02120</t>
  </si>
  <si>
    <t>PAY-02121</t>
  </si>
  <si>
    <t>PAY-02122</t>
  </si>
  <si>
    <t>PAY-02123</t>
  </si>
  <si>
    <t>PAY-02124</t>
  </si>
  <si>
    <t>PAY-02125</t>
  </si>
  <si>
    <t>PAY-02126</t>
  </si>
  <si>
    <t>PAY-02127</t>
  </si>
  <si>
    <t>PAY-02128</t>
  </si>
  <si>
    <t>PAY-02129</t>
  </si>
  <si>
    <t>PAY-02130</t>
  </si>
  <si>
    <t>PAY-02131</t>
  </si>
  <si>
    <t>PAY-02132</t>
  </si>
  <si>
    <t>PAY-02133</t>
  </si>
  <si>
    <t>PAY-02134</t>
  </si>
  <si>
    <t>PAY-02135</t>
  </si>
  <si>
    <t>PAY-02136</t>
  </si>
  <si>
    <t>PAY-02137</t>
  </si>
  <si>
    <t>PAY-02138</t>
  </si>
  <si>
    <t>PAY-02139</t>
  </si>
  <si>
    <t>PAY-02140</t>
  </si>
  <si>
    <t>PAY-02141</t>
  </si>
  <si>
    <t>PAY-02142</t>
  </si>
  <si>
    <t>PAY-02143</t>
  </si>
  <si>
    <t>PAY-02144</t>
  </si>
  <si>
    <t>PAY-02145</t>
  </si>
  <si>
    <t>PAY-02146</t>
  </si>
  <si>
    <t>PAY-02147</t>
  </si>
  <si>
    <t>PAY-02148</t>
  </si>
  <si>
    <t>PAY-02149</t>
  </si>
  <si>
    <t>PAY-02150</t>
  </si>
  <si>
    <t>PAY-02151</t>
  </si>
  <si>
    <t>PAY-02152</t>
  </si>
  <si>
    <t>PAY-02153</t>
  </si>
  <si>
    <t>PAY-02154</t>
  </si>
  <si>
    <t>PAY-02155</t>
  </si>
  <si>
    <t>PAY-02156</t>
  </si>
  <si>
    <t>PAY-02157</t>
  </si>
  <si>
    <t>PAY-02158</t>
  </si>
  <si>
    <t>PAY-02159</t>
  </si>
  <si>
    <t>PAY-02160</t>
  </si>
  <si>
    <t>PAY-02161</t>
  </si>
  <si>
    <t>PAY-02162</t>
  </si>
  <si>
    <t>PAY-02163</t>
  </si>
  <si>
    <t>PAY-02164</t>
  </si>
  <si>
    <t>PAY-02165</t>
  </si>
  <si>
    <t>PAY-02166</t>
  </si>
  <si>
    <t>PAY-02167</t>
  </si>
  <si>
    <t>PAY-02168</t>
  </si>
  <si>
    <t>PAY-02169</t>
  </si>
  <si>
    <t>PAY-02170</t>
  </si>
  <si>
    <t>PAY-02171</t>
  </si>
  <si>
    <t>PAY-02172</t>
  </si>
  <si>
    <t>PAY-02173</t>
  </si>
  <si>
    <t>PAY-02174</t>
  </si>
  <si>
    <t>PAY-02175</t>
  </si>
  <si>
    <t>PAY-02176</t>
  </si>
  <si>
    <t>PAY-02177</t>
  </si>
  <si>
    <t>PAY-02178</t>
  </si>
  <si>
    <t>PAY-02179</t>
  </si>
  <si>
    <t>PAY-02180</t>
  </si>
  <si>
    <t>PAY-02181</t>
  </si>
  <si>
    <t>PAY-02182</t>
  </si>
  <si>
    <t>PAY-02183</t>
  </si>
  <si>
    <t>PAY-02184</t>
  </si>
  <si>
    <t>PAY-02185</t>
  </si>
  <si>
    <t>PAY-02186</t>
  </si>
  <si>
    <t>PAY-02187</t>
  </si>
  <si>
    <t>PAY-02188</t>
  </si>
  <si>
    <t>PAY-02189</t>
  </si>
  <si>
    <t>PAY-02190</t>
  </si>
  <si>
    <t>PAY-02191</t>
  </si>
  <si>
    <t>PAY-02192</t>
  </si>
  <si>
    <t>PAY-02193</t>
  </si>
  <si>
    <t>PAY-02194</t>
  </si>
  <si>
    <t>PAY-02195</t>
  </si>
  <si>
    <t>PAY-02196</t>
  </si>
  <si>
    <t>PAY-02197</t>
  </si>
  <si>
    <t>PAY-02198</t>
  </si>
  <si>
    <t>PAY-02199</t>
  </si>
  <si>
    <t>PAY-02200</t>
  </si>
  <si>
    <t>PAY-02201</t>
  </si>
  <si>
    <t>PAY-02202</t>
  </si>
  <si>
    <t>PAY-02203</t>
  </si>
  <si>
    <t>PAY-02204</t>
  </si>
  <si>
    <t>PAY-02205</t>
  </si>
  <si>
    <t>PAY-02206</t>
  </si>
  <si>
    <t>PAY-02207</t>
  </si>
  <si>
    <t>PAY-02208</t>
  </si>
  <si>
    <t>PAY-02209</t>
  </si>
  <si>
    <t>PAY-02210</t>
  </si>
  <si>
    <t>PAY-02211</t>
  </si>
  <si>
    <t>PAY-02212</t>
  </si>
  <si>
    <t>PAY-02213</t>
  </si>
  <si>
    <t>PAY-02214</t>
  </si>
  <si>
    <t>PAY-02215</t>
  </si>
  <si>
    <t>PAY-02216</t>
  </si>
  <si>
    <t>PAY-02217</t>
  </si>
  <si>
    <t>PAY-02218</t>
  </si>
  <si>
    <t>PAY-02219</t>
  </si>
  <si>
    <t>PAY-02220</t>
  </si>
  <si>
    <t>PAY-02221</t>
  </si>
  <si>
    <t>PAY-02222</t>
  </si>
  <si>
    <t>PAY-02223</t>
  </si>
  <si>
    <t>PAY-02224</t>
  </si>
  <si>
    <t>PAY-02225</t>
  </si>
  <si>
    <t>PAY-02226</t>
  </si>
  <si>
    <t>PAY-02227</t>
  </si>
  <si>
    <t>PAY-02228</t>
  </si>
  <si>
    <t>PAY-02229</t>
  </si>
  <si>
    <t>PAY-02230</t>
  </si>
  <si>
    <t>PAY-02231</t>
  </si>
  <si>
    <t>PAY-02232</t>
  </si>
  <si>
    <t>PAY-02233</t>
  </si>
  <si>
    <t>PAY-02234</t>
  </si>
  <si>
    <t>PAY-02235</t>
  </si>
  <si>
    <t>PAY-02236</t>
  </si>
  <si>
    <t>PAY-02237</t>
  </si>
  <si>
    <t>PAY-02238</t>
  </si>
  <si>
    <t>PAY-02239</t>
  </si>
  <si>
    <t>PAY-02240</t>
  </si>
  <si>
    <t>PAY-02241</t>
  </si>
  <si>
    <t>BillID</t>
  </si>
  <si>
    <t>BillDate</t>
  </si>
  <si>
    <t>BillAmount</t>
  </si>
  <si>
    <t>BILL-00001</t>
  </si>
  <si>
    <t>BILL-00002</t>
  </si>
  <si>
    <t>BILL-00003</t>
  </si>
  <si>
    <t>BILL-00004</t>
  </si>
  <si>
    <t>BILL-00005</t>
  </si>
  <si>
    <t>BILL-00006</t>
  </si>
  <si>
    <t>BILL-00007</t>
  </si>
  <si>
    <t>BILL-00008</t>
  </si>
  <si>
    <t>BILL-00009</t>
  </si>
  <si>
    <t>BILL-00010</t>
  </si>
  <si>
    <t>BILL-00011</t>
  </si>
  <si>
    <t>BILL-00012</t>
  </si>
  <si>
    <t>BILL-00013</t>
  </si>
  <si>
    <t>BILL-00014</t>
  </si>
  <si>
    <t>BILL-00015</t>
  </si>
  <si>
    <t>BILL-00016</t>
  </si>
  <si>
    <t>BILL-00017</t>
  </si>
  <si>
    <t>BILL-00018</t>
  </si>
  <si>
    <t>BILL-00019</t>
  </si>
  <si>
    <t>BILL-00020</t>
  </si>
  <si>
    <t>BILL-00021</t>
  </si>
  <si>
    <t>BILL-00022</t>
  </si>
  <si>
    <t>BILL-00023</t>
  </si>
  <si>
    <t>BILL-00024</t>
  </si>
  <si>
    <t>BILL-00025</t>
  </si>
  <si>
    <t>BILL-00026</t>
  </si>
  <si>
    <t>BILL-00027</t>
  </si>
  <si>
    <t>BILL-00028</t>
  </si>
  <si>
    <t>BILL-00029</t>
  </si>
  <si>
    <t>BILL-00030</t>
  </si>
  <si>
    <t>BILL-00031</t>
  </si>
  <si>
    <t>BILL-00032</t>
  </si>
  <si>
    <t>BILL-00033</t>
  </si>
  <si>
    <t>BILL-00034</t>
  </si>
  <si>
    <t>BILL-00035</t>
  </si>
  <si>
    <t>BILL-00036</t>
  </si>
  <si>
    <t>BILL-00037</t>
  </si>
  <si>
    <t>BILL-00038</t>
  </si>
  <si>
    <t>BILL-00039</t>
  </si>
  <si>
    <t>BILL-00040</t>
  </si>
  <si>
    <t>BILL-00041</t>
  </si>
  <si>
    <t>BILL-00042</t>
  </si>
  <si>
    <t>BILL-00043</t>
  </si>
  <si>
    <t>BILL-00044</t>
  </si>
  <si>
    <t>BILL-00045</t>
  </si>
  <si>
    <t>BILL-00046</t>
  </si>
  <si>
    <t>BILL-00047</t>
  </si>
  <si>
    <t>BILL-00048</t>
  </si>
  <si>
    <t>BILL-00049</t>
  </si>
  <si>
    <t>BILL-00050</t>
  </si>
  <si>
    <t>BILL-00051</t>
  </si>
  <si>
    <t>BILL-00052</t>
  </si>
  <si>
    <t>BILL-00053</t>
  </si>
  <si>
    <t>BILL-00054</t>
  </si>
  <si>
    <t>BILL-00055</t>
  </si>
  <si>
    <t>BILL-00056</t>
  </si>
  <si>
    <t>BILL-00057</t>
  </si>
  <si>
    <t>BILL-00058</t>
  </si>
  <si>
    <t>BILL-00059</t>
  </si>
  <si>
    <t>BILL-00060</t>
  </si>
  <si>
    <t>BILL-00061</t>
  </si>
  <si>
    <t>BILL-00062</t>
  </si>
  <si>
    <t>BILL-00063</t>
  </si>
  <si>
    <t>BILL-00064</t>
  </si>
  <si>
    <t>BILL-00065</t>
  </si>
  <si>
    <t>BILL-00066</t>
  </si>
  <si>
    <t>BILL-00067</t>
  </si>
  <si>
    <t>BILL-00068</t>
  </si>
  <si>
    <t>BILL-00069</t>
  </si>
  <si>
    <t>BILL-00070</t>
  </si>
  <si>
    <t>BILL-00071</t>
  </si>
  <si>
    <t>BILL-00072</t>
  </si>
  <si>
    <t>BILL-00073</t>
  </si>
  <si>
    <t>BILL-00074</t>
  </si>
  <si>
    <t>BILL-00075</t>
  </si>
  <si>
    <t>BILL-00076</t>
  </si>
  <si>
    <t>BILL-00077</t>
  </si>
  <si>
    <t>BILL-00078</t>
  </si>
  <si>
    <t>BILL-00079</t>
  </si>
  <si>
    <t>BILL-00080</t>
  </si>
  <si>
    <t>BILL-00081</t>
  </si>
  <si>
    <t>BILL-00082</t>
  </si>
  <si>
    <t>BILL-00083</t>
  </si>
  <si>
    <t>BILL-00084</t>
  </si>
  <si>
    <t>BILL-00085</t>
  </si>
  <si>
    <t>BILL-00086</t>
  </si>
  <si>
    <t>BILL-00087</t>
  </si>
  <si>
    <t>BILL-00088</t>
  </si>
  <si>
    <t>BILL-00089</t>
  </si>
  <si>
    <t>BILL-00090</t>
  </si>
  <si>
    <t>BILL-00091</t>
  </si>
  <si>
    <t>BILL-00092</t>
  </si>
  <si>
    <t>BILL-00093</t>
  </si>
  <si>
    <t>BILL-00094</t>
  </si>
  <si>
    <t>BILL-00095</t>
  </si>
  <si>
    <t>BILL-00096</t>
  </si>
  <si>
    <t>BILL-00097</t>
  </si>
  <si>
    <t>BILL-00098</t>
  </si>
  <si>
    <t>BILL-00099</t>
  </si>
  <si>
    <t>BILL-00100</t>
  </si>
  <si>
    <t>BILL-00101</t>
  </si>
  <si>
    <t>BILL-00102</t>
  </si>
  <si>
    <t>BILL-00103</t>
  </si>
  <si>
    <t>BILL-00104</t>
  </si>
  <si>
    <t>BILL-00105</t>
  </si>
  <si>
    <t>BILL-00106</t>
  </si>
  <si>
    <t>BILL-00107</t>
  </si>
  <si>
    <t>BILL-00108</t>
  </si>
  <si>
    <t>BILL-00109</t>
  </si>
  <si>
    <t>BILL-00110</t>
  </si>
  <si>
    <t>BILL-00111</t>
  </si>
  <si>
    <t>BILL-00112</t>
  </si>
  <si>
    <t>BILL-00113</t>
  </si>
  <si>
    <t>BILL-00114</t>
  </si>
  <si>
    <t>BILL-00115</t>
  </si>
  <si>
    <t>BILL-00116</t>
  </si>
  <si>
    <t>BILL-00117</t>
  </si>
  <si>
    <t>BILL-00118</t>
  </si>
  <si>
    <t>BILL-00119</t>
  </si>
  <si>
    <t>BILL-00120</t>
  </si>
  <si>
    <t>BILL-00121</t>
  </si>
  <si>
    <t>BILL-00122</t>
  </si>
  <si>
    <t>BILL-00123</t>
  </si>
  <si>
    <t>BILL-00124</t>
  </si>
  <si>
    <t>BILL-00125</t>
  </si>
  <si>
    <t>BILL-00126</t>
  </si>
  <si>
    <t>BILL-00127</t>
  </si>
  <si>
    <t>BILL-00128</t>
  </si>
  <si>
    <t>BILL-00129</t>
  </si>
  <si>
    <t>BILL-00130</t>
  </si>
  <si>
    <t>BILL-00131</t>
  </si>
  <si>
    <t>BILL-00132</t>
  </si>
  <si>
    <t>BILL-00133</t>
  </si>
  <si>
    <t>BILL-00134</t>
  </si>
  <si>
    <t>BILL-00135</t>
  </si>
  <si>
    <t>BILL-00136</t>
  </si>
  <si>
    <t>BILL-00137</t>
  </si>
  <si>
    <t>BILL-00138</t>
  </si>
  <si>
    <t>BILL-00139</t>
  </si>
  <si>
    <t>BILL-00140</t>
  </si>
  <si>
    <t>BILL-00141</t>
  </si>
  <si>
    <t>BILL-00142</t>
  </si>
  <si>
    <t>BILL-00143</t>
  </si>
  <si>
    <t>BILL-00144</t>
  </si>
  <si>
    <t>BILL-00145</t>
  </si>
  <si>
    <t>BILL-00146</t>
  </si>
  <si>
    <t>BILL-00147</t>
  </si>
  <si>
    <t>BILL-00148</t>
  </si>
  <si>
    <t>BILL-00149</t>
  </si>
  <si>
    <t>BILL-00150</t>
  </si>
  <si>
    <t>BILL-00151</t>
  </si>
  <si>
    <t>BILL-00152</t>
  </si>
  <si>
    <t>BILL-00153</t>
  </si>
  <si>
    <t>BILL-00154</t>
  </si>
  <si>
    <t>BILL-00155</t>
  </si>
  <si>
    <t>BILL-00156</t>
  </si>
  <si>
    <t>BILL-00157</t>
  </si>
  <si>
    <t>BILL-00158</t>
  </si>
  <si>
    <t>BILL-00159</t>
  </si>
  <si>
    <t>BILL-00160</t>
  </si>
  <si>
    <t>BILL-00161</t>
  </si>
  <si>
    <t>BILL-00162</t>
  </si>
  <si>
    <t>BILL-00163</t>
  </si>
  <si>
    <t>BILL-00164</t>
  </si>
  <si>
    <t>BILL-00165</t>
  </si>
  <si>
    <t>BILL-00166</t>
  </si>
  <si>
    <t>BILL-00167</t>
  </si>
  <si>
    <t>BILL-00168</t>
  </si>
  <si>
    <t>BILL-00169</t>
  </si>
  <si>
    <t>BILL-00170</t>
  </si>
  <si>
    <t>BILL-00171</t>
  </si>
  <si>
    <t>BILL-00172</t>
  </si>
  <si>
    <t>BILL-00173</t>
  </si>
  <si>
    <t>BILL-00174</t>
  </si>
  <si>
    <t>BILL-00175</t>
  </si>
  <si>
    <t>BILL-00176</t>
  </si>
  <si>
    <t>BILL-00177</t>
  </si>
  <si>
    <t>BILL-00178</t>
  </si>
  <si>
    <t>BILL-00179</t>
  </si>
  <si>
    <t>BILL-00180</t>
  </si>
  <si>
    <t>BILL-00181</t>
  </si>
  <si>
    <t>BILL-00182</t>
  </si>
  <si>
    <t>BILL-00183</t>
  </si>
  <si>
    <t>BILL-00184</t>
  </si>
  <si>
    <t>BILL-00185</t>
  </si>
  <si>
    <t>BILL-00186</t>
  </si>
  <si>
    <t>BILL-00187</t>
  </si>
  <si>
    <t>BILL-00188</t>
  </si>
  <si>
    <t>BILL-00189</t>
  </si>
  <si>
    <t>BILL-00190</t>
  </si>
  <si>
    <t>BILL-00191</t>
  </si>
  <si>
    <t>BILL-00192</t>
  </si>
  <si>
    <t>BILL-00193</t>
  </si>
  <si>
    <t>BILL-00194</t>
  </si>
  <si>
    <t>BILL-00195</t>
  </si>
  <si>
    <t>BILL-00196</t>
  </si>
  <si>
    <t>BILL-00197</t>
  </si>
  <si>
    <t>BILL-00198</t>
  </si>
  <si>
    <t>BILL-00199</t>
  </si>
  <si>
    <t>BILL-00200</t>
  </si>
  <si>
    <t>BILL-00201</t>
  </si>
  <si>
    <t>BILL-00202</t>
  </si>
  <si>
    <t>BILL-00203</t>
  </si>
  <si>
    <t>BILL-00204</t>
  </si>
  <si>
    <t>BILL-00205</t>
  </si>
  <si>
    <t>BILL-00206</t>
  </si>
  <si>
    <t>BILL-00207</t>
  </si>
  <si>
    <t>BILL-00208</t>
  </si>
  <si>
    <t>BILL-00209</t>
  </si>
  <si>
    <t>BILL-00210</t>
  </si>
  <si>
    <t>BILL-00211</t>
  </si>
  <si>
    <t>BILL-00212</t>
  </si>
  <si>
    <t>BILL-00213</t>
  </si>
  <si>
    <t>BILL-00214</t>
  </si>
  <si>
    <t>BILL-00215</t>
  </si>
  <si>
    <t>BILL-00216</t>
  </si>
  <si>
    <t>BILL-00217</t>
  </si>
  <si>
    <t>BILL-00218</t>
  </si>
  <si>
    <t>BILL-00219</t>
  </si>
  <si>
    <t>BILL-00220</t>
  </si>
  <si>
    <t>BILL-00221</t>
  </si>
  <si>
    <t>BILL-00222</t>
  </si>
  <si>
    <t>BILL-00223</t>
  </si>
  <si>
    <t>BILL-00224</t>
  </si>
  <si>
    <t>BILL-00225</t>
  </si>
  <si>
    <t>BILL-00226</t>
  </si>
  <si>
    <t>BILL-00227</t>
  </si>
  <si>
    <t>BILL-00228</t>
  </si>
  <si>
    <t>BILL-00229</t>
  </si>
  <si>
    <t>BILL-00230</t>
  </si>
  <si>
    <t>BILL-00231</t>
  </si>
  <si>
    <t>BILL-00232</t>
  </si>
  <si>
    <t>BILL-00233</t>
  </si>
  <si>
    <t>BILL-00234</t>
  </si>
  <si>
    <t>BILL-00235</t>
  </si>
  <si>
    <t>BILL-00236</t>
  </si>
  <si>
    <t>BILL-00237</t>
  </si>
  <si>
    <t>BILL-00238</t>
  </si>
  <si>
    <t>BILL-00239</t>
  </si>
  <si>
    <t>BILL-00240</t>
  </si>
  <si>
    <t>BILL-00241</t>
  </si>
  <si>
    <t>BILL-00242</t>
  </si>
  <si>
    <t>BILL-00243</t>
  </si>
  <si>
    <t>BILL-00244</t>
  </si>
  <si>
    <t>BILL-00245</t>
  </si>
  <si>
    <t>BILL-00246</t>
  </si>
  <si>
    <t>BILL-00247</t>
  </si>
  <si>
    <t>BILL-00248</t>
  </si>
  <si>
    <t>BILL-00249</t>
  </si>
  <si>
    <t>BILL-00250</t>
  </si>
  <si>
    <t>BILL-00251</t>
  </si>
  <si>
    <t>BILL-00252</t>
  </si>
  <si>
    <t>BILL-00253</t>
  </si>
  <si>
    <t>BILL-00254</t>
  </si>
  <si>
    <t>BILL-00255</t>
  </si>
  <si>
    <t>BILL-00256</t>
  </si>
  <si>
    <t>BILL-00257</t>
  </si>
  <si>
    <t>BILL-00258</t>
  </si>
  <si>
    <t>BILL-00259</t>
  </si>
  <si>
    <t>BILL-00260</t>
  </si>
  <si>
    <t>BILL-00261</t>
  </si>
  <si>
    <t>BILL-00262</t>
  </si>
  <si>
    <t>BILL-00263</t>
  </si>
  <si>
    <t>BILL-00264</t>
  </si>
  <si>
    <t>BILL-00265</t>
  </si>
  <si>
    <t>BILL-00266</t>
  </si>
  <si>
    <t>BILL-00267</t>
  </si>
  <si>
    <t>BILL-00268</t>
  </si>
  <si>
    <t>BILL-00269</t>
  </si>
  <si>
    <t>BILL-00270</t>
  </si>
  <si>
    <t>BILL-00271</t>
  </si>
  <si>
    <t>BILL-00272</t>
  </si>
  <si>
    <t>BILL-00273</t>
  </si>
  <si>
    <t>BILL-00274</t>
  </si>
  <si>
    <t>BILL-00275</t>
  </si>
  <si>
    <t>BILL-00276</t>
  </si>
  <si>
    <t>BILL-00277</t>
  </si>
  <si>
    <t>BILL-00278</t>
  </si>
  <si>
    <t>BILL-00279</t>
  </si>
  <si>
    <t>BILL-00280</t>
  </si>
  <si>
    <t>BILL-00281</t>
  </si>
  <si>
    <t>BILL-00282</t>
  </si>
  <si>
    <t>BILL-00283</t>
  </si>
  <si>
    <t>BILL-00284</t>
  </si>
  <si>
    <t>BILL-00285</t>
  </si>
  <si>
    <t>BILL-00286</t>
  </si>
  <si>
    <t>BILL-00287</t>
  </si>
  <si>
    <t>BILL-00288</t>
  </si>
  <si>
    <t>BILL-00289</t>
  </si>
  <si>
    <t>BILL-00290</t>
  </si>
  <si>
    <t>BILL-00291</t>
  </si>
  <si>
    <t>BILL-00292</t>
  </si>
  <si>
    <t>BILL-00293</t>
  </si>
  <si>
    <t>BILL-00294</t>
  </si>
  <si>
    <t>BILL-00295</t>
  </si>
  <si>
    <t>BILL-00296</t>
  </si>
  <si>
    <t>BILL-00297</t>
  </si>
  <si>
    <t>BILL-00298</t>
  </si>
  <si>
    <t>BILL-00299</t>
  </si>
  <si>
    <t>BILL-00300</t>
  </si>
  <si>
    <t>BILL-00301</t>
  </si>
  <si>
    <t>BILL-00302</t>
  </si>
  <si>
    <t>BILL-00303</t>
  </si>
  <si>
    <t>BILL-00304</t>
  </si>
  <si>
    <t>BILL-00305</t>
  </si>
  <si>
    <t>BILL-00306</t>
  </si>
  <si>
    <t>BILL-00307</t>
  </si>
  <si>
    <t>BILL-00308</t>
  </si>
  <si>
    <t>BILL-00309</t>
  </si>
  <si>
    <t>BILL-00310</t>
  </si>
  <si>
    <t>BILL-00311</t>
  </si>
  <si>
    <t>BILL-00312</t>
  </si>
  <si>
    <t>BILL-00313</t>
  </si>
  <si>
    <t>BILL-00314</t>
  </si>
  <si>
    <t>BILL-00315</t>
  </si>
  <si>
    <t>BILL-00316</t>
  </si>
  <si>
    <t>BILL-00317</t>
  </si>
  <si>
    <t>BILL-00318</t>
  </si>
  <si>
    <t>BILL-00319</t>
  </si>
  <si>
    <t>BILL-00320</t>
  </si>
  <si>
    <t>BILL-00321</t>
  </si>
  <si>
    <t>BILL-00322</t>
  </si>
  <si>
    <t>BILL-00323</t>
  </si>
  <si>
    <t>BILL-00324</t>
  </si>
  <si>
    <t>BILL-00325</t>
  </si>
  <si>
    <t>BILL-00326</t>
  </si>
  <si>
    <t>BILL-00327</t>
  </si>
  <si>
    <t>BILL-00328</t>
  </si>
  <si>
    <t>BILL-00329</t>
  </si>
  <si>
    <t>BILL-00330</t>
  </si>
  <si>
    <t>BILL-00331</t>
  </si>
  <si>
    <t>BILL-00332</t>
  </si>
  <si>
    <t>BILL-00333</t>
  </si>
  <si>
    <t>BILL-00334</t>
  </si>
  <si>
    <t>BILL-00335</t>
  </si>
  <si>
    <t>BILL-00336</t>
  </si>
  <si>
    <t>BILL-00337</t>
  </si>
  <si>
    <t>BILL-00338</t>
  </si>
  <si>
    <t>BILL-00339</t>
  </si>
  <si>
    <t>BILL-00340</t>
  </si>
  <si>
    <t>BILL-00341</t>
  </si>
  <si>
    <t>BILL-00342</t>
  </si>
  <si>
    <t>BILL-00343</t>
  </si>
  <si>
    <t>BILL-00344</t>
  </si>
  <si>
    <t>BILL-00345</t>
  </si>
  <si>
    <t>BILL-00346</t>
  </si>
  <si>
    <t>BILL-00347</t>
  </si>
  <si>
    <t>BILL-00348</t>
  </si>
  <si>
    <t>BILL-00349</t>
  </si>
  <si>
    <t>BILL-00350</t>
  </si>
  <si>
    <t>BILL-00351</t>
  </si>
  <si>
    <t>BILL-00352</t>
  </si>
  <si>
    <t>BILL-00353</t>
  </si>
  <si>
    <t>BILL-00354</t>
  </si>
  <si>
    <t>BILL-00355</t>
  </si>
  <si>
    <t>BILL-00356</t>
  </si>
  <si>
    <t>BILL-00357</t>
  </si>
  <si>
    <t>BILL-00358</t>
  </si>
  <si>
    <t>BILL-00359</t>
  </si>
  <si>
    <t>BILL-00360</t>
  </si>
  <si>
    <t>BILL-00361</t>
  </si>
  <si>
    <t>BILL-00362</t>
  </si>
  <si>
    <t>BILL-00363</t>
  </si>
  <si>
    <t>BILL-00364</t>
  </si>
  <si>
    <t>BILL-00365</t>
  </si>
  <si>
    <t>BILL-00366</t>
  </si>
  <si>
    <t>BILL-00367</t>
  </si>
  <si>
    <t>BILL-00368</t>
  </si>
  <si>
    <t>BILL-00369</t>
  </si>
  <si>
    <t>BILL-00370</t>
  </si>
  <si>
    <t>BILL-00371</t>
  </si>
  <si>
    <t>BILL-00372</t>
  </si>
  <si>
    <t>BILL-00373</t>
  </si>
  <si>
    <t>BILL-00374</t>
  </si>
  <si>
    <t>BILL-00375</t>
  </si>
  <si>
    <t>BILL-00376</t>
  </si>
  <si>
    <t>BILL-00377</t>
  </si>
  <si>
    <t>BILL-00378</t>
  </si>
  <si>
    <t>BILL-00379</t>
  </si>
  <si>
    <t>BILL-00380</t>
  </si>
  <si>
    <t>BILL-00381</t>
  </si>
  <si>
    <t>BILL-00382</t>
  </si>
  <si>
    <t>BILL-00383</t>
  </si>
  <si>
    <t>BILL-00384</t>
  </si>
  <si>
    <t>BILL-00385</t>
  </si>
  <si>
    <t>BILL-00386</t>
  </si>
  <si>
    <t>BILL-00387</t>
  </si>
  <si>
    <t>BILL-00388</t>
  </si>
  <si>
    <t>BILL-00389</t>
  </si>
  <si>
    <t>BILL-00390</t>
  </si>
  <si>
    <t>BILL-00391</t>
  </si>
  <si>
    <t>BILL-00392</t>
  </si>
  <si>
    <t>BILL-00393</t>
  </si>
  <si>
    <t>BILL-00394</t>
  </si>
  <si>
    <t>BILL-00395</t>
  </si>
  <si>
    <t>BILL-00396</t>
  </si>
  <si>
    <t>BILL-00397</t>
  </si>
  <si>
    <t>BILL-00398</t>
  </si>
  <si>
    <t>BILL-00399</t>
  </si>
  <si>
    <t>BILL-00400</t>
  </si>
  <si>
    <t>BILL-00401</t>
  </si>
  <si>
    <t>BILL-00402</t>
  </si>
  <si>
    <t>BILL-00403</t>
  </si>
  <si>
    <t>BILL-00404</t>
  </si>
  <si>
    <t>BILL-00405</t>
  </si>
  <si>
    <t>BILL-00406</t>
  </si>
  <si>
    <t>BILL-00407</t>
  </si>
  <si>
    <t>BILL-00408</t>
  </si>
  <si>
    <t>BILL-00409</t>
  </si>
  <si>
    <t>BILL-00410</t>
  </si>
  <si>
    <t>BILL-00411</t>
  </si>
  <si>
    <t>BILL-00412</t>
  </si>
  <si>
    <t>BILL-00413</t>
  </si>
  <si>
    <t>BILL-00414</t>
  </si>
  <si>
    <t>BILL-00415</t>
  </si>
  <si>
    <t>BILL-00416</t>
  </si>
  <si>
    <t>BILL-00417</t>
  </si>
  <si>
    <t>BILL-00418</t>
  </si>
  <si>
    <t>BILL-00419</t>
  </si>
  <si>
    <t>BILL-00420</t>
  </si>
  <si>
    <t>BILL-00421</t>
  </si>
  <si>
    <t>BILL-00422</t>
  </si>
  <si>
    <t>BILL-00423</t>
  </si>
  <si>
    <t>BILL-00424</t>
  </si>
  <si>
    <t>BILL-00425</t>
  </si>
  <si>
    <t>BILL-00426</t>
  </si>
  <si>
    <t>BILL-00427</t>
  </si>
  <si>
    <t>BILL-00428</t>
  </si>
  <si>
    <t>BILL-00429</t>
  </si>
  <si>
    <t>BILL-00430</t>
  </si>
  <si>
    <t>BILL-00431</t>
  </si>
  <si>
    <t>BILL-00432</t>
  </si>
  <si>
    <t>BILL-00433</t>
  </si>
  <si>
    <t>BILL-00434</t>
  </si>
  <si>
    <t>BILL-00435</t>
  </si>
  <si>
    <t>BILL-00436</t>
  </si>
  <si>
    <t>BILL-00437</t>
  </si>
  <si>
    <t>BILL-00438</t>
  </si>
  <si>
    <t>BILL-00439</t>
  </si>
  <si>
    <t>BILL-00440</t>
  </si>
  <si>
    <t>BILL-00441</t>
  </si>
  <si>
    <t>BILL-00442</t>
  </si>
  <si>
    <t>BILL-00443</t>
  </si>
  <si>
    <t>BILL-00444</t>
  </si>
  <si>
    <t>BILL-00445</t>
  </si>
  <si>
    <t>BILL-00446</t>
  </si>
  <si>
    <t>BILL-00447</t>
  </si>
  <si>
    <t>BILL-00448</t>
  </si>
  <si>
    <t>BILL-00449</t>
  </si>
  <si>
    <t>BILL-00450</t>
  </si>
  <si>
    <t>BILL-00451</t>
  </si>
  <si>
    <t>BILL-00452</t>
  </si>
  <si>
    <t>BILL-00453</t>
  </si>
  <si>
    <t>BILL-00454</t>
  </si>
  <si>
    <t>BILL-00455</t>
  </si>
  <si>
    <t>BILL-00456</t>
  </si>
  <si>
    <t>BILL-00457</t>
  </si>
  <si>
    <t>BILL-00458</t>
  </si>
  <si>
    <t>BILL-00459</t>
  </si>
  <si>
    <t>BILL-00460</t>
  </si>
  <si>
    <t>BILL-00461</t>
  </si>
  <si>
    <t>BILL-00462</t>
  </si>
  <si>
    <t>BILL-00463</t>
  </si>
  <si>
    <t>BILL-00464</t>
  </si>
  <si>
    <t>BILL-00465</t>
  </si>
  <si>
    <t>BILL-00466</t>
  </si>
  <si>
    <t>BILL-00467</t>
  </si>
  <si>
    <t>BILL-00468</t>
  </si>
  <si>
    <t>BILL-00469</t>
  </si>
  <si>
    <t>BILL-00470</t>
  </si>
  <si>
    <t>BILL-00471</t>
  </si>
  <si>
    <t>BILL-00472</t>
  </si>
  <si>
    <t>BILL-00473</t>
  </si>
  <si>
    <t>BILL-00474</t>
  </si>
  <si>
    <t>BILL-00475</t>
  </si>
  <si>
    <t>BILL-00476</t>
  </si>
  <si>
    <t>BILL-00477</t>
  </si>
  <si>
    <t>BILL-00478</t>
  </si>
  <si>
    <t>BILL-00479</t>
  </si>
  <si>
    <t>BILL-00480</t>
  </si>
  <si>
    <t>BILL-00481</t>
  </si>
  <si>
    <t>BILL-00482</t>
  </si>
  <si>
    <t>BILL-00483</t>
  </si>
  <si>
    <t>BILL-00484</t>
  </si>
  <si>
    <t>BILL-00485</t>
  </si>
  <si>
    <t>BILL-00486</t>
  </si>
  <si>
    <t>BILL-00487</t>
  </si>
  <si>
    <t>BILL-00488</t>
  </si>
  <si>
    <t>BILL-00489</t>
  </si>
  <si>
    <t>BILL-00490</t>
  </si>
  <si>
    <t>BILL-00491</t>
  </si>
  <si>
    <t>BILL-00492</t>
  </si>
  <si>
    <t>BILL-00493</t>
  </si>
  <si>
    <t>BILL-00494</t>
  </si>
  <si>
    <t>BILL-00495</t>
  </si>
  <si>
    <t>BILL-00496</t>
  </si>
  <si>
    <t>BILL-00497</t>
  </si>
  <si>
    <t>BILL-00498</t>
  </si>
  <si>
    <t>BILL-00499</t>
  </si>
  <si>
    <t>BILL-00500</t>
  </si>
  <si>
    <t>BILL-00501</t>
  </si>
  <si>
    <t>BILL-00502</t>
  </si>
  <si>
    <t>BILL-00503</t>
  </si>
  <si>
    <t>BILL-00504</t>
  </si>
  <si>
    <t>BILL-00505</t>
  </si>
  <si>
    <t>BILL-00506</t>
  </si>
  <si>
    <t>BILL-00507</t>
  </si>
  <si>
    <t>BILL-00508</t>
  </si>
  <si>
    <t>BILL-00509</t>
  </si>
  <si>
    <t>BILL-00510</t>
  </si>
  <si>
    <t>BILL-00511</t>
  </si>
  <si>
    <t>BILL-00512</t>
  </si>
  <si>
    <t>BILL-00513</t>
  </si>
  <si>
    <t>BILL-00514</t>
  </si>
  <si>
    <t>BILL-00515</t>
  </si>
  <si>
    <t>BILL-00516</t>
  </si>
  <si>
    <t>BILL-00517</t>
  </si>
  <si>
    <t>BILL-00518</t>
  </si>
  <si>
    <t>BILL-00519</t>
  </si>
  <si>
    <t>BILL-00520</t>
  </si>
  <si>
    <t>BILL-00521</t>
  </si>
  <si>
    <t>BILL-00522</t>
  </si>
  <si>
    <t>BILL-00523</t>
  </si>
  <si>
    <t>BILL-00524</t>
  </si>
  <si>
    <t>BILL-00525</t>
  </si>
  <si>
    <t>BILL-00526</t>
  </si>
  <si>
    <t>BILL-00527</t>
  </si>
  <si>
    <t>BILL-00528</t>
  </si>
  <si>
    <t>BILL-00529</t>
  </si>
  <si>
    <t>BILL-00530</t>
  </si>
  <si>
    <t>BILL-00531</t>
  </si>
  <si>
    <t>BILL-00532</t>
  </si>
  <si>
    <t>BILL-00533</t>
  </si>
  <si>
    <t>BILL-00534</t>
  </si>
  <si>
    <t>BILL-00535</t>
  </si>
  <si>
    <t>BILL-00536</t>
  </si>
  <si>
    <t>BILL-00537</t>
  </si>
  <si>
    <t>BILL-00538</t>
  </si>
  <si>
    <t>BILL-00539</t>
  </si>
  <si>
    <t>BILL-00540</t>
  </si>
  <si>
    <t>BILL-00541</t>
  </si>
  <si>
    <t>BILL-00542</t>
  </si>
  <si>
    <t>BILL-00543</t>
  </si>
  <si>
    <t>BILL-00544</t>
  </si>
  <si>
    <t>BILL-00545</t>
  </si>
  <si>
    <t>BILL-00546</t>
  </si>
  <si>
    <t>BILL-00547</t>
  </si>
  <si>
    <t>BILL-00548</t>
  </si>
  <si>
    <t>BILL-00549</t>
  </si>
  <si>
    <t>BILL-00550</t>
  </si>
  <si>
    <t>BILL-00551</t>
  </si>
  <si>
    <t>BILL-00552</t>
  </si>
  <si>
    <t>BILL-00553</t>
  </si>
  <si>
    <t>BILL-00554</t>
  </si>
  <si>
    <t>BILL-00555</t>
  </si>
  <si>
    <t>BILL-00556</t>
  </si>
  <si>
    <t>BILL-00557</t>
  </si>
  <si>
    <t>BILL-00558</t>
  </si>
  <si>
    <t>BILL-00559</t>
  </si>
  <si>
    <t>BILL-00560</t>
  </si>
  <si>
    <t>BILL-00561</t>
  </si>
  <si>
    <t>BILL-00562</t>
  </si>
  <si>
    <t>BILL-00563</t>
  </si>
  <si>
    <t>BILL-00564</t>
  </si>
  <si>
    <t>BILL-00565</t>
  </si>
  <si>
    <t>BILL-00566</t>
  </si>
  <si>
    <t>BILL-00567</t>
  </si>
  <si>
    <t>BILL-00568</t>
  </si>
  <si>
    <t>BILL-00569</t>
  </si>
  <si>
    <t>BILL-00570</t>
  </si>
  <si>
    <t>BILL-00571</t>
  </si>
  <si>
    <t>BILL-00572</t>
  </si>
  <si>
    <t>BILL-00573</t>
  </si>
  <si>
    <t>BILL-00574</t>
  </si>
  <si>
    <t>BILL-00575</t>
  </si>
  <si>
    <t>BILL-00576</t>
  </si>
  <si>
    <t>BILL-00577</t>
  </si>
  <si>
    <t>BILL-00578</t>
  </si>
  <si>
    <t>BILL-00579</t>
  </si>
  <si>
    <t>BILL-00580</t>
  </si>
  <si>
    <t>BILL-00581</t>
  </si>
  <si>
    <t>BILL-00582</t>
  </si>
  <si>
    <t>BILL-00583</t>
  </si>
  <si>
    <t>BILL-00584</t>
  </si>
  <si>
    <t>BILL-00585</t>
  </si>
  <si>
    <t>BILL-00586</t>
  </si>
  <si>
    <t>BILL-00587</t>
  </si>
  <si>
    <t>BILL-00588</t>
  </si>
  <si>
    <t>BILL-00589</t>
  </si>
  <si>
    <t>BILL-00590</t>
  </si>
  <si>
    <t>BILL-00591</t>
  </si>
  <si>
    <t>BILL-00592</t>
  </si>
  <si>
    <t>BILL-00593</t>
  </si>
  <si>
    <t>BILL-00594</t>
  </si>
  <si>
    <t>BILL-00595</t>
  </si>
  <si>
    <t>BILL-00596</t>
  </si>
  <si>
    <t>BILL-00597</t>
  </si>
  <si>
    <t>BILL-00598</t>
  </si>
  <si>
    <t>BILL-00599</t>
  </si>
  <si>
    <t>BILL-00600</t>
  </si>
  <si>
    <t>BILL-00601</t>
  </si>
  <si>
    <t>BILL-00602</t>
  </si>
  <si>
    <t>BILL-00603</t>
  </si>
  <si>
    <t>BILL-00604</t>
  </si>
  <si>
    <t>BILL-00605</t>
  </si>
  <si>
    <t>BILL-00606</t>
  </si>
  <si>
    <t>BILL-00607</t>
  </si>
  <si>
    <t>BILL-00608</t>
  </si>
  <si>
    <t>BILL-00609</t>
  </si>
  <si>
    <t>BILL-00610</t>
  </si>
  <si>
    <t>BILL-00611</t>
  </si>
  <si>
    <t>BILL-00612</t>
  </si>
  <si>
    <t>BILL-00613</t>
  </si>
  <si>
    <t>BILL-00614</t>
  </si>
  <si>
    <t>BILL-00615</t>
  </si>
  <si>
    <t>BILL-00616</t>
  </si>
  <si>
    <t>BILL-00617</t>
  </si>
  <si>
    <t>BILL-00618</t>
  </si>
  <si>
    <t>BILL-00619</t>
  </si>
  <si>
    <t>BILL-00620</t>
  </si>
  <si>
    <t>BILL-00621</t>
  </si>
  <si>
    <t>BILL-00622</t>
  </si>
  <si>
    <t>BILL-00623</t>
  </si>
  <si>
    <t>BILL-00624</t>
  </si>
  <si>
    <t>BILL-00625</t>
  </si>
  <si>
    <t>BILL-00626</t>
  </si>
  <si>
    <t>BILL-00627</t>
  </si>
  <si>
    <t>BILL-00628</t>
  </si>
  <si>
    <t>BILL-00629</t>
  </si>
  <si>
    <t>BILL-00630</t>
  </si>
  <si>
    <t>BILL-00631</t>
  </si>
  <si>
    <t>BILL-00632</t>
  </si>
  <si>
    <t>BILL-00633</t>
  </si>
  <si>
    <t>BILL-00634</t>
  </si>
  <si>
    <t>BILL-00635</t>
  </si>
  <si>
    <t>BILL-00636</t>
  </si>
  <si>
    <t>BILL-00637</t>
  </si>
  <si>
    <t>BILL-00638</t>
  </si>
  <si>
    <t>BILL-00639</t>
  </si>
  <si>
    <t>BILL-00640</t>
  </si>
  <si>
    <t>BILL-00641</t>
  </si>
  <si>
    <t>BILL-00642</t>
  </si>
  <si>
    <t>BILL-00643</t>
  </si>
  <si>
    <t>BILL-00644</t>
  </si>
  <si>
    <t>BILL-00645</t>
  </si>
  <si>
    <t>BILL-00646</t>
  </si>
  <si>
    <t>BILL-00647</t>
  </si>
  <si>
    <t>BILL-00648</t>
  </si>
  <si>
    <t>BILL-00649</t>
  </si>
  <si>
    <t>BILL-00650</t>
  </si>
  <si>
    <t>BILL-00651</t>
  </si>
  <si>
    <t>BILL-00652</t>
  </si>
  <si>
    <t>BILL-00653</t>
  </si>
  <si>
    <t>BILL-00654</t>
  </si>
  <si>
    <t>BILL-00655</t>
  </si>
  <si>
    <t>BILL-00656</t>
  </si>
  <si>
    <t>BILL-00657</t>
  </si>
  <si>
    <t>BILL-00658</t>
  </si>
  <si>
    <t>BILL-00659</t>
  </si>
  <si>
    <t>BILL-00660</t>
  </si>
  <si>
    <t>BILL-00661</t>
  </si>
  <si>
    <t>BILL-00662</t>
  </si>
  <si>
    <t>BILL-00663</t>
  </si>
  <si>
    <t>BILL-00664</t>
  </si>
  <si>
    <t>BILL-00665</t>
  </si>
  <si>
    <t>BILL-00666</t>
  </si>
  <si>
    <t>BILL-00667</t>
  </si>
  <si>
    <t>BILL-00668</t>
  </si>
  <si>
    <t>BILL-00669</t>
  </si>
  <si>
    <t>BILL-00670</t>
  </si>
  <si>
    <t>BILL-00671</t>
  </si>
  <si>
    <t>BILL-00672</t>
  </si>
  <si>
    <t>BILL-00673</t>
  </si>
  <si>
    <t>BILL-00674</t>
  </si>
  <si>
    <t>BILL-00675</t>
  </si>
  <si>
    <t>BILL-00676</t>
  </si>
  <si>
    <t>BILL-00677</t>
  </si>
  <si>
    <t>BILL-00678</t>
  </si>
  <si>
    <t>BILL-00679</t>
  </si>
  <si>
    <t>BILL-00680</t>
  </si>
  <si>
    <t>BILL-00681</t>
  </si>
  <si>
    <t>BILL-00682</t>
  </si>
  <si>
    <t>BILL-00683</t>
  </si>
  <si>
    <t>BILL-00684</t>
  </si>
  <si>
    <t>BILL-00685</t>
  </si>
  <si>
    <t>BILL-00686</t>
  </si>
  <si>
    <t>BILL-00687</t>
  </si>
  <si>
    <t>BILL-00688</t>
  </si>
  <si>
    <t>BILL-00689</t>
  </si>
  <si>
    <t>BILL-00690</t>
  </si>
  <si>
    <t>BILL-00691</t>
  </si>
  <si>
    <t>BILL-00692</t>
  </si>
  <si>
    <t>BILL-00693</t>
  </si>
  <si>
    <t>BILL-00694</t>
  </si>
  <si>
    <t>BILL-00695</t>
  </si>
  <si>
    <t>BILL-00696</t>
  </si>
  <si>
    <t>BILL-00697</t>
  </si>
  <si>
    <t>BILL-00698</t>
  </si>
  <si>
    <t>BILL-00699</t>
  </si>
  <si>
    <t>BILL-00700</t>
  </si>
  <si>
    <t>BILL-00701</t>
  </si>
  <si>
    <t>BILL-00702</t>
  </si>
  <si>
    <t>BILL-00703</t>
  </si>
  <si>
    <t>BILL-00704</t>
  </si>
  <si>
    <t>BILL-00705</t>
  </si>
  <si>
    <t>BILL-00706</t>
  </si>
  <si>
    <t>BILL-00707</t>
  </si>
  <si>
    <t>BILL-00708</t>
  </si>
  <si>
    <t>BILL-00709</t>
  </si>
  <si>
    <t>BILL-00710</t>
  </si>
  <si>
    <t>BILL-00711</t>
  </si>
  <si>
    <t>BILL-00712</t>
  </si>
  <si>
    <t>BILL-00713</t>
  </si>
  <si>
    <t>BILL-00714</t>
  </si>
  <si>
    <t>BILL-00715</t>
  </si>
  <si>
    <t>BILL-00716</t>
  </si>
  <si>
    <t>BILL-00717</t>
  </si>
  <si>
    <t>BILL-00718</t>
  </si>
  <si>
    <t>BILL-00719</t>
  </si>
  <si>
    <t>BILL-00720</t>
  </si>
  <si>
    <t>BILL-00721</t>
  </si>
  <si>
    <t>BILL-00722</t>
  </si>
  <si>
    <t>BILL-00723</t>
  </si>
  <si>
    <t>BILL-00724</t>
  </si>
  <si>
    <t>BILL-00725</t>
  </si>
  <si>
    <t>BILL-00726</t>
  </si>
  <si>
    <t>BILL-00727</t>
  </si>
  <si>
    <t>BILL-00728</t>
  </si>
  <si>
    <t>BILL-00729</t>
  </si>
  <si>
    <t>BILL-00730</t>
  </si>
  <si>
    <t>BILL-00731</t>
  </si>
  <si>
    <t>BILL-00732</t>
  </si>
  <si>
    <t>BILL-00733</t>
  </si>
  <si>
    <t>BILL-00734</t>
  </si>
  <si>
    <t>BILL-00735</t>
  </si>
  <si>
    <t>BILL-00736</t>
  </si>
  <si>
    <t>BILL-00737</t>
  </si>
  <si>
    <t>BILL-00738</t>
  </si>
  <si>
    <t>BILL-00739</t>
  </si>
  <si>
    <t>BILL-00740</t>
  </si>
  <si>
    <t>BILL-00741</t>
  </si>
  <si>
    <t>BILL-00742</t>
  </si>
  <si>
    <t>BILL-00743</t>
  </si>
  <si>
    <t>BILL-00744</t>
  </si>
  <si>
    <t>BILL-00745</t>
  </si>
  <si>
    <t>BILL-00746</t>
  </si>
  <si>
    <t>BILL-00747</t>
  </si>
  <si>
    <t>BILL-00748</t>
  </si>
  <si>
    <t>BILL-00749</t>
  </si>
  <si>
    <t>BILL-00750</t>
  </si>
  <si>
    <t>BILL-00751</t>
  </si>
  <si>
    <t>BILL-00752</t>
  </si>
  <si>
    <t>BILL-00753</t>
  </si>
  <si>
    <t>BILL-00754</t>
  </si>
  <si>
    <t>BILL-00755</t>
  </si>
  <si>
    <t>BILL-00756</t>
  </si>
  <si>
    <t>BILL-00757</t>
  </si>
  <si>
    <t>BILL-00758</t>
  </si>
  <si>
    <t>BILL-00759</t>
  </si>
  <si>
    <t>BILL-00760</t>
  </si>
  <si>
    <t>BILL-00761</t>
  </si>
  <si>
    <t>BILL-00762</t>
  </si>
  <si>
    <t>BILL-00763</t>
  </si>
  <si>
    <t>BILL-00764</t>
  </si>
  <si>
    <t>BILL-00765</t>
  </si>
  <si>
    <t>BILL-00766</t>
  </si>
  <si>
    <t>BILL-00767</t>
  </si>
  <si>
    <t>BILL-00768</t>
  </si>
  <si>
    <t>BILL-00769</t>
  </si>
  <si>
    <t>BILL-00770</t>
  </si>
  <si>
    <t>BILL-00771</t>
  </si>
  <si>
    <t>BILL-00772</t>
  </si>
  <si>
    <t>BILL-00773</t>
  </si>
  <si>
    <t>BILL-00774</t>
  </si>
  <si>
    <t>BILL-00775</t>
  </si>
  <si>
    <t>BILL-00776</t>
  </si>
  <si>
    <t>BILL-00777</t>
  </si>
  <si>
    <t>BILL-00778</t>
  </si>
  <si>
    <t>BILL-00779</t>
  </si>
  <si>
    <t>BILL-00780</t>
  </si>
  <si>
    <t>BILL-00781</t>
  </si>
  <si>
    <t>BILL-00782</t>
  </si>
  <si>
    <t>BILL-00783</t>
  </si>
  <si>
    <t>BILL-00784</t>
  </si>
  <si>
    <t>BILL-00785</t>
  </si>
  <si>
    <t>BILL-00786</t>
  </si>
  <si>
    <t>BILL-00787</t>
  </si>
  <si>
    <t>BILL-00788</t>
  </si>
  <si>
    <t>BILL-00789</t>
  </si>
  <si>
    <t>BILL-00790</t>
  </si>
  <si>
    <t>BILL-00791</t>
  </si>
  <si>
    <t>BILL-00792</t>
  </si>
  <si>
    <t>BILL-00793</t>
  </si>
  <si>
    <t>BILL-00794</t>
  </si>
  <si>
    <t>BILL-00795</t>
  </si>
  <si>
    <t>BILL-00796</t>
  </si>
  <si>
    <t>BILL-00797</t>
  </si>
  <si>
    <t>BILL-00798</t>
  </si>
  <si>
    <t>BILL-00799</t>
  </si>
  <si>
    <t>BILL-00800</t>
  </si>
  <si>
    <t>BILL-00801</t>
  </si>
  <si>
    <t>BILL-00802</t>
  </si>
  <si>
    <t>BILL-00803</t>
  </si>
  <si>
    <t>BILL-00804</t>
  </si>
  <si>
    <t>BILL-00805</t>
  </si>
  <si>
    <t>BILL-00806</t>
  </si>
  <si>
    <t>BILL-00807</t>
  </si>
  <si>
    <t>BILL-00808</t>
  </si>
  <si>
    <t>BILL-00809</t>
  </si>
  <si>
    <t>BILL-00810</t>
  </si>
  <si>
    <t>BILL-00811</t>
  </si>
  <si>
    <t>BILL-00812</t>
  </si>
  <si>
    <t>BILL-00813</t>
  </si>
  <si>
    <t>BILL-00814</t>
  </si>
  <si>
    <t>BILL-00815</t>
  </si>
  <si>
    <t>BILL-00816</t>
  </si>
  <si>
    <t>BILL-00817</t>
  </si>
  <si>
    <t>BILL-00818</t>
  </si>
  <si>
    <t>BILL-00819</t>
  </si>
  <si>
    <t>BILL-00820</t>
  </si>
  <si>
    <t>BILL-00821</t>
  </si>
  <si>
    <t>BILL-00822</t>
  </si>
  <si>
    <t>BILL-00823</t>
  </si>
  <si>
    <t>BILL-00824</t>
  </si>
  <si>
    <t>BILL-00825</t>
  </si>
  <si>
    <t>BILL-00826</t>
  </si>
  <si>
    <t>BILL-00827</t>
  </si>
  <si>
    <t>BILL-00828</t>
  </si>
  <si>
    <t>BILL-00829</t>
  </si>
  <si>
    <t>BILL-00830</t>
  </si>
  <si>
    <t>BILL-00831</t>
  </si>
  <si>
    <t>BILL-00832</t>
  </si>
  <si>
    <t>BILL-00833</t>
  </si>
  <si>
    <t>BILL-00834</t>
  </si>
  <si>
    <t>BILL-00835</t>
  </si>
  <si>
    <t>BILL-00836</t>
  </si>
  <si>
    <t>BILL-00837</t>
  </si>
  <si>
    <t>BILL-00838</t>
  </si>
  <si>
    <t>BILL-00839</t>
  </si>
  <si>
    <t>BILL-00840</t>
  </si>
  <si>
    <t>BILL-00841</t>
  </si>
  <si>
    <t>BILL-00842</t>
  </si>
  <si>
    <t>BILL-00843</t>
  </si>
  <si>
    <t>BILL-00844</t>
  </si>
  <si>
    <t>BILL-00845</t>
  </si>
  <si>
    <t>BILL-00846</t>
  </si>
  <si>
    <t>BILL-00847</t>
  </si>
  <si>
    <t>BILL-00848</t>
  </si>
  <si>
    <t>BILL-00849</t>
  </si>
  <si>
    <t>BILL-00850</t>
  </si>
  <si>
    <t>BILL-00851</t>
  </si>
  <si>
    <t>BILL-00852</t>
  </si>
  <si>
    <t>BILL-00853</t>
  </si>
  <si>
    <t>BILL-00854</t>
  </si>
  <si>
    <t>BILL-00855</t>
  </si>
  <si>
    <t>BILL-00856</t>
  </si>
  <si>
    <t>BILL-00857</t>
  </si>
  <si>
    <t>BILL-00858</t>
  </si>
  <si>
    <t>BILL-00859</t>
  </si>
  <si>
    <t>BILL-00860</t>
  </si>
  <si>
    <t>BILL-00861</t>
  </si>
  <si>
    <t>BILL-00862</t>
  </si>
  <si>
    <t>BILL-00863</t>
  </si>
  <si>
    <t>BILL-00864</t>
  </si>
  <si>
    <t>BILL-00865</t>
  </si>
  <si>
    <t>BILL-00866</t>
  </si>
  <si>
    <t>BILL-00867</t>
  </si>
  <si>
    <t>BILL-00868</t>
  </si>
  <si>
    <t>BILL-00869</t>
  </si>
  <si>
    <t>BILL-00870</t>
  </si>
  <si>
    <t>BILL-00871</t>
  </si>
  <si>
    <t>BILL-00872</t>
  </si>
  <si>
    <t>BILL-00873</t>
  </si>
  <si>
    <t>BILL-00874</t>
  </si>
  <si>
    <t>BILL-00875</t>
  </si>
  <si>
    <t>BILL-00876</t>
  </si>
  <si>
    <t>BILL-00877</t>
  </si>
  <si>
    <t>BILL-00878</t>
  </si>
  <si>
    <t>BILL-00879</t>
  </si>
  <si>
    <t>BILL-00880</t>
  </si>
  <si>
    <t>BILL-00881</t>
  </si>
  <si>
    <t>BILL-00882</t>
  </si>
  <si>
    <t>BILL-00883</t>
  </si>
  <si>
    <t>BILL-00884</t>
  </si>
  <si>
    <t>BILL-00885</t>
  </si>
  <si>
    <t>BILL-00886</t>
  </si>
  <si>
    <t>BILL-00887</t>
  </si>
  <si>
    <t>BILL-00888</t>
  </si>
  <si>
    <t>BILL-00889</t>
  </si>
  <si>
    <t>BILL-00890</t>
  </si>
  <si>
    <t>BILL-00891</t>
  </si>
  <si>
    <t>BILL-00892</t>
  </si>
  <si>
    <t>BILL-00893</t>
  </si>
  <si>
    <t>BILL-00894</t>
  </si>
  <si>
    <t>BILL-00895</t>
  </si>
  <si>
    <t>BILL-00896</t>
  </si>
  <si>
    <t>BILL-00897</t>
  </si>
  <si>
    <t>BILL-00898</t>
  </si>
  <si>
    <t>BILL-00899</t>
  </si>
  <si>
    <t>BILL-00900</t>
  </si>
  <si>
    <t>BILL-00901</t>
  </si>
  <si>
    <t>BILL-00902</t>
  </si>
  <si>
    <t>BILL-00903</t>
  </si>
  <si>
    <t>BILL-00904</t>
  </si>
  <si>
    <t>BILL-00905</t>
  </si>
  <si>
    <t>BILL-00906</t>
  </si>
  <si>
    <t>BILL-00907</t>
  </si>
  <si>
    <t>BILL-00908</t>
  </si>
  <si>
    <t>BILL-00909</t>
  </si>
  <si>
    <t>BILL-00910</t>
  </si>
  <si>
    <t>BILL-00911</t>
  </si>
  <si>
    <t>BILL-00912</t>
  </si>
  <si>
    <t>BILL-00913</t>
  </si>
  <si>
    <t>BILL-00914</t>
  </si>
  <si>
    <t>BILL-00915</t>
  </si>
  <si>
    <t>BILL-00916</t>
  </si>
  <si>
    <t>BILL-00917</t>
  </si>
  <si>
    <t>BILL-00918</t>
  </si>
  <si>
    <t>BILL-00919</t>
  </si>
  <si>
    <t>BILL-00920</t>
  </si>
  <si>
    <t>BILL-00921</t>
  </si>
  <si>
    <t>BILL-00922</t>
  </si>
  <si>
    <t>BILL-00923</t>
  </si>
  <si>
    <t>BILL-00924</t>
  </si>
  <si>
    <t>BILL-00925</t>
  </si>
  <si>
    <t>BILL-00926</t>
  </si>
  <si>
    <t>BILL-00927</t>
  </si>
  <si>
    <t>BILL-00928</t>
  </si>
  <si>
    <t>BILL-00929</t>
  </si>
  <si>
    <t>BILL-00930</t>
  </si>
  <si>
    <t>BILL-00931</t>
  </si>
  <si>
    <t>BILL-00932</t>
  </si>
  <si>
    <t>BILL-00933</t>
  </si>
  <si>
    <t>BILL-00934</t>
  </si>
  <si>
    <t>BILL-00935</t>
  </si>
  <si>
    <t>BILL-00936</t>
  </si>
  <si>
    <t>BILL-00937</t>
  </si>
  <si>
    <t>BILL-00938</t>
  </si>
  <si>
    <t>BILL-00939</t>
  </si>
  <si>
    <t>BILL-00940</t>
  </si>
  <si>
    <t>BILL-00941</t>
  </si>
  <si>
    <t>BILL-00942</t>
  </si>
  <si>
    <t>BILL-00943</t>
  </si>
  <si>
    <t>BILL-00944</t>
  </si>
  <si>
    <t>BILL-00945</t>
  </si>
  <si>
    <t>BILL-00946</t>
  </si>
  <si>
    <t>BILL-00947</t>
  </si>
  <si>
    <t>BILL-00948</t>
  </si>
  <si>
    <t>BILL-00949</t>
  </si>
  <si>
    <t>BILL-00950</t>
  </si>
  <si>
    <t>BILL-00951</t>
  </si>
  <si>
    <t>BILL-00952</t>
  </si>
  <si>
    <t>BILL-00953</t>
  </si>
  <si>
    <t>BILL-00954</t>
  </si>
  <si>
    <t>BILL-00955</t>
  </si>
  <si>
    <t>BILL-00956</t>
  </si>
  <si>
    <t>BILL-00957</t>
  </si>
  <si>
    <t>BILL-00958</t>
  </si>
  <si>
    <t>BILL-00959</t>
  </si>
  <si>
    <t>BILL-00960</t>
  </si>
  <si>
    <t>BILL-00961</t>
  </si>
  <si>
    <t>BILL-00962</t>
  </si>
  <si>
    <t>BILL-00963</t>
  </si>
  <si>
    <t>BILL-00964</t>
  </si>
  <si>
    <t>BILL-00965</t>
  </si>
  <si>
    <t>BILL-00966</t>
  </si>
  <si>
    <t>BILL-00967</t>
  </si>
  <si>
    <t>BILL-00968</t>
  </si>
  <si>
    <t>BILL-00969</t>
  </si>
  <si>
    <t>BILL-00970</t>
  </si>
  <si>
    <t>BILL-00971</t>
  </si>
  <si>
    <t>BILL-00972</t>
  </si>
  <si>
    <t>BILL-00973</t>
  </si>
  <si>
    <t>BILL-00974</t>
  </si>
  <si>
    <t>BILL-00975</t>
  </si>
  <si>
    <t>BILL-00976</t>
  </si>
  <si>
    <t>BILL-00977</t>
  </si>
  <si>
    <t>BILL-00978</t>
  </si>
  <si>
    <t>BILL-00979</t>
  </si>
  <si>
    <t>BILL-00980</t>
  </si>
  <si>
    <t>BILL-00981</t>
  </si>
  <si>
    <t>BILL-00982</t>
  </si>
  <si>
    <t>BILL-00983</t>
  </si>
  <si>
    <t>BILL-00984</t>
  </si>
  <si>
    <t>BILL-00985</t>
  </si>
  <si>
    <t>BILL-00986</t>
  </si>
  <si>
    <t>BILL-00987</t>
  </si>
  <si>
    <t>BILL-00988</t>
  </si>
  <si>
    <t>BILL-00989</t>
  </si>
  <si>
    <t>BILL-00990</t>
  </si>
  <si>
    <t>BILL-00991</t>
  </si>
  <si>
    <t>BILL-00992</t>
  </si>
  <si>
    <t>BILL-00993</t>
  </si>
  <si>
    <t>BILL-00994</t>
  </si>
  <si>
    <t>BILL-00995</t>
  </si>
  <si>
    <t>BILL-00996</t>
  </si>
  <si>
    <t>BILL-00997</t>
  </si>
  <si>
    <t>BILL-00998</t>
  </si>
  <si>
    <t>BILL-00999</t>
  </si>
  <si>
    <t>BILL-01000</t>
  </si>
  <si>
    <t>BILL-01001</t>
  </si>
  <si>
    <t>BILL-01002</t>
  </si>
  <si>
    <t>BILL-01003</t>
  </si>
  <si>
    <t>BILL-01004</t>
  </si>
  <si>
    <t>BILL-01005</t>
  </si>
  <si>
    <t>BILL-01006</t>
  </si>
  <si>
    <t>BILL-01007</t>
  </si>
  <si>
    <t>BILL-01008</t>
  </si>
  <si>
    <t>BILL-01009</t>
  </si>
  <si>
    <t>BILL-01010</t>
  </si>
  <si>
    <t>BILL-01011</t>
  </si>
  <si>
    <t>BILL-01012</t>
  </si>
  <si>
    <t>BILL-01013</t>
  </si>
  <si>
    <t>BILL-01014</t>
  </si>
  <si>
    <t>BILL-01015</t>
  </si>
  <si>
    <t>BILL-01016</t>
  </si>
  <si>
    <t>BILL-01017</t>
  </si>
  <si>
    <t>BILL-01018</t>
  </si>
  <si>
    <t>BILL-01019</t>
  </si>
  <si>
    <t>BILL-01020</t>
  </si>
  <si>
    <t>BILL-01021</t>
  </si>
  <si>
    <t>BILL-01022</t>
  </si>
  <si>
    <t>BILL-01023</t>
  </si>
  <si>
    <t>BILL-01024</t>
  </si>
  <si>
    <t>BILL-01025</t>
  </si>
  <si>
    <t>BILL-01026</t>
  </si>
  <si>
    <t>BILL-01027</t>
  </si>
  <si>
    <t>BILL-01028</t>
  </si>
  <si>
    <t>BILL-01029</t>
  </si>
  <si>
    <t>BILL-01030</t>
  </si>
  <si>
    <t>BILL-01031</t>
  </si>
  <si>
    <t>BILL-01032</t>
  </si>
  <si>
    <t>BILL-01033</t>
  </si>
  <si>
    <t>BILL-01034</t>
  </si>
  <si>
    <t>BILL-01035</t>
  </si>
  <si>
    <t>BILL-01036</t>
  </si>
  <si>
    <t>BILL-01037</t>
  </si>
  <si>
    <t>BILL-01038</t>
  </si>
  <si>
    <t>BILL-01039</t>
  </si>
  <si>
    <t>BILL-01040</t>
  </si>
  <si>
    <t>BILL-01041</t>
  </si>
  <si>
    <t>BILL-01042</t>
  </si>
  <si>
    <t>BILL-01043</t>
  </si>
  <si>
    <t>BILL-01044</t>
  </si>
  <si>
    <t>BILL-01045</t>
  </si>
  <si>
    <t>BILL-01046</t>
  </si>
  <si>
    <t>BILL-01047</t>
  </si>
  <si>
    <t>BILL-01048</t>
  </si>
  <si>
    <t>BILL-01049</t>
  </si>
  <si>
    <t>BILL-01050</t>
  </si>
  <si>
    <t>BILL-01051</t>
  </si>
  <si>
    <t>BILL-01052</t>
  </si>
  <si>
    <t>BILL-01053</t>
  </si>
  <si>
    <t>BILL-01054</t>
  </si>
  <si>
    <t>BILL-01055</t>
  </si>
  <si>
    <t>BILL-01056</t>
  </si>
  <si>
    <t>BILL-01057</t>
  </si>
  <si>
    <t>BILL-01058</t>
  </si>
  <si>
    <t>BILL-01059</t>
  </si>
  <si>
    <t>BILL-01060</t>
  </si>
  <si>
    <t>BILL-01061</t>
  </si>
  <si>
    <t>BILL-01062</t>
  </si>
  <si>
    <t>BILL-01063</t>
  </si>
  <si>
    <t>BILL-01064</t>
  </si>
  <si>
    <t>BILL-01065</t>
  </si>
  <si>
    <t>BILL-01066</t>
  </si>
  <si>
    <t>BILL-01067</t>
  </si>
  <si>
    <t>BILL-01068</t>
  </si>
  <si>
    <t>BILL-01069</t>
  </si>
  <si>
    <t>BILL-01070</t>
  </si>
  <si>
    <t>BILL-01071</t>
  </si>
  <si>
    <t>BILL-01072</t>
  </si>
  <si>
    <t>BILL-01073</t>
  </si>
  <si>
    <t>BILL-01074</t>
  </si>
  <si>
    <t>BILL-01075</t>
  </si>
  <si>
    <t>BILL-01076</t>
  </si>
  <si>
    <t>BILL-01077</t>
  </si>
  <si>
    <t>BILL-01078</t>
  </si>
  <si>
    <t>BILL-01079</t>
  </si>
  <si>
    <t>BILL-01080</t>
  </si>
  <si>
    <t>BILL-01081</t>
  </si>
  <si>
    <t>BILL-01082</t>
  </si>
  <si>
    <t>BILL-01083</t>
  </si>
  <si>
    <t>BILL-01084</t>
  </si>
  <si>
    <t>BILL-01085</t>
  </si>
  <si>
    <t>BILL-01086</t>
  </si>
  <si>
    <t>BILL-01087</t>
  </si>
  <si>
    <t>BILL-01088</t>
  </si>
  <si>
    <t>BILL-01089</t>
  </si>
  <si>
    <t>BILL-01090</t>
  </si>
  <si>
    <t>BILL-01091</t>
  </si>
  <si>
    <t>BILL-01092</t>
  </si>
  <si>
    <t>BILL-01093</t>
  </si>
  <si>
    <t>BILL-01094</t>
  </si>
  <si>
    <t>BILL-01095</t>
  </si>
  <si>
    <t>BILL-01096</t>
  </si>
  <si>
    <t>BILL-01097</t>
  </si>
  <si>
    <t>BILL-01098</t>
  </si>
  <si>
    <t>BILL-01099</t>
  </si>
  <si>
    <t>BILL-01100</t>
  </si>
  <si>
    <t>BILL-01101</t>
  </si>
  <si>
    <t>BILL-01102</t>
  </si>
  <si>
    <t>BILL-01103</t>
  </si>
  <si>
    <t>BILL-01104</t>
  </si>
  <si>
    <t>BILL-01105</t>
  </si>
  <si>
    <t>BILL-01106</t>
  </si>
  <si>
    <t>BILL-01107</t>
  </si>
  <si>
    <t>BILL-01108</t>
  </si>
  <si>
    <t>BILL-01109</t>
  </si>
  <si>
    <t>BILL-01110</t>
  </si>
  <si>
    <t>BILL-01111</t>
  </si>
  <si>
    <t>BILL-01112</t>
  </si>
  <si>
    <t>BILL-01113</t>
  </si>
  <si>
    <t>BILL-01114</t>
  </si>
  <si>
    <t>BILL-01115</t>
  </si>
  <si>
    <t>BILL-01116</t>
  </si>
  <si>
    <t>BILL-01117</t>
  </si>
  <si>
    <t>BILL-01118</t>
  </si>
  <si>
    <t>BILL-01119</t>
  </si>
  <si>
    <t>BILL-01120</t>
  </si>
  <si>
    <t>BILL-01121</t>
  </si>
  <si>
    <t>BILL-01122</t>
  </si>
  <si>
    <t>BILL-01123</t>
  </si>
  <si>
    <t>BILL-01124</t>
  </si>
  <si>
    <t>BILL-01125</t>
  </si>
  <si>
    <t>BILL-01126</t>
  </si>
  <si>
    <t>BILL-01127</t>
  </si>
  <si>
    <t>BILL-01128</t>
  </si>
  <si>
    <t>BILL-01129</t>
  </si>
  <si>
    <t>BILL-01130</t>
  </si>
  <si>
    <t>BILL-01131</t>
  </si>
  <si>
    <t>BILL-01132</t>
  </si>
  <si>
    <t>BILL-01133</t>
  </si>
  <si>
    <t>BILL-01134</t>
  </si>
  <si>
    <t>BILL-01135</t>
  </si>
  <si>
    <t>BILL-01136</t>
  </si>
  <si>
    <t>BILL-01137</t>
  </si>
  <si>
    <t>BILL-01138</t>
  </si>
  <si>
    <t>BILL-01139</t>
  </si>
  <si>
    <t>BILL-01140</t>
  </si>
  <si>
    <t>BILL-01141</t>
  </si>
  <si>
    <t>BILL-01142</t>
  </si>
  <si>
    <t>BILL-01143</t>
  </si>
  <si>
    <t>BILL-01144</t>
  </si>
  <si>
    <t>BILL-01145</t>
  </si>
  <si>
    <t>BILL-01146</t>
  </si>
  <si>
    <t>BILL-01147</t>
  </si>
  <si>
    <t>BILL-01148</t>
  </si>
  <si>
    <t>BILL-01149</t>
  </si>
  <si>
    <t>BILL-01150</t>
  </si>
  <si>
    <t>BILL-01151</t>
  </si>
  <si>
    <t>BILL-01152</t>
  </si>
  <si>
    <t>BILL-01153</t>
  </si>
  <si>
    <t>BILL-01154</t>
  </si>
  <si>
    <t>BILL-01155</t>
  </si>
  <si>
    <t>BILL-01156</t>
  </si>
  <si>
    <t>BILL-01157</t>
  </si>
  <si>
    <t>BILL-01158</t>
  </si>
  <si>
    <t>BILL-01159</t>
  </si>
  <si>
    <t>BILL-01160</t>
  </si>
  <si>
    <t>BILL-01161</t>
  </si>
  <si>
    <t>BILL-01162</t>
  </si>
  <si>
    <t>BILL-01163</t>
  </si>
  <si>
    <t>BILL-01164</t>
  </si>
  <si>
    <t>BILL-01165</t>
  </si>
  <si>
    <t>BILL-01166</t>
  </si>
  <si>
    <t>BILL-01167</t>
  </si>
  <si>
    <t>BILL-01168</t>
  </si>
  <si>
    <t>BILL-01169</t>
  </si>
  <si>
    <t>BILL-01170</t>
  </si>
  <si>
    <t>BILL-01171</t>
  </si>
  <si>
    <t>BILL-01172</t>
  </si>
  <si>
    <t>BILL-01173</t>
  </si>
  <si>
    <t>BILL-01174</t>
  </si>
  <si>
    <t>BILL-01175</t>
  </si>
  <si>
    <t>BILL-01176</t>
  </si>
  <si>
    <t>BILL-01177</t>
  </si>
  <si>
    <t>BILL-01178</t>
  </si>
  <si>
    <t>BILL-01179</t>
  </si>
  <si>
    <t>BILL-01180</t>
  </si>
  <si>
    <t>BILL-01181</t>
  </si>
  <si>
    <t>BILL-01182</t>
  </si>
  <si>
    <t>BILL-01183</t>
  </si>
  <si>
    <t>BILL-01184</t>
  </si>
  <si>
    <t>BILL-01185</t>
  </si>
  <si>
    <t>BILL-01186</t>
  </si>
  <si>
    <t>BILL-01187</t>
  </si>
  <si>
    <t>BILL-01188</t>
  </si>
  <si>
    <t>BILL-01189</t>
  </si>
  <si>
    <t>BILL-01190</t>
  </si>
  <si>
    <t>BILL-01191</t>
  </si>
  <si>
    <t>BILL-01192</t>
  </si>
  <si>
    <t>BILL-01193</t>
  </si>
  <si>
    <t>BILL-01194</t>
  </si>
  <si>
    <t>BILL-01195</t>
  </si>
  <si>
    <t>BILL-01196</t>
  </si>
  <si>
    <t>BILL-01197</t>
  </si>
  <si>
    <t>BILL-01198</t>
  </si>
  <si>
    <t>BILL-01199</t>
  </si>
  <si>
    <t>BILL-01200</t>
  </si>
  <si>
    <t>BILL-01201</t>
  </si>
  <si>
    <t>BILL-01202</t>
  </si>
  <si>
    <t>BILL-01203</t>
  </si>
  <si>
    <t>BILL-01204</t>
  </si>
  <si>
    <t>BILL-01205</t>
  </si>
  <si>
    <t>BILL-01206</t>
  </si>
  <si>
    <t>BILL-01207</t>
  </si>
  <si>
    <t>BILL-01208</t>
  </si>
  <si>
    <t>BILL-01209</t>
  </si>
  <si>
    <t>BILL-01210</t>
  </si>
  <si>
    <t>BILL-01211</t>
  </si>
  <si>
    <t>BILL-01212</t>
  </si>
  <si>
    <t>BILL-01213</t>
  </si>
  <si>
    <t>BILL-01214</t>
  </si>
  <si>
    <t>BILL-01215</t>
  </si>
  <si>
    <t>BILL-01216</t>
  </si>
  <si>
    <t>BILL-01217</t>
  </si>
  <si>
    <t>BILL-01218</t>
  </si>
  <si>
    <t>BILL-01219</t>
  </si>
  <si>
    <t>BILL-01220</t>
  </si>
  <si>
    <t>BILL-01221</t>
  </si>
  <si>
    <t>BILL-01222</t>
  </si>
  <si>
    <t>BILL-01223</t>
  </si>
  <si>
    <t>BILL-01224</t>
  </si>
  <si>
    <t>BILL-01225</t>
  </si>
  <si>
    <t>BILL-01226</t>
  </si>
  <si>
    <t>BILL-01227</t>
  </si>
  <si>
    <t>BILL-01228</t>
  </si>
  <si>
    <t>BILL-01229</t>
  </si>
  <si>
    <t>BILL-01230</t>
  </si>
  <si>
    <t>BILL-01231</t>
  </si>
  <si>
    <t>BILL-01232</t>
  </si>
  <si>
    <t>BILL-01233</t>
  </si>
  <si>
    <t>BILL-01234</t>
  </si>
  <si>
    <t>BILL-01235</t>
  </si>
  <si>
    <t>BILL-01236</t>
  </si>
  <si>
    <t>BILL-01237</t>
  </si>
  <si>
    <t>BILL-01238</t>
  </si>
  <si>
    <t>BILL-01239</t>
  </si>
  <si>
    <t>BILL-01240</t>
  </si>
  <si>
    <t>BILL-01241</t>
  </si>
  <si>
    <t>BILL-01242</t>
  </si>
  <si>
    <t>BILL-01243</t>
  </si>
  <si>
    <t>BILL-01244</t>
  </si>
  <si>
    <t>BILL-01245</t>
  </si>
  <si>
    <t>BILL-01246</t>
  </si>
  <si>
    <t>BILL-01247</t>
  </si>
  <si>
    <t>BILL-01248</t>
  </si>
  <si>
    <t>BILL-01249</t>
  </si>
  <si>
    <t>BILL-01250</t>
  </si>
  <si>
    <t>BILL-01251</t>
  </si>
  <si>
    <t>BILL-01252</t>
  </si>
  <si>
    <t>BILL-01253</t>
  </si>
  <si>
    <t>BILL-01254</t>
  </si>
  <si>
    <t>BILL-01255</t>
  </si>
  <si>
    <t>BILL-01256</t>
  </si>
  <si>
    <t>BILL-01257</t>
  </si>
  <si>
    <t>BILL-01258</t>
  </si>
  <si>
    <t>BILL-01259</t>
  </si>
  <si>
    <t>BILL-01260</t>
  </si>
  <si>
    <t>BILL-01261</t>
  </si>
  <si>
    <t>BILL-01262</t>
  </si>
  <si>
    <t>BILL-01263</t>
  </si>
  <si>
    <t>BILL-01264</t>
  </si>
  <si>
    <t>BILL-01265</t>
  </si>
  <si>
    <t>BILL-01266</t>
  </si>
  <si>
    <t>BILL-01267</t>
  </si>
  <si>
    <t>BILL-01268</t>
  </si>
  <si>
    <t>BILL-01269</t>
  </si>
  <si>
    <t>BILL-01270</t>
  </si>
  <si>
    <t>BILL-01271</t>
  </si>
  <si>
    <t>BILL-01272</t>
  </si>
  <si>
    <t>BILL-01273</t>
  </si>
  <si>
    <t>BILL-01274</t>
  </si>
  <si>
    <t>BILL-01275</t>
  </si>
  <si>
    <t>BILL-01276</t>
  </si>
  <si>
    <t>BILL-01277</t>
  </si>
  <si>
    <t>BILL-01278</t>
  </si>
  <si>
    <t>BILL-01279</t>
  </si>
  <si>
    <t>BILL-01280</t>
  </si>
  <si>
    <t>BILL-01281</t>
  </si>
  <si>
    <t>BILL-01282</t>
  </si>
  <si>
    <t>BILL-01283</t>
  </si>
  <si>
    <t>BILL-01284</t>
  </si>
  <si>
    <t>BILL-01285</t>
  </si>
  <si>
    <t>BILL-01286</t>
  </si>
  <si>
    <t>BILL-01287</t>
  </si>
  <si>
    <t>BILL-01288</t>
  </si>
  <si>
    <t>BILL-01289</t>
  </si>
  <si>
    <t>BILL-01290</t>
  </si>
  <si>
    <t>BILL-01291</t>
  </si>
  <si>
    <t>BILL-01292</t>
  </si>
  <si>
    <t>BILL-01293</t>
  </si>
  <si>
    <t>BILL-01294</t>
  </si>
  <si>
    <t>BILL-01295</t>
  </si>
  <si>
    <t>BILL-01296</t>
  </si>
  <si>
    <t>BILL-01297</t>
  </si>
  <si>
    <t>BILL-01298</t>
  </si>
  <si>
    <t>BILL-01299</t>
  </si>
  <si>
    <t>BILL-01300</t>
  </si>
  <si>
    <t>BILL-01301</t>
  </si>
  <si>
    <t>BILL-01302</t>
  </si>
  <si>
    <t>BILL-01303</t>
  </si>
  <si>
    <t>BILL-01304</t>
  </si>
  <si>
    <t>BILL-01305</t>
  </si>
  <si>
    <t>BILL-01306</t>
  </si>
  <si>
    <t>BILL-01307</t>
  </si>
  <si>
    <t>BILL-01308</t>
  </si>
  <si>
    <t>BILL-01309</t>
  </si>
  <si>
    <t>BILL-01310</t>
  </si>
  <si>
    <t>BILL-01311</t>
  </si>
  <si>
    <t>BILL-01312</t>
  </si>
  <si>
    <t>BILL-01313</t>
  </si>
  <si>
    <t>BILL-01314</t>
  </si>
  <si>
    <t>BILL-01315</t>
  </si>
  <si>
    <t>BILL-01316</t>
  </si>
  <si>
    <t>BILL-01317</t>
  </si>
  <si>
    <t>BILL-01318</t>
  </si>
  <si>
    <t>BILL-01319</t>
  </si>
  <si>
    <t>BILL-01320</t>
  </si>
  <si>
    <t>BILL-01321</t>
  </si>
  <si>
    <t>BILL-01322</t>
  </si>
  <si>
    <t>BILL-01323</t>
  </si>
  <si>
    <t>BILL-01324</t>
  </si>
  <si>
    <t>BILL-01325</t>
  </si>
  <si>
    <t>BILL-01326</t>
  </si>
  <si>
    <t>BILL-01327</t>
  </si>
  <si>
    <t>BILL-01328</t>
  </si>
  <si>
    <t>BILL-01329</t>
  </si>
  <si>
    <t>BILL-01330</t>
  </si>
  <si>
    <t>BILL-01331</t>
  </si>
  <si>
    <t>BILL-01332</t>
  </si>
  <si>
    <t>BILL-01333</t>
  </si>
  <si>
    <t>BILL-01334</t>
  </si>
  <si>
    <t>BILL-01335</t>
  </si>
  <si>
    <t>BILL-01336</t>
  </si>
  <si>
    <t>BILL-01337</t>
  </si>
  <si>
    <t>BILL-01338</t>
  </si>
  <si>
    <t>BILL-01339</t>
  </si>
  <si>
    <t>BILL-01340</t>
  </si>
  <si>
    <t>BILL-01341</t>
  </si>
  <si>
    <t>BILL-01342</t>
  </si>
  <si>
    <t>BILL-01343</t>
  </si>
  <si>
    <t>BILL-01344</t>
  </si>
  <si>
    <t>BILL-01345</t>
  </si>
  <si>
    <t>BILL-01346</t>
  </si>
  <si>
    <t>BILL-01347</t>
  </si>
  <si>
    <t>BILL-01348</t>
  </si>
  <si>
    <t>BILL-01349</t>
  </si>
  <si>
    <t>BILL-01350</t>
  </si>
  <si>
    <t>BILL-01351</t>
  </si>
  <si>
    <t>BILL-01352</t>
  </si>
  <si>
    <t>BILL-01353</t>
  </si>
  <si>
    <t>BILL-01354</t>
  </si>
  <si>
    <t>BILL-01355</t>
  </si>
  <si>
    <t>BILL-01356</t>
  </si>
  <si>
    <t>BILL-01357</t>
  </si>
  <si>
    <t>BILL-01358</t>
  </si>
  <si>
    <t>BILL-01359</t>
  </si>
  <si>
    <t>BILL-01360</t>
  </si>
  <si>
    <t>BILL-01361</t>
  </si>
  <si>
    <t>BILL-01362</t>
  </si>
  <si>
    <t>BILL-01363</t>
  </si>
  <si>
    <t>BILL-01364</t>
  </si>
  <si>
    <t>BILL-01365</t>
  </si>
  <si>
    <t>BILL-01366</t>
  </si>
  <si>
    <t>BILL-01367</t>
  </si>
  <si>
    <t>BILL-01368</t>
  </si>
  <si>
    <t>BILL-01369</t>
  </si>
  <si>
    <t>BILL-01370</t>
  </si>
  <si>
    <t>BILL-01371</t>
  </si>
  <si>
    <t>BILL-01372</t>
  </si>
  <si>
    <t>BILL-01373</t>
  </si>
  <si>
    <t>BILL-01374</t>
  </si>
  <si>
    <t>BILL-01375</t>
  </si>
  <si>
    <t>BILL-01376</t>
  </si>
  <si>
    <t>BILL-01377</t>
  </si>
  <si>
    <t>BILL-01378</t>
  </si>
  <si>
    <t>BILL-01379</t>
  </si>
  <si>
    <t>BILL-01380</t>
  </si>
  <si>
    <t>BILL-01381</t>
  </si>
  <si>
    <t>BILL-01382</t>
  </si>
  <si>
    <t>BILL-01383</t>
  </si>
  <si>
    <t>BILL-01384</t>
  </si>
  <si>
    <t>BILL-01385</t>
  </si>
  <si>
    <t>BILL-01386</t>
  </si>
  <si>
    <t>BILL-01387</t>
  </si>
  <si>
    <t>BILL-01388</t>
  </si>
  <si>
    <t>BILL-01389</t>
  </si>
  <si>
    <t>BILL-01390</t>
  </si>
  <si>
    <t>BILL-01391</t>
  </si>
  <si>
    <t>BILL-01392</t>
  </si>
  <si>
    <t>BILL-01393</t>
  </si>
  <si>
    <t>BILL-01394</t>
  </si>
  <si>
    <t>BILL-01395</t>
  </si>
  <si>
    <t>BILL-01396</t>
  </si>
  <si>
    <t>BILL-01397</t>
  </si>
  <si>
    <t>BILL-01398</t>
  </si>
  <si>
    <t>BILL-01399</t>
  </si>
  <si>
    <t>BILL-01400</t>
  </si>
  <si>
    <t>VPAY-00001</t>
  </si>
  <si>
    <t>ACH</t>
  </si>
  <si>
    <t>VPAY-00002</t>
  </si>
  <si>
    <t>VPAY-00003</t>
  </si>
  <si>
    <t>VPAY-00004</t>
  </si>
  <si>
    <t>VPAY-00005</t>
  </si>
  <si>
    <t>VPAY-00006</t>
  </si>
  <si>
    <t>VPAY-00007</t>
  </si>
  <si>
    <t>VPAY-00008</t>
  </si>
  <si>
    <t>VPAY-00009</t>
  </si>
  <si>
    <t>VPAY-00010</t>
  </si>
  <si>
    <t>VPAY-00011</t>
  </si>
  <si>
    <t>VPAY-00012</t>
  </si>
  <si>
    <t>VPAY-00013</t>
  </si>
  <si>
    <t>VPAY-00014</t>
  </si>
  <si>
    <t>VPAY-00015</t>
  </si>
  <si>
    <t>VPAY-00016</t>
  </si>
  <si>
    <t>VPAY-00017</t>
  </si>
  <si>
    <t>VPAY-00018</t>
  </si>
  <si>
    <t>VPAY-00019</t>
  </si>
  <si>
    <t>VPAY-00020</t>
  </si>
  <si>
    <t>VPAY-00021</t>
  </si>
  <si>
    <t>VPAY-00022</t>
  </si>
  <si>
    <t>VPAY-00023</t>
  </si>
  <si>
    <t>VPAY-00024</t>
  </si>
  <si>
    <t>VPAY-00025</t>
  </si>
  <si>
    <t>VPAY-00026</t>
  </si>
  <si>
    <t>VPAY-00027</t>
  </si>
  <si>
    <t>VPAY-00028</t>
  </si>
  <si>
    <t>VPAY-00029</t>
  </si>
  <si>
    <t>VPAY-00030</t>
  </si>
  <si>
    <t>VPAY-00031</t>
  </si>
  <si>
    <t>VPAY-00032</t>
  </si>
  <si>
    <t>VPAY-00033</t>
  </si>
  <si>
    <t>VPAY-00034</t>
  </si>
  <si>
    <t>VPAY-00035</t>
  </si>
  <si>
    <t>VPAY-00036</t>
  </si>
  <si>
    <t>VPAY-00037</t>
  </si>
  <si>
    <t>VPAY-00038</t>
  </si>
  <si>
    <t>VPAY-00039</t>
  </si>
  <si>
    <t>VPAY-00040</t>
  </si>
  <si>
    <t>VPAY-00041</t>
  </si>
  <si>
    <t>VPAY-00042</t>
  </si>
  <si>
    <t>VPAY-00043</t>
  </si>
  <si>
    <t>VPAY-00044</t>
  </si>
  <si>
    <t>VPAY-00045</t>
  </si>
  <si>
    <t>VPAY-00046</t>
  </si>
  <si>
    <t>VPAY-00047</t>
  </si>
  <si>
    <t>VPAY-00048</t>
  </si>
  <si>
    <t>VPAY-00049</t>
  </si>
  <si>
    <t>VPAY-00050</t>
  </si>
  <si>
    <t>VPAY-00051</t>
  </si>
  <si>
    <t>VPAY-00052</t>
  </si>
  <si>
    <t>VPAY-00053</t>
  </si>
  <si>
    <t>VPAY-00054</t>
  </si>
  <si>
    <t>VPAY-00055</t>
  </si>
  <si>
    <t>VPAY-00056</t>
  </si>
  <si>
    <t>VPAY-00057</t>
  </si>
  <si>
    <t>VPAY-00058</t>
  </si>
  <si>
    <t>VPAY-00059</t>
  </si>
  <si>
    <t>VPAY-00060</t>
  </si>
  <si>
    <t>VPAY-00061</t>
  </si>
  <si>
    <t>VPAY-00062</t>
  </si>
  <si>
    <t>VPAY-00063</t>
  </si>
  <si>
    <t>VPAY-00064</t>
  </si>
  <si>
    <t>VPAY-00065</t>
  </si>
  <si>
    <t>VPAY-00066</t>
  </si>
  <si>
    <t>VPAY-00067</t>
  </si>
  <si>
    <t>VPAY-00068</t>
  </si>
  <si>
    <t>VPAY-00069</t>
  </si>
  <si>
    <t>VPAY-00070</t>
  </si>
  <si>
    <t>VPAY-00071</t>
  </si>
  <si>
    <t>VPAY-00072</t>
  </si>
  <si>
    <t>VPAY-00073</t>
  </si>
  <si>
    <t>VPAY-00074</t>
  </si>
  <si>
    <t>VPAY-00075</t>
  </si>
  <si>
    <t>VPAY-00076</t>
  </si>
  <si>
    <t>VPAY-00077</t>
  </si>
  <si>
    <t>VPAY-00078</t>
  </si>
  <si>
    <t>VPAY-00079</t>
  </si>
  <si>
    <t>VPAY-00080</t>
  </si>
  <si>
    <t>VPAY-00081</t>
  </si>
  <si>
    <t>VPAY-00082</t>
  </si>
  <si>
    <t>VPAY-00083</t>
  </si>
  <si>
    <t>VPAY-00084</t>
  </si>
  <si>
    <t>VPAY-00085</t>
  </si>
  <si>
    <t>VPAY-00086</t>
  </si>
  <si>
    <t>VPAY-00087</t>
  </si>
  <si>
    <t>VPAY-00088</t>
  </si>
  <si>
    <t>VPAY-00089</t>
  </si>
  <si>
    <t>VPAY-00090</t>
  </si>
  <si>
    <t>VPAY-00091</t>
  </si>
  <si>
    <t>VPAY-00092</t>
  </si>
  <si>
    <t>VPAY-00093</t>
  </si>
  <si>
    <t>VPAY-00094</t>
  </si>
  <si>
    <t>VPAY-00095</t>
  </si>
  <si>
    <t>VPAY-00096</t>
  </si>
  <si>
    <t>VPAY-00097</t>
  </si>
  <si>
    <t>VPAY-00098</t>
  </si>
  <si>
    <t>VPAY-00099</t>
  </si>
  <si>
    <t>VPAY-00100</t>
  </si>
  <si>
    <t>VPAY-00101</t>
  </si>
  <si>
    <t>VPAY-00102</t>
  </si>
  <si>
    <t>VPAY-00103</t>
  </si>
  <si>
    <t>VPAY-00104</t>
  </si>
  <si>
    <t>VPAY-00105</t>
  </si>
  <si>
    <t>VPAY-00106</t>
  </si>
  <si>
    <t>VPAY-00107</t>
  </si>
  <si>
    <t>VPAY-00108</t>
  </si>
  <si>
    <t>VPAY-00109</t>
  </si>
  <si>
    <t>VPAY-00110</t>
  </si>
  <si>
    <t>VPAY-00111</t>
  </si>
  <si>
    <t>VPAY-00112</t>
  </si>
  <si>
    <t>VPAY-00113</t>
  </si>
  <si>
    <t>VPAY-00114</t>
  </si>
  <si>
    <t>VPAY-00115</t>
  </si>
  <si>
    <t>VPAY-00116</t>
  </si>
  <si>
    <t>VPAY-00117</t>
  </si>
  <si>
    <t>VPAY-00118</t>
  </si>
  <si>
    <t>VPAY-00119</t>
  </si>
  <si>
    <t>VPAY-00120</t>
  </si>
  <si>
    <t>VPAY-00121</t>
  </si>
  <si>
    <t>VPAY-00122</t>
  </si>
  <si>
    <t>VPAY-00123</t>
  </si>
  <si>
    <t>VPAY-00124</t>
  </si>
  <si>
    <t>VPAY-00125</t>
  </si>
  <si>
    <t>VPAY-00126</t>
  </si>
  <si>
    <t>VPAY-00127</t>
  </si>
  <si>
    <t>VPAY-00128</t>
  </si>
  <si>
    <t>VPAY-00129</t>
  </si>
  <si>
    <t>VPAY-00130</t>
  </si>
  <si>
    <t>VPAY-00131</t>
  </si>
  <si>
    <t>VPAY-00132</t>
  </si>
  <si>
    <t>VPAY-00133</t>
  </si>
  <si>
    <t>VPAY-00134</t>
  </si>
  <si>
    <t>VPAY-00135</t>
  </si>
  <si>
    <t>VPAY-00136</t>
  </si>
  <si>
    <t>VPAY-00137</t>
  </si>
  <si>
    <t>VPAY-00138</t>
  </si>
  <si>
    <t>VPAY-00139</t>
  </si>
  <si>
    <t>VPAY-00140</t>
  </si>
  <si>
    <t>VPAY-00141</t>
  </si>
  <si>
    <t>VPAY-00142</t>
  </si>
  <si>
    <t>VPAY-00143</t>
  </si>
  <si>
    <t>VPAY-00144</t>
  </si>
  <si>
    <t>VPAY-00145</t>
  </si>
  <si>
    <t>VPAY-00146</t>
  </si>
  <si>
    <t>VPAY-00147</t>
  </si>
  <si>
    <t>VPAY-00148</t>
  </si>
  <si>
    <t>VPAY-00149</t>
  </si>
  <si>
    <t>VPAY-00150</t>
  </si>
  <si>
    <t>VPAY-00151</t>
  </si>
  <si>
    <t>VPAY-00152</t>
  </si>
  <si>
    <t>VPAY-00153</t>
  </si>
  <si>
    <t>VPAY-00154</t>
  </si>
  <si>
    <t>VPAY-00155</t>
  </si>
  <si>
    <t>VPAY-00156</t>
  </si>
  <si>
    <t>VPAY-00157</t>
  </si>
  <si>
    <t>VPAY-00158</t>
  </si>
  <si>
    <t>VPAY-00159</t>
  </si>
  <si>
    <t>VPAY-00160</t>
  </si>
  <si>
    <t>VPAY-00161</t>
  </si>
  <si>
    <t>VPAY-00162</t>
  </si>
  <si>
    <t>VPAY-00163</t>
  </si>
  <si>
    <t>VPAY-00164</t>
  </si>
  <si>
    <t>VPAY-00165</t>
  </si>
  <si>
    <t>VPAY-00166</t>
  </si>
  <si>
    <t>VPAY-00167</t>
  </si>
  <si>
    <t>VPAY-00168</t>
  </si>
  <si>
    <t>VPAY-00169</t>
  </si>
  <si>
    <t>VPAY-00170</t>
  </si>
  <si>
    <t>VPAY-00171</t>
  </si>
  <si>
    <t>VPAY-00172</t>
  </si>
  <si>
    <t>VPAY-00173</t>
  </si>
  <si>
    <t>VPAY-00174</t>
  </si>
  <si>
    <t>VPAY-00175</t>
  </si>
  <si>
    <t>VPAY-00176</t>
  </si>
  <si>
    <t>VPAY-00177</t>
  </si>
  <si>
    <t>VPAY-00178</t>
  </si>
  <si>
    <t>VPAY-00179</t>
  </si>
  <si>
    <t>VPAY-00180</t>
  </si>
  <si>
    <t>VPAY-00181</t>
  </si>
  <si>
    <t>VPAY-00182</t>
  </si>
  <si>
    <t>VPAY-00183</t>
  </si>
  <si>
    <t>VPAY-00184</t>
  </si>
  <si>
    <t>VPAY-00185</t>
  </si>
  <si>
    <t>VPAY-00186</t>
  </si>
  <si>
    <t>VPAY-00187</t>
  </si>
  <si>
    <t>VPAY-00188</t>
  </si>
  <si>
    <t>VPAY-00189</t>
  </si>
  <si>
    <t>VPAY-00190</t>
  </si>
  <si>
    <t>VPAY-00191</t>
  </si>
  <si>
    <t>VPAY-00192</t>
  </si>
  <si>
    <t>VPAY-00193</t>
  </si>
  <si>
    <t>VPAY-00194</t>
  </si>
  <si>
    <t>VPAY-00195</t>
  </si>
  <si>
    <t>VPAY-00196</t>
  </si>
  <si>
    <t>VPAY-00197</t>
  </si>
  <si>
    <t>VPAY-00198</t>
  </si>
  <si>
    <t>VPAY-00199</t>
  </si>
  <si>
    <t>VPAY-00200</t>
  </si>
  <si>
    <t>VPAY-00201</t>
  </si>
  <si>
    <t>VPAY-00202</t>
  </si>
  <si>
    <t>VPAY-00203</t>
  </si>
  <si>
    <t>VPAY-00204</t>
  </si>
  <si>
    <t>VPAY-00205</t>
  </si>
  <si>
    <t>VPAY-00206</t>
  </si>
  <si>
    <t>VPAY-00207</t>
  </si>
  <si>
    <t>VPAY-00208</t>
  </si>
  <si>
    <t>VPAY-00209</t>
  </si>
  <si>
    <t>VPAY-00210</t>
  </si>
  <si>
    <t>VPAY-00211</t>
  </si>
  <si>
    <t>VPAY-00212</t>
  </si>
  <si>
    <t>VPAY-00213</t>
  </si>
  <si>
    <t>VPAY-00214</t>
  </si>
  <si>
    <t>VPAY-00215</t>
  </si>
  <si>
    <t>VPAY-00216</t>
  </si>
  <si>
    <t>VPAY-00217</t>
  </si>
  <si>
    <t>VPAY-00218</t>
  </si>
  <si>
    <t>VPAY-00219</t>
  </si>
  <si>
    <t>VPAY-00220</t>
  </si>
  <si>
    <t>VPAY-00221</t>
  </si>
  <si>
    <t>VPAY-00222</t>
  </si>
  <si>
    <t>VPAY-00223</t>
  </si>
  <si>
    <t>VPAY-00224</t>
  </si>
  <si>
    <t>VPAY-00225</t>
  </si>
  <si>
    <t>VPAY-00226</t>
  </si>
  <si>
    <t>VPAY-00227</t>
  </si>
  <si>
    <t>VPAY-00228</t>
  </si>
  <si>
    <t>VPAY-00229</t>
  </si>
  <si>
    <t>VPAY-00230</t>
  </si>
  <si>
    <t>VPAY-00231</t>
  </si>
  <si>
    <t>VPAY-00232</t>
  </si>
  <si>
    <t>VPAY-00233</t>
  </si>
  <si>
    <t>VPAY-00234</t>
  </si>
  <si>
    <t>VPAY-00235</t>
  </si>
  <si>
    <t>VPAY-00236</t>
  </si>
  <si>
    <t>VPAY-00237</t>
  </si>
  <si>
    <t>VPAY-00238</t>
  </si>
  <si>
    <t>VPAY-00239</t>
  </si>
  <si>
    <t>VPAY-00240</t>
  </si>
  <si>
    <t>VPAY-00241</t>
  </si>
  <si>
    <t>VPAY-00242</t>
  </si>
  <si>
    <t>VPAY-00243</t>
  </si>
  <si>
    <t>VPAY-00244</t>
  </si>
  <si>
    <t>VPAY-00245</t>
  </si>
  <si>
    <t>VPAY-00246</t>
  </si>
  <si>
    <t>VPAY-00247</t>
  </si>
  <si>
    <t>VPAY-00248</t>
  </si>
  <si>
    <t>VPAY-00249</t>
  </si>
  <si>
    <t>VPAY-00250</t>
  </si>
  <si>
    <t>VPAY-00251</t>
  </si>
  <si>
    <t>VPAY-00252</t>
  </si>
  <si>
    <t>VPAY-00253</t>
  </si>
  <si>
    <t>VPAY-00254</t>
  </si>
  <si>
    <t>VPAY-00255</t>
  </si>
  <si>
    <t>VPAY-00256</t>
  </si>
  <si>
    <t>VPAY-00257</t>
  </si>
  <si>
    <t>VPAY-00258</t>
  </si>
  <si>
    <t>VPAY-00259</t>
  </si>
  <si>
    <t>VPAY-00260</t>
  </si>
  <si>
    <t>VPAY-00261</t>
  </si>
  <si>
    <t>VPAY-00262</t>
  </si>
  <si>
    <t>VPAY-00263</t>
  </si>
  <si>
    <t>VPAY-00264</t>
  </si>
  <si>
    <t>VPAY-00265</t>
  </si>
  <si>
    <t>VPAY-00266</t>
  </si>
  <si>
    <t>VPAY-00267</t>
  </si>
  <si>
    <t>VPAY-00268</t>
  </si>
  <si>
    <t>VPAY-00269</t>
  </si>
  <si>
    <t>VPAY-00270</t>
  </si>
  <si>
    <t>VPAY-00271</t>
  </si>
  <si>
    <t>VPAY-00272</t>
  </si>
  <si>
    <t>VPAY-00273</t>
  </si>
  <si>
    <t>VPAY-00274</t>
  </si>
  <si>
    <t>VPAY-00275</t>
  </si>
  <si>
    <t>VPAY-00276</t>
  </si>
  <si>
    <t>VPAY-00277</t>
  </si>
  <si>
    <t>VPAY-00278</t>
  </si>
  <si>
    <t>VPAY-00279</t>
  </si>
  <si>
    <t>VPAY-00280</t>
  </si>
  <si>
    <t>VPAY-00281</t>
  </si>
  <si>
    <t>VPAY-00282</t>
  </si>
  <si>
    <t>VPAY-00283</t>
  </si>
  <si>
    <t>VPAY-00284</t>
  </si>
  <si>
    <t>VPAY-00285</t>
  </si>
  <si>
    <t>VPAY-00286</t>
  </si>
  <si>
    <t>VPAY-00287</t>
  </si>
  <si>
    <t>VPAY-00288</t>
  </si>
  <si>
    <t>VPAY-00289</t>
  </si>
  <si>
    <t>VPAY-00290</t>
  </si>
  <si>
    <t>VPAY-00291</t>
  </si>
  <si>
    <t>VPAY-00292</t>
  </si>
  <si>
    <t>VPAY-00293</t>
  </si>
  <si>
    <t>VPAY-00294</t>
  </si>
  <si>
    <t>VPAY-00295</t>
  </si>
  <si>
    <t>VPAY-00296</t>
  </si>
  <si>
    <t>VPAY-00297</t>
  </si>
  <si>
    <t>VPAY-00298</t>
  </si>
  <si>
    <t>VPAY-00299</t>
  </si>
  <si>
    <t>VPAY-00300</t>
  </si>
  <si>
    <t>VPAY-00301</t>
  </si>
  <si>
    <t>VPAY-00302</t>
  </si>
  <si>
    <t>VPAY-00303</t>
  </si>
  <si>
    <t>VPAY-00304</t>
  </si>
  <si>
    <t>VPAY-00305</t>
  </si>
  <si>
    <t>VPAY-00306</t>
  </si>
  <si>
    <t>VPAY-00307</t>
  </si>
  <si>
    <t>VPAY-00308</t>
  </si>
  <si>
    <t>VPAY-00309</t>
  </si>
  <si>
    <t>VPAY-00310</t>
  </si>
  <si>
    <t>VPAY-00311</t>
  </si>
  <si>
    <t>VPAY-00312</t>
  </si>
  <si>
    <t>VPAY-00313</t>
  </si>
  <si>
    <t>VPAY-00314</t>
  </si>
  <si>
    <t>VPAY-00315</t>
  </si>
  <si>
    <t>VPAY-00316</t>
  </si>
  <si>
    <t>VPAY-00317</t>
  </si>
  <si>
    <t>VPAY-00318</t>
  </si>
  <si>
    <t>VPAY-00319</t>
  </si>
  <si>
    <t>VPAY-00320</t>
  </si>
  <si>
    <t>VPAY-00321</t>
  </si>
  <si>
    <t>VPAY-00322</t>
  </si>
  <si>
    <t>VPAY-00323</t>
  </si>
  <si>
    <t>VPAY-00324</t>
  </si>
  <si>
    <t>VPAY-00325</t>
  </si>
  <si>
    <t>VPAY-00326</t>
  </si>
  <si>
    <t>VPAY-00327</t>
  </si>
  <si>
    <t>VPAY-00328</t>
  </si>
  <si>
    <t>VPAY-00329</t>
  </si>
  <si>
    <t>VPAY-00330</t>
  </si>
  <si>
    <t>VPAY-00331</t>
  </si>
  <si>
    <t>VPAY-00332</t>
  </si>
  <si>
    <t>VPAY-00333</t>
  </si>
  <si>
    <t>VPAY-00334</t>
  </si>
  <si>
    <t>VPAY-00335</t>
  </si>
  <si>
    <t>VPAY-00336</t>
  </si>
  <si>
    <t>VPAY-00337</t>
  </si>
  <si>
    <t>VPAY-00338</t>
  </si>
  <si>
    <t>VPAY-00339</t>
  </si>
  <si>
    <t>VPAY-00340</t>
  </si>
  <si>
    <t>VPAY-00341</t>
  </si>
  <si>
    <t>VPAY-00342</t>
  </si>
  <si>
    <t>VPAY-00343</t>
  </si>
  <si>
    <t>VPAY-00344</t>
  </si>
  <si>
    <t>VPAY-00345</t>
  </si>
  <si>
    <t>VPAY-00346</t>
  </si>
  <si>
    <t>VPAY-00347</t>
  </si>
  <si>
    <t>VPAY-00348</t>
  </si>
  <si>
    <t>VPAY-00349</t>
  </si>
  <si>
    <t>VPAY-00350</t>
  </si>
  <si>
    <t>VPAY-00351</t>
  </si>
  <si>
    <t>VPAY-00352</t>
  </si>
  <si>
    <t>VPAY-00353</t>
  </si>
  <si>
    <t>VPAY-00354</t>
  </si>
  <si>
    <t>VPAY-00355</t>
  </si>
  <si>
    <t>VPAY-00356</t>
  </si>
  <si>
    <t>VPAY-00357</t>
  </si>
  <si>
    <t>VPAY-00358</t>
  </si>
  <si>
    <t>VPAY-00359</t>
  </si>
  <si>
    <t>VPAY-00360</t>
  </si>
  <si>
    <t>VPAY-00361</t>
  </si>
  <si>
    <t>VPAY-00362</t>
  </si>
  <si>
    <t>VPAY-00363</t>
  </si>
  <si>
    <t>VPAY-00364</t>
  </si>
  <si>
    <t>VPAY-00365</t>
  </si>
  <si>
    <t>VPAY-00366</t>
  </si>
  <si>
    <t>VPAY-00367</t>
  </si>
  <si>
    <t>VPAY-00368</t>
  </si>
  <si>
    <t>VPAY-00369</t>
  </si>
  <si>
    <t>VPAY-00370</t>
  </si>
  <si>
    <t>VPAY-00371</t>
  </si>
  <si>
    <t>VPAY-00372</t>
  </si>
  <si>
    <t>VPAY-00373</t>
  </si>
  <si>
    <t>VPAY-00374</t>
  </si>
  <si>
    <t>VPAY-00375</t>
  </si>
  <si>
    <t>VPAY-00376</t>
  </si>
  <si>
    <t>VPAY-00377</t>
  </si>
  <si>
    <t>VPAY-00378</t>
  </si>
  <si>
    <t>VPAY-00379</t>
  </si>
  <si>
    <t>VPAY-00380</t>
  </si>
  <si>
    <t>VPAY-00381</t>
  </si>
  <si>
    <t>VPAY-00382</t>
  </si>
  <si>
    <t>VPAY-00383</t>
  </si>
  <si>
    <t>VPAY-00384</t>
  </si>
  <si>
    <t>VPAY-00385</t>
  </si>
  <si>
    <t>VPAY-00386</t>
  </si>
  <si>
    <t>VPAY-00387</t>
  </si>
  <si>
    <t>VPAY-00388</t>
  </si>
  <si>
    <t>VPAY-00389</t>
  </si>
  <si>
    <t>VPAY-00390</t>
  </si>
  <si>
    <t>VPAY-00391</t>
  </si>
  <si>
    <t>VPAY-00392</t>
  </si>
  <si>
    <t>VPAY-00393</t>
  </si>
  <si>
    <t>VPAY-00394</t>
  </si>
  <si>
    <t>VPAY-00395</t>
  </si>
  <si>
    <t>VPAY-00396</t>
  </si>
  <si>
    <t>VPAY-00397</t>
  </si>
  <si>
    <t>VPAY-00398</t>
  </si>
  <si>
    <t>VPAY-00399</t>
  </si>
  <si>
    <t>VPAY-00400</t>
  </si>
  <si>
    <t>VPAY-00401</t>
  </si>
  <si>
    <t>VPAY-00402</t>
  </si>
  <si>
    <t>VPAY-00403</t>
  </si>
  <si>
    <t>VPAY-00404</t>
  </si>
  <si>
    <t>VPAY-00405</t>
  </si>
  <si>
    <t>VPAY-00406</t>
  </si>
  <si>
    <t>VPAY-00407</t>
  </si>
  <si>
    <t>VPAY-00408</t>
  </si>
  <si>
    <t>VPAY-00409</t>
  </si>
  <si>
    <t>VPAY-00410</t>
  </si>
  <si>
    <t>VPAY-00411</t>
  </si>
  <si>
    <t>VPAY-00412</t>
  </si>
  <si>
    <t>VPAY-00413</t>
  </si>
  <si>
    <t>VPAY-00414</t>
  </si>
  <si>
    <t>VPAY-00415</t>
  </si>
  <si>
    <t>VPAY-00416</t>
  </si>
  <si>
    <t>VPAY-00417</t>
  </si>
  <si>
    <t>VPAY-00418</t>
  </si>
  <si>
    <t>VPAY-00419</t>
  </si>
  <si>
    <t>VPAY-00420</t>
  </si>
  <si>
    <t>VPAY-00421</t>
  </si>
  <si>
    <t>VPAY-00422</t>
  </si>
  <si>
    <t>VPAY-00423</t>
  </si>
  <si>
    <t>VPAY-00424</t>
  </si>
  <si>
    <t>VPAY-00425</t>
  </si>
  <si>
    <t>VPAY-00426</t>
  </si>
  <si>
    <t>VPAY-00427</t>
  </si>
  <si>
    <t>VPAY-00428</t>
  </si>
  <si>
    <t>VPAY-00429</t>
  </si>
  <si>
    <t>VPAY-00430</t>
  </si>
  <si>
    <t>VPAY-00431</t>
  </si>
  <si>
    <t>VPAY-00432</t>
  </si>
  <si>
    <t>VPAY-00433</t>
  </si>
  <si>
    <t>VPAY-00434</t>
  </si>
  <si>
    <t>VPAY-00435</t>
  </si>
  <si>
    <t>VPAY-00436</t>
  </si>
  <si>
    <t>VPAY-00437</t>
  </si>
  <si>
    <t>VPAY-00438</t>
  </si>
  <si>
    <t>VPAY-00439</t>
  </si>
  <si>
    <t>VPAY-00440</t>
  </si>
  <si>
    <t>VPAY-00441</t>
  </si>
  <si>
    <t>VPAY-00442</t>
  </si>
  <si>
    <t>VPAY-00443</t>
  </si>
  <si>
    <t>VPAY-00444</t>
  </si>
  <si>
    <t>VPAY-00445</t>
  </si>
  <si>
    <t>VPAY-00446</t>
  </si>
  <si>
    <t>VPAY-00447</t>
  </si>
  <si>
    <t>VPAY-00448</t>
  </si>
  <si>
    <t>VPAY-00449</t>
  </si>
  <si>
    <t>VPAY-00450</t>
  </si>
  <si>
    <t>VPAY-00451</t>
  </si>
  <si>
    <t>VPAY-00452</t>
  </si>
  <si>
    <t>VPAY-00453</t>
  </si>
  <si>
    <t>VPAY-00454</t>
  </si>
  <si>
    <t>VPAY-00455</t>
  </si>
  <si>
    <t>VPAY-00456</t>
  </si>
  <si>
    <t>VPAY-00457</t>
  </si>
  <si>
    <t>VPAY-00458</t>
  </si>
  <si>
    <t>VPAY-00459</t>
  </si>
  <si>
    <t>VPAY-00460</t>
  </si>
  <si>
    <t>VPAY-00461</t>
  </si>
  <si>
    <t>VPAY-00462</t>
  </si>
  <si>
    <t>VPAY-00463</t>
  </si>
  <si>
    <t>VPAY-00464</t>
  </si>
  <si>
    <t>VPAY-00465</t>
  </si>
  <si>
    <t>VPAY-00466</t>
  </si>
  <si>
    <t>VPAY-00467</t>
  </si>
  <si>
    <t>VPAY-00468</t>
  </si>
  <si>
    <t>VPAY-00469</t>
  </si>
  <si>
    <t>VPAY-00470</t>
  </si>
  <si>
    <t>VPAY-00471</t>
  </si>
  <si>
    <t>VPAY-00472</t>
  </si>
  <si>
    <t>VPAY-00473</t>
  </si>
  <si>
    <t>VPAY-00474</t>
  </si>
  <si>
    <t>VPAY-00475</t>
  </si>
  <si>
    <t>VPAY-00476</t>
  </si>
  <si>
    <t>VPAY-00477</t>
  </si>
  <si>
    <t>VPAY-00478</t>
  </si>
  <si>
    <t>VPAY-00479</t>
  </si>
  <si>
    <t>VPAY-00480</t>
  </si>
  <si>
    <t>VPAY-00481</t>
  </si>
  <si>
    <t>VPAY-00482</t>
  </si>
  <si>
    <t>VPAY-00483</t>
  </si>
  <si>
    <t>VPAY-00484</t>
  </si>
  <si>
    <t>VPAY-00485</t>
  </si>
  <si>
    <t>VPAY-00486</t>
  </si>
  <si>
    <t>VPAY-00487</t>
  </si>
  <si>
    <t>VPAY-00488</t>
  </si>
  <si>
    <t>VPAY-00489</t>
  </si>
  <si>
    <t>VPAY-00490</t>
  </si>
  <si>
    <t>VPAY-00491</t>
  </si>
  <si>
    <t>VPAY-00492</t>
  </si>
  <si>
    <t>VPAY-00493</t>
  </si>
  <si>
    <t>VPAY-00494</t>
  </si>
  <si>
    <t>VPAY-00495</t>
  </si>
  <si>
    <t>VPAY-00496</t>
  </si>
  <si>
    <t>VPAY-00497</t>
  </si>
  <si>
    <t>VPAY-00498</t>
  </si>
  <si>
    <t>VPAY-00499</t>
  </si>
  <si>
    <t>VPAY-00500</t>
  </si>
  <si>
    <t>VPAY-00501</t>
  </si>
  <si>
    <t>VPAY-00502</t>
  </si>
  <si>
    <t>VPAY-00503</t>
  </si>
  <si>
    <t>VPAY-00504</t>
  </si>
  <si>
    <t>VPAY-00505</t>
  </si>
  <si>
    <t>VPAY-00506</t>
  </si>
  <si>
    <t>VPAY-00507</t>
  </si>
  <si>
    <t>VPAY-00508</t>
  </si>
  <si>
    <t>VPAY-00509</t>
  </si>
  <si>
    <t>VPAY-00510</t>
  </si>
  <si>
    <t>VPAY-00511</t>
  </si>
  <si>
    <t>VPAY-00512</t>
  </si>
  <si>
    <t>VPAY-00513</t>
  </si>
  <si>
    <t>VPAY-00514</t>
  </si>
  <si>
    <t>VPAY-00515</t>
  </si>
  <si>
    <t>VPAY-00516</t>
  </si>
  <si>
    <t>VPAY-00517</t>
  </si>
  <si>
    <t>VPAY-00518</t>
  </si>
  <si>
    <t>VPAY-00519</t>
  </si>
  <si>
    <t>VPAY-00520</t>
  </si>
  <si>
    <t>VPAY-00521</t>
  </si>
  <si>
    <t>VPAY-00522</t>
  </si>
  <si>
    <t>VPAY-00523</t>
  </si>
  <si>
    <t>VPAY-00524</t>
  </si>
  <si>
    <t>VPAY-00525</t>
  </si>
  <si>
    <t>VPAY-00526</t>
  </si>
  <si>
    <t>VPAY-00527</t>
  </si>
  <si>
    <t>VPAY-00528</t>
  </si>
  <si>
    <t>VPAY-00529</t>
  </si>
  <si>
    <t>VPAY-00530</t>
  </si>
  <si>
    <t>VPAY-00531</t>
  </si>
  <si>
    <t>VPAY-00532</t>
  </si>
  <si>
    <t>VPAY-00533</t>
  </si>
  <si>
    <t>VPAY-00534</t>
  </si>
  <si>
    <t>VPAY-00535</t>
  </si>
  <si>
    <t>VPAY-00536</t>
  </si>
  <si>
    <t>VPAY-00537</t>
  </si>
  <si>
    <t>VPAY-00538</t>
  </si>
  <si>
    <t>VPAY-00539</t>
  </si>
  <si>
    <t>VPAY-00540</t>
  </si>
  <si>
    <t>VPAY-00541</t>
  </si>
  <si>
    <t>VPAY-00542</t>
  </si>
  <si>
    <t>VPAY-00543</t>
  </si>
  <si>
    <t>VPAY-00544</t>
  </si>
  <si>
    <t>VPAY-00545</t>
  </si>
  <si>
    <t>VPAY-00546</t>
  </si>
  <si>
    <t>VPAY-00547</t>
  </si>
  <si>
    <t>VPAY-00548</t>
  </si>
  <si>
    <t>VPAY-00549</t>
  </si>
  <si>
    <t>VPAY-00550</t>
  </si>
  <si>
    <t>VPAY-00551</t>
  </si>
  <si>
    <t>VPAY-00552</t>
  </si>
  <si>
    <t>VPAY-00553</t>
  </si>
  <si>
    <t>VPAY-00554</t>
  </si>
  <si>
    <t>VPAY-00555</t>
  </si>
  <si>
    <t>VPAY-00556</t>
  </si>
  <si>
    <t>VPAY-00557</t>
  </si>
  <si>
    <t>VPAY-00558</t>
  </si>
  <si>
    <t>VPAY-00559</t>
  </si>
  <si>
    <t>VPAY-00560</t>
  </si>
  <si>
    <t>VPAY-00561</t>
  </si>
  <si>
    <t>VPAY-00562</t>
  </si>
  <si>
    <t>VPAY-00563</t>
  </si>
  <si>
    <t>VPAY-00564</t>
  </si>
  <si>
    <t>VPAY-00565</t>
  </si>
  <si>
    <t>VPAY-00566</t>
  </si>
  <si>
    <t>VPAY-00567</t>
  </si>
  <si>
    <t>VPAY-00568</t>
  </si>
  <si>
    <t>VPAY-00569</t>
  </si>
  <si>
    <t>VPAY-00570</t>
  </si>
  <si>
    <t>VPAY-00571</t>
  </si>
  <si>
    <t>VPAY-00572</t>
  </si>
  <si>
    <t>VPAY-00573</t>
  </si>
  <si>
    <t>VPAY-00574</t>
  </si>
  <si>
    <t>VPAY-00575</t>
  </si>
  <si>
    <t>VPAY-00576</t>
  </si>
  <si>
    <t>VPAY-00577</t>
  </si>
  <si>
    <t>VPAY-00578</t>
  </si>
  <si>
    <t>VPAY-00579</t>
  </si>
  <si>
    <t>VPAY-00580</t>
  </si>
  <si>
    <t>VPAY-00581</t>
  </si>
  <si>
    <t>VPAY-00582</t>
  </si>
  <si>
    <t>VPAY-00583</t>
  </si>
  <si>
    <t>VPAY-00584</t>
  </si>
  <si>
    <t>VPAY-00585</t>
  </si>
  <si>
    <t>VPAY-00586</t>
  </si>
  <si>
    <t>VPAY-00587</t>
  </si>
  <si>
    <t>VPAY-00588</t>
  </si>
  <si>
    <t>VPAY-00589</t>
  </si>
  <si>
    <t>VPAY-00590</t>
  </si>
  <si>
    <t>VPAY-00591</t>
  </si>
  <si>
    <t>VPAY-00592</t>
  </si>
  <si>
    <t>VPAY-00593</t>
  </si>
  <si>
    <t>VPAY-00594</t>
  </si>
  <si>
    <t>VPAY-00595</t>
  </si>
  <si>
    <t>VPAY-00596</t>
  </si>
  <si>
    <t>VPAY-00597</t>
  </si>
  <si>
    <t>VPAY-00598</t>
  </si>
  <si>
    <t>VPAY-00599</t>
  </si>
  <si>
    <t>VPAY-00600</t>
  </si>
  <si>
    <t>VPAY-00601</t>
  </si>
  <si>
    <t>VPAY-00602</t>
  </si>
  <si>
    <t>VPAY-00603</t>
  </si>
  <si>
    <t>VPAY-00604</t>
  </si>
  <si>
    <t>VPAY-00605</t>
  </si>
  <si>
    <t>VPAY-00606</t>
  </si>
  <si>
    <t>VPAY-00607</t>
  </si>
  <si>
    <t>VPAY-00608</t>
  </si>
  <si>
    <t>VPAY-00609</t>
  </si>
  <si>
    <t>VPAY-00610</t>
  </si>
  <si>
    <t>VPAY-00611</t>
  </si>
  <si>
    <t>VPAY-00612</t>
  </si>
  <si>
    <t>VPAY-00613</t>
  </si>
  <si>
    <t>VPAY-00614</t>
  </si>
  <si>
    <t>VPAY-00615</t>
  </si>
  <si>
    <t>VPAY-00616</t>
  </si>
  <si>
    <t>VPAY-00617</t>
  </si>
  <si>
    <t>VPAY-00618</t>
  </si>
  <si>
    <t>VPAY-00619</t>
  </si>
  <si>
    <t>VPAY-00620</t>
  </si>
  <si>
    <t>VPAY-00621</t>
  </si>
  <si>
    <t>VPAY-00622</t>
  </si>
  <si>
    <t>VPAY-00623</t>
  </si>
  <si>
    <t>VPAY-00624</t>
  </si>
  <si>
    <t>VPAY-00625</t>
  </si>
  <si>
    <t>VPAY-00626</t>
  </si>
  <si>
    <t>VPAY-00627</t>
  </si>
  <si>
    <t>VPAY-00628</t>
  </si>
  <si>
    <t>VPAY-00629</t>
  </si>
  <si>
    <t>VPAY-00630</t>
  </si>
  <si>
    <t>VPAY-00631</t>
  </si>
  <si>
    <t>VPAY-00632</t>
  </si>
  <si>
    <t>VPAY-00633</t>
  </si>
  <si>
    <t>VPAY-00634</t>
  </si>
  <si>
    <t>VPAY-00635</t>
  </si>
  <si>
    <t>VPAY-00636</t>
  </si>
  <si>
    <t>VPAY-00637</t>
  </si>
  <si>
    <t>VPAY-00638</t>
  </si>
  <si>
    <t>VPAY-00639</t>
  </si>
  <si>
    <t>VPAY-00640</t>
  </si>
  <si>
    <t>VPAY-00641</t>
  </si>
  <si>
    <t>VPAY-00642</t>
  </si>
  <si>
    <t>VPAY-00643</t>
  </si>
  <si>
    <t>VPAY-00644</t>
  </si>
  <si>
    <t>VPAY-00645</t>
  </si>
  <si>
    <t>VPAY-00646</t>
  </si>
  <si>
    <t>VPAY-00647</t>
  </si>
  <si>
    <t>VPAY-00648</t>
  </si>
  <si>
    <t>VPAY-00649</t>
  </si>
  <si>
    <t>VPAY-00650</t>
  </si>
  <si>
    <t>VPAY-00651</t>
  </si>
  <si>
    <t>VPAY-00652</t>
  </si>
  <si>
    <t>VPAY-00653</t>
  </si>
  <si>
    <t>VPAY-00654</t>
  </si>
  <si>
    <t>VPAY-00655</t>
  </si>
  <si>
    <t>VPAY-00656</t>
  </si>
  <si>
    <t>VPAY-00657</t>
  </si>
  <si>
    <t>VPAY-00658</t>
  </si>
  <si>
    <t>VPAY-00659</t>
  </si>
  <si>
    <t>VPAY-00660</t>
  </si>
  <si>
    <t>VPAY-00661</t>
  </si>
  <si>
    <t>VPAY-00662</t>
  </si>
  <si>
    <t>VPAY-00663</t>
  </si>
  <si>
    <t>VPAY-00664</t>
  </si>
  <si>
    <t>VPAY-00665</t>
  </si>
  <si>
    <t>VPAY-00666</t>
  </si>
  <si>
    <t>VPAY-00667</t>
  </si>
  <si>
    <t>VPAY-00668</t>
  </si>
  <si>
    <t>VPAY-00669</t>
  </si>
  <si>
    <t>VPAY-00670</t>
  </si>
  <si>
    <t>VPAY-00671</t>
  </si>
  <si>
    <t>VPAY-00672</t>
  </si>
  <si>
    <t>VPAY-00673</t>
  </si>
  <si>
    <t>VPAY-00674</t>
  </si>
  <si>
    <t>VPAY-00675</t>
  </si>
  <si>
    <t>VPAY-00676</t>
  </si>
  <si>
    <t>VPAY-00677</t>
  </si>
  <si>
    <t>VPAY-00678</t>
  </si>
  <si>
    <t>VPAY-00679</t>
  </si>
  <si>
    <t>VPAY-00680</t>
  </si>
  <si>
    <t>VPAY-00681</t>
  </si>
  <si>
    <t>VPAY-00682</t>
  </si>
  <si>
    <t>VPAY-00683</t>
  </si>
  <si>
    <t>VPAY-00684</t>
  </si>
  <si>
    <t>VPAY-00685</t>
  </si>
  <si>
    <t>VPAY-00686</t>
  </si>
  <si>
    <t>VPAY-00687</t>
  </si>
  <si>
    <t>VPAY-00688</t>
  </si>
  <si>
    <t>VPAY-00689</t>
  </si>
  <si>
    <t>VPAY-00690</t>
  </si>
  <si>
    <t>VPAY-00691</t>
  </si>
  <si>
    <t>VPAY-00692</t>
  </si>
  <si>
    <t>VPAY-00693</t>
  </si>
  <si>
    <t>VPAY-00694</t>
  </si>
  <si>
    <t>VPAY-00695</t>
  </si>
  <si>
    <t>VPAY-00696</t>
  </si>
  <si>
    <t>VPAY-00697</t>
  </si>
  <si>
    <t>VPAY-00698</t>
  </si>
  <si>
    <t>VPAY-00699</t>
  </si>
  <si>
    <t>VPAY-00700</t>
  </si>
  <si>
    <t>VPAY-00701</t>
  </si>
  <si>
    <t>VPAY-00702</t>
  </si>
  <si>
    <t>VPAY-00703</t>
  </si>
  <si>
    <t>VPAY-00704</t>
  </si>
  <si>
    <t>VPAY-00705</t>
  </si>
  <si>
    <t>VPAY-00706</t>
  </si>
  <si>
    <t>VPAY-00707</t>
  </si>
  <si>
    <t>VPAY-00708</t>
  </si>
  <si>
    <t>VPAY-00709</t>
  </si>
  <si>
    <t>VPAY-00710</t>
  </si>
  <si>
    <t>VPAY-00711</t>
  </si>
  <si>
    <t>VPAY-00712</t>
  </si>
  <si>
    <t>VPAY-00713</t>
  </si>
  <si>
    <t>VPAY-00714</t>
  </si>
  <si>
    <t>VPAY-00715</t>
  </si>
  <si>
    <t>VPAY-00716</t>
  </si>
  <si>
    <t>VPAY-00717</t>
  </si>
  <si>
    <t>VPAY-00718</t>
  </si>
  <si>
    <t>VPAY-00719</t>
  </si>
  <si>
    <t>VPAY-00720</t>
  </si>
  <si>
    <t>VPAY-00721</t>
  </si>
  <si>
    <t>VPAY-00722</t>
  </si>
  <si>
    <t>VPAY-00723</t>
  </si>
  <si>
    <t>VPAY-00724</t>
  </si>
  <si>
    <t>VPAY-00725</t>
  </si>
  <si>
    <t>VPAY-00726</t>
  </si>
  <si>
    <t>VPAY-00727</t>
  </si>
  <si>
    <t>VPAY-00728</t>
  </si>
  <si>
    <t>VPAY-00729</t>
  </si>
  <si>
    <t>VPAY-00730</t>
  </si>
  <si>
    <t>VPAY-00731</t>
  </si>
  <si>
    <t>VPAY-00732</t>
  </si>
  <si>
    <t>VPAY-00733</t>
  </si>
  <si>
    <t>VPAY-00734</t>
  </si>
  <si>
    <t>VPAY-00735</t>
  </si>
  <si>
    <t>VPAY-00736</t>
  </si>
  <si>
    <t>VPAY-00737</t>
  </si>
  <si>
    <t>VPAY-00738</t>
  </si>
  <si>
    <t>VPAY-00739</t>
  </si>
  <si>
    <t>VPAY-00740</t>
  </si>
  <si>
    <t>VPAY-00741</t>
  </si>
  <si>
    <t>VPAY-00742</t>
  </si>
  <si>
    <t>VPAY-00743</t>
  </si>
  <si>
    <t>VPAY-00744</t>
  </si>
  <si>
    <t>VPAY-00745</t>
  </si>
  <si>
    <t>VPAY-00746</t>
  </si>
  <si>
    <t>VPAY-00747</t>
  </si>
  <si>
    <t>VPAY-00748</t>
  </si>
  <si>
    <t>VPAY-00749</t>
  </si>
  <si>
    <t>VPAY-00750</t>
  </si>
  <si>
    <t>VPAY-00751</t>
  </si>
  <si>
    <t>VPAY-00752</t>
  </si>
  <si>
    <t>VPAY-00753</t>
  </si>
  <si>
    <t>VPAY-00754</t>
  </si>
  <si>
    <t>VPAY-00755</t>
  </si>
  <si>
    <t>VPAY-00756</t>
  </si>
  <si>
    <t>VPAY-00757</t>
  </si>
  <si>
    <t>VPAY-00758</t>
  </si>
  <si>
    <t>VPAY-00759</t>
  </si>
  <si>
    <t>VPAY-00760</t>
  </si>
  <si>
    <t>VPAY-00761</t>
  </si>
  <si>
    <t>VPAY-00762</t>
  </si>
  <si>
    <t>VPAY-00763</t>
  </si>
  <si>
    <t>VPAY-00764</t>
  </si>
  <si>
    <t>VPAY-00765</t>
  </si>
  <si>
    <t>VPAY-00766</t>
  </si>
  <si>
    <t>VPAY-00767</t>
  </si>
  <si>
    <t>VPAY-00768</t>
  </si>
  <si>
    <t>VPAY-00769</t>
  </si>
  <si>
    <t>VPAY-00770</t>
  </si>
  <si>
    <t>VPAY-00771</t>
  </si>
  <si>
    <t>VPAY-00772</t>
  </si>
  <si>
    <t>VPAY-00773</t>
  </si>
  <si>
    <t>VPAY-00774</t>
  </si>
  <si>
    <t>VPAY-00775</t>
  </si>
  <si>
    <t>VPAY-00776</t>
  </si>
  <si>
    <t>VPAY-00777</t>
  </si>
  <si>
    <t>VPAY-00778</t>
  </si>
  <si>
    <t>VPAY-00779</t>
  </si>
  <si>
    <t>VPAY-00780</t>
  </si>
  <si>
    <t>VPAY-00781</t>
  </si>
  <si>
    <t>VPAY-00782</t>
  </si>
  <si>
    <t>VPAY-00783</t>
  </si>
  <si>
    <t>VPAY-00784</t>
  </si>
  <si>
    <t>VPAY-00785</t>
  </si>
  <si>
    <t>VPAY-00786</t>
  </si>
  <si>
    <t>VPAY-00787</t>
  </si>
  <si>
    <t>VPAY-00788</t>
  </si>
  <si>
    <t>VPAY-00789</t>
  </si>
  <si>
    <t>VPAY-00790</t>
  </si>
  <si>
    <t>VPAY-00791</t>
  </si>
  <si>
    <t>VPAY-00792</t>
  </si>
  <si>
    <t>VPAY-00793</t>
  </si>
  <si>
    <t>VPAY-00794</t>
  </si>
  <si>
    <t>VPAY-00795</t>
  </si>
  <si>
    <t>VPAY-00796</t>
  </si>
  <si>
    <t>VPAY-00797</t>
  </si>
  <si>
    <t>VPAY-00798</t>
  </si>
  <si>
    <t>VPAY-00799</t>
  </si>
  <si>
    <t>VPAY-00800</t>
  </si>
  <si>
    <t>VPAY-00801</t>
  </si>
  <si>
    <t>VPAY-00802</t>
  </si>
  <si>
    <t>VPAY-00803</t>
  </si>
  <si>
    <t>VPAY-00804</t>
  </si>
  <si>
    <t>VPAY-00805</t>
  </si>
  <si>
    <t>VPAY-00806</t>
  </si>
  <si>
    <t>VPAY-00807</t>
  </si>
  <si>
    <t>VPAY-00808</t>
  </si>
  <si>
    <t>VPAY-00809</t>
  </si>
  <si>
    <t>VPAY-00810</t>
  </si>
  <si>
    <t>VPAY-00811</t>
  </si>
  <si>
    <t>VPAY-00812</t>
  </si>
  <si>
    <t>VPAY-00813</t>
  </si>
  <si>
    <t>VPAY-00814</t>
  </si>
  <si>
    <t>VPAY-00815</t>
  </si>
  <si>
    <t>VPAY-00816</t>
  </si>
  <si>
    <t>VPAY-00817</t>
  </si>
  <si>
    <t>VPAY-00818</t>
  </si>
  <si>
    <t>VPAY-00819</t>
  </si>
  <si>
    <t>VPAY-00820</t>
  </si>
  <si>
    <t>VPAY-00821</t>
  </si>
  <si>
    <t>VPAY-00822</t>
  </si>
  <si>
    <t>VPAY-00823</t>
  </si>
  <si>
    <t>VPAY-00824</t>
  </si>
  <si>
    <t>VPAY-00825</t>
  </si>
  <si>
    <t>VPAY-00826</t>
  </si>
  <si>
    <t>VPAY-00827</t>
  </si>
  <si>
    <t>VPAY-00828</t>
  </si>
  <si>
    <t>VPAY-00829</t>
  </si>
  <si>
    <t>VPAY-00830</t>
  </si>
  <si>
    <t>VPAY-00831</t>
  </si>
  <si>
    <t>VPAY-00832</t>
  </si>
  <si>
    <t>VPAY-00833</t>
  </si>
  <si>
    <t>VPAY-00834</t>
  </si>
  <si>
    <t>VPAY-00835</t>
  </si>
  <si>
    <t>VPAY-00836</t>
  </si>
  <si>
    <t>VPAY-00837</t>
  </si>
  <si>
    <t>VPAY-00838</t>
  </si>
  <si>
    <t>VPAY-00839</t>
  </si>
  <si>
    <t>VPAY-00840</t>
  </si>
  <si>
    <t>VPAY-00841</t>
  </si>
  <si>
    <t>VPAY-00842</t>
  </si>
  <si>
    <t>VPAY-00843</t>
  </si>
  <si>
    <t>VPAY-00844</t>
  </si>
  <si>
    <t>VPAY-00845</t>
  </si>
  <si>
    <t>VPAY-00846</t>
  </si>
  <si>
    <t>VPAY-00847</t>
  </si>
  <si>
    <t>VPAY-00848</t>
  </si>
  <si>
    <t>VPAY-00849</t>
  </si>
  <si>
    <t>VPAY-00850</t>
  </si>
  <si>
    <t>VPAY-00851</t>
  </si>
  <si>
    <t>VPAY-00852</t>
  </si>
  <si>
    <t>VPAY-00853</t>
  </si>
  <si>
    <t>VPAY-00854</t>
  </si>
  <si>
    <t>VPAY-00855</t>
  </si>
  <si>
    <t>VPAY-00856</t>
  </si>
  <si>
    <t>VPAY-00857</t>
  </si>
  <si>
    <t>VPAY-00858</t>
  </si>
  <si>
    <t>VPAY-00859</t>
  </si>
  <si>
    <t>VPAY-00860</t>
  </si>
  <si>
    <t>VPAY-00861</t>
  </si>
  <si>
    <t>VPAY-00862</t>
  </si>
  <si>
    <t>VPAY-00863</t>
  </si>
  <si>
    <t>VPAY-00864</t>
  </si>
  <si>
    <t>VPAY-00865</t>
  </si>
  <si>
    <t>VPAY-00866</t>
  </si>
  <si>
    <t>VPAY-00867</t>
  </si>
  <si>
    <t>VPAY-00868</t>
  </si>
  <si>
    <t>VPAY-00869</t>
  </si>
  <si>
    <t>VPAY-00870</t>
  </si>
  <si>
    <t>VPAY-00871</t>
  </si>
  <si>
    <t>VPAY-00872</t>
  </si>
  <si>
    <t>VPAY-00873</t>
  </si>
  <si>
    <t>VPAY-00874</t>
  </si>
  <si>
    <t>VPAY-00875</t>
  </si>
  <si>
    <t>VPAY-00876</t>
  </si>
  <si>
    <t>VPAY-00877</t>
  </si>
  <si>
    <t>VPAY-00878</t>
  </si>
  <si>
    <t>VPAY-00879</t>
  </si>
  <si>
    <t>VPAY-00880</t>
  </si>
  <si>
    <t>VPAY-00881</t>
  </si>
  <si>
    <t>VPAY-00882</t>
  </si>
  <si>
    <t>VPAY-00883</t>
  </si>
  <si>
    <t>VPAY-00884</t>
  </si>
  <si>
    <t>VPAY-00885</t>
  </si>
  <si>
    <t>VPAY-00886</t>
  </si>
  <si>
    <t>VPAY-00887</t>
  </si>
  <si>
    <t>VPAY-00888</t>
  </si>
  <si>
    <t>VPAY-00889</t>
  </si>
  <si>
    <t>VPAY-00890</t>
  </si>
  <si>
    <t>VPAY-00891</t>
  </si>
  <si>
    <t>VPAY-00892</t>
  </si>
  <si>
    <t>VPAY-00893</t>
  </si>
  <si>
    <t>VPAY-00894</t>
  </si>
  <si>
    <t>VPAY-00895</t>
  </si>
  <si>
    <t>VPAY-00896</t>
  </si>
  <si>
    <t>VPAY-00897</t>
  </si>
  <si>
    <t>VPAY-00898</t>
  </si>
  <si>
    <t>VPAY-00899</t>
  </si>
  <si>
    <t>VPAY-00900</t>
  </si>
  <si>
    <t>VPAY-00901</t>
  </si>
  <si>
    <t>VPAY-00902</t>
  </si>
  <si>
    <t>VPAY-00903</t>
  </si>
  <si>
    <t>VPAY-00904</t>
  </si>
  <si>
    <t>VPAY-00905</t>
  </si>
  <si>
    <t>VPAY-00906</t>
  </si>
  <si>
    <t>VPAY-00907</t>
  </si>
  <si>
    <t>VPAY-00908</t>
  </si>
  <si>
    <t>VPAY-00909</t>
  </si>
  <si>
    <t>VPAY-00910</t>
  </si>
  <si>
    <t>VPAY-00911</t>
  </si>
  <si>
    <t>VPAY-00912</t>
  </si>
  <si>
    <t>VPAY-00913</t>
  </si>
  <si>
    <t>VPAY-00914</t>
  </si>
  <si>
    <t>VPAY-00915</t>
  </si>
  <si>
    <t>VPAY-00916</t>
  </si>
  <si>
    <t>VPAY-00917</t>
  </si>
  <si>
    <t>VPAY-00918</t>
  </si>
  <si>
    <t>VPAY-00919</t>
  </si>
  <si>
    <t>VPAY-00920</t>
  </si>
  <si>
    <t>VPAY-00921</t>
  </si>
  <si>
    <t>VPAY-00922</t>
  </si>
  <si>
    <t>VPAY-00923</t>
  </si>
  <si>
    <t>VPAY-00924</t>
  </si>
  <si>
    <t>VPAY-00925</t>
  </si>
  <si>
    <t>VPAY-00926</t>
  </si>
  <si>
    <t>VPAY-00927</t>
  </si>
  <si>
    <t>VPAY-00928</t>
  </si>
  <si>
    <t>VPAY-00929</t>
  </si>
  <si>
    <t>VPAY-00930</t>
  </si>
  <si>
    <t>VPAY-00931</t>
  </si>
  <si>
    <t>VPAY-00932</t>
  </si>
  <si>
    <t>VPAY-00933</t>
  </si>
  <si>
    <t>VPAY-00934</t>
  </si>
  <si>
    <t>VPAY-00935</t>
  </si>
  <si>
    <t>VPAY-00936</t>
  </si>
  <si>
    <t>VPAY-00937</t>
  </si>
  <si>
    <t>VPAY-00938</t>
  </si>
  <si>
    <t>VPAY-00939</t>
  </si>
  <si>
    <t>VPAY-00940</t>
  </si>
  <si>
    <t>VPAY-00941</t>
  </si>
  <si>
    <t>VPAY-00942</t>
  </si>
  <si>
    <t>VPAY-00943</t>
  </si>
  <si>
    <t>VPAY-00944</t>
  </si>
  <si>
    <t>VPAY-00945</t>
  </si>
  <si>
    <t>VPAY-00946</t>
  </si>
  <si>
    <t>VPAY-00947</t>
  </si>
  <si>
    <t>VPAY-00948</t>
  </si>
  <si>
    <t>VPAY-00949</t>
  </si>
  <si>
    <t>VPAY-00950</t>
  </si>
  <si>
    <t>VPAY-00951</t>
  </si>
  <si>
    <t>VPAY-00952</t>
  </si>
  <si>
    <t>VPAY-00953</t>
  </si>
  <si>
    <t>VPAY-00954</t>
  </si>
  <si>
    <t>VPAY-00955</t>
  </si>
  <si>
    <t>VPAY-00956</t>
  </si>
  <si>
    <t>VPAY-00957</t>
  </si>
  <si>
    <t>VPAY-00958</t>
  </si>
  <si>
    <t>VPAY-00959</t>
  </si>
  <si>
    <t>VPAY-00960</t>
  </si>
  <si>
    <t>VPAY-00961</t>
  </si>
  <si>
    <t>VPAY-00962</t>
  </si>
  <si>
    <t>VPAY-00963</t>
  </si>
  <si>
    <t>VPAY-00964</t>
  </si>
  <si>
    <t>VPAY-00965</t>
  </si>
  <si>
    <t>VPAY-00966</t>
  </si>
  <si>
    <t>VPAY-00967</t>
  </si>
  <si>
    <t>VPAY-00968</t>
  </si>
  <si>
    <t>VPAY-00969</t>
  </si>
  <si>
    <t>VPAY-00970</t>
  </si>
  <si>
    <t>VPAY-00971</t>
  </si>
  <si>
    <t>VPAY-00972</t>
  </si>
  <si>
    <t>VPAY-00973</t>
  </si>
  <si>
    <t>VPAY-00974</t>
  </si>
  <si>
    <t>VPAY-00975</t>
  </si>
  <si>
    <t>VPAY-00976</t>
  </si>
  <si>
    <t>VPAY-00977</t>
  </si>
  <si>
    <t>VPAY-00978</t>
  </si>
  <si>
    <t>VPAY-00979</t>
  </si>
  <si>
    <t>VPAY-00980</t>
  </si>
  <si>
    <t>VPAY-00981</t>
  </si>
  <si>
    <t>VPAY-00982</t>
  </si>
  <si>
    <t>VPAY-00983</t>
  </si>
  <si>
    <t>VPAY-00984</t>
  </si>
  <si>
    <t>VPAY-00985</t>
  </si>
  <si>
    <t>VPAY-00986</t>
  </si>
  <si>
    <t>VPAY-00987</t>
  </si>
  <si>
    <t>VPAY-00988</t>
  </si>
  <si>
    <t>TransactionDate</t>
  </si>
  <si>
    <t>Description</t>
  </si>
  <si>
    <t>Amount</t>
  </si>
  <si>
    <t>Type</t>
  </si>
  <si>
    <t>ReferenceID</t>
  </si>
  <si>
    <t>Customer Payment</t>
  </si>
  <si>
    <t>Deposit</t>
  </si>
  <si>
    <t>Vendor Payment</t>
  </si>
  <si>
    <t>Withdrawal</t>
  </si>
  <si>
    <t>Payroll</t>
  </si>
  <si>
    <t>PAYROLL</t>
  </si>
  <si>
    <t>InvoiceAmount</t>
  </si>
  <si>
    <t>AmountPaid</t>
  </si>
  <si>
    <t>OutstandingAmount</t>
  </si>
  <si>
    <t>DaysOutstanding</t>
  </si>
  <si>
    <t>AgingBucket</t>
  </si>
  <si>
    <t>Aging Bucket</t>
  </si>
  <si>
    <t>Outstanding Balance</t>
  </si>
  <si>
    <t>% of Total AR</t>
  </si>
  <si>
    <t>Current</t>
  </si>
  <si>
    <t>Total</t>
  </si>
  <si>
    <t>Report Date: March 10, 2026</t>
  </si>
  <si>
    <t>1-30 Days</t>
  </si>
  <si>
    <t>31-60 Days</t>
  </si>
  <si>
    <t>61-90 Days</t>
  </si>
  <si>
    <t>90+ Days</t>
  </si>
  <si>
    <t>ACCOUNTS RECEIVABLE AGING SUMMARY</t>
  </si>
  <si>
    <t>OutstandingBalance</t>
  </si>
  <si>
    <t>NovaTech Commerce Ltd</t>
  </si>
  <si>
    <t>Accounts Payable Aging Summary</t>
  </si>
  <si>
    <t>As of March 10, 2026</t>
  </si>
  <si>
    <t>Aging Brucket</t>
  </si>
  <si>
    <t>%  of Total AP</t>
  </si>
  <si>
    <t>Total AP</t>
  </si>
  <si>
    <t>0=</t>
  </si>
  <si>
    <t>Financial Performance Dashboard</t>
  </si>
  <si>
    <t>Period: Nov 2025 - Mar 2026</t>
  </si>
  <si>
    <t>Total Revenue</t>
  </si>
  <si>
    <t>Total Accounts Payable</t>
  </si>
  <si>
    <t>Cash Balance</t>
  </si>
  <si>
    <t>Total Accounts Receivable</t>
  </si>
  <si>
    <t>Gross Profit</t>
  </si>
  <si>
    <t>Cash Conversion Cycle (CCC)</t>
  </si>
  <si>
    <t>Revenue &amp; Profitability</t>
  </si>
  <si>
    <t>Cost of Goods Sold</t>
  </si>
  <si>
    <t>Gross Margin</t>
  </si>
  <si>
    <t>Working Capital</t>
  </si>
  <si>
    <t>Efficiency Metrics</t>
  </si>
  <si>
    <t>Days Sales Outstanding (DSO)</t>
  </si>
  <si>
    <t>Days Payable Outstanding (DPO)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</si>
</sst>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73" formatCode="0.0%"/>
    <numFmt numFmtId="177" formatCode="_(&quot;$&quot;* #,##0_);_(&quot;$&quot;* \(#,##0\);_(&quot;$&quot;* &quot;-&quot;??_);_(@_)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auto="1"/>
      </top>
      <bottom style="double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63">
    <xf numFmtId="0" fontId="0" fillId="0" borderId="0" xfId="0"/>
    <xf numFmtId="0" fontId="1" fillId="0" borderId="2" xfId="0" applyFont="1" applyBorder="1" applyAlignment="1">
      <alignment horizontal="center" vertical="top"/>
    </xf>
    <xf numFmtId="44" fontId="0" fillId="0" borderId="2" xfId="0" applyNumberFormat="1" applyFont="1" applyBorder="1" applyAlignment="1">
      <alignment horizontal="center" vertical="top"/>
    </xf>
    <xf numFmtId="44" fontId="0" fillId="0" borderId="0" xfId="0" applyNumberFormat="1"/>
    <xf numFmtId="44" fontId="0" fillId="2" borderId="4" xfId="0" applyNumberFormat="1" applyFont="1" applyFill="1" applyBorder="1"/>
    <xf numFmtId="44" fontId="0" fillId="3" borderId="4" xfId="0" applyNumberFormat="1" applyFont="1" applyFill="1" applyBorder="1"/>
    <xf numFmtId="49" fontId="0" fillId="0" borderId="2" xfId="0" applyNumberFormat="1" applyFont="1" applyBorder="1" applyAlignment="1">
      <alignment horizontal="center" vertical="top"/>
    </xf>
    <xf numFmtId="49" fontId="0" fillId="0" borderId="0" xfId="0" applyNumberFormat="1"/>
    <xf numFmtId="14" fontId="0" fillId="0" borderId="2" xfId="0" applyNumberFormat="1" applyFont="1" applyBorder="1" applyAlignment="1">
      <alignment horizontal="center" vertical="top"/>
    </xf>
    <xf numFmtId="14" fontId="0" fillId="0" borderId="0" xfId="0" applyNumberFormat="1"/>
    <xf numFmtId="14" fontId="0" fillId="2" borderId="4" xfId="0" applyNumberFormat="1" applyFont="1" applyFill="1" applyBorder="1"/>
    <xf numFmtId="14" fontId="0" fillId="3" borderId="4" xfId="0" applyNumberFormat="1" applyFont="1" applyFill="1" applyBorder="1"/>
    <xf numFmtId="49" fontId="1" fillId="0" borderId="2" xfId="0" applyNumberFormat="1" applyFont="1" applyBorder="1" applyAlignment="1">
      <alignment horizontal="center" vertical="top"/>
    </xf>
    <xf numFmtId="14" fontId="1" fillId="0" borderId="2" xfId="0" applyNumberFormat="1" applyFont="1" applyBorder="1" applyAlignment="1">
      <alignment horizontal="center" vertical="top"/>
    </xf>
    <xf numFmtId="44" fontId="1" fillId="0" borderId="2" xfId="0" applyNumberFormat="1" applyFont="1" applyBorder="1" applyAlignment="1">
      <alignment horizontal="center" vertical="top"/>
    </xf>
    <xf numFmtId="44" fontId="0" fillId="3" borderId="6" xfId="0" applyNumberFormat="1" applyFont="1" applyFill="1" applyBorder="1"/>
    <xf numFmtId="0" fontId="0" fillId="0" borderId="0" xfId="0" applyAlignment="1">
      <alignment vertical="center" wrapText="1"/>
    </xf>
    <xf numFmtId="0" fontId="3" fillId="4" borderId="0" xfId="0" applyFont="1" applyFill="1" applyAlignment="1">
      <alignment horizontal="center"/>
    </xf>
    <xf numFmtId="14" fontId="0" fillId="3" borderId="6" xfId="0" applyNumberFormat="1" applyFont="1" applyFill="1" applyBorder="1"/>
    <xf numFmtId="0" fontId="3" fillId="4" borderId="0" xfId="0" applyNumberFormat="1" applyFont="1" applyFill="1" applyAlignment="1">
      <alignment horizontal="center"/>
    </xf>
    <xf numFmtId="0" fontId="0" fillId="2" borderId="4" xfId="0" applyNumberFormat="1" applyFont="1" applyFill="1" applyBorder="1"/>
    <xf numFmtId="0" fontId="0" fillId="3" borderId="4" xfId="0" applyNumberFormat="1" applyFont="1" applyFill="1" applyBorder="1"/>
    <xf numFmtId="0" fontId="0" fillId="3" borderId="6" xfId="0" applyNumberFormat="1" applyFont="1" applyFill="1" applyBorder="1"/>
    <xf numFmtId="0" fontId="3" fillId="4" borderId="0" xfId="0" applyNumberFormat="1" applyFont="1" applyFill="1" applyAlignment="1">
      <alignment horizontal="center" vertical="center" wrapText="1"/>
    </xf>
    <xf numFmtId="0" fontId="0" fillId="2" borderId="3" xfId="0" applyNumberFormat="1" applyFont="1" applyFill="1" applyBorder="1"/>
    <xf numFmtId="0" fontId="0" fillId="3" borderId="3" xfId="0" applyNumberFormat="1" applyFont="1" applyFill="1" applyBorder="1"/>
    <xf numFmtId="0" fontId="0" fillId="3" borderId="5" xfId="0" applyNumberFormat="1" applyFont="1" applyFill="1" applyBorder="1"/>
    <xf numFmtId="14" fontId="3" fillId="4" borderId="0" xfId="0" applyNumberFormat="1" applyFont="1" applyFill="1" applyAlignment="1">
      <alignment horizontal="center"/>
    </xf>
    <xf numFmtId="1" fontId="3" fillId="4" borderId="0" xfId="0" applyNumberFormat="1" applyFont="1" applyFill="1" applyAlignment="1">
      <alignment horizontal="center"/>
    </xf>
    <xf numFmtId="1" fontId="0" fillId="0" borderId="0" xfId="0" applyNumberFormat="1"/>
    <xf numFmtId="44" fontId="3" fillId="4" borderId="0" xfId="0" applyNumberFormat="1" applyFont="1" applyFill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vertical="center" wrapText="1"/>
    </xf>
    <xf numFmtId="173" fontId="0" fillId="0" borderId="0" xfId="2" applyNumberFormat="1" applyFont="1"/>
    <xf numFmtId="177" fontId="2" fillId="0" borderId="0" xfId="1" applyNumberFormat="1" applyFont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177" fontId="2" fillId="0" borderId="8" xfId="1" applyNumberFormat="1" applyFont="1" applyBorder="1" applyAlignment="1">
      <alignment horizontal="center" vertical="center" wrapText="1"/>
    </xf>
    <xf numFmtId="173" fontId="0" fillId="0" borderId="0" xfId="2" applyNumberFormat="1" applyFont="1" applyAlignment="1">
      <alignment horizontal="right"/>
    </xf>
    <xf numFmtId="173" fontId="0" fillId="0" borderId="8" xfId="2" applyNumberFormat="1" applyFont="1" applyBorder="1" applyAlignment="1">
      <alignment horizontal="right"/>
    </xf>
    <xf numFmtId="0" fontId="7" fillId="4" borderId="0" xfId="0" applyFont="1" applyFill="1" applyAlignment="1">
      <alignment horizontal="center"/>
    </xf>
    <xf numFmtId="0" fontId="4" fillId="0" borderId="0" xfId="0" applyFont="1"/>
    <xf numFmtId="0" fontId="9" fillId="0" borderId="0" xfId="0" applyFont="1"/>
    <xf numFmtId="0" fontId="10" fillId="0" borderId="0" xfId="0" applyFont="1"/>
    <xf numFmtId="0" fontId="1" fillId="0" borderId="9" xfId="0" applyFont="1" applyBorder="1"/>
    <xf numFmtId="44" fontId="1" fillId="0" borderId="9" xfId="0" applyNumberFormat="1" applyFont="1" applyBorder="1"/>
    <xf numFmtId="9" fontId="1" fillId="0" borderId="9" xfId="2" applyFont="1" applyBorder="1"/>
    <xf numFmtId="0" fontId="4" fillId="0" borderId="0" xfId="0" applyFont="1" applyAlignment="1"/>
    <xf numFmtId="0" fontId="5" fillId="5" borderId="0" xfId="0" applyFont="1" applyFill="1" applyAlignment="1">
      <alignment horizontal="center"/>
    </xf>
    <xf numFmtId="0" fontId="9" fillId="0" borderId="0" xfId="0" applyFont="1" applyAlignment="1"/>
    <xf numFmtId="0" fontId="9" fillId="6" borderId="0" xfId="0" applyFont="1" applyFill="1" applyAlignment="1">
      <alignment horizontal="center"/>
    </xf>
    <xf numFmtId="0" fontId="10" fillId="0" borderId="0" xfId="0" applyFont="1" applyAlignment="1"/>
    <xf numFmtId="0" fontId="10" fillId="7" borderId="0" xfId="0" applyFont="1" applyFill="1" applyAlignment="1">
      <alignment horizontal="center"/>
    </xf>
    <xf numFmtId="0" fontId="0" fillId="0" borderId="1" xfId="0" applyBorder="1"/>
    <xf numFmtId="44" fontId="0" fillId="0" borderId="1" xfId="0" applyNumberFormat="1" applyBorder="1"/>
    <xf numFmtId="173" fontId="0" fillId="0" borderId="1" xfId="2" applyNumberFormat="1" applyFont="1" applyBorder="1"/>
    <xf numFmtId="2" fontId="0" fillId="0" borderId="1" xfId="0" applyNumberFormat="1" applyBorder="1"/>
    <xf numFmtId="0" fontId="3" fillId="5" borderId="7" xfId="0" applyFont="1" applyFill="1" applyBorder="1" applyAlignment="1">
      <alignment horizontal="left"/>
    </xf>
    <xf numFmtId="0" fontId="6" fillId="7" borderId="7" xfId="0" applyFont="1" applyFill="1" applyBorder="1"/>
    <xf numFmtId="0" fontId="8" fillId="7" borderId="0" xfId="0" applyFont="1" applyFill="1" applyAlignment="1">
      <alignment horizontal="left"/>
    </xf>
    <xf numFmtId="0" fontId="1" fillId="7" borderId="0" xfId="0" applyFont="1" applyFill="1" applyAlignment="1">
      <alignment vertical="center" wrapText="1"/>
    </xf>
    <xf numFmtId="177" fontId="1" fillId="7" borderId="0" xfId="1" applyNumberFormat="1" applyFont="1" applyFill="1"/>
    <xf numFmtId="173" fontId="1" fillId="7" borderId="0" xfId="0" applyNumberFormat="1" applyFont="1" applyFill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85">
    <dxf>
      <numFmt numFmtId="1" formatCode="0"/>
    </dxf>
    <dxf>
      <numFmt numFmtId="0" formatCode="General"/>
      <alignment horizontal="center" vertical="bottom" textRotation="0" wrapText="0" indent="0" justifyLastLine="0" shrinkToFit="0" readingOrder="0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(&quot;$&quot;* #,##0.00_);_(&quot;$&quot;* \(#,##0.00\);_(&quot;$&quot;* &quot;-&quot;??_);_(@_)"/>
      <fill>
        <patternFill patternType="solid">
          <fgColor theme="8" tint="0.79998168889431442"/>
          <bgColor theme="8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  <fill>
        <patternFill patternType="solid">
          <fgColor theme="8" tint="0.79998168889431442"/>
          <bgColor theme="8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  <fill>
        <patternFill patternType="solid">
          <fgColor theme="8" tint="0.79998168889431442"/>
          <bgColor theme="8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8" tint="0.79998168889431442"/>
          <bgColor theme="8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0" formatCode="General"/>
      <fill>
        <patternFill patternType="solid">
          <fgColor indexed="64"/>
          <bgColor theme="3" tint="-0.499984740745262"/>
        </patternFill>
      </fill>
      <alignment horizontal="center" vertical="bottom" textRotation="0" wrapText="0" indent="0" justifyLastLine="0" shrinkToFit="0" readingOrder="0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9" formatCode="m/d/yyyy"/>
    </dxf>
    <dxf>
      <numFmt numFmtId="34" formatCode="_(&quot;$&quot;* #,##0.00_);_(&quot;$&quot;* \(#,##0.00\);_(&quot;$&quot;* &quot;-&quot;??_);_(@_)"/>
    </dxf>
    <dxf>
      <numFmt numFmtId="19" formatCode="m/d/yyyy"/>
    </dxf>
    <dxf>
      <numFmt numFmtId="19" formatCode="m/d/yyyy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numFmt numFmtId="19" formatCode="m/d/yyyy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numFmt numFmtId="34" formatCode="_(&quot;$&quot;* #,##0.00_);_(&quot;$&quot;* \(#,##0.00\);_(&quot;$&quot;* &quot;-&quot;??_);_(@_)"/>
    </dxf>
    <dxf>
      <numFmt numFmtId="19" formatCode="m/d/yyyy"/>
    </dxf>
    <dxf>
      <numFmt numFmtId="19" formatCode="m/d/yyyy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numFmt numFmtId="34" formatCode="_(&quot;$&quot;* #,##0.00_);_(&quot;$&quot;* \(#,##0.00\);_(&quot;$&quot;* &quot;-&quot;??_);_(@_)"/>
    </dxf>
    <dxf>
      <numFmt numFmtId="19" formatCode="m/d/yyyy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numFmt numFmtId="34" formatCode="_(&quot;$&quot;* #,##0.00_);_(&quot;$&quot;* \(#,##0.00\);_(&quot;$&quot;* &quot;-&quot;??_);_(@_)"/>
    </dxf>
    <dxf>
      <numFmt numFmtId="19" formatCode="m/d/yyyy"/>
    </dxf>
    <dxf>
      <numFmt numFmtId="19" formatCode="m/d/yyyy"/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m/d/yyyy"/>
    </dxf>
    <dxf>
      <numFmt numFmtId="19" formatCode="m/d/yyyy"/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numFmt numFmtId="30" formatCode="@"/>
    </dxf>
    <dxf>
      <numFmt numFmtId="30" formatCode="@"/>
    </dxf>
    <dxf>
      <numFmt numFmtId="30" formatCode="@"/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bg1"/>
                </a:solidFill>
              </a:rPr>
              <a:t>Accounts Receivable Aging Analysis</a:t>
            </a:r>
          </a:p>
        </c:rich>
      </c:tx>
      <c:layout/>
      <c:overlay val="0"/>
      <c:spPr>
        <a:solidFill>
          <a:schemeClr val="accent1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131173859313105"/>
          <c:y val="0.14605405405405408"/>
          <c:w val="0.81941846529496754"/>
          <c:h val="0.77395218840888136"/>
        </c:manualLayout>
      </c:layout>
      <c:barChart>
        <c:barDir val="col"/>
        <c:grouping val="clustered"/>
        <c:varyColors val="0"/>
        <c:ser>
          <c:idx val="0"/>
          <c:order val="0"/>
          <c:tx>
            <c:v>Outstanding Balance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C2F-4984-9B17-21D220CCA80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C2F-4984-9B17-21D220CCA80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C2F-4984-9B17-21D220CCA80C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C2F-4984-9B17-21D220CCA80C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6C2F-4984-9B17-21D220CCA80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AR_Aging_Summary!$A$5:$A$9</c:f>
              <c:strCache>
                <c:ptCount val="5"/>
                <c:pt idx="0">
                  <c:v>Current</c:v>
                </c:pt>
                <c:pt idx="1">
                  <c:v>1-30 Days</c:v>
                </c:pt>
                <c:pt idx="2">
                  <c:v>31-60 Days</c:v>
                </c:pt>
                <c:pt idx="3">
                  <c:v>61-90 Days</c:v>
                </c:pt>
                <c:pt idx="4">
                  <c:v>90+ Days</c:v>
                </c:pt>
              </c:strCache>
            </c:strRef>
          </c:cat>
          <c:val>
            <c:numRef>
              <c:f>AR_Aging_Summary!$B$5:$B$9</c:f>
              <c:numCache>
                <c:formatCode>_("$"* #,##0_);_("$"* \(#,##0\);_("$"* "-"??_);_(@_)</c:formatCode>
                <c:ptCount val="5"/>
                <c:pt idx="0">
                  <c:v>1042557.4199999997</c:v>
                </c:pt>
                <c:pt idx="1">
                  <c:v>699592.24750000006</c:v>
                </c:pt>
                <c:pt idx="2">
                  <c:v>589117.49249999982</c:v>
                </c:pt>
                <c:pt idx="3">
                  <c:v>702523.2710000003</c:v>
                </c:pt>
                <c:pt idx="4">
                  <c:v>170676.45749999996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2F-4984-9B17-21D220CCA80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0"/>
        <c:overlap val="-27"/>
        <c:axId val="1757610432"/>
        <c:axId val="1757614176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AR_Aging_Summary!$A$5:$A$9</c15:sqref>
                        </c15:formulaRef>
                      </c:ext>
                    </c:extLst>
                    <c:strCache>
                      <c:ptCount val="5"/>
                      <c:pt idx="0">
                        <c:v>Current</c:v>
                      </c:pt>
                      <c:pt idx="1">
                        <c:v>1-30 Days</c:v>
                      </c:pt>
                      <c:pt idx="2">
                        <c:v>31-60 Days</c:v>
                      </c:pt>
                      <c:pt idx="3">
                        <c:v>61-90 Days</c:v>
                      </c:pt>
                      <c:pt idx="4">
                        <c:v>90+ Days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AR_Aging_Summary!$C$5:$C$9</c15:sqref>
                        </c15:formulaRef>
                      </c:ext>
                    </c:extLst>
                    <c:numCache>
                      <c:formatCode>0.0%</c:formatCode>
                      <c:ptCount val="5"/>
                      <c:pt idx="0">
                        <c:v>0.32534504373924655</c:v>
                      </c:pt>
                      <c:pt idx="1">
                        <c:v>0.21831782690926066</c:v>
                      </c:pt>
                      <c:pt idx="2">
                        <c:v>0.18384259004647219</c:v>
                      </c:pt>
                      <c:pt idx="3">
                        <c:v>0.21923249496544153</c:v>
                      </c:pt>
                      <c:pt idx="4">
                        <c:v>5.3262044339579068E-2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C2F-4984-9B17-21D220CCA80C}"/>
                  </c:ext>
                </c:extLst>
              </c15:ser>
            </c15:filteredBarSeries>
          </c:ext>
        </c:extLst>
      </c:barChart>
      <c:catAx>
        <c:axId val="175761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7614176"/>
        <c:crosses val="autoZero"/>
        <c:auto val="1"/>
        <c:lblAlgn val="ctr"/>
        <c:lblOffset val="100"/>
        <c:noMultiLvlLbl val="0"/>
      </c:catAx>
      <c:valAx>
        <c:axId val="1757614176"/>
        <c:scaling>
          <c:orientation val="minMax"/>
        </c:scaling>
        <c:delete val="0"/>
        <c:axPos val="l"/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7610432"/>
        <c:crosses val="autoZero"/>
        <c:crossBetween val="between"/>
        <c:dispUnits>
          <c:builtInUnit val="thousands"/>
          <c:dispUnitsLbl>
            <c:layout/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AR</a:t>
            </a:r>
            <a:r>
              <a:rPr lang="en-US" baseline="0">
                <a:solidFill>
                  <a:schemeClr val="bg1"/>
                </a:solidFill>
              </a:rPr>
              <a:t> Aging % Distribution</a:t>
            </a:r>
          </a:p>
        </c:rich>
      </c:tx>
      <c:layout>
        <c:manualLayout>
          <c:xMode val="edge"/>
          <c:yMode val="edge"/>
          <c:x val="3.0397823522448495E-2"/>
          <c:y val="2.607561929595828E-2"/>
        </c:manualLayout>
      </c:layout>
      <c:overlay val="0"/>
      <c:spPr>
        <a:solidFill>
          <a:schemeClr val="accent1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0180992150475749"/>
          <c:y val="0.18477861388578057"/>
          <c:w val="0.48621679871664553"/>
          <c:h val="0.81522138611421924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514-42BA-B542-F0A681A07EC2}"/>
              </c:ext>
            </c:extLst>
          </c:dPt>
          <c:dPt>
            <c:idx val="1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514-42BA-B542-F0A681A07EC2}"/>
              </c:ext>
            </c:extLst>
          </c:dPt>
          <c:dPt>
            <c:idx val="2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514-42BA-B542-F0A681A07EC2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F514-42BA-B542-F0A681A07EC2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514-42BA-B542-F0A681A07EC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AR_Aging_Summary!$B$21:$B$25</c:f>
              <c:strCache>
                <c:ptCount val="5"/>
                <c:pt idx="0">
                  <c:v>Current</c:v>
                </c:pt>
                <c:pt idx="1">
                  <c:v>1-30 Days</c:v>
                </c:pt>
                <c:pt idx="2">
                  <c:v>31-60 Days</c:v>
                </c:pt>
                <c:pt idx="3">
                  <c:v>61-90 Days</c:v>
                </c:pt>
                <c:pt idx="4">
                  <c:v>90+ Days</c:v>
                </c:pt>
              </c:strCache>
            </c:strRef>
          </c:cat>
          <c:val>
            <c:numRef>
              <c:f>AR_Aging_Summary!$C$21:$C$25</c:f>
              <c:numCache>
                <c:formatCode>0.0%</c:formatCode>
                <c:ptCount val="5"/>
                <c:pt idx="0">
                  <c:v>0.32534504373924655</c:v>
                </c:pt>
                <c:pt idx="1">
                  <c:v>0.21831782690926066</c:v>
                </c:pt>
                <c:pt idx="2">
                  <c:v>0.18384259004647219</c:v>
                </c:pt>
                <c:pt idx="3">
                  <c:v>0.21923249496544153</c:v>
                </c:pt>
                <c:pt idx="4">
                  <c:v>5.3262044339579068E-2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14-42BA-B542-F0A681A07EC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Accounts</a:t>
            </a:r>
            <a:r>
              <a:rPr lang="en-US" b="1" baseline="0">
                <a:solidFill>
                  <a:sysClr val="windowText" lastClr="000000"/>
                </a:solidFill>
              </a:rPr>
              <a:t> Payable Aging Analysis</a:t>
            </a:r>
            <a:endParaRPr lang="en-US" b="1"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909514435695539"/>
          <c:y val="0.13930555555555557"/>
          <c:w val="0.79590485564304458"/>
          <c:h val="0.7532950568678915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070-4086-A4FF-78777148DEB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070-4086-A4FF-78777148DEB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070-4086-A4FF-78777148DEB2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F070-4086-A4FF-78777148DEB2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070-4086-A4FF-78777148DEB2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AP_Aging_Summary!$A$7:$A$11</c:f>
              <c:strCache>
                <c:ptCount val="5"/>
                <c:pt idx="0">
                  <c:v>Current</c:v>
                </c:pt>
                <c:pt idx="1">
                  <c:v>1-30 Days</c:v>
                </c:pt>
                <c:pt idx="2">
                  <c:v>31-60 Days</c:v>
                </c:pt>
                <c:pt idx="3">
                  <c:v>61-90 Days</c:v>
                </c:pt>
                <c:pt idx="4">
                  <c:v>90+ Days</c:v>
                </c:pt>
              </c:strCache>
            </c:strRef>
          </c:cat>
          <c:val>
            <c:numRef>
              <c:f>AP_Aging_Summary!$B$7:$B$11</c:f>
              <c:numCache>
                <c:formatCode>_("$"* #,##0.00_);_("$"* \(#,##0.00\);_("$"* "-"??_);_(@_)</c:formatCode>
                <c:ptCount val="5"/>
                <c:pt idx="0">
                  <c:v>369681.95000000019</c:v>
                </c:pt>
                <c:pt idx="1">
                  <c:v>363735.19000000012</c:v>
                </c:pt>
                <c:pt idx="2">
                  <c:v>368539.74999999988</c:v>
                </c:pt>
                <c:pt idx="3">
                  <c:v>346300.91000000003</c:v>
                </c:pt>
                <c:pt idx="4">
                  <c:v>131649.34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70-4086-A4FF-78777148DEB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63466784"/>
        <c:axId val="1763462624"/>
      </c:barChart>
      <c:catAx>
        <c:axId val="1763466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3462624"/>
        <c:crosses val="autoZero"/>
        <c:auto val="1"/>
        <c:lblAlgn val="ctr"/>
        <c:lblOffset val="100"/>
        <c:noMultiLvlLbl val="0"/>
      </c:catAx>
      <c:valAx>
        <c:axId val="1763462624"/>
        <c:scaling>
          <c:orientation val="minMax"/>
        </c:scaling>
        <c:delete val="0"/>
        <c:axPos val="l"/>
        <c:numFmt formatCode="_(&quot;$&quot;* #,##0_);_(&quot;$&quot;* \(#,##0\);_(&quot;$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3466784"/>
        <c:crosses val="autoZero"/>
        <c:crossBetween val="between"/>
        <c:dispUnits>
          <c:builtInUnit val="thousands"/>
          <c:dispUnitsLbl>
            <c:layout/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AP</a:t>
            </a:r>
            <a:r>
              <a:rPr lang="en-US" b="1" baseline="0">
                <a:solidFill>
                  <a:sysClr val="windowText" lastClr="000000"/>
                </a:solidFill>
              </a:rPr>
              <a:t> Aging % Distribution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1889104615347741"/>
          <c:y val="0.19230789220654348"/>
          <c:w val="0.43723758274507923"/>
          <c:h val="0.71105220758296306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611-4C4E-AAB0-6A521019A61C}"/>
              </c:ext>
            </c:extLst>
          </c:dPt>
          <c:dPt>
            <c:idx val="1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611-4C4E-AAB0-6A521019A61C}"/>
              </c:ext>
            </c:extLst>
          </c:dPt>
          <c:dPt>
            <c:idx val="2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611-4C4E-AAB0-6A521019A61C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611-4C4E-AAB0-6A521019A61C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611-4C4E-AAB0-6A521019A61C}"/>
              </c:ext>
            </c:extLst>
          </c:dPt>
          <c:dLbls>
            <c:dLbl>
              <c:idx val="4"/>
              <c:layout>
                <c:manualLayout>
                  <c:x val="5.9113044659371915E-2"/>
                  <c:y val="0.13381409007042441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9611-4C4E-AAB0-6A521019A61C}"/>
                </c:ext>
              </c:extLst>
            </c:dLbl>
            <c:spPr>
              <a:noFill/>
              <a:ln>
                <a:solidFill>
                  <a:schemeClr val="accent1"/>
                </a:solidFill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AP_Aging_Summary!$G$6:$G$10</c:f>
              <c:strCache>
                <c:ptCount val="5"/>
                <c:pt idx="0">
                  <c:v>Current</c:v>
                </c:pt>
                <c:pt idx="1">
                  <c:v>1-30 Days</c:v>
                </c:pt>
                <c:pt idx="2">
                  <c:v>31-60 Days</c:v>
                </c:pt>
                <c:pt idx="3">
                  <c:v>61-90 Days</c:v>
                </c:pt>
                <c:pt idx="4">
                  <c:v>90+ Days</c:v>
                </c:pt>
              </c:strCache>
            </c:strRef>
          </c:cat>
          <c:val>
            <c:numRef>
              <c:f>AP_Aging_Summary!$H$6:$H$10</c:f>
              <c:numCache>
                <c:formatCode>0.0%</c:formatCode>
                <c:ptCount val="5"/>
                <c:pt idx="0">
                  <c:v>0.23398966979793515</c:v>
                </c:pt>
                <c:pt idx="1">
                  <c:v>0.23022567642804628</c:v>
                </c:pt>
                <c:pt idx="2">
                  <c:v>0.23326671591597453</c:v>
                </c:pt>
                <c:pt idx="3">
                  <c:v>0.21919067344679508</c:v>
                </c:pt>
                <c:pt idx="4">
                  <c:v>8.3327264411248853E-2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11-4C4E-AAB0-6A521019A6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586740</xdr:colOff>
      <xdr:row>2</xdr:row>
      <xdr:rowOff>83820</xdr:rowOff>
    </xdr:from>
    <xdr:to>
      <xdr:col>13</xdr:col>
      <xdr:colOff>533400</xdr:colOff>
      <xdr:row>17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525780</xdr:colOff>
      <xdr:row>0</xdr:row>
      <xdr:rowOff>137160</xdr:rowOff>
    </xdr:from>
    <xdr:to>
      <xdr:col>11</xdr:col>
      <xdr:colOff>510540</xdr:colOff>
      <xdr:row>1</xdr:row>
      <xdr:rowOff>190500</xdr:rowOff>
    </xdr:to>
    <xdr:sp macro="" textlink="">
      <xdr:nvSpPr>
        <xdr:cNvPr id="3" name="TextBox 2"/>
        <xdr:cNvSpPr txBox="1"/>
      </xdr:nvSpPr>
      <xdr:spPr>
        <a:xfrm>
          <a:off x="6217920" y="137160"/>
          <a:ext cx="3032760" cy="381000"/>
        </a:xfrm>
        <a:prstGeom prst="rect">
          <a:avLst/>
        </a:prstGeom>
        <a:solidFill>
          <a:schemeClr val="accent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>
              <a:solidFill>
                <a:schemeClr val="bg1"/>
              </a:solidFill>
            </a:rPr>
            <a:t>Total Accounts Receivable: $3,204,467</a:t>
          </a:r>
        </a:p>
      </xdr:txBody>
    </xdr:sp>
    <xdr:clientData/>
  </xdr:twoCellAnchor>
  <xdr:twoCellAnchor>
    <xdr:from>
      <xdr:col>5</xdr:col>
      <xdr:colOff>266700</xdr:colOff>
      <xdr:row>19</xdr:row>
      <xdr:rowOff>0</xdr:rowOff>
    </xdr:from>
    <xdr:to>
      <xdr:col>13</xdr:col>
      <xdr:colOff>205740</xdr:colOff>
      <xdr:row>37</xdr:row>
      <xdr:rowOff>106680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118110</xdr:rowOff>
    </xdr:from>
    <xdr:to>
      <xdr:col>3</xdr:col>
      <xdr:colOff>30480</xdr:colOff>
      <xdr:row>30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556260</xdr:colOff>
      <xdr:row>13</xdr:row>
      <xdr:rowOff>38100</xdr:rowOff>
    </xdr:from>
    <xdr:to>
      <xdr:col>11</xdr:col>
      <xdr:colOff>38100</xdr:colOff>
      <xdr:row>30</xdr:row>
      <xdr:rowOff>7620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8" name="Table8" displayName="Table8" ref="A1:G119" totalsRowShown="0" headerRowDxfId="21" headerRowBorderDxfId="22" tableBorderDxfId="23">
  <autoFilter ref="A1:G119"/>
  <tableColumns count="7">
    <tableColumn id="1" name="CustomerID" dataDxfId="20"/>
    <tableColumn id="2" name="CustomerName" dataDxfId="19"/>
    <tableColumn id="3" name="Industry" dataDxfId="18"/>
    <tableColumn id="4" name="Country" dataDxfId="17"/>
    <tableColumn id="5" name="PaymentTerms" dataDxfId="16"/>
    <tableColumn id="6" name="CreditLimit"/>
    <tableColumn id="7" name="CustomerSince" dataDxfId="15"/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id="7" name="Table7" displayName="Table7" ref="A1:F41" totalsRowShown="0" headerRowDxfId="30" headerRowBorderDxfId="31" tableBorderDxfId="32">
  <autoFilter ref="A1:F41"/>
  <tableColumns count="6">
    <tableColumn id="1" name="VendorID" dataDxfId="29"/>
    <tableColumn id="2" name="VendorName" dataDxfId="28"/>
    <tableColumn id="3" name="Category" dataDxfId="27"/>
    <tableColumn id="4" name="Country" dataDxfId="26"/>
    <tableColumn id="5" name="PaymentTerms" dataDxfId="25"/>
    <tableColumn id="6" name="VendorSince" dataDxfId="24"/>
  </tableColumns>
  <tableStyleInfo name="TableStyleMedium13" showFirstColumn="0" showLastColumn="0" showRowStripes="1" showColumnStripes="0"/>
</table>
</file>

<file path=xl/tables/table3.xml><?xml version="1.0" encoding="utf-8"?>
<table xmlns="http://schemas.openxmlformats.org/spreadsheetml/2006/main" id="6" name="Table6" displayName="Table6" ref="A1:D7" totalsRowShown="0" headerRowDxfId="37" headerRowBorderDxfId="38" tableBorderDxfId="39">
  <autoFilter ref="A1:D7"/>
  <tableColumns count="4">
    <tableColumn id="1" name="ServiceID" dataDxfId="36"/>
    <tableColumn id="2" name="ServiceName" dataDxfId="35"/>
    <tableColumn id="3" name="StandardPrice" dataDxfId="34"/>
    <tableColumn id="4" name="EstimatedCost" dataDxfId="33"/>
  </tableColumns>
  <tableStyleInfo name="TableStyleMedium13" showFirstColumn="0" showLastColumn="0" showRowStripes="1" showColumnStripes="0"/>
</table>
</file>

<file path=xl/tables/table4.xml><?xml version="1.0" encoding="utf-8"?>
<table xmlns="http://schemas.openxmlformats.org/spreadsheetml/2006/main" id="5" name="Table5" displayName="Table5" ref="A1:G2801" totalsRowShown="0" headerRowDxfId="47" headerRowBorderDxfId="48" tableBorderDxfId="49">
  <autoFilter ref="A1:G2801"/>
  <tableColumns count="7">
    <tableColumn id="1" name="InvoiceID" dataDxfId="46"/>
    <tableColumn id="2" name="CustomerID" dataDxfId="45"/>
    <tableColumn id="3" name="ServiceID" dataDxfId="44"/>
    <tableColumn id="4" name="InvoiceDate" dataDxfId="42"/>
    <tableColumn id="5" name="DueDate" dataDxfId="41"/>
    <tableColumn id="6" name="TotalAmount" dataDxfId="40"/>
    <tableColumn id="7" name="Status" dataDxfId="43"/>
  </tableColumns>
  <tableStyleInfo name="TableStyleMedium13" showFirstColumn="0" showLastColumn="0" showRowStripes="1" showColumnStripes="0"/>
</table>
</file>

<file path=xl/tables/table5.xml><?xml version="1.0" encoding="utf-8"?>
<table xmlns="http://schemas.openxmlformats.org/spreadsheetml/2006/main" id="4" name="Table4" displayName="Table4" ref="A1:F2242" totalsRowShown="0" headerRowDxfId="56" headerRowBorderDxfId="57" tableBorderDxfId="58">
  <autoFilter ref="A1:F2242"/>
  <tableColumns count="6">
    <tableColumn id="1" name="PaymentID" dataDxfId="55"/>
    <tableColumn id="2" name="InvoiceID" dataDxfId="54"/>
    <tableColumn id="3" name="CustomerID" dataDxfId="53"/>
    <tableColumn id="4" name="PaymentDate" dataDxfId="51"/>
    <tableColumn id="5" name="PaymentAmount" dataDxfId="50"/>
    <tableColumn id="6" name="Method" dataDxfId="52"/>
  </tableColumns>
  <tableStyleInfo name="TableStyleMedium13" showFirstColumn="0" showLastColumn="0" showRowStripes="1" showColumnStripes="0"/>
</table>
</file>

<file path=xl/tables/table6.xml><?xml version="1.0" encoding="utf-8"?>
<table xmlns="http://schemas.openxmlformats.org/spreadsheetml/2006/main" id="9" name="Table9" displayName="Table9" ref="A1:J2801" totalsRowShown="0" headerRowDxfId="9">
  <autoFilter ref="A1:J2801"/>
  <tableColumns count="10">
    <tableColumn id="1" name="CustomerID" dataDxfId="8"/>
    <tableColumn id="2" name="CustomerName">
      <calculatedColumnFormula>VLOOKUP(A2,Customers!A:B,2,FALSE)</calculatedColumnFormula>
    </tableColumn>
    <tableColumn id="3" name="InvoiceID" dataDxfId="7"/>
    <tableColumn id="4" name="InvoiceDate" dataDxfId="6"/>
    <tableColumn id="5" name="DueDate" dataDxfId="5"/>
    <tableColumn id="6" name="InvoiceAmount" dataDxfId="4"/>
    <tableColumn id="7" name="AmountPaid" dataDxfId="3">
      <calculatedColumnFormula>SUMIF(Customer_Payments!B:B,C2,Customer_Payments!E:E)</calculatedColumnFormula>
    </tableColumn>
    <tableColumn id="8" name="OutstandingAmount" dataDxfId="2">
      <calculatedColumnFormula>MAX(F2-G2,0)</calculatedColumnFormula>
    </tableColumn>
    <tableColumn id="9" name="DaysOutstanding" dataDxfId="0">
      <calculatedColumnFormula>$L$2-E2</calculatedColumnFormula>
    </tableColumn>
    <tableColumn id="10" name="AgingBucket" dataDxfId="1">
      <calculatedColumnFormula>IF(I2&lt;=0,"Current",
IF(I2&lt;=30,"1-30",
IF(I2&lt;=60,"31-60",
IF(I2&lt;=90,"61-90","90+"))))</calculatedColumnFormula>
    </tableColumn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3" name="Table3" displayName="Table3" ref="A1:F1401" totalsRowShown="0" headerRowDxfId="65" headerRowBorderDxfId="66" tableBorderDxfId="67">
  <autoFilter ref="A1:F1401"/>
  <tableColumns count="6">
    <tableColumn id="1" name="BillID" dataDxfId="64"/>
    <tableColumn id="2" name="VendorID" dataDxfId="63"/>
    <tableColumn id="3" name="BillDate" dataDxfId="61"/>
    <tableColumn id="4" name="DueDate" dataDxfId="60"/>
    <tableColumn id="5" name="BillAmount" dataDxfId="59"/>
    <tableColumn id="6" name="Status" dataDxfId="62"/>
  </tableColumns>
  <tableStyleInfo name="TableStyleMedium13" showFirstColumn="0" showLastColumn="0" showRowStripes="1" showColumnStripes="0"/>
</table>
</file>

<file path=xl/tables/table8.xml><?xml version="1.0" encoding="utf-8"?>
<table xmlns="http://schemas.openxmlformats.org/spreadsheetml/2006/main" id="2" name="Table2" displayName="Table2" ref="A1:F989" totalsRowShown="0" headerRowDxfId="75" headerRowBorderDxfId="76" tableBorderDxfId="77">
  <autoFilter ref="A1:F989"/>
  <tableColumns count="6">
    <tableColumn id="1" name="PaymentID" dataDxfId="71"/>
    <tableColumn id="2" name="VendorID" dataDxfId="70"/>
    <tableColumn id="3" name="BillID" dataDxfId="69"/>
    <tableColumn id="4" name="PaymentDate" dataDxfId="73"/>
    <tableColumn id="5" name="PaymentAmount" dataDxfId="74"/>
    <tableColumn id="6" name="Method" dataDxfId="68"/>
  </tableColumns>
  <tableStyleInfo name="TableStyleMedium13" showFirstColumn="0" showLastColumn="0" showRowStripes="1" showColumnStripes="0"/>
</table>
</file>

<file path=xl/tables/table9.xml><?xml version="1.0" encoding="utf-8"?>
<table xmlns="http://schemas.openxmlformats.org/spreadsheetml/2006/main" id="10" name="Table10" displayName="Table10" ref="A1:J1401" totalsRowShown="0">
  <autoFilter ref="A1:J1401"/>
  <tableColumns count="10">
    <tableColumn id="1" name="BillID">
      <calculatedColumnFormula>Table3[[#This Row],[BillID]]</calculatedColumnFormula>
    </tableColumn>
    <tableColumn id="2" name="VendorID">
      <calculatedColumnFormula>Table3[[#This Row],[VendorID]]</calculatedColumnFormula>
    </tableColumn>
    <tableColumn id="3" name="VendorName">
      <calculatedColumnFormula>VLOOKUP(B2,Vendors!A:B,2,FALSE)</calculatedColumnFormula>
    </tableColumn>
    <tableColumn id="4" name="BillDate" dataDxfId="14">
      <calculatedColumnFormula>Table3[[#This Row],[BillDate]]</calculatedColumnFormula>
    </tableColumn>
    <tableColumn id="5" name="DueDate" dataDxfId="12">
      <calculatedColumnFormula>Table3[[#This Row],[DueDate]]</calculatedColumnFormula>
    </tableColumn>
    <tableColumn id="6" name="BillAmount" dataDxfId="10">
      <calculatedColumnFormula>Table3[[#This Row],[BillAmount]]</calculatedColumnFormula>
    </tableColumn>
    <tableColumn id="7" name="AmountPaid" dataDxfId="11">
      <calculatedColumnFormula>SUMIF(Vendor_Payments!C:C,A2,Vendor_Payments!E:E)</calculatedColumnFormula>
    </tableColumn>
    <tableColumn id="8" name="OutstandingBalance" dataDxfId="13">
      <calculatedColumnFormula>F2-G2</calculatedColumnFormula>
    </tableColumn>
    <tableColumn id="9" name="DaysOutstanding">
      <calculatedColumnFormula>$L$1-E2</calculatedColumnFormula>
    </tableColumn>
    <tableColumn id="10" name="AgingBucket">
      <calculatedColumnFormula>IF(I2&lt;=0,"Current",IF(I2&lt;=30,"1-30",IF(I2&lt;=60,"31-60",IF(I2&lt;=90,"61-90","90+"))))</calculatedColumnFormula>
    </tableColumn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" name="Table1" displayName="Table1" ref="A1:E3245" totalsRowShown="0" headerRowDxfId="82" headerRowBorderDxfId="83" tableBorderDxfId="84">
  <autoFilter ref="A1:E3245"/>
  <sortState ref="A2:E3245">
    <sortCondition ref="A1:A3245"/>
  </sortState>
  <tableColumns count="5">
    <tableColumn id="1" name="TransactionDate" dataDxfId="72"/>
    <tableColumn id="2" name="Description" dataDxfId="80"/>
    <tableColumn id="3" name="Amount" dataDxfId="81"/>
    <tableColumn id="4" name="Type" dataDxfId="79"/>
    <tableColumn id="5" name="ReferenceID" dataDxfId="78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9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.77734375" style="7" customWidth="1"/>
    <col min="2" max="2" width="16" style="7" customWidth="1"/>
    <col min="3" max="3" width="9.88671875" style="7" customWidth="1"/>
    <col min="4" max="4" width="9.6640625" style="7" customWidth="1"/>
    <col min="5" max="5" width="15.5546875" style="7" customWidth="1"/>
    <col min="6" max="6" width="12" customWidth="1"/>
    <col min="7" max="7" width="15.44140625" style="9" customWidth="1"/>
  </cols>
  <sheetData>
    <row r="1" spans="1:7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" t="s">
        <v>5</v>
      </c>
      <c r="G1" s="13" t="s">
        <v>6</v>
      </c>
    </row>
    <row r="2" spans="1:7" x14ac:dyDescent="0.3">
      <c r="A2" s="7" t="s">
        <v>7</v>
      </c>
      <c r="B2" s="7" t="s">
        <v>125</v>
      </c>
      <c r="C2" s="7" t="s">
        <v>243</v>
      </c>
      <c r="D2" s="7" t="s">
        <v>248</v>
      </c>
      <c r="E2" s="7" t="s">
        <v>254</v>
      </c>
      <c r="F2">
        <v>30000</v>
      </c>
      <c r="G2" s="9">
        <v>45691</v>
      </c>
    </row>
    <row r="3" spans="1:7" x14ac:dyDescent="0.3">
      <c r="A3" s="7" t="s">
        <v>8</v>
      </c>
      <c r="B3" s="7" t="s">
        <v>126</v>
      </c>
      <c r="C3" s="7" t="s">
        <v>244</v>
      </c>
      <c r="D3" s="7" t="s">
        <v>249</v>
      </c>
      <c r="E3" s="7" t="s">
        <v>254</v>
      </c>
      <c r="F3">
        <v>10000</v>
      </c>
      <c r="G3" s="9">
        <v>45912</v>
      </c>
    </row>
    <row r="4" spans="1:7" x14ac:dyDescent="0.3">
      <c r="A4" s="7" t="s">
        <v>9</v>
      </c>
      <c r="B4" s="7" t="s">
        <v>127</v>
      </c>
      <c r="C4" s="7" t="s">
        <v>245</v>
      </c>
      <c r="D4" s="7" t="s">
        <v>248</v>
      </c>
      <c r="E4" s="7" t="s">
        <v>254</v>
      </c>
      <c r="F4">
        <v>50000</v>
      </c>
      <c r="G4" s="9">
        <v>45582</v>
      </c>
    </row>
    <row r="5" spans="1:7" x14ac:dyDescent="0.3">
      <c r="A5" s="7" t="s">
        <v>10</v>
      </c>
      <c r="B5" s="7" t="s">
        <v>128</v>
      </c>
      <c r="C5" s="7" t="s">
        <v>243</v>
      </c>
      <c r="D5" s="7" t="s">
        <v>248</v>
      </c>
      <c r="E5" s="7" t="s">
        <v>255</v>
      </c>
      <c r="F5">
        <v>20000</v>
      </c>
      <c r="G5" s="9">
        <v>45824</v>
      </c>
    </row>
    <row r="6" spans="1:7" x14ac:dyDescent="0.3">
      <c r="A6" s="7" t="s">
        <v>11</v>
      </c>
      <c r="B6" s="7" t="s">
        <v>129</v>
      </c>
      <c r="C6" s="7" t="s">
        <v>245</v>
      </c>
      <c r="D6" s="7" t="s">
        <v>248</v>
      </c>
      <c r="E6" s="7" t="s">
        <v>254</v>
      </c>
      <c r="F6">
        <v>20000</v>
      </c>
      <c r="G6" s="9">
        <v>45932</v>
      </c>
    </row>
    <row r="7" spans="1:7" x14ac:dyDescent="0.3">
      <c r="A7" s="7" t="s">
        <v>12</v>
      </c>
      <c r="B7" s="7" t="s">
        <v>130</v>
      </c>
      <c r="C7" s="7" t="s">
        <v>245</v>
      </c>
      <c r="D7" s="7" t="s">
        <v>250</v>
      </c>
      <c r="E7" s="7" t="s">
        <v>255</v>
      </c>
      <c r="F7">
        <v>50000</v>
      </c>
      <c r="G7" s="9">
        <v>45867</v>
      </c>
    </row>
    <row r="8" spans="1:7" x14ac:dyDescent="0.3">
      <c r="A8" s="7" t="s">
        <v>13</v>
      </c>
      <c r="B8" s="7" t="s">
        <v>131</v>
      </c>
      <c r="C8" s="7" t="s">
        <v>246</v>
      </c>
      <c r="D8" s="7" t="s">
        <v>248</v>
      </c>
      <c r="E8" s="7" t="s">
        <v>255</v>
      </c>
      <c r="F8">
        <v>50000</v>
      </c>
      <c r="G8" s="9">
        <v>45740</v>
      </c>
    </row>
    <row r="9" spans="1:7" x14ac:dyDescent="0.3">
      <c r="A9" s="7" t="s">
        <v>14</v>
      </c>
      <c r="B9" s="7" t="s">
        <v>132</v>
      </c>
      <c r="C9" s="7" t="s">
        <v>246</v>
      </c>
      <c r="D9" s="7" t="s">
        <v>249</v>
      </c>
      <c r="E9" s="7" t="s">
        <v>255</v>
      </c>
      <c r="F9">
        <v>30000</v>
      </c>
      <c r="G9" s="9">
        <v>45618</v>
      </c>
    </row>
    <row r="10" spans="1:7" x14ac:dyDescent="0.3">
      <c r="A10" s="7" t="s">
        <v>15</v>
      </c>
      <c r="B10" s="7" t="s">
        <v>133</v>
      </c>
      <c r="C10" s="7" t="s">
        <v>243</v>
      </c>
      <c r="D10" s="7" t="s">
        <v>250</v>
      </c>
      <c r="E10" s="7" t="s">
        <v>255</v>
      </c>
      <c r="F10">
        <v>30000</v>
      </c>
      <c r="G10" s="9">
        <v>45999</v>
      </c>
    </row>
    <row r="11" spans="1:7" x14ac:dyDescent="0.3">
      <c r="A11" s="7" t="s">
        <v>16</v>
      </c>
      <c r="B11" s="7" t="s">
        <v>134</v>
      </c>
      <c r="C11" s="7" t="s">
        <v>246</v>
      </c>
      <c r="D11" s="7" t="s">
        <v>251</v>
      </c>
      <c r="E11" s="7" t="s">
        <v>256</v>
      </c>
      <c r="F11">
        <v>10000</v>
      </c>
      <c r="G11" s="9">
        <v>45939</v>
      </c>
    </row>
    <row r="12" spans="1:7" x14ac:dyDescent="0.3">
      <c r="A12" s="7" t="s">
        <v>17</v>
      </c>
      <c r="B12" s="7" t="s">
        <v>135</v>
      </c>
      <c r="C12" s="7" t="s">
        <v>247</v>
      </c>
      <c r="D12" s="7" t="s">
        <v>251</v>
      </c>
      <c r="E12" s="7" t="s">
        <v>255</v>
      </c>
      <c r="F12">
        <v>50000</v>
      </c>
      <c r="G12" s="9">
        <v>45606</v>
      </c>
    </row>
    <row r="13" spans="1:7" x14ac:dyDescent="0.3">
      <c r="A13" s="7" t="s">
        <v>18</v>
      </c>
      <c r="B13" s="7" t="s">
        <v>136</v>
      </c>
      <c r="C13" s="7" t="s">
        <v>245</v>
      </c>
      <c r="D13" s="7" t="s">
        <v>252</v>
      </c>
      <c r="E13" s="7" t="s">
        <v>254</v>
      </c>
      <c r="F13">
        <v>30000</v>
      </c>
      <c r="G13" s="9">
        <v>45861</v>
      </c>
    </row>
    <row r="14" spans="1:7" x14ac:dyDescent="0.3">
      <c r="A14" s="7" t="s">
        <v>19</v>
      </c>
      <c r="B14" s="7" t="s">
        <v>137</v>
      </c>
      <c r="C14" s="7" t="s">
        <v>244</v>
      </c>
      <c r="D14" s="7" t="s">
        <v>253</v>
      </c>
      <c r="E14" s="7" t="s">
        <v>255</v>
      </c>
      <c r="F14">
        <v>10000</v>
      </c>
      <c r="G14" s="9">
        <v>45904</v>
      </c>
    </row>
    <row r="15" spans="1:7" x14ac:dyDescent="0.3">
      <c r="A15" s="7" t="s">
        <v>20</v>
      </c>
      <c r="B15" s="7" t="s">
        <v>138</v>
      </c>
      <c r="C15" s="7" t="s">
        <v>244</v>
      </c>
      <c r="D15" s="7" t="s">
        <v>252</v>
      </c>
      <c r="E15" s="7" t="s">
        <v>255</v>
      </c>
      <c r="F15">
        <v>20000</v>
      </c>
      <c r="G15" s="9">
        <v>46009</v>
      </c>
    </row>
    <row r="16" spans="1:7" x14ac:dyDescent="0.3">
      <c r="A16" s="7" t="s">
        <v>21</v>
      </c>
      <c r="B16" s="7" t="s">
        <v>139</v>
      </c>
      <c r="C16" s="7" t="s">
        <v>243</v>
      </c>
      <c r="D16" s="7" t="s">
        <v>250</v>
      </c>
      <c r="E16" s="7" t="s">
        <v>256</v>
      </c>
      <c r="F16">
        <v>50000</v>
      </c>
      <c r="G16" s="9">
        <v>45891</v>
      </c>
    </row>
    <row r="17" spans="1:7" x14ac:dyDescent="0.3">
      <c r="A17" s="7" t="s">
        <v>22</v>
      </c>
      <c r="B17" s="7" t="s">
        <v>140</v>
      </c>
      <c r="C17" s="7" t="s">
        <v>246</v>
      </c>
      <c r="D17" s="7" t="s">
        <v>249</v>
      </c>
      <c r="E17" s="7" t="s">
        <v>256</v>
      </c>
      <c r="F17">
        <v>30000</v>
      </c>
      <c r="G17" s="9">
        <v>45673</v>
      </c>
    </row>
    <row r="18" spans="1:7" x14ac:dyDescent="0.3">
      <c r="A18" s="7" t="s">
        <v>23</v>
      </c>
      <c r="B18" s="7" t="s">
        <v>141</v>
      </c>
      <c r="C18" s="7" t="s">
        <v>246</v>
      </c>
      <c r="D18" s="7" t="s">
        <v>253</v>
      </c>
      <c r="E18" s="7" t="s">
        <v>254</v>
      </c>
      <c r="F18">
        <v>10000</v>
      </c>
      <c r="G18" s="9">
        <v>45877</v>
      </c>
    </row>
    <row r="19" spans="1:7" x14ac:dyDescent="0.3">
      <c r="A19" s="7" t="s">
        <v>24</v>
      </c>
      <c r="B19" s="7" t="s">
        <v>142</v>
      </c>
      <c r="C19" s="7" t="s">
        <v>244</v>
      </c>
      <c r="D19" s="7" t="s">
        <v>251</v>
      </c>
      <c r="E19" s="7" t="s">
        <v>254</v>
      </c>
      <c r="F19">
        <v>20000</v>
      </c>
      <c r="G19" s="9">
        <v>45649</v>
      </c>
    </row>
    <row r="20" spans="1:7" x14ac:dyDescent="0.3">
      <c r="A20" s="7" t="s">
        <v>25</v>
      </c>
      <c r="B20" s="7" t="s">
        <v>143</v>
      </c>
      <c r="C20" s="7" t="s">
        <v>247</v>
      </c>
      <c r="D20" s="7" t="s">
        <v>250</v>
      </c>
      <c r="E20" s="7" t="s">
        <v>256</v>
      </c>
      <c r="F20">
        <v>20000</v>
      </c>
      <c r="G20" s="9">
        <v>45916</v>
      </c>
    </row>
    <row r="21" spans="1:7" x14ac:dyDescent="0.3">
      <c r="A21" s="7" t="s">
        <v>26</v>
      </c>
      <c r="B21" s="7" t="s">
        <v>144</v>
      </c>
      <c r="C21" s="7" t="s">
        <v>246</v>
      </c>
      <c r="D21" s="7" t="s">
        <v>248</v>
      </c>
      <c r="E21" s="7" t="s">
        <v>255</v>
      </c>
      <c r="F21">
        <v>10000</v>
      </c>
      <c r="G21" s="9">
        <v>45978</v>
      </c>
    </row>
    <row r="22" spans="1:7" x14ac:dyDescent="0.3">
      <c r="A22" s="7" t="s">
        <v>27</v>
      </c>
      <c r="B22" s="7" t="s">
        <v>145</v>
      </c>
      <c r="C22" s="7" t="s">
        <v>246</v>
      </c>
      <c r="D22" s="7" t="s">
        <v>250</v>
      </c>
      <c r="E22" s="7" t="s">
        <v>256</v>
      </c>
      <c r="F22">
        <v>10000</v>
      </c>
      <c r="G22" s="9">
        <v>45674</v>
      </c>
    </row>
    <row r="23" spans="1:7" x14ac:dyDescent="0.3">
      <c r="A23" s="7" t="s">
        <v>28</v>
      </c>
      <c r="B23" s="7" t="s">
        <v>146</v>
      </c>
      <c r="C23" s="7" t="s">
        <v>245</v>
      </c>
      <c r="D23" s="7" t="s">
        <v>253</v>
      </c>
      <c r="E23" s="7" t="s">
        <v>256</v>
      </c>
      <c r="F23">
        <v>20000</v>
      </c>
      <c r="G23" s="9">
        <v>45901</v>
      </c>
    </row>
    <row r="24" spans="1:7" x14ac:dyDescent="0.3">
      <c r="A24" s="7" t="s">
        <v>29</v>
      </c>
      <c r="B24" s="7" t="s">
        <v>147</v>
      </c>
      <c r="C24" s="7" t="s">
        <v>247</v>
      </c>
      <c r="D24" s="7" t="s">
        <v>250</v>
      </c>
      <c r="E24" s="7" t="s">
        <v>254</v>
      </c>
      <c r="F24">
        <v>50000</v>
      </c>
      <c r="G24" s="9">
        <v>45639</v>
      </c>
    </row>
    <row r="25" spans="1:7" x14ac:dyDescent="0.3">
      <c r="A25" s="7" t="s">
        <v>30</v>
      </c>
      <c r="B25" s="7" t="s">
        <v>148</v>
      </c>
      <c r="C25" s="7" t="s">
        <v>246</v>
      </c>
      <c r="D25" s="7" t="s">
        <v>249</v>
      </c>
      <c r="E25" s="7" t="s">
        <v>255</v>
      </c>
      <c r="F25">
        <v>30000</v>
      </c>
      <c r="G25" s="9">
        <v>45948</v>
      </c>
    </row>
    <row r="26" spans="1:7" x14ac:dyDescent="0.3">
      <c r="A26" s="7" t="s">
        <v>31</v>
      </c>
      <c r="B26" s="7" t="s">
        <v>149</v>
      </c>
      <c r="C26" s="7" t="s">
        <v>245</v>
      </c>
      <c r="D26" s="7" t="s">
        <v>250</v>
      </c>
      <c r="E26" s="7" t="s">
        <v>254</v>
      </c>
      <c r="F26">
        <v>50000</v>
      </c>
      <c r="G26" s="9">
        <v>45751</v>
      </c>
    </row>
    <row r="27" spans="1:7" x14ac:dyDescent="0.3">
      <c r="A27" s="7" t="s">
        <v>32</v>
      </c>
      <c r="B27" s="7" t="s">
        <v>150</v>
      </c>
      <c r="C27" s="7" t="s">
        <v>244</v>
      </c>
      <c r="D27" s="7" t="s">
        <v>249</v>
      </c>
      <c r="E27" s="7" t="s">
        <v>254</v>
      </c>
      <c r="F27">
        <v>50000</v>
      </c>
      <c r="G27" s="9">
        <v>45612</v>
      </c>
    </row>
    <row r="28" spans="1:7" x14ac:dyDescent="0.3">
      <c r="A28" s="7" t="s">
        <v>33</v>
      </c>
      <c r="B28" s="7" t="s">
        <v>151</v>
      </c>
      <c r="C28" s="7" t="s">
        <v>243</v>
      </c>
      <c r="D28" s="7" t="s">
        <v>248</v>
      </c>
      <c r="E28" s="7" t="s">
        <v>255</v>
      </c>
      <c r="F28">
        <v>20000</v>
      </c>
      <c r="G28" s="9">
        <v>45971</v>
      </c>
    </row>
    <row r="29" spans="1:7" x14ac:dyDescent="0.3">
      <c r="A29" s="7" t="s">
        <v>34</v>
      </c>
      <c r="B29" s="7" t="s">
        <v>152</v>
      </c>
      <c r="C29" s="7" t="s">
        <v>247</v>
      </c>
      <c r="D29" s="7" t="s">
        <v>251</v>
      </c>
      <c r="E29" s="7" t="s">
        <v>255</v>
      </c>
      <c r="F29">
        <v>50000</v>
      </c>
      <c r="G29" s="9">
        <v>45761</v>
      </c>
    </row>
    <row r="30" spans="1:7" x14ac:dyDescent="0.3">
      <c r="A30" s="7" t="s">
        <v>35</v>
      </c>
      <c r="B30" s="7" t="s">
        <v>153</v>
      </c>
      <c r="C30" s="7" t="s">
        <v>245</v>
      </c>
      <c r="D30" s="7" t="s">
        <v>250</v>
      </c>
      <c r="E30" s="7" t="s">
        <v>254</v>
      </c>
      <c r="F30">
        <v>30000</v>
      </c>
      <c r="G30" s="9">
        <v>45849</v>
      </c>
    </row>
    <row r="31" spans="1:7" x14ac:dyDescent="0.3">
      <c r="A31" s="7" t="s">
        <v>36</v>
      </c>
      <c r="B31" s="7" t="s">
        <v>154</v>
      </c>
      <c r="C31" s="7" t="s">
        <v>243</v>
      </c>
      <c r="D31" s="7" t="s">
        <v>253</v>
      </c>
      <c r="E31" s="7" t="s">
        <v>254</v>
      </c>
      <c r="F31">
        <v>10000</v>
      </c>
      <c r="G31" s="9">
        <v>45915</v>
      </c>
    </row>
    <row r="32" spans="1:7" x14ac:dyDescent="0.3">
      <c r="A32" s="7" t="s">
        <v>37</v>
      </c>
      <c r="B32" s="7" t="s">
        <v>155</v>
      </c>
      <c r="C32" s="7" t="s">
        <v>245</v>
      </c>
      <c r="D32" s="7" t="s">
        <v>252</v>
      </c>
      <c r="E32" s="7" t="s">
        <v>254</v>
      </c>
      <c r="F32">
        <v>30000</v>
      </c>
      <c r="G32" s="9">
        <v>45623</v>
      </c>
    </row>
    <row r="33" spans="1:7" x14ac:dyDescent="0.3">
      <c r="A33" s="7" t="s">
        <v>38</v>
      </c>
      <c r="B33" s="7" t="s">
        <v>156</v>
      </c>
      <c r="C33" s="7" t="s">
        <v>246</v>
      </c>
      <c r="D33" s="7" t="s">
        <v>250</v>
      </c>
      <c r="E33" s="7" t="s">
        <v>255</v>
      </c>
      <c r="F33">
        <v>50000</v>
      </c>
      <c r="G33" s="9">
        <v>45567</v>
      </c>
    </row>
    <row r="34" spans="1:7" x14ac:dyDescent="0.3">
      <c r="A34" s="7" t="s">
        <v>39</v>
      </c>
      <c r="B34" s="7" t="s">
        <v>157</v>
      </c>
      <c r="C34" s="7" t="s">
        <v>246</v>
      </c>
      <c r="D34" s="7" t="s">
        <v>251</v>
      </c>
      <c r="E34" s="7" t="s">
        <v>255</v>
      </c>
      <c r="F34">
        <v>10000</v>
      </c>
      <c r="G34" s="9">
        <v>46011</v>
      </c>
    </row>
    <row r="35" spans="1:7" x14ac:dyDescent="0.3">
      <c r="A35" s="7" t="s">
        <v>40</v>
      </c>
      <c r="B35" s="7" t="s">
        <v>158</v>
      </c>
      <c r="C35" s="7" t="s">
        <v>246</v>
      </c>
      <c r="D35" s="7" t="s">
        <v>253</v>
      </c>
      <c r="E35" s="7" t="s">
        <v>254</v>
      </c>
      <c r="F35">
        <v>20000</v>
      </c>
      <c r="G35" s="9">
        <v>45644</v>
      </c>
    </row>
    <row r="36" spans="1:7" x14ac:dyDescent="0.3">
      <c r="A36" s="7" t="s">
        <v>41</v>
      </c>
      <c r="B36" s="7" t="s">
        <v>159</v>
      </c>
      <c r="C36" s="7" t="s">
        <v>246</v>
      </c>
      <c r="D36" s="7" t="s">
        <v>249</v>
      </c>
      <c r="E36" s="7" t="s">
        <v>254</v>
      </c>
      <c r="F36">
        <v>10000</v>
      </c>
      <c r="G36" s="9">
        <v>45872</v>
      </c>
    </row>
    <row r="37" spans="1:7" x14ac:dyDescent="0.3">
      <c r="A37" s="7" t="s">
        <v>42</v>
      </c>
      <c r="B37" s="7" t="s">
        <v>160</v>
      </c>
      <c r="C37" s="7" t="s">
        <v>246</v>
      </c>
      <c r="D37" s="7" t="s">
        <v>250</v>
      </c>
      <c r="E37" s="7" t="s">
        <v>255</v>
      </c>
      <c r="F37">
        <v>10000</v>
      </c>
      <c r="G37" s="9">
        <v>45751</v>
      </c>
    </row>
    <row r="38" spans="1:7" x14ac:dyDescent="0.3">
      <c r="A38" s="7" t="s">
        <v>43</v>
      </c>
      <c r="B38" s="7" t="s">
        <v>161</v>
      </c>
      <c r="C38" s="7" t="s">
        <v>246</v>
      </c>
      <c r="D38" s="7" t="s">
        <v>249</v>
      </c>
      <c r="E38" s="7" t="s">
        <v>255</v>
      </c>
      <c r="F38">
        <v>20000</v>
      </c>
      <c r="G38" s="9">
        <v>46015</v>
      </c>
    </row>
    <row r="39" spans="1:7" x14ac:dyDescent="0.3">
      <c r="A39" s="7" t="s">
        <v>44</v>
      </c>
      <c r="B39" s="7" t="s">
        <v>162</v>
      </c>
      <c r="C39" s="7" t="s">
        <v>245</v>
      </c>
      <c r="D39" s="7" t="s">
        <v>248</v>
      </c>
      <c r="E39" s="7" t="s">
        <v>255</v>
      </c>
      <c r="F39">
        <v>50000</v>
      </c>
      <c r="G39" s="9">
        <v>45983</v>
      </c>
    </row>
    <row r="40" spans="1:7" x14ac:dyDescent="0.3">
      <c r="A40" s="7" t="s">
        <v>45</v>
      </c>
      <c r="B40" s="7" t="s">
        <v>163</v>
      </c>
      <c r="C40" s="7" t="s">
        <v>243</v>
      </c>
      <c r="D40" s="7" t="s">
        <v>251</v>
      </c>
      <c r="E40" s="7" t="s">
        <v>255</v>
      </c>
      <c r="F40">
        <v>20000</v>
      </c>
      <c r="G40" s="9">
        <v>45903</v>
      </c>
    </row>
    <row r="41" spans="1:7" x14ac:dyDescent="0.3">
      <c r="A41" s="7" t="s">
        <v>46</v>
      </c>
      <c r="B41" s="7" t="s">
        <v>164</v>
      </c>
      <c r="C41" s="7" t="s">
        <v>247</v>
      </c>
      <c r="D41" s="7" t="s">
        <v>251</v>
      </c>
      <c r="E41" s="7" t="s">
        <v>255</v>
      </c>
      <c r="F41">
        <v>30000</v>
      </c>
      <c r="G41" s="9">
        <v>45836</v>
      </c>
    </row>
    <row r="42" spans="1:7" x14ac:dyDescent="0.3">
      <c r="A42" s="7" t="s">
        <v>47</v>
      </c>
      <c r="B42" s="7" t="s">
        <v>165</v>
      </c>
      <c r="C42" s="7" t="s">
        <v>245</v>
      </c>
      <c r="D42" s="7" t="s">
        <v>250</v>
      </c>
      <c r="E42" s="7" t="s">
        <v>255</v>
      </c>
      <c r="F42">
        <v>20000</v>
      </c>
      <c r="G42" s="9">
        <v>45931</v>
      </c>
    </row>
    <row r="43" spans="1:7" x14ac:dyDescent="0.3">
      <c r="A43" s="7" t="s">
        <v>48</v>
      </c>
      <c r="B43" s="7" t="s">
        <v>166</v>
      </c>
      <c r="C43" s="7" t="s">
        <v>246</v>
      </c>
      <c r="D43" s="7" t="s">
        <v>250</v>
      </c>
      <c r="E43" s="7" t="s">
        <v>254</v>
      </c>
      <c r="F43">
        <v>30000</v>
      </c>
      <c r="G43" s="9">
        <v>45790</v>
      </c>
    </row>
    <row r="44" spans="1:7" x14ac:dyDescent="0.3">
      <c r="A44" s="7" t="s">
        <v>49</v>
      </c>
      <c r="B44" s="7" t="s">
        <v>167</v>
      </c>
      <c r="C44" s="7" t="s">
        <v>245</v>
      </c>
      <c r="D44" s="7" t="s">
        <v>250</v>
      </c>
      <c r="E44" s="7" t="s">
        <v>255</v>
      </c>
      <c r="F44">
        <v>20000</v>
      </c>
      <c r="G44" s="9">
        <v>45681</v>
      </c>
    </row>
    <row r="45" spans="1:7" x14ac:dyDescent="0.3">
      <c r="A45" s="7" t="s">
        <v>50</v>
      </c>
      <c r="B45" s="7" t="s">
        <v>168</v>
      </c>
      <c r="C45" s="7" t="s">
        <v>243</v>
      </c>
      <c r="D45" s="7" t="s">
        <v>252</v>
      </c>
      <c r="E45" s="7" t="s">
        <v>255</v>
      </c>
      <c r="F45">
        <v>20000</v>
      </c>
      <c r="G45" s="9">
        <v>45867</v>
      </c>
    </row>
    <row r="46" spans="1:7" x14ac:dyDescent="0.3">
      <c r="A46" s="7" t="s">
        <v>51</v>
      </c>
      <c r="B46" s="7" t="s">
        <v>169</v>
      </c>
      <c r="C46" s="7" t="s">
        <v>244</v>
      </c>
      <c r="D46" s="7" t="s">
        <v>248</v>
      </c>
      <c r="E46" s="7" t="s">
        <v>255</v>
      </c>
      <c r="F46">
        <v>10000</v>
      </c>
      <c r="G46" s="9">
        <v>45683</v>
      </c>
    </row>
    <row r="47" spans="1:7" x14ac:dyDescent="0.3">
      <c r="A47" s="7" t="s">
        <v>52</v>
      </c>
      <c r="B47" s="7" t="s">
        <v>170</v>
      </c>
      <c r="C47" s="7" t="s">
        <v>243</v>
      </c>
      <c r="D47" s="7" t="s">
        <v>248</v>
      </c>
      <c r="E47" s="7" t="s">
        <v>256</v>
      </c>
      <c r="F47">
        <v>10000</v>
      </c>
      <c r="G47" s="9">
        <v>45829</v>
      </c>
    </row>
    <row r="48" spans="1:7" x14ac:dyDescent="0.3">
      <c r="A48" s="7" t="s">
        <v>53</v>
      </c>
      <c r="B48" s="7" t="s">
        <v>171</v>
      </c>
      <c r="C48" s="7" t="s">
        <v>244</v>
      </c>
      <c r="D48" s="7" t="s">
        <v>252</v>
      </c>
      <c r="E48" s="7" t="s">
        <v>254</v>
      </c>
      <c r="F48">
        <v>50000</v>
      </c>
      <c r="G48" s="9">
        <v>45675</v>
      </c>
    </row>
    <row r="49" spans="1:7" x14ac:dyDescent="0.3">
      <c r="A49" s="7" t="s">
        <v>54</v>
      </c>
      <c r="B49" s="7" t="s">
        <v>172</v>
      </c>
      <c r="C49" s="7" t="s">
        <v>245</v>
      </c>
      <c r="D49" s="7" t="s">
        <v>249</v>
      </c>
      <c r="E49" s="7" t="s">
        <v>254</v>
      </c>
      <c r="F49">
        <v>50000</v>
      </c>
      <c r="G49" s="9">
        <v>45690</v>
      </c>
    </row>
    <row r="50" spans="1:7" x14ac:dyDescent="0.3">
      <c r="A50" s="7" t="s">
        <v>55</v>
      </c>
      <c r="B50" s="7" t="s">
        <v>173</v>
      </c>
      <c r="C50" s="7" t="s">
        <v>247</v>
      </c>
      <c r="D50" s="7" t="s">
        <v>250</v>
      </c>
      <c r="E50" s="7" t="s">
        <v>255</v>
      </c>
      <c r="F50">
        <v>10000</v>
      </c>
      <c r="G50" s="9">
        <v>45615</v>
      </c>
    </row>
    <row r="51" spans="1:7" x14ac:dyDescent="0.3">
      <c r="A51" s="7" t="s">
        <v>56</v>
      </c>
      <c r="B51" s="7" t="s">
        <v>174</v>
      </c>
      <c r="C51" s="7" t="s">
        <v>247</v>
      </c>
      <c r="D51" s="7" t="s">
        <v>252</v>
      </c>
      <c r="E51" s="7" t="s">
        <v>256</v>
      </c>
      <c r="F51">
        <v>50000</v>
      </c>
      <c r="G51" s="9">
        <v>45805</v>
      </c>
    </row>
    <row r="52" spans="1:7" x14ac:dyDescent="0.3">
      <c r="A52" s="7" t="s">
        <v>57</v>
      </c>
      <c r="B52" s="7" t="s">
        <v>175</v>
      </c>
      <c r="C52" s="7" t="s">
        <v>243</v>
      </c>
      <c r="D52" s="7" t="s">
        <v>253</v>
      </c>
      <c r="E52" s="7" t="s">
        <v>254</v>
      </c>
      <c r="F52">
        <v>10000</v>
      </c>
      <c r="G52" s="9">
        <v>45597</v>
      </c>
    </row>
    <row r="53" spans="1:7" x14ac:dyDescent="0.3">
      <c r="A53" s="7" t="s">
        <v>58</v>
      </c>
      <c r="B53" s="7" t="s">
        <v>176</v>
      </c>
      <c r="C53" s="7" t="s">
        <v>247</v>
      </c>
      <c r="D53" s="7" t="s">
        <v>253</v>
      </c>
      <c r="E53" s="7" t="s">
        <v>256</v>
      </c>
      <c r="F53">
        <v>10000</v>
      </c>
      <c r="G53" s="9">
        <v>45693</v>
      </c>
    </row>
    <row r="54" spans="1:7" x14ac:dyDescent="0.3">
      <c r="A54" s="7" t="s">
        <v>59</v>
      </c>
      <c r="B54" s="7" t="s">
        <v>177</v>
      </c>
      <c r="C54" s="7" t="s">
        <v>244</v>
      </c>
      <c r="D54" s="7" t="s">
        <v>249</v>
      </c>
      <c r="E54" s="7" t="s">
        <v>254</v>
      </c>
      <c r="F54">
        <v>50000</v>
      </c>
      <c r="G54" s="9">
        <v>45637</v>
      </c>
    </row>
    <row r="55" spans="1:7" x14ac:dyDescent="0.3">
      <c r="A55" s="7" t="s">
        <v>60</v>
      </c>
      <c r="B55" s="7" t="s">
        <v>178</v>
      </c>
      <c r="C55" s="7" t="s">
        <v>247</v>
      </c>
      <c r="D55" s="7" t="s">
        <v>249</v>
      </c>
      <c r="E55" s="7" t="s">
        <v>256</v>
      </c>
      <c r="F55">
        <v>50000</v>
      </c>
      <c r="G55" s="9">
        <v>45693</v>
      </c>
    </row>
    <row r="56" spans="1:7" x14ac:dyDescent="0.3">
      <c r="A56" s="7" t="s">
        <v>61</v>
      </c>
      <c r="B56" s="7" t="s">
        <v>179</v>
      </c>
      <c r="C56" s="7" t="s">
        <v>243</v>
      </c>
      <c r="D56" s="7" t="s">
        <v>250</v>
      </c>
      <c r="E56" s="7" t="s">
        <v>254</v>
      </c>
      <c r="F56">
        <v>10000</v>
      </c>
      <c r="G56" s="9">
        <v>45591</v>
      </c>
    </row>
    <row r="57" spans="1:7" x14ac:dyDescent="0.3">
      <c r="A57" s="7" t="s">
        <v>62</v>
      </c>
      <c r="B57" s="7" t="s">
        <v>180</v>
      </c>
      <c r="C57" s="7" t="s">
        <v>245</v>
      </c>
      <c r="D57" s="7" t="s">
        <v>248</v>
      </c>
      <c r="E57" s="7" t="s">
        <v>255</v>
      </c>
      <c r="F57">
        <v>20000</v>
      </c>
      <c r="G57" s="9">
        <v>45651</v>
      </c>
    </row>
    <row r="58" spans="1:7" x14ac:dyDescent="0.3">
      <c r="A58" s="7" t="s">
        <v>63</v>
      </c>
      <c r="B58" s="7" t="s">
        <v>181</v>
      </c>
      <c r="C58" s="7" t="s">
        <v>247</v>
      </c>
      <c r="D58" s="7" t="s">
        <v>250</v>
      </c>
      <c r="E58" s="7" t="s">
        <v>256</v>
      </c>
      <c r="F58">
        <v>20000</v>
      </c>
      <c r="G58" s="9">
        <v>46008</v>
      </c>
    </row>
    <row r="59" spans="1:7" x14ac:dyDescent="0.3">
      <c r="A59" s="7" t="s">
        <v>64</v>
      </c>
      <c r="B59" s="7" t="s">
        <v>182</v>
      </c>
      <c r="C59" s="7" t="s">
        <v>247</v>
      </c>
      <c r="D59" s="7" t="s">
        <v>248</v>
      </c>
      <c r="E59" s="7" t="s">
        <v>255</v>
      </c>
      <c r="F59">
        <v>50000</v>
      </c>
      <c r="G59" s="9">
        <v>45567</v>
      </c>
    </row>
    <row r="60" spans="1:7" x14ac:dyDescent="0.3">
      <c r="A60" s="7" t="s">
        <v>65</v>
      </c>
      <c r="B60" s="7" t="s">
        <v>183</v>
      </c>
      <c r="C60" s="7" t="s">
        <v>247</v>
      </c>
      <c r="D60" s="7" t="s">
        <v>252</v>
      </c>
      <c r="E60" s="7" t="s">
        <v>256</v>
      </c>
      <c r="F60">
        <v>30000</v>
      </c>
      <c r="G60" s="9">
        <v>45782</v>
      </c>
    </row>
    <row r="61" spans="1:7" x14ac:dyDescent="0.3">
      <c r="A61" s="7" t="s">
        <v>66</v>
      </c>
      <c r="B61" s="7" t="s">
        <v>184</v>
      </c>
      <c r="C61" s="7" t="s">
        <v>245</v>
      </c>
      <c r="D61" s="7" t="s">
        <v>253</v>
      </c>
      <c r="E61" s="7" t="s">
        <v>254</v>
      </c>
      <c r="F61">
        <v>50000</v>
      </c>
      <c r="G61" s="9">
        <v>45645</v>
      </c>
    </row>
    <row r="62" spans="1:7" x14ac:dyDescent="0.3">
      <c r="A62" s="7" t="s">
        <v>67</v>
      </c>
      <c r="B62" s="7" t="s">
        <v>185</v>
      </c>
      <c r="C62" s="7" t="s">
        <v>244</v>
      </c>
      <c r="D62" s="7" t="s">
        <v>252</v>
      </c>
      <c r="E62" s="7" t="s">
        <v>255</v>
      </c>
      <c r="F62">
        <v>10000</v>
      </c>
      <c r="G62" s="9">
        <v>45862</v>
      </c>
    </row>
    <row r="63" spans="1:7" x14ac:dyDescent="0.3">
      <c r="A63" s="7" t="s">
        <v>68</v>
      </c>
      <c r="B63" s="7" t="s">
        <v>186</v>
      </c>
      <c r="C63" s="7" t="s">
        <v>245</v>
      </c>
      <c r="D63" s="7" t="s">
        <v>248</v>
      </c>
      <c r="E63" s="7" t="s">
        <v>254</v>
      </c>
      <c r="F63">
        <v>30000</v>
      </c>
      <c r="G63" s="9">
        <v>45595</v>
      </c>
    </row>
    <row r="64" spans="1:7" x14ac:dyDescent="0.3">
      <c r="A64" s="7" t="s">
        <v>69</v>
      </c>
      <c r="B64" s="7" t="s">
        <v>187</v>
      </c>
      <c r="C64" s="7" t="s">
        <v>243</v>
      </c>
      <c r="D64" s="7" t="s">
        <v>251</v>
      </c>
      <c r="E64" s="7" t="s">
        <v>256</v>
      </c>
      <c r="F64">
        <v>20000</v>
      </c>
      <c r="G64" s="9">
        <v>45595</v>
      </c>
    </row>
    <row r="65" spans="1:7" x14ac:dyDescent="0.3">
      <c r="A65" s="7" t="s">
        <v>70</v>
      </c>
      <c r="B65" s="7" t="s">
        <v>188</v>
      </c>
      <c r="C65" s="7" t="s">
        <v>245</v>
      </c>
      <c r="D65" s="7" t="s">
        <v>248</v>
      </c>
      <c r="E65" s="7" t="s">
        <v>255</v>
      </c>
      <c r="F65">
        <v>10000</v>
      </c>
      <c r="G65" s="9">
        <v>45870</v>
      </c>
    </row>
    <row r="66" spans="1:7" x14ac:dyDescent="0.3">
      <c r="A66" s="7" t="s">
        <v>71</v>
      </c>
      <c r="B66" s="7" t="s">
        <v>189</v>
      </c>
      <c r="C66" s="7" t="s">
        <v>243</v>
      </c>
      <c r="D66" s="7" t="s">
        <v>253</v>
      </c>
      <c r="E66" s="7" t="s">
        <v>255</v>
      </c>
      <c r="F66">
        <v>50000</v>
      </c>
      <c r="G66" s="9">
        <v>45627</v>
      </c>
    </row>
    <row r="67" spans="1:7" x14ac:dyDescent="0.3">
      <c r="A67" s="7" t="s">
        <v>72</v>
      </c>
      <c r="B67" s="7" t="s">
        <v>190</v>
      </c>
      <c r="C67" s="7" t="s">
        <v>245</v>
      </c>
      <c r="D67" s="7" t="s">
        <v>249</v>
      </c>
      <c r="E67" s="7" t="s">
        <v>254</v>
      </c>
      <c r="F67">
        <v>10000</v>
      </c>
      <c r="G67" s="9">
        <v>45883</v>
      </c>
    </row>
    <row r="68" spans="1:7" x14ac:dyDescent="0.3">
      <c r="A68" s="7" t="s">
        <v>73</v>
      </c>
      <c r="B68" s="7" t="s">
        <v>191</v>
      </c>
      <c r="C68" s="7" t="s">
        <v>243</v>
      </c>
      <c r="D68" s="7" t="s">
        <v>250</v>
      </c>
      <c r="E68" s="7" t="s">
        <v>254</v>
      </c>
      <c r="F68">
        <v>30000</v>
      </c>
      <c r="G68" s="9">
        <v>45699</v>
      </c>
    </row>
    <row r="69" spans="1:7" x14ac:dyDescent="0.3">
      <c r="A69" s="7" t="s">
        <v>74</v>
      </c>
      <c r="B69" s="7" t="s">
        <v>192</v>
      </c>
      <c r="C69" s="7" t="s">
        <v>244</v>
      </c>
      <c r="D69" s="7" t="s">
        <v>253</v>
      </c>
      <c r="E69" s="7" t="s">
        <v>254</v>
      </c>
      <c r="F69">
        <v>30000</v>
      </c>
      <c r="G69" s="9">
        <v>45688</v>
      </c>
    </row>
    <row r="70" spans="1:7" x14ac:dyDescent="0.3">
      <c r="A70" s="7" t="s">
        <v>75</v>
      </c>
      <c r="B70" s="7" t="s">
        <v>193</v>
      </c>
      <c r="C70" s="7" t="s">
        <v>246</v>
      </c>
      <c r="D70" s="7" t="s">
        <v>250</v>
      </c>
      <c r="E70" s="7" t="s">
        <v>255</v>
      </c>
      <c r="F70">
        <v>30000</v>
      </c>
      <c r="G70" s="9">
        <v>45800</v>
      </c>
    </row>
    <row r="71" spans="1:7" x14ac:dyDescent="0.3">
      <c r="A71" s="7" t="s">
        <v>76</v>
      </c>
      <c r="B71" s="7" t="s">
        <v>194</v>
      </c>
      <c r="C71" s="7" t="s">
        <v>246</v>
      </c>
      <c r="D71" s="7" t="s">
        <v>248</v>
      </c>
      <c r="E71" s="7" t="s">
        <v>255</v>
      </c>
      <c r="F71">
        <v>50000</v>
      </c>
      <c r="G71" s="9">
        <v>45884</v>
      </c>
    </row>
    <row r="72" spans="1:7" x14ac:dyDescent="0.3">
      <c r="A72" s="7" t="s">
        <v>77</v>
      </c>
      <c r="B72" s="7" t="s">
        <v>195</v>
      </c>
      <c r="C72" s="7" t="s">
        <v>245</v>
      </c>
      <c r="D72" s="7" t="s">
        <v>248</v>
      </c>
      <c r="E72" s="7" t="s">
        <v>255</v>
      </c>
      <c r="F72">
        <v>20000</v>
      </c>
      <c r="G72" s="9">
        <v>45825</v>
      </c>
    </row>
    <row r="73" spans="1:7" x14ac:dyDescent="0.3">
      <c r="A73" s="7" t="s">
        <v>78</v>
      </c>
      <c r="B73" s="7" t="s">
        <v>196</v>
      </c>
      <c r="C73" s="7" t="s">
        <v>246</v>
      </c>
      <c r="D73" s="7" t="s">
        <v>249</v>
      </c>
      <c r="E73" s="7" t="s">
        <v>256</v>
      </c>
      <c r="F73">
        <v>10000</v>
      </c>
      <c r="G73" s="9">
        <v>46016</v>
      </c>
    </row>
    <row r="74" spans="1:7" x14ac:dyDescent="0.3">
      <c r="A74" s="7" t="s">
        <v>79</v>
      </c>
      <c r="B74" s="7" t="s">
        <v>197</v>
      </c>
      <c r="C74" s="7" t="s">
        <v>244</v>
      </c>
      <c r="D74" s="7" t="s">
        <v>252</v>
      </c>
      <c r="E74" s="7" t="s">
        <v>256</v>
      </c>
      <c r="F74">
        <v>20000</v>
      </c>
      <c r="G74" s="9">
        <v>45790</v>
      </c>
    </row>
    <row r="75" spans="1:7" x14ac:dyDescent="0.3">
      <c r="A75" s="7" t="s">
        <v>80</v>
      </c>
      <c r="B75" s="7" t="s">
        <v>198</v>
      </c>
      <c r="C75" s="7" t="s">
        <v>245</v>
      </c>
      <c r="D75" s="7" t="s">
        <v>253</v>
      </c>
      <c r="E75" s="7" t="s">
        <v>256</v>
      </c>
      <c r="F75">
        <v>10000</v>
      </c>
      <c r="G75" s="9">
        <v>45907</v>
      </c>
    </row>
    <row r="76" spans="1:7" x14ac:dyDescent="0.3">
      <c r="A76" s="7" t="s">
        <v>81</v>
      </c>
      <c r="B76" s="7" t="s">
        <v>199</v>
      </c>
      <c r="C76" s="7" t="s">
        <v>245</v>
      </c>
      <c r="D76" s="7" t="s">
        <v>252</v>
      </c>
      <c r="E76" s="7" t="s">
        <v>254</v>
      </c>
      <c r="F76">
        <v>10000</v>
      </c>
      <c r="G76" s="9">
        <v>46015</v>
      </c>
    </row>
    <row r="77" spans="1:7" x14ac:dyDescent="0.3">
      <c r="A77" s="7" t="s">
        <v>82</v>
      </c>
      <c r="B77" s="7" t="s">
        <v>200</v>
      </c>
      <c r="C77" s="7" t="s">
        <v>244</v>
      </c>
      <c r="D77" s="7" t="s">
        <v>252</v>
      </c>
      <c r="E77" s="7" t="s">
        <v>255</v>
      </c>
      <c r="F77">
        <v>10000</v>
      </c>
      <c r="G77" s="9">
        <v>45946</v>
      </c>
    </row>
    <row r="78" spans="1:7" x14ac:dyDescent="0.3">
      <c r="A78" s="7" t="s">
        <v>83</v>
      </c>
      <c r="B78" s="7" t="s">
        <v>201</v>
      </c>
      <c r="C78" s="7" t="s">
        <v>245</v>
      </c>
      <c r="D78" s="7" t="s">
        <v>249</v>
      </c>
      <c r="E78" s="7" t="s">
        <v>256</v>
      </c>
      <c r="F78">
        <v>30000</v>
      </c>
      <c r="G78" s="9">
        <v>45875</v>
      </c>
    </row>
    <row r="79" spans="1:7" x14ac:dyDescent="0.3">
      <c r="A79" s="7" t="s">
        <v>84</v>
      </c>
      <c r="B79" s="7" t="s">
        <v>202</v>
      </c>
      <c r="C79" s="7" t="s">
        <v>244</v>
      </c>
      <c r="D79" s="7" t="s">
        <v>253</v>
      </c>
      <c r="E79" s="7" t="s">
        <v>256</v>
      </c>
      <c r="F79">
        <v>20000</v>
      </c>
      <c r="G79" s="9">
        <v>45917</v>
      </c>
    </row>
    <row r="80" spans="1:7" x14ac:dyDescent="0.3">
      <c r="A80" s="7" t="s">
        <v>85</v>
      </c>
      <c r="B80" s="7" t="s">
        <v>203</v>
      </c>
      <c r="C80" s="7" t="s">
        <v>246</v>
      </c>
      <c r="D80" s="7" t="s">
        <v>251</v>
      </c>
      <c r="E80" s="7" t="s">
        <v>256</v>
      </c>
      <c r="F80">
        <v>30000</v>
      </c>
      <c r="G80" s="9">
        <v>45999</v>
      </c>
    </row>
    <row r="81" spans="1:7" x14ac:dyDescent="0.3">
      <c r="A81" s="7" t="s">
        <v>86</v>
      </c>
      <c r="B81" s="7" t="s">
        <v>204</v>
      </c>
      <c r="C81" s="7" t="s">
        <v>243</v>
      </c>
      <c r="D81" s="7" t="s">
        <v>248</v>
      </c>
      <c r="E81" s="7" t="s">
        <v>254</v>
      </c>
      <c r="F81">
        <v>50000</v>
      </c>
      <c r="G81" s="9">
        <v>45990</v>
      </c>
    </row>
    <row r="82" spans="1:7" x14ac:dyDescent="0.3">
      <c r="A82" s="7" t="s">
        <v>87</v>
      </c>
      <c r="B82" s="7" t="s">
        <v>205</v>
      </c>
      <c r="C82" s="7" t="s">
        <v>246</v>
      </c>
      <c r="D82" s="7" t="s">
        <v>248</v>
      </c>
      <c r="E82" s="7" t="s">
        <v>255</v>
      </c>
      <c r="F82">
        <v>30000</v>
      </c>
      <c r="G82" s="9">
        <v>45960</v>
      </c>
    </row>
    <row r="83" spans="1:7" x14ac:dyDescent="0.3">
      <c r="A83" s="7" t="s">
        <v>88</v>
      </c>
      <c r="B83" s="7" t="s">
        <v>206</v>
      </c>
      <c r="C83" s="7" t="s">
        <v>244</v>
      </c>
      <c r="D83" s="7" t="s">
        <v>253</v>
      </c>
      <c r="E83" s="7" t="s">
        <v>256</v>
      </c>
      <c r="F83">
        <v>20000</v>
      </c>
      <c r="G83" s="9">
        <v>45945</v>
      </c>
    </row>
    <row r="84" spans="1:7" x14ac:dyDescent="0.3">
      <c r="A84" s="7" t="s">
        <v>89</v>
      </c>
      <c r="B84" s="7" t="s">
        <v>207</v>
      </c>
      <c r="C84" s="7" t="s">
        <v>247</v>
      </c>
      <c r="D84" s="7" t="s">
        <v>251</v>
      </c>
      <c r="E84" s="7" t="s">
        <v>254</v>
      </c>
      <c r="F84">
        <v>50000</v>
      </c>
      <c r="G84" s="9">
        <v>45853</v>
      </c>
    </row>
    <row r="85" spans="1:7" x14ac:dyDescent="0.3">
      <c r="A85" s="7" t="s">
        <v>90</v>
      </c>
      <c r="B85" s="7" t="s">
        <v>208</v>
      </c>
      <c r="C85" s="7" t="s">
        <v>243</v>
      </c>
      <c r="D85" s="7" t="s">
        <v>248</v>
      </c>
      <c r="E85" s="7" t="s">
        <v>255</v>
      </c>
      <c r="F85">
        <v>20000</v>
      </c>
      <c r="G85" s="9">
        <v>45845</v>
      </c>
    </row>
    <row r="86" spans="1:7" x14ac:dyDescent="0.3">
      <c r="A86" s="7" t="s">
        <v>91</v>
      </c>
      <c r="B86" s="7" t="s">
        <v>209</v>
      </c>
      <c r="C86" s="7" t="s">
        <v>243</v>
      </c>
      <c r="D86" s="7" t="s">
        <v>252</v>
      </c>
      <c r="E86" s="7" t="s">
        <v>254</v>
      </c>
      <c r="F86">
        <v>20000</v>
      </c>
      <c r="G86" s="9">
        <v>45786</v>
      </c>
    </row>
    <row r="87" spans="1:7" x14ac:dyDescent="0.3">
      <c r="A87" s="7" t="s">
        <v>92</v>
      </c>
      <c r="B87" s="7" t="s">
        <v>210</v>
      </c>
      <c r="C87" s="7" t="s">
        <v>244</v>
      </c>
      <c r="D87" s="7" t="s">
        <v>248</v>
      </c>
      <c r="E87" s="7" t="s">
        <v>256</v>
      </c>
      <c r="F87">
        <v>30000</v>
      </c>
      <c r="G87" s="9">
        <v>45973</v>
      </c>
    </row>
    <row r="88" spans="1:7" x14ac:dyDescent="0.3">
      <c r="A88" s="7" t="s">
        <v>93</v>
      </c>
      <c r="B88" s="7" t="s">
        <v>211</v>
      </c>
      <c r="C88" s="7" t="s">
        <v>243</v>
      </c>
      <c r="D88" s="7" t="s">
        <v>252</v>
      </c>
      <c r="E88" s="7" t="s">
        <v>255</v>
      </c>
      <c r="F88">
        <v>20000</v>
      </c>
      <c r="G88" s="9">
        <v>45907</v>
      </c>
    </row>
    <row r="89" spans="1:7" x14ac:dyDescent="0.3">
      <c r="A89" s="7" t="s">
        <v>94</v>
      </c>
      <c r="B89" s="7" t="s">
        <v>212</v>
      </c>
      <c r="C89" s="7" t="s">
        <v>243</v>
      </c>
      <c r="D89" s="7" t="s">
        <v>252</v>
      </c>
      <c r="E89" s="7" t="s">
        <v>254</v>
      </c>
      <c r="F89">
        <v>50000</v>
      </c>
      <c r="G89" s="9">
        <v>45883</v>
      </c>
    </row>
    <row r="90" spans="1:7" x14ac:dyDescent="0.3">
      <c r="A90" s="7" t="s">
        <v>95</v>
      </c>
      <c r="B90" s="7" t="s">
        <v>213</v>
      </c>
      <c r="C90" s="7" t="s">
        <v>244</v>
      </c>
      <c r="D90" s="7" t="s">
        <v>249</v>
      </c>
      <c r="E90" s="7" t="s">
        <v>255</v>
      </c>
      <c r="F90">
        <v>20000</v>
      </c>
      <c r="G90" s="9">
        <v>46017</v>
      </c>
    </row>
    <row r="91" spans="1:7" x14ac:dyDescent="0.3">
      <c r="A91" s="7" t="s">
        <v>96</v>
      </c>
      <c r="B91" s="7" t="s">
        <v>214</v>
      </c>
      <c r="C91" s="7" t="s">
        <v>247</v>
      </c>
      <c r="D91" s="7" t="s">
        <v>248</v>
      </c>
      <c r="E91" s="7" t="s">
        <v>255</v>
      </c>
      <c r="F91">
        <v>30000</v>
      </c>
      <c r="G91" s="9">
        <v>45966</v>
      </c>
    </row>
    <row r="92" spans="1:7" x14ac:dyDescent="0.3">
      <c r="A92" s="7" t="s">
        <v>97</v>
      </c>
      <c r="B92" s="7" t="s">
        <v>215</v>
      </c>
      <c r="C92" s="7" t="s">
        <v>247</v>
      </c>
      <c r="D92" s="7" t="s">
        <v>253</v>
      </c>
      <c r="E92" s="7" t="s">
        <v>254</v>
      </c>
      <c r="F92">
        <v>20000</v>
      </c>
      <c r="G92" s="9">
        <v>45702</v>
      </c>
    </row>
    <row r="93" spans="1:7" x14ac:dyDescent="0.3">
      <c r="A93" s="7" t="s">
        <v>98</v>
      </c>
      <c r="B93" s="7" t="s">
        <v>216</v>
      </c>
      <c r="C93" s="7" t="s">
        <v>244</v>
      </c>
      <c r="D93" s="7" t="s">
        <v>253</v>
      </c>
      <c r="E93" s="7" t="s">
        <v>255</v>
      </c>
      <c r="F93">
        <v>50000</v>
      </c>
      <c r="G93" s="9">
        <v>46012</v>
      </c>
    </row>
    <row r="94" spans="1:7" x14ac:dyDescent="0.3">
      <c r="A94" s="7" t="s">
        <v>99</v>
      </c>
      <c r="B94" s="7" t="s">
        <v>217</v>
      </c>
      <c r="C94" s="7" t="s">
        <v>243</v>
      </c>
      <c r="D94" s="7" t="s">
        <v>250</v>
      </c>
      <c r="E94" s="7" t="s">
        <v>255</v>
      </c>
      <c r="F94">
        <v>20000</v>
      </c>
      <c r="G94" s="9">
        <v>45984</v>
      </c>
    </row>
    <row r="95" spans="1:7" x14ac:dyDescent="0.3">
      <c r="A95" s="7" t="s">
        <v>100</v>
      </c>
      <c r="B95" s="7" t="s">
        <v>218</v>
      </c>
      <c r="C95" s="7" t="s">
        <v>247</v>
      </c>
      <c r="D95" s="7" t="s">
        <v>252</v>
      </c>
      <c r="E95" s="7" t="s">
        <v>256</v>
      </c>
      <c r="F95">
        <v>20000</v>
      </c>
      <c r="G95" s="9">
        <v>45680</v>
      </c>
    </row>
    <row r="96" spans="1:7" x14ac:dyDescent="0.3">
      <c r="A96" s="7" t="s">
        <v>101</v>
      </c>
      <c r="B96" s="7" t="s">
        <v>219</v>
      </c>
      <c r="C96" s="7" t="s">
        <v>243</v>
      </c>
      <c r="D96" s="7" t="s">
        <v>253</v>
      </c>
      <c r="E96" s="7" t="s">
        <v>255</v>
      </c>
      <c r="F96">
        <v>50000</v>
      </c>
      <c r="G96" s="9">
        <v>45734</v>
      </c>
    </row>
    <row r="97" spans="1:7" x14ac:dyDescent="0.3">
      <c r="A97" s="7" t="s">
        <v>102</v>
      </c>
      <c r="B97" s="7" t="s">
        <v>220</v>
      </c>
      <c r="C97" s="7" t="s">
        <v>246</v>
      </c>
      <c r="D97" s="7" t="s">
        <v>248</v>
      </c>
      <c r="E97" s="7" t="s">
        <v>256</v>
      </c>
      <c r="F97">
        <v>30000</v>
      </c>
      <c r="G97" s="9">
        <v>45894</v>
      </c>
    </row>
    <row r="98" spans="1:7" x14ac:dyDescent="0.3">
      <c r="A98" s="7" t="s">
        <v>103</v>
      </c>
      <c r="B98" s="7" t="s">
        <v>221</v>
      </c>
      <c r="C98" s="7" t="s">
        <v>245</v>
      </c>
      <c r="D98" s="7" t="s">
        <v>250</v>
      </c>
      <c r="E98" s="7" t="s">
        <v>254</v>
      </c>
      <c r="F98">
        <v>30000</v>
      </c>
      <c r="G98" s="9">
        <v>45580</v>
      </c>
    </row>
    <row r="99" spans="1:7" x14ac:dyDescent="0.3">
      <c r="A99" s="7" t="s">
        <v>104</v>
      </c>
      <c r="B99" s="7" t="s">
        <v>222</v>
      </c>
      <c r="C99" s="7" t="s">
        <v>243</v>
      </c>
      <c r="D99" s="7" t="s">
        <v>252</v>
      </c>
      <c r="E99" s="7" t="s">
        <v>255</v>
      </c>
      <c r="F99">
        <v>30000</v>
      </c>
      <c r="G99" s="9">
        <v>45585</v>
      </c>
    </row>
    <row r="100" spans="1:7" x14ac:dyDescent="0.3">
      <c r="A100" s="7" t="s">
        <v>105</v>
      </c>
      <c r="B100" s="7" t="s">
        <v>223</v>
      </c>
      <c r="C100" s="7" t="s">
        <v>243</v>
      </c>
      <c r="D100" s="7" t="s">
        <v>251</v>
      </c>
      <c r="E100" s="7" t="s">
        <v>256</v>
      </c>
      <c r="F100">
        <v>30000</v>
      </c>
      <c r="G100" s="9">
        <v>45939</v>
      </c>
    </row>
    <row r="101" spans="1:7" x14ac:dyDescent="0.3">
      <c r="A101" s="7" t="s">
        <v>106</v>
      </c>
      <c r="B101" s="7" t="s">
        <v>224</v>
      </c>
      <c r="C101" s="7" t="s">
        <v>246</v>
      </c>
      <c r="D101" s="7" t="s">
        <v>250</v>
      </c>
      <c r="E101" s="7" t="s">
        <v>254</v>
      </c>
      <c r="F101">
        <v>10000</v>
      </c>
      <c r="G101" s="9">
        <v>45763</v>
      </c>
    </row>
    <row r="102" spans="1:7" x14ac:dyDescent="0.3">
      <c r="A102" s="7" t="s">
        <v>107</v>
      </c>
      <c r="B102" s="7" t="s">
        <v>225</v>
      </c>
      <c r="C102" s="7" t="s">
        <v>245</v>
      </c>
      <c r="D102" s="7" t="s">
        <v>249</v>
      </c>
      <c r="E102" s="7" t="s">
        <v>256</v>
      </c>
      <c r="F102">
        <v>10000</v>
      </c>
      <c r="G102" s="9">
        <v>45928</v>
      </c>
    </row>
    <row r="103" spans="1:7" x14ac:dyDescent="0.3">
      <c r="A103" s="7" t="s">
        <v>108</v>
      </c>
      <c r="B103" s="7" t="s">
        <v>226</v>
      </c>
      <c r="C103" s="7" t="s">
        <v>247</v>
      </c>
      <c r="D103" s="7" t="s">
        <v>248</v>
      </c>
      <c r="E103" s="7" t="s">
        <v>254</v>
      </c>
      <c r="F103">
        <v>20000</v>
      </c>
      <c r="G103" s="9">
        <v>45752</v>
      </c>
    </row>
    <row r="104" spans="1:7" x14ac:dyDescent="0.3">
      <c r="A104" s="7" t="s">
        <v>109</v>
      </c>
      <c r="B104" s="7" t="s">
        <v>227</v>
      </c>
      <c r="C104" s="7" t="s">
        <v>247</v>
      </c>
      <c r="D104" s="7" t="s">
        <v>248</v>
      </c>
      <c r="E104" s="7" t="s">
        <v>254</v>
      </c>
      <c r="F104">
        <v>30000</v>
      </c>
      <c r="G104" s="9">
        <v>45885</v>
      </c>
    </row>
    <row r="105" spans="1:7" x14ac:dyDescent="0.3">
      <c r="A105" s="7" t="s">
        <v>110</v>
      </c>
      <c r="B105" s="7" t="s">
        <v>228</v>
      </c>
      <c r="C105" s="7" t="s">
        <v>246</v>
      </c>
      <c r="D105" s="7" t="s">
        <v>253</v>
      </c>
      <c r="E105" s="7" t="s">
        <v>255</v>
      </c>
      <c r="F105">
        <v>30000</v>
      </c>
      <c r="G105" s="9">
        <v>45825</v>
      </c>
    </row>
    <row r="106" spans="1:7" x14ac:dyDescent="0.3">
      <c r="A106" s="7" t="s">
        <v>111</v>
      </c>
      <c r="B106" s="7" t="s">
        <v>229</v>
      </c>
      <c r="C106" s="7" t="s">
        <v>246</v>
      </c>
      <c r="D106" s="7" t="s">
        <v>253</v>
      </c>
      <c r="E106" s="7" t="s">
        <v>256</v>
      </c>
      <c r="F106">
        <v>30000</v>
      </c>
      <c r="G106" s="9">
        <v>45772</v>
      </c>
    </row>
    <row r="107" spans="1:7" x14ac:dyDescent="0.3">
      <c r="A107" s="7" t="s">
        <v>112</v>
      </c>
      <c r="B107" s="7" t="s">
        <v>230</v>
      </c>
      <c r="C107" s="7" t="s">
        <v>246</v>
      </c>
      <c r="D107" s="7" t="s">
        <v>251</v>
      </c>
      <c r="E107" s="7" t="s">
        <v>255</v>
      </c>
      <c r="F107">
        <v>20000</v>
      </c>
      <c r="G107" s="9">
        <v>45781</v>
      </c>
    </row>
    <row r="108" spans="1:7" x14ac:dyDescent="0.3">
      <c r="A108" s="7" t="s">
        <v>113</v>
      </c>
      <c r="B108" s="7" t="s">
        <v>231</v>
      </c>
      <c r="C108" s="7" t="s">
        <v>247</v>
      </c>
      <c r="D108" s="7" t="s">
        <v>253</v>
      </c>
      <c r="E108" s="7" t="s">
        <v>254</v>
      </c>
      <c r="F108">
        <v>20000</v>
      </c>
      <c r="G108" s="9">
        <v>45881</v>
      </c>
    </row>
    <row r="109" spans="1:7" x14ac:dyDescent="0.3">
      <c r="A109" s="7" t="s">
        <v>114</v>
      </c>
      <c r="B109" s="7" t="s">
        <v>232</v>
      </c>
      <c r="C109" s="7" t="s">
        <v>245</v>
      </c>
      <c r="D109" s="7" t="s">
        <v>252</v>
      </c>
      <c r="E109" s="7" t="s">
        <v>256</v>
      </c>
      <c r="F109">
        <v>10000</v>
      </c>
      <c r="G109" s="9">
        <v>45721</v>
      </c>
    </row>
    <row r="110" spans="1:7" x14ac:dyDescent="0.3">
      <c r="A110" s="7" t="s">
        <v>115</v>
      </c>
      <c r="B110" s="7" t="s">
        <v>233</v>
      </c>
      <c r="C110" s="7" t="s">
        <v>246</v>
      </c>
      <c r="D110" s="7" t="s">
        <v>249</v>
      </c>
      <c r="E110" s="7" t="s">
        <v>256</v>
      </c>
      <c r="F110">
        <v>30000</v>
      </c>
      <c r="G110" s="9">
        <v>45804</v>
      </c>
    </row>
    <row r="111" spans="1:7" x14ac:dyDescent="0.3">
      <c r="A111" s="7" t="s">
        <v>116</v>
      </c>
      <c r="B111" s="7" t="s">
        <v>234</v>
      </c>
      <c r="C111" s="7" t="s">
        <v>247</v>
      </c>
      <c r="D111" s="7" t="s">
        <v>250</v>
      </c>
      <c r="E111" s="7" t="s">
        <v>254</v>
      </c>
      <c r="F111">
        <v>20000</v>
      </c>
      <c r="G111" s="9">
        <v>45827</v>
      </c>
    </row>
    <row r="112" spans="1:7" x14ac:dyDescent="0.3">
      <c r="A112" s="7" t="s">
        <v>117</v>
      </c>
      <c r="B112" s="7" t="s">
        <v>235</v>
      </c>
      <c r="C112" s="7" t="s">
        <v>247</v>
      </c>
      <c r="D112" s="7" t="s">
        <v>253</v>
      </c>
      <c r="E112" s="7" t="s">
        <v>255</v>
      </c>
      <c r="F112">
        <v>10000</v>
      </c>
      <c r="G112" s="9">
        <v>45711</v>
      </c>
    </row>
    <row r="113" spans="1:7" x14ac:dyDescent="0.3">
      <c r="A113" s="7" t="s">
        <v>118</v>
      </c>
      <c r="B113" s="7" t="s">
        <v>236</v>
      </c>
      <c r="C113" s="7" t="s">
        <v>245</v>
      </c>
      <c r="D113" s="7" t="s">
        <v>253</v>
      </c>
      <c r="E113" s="7" t="s">
        <v>254</v>
      </c>
      <c r="F113">
        <v>30000</v>
      </c>
      <c r="G113" s="9">
        <v>45613</v>
      </c>
    </row>
    <row r="114" spans="1:7" x14ac:dyDescent="0.3">
      <c r="A114" s="7" t="s">
        <v>119</v>
      </c>
      <c r="B114" s="7" t="s">
        <v>237</v>
      </c>
      <c r="C114" s="7" t="s">
        <v>244</v>
      </c>
      <c r="D114" s="7" t="s">
        <v>253</v>
      </c>
      <c r="E114" s="7" t="s">
        <v>256</v>
      </c>
      <c r="F114">
        <v>20000</v>
      </c>
      <c r="G114" s="9">
        <v>45978</v>
      </c>
    </row>
    <row r="115" spans="1:7" x14ac:dyDescent="0.3">
      <c r="A115" s="7" t="s">
        <v>120</v>
      </c>
      <c r="B115" s="7" t="s">
        <v>238</v>
      </c>
      <c r="C115" s="7" t="s">
        <v>244</v>
      </c>
      <c r="D115" s="7" t="s">
        <v>249</v>
      </c>
      <c r="E115" s="7" t="s">
        <v>255</v>
      </c>
      <c r="F115">
        <v>10000</v>
      </c>
      <c r="G115" s="9">
        <v>45691</v>
      </c>
    </row>
    <row r="116" spans="1:7" x14ac:dyDescent="0.3">
      <c r="A116" s="7" t="s">
        <v>121</v>
      </c>
      <c r="B116" s="7" t="s">
        <v>239</v>
      </c>
      <c r="C116" s="7" t="s">
        <v>247</v>
      </c>
      <c r="D116" s="7" t="s">
        <v>251</v>
      </c>
      <c r="E116" s="7" t="s">
        <v>255</v>
      </c>
      <c r="F116">
        <v>50000</v>
      </c>
      <c r="G116" s="9">
        <v>45778</v>
      </c>
    </row>
    <row r="117" spans="1:7" x14ac:dyDescent="0.3">
      <c r="A117" s="7" t="s">
        <v>122</v>
      </c>
      <c r="B117" s="7" t="s">
        <v>240</v>
      </c>
      <c r="C117" s="7" t="s">
        <v>245</v>
      </c>
      <c r="D117" s="7" t="s">
        <v>249</v>
      </c>
      <c r="E117" s="7" t="s">
        <v>254</v>
      </c>
      <c r="F117">
        <v>50000</v>
      </c>
      <c r="G117" s="9">
        <v>45819</v>
      </c>
    </row>
    <row r="118" spans="1:7" x14ac:dyDescent="0.3">
      <c r="A118" s="7" t="s">
        <v>123</v>
      </c>
      <c r="B118" s="7" t="s">
        <v>241</v>
      </c>
      <c r="C118" s="7" t="s">
        <v>247</v>
      </c>
      <c r="D118" s="7" t="s">
        <v>249</v>
      </c>
      <c r="E118" s="7" t="s">
        <v>255</v>
      </c>
      <c r="F118">
        <v>10000</v>
      </c>
      <c r="G118" s="9">
        <v>45950</v>
      </c>
    </row>
    <row r="119" spans="1:7" x14ac:dyDescent="0.3">
      <c r="A119" s="7" t="s">
        <v>124</v>
      </c>
      <c r="B119" s="7" t="s">
        <v>242</v>
      </c>
      <c r="C119" s="7" t="s">
        <v>243</v>
      </c>
      <c r="D119" s="7" t="s">
        <v>250</v>
      </c>
      <c r="E119" s="7" t="s">
        <v>255</v>
      </c>
      <c r="F119">
        <v>20000</v>
      </c>
      <c r="G119" s="9">
        <v>45977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44140625" style="7" bestFit="1" customWidth="1"/>
    <col min="2" max="2" width="23.77734375" style="7" bestFit="1" customWidth="1"/>
    <col min="3" max="3" width="13" style="7" bestFit="1" customWidth="1"/>
    <col min="4" max="4" width="12.21875" style="7" bestFit="1" customWidth="1"/>
    <col min="5" max="5" width="18.21875" style="7" bestFit="1" customWidth="1"/>
    <col min="6" max="6" width="16.109375" style="9" bestFit="1" customWidth="1"/>
  </cols>
  <sheetData>
    <row r="1" spans="1:6" x14ac:dyDescent="0.3">
      <c r="A1" s="12" t="s">
        <v>257</v>
      </c>
      <c r="B1" s="12" t="s">
        <v>258</v>
      </c>
      <c r="C1" s="12" t="s">
        <v>259</v>
      </c>
      <c r="D1" s="12" t="s">
        <v>3</v>
      </c>
      <c r="E1" s="12" t="s">
        <v>4</v>
      </c>
      <c r="F1" s="13" t="s">
        <v>260</v>
      </c>
    </row>
    <row r="2" spans="1:6" x14ac:dyDescent="0.3">
      <c r="A2" s="7" t="s">
        <v>261</v>
      </c>
      <c r="B2" s="7" t="s">
        <v>262</v>
      </c>
      <c r="C2" s="7" t="s">
        <v>263</v>
      </c>
      <c r="D2" s="7" t="s">
        <v>248</v>
      </c>
      <c r="E2" s="7" t="s">
        <v>254</v>
      </c>
      <c r="F2" s="9">
        <v>45693</v>
      </c>
    </row>
    <row r="3" spans="1:6" x14ac:dyDescent="0.3">
      <c r="A3" s="7" t="s">
        <v>264</v>
      </c>
      <c r="B3" s="7" t="s">
        <v>265</v>
      </c>
      <c r="C3" s="7" t="s">
        <v>266</v>
      </c>
      <c r="D3" s="7" t="s">
        <v>250</v>
      </c>
      <c r="E3" s="7" t="s">
        <v>255</v>
      </c>
      <c r="F3" s="9">
        <v>45976</v>
      </c>
    </row>
    <row r="4" spans="1:6" x14ac:dyDescent="0.3">
      <c r="A4" s="7" t="s">
        <v>267</v>
      </c>
      <c r="B4" s="7" t="s">
        <v>268</v>
      </c>
      <c r="C4" s="7" t="s">
        <v>263</v>
      </c>
      <c r="D4" s="7" t="s">
        <v>253</v>
      </c>
      <c r="E4" s="7" t="s">
        <v>254</v>
      </c>
      <c r="F4" s="9">
        <v>45852</v>
      </c>
    </row>
    <row r="5" spans="1:6" x14ac:dyDescent="0.3">
      <c r="A5" s="7" t="s">
        <v>269</v>
      </c>
      <c r="B5" s="7" t="s">
        <v>270</v>
      </c>
      <c r="C5" s="7" t="s">
        <v>271</v>
      </c>
      <c r="D5" s="7" t="s">
        <v>250</v>
      </c>
      <c r="E5" s="7" t="s">
        <v>254</v>
      </c>
      <c r="F5" s="9">
        <v>45983</v>
      </c>
    </row>
    <row r="6" spans="1:6" x14ac:dyDescent="0.3">
      <c r="A6" s="7" t="s">
        <v>272</v>
      </c>
      <c r="B6" s="7" t="s">
        <v>273</v>
      </c>
      <c r="C6" s="7" t="s">
        <v>263</v>
      </c>
      <c r="D6" s="7" t="s">
        <v>251</v>
      </c>
      <c r="E6" s="7" t="s">
        <v>256</v>
      </c>
      <c r="F6" s="9">
        <v>45647</v>
      </c>
    </row>
    <row r="7" spans="1:6" x14ac:dyDescent="0.3">
      <c r="A7" s="7" t="s">
        <v>274</v>
      </c>
      <c r="B7" s="7" t="s">
        <v>275</v>
      </c>
      <c r="C7" s="7" t="s">
        <v>263</v>
      </c>
      <c r="D7" s="7" t="s">
        <v>250</v>
      </c>
      <c r="E7" s="7" t="s">
        <v>256</v>
      </c>
      <c r="F7" s="9">
        <v>45950</v>
      </c>
    </row>
    <row r="8" spans="1:6" x14ac:dyDescent="0.3">
      <c r="A8" s="7" t="s">
        <v>276</v>
      </c>
      <c r="B8" s="7" t="s">
        <v>277</v>
      </c>
      <c r="C8" s="7" t="s">
        <v>278</v>
      </c>
      <c r="D8" s="7" t="s">
        <v>253</v>
      </c>
      <c r="E8" s="7" t="s">
        <v>256</v>
      </c>
      <c r="F8" s="9">
        <v>45958</v>
      </c>
    </row>
    <row r="9" spans="1:6" x14ac:dyDescent="0.3">
      <c r="A9" s="7" t="s">
        <v>279</v>
      </c>
      <c r="B9" s="7" t="s">
        <v>280</v>
      </c>
      <c r="C9" s="7" t="s">
        <v>263</v>
      </c>
      <c r="D9" s="7" t="s">
        <v>253</v>
      </c>
      <c r="E9" s="7" t="s">
        <v>255</v>
      </c>
      <c r="F9" s="9">
        <v>45706</v>
      </c>
    </row>
    <row r="10" spans="1:6" x14ac:dyDescent="0.3">
      <c r="A10" s="7" t="s">
        <v>281</v>
      </c>
      <c r="B10" s="7" t="s">
        <v>282</v>
      </c>
      <c r="C10" s="7" t="s">
        <v>263</v>
      </c>
      <c r="D10" s="7" t="s">
        <v>248</v>
      </c>
      <c r="E10" s="7" t="s">
        <v>254</v>
      </c>
      <c r="F10" s="9">
        <v>45712</v>
      </c>
    </row>
    <row r="11" spans="1:6" x14ac:dyDescent="0.3">
      <c r="A11" s="7" t="s">
        <v>283</v>
      </c>
      <c r="B11" s="7" t="s">
        <v>284</v>
      </c>
      <c r="C11" s="7" t="s">
        <v>278</v>
      </c>
      <c r="D11" s="7" t="s">
        <v>252</v>
      </c>
      <c r="E11" s="7" t="s">
        <v>256</v>
      </c>
      <c r="F11" s="9">
        <v>45729</v>
      </c>
    </row>
    <row r="12" spans="1:6" x14ac:dyDescent="0.3">
      <c r="A12" s="7" t="s">
        <v>285</v>
      </c>
      <c r="B12" s="7" t="s">
        <v>286</v>
      </c>
      <c r="C12" s="7" t="s">
        <v>266</v>
      </c>
      <c r="D12" s="7" t="s">
        <v>249</v>
      </c>
      <c r="E12" s="7" t="s">
        <v>255</v>
      </c>
      <c r="F12" s="9">
        <v>45684</v>
      </c>
    </row>
    <row r="13" spans="1:6" x14ac:dyDescent="0.3">
      <c r="A13" s="7" t="s">
        <v>287</v>
      </c>
      <c r="B13" s="7" t="s">
        <v>288</v>
      </c>
      <c r="C13" s="7" t="s">
        <v>263</v>
      </c>
      <c r="D13" s="7" t="s">
        <v>253</v>
      </c>
      <c r="E13" s="7" t="s">
        <v>255</v>
      </c>
      <c r="F13" s="9">
        <v>45927</v>
      </c>
    </row>
    <row r="14" spans="1:6" x14ac:dyDescent="0.3">
      <c r="A14" s="7" t="s">
        <v>289</v>
      </c>
      <c r="B14" s="7" t="s">
        <v>290</v>
      </c>
      <c r="C14" s="7" t="s">
        <v>278</v>
      </c>
      <c r="D14" s="7" t="s">
        <v>248</v>
      </c>
      <c r="E14" s="7" t="s">
        <v>256</v>
      </c>
      <c r="F14" s="9">
        <v>45774</v>
      </c>
    </row>
    <row r="15" spans="1:6" x14ac:dyDescent="0.3">
      <c r="A15" s="7" t="s">
        <v>291</v>
      </c>
      <c r="B15" s="7" t="s">
        <v>292</v>
      </c>
      <c r="C15" s="7" t="s">
        <v>271</v>
      </c>
      <c r="D15" s="7" t="s">
        <v>251</v>
      </c>
      <c r="E15" s="7" t="s">
        <v>256</v>
      </c>
      <c r="F15" s="9">
        <v>45778</v>
      </c>
    </row>
    <row r="16" spans="1:6" x14ac:dyDescent="0.3">
      <c r="A16" s="7" t="s">
        <v>293</v>
      </c>
      <c r="B16" s="7" t="s">
        <v>294</v>
      </c>
      <c r="C16" s="7" t="s">
        <v>266</v>
      </c>
      <c r="D16" s="7" t="s">
        <v>249</v>
      </c>
      <c r="E16" s="7" t="s">
        <v>256</v>
      </c>
      <c r="F16" s="9">
        <v>45765</v>
      </c>
    </row>
    <row r="17" spans="1:6" x14ac:dyDescent="0.3">
      <c r="A17" s="7" t="s">
        <v>295</v>
      </c>
      <c r="B17" s="7" t="s">
        <v>296</v>
      </c>
      <c r="C17" s="7" t="s">
        <v>266</v>
      </c>
      <c r="D17" s="7" t="s">
        <v>251</v>
      </c>
      <c r="E17" s="7" t="s">
        <v>256</v>
      </c>
      <c r="F17" s="9">
        <v>45810</v>
      </c>
    </row>
    <row r="18" spans="1:6" x14ac:dyDescent="0.3">
      <c r="A18" s="7" t="s">
        <v>297</v>
      </c>
      <c r="B18" s="7" t="s">
        <v>298</v>
      </c>
      <c r="C18" s="7" t="s">
        <v>266</v>
      </c>
      <c r="D18" s="7" t="s">
        <v>252</v>
      </c>
      <c r="E18" s="7" t="s">
        <v>256</v>
      </c>
      <c r="F18" s="9">
        <v>45951</v>
      </c>
    </row>
    <row r="19" spans="1:6" x14ac:dyDescent="0.3">
      <c r="A19" s="7" t="s">
        <v>299</v>
      </c>
      <c r="B19" s="7" t="s">
        <v>300</v>
      </c>
      <c r="C19" s="7" t="s">
        <v>263</v>
      </c>
      <c r="D19" s="7" t="s">
        <v>250</v>
      </c>
      <c r="E19" s="7" t="s">
        <v>254</v>
      </c>
      <c r="F19" s="9">
        <v>45948</v>
      </c>
    </row>
    <row r="20" spans="1:6" x14ac:dyDescent="0.3">
      <c r="A20" s="7" t="s">
        <v>301</v>
      </c>
      <c r="B20" s="7" t="s">
        <v>302</v>
      </c>
      <c r="C20" s="7" t="s">
        <v>278</v>
      </c>
      <c r="D20" s="7" t="s">
        <v>250</v>
      </c>
      <c r="E20" s="7" t="s">
        <v>255</v>
      </c>
      <c r="F20" s="9">
        <v>45705</v>
      </c>
    </row>
    <row r="21" spans="1:6" x14ac:dyDescent="0.3">
      <c r="A21" s="7" t="s">
        <v>303</v>
      </c>
      <c r="B21" s="7" t="s">
        <v>304</v>
      </c>
      <c r="C21" s="7" t="s">
        <v>263</v>
      </c>
      <c r="D21" s="7" t="s">
        <v>250</v>
      </c>
      <c r="E21" s="7" t="s">
        <v>255</v>
      </c>
      <c r="F21" s="9">
        <v>45765</v>
      </c>
    </row>
    <row r="22" spans="1:6" x14ac:dyDescent="0.3">
      <c r="A22" s="7" t="s">
        <v>305</v>
      </c>
      <c r="B22" s="7" t="s">
        <v>306</v>
      </c>
      <c r="C22" s="7" t="s">
        <v>271</v>
      </c>
      <c r="D22" s="7" t="s">
        <v>253</v>
      </c>
      <c r="E22" s="7" t="s">
        <v>254</v>
      </c>
      <c r="F22" s="9">
        <v>45974</v>
      </c>
    </row>
    <row r="23" spans="1:6" x14ac:dyDescent="0.3">
      <c r="A23" s="7" t="s">
        <v>307</v>
      </c>
      <c r="B23" s="7" t="s">
        <v>308</v>
      </c>
      <c r="C23" s="7" t="s">
        <v>263</v>
      </c>
      <c r="D23" s="7" t="s">
        <v>253</v>
      </c>
      <c r="E23" s="7" t="s">
        <v>255</v>
      </c>
      <c r="F23" s="9">
        <v>45996</v>
      </c>
    </row>
    <row r="24" spans="1:6" x14ac:dyDescent="0.3">
      <c r="A24" s="7" t="s">
        <v>309</v>
      </c>
      <c r="B24" s="7" t="s">
        <v>310</v>
      </c>
      <c r="C24" s="7" t="s">
        <v>263</v>
      </c>
      <c r="D24" s="7" t="s">
        <v>249</v>
      </c>
      <c r="E24" s="7" t="s">
        <v>254</v>
      </c>
      <c r="F24" s="9">
        <v>45839</v>
      </c>
    </row>
    <row r="25" spans="1:6" x14ac:dyDescent="0.3">
      <c r="A25" s="7" t="s">
        <v>311</v>
      </c>
      <c r="B25" s="7" t="s">
        <v>312</v>
      </c>
      <c r="C25" s="7" t="s">
        <v>266</v>
      </c>
      <c r="D25" s="7" t="s">
        <v>250</v>
      </c>
      <c r="E25" s="7" t="s">
        <v>254</v>
      </c>
      <c r="F25" s="9">
        <v>45854</v>
      </c>
    </row>
    <row r="26" spans="1:6" x14ac:dyDescent="0.3">
      <c r="A26" s="7" t="s">
        <v>313</v>
      </c>
      <c r="B26" s="7" t="s">
        <v>314</v>
      </c>
      <c r="C26" s="7" t="s">
        <v>266</v>
      </c>
      <c r="D26" s="7" t="s">
        <v>248</v>
      </c>
      <c r="E26" s="7" t="s">
        <v>254</v>
      </c>
      <c r="F26" s="9">
        <v>45785</v>
      </c>
    </row>
    <row r="27" spans="1:6" x14ac:dyDescent="0.3">
      <c r="A27" s="7" t="s">
        <v>315</v>
      </c>
      <c r="B27" s="7" t="s">
        <v>316</v>
      </c>
      <c r="C27" s="7" t="s">
        <v>278</v>
      </c>
      <c r="D27" s="7" t="s">
        <v>250</v>
      </c>
      <c r="E27" s="7" t="s">
        <v>255</v>
      </c>
      <c r="F27" s="9">
        <v>45591</v>
      </c>
    </row>
    <row r="28" spans="1:6" x14ac:dyDescent="0.3">
      <c r="A28" s="7" t="s">
        <v>317</v>
      </c>
      <c r="B28" s="7" t="s">
        <v>318</v>
      </c>
      <c r="C28" s="7" t="s">
        <v>271</v>
      </c>
      <c r="D28" s="7" t="s">
        <v>250</v>
      </c>
      <c r="E28" s="7" t="s">
        <v>256</v>
      </c>
      <c r="F28" s="9">
        <v>45674</v>
      </c>
    </row>
    <row r="29" spans="1:6" x14ac:dyDescent="0.3">
      <c r="A29" s="7" t="s">
        <v>319</v>
      </c>
      <c r="B29" s="7" t="s">
        <v>320</v>
      </c>
      <c r="C29" s="7" t="s">
        <v>263</v>
      </c>
      <c r="D29" s="7" t="s">
        <v>252</v>
      </c>
      <c r="E29" s="7" t="s">
        <v>256</v>
      </c>
      <c r="F29" s="9">
        <v>45955</v>
      </c>
    </row>
    <row r="30" spans="1:6" x14ac:dyDescent="0.3">
      <c r="A30" s="7" t="s">
        <v>321</v>
      </c>
      <c r="B30" s="7" t="s">
        <v>322</v>
      </c>
      <c r="C30" s="7" t="s">
        <v>263</v>
      </c>
      <c r="D30" s="7" t="s">
        <v>252</v>
      </c>
      <c r="E30" s="7" t="s">
        <v>256</v>
      </c>
      <c r="F30" s="9">
        <v>45695</v>
      </c>
    </row>
    <row r="31" spans="1:6" x14ac:dyDescent="0.3">
      <c r="A31" s="7" t="s">
        <v>323</v>
      </c>
      <c r="B31" s="7" t="s">
        <v>324</v>
      </c>
      <c r="C31" s="7" t="s">
        <v>266</v>
      </c>
      <c r="D31" s="7" t="s">
        <v>250</v>
      </c>
      <c r="E31" s="7" t="s">
        <v>255</v>
      </c>
      <c r="F31" s="9">
        <v>45949</v>
      </c>
    </row>
    <row r="32" spans="1:6" x14ac:dyDescent="0.3">
      <c r="A32" s="7" t="s">
        <v>325</v>
      </c>
      <c r="B32" s="7" t="s">
        <v>326</v>
      </c>
      <c r="C32" s="7" t="s">
        <v>266</v>
      </c>
      <c r="D32" s="7" t="s">
        <v>252</v>
      </c>
      <c r="E32" s="7" t="s">
        <v>255</v>
      </c>
      <c r="F32" s="9">
        <v>45898</v>
      </c>
    </row>
    <row r="33" spans="1:6" x14ac:dyDescent="0.3">
      <c r="A33" s="7" t="s">
        <v>327</v>
      </c>
      <c r="B33" s="7" t="s">
        <v>328</v>
      </c>
      <c r="C33" s="7" t="s">
        <v>266</v>
      </c>
      <c r="D33" s="7" t="s">
        <v>253</v>
      </c>
      <c r="E33" s="7" t="s">
        <v>255</v>
      </c>
      <c r="F33" s="9">
        <v>45952</v>
      </c>
    </row>
    <row r="34" spans="1:6" x14ac:dyDescent="0.3">
      <c r="A34" s="7" t="s">
        <v>329</v>
      </c>
      <c r="B34" s="7" t="s">
        <v>330</v>
      </c>
      <c r="C34" s="7" t="s">
        <v>266</v>
      </c>
      <c r="D34" s="7" t="s">
        <v>249</v>
      </c>
      <c r="E34" s="7" t="s">
        <v>255</v>
      </c>
      <c r="F34" s="9">
        <v>45995</v>
      </c>
    </row>
    <row r="35" spans="1:6" x14ac:dyDescent="0.3">
      <c r="A35" s="7" t="s">
        <v>331</v>
      </c>
      <c r="B35" s="7" t="s">
        <v>332</v>
      </c>
      <c r="C35" s="7" t="s">
        <v>266</v>
      </c>
      <c r="D35" s="7" t="s">
        <v>251</v>
      </c>
      <c r="E35" s="7" t="s">
        <v>255</v>
      </c>
      <c r="F35" s="9">
        <v>45688</v>
      </c>
    </row>
    <row r="36" spans="1:6" x14ac:dyDescent="0.3">
      <c r="A36" s="7" t="s">
        <v>333</v>
      </c>
      <c r="B36" s="7" t="s">
        <v>334</v>
      </c>
      <c r="C36" s="7" t="s">
        <v>278</v>
      </c>
      <c r="D36" s="7" t="s">
        <v>250</v>
      </c>
      <c r="E36" s="7" t="s">
        <v>254</v>
      </c>
      <c r="F36" s="9">
        <v>45624</v>
      </c>
    </row>
    <row r="37" spans="1:6" x14ac:dyDescent="0.3">
      <c r="A37" s="7" t="s">
        <v>335</v>
      </c>
      <c r="B37" s="7" t="s">
        <v>336</v>
      </c>
      <c r="C37" s="7" t="s">
        <v>278</v>
      </c>
      <c r="D37" s="7" t="s">
        <v>250</v>
      </c>
      <c r="E37" s="7" t="s">
        <v>254</v>
      </c>
      <c r="F37" s="9">
        <v>45697</v>
      </c>
    </row>
    <row r="38" spans="1:6" x14ac:dyDescent="0.3">
      <c r="A38" s="7" t="s">
        <v>337</v>
      </c>
      <c r="B38" s="7" t="s">
        <v>338</v>
      </c>
      <c r="C38" s="7" t="s">
        <v>271</v>
      </c>
      <c r="D38" s="7" t="s">
        <v>249</v>
      </c>
      <c r="E38" s="7" t="s">
        <v>254</v>
      </c>
      <c r="F38" s="9">
        <v>45876</v>
      </c>
    </row>
    <row r="39" spans="1:6" x14ac:dyDescent="0.3">
      <c r="A39" s="7" t="s">
        <v>339</v>
      </c>
      <c r="B39" s="7" t="s">
        <v>340</v>
      </c>
      <c r="C39" s="7" t="s">
        <v>266</v>
      </c>
      <c r="D39" s="7" t="s">
        <v>249</v>
      </c>
      <c r="E39" s="7" t="s">
        <v>256</v>
      </c>
      <c r="F39" s="9">
        <v>45621</v>
      </c>
    </row>
    <row r="40" spans="1:6" x14ac:dyDescent="0.3">
      <c r="A40" s="7" t="s">
        <v>341</v>
      </c>
      <c r="B40" s="7" t="s">
        <v>342</v>
      </c>
      <c r="C40" s="7" t="s">
        <v>266</v>
      </c>
      <c r="D40" s="7" t="s">
        <v>252</v>
      </c>
      <c r="E40" s="7" t="s">
        <v>254</v>
      </c>
      <c r="F40" s="9">
        <v>45912</v>
      </c>
    </row>
    <row r="41" spans="1:6" x14ac:dyDescent="0.3">
      <c r="A41" s="7" t="s">
        <v>343</v>
      </c>
      <c r="B41" s="7" t="s">
        <v>344</v>
      </c>
      <c r="C41" s="7" t="s">
        <v>263</v>
      </c>
      <c r="D41" s="7" t="s">
        <v>250</v>
      </c>
      <c r="E41" s="7" t="s">
        <v>254</v>
      </c>
      <c r="F41" s="9">
        <v>45667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21875" style="7" bestFit="1" customWidth="1"/>
    <col min="2" max="2" width="20.21875" style="7" bestFit="1" customWidth="1"/>
    <col min="3" max="3" width="18.6640625" style="3" bestFit="1" customWidth="1"/>
    <col min="4" max="4" width="18.88671875" style="3" bestFit="1" customWidth="1"/>
  </cols>
  <sheetData>
    <row r="1" spans="1:4" x14ac:dyDescent="0.3">
      <c r="A1" s="12" t="s">
        <v>345</v>
      </c>
      <c r="B1" s="12" t="s">
        <v>346</v>
      </c>
      <c r="C1" s="14" t="s">
        <v>347</v>
      </c>
      <c r="D1" s="14" t="s">
        <v>348</v>
      </c>
    </row>
    <row r="2" spans="1:4" x14ac:dyDescent="0.3">
      <c r="A2" s="7" t="s">
        <v>349</v>
      </c>
      <c r="B2" s="7" t="s">
        <v>350</v>
      </c>
      <c r="C2" s="3">
        <v>3000</v>
      </c>
      <c r="D2" s="3">
        <v>1200</v>
      </c>
    </row>
    <row r="3" spans="1:4" x14ac:dyDescent="0.3">
      <c r="A3" s="7" t="s">
        <v>351</v>
      </c>
      <c r="B3" s="7" t="s">
        <v>352</v>
      </c>
      <c r="C3" s="3">
        <v>5000</v>
      </c>
      <c r="D3" s="3">
        <v>2200</v>
      </c>
    </row>
    <row r="4" spans="1:4" x14ac:dyDescent="0.3">
      <c r="A4" s="7" t="s">
        <v>353</v>
      </c>
      <c r="B4" s="7" t="s">
        <v>354</v>
      </c>
      <c r="C4" s="3">
        <v>2500</v>
      </c>
      <c r="D4" s="3">
        <v>900</v>
      </c>
    </row>
    <row r="5" spans="1:4" x14ac:dyDescent="0.3">
      <c r="A5" s="7" t="s">
        <v>355</v>
      </c>
      <c r="B5" s="7" t="s">
        <v>356</v>
      </c>
      <c r="C5" s="3">
        <v>12000</v>
      </c>
      <c r="D5" s="3">
        <v>6500</v>
      </c>
    </row>
    <row r="6" spans="1:4" x14ac:dyDescent="0.3">
      <c r="A6" s="7" t="s">
        <v>357</v>
      </c>
      <c r="B6" s="7" t="s">
        <v>358</v>
      </c>
      <c r="C6" s="3">
        <v>3500</v>
      </c>
      <c r="D6" s="3">
        <v>1500</v>
      </c>
    </row>
    <row r="7" spans="1:4" x14ac:dyDescent="0.3">
      <c r="A7" s="7" t="s">
        <v>359</v>
      </c>
      <c r="B7" s="7" t="s">
        <v>360</v>
      </c>
      <c r="C7" s="3">
        <v>1800</v>
      </c>
      <c r="D7" s="3">
        <v>700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01"/>
  <sheetViews>
    <sheetView workbookViewId="0">
      <pane ySplit="1" topLeftCell="A2" activePane="bottomLeft" state="frozen"/>
      <selection pane="bottomLeft" activeCell="E9" sqref="E9"/>
    </sheetView>
  </sheetViews>
  <sheetFormatPr defaultRowHeight="14.4" x14ac:dyDescent="0.3"/>
  <cols>
    <col min="1" max="1" width="13.33203125" style="7" bestFit="1" customWidth="1"/>
    <col min="2" max="2" width="15.33203125" style="7" bestFit="1" customWidth="1"/>
    <col min="3" max="3" width="13.21875" style="7" bestFit="1" customWidth="1"/>
    <col min="4" max="4" width="15.44140625" style="9" bestFit="1" customWidth="1"/>
    <col min="5" max="5" width="12.6640625" style="9" bestFit="1" customWidth="1"/>
    <col min="6" max="6" width="18" style="3" bestFit="1" customWidth="1"/>
    <col min="7" max="7" width="10.6640625" style="7" bestFit="1" customWidth="1"/>
  </cols>
  <sheetData>
    <row r="1" spans="1:7" x14ac:dyDescent="0.3">
      <c r="A1" s="12" t="s">
        <v>361</v>
      </c>
      <c r="B1" s="12" t="s">
        <v>0</v>
      </c>
      <c r="C1" s="12" t="s">
        <v>345</v>
      </c>
      <c r="D1" s="13" t="s">
        <v>362</v>
      </c>
      <c r="E1" s="13" t="s">
        <v>363</v>
      </c>
      <c r="F1" s="14" t="s">
        <v>364</v>
      </c>
      <c r="G1" s="12" t="s">
        <v>365</v>
      </c>
    </row>
    <row r="2" spans="1:7" x14ac:dyDescent="0.3">
      <c r="A2" s="7" t="s">
        <v>366</v>
      </c>
      <c r="B2" s="7" t="s">
        <v>96</v>
      </c>
      <c r="C2" s="7" t="s">
        <v>349</v>
      </c>
      <c r="D2" s="9">
        <v>46097</v>
      </c>
      <c r="E2" s="9">
        <v>46127</v>
      </c>
      <c r="F2" s="3">
        <v>3110.52</v>
      </c>
      <c r="G2" s="7" t="s">
        <v>367</v>
      </c>
    </row>
    <row r="3" spans="1:7" x14ac:dyDescent="0.3">
      <c r="A3" s="7" t="s">
        <v>368</v>
      </c>
      <c r="B3" s="7" t="s">
        <v>79</v>
      </c>
      <c r="C3" s="7" t="s">
        <v>353</v>
      </c>
      <c r="D3" s="9">
        <v>45987</v>
      </c>
      <c r="E3" s="9">
        <v>46017</v>
      </c>
      <c r="F3" s="3">
        <v>2850.29</v>
      </c>
      <c r="G3" s="7" t="s">
        <v>369</v>
      </c>
    </row>
    <row r="4" spans="1:7" x14ac:dyDescent="0.3">
      <c r="A4" s="7" t="s">
        <v>370</v>
      </c>
      <c r="B4" s="7" t="s">
        <v>71</v>
      </c>
      <c r="C4" s="7" t="s">
        <v>349</v>
      </c>
      <c r="D4" s="9">
        <v>46094</v>
      </c>
      <c r="E4" s="9">
        <v>46124</v>
      </c>
      <c r="F4" s="3">
        <v>2816.64</v>
      </c>
      <c r="G4" s="7" t="s">
        <v>367</v>
      </c>
    </row>
    <row r="5" spans="1:7" x14ac:dyDescent="0.3">
      <c r="A5" s="7" t="s">
        <v>371</v>
      </c>
      <c r="B5" s="7" t="s">
        <v>20</v>
      </c>
      <c r="C5" s="7" t="s">
        <v>359</v>
      </c>
      <c r="D5" s="9">
        <v>45971</v>
      </c>
      <c r="E5" s="9">
        <v>46001</v>
      </c>
      <c r="F5" s="3">
        <v>1685.69</v>
      </c>
      <c r="G5" s="7" t="s">
        <v>369</v>
      </c>
    </row>
    <row r="6" spans="1:7" x14ac:dyDescent="0.3">
      <c r="A6" s="7" t="s">
        <v>372</v>
      </c>
      <c r="B6" s="7" t="s">
        <v>62</v>
      </c>
      <c r="C6" s="7" t="s">
        <v>355</v>
      </c>
      <c r="D6" s="9">
        <v>46099</v>
      </c>
      <c r="E6" s="9">
        <v>46129</v>
      </c>
      <c r="F6" s="3">
        <v>14211.78</v>
      </c>
      <c r="G6" s="7" t="s">
        <v>367</v>
      </c>
    </row>
    <row r="7" spans="1:7" x14ac:dyDescent="0.3">
      <c r="A7" s="7" t="s">
        <v>373</v>
      </c>
      <c r="B7" s="7" t="s">
        <v>124</v>
      </c>
      <c r="C7" s="7" t="s">
        <v>351</v>
      </c>
      <c r="D7" s="9">
        <v>45982</v>
      </c>
      <c r="E7" s="9">
        <v>46012</v>
      </c>
      <c r="F7" s="3">
        <v>5467.59</v>
      </c>
      <c r="G7" s="7" t="s">
        <v>367</v>
      </c>
    </row>
    <row r="8" spans="1:7" x14ac:dyDescent="0.3">
      <c r="A8" s="7" t="s">
        <v>374</v>
      </c>
      <c r="B8" s="7" t="s">
        <v>82</v>
      </c>
      <c r="C8" s="7" t="s">
        <v>357</v>
      </c>
      <c r="D8" s="9">
        <v>46074</v>
      </c>
      <c r="E8" s="9">
        <v>46104</v>
      </c>
      <c r="F8" s="3">
        <v>3884.5</v>
      </c>
      <c r="G8" s="7" t="s">
        <v>369</v>
      </c>
    </row>
    <row r="9" spans="1:7" x14ac:dyDescent="0.3">
      <c r="A9" s="7" t="s">
        <v>375</v>
      </c>
      <c r="B9" s="7" t="s">
        <v>64</v>
      </c>
      <c r="C9" s="7" t="s">
        <v>353</v>
      </c>
      <c r="D9" s="9">
        <v>46047</v>
      </c>
      <c r="E9" s="9">
        <v>46077</v>
      </c>
      <c r="F9" s="3">
        <v>2322.3000000000002</v>
      </c>
      <c r="G9" s="7" t="s">
        <v>367</v>
      </c>
    </row>
    <row r="10" spans="1:7" x14ac:dyDescent="0.3">
      <c r="A10" s="7" t="s">
        <v>376</v>
      </c>
      <c r="B10" s="7" t="s">
        <v>50</v>
      </c>
      <c r="C10" s="7" t="s">
        <v>351</v>
      </c>
      <c r="D10" s="9">
        <v>46096</v>
      </c>
      <c r="E10" s="9">
        <v>46126</v>
      </c>
      <c r="F10" s="3">
        <v>5500.95</v>
      </c>
      <c r="G10" s="7" t="s">
        <v>367</v>
      </c>
    </row>
    <row r="11" spans="1:7" x14ac:dyDescent="0.3">
      <c r="A11" s="7" t="s">
        <v>377</v>
      </c>
      <c r="B11" s="7" t="s">
        <v>52</v>
      </c>
      <c r="C11" s="7" t="s">
        <v>349</v>
      </c>
      <c r="D11" s="9">
        <v>46009</v>
      </c>
      <c r="E11" s="9">
        <v>46039</v>
      </c>
      <c r="F11" s="3">
        <v>2993.17</v>
      </c>
      <c r="G11" s="7" t="s">
        <v>367</v>
      </c>
    </row>
    <row r="12" spans="1:7" x14ac:dyDescent="0.3">
      <c r="A12" s="7" t="s">
        <v>378</v>
      </c>
      <c r="B12" s="7" t="s">
        <v>42</v>
      </c>
      <c r="C12" s="7" t="s">
        <v>353</v>
      </c>
      <c r="D12" s="9">
        <v>46008</v>
      </c>
      <c r="E12" s="9">
        <v>46038</v>
      </c>
      <c r="F12" s="3">
        <v>2340.34</v>
      </c>
      <c r="G12" s="7" t="s">
        <v>367</v>
      </c>
    </row>
    <row r="13" spans="1:7" x14ac:dyDescent="0.3">
      <c r="A13" s="7" t="s">
        <v>379</v>
      </c>
      <c r="B13" s="7" t="s">
        <v>59</v>
      </c>
      <c r="C13" s="7" t="s">
        <v>357</v>
      </c>
      <c r="D13" s="9">
        <v>46008</v>
      </c>
      <c r="E13" s="9">
        <v>46038</v>
      </c>
      <c r="F13" s="3">
        <v>2814.21</v>
      </c>
      <c r="G13" s="7" t="s">
        <v>367</v>
      </c>
    </row>
    <row r="14" spans="1:7" x14ac:dyDescent="0.3">
      <c r="A14" s="7" t="s">
        <v>380</v>
      </c>
      <c r="B14" s="7" t="s">
        <v>98</v>
      </c>
      <c r="C14" s="7" t="s">
        <v>355</v>
      </c>
      <c r="D14" s="9">
        <v>46001</v>
      </c>
      <c r="E14" s="9">
        <v>46031</v>
      </c>
      <c r="F14" s="3">
        <v>12264.85</v>
      </c>
      <c r="G14" s="7" t="s">
        <v>367</v>
      </c>
    </row>
    <row r="15" spans="1:7" x14ac:dyDescent="0.3">
      <c r="A15" s="7" t="s">
        <v>381</v>
      </c>
      <c r="B15" s="7" t="s">
        <v>58</v>
      </c>
      <c r="C15" s="7" t="s">
        <v>355</v>
      </c>
      <c r="D15" s="9">
        <v>46098</v>
      </c>
      <c r="E15" s="9">
        <v>46128</v>
      </c>
      <c r="F15" s="3">
        <v>11751.24</v>
      </c>
      <c r="G15" s="7" t="s">
        <v>367</v>
      </c>
    </row>
    <row r="16" spans="1:7" x14ac:dyDescent="0.3">
      <c r="A16" s="7" t="s">
        <v>382</v>
      </c>
      <c r="B16" s="7" t="s">
        <v>77</v>
      </c>
      <c r="C16" s="7" t="s">
        <v>359</v>
      </c>
      <c r="D16" s="9">
        <v>46063</v>
      </c>
      <c r="E16" s="9">
        <v>46093</v>
      </c>
      <c r="F16" s="3">
        <v>1615.18</v>
      </c>
      <c r="G16" s="7" t="s">
        <v>367</v>
      </c>
    </row>
    <row r="17" spans="1:7" x14ac:dyDescent="0.3">
      <c r="A17" s="7" t="s">
        <v>383</v>
      </c>
      <c r="B17" s="7" t="s">
        <v>96</v>
      </c>
      <c r="C17" s="7" t="s">
        <v>357</v>
      </c>
      <c r="D17" s="9">
        <v>46050</v>
      </c>
      <c r="E17" s="9">
        <v>46080</v>
      </c>
      <c r="F17" s="3">
        <v>3281.26</v>
      </c>
      <c r="G17" s="7" t="s">
        <v>367</v>
      </c>
    </row>
    <row r="18" spans="1:7" x14ac:dyDescent="0.3">
      <c r="A18" s="7" t="s">
        <v>384</v>
      </c>
      <c r="B18" s="7" t="s">
        <v>31</v>
      </c>
      <c r="C18" s="7" t="s">
        <v>355</v>
      </c>
      <c r="D18" s="9">
        <v>45996</v>
      </c>
      <c r="E18" s="9">
        <v>46026</v>
      </c>
      <c r="F18" s="3">
        <v>10900.4</v>
      </c>
      <c r="G18" s="7" t="s">
        <v>367</v>
      </c>
    </row>
    <row r="19" spans="1:7" x14ac:dyDescent="0.3">
      <c r="A19" s="7" t="s">
        <v>385</v>
      </c>
      <c r="B19" s="7" t="s">
        <v>34</v>
      </c>
      <c r="C19" s="7" t="s">
        <v>353</v>
      </c>
      <c r="D19" s="9">
        <v>45979</v>
      </c>
      <c r="E19" s="9">
        <v>46009</v>
      </c>
      <c r="F19" s="3">
        <v>2119.5500000000002</v>
      </c>
      <c r="G19" s="7" t="s">
        <v>367</v>
      </c>
    </row>
    <row r="20" spans="1:7" x14ac:dyDescent="0.3">
      <c r="A20" s="7" t="s">
        <v>386</v>
      </c>
      <c r="B20" s="7" t="s">
        <v>74</v>
      </c>
      <c r="C20" s="7" t="s">
        <v>359</v>
      </c>
      <c r="D20" s="9">
        <v>45988</v>
      </c>
      <c r="E20" s="9">
        <v>46018</v>
      </c>
      <c r="F20" s="3">
        <v>1788.62</v>
      </c>
      <c r="G20" s="7" t="s">
        <v>387</v>
      </c>
    </row>
    <row r="21" spans="1:7" x14ac:dyDescent="0.3">
      <c r="A21" s="7" t="s">
        <v>388</v>
      </c>
      <c r="B21" s="7" t="s">
        <v>53</v>
      </c>
      <c r="C21" s="7" t="s">
        <v>357</v>
      </c>
      <c r="D21" s="9">
        <v>46054</v>
      </c>
      <c r="E21" s="9">
        <v>46084</v>
      </c>
      <c r="F21" s="3">
        <v>3196.2</v>
      </c>
      <c r="G21" s="7" t="s">
        <v>367</v>
      </c>
    </row>
    <row r="22" spans="1:7" x14ac:dyDescent="0.3">
      <c r="A22" s="7" t="s">
        <v>389</v>
      </c>
      <c r="B22" s="7" t="s">
        <v>12</v>
      </c>
      <c r="C22" s="7" t="s">
        <v>351</v>
      </c>
      <c r="D22" s="9">
        <v>46080</v>
      </c>
      <c r="E22" s="9">
        <v>46110</v>
      </c>
      <c r="F22" s="3">
        <v>4604.54</v>
      </c>
      <c r="G22" s="7" t="s">
        <v>367</v>
      </c>
    </row>
    <row r="23" spans="1:7" x14ac:dyDescent="0.3">
      <c r="A23" s="7" t="s">
        <v>390</v>
      </c>
      <c r="B23" s="7" t="s">
        <v>103</v>
      </c>
      <c r="C23" s="7" t="s">
        <v>349</v>
      </c>
      <c r="D23" s="9">
        <v>46082</v>
      </c>
      <c r="E23" s="9">
        <v>46112</v>
      </c>
      <c r="F23" s="3">
        <v>3064.03</v>
      </c>
      <c r="G23" s="7" t="s">
        <v>367</v>
      </c>
    </row>
    <row r="24" spans="1:7" x14ac:dyDescent="0.3">
      <c r="A24" s="7" t="s">
        <v>391</v>
      </c>
      <c r="B24" s="7" t="s">
        <v>68</v>
      </c>
      <c r="C24" s="7" t="s">
        <v>355</v>
      </c>
      <c r="D24" s="9">
        <v>46026</v>
      </c>
      <c r="E24" s="9">
        <v>46056</v>
      </c>
      <c r="F24" s="3">
        <v>10092.42</v>
      </c>
      <c r="G24" s="7" t="s">
        <v>367</v>
      </c>
    </row>
    <row r="25" spans="1:7" x14ac:dyDescent="0.3">
      <c r="A25" s="7" t="s">
        <v>392</v>
      </c>
      <c r="B25" s="7" t="s">
        <v>68</v>
      </c>
      <c r="C25" s="7" t="s">
        <v>355</v>
      </c>
      <c r="D25" s="9">
        <v>46022</v>
      </c>
      <c r="E25" s="9">
        <v>46052</v>
      </c>
      <c r="F25" s="3">
        <v>11235.39</v>
      </c>
      <c r="G25" s="7" t="s">
        <v>369</v>
      </c>
    </row>
    <row r="26" spans="1:7" x14ac:dyDescent="0.3">
      <c r="A26" s="7" t="s">
        <v>393</v>
      </c>
      <c r="B26" s="7" t="s">
        <v>87</v>
      </c>
      <c r="C26" s="7" t="s">
        <v>349</v>
      </c>
      <c r="D26" s="9">
        <v>45968</v>
      </c>
      <c r="E26" s="9">
        <v>45998</v>
      </c>
      <c r="F26" s="3">
        <v>3386.54</v>
      </c>
      <c r="G26" s="7" t="s">
        <v>367</v>
      </c>
    </row>
    <row r="27" spans="1:7" x14ac:dyDescent="0.3">
      <c r="A27" s="7" t="s">
        <v>394</v>
      </c>
      <c r="B27" s="7" t="s">
        <v>17</v>
      </c>
      <c r="C27" s="7" t="s">
        <v>359</v>
      </c>
      <c r="D27" s="9">
        <v>45997</v>
      </c>
      <c r="E27" s="9">
        <v>46027</v>
      </c>
      <c r="F27" s="3">
        <v>1478.6</v>
      </c>
      <c r="G27" s="7" t="s">
        <v>369</v>
      </c>
    </row>
    <row r="28" spans="1:7" x14ac:dyDescent="0.3">
      <c r="A28" s="7" t="s">
        <v>395</v>
      </c>
      <c r="B28" s="7" t="s">
        <v>108</v>
      </c>
      <c r="C28" s="7" t="s">
        <v>351</v>
      </c>
      <c r="D28" s="9">
        <v>46022</v>
      </c>
      <c r="E28" s="9">
        <v>46052</v>
      </c>
      <c r="F28" s="3">
        <v>4236.8999999999996</v>
      </c>
      <c r="G28" s="7" t="s">
        <v>367</v>
      </c>
    </row>
    <row r="29" spans="1:7" x14ac:dyDescent="0.3">
      <c r="A29" s="7" t="s">
        <v>396</v>
      </c>
      <c r="B29" s="7" t="s">
        <v>63</v>
      </c>
      <c r="C29" s="7" t="s">
        <v>357</v>
      </c>
      <c r="D29" s="9">
        <v>46045</v>
      </c>
      <c r="E29" s="9">
        <v>46075</v>
      </c>
      <c r="F29" s="3">
        <v>3115.96</v>
      </c>
      <c r="G29" s="7" t="s">
        <v>367</v>
      </c>
    </row>
    <row r="30" spans="1:7" x14ac:dyDescent="0.3">
      <c r="A30" s="7" t="s">
        <v>397</v>
      </c>
      <c r="B30" s="7" t="s">
        <v>14</v>
      </c>
      <c r="C30" s="7" t="s">
        <v>353</v>
      </c>
      <c r="D30" s="9">
        <v>46068</v>
      </c>
      <c r="E30" s="9">
        <v>46098</v>
      </c>
      <c r="F30" s="3">
        <v>2860.17</v>
      </c>
      <c r="G30" s="7" t="s">
        <v>367</v>
      </c>
    </row>
    <row r="31" spans="1:7" x14ac:dyDescent="0.3">
      <c r="A31" s="7" t="s">
        <v>398</v>
      </c>
      <c r="B31" s="7" t="s">
        <v>40</v>
      </c>
      <c r="C31" s="7" t="s">
        <v>357</v>
      </c>
      <c r="D31" s="9">
        <v>46066</v>
      </c>
      <c r="E31" s="9">
        <v>46096</v>
      </c>
      <c r="F31" s="3">
        <v>4144.1499999999996</v>
      </c>
      <c r="G31" s="7" t="s">
        <v>367</v>
      </c>
    </row>
    <row r="32" spans="1:7" x14ac:dyDescent="0.3">
      <c r="A32" s="7" t="s">
        <v>399</v>
      </c>
      <c r="B32" s="7" t="s">
        <v>27</v>
      </c>
      <c r="C32" s="7" t="s">
        <v>359</v>
      </c>
      <c r="D32" s="9">
        <v>45982</v>
      </c>
      <c r="E32" s="9">
        <v>46012</v>
      </c>
      <c r="F32" s="3">
        <v>1498.45</v>
      </c>
      <c r="G32" s="7" t="s">
        <v>367</v>
      </c>
    </row>
    <row r="33" spans="1:7" x14ac:dyDescent="0.3">
      <c r="A33" s="7" t="s">
        <v>400</v>
      </c>
      <c r="B33" s="7" t="s">
        <v>11</v>
      </c>
      <c r="C33" s="7" t="s">
        <v>349</v>
      </c>
      <c r="D33" s="9">
        <v>46095</v>
      </c>
      <c r="E33" s="9">
        <v>46125</v>
      </c>
      <c r="F33" s="3">
        <v>2890.22</v>
      </c>
      <c r="G33" s="7" t="s">
        <v>367</v>
      </c>
    </row>
    <row r="34" spans="1:7" x14ac:dyDescent="0.3">
      <c r="A34" s="7" t="s">
        <v>401</v>
      </c>
      <c r="B34" s="7" t="s">
        <v>16</v>
      </c>
      <c r="C34" s="7" t="s">
        <v>351</v>
      </c>
      <c r="D34" s="9">
        <v>46054</v>
      </c>
      <c r="E34" s="9">
        <v>46084</v>
      </c>
      <c r="F34" s="3">
        <v>4576.21</v>
      </c>
      <c r="G34" s="7" t="s">
        <v>369</v>
      </c>
    </row>
    <row r="35" spans="1:7" x14ac:dyDescent="0.3">
      <c r="A35" s="7" t="s">
        <v>402</v>
      </c>
      <c r="B35" s="7" t="s">
        <v>109</v>
      </c>
      <c r="C35" s="7" t="s">
        <v>359</v>
      </c>
      <c r="D35" s="9">
        <v>46070</v>
      </c>
      <c r="E35" s="9">
        <v>46100</v>
      </c>
      <c r="F35" s="3">
        <v>1608.07</v>
      </c>
      <c r="G35" s="7" t="s">
        <v>367</v>
      </c>
    </row>
    <row r="36" spans="1:7" x14ac:dyDescent="0.3">
      <c r="A36" s="7" t="s">
        <v>403</v>
      </c>
      <c r="B36" s="7" t="s">
        <v>123</v>
      </c>
      <c r="C36" s="7" t="s">
        <v>351</v>
      </c>
      <c r="D36" s="9">
        <v>46039</v>
      </c>
      <c r="E36" s="9">
        <v>46069</v>
      </c>
      <c r="F36" s="3">
        <v>4850.28</v>
      </c>
      <c r="G36" s="7" t="s">
        <v>367</v>
      </c>
    </row>
    <row r="37" spans="1:7" x14ac:dyDescent="0.3">
      <c r="A37" s="7" t="s">
        <v>404</v>
      </c>
      <c r="B37" s="7" t="s">
        <v>46</v>
      </c>
      <c r="C37" s="7" t="s">
        <v>353</v>
      </c>
      <c r="D37" s="9">
        <v>46018</v>
      </c>
      <c r="E37" s="9">
        <v>46048</v>
      </c>
      <c r="F37" s="3">
        <v>2826.63</v>
      </c>
      <c r="G37" s="7" t="s">
        <v>367</v>
      </c>
    </row>
    <row r="38" spans="1:7" x14ac:dyDescent="0.3">
      <c r="A38" s="7" t="s">
        <v>405</v>
      </c>
      <c r="B38" s="7" t="s">
        <v>66</v>
      </c>
      <c r="C38" s="7" t="s">
        <v>357</v>
      </c>
      <c r="D38" s="9">
        <v>46066</v>
      </c>
      <c r="E38" s="9">
        <v>46096</v>
      </c>
      <c r="F38" s="3">
        <v>3848.54</v>
      </c>
      <c r="G38" s="7" t="s">
        <v>367</v>
      </c>
    </row>
    <row r="39" spans="1:7" x14ac:dyDescent="0.3">
      <c r="A39" s="7" t="s">
        <v>406</v>
      </c>
      <c r="B39" s="7" t="s">
        <v>70</v>
      </c>
      <c r="C39" s="7" t="s">
        <v>359</v>
      </c>
      <c r="D39" s="9">
        <v>46015</v>
      </c>
      <c r="E39" s="9">
        <v>46045</v>
      </c>
      <c r="F39" s="3">
        <v>1658.95</v>
      </c>
      <c r="G39" s="7" t="s">
        <v>367</v>
      </c>
    </row>
    <row r="40" spans="1:7" x14ac:dyDescent="0.3">
      <c r="A40" s="7" t="s">
        <v>407</v>
      </c>
      <c r="B40" s="7" t="s">
        <v>84</v>
      </c>
      <c r="C40" s="7" t="s">
        <v>355</v>
      </c>
      <c r="D40" s="9">
        <v>45987</v>
      </c>
      <c r="E40" s="9">
        <v>46017</v>
      </c>
      <c r="F40" s="3">
        <v>9986.1200000000008</v>
      </c>
      <c r="G40" s="7" t="s">
        <v>367</v>
      </c>
    </row>
    <row r="41" spans="1:7" x14ac:dyDescent="0.3">
      <c r="A41" s="7" t="s">
        <v>408</v>
      </c>
      <c r="B41" s="7" t="s">
        <v>80</v>
      </c>
      <c r="C41" s="7" t="s">
        <v>353</v>
      </c>
      <c r="D41" s="9">
        <v>46100</v>
      </c>
      <c r="E41" s="9">
        <v>46130</v>
      </c>
      <c r="F41" s="3">
        <v>2025.86</v>
      </c>
      <c r="G41" s="7" t="s">
        <v>369</v>
      </c>
    </row>
    <row r="42" spans="1:7" x14ac:dyDescent="0.3">
      <c r="A42" s="7" t="s">
        <v>409</v>
      </c>
      <c r="B42" s="7" t="s">
        <v>80</v>
      </c>
      <c r="C42" s="7" t="s">
        <v>357</v>
      </c>
      <c r="D42" s="9">
        <v>46022</v>
      </c>
      <c r="E42" s="9">
        <v>46052</v>
      </c>
      <c r="F42" s="3">
        <v>4131.1000000000004</v>
      </c>
      <c r="G42" s="7" t="s">
        <v>369</v>
      </c>
    </row>
    <row r="43" spans="1:7" x14ac:dyDescent="0.3">
      <c r="A43" s="7" t="s">
        <v>410</v>
      </c>
      <c r="B43" s="7" t="s">
        <v>63</v>
      </c>
      <c r="C43" s="7" t="s">
        <v>349</v>
      </c>
      <c r="D43" s="9">
        <v>46101</v>
      </c>
      <c r="E43" s="9">
        <v>46131</v>
      </c>
      <c r="F43" s="3">
        <v>3315.73</v>
      </c>
      <c r="G43" s="7" t="s">
        <v>367</v>
      </c>
    </row>
    <row r="44" spans="1:7" x14ac:dyDescent="0.3">
      <c r="A44" s="7" t="s">
        <v>411</v>
      </c>
      <c r="B44" s="7" t="s">
        <v>69</v>
      </c>
      <c r="C44" s="7" t="s">
        <v>353</v>
      </c>
      <c r="D44" s="9">
        <v>45982</v>
      </c>
      <c r="E44" s="9">
        <v>46012</v>
      </c>
      <c r="F44" s="3">
        <v>2181.4899999999998</v>
      </c>
      <c r="G44" s="7" t="s">
        <v>367</v>
      </c>
    </row>
    <row r="45" spans="1:7" x14ac:dyDescent="0.3">
      <c r="A45" s="7" t="s">
        <v>412</v>
      </c>
      <c r="B45" s="7" t="s">
        <v>20</v>
      </c>
      <c r="C45" s="7" t="s">
        <v>349</v>
      </c>
      <c r="D45" s="9">
        <v>46041</v>
      </c>
      <c r="E45" s="9">
        <v>46071</v>
      </c>
      <c r="F45" s="3">
        <v>2964.01</v>
      </c>
      <c r="G45" s="7" t="s">
        <v>367</v>
      </c>
    </row>
    <row r="46" spans="1:7" x14ac:dyDescent="0.3">
      <c r="A46" s="7" t="s">
        <v>413</v>
      </c>
      <c r="B46" s="7" t="s">
        <v>58</v>
      </c>
      <c r="C46" s="7" t="s">
        <v>351</v>
      </c>
      <c r="D46" s="9">
        <v>46112</v>
      </c>
      <c r="E46" s="9">
        <v>46142</v>
      </c>
      <c r="F46" s="3">
        <v>4659.6099999999997</v>
      </c>
      <c r="G46" s="7" t="s">
        <v>367</v>
      </c>
    </row>
    <row r="47" spans="1:7" x14ac:dyDescent="0.3">
      <c r="A47" s="7" t="s">
        <v>414</v>
      </c>
      <c r="B47" s="7" t="s">
        <v>21</v>
      </c>
      <c r="C47" s="7" t="s">
        <v>357</v>
      </c>
      <c r="D47" s="9">
        <v>45970</v>
      </c>
      <c r="E47" s="9">
        <v>46000</v>
      </c>
      <c r="F47" s="3">
        <v>2851.38</v>
      </c>
      <c r="G47" s="7" t="s">
        <v>367</v>
      </c>
    </row>
    <row r="48" spans="1:7" x14ac:dyDescent="0.3">
      <c r="A48" s="7" t="s">
        <v>415</v>
      </c>
      <c r="B48" s="7" t="s">
        <v>76</v>
      </c>
      <c r="C48" s="7" t="s">
        <v>355</v>
      </c>
      <c r="D48" s="9">
        <v>46071</v>
      </c>
      <c r="E48" s="9">
        <v>46101</v>
      </c>
      <c r="F48" s="3">
        <v>13751.57</v>
      </c>
      <c r="G48" s="7" t="s">
        <v>367</v>
      </c>
    </row>
    <row r="49" spans="1:7" x14ac:dyDescent="0.3">
      <c r="A49" s="7" t="s">
        <v>416</v>
      </c>
      <c r="B49" s="7" t="s">
        <v>103</v>
      </c>
      <c r="C49" s="7" t="s">
        <v>355</v>
      </c>
      <c r="D49" s="9">
        <v>45985</v>
      </c>
      <c r="E49" s="9">
        <v>46015</v>
      </c>
      <c r="F49" s="3">
        <v>11583.59</v>
      </c>
      <c r="G49" s="7" t="s">
        <v>367</v>
      </c>
    </row>
    <row r="50" spans="1:7" x14ac:dyDescent="0.3">
      <c r="A50" s="7" t="s">
        <v>417</v>
      </c>
      <c r="B50" s="7" t="s">
        <v>77</v>
      </c>
      <c r="C50" s="7" t="s">
        <v>355</v>
      </c>
      <c r="D50" s="9">
        <v>45971</v>
      </c>
      <c r="E50" s="9">
        <v>46001</v>
      </c>
      <c r="F50" s="3">
        <v>12601.96</v>
      </c>
      <c r="G50" s="7" t="s">
        <v>367</v>
      </c>
    </row>
    <row r="51" spans="1:7" x14ac:dyDescent="0.3">
      <c r="A51" s="7" t="s">
        <v>418</v>
      </c>
      <c r="B51" s="7" t="s">
        <v>10</v>
      </c>
      <c r="C51" s="7" t="s">
        <v>351</v>
      </c>
      <c r="D51" s="9">
        <v>46071</v>
      </c>
      <c r="E51" s="9">
        <v>46101</v>
      </c>
      <c r="F51" s="3">
        <v>5855.35</v>
      </c>
      <c r="G51" s="7" t="s">
        <v>367</v>
      </c>
    </row>
    <row r="52" spans="1:7" x14ac:dyDescent="0.3">
      <c r="A52" s="7" t="s">
        <v>419</v>
      </c>
      <c r="B52" s="7" t="s">
        <v>77</v>
      </c>
      <c r="C52" s="7" t="s">
        <v>359</v>
      </c>
      <c r="D52" s="9">
        <v>46033</v>
      </c>
      <c r="E52" s="9">
        <v>46063</v>
      </c>
      <c r="F52" s="3">
        <v>1878.39</v>
      </c>
      <c r="G52" s="7" t="s">
        <v>367</v>
      </c>
    </row>
    <row r="53" spans="1:7" x14ac:dyDescent="0.3">
      <c r="A53" s="7" t="s">
        <v>420</v>
      </c>
      <c r="B53" s="7" t="s">
        <v>123</v>
      </c>
      <c r="C53" s="7" t="s">
        <v>349</v>
      </c>
      <c r="D53" s="9">
        <v>46014</v>
      </c>
      <c r="E53" s="9">
        <v>46044</v>
      </c>
      <c r="F53" s="3">
        <v>3062.7</v>
      </c>
      <c r="G53" s="7" t="s">
        <v>387</v>
      </c>
    </row>
    <row r="54" spans="1:7" x14ac:dyDescent="0.3">
      <c r="A54" s="7" t="s">
        <v>421</v>
      </c>
      <c r="B54" s="7" t="s">
        <v>70</v>
      </c>
      <c r="C54" s="7" t="s">
        <v>349</v>
      </c>
      <c r="D54" s="9">
        <v>46042</v>
      </c>
      <c r="E54" s="9">
        <v>46072</v>
      </c>
      <c r="F54" s="3">
        <v>2953.74</v>
      </c>
      <c r="G54" s="7" t="s">
        <v>369</v>
      </c>
    </row>
    <row r="55" spans="1:7" x14ac:dyDescent="0.3">
      <c r="A55" s="7" t="s">
        <v>422</v>
      </c>
      <c r="B55" s="7" t="s">
        <v>68</v>
      </c>
      <c r="C55" s="7" t="s">
        <v>359</v>
      </c>
      <c r="D55" s="9">
        <v>46005</v>
      </c>
      <c r="E55" s="9">
        <v>46035</v>
      </c>
      <c r="F55" s="3">
        <v>1650.14</v>
      </c>
      <c r="G55" s="7" t="s">
        <v>367</v>
      </c>
    </row>
    <row r="56" spans="1:7" x14ac:dyDescent="0.3">
      <c r="A56" s="7" t="s">
        <v>423</v>
      </c>
      <c r="B56" s="7" t="s">
        <v>124</v>
      </c>
      <c r="C56" s="7" t="s">
        <v>355</v>
      </c>
      <c r="D56" s="9">
        <v>45986</v>
      </c>
      <c r="E56" s="9">
        <v>46016</v>
      </c>
      <c r="F56" s="3">
        <v>10769.91</v>
      </c>
      <c r="G56" s="7" t="s">
        <v>367</v>
      </c>
    </row>
    <row r="57" spans="1:7" x14ac:dyDescent="0.3">
      <c r="A57" s="7" t="s">
        <v>424</v>
      </c>
      <c r="B57" s="7" t="s">
        <v>42</v>
      </c>
      <c r="C57" s="7" t="s">
        <v>357</v>
      </c>
      <c r="D57" s="9">
        <v>45963</v>
      </c>
      <c r="E57" s="9">
        <v>45993</v>
      </c>
      <c r="F57" s="3">
        <v>3511.54</v>
      </c>
      <c r="G57" s="7" t="s">
        <v>369</v>
      </c>
    </row>
    <row r="58" spans="1:7" x14ac:dyDescent="0.3">
      <c r="A58" s="7" t="s">
        <v>425</v>
      </c>
      <c r="B58" s="7" t="s">
        <v>7</v>
      </c>
      <c r="C58" s="7" t="s">
        <v>355</v>
      </c>
      <c r="D58" s="9">
        <v>46037</v>
      </c>
      <c r="E58" s="9">
        <v>46067</v>
      </c>
      <c r="F58" s="3">
        <v>11231.4</v>
      </c>
      <c r="G58" s="7" t="s">
        <v>367</v>
      </c>
    </row>
    <row r="59" spans="1:7" x14ac:dyDescent="0.3">
      <c r="A59" s="7" t="s">
        <v>426</v>
      </c>
      <c r="B59" s="7" t="s">
        <v>91</v>
      </c>
      <c r="C59" s="7" t="s">
        <v>353</v>
      </c>
      <c r="D59" s="9">
        <v>46000</v>
      </c>
      <c r="E59" s="9">
        <v>46030</v>
      </c>
      <c r="F59" s="3">
        <v>2726.05</v>
      </c>
      <c r="G59" s="7" t="s">
        <v>367</v>
      </c>
    </row>
    <row r="60" spans="1:7" x14ac:dyDescent="0.3">
      <c r="A60" s="7" t="s">
        <v>427</v>
      </c>
      <c r="B60" s="7" t="s">
        <v>49</v>
      </c>
      <c r="C60" s="7" t="s">
        <v>355</v>
      </c>
      <c r="D60" s="9">
        <v>46015</v>
      </c>
      <c r="E60" s="9">
        <v>46045</v>
      </c>
      <c r="F60" s="3">
        <v>13753.25</v>
      </c>
      <c r="G60" s="7" t="s">
        <v>367</v>
      </c>
    </row>
    <row r="61" spans="1:7" x14ac:dyDescent="0.3">
      <c r="A61" s="7" t="s">
        <v>428</v>
      </c>
      <c r="B61" s="7" t="s">
        <v>118</v>
      </c>
      <c r="C61" s="7" t="s">
        <v>357</v>
      </c>
      <c r="D61" s="9">
        <v>46047</v>
      </c>
      <c r="E61" s="9">
        <v>46077</v>
      </c>
      <c r="F61" s="3">
        <v>3868.02</v>
      </c>
      <c r="G61" s="7" t="s">
        <v>369</v>
      </c>
    </row>
    <row r="62" spans="1:7" x14ac:dyDescent="0.3">
      <c r="A62" s="7" t="s">
        <v>429</v>
      </c>
      <c r="B62" s="7" t="s">
        <v>116</v>
      </c>
      <c r="C62" s="7" t="s">
        <v>351</v>
      </c>
      <c r="D62" s="9">
        <v>46073</v>
      </c>
      <c r="E62" s="9">
        <v>46103</v>
      </c>
      <c r="F62" s="3">
        <v>5961.55</v>
      </c>
      <c r="G62" s="7" t="s">
        <v>367</v>
      </c>
    </row>
    <row r="63" spans="1:7" x14ac:dyDescent="0.3">
      <c r="A63" s="7" t="s">
        <v>430</v>
      </c>
      <c r="B63" s="7" t="s">
        <v>110</v>
      </c>
      <c r="C63" s="7" t="s">
        <v>355</v>
      </c>
      <c r="D63" s="9">
        <v>45989</v>
      </c>
      <c r="E63" s="9">
        <v>46019</v>
      </c>
      <c r="F63" s="3">
        <v>9809.51</v>
      </c>
      <c r="G63" s="7" t="s">
        <v>367</v>
      </c>
    </row>
    <row r="64" spans="1:7" x14ac:dyDescent="0.3">
      <c r="A64" s="7" t="s">
        <v>431</v>
      </c>
      <c r="B64" s="7" t="s">
        <v>70</v>
      </c>
      <c r="C64" s="7" t="s">
        <v>355</v>
      </c>
      <c r="D64" s="9">
        <v>45975</v>
      </c>
      <c r="E64" s="9">
        <v>46005</v>
      </c>
      <c r="F64" s="3">
        <v>11453.18</v>
      </c>
      <c r="G64" s="7" t="s">
        <v>387</v>
      </c>
    </row>
    <row r="65" spans="1:7" x14ac:dyDescent="0.3">
      <c r="A65" s="7" t="s">
        <v>432</v>
      </c>
      <c r="B65" s="7" t="s">
        <v>118</v>
      </c>
      <c r="C65" s="7" t="s">
        <v>349</v>
      </c>
      <c r="D65" s="9">
        <v>46032</v>
      </c>
      <c r="E65" s="9">
        <v>46062</v>
      </c>
      <c r="F65" s="3">
        <v>2551.5</v>
      </c>
      <c r="G65" s="7" t="s">
        <v>369</v>
      </c>
    </row>
    <row r="66" spans="1:7" x14ac:dyDescent="0.3">
      <c r="A66" s="7" t="s">
        <v>433</v>
      </c>
      <c r="B66" s="7" t="s">
        <v>59</v>
      </c>
      <c r="C66" s="7" t="s">
        <v>355</v>
      </c>
      <c r="D66" s="9">
        <v>45970</v>
      </c>
      <c r="E66" s="9">
        <v>46000</v>
      </c>
      <c r="F66" s="3">
        <v>10078.620000000001</v>
      </c>
      <c r="G66" s="7" t="s">
        <v>367</v>
      </c>
    </row>
    <row r="67" spans="1:7" x14ac:dyDescent="0.3">
      <c r="A67" s="7" t="s">
        <v>434</v>
      </c>
      <c r="B67" s="7" t="s">
        <v>40</v>
      </c>
      <c r="C67" s="7" t="s">
        <v>359</v>
      </c>
      <c r="D67" s="9">
        <v>46044</v>
      </c>
      <c r="E67" s="9">
        <v>46074</v>
      </c>
      <c r="F67" s="3">
        <v>2138.37</v>
      </c>
      <c r="G67" s="7" t="s">
        <v>369</v>
      </c>
    </row>
    <row r="68" spans="1:7" x14ac:dyDescent="0.3">
      <c r="A68" s="7" t="s">
        <v>435</v>
      </c>
      <c r="B68" s="7" t="s">
        <v>49</v>
      </c>
      <c r="C68" s="7" t="s">
        <v>353</v>
      </c>
      <c r="D68" s="9">
        <v>46107</v>
      </c>
      <c r="E68" s="9">
        <v>46137</v>
      </c>
      <c r="F68" s="3">
        <v>2623.26</v>
      </c>
      <c r="G68" s="7" t="s">
        <v>367</v>
      </c>
    </row>
    <row r="69" spans="1:7" x14ac:dyDescent="0.3">
      <c r="A69" s="7" t="s">
        <v>436</v>
      </c>
      <c r="B69" s="7" t="s">
        <v>120</v>
      </c>
      <c r="C69" s="7" t="s">
        <v>359</v>
      </c>
      <c r="D69" s="9">
        <v>46073</v>
      </c>
      <c r="E69" s="9">
        <v>46103</v>
      </c>
      <c r="F69" s="3">
        <v>2058.73</v>
      </c>
      <c r="G69" s="7" t="s">
        <v>367</v>
      </c>
    </row>
    <row r="70" spans="1:7" x14ac:dyDescent="0.3">
      <c r="A70" s="7" t="s">
        <v>437</v>
      </c>
      <c r="B70" s="7" t="s">
        <v>87</v>
      </c>
      <c r="C70" s="7" t="s">
        <v>355</v>
      </c>
      <c r="D70" s="9">
        <v>46088</v>
      </c>
      <c r="E70" s="9">
        <v>46118</v>
      </c>
      <c r="F70" s="3">
        <v>13787.44</v>
      </c>
      <c r="G70" s="7" t="s">
        <v>367</v>
      </c>
    </row>
    <row r="71" spans="1:7" x14ac:dyDescent="0.3">
      <c r="A71" s="7" t="s">
        <v>438</v>
      </c>
      <c r="B71" s="7" t="s">
        <v>19</v>
      </c>
      <c r="C71" s="7" t="s">
        <v>359</v>
      </c>
      <c r="D71" s="9">
        <v>46048</v>
      </c>
      <c r="E71" s="9">
        <v>46078</v>
      </c>
      <c r="F71" s="3">
        <v>2103.0700000000002</v>
      </c>
      <c r="G71" s="7" t="s">
        <v>367</v>
      </c>
    </row>
    <row r="72" spans="1:7" x14ac:dyDescent="0.3">
      <c r="A72" s="7" t="s">
        <v>439</v>
      </c>
      <c r="B72" s="7" t="s">
        <v>45</v>
      </c>
      <c r="C72" s="7" t="s">
        <v>359</v>
      </c>
      <c r="D72" s="9">
        <v>45974</v>
      </c>
      <c r="E72" s="9">
        <v>46004</v>
      </c>
      <c r="F72" s="3">
        <v>1946.8</v>
      </c>
      <c r="G72" s="7" t="s">
        <v>367</v>
      </c>
    </row>
    <row r="73" spans="1:7" x14ac:dyDescent="0.3">
      <c r="A73" s="7" t="s">
        <v>440</v>
      </c>
      <c r="B73" s="7" t="s">
        <v>54</v>
      </c>
      <c r="C73" s="7" t="s">
        <v>349</v>
      </c>
      <c r="D73" s="9">
        <v>46049</v>
      </c>
      <c r="E73" s="9">
        <v>46079</v>
      </c>
      <c r="F73" s="3">
        <v>2455.19</v>
      </c>
      <c r="G73" s="7" t="s">
        <v>367</v>
      </c>
    </row>
    <row r="74" spans="1:7" x14ac:dyDescent="0.3">
      <c r="A74" s="7" t="s">
        <v>441</v>
      </c>
      <c r="B74" s="7" t="s">
        <v>108</v>
      </c>
      <c r="C74" s="7" t="s">
        <v>355</v>
      </c>
      <c r="D74" s="9">
        <v>46099</v>
      </c>
      <c r="E74" s="9">
        <v>46129</v>
      </c>
      <c r="F74" s="3">
        <v>10298.74</v>
      </c>
      <c r="G74" s="7" t="s">
        <v>367</v>
      </c>
    </row>
    <row r="75" spans="1:7" x14ac:dyDescent="0.3">
      <c r="A75" s="7" t="s">
        <v>442</v>
      </c>
      <c r="B75" s="7" t="s">
        <v>86</v>
      </c>
      <c r="C75" s="7" t="s">
        <v>351</v>
      </c>
      <c r="D75" s="9">
        <v>46090</v>
      </c>
      <c r="E75" s="9">
        <v>46120</v>
      </c>
      <c r="F75" s="3">
        <v>4339.97</v>
      </c>
      <c r="G75" s="7" t="s">
        <v>369</v>
      </c>
    </row>
    <row r="76" spans="1:7" x14ac:dyDescent="0.3">
      <c r="A76" s="7" t="s">
        <v>443</v>
      </c>
      <c r="B76" s="7" t="s">
        <v>88</v>
      </c>
      <c r="C76" s="7" t="s">
        <v>359</v>
      </c>
      <c r="D76" s="9">
        <v>46102</v>
      </c>
      <c r="E76" s="9">
        <v>46132</v>
      </c>
      <c r="F76" s="3">
        <v>1613.4</v>
      </c>
      <c r="G76" s="7" t="s">
        <v>367</v>
      </c>
    </row>
    <row r="77" spans="1:7" x14ac:dyDescent="0.3">
      <c r="A77" s="7" t="s">
        <v>444</v>
      </c>
      <c r="B77" s="7" t="s">
        <v>66</v>
      </c>
      <c r="C77" s="7" t="s">
        <v>353</v>
      </c>
      <c r="D77" s="9">
        <v>46006</v>
      </c>
      <c r="E77" s="9">
        <v>46036</v>
      </c>
      <c r="F77" s="3">
        <v>2459.5700000000002</v>
      </c>
      <c r="G77" s="7" t="s">
        <v>369</v>
      </c>
    </row>
    <row r="78" spans="1:7" x14ac:dyDescent="0.3">
      <c r="A78" s="7" t="s">
        <v>445</v>
      </c>
      <c r="B78" s="7" t="s">
        <v>51</v>
      </c>
      <c r="C78" s="7" t="s">
        <v>353</v>
      </c>
      <c r="D78" s="9">
        <v>46018</v>
      </c>
      <c r="E78" s="9">
        <v>46048</v>
      </c>
      <c r="F78" s="3">
        <v>2677.61</v>
      </c>
      <c r="G78" s="7" t="s">
        <v>367</v>
      </c>
    </row>
    <row r="79" spans="1:7" x14ac:dyDescent="0.3">
      <c r="A79" s="7" t="s">
        <v>446</v>
      </c>
      <c r="B79" s="7" t="s">
        <v>115</v>
      </c>
      <c r="C79" s="7" t="s">
        <v>357</v>
      </c>
      <c r="D79" s="9">
        <v>46081</v>
      </c>
      <c r="E79" s="9">
        <v>46111</v>
      </c>
      <c r="F79" s="3">
        <v>3218.82</v>
      </c>
      <c r="G79" s="7" t="s">
        <v>367</v>
      </c>
    </row>
    <row r="80" spans="1:7" x14ac:dyDescent="0.3">
      <c r="A80" s="7" t="s">
        <v>447</v>
      </c>
      <c r="B80" s="7" t="s">
        <v>55</v>
      </c>
      <c r="C80" s="7" t="s">
        <v>353</v>
      </c>
      <c r="D80" s="9">
        <v>46011</v>
      </c>
      <c r="E80" s="9">
        <v>46041</v>
      </c>
      <c r="F80" s="3">
        <v>2199.2199999999998</v>
      </c>
      <c r="G80" s="7" t="s">
        <v>367</v>
      </c>
    </row>
    <row r="81" spans="1:7" x14ac:dyDescent="0.3">
      <c r="A81" s="7" t="s">
        <v>448</v>
      </c>
      <c r="B81" s="7" t="s">
        <v>113</v>
      </c>
      <c r="C81" s="7" t="s">
        <v>357</v>
      </c>
      <c r="D81" s="9">
        <v>46073</v>
      </c>
      <c r="E81" s="9">
        <v>46103</v>
      </c>
      <c r="F81" s="3">
        <v>3302.54</v>
      </c>
      <c r="G81" s="7" t="s">
        <v>367</v>
      </c>
    </row>
    <row r="82" spans="1:7" x14ac:dyDescent="0.3">
      <c r="A82" s="7" t="s">
        <v>449</v>
      </c>
      <c r="B82" s="7" t="s">
        <v>106</v>
      </c>
      <c r="C82" s="7" t="s">
        <v>359</v>
      </c>
      <c r="D82" s="9">
        <v>46042</v>
      </c>
      <c r="E82" s="9">
        <v>46072</v>
      </c>
      <c r="F82" s="3">
        <v>1724.98</v>
      </c>
      <c r="G82" s="7" t="s">
        <v>369</v>
      </c>
    </row>
    <row r="83" spans="1:7" x14ac:dyDescent="0.3">
      <c r="A83" s="7" t="s">
        <v>450</v>
      </c>
      <c r="B83" s="7" t="s">
        <v>122</v>
      </c>
      <c r="C83" s="7" t="s">
        <v>359</v>
      </c>
      <c r="D83" s="9">
        <v>46060</v>
      </c>
      <c r="E83" s="9">
        <v>46090</v>
      </c>
      <c r="F83" s="3">
        <v>2140.9899999999998</v>
      </c>
      <c r="G83" s="7" t="s">
        <v>367</v>
      </c>
    </row>
    <row r="84" spans="1:7" x14ac:dyDescent="0.3">
      <c r="A84" s="7" t="s">
        <v>451</v>
      </c>
      <c r="B84" s="7" t="s">
        <v>35</v>
      </c>
      <c r="C84" s="7" t="s">
        <v>353</v>
      </c>
      <c r="D84" s="9">
        <v>46010</v>
      </c>
      <c r="E84" s="9">
        <v>46040</v>
      </c>
      <c r="F84" s="3">
        <v>2775.74</v>
      </c>
      <c r="G84" s="7" t="s">
        <v>369</v>
      </c>
    </row>
    <row r="85" spans="1:7" x14ac:dyDescent="0.3">
      <c r="A85" s="7" t="s">
        <v>452</v>
      </c>
      <c r="B85" s="7" t="s">
        <v>105</v>
      </c>
      <c r="C85" s="7" t="s">
        <v>359</v>
      </c>
      <c r="D85" s="9">
        <v>46067</v>
      </c>
      <c r="E85" s="9">
        <v>46097</v>
      </c>
      <c r="F85" s="3">
        <v>1576.9</v>
      </c>
      <c r="G85" s="7" t="s">
        <v>369</v>
      </c>
    </row>
    <row r="86" spans="1:7" x14ac:dyDescent="0.3">
      <c r="A86" s="7" t="s">
        <v>453</v>
      </c>
      <c r="B86" s="7" t="s">
        <v>87</v>
      </c>
      <c r="C86" s="7" t="s">
        <v>359</v>
      </c>
      <c r="D86" s="9">
        <v>46104</v>
      </c>
      <c r="E86" s="9">
        <v>46134</v>
      </c>
      <c r="F86" s="3">
        <v>1930.22</v>
      </c>
      <c r="G86" s="7" t="s">
        <v>367</v>
      </c>
    </row>
    <row r="87" spans="1:7" x14ac:dyDescent="0.3">
      <c r="A87" s="7" t="s">
        <v>454</v>
      </c>
      <c r="B87" s="7" t="s">
        <v>53</v>
      </c>
      <c r="C87" s="7" t="s">
        <v>359</v>
      </c>
      <c r="D87" s="9">
        <v>46021</v>
      </c>
      <c r="E87" s="9">
        <v>46051</v>
      </c>
      <c r="F87" s="3">
        <v>1468.38</v>
      </c>
      <c r="G87" s="7" t="s">
        <v>367</v>
      </c>
    </row>
    <row r="88" spans="1:7" x14ac:dyDescent="0.3">
      <c r="A88" s="7" t="s">
        <v>455</v>
      </c>
      <c r="B88" s="7" t="s">
        <v>29</v>
      </c>
      <c r="C88" s="7" t="s">
        <v>359</v>
      </c>
      <c r="D88" s="9">
        <v>46084</v>
      </c>
      <c r="E88" s="9">
        <v>46114</v>
      </c>
      <c r="F88" s="3">
        <v>1534.62</v>
      </c>
      <c r="G88" s="7" t="s">
        <v>367</v>
      </c>
    </row>
    <row r="89" spans="1:7" x14ac:dyDescent="0.3">
      <c r="A89" s="7" t="s">
        <v>456</v>
      </c>
      <c r="B89" s="7" t="s">
        <v>123</v>
      </c>
      <c r="C89" s="7" t="s">
        <v>351</v>
      </c>
      <c r="D89" s="9">
        <v>46022</v>
      </c>
      <c r="E89" s="9">
        <v>46052</v>
      </c>
      <c r="F89" s="3">
        <v>4264.32</v>
      </c>
      <c r="G89" s="7" t="s">
        <v>367</v>
      </c>
    </row>
    <row r="90" spans="1:7" x14ac:dyDescent="0.3">
      <c r="A90" s="7" t="s">
        <v>457</v>
      </c>
      <c r="B90" s="7" t="s">
        <v>44</v>
      </c>
      <c r="C90" s="7" t="s">
        <v>353</v>
      </c>
      <c r="D90" s="9">
        <v>45975</v>
      </c>
      <c r="E90" s="9">
        <v>46005</v>
      </c>
      <c r="F90" s="3">
        <v>2830.47</v>
      </c>
      <c r="G90" s="7" t="s">
        <v>387</v>
      </c>
    </row>
    <row r="91" spans="1:7" x14ac:dyDescent="0.3">
      <c r="A91" s="7" t="s">
        <v>458</v>
      </c>
      <c r="B91" s="7" t="s">
        <v>16</v>
      </c>
      <c r="C91" s="7" t="s">
        <v>359</v>
      </c>
      <c r="D91" s="9">
        <v>45971</v>
      </c>
      <c r="E91" s="9">
        <v>46001</v>
      </c>
      <c r="F91" s="3">
        <v>2066.69</v>
      </c>
      <c r="G91" s="7" t="s">
        <v>367</v>
      </c>
    </row>
    <row r="92" spans="1:7" x14ac:dyDescent="0.3">
      <c r="A92" s="7" t="s">
        <v>459</v>
      </c>
      <c r="B92" s="7" t="s">
        <v>57</v>
      </c>
      <c r="C92" s="7" t="s">
        <v>351</v>
      </c>
      <c r="D92" s="9">
        <v>45967</v>
      </c>
      <c r="E92" s="9">
        <v>45997</v>
      </c>
      <c r="F92" s="3">
        <v>5508.3</v>
      </c>
      <c r="G92" s="7" t="s">
        <v>367</v>
      </c>
    </row>
    <row r="93" spans="1:7" x14ac:dyDescent="0.3">
      <c r="A93" s="7" t="s">
        <v>460</v>
      </c>
      <c r="B93" s="7" t="s">
        <v>75</v>
      </c>
      <c r="C93" s="7" t="s">
        <v>357</v>
      </c>
      <c r="D93" s="9">
        <v>45986</v>
      </c>
      <c r="E93" s="9">
        <v>46016</v>
      </c>
      <c r="F93" s="3">
        <v>3312.09</v>
      </c>
      <c r="G93" s="7" t="s">
        <v>367</v>
      </c>
    </row>
    <row r="94" spans="1:7" x14ac:dyDescent="0.3">
      <c r="A94" s="7" t="s">
        <v>461</v>
      </c>
      <c r="B94" s="7" t="s">
        <v>81</v>
      </c>
      <c r="C94" s="7" t="s">
        <v>349</v>
      </c>
      <c r="D94" s="9">
        <v>45990</v>
      </c>
      <c r="E94" s="9">
        <v>46020</v>
      </c>
      <c r="F94" s="3">
        <v>2945.74</v>
      </c>
      <c r="G94" s="7" t="s">
        <v>367</v>
      </c>
    </row>
    <row r="95" spans="1:7" x14ac:dyDescent="0.3">
      <c r="A95" s="7" t="s">
        <v>462</v>
      </c>
      <c r="B95" s="7" t="s">
        <v>67</v>
      </c>
      <c r="C95" s="7" t="s">
        <v>355</v>
      </c>
      <c r="D95" s="9">
        <v>46112</v>
      </c>
      <c r="E95" s="9">
        <v>46142</v>
      </c>
      <c r="F95" s="3">
        <v>13547.6</v>
      </c>
      <c r="G95" s="7" t="s">
        <v>367</v>
      </c>
    </row>
    <row r="96" spans="1:7" x14ac:dyDescent="0.3">
      <c r="A96" s="7" t="s">
        <v>463</v>
      </c>
      <c r="B96" s="7" t="s">
        <v>35</v>
      </c>
      <c r="C96" s="7" t="s">
        <v>349</v>
      </c>
      <c r="D96" s="9">
        <v>46052</v>
      </c>
      <c r="E96" s="9">
        <v>46082</v>
      </c>
      <c r="F96" s="3">
        <v>3143.46</v>
      </c>
      <c r="G96" s="7" t="s">
        <v>369</v>
      </c>
    </row>
    <row r="97" spans="1:7" x14ac:dyDescent="0.3">
      <c r="A97" s="7" t="s">
        <v>464</v>
      </c>
      <c r="B97" s="7" t="s">
        <v>45</v>
      </c>
      <c r="C97" s="7" t="s">
        <v>359</v>
      </c>
      <c r="D97" s="9">
        <v>46076</v>
      </c>
      <c r="E97" s="9">
        <v>46106</v>
      </c>
      <c r="F97" s="3">
        <v>1485.52</v>
      </c>
      <c r="G97" s="7" t="s">
        <v>369</v>
      </c>
    </row>
    <row r="98" spans="1:7" x14ac:dyDescent="0.3">
      <c r="A98" s="7" t="s">
        <v>465</v>
      </c>
      <c r="B98" s="7" t="s">
        <v>45</v>
      </c>
      <c r="C98" s="7" t="s">
        <v>359</v>
      </c>
      <c r="D98" s="9">
        <v>45982</v>
      </c>
      <c r="E98" s="9">
        <v>46012</v>
      </c>
      <c r="F98" s="3">
        <v>1733.97</v>
      </c>
      <c r="G98" s="7" t="s">
        <v>369</v>
      </c>
    </row>
    <row r="99" spans="1:7" x14ac:dyDescent="0.3">
      <c r="A99" s="7" t="s">
        <v>466</v>
      </c>
      <c r="B99" s="7" t="s">
        <v>65</v>
      </c>
      <c r="C99" s="7" t="s">
        <v>355</v>
      </c>
      <c r="D99" s="9">
        <v>46079</v>
      </c>
      <c r="E99" s="9">
        <v>46109</v>
      </c>
      <c r="F99" s="3">
        <v>10157.379999999999</v>
      </c>
      <c r="G99" s="7" t="s">
        <v>367</v>
      </c>
    </row>
    <row r="100" spans="1:7" x14ac:dyDescent="0.3">
      <c r="A100" s="7" t="s">
        <v>467</v>
      </c>
      <c r="B100" s="7" t="s">
        <v>60</v>
      </c>
      <c r="C100" s="7" t="s">
        <v>353</v>
      </c>
      <c r="D100" s="9">
        <v>46089</v>
      </c>
      <c r="E100" s="9">
        <v>46119</v>
      </c>
      <c r="F100" s="3">
        <v>2670.49</v>
      </c>
      <c r="G100" s="7" t="s">
        <v>369</v>
      </c>
    </row>
    <row r="101" spans="1:7" x14ac:dyDescent="0.3">
      <c r="A101" s="7" t="s">
        <v>468</v>
      </c>
      <c r="B101" s="7" t="s">
        <v>113</v>
      </c>
      <c r="C101" s="7" t="s">
        <v>357</v>
      </c>
      <c r="D101" s="9">
        <v>46096</v>
      </c>
      <c r="E101" s="9">
        <v>46126</v>
      </c>
      <c r="F101" s="3">
        <v>3839.18</v>
      </c>
      <c r="G101" s="7" t="s">
        <v>367</v>
      </c>
    </row>
    <row r="102" spans="1:7" x14ac:dyDescent="0.3">
      <c r="A102" s="7" t="s">
        <v>469</v>
      </c>
      <c r="B102" s="7" t="s">
        <v>34</v>
      </c>
      <c r="C102" s="7" t="s">
        <v>355</v>
      </c>
      <c r="D102" s="9">
        <v>46049</v>
      </c>
      <c r="E102" s="9">
        <v>46079</v>
      </c>
      <c r="F102" s="3">
        <v>12555.13</v>
      </c>
      <c r="G102" s="7" t="s">
        <v>367</v>
      </c>
    </row>
    <row r="103" spans="1:7" x14ac:dyDescent="0.3">
      <c r="A103" s="7" t="s">
        <v>470</v>
      </c>
      <c r="B103" s="7" t="s">
        <v>94</v>
      </c>
      <c r="C103" s="7" t="s">
        <v>355</v>
      </c>
      <c r="D103" s="9">
        <v>46052</v>
      </c>
      <c r="E103" s="9">
        <v>46082</v>
      </c>
      <c r="F103" s="3">
        <v>11734.54</v>
      </c>
      <c r="G103" s="7" t="s">
        <v>367</v>
      </c>
    </row>
    <row r="104" spans="1:7" x14ac:dyDescent="0.3">
      <c r="A104" s="7" t="s">
        <v>471</v>
      </c>
      <c r="B104" s="7" t="s">
        <v>42</v>
      </c>
      <c r="C104" s="7" t="s">
        <v>353</v>
      </c>
      <c r="D104" s="9">
        <v>45962</v>
      </c>
      <c r="E104" s="9">
        <v>45992</v>
      </c>
      <c r="F104" s="3">
        <v>2544.4699999999998</v>
      </c>
      <c r="G104" s="7" t="s">
        <v>367</v>
      </c>
    </row>
    <row r="105" spans="1:7" x14ac:dyDescent="0.3">
      <c r="A105" s="7" t="s">
        <v>472</v>
      </c>
      <c r="B105" s="7" t="s">
        <v>34</v>
      </c>
      <c r="C105" s="7" t="s">
        <v>351</v>
      </c>
      <c r="D105" s="9">
        <v>46053</v>
      </c>
      <c r="E105" s="9">
        <v>46083</v>
      </c>
      <c r="F105" s="3">
        <v>5936.41</v>
      </c>
      <c r="G105" s="7" t="s">
        <v>367</v>
      </c>
    </row>
    <row r="106" spans="1:7" x14ac:dyDescent="0.3">
      <c r="A106" s="7" t="s">
        <v>473</v>
      </c>
      <c r="B106" s="7" t="s">
        <v>38</v>
      </c>
      <c r="C106" s="7" t="s">
        <v>359</v>
      </c>
      <c r="D106" s="9">
        <v>45969</v>
      </c>
      <c r="E106" s="9">
        <v>45999</v>
      </c>
      <c r="F106" s="3">
        <v>1900.43</v>
      </c>
      <c r="G106" s="7" t="s">
        <v>369</v>
      </c>
    </row>
    <row r="107" spans="1:7" x14ac:dyDescent="0.3">
      <c r="A107" s="7" t="s">
        <v>474</v>
      </c>
      <c r="B107" s="7" t="s">
        <v>77</v>
      </c>
      <c r="C107" s="7" t="s">
        <v>351</v>
      </c>
      <c r="D107" s="9">
        <v>46048</v>
      </c>
      <c r="E107" s="9">
        <v>46078</v>
      </c>
      <c r="F107" s="3">
        <v>5573.96</v>
      </c>
      <c r="G107" s="7" t="s">
        <v>369</v>
      </c>
    </row>
    <row r="108" spans="1:7" x14ac:dyDescent="0.3">
      <c r="A108" s="7" t="s">
        <v>475</v>
      </c>
      <c r="B108" s="7" t="s">
        <v>25</v>
      </c>
      <c r="C108" s="7" t="s">
        <v>351</v>
      </c>
      <c r="D108" s="9">
        <v>46068</v>
      </c>
      <c r="E108" s="9">
        <v>46098</v>
      </c>
      <c r="F108" s="3">
        <v>5172.7700000000004</v>
      </c>
      <c r="G108" s="7" t="s">
        <v>367</v>
      </c>
    </row>
    <row r="109" spans="1:7" x14ac:dyDescent="0.3">
      <c r="A109" s="7" t="s">
        <v>476</v>
      </c>
      <c r="B109" s="7" t="s">
        <v>76</v>
      </c>
      <c r="C109" s="7" t="s">
        <v>357</v>
      </c>
      <c r="D109" s="9">
        <v>46106</v>
      </c>
      <c r="E109" s="9">
        <v>46136</v>
      </c>
      <c r="F109" s="3">
        <v>2803.97</v>
      </c>
      <c r="G109" s="7" t="s">
        <v>387</v>
      </c>
    </row>
    <row r="110" spans="1:7" x14ac:dyDescent="0.3">
      <c r="A110" s="7" t="s">
        <v>477</v>
      </c>
      <c r="B110" s="7" t="s">
        <v>23</v>
      </c>
      <c r="C110" s="7" t="s">
        <v>353</v>
      </c>
      <c r="D110" s="9">
        <v>45969</v>
      </c>
      <c r="E110" s="9">
        <v>45999</v>
      </c>
      <c r="F110" s="3">
        <v>2798.51</v>
      </c>
      <c r="G110" s="7" t="s">
        <v>369</v>
      </c>
    </row>
    <row r="111" spans="1:7" x14ac:dyDescent="0.3">
      <c r="A111" s="7" t="s">
        <v>478</v>
      </c>
      <c r="B111" s="7" t="s">
        <v>9</v>
      </c>
      <c r="C111" s="7" t="s">
        <v>349</v>
      </c>
      <c r="D111" s="9">
        <v>45962</v>
      </c>
      <c r="E111" s="9">
        <v>45992</v>
      </c>
      <c r="F111" s="3">
        <v>2829.89</v>
      </c>
      <c r="G111" s="7" t="s">
        <v>367</v>
      </c>
    </row>
    <row r="112" spans="1:7" x14ac:dyDescent="0.3">
      <c r="A112" s="7" t="s">
        <v>479</v>
      </c>
      <c r="B112" s="7" t="s">
        <v>21</v>
      </c>
      <c r="C112" s="7" t="s">
        <v>351</v>
      </c>
      <c r="D112" s="9">
        <v>46012</v>
      </c>
      <c r="E112" s="9">
        <v>46042</v>
      </c>
      <c r="F112" s="3">
        <v>4530.74</v>
      </c>
      <c r="G112" s="7" t="s">
        <v>367</v>
      </c>
    </row>
    <row r="113" spans="1:7" x14ac:dyDescent="0.3">
      <c r="A113" s="7" t="s">
        <v>480</v>
      </c>
      <c r="B113" s="7" t="s">
        <v>20</v>
      </c>
      <c r="C113" s="7" t="s">
        <v>359</v>
      </c>
      <c r="D113" s="9">
        <v>46003</v>
      </c>
      <c r="E113" s="9">
        <v>46033</v>
      </c>
      <c r="F113" s="3">
        <v>1485.76</v>
      </c>
      <c r="G113" s="7" t="s">
        <v>367</v>
      </c>
    </row>
    <row r="114" spans="1:7" x14ac:dyDescent="0.3">
      <c r="A114" s="7" t="s">
        <v>481</v>
      </c>
      <c r="B114" s="7" t="s">
        <v>123</v>
      </c>
      <c r="C114" s="7" t="s">
        <v>355</v>
      </c>
      <c r="D114" s="9">
        <v>46022</v>
      </c>
      <c r="E114" s="9">
        <v>46052</v>
      </c>
      <c r="F114" s="3">
        <v>12018.43</v>
      </c>
      <c r="G114" s="7" t="s">
        <v>367</v>
      </c>
    </row>
    <row r="115" spans="1:7" x14ac:dyDescent="0.3">
      <c r="A115" s="7" t="s">
        <v>482</v>
      </c>
      <c r="B115" s="7" t="s">
        <v>14</v>
      </c>
      <c r="C115" s="7" t="s">
        <v>359</v>
      </c>
      <c r="D115" s="9">
        <v>46002</v>
      </c>
      <c r="E115" s="9">
        <v>46032</v>
      </c>
      <c r="F115" s="3">
        <v>1815.44</v>
      </c>
      <c r="G115" s="7" t="s">
        <v>387</v>
      </c>
    </row>
    <row r="116" spans="1:7" x14ac:dyDescent="0.3">
      <c r="A116" s="7" t="s">
        <v>483</v>
      </c>
      <c r="B116" s="7" t="s">
        <v>98</v>
      </c>
      <c r="C116" s="7" t="s">
        <v>355</v>
      </c>
      <c r="D116" s="9">
        <v>45962</v>
      </c>
      <c r="E116" s="9">
        <v>45992</v>
      </c>
      <c r="F116" s="3">
        <v>13667.03</v>
      </c>
      <c r="G116" s="7" t="s">
        <v>367</v>
      </c>
    </row>
    <row r="117" spans="1:7" x14ac:dyDescent="0.3">
      <c r="A117" s="7" t="s">
        <v>484</v>
      </c>
      <c r="B117" s="7" t="s">
        <v>15</v>
      </c>
      <c r="C117" s="7" t="s">
        <v>355</v>
      </c>
      <c r="D117" s="9">
        <v>46035</v>
      </c>
      <c r="E117" s="9">
        <v>46065</v>
      </c>
      <c r="F117" s="3">
        <v>9952.76</v>
      </c>
      <c r="G117" s="7" t="s">
        <v>367</v>
      </c>
    </row>
    <row r="118" spans="1:7" x14ac:dyDescent="0.3">
      <c r="A118" s="7" t="s">
        <v>485</v>
      </c>
      <c r="B118" s="7" t="s">
        <v>48</v>
      </c>
      <c r="C118" s="7" t="s">
        <v>351</v>
      </c>
      <c r="D118" s="9">
        <v>46015</v>
      </c>
      <c r="E118" s="9">
        <v>46045</v>
      </c>
      <c r="F118" s="3">
        <v>4550.03</v>
      </c>
      <c r="G118" s="7" t="s">
        <v>367</v>
      </c>
    </row>
    <row r="119" spans="1:7" x14ac:dyDescent="0.3">
      <c r="A119" s="7" t="s">
        <v>486</v>
      </c>
      <c r="B119" s="7" t="s">
        <v>84</v>
      </c>
      <c r="C119" s="7" t="s">
        <v>355</v>
      </c>
      <c r="D119" s="9">
        <v>46006</v>
      </c>
      <c r="E119" s="9">
        <v>46036</v>
      </c>
      <c r="F119" s="3">
        <v>14374.21</v>
      </c>
      <c r="G119" s="7" t="s">
        <v>367</v>
      </c>
    </row>
    <row r="120" spans="1:7" x14ac:dyDescent="0.3">
      <c r="A120" s="7" t="s">
        <v>487</v>
      </c>
      <c r="B120" s="7" t="s">
        <v>90</v>
      </c>
      <c r="C120" s="7" t="s">
        <v>355</v>
      </c>
      <c r="D120" s="9">
        <v>46112</v>
      </c>
      <c r="E120" s="9">
        <v>46142</v>
      </c>
      <c r="F120" s="3">
        <v>10076.06</v>
      </c>
      <c r="G120" s="7" t="s">
        <v>369</v>
      </c>
    </row>
    <row r="121" spans="1:7" x14ac:dyDescent="0.3">
      <c r="A121" s="7" t="s">
        <v>488</v>
      </c>
      <c r="B121" s="7" t="s">
        <v>36</v>
      </c>
      <c r="C121" s="7" t="s">
        <v>357</v>
      </c>
      <c r="D121" s="9">
        <v>46091</v>
      </c>
      <c r="E121" s="9">
        <v>46121</v>
      </c>
      <c r="F121" s="3">
        <v>3809.18</v>
      </c>
      <c r="G121" s="7" t="s">
        <v>367</v>
      </c>
    </row>
    <row r="122" spans="1:7" x14ac:dyDescent="0.3">
      <c r="A122" s="7" t="s">
        <v>489</v>
      </c>
      <c r="B122" s="7" t="s">
        <v>19</v>
      </c>
      <c r="C122" s="7" t="s">
        <v>355</v>
      </c>
      <c r="D122" s="9">
        <v>46062</v>
      </c>
      <c r="E122" s="9">
        <v>46092</v>
      </c>
      <c r="F122" s="3">
        <v>11226.87</v>
      </c>
      <c r="G122" s="7" t="s">
        <v>367</v>
      </c>
    </row>
    <row r="123" spans="1:7" x14ac:dyDescent="0.3">
      <c r="A123" s="7" t="s">
        <v>490</v>
      </c>
      <c r="B123" s="7" t="s">
        <v>26</v>
      </c>
      <c r="C123" s="7" t="s">
        <v>353</v>
      </c>
      <c r="D123" s="9">
        <v>46082</v>
      </c>
      <c r="E123" s="9">
        <v>46112</v>
      </c>
      <c r="F123" s="3">
        <v>2426.7600000000002</v>
      </c>
      <c r="G123" s="7" t="s">
        <v>367</v>
      </c>
    </row>
    <row r="124" spans="1:7" x14ac:dyDescent="0.3">
      <c r="A124" s="7" t="s">
        <v>491</v>
      </c>
      <c r="B124" s="7" t="s">
        <v>18</v>
      </c>
      <c r="C124" s="7" t="s">
        <v>359</v>
      </c>
      <c r="D124" s="9">
        <v>46067</v>
      </c>
      <c r="E124" s="9">
        <v>46097</v>
      </c>
      <c r="F124" s="3">
        <v>2104.5500000000002</v>
      </c>
      <c r="G124" s="7" t="s">
        <v>369</v>
      </c>
    </row>
    <row r="125" spans="1:7" x14ac:dyDescent="0.3">
      <c r="A125" s="7" t="s">
        <v>492</v>
      </c>
      <c r="B125" s="7" t="s">
        <v>78</v>
      </c>
      <c r="C125" s="7" t="s">
        <v>355</v>
      </c>
      <c r="D125" s="9">
        <v>46088</v>
      </c>
      <c r="E125" s="9">
        <v>46118</v>
      </c>
      <c r="F125" s="3">
        <v>10063.51</v>
      </c>
      <c r="G125" s="7" t="s">
        <v>369</v>
      </c>
    </row>
    <row r="126" spans="1:7" x14ac:dyDescent="0.3">
      <c r="A126" s="7" t="s">
        <v>493</v>
      </c>
      <c r="B126" s="7" t="s">
        <v>22</v>
      </c>
      <c r="C126" s="7" t="s">
        <v>349</v>
      </c>
      <c r="D126" s="9">
        <v>46086</v>
      </c>
      <c r="E126" s="9">
        <v>46116</v>
      </c>
      <c r="F126" s="3">
        <v>3103.76</v>
      </c>
      <c r="G126" s="7" t="s">
        <v>367</v>
      </c>
    </row>
    <row r="127" spans="1:7" x14ac:dyDescent="0.3">
      <c r="A127" s="7" t="s">
        <v>494</v>
      </c>
      <c r="B127" s="7" t="s">
        <v>99</v>
      </c>
      <c r="C127" s="7" t="s">
        <v>355</v>
      </c>
      <c r="D127" s="9">
        <v>45999</v>
      </c>
      <c r="E127" s="9">
        <v>46029</v>
      </c>
      <c r="F127" s="3">
        <v>11297.27</v>
      </c>
      <c r="G127" s="7" t="s">
        <v>369</v>
      </c>
    </row>
    <row r="128" spans="1:7" x14ac:dyDescent="0.3">
      <c r="A128" s="7" t="s">
        <v>495</v>
      </c>
      <c r="B128" s="7" t="s">
        <v>80</v>
      </c>
      <c r="C128" s="7" t="s">
        <v>349</v>
      </c>
      <c r="D128" s="9">
        <v>46068</v>
      </c>
      <c r="E128" s="9">
        <v>46098</v>
      </c>
      <c r="F128" s="3">
        <v>3562.08</v>
      </c>
      <c r="G128" s="7" t="s">
        <v>367</v>
      </c>
    </row>
    <row r="129" spans="1:7" x14ac:dyDescent="0.3">
      <c r="A129" s="7" t="s">
        <v>496</v>
      </c>
      <c r="B129" s="7" t="s">
        <v>20</v>
      </c>
      <c r="C129" s="7" t="s">
        <v>357</v>
      </c>
      <c r="D129" s="9">
        <v>46041</v>
      </c>
      <c r="E129" s="9">
        <v>46071</v>
      </c>
      <c r="F129" s="3">
        <v>3097.83</v>
      </c>
      <c r="G129" s="7" t="s">
        <v>367</v>
      </c>
    </row>
    <row r="130" spans="1:7" x14ac:dyDescent="0.3">
      <c r="A130" s="7" t="s">
        <v>497</v>
      </c>
      <c r="B130" s="7" t="s">
        <v>80</v>
      </c>
      <c r="C130" s="7" t="s">
        <v>353</v>
      </c>
      <c r="D130" s="9">
        <v>46074</v>
      </c>
      <c r="E130" s="9">
        <v>46104</v>
      </c>
      <c r="F130" s="3">
        <v>2845.37</v>
      </c>
      <c r="G130" s="7" t="s">
        <v>369</v>
      </c>
    </row>
    <row r="131" spans="1:7" x14ac:dyDescent="0.3">
      <c r="A131" s="7" t="s">
        <v>498</v>
      </c>
      <c r="B131" s="7" t="s">
        <v>111</v>
      </c>
      <c r="C131" s="7" t="s">
        <v>351</v>
      </c>
      <c r="D131" s="9">
        <v>46074</v>
      </c>
      <c r="E131" s="9">
        <v>46104</v>
      </c>
      <c r="F131" s="3">
        <v>5614.44</v>
      </c>
      <c r="G131" s="7" t="s">
        <v>387</v>
      </c>
    </row>
    <row r="132" spans="1:7" x14ac:dyDescent="0.3">
      <c r="A132" s="7" t="s">
        <v>499</v>
      </c>
      <c r="B132" s="7" t="s">
        <v>91</v>
      </c>
      <c r="C132" s="7" t="s">
        <v>357</v>
      </c>
      <c r="D132" s="9">
        <v>46078</v>
      </c>
      <c r="E132" s="9">
        <v>46108</v>
      </c>
      <c r="F132" s="3">
        <v>3659</v>
      </c>
      <c r="G132" s="7" t="s">
        <v>367</v>
      </c>
    </row>
    <row r="133" spans="1:7" x14ac:dyDescent="0.3">
      <c r="A133" s="7" t="s">
        <v>500</v>
      </c>
      <c r="B133" s="7" t="s">
        <v>46</v>
      </c>
      <c r="C133" s="7" t="s">
        <v>359</v>
      </c>
      <c r="D133" s="9">
        <v>46058</v>
      </c>
      <c r="E133" s="9">
        <v>46088</v>
      </c>
      <c r="F133" s="3">
        <v>1632.56</v>
      </c>
      <c r="G133" s="7" t="s">
        <v>367</v>
      </c>
    </row>
    <row r="134" spans="1:7" x14ac:dyDescent="0.3">
      <c r="A134" s="7" t="s">
        <v>501</v>
      </c>
      <c r="B134" s="7" t="s">
        <v>58</v>
      </c>
      <c r="C134" s="7" t="s">
        <v>353</v>
      </c>
      <c r="D134" s="9">
        <v>46068</v>
      </c>
      <c r="E134" s="9">
        <v>46098</v>
      </c>
      <c r="F134" s="3">
        <v>2351.02</v>
      </c>
      <c r="G134" s="7" t="s">
        <v>367</v>
      </c>
    </row>
    <row r="135" spans="1:7" x14ac:dyDescent="0.3">
      <c r="A135" s="7" t="s">
        <v>502</v>
      </c>
      <c r="B135" s="7" t="s">
        <v>74</v>
      </c>
      <c r="C135" s="7" t="s">
        <v>349</v>
      </c>
      <c r="D135" s="9">
        <v>46034</v>
      </c>
      <c r="E135" s="9">
        <v>46064</v>
      </c>
      <c r="F135" s="3">
        <v>2570.25</v>
      </c>
      <c r="G135" s="7" t="s">
        <v>367</v>
      </c>
    </row>
    <row r="136" spans="1:7" x14ac:dyDescent="0.3">
      <c r="A136" s="7" t="s">
        <v>503</v>
      </c>
      <c r="B136" s="7" t="s">
        <v>46</v>
      </c>
      <c r="C136" s="7" t="s">
        <v>351</v>
      </c>
      <c r="D136" s="9">
        <v>46030</v>
      </c>
      <c r="E136" s="9">
        <v>46060</v>
      </c>
      <c r="F136" s="3">
        <v>4752.3900000000003</v>
      </c>
      <c r="G136" s="7" t="s">
        <v>367</v>
      </c>
    </row>
    <row r="137" spans="1:7" x14ac:dyDescent="0.3">
      <c r="A137" s="7" t="s">
        <v>504</v>
      </c>
      <c r="B137" s="7" t="s">
        <v>13</v>
      </c>
      <c r="C137" s="7" t="s">
        <v>359</v>
      </c>
      <c r="D137" s="9">
        <v>46032</v>
      </c>
      <c r="E137" s="9">
        <v>46062</v>
      </c>
      <c r="F137" s="3">
        <v>1673.56</v>
      </c>
      <c r="G137" s="7" t="s">
        <v>367</v>
      </c>
    </row>
    <row r="138" spans="1:7" x14ac:dyDescent="0.3">
      <c r="A138" s="7" t="s">
        <v>505</v>
      </c>
      <c r="B138" s="7" t="s">
        <v>41</v>
      </c>
      <c r="C138" s="7" t="s">
        <v>351</v>
      </c>
      <c r="D138" s="9">
        <v>46082</v>
      </c>
      <c r="E138" s="9">
        <v>46112</v>
      </c>
      <c r="F138" s="3">
        <v>4314.82</v>
      </c>
      <c r="G138" s="7" t="s">
        <v>367</v>
      </c>
    </row>
    <row r="139" spans="1:7" x14ac:dyDescent="0.3">
      <c r="A139" s="7" t="s">
        <v>506</v>
      </c>
      <c r="B139" s="7" t="s">
        <v>41</v>
      </c>
      <c r="C139" s="7" t="s">
        <v>355</v>
      </c>
      <c r="D139" s="9">
        <v>46055</v>
      </c>
      <c r="E139" s="9">
        <v>46085</v>
      </c>
      <c r="F139" s="3">
        <v>12777.31</v>
      </c>
      <c r="G139" s="7" t="s">
        <v>367</v>
      </c>
    </row>
    <row r="140" spans="1:7" x14ac:dyDescent="0.3">
      <c r="A140" s="7" t="s">
        <v>507</v>
      </c>
      <c r="B140" s="7" t="s">
        <v>43</v>
      </c>
      <c r="C140" s="7" t="s">
        <v>351</v>
      </c>
      <c r="D140" s="9">
        <v>46090</v>
      </c>
      <c r="E140" s="9">
        <v>46120</v>
      </c>
      <c r="F140" s="3">
        <v>5509.89</v>
      </c>
      <c r="G140" s="7" t="s">
        <v>367</v>
      </c>
    </row>
    <row r="141" spans="1:7" x14ac:dyDescent="0.3">
      <c r="A141" s="7" t="s">
        <v>508</v>
      </c>
      <c r="B141" s="7" t="s">
        <v>12</v>
      </c>
      <c r="C141" s="7" t="s">
        <v>359</v>
      </c>
      <c r="D141" s="9">
        <v>46103</v>
      </c>
      <c r="E141" s="9">
        <v>46133</v>
      </c>
      <c r="F141" s="3">
        <v>1928.51</v>
      </c>
      <c r="G141" s="7" t="s">
        <v>367</v>
      </c>
    </row>
    <row r="142" spans="1:7" x14ac:dyDescent="0.3">
      <c r="A142" s="7" t="s">
        <v>509</v>
      </c>
      <c r="B142" s="7" t="s">
        <v>45</v>
      </c>
      <c r="C142" s="7" t="s">
        <v>351</v>
      </c>
      <c r="D142" s="9">
        <v>45989</v>
      </c>
      <c r="E142" s="9">
        <v>46019</v>
      </c>
      <c r="F142" s="3">
        <v>4790.53</v>
      </c>
      <c r="G142" s="7" t="s">
        <v>367</v>
      </c>
    </row>
    <row r="143" spans="1:7" x14ac:dyDescent="0.3">
      <c r="A143" s="7" t="s">
        <v>510</v>
      </c>
      <c r="B143" s="7" t="s">
        <v>22</v>
      </c>
      <c r="C143" s="7" t="s">
        <v>351</v>
      </c>
      <c r="D143" s="9">
        <v>45971</v>
      </c>
      <c r="E143" s="9">
        <v>46001</v>
      </c>
      <c r="F143" s="3">
        <v>5534.7</v>
      </c>
      <c r="G143" s="7" t="s">
        <v>367</v>
      </c>
    </row>
    <row r="144" spans="1:7" x14ac:dyDescent="0.3">
      <c r="A144" s="7" t="s">
        <v>511</v>
      </c>
      <c r="B144" s="7" t="s">
        <v>75</v>
      </c>
      <c r="C144" s="7" t="s">
        <v>349</v>
      </c>
      <c r="D144" s="9">
        <v>45985</v>
      </c>
      <c r="E144" s="9">
        <v>46015</v>
      </c>
      <c r="F144" s="3">
        <v>2996.86</v>
      </c>
      <c r="G144" s="7" t="s">
        <v>367</v>
      </c>
    </row>
    <row r="145" spans="1:7" x14ac:dyDescent="0.3">
      <c r="A145" s="7" t="s">
        <v>512</v>
      </c>
      <c r="B145" s="7" t="s">
        <v>16</v>
      </c>
      <c r="C145" s="7" t="s">
        <v>359</v>
      </c>
      <c r="D145" s="9">
        <v>46081</v>
      </c>
      <c r="E145" s="9">
        <v>46111</v>
      </c>
      <c r="F145" s="3">
        <v>1605.68</v>
      </c>
      <c r="G145" s="7" t="s">
        <v>369</v>
      </c>
    </row>
    <row r="146" spans="1:7" x14ac:dyDescent="0.3">
      <c r="A146" s="7" t="s">
        <v>513</v>
      </c>
      <c r="B146" s="7" t="s">
        <v>124</v>
      </c>
      <c r="C146" s="7" t="s">
        <v>355</v>
      </c>
      <c r="D146" s="9">
        <v>46092</v>
      </c>
      <c r="E146" s="9">
        <v>46122</v>
      </c>
      <c r="F146" s="3">
        <v>13736.47</v>
      </c>
      <c r="G146" s="7" t="s">
        <v>367</v>
      </c>
    </row>
    <row r="147" spans="1:7" x14ac:dyDescent="0.3">
      <c r="A147" s="7" t="s">
        <v>514</v>
      </c>
      <c r="B147" s="7" t="s">
        <v>97</v>
      </c>
      <c r="C147" s="7" t="s">
        <v>349</v>
      </c>
      <c r="D147" s="9">
        <v>46036</v>
      </c>
      <c r="E147" s="9">
        <v>46066</v>
      </c>
      <c r="F147" s="3">
        <v>3434.53</v>
      </c>
      <c r="G147" s="7" t="s">
        <v>367</v>
      </c>
    </row>
    <row r="148" spans="1:7" x14ac:dyDescent="0.3">
      <c r="A148" s="7" t="s">
        <v>515</v>
      </c>
      <c r="B148" s="7" t="s">
        <v>48</v>
      </c>
      <c r="C148" s="7" t="s">
        <v>359</v>
      </c>
      <c r="D148" s="9">
        <v>46074</v>
      </c>
      <c r="E148" s="9">
        <v>46104</v>
      </c>
      <c r="F148" s="3">
        <v>1740.74</v>
      </c>
      <c r="G148" s="7" t="s">
        <v>367</v>
      </c>
    </row>
    <row r="149" spans="1:7" x14ac:dyDescent="0.3">
      <c r="A149" s="7" t="s">
        <v>516</v>
      </c>
      <c r="B149" s="7" t="s">
        <v>124</v>
      </c>
      <c r="C149" s="7" t="s">
        <v>351</v>
      </c>
      <c r="D149" s="9">
        <v>46042</v>
      </c>
      <c r="E149" s="9">
        <v>46072</v>
      </c>
      <c r="F149" s="3">
        <v>5602.64</v>
      </c>
      <c r="G149" s="7" t="s">
        <v>369</v>
      </c>
    </row>
    <row r="150" spans="1:7" x14ac:dyDescent="0.3">
      <c r="A150" s="7" t="s">
        <v>517</v>
      </c>
      <c r="B150" s="7" t="s">
        <v>82</v>
      </c>
      <c r="C150" s="7" t="s">
        <v>353</v>
      </c>
      <c r="D150" s="9">
        <v>46030</v>
      </c>
      <c r="E150" s="9">
        <v>46060</v>
      </c>
      <c r="F150" s="3">
        <v>2088.13</v>
      </c>
      <c r="G150" s="7" t="s">
        <v>367</v>
      </c>
    </row>
    <row r="151" spans="1:7" x14ac:dyDescent="0.3">
      <c r="A151" s="7" t="s">
        <v>518</v>
      </c>
      <c r="B151" s="7" t="s">
        <v>35</v>
      </c>
      <c r="C151" s="7" t="s">
        <v>355</v>
      </c>
      <c r="D151" s="9">
        <v>46098</v>
      </c>
      <c r="E151" s="9">
        <v>46128</v>
      </c>
      <c r="F151" s="3">
        <v>12115.02</v>
      </c>
      <c r="G151" s="7" t="s">
        <v>367</v>
      </c>
    </row>
    <row r="152" spans="1:7" x14ac:dyDescent="0.3">
      <c r="A152" s="7" t="s">
        <v>519</v>
      </c>
      <c r="B152" s="7" t="s">
        <v>74</v>
      </c>
      <c r="C152" s="7" t="s">
        <v>353</v>
      </c>
      <c r="D152" s="9">
        <v>46057</v>
      </c>
      <c r="E152" s="9">
        <v>46087</v>
      </c>
      <c r="F152" s="3">
        <v>2779.12</v>
      </c>
      <c r="G152" s="7" t="s">
        <v>367</v>
      </c>
    </row>
    <row r="153" spans="1:7" x14ac:dyDescent="0.3">
      <c r="A153" s="7" t="s">
        <v>520</v>
      </c>
      <c r="B153" s="7" t="s">
        <v>111</v>
      </c>
      <c r="C153" s="7" t="s">
        <v>357</v>
      </c>
      <c r="D153" s="9">
        <v>46054</v>
      </c>
      <c r="E153" s="9">
        <v>46084</v>
      </c>
      <c r="F153" s="3">
        <v>3071.47</v>
      </c>
      <c r="G153" s="7" t="s">
        <v>367</v>
      </c>
    </row>
    <row r="154" spans="1:7" x14ac:dyDescent="0.3">
      <c r="A154" s="7" t="s">
        <v>521</v>
      </c>
      <c r="B154" s="7" t="s">
        <v>32</v>
      </c>
      <c r="C154" s="7" t="s">
        <v>359</v>
      </c>
      <c r="D154" s="9">
        <v>46019</v>
      </c>
      <c r="E154" s="9">
        <v>46049</v>
      </c>
      <c r="F154" s="3">
        <v>2026.83</v>
      </c>
      <c r="G154" s="7" t="s">
        <v>367</v>
      </c>
    </row>
    <row r="155" spans="1:7" x14ac:dyDescent="0.3">
      <c r="A155" s="7" t="s">
        <v>522</v>
      </c>
      <c r="B155" s="7" t="s">
        <v>105</v>
      </c>
      <c r="C155" s="7" t="s">
        <v>351</v>
      </c>
      <c r="D155" s="9">
        <v>45967</v>
      </c>
      <c r="E155" s="9">
        <v>45997</v>
      </c>
      <c r="F155" s="3">
        <v>5204.8</v>
      </c>
      <c r="G155" s="7" t="s">
        <v>367</v>
      </c>
    </row>
    <row r="156" spans="1:7" x14ac:dyDescent="0.3">
      <c r="A156" s="7" t="s">
        <v>523</v>
      </c>
      <c r="B156" s="7" t="s">
        <v>64</v>
      </c>
      <c r="C156" s="7" t="s">
        <v>359</v>
      </c>
      <c r="D156" s="9">
        <v>46026</v>
      </c>
      <c r="E156" s="9">
        <v>46056</v>
      </c>
      <c r="F156" s="3">
        <v>1795.76</v>
      </c>
      <c r="G156" s="7" t="s">
        <v>369</v>
      </c>
    </row>
    <row r="157" spans="1:7" x14ac:dyDescent="0.3">
      <c r="A157" s="7" t="s">
        <v>524</v>
      </c>
      <c r="B157" s="7" t="s">
        <v>86</v>
      </c>
      <c r="C157" s="7" t="s">
        <v>359</v>
      </c>
      <c r="D157" s="9">
        <v>46106</v>
      </c>
      <c r="E157" s="9">
        <v>46136</v>
      </c>
      <c r="F157" s="3">
        <v>2105.39</v>
      </c>
      <c r="G157" s="7" t="s">
        <v>367</v>
      </c>
    </row>
    <row r="158" spans="1:7" x14ac:dyDescent="0.3">
      <c r="A158" s="7" t="s">
        <v>525</v>
      </c>
      <c r="B158" s="7" t="s">
        <v>15</v>
      </c>
      <c r="C158" s="7" t="s">
        <v>353</v>
      </c>
      <c r="D158" s="9">
        <v>45976</v>
      </c>
      <c r="E158" s="9">
        <v>46006</v>
      </c>
      <c r="F158" s="3">
        <v>2864.25</v>
      </c>
      <c r="G158" s="7" t="s">
        <v>367</v>
      </c>
    </row>
    <row r="159" spans="1:7" x14ac:dyDescent="0.3">
      <c r="A159" s="7" t="s">
        <v>526</v>
      </c>
      <c r="B159" s="7" t="s">
        <v>52</v>
      </c>
      <c r="C159" s="7" t="s">
        <v>355</v>
      </c>
      <c r="D159" s="9">
        <v>46009</v>
      </c>
      <c r="E159" s="9">
        <v>46039</v>
      </c>
      <c r="F159" s="3">
        <v>11722.6</v>
      </c>
      <c r="G159" s="7" t="s">
        <v>367</v>
      </c>
    </row>
    <row r="160" spans="1:7" x14ac:dyDescent="0.3">
      <c r="A160" s="7" t="s">
        <v>527</v>
      </c>
      <c r="B160" s="7" t="s">
        <v>54</v>
      </c>
      <c r="C160" s="7" t="s">
        <v>357</v>
      </c>
      <c r="D160" s="9">
        <v>46022</v>
      </c>
      <c r="E160" s="9">
        <v>46052</v>
      </c>
      <c r="F160" s="3">
        <v>2903.87</v>
      </c>
      <c r="G160" s="7" t="s">
        <v>367</v>
      </c>
    </row>
    <row r="161" spans="1:7" x14ac:dyDescent="0.3">
      <c r="A161" s="7" t="s">
        <v>528</v>
      </c>
      <c r="B161" s="7" t="s">
        <v>71</v>
      </c>
      <c r="C161" s="7" t="s">
        <v>353</v>
      </c>
      <c r="D161" s="9">
        <v>46015</v>
      </c>
      <c r="E161" s="9">
        <v>46045</v>
      </c>
      <c r="F161" s="3">
        <v>2076.73</v>
      </c>
      <c r="G161" s="7" t="s">
        <v>367</v>
      </c>
    </row>
    <row r="162" spans="1:7" x14ac:dyDescent="0.3">
      <c r="A162" s="7" t="s">
        <v>529</v>
      </c>
      <c r="B162" s="7" t="s">
        <v>64</v>
      </c>
      <c r="C162" s="7" t="s">
        <v>355</v>
      </c>
      <c r="D162" s="9">
        <v>45979</v>
      </c>
      <c r="E162" s="9">
        <v>46009</v>
      </c>
      <c r="F162" s="3">
        <v>11821.02</v>
      </c>
      <c r="G162" s="7" t="s">
        <v>369</v>
      </c>
    </row>
    <row r="163" spans="1:7" x14ac:dyDescent="0.3">
      <c r="A163" s="7" t="s">
        <v>530</v>
      </c>
      <c r="B163" s="7" t="s">
        <v>26</v>
      </c>
      <c r="C163" s="7" t="s">
        <v>357</v>
      </c>
      <c r="D163" s="9">
        <v>45981</v>
      </c>
      <c r="E163" s="9">
        <v>46011</v>
      </c>
      <c r="F163" s="3">
        <v>3712.57</v>
      </c>
      <c r="G163" s="7" t="s">
        <v>367</v>
      </c>
    </row>
    <row r="164" spans="1:7" x14ac:dyDescent="0.3">
      <c r="A164" s="7" t="s">
        <v>531</v>
      </c>
      <c r="B164" s="7" t="s">
        <v>17</v>
      </c>
      <c r="C164" s="7" t="s">
        <v>349</v>
      </c>
      <c r="D164" s="9">
        <v>45999</v>
      </c>
      <c r="E164" s="9">
        <v>46029</v>
      </c>
      <c r="F164" s="3">
        <v>2940.63</v>
      </c>
      <c r="G164" s="7" t="s">
        <v>387</v>
      </c>
    </row>
    <row r="165" spans="1:7" x14ac:dyDescent="0.3">
      <c r="A165" s="7" t="s">
        <v>532</v>
      </c>
      <c r="B165" s="7" t="s">
        <v>63</v>
      </c>
      <c r="C165" s="7" t="s">
        <v>357</v>
      </c>
      <c r="D165" s="9">
        <v>46108</v>
      </c>
      <c r="E165" s="9">
        <v>46138</v>
      </c>
      <c r="F165" s="3">
        <v>3704.58</v>
      </c>
      <c r="G165" s="7" t="s">
        <v>367</v>
      </c>
    </row>
    <row r="166" spans="1:7" x14ac:dyDescent="0.3">
      <c r="A166" s="7" t="s">
        <v>533</v>
      </c>
      <c r="B166" s="7" t="s">
        <v>43</v>
      </c>
      <c r="C166" s="7" t="s">
        <v>357</v>
      </c>
      <c r="D166" s="9">
        <v>46005</v>
      </c>
      <c r="E166" s="9">
        <v>46035</v>
      </c>
      <c r="F166" s="3">
        <v>3531.85</v>
      </c>
      <c r="G166" s="7" t="s">
        <v>367</v>
      </c>
    </row>
    <row r="167" spans="1:7" x14ac:dyDescent="0.3">
      <c r="A167" s="7" t="s">
        <v>534</v>
      </c>
      <c r="B167" s="7" t="s">
        <v>108</v>
      </c>
      <c r="C167" s="7" t="s">
        <v>355</v>
      </c>
      <c r="D167" s="9">
        <v>46028</v>
      </c>
      <c r="E167" s="9">
        <v>46058</v>
      </c>
      <c r="F167" s="3">
        <v>11562.09</v>
      </c>
      <c r="G167" s="7" t="s">
        <v>367</v>
      </c>
    </row>
    <row r="168" spans="1:7" x14ac:dyDescent="0.3">
      <c r="A168" s="7" t="s">
        <v>535</v>
      </c>
      <c r="B168" s="7" t="s">
        <v>93</v>
      </c>
      <c r="C168" s="7" t="s">
        <v>359</v>
      </c>
      <c r="D168" s="9">
        <v>46028</v>
      </c>
      <c r="E168" s="9">
        <v>46058</v>
      </c>
      <c r="F168" s="3">
        <v>1906.06</v>
      </c>
      <c r="G168" s="7" t="s">
        <v>367</v>
      </c>
    </row>
    <row r="169" spans="1:7" x14ac:dyDescent="0.3">
      <c r="A169" s="7" t="s">
        <v>536</v>
      </c>
      <c r="B169" s="7" t="s">
        <v>84</v>
      </c>
      <c r="C169" s="7" t="s">
        <v>355</v>
      </c>
      <c r="D169" s="9">
        <v>45990</v>
      </c>
      <c r="E169" s="9">
        <v>46020</v>
      </c>
      <c r="F169" s="3">
        <v>10963.91</v>
      </c>
      <c r="G169" s="7" t="s">
        <v>387</v>
      </c>
    </row>
    <row r="170" spans="1:7" x14ac:dyDescent="0.3">
      <c r="A170" s="7" t="s">
        <v>537</v>
      </c>
      <c r="B170" s="7" t="s">
        <v>51</v>
      </c>
      <c r="C170" s="7" t="s">
        <v>351</v>
      </c>
      <c r="D170" s="9">
        <v>45966</v>
      </c>
      <c r="E170" s="9">
        <v>45996</v>
      </c>
      <c r="F170" s="3">
        <v>4666.72</v>
      </c>
      <c r="G170" s="7" t="s">
        <v>367</v>
      </c>
    </row>
    <row r="171" spans="1:7" x14ac:dyDescent="0.3">
      <c r="A171" s="7" t="s">
        <v>538</v>
      </c>
      <c r="B171" s="7" t="s">
        <v>83</v>
      </c>
      <c r="C171" s="7" t="s">
        <v>353</v>
      </c>
      <c r="D171" s="9">
        <v>46058</v>
      </c>
      <c r="E171" s="9">
        <v>46088</v>
      </c>
      <c r="F171" s="3">
        <v>2967.7</v>
      </c>
      <c r="G171" s="7" t="s">
        <v>367</v>
      </c>
    </row>
    <row r="172" spans="1:7" x14ac:dyDescent="0.3">
      <c r="A172" s="7" t="s">
        <v>539</v>
      </c>
      <c r="B172" s="7" t="s">
        <v>108</v>
      </c>
      <c r="C172" s="7" t="s">
        <v>359</v>
      </c>
      <c r="D172" s="9">
        <v>46077</v>
      </c>
      <c r="E172" s="9">
        <v>46107</v>
      </c>
      <c r="F172" s="3">
        <v>2115.36</v>
      </c>
      <c r="G172" s="7" t="s">
        <v>367</v>
      </c>
    </row>
    <row r="173" spans="1:7" x14ac:dyDescent="0.3">
      <c r="A173" s="7" t="s">
        <v>540</v>
      </c>
      <c r="B173" s="7" t="s">
        <v>101</v>
      </c>
      <c r="C173" s="7" t="s">
        <v>353</v>
      </c>
      <c r="D173" s="9">
        <v>45977</v>
      </c>
      <c r="E173" s="9">
        <v>46007</v>
      </c>
      <c r="F173" s="3">
        <v>2813.18</v>
      </c>
      <c r="G173" s="7" t="s">
        <v>369</v>
      </c>
    </row>
    <row r="174" spans="1:7" x14ac:dyDescent="0.3">
      <c r="A174" s="7" t="s">
        <v>541</v>
      </c>
      <c r="B174" s="7" t="s">
        <v>72</v>
      </c>
      <c r="C174" s="7" t="s">
        <v>359</v>
      </c>
      <c r="D174" s="9">
        <v>46053</v>
      </c>
      <c r="E174" s="9">
        <v>46083</v>
      </c>
      <c r="F174" s="3">
        <v>2096.96</v>
      </c>
      <c r="G174" s="7" t="s">
        <v>367</v>
      </c>
    </row>
    <row r="175" spans="1:7" x14ac:dyDescent="0.3">
      <c r="A175" s="7" t="s">
        <v>542</v>
      </c>
      <c r="B175" s="7" t="s">
        <v>50</v>
      </c>
      <c r="C175" s="7" t="s">
        <v>353</v>
      </c>
      <c r="D175" s="9">
        <v>46080</v>
      </c>
      <c r="E175" s="9">
        <v>46110</v>
      </c>
      <c r="F175" s="3">
        <v>2018.23</v>
      </c>
      <c r="G175" s="7" t="s">
        <v>387</v>
      </c>
    </row>
    <row r="176" spans="1:7" x14ac:dyDescent="0.3">
      <c r="A176" s="7" t="s">
        <v>543</v>
      </c>
      <c r="B176" s="7" t="s">
        <v>115</v>
      </c>
      <c r="C176" s="7" t="s">
        <v>355</v>
      </c>
      <c r="D176" s="9">
        <v>46007</v>
      </c>
      <c r="E176" s="9">
        <v>46037</v>
      </c>
      <c r="F176" s="3">
        <v>10521.63</v>
      </c>
      <c r="G176" s="7" t="s">
        <v>367</v>
      </c>
    </row>
    <row r="177" spans="1:7" x14ac:dyDescent="0.3">
      <c r="A177" s="7" t="s">
        <v>544</v>
      </c>
      <c r="B177" s="7" t="s">
        <v>11</v>
      </c>
      <c r="C177" s="7" t="s">
        <v>349</v>
      </c>
      <c r="D177" s="9">
        <v>46019</v>
      </c>
      <c r="E177" s="9">
        <v>46049</v>
      </c>
      <c r="F177" s="3">
        <v>3009.23</v>
      </c>
      <c r="G177" s="7" t="s">
        <v>369</v>
      </c>
    </row>
    <row r="178" spans="1:7" x14ac:dyDescent="0.3">
      <c r="A178" s="7" t="s">
        <v>545</v>
      </c>
      <c r="B178" s="7" t="s">
        <v>55</v>
      </c>
      <c r="C178" s="7" t="s">
        <v>359</v>
      </c>
      <c r="D178" s="9">
        <v>46049</v>
      </c>
      <c r="E178" s="9">
        <v>46079</v>
      </c>
      <c r="F178" s="3">
        <v>1682.47</v>
      </c>
      <c r="G178" s="7" t="s">
        <v>367</v>
      </c>
    </row>
    <row r="179" spans="1:7" x14ac:dyDescent="0.3">
      <c r="A179" s="7" t="s">
        <v>546</v>
      </c>
      <c r="B179" s="7" t="s">
        <v>110</v>
      </c>
      <c r="C179" s="7" t="s">
        <v>351</v>
      </c>
      <c r="D179" s="9">
        <v>46006</v>
      </c>
      <c r="E179" s="9">
        <v>46036</v>
      </c>
      <c r="F179" s="3">
        <v>4324.49</v>
      </c>
      <c r="G179" s="7" t="s">
        <v>369</v>
      </c>
    </row>
    <row r="180" spans="1:7" x14ac:dyDescent="0.3">
      <c r="A180" s="7" t="s">
        <v>547</v>
      </c>
      <c r="B180" s="7" t="s">
        <v>99</v>
      </c>
      <c r="C180" s="7" t="s">
        <v>351</v>
      </c>
      <c r="D180" s="9">
        <v>46060</v>
      </c>
      <c r="E180" s="9">
        <v>46090</v>
      </c>
      <c r="F180" s="3">
        <v>5442.37</v>
      </c>
      <c r="G180" s="7" t="s">
        <v>367</v>
      </c>
    </row>
    <row r="181" spans="1:7" x14ac:dyDescent="0.3">
      <c r="A181" s="7" t="s">
        <v>548</v>
      </c>
      <c r="B181" s="7" t="s">
        <v>107</v>
      </c>
      <c r="C181" s="7" t="s">
        <v>351</v>
      </c>
      <c r="D181" s="9">
        <v>46068</v>
      </c>
      <c r="E181" s="9">
        <v>46098</v>
      </c>
      <c r="F181" s="3">
        <v>5939.18</v>
      </c>
      <c r="G181" s="7" t="s">
        <v>369</v>
      </c>
    </row>
    <row r="182" spans="1:7" x14ac:dyDescent="0.3">
      <c r="A182" s="7" t="s">
        <v>549</v>
      </c>
      <c r="B182" s="7" t="s">
        <v>107</v>
      </c>
      <c r="C182" s="7" t="s">
        <v>355</v>
      </c>
      <c r="D182" s="9">
        <v>46086</v>
      </c>
      <c r="E182" s="9">
        <v>46116</v>
      </c>
      <c r="F182" s="3">
        <v>10723.21</v>
      </c>
      <c r="G182" s="7" t="s">
        <v>387</v>
      </c>
    </row>
    <row r="183" spans="1:7" x14ac:dyDescent="0.3">
      <c r="A183" s="7" t="s">
        <v>550</v>
      </c>
      <c r="B183" s="7" t="s">
        <v>80</v>
      </c>
      <c r="C183" s="7" t="s">
        <v>355</v>
      </c>
      <c r="D183" s="9">
        <v>46022</v>
      </c>
      <c r="E183" s="9">
        <v>46052</v>
      </c>
      <c r="F183" s="3">
        <v>13939.08</v>
      </c>
      <c r="G183" s="7" t="s">
        <v>367</v>
      </c>
    </row>
    <row r="184" spans="1:7" x14ac:dyDescent="0.3">
      <c r="A184" s="7" t="s">
        <v>551</v>
      </c>
      <c r="B184" s="7" t="s">
        <v>60</v>
      </c>
      <c r="C184" s="7" t="s">
        <v>355</v>
      </c>
      <c r="D184" s="9">
        <v>46064</v>
      </c>
      <c r="E184" s="9">
        <v>46094</v>
      </c>
      <c r="F184" s="3">
        <v>11816.06</v>
      </c>
      <c r="G184" s="7" t="s">
        <v>367</v>
      </c>
    </row>
    <row r="185" spans="1:7" x14ac:dyDescent="0.3">
      <c r="A185" s="7" t="s">
        <v>552</v>
      </c>
      <c r="B185" s="7" t="s">
        <v>39</v>
      </c>
      <c r="C185" s="7" t="s">
        <v>351</v>
      </c>
      <c r="D185" s="9">
        <v>46068</v>
      </c>
      <c r="E185" s="9">
        <v>46098</v>
      </c>
      <c r="F185" s="3">
        <v>5633.78</v>
      </c>
      <c r="G185" s="7" t="s">
        <v>367</v>
      </c>
    </row>
    <row r="186" spans="1:7" x14ac:dyDescent="0.3">
      <c r="A186" s="7" t="s">
        <v>553</v>
      </c>
      <c r="B186" s="7" t="s">
        <v>20</v>
      </c>
      <c r="C186" s="7" t="s">
        <v>349</v>
      </c>
      <c r="D186" s="9">
        <v>46042</v>
      </c>
      <c r="E186" s="9">
        <v>46072</v>
      </c>
      <c r="F186" s="3">
        <v>3169.41</v>
      </c>
      <c r="G186" s="7" t="s">
        <v>367</v>
      </c>
    </row>
    <row r="187" spans="1:7" x14ac:dyDescent="0.3">
      <c r="A187" s="7" t="s">
        <v>554</v>
      </c>
      <c r="B187" s="7" t="s">
        <v>104</v>
      </c>
      <c r="C187" s="7" t="s">
        <v>359</v>
      </c>
      <c r="D187" s="9">
        <v>46068</v>
      </c>
      <c r="E187" s="9">
        <v>46098</v>
      </c>
      <c r="F187" s="3">
        <v>2049.04</v>
      </c>
      <c r="G187" s="7" t="s">
        <v>367</v>
      </c>
    </row>
    <row r="188" spans="1:7" x14ac:dyDescent="0.3">
      <c r="A188" s="7" t="s">
        <v>555</v>
      </c>
      <c r="B188" s="7" t="s">
        <v>18</v>
      </c>
      <c r="C188" s="7" t="s">
        <v>351</v>
      </c>
      <c r="D188" s="9">
        <v>46110</v>
      </c>
      <c r="E188" s="9">
        <v>46140</v>
      </c>
      <c r="F188" s="3">
        <v>4545.58</v>
      </c>
      <c r="G188" s="7" t="s">
        <v>369</v>
      </c>
    </row>
    <row r="189" spans="1:7" x14ac:dyDescent="0.3">
      <c r="A189" s="7" t="s">
        <v>556</v>
      </c>
      <c r="B189" s="7" t="s">
        <v>60</v>
      </c>
      <c r="C189" s="7" t="s">
        <v>351</v>
      </c>
      <c r="D189" s="9">
        <v>46057</v>
      </c>
      <c r="E189" s="9">
        <v>46087</v>
      </c>
      <c r="F189" s="3">
        <v>5633.41</v>
      </c>
      <c r="G189" s="7" t="s">
        <v>369</v>
      </c>
    </row>
    <row r="190" spans="1:7" x14ac:dyDescent="0.3">
      <c r="A190" s="7" t="s">
        <v>557</v>
      </c>
      <c r="B190" s="7" t="s">
        <v>17</v>
      </c>
      <c r="C190" s="7" t="s">
        <v>349</v>
      </c>
      <c r="D190" s="9">
        <v>46110</v>
      </c>
      <c r="E190" s="9">
        <v>46140</v>
      </c>
      <c r="F190" s="3">
        <v>2875.74</v>
      </c>
      <c r="G190" s="7" t="s">
        <v>367</v>
      </c>
    </row>
    <row r="191" spans="1:7" x14ac:dyDescent="0.3">
      <c r="A191" s="7" t="s">
        <v>558</v>
      </c>
      <c r="B191" s="7" t="s">
        <v>90</v>
      </c>
      <c r="C191" s="7" t="s">
        <v>353</v>
      </c>
      <c r="D191" s="9">
        <v>45998</v>
      </c>
      <c r="E191" s="9">
        <v>46028</v>
      </c>
      <c r="F191" s="3">
        <v>2224.54</v>
      </c>
      <c r="G191" s="7" t="s">
        <v>369</v>
      </c>
    </row>
    <row r="192" spans="1:7" x14ac:dyDescent="0.3">
      <c r="A192" s="7" t="s">
        <v>559</v>
      </c>
      <c r="B192" s="7" t="s">
        <v>113</v>
      </c>
      <c r="C192" s="7" t="s">
        <v>353</v>
      </c>
      <c r="D192" s="9">
        <v>46038</v>
      </c>
      <c r="E192" s="9">
        <v>46068</v>
      </c>
      <c r="F192" s="3">
        <v>2791.38</v>
      </c>
      <c r="G192" s="7" t="s">
        <v>367</v>
      </c>
    </row>
    <row r="193" spans="1:7" x14ac:dyDescent="0.3">
      <c r="A193" s="7" t="s">
        <v>560</v>
      </c>
      <c r="B193" s="7" t="s">
        <v>85</v>
      </c>
      <c r="C193" s="7" t="s">
        <v>355</v>
      </c>
      <c r="D193" s="9">
        <v>46020</v>
      </c>
      <c r="E193" s="9">
        <v>46050</v>
      </c>
      <c r="F193" s="3">
        <v>12941.15</v>
      </c>
      <c r="G193" s="7" t="s">
        <v>367</v>
      </c>
    </row>
    <row r="194" spans="1:7" x14ac:dyDescent="0.3">
      <c r="A194" s="7" t="s">
        <v>561</v>
      </c>
      <c r="B194" s="7" t="s">
        <v>26</v>
      </c>
      <c r="C194" s="7" t="s">
        <v>349</v>
      </c>
      <c r="D194" s="9">
        <v>46048</v>
      </c>
      <c r="E194" s="9">
        <v>46078</v>
      </c>
      <c r="F194" s="3">
        <v>3487.03</v>
      </c>
      <c r="G194" s="7" t="s">
        <v>367</v>
      </c>
    </row>
    <row r="195" spans="1:7" x14ac:dyDescent="0.3">
      <c r="A195" s="7" t="s">
        <v>562</v>
      </c>
      <c r="B195" s="7" t="s">
        <v>106</v>
      </c>
      <c r="C195" s="7" t="s">
        <v>357</v>
      </c>
      <c r="D195" s="9">
        <v>45976</v>
      </c>
      <c r="E195" s="9">
        <v>46006</v>
      </c>
      <c r="F195" s="3">
        <v>4116.32</v>
      </c>
      <c r="G195" s="7" t="s">
        <v>367</v>
      </c>
    </row>
    <row r="196" spans="1:7" x14ac:dyDescent="0.3">
      <c r="A196" s="7" t="s">
        <v>563</v>
      </c>
      <c r="B196" s="7" t="s">
        <v>88</v>
      </c>
      <c r="C196" s="7" t="s">
        <v>353</v>
      </c>
      <c r="D196" s="9">
        <v>46022</v>
      </c>
      <c r="E196" s="9">
        <v>46052</v>
      </c>
      <c r="F196" s="3">
        <v>2237.64</v>
      </c>
      <c r="G196" s="7" t="s">
        <v>367</v>
      </c>
    </row>
    <row r="197" spans="1:7" x14ac:dyDescent="0.3">
      <c r="A197" s="7" t="s">
        <v>564</v>
      </c>
      <c r="B197" s="7" t="s">
        <v>9</v>
      </c>
      <c r="C197" s="7" t="s">
        <v>357</v>
      </c>
      <c r="D197" s="9">
        <v>46017</v>
      </c>
      <c r="E197" s="9">
        <v>46047</v>
      </c>
      <c r="F197" s="3">
        <v>3439.96</v>
      </c>
      <c r="G197" s="7" t="s">
        <v>367</v>
      </c>
    </row>
    <row r="198" spans="1:7" x14ac:dyDescent="0.3">
      <c r="A198" s="7" t="s">
        <v>565</v>
      </c>
      <c r="B198" s="7" t="s">
        <v>61</v>
      </c>
      <c r="C198" s="7" t="s">
        <v>359</v>
      </c>
      <c r="D198" s="9">
        <v>45979</v>
      </c>
      <c r="E198" s="9">
        <v>46009</v>
      </c>
      <c r="F198" s="3">
        <v>1811.07</v>
      </c>
      <c r="G198" s="7" t="s">
        <v>367</v>
      </c>
    </row>
    <row r="199" spans="1:7" x14ac:dyDescent="0.3">
      <c r="A199" s="7" t="s">
        <v>566</v>
      </c>
      <c r="B199" s="7" t="s">
        <v>92</v>
      </c>
      <c r="C199" s="7" t="s">
        <v>349</v>
      </c>
      <c r="D199" s="9">
        <v>46041</v>
      </c>
      <c r="E199" s="9">
        <v>46071</v>
      </c>
      <c r="F199" s="3">
        <v>3137.77</v>
      </c>
      <c r="G199" s="7" t="s">
        <v>367</v>
      </c>
    </row>
    <row r="200" spans="1:7" x14ac:dyDescent="0.3">
      <c r="A200" s="7" t="s">
        <v>567</v>
      </c>
      <c r="B200" s="7" t="s">
        <v>76</v>
      </c>
      <c r="C200" s="7" t="s">
        <v>359</v>
      </c>
      <c r="D200" s="9">
        <v>46059</v>
      </c>
      <c r="E200" s="9">
        <v>46089</v>
      </c>
      <c r="F200" s="3">
        <v>1501.64</v>
      </c>
      <c r="G200" s="7" t="s">
        <v>387</v>
      </c>
    </row>
    <row r="201" spans="1:7" x14ac:dyDescent="0.3">
      <c r="A201" s="7" t="s">
        <v>568</v>
      </c>
      <c r="B201" s="7" t="s">
        <v>118</v>
      </c>
      <c r="C201" s="7" t="s">
        <v>357</v>
      </c>
      <c r="D201" s="9">
        <v>46110</v>
      </c>
      <c r="E201" s="9">
        <v>46140</v>
      </c>
      <c r="F201" s="3">
        <v>3900.98</v>
      </c>
      <c r="G201" s="7" t="s">
        <v>367</v>
      </c>
    </row>
    <row r="202" spans="1:7" x14ac:dyDescent="0.3">
      <c r="A202" s="7" t="s">
        <v>569</v>
      </c>
      <c r="B202" s="7" t="s">
        <v>9</v>
      </c>
      <c r="C202" s="7" t="s">
        <v>355</v>
      </c>
      <c r="D202" s="9">
        <v>46080</v>
      </c>
      <c r="E202" s="9">
        <v>46110</v>
      </c>
      <c r="F202" s="3">
        <v>9808.9699999999993</v>
      </c>
      <c r="G202" s="7" t="s">
        <v>367</v>
      </c>
    </row>
    <row r="203" spans="1:7" x14ac:dyDescent="0.3">
      <c r="A203" s="7" t="s">
        <v>570</v>
      </c>
      <c r="B203" s="7" t="s">
        <v>87</v>
      </c>
      <c r="C203" s="7" t="s">
        <v>353</v>
      </c>
      <c r="D203" s="9">
        <v>46071</v>
      </c>
      <c r="E203" s="9">
        <v>46101</v>
      </c>
      <c r="F203" s="3">
        <v>2788.52</v>
      </c>
      <c r="G203" s="7" t="s">
        <v>367</v>
      </c>
    </row>
    <row r="204" spans="1:7" x14ac:dyDescent="0.3">
      <c r="A204" s="7" t="s">
        <v>571</v>
      </c>
      <c r="B204" s="7" t="s">
        <v>52</v>
      </c>
      <c r="C204" s="7" t="s">
        <v>349</v>
      </c>
      <c r="D204" s="9">
        <v>46079</v>
      </c>
      <c r="E204" s="9">
        <v>46109</v>
      </c>
      <c r="F204" s="3">
        <v>3325.8</v>
      </c>
      <c r="G204" s="7" t="s">
        <v>367</v>
      </c>
    </row>
    <row r="205" spans="1:7" x14ac:dyDescent="0.3">
      <c r="A205" s="7" t="s">
        <v>572</v>
      </c>
      <c r="B205" s="7" t="s">
        <v>94</v>
      </c>
      <c r="C205" s="7" t="s">
        <v>357</v>
      </c>
      <c r="D205" s="9">
        <v>45989</v>
      </c>
      <c r="E205" s="9">
        <v>46019</v>
      </c>
      <c r="F205" s="3">
        <v>3273.97</v>
      </c>
      <c r="G205" s="7" t="s">
        <v>369</v>
      </c>
    </row>
    <row r="206" spans="1:7" x14ac:dyDescent="0.3">
      <c r="A206" s="7" t="s">
        <v>573</v>
      </c>
      <c r="B206" s="7" t="s">
        <v>24</v>
      </c>
      <c r="C206" s="7" t="s">
        <v>355</v>
      </c>
      <c r="D206" s="9">
        <v>45962</v>
      </c>
      <c r="E206" s="9">
        <v>45992</v>
      </c>
      <c r="F206" s="3">
        <v>14307.93</v>
      </c>
      <c r="G206" s="7" t="s">
        <v>367</v>
      </c>
    </row>
    <row r="207" spans="1:7" x14ac:dyDescent="0.3">
      <c r="A207" s="7" t="s">
        <v>574</v>
      </c>
      <c r="B207" s="7" t="s">
        <v>12</v>
      </c>
      <c r="C207" s="7" t="s">
        <v>349</v>
      </c>
      <c r="D207" s="9">
        <v>46048</v>
      </c>
      <c r="E207" s="9">
        <v>46078</v>
      </c>
      <c r="F207" s="3">
        <v>3259.25</v>
      </c>
      <c r="G207" s="7" t="s">
        <v>367</v>
      </c>
    </row>
    <row r="208" spans="1:7" x14ac:dyDescent="0.3">
      <c r="A208" s="7" t="s">
        <v>575</v>
      </c>
      <c r="B208" s="7" t="s">
        <v>111</v>
      </c>
      <c r="C208" s="7" t="s">
        <v>351</v>
      </c>
      <c r="D208" s="9">
        <v>46035</v>
      </c>
      <c r="E208" s="9">
        <v>46065</v>
      </c>
      <c r="F208" s="3">
        <v>5771.58</v>
      </c>
      <c r="G208" s="7" t="s">
        <v>367</v>
      </c>
    </row>
    <row r="209" spans="1:7" x14ac:dyDescent="0.3">
      <c r="A209" s="7" t="s">
        <v>576</v>
      </c>
      <c r="B209" s="7" t="s">
        <v>52</v>
      </c>
      <c r="C209" s="7" t="s">
        <v>357</v>
      </c>
      <c r="D209" s="9">
        <v>46107</v>
      </c>
      <c r="E209" s="9">
        <v>46137</v>
      </c>
      <c r="F209" s="3">
        <v>3462.76</v>
      </c>
      <c r="G209" s="7" t="s">
        <v>367</v>
      </c>
    </row>
    <row r="210" spans="1:7" x14ac:dyDescent="0.3">
      <c r="A210" s="7" t="s">
        <v>577</v>
      </c>
      <c r="B210" s="7" t="s">
        <v>54</v>
      </c>
      <c r="C210" s="7" t="s">
        <v>349</v>
      </c>
      <c r="D210" s="9">
        <v>45966</v>
      </c>
      <c r="E210" s="9">
        <v>45996</v>
      </c>
      <c r="F210" s="3">
        <v>3438.96</v>
      </c>
      <c r="G210" s="7" t="s">
        <v>367</v>
      </c>
    </row>
    <row r="211" spans="1:7" x14ac:dyDescent="0.3">
      <c r="A211" s="7" t="s">
        <v>578</v>
      </c>
      <c r="B211" s="7" t="s">
        <v>56</v>
      </c>
      <c r="C211" s="7" t="s">
        <v>355</v>
      </c>
      <c r="D211" s="9">
        <v>45987</v>
      </c>
      <c r="E211" s="9">
        <v>46017</v>
      </c>
      <c r="F211" s="3">
        <v>13869.54</v>
      </c>
      <c r="G211" s="7" t="s">
        <v>369</v>
      </c>
    </row>
    <row r="212" spans="1:7" x14ac:dyDescent="0.3">
      <c r="A212" s="7" t="s">
        <v>579</v>
      </c>
      <c r="B212" s="7" t="s">
        <v>109</v>
      </c>
      <c r="C212" s="7" t="s">
        <v>353</v>
      </c>
      <c r="D212" s="9">
        <v>46000</v>
      </c>
      <c r="E212" s="9">
        <v>46030</v>
      </c>
      <c r="F212" s="3">
        <v>2973.72</v>
      </c>
      <c r="G212" s="7" t="s">
        <v>367</v>
      </c>
    </row>
    <row r="213" spans="1:7" x14ac:dyDescent="0.3">
      <c r="A213" s="7" t="s">
        <v>580</v>
      </c>
      <c r="B213" s="7" t="s">
        <v>62</v>
      </c>
      <c r="C213" s="7" t="s">
        <v>357</v>
      </c>
      <c r="D213" s="9">
        <v>45971</v>
      </c>
      <c r="E213" s="9">
        <v>46001</v>
      </c>
      <c r="F213" s="3">
        <v>3173.41</v>
      </c>
      <c r="G213" s="7" t="s">
        <v>367</v>
      </c>
    </row>
    <row r="214" spans="1:7" x14ac:dyDescent="0.3">
      <c r="A214" s="7" t="s">
        <v>581</v>
      </c>
      <c r="B214" s="7" t="s">
        <v>20</v>
      </c>
      <c r="C214" s="7" t="s">
        <v>357</v>
      </c>
      <c r="D214" s="9">
        <v>46022</v>
      </c>
      <c r="E214" s="9">
        <v>46052</v>
      </c>
      <c r="F214" s="3">
        <v>4193.1400000000003</v>
      </c>
      <c r="G214" s="7" t="s">
        <v>367</v>
      </c>
    </row>
    <row r="215" spans="1:7" x14ac:dyDescent="0.3">
      <c r="A215" s="7" t="s">
        <v>582</v>
      </c>
      <c r="B215" s="7" t="s">
        <v>98</v>
      </c>
      <c r="C215" s="7" t="s">
        <v>349</v>
      </c>
      <c r="D215" s="9">
        <v>46029</v>
      </c>
      <c r="E215" s="9">
        <v>46059</v>
      </c>
      <c r="F215" s="3">
        <v>2793.5</v>
      </c>
      <c r="G215" s="7" t="s">
        <v>367</v>
      </c>
    </row>
    <row r="216" spans="1:7" x14ac:dyDescent="0.3">
      <c r="A216" s="7" t="s">
        <v>583</v>
      </c>
      <c r="B216" s="7" t="s">
        <v>100</v>
      </c>
      <c r="C216" s="7" t="s">
        <v>355</v>
      </c>
      <c r="D216" s="9">
        <v>46083</v>
      </c>
      <c r="E216" s="9">
        <v>46113</v>
      </c>
      <c r="F216" s="3">
        <v>10399.89</v>
      </c>
      <c r="G216" s="7" t="s">
        <v>367</v>
      </c>
    </row>
    <row r="217" spans="1:7" x14ac:dyDescent="0.3">
      <c r="A217" s="7" t="s">
        <v>584</v>
      </c>
      <c r="B217" s="7" t="s">
        <v>108</v>
      </c>
      <c r="C217" s="7" t="s">
        <v>353</v>
      </c>
      <c r="D217" s="9">
        <v>46067</v>
      </c>
      <c r="E217" s="9">
        <v>46097</v>
      </c>
      <c r="F217" s="3">
        <v>2614.85</v>
      </c>
      <c r="G217" s="7" t="s">
        <v>367</v>
      </c>
    </row>
    <row r="218" spans="1:7" x14ac:dyDescent="0.3">
      <c r="A218" s="7" t="s">
        <v>585</v>
      </c>
      <c r="B218" s="7" t="s">
        <v>109</v>
      </c>
      <c r="C218" s="7" t="s">
        <v>349</v>
      </c>
      <c r="D218" s="9">
        <v>45963</v>
      </c>
      <c r="E218" s="9">
        <v>45993</v>
      </c>
      <c r="F218" s="3">
        <v>2490.0500000000002</v>
      </c>
      <c r="G218" s="7" t="s">
        <v>367</v>
      </c>
    </row>
    <row r="219" spans="1:7" x14ac:dyDescent="0.3">
      <c r="A219" s="7" t="s">
        <v>586</v>
      </c>
      <c r="B219" s="7" t="s">
        <v>93</v>
      </c>
      <c r="C219" s="7" t="s">
        <v>359</v>
      </c>
      <c r="D219" s="9">
        <v>45994</v>
      </c>
      <c r="E219" s="9">
        <v>46024</v>
      </c>
      <c r="F219" s="3">
        <v>1929.18</v>
      </c>
      <c r="G219" s="7" t="s">
        <v>369</v>
      </c>
    </row>
    <row r="220" spans="1:7" x14ac:dyDescent="0.3">
      <c r="A220" s="7" t="s">
        <v>587</v>
      </c>
      <c r="B220" s="7" t="s">
        <v>53</v>
      </c>
      <c r="C220" s="7" t="s">
        <v>355</v>
      </c>
      <c r="D220" s="9">
        <v>45973</v>
      </c>
      <c r="E220" s="9">
        <v>46003</v>
      </c>
      <c r="F220" s="3">
        <v>9767.0400000000009</v>
      </c>
      <c r="G220" s="7" t="s">
        <v>369</v>
      </c>
    </row>
    <row r="221" spans="1:7" x14ac:dyDescent="0.3">
      <c r="A221" s="7" t="s">
        <v>588</v>
      </c>
      <c r="B221" s="7" t="s">
        <v>93</v>
      </c>
      <c r="C221" s="7" t="s">
        <v>353</v>
      </c>
      <c r="D221" s="9">
        <v>46045</v>
      </c>
      <c r="E221" s="9">
        <v>46075</v>
      </c>
      <c r="F221" s="3">
        <v>2382.85</v>
      </c>
      <c r="G221" s="7" t="s">
        <v>367</v>
      </c>
    </row>
    <row r="222" spans="1:7" x14ac:dyDescent="0.3">
      <c r="A222" s="7" t="s">
        <v>589</v>
      </c>
      <c r="B222" s="7" t="s">
        <v>80</v>
      </c>
      <c r="C222" s="7" t="s">
        <v>355</v>
      </c>
      <c r="D222" s="9">
        <v>46101</v>
      </c>
      <c r="E222" s="9">
        <v>46131</v>
      </c>
      <c r="F222" s="3">
        <v>14154.35</v>
      </c>
      <c r="G222" s="7" t="s">
        <v>369</v>
      </c>
    </row>
    <row r="223" spans="1:7" x14ac:dyDescent="0.3">
      <c r="A223" s="7" t="s">
        <v>590</v>
      </c>
      <c r="B223" s="7" t="s">
        <v>38</v>
      </c>
      <c r="C223" s="7" t="s">
        <v>351</v>
      </c>
      <c r="D223" s="9">
        <v>46080</v>
      </c>
      <c r="E223" s="9">
        <v>46110</v>
      </c>
      <c r="F223" s="3">
        <v>5058.92</v>
      </c>
      <c r="G223" s="7" t="s">
        <v>367</v>
      </c>
    </row>
    <row r="224" spans="1:7" x14ac:dyDescent="0.3">
      <c r="A224" s="7" t="s">
        <v>591</v>
      </c>
      <c r="B224" s="7" t="s">
        <v>123</v>
      </c>
      <c r="C224" s="7" t="s">
        <v>349</v>
      </c>
      <c r="D224" s="9">
        <v>46070</v>
      </c>
      <c r="E224" s="9">
        <v>46100</v>
      </c>
      <c r="F224" s="3">
        <v>2431.1</v>
      </c>
      <c r="G224" s="7" t="s">
        <v>367</v>
      </c>
    </row>
    <row r="225" spans="1:7" x14ac:dyDescent="0.3">
      <c r="A225" s="7" t="s">
        <v>592</v>
      </c>
      <c r="B225" s="7" t="s">
        <v>34</v>
      </c>
      <c r="C225" s="7" t="s">
        <v>357</v>
      </c>
      <c r="D225" s="9">
        <v>46031</v>
      </c>
      <c r="E225" s="9">
        <v>46061</v>
      </c>
      <c r="F225" s="3">
        <v>2964.87</v>
      </c>
      <c r="G225" s="7" t="s">
        <v>367</v>
      </c>
    </row>
    <row r="226" spans="1:7" x14ac:dyDescent="0.3">
      <c r="A226" s="7" t="s">
        <v>593</v>
      </c>
      <c r="B226" s="7" t="s">
        <v>116</v>
      </c>
      <c r="C226" s="7" t="s">
        <v>357</v>
      </c>
      <c r="D226" s="9">
        <v>46002</v>
      </c>
      <c r="E226" s="9">
        <v>46032</v>
      </c>
      <c r="F226" s="3">
        <v>3199.81</v>
      </c>
      <c r="G226" s="7" t="s">
        <v>367</v>
      </c>
    </row>
    <row r="227" spans="1:7" x14ac:dyDescent="0.3">
      <c r="A227" s="7" t="s">
        <v>594</v>
      </c>
      <c r="B227" s="7" t="s">
        <v>110</v>
      </c>
      <c r="C227" s="7" t="s">
        <v>349</v>
      </c>
      <c r="D227" s="9">
        <v>46091</v>
      </c>
      <c r="E227" s="9">
        <v>46121</v>
      </c>
      <c r="F227" s="3">
        <v>2942.45</v>
      </c>
      <c r="G227" s="7" t="s">
        <v>387</v>
      </c>
    </row>
    <row r="228" spans="1:7" x14ac:dyDescent="0.3">
      <c r="A228" s="7" t="s">
        <v>595</v>
      </c>
      <c r="B228" s="7" t="s">
        <v>15</v>
      </c>
      <c r="C228" s="7" t="s">
        <v>359</v>
      </c>
      <c r="D228" s="9">
        <v>46058</v>
      </c>
      <c r="E228" s="9">
        <v>46088</v>
      </c>
      <c r="F228" s="3">
        <v>2136.64</v>
      </c>
      <c r="G228" s="7" t="s">
        <v>367</v>
      </c>
    </row>
    <row r="229" spans="1:7" x14ac:dyDescent="0.3">
      <c r="A229" s="7" t="s">
        <v>596</v>
      </c>
      <c r="B229" s="7" t="s">
        <v>96</v>
      </c>
      <c r="C229" s="7" t="s">
        <v>357</v>
      </c>
      <c r="D229" s="9">
        <v>46105</v>
      </c>
      <c r="E229" s="9">
        <v>46135</v>
      </c>
      <c r="F229" s="3">
        <v>3559.04</v>
      </c>
      <c r="G229" s="7" t="s">
        <v>367</v>
      </c>
    </row>
    <row r="230" spans="1:7" x14ac:dyDescent="0.3">
      <c r="A230" s="7" t="s">
        <v>597</v>
      </c>
      <c r="B230" s="7" t="s">
        <v>32</v>
      </c>
      <c r="C230" s="7" t="s">
        <v>359</v>
      </c>
      <c r="D230" s="9">
        <v>46007</v>
      </c>
      <c r="E230" s="9">
        <v>46037</v>
      </c>
      <c r="F230" s="3">
        <v>1565.35</v>
      </c>
      <c r="G230" s="7" t="s">
        <v>367</v>
      </c>
    </row>
    <row r="231" spans="1:7" x14ac:dyDescent="0.3">
      <c r="A231" s="7" t="s">
        <v>598</v>
      </c>
      <c r="B231" s="7" t="s">
        <v>80</v>
      </c>
      <c r="C231" s="7" t="s">
        <v>351</v>
      </c>
      <c r="D231" s="9">
        <v>46067</v>
      </c>
      <c r="E231" s="9">
        <v>46097</v>
      </c>
      <c r="F231" s="3">
        <v>4473.47</v>
      </c>
      <c r="G231" s="7" t="s">
        <v>367</v>
      </c>
    </row>
    <row r="232" spans="1:7" x14ac:dyDescent="0.3">
      <c r="A232" s="7" t="s">
        <v>599</v>
      </c>
      <c r="B232" s="7" t="s">
        <v>18</v>
      </c>
      <c r="C232" s="7" t="s">
        <v>353</v>
      </c>
      <c r="D232" s="9">
        <v>45968</v>
      </c>
      <c r="E232" s="9">
        <v>45998</v>
      </c>
      <c r="F232" s="3">
        <v>2467.41</v>
      </c>
      <c r="G232" s="7" t="s">
        <v>367</v>
      </c>
    </row>
    <row r="233" spans="1:7" x14ac:dyDescent="0.3">
      <c r="A233" s="7" t="s">
        <v>600</v>
      </c>
      <c r="B233" s="7" t="s">
        <v>59</v>
      </c>
      <c r="C233" s="7" t="s">
        <v>349</v>
      </c>
      <c r="D233" s="9">
        <v>46054</v>
      </c>
      <c r="E233" s="9">
        <v>46084</v>
      </c>
      <c r="F233" s="3">
        <v>2771.15</v>
      </c>
      <c r="G233" s="7" t="s">
        <v>367</v>
      </c>
    </row>
    <row r="234" spans="1:7" x14ac:dyDescent="0.3">
      <c r="A234" s="7" t="s">
        <v>601</v>
      </c>
      <c r="B234" s="7" t="s">
        <v>89</v>
      </c>
      <c r="C234" s="7" t="s">
        <v>355</v>
      </c>
      <c r="D234" s="9">
        <v>46011</v>
      </c>
      <c r="E234" s="9">
        <v>46041</v>
      </c>
      <c r="F234" s="3">
        <v>13552.03</v>
      </c>
      <c r="G234" s="7" t="s">
        <v>387</v>
      </c>
    </row>
    <row r="235" spans="1:7" x14ac:dyDescent="0.3">
      <c r="A235" s="7" t="s">
        <v>602</v>
      </c>
      <c r="B235" s="7" t="s">
        <v>119</v>
      </c>
      <c r="C235" s="7" t="s">
        <v>349</v>
      </c>
      <c r="D235" s="9">
        <v>46100</v>
      </c>
      <c r="E235" s="9">
        <v>46130</v>
      </c>
      <c r="F235" s="3">
        <v>2939.97</v>
      </c>
      <c r="G235" s="7" t="s">
        <v>367</v>
      </c>
    </row>
    <row r="236" spans="1:7" x14ac:dyDescent="0.3">
      <c r="A236" s="7" t="s">
        <v>603</v>
      </c>
      <c r="B236" s="7" t="s">
        <v>123</v>
      </c>
      <c r="C236" s="7" t="s">
        <v>357</v>
      </c>
      <c r="D236" s="9">
        <v>46062</v>
      </c>
      <c r="E236" s="9">
        <v>46092</v>
      </c>
      <c r="F236" s="3">
        <v>3695.71</v>
      </c>
      <c r="G236" s="7" t="s">
        <v>367</v>
      </c>
    </row>
    <row r="237" spans="1:7" x14ac:dyDescent="0.3">
      <c r="A237" s="7" t="s">
        <v>604</v>
      </c>
      <c r="B237" s="7" t="s">
        <v>27</v>
      </c>
      <c r="C237" s="7" t="s">
        <v>349</v>
      </c>
      <c r="D237" s="9">
        <v>46017</v>
      </c>
      <c r="E237" s="9">
        <v>46047</v>
      </c>
      <c r="F237" s="3">
        <v>3397.67</v>
      </c>
      <c r="G237" s="7" t="s">
        <v>367</v>
      </c>
    </row>
    <row r="238" spans="1:7" x14ac:dyDescent="0.3">
      <c r="A238" s="7" t="s">
        <v>605</v>
      </c>
      <c r="B238" s="7" t="s">
        <v>73</v>
      </c>
      <c r="C238" s="7" t="s">
        <v>353</v>
      </c>
      <c r="D238" s="9">
        <v>46003</v>
      </c>
      <c r="E238" s="9">
        <v>46033</v>
      </c>
      <c r="F238" s="3">
        <v>2934.74</v>
      </c>
      <c r="G238" s="7" t="s">
        <v>369</v>
      </c>
    </row>
    <row r="239" spans="1:7" x14ac:dyDescent="0.3">
      <c r="A239" s="7" t="s">
        <v>606</v>
      </c>
      <c r="B239" s="7" t="s">
        <v>77</v>
      </c>
      <c r="C239" s="7" t="s">
        <v>353</v>
      </c>
      <c r="D239" s="9">
        <v>45994</v>
      </c>
      <c r="E239" s="9">
        <v>46024</v>
      </c>
      <c r="F239" s="3">
        <v>2845.93</v>
      </c>
      <c r="G239" s="7" t="s">
        <v>367</v>
      </c>
    </row>
    <row r="240" spans="1:7" x14ac:dyDescent="0.3">
      <c r="A240" s="7" t="s">
        <v>607</v>
      </c>
      <c r="B240" s="7" t="s">
        <v>71</v>
      </c>
      <c r="C240" s="7" t="s">
        <v>353</v>
      </c>
      <c r="D240" s="9">
        <v>45983</v>
      </c>
      <c r="E240" s="9">
        <v>46013</v>
      </c>
      <c r="F240" s="3">
        <v>2125.17</v>
      </c>
      <c r="G240" s="7" t="s">
        <v>367</v>
      </c>
    </row>
    <row r="241" spans="1:7" x14ac:dyDescent="0.3">
      <c r="A241" s="7" t="s">
        <v>608</v>
      </c>
      <c r="B241" s="7" t="s">
        <v>86</v>
      </c>
      <c r="C241" s="7" t="s">
        <v>359</v>
      </c>
      <c r="D241" s="9">
        <v>45977</v>
      </c>
      <c r="E241" s="9">
        <v>46007</v>
      </c>
      <c r="F241" s="3">
        <v>1561.42</v>
      </c>
      <c r="G241" s="7" t="s">
        <v>367</v>
      </c>
    </row>
    <row r="242" spans="1:7" x14ac:dyDescent="0.3">
      <c r="A242" s="7" t="s">
        <v>609</v>
      </c>
      <c r="B242" s="7" t="s">
        <v>117</v>
      </c>
      <c r="C242" s="7" t="s">
        <v>359</v>
      </c>
      <c r="D242" s="9">
        <v>46033</v>
      </c>
      <c r="E242" s="9">
        <v>46063</v>
      </c>
      <c r="F242" s="3">
        <v>2089.44</v>
      </c>
      <c r="G242" s="7" t="s">
        <v>367</v>
      </c>
    </row>
    <row r="243" spans="1:7" x14ac:dyDescent="0.3">
      <c r="A243" s="7" t="s">
        <v>610</v>
      </c>
      <c r="B243" s="7" t="s">
        <v>33</v>
      </c>
      <c r="C243" s="7" t="s">
        <v>349</v>
      </c>
      <c r="D243" s="9">
        <v>46012</v>
      </c>
      <c r="E243" s="9">
        <v>46042</v>
      </c>
      <c r="F243" s="3">
        <v>2497.4699999999998</v>
      </c>
      <c r="G243" s="7" t="s">
        <v>367</v>
      </c>
    </row>
    <row r="244" spans="1:7" x14ac:dyDescent="0.3">
      <c r="A244" s="7" t="s">
        <v>611</v>
      </c>
      <c r="B244" s="7" t="s">
        <v>87</v>
      </c>
      <c r="C244" s="7" t="s">
        <v>357</v>
      </c>
      <c r="D244" s="9">
        <v>46109</v>
      </c>
      <c r="E244" s="9">
        <v>46139</v>
      </c>
      <c r="F244" s="3">
        <v>3383.22</v>
      </c>
      <c r="G244" s="7" t="s">
        <v>367</v>
      </c>
    </row>
    <row r="245" spans="1:7" x14ac:dyDescent="0.3">
      <c r="A245" s="7" t="s">
        <v>612</v>
      </c>
      <c r="B245" s="7" t="s">
        <v>110</v>
      </c>
      <c r="C245" s="7" t="s">
        <v>357</v>
      </c>
      <c r="D245" s="9">
        <v>46031</v>
      </c>
      <c r="E245" s="9">
        <v>46061</v>
      </c>
      <c r="F245" s="3">
        <v>3205.54</v>
      </c>
      <c r="G245" s="7" t="s">
        <v>367</v>
      </c>
    </row>
    <row r="246" spans="1:7" x14ac:dyDescent="0.3">
      <c r="A246" s="7" t="s">
        <v>613</v>
      </c>
      <c r="B246" s="7" t="s">
        <v>27</v>
      </c>
      <c r="C246" s="7" t="s">
        <v>359</v>
      </c>
      <c r="D246" s="9">
        <v>46071</v>
      </c>
      <c r="E246" s="9">
        <v>46101</v>
      </c>
      <c r="F246" s="3">
        <v>1732.39</v>
      </c>
      <c r="G246" s="7" t="s">
        <v>367</v>
      </c>
    </row>
    <row r="247" spans="1:7" x14ac:dyDescent="0.3">
      <c r="A247" s="7" t="s">
        <v>614</v>
      </c>
      <c r="B247" s="7" t="s">
        <v>25</v>
      </c>
      <c r="C247" s="7" t="s">
        <v>355</v>
      </c>
      <c r="D247" s="9">
        <v>46042</v>
      </c>
      <c r="E247" s="9">
        <v>46072</v>
      </c>
      <c r="F247" s="3">
        <v>11594.98</v>
      </c>
      <c r="G247" s="7" t="s">
        <v>367</v>
      </c>
    </row>
    <row r="248" spans="1:7" x14ac:dyDescent="0.3">
      <c r="A248" s="7" t="s">
        <v>615</v>
      </c>
      <c r="B248" s="7" t="s">
        <v>51</v>
      </c>
      <c r="C248" s="7" t="s">
        <v>353</v>
      </c>
      <c r="D248" s="9">
        <v>46001</v>
      </c>
      <c r="E248" s="9">
        <v>46031</v>
      </c>
      <c r="F248" s="3">
        <v>2861.49</v>
      </c>
      <c r="G248" s="7" t="s">
        <v>387</v>
      </c>
    </row>
    <row r="249" spans="1:7" x14ac:dyDescent="0.3">
      <c r="A249" s="7" t="s">
        <v>616</v>
      </c>
      <c r="B249" s="7" t="s">
        <v>47</v>
      </c>
      <c r="C249" s="7" t="s">
        <v>355</v>
      </c>
      <c r="D249" s="9">
        <v>46031</v>
      </c>
      <c r="E249" s="9">
        <v>46061</v>
      </c>
      <c r="F249" s="3">
        <v>10227.68</v>
      </c>
      <c r="G249" s="7" t="s">
        <v>367</v>
      </c>
    </row>
    <row r="250" spans="1:7" x14ac:dyDescent="0.3">
      <c r="A250" s="7" t="s">
        <v>617</v>
      </c>
      <c r="B250" s="7" t="s">
        <v>19</v>
      </c>
      <c r="C250" s="7" t="s">
        <v>351</v>
      </c>
      <c r="D250" s="9">
        <v>46020</v>
      </c>
      <c r="E250" s="9">
        <v>46050</v>
      </c>
      <c r="F250" s="3">
        <v>4932.95</v>
      </c>
      <c r="G250" s="7" t="s">
        <v>367</v>
      </c>
    </row>
    <row r="251" spans="1:7" x14ac:dyDescent="0.3">
      <c r="A251" s="7" t="s">
        <v>618</v>
      </c>
      <c r="B251" s="7" t="s">
        <v>117</v>
      </c>
      <c r="C251" s="7" t="s">
        <v>349</v>
      </c>
      <c r="D251" s="9">
        <v>46040</v>
      </c>
      <c r="E251" s="9">
        <v>46070</v>
      </c>
      <c r="F251" s="3">
        <v>2748.25</v>
      </c>
      <c r="G251" s="7" t="s">
        <v>367</v>
      </c>
    </row>
    <row r="252" spans="1:7" x14ac:dyDescent="0.3">
      <c r="A252" s="7" t="s">
        <v>619</v>
      </c>
      <c r="B252" s="7" t="s">
        <v>104</v>
      </c>
      <c r="C252" s="7" t="s">
        <v>351</v>
      </c>
      <c r="D252" s="9">
        <v>45984</v>
      </c>
      <c r="E252" s="9">
        <v>46014</v>
      </c>
      <c r="F252" s="3">
        <v>5626.96</v>
      </c>
      <c r="G252" s="7" t="s">
        <v>367</v>
      </c>
    </row>
    <row r="253" spans="1:7" x14ac:dyDescent="0.3">
      <c r="A253" s="7" t="s">
        <v>620</v>
      </c>
      <c r="B253" s="7" t="s">
        <v>46</v>
      </c>
      <c r="C253" s="7" t="s">
        <v>351</v>
      </c>
      <c r="D253" s="9">
        <v>46099</v>
      </c>
      <c r="E253" s="9">
        <v>46129</v>
      </c>
      <c r="F253" s="3">
        <v>4996.53</v>
      </c>
      <c r="G253" s="7" t="s">
        <v>367</v>
      </c>
    </row>
    <row r="254" spans="1:7" x14ac:dyDescent="0.3">
      <c r="A254" s="7" t="s">
        <v>621</v>
      </c>
      <c r="B254" s="7" t="s">
        <v>37</v>
      </c>
      <c r="C254" s="7" t="s">
        <v>355</v>
      </c>
      <c r="D254" s="9">
        <v>46111</v>
      </c>
      <c r="E254" s="9">
        <v>46141</v>
      </c>
      <c r="F254" s="3">
        <v>9711.25</v>
      </c>
      <c r="G254" s="7" t="s">
        <v>367</v>
      </c>
    </row>
    <row r="255" spans="1:7" x14ac:dyDescent="0.3">
      <c r="A255" s="7" t="s">
        <v>622</v>
      </c>
      <c r="B255" s="7" t="s">
        <v>83</v>
      </c>
      <c r="C255" s="7" t="s">
        <v>351</v>
      </c>
      <c r="D255" s="9">
        <v>46015</v>
      </c>
      <c r="E255" s="9">
        <v>46045</v>
      </c>
      <c r="F255" s="3">
        <v>5166.6899999999996</v>
      </c>
      <c r="G255" s="7" t="s">
        <v>367</v>
      </c>
    </row>
    <row r="256" spans="1:7" x14ac:dyDescent="0.3">
      <c r="A256" s="7" t="s">
        <v>623</v>
      </c>
      <c r="B256" s="7" t="s">
        <v>20</v>
      </c>
      <c r="C256" s="7" t="s">
        <v>359</v>
      </c>
      <c r="D256" s="9">
        <v>46064</v>
      </c>
      <c r="E256" s="9">
        <v>46094</v>
      </c>
      <c r="F256" s="3">
        <v>1924.21</v>
      </c>
      <c r="G256" s="7" t="s">
        <v>367</v>
      </c>
    </row>
    <row r="257" spans="1:7" x14ac:dyDescent="0.3">
      <c r="A257" s="7" t="s">
        <v>624</v>
      </c>
      <c r="B257" s="7" t="s">
        <v>58</v>
      </c>
      <c r="C257" s="7" t="s">
        <v>355</v>
      </c>
      <c r="D257" s="9">
        <v>45976</v>
      </c>
      <c r="E257" s="9">
        <v>46006</v>
      </c>
      <c r="F257" s="3">
        <v>10242.89</v>
      </c>
      <c r="G257" s="7" t="s">
        <v>367</v>
      </c>
    </row>
    <row r="258" spans="1:7" x14ac:dyDescent="0.3">
      <c r="A258" s="7" t="s">
        <v>625</v>
      </c>
      <c r="B258" s="7" t="s">
        <v>53</v>
      </c>
      <c r="C258" s="7" t="s">
        <v>353</v>
      </c>
      <c r="D258" s="9">
        <v>46019</v>
      </c>
      <c r="E258" s="9">
        <v>46049</v>
      </c>
      <c r="F258" s="3">
        <v>2045.24</v>
      </c>
      <c r="G258" s="7" t="s">
        <v>367</v>
      </c>
    </row>
    <row r="259" spans="1:7" x14ac:dyDescent="0.3">
      <c r="A259" s="7" t="s">
        <v>626</v>
      </c>
      <c r="B259" s="7" t="s">
        <v>77</v>
      </c>
      <c r="C259" s="7" t="s">
        <v>357</v>
      </c>
      <c r="D259" s="9">
        <v>46062</v>
      </c>
      <c r="E259" s="9">
        <v>46092</v>
      </c>
      <c r="F259" s="3">
        <v>3204.04</v>
      </c>
      <c r="G259" s="7" t="s">
        <v>367</v>
      </c>
    </row>
    <row r="260" spans="1:7" x14ac:dyDescent="0.3">
      <c r="A260" s="7" t="s">
        <v>627</v>
      </c>
      <c r="B260" s="7" t="s">
        <v>23</v>
      </c>
      <c r="C260" s="7" t="s">
        <v>353</v>
      </c>
      <c r="D260" s="9">
        <v>45993</v>
      </c>
      <c r="E260" s="9">
        <v>46023</v>
      </c>
      <c r="F260" s="3">
        <v>2825.31</v>
      </c>
      <c r="G260" s="7" t="s">
        <v>367</v>
      </c>
    </row>
    <row r="261" spans="1:7" x14ac:dyDescent="0.3">
      <c r="A261" s="7" t="s">
        <v>628</v>
      </c>
      <c r="B261" s="7" t="s">
        <v>53</v>
      </c>
      <c r="C261" s="7" t="s">
        <v>349</v>
      </c>
      <c r="D261" s="9">
        <v>45993</v>
      </c>
      <c r="E261" s="9">
        <v>46023</v>
      </c>
      <c r="F261" s="3">
        <v>2872.68</v>
      </c>
      <c r="G261" s="7" t="s">
        <v>367</v>
      </c>
    </row>
    <row r="262" spans="1:7" x14ac:dyDescent="0.3">
      <c r="A262" s="7" t="s">
        <v>629</v>
      </c>
      <c r="B262" s="7" t="s">
        <v>12</v>
      </c>
      <c r="C262" s="7" t="s">
        <v>351</v>
      </c>
      <c r="D262" s="9">
        <v>46073</v>
      </c>
      <c r="E262" s="9">
        <v>46103</v>
      </c>
      <c r="F262" s="3">
        <v>4398.12</v>
      </c>
      <c r="G262" s="7" t="s">
        <v>367</v>
      </c>
    </row>
    <row r="263" spans="1:7" x14ac:dyDescent="0.3">
      <c r="A263" s="7" t="s">
        <v>630</v>
      </c>
      <c r="B263" s="7" t="s">
        <v>26</v>
      </c>
      <c r="C263" s="7" t="s">
        <v>349</v>
      </c>
      <c r="D263" s="9">
        <v>46016</v>
      </c>
      <c r="E263" s="9">
        <v>46046</v>
      </c>
      <c r="F263" s="3">
        <v>2564.44</v>
      </c>
      <c r="G263" s="7" t="s">
        <v>367</v>
      </c>
    </row>
    <row r="264" spans="1:7" x14ac:dyDescent="0.3">
      <c r="A264" s="7" t="s">
        <v>631</v>
      </c>
      <c r="B264" s="7" t="s">
        <v>47</v>
      </c>
      <c r="C264" s="7" t="s">
        <v>357</v>
      </c>
      <c r="D264" s="9">
        <v>46089</v>
      </c>
      <c r="E264" s="9">
        <v>46119</v>
      </c>
      <c r="F264" s="3">
        <v>4050.38</v>
      </c>
      <c r="G264" s="7" t="s">
        <v>369</v>
      </c>
    </row>
    <row r="265" spans="1:7" x14ac:dyDescent="0.3">
      <c r="A265" s="7" t="s">
        <v>632</v>
      </c>
      <c r="B265" s="7" t="s">
        <v>82</v>
      </c>
      <c r="C265" s="7" t="s">
        <v>351</v>
      </c>
      <c r="D265" s="9">
        <v>45993</v>
      </c>
      <c r="E265" s="9">
        <v>46023</v>
      </c>
      <c r="F265" s="3">
        <v>4785.91</v>
      </c>
      <c r="G265" s="7" t="s">
        <v>369</v>
      </c>
    </row>
    <row r="266" spans="1:7" x14ac:dyDescent="0.3">
      <c r="A266" s="7" t="s">
        <v>633</v>
      </c>
      <c r="B266" s="7" t="s">
        <v>79</v>
      </c>
      <c r="C266" s="7" t="s">
        <v>353</v>
      </c>
      <c r="D266" s="9">
        <v>46075</v>
      </c>
      <c r="E266" s="9">
        <v>46105</v>
      </c>
      <c r="F266" s="3">
        <v>2507.31</v>
      </c>
      <c r="G266" s="7" t="s">
        <v>367</v>
      </c>
    </row>
    <row r="267" spans="1:7" x14ac:dyDescent="0.3">
      <c r="A267" s="7" t="s">
        <v>634</v>
      </c>
      <c r="B267" s="7" t="s">
        <v>21</v>
      </c>
      <c r="C267" s="7" t="s">
        <v>353</v>
      </c>
      <c r="D267" s="9">
        <v>46068</v>
      </c>
      <c r="E267" s="9">
        <v>46098</v>
      </c>
      <c r="F267" s="3">
        <v>2474.89</v>
      </c>
      <c r="G267" s="7" t="s">
        <v>367</v>
      </c>
    </row>
    <row r="268" spans="1:7" x14ac:dyDescent="0.3">
      <c r="A268" s="7" t="s">
        <v>635</v>
      </c>
      <c r="B268" s="7" t="s">
        <v>87</v>
      </c>
      <c r="C268" s="7" t="s">
        <v>355</v>
      </c>
      <c r="D268" s="9">
        <v>45962</v>
      </c>
      <c r="E268" s="9">
        <v>45992</v>
      </c>
      <c r="F268" s="3">
        <v>12401.77</v>
      </c>
      <c r="G268" s="7" t="s">
        <v>369</v>
      </c>
    </row>
    <row r="269" spans="1:7" x14ac:dyDescent="0.3">
      <c r="A269" s="7" t="s">
        <v>636</v>
      </c>
      <c r="B269" s="7" t="s">
        <v>106</v>
      </c>
      <c r="C269" s="7" t="s">
        <v>349</v>
      </c>
      <c r="D269" s="9">
        <v>46018</v>
      </c>
      <c r="E269" s="9">
        <v>46048</v>
      </c>
      <c r="F269" s="3">
        <v>3116.29</v>
      </c>
      <c r="G269" s="7" t="s">
        <v>369</v>
      </c>
    </row>
    <row r="270" spans="1:7" x14ac:dyDescent="0.3">
      <c r="A270" s="7" t="s">
        <v>637</v>
      </c>
      <c r="B270" s="7" t="s">
        <v>28</v>
      </c>
      <c r="C270" s="7" t="s">
        <v>357</v>
      </c>
      <c r="D270" s="9">
        <v>46017</v>
      </c>
      <c r="E270" s="9">
        <v>46047</v>
      </c>
      <c r="F270" s="3">
        <v>3608.69</v>
      </c>
      <c r="G270" s="7" t="s">
        <v>367</v>
      </c>
    </row>
    <row r="271" spans="1:7" x14ac:dyDescent="0.3">
      <c r="A271" s="7" t="s">
        <v>638</v>
      </c>
      <c r="B271" s="7" t="s">
        <v>94</v>
      </c>
      <c r="C271" s="7" t="s">
        <v>357</v>
      </c>
      <c r="D271" s="9">
        <v>46059</v>
      </c>
      <c r="E271" s="9">
        <v>46089</v>
      </c>
      <c r="F271" s="3">
        <v>3680.64</v>
      </c>
      <c r="G271" s="7" t="s">
        <v>367</v>
      </c>
    </row>
    <row r="272" spans="1:7" x14ac:dyDescent="0.3">
      <c r="A272" s="7" t="s">
        <v>639</v>
      </c>
      <c r="B272" s="7" t="s">
        <v>63</v>
      </c>
      <c r="C272" s="7" t="s">
        <v>351</v>
      </c>
      <c r="D272" s="9">
        <v>45998</v>
      </c>
      <c r="E272" s="9">
        <v>46028</v>
      </c>
      <c r="F272" s="3">
        <v>4063.14</v>
      </c>
      <c r="G272" s="7" t="s">
        <v>367</v>
      </c>
    </row>
    <row r="273" spans="1:7" x14ac:dyDescent="0.3">
      <c r="A273" s="7" t="s">
        <v>640</v>
      </c>
      <c r="B273" s="7" t="s">
        <v>71</v>
      </c>
      <c r="C273" s="7" t="s">
        <v>353</v>
      </c>
      <c r="D273" s="9">
        <v>46040</v>
      </c>
      <c r="E273" s="9">
        <v>46070</v>
      </c>
      <c r="F273" s="3">
        <v>2418.7800000000002</v>
      </c>
      <c r="G273" s="7" t="s">
        <v>367</v>
      </c>
    </row>
    <row r="274" spans="1:7" x14ac:dyDescent="0.3">
      <c r="A274" s="7" t="s">
        <v>641</v>
      </c>
      <c r="B274" s="7" t="s">
        <v>97</v>
      </c>
      <c r="C274" s="7" t="s">
        <v>357</v>
      </c>
      <c r="D274" s="9">
        <v>46039</v>
      </c>
      <c r="E274" s="9">
        <v>46069</v>
      </c>
      <c r="F274" s="3">
        <v>4088.73</v>
      </c>
      <c r="G274" s="7" t="s">
        <v>367</v>
      </c>
    </row>
    <row r="275" spans="1:7" x14ac:dyDescent="0.3">
      <c r="A275" s="7" t="s">
        <v>642</v>
      </c>
      <c r="B275" s="7" t="s">
        <v>68</v>
      </c>
      <c r="C275" s="7" t="s">
        <v>351</v>
      </c>
      <c r="D275" s="9">
        <v>46066</v>
      </c>
      <c r="E275" s="9">
        <v>46096</v>
      </c>
      <c r="F275" s="3">
        <v>5037.37</v>
      </c>
      <c r="G275" s="7" t="s">
        <v>387</v>
      </c>
    </row>
    <row r="276" spans="1:7" x14ac:dyDescent="0.3">
      <c r="A276" s="7" t="s">
        <v>643</v>
      </c>
      <c r="B276" s="7" t="s">
        <v>50</v>
      </c>
      <c r="C276" s="7" t="s">
        <v>357</v>
      </c>
      <c r="D276" s="9">
        <v>46044</v>
      </c>
      <c r="E276" s="9">
        <v>46074</v>
      </c>
      <c r="F276" s="3">
        <v>3327.55</v>
      </c>
      <c r="G276" s="7" t="s">
        <v>369</v>
      </c>
    </row>
    <row r="277" spans="1:7" x14ac:dyDescent="0.3">
      <c r="A277" s="7" t="s">
        <v>644</v>
      </c>
      <c r="B277" s="7" t="s">
        <v>109</v>
      </c>
      <c r="C277" s="7" t="s">
        <v>357</v>
      </c>
      <c r="D277" s="9">
        <v>46092</v>
      </c>
      <c r="E277" s="9">
        <v>46122</v>
      </c>
      <c r="F277" s="3">
        <v>3296</v>
      </c>
      <c r="G277" s="7" t="s">
        <v>367</v>
      </c>
    </row>
    <row r="278" spans="1:7" x14ac:dyDescent="0.3">
      <c r="A278" s="7" t="s">
        <v>645</v>
      </c>
      <c r="B278" s="7" t="s">
        <v>42</v>
      </c>
      <c r="C278" s="7" t="s">
        <v>359</v>
      </c>
      <c r="D278" s="9">
        <v>46063</v>
      </c>
      <c r="E278" s="9">
        <v>46093</v>
      </c>
      <c r="F278" s="3">
        <v>1630.34</v>
      </c>
      <c r="G278" s="7" t="s">
        <v>387</v>
      </c>
    </row>
    <row r="279" spans="1:7" x14ac:dyDescent="0.3">
      <c r="A279" s="7" t="s">
        <v>646</v>
      </c>
      <c r="B279" s="7" t="s">
        <v>95</v>
      </c>
      <c r="C279" s="7" t="s">
        <v>357</v>
      </c>
      <c r="D279" s="9">
        <v>46061</v>
      </c>
      <c r="E279" s="9">
        <v>46091</v>
      </c>
      <c r="F279" s="3">
        <v>3217.9</v>
      </c>
      <c r="G279" s="7" t="s">
        <v>367</v>
      </c>
    </row>
    <row r="280" spans="1:7" x14ac:dyDescent="0.3">
      <c r="A280" s="7" t="s">
        <v>647</v>
      </c>
      <c r="B280" s="7" t="s">
        <v>108</v>
      </c>
      <c r="C280" s="7" t="s">
        <v>359</v>
      </c>
      <c r="D280" s="9">
        <v>46100</v>
      </c>
      <c r="E280" s="9">
        <v>46130</v>
      </c>
      <c r="F280" s="3">
        <v>1792.08</v>
      </c>
      <c r="G280" s="7" t="s">
        <v>367</v>
      </c>
    </row>
    <row r="281" spans="1:7" x14ac:dyDescent="0.3">
      <c r="A281" s="7" t="s">
        <v>648</v>
      </c>
      <c r="B281" s="7" t="s">
        <v>55</v>
      </c>
      <c r="C281" s="7" t="s">
        <v>359</v>
      </c>
      <c r="D281" s="9">
        <v>46052</v>
      </c>
      <c r="E281" s="9">
        <v>46082</v>
      </c>
      <c r="F281" s="3">
        <v>1636.89</v>
      </c>
      <c r="G281" s="7" t="s">
        <v>367</v>
      </c>
    </row>
    <row r="282" spans="1:7" x14ac:dyDescent="0.3">
      <c r="A282" s="7" t="s">
        <v>649</v>
      </c>
      <c r="B282" s="7" t="s">
        <v>43</v>
      </c>
      <c r="C282" s="7" t="s">
        <v>355</v>
      </c>
      <c r="D282" s="9">
        <v>46017</v>
      </c>
      <c r="E282" s="9">
        <v>46047</v>
      </c>
      <c r="F282" s="3">
        <v>13528.21</v>
      </c>
      <c r="G282" s="7" t="s">
        <v>367</v>
      </c>
    </row>
    <row r="283" spans="1:7" x14ac:dyDescent="0.3">
      <c r="A283" s="7" t="s">
        <v>650</v>
      </c>
      <c r="B283" s="7" t="s">
        <v>68</v>
      </c>
      <c r="C283" s="7" t="s">
        <v>359</v>
      </c>
      <c r="D283" s="9">
        <v>46041</v>
      </c>
      <c r="E283" s="9">
        <v>46071</v>
      </c>
      <c r="F283" s="3">
        <v>1496.9</v>
      </c>
      <c r="G283" s="7" t="s">
        <v>367</v>
      </c>
    </row>
    <row r="284" spans="1:7" x14ac:dyDescent="0.3">
      <c r="A284" s="7" t="s">
        <v>651</v>
      </c>
      <c r="B284" s="7" t="s">
        <v>96</v>
      </c>
      <c r="C284" s="7" t="s">
        <v>351</v>
      </c>
      <c r="D284" s="9">
        <v>46081</v>
      </c>
      <c r="E284" s="9">
        <v>46111</v>
      </c>
      <c r="F284" s="3">
        <v>4404.1400000000003</v>
      </c>
      <c r="G284" s="7" t="s">
        <v>369</v>
      </c>
    </row>
    <row r="285" spans="1:7" x14ac:dyDescent="0.3">
      <c r="A285" s="7" t="s">
        <v>652</v>
      </c>
      <c r="B285" s="7" t="s">
        <v>38</v>
      </c>
      <c r="C285" s="7" t="s">
        <v>353</v>
      </c>
      <c r="D285" s="9">
        <v>46042</v>
      </c>
      <c r="E285" s="9">
        <v>46072</v>
      </c>
      <c r="F285" s="3">
        <v>2137.27</v>
      </c>
      <c r="G285" s="7" t="s">
        <v>367</v>
      </c>
    </row>
    <row r="286" spans="1:7" x14ac:dyDescent="0.3">
      <c r="A286" s="7" t="s">
        <v>653</v>
      </c>
      <c r="B286" s="7" t="s">
        <v>13</v>
      </c>
      <c r="C286" s="7" t="s">
        <v>349</v>
      </c>
      <c r="D286" s="9">
        <v>46009</v>
      </c>
      <c r="E286" s="9">
        <v>46039</v>
      </c>
      <c r="F286" s="3">
        <v>3203.8</v>
      </c>
      <c r="G286" s="7" t="s">
        <v>367</v>
      </c>
    </row>
    <row r="287" spans="1:7" x14ac:dyDescent="0.3">
      <c r="A287" s="7" t="s">
        <v>654</v>
      </c>
      <c r="B287" s="7" t="s">
        <v>105</v>
      </c>
      <c r="C287" s="7" t="s">
        <v>349</v>
      </c>
      <c r="D287" s="9">
        <v>45988</v>
      </c>
      <c r="E287" s="9">
        <v>46018</v>
      </c>
      <c r="F287" s="3">
        <v>2895.96</v>
      </c>
      <c r="G287" s="7" t="s">
        <v>367</v>
      </c>
    </row>
    <row r="288" spans="1:7" x14ac:dyDescent="0.3">
      <c r="A288" s="7" t="s">
        <v>655</v>
      </c>
      <c r="B288" s="7" t="s">
        <v>119</v>
      </c>
      <c r="C288" s="7" t="s">
        <v>351</v>
      </c>
      <c r="D288" s="9">
        <v>46075</v>
      </c>
      <c r="E288" s="9">
        <v>46105</v>
      </c>
      <c r="F288" s="3">
        <v>4010.36</v>
      </c>
      <c r="G288" s="7" t="s">
        <v>367</v>
      </c>
    </row>
    <row r="289" spans="1:7" x14ac:dyDescent="0.3">
      <c r="A289" s="7" t="s">
        <v>656</v>
      </c>
      <c r="B289" s="7" t="s">
        <v>89</v>
      </c>
      <c r="C289" s="7" t="s">
        <v>355</v>
      </c>
      <c r="D289" s="9">
        <v>46046</v>
      </c>
      <c r="E289" s="9">
        <v>46076</v>
      </c>
      <c r="F289" s="3">
        <v>11891.75</v>
      </c>
      <c r="G289" s="7" t="s">
        <v>367</v>
      </c>
    </row>
    <row r="290" spans="1:7" x14ac:dyDescent="0.3">
      <c r="A290" s="7" t="s">
        <v>657</v>
      </c>
      <c r="B290" s="7" t="s">
        <v>75</v>
      </c>
      <c r="C290" s="7" t="s">
        <v>349</v>
      </c>
      <c r="D290" s="9">
        <v>45981</v>
      </c>
      <c r="E290" s="9">
        <v>46011</v>
      </c>
      <c r="F290" s="3">
        <v>3489.52</v>
      </c>
      <c r="G290" s="7" t="s">
        <v>367</v>
      </c>
    </row>
    <row r="291" spans="1:7" x14ac:dyDescent="0.3">
      <c r="A291" s="7" t="s">
        <v>658</v>
      </c>
      <c r="B291" s="7" t="s">
        <v>114</v>
      </c>
      <c r="C291" s="7" t="s">
        <v>359</v>
      </c>
      <c r="D291" s="9">
        <v>46028</v>
      </c>
      <c r="E291" s="9">
        <v>46058</v>
      </c>
      <c r="F291" s="3">
        <v>1960.64</v>
      </c>
      <c r="G291" s="7" t="s">
        <v>367</v>
      </c>
    </row>
    <row r="292" spans="1:7" x14ac:dyDescent="0.3">
      <c r="A292" s="7" t="s">
        <v>659</v>
      </c>
      <c r="B292" s="7" t="s">
        <v>30</v>
      </c>
      <c r="C292" s="7" t="s">
        <v>351</v>
      </c>
      <c r="D292" s="9">
        <v>46076</v>
      </c>
      <c r="E292" s="9">
        <v>46106</v>
      </c>
      <c r="F292" s="3">
        <v>5867.85</v>
      </c>
      <c r="G292" s="7" t="s">
        <v>369</v>
      </c>
    </row>
    <row r="293" spans="1:7" x14ac:dyDescent="0.3">
      <c r="A293" s="7" t="s">
        <v>660</v>
      </c>
      <c r="B293" s="7" t="s">
        <v>79</v>
      </c>
      <c r="C293" s="7" t="s">
        <v>359</v>
      </c>
      <c r="D293" s="9">
        <v>46110</v>
      </c>
      <c r="E293" s="9">
        <v>46140</v>
      </c>
      <c r="F293" s="3">
        <v>2132.73</v>
      </c>
      <c r="G293" s="7" t="s">
        <v>367</v>
      </c>
    </row>
    <row r="294" spans="1:7" x14ac:dyDescent="0.3">
      <c r="A294" s="7" t="s">
        <v>661</v>
      </c>
      <c r="B294" s="7" t="s">
        <v>89</v>
      </c>
      <c r="C294" s="7" t="s">
        <v>357</v>
      </c>
      <c r="D294" s="9">
        <v>46019</v>
      </c>
      <c r="E294" s="9">
        <v>46049</v>
      </c>
      <c r="F294" s="3">
        <v>2950.22</v>
      </c>
      <c r="G294" s="7" t="s">
        <v>367</v>
      </c>
    </row>
    <row r="295" spans="1:7" x14ac:dyDescent="0.3">
      <c r="A295" s="7" t="s">
        <v>662</v>
      </c>
      <c r="B295" s="7" t="s">
        <v>31</v>
      </c>
      <c r="C295" s="7" t="s">
        <v>357</v>
      </c>
      <c r="D295" s="9">
        <v>46030</v>
      </c>
      <c r="E295" s="9">
        <v>46060</v>
      </c>
      <c r="F295" s="3">
        <v>3534.05</v>
      </c>
      <c r="G295" s="7" t="s">
        <v>367</v>
      </c>
    </row>
    <row r="296" spans="1:7" x14ac:dyDescent="0.3">
      <c r="A296" s="7" t="s">
        <v>663</v>
      </c>
      <c r="B296" s="7" t="s">
        <v>98</v>
      </c>
      <c r="C296" s="7" t="s">
        <v>349</v>
      </c>
      <c r="D296" s="9">
        <v>46052</v>
      </c>
      <c r="E296" s="9">
        <v>46082</v>
      </c>
      <c r="F296" s="3">
        <v>2796.82</v>
      </c>
      <c r="G296" s="7" t="s">
        <v>367</v>
      </c>
    </row>
    <row r="297" spans="1:7" x14ac:dyDescent="0.3">
      <c r="A297" s="7" t="s">
        <v>664</v>
      </c>
      <c r="B297" s="7" t="s">
        <v>103</v>
      </c>
      <c r="C297" s="7" t="s">
        <v>351</v>
      </c>
      <c r="D297" s="9">
        <v>46052</v>
      </c>
      <c r="E297" s="9">
        <v>46082</v>
      </c>
      <c r="F297" s="3">
        <v>4028.17</v>
      </c>
      <c r="G297" s="7" t="s">
        <v>367</v>
      </c>
    </row>
    <row r="298" spans="1:7" x14ac:dyDescent="0.3">
      <c r="A298" s="7" t="s">
        <v>665</v>
      </c>
      <c r="B298" s="7" t="s">
        <v>112</v>
      </c>
      <c r="C298" s="7" t="s">
        <v>351</v>
      </c>
      <c r="D298" s="9">
        <v>45974</v>
      </c>
      <c r="E298" s="9">
        <v>46004</v>
      </c>
      <c r="F298" s="3">
        <v>4350.99</v>
      </c>
      <c r="G298" s="7" t="s">
        <v>369</v>
      </c>
    </row>
    <row r="299" spans="1:7" x14ac:dyDescent="0.3">
      <c r="A299" s="7" t="s">
        <v>666</v>
      </c>
      <c r="B299" s="7" t="s">
        <v>30</v>
      </c>
      <c r="C299" s="7" t="s">
        <v>355</v>
      </c>
      <c r="D299" s="9">
        <v>46006</v>
      </c>
      <c r="E299" s="9">
        <v>46036</v>
      </c>
      <c r="F299" s="3">
        <v>12073.35</v>
      </c>
      <c r="G299" s="7" t="s">
        <v>367</v>
      </c>
    </row>
    <row r="300" spans="1:7" x14ac:dyDescent="0.3">
      <c r="A300" s="7" t="s">
        <v>667</v>
      </c>
      <c r="B300" s="7" t="s">
        <v>37</v>
      </c>
      <c r="C300" s="7" t="s">
        <v>351</v>
      </c>
      <c r="D300" s="9">
        <v>46046</v>
      </c>
      <c r="E300" s="9">
        <v>46076</v>
      </c>
      <c r="F300" s="3">
        <v>4954.91</v>
      </c>
      <c r="G300" s="7" t="s">
        <v>367</v>
      </c>
    </row>
    <row r="301" spans="1:7" x14ac:dyDescent="0.3">
      <c r="A301" s="7" t="s">
        <v>668</v>
      </c>
      <c r="B301" s="7" t="s">
        <v>80</v>
      </c>
      <c r="C301" s="7" t="s">
        <v>355</v>
      </c>
      <c r="D301" s="9">
        <v>46086</v>
      </c>
      <c r="E301" s="9">
        <v>46116</v>
      </c>
      <c r="F301" s="3">
        <v>13218.03</v>
      </c>
      <c r="G301" s="7" t="s">
        <v>367</v>
      </c>
    </row>
    <row r="302" spans="1:7" x14ac:dyDescent="0.3">
      <c r="A302" s="7" t="s">
        <v>669</v>
      </c>
      <c r="B302" s="7" t="s">
        <v>92</v>
      </c>
      <c r="C302" s="7" t="s">
        <v>349</v>
      </c>
      <c r="D302" s="9">
        <v>46015</v>
      </c>
      <c r="E302" s="9">
        <v>46045</v>
      </c>
      <c r="F302" s="3">
        <v>2713.86</v>
      </c>
      <c r="G302" s="7" t="s">
        <v>367</v>
      </c>
    </row>
    <row r="303" spans="1:7" x14ac:dyDescent="0.3">
      <c r="A303" s="7" t="s">
        <v>670</v>
      </c>
      <c r="B303" s="7" t="s">
        <v>121</v>
      </c>
      <c r="C303" s="7" t="s">
        <v>349</v>
      </c>
      <c r="D303" s="9">
        <v>46014</v>
      </c>
      <c r="E303" s="9">
        <v>46044</v>
      </c>
      <c r="F303" s="3">
        <v>2958.47</v>
      </c>
      <c r="G303" s="7" t="s">
        <v>367</v>
      </c>
    </row>
    <row r="304" spans="1:7" x14ac:dyDescent="0.3">
      <c r="A304" s="7" t="s">
        <v>671</v>
      </c>
      <c r="B304" s="7" t="s">
        <v>44</v>
      </c>
      <c r="C304" s="7" t="s">
        <v>359</v>
      </c>
      <c r="D304" s="9">
        <v>45974</v>
      </c>
      <c r="E304" s="9">
        <v>46004</v>
      </c>
      <c r="F304" s="3">
        <v>1994.29</v>
      </c>
      <c r="G304" s="7" t="s">
        <v>367</v>
      </c>
    </row>
    <row r="305" spans="1:7" x14ac:dyDescent="0.3">
      <c r="A305" s="7" t="s">
        <v>672</v>
      </c>
      <c r="B305" s="7" t="s">
        <v>65</v>
      </c>
      <c r="C305" s="7" t="s">
        <v>353</v>
      </c>
      <c r="D305" s="9">
        <v>46055</v>
      </c>
      <c r="E305" s="9">
        <v>46085</v>
      </c>
      <c r="F305" s="3">
        <v>2614.63</v>
      </c>
      <c r="G305" s="7" t="s">
        <v>367</v>
      </c>
    </row>
    <row r="306" spans="1:7" x14ac:dyDescent="0.3">
      <c r="A306" s="7" t="s">
        <v>673</v>
      </c>
      <c r="B306" s="7" t="s">
        <v>123</v>
      </c>
      <c r="C306" s="7" t="s">
        <v>359</v>
      </c>
      <c r="D306" s="9">
        <v>46011</v>
      </c>
      <c r="E306" s="9">
        <v>46041</v>
      </c>
      <c r="F306" s="3">
        <v>2151.96</v>
      </c>
      <c r="G306" s="7" t="s">
        <v>367</v>
      </c>
    </row>
    <row r="307" spans="1:7" x14ac:dyDescent="0.3">
      <c r="A307" s="7" t="s">
        <v>674</v>
      </c>
      <c r="B307" s="7" t="s">
        <v>104</v>
      </c>
      <c r="C307" s="7" t="s">
        <v>355</v>
      </c>
      <c r="D307" s="9">
        <v>45964</v>
      </c>
      <c r="E307" s="9">
        <v>45994</v>
      </c>
      <c r="F307" s="3">
        <v>13235.28</v>
      </c>
      <c r="G307" s="7" t="s">
        <v>369</v>
      </c>
    </row>
    <row r="308" spans="1:7" x14ac:dyDescent="0.3">
      <c r="A308" s="7" t="s">
        <v>675</v>
      </c>
      <c r="B308" s="7" t="s">
        <v>74</v>
      </c>
      <c r="C308" s="7" t="s">
        <v>351</v>
      </c>
      <c r="D308" s="9">
        <v>46062</v>
      </c>
      <c r="E308" s="9">
        <v>46092</v>
      </c>
      <c r="F308" s="3">
        <v>5360.68</v>
      </c>
      <c r="G308" s="7" t="s">
        <v>367</v>
      </c>
    </row>
    <row r="309" spans="1:7" x14ac:dyDescent="0.3">
      <c r="A309" s="7" t="s">
        <v>676</v>
      </c>
      <c r="B309" s="7" t="s">
        <v>77</v>
      </c>
      <c r="C309" s="7" t="s">
        <v>359</v>
      </c>
      <c r="D309" s="9">
        <v>46002</v>
      </c>
      <c r="E309" s="9">
        <v>46032</v>
      </c>
      <c r="F309" s="3">
        <v>1700.49</v>
      </c>
      <c r="G309" s="7" t="s">
        <v>367</v>
      </c>
    </row>
    <row r="310" spans="1:7" x14ac:dyDescent="0.3">
      <c r="A310" s="7" t="s">
        <v>677</v>
      </c>
      <c r="B310" s="7" t="s">
        <v>116</v>
      </c>
      <c r="C310" s="7" t="s">
        <v>357</v>
      </c>
      <c r="D310" s="9">
        <v>46015</v>
      </c>
      <c r="E310" s="9">
        <v>46045</v>
      </c>
      <c r="F310" s="3">
        <v>3083.02</v>
      </c>
      <c r="G310" s="7" t="s">
        <v>367</v>
      </c>
    </row>
    <row r="311" spans="1:7" x14ac:dyDescent="0.3">
      <c r="A311" s="7" t="s">
        <v>678</v>
      </c>
      <c r="B311" s="7" t="s">
        <v>69</v>
      </c>
      <c r="C311" s="7" t="s">
        <v>357</v>
      </c>
      <c r="D311" s="9">
        <v>45988</v>
      </c>
      <c r="E311" s="9">
        <v>46018</v>
      </c>
      <c r="F311" s="3">
        <v>3418.58</v>
      </c>
      <c r="G311" s="7" t="s">
        <v>367</v>
      </c>
    </row>
    <row r="312" spans="1:7" x14ac:dyDescent="0.3">
      <c r="A312" s="7" t="s">
        <v>679</v>
      </c>
      <c r="B312" s="7" t="s">
        <v>72</v>
      </c>
      <c r="C312" s="7" t="s">
        <v>349</v>
      </c>
      <c r="D312" s="9">
        <v>45980</v>
      </c>
      <c r="E312" s="9">
        <v>46010</v>
      </c>
      <c r="F312" s="3">
        <v>3478.67</v>
      </c>
      <c r="G312" s="7" t="s">
        <v>367</v>
      </c>
    </row>
    <row r="313" spans="1:7" x14ac:dyDescent="0.3">
      <c r="A313" s="7" t="s">
        <v>680</v>
      </c>
      <c r="B313" s="7" t="s">
        <v>110</v>
      </c>
      <c r="C313" s="7" t="s">
        <v>355</v>
      </c>
      <c r="D313" s="9">
        <v>46108</v>
      </c>
      <c r="E313" s="9">
        <v>46138</v>
      </c>
      <c r="F313" s="3">
        <v>11792.63</v>
      </c>
      <c r="G313" s="7" t="s">
        <v>367</v>
      </c>
    </row>
    <row r="314" spans="1:7" x14ac:dyDescent="0.3">
      <c r="A314" s="7" t="s">
        <v>681</v>
      </c>
      <c r="B314" s="7" t="s">
        <v>102</v>
      </c>
      <c r="C314" s="7" t="s">
        <v>353</v>
      </c>
      <c r="D314" s="9">
        <v>46091</v>
      </c>
      <c r="E314" s="9">
        <v>46121</v>
      </c>
      <c r="F314" s="3">
        <v>2723.28</v>
      </c>
      <c r="G314" s="7" t="s">
        <v>369</v>
      </c>
    </row>
    <row r="315" spans="1:7" x14ac:dyDescent="0.3">
      <c r="A315" s="7" t="s">
        <v>682</v>
      </c>
      <c r="B315" s="7" t="s">
        <v>15</v>
      </c>
      <c r="C315" s="7" t="s">
        <v>351</v>
      </c>
      <c r="D315" s="9">
        <v>46110</v>
      </c>
      <c r="E315" s="9">
        <v>46140</v>
      </c>
      <c r="F315" s="3">
        <v>5156.62</v>
      </c>
      <c r="G315" s="7" t="s">
        <v>367</v>
      </c>
    </row>
    <row r="316" spans="1:7" x14ac:dyDescent="0.3">
      <c r="A316" s="7" t="s">
        <v>683</v>
      </c>
      <c r="B316" s="7" t="s">
        <v>59</v>
      </c>
      <c r="C316" s="7" t="s">
        <v>357</v>
      </c>
      <c r="D316" s="9">
        <v>46029</v>
      </c>
      <c r="E316" s="9">
        <v>46059</v>
      </c>
      <c r="F316" s="3">
        <v>4191.7700000000004</v>
      </c>
      <c r="G316" s="7" t="s">
        <v>367</v>
      </c>
    </row>
    <row r="317" spans="1:7" x14ac:dyDescent="0.3">
      <c r="A317" s="7" t="s">
        <v>684</v>
      </c>
      <c r="B317" s="7" t="s">
        <v>89</v>
      </c>
      <c r="C317" s="7" t="s">
        <v>351</v>
      </c>
      <c r="D317" s="9">
        <v>45967</v>
      </c>
      <c r="E317" s="9">
        <v>45997</v>
      </c>
      <c r="F317" s="3">
        <v>5537.94</v>
      </c>
      <c r="G317" s="7" t="s">
        <v>387</v>
      </c>
    </row>
    <row r="318" spans="1:7" x14ac:dyDescent="0.3">
      <c r="A318" s="7" t="s">
        <v>685</v>
      </c>
      <c r="B318" s="7" t="s">
        <v>123</v>
      </c>
      <c r="C318" s="7" t="s">
        <v>355</v>
      </c>
      <c r="D318" s="9">
        <v>46063</v>
      </c>
      <c r="E318" s="9">
        <v>46093</v>
      </c>
      <c r="F318" s="3">
        <v>11397.41</v>
      </c>
      <c r="G318" s="7" t="s">
        <v>369</v>
      </c>
    </row>
    <row r="319" spans="1:7" x14ac:dyDescent="0.3">
      <c r="A319" s="7" t="s">
        <v>686</v>
      </c>
      <c r="B319" s="7" t="s">
        <v>24</v>
      </c>
      <c r="C319" s="7" t="s">
        <v>355</v>
      </c>
      <c r="D319" s="9">
        <v>45977</v>
      </c>
      <c r="E319" s="9">
        <v>46007</v>
      </c>
      <c r="F319" s="3">
        <v>11403.1</v>
      </c>
      <c r="G319" s="7" t="s">
        <v>369</v>
      </c>
    </row>
    <row r="320" spans="1:7" x14ac:dyDescent="0.3">
      <c r="A320" s="7" t="s">
        <v>687</v>
      </c>
      <c r="B320" s="7" t="s">
        <v>57</v>
      </c>
      <c r="C320" s="7" t="s">
        <v>359</v>
      </c>
      <c r="D320" s="9">
        <v>45986</v>
      </c>
      <c r="E320" s="9">
        <v>46016</v>
      </c>
      <c r="F320" s="3">
        <v>2059.41</v>
      </c>
      <c r="G320" s="7" t="s">
        <v>387</v>
      </c>
    </row>
    <row r="321" spans="1:7" x14ac:dyDescent="0.3">
      <c r="A321" s="7" t="s">
        <v>688</v>
      </c>
      <c r="B321" s="7" t="s">
        <v>45</v>
      </c>
      <c r="C321" s="7" t="s">
        <v>357</v>
      </c>
      <c r="D321" s="9">
        <v>45986</v>
      </c>
      <c r="E321" s="9">
        <v>46016</v>
      </c>
      <c r="F321" s="3">
        <v>2978.29</v>
      </c>
      <c r="G321" s="7" t="s">
        <v>369</v>
      </c>
    </row>
    <row r="322" spans="1:7" x14ac:dyDescent="0.3">
      <c r="A322" s="7" t="s">
        <v>689</v>
      </c>
      <c r="B322" s="7" t="s">
        <v>112</v>
      </c>
      <c r="C322" s="7" t="s">
        <v>355</v>
      </c>
      <c r="D322" s="9">
        <v>46112</v>
      </c>
      <c r="E322" s="9">
        <v>46142</v>
      </c>
      <c r="F322" s="3">
        <v>12832.8</v>
      </c>
      <c r="G322" s="7" t="s">
        <v>367</v>
      </c>
    </row>
    <row r="323" spans="1:7" x14ac:dyDescent="0.3">
      <c r="A323" s="7" t="s">
        <v>690</v>
      </c>
      <c r="B323" s="7" t="s">
        <v>119</v>
      </c>
      <c r="C323" s="7" t="s">
        <v>351</v>
      </c>
      <c r="D323" s="9">
        <v>46053</v>
      </c>
      <c r="E323" s="9">
        <v>46083</v>
      </c>
      <c r="F323" s="3">
        <v>4495.0200000000004</v>
      </c>
      <c r="G323" s="7" t="s">
        <v>367</v>
      </c>
    </row>
    <row r="324" spans="1:7" x14ac:dyDescent="0.3">
      <c r="A324" s="7" t="s">
        <v>691</v>
      </c>
      <c r="B324" s="7" t="s">
        <v>105</v>
      </c>
      <c r="C324" s="7" t="s">
        <v>359</v>
      </c>
      <c r="D324" s="9">
        <v>45987</v>
      </c>
      <c r="E324" s="9">
        <v>46017</v>
      </c>
      <c r="F324" s="3">
        <v>1991.15</v>
      </c>
      <c r="G324" s="7" t="s">
        <v>367</v>
      </c>
    </row>
    <row r="325" spans="1:7" x14ac:dyDescent="0.3">
      <c r="A325" s="7" t="s">
        <v>692</v>
      </c>
      <c r="B325" s="7" t="s">
        <v>64</v>
      </c>
      <c r="C325" s="7" t="s">
        <v>349</v>
      </c>
      <c r="D325" s="9">
        <v>45994</v>
      </c>
      <c r="E325" s="9">
        <v>46024</v>
      </c>
      <c r="F325" s="3">
        <v>2688.8</v>
      </c>
      <c r="G325" s="7" t="s">
        <v>367</v>
      </c>
    </row>
    <row r="326" spans="1:7" x14ac:dyDescent="0.3">
      <c r="A326" s="7" t="s">
        <v>693</v>
      </c>
      <c r="B326" s="7" t="s">
        <v>12</v>
      </c>
      <c r="C326" s="7" t="s">
        <v>357</v>
      </c>
      <c r="D326" s="9">
        <v>46037</v>
      </c>
      <c r="E326" s="9">
        <v>46067</v>
      </c>
      <c r="F326" s="3">
        <v>3740.83</v>
      </c>
      <c r="G326" s="7" t="s">
        <v>367</v>
      </c>
    </row>
    <row r="327" spans="1:7" x14ac:dyDescent="0.3">
      <c r="A327" s="7" t="s">
        <v>694</v>
      </c>
      <c r="B327" s="7" t="s">
        <v>106</v>
      </c>
      <c r="C327" s="7" t="s">
        <v>355</v>
      </c>
      <c r="D327" s="9">
        <v>46008</v>
      </c>
      <c r="E327" s="9">
        <v>46038</v>
      </c>
      <c r="F327" s="3">
        <v>11707.02</v>
      </c>
      <c r="G327" s="7" t="s">
        <v>369</v>
      </c>
    </row>
    <row r="328" spans="1:7" x14ac:dyDescent="0.3">
      <c r="A328" s="7" t="s">
        <v>695</v>
      </c>
      <c r="B328" s="7" t="s">
        <v>100</v>
      </c>
      <c r="C328" s="7" t="s">
        <v>349</v>
      </c>
      <c r="D328" s="9">
        <v>45968</v>
      </c>
      <c r="E328" s="9">
        <v>45998</v>
      </c>
      <c r="F328" s="3">
        <v>2568.16</v>
      </c>
      <c r="G328" s="7" t="s">
        <v>369</v>
      </c>
    </row>
    <row r="329" spans="1:7" x14ac:dyDescent="0.3">
      <c r="A329" s="7" t="s">
        <v>696</v>
      </c>
      <c r="B329" s="7" t="s">
        <v>37</v>
      </c>
      <c r="C329" s="7" t="s">
        <v>357</v>
      </c>
      <c r="D329" s="9">
        <v>46041</v>
      </c>
      <c r="E329" s="9">
        <v>46071</v>
      </c>
      <c r="F329" s="3">
        <v>3246.47</v>
      </c>
      <c r="G329" s="7" t="s">
        <v>369</v>
      </c>
    </row>
    <row r="330" spans="1:7" x14ac:dyDescent="0.3">
      <c r="A330" s="7" t="s">
        <v>697</v>
      </c>
      <c r="B330" s="7" t="s">
        <v>45</v>
      </c>
      <c r="C330" s="7" t="s">
        <v>353</v>
      </c>
      <c r="D330" s="9">
        <v>46082</v>
      </c>
      <c r="E330" s="9">
        <v>46112</v>
      </c>
      <c r="F330" s="3">
        <v>2876.26</v>
      </c>
      <c r="G330" s="7" t="s">
        <v>367</v>
      </c>
    </row>
    <row r="331" spans="1:7" x14ac:dyDescent="0.3">
      <c r="A331" s="7" t="s">
        <v>698</v>
      </c>
      <c r="B331" s="7" t="s">
        <v>87</v>
      </c>
      <c r="C331" s="7" t="s">
        <v>353</v>
      </c>
      <c r="D331" s="9">
        <v>45979</v>
      </c>
      <c r="E331" s="9">
        <v>46009</v>
      </c>
      <c r="F331" s="3">
        <v>2060.96</v>
      </c>
      <c r="G331" s="7" t="s">
        <v>369</v>
      </c>
    </row>
    <row r="332" spans="1:7" x14ac:dyDescent="0.3">
      <c r="A332" s="7" t="s">
        <v>699</v>
      </c>
      <c r="B332" s="7" t="s">
        <v>89</v>
      </c>
      <c r="C332" s="7" t="s">
        <v>359</v>
      </c>
      <c r="D332" s="9">
        <v>45979</v>
      </c>
      <c r="E332" s="9">
        <v>46009</v>
      </c>
      <c r="F332" s="3">
        <v>1747.58</v>
      </c>
      <c r="G332" s="7" t="s">
        <v>387</v>
      </c>
    </row>
    <row r="333" spans="1:7" x14ac:dyDescent="0.3">
      <c r="A333" s="7" t="s">
        <v>700</v>
      </c>
      <c r="B333" s="7" t="s">
        <v>59</v>
      </c>
      <c r="C333" s="7" t="s">
        <v>359</v>
      </c>
      <c r="D333" s="9">
        <v>46039</v>
      </c>
      <c r="E333" s="9">
        <v>46069</v>
      </c>
      <c r="F333" s="3">
        <v>1714.43</v>
      </c>
      <c r="G333" s="7" t="s">
        <v>367</v>
      </c>
    </row>
    <row r="334" spans="1:7" x14ac:dyDescent="0.3">
      <c r="A334" s="7" t="s">
        <v>701</v>
      </c>
      <c r="B334" s="7" t="s">
        <v>115</v>
      </c>
      <c r="C334" s="7" t="s">
        <v>351</v>
      </c>
      <c r="D334" s="9">
        <v>46058</v>
      </c>
      <c r="E334" s="9">
        <v>46088</v>
      </c>
      <c r="F334" s="3">
        <v>4599.78</v>
      </c>
      <c r="G334" s="7" t="s">
        <v>367</v>
      </c>
    </row>
    <row r="335" spans="1:7" x14ac:dyDescent="0.3">
      <c r="A335" s="7" t="s">
        <v>702</v>
      </c>
      <c r="B335" s="7" t="s">
        <v>124</v>
      </c>
      <c r="C335" s="7" t="s">
        <v>351</v>
      </c>
      <c r="D335" s="9">
        <v>46083</v>
      </c>
      <c r="E335" s="9">
        <v>46113</v>
      </c>
      <c r="F335" s="3">
        <v>4601.47</v>
      </c>
      <c r="G335" s="7" t="s">
        <v>369</v>
      </c>
    </row>
    <row r="336" spans="1:7" x14ac:dyDescent="0.3">
      <c r="A336" s="7" t="s">
        <v>703</v>
      </c>
      <c r="B336" s="7" t="s">
        <v>56</v>
      </c>
      <c r="C336" s="7" t="s">
        <v>349</v>
      </c>
      <c r="D336" s="9">
        <v>45985</v>
      </c>
      <c r="E336" s="9">
        <v>46015</v>
      </c>
      <c r="F336" s="3">
        <v>3074.86</v>
      </c>
      <c r="G336" s="7" t="s">
        <v>367</v>
      </c>
    </row>
    <row r="337" spans="1:7" x14ac:dyDescent="0.3">
      <c r="A337" s="7" t="s">
        <v>704</v>
      </c>
      <c r="B337" s="7" t="s">
        <v>64</v>
      </c>
      <c r="C337" s="7" t="s">
        <v>351</v>
      </c>
      <c r="D337" s="9">
        <v>45998</v>
      </c>
      <c r="E337" s="9">
        <v>46028</v>
      </c>
      <c r="F337" s="3">
        <v>4509.99</v>
      </c>
      <c r="G337" s="7" t="s">
        <v>367</v>
      </c>
    </row>
    <row r="338" spans="1:7" x14ac:dyDescent="0.3">
      <c r="A338" s="7" t="s">
        <v>705</v>
      </c>
      <c r="B338" s="7" t="s">
        <v>55</v>
      </c>
      <c r="C338" s="7" t="s">
        <v>353</v>
      </c>
      <c r="D338" s="9">
        <v>46093</v>
      </c>
      <c r="E338" s="9">
        <v>46123</v>
      </c>
      <c r="F338" s="3">
        <v>2092.46</v>
      </c>
      <c r="G338" s="7" t="s">
        <v>367</v>
      </c>
    </row>
    <row r="339" spans="1:7" x14ac:dyDescent="0.3">
      <c r="A339" s="7" t="s">
        <v>706</v>
      </c>
      <c r="B339" s="7" t="s">
        <v>104</v>
      </c>
      <c r="C339" s="7" t="s">
        <v>359</v>
      </c>
      <c r="D339" s="9">
        <v>46002</v>
      </c>
      <c r="E339" s="9">
        <v>46032</v>
      </c>
      <c r="F339" s="3">
        <v>1875.58</v>
      </c>
      <c r="G339" s="7" t="s">
        <v>367</v>
      </c>
    </row>
    <row r="340" spans="1:7" x14ac:dyDescent="0.3">
      <c r="A340" s="7" t="s">
        <v>707</v>
      </c>
      <c r="B340" s="7" t="s">
        <v>118</v>
      </c>
      <c r="C340" s="7" t="s">
        <v>357</v>
      </c>
      <c r="D340" s="9">
        <v>46014</v>
      </c>
      <c r="E340" s="9">
        <v>46044</v>
      </c>
      <c r="F340" s="3">
        <v>3814.03</v>
      </c>
      <c r="G340" s="7" t="s">
        <v>367</v>
      </c>
    </row>
    <row r="341" spans="1:7" x14ac:dyDescent="0.3">
      <c r="A341" s="7" t="s">
        <v>708</v>
      </c>
      <c r="B341" s="7" t="s">
        <v>101</v>
      </c>
      <c r="C341" s="7" t="s">
        <v>353</v>
      </c>
      <c r="D341" s="9">
        <v>46045</v>
      </c>
      <c r="E341" s="9">
        <v>46075</v>
      </c>
      <c r="F341" s="3">
        <v>2303.19</v>
      </c>
      <c r="G341" s="7" t="s">
        <v>369</v>
      </c>
    </row>
    <row r="342" spans="1:7" x14ac:dyDescent="0.3">
      <c r="A342" s="7" t="s">
        <v>709</v>
      </c>
      <c r="B342" s="7" t="s">
        <v>96</v>
      </c>
      <c r="C342" s="7" t="s">
        <v>349</v>
      </c>
      <c r="D342" s="9">
        <v>46097</v>
      </c>
      <c r="E342" s="9">
        <v>46127</v>
      </c>
      <c r="F342" s="3">
        <v>3296.26</v>
      </c>
      <c r="G342" s="7" t="s">
        <v>369</v>
      </c>
    </row>
    <row r="343" spans="1:7" x14ac:dyDescent="0.3">
      <c r="A343" s="7" t="s">
        <v>710</v>
      </c>
      <c r="B343" s="7" t="s">
        <v>106</v>
      </c>
      <c r="C343" s="7" t="s">
        <v>357</v>
      </c>
      <c r="D343" s="9">
        <v>46067</v>
      </c>
      <c r="E343" s="9">
        <v>46097</v>
      </c>
      <c r="F343" s="3">
        <v>3785.28</v>
      </c>
      <c r="G343" s="7" t="s">
        <v>367</v>
      </c>
    </row>
    <row r="344" spans="1:7" x14ac:dyDescent="0.3">
      <c r="A344" s="7" t="s">
        <v>711</v>
      </c>
      <c r="B344" s="7" t="s">
        <v>40</v>
      </c>
      <c r="C344" s="7" t="s">
        <v>353</v>
      </c>
      <c r="D344" s="9">
        <v>46008</v>
      </c>
      <c r="E344" s="9">
        <v>46038</v>
      </c>
      <c r="F344" s="3">
        <v>2380.66</v>
      </c>
      <c r="G344" s="7" t="s">
        <v>367</v>
      </c>
    </row>
    <row r="345" spans="1:7" x14ac:dyDescent="0.3">
      <c r="A345" s="7" t="s">
        <v>712</v>
      </c>
      <c r="B345" s="7" t="s">
        <v>99</v>
      </c>
      <c r="C345" s="7" t="s">
        <v>353</v>
      </c>
      <c r="D345" s="9">
        <v>46010</v>
      </c>
      <c r="E345" s="9">
        <v>46040</v>
      </c>
      <c r="F345" s="3">
        <v>2512.8200000000002</v>
      </c>
      <c r="G345" s="7" t="s">
        <v>367</v>
      </c>
    </row>
    <row r="346" spans="1:7" x14ac:dyDescent="0.3">
      <c r="A346" s="7" t="s">
        <v>713</v>
      </c>
      <c r="B346" s="7" t="s">
        <v>59</v>
      </c>
      <c r="C346" s="7" t="s">
        <v>355</v>
      </c>
      <c r="D346" s="9">
        <v>45996</v>
      </c>
      <c r="E346" s="9">
        <v>46026</v>
      </c>
      <c r="F346" s="3">
        <v>13255.82</v>
      </c>
      <c r="G346" s="7" t="s">
        <v>367</v>
      </c>
    </row>
    <row r="347" spans="1:7" x14ac:dyDescent="0.3">
      <c r="A347" s="7" t="s">
        <v>714</v>
      </c>
      <c r="B347" s="7" t="s">
        <v>40</v>
      </c>
      <c r="C347" s="7" t="s">
        <v>349</v>
      </c>
      <c r="D347" s="9">
        <v>45990</v>
      </c>
      <c r="E347" s="9">
        <v>46020</v>
      </c>
      <c r="F347" s="3">
        <v>3075.03</v>
      </c>
      <c r="G347" s="7" t="s">
        <v>367</v>
      </c>
    </row>
    <row r="348" spans="1:7" x14ac:dyDescent="0.3">
      <c r="A348" s="7" t="s">
        <v>715</v>
      </c>
      <c r="B348" s="7" t="s">
        <v>26</v>
      </c>
      <c r="C348" s="7" t="s">
        <v>357</v>
      </c>
      <c r="D348" s="9">
        <v>46058</v>
      </c>
      <c r="E348" s="9">
        <v>46088</v>
      </c>
      <c r="F348" s="3">
        <v>4108.66</v>
      </c>
      <c r="G348" s="7" t="s">
        <v>367</v>
      </c>
    </row>
    <row r="349" spans="1:7" x14ac:dyDescent="0.3">
      <c r="A349" s="7" t="s">
        <v>716</v>
      </c>
      <c r="B349" s="7" t="s">
        <v>70</v>
      </c>
      <c r="C349" s="7" t="s">
        <v>351</v>
      </c>
      <c r="D349" s="9">
        <v>45993</v>
      </c>
      <c r="E349" s="9">
        <v>46023</v>
      </c>
      <c r="F349" s="3">
        <v>4659.7299999999996</v>
      </c>
      <c r="G349" s="7" t="s">
        <v>369</v>
      </c>
    </row>
    <row r="350" spans="1:7" x14ac:dyDescent="0.3">
      <c r="A350" s="7" t="s">
        <v>717</v>
      </c>
      <c r="B350" s="7" t="s">
        <v>112</v>
      </c>
      <c r="C350" s="7" t="s">
        <v>357</v>
      </c>
      <c r="D350" s="9">
        <v>46009</v>
      </c>
      <c r="E350" s="9">
        <v>46039</v>
      </c>
      <c r="F350" s="3">
        <v>3716.45</v>
      </c>
      <c r="G350" s="7" t="s">
        <v>367</v>
      </c>
    </row>
    <row r="351" spans="1:7" x14ac:dyDescent="0.3">
      <c r="A351" s="7" t="s">
        <v>718</v>
      </c>
      <c r="B351" s="7" t="s">
        <v>28</v>
      </c>
      <c r="C351" s="7" t="s">
        <v>355</v>
      </c>
      <c r="D351" s="9">
        <v>46064</v>
      </c>
      <c r="E351" s="9">
        <v>46094</v>
      </c>
      <c r="F351" s="3">
        <v>14239.24</v>
      </c>
      <c r="G351" s="7" t="s">
        <v>367</v>
      </c>
    </row>
    <row r="352" spans="1:7" x14ac:dyDescent="0.3">
      <c r="A352" s="7" t="s">
        <v>719</v>
      </c>
      <c r="B352" s="7" t="s">
        <v>69</v>
      </c>
      <c r="C352" s="7" t="s">
        <v>359</v>
      </c>
      <c r="D352" s="9">
        <v>46050</v>
      </c>
      <c r="E352" s="9">
        <v>46080</v>
      </c>
      <c r="F352" s="3">
        <v>2012.38</v>
      </c>
      <c r="G352" s="7" t="s">
        <v>367</v>
      </c>
    </row>
    <row r="353" spans="1:7" x14ac:dyDescent="0.3">
      <c r="A353" s="7" t="s">
        <v>720</v>
      </c>
      <c r="B353" s="7" t="s">
        <v>74</v>
      </c>
      <c r="C353" s="7" t="s">
        <v>351</v>
      </c>
      <c r="D353" s="9">
        <v>46040</v>
      </c>
      <c r="E353" s="9">
        <v>46070</v>
      </c>
      <c r="F353" s="3">
        <v>5833.8</v>
      </c>
      <c r="G353" s="7" t="s">
        <v>387</v>
      </c>
    </row>
    <row r="354" spans="1:7" x14ac:dyDescent="0.3">
      <c r="A354" s="7" t="s">
        <v>721</v>
      </c>
      <c r="B354" s="7" t="s">
        <v>7</v>
      </c>
      <c r="C354" s="7" t="s">
        <v>349</v>
      </c>
      <c r="D354" s="9">
        <v>46101</v>
      </c>
      <c r="E354" s="9">
        <v>46131</v>
      </c>
      <c r="F354" s="3">
        <v>3406.88</v>
      </c>
      <c r="G354" s="7" t="s">
        <v>367</v>
      </c>
    </row>
    <row r="355" spans="1:7" x14ac:dyDescent="0.3">
      <c r="A355" s="7" t="s">
        <v>722</v>
      </c>
      <c r="B355" s="7" t="s">
        <v>26</v>
      </c>
      <c r="C355" s="7" t="s">
        <v>355</v>
      </c>
      <c r="D355" s="9">
        <v>45974</v>
      </c>
      <c r="E355" s="9">
        <v>46004</v>
      </c>
      <c r="F355" s="3">
        <v>10259.959999999999</v>
      </c>
      <c r="G355" s="7" t="s">
        <v>367</v>
      </c>
    </row>
    <row r="356" spans="1:7" x14ac:dyDescent="0.3">
      <c r="A356" s="7" t="s">
        <v>723</v>
      </c>
      <c r="B356" s="7" t="s">
        <v>88</v>
      </c>
      <c r="C356" s="7" t="s">
        <v>349</v>
      </c>
      <c r="D356" s="9">
        <v>46044</v>
      </c>
      <c r="E356" s="9">
        <v>46074</v>
      </c>
      <c r="F356" s="3">
        <v>2662.46</v>
      </c>
      <c r="G356" s="7" t="s">
        <v>367</v>
      </c>
    </row>
    <row r="357" spans="1:7" x14ac:dyDescent="0.3">
      <c r="A357" s="7" t="s">
        <v>724</v>
      </c>
      <c r="B357" s="7" t="s">
        <v>7</v>
      </c>
      <c r="C357" s="7" t="s">
        <v>359</v>
      </c>
      <c r="D357" s="9">
        <v>46102</v>
      </c>
      <c r="E357" s="9">
        <v>46132</v>
      </c>
      <c r="F357" s="3">
        <v>2112.41</v>
      </c>
      <c r="G357" s="7" t="s">
        <v>367</v>
      </c>
    </row>
    <row r="358" spans="1:7" x14ac:dyDescent="0.3">
      <c r="A358" s="7" t="s">
        <v>725</v>
      </c>
      <c r="B358" s="7" t="s">
        <v>42</v>
      </c>
      <c r="C358" s="7" t="s">
        <v>357</v>
      </c>
      <c r="D358" s="9">
        <v>46011</v>
      </c>
      <c r="E358" s="9">
        <v>46041</v>
      </c>
      <c r="F358" s="3">
        <v>3572.3</v>
      </c>
      <c r="G358" s="7" t="s">
        <v>367</v>
      </c>
    </row>
    <row r="359" spans="1:7" x14ac:dyDescent="0.3">
      <c r="A359" s="7" t="s">
        <v>726</v>
      </c>
      <c r="B359" s="7" t="s">
        <v>93</v>
      </c>
      <c r="C359" s="7" t="s">
        <v>357</v>
      </c>
      <c r="D359" s="9">
        <v>45992</v>
      </c>
      <c r="E359" s="9">
        <v>46022</v>
      </c>
      <c r="F359" s="3">
        <v>4168.47</v>
      </c>
      <c r="G359" s="7" t="s">
        <v>369</v>
      </c>
    </row>
    <row r="360" spans="1:7" x14ac:dyDescent="0.3">
      <c r="A360" s="7" t="s">
        <v>727</v>
      </c>
      <c r="B360" s="7" t="s">
        <v>74</v>
      </c>
      <c r="C360" s="7" t="s">
        <v>355</v>
      </c>
      <c r="D360" s="9">
        <v>46085</v>
      </c>
      <c r="E360" s="9">
        <v>46115</v>
      </c>
      <c r="F360" s="3">
        <v>13469.6</v>
      </c>
      <c r="G360" s="7" t="s">
        <v>369</v>
      </c>
    </row>
    <row r="361" spans="1:7" x14ac:dyDescent="0.3">
      <c r="A361" s="7" t="s">
        <v>728</v>
      </c>
      <c r="B361" s="7" t="s">
        <v>52</v>
      </c>
      <c r="C361" s="7" t="s">
        <v>351</v>
      </c>
      <c r="D361" s="9">
        <v>46057</v>
      </c>
      <c r="E361" s="9">
        <v>46087</v>
      </c>
      <c r="F361" s="3">
        <v>4481.9399999999996</v>
      </c>
      <c r="G361" s="7" t="s">
        <v>367</v>
      </c>
    </row>
    <row r="362" spans="1:7" x14ac:dyDescent="0.3">
      <c r="A362" s="7" t="s">
        <v>729</v>
      </c>
      <c r="B362" s="7" t="s">
        <v>65</v>
      </c>
      <c r="C362" s="7" t="s">
        <v>353</v>
      </c>
      <c r="D362" s="9">
        <v>46112</v>
      </c>
      <c r="E362" s="9">
        <v>46142</v>
      </c>
      <c r="F362" s="3">
        <v>2794.94</v>
      </c>
      <c r="G362" s="7" t="s">
        <v>387</v>
      </c>
    </row>
    <row r="363" spans="1:7" x14ac:dyDescent="0.3">
      <c r="A363" s="7" t="s">
        <v>730</v>
      </c>
      <c r="B363" s="7" t="s">
        <v>112</v>
      </c>
      <c r="C363" s="7" t="s">
        <v>357</v>
      </c>
      <c r="D363" s="9">
        <v>46046</v>
      </c>
      <c r="E363" s="9">
        <v>46076</v>
      </c>
      <c r="F363" s="3">
        <v>3140.49</v>
      </c>
      <c r="G363" s="7" t="s">
        <v>367</v>
      </c>
    </row>
    <row r="364" spans="1:7" x14ac:dyDescent="0.3">
      <c r="A364" s="7" t="s">
        <v>731</v>
      </c>
      <c r="B364" s="7" t="s">
        <v>18</v>
      </c>
      <c r="C364" s="7" t="s">
        <v>349</v>
      </c>
      <c r="D364" s="9">
        <v>46110</v>
      </c>
      <c r="E364" s="9">
        <v>46140</v>
      </c>
      <c r="F364" s="3">
        <v>3184.48</v>
      </c>
      <c r="G364" s="7" t="s">
        <v>369</v>
      </c>
    </row>
    <row r="365" spans="1:7" x14ac:dyDescent="0.3">
      <c r="A365" s="7" t="s">
        <v>732</v>
      </c>
      <c r="B365" s="7" t="s">
        <v>8</v>
      </c>
      <c r="C365" s="7" t="s">
        <v>355</v>
      </c>
      <c r="D365" s="9">
        <v>46073</v>
      </c>
      <c r="E365" s="9">
        <v>46103</v>
      </c>
      <c r="F365" s="3">
        <v>11420.47</v>
      </c>
      <c r="G365" s="7" t="s">
        <v>367</v>
      </c>
    </row>
    <row r="366" spans="1:7" x14ac:dyDescent="0.3">
      <c r="A366" s="7" t="s">
        <v>733</v>
      </c>
      <c r="B366" s="7" t="s">
        <v>49</v>
      </c>
      <c r="C366" s="7" t="s">
        <v>359</v>
      </c>
      <c r="D366" s="9">
        <v>46035</v>
      </c>
      <c r="E366" s="9">
        <v>46065</v>
      </c>
      <c r="F366" s="3">
        <v>1563.4</v>
      </c>
      <c r="G366" s="7" t="s">
        <v>367</v>
      </c>
    </row>
    <row r="367" spans="1:7" x14ac:dyDescent="0.3">
      <c r="A367" s="7" t="s">
        <v>734</v>
      </c>
      <c r="B367" s="7" t="s">
        <v>36</v>
      </c>
      <c r="C367" s="7" t="s">
        <v>357</v>
      </c>
      <c r="D367" s="9">
        <v>46089</v>
      </c>
      <c r="E367" s="9">
        <v>46119</v>
      </c>
      <c r="F367" s="3">
        <v>4168.26</v>
      </c>
      <c r="G367" s="7" t="s">
        <v>369</v>
      </c>
    </row>
    <row r="368" spans="1:7" x14ac:dyDescent="0.3">
      <c r="A368" s="7" t="s">
        <v>735</v>
      </c>
      <c r="B368" s="7" t="s">
        <v>12</v>
      </c>
      <c r="C368" s="7" t="s">
        <v>351</v>
      </c>
      <c r="D368" s="9">
        <v>46029</v>
      </c>
      <c r="E368" s="9">
        <v>46059</v>
      </c>
      <c r="F368" s="3">
        <v>5802.55</v>
      </c>
      <c r="G368" s="7" t="s">
        <v>367</v>
      </c>
    </row>
    <row r="369" spans="1:7" x14ac:dyDescent="0.3">
      <c r="A369" s="7" t="s">
        <v>736</v>
      </c>
      <c r="B369" s="7" t="s">
        <v>11</v>
      </c>
      <c r="C369" s="7" t="s">
        <v>349</v>
      </c>
      <c r="D369" s="9">
        <v>46040</v>
      </c>
      <c r="E369" s="9">
        <v>46070</v>
      </c>
      <c r="F369" s="3">
        <v>3221.31</v>
      </c>
      <c r="G369" s="7" t="s">
        <v>367</v>
      </c>
    </row>
    <row r="370" spans="1:7" x14ac:dyDescent="0.3">
      <c r="A370" s="7" t="s">
        <v>737</v>
      </c>
      <c r="B370" s="7" t="s">
        <v>82</v>
      </c>
      <c r="C370" s="7" t="s">
        <v>351</v>
      </c>
      <c r="D370" s="9">
        <v>46010</v>
      </c>
      <c r="E370" s="9">
        <v>46040</v>
      </c>
      <c r="F370" s="3">
        <v>5857.53</v>
      </c>
      <c r="G370" s="7" t="s">
        <v>387</v>
      </c>
    </row>
    <row r="371" spans="1:7" x14ac:dyDescent="0.3">
      <c r="A371" s="7" t="s">
        <v>738</v>
      </c>
      <c r="B371" s="7" t="s">
        <v>45</v>
      </c>
      <c r="C371" s="7" t="s">
        <v>351</v>
      </c>
      <c r="D371" s="9">
        <v>46066</v>
      </c>
      <c r="E371" s="9">
        <v>46096</v>
      </c>
      <c r="F371" s="3">
        <v>5504.51</v>
      </c>
      <c r="G371" s="7" t="s">
        <v>369</v>
      </c>
    </row>
    <row r="372" spans="1:7" x14ac:dyDescent="0.3">
      <c r="A372" s="7" t="s">
        <v>739</v>
      </c>
      <c r="B372" s="7" t="s">
        <v>76</v>
      </c>
      <c r="C372" s="7" t="s">
        <v>351</v>
      </c>
      <c r="D372" s="9">
        <v>46033</v>
      </c>
      <c r="E372" s="9">
        <v>46063</v>
      </c>
      <c r="F372" s="3">
        <v>5127.92</v>
      </c>
      <c r="G372" s="7" t="s">
        <v>367</v>
      </c>
    </row>
    <row r="373" spans="1:7" x14ac:dyDescent="0.3">
      <c r="A373" s="7" t="s">
        <v>740</v>
      </c>
      <c r="B373" s="7" t="s">
        <v>95</v>
      </c>
      <c r="C373" s="7" t="s">
        <v>353</v>
      </c>
      <c r="D373" s="9">
        <v>46080</v>
      </c>
      <c r="E373" s="9">
        <v>46110</v>
      </c>
      <c r="F373" s="3">
        <v>2383.85</v>
      </c>
      <c r="G373" s="7" t="s">
        <v>369</v>
      </c>
    </row>
    <row r="374" spans="1:7" x14ac:dyDescent="0.3">
      <c r="A374" s="7" t="s">
        <v>741</v>
      </c>
      <c r="B374" s="7" t="s">
        <v>62</v>
      </c>
      <c r="C374" s="7" t="s">
        <v>359</v>
      </c>
      <c r="D374" s="9">
        <v>46027</v>
      </c>
      <c r="E374" s="9">
        <v>46057</v>
      </c>
      <c r="F374" s="3">
        <v>1496.47</v>
      </c>
      <c r="G374" s="7" t="s">
        <v>367</v>
      </c>
    </row>
    <row r="375" spans="1:7" x14ac:dyDescent="0.3">
      <c r="A375" s="7" t="s">
        <v>742</v>
      </c>
      <c r="B375" s="7" t="s">
        <v>83</v>
      </c>
      <c r="C375" s="7" t="s">
        <v>351</v>
      </c>
      <c r="D375" s="9">
        <v>45978</v>
      </c>
      <c r="E375" s="9">
        <v>46008</v>
      </c>
      <c r="F375" s="3">
        <v>5677.35</v>
      </c>
      <c r="G375" s="7" t="s">
        <v>369</v>
      </c>
    </row>
    <row r="376" spans="1:7" x14ac:dyDescent="0.3">
      <c r="A376" s="7" t="s">
        <v>743</v>
      </c>
      <c r="B376" s="7" t="s">
        <v>107</v>
      </c>
      <c r="C376" s="7" t="s">
        <v>355</v>
      </c>
      <c r="D376" s="9">
        <v>46016</v>
      </c>
      <c r="E376" s="9">
        <v>46046</v>
      </c>
      <c r="F376" s="3">
        <v>14250.82</v>
      </c>
      <c r="G376" s="7" t="s">
        <v>367</v>
      </c>
    </row>
    <row r="377" spans="1:7" x14ac:dyDescent="0.3">
      <c r="A377" s="7" t="s">
        <v>744</v>
      </c>
      <c r="B377" s="7" t="s">
        <v>62</v>
      </c>
      <c r="C377" s="7" t="s">
        <v>355</v>
      </c>
      <c r="D377" s="9">
        <v>45965</v>
      </c>
      <c r="E377" s="9">
        <v>45995</v>
      </c>
      <c r="F377" s="3">
        <v>11954.9</v>
      </c>
      <c r="G377" s="7" t="s">
        <v>369</v>
      </c>
    </row>
    <row r="378" spans="1:7" x14ac:dyDescent="0.3">
      <c r="A378" s="7" t="s">
        <v>745</v>
      </c>
      <c r="B378" s="7" t="s">
        <v>86</v>
      </c>
      <c r="C378" s="7" t="s">
        <v>351</v>
      </c>
      <c r="D378" s="9">
        <v>45981</v>
      </c>
      <c r="E378" s="9">
        <v>46011</v>
      </c>
      <c r="F378" s="3">
        <v>5359.39</v>
      </c>
      <c r="G378" s="7" t="s">
        <v>367</v>
      </c>
    </row>
    <row r="379" spans="1:7" x14ac:dyDescent="0.3">
      <c r="A379" s="7" t="s">
        <v>746</v>
      </c>
      <c r="B379" s="7" t="s">
        <v>26</v>
      </c>
      <c r="C379" s="7" t="s">
        <v>353</v>
      </c>
      <c r="D379" s="9">
        <v>46087</v>
      </c>
      <c r="E379" s="9">
        <v>46117</v>
      </c>
      <c r="F379" s="3">
        <v>2798.06</v>
      </c>
      <c r="G379" s="7" t="s">
        <v>367</v>
      </c>
    </row>
    <row r="380" spans="1:7" x14ac:dyDescent="0.3">
      <c r="A380" s="7" t="s">
        <v>747</v>
      </c>
      <c r="B380" s="7" t="s">
        <v>47</v>
      </c>
      <c r="C380" s="7" t="s">
        <v>355</v>
      </c>
      <c r="D380" s="9">
        <v>46022</v>
      </c>
      <c r="E380" s="9">
        <v>46052</v>
      </c>
      <c r="F380" s="3">
        <v>13016.05</v>
      </c>
      <c r="G380" s="7" t="s">
        <v>367</v>
      </c>
    </row>
    <row r="381" spans="1:7" x14ac:dyDescent="0.3">
      <c r="A381" s="7" t="s">
        <v>748</v>
      </c>
      <c r="B381" s="7" t="s">
        <v>104</v>
      </c>
      <c r="C381" s="7" t="s">
        <v>353</v>
      </c>
      <c r="D381" s="9">
        <v>46004</v>
      </c>
      <c r="E381" s="9">
        <v>46034</v>
      </c>
      <c r="F381" s="3">
        <v>2106.5500000000002</v>
      </c>
      <c r="G381" s="7" t="s">
        <v>367</v>
      </c>
    </row>
    <row r="382" spans="1:7" x14ac:dyDescent="0.3">
      <c r="A382" s="7" t="s">
        <v>749</v>
      </c>
      <c r="B382" s="7" t="s">
        <v>78</v>
      </c>
      <c r="C382" s="7" t="s">
        <v>353</v>
      </c>
      <c r="D382" s="9">
        <v>46052</v>
      </c>
      <c r="E382" s="9">
        <v>46082</v>
      </c>
      <c r="F382" s="3">
        <v>2102.23</v>
      </c>
      <c r="G382" s="7" t="s">
        <v>367</v>
      </c>
    </row>
    <row r="383" spans="1:7" x14ac:dyDescent="0.3">
      <c r="A383" s="7" t="s">
        <v>750</v>
      </c>
      <c r="B383" s="7" t="s">
        <v>77</v>
      </c>
      <c r="C383" s="7" t="s">
        <v>357</v>
      </c>
      <c r="D383" s="9">
        <v>45962</v>
      </c>
      <c r="E383" s="9">
        <v>45992</v>
      </c>
      <c r="F383" s="3">
        <v>3517.42</v>
      </c>
      <c r="G383" s="7" t="s">
        <v>367</v>
      </c>
    </row>
    <row r="384" spans="1:7" x14ac:dyDescent="0.3">
      <c r="A384" s="7" t="s">
        <v>751</v>
      </c>
      <c r="B384" s="7" t="s">
        <v>8</v>
      </c>
      <c r="C384" s="7" t="s">
        <v>349</v>
      </c>
      <c r="D384" s="9">
        <v>46015</v>
      </c>
      <c r="E384" s="9">
        <v>46045</v>
      </c>
      <c r="F384" s="3">
        <v>3116.31</v>
      </c>
      <c r="G384" s="7" t="s">
        <v>369</v>
      </c>
    </row>
    <row r="385" spans="1:7" x14ac:dyDescent="0.3">
      <c r="A385" s="7" t="s">
        <v>752</v>
      </c>
      <c r="B385" s="7" t="s">
        <v>78</v>
      </c>
      <c r="C385" s="7" t="s">
        <v>353</v>
      </c>
      <c r="D385" s="9">
        <v>46037</v>
      </c>
      <c r="E385" s="9">
        <v>46067</v>
      </c>
      <c r="F385" s="3">
        <v>2413.81</v>
      </c>
      <c r="G385" s="7" t="s">
        <v>367</v>
      </c>
    </row>
    <row r="386" spans="1:7" x14ac:dyDescent="0.3">
      <c r="A386" s="7" t="s">
        <v>753</v>
      </c>
      <c r="B386" s="7" t="s">
        <v>24</v>
      </c>
      <c r="C386" s="7" t="s">
        <v>351</v>
      </c>
      <c r="D386" s="9">
        <v>46066</v>
      </c>
      <c r="E386" s="9">
        <v>46096</v>
      </c>
      <c r="F386" s="3">
        <v>5143.92</v>
      </c>
      <c r="G386" s="7" t="s">
        <v>367</v>
      </c>
    </row>
    <row r="387" spans="1:7" x14ac:dyDescent="0.3">
      <c r="A387" s="7" t="s">
        <v>754</v>
      </c>
      <c r="B387" s="7" t="s">
        <v>62</v>
      </c>
      <c r="C387" s="7" t="s">
        <v>353</v>
      </c>
      <c r="D387" s="9">
        <v>46110</v>
      </c>
      <c r="E387" s="9">
        <v>46140</v>
      </c>
      <c r="F387" s="3">
        <v>2301.13</v>
      </c>
      <c r="G387" s="7" t="s">
        <v>367</v>
      </c>
    </row>
    <row r="388" spans="1:7" x14ac:dyDescent="0.3">
      <c r="A388" s="7" t="s">
        <v>755</v>
      </c>
      <c r="B388" s="7" t="s">
        <v>38</v>
      </c>
      <c r="C388" s="7" t="s">
        <v>353</v>
      </c>
      <c r="D388" s="9">
        <v>46101</v>
      </c>
      <c r="E388" s="9">
        <v>46131</v>
      </c>
      <c r="F388" s="3">
        <v>2421.1</v>
      </c>
      <c r="G388" s="7" t="s">
        <v>367</v>
      </c>
    </row>
    <row r="389" spans="1:7" x14ac:dyDescent="0.3">
      <c r="A389" s="7" t="s">
        <v>756</v>
      </c>
      <c r="B389" s="7" t="s">
        <v>20</v>
      </c>
      <c r="C389" s="7" t="s">
        <v>359</v>
      </c>
      <c r="D389" s="9">
        <v>45983</v>
      </c>
      <c r="E389" s="9">
        <v>46013</v>
      </c>
      <c r="F389" s="3">
        <v>1890.02</v>
      </c>
      <c r="G389" s="7" t="s">
        <v>367</v>
      </c>
    </row>
    <row r="390" spans="1:7" x14ac:dyDescent="0.3">
      <c r="A390" s="7" t="s">
        <v>757</v>
      </c>
      <c r="B390" s="7" t="s">
        <v>55</v>
      </c>
      <c r="C390" s="7" t="s">
        <v>351</v>
      </c>
      <c r="D390" s="9">
        <v>46080</v>
      </c>
      <c r="E390" s="9">
        <v>46110</v>
      </c>
      <c r="F390" s="3">
        <v>4609.32</v>
      </c>
      <c r="G390" s="7" t="s">
        <v>369</v>
      </c>
    </row>
    <row r="391" spans="1:7" x14ac:dyDescent="0.3">
      <c r="A391" s="7" t="s">
        <v>758</v>
      </c>
      <c r="B391" s="7" t="s">
        <v>24</v>
      </c>
      <c r="C391" s="7" t="s">
        <v>353</v>
      </c>
      <c r="D391" s="9">
        <v>45988</v>
      </c>
      <c r="E391" s="9">
        <v>46018</v>
      </c>
      <c r="F391" s="3">
        <v>2440.2199999999998</v>
      </c>
      <c r="G391" s="7" t="s">
        <v>387</v>
      </c>
    </row>
    <row r="392" spans="1:7" x14ac:dyDescent="0.3">
      <c r="A392" s="7" t="s">
        <v>759</v>
      </c>
      <c r="B392" s="7" t="s">
        <v>29</v>
      </c>
      <c r="C392" s="7" t="s">
        <v>353</v>
      </c>
      <c r="D392" s="9">
        <v>46009</v>
      </c>
      <c r="E392" s="9">
        <v>46039</v>
      </c>
      <c r="F392" s="3">
        <v>2320.67</v>
      </c>
      <c r="G392" s="7" t="s">
        <v>367</v>
      </c>
    </row>
    <row r="393" spans="1:7" x14ac:dyDescent="0.3">
      <c r="A393" s="7" t="s">
        <v>760</v>
      </c>
      <c r="B393" s="7" t="s">
        <v>69</v>
      </c>
      <c r="C393" s="7" t="s">
        <v>355</v>
      </c>
      <c r="D393" s="9">
        <v>46026</v>
      </c>
      <c r="E393" s="9">
        <v>46056</v>
      </c>
      <c r="F393" s="3">
        <v>14249.88</v>
      </c>
      <c r="G393" s="7" t="s">
        <v>367</v>
      </c>
    </row>
    <row r="394" spans="1:7" x14ac:dyDescent="0.3">
      <c r="A394" s="7" t="s">
        <v>761</v>
      </c>
      <c r="B394" s="7" t="s">
        <v>107</v>
      </c>
      <c r="C394" s="7" t="s">
        <v>357</v>
      </c>
      <c r="D394" s="9">
        <v>46025</v>
      </c>
      <c r="E394" s="9">
        <v>46055</v>
      </c>
      <c r="F394" s="3">
        <v>3894.76</v>
      </c>
      <c r="G394" s="7" t="s">
        <v>367</v>
      </c>
    </row>
    <row r="395" spans="1:7" x14ac:dyDescent="0.3">
      <c r="A395" s="7" t="s">
        <v>762</v>
      </c>
      <c r="B395" s="7" t="s">
        <v>76</v>
      </c>
      <c r="C395" s="7" t="s">
        <v>355</v>
      </c>
      <c r="D395" s="9">
        <v>46019</v>
      </c>
      <c r="E395" s="9">
        <v>46049</v>
      </c>
      <c r="F395" s="3">
        <v>11352.07</v>
      </c>
      <c r="G395" s="7" t="s">
        <v>367</v>
      </c>
    </row>
    <row r="396" spans="1:7" x14ac:dyDescent="0.3">
      <c r="A396" s="7" t="s">
        <v>763</v>
      </c>
      <c r="B396" s="7" t="s">
        <v>66</v>
      </c>
      <c r="C396" s="7" t="s">
        <v>351</v>
      </c>
      <c r="D396" s="9">
        <v>46041</v>
      </c>
      <c r="E396" s="9">
        <v>46071</v>
      </c>
      <c r="F396" s="3">
        <v>5363.43</v>
      </c>
      <c r="G396" s="7" t="s">
        <v>387</v>
      </c>
    </row>
    <row r="397" spans="1:7" x14ac:dyDescent="0.3">
      <c r="A397" s="7" t="s">
        <v>764</v>
      </c>
      <c r="B397" s="7" t="s">
        <v>15</v>
      </c>
      <c r="C397" s="7" t="s">
        <v>359</v>
      </c>
      <c r="D397" s="9">
        <v>45990</v>
      </c>
      <c r="E397" s="9">
        <v>46020</v>
      </c>
      <c r="F397" s="3">
        <v>1590.95</v>
      </c>
      <c r="G397" s="7" t="s">
        <v>369</v>
      </c>
    </row>
    <row r="398" spans="1:7" x14ac:dyDescent="0.3">
      <c r="A398" s="7" t="s">
        <v>765</v>
      </c>
      <c r="B398" s="7" t="s">
        <v>39</v>
      </c>
      <c r="C398" s="7" t="s">
        <v>355</v>
      </c>
      <c r="D398" s="9">
        <v>46026</v>
      </c>
      <c r="E398" s="9">
        <v>46056</v>
      </c>
      <c r="F398" s="3">
        <v>12830.29</v>
      </c>
      <c r="G398" s="7" t="s">
        <v>367</v>
      </c>
    </row>
    <row r="399" spans="1:7" x14ac:dyDescent="0.3">
      <c r="A399" s="7" t="s">
        <v>766</v>
      </c>
      <c r="B399" s="7" t="s">
        <v>83</v>
      </c>
      <c r="C399" s="7" t="s">
        <v>359</v>
      </c>
      <c r="D399" s="9">
        <v>46009</v>
      </c>
      <c r="E399" s="9">
        <v>46039</v>
      </c>
      <c r="F399" s="3">
        <v>1550.98</v>
      </c>
      <c r="G399" s="7" t="s">
        <v>367</v>
      </c>
    </row>
    <row r="400" spans="1:7" x14ac:dyDescent="0.3">
      <c r="A400" s="7" t="s">
        <v>767</v>
      </c>
      <c r="B400" s="7" t="s">
        <v>118</v>
      </c>
      <c r="C400" s="7" t="s">
        <v>355</v>
      </c>
      <c r="D400" s="9">
        <v>46078</v>
      </c>
      <c r="E400" s="9">
        <v>46108</v>
      </c>
      <c r="F400" s="3">
        <v>12394.77</v>
      </c>
      <c r="G400" s="7" t="s">
        <v>369</v>
      </c>
    </row>
    <row r="401" spans="1:7" x14ac:dyDescent="0.3">
      <c r="A401" s="7" t="s">
        <v>768</v>
      </c>
      <c r="B401" s="7" t="s">
        <v>110</v>
      </c>
      <c r="C401" s="7" t="s">
        <v>359</v>
      </c>
      <c r="D401" s="9">
        <v>46030</v>
      </c>
      <c r="E401" s="9">
        <v>46060</v>
      </c>
      <c r="F401" s="3">
        <v>1741.18</v>
      </c>
      <c r="G401" s="7" t="s">
        <v>367</v>
      </c>
    </row>
    <row r="402" spans="1:7" x14ac:dyDescent="0.3">
      <c r="A402" s="7" t="s">
        <v>769</v>
      </c>
      <c r="B402" s="7" t="s">
        <v>91</v>
      </c>
      <c r="C402" s="7" t="s">
        <v>357</v>
      </c>
      <c r="D402" s="9">
        <v>46073</v>
      </c>
      <c r="E402" s="9">
        <v>46103</v>
      </c>
      <c r="F402" s="3">
        <v>3631.35</v>
      </c>
      <c r="G402" s="7" t="s">
        <v>369</v>
      </c>
    </row>
    <row r="403" spans="1:7" x14ac:dyDescent="0.3">
      <c r="A403" s="7" t="s">
        <v>770</v>
      </c>
      <c r="B403" s="7" t="s">
        <v>89</v>
      </c>
      <c r="C403" s="7" t="s">
        <v>359</v>
      </c>
      <c r="D403" s="9">
        <v>46028</v>
      </c>
      <c r="E403" s="9">
        <v>46058</v>
      </c>
      <c r="F403" s="3">
        <v>1695.61</v>
      </c>
      <c r="G403" s="7" t="s">
        <v>367</v>
      </c>
    </row>
    <row r="404" spans="1:7" x14ac:dyDescent="0.3">
      <c r="A404" s="7" t="s">
        <v>771</v>
      </c>
      <c r="B404" s="7" t="s">
        <v>62</v>
      </c>
      <c r="C404" s="7" t="s">
        <v>359</v>
      </c>
      <c r="D404" s="9">
        <v>45973</v>
      </c>
      <c r="E404" s="9">
        <v>46003</v>
      </c>
      <c r="F404" s="3">
        <v>1905.66</v>
      </c>
      <c r="G404" s="7" t="s">
        <v>387</v>
      </c>
    </row>
    <row r="405" spans="1:7" x14ac:dyDescent="0.3">
      <c r="A405" s="7" t="s">
        <v>772</v>
      </c>
      <c r="B405" s="7" t="s">
        <v>73</v>
      </c>
      <c r="C405" s="7" t="s">
        <v>349</v>
      </c>
      <c r="D405" s="9">
        <v>45996</v>
      </c>
      <c r="E405" s="9">
        <v>46026</v>
      </c>
      <c r="F405" s="3">
        <v>2412.66</v>
      </c>
      <c r="G405" s="7" t="s">
        <v>367</v>
      </c>
    </row>
    <row r="406" spans="1:7" x14ac:dyDescent="0.3">
      <c r="A406" s="7" t="s">
        <v>773</v>
      </c>
      <c r="B406" s="7" t="s">
        <v>57</v>
      </c>
      <c r="C406" s="7" t="s">
        <v>357</v>
      </c>
      <c r="D406" s="9">
        <v>46081</v>
      </c>
      <c r="E406" s="9">
        <v>46111</v>
      </c>
      <c r="F406" s="3">
        <v>3612.73</v>
      </c>
      <c r="G406" s="7" t="s">
        <v>367</v>
      </c>
    </row>
    <row r="407" spans="1:7" x14ac:dyDescent="0.3">
      <c r="A407" s="7" t="s">
        <v>774</v>
      </c>
      <c r="B407" s="7" t="s">
        <v>51</v>
      </c>
      <c r="C407" s="7" t="s">
        <v>355</v>
      </c>
      <c r="D407" s="9">
        <v>45976</v>
      </c>
      <c r="E407" s="9">
        <v>46006</v>
      </c>
      <c r="F407" s="3">
        <v>13307.24</v>
      </c>
      <c r="G407" s="7" t="s">
        <v>367</v>
      </c>
    </row>
    <row r="408" spans="1:7" x14ac:dyDescent="0.3">
      <c r="A408" s="7" t="s">
        <v>775</v>
      </c>
      <c r="B408" s="7" t="s">
        <v>17</v>
      </c>
      <c r="C408" s="7" t="s">
        <v>349</v>
      </c>
      <c r="D408" s="9">
        <v>46044</v>
      </c>
      <c r="E408" s="9">
        <v>46074</v>
      </c>
      <c r="F408" s="3">
        <v>2979.33</v>
      </c>
      <c r="G408" s="7" t="s">
        <v>369</v>
      </c>
    </row>
    <row r="409" spans="1:7" x14ac:dyDescent="0.3">
      <c r="A409" s="7" t="s">
        <v>776</v>
      </c>
      <c r="B409" s="7" t="s">
        <v>50</v>
      </c>
      <c r="C409" s="7" t="s">
        <v>349</v>
      </c>
      <c r="D409" s="9">
        <v>46104</v>
      </c>
      <c r="E409" s="9">
        <v>46134</v>
      </c>
      <c r="F409" s="3">
        <v>3397.58</v>
      </c>
      <c r="G409" s="7" t="s">
        <v>367</v>
      </c>
    </row>
    <row r="410" spans="1:7" x14ac:dyDescent="0.3">
      <c r="A410" s="7" t="s">
        <v>777</v>
      </c>
      <c r="B410" s="7" t="s">
        <v>19</v>
      </c>
      <c r="C410" s="7" t="s">
        <v>355</v>
      </c>
      <c r="D410" s="9">
        <v>45974</v>
      </c>
      <c r="E410" s="9">
        <v>46004</v>
      </c>
      <c r="F410" s="3">
        <v>13364.5</v>
      </c>
      <c r="G410" s="7" t="s">
        <v>367</v>
      </c>
    </row>
    <row r="411" spans="1:7" x14ac:dyDescent="0.3">
      <c r="A411" s="7" t="s">
        <v>778</v>
      </c>
      <c r="B411" s="7" t="s">
        <v>12</v>
      </c>
      <c r="C411" s="7" t="s">
        <v>355</v>
      </c>
      <c r="D411" s="9">
        <v>46004</v>
      </c>
      <c r="E411" s="9">
        <v>46034</v>
      </c>
      <c r="F411" s="3">
        <v>13065.57</v>
      </c>
      <c r="G411" s="7" t="s">
        <v>367</v>
      </c>
    </row>
    <row r="412" spans="1:7" x14ac:dyDescent="0.3">
      <c r="A412" s="7" t="s">
        <v>779</v>
      </c>
      <c r="B412" s="7" t="s">
        <v>93</v>
      </c>
      <c r="C412" s="7" t="s">
        <v>359</v>
      </c>
      <c r="D412" s="9">
        <v>45988</v>
      </c>
      <c r="E412" s="9">
        <v>46018</v>
      </c>
      <c r="F412" s="3">
        <v>1522.86</v>
      </c>
      <c r="G412" s="7" t="s">
        <v>367</v>
      </c>
    </row>
    <row r="413" spans="1:7" x14ac:dyDescent="0.3">
      <c r="A413" s="7" t="s">
        <v>780</v>
      </c>
      <c r="B413" s="7" t="s">
        <v>77</v>
      </c>
      <c r="C413" s="7" t="s">
        <v>351</v>
      </c>
      <c r="D413" s="9">
        <v>46110</v>
      </c>
      <c r="E413" s="9">
        <v>46140</v>
      </c>
      <c r="F413" s="3">
        <v>5859.84</v>
      </c>
      <c r="G413" s="7" t="s">
        <v>367</v>
      </c>
    </row>
    <row r="414" spans="1:7" x14ac:dyDescent="0.3">
      <c r="A414" s="7" t="s">
        <v>781</v>
      </c>
      <c r="B414" s="7" t="s">
        <v>58</v>
      </c>
      <c r="C414" s="7" t="s">
        <v>351</v>
      </c>
      <c r="D414" s="9">
        <v>46066</v>
      </c>
      <c r="E414" s="9">
        <v>46096</v>
      </c>
      <c r="F414" s="3">
        <v>4661.9799999999996</v>
      </c>
      <c r="G414" s="7" t="s">
        <v>367</v>
      </c>
    </row>
    <row r="415" spans="1:7" x14ac:dyDescent="0.3">
      <c r="A415" s="7" t="s">
        <v>782</v>
      </c>
      <c r="B415" s="7" t="s">
        <v>10</v>
      </c>
      <c r="C415" s="7" t="s">
        <v>359</v>
      </c>
      <c r="D415" s="9">
        <v>46056</v>
      </c>
      <c r="E415" s="9">
        <v>46086</v>
      </c>
      <c r="F415" s="3">
        <v>1572.81</v>
      </c>
      <c r="G415" s="7" t="s">
        <v>367</v>
      </c>
    </row>
    <row r="416" spans="1:7" x14ac:dyDescent="0.3">
      <c r="A416" s="7" t="s">
        <v>783</v>
      </c>
      <c r="B416" s="7" t="s">
        <v>56</v>
      </c>
      <c r="C416" s="7" t="s">
        <v>359</v>
      </c>
      <c r="D416" s="9">
        <v>46046</v>
      </c>
      <c r="E416" s="9">
        <v>46076</v>
      </c>
      <c r="F416" s="3">
        <v>1882.16</v>
      </c>
      <c r="G416" s="7" t="s">
        <v>367</v>
      </c>
    </row>
    <row r="417" spans="1:7" x14ac:dyDescent="0.3">
      <c r="A417" s="7" t="s">
        <v>784</v>
      </c>
      <c r="B417" s="7" t="s">
        <v>110</v>
      </c>
      <c r="C417" s="7" t="s">
        <v>349</v>
      </c>
      <c r="D417" s="9">
        <v>46055</v>
      </c>
      <c r="E417" s="9">
        <v>46085</v>
      </c>
      <c r="F417" s="3">
        <v>3245.68</v>
      </c>
      <c r="G417" s="7" t="s">
        <v>369</v>
      </c>
    </row>
    <row r="418" spans="1:7" x14ac:dyDescent="0.3">
      <c r="A418" s="7" t="s">
        <v>785</v>
      </c>
      <c r="B418" s="7" t="s">
        <v>48</v>
      </c>
      <c r="C418" s="7" t="s">
        <v>349</v>
      </c>
      <c r="D418" s="9">
        <v>46028</v>
      </c>
      <c r="E418" s="9">
        <v>46058</v>
      </c>
      <c r="F418" s="3">
        <v>3092.82</v>
      </c>
      <c r="G418" s="7" t="s">
        <v>367</v>
      </c>
    </row>
    <row r="419" spans="1:7" x14ac:dyDescent="0.3">
      <c r="A419" s="7" t="s">
        <v>786</v>
      </c>
      <c r="B419" s="7" t="s">
        <v>74</v>
      </c>
      <c r="C419" s="7" t="s">
        <v>351</v>
      </c>
      <c r="D419" s="9">
        <v>46045</v>
      </c>
      <c r="E419" s="9">
        <v>46075</v>
      </c>
      <c r="F419" s="3">
        <v>4915.1000000000004</v>
      </c>
      <c r="G419" s="7" t="s">
        <v>369</v>
      </c>
    </row>
    <row r="420" spans="1:7" x14ac:dyDescent="0.3">
      <c r="A420" s="7" t="s">
        <v>787</v>
      </c>
      <c r="B420" s="7" t="s">
        <v>21</v>
      </c>
      <c r="C420" s="7" t="s">
        <v>359</v>
      </c>
      <c r="D420" s="9">
        <v>46049</v>
      </c>
      <c r="E420" s="9">
        <v>46079</v>
      </c>
      <c r="F420" s="3">
        <v>1665.65</v>
      </c>
      <c r="G420" s="7" t="s">
        <v>367</v>
      </c>
    </row>
    <row r="421" spans="1:7" x14ac:dyDescent="0.3">
      <c r="A421" s="7" t="s">
        <v>788</v>
      </c>
      <c r="B421" s="7" t="s">
        <v>93</v>
      </c>
      <c r="C421" s="7" t="s">
        <v>353</v>
      </c>
      <c r="D421" s="9">
        <v>46060</v>
      </c>
      <c r="E421" s="9">
        <v>46090</v>
      </c>
      <c r="F421" s="3">
        <v>2351.98</v>
      </c>
      <c r="G421" s="7" t="s">
        <v>367</v>
      </c>
    </row>
    <row r="422" spans="1:7" x14ac:dyDescent="0.3">
      <c r="A422" s="7" t="s">
        <v>789</v>
      </c>
      <c r="B422" s="7" t="s">
        <v>24</v>
      </c>
      <c r="C422" s="7" t="s">
        <v>359</v>
      </c>
      <c r="D422" s="9">
        <v>46072</v>
      </c>
      <c r="E422" s="9">
        <v>46102</v>
      </c>
      <c r="F422" s="3">
        <v>2016.44</v>
      </c>
      <c r="G422" s="7" t="s">
        <v>367</v>
      </c>
    </row>
    <row r="423" spans="1:7" x14ac:dyDescent="0.3">
      <c r="A423" s="7" t="s">
        <v>790</v>
      </c>
      <c r="B423" s="7" t="s">
        <v>95</v>
      </c>
      <c r="C423" s="7" t="s">
        <v>353</v>
      </c>
      <c r="D423" s="9">
        <v>45983</v>
      </c>
      <c r="E423" s="9">
        <v>46013</v>
      </c>
      <c r="F423" s="3">
        <v>2117.86</v>
      </c>
      <c r="G423" s="7" t="s">
        <v>367</v>
      </c>
    </row>
    <row r="424" spans="1:7" x14ac:dyDescent="0.3">
      <c r="A424" s="7" t="s">
        <v>791</v>
      </c>
      <c r="B424" s="7" t="s">
        <v>56</v>
      </c>
      <c r="C424" s="7" t="s">
        <v>351</v>
      </c>
      <c r="D424" s="9">
        <v>46040</v>
      </c>
      <c r="E424" s="9">
        <v>46070</v>
      </c>
      <c r="F424" s="3">
        <v>5021.6499999999996</v>
      </c>
      <c r="G424" s="7" t="s">
        <v>367</v>
      </c>
    </row>
    <row r="425" spans="1:7" x14ac:dyDescent="0.3">
      <c r="A425" s="7" t="s">
        <v>792</v>
      </c>
      <c r="B425" s="7" t="s">
        <v>89</v>
      </c>
      <c r="C425" s="7" t="s">
        <v>355</v>
      </c>
      <c r="D425" s="9">
        <v>46036</v>
      </c>
      <c r="E425" s="9">
        <v>46066</v>
      </c>
      <c r="F425" s="3">
        <v>10491.62</v>
      </c>
      <c r="G425" s="7" t="s">
        <v>367</v>
      </c>
    </row>
    <row r="426" spans="1:7" x14ac:dyDescent="0.3">
      <c r="A426" s="7" t="s">
        <v>793</v>
      </c>
      <c r="B426" s="7" t="s">
        <v>47</v>
      </c>
      <c r="C426" s="7" t="s">
        <v>351</v>
      </c>
      <c r="D426" s="9">
        <v>46104</v>
      </c>
      <c r="E426" s="9">
        <v>46134</v>
      </c>
      <c r="F426" s="3">
        <v>5109.83</v>
      </c>
      <c r="G426" s="7" t="s">
        <v>367</v>
      </c>
    </row>
    <row r="427" spans="1:7" x14ac:dyDescent="0.3">
      <c r="A427" s="7" t="s">
        <v>794</v>
      </c>
      <c r="B427" s="7" t="s">
        <v>69</v>
      </c>
      <c r="C427" s="7" t="s">
        <v>355</v>
      </c>
      <c r="D427" s="9">
        <v>46093</v>
      </c>
      <c r="E427" s="9">
        <v>46123</v>
      </c>
      <c r="F427" s="3">
        <v>12573.17</v>
      </c>
      <c r="G427" s="7" t="s">
        <v>387</v>
      </c>
    </row>
    <row r="428" spans="1:7" x14ac:dyDescent="0.3">
      <c r="A428" s="7" t="s">
        <v>795</v>
      </c>
      <c r="B428" s="7" t="s">
        <v>70</v>
      </c>
      <c r="C428" s="7" t="s">
        <v>351</v>
      </c>
      <c r="D428" s="9">
        <v>46068</v>
      </c>
      <c r="E428" s="9">
        <v>46098</v>
      </c>
      <c r="F428" s="3">
        <v>4390.26</v>
      </c>
      <c r="G428" s="7" t="s">
        <v>367</v>
      </c>
    </row>
    <row r="429" spans="1:7" x14ac:dyDescent="0.3">
      <c r="A429" s="7" t="s">
        <v>796</v>
      </c>
      <c r="B429" s="7" t="s">
        <v>69</v>
      </c>
      <c r="C429" s="7" t="s">
        <v>355</v>
      </c>
      <c r="D429" s="9">
        <v>46053</v>
      </c>
      <c r="E429" s="9">
        <v>46083</v>
      </c>
      <c r="F429" s="3">
        <v>12886.54</v>
      </c>
      <c r="G429" s="7" t="s">
        <v>369</v>
      </c>
    </row>
    <row r="430" spans="1:7" x14ac:dyDescent="0.3">
      <c r="A430" s="7" t="s">
        <v>797</v>
      </c>
      <c r="B430" s="7" t="s">
        <v>42</v>
      </c>
      <c r="C430" s="7" t="s">
        <v>351</v>
      </c>
      <c r="D430" s="9">
        <v>45975</v>
      </c>
      <c r="E430" s="9">
        <v>46005</v>
      </c>
      <c r="F430" s="3">
        <v>4165.34</v>
      </c>
      <c r="G430" s="7" t="s">
        <v>367</v>
      </c>
    </row>
    <row r="431" spans="1:7" x14ac:dyDescent="0.3">
      <c r="A431" s="7" t="s">
        <v>798</v>
      </c>
      <c r="B431" s="7" t="s">
        <v>105</v>
      </c>
      <c r="C431" s="7" t="s">
        <v>351</v>
      </c>
      <c r="D431" s="9">
        <v>46033</v>
      </c>
      <c r="E431" s="9">
        <v>46063</v>
      </c>
      <c r="F431" s="3">
        <v>5075.22</v>
      </c>
      <c r="G431" s="7" t="s">
        <v>367</v>
      </c>
    </row>
    <row r="432" spans="1:7" x14ac:dyDescent="0.3">
      <c r="A432" s="7" t="s">
        <v>799</v>
      </c>
      <c r="B432" s="7" t="s">
        <v>106</v>
      </c>
      <c r="C432" s="7" t="s">
        <v>355</v>
      </c>
      <c r="D432" s="9">
        <v>46035</v>
      </c>
      <c r="E432" s="9">
        <v>46065</v>
      </c>
      <c r="F432" s="3">
        <v>12238.69</v>
      </c>
      <c r="G432" s="7" t="s">
        <v>367</v>
      </c>
    </row>
    <row r="433" spans="1:7" x14ac:dyDescent="0.3">
      <c r="A433" s="7" t="s">
        <v>800</v>
      </c>
      <c r="B433" s="7" t="s">
        <v>12</v>
      </c>
      <c r="C433" s="7" t="s">
        <v>357</v>
      </c>
      <c r="D433" s="9">
        <v>46025</v>
      </c>
      <c r="E433" s="9">
        <v>46055</v>
      </c>
      <c r="F433" s="3">
        <v>3952.6</v>
      </c>
      <c r="G433" s="7" t="s">
        <v>369</v>
      </c>
    </row>
    <row r="434" spans="1:7" x14ac:dyDescent="0.3">
      <c r="A434" s="7" t="s">
        <v>801</v>
      </c>
      <c r="B434" s="7" t="s">
        <v>113</v>
      </c>
      <c r="C434" s="7" t="s">
        <v>359</v>
      </c>
      <c r="D434" s="9">
        <v>45962</v>
      </c>
      <c r="E434" s="9">
        <v>45992</v>
      </c>
      <c r="F434" s="3">
        <v>1757.78</v>
      </c>
      <c r="G434" s="7" t="s">
        <v>367</v>
      </c>
    </row>
    <row r="435" spans="1:7" x14ac:dyDescent="0.3">
      <c r="A435" s="7" t="s">
        <v>802</v>
      </c>
      <c r="B435" s="7" t="s">
        <v>51</v>
      </c>
      <c r="C435" s="7" t="s">
        <v>359</v>
      </c>
      <c r="D435" s="9">
        <v>46026</v>
      </c>
      <c r="E435" s="9">
        <v>46056</v>
      </c>
      <c r="F435" s="3">
        <v>1980.97</v>
      </c>
      <c r="G435" s="7" t="s">
        <v>367</v>
      </c>
    </row>
    <row r="436" spans="1:7" x14ac:dyDescent="0.3">
      <c r="A436" s="7" t="s">
        <v>803</v>
      </c>
      <c r="B436" s="7" t="s">
        <v>101</v>
      </c>
      <c r="C436" s="7" t="s">
        <v>349</v>
      </c>
      <c r="D436" s="9">
        <v>46040</v>
      </c>
      <c r="E436" s="9">
        <v>46070</v>
      </c>
      <c r="F436" s="3">
        <v>2926.88</v>
      </c>
      <c r="G436" s="7" t="s">
        <v>367</v>
      </c>
    </row>
    <row r="437" spans="1:7" x14ac:dyDescent="0.3">
      <c r="A437" s="7" t="s">
        <v>804</v>
      </c>
      <c r="B437" s="7" t="s">
        <v>61</v>
      </c>
      <c r="C437" s="7" t="s">
        <v>357</v>
      </c>
      <c r="D437" s="9">
        <v>46004</v>
      </c>
      <c r="E437" s="9">
        <v>46034</v>
      </c>
      <c r="F437" s="3">
        <v>3764.79</v>
      </c>
      <c r="G437" s="7" t="s">
        <v>367</v>
      </c>
    </row>
    <row r="438" spans="1:7" x14ac:dyDescent="0.3">
      <c r="A438" s="7" t="s">
        <v>805</v>
      </c>
      <c r="B438" s="7" t="s">
        <v>110</v>
      </c>
      <c r="C438" s="7" t="s">
        <v>351</v>
      </c>
      <c r="D438" s="9">
        <v>46039</v>
      </c>
      <c r="E438" s="9">
        <v>46069</v>
      </c>
      <c r="F438" s="3">
        <v>5232.3</v>
      </c>
      <c r="G438" s="7" t="s">
        <v>369</v>
      </c>
    </row>
    <row r="439" spans="1:7" x14ac:dyDescent="0.3">
      <c r="A439" s="7" t="s">
        <v>806</v>
      </c>
      <c r="B439" s="7" t="s">
        <v>28</v>
      </c>
      <c r="C439" s="7" t="s">
        <v>349</v>
      </c>
      <c r="D439" s="9">
        <v>45996</v>
      </c>
      <c r="E439" s="9">
        <v>46026</v>
      </c>
      <c r="F439" s="3">
        <v>3084.09</v>
      </c>
      <c r="G439" s="7" t="s">
        <v>367</v>
      </c>
    </row>
    <row r="440" spans="1:7" x14ac:dyDescent="0.3">
      <c r="A440" s="7" t="s">
        <v>807</v>
      </c>
      <c r="B440" s="7" t="s">
        <v>116</v>
      </c>
      <c r="C440" s="7" t="s">
        <v>353</v>
      </c>
      <c r="D440" s="9">
        <v>45975</v>
      </c>
      <c r="E440" s="9">
        <v>46005</v>
      </c>
      <c r="F440" s="3">
        <v>2979</v>
      </c>
      <c r="G440" s="7" t="s">
        <v>367</v>
      </c>
    </row>
    <row r="441" spans="1:7" x14ac:dyDescent="0.3">
      <c r="A441" s="7" t="s">
        <v>808</v>
      </c>
      <c r="B441" s="7" t="s">
        <v>103</v>
      </c>
      <c r="C441" s="7" t="s">
        <v>357</v>
      </c>
      <c r="D441" s="9">
        <v>46103</v>
      </c>
      <c r="E441" s="9">
        <v>46133</v>
      </c>
      <c r="F441" s="3">
        <v>4179.68</v>
      </c>
      <c r="G441" s="7" t="s">
        <v>367</v>
      </c>
    </row>
    <row r="442" spans="1:7" x14ac:dyDescent="0.3">
      <c r="A442" s="7" t="s">
        <v>809</v>
      </c>
      <c r="B442" s="7" t="s">
        <v>117</v>
      </c>
      <c r="C442" s="7" t="s">
        <v>355</v>
      </c>
      <c r="D442" s="9">
        <v>46089</v>
      </c>
      <c r="E442" s="9">
        <v>46119</v>
      </c>
      <c r="F442" s="3">
        <v>14010.09</v>
      </c>
      <c r="G442" s="7" t="s">
        <v>367</v>
      </c>
    </row>
    <row r="443" spans="1:7" x14ac:dyDescent="0.3">
      <c r="A443" s="7" t="s">
        <v>810</v>
      </c>
      <c r="B443" s="7" t="s">
        <v>104</v>
      </c>
      <c r="C443" s="7" t="s">
        <v>351</v>
      </c>
      <c r="D443" s="9">
        <v>46100</v>
      </c>
      <c r="E443" s="9">
        <v>46130</v>
      </c>
      <c r="F443" s="3">
        <v>4499.3500000000004</v>
      </c>
      <c r="G443" s="7" t="s">
        <v>369</v>
      </c>
    </row>
    <row r="444" spans="1:7" x14ac:dyDescent="0.3">
      <c r="A444" s="7" t="s">
        <v>811</v>
      </c>
      <c r="B444" s="7" t="s">
        <v>87</v>
      </c>
      <c r="C444" s="7" t="s">
        <v>359</v>
      </c>
      <c r="D444" s="9">
        <v>46048</v>
      </c>
      <c r="E444" s="9">
        <v>46078</v>
      </c>
      <c r="F444" s="3">
        <v>1722.74</v>
      </c>
      <c r="G444" s="7" t="s">
        <v>367</v>
      </c>
    </row>
    <row r="445" spans="1:7" x14ac:dyDescent="0.3">
      <c r="A445" s="7" t="s">
        <v>812</v>
      </c>
      <c r="B445" s="7" t="s">
        <v>105</v>
      </c>
      <c r="C445" s="7" t="s">
        <v>355</v>
      </c>
      <c r="D445" s="9">
        <v>46049</v>
      </c>
      <c r="E445" s="9">
        <v>46079</v>
      </c>
      <c r="F445" s="3">
        <v>11400.83</v>
      </c>
      <c r="G445" s="7" t="s">
        <v>369</v>
      </c>
    </row>
    <row r="446" spans="1:7" x14ac:dyDescent="0.3">
      <c r="A446" s="7" t="s">
        <v>813</v>
      </c>
      <c r="B446" s="7" t="s">
        <v>119</v>
      </c>
      <c r="C446" s="7" t="s">
        <v>349</v>
      </c>
      <c r="D446" s="9">
        <v>46093</v>
      </c>
      <c r="E446" s="9">
        <v>46123</v>
      </c>
      <c r="F446" s="3">
        <v>2883.42</v>
      </c>
      <c r="G446" s="7" t="s">
        <v>367</v>
      </c>
    </row>
    <row r="447" spans="1:7" x14ac:dyDescent="0.3">
      <c r="A447" s="7" t="s">
        <v>814</v>
      </c>
      <c r="B447" s="7" t="s">
        <v>118</v>
      </c>
      <c r="C447" s="7" t="s">
        <v>353</v>
      </c>
      <c r="D447" s="9">
        <v>46048</v>
      </c>
      <c r="E447" s="9">
        <v>46078</v>
      </c>
      <c r="F447" s="3">
        <v>2454.6999999999998</v>
      </c>
      <c r="G447" s="7" t="s">
        <v>367</v>
      </c>
    </row>
    <row r="448" spans="1:7" x14ac:dyDescent="0.3">
      <c r="A448" s="7" t="s">
        <v>815</v>
      </c>
      <c r="B448" s="7" t="s">
        <v>52</v>
      </c>
      <c r="C448" s="7" t="s">
        <v>359</v>
      </c>
      <c r="D448" s="9">
        <v>45975</v>
      </c>
      <c r="E448" s="9">
        <v>46005</v>
      </c>
      <c r="F448" s="3">
        <v>1507.06</v>
      </c>
      <c r="G448" s="7" t="s">
        <v>367</v>
      </c>
    </row>
    <row r="449" spans="1:7" x14ac:dyDescent="0.3">
      <c r="A449" s="7" t="s">
        <v>816</v>
      </c>
      <c r="B449" s="7" t="s">
        <v>112</v>
      </c>
      <c r="C449" s="7" t="s">
        <v>349</v>
      </c>
      <c r="D449" s="9">
        <v>46078</v>
      </c>
      <c r="E449" s="9">
        <v>46108</v>
      </c>
      <c r="F449" s="3">
        <v>3354.81</v>
      </c>
      <c r="G449" s="7" t="s">
        <v>387</v>
      </c>
    </row>
    <row r="450" spans="1:7" x14ac:dyDescent="0.3">
      <c r="A450" s="7" t="s">
        <v>817</v>
      </c>
      <c r="B450" s="7" t="s">
        <v>80</v>
      </c>
      <c r="C450" s="7" t="s">
        <v>351</v>
      </c>
      <c r="D450" s="9">
        <v>46025</v>
      </c>
      <c r="E450" s="9">
        <v>46055</v>
      </c>
      <c r="F450" s="3">
        <v>4989.43</v>
      </c>
      <c r="G450" s="7" t="s">
        <v>367</v>
      </c>
    </row>
    <row r="451" spans="1:7" x14ac:dyDescent="0.3">
      <c r="A451" s="7" t="s">
        <v>818</v>
      </c>
      <c r="B451" s="7" t="s">
        <v>104</v>
      </c>
      <c r="C451" s="7" t="s">
        <v>351</v>
      </c>
      <c r="D451" s="9">
        <v>45984</v>
      </c>
      <c r="E451" s="9">
        <v>46014</v>
      </c>
      <c r="F451" s="3">
        <v>5132.28</v>
      </c>
      <c r="G451" s="7" t="s">
        <v>369</v>
      </c>
    </row>
    <row r="452" spans="1:7" x14ac:dyDescent="0.3">
      <c r="A452" s="7" t="s">
        <v>819</v>
      </c>
      <c r="B452" s="7" t="s">
        <v>116</v>
      </c>
      <c r="C452" s="7" t="s">
        <v>349</v>
      </c>
      <c r="D452" s="9">
        <v>46072</v>
      </c>
      <c r="E452" s="9">
        <v>46102</v>
      </c>
      <c r="F452" s="3">
        <v>2455.13</v>
      </c>
      <c r="G452" s="7" t="s">
        <v>367</v>
      </c>
    </row>
    <row r="453" spans="1:7" x14ac:dyDescent="0.3">
      <c r="A453" s="7" t="s">
        <v>820</v>
      </c>
      <c r="B453" s="7" t="s">
        <v>95</v>
      </c>
      <c r="C453" s="7" t="s">
        <v>351</v>
      </c>
      <c r="D453" s="9">
        <v>46007</v>
      </c>
      <c r="E453" s="9">
        <v>46037</v>
      </c>
      <c r="F453" s="3">
        <v>4882.57</v>
      </c>
      <c r="G453" s="7" t="s">
        <v>367</v>
      </c>
    </row>
    <row r="454" spans="1:7" x14ac:dyDescent="0.3">
      <c r="A454" s="7" t="s">
        <v>821</v>
      </c>
      <c r="B454" s="7" t="s">
        <v>119</v>
      </c>
      <c r="C454" s="7" t="s">
        <v>351</v>
      </c>
      <c r="D454" s="9">
        <v>45976</v>
      </c>
      <c r="E454" s="9">
        <v>46006</v>
      </c>
      <c r="F454" s="3">
        <v>5764.3</v>
      </c>
      <c r="G454" s="7" t="s">
        <v>369</v>
      </c>
    </row>
    <row r="455" spans="1:7" x14ac:dyDescent="0.3">
      <c r="A455" s="7" t="s">
        <v>822</v>
      </c>
      <c r="B455" s="7" t="s">
        <v>92</v>
      </c>
      <c r="C455" s="7" t="s">
        <v>353</v>
      </c>
      <c r="D455" s="9">
        <v>46080</v>
      </c>
      <c r="E455" s="9">
        <v>46110</v>
      </c>
      <c r="F455" s="3">
        <v>2093.34</v>
      </c>
      <c r="G455" s="7" t="s">
        <v>367</v>
      </c>
    </row>
    <row r="456" spans="1:7" x14ac:dyDescent="0.3">
      <c r="A456" s="7" t="s">
        <v>823</v>
      </c>
      <c r="B456" s="7" t="s">
        <v>96</v>
      </c>
      <c r="C456" s="7" t="s">
        <v>359</v>
      </c>
      <c r="D456" s="9">
        <v>46053</v>
      </c>
      <c r="E456" s="9">
        <v>46083</v>
      </c>
      <c r="F456" s="3">
        <v>1559.18</v>
      </c>
      <c r="G456" s="7" t="s">
        <v>367</v>
      </c>
    </row>
    <row r="457" spans="1:7" x14ac:dyDescent="0.3">
      <c r="A457" s="7" t="s">
        <v>824</v>
      </c>
      <c r="B457" s="7" t="s">
        <v>34</v>
      </c>
      <c r="C457" s="7" t="s">
        <v>351</v>
      </c>
      <c r="D457" s="9">
        <v>46038</v>
      </c>
      <c r="E457" s="9">
        <v>46068</v>
      </c>
      <c r="F457" s="3">
        <v>4858.46</v>
      </c>
      <c r="G457" s="7" t="s">
        <v>367</v>
      </c>
    </row>
    <row r="458" spans="1:7" x14ac:dyDescent="0.3">
      <c r="A458" s="7" t="s">
        <v>825</v>
      </c>
      <c r="B458" s="7" t="s">
        <v>63</v>
      </c>
      <c r="C458" s="7" t="s">
        <v>355</v>
      </c>
      <c r="D458" s="9">
        <v>46025</v>
      </c>
      <c r="E458" s="9">
        <v>46055</v>
      </c>
      <c r="F458" s="3">
        <v>9974.11</v>
      </c>
      <c r="G458" s="7" t="s">
        <v>367</v>
      </c>
    </row>
    <row r="459" spans="1:7" x14ac:dyDescent="0.3">
      <c r="A459" s="7" t="s">
        <v>826</v>
      </c>
      <c r="B459" s="7" t="s">
        <v>61</v>
      </c>
      <c r="C459" s="7" t="s">
        <v>349</v>
      </c>
      <c r="D459" s="9">
        <v>46033</v>
      </c>
      <c r="E459" s="9">
        <v>46063</v>
      </c>
      <c r="F459" s="3">
        <v>2409.6799999999998</v>
      </c>
      <c r="G459" s="7" t="s">
        <v>387</v>
      </c>
    </row>
    <row r="460" spans="1:7" x14ac:dyDescent="0.3">
      <c r="A460" s="7" t="s">
        <v>827</v>
      </c>
      <c r="B460" s="7" t="s">
        <v>100</v>
      </c>
      <c r="C460" s="7" t="s">
        <v>359</v>
      </c>
      <c r="D460" s="9">
        <v>45981</v>
      </c>
      <c r="E460" s="9">
        <v>46011</v>
      </c>
      <c r="F460" s="3">
        <v>1535.17</v>
      </c>
      <c r="G460" s="7" t="s">
        <v>367</v>
      </c>
    </row>
    <row r="461" spans="1:7" x14ac:dyDescent="0.3">
      <c r="A461" s="7" t="s">
        <v>828</v>
      </c>
      <c r="B461" s="7" t="s">
        <v>106</v>
      </c>
      <c r="C461" s="7" t="s">
        <v>349</v>
      </c>
      <c r="D461" s="9">
        <v>46003</v>
      </c>
      <c r="E461" s="9">
        <v>46033</v>
      </c>
      <c r="F461" s="3">
        <v>2523.84</v>
      </c>
      <c r="G461" s="7" t="s">
        <v>367</v>
      </c>
    </row>
    <row r="462" spans="1:7" x14ac:dyDescent="0.3">
      <c r="A462" s="7" t="s">
        <v>829</v>
      </c>
      <c r="B462" s="7" t="s">
        <v>79</v>
      </c>
      <c r="C462" s="7" t="s">
        <v>351</v>
      </c>
      <c r="D462" s="9">
        <v>45992</v>
      </c>
      <c r="E462" s="9">
        <v>46022</v>
      </c>
      <c r="F462" s="3">
        <v>5283.15</v>
      </c>
      <c r="G462" s="7" t="s">
        <v>367</v>
      </c>
    </row>
    <row r="463" spans="1:7" x14ac:dyDescent="0.3">
      <c r="A463" s="7" t="s">
        <v>830</v>
      </c>
      <c r="B463" s="7" t="s">
        <v>34</v>
      </c>
      <c r="C463" s="7" t="s">
        <v>349</v>
      </c>
      <c r="D463" s="9">
        <v>46023</v>
      </c>
      <c r="E463" s="9">
        <v>46053</v>
      </c>
      <c r="F463" s="3">
        <v>3132.38</v>
      </c>
      <c r="G463" s="7" t="s">
        <v>367</v>
      </c>
    </row>
    <row r="464" spans="1:7" x14ac:dyDescent="0.3">
      <c r="A464" s="7" t="s">
        <v>831</v>
      </c>
      <c r="B464" s="7" t="s">
        <v>117</v>
      </c>
      <c r="C464" s="7" t="s">
        <v>359</v>
      </c>
      <c r="D464" s="9">
        <v>46014</v>
      </c>
      <c r="E464" s="9">
        <v>46044</v>
      </c>
      <c r="F464" s="3">
        <v>1978.75</v>
      </c>
      <c r="G464" s="7" t="s">
        <v>367</v>
      </c>
    </row>
    <row r="465" spans="1:7" x14ac:dyDescent="0.3">
      <c r="A465" s="7" t="s">
        <v>832</v>
      </c>
      <c r="B465" s="7" t="s">
        <v>82</v>
      </c>
      <c r="C465" s="7" t="s">
        <v>351</v>
      </c>
      <c r="D465" s="9">
        <v>46069</v>
      </c>
      <c r="E465" s="9">
        <v>46099</v>
      </c>
      <c r="F465" s="3">
        <v>4173.38</v>
      </c>
      <c r="G465" s="7" t="s">
        <v>369</v>
      </c>
    </row>
    <row r="466" spans="1:7" x14ac:dyDescent="0.3">
      <c r="A466" s="7" t="s">
        <v>833</v>
      </c>
      <c r="B466" s="7" t="s">
        <v>38</v>
      </c>
      <c r="C466" s="7" t="s">
        <v>359</v>
      </c>
      <c r="D466" s="9">
        <v>46086</v>
      </c>
      <c r="E466" s="9">
        <v>46116</v>
      </c>
      <c r="F466" s="3">
        <v>1716.5</v>
      </c>
      <c r="G466" s="7" t="s">
        <v>369</v>
      </c>
    </row>
    <row r="467" spans="1:7" x14ac:dyDescent="0.3">
      <c r="A467" s="7" t="s">
        <v>834</v>
      </c>
      <c r="B467" s="7" t="s">
        <v>99</v>
      </c>
      <c r="C467" s="7" t="s">
        <v>353</v>
      </c>
      <c r="D467" s="9">
        <v>46021</v>
      </c>
      <c r="E467" s="9">
        <v>46051</v>
      </c>
      <c r="F467" s="3">
        <v>2644.62</v>
      </c>
      <c r="G467" s="7" t="s">
        <v>367</v>
      </c>
    </row>
    <row r="468" spans="1:7" x14ac:dyDescent="0.3">
      <c r="A468" s="7" t="s">
        <v>835</v>
      </c>
      <c r="B468" s="7" t="s">
        <v>91</v>
      </c>
      <c r="C468" s="7" t="s">
        <v>357</v>
      </c>
      <c r="D468" s="9">
        <v>46021</v>
      </c>
      <c r="E468" s="9">
        <v>46051</v>
      </c>
      <c r="F468" s="3">
        <v>3198.89</v>
      </c>
      <c r="G468" s="7" t="s">
        <v>369</v>
      </c>
    </row>
    <row r="469" spans="1:7" x14ac:dyDescent="0.3">
      <c r="A469" s="7" t="s">
        <v>836</v>
      </c>
      <c r="B469" s="7" t="s">
        <v>57</v>
      </c>
      <c r="C469" s="7" t="s">
        <v>353</v>
      </c>
      <c r="D469" s="9">
        <v>46044</v>
      </c>
      <c r="E469" s="9">
        <v>46074</v>
      </c>
      <c r="F469" s="3">
        <v>2205.4499999999998</v>
      </c>
      <c r="G469" s="7" t="s">
        <v>367</v>
      </c>
    </row>
    <row r="470" spans="1:7" x14ac:dyDescent="0.3">
      <c r="A470" s="7" t="s">
        <v>837</v>
      </c>
      <c r="B470" s="7" t="s">
        <v>21</v>
      </c>
      <c r="C470" s="7" t="s">
        <v>353</v>
      </c>
      <c r="D470" s="9">
        <v>46061</v>
      </c>
      <c r="E470" s="9">
        <v>46091</v>
      </c>
      <c r="F470" s="3">
        <v>2646.17</v>
      </c>
      <c r="G470" s="7" t="s">
        <v>367</v>
      </c>
    </row>
    <row r="471" spans="1:7" x14ac:dyDescent="0.3">
      <c r="A471" s="7" t="s">
        <v>838</v>
      </c>
      <c r="B471" s="7" t="s">
        <v>8</v>
      </c>
      <c r="C471" s="7" t="s">
        <v>351</v>
      </c>
      <c r="D471" s="9">
        <v>45973</v>
      </c>
      <c r="E471" s="9">
        <v>46003</v>
      </c>
      <c r="F471" s="3">
        <v>4999.17</v>
      </c>
      <c r="G471" s="7" t="s">
        <v>367</v>
      </c>
    </row>
    <row r="472" spans="1:7" x14ac:dyDescent="0.3">
      <c r="A472" s="7" t="s">
        <v>839</v>
      </c>
      <c r="B472" s="7" t="s">
        <v>79</v>
      </c>
      <c r="C472" s="7" t="s">
        <v>353</v>
      </c>
      <c r="D472" s="9">
        <v>45978</v>
      </c>
      <c r="E472" s="9">
        <v>46008</v>
      </c>
      <c r="F472" s="3">
        <v>2933.92</v>
      </c>
      <c r="G472" s="7" t="s">
        <v>369</v>
      </c>
    </row>
    <row r="473" spans="1:7" x14ac:dyDescent="0.3">
      <c r="A473" s="7" t="s">
        <v>840</v>
      </c>
      <c r="B473" s="7" t="s">
        <v>105</v>
      </c>
      <c r="C473" s="7" t="s">
        <v>355</v>
      </c>
      <c r="D473" s="9">
        <v>46023</v>
      </c>
      <c r="E473" s="9">
        <v>46053</v>
      </c>
      <c r="F473" s="3">
        <v>11353.98</v>
      </c>
      <c r="G473" s="7" t="s">
        <v>369</v>
      </c>
    </row>
    <row r="474" spans="1:7" x14ac:dyDescent="0.3">
      <c r="A474" s="7" t="s">
        <v>841</v>
      </c>
      <c r="B474" s="7" t="s">
        <v>12</v>
      </c>
      <c r="C474" s="7" t="s">
        <v>349</v>
      </c>
      <c r="D474" s="9">
        <v>46110</v>
      </c>
      <c r="E474" s="9">
        <v>46140</v>
      </c>
      <c r="F474" s="3">
        <v>2420.0300000000002</v>
      </c>
      <c r="G474" s="7" t="s">
        <v>367</v>
      </c>
    </row>
    <row r="475" spans="1:7" x14ac:dyDescent="0.3">
      <c r="A475" s="7" t="s">
        <v>842</v>
      </c>
      <c r="B475" s="7" t="s">
        <v>98</v>
      </c>
      <c r="C475" s="7" t="s">
        <v>349</v>
      </c>
      <c r="D475" s="9">
        <v>46009</v>
      </c>
      <c r="E475" s="9">
        <v>46039</v>
      </c>
      <c r="F475" s="3">
        <v>3538.42</v>
      </c>
      <c r="G475" s="7" t="s">
        <v>367</v>
      </c>
    </row>
    <row r="476" spans="1:7" x14ac:dyDescent="0.3">
      <c r="A476" s="7" t="s">
        <v>843</v>
      </c>
      <c r="B476" s="7" t="s">
        <v>88</v>
      </c>
      <c r="C476" s="7" t="s">
        <v>357</v>
      </c>
      <c r="D476" s="9">
        <v>46017</v>
      </c>
      <c r="E476" s="9">
        <v>46047</v>
      </c>
      <c r="F476" s="3">
        <v>3873.95</v>
      </c>
      <c r="G476" s="7" t="s">
        <v>367</v>
      </c>
    </row>
    <row r="477" spans="1:7" x14ac:dyDescent="0.3">
      <c r="A477" s="7" t="s">
        <v>844</v>
      </c>
      <c r="B477" s="7" t="s">
        <v>17</v>
      </c>
      <c r="C477" s="7" t="s">
        <v>357</v>
      </c>
      <c r="D477" s="9">
        <v>45983</v>
      </c>
      <c r="E477" s="9">
        <v>46013</v>
      </c>
      <c r="F477" s="3">
        <v>3552.72</v>
      </c>
      <c r="G477" s="7" t="s">
        <v>367</v>
      </c>
    </row>
    <row r="478" spans="1:7" x14ac:dyDescent="0.3">
      <c r="A478" s="7" t="s">
        <v>845</v>
      </c>
      <c r="B478" s="7" t="s">
        <v>57</v>
      </c>
      <c r="C478" s="7" t="s">
        <v>357</v>
      </c>
      <c r="D478" s="9">
        <v>46051</v>
      </c>
      <c r="E478" s="9">
        <v>46081</v>
      </c>
      <c r="F478" s="3">
        <v>4089.29</v>
      </c>
      <c r="G478" s="7" t="s">
        <v>367</v>
      </c>
    </row>
    <row r="479" spans="1:7" x14ac:dyDescent="0.3">
      <c r="A479" s="7" t="s">
        <v>846</v>
      </c>
      <c r="B479" s="7" t="s">
        <v>15</v>
      </c>
      <c r="C479" s="7" t="s">
        <v>357</v>
      </c>
      <c r="D479" s="9">
        <v>45969</v>
      </c>
      <c r="E479" s="9">
        <v>45999</v>
      </c>
      <c r="F479" s="3">
        <v>3688.01</v>
      </c>
      <c r="G479" s="7" t="s">
        <v>367</v>
      </c>
    </row>
    <row r="480" spans="1:7" x14ac:dyDescent="0.3">
      <c r="A480" s="7" t="s">
        <v>847</v>
      </c>
      <c r="B480" s="7" t="s">
        <v>18</v>
      </c>
      <c r="C480" s="7" t="s">
        <v>353</v>
      </c>
      <c r="D480" s="9">
        <v>46105</v>
      </c>
      <c r="E480" s="9">
        <v>46135</v>
      </c>
      <c r="F480" s="3">
        <v>2698.68</v>
      </c>
      <c r="G480" s="7" t="s">
        <v>367</v>
      </c>
    </row>
    <row r="481" spans="1:7" x14ac:dyDescent="0.3">
      <c r="A481" s="7" t="s">
        <v>848</v>
      </c>
      <c r="B481" s="7" t="s">
        <v>92</v>
      </c>
      <c r="C481" s="7" t="s">
        <v>355</v>
      </c>
      <c r="D481" s="9">
        <v>45967</v>
      </c>
      <c r="E481" s="9">
        <v>45997</v>
      </c>
      <c r="F481" s="3">
        <v>10156.74</v>
      </c>
      <c r="G481" s="7" t="s">
        <v>367</v>
      </c>
    </row>
    <row r="482" spans="1:7" x14ac:dyDescent="0.3">
      <c r="A482" s="7" t="s">
        <v>849</v>
      </c>
      <c r="B482" s="7" t="s">
        <v>24</v>
      </c>
      <c r="C482" s="7" t="s">
        <v>359</v>
      </c>
      <c r="D482" s="9">
        <v>46002</v>
      </c>
      <c r="E482" s="9">
        <v>46032</v>
      </c>
      <c r="F482" s="3">
        <v>1913.8</v>
      </c>
      <c r="G482" s="7" t="s">
        <v>367</v>
      </c>
    </row>
    <row r="483" spans="1:7" x14ac:dyDescent="0.3">
      <c r="A483" s="7" t="s">
        <v>850</v>
      </c>
      <c r="B483" s="7" t="s">
        <v>107</v>
      </c>
      <c r="C483" s="7" t="s">
        <v>359</v>
      </c>
      <c r="D483" s="9">
        <v>46032</v>
      </c>
      <c r="E483" s="9">
        <v>46062</v>
      </c>
      <c r="F483" s="3">
        <v>1448.17</v>
      </c>
      <c r="G483" s="7" t="s">
        <v>367</v>
      </c>
    </row>
    <row r="484" spans="1:7" x14ac:dyDescent="0.3">
      <c r="A484" s="7" t="s">
        <v>851</v>
      </c>
      <c r="B484" s="7" t="s">
        <v>118</v>
      </c>
      <c r="C484" s="7" t="s">
        <v>359</v>
      </c>
      <c r="D484" s="9">
        <v>46058</v>
      </c>
      <c r="E484" s="9">
        <v>46088</v>
      </c>
      <c r="F484" s="3">
        <v>1626.66</v>
      </c>
      <c r="G484" s="7" t="s">
        <v>367</v>
      </c>
    </row>
    <row r="485" spans="1:7" x14ac:dyDescent="0.3">
      <c r="A485" s="7" t="s">
        <v>852</v>
      </c>
      <c r="B485" s="7" t="s">
        <v>61</v>
      </c>
      <c r="C485" s="7" t="s">
        <v>353</v>
      </c>
      <c r="D485" s="9">
        <v>45985</v>
      </c>
      <c r="E485" s="9">
        <v>46015</v>
      </c>
      <c r="F485" s="3">
        <v>2732.94</v>
      </c>
      <c r="G485" s="7" t="s">
        <v>367</v>
      </c>
    </row>
    <row r="486" spans="1:7" x14ac:dyDescent="0.3">
      <c r="A486" s="7" t="s">
        <v>853</v>
      </c>
      <c r="B486" s="7" t="s">
        <v>87</v>
      </c>
      <c r="C486" s="7" t="s">
        <v>353</v>
      </c>
      <c r="D486" s="9">
        <v>46030</v>
      </c>
      <c r="E486" s="9">
        <v>46060</v>
      </c>
      <c r="F486" s="3">
        <v>2523.85</v>
      </c>
      <c r="G486" s="7" t="s">
        <v>387</v>
      </c>
    </row>
    <row r="487" spans="1:7" x14ac:dyDescent="0.3">
      <c r="A487" s="7" t="s">
        <v>854</v>
      </c>
      <c r="B487" s="7" t="s">
        <v>116</v>
      </c>
      <c r="C487" s="7" t="s">
        <v>349</v>
      </c>
      <c r="D487" s="9">
        <v>46028</v>
      </c>
      <c r="E487" s="9">
        <v>46058</v>
      </c>
      <c r="F487" s="3">
        <v>2995.38</v>
      </c>
      <c r="G487" s="7" t="s">
        <v>367</v>
      </c>
    </row>
    <row r="488" spans="1:7" x14ac:dyDescent="0.3">
      <c r="A488" s="7" t="s">
        <v>855</v>
      </c>
      <c r="B488" s="7" t="s">
        <v>121</v>
      </c>
      <c r="C488" s="7" t="s">
        <v>357</v>
      </c>
      <c r="D488" s="9">
        <v>45976</v>
      </c>
      <c r="E488" s="9">
        <v>46006</v>
      </c>
      <c r="F488" s="3">
        <v>3033.63</v>
      </c>
      <c r="G488" s="7" t="s">
        <v>369</v>
      </c>
    </row>
    <row r="489" spans="1:7" x14ac:dyDescent="0.3">
      <c r="A489" s="7" t="s">
        <v>856</v>
      </c>
      <c r="B489" s="7" t="s">
        <v>7</v>
      </c>
      <c r="C489" s="7" t="s">
        <v>357</v>
      </c>
      <c r="D489" s="9">
        <v>46097</v>
      </c>
      <c r="E489" s="9">
        <v>46127</v>
      </c>
      <c r="F489" s="3">
        <v>3743.77</v>
      </c>
      <c r="G489" s="7" t="s">
        <v>367</v>
      </c>
    </row>
    <row r="490" spans="1:7" x14ac:dyDescent="0.3">
      <c r="A490" s="7" t="s">
        <v>857</v>
      </c>
      <c r="B490" s="7" t="s">
        <v>53</v>
      </c>
      <c r="C490" s="7" t="s">
        <v>349</v>
      </c>
      <c r="D490" s="9">
        <v>45971</v>
      </c>
      <c r="E490" s="9">
        <v>46001</v>
      </c>
      <c r="F490" s="3">
        <v>3430.43</v>
      </c>
      <c r="G490" s="7" t="s">
        <v>367</v>
      </c>
    </row>
    <row r="491" spans="1:7" x14ac:dyDescent="0.3">
      <c r="A491" s="7" t="s">
        <v>858</v>
      </c>
      <c r="B491" s="7" t="s">
        <v>123</v>
      </c>
      <c r="C491" s="7" t="s">
        <v>355</v>
      </c>
      <c r="D491" s="9">
        <v>45963</v>
      </c>
      <c r="E491" s="9">
        <v>45993</v>
      </c>
      <c r="F491" s="3">
        <v>14017.09</v>
      </c>
      <c r="G491" s="7" t="s">
        <v>367</v>
      </c>
    </row>
    <row r="492" spans="1:7" x14ac:dyDescent="0.3">
      <c r="A492" s="7" t="s">
        <v>859</v>
      </c>
      <c r="B492" s="7" t="s">
        <v>60</v>
      </c>
      <c r="C492" s="7" t="s">
        <v>359</v>
      </c>
      <c r="D492" s="9">
        <v>45969</v>
      </c>
      <c r="E492" s="9">
        <v>45999</v>
      </c>
      <c r="F492" s="3">
        <v>1973.28</v>
      </c>
      <c r="G492" s="7" t="s">
        <v>367</v>
      </c>
    </row>
    <row r="493" spans="1:7" x14ac:dyDescent="0.3">
      <c r="A493" s="7" t="s">
        <v>860</v>
      </c>
      <c r="B493" s="7" t="s">
        <v>22</v>
      </c>
      <c r="C493" s="7" t="s">
        <v>359</v>
      </c>
      <c r="D493" s="9">
        <v>45978</v>
      </c>
      <c r="E493" s="9">
        <v>46008</v>
      </c>
      <c r="F493" s="3">
        <v>1670.35</v>
      </c>
      <c r="G493" s="7" t="s">
        <v>367</v>
      </c>
    </row>
    <row r="494" spans="1:7" x14ac:dyDescent="0.3">
      <c r="A494" s="7" t="s">
        <v>861</v>
      </c>
      <c r="B494" s="7" t="s">
        <v>73</v>
      </c>
      <c r="C494" s="7" t="s">
        <v>357</v>
      </c>
      <c r="D494" s="9">
        <v>46006</v>
      </c>
      <c r="E494" s="9">
        <v>46036</v>
      </c>
      <c r="F494" s="3">
        <v>3742.66</v>
      </c>
      <c r="G494" s="7" t="s">
        <v>367</v>
      </c>
    </row>
    <row r="495" spans="1:7" x14ac:dyDescent="0.3">
      <c r="A495" s="7" t="s">
        <v>862</v>
      </c>
      <c r="B495" s="7" t="s">
        <v>106</v>
      </c>
      <c r="C495" s="7" t="s">
        <v>349</v>
      </c>
      <c r="D495" s="9">
        <v>46087</v>
      </c>
      <c r="E495" s="9">
        <v>46117</v>
      </c>
      <c r="F495" s="3">
        <v>3544.9</v>
      </c>
      <c r="G495" s="7" t="s">
        <v>369</v>
      </c>
    </row>
    <row r="496" spans="1:7" x14ac:dyDescent="0.3">
      <c r="A496" s="7" t="s">
        <v>863</v>
      </c>
      <c r="B496" s="7" t="s">
        <v>32</v>
      </c>
      <c r="C496" s="7" t="s">
        <v>353</v>
      </c>
      <c r="D496" s="9">
        <v>46094</v>
      </c>
      <c r="E496" s="9">
        <v>46124</v>
      </c>
      <c r="F496" s="3">
        <v>2327.3000000000002</v>
      </c>
      <c r="G496" s="7" t="s">
        <v>367</v>
      </c>
    </row>
    <row r="497" spans="1:7" x14ac:dyDescent="0.3">
      <c r="A497" s="7" t="s">
        <v>864</v>
      </c>
      <c r="B497" s="7" t="s">
        <v>66</v>
      </c>
      <c r="C497" s="7" t="s">
        <v>353</v>
      </c>
      <c r="D497" s="9">
        <v>46107</v>
      </c>
      <c r="E497" s="9">
        <v>46137</v>
      </c>
      <c r="F497" s="3">
        <v>2563.81</v>
      </c>
      <c r="G497" s="7" t="s">
        <v>367</v>
      </c>
    </row>
    <row r="498" spans="1:7" x14ac:dyDescent="0.3">
      <c r="A498" s="7" t="s">
        <v>865</v>
      </c>
      <c r="B498" s="7" t="s">
        <v>76</v>
      </c>
      <c r="C498" s="7" t="s">
        <v>353</v>
      </c>
      <c r="D498" s="9">
        <v>45973</v>
      </c>
      <c r="E498" s="9">
        <v>46003</v>
      </c>
      <c r="F498" s="3">
        <v>2591.69</v>
      </c>
      <c r="G498" s="7" t="s">
        <v>367</v>
      </c>
    </row>
    <row r="499" spans="1:7" x14ac:dyDescent="0.3">
      <c r="A499" s="7" t="s">
        <v>866</v>
      </c>
      <c r="B499" s="7" t="s">
        <v>51</v>
      </c>
      <c r="C499" s="7" t="s">
        <v>351</v>
      </c>
      <c r="D499" s="9">
        <v>45965</v>
      </c>
      <c r="E499" s="9">
        <v>45995</v>
      </c>
      <c r="F499" s="3">
        <v>4301.13</v>
      </c>
      <c r="G499" s="7" t="s">
        <v>367</v>
      </c>
    </row>
    <row r="500" spans="1:7" x14ac:dyDescent="0.3">
      <c r="A500" s="7" t="s">
        <v>867</v>
      </c>
      <c r="B500" s="7" t="s">
        <v>7</v>
      </c>
      <c r="C500" s="7" t="s">
        <v>359</v>
      </c>
      <c r="D500" s="9">
        <v>46017</v>
      </c>
      <c r="E500" s="9">
        <v>46047</v>
      </c>
      <c r="F500" s="3">
        <v>2044.49</v>
      </c>
      <c r="G500" s="7" t="s">
        <v>387</v>
      </c>
    </row>
    <row r="501" spans="1:7" x14ac:dyDescent="0.3">
      <c r="A501" s="7" t="s">
        <v>868</v>
      </c>
      <c r="B501" s="7" t="s">
        <v>33</v>
      </c>
      <c r="C501" s="7" t="s">
        <v>359</v>
      </c>
      <c r="D501" s="9">
        <v>45975</v>
      </c>
      <c r="E501" s="9">
        <v>46005</v>
      </c>
      <c r="F501" s="3">
        <v>1710.92</v>
      </c>
      <c r="G501" s="7" t="s">
        <v>367</v>
      </c>
    </row>
    <row r="502" spans="1:7" x14ac:dyDescent="0.3">
      <c r="A502" s="7" t="s">
        <v>869</v>
      </c>
      <c r="B502" s="7" t="s">
        <v>25</v>
      </c>
      <c r="C502" s="7" t="s">
        <v>357</v>
      </c>
      <c r="D502" s="9">
        <v>46067</v>
      </c>
      <c r="E502" s="9">
        <v>46097</v>
      </c>
      <c r="F502" s="3">
        <v>4176.3599999999997</v>
      </c>
      <c r="G502" s="7" t="s">
        <v>387</v>
      </c>
    </row>
    <row r="503" spans="1:7" x14ac:dyDescent="0.3">
      <c r="A503" s="7" t="s">
        <v>870</v>
      </c>
      <c r="B503" s="7" t="s">
        <v>73</v>
      </c>
      <c r="C503" s="7" t="s">
        <v>359</v>
      </c>
      <c r="D503" s="9">
        <v>46096</v>
      </c>
      <c r="E503" s="9">
        <v>46126</v>
      </c>
      <c r="F503" s="3">
        <v>1641.47</v>
      </c>
      <c r="G503" s="7" t="s">
        <v>369</v>
      </c>
    </row>
    <row r="504" spans="1:7" x14ac:dyDescent="0.3">
      <c r="A504" s="7" t="s">
        <v>871</v>
      </c>
      <c r="B504" s="7" t="s">
        <v>17</v>
      </c>
      <c r="C504" s="7" t="s">
        <v>355</v>
      </c>
      <c r="D504" s="9">
        <v>46025</v>
      </c>
      <c r="E504" s="9">
        <v>46055</v>
      </c>
      <c r="F504" s="3">
        <v>12964.07</v>
      </c>
      <c r="G504" s="7" t="s">
        <v>387</v>
      </c>
    </row>
    <row r="505" spans="1:7" x14ac:dyDescent="0.3">
      <c r="A505" s="7" t="s">
        <v>872</v>
      </c>
      <c r="B505" s="7" t="s">
        <v>16</v>
      </c>
      <c r="C505" s="7" t="s">
        <v>357</v>
      </c>
      <c r="D505" s="9">
        <v>45999</v>
      </c>
      <c r="E505" s="9">
        <v>46029</v>
      </c>
      <c r="F505" s="3">
        <v>2933.81</v>
      </c>
      <c r="G505" s="7" t="s">
        <v>369</v>
      </c>
    </row>
    <row r="506" spans="1:7" x14ac:dyDescent="0.3">
      <c r="A506" s="7" t="s">
        <v>873</v>
      </c>
      <c r="B506" s="7" t="s">
        <v>37</v>
      </c>
      <c r="C506" s="7" t="s">
        <v>357</v>
      </c>
      <c r="D506" s="9">
        <v>45978</v>
      </c>
      <c r="E506" s="9">
        <v>46008</v>
      </c>
      <c r="F506" s="3">
        <v>3594.95</v>
      </c>
      <c r="G506" s="7" t="s">
        <v>387</v>
      </c>
    </row>
    <row r="507" spans="1:7" x14ac:dyDescent="0.3">
      <c r="A507" s="7" t="s">
        <v>874</v>
      </c>
      <c r="B507" s="7" t="s">
        <v>101</v>
      </c>
      <c r="C507" s="7" t="s">
        <v>353</v>
      </c>
      <c r="D507" s="9">
        <v>46068</v>
      </c>
      <c r="E507" s="9">
        <v>46098</v>
      </c>
      <c r="F507" s="3">
        <v>2260.9899999999998</v>
      </c>
      <c r="G507" s="7" t="s">
        <v>367</v>
      </c>
    </row>
    <row r="508" spans="1:7" x14ac:dyDescent="0.3">
      <c r="A508" s="7" t="s">
        <v>875</v>
      </c>
      <c r="B508" s="7" t="s">
        <v>32</v>
      </c>
      <c r="C508" s="7" t="s">
        <v>353</v>
      </c>
      <c r="D508" s="9">
        <v>45968</v>
      </c>
      <c r="E508" s="9">
        <v>45998</v>
      </c>
      <c r="F508" s="3">
        <v>2318.06</v>
      </c>
      <c r="G508" s="7" t="s">
        <v>367</v>
      </c>
    </row>
    <row r="509" spans="1:7" x14ac:dyDescent="0.3">
      <c r="A509" s="7" t="s">
        <v>876</v>
      </c>
      <c r="B509" s="7" t="s">
        <v>28</v>
      </c>
      <c r="C509" s="7" t="s">
        <v>351</v>
      </c>
      <c r="D509" s="9">
        <v>46106</v>
      </c>
      <c r="E509" s="9">
        <v>46136</v>
      </c>
      <c r="F509" s="3">
        <v>5559.87</v>
      </c>
      <c r="G509" s="7" t="s">
        <v>367</v>
      </c>
    </row>
    <row r="510" spans="1:7" x14ac:dyDescent="0.3">
      <c r="A510" s="7" t="s">
        <v>877</v>
      </c>
      <c r="B510" s="7" t="s">
        <v>105</v>
      </c>
      <c r="C510" s="7" t="s">
        <v>355</v>
      </c>
      <c r="D510" s="9">
        <v>46018</v>
      </c>
      <c r="E510" s="9">
        <v>46048</v>
      </c>
      <c r="F510" s="3">
        <v>11837.06</v>
      </c>
      <c r="G510" s="7" t="s">
        <v>367</v>
      </c>
    </row>
    <row r="511" spans="1:7" x14ac:dyDescent="0.3">
      <c r="A511" s="7" t="s">
        <v>878</v>
      </c>
      <c r="B511" s="7" t="s">
        <v>18</v>
      </c>
      <c r="C511" s="7" t="s">
        <v>351</v>
      </c>
      <c r="D511" s="9">
        <v>45964</v>
      </c>
      <c r="E511" s="9">
        <v>45994</v>
      </c>
      <c r="F511" s="3">
        <v>4903.83</v>
      </c>
      <c r="G511" s="7" t="s">
        <v>369</v>
      </c>
    </row>
    <row r="512" spans="1:7" x14ac:dyDescent="0.3">
      <c r="A512" s="7" t="s">
        <v>879</v>
      </c>
      <c r="B512" s="7" t="s">
        <v>12</v>
      </c>
      <c r="C512" s="7" t="s">
        <v>351</v>
      </c>
      <c r="D512" s="9">
        <v>46071</v>
      </c>
      <c r="E512" s="9">
        <v>46101</v>
      </c>
      <c r="F512" s="3">
        <v>5615.19</v>
      </c>
      <c r="G512" s="7" t="s">
        <v>367</v>
      </c>
    </row>
    <row r="513" spans="1:7" x14ac:dyDescent="0.3">
      <c r="A513" s="7" t="s">
        <v>880</v>
      </c>
      <c r="B513" s="7" t="s">
        <v>38</v>
      </c>
      <c r="C513" s="7" t="s">
        <v>351</v>
      </c>
      <c r="D513" s="9">
        <v>46014</v>
      </c>
      <c r="E513" s="9">
        <v>46044</v>
      </c>
      <c r="F513" s="3">
        <v>5671.85</v>
      </c>
      <c r="G513" s="7" t="s">
        <v>367</v>
      </c>
    </row>
    <row r="514" spans="1:7" x14ac:dyDescent="0.3">
      <c r="A514" s="7" t="s">
        <v>881</v>
      </c>
      <c r="B514" s="7" t="s">
        <v>111</v>
      </c>
      <c r="C514" s="7" t="s">
        <v>353</v>
      </c>
      <c r="D514" s="9">
        <v>45996</v>
      </c>
      <c r="E514" s="9">
        <v>46026</v>
      </c>
      <c r="F514" s="3">
        <v>2396.2399999999998</v>
      </c>
      <c r="G514" s="7" t="s">
        <v>367</v>
      </c>
    </row>
    <row r="515" spans="1:7" x14ac:dyDescent="0.3">
      <c r="A515" s="7" t="s">
        <v>882</v>
      </c>
      <c r="B515" s="7" t="s">
        <v>77</v>
      </c>
      <c r="C515" s="7" t="s">
        <v>351</v>
      </c>
      <c r="D515" s="9">
        <v>46100</v>
      </c>
      <c r="E515" s="9">
        <v>46130</v>
      </c>
      <c r="F515" s="3">
        <v>4062.16</v>
      </c>
      <c r="G515" s="7" t="s">
        <v>367</v>
      </c>
    </row>
    <row r="516" spans="1:7" x14ac:dyDescent="0.3">
      <c r="A516" s="7" t="s">
        <v>883</v>
      </c>
      <c r="B516" s="7" t="s">
        <v>14</v>
      </c>
      <c r="C516" s="7" t="s">
        <v>351</v>
      </c>
      <c r="D516" s="9">
        <v>45974</v>
      </c>
      <c r="E516" s="9">
        <v>46004</v>
      </c>
      <c r="F516" s="3">
        <v>4189.45</v>
      </c>
      <c r="G516" s="7" t="s">
        <v>367</v>
      </c>
    </row>
    <row r="517" spans="1:7" x14ac:dyDescent="0.3">
      <c r="A517" s="7" t="s">
        <v>884</v>
      </c>
      <c r="B517" s="7" t="s">
        <v>87</v>
      </c>
      <c r="C517" s="7" t="s">
        <v>351</v>
      </c>
      <c r="D517" s="9">
        <v>46029</v>
      </c>
      <c r="E517" s="9">
        <v>46059</v>
      </c>
      <c r="F517" s="3">
        <v>4261.43</v>
      </c>
      <c r="G517" s="7" t="s">
        <v>367</v>
      </c>
    </row>
    <row r="518" spans="1:7" x14ac:dyDescent="0.3">
      <c r="A518" s="7" t="s">
        <v>885</v>
      </c>
      <c r="B518" s="7" t="s">
        <v>16</v>
      </c>
      <c r="C518" s="7" t="s">
        <v>359</v>
      </c>
      <c r="D518" s="9">
        <v>46110</v>
      </c>
      <c r="E518" s="9">
        <v>46140</v>
      </c>
      <c r="F518" s="3">
        <v>1500.51</v>
      </c>
      <c r="G518" s="7" t="s">
        <v>369</v>
      </c>
    </row>
    <row r="519" spans="1:7" x14ac:dyDescent="0.3">
      <c r="A519" s="7" t="s">
        <v>886</v>
      </c>
      <c r="B519" s="7" t="s">
        <v>23</v>
      </c>
      <c r="C519" s="7" t="s">
        <v>349</v>
      </c>
      <c r="D519" s="9">
        <v>46067</v>
      </c>
      <c r="E519" s="9">
        <v>46097</v>
      </c>
      <c r="F519" s="3">
        <v>3596.59</v>
      </c>
      <c r="G519" s="7" t="s">
        <v>367</v>
      </c>
    </row>
    <row r="520" spans="1:7" x14ac:dyDescent="0.3">
      <c r="A520" s="7" t="s">
        <v>887</v>
      </c>
      <c r="B520" s="7" t="s">
        <v>66</v>
      </c>
      <c r="C520" s="7" t="s">
        <v>349</v>
      </c>
      <c r="D520" s="9">
        <v>46037</v>
      </c>
      <c r="E520" s="9">
        <v>46067</v>
      </c>
      <c r="F520" s="3">
        <v>3486.09</v>
      </c>
      <c r="G520" s="7" t="s">
        <v>367</v>
      </c>
    </row>
    <row r="521" spans="1:7" x14ac:dyDescent="0.3">
      <c r="A521" s="7" t="s">
        <v>888</v>
      </c>
      <c r="B521" s="7" t="s">
        <v>57</v>
      </c>
      <c r="C521" s="7" t="s">
        <v>349</v>
      </c>
      <c r="D521" s="9">
        <v>46038</v>
      </c>
      <c r="E521" s="9">
        <v>46068</v>
      </c>
      <c r="F521" s="3">
        <v>2601.59</v>
      </c>
      <c r="G521" s="7" t="s">
        <v>369</v>
      </c>
    </row>
    <row r="522" spans="1:7" x14ac:dyDescent="0.3">
      <c r="A522" s="7" t="s">
        <v>889</v>
      </c>
      <c r="B522" s="7" t="s">
        <v>34</v>
      </c>
      <c r="C522" s="7" t="s">
        <v>355</v>
      </c>
      <c r="D522" s="9">
        <v>46109</v>
      </c>
      <c r="E522" s="9">
        <v>46139</v>
      </c>
      <c r="F522" s="3">
        <v>9741.52</v>
      </c>
      <c r="G522" s="7" t="s">
        <v>367</v>
      </c>
    </row>
    <row r="523" spans="1:7" x14ac:dyDescent="0.3">
      <c r="A523" s="7" t="s">
        <v>890</v>
      </c>
      <c r="B523" s="7" t="s">
        <v>86</v>
      </c>
      <c r="C523" s="7" t="s">
        <v>351</v>
      </c>
      <c r="D523" s="9">
        <v>46049</v>
      </c>
      <c r="E523" s="9">
        <v>46079</v>
      </c>
      <c r="F523" s="3">
        <v>4549.96</v>
      </c>
      <c r="G523" s="7" t="s">
        <v>367</v>
      </c>
    </row>
    <row r="524" spans="1:7" x14ac:dyDescent="0.3">
      <c r="A524" s="7" t="s">
        <v>891</v>
      </c>
      <c r="B524" s="7" t="s">
        <v>77</v>
      </c>
      <c r="C524" s="7" t="s">
        <v>357</v>
      </c>
      <c r="D524" s="9">
        <v>45998</v>
      </c>
      <c r="E524" s="9">
        <v>46028</v>
      </c>
      <c r="F524" s="3">
        <v>3144.1</v>
      </c>
      <c r="G524" s="7" t="s">
        <v>367</v>
      </c>
    </row>
    <row r="525" spans="1:7" x14ac:dyDescent="0.3">
      <c r="A525" s="7" t="s">
        <v>892</v>
      </c>
      <c r="B525" s="7" t="s">
        <v>32</v>
      </c>
      <c r="C525" s="7" t="s">
        <v>355</v>
      </c>
      <c r="D525" s="9">
        <v>45969</v>
      </c>
      <c r="E525" s="9">
        <v>45999</v>
      </c>
      <c r="F525" s="3">
        <v>9892.7000000000007</v>
      </c>
      <c r="G525" s="7" t="s">
        <v>367</v>
      </c>
    </row>
    <row r="526" spans="1:7" x14ac:dyDescent="0.3">
      <c r="A526" s="7" t="s">
        <v>893</v>
      </c>
      <c r="B526" s="7" t="s">
        <v>109</v>
      </c>
      <c r="C526" s="7" t="s">
        <v>359</v>
      </c>
      <c r="D526" s="9">
        <v>46013</v>
      </c>
      <c r="E526" s="9">
        <v>46043</v>
      </c>
      <c r="F526" s="3">
        <v>2076.9499999999998</v>
      </c>
      <c r="G526" s="7" t="s">
        <v>367</v>
      </c>
    </row>
    <row r="527" spans="1:7" x14ac:dyDescent="0.3">
      <c r="A527" s="7" t="s">
        <v>894</v>
      </c>
      <c r="B527" s="7" t="s">
        <v>76</v>
      </c>
      <c r="C527" s="7" t="s">
        <v>357</v>
      </c>
      <c r="D527" s="9">
        <v>45962</v>
      </c>
      <c r="E527" s="9">
        <v>45992</v>
      </c>
      <c r="F527" s="3">
        <v>3912.78</v>
      </c>
      <c r="G527" s="7" t="s">
        <v>367</v>
      </c>
    </row>
    <row r="528" spans="1:7" x14ac:dyDescent="0.3">
      <c r="A528" s="7" t="s">
        <v>895</v>
      </c>
      <c r="B528" s="7" t="s">
        <v>41</v>
      </c>
      <c r="C528" s="7" t="s">
        <v>355</v>
      </c>
      <c r="D528" s="9">
        <v>46092</v>
      </c>
      <c r="E528" s="9">
        <v>46122</v>
      </c>
      <c r="F528" s="3">
        <v>11251.36</v>
      </c>
      <c r="G528" s="7" t="s">
        <v>367</v>
      </c>
    </row>
    <row r="529" spans="1:7" x14ac:dyDescent="0.3">
      <c r="A529" s="7" t="s">
        <v>896</v>
      </c>
      <c r="B529" s="7" t="s">
        <v>110</v>
      </c>
      <c r="C529" s="7" t="s">
        <v>351</v>
      </c>
      <c r="D529" s="9">
        <v>46086</v>
      </c>
      <c r="E529" s="9">
        <v>46116</v>
      </c>
      <c r="F529" s="3">
        <v>4052.13</v>
      </c>
      <c r="G529" s="7" t="s">
        <v>367</v>
      </c>
    </row>
    <row r="530" spans="1:7" x14ac:dyDescent="0.3">
      <c r="A530" s="7" t="s">
        <v>897</v>
      </c>
      <c r="B530" s="7" t="s">
        <v>81</v>
      </c>
      <c r="C530" s="7" t="s">
        <v>353</v>
      </c>
      <c r="D530" s="9">
        <v>45969</v>
      </c>
      <c r="E530" s="9">
        <v>45999</v>
      </c>
      <c r="F530" s="3">
        <v>2058.59</v>
      </c>
      <c r="G530" s="7" t="s">
        <v>367</v>
      </c>
    </row>
    <row r="531" spans="1:7" x14ac:dyDescent="0.3">
      <c r="A531" s="7" t="s">
        <v>898</v>
      </c>
      <c r="B531" s="7" t="s">
        <v>41</v>
      </c>
      <c r="C531" s="7" t="s">
        <v>351</v>
      </c>
      <c r="D531" s="9">
        <v>45969</v>
      </c>
      <c r="E531" s="9">
        <v>45999</v>
      </c>
      <c r="F531" s="3">
        <v>5947.96</v>
      </c>
      <c r="G531" s="7" t="s">
        <v>367</v>
      </c>
    </row>
    <row r="532" spans="1:7" x14ac:dyDescent="0.3">
      <c r="A532" s="7" t="s">
        <v>899</v>
      </c>
      <c r="B532" s="7" t="s">
        <v>35</v>
      </c>
      <c r="C532" s="7" t="s">
        <v>357</v>
      </c>
      <c r="D532" s="9">
        <v>46086</v>
      </c>
      <c r="E532" s="9">
        <v>46116</v>
      </c>
      <c r="F532" s="3">
        <v>3942.8</v>
      </c>
      <c r="G532" s="7" t="s">
        <v>369</v>
      </c>
    </row>
    <row r="533" spans="1:7" x14ac:dyDescent="0.3">
      <c r="A533" s="7" t="s">
        <v>900</v>
      </c>
      <c r="B533" s="7" t="s">
        <v>114</v>
      </c>
      <c r="C533" s="7" t="s">
        <v>357</v>
      </c>
      <c r="D533" s="9">
        <v>46064</v>
      </c>
      <c r="E533" s="9">
        <v>46094</v>
      </c>
      <c r="F533" s="3">
        <v>3985.11</v>
      </c>
      <c r="G533" s="7" t="s">
        <v>367</v>
      </c>
    </row>
    <row r="534" spans="1:7" x14ac:dyDescent="0.3">
      <c r="A534" s="7" t="s">
        <v>901</v>
      </c>
      <c r="B534" s="7" t="s">
        <v>96</v>
      </c>
      <c r="C534" s="7" t="s">
        <v>351</v>
      </c>
      <c r="D534" s="9">
        <v>46052</v>
      </c>
      <c r="E534" s="9">
        <v>46082</v>
      </c>
      <c r="F534" s="3">
        <v>4352.2</v>
      </c>
      <c r="G534" s="7" t="s">
        <v>369</v>
      </c>
    </row>
    <row r="535" spans="1:7" x14ac:dyDescent="0.3">
      <c r="A535" s="7" t="s">
        <v>902</v>
      </c>
      <c r="B535" s="7" t="s">
        <v>79</v>
      </c>
      <c r="C535" s="7" t="s">
        <v>353</v>
      </c>
      <c r="D535" s="9">
        <v>46079</v>
      </c>
      <c r="E535" s="9">
        <v>46109</v>
      </c>
      <c r="F535" s="3">
        <v>2913.98</v>
      </c>
      <c r="G535" s="7" t="s">
        <v>367</v>
      </c>
    </row>
    <row r="536" spans="1:7" x14ac:dyDescent="0.3">
      <c r="A536" s="7" t="s">
        <v>903</v>
      </c>
      <c r="B536" s="7" t="s">
        <v>29</v>
      </c>
      <c r="C536" s="7" t="s">
        <v>357</v>
      </c>
      <c r="D536" s="9">
        <v>46041</v>
      </c>
      <c r="E536" s="9">
        <v>46071</v>
      </c>
      <c r="F536" s="3">
        <v>2998.94</v>
      </c>
      <c r="G536" s="7" t="s">
        <v>367</v>
      </c>
    </row>
    <row r="537" spans="1:7" x14ac:dyDescent="0.3">
      <c r="A537" s="7" t="s">
        <v>904</v>
      </c>
      <c r="B537" s="7" t="s">
        <v>9</v>
      </c>
      <c r="C537" s="7" t="s">
        <v>355</v>
      </c>
      <c r="D537" s="9">
        <v>45978</v>
      </c>
      <c r="E537" s="9">
        <v>46008</v>
      </c>
      <c r="F537" s="3">
        <v>9782.23</v>
      </c>
      <c r="G537" s="7" t="s">
        <v>367</v>
      </c>
    </row>
    <row r="538" spans="1:7" x14ac:dyDescent="0.3">
      <c r="A538" s="7" t="s">
        <v>905</v>
      </c>
      <c r="B538" s="7" t="s">
        <v>23</v>
      </c>
      <c r="C538" s="7" t="s">
        <v>357</v>
      </c>
      <c r="D538" s="9">
        <v>46026</v>
      </c>
      <c r="E538" s="9">
        <v>46056</v>
      </c>
      <c r="F538" s="3">
        <v>3469.18</v>
      </c>
      <c r="G538" s="7" t="s">
        <v>367</v>
      </c>
    </row>
    <row r="539" spans="1:7" x14ac:dyDescent="0.3">
      <c r="A539" s="7" t="s">
        <v>906</v>
      </c>
      <c r="B539" s="7" t="s">
        <v>25</v>
      </c>
      <c r="C539" s="7" t="s">
        <v>353</v>
      </c>
      <c r="D539" s="9">
        <v>46072</v>
      </c>
      <c r="E539" s="9">
        <v>46102</v>
      </c>
      <c r="F539" s="3">
        <v>2716.94</v>
      </c>
      <c r="G539" s="7" t="s">
        <v>367</v>
      </c>
    </row>
    <row r="540" spans="1:7" x14ac:dyDescent="0.3">
      <c r="A540" s="7" t="s">
        <v>907</v>
      </c>
      <c r="B540" s="7" t="s">
        <v>117</v>
      </c>
      <c r="C540" s="7" t="s">
        <v>357</v>
      </c>
      <c r="D540" s="9">
        <v>45974</v>
      </c>
      <c r="E540" s="9">
        <v>46004</v>
      </c>
      <c r="F540" s="3">
        <v>3786.57</v>
      </c>
      <c r="G540" s="7" t="s">
        <v>369</v>
      </c>
    </row>
    <row r="541" spans="1:7" x14ac:dyDescent="0.3">
      <c r="A541" s="7" t="s">
        <v>908</v>
      </c>
      <c r="B541" s="7" t="s">
        <v>57</v>
      </c>
      <c r="C541" s="7" t="s">
        <v>353</v>
      </c>
      <c r="D541" s="9">
        <v>46077</v>
      </c>
      <c r="E541" s="9">
        <v>46107</v>
      </c>
      <c r="F541" s="3">
        <v>2960.56</v>
      </c>
      <c r="G541" s="7" t="s">
        <v>369</v>
      </c>
    </row>
    <row r="542" spans="1:7" x14ac:dyDescent="0.3">
      <c r="A542" s="7" t="s">
        <v>909</v>
      </c>
      <c r="B542" s="7" t="s">
        <v>27</v>
      </c>
      <c r="C542" s="7" t="s">
        <v>357</v>
      </c>
      <c r="D542" s="9">
        <v>46109</v>
      </c>
      <c r="E542" s="9">
        <v>46139</v>
      </c>
      <c r="F542" s="3">
        <v>2941.45</v>
      </c>
      <c r="G542" s="7" t="s">
        <v>367</v>
      </c>
    </row>
    <row r="543" spans="1:7" x14ac:dyDescent="0.3">
      <c r="A543" s="7" t="s">
        <v>910</v>
      </c>
      <c r="B543" s="7" t="s">
        <v>90</v>
      </c>
      <c r="C543" s="7" t="s">
        <v>359</v>
      </c>
      <c r="D543" s="9">
        <v>45997</v>
      </c>
      <c r="E543" s="9">
        <v>46027</v>
      </c>
      <c r="F543" s="3">
        <v>2123.06</v>
      </c>
      <c r="G543" s="7" t="s">
        <v>387</v>
      </c>
    </row>
    <row r="544" spans="1:7" x14ac:dyDescent="0.3">
      <c r="A544" s="7" t="s">
        <v>911</v>
      </c>
      <c r="B544" s="7" t="s">
        <v>85</v>
      </c>
      <c r="C544" s="7" t="s">
        <v>353</v>
      </c>
      <c r="D544" s="9">
        <v>46090</v>
      </c>
      <c r="E544" s="9">
        <v>46120</v>
      </c>
      <c r="F544" s="3">
        <v>2174.1999999999998</v>
      </c>
      <c r="G544" s="7" t="s">
        <v>369</v>
      </c>
    </row>
    <row r="545" spans="1:7" x14ac:dyDescent="0.3">
      <c r="A545" s="7" t="s">
        <v>912</v>
      </c>
      <c r="B545" s="7" t="s">
        <v>100</v>
      </c>
      <c r="C545" s="7" t="s">
        <v>353</v>
      </c>
      <c r="D545" s="9">
        <v>46107</v>
      </c>
      <c r="E545" s="9">
        <v>46137</v>
      </c>
      <c r="F545" s="3">
        <v>2223.2399999999998</v>
      </c>
      <c r="G545" s="7" t="s">
        <v>367</v>
      </c>
    </row>
    <row r="546" spans="1:7" x14ac:dyDescent="0.3">
      <c r="A546" s="7" t="s">
        <v>913</v>
      </c>
      <c r="B546" s="7" t="s">
        <v>96</v>
      </c>
      <c r="C546" s="7" t="s">
        <v>359</v>
      </c>
      <c r="D546" s="9">
        <v>46106</v>
      </c>
      <c r="E546" s="9">
        <v>46136</v>
      </c>
      <c r="F546" s="3">
        <v>1652.05</v>
      </c>
      <c r="G546" s="7" t="s">
        <v>367</v>
      </c>
    </row>
    <row r="547" spans="1:7" x14ac:dyDescent="0.3">
      <c r="A547" s="7" t="s">
        <v>914</v>
      </c>
      <c r="B547" s="7" t="s">
        <v>84</v>
      </c>
      <c r="C547" s="7" t="s">
        <v>357</v>
      </c>
      <c r="D547" s="9">
        <v>46079</v>
      </c>
      <c r="E547" s="9">
        <v>46109</v>
      </c>
      <c r="F547" s="3">
        <v>3348.24</v>
      </c>
      <c r="G547" s="7" t="s">
        <v>367</v>
      </c>
    </row>
    <row r="548" spans="1:7" x14ac:dyDescent="0.3">
      <c r="A548" s="7" t="s">
        <v>915</v>
      </c>
      <c r="B548" s="7" t="s">
        <v>20</v>
      </c>
      <c r="C548" s="7" t="s">
        <v>353</v>
      </c>
      <c r="D548" s="9">
        <v>46046</v>
      </c>
      <c r="E548" s="9">
        <v>46076</v>
      </c>
      <c r="F548" s="3">
        <v>2921.04</v>
      </c>
      <c r="G548" s="7" t="s">
        <v>367</v>
      </c>
    </row>
    <row r="549" spans="1:7" x14ac:dyDescent="0.3">
      <c r="A549" s="7" t="s">
        <v>916</v>
      </c>
      <c r="B549" s="7" t="s">
        <v>47</v>
      </c>
      <c r="C549" s="7" t="s">
        <v>355</v>
      </c>
      <c r="D549" s="9">
        <v>46005</v>
      </c>
      <c r="E549" s="9">
        <v>46035</v>
      </c>
      <c r="F549" s="3">
        <v>10275.09</v>
      </c>
      <c r="G549" s="7" t="s">
        <v>367</v>
      </c>
    </row>
    <row r="550" spans="1:7" x14ac:dyDescent="0.3">
      <c r="A550" s="7" t="s">
        <v>917</v>
      </c>
      <c r="B550" s="7" t="s">
        <v>100</v>
      </c>
      <c r="C550" s="7" t="s">
        <v>351</v>
      </c>
      <c r="D550" s="9">
        <v>46065</v>
      </c>
      <c r="E550" s="9">
        <v>46095</v>
      </c>
      <c r="F550" s="3">
        <v>5272.37</v>
      </c>
      <c r="G550" s="7" t="s">
        <v>367</v>
      </c>
    </row>
    <row r="551" spans="1:7" x14ac:dyDescent="0.3">
      <c r="A551" s="7" t="s">
        <v>918</v>
      </c>
      <c r="B551" s="7" t="s">
        <v>15</v>
      </c>
      <c r="C551" s="7" t="s">
        <v>353</v>
      </c>
      <c r="D551" s="9">
        <v>46104</v>
      </c>
      <c r="E551" s="9">
        <v>46134</v>
      </c>
      <c r="F551" s="3">
        <v>2446.63</v>
      </c>
      <c r="G551" s="7" t="s">
        <v>367</v>
      </c>
    </row>
    <row r="552" spans="1:7" x14ac:dyDescent="0.3">
      <c r="A552" s="7" t="s">
        <v>919</v>
      </c>
      <c r="B552" s="7" t="s">
        <v>56</v>
      </c>
      <c r="C552" s="7" t="s">
        <v>353</v>
      </c>
      <c r="D552" s="9">
        <v>46061</v>
      </c>
      <c r="E552" s="9">
        <v>46091</v>
      </c>
      <c r="F552" s="3">
        <v>2256.66</v>
      </c>
      <c r="G552" s="7" t="s">
        <v>367</v>
      </c>
    </row>
    <row r="553" spans="1:7" x14ac:dyDescent="0.3">
      <c r="A553" s="7" t="s">
        <v>920</v>
      </c>
      <c r="B553" s="7" t="s">
        <v>55</v>
      </c>
      <c r="C553" s="7" t="s">
        <v>355</v>
      </c>
      <c r="D553" s="9">
        <v>45963</v>
      </c>
      <c r="E553" s="9">
        <v>45993</v>
      </c>
      <c r="F553" s="3">
        <v>13116.41</v>
      </c>
      <c r="G553" s="7" t="s">
        <v>367</v>
      </c>
    </row>
    <row r="554" spans="1:7" x14ac:dyDescent="0.3">
      <c r="A554" s="7" t="s">
        <v>921</v>
      </c>
      <c r="B554" s="7" t="s">
        <v>80</v>
      </c>
      <c r="C554" s="7" t="s">
        <v>353</v>
      </c>
      <c r="D554" s="9">
        <v>46008</v>
      </c>
      <c r="E554" s="9">
        <v>46038</v>
      </c>
      <c r="F554" s="3">
        <v>2546.02</v>
      </c>
      <c r="G554" s="7" t="s">
        <v>369</v>
      </c>
    </row>
    <row r="555" spans="1:7" x14ac:dyDescent="0.3">
      <c r="A555" s="7" t="s">
        <v>922</v>
      </c>
      <c r="B555" s="7" t="s">
        <v>109</v>
      </c>
      <c r="C555" s="7" t="s">
        <v>359</v>
      </c>
      <c r="D555" s="9">
        <v>46003</v>
      </c>
      <c r="E555" s="9">
        <v>46033</v>
      </c>
      <c r="F555" s="3">
        <v>1985.94</v>
      </c>
      <c r="G555" s="7" t="s">
        <v>367</v>
      </c>
    </row>
    <row r="556" spans="1:7" x14ac:dyDescent="0.3">
      <c r="A556" s="7" t="s">
        <v>923</v>
      </c>
      <c r="B556" s="7" t="s">
        <v>16</v>
      </c>
      <c r="C556" s="7" t="s">
        <v>349</v>
      </c>
      <c r="D556" s="9">
        <v>46053</v>
      </c>
      <c r="E556" s="9">
        <v>46083</v>
      </c>
      <c r="F556" s="3">
        <v>2753.89</v>
      </c>
      <c r="G556" s="7" t="s">
        <v>387</v>
      </c>
    </row>
    <row r="557" spans="1:7" x14ac:dyDescent="0.3">
      <c r="A557" s="7" t="s">
        <v>924</v>
      </c>
      <c r="B557" s="7" t="s">
        <v>77</v>
      </c>
      <c r="C557" s="7" t="s">
        <v>353</v>
      </c>
      <c r="D557" s="9">
        <v>45974</v>
      </c>
      <c r="E557" s="9">
        <v>46004</v>
      </c>
      <c r="F557" s="3">
        <v>2170.11</v>
      </c>
      <c r="G557" s="7" t="s">
        <v>367</v>
      </c>
    </row>
    <row r="558" spans="1:7" x14ac:dyDescent="0.3">
      <c r="A558" s="7" t="s">
        <v>925</v>
      </c>
      <c r="B558" s="7" t="s">
        <v>62</v>
      </c>
      <c r="C558" s="7" t="s">
        <v>349</v>
      </c>
      <c r="D558" s="9">
        <v>46109</v>
      </c>
      <c r="E558" s="9">
        <v>46139</v>
      </c>
      <c r="F558" s="3">
        <v>2805.54</v>
      </c>
      <c r="G558" s="7" t="s">
        <v>367</v>
      </c>
    </row>
    <row r="559" spans="1:7" x14ac:dyDescent="0.3">
      <c r="A559" s="7" t="s">
        <v>926</v>
      </c>
      <c r="B559" s="7" t="s">
        <v>49</v>
      </c>
      <c r="C559" s="7" t="s">
        <v>359</v>
      </c>
      <c r="D559" s="9">
        <v>46105</v>
      </c>
      <c r="E559" s="9">
        <v>46135</v>
      </c>
      <c r="F559" s="3">
        <v>1558.8</v>
      </c>
      <c r="G559" s="7" t="s">
        <v>367</v>
      </c>
    </row>
    <row r="560" spans="1:7" x14ac:dyDescent="0.3">
      <c r="A560" s="7" t="s">
        <v>927</v>
      </c>
      <c r="B560" s="7" t="s">
        <v>100</v>
      </c>
      <c r="C560" s="7" t="s">
        <v>351</v>
      </c>
      <c r="D560" s="9">
        <v>45986</v>
      </c>
      <c r="E560" s="9">
        <v>46016</v>
      </c>
      <c r="F560" s="3">
        <v>5948.8</v>
      </c>
      <c r="G560" s="7" t="s">
        <v>367</v>
      </c>
    </row>
    <row r="561" spans="1:7" x14ac:dyDescent="0.3">
      <c r="A561" s="7" t="s">
        <v>928</v>
      </c>
      <c r="B561" s="7" t="s">
        <v>13</v>
      </c>
      <c r="C561" s="7" t="s">
        <v>357</v>
      </c>
      <c r="D561" s="9">
        <v>46041</v>
      </c>
      <c r="E561" s="9">
        <v>46071</v>
      </c>
      <c r="F561" s="3">
        <v>3171.37</v>
      </c>
      <c r="G561" s="7" t="s">
        <v>367</v>
      </c>
    </row>
    <row r="562" spans="1:7" x14ac:dyDescent="0.3">
      <c r="A562" s="7" t="s">
        <v>929</v>
      </c>
      <c r="B562" s="7" t="s">
        <v>53</v>
      </c>
      <c r="C562" s="7" t="s">
        <v>355</v>
      </c>
      <c r="D562" s="9">
        <v>46083</v>
      </c>
      <c r="E562" s="9">
        <v>46113</v>
      </c>
      <c r="F562" s="3">
        <v>12344.5</v>
      </c>
      <c r="G562" s="7" t="s">
        <v>367</v>
      </c>
    </row>
    <row r="563" spans="1:7" x14ac:dyDescent="0.3">
      <c r="A563" s="7" t="s">
        <v>930</v>
      </c>
      <c r="B563" s="7" t="s">
        <v>68</v>
      </c>
      <c r="C563" s="7" t="s">
        <v>349</v>
      </c>
      <c r="D563" s="9">
        <v>46092</v>
      </c>
      <c r="E563" s="9">
        <v>46122</v>
      </c>
      <c r="F563" s="3">
        <v>2913.13</v>
      </c>
      <c r="G563" s="7" t="s">
        <v>367</v>
      </c>
    </row>
    <row r="564" spans="1:7" x14ac:dyDescent="0.3">
      <c r="A564" s="7" t="s">
        <v>931</v>
      </c>
      <c r="B564" s="7" t="s">
        <v>17</v>
      </c>
      <c r="C564" s="7" t="s">
        <v>351</v>
      </c>
      <c r="D564" s="9">
        <v>45986</v>
      </c>
      <c r="E564" s="9">
        <v>46016</v>
      </c>
      <c r="F564" s="3">
        <v>4193.97</v>
      </c>
      <c r="G564" s="7" t="s">
        <v>367</v>
      </c>
    </row>
    <row r="565" spans="1:7" x14ac:dyDescent="0.3">
      <c r="A565" s="7" t="s">
        <v>932</v>
      </c>
      <c r="B565" s="7" t="s">
        <v>121</v>
      </c>
      <c r="C565" s="7" t="s">
        <v>355</v>
      </c>
      <c r="D565" s="9">
        <v>46112</v>
      </c>
      <c r="E565" s="9">
        <v>46142</v>
      </c>
      <c r="F565" s="3">
        <v>13650.09</v>
      </c>
      <c r="G565" s="7" t="s">
        <v>367</v>
      </c>
    </row>
    <row r="566" spans="1:7" x14ac:dyDescent="0.3">
      <c r="A566" s="7" t="s">
        <v>933</v>
      </c>
      <c r="B566" s="7" t="s">
        <v>54</v>
      </c>
      <c r="C566" s="7" t="s">
        <v>359</v>
      </c>
      <c r="D566" s="9">
        <v>46038</v>
      </c>
      <c r="E566" s="9">
        <v>46068</v>
      </c>
      <c r="F566" s="3">
        <v>1630.8</v>
      </c>
      <c r="G566" s="7" t="s">
        <v>367</v>
      </c>
    </row>
    <row r="567" spans="1:7" x14ac:dyDescent="0.3">
      <c r="A567" s="7" t="s">
        <v>934</v>
      </c>
      <c r="B567" s="7" t="s">
        <v>66</v>
      </c>
      <c r="C567" s="7" t="s">
        <v>355</v>
      </c>
      <c r="D567" s="9">
        <v>45977</v>
      </c>
      <c r="E567" s="9">
        <v>46007</v>
      </c>
      <c r="F567" s="3">
        <v>11373.13</v>
      </c>
      <c r="G567" s="7" t="s">
        <v>367</v>
      </c>
    </row>
    <row r="568" spans="1:7" x14ac:dyDescent="0.3">
      <c r="A568" s="7" t="s">
        <v>935</v>
      </c>
      <c r="B568" s="7" t="s">
        <v>103</v>
      </c>
      <c r="C568" s="7" t="s">
        <v>353</v>
      </c>
      <c r="D568" s="9">
        <v>46092</v>
      </c>
      <c r="E568" s="9">
        <v>46122</v>
      </c>
      <c r="F568" s="3">
        <v>2226.2399999999998</v>
      </c>
      <c r="G568" s="7" t="s">
        <v>367</v>
      </c>
    </row>
    <row r="569" spans="1:7" x14ac:dyDescent="0.3">
      <c r="A569" s="7" t="s">
        <v>936</v>
      </c>
      <c r="B569" s="7" t="s">
        <v>76</v>
      </c>
      <c r="C569" s="7" t="s">
        <v>359</v>
      </c>
      <c r="D569" s="9">
        <v>46070</v>
      </c>
      <c r="E569" s="9">
        <v>46100</v>
      </c>
      <c r="F569" s="3">
        <v>1920.58</v>
      </c>
      <c r="G569" s="7" t="s">
        <v>367</v>
      </c>
    </row>
    <row r="570" spans="1:7" x14ac:dyDescent="0.3">
      <c r="A570" s="7" t="s">
        <v>937</v>
      </c>
      <c r="B570" s="7" t="s">
        <v>114</v>
      </c>
      <c r="C570" s="7" t="s">
        <v>355</v>
      </c>
      <c r="D570" s="9">
        <v>45989</v>
      </c>
      <c r="E570" s="9">
        <v>46019</v>
      </c>
      <c r="F570" s="3">
        <v>14259.39</v>
      </c>
      <c r="G570" s="7" t="s">
        <v>367</v>
      </c>
    </row>
    <row r="571" spans="1:7" x14ac:dyDescent="0.3">
      <c r="A571" s="7" t="s">
        <v>938</v>
      </c>
      <c r="B571" s="7" t="s">
        <v>67</v>
      </c>
      <c r="C571" s="7" t="s">
        <v>355</v>
      </c>
      <c r="D571" s="9">
        <v>45975</v>
      </c>
      <c r="E571" s="9">
        <v>46005</v>
      </c>
      <c r="F571" s="3">
        <v>13528.35</v>
      </c>
      <c r="G571" s="7" t="s">
        <v>367</v>
      </c>
    </row>
    <row r="572" spans="1:7" x14ac:dyDescent="0.3">
      <c r="A572" s="7" t="s">
        <v>939</v>
      </c>
      <c r="B572" s="7" t="s">
        <v>122</v>
      </c>
      <c r="C572" s="7" t="s">
        <v>357</v>
      </c>
      <c r="D572" s="9">
        <v>46085</v>
      </c>
      <c r="E572" s="9">
        <v>46115</v>
      </c>
      <c r="F572" s="3">
        <v>4034.32</v>
      </c>
      <c r="G572" s="7" t="s">
        <v>367</v>
      </c>
    </row>
    <row r="573" spans="1:7" x14ac:dyDescent="0.3">
      <c r="A573" s="7" t="s">
        <v>940</v>
      </c>
      <c r="B573" s="7" t="s">
        <v>93</v>
      </c>
      <c r="C573" s="7" t="s">
        <v>359</v>
      </c>
      <c r="D573" s="9">
        <v>45972</v>
      </c>
      <c r="E573" s="9">
        <v>46002</v>
      </c>
      <c r="F573" s="3">
        <v>1465</v>
      </c>
      <c r="G573" s="7" t="s">
        <v>369</v>
      </c>
    </row>
    <row r="574" spans="1:7" x14ac:dyDescent="0.3">
      <c r="A574" s="7" t="s">
        <v>941</v>
      </c>
      <c r="B574" s="7" t="s">
        <v>28</v>
      </c>
      <c r="C574" s="7" t="s">
        <v>357</v>
      </c>
      <c r="D574" s="9">
        <v>45975</v>
      </c>
      <c r="E574" s="9">
        <v>46005</v>
      </c>
      <c r="F574" s="3">
        <v>3006.43</v>
      </c>
      <c r="G574" s="7" t="s">
        <v>367</v>
      </c>
    </row>
    <row r="575" spans="1:7" x14ac:dyDescent="0.3">
      <c r="A575" s="7" t="s">
        <v>942</v>
      </c>
      <c r="B575" s="7" t="s">
        <v>94</v>
      </c>
      <c r="C575" s="7" t="s">
        <v>351</v>
      </c>
      <c r="D575" s="9">
        <v>46022</v>
      </c>
      <c r="E575" s="9">
        <v>46052</v>
      </c>
      <c r="F575" s="3">
        <v>5616.92</v>
      </c>
      <c r="G575" s="7" t="s">
        <v>367</v>
      </c>
    </row>
    <row r="576" spans="1:7" x14ac:dyDescent="0.3">
      <c r="A576" s="7" t="s">
        <v>943</v>
      </c>
      <c r="B576" s="7" t="s">
        <v>83</v>
      </c>
      <c r="C576" s="7" t="s">
        <v>355</v>
      </c>
      <c r="D576" s="9">
        <v>46002</v>
      </c>
      <c r="E576" s="9">
        <v>46032</v>
      </c>
      <c r="F576" s="3">
        <v>10569.21</v>
      </c>
      <c r="G576" s="7" t="s">
        <v>367</v>
      </c>
    </row>
    <row r="577" spans="1:7" x14ac:dyDescent="0.3">
      <c r="A577" s="7" t="s">
        <v>944</v>
      </c>
      <c r="B577" s="7" t="s">
        <v>78</v>
      </c>
      <c r="C577" s="7" t="s">
        <v>353</v>
      </c>
      <c r="D577" s="9">
        <v>45997</v>
      </c>
      <c r="E577" s="9">
        <v>46027</v>
      </c>
      <c r="F577" s="3">
        <v>2319.75</v>
      </c>
      <c r="G577" s="7" t="s">
        <v>367</v>
      </c>
    </row>
    <row r="578" spans="1:7" x14ac:dyDescent="0.3">
      <c r="A578" s="7" t="s">
        <v>945</v>
      </c>
      <c r="B578" s="7" t="s">
        <v>124</v>
      </c>
      <c r="C578" s="7" t="s">
        <v>355</v>
      </c>
      <c r="D578" s="9">
        <v>46037</v>
      </c>
      <c r="E578" s="9">
        <v>46067</v>
      </c>
      <c r="F578" s="3">
        <v>12249.86</v>
      </c>
      <c r="G578" s="7" t="s">
        <v>367</v>
      </c>
    </row>
    <row r="579" spans="1:7" x14ac:dyDescent="0.3">
      <c r="A579" s="7" t="s">
        <v>946</v>
      </c>
      <c r="B579" s="7" t="s">
        <v>60</v>
      </c>
      <c r="C579" s="7" t="s">
        <v>349</v>
      </c>
      <c r="D579" s="9">
        <v>46084</v>
      </c>
      <c r="E579" s="9">
        <v>46114</v>
      </c>
      <c r="F579" s="3">
        <v>3343.86</v>
      </c>
      <c r="G579" s="7" t="s">
        <v>367</v>
      </c>
    </row>
    <row r="580" spans="1:7" x14ac:dyDescent="0.3">
      <c r="A580" s="7" t="s">
        <v>947</v>
      </c>
      <c r="B580" s="7" t="s">
        <v>104</v>
      </c>
      <c r="C580" s="7" t="s">
        <v>349</v>
      </c>
      <c r="D580" s="9">
        <v>46005</v>
      </c>
      <c r="E580" s="9">
        <v>46035</v>
      </c>
      <c r="F580" s="3">
        <v>2897.33</v>
      </c>
      <c r="G580" s="7" t="s">
        <v>367</v>
      </c>
    </row>
    <row r="581" spans="1:7" x14ac:dyDescent="0.3">
      <c r="A581" s="7" t="s">
        <v>948</v>
      </c>
      <c r="B581" s="7" t="s">
        <v>118</v>
      </c>
      <c r="C581" s="7" t="s">
        <v>349</v>
      </c>
      <c r="D581" s="9">
        <v>46046</v>
      </c>
      <c r="E581" s="9">
        <v>46076</v>
      </c>
      <c r="F581" s="3">
        <v>3509.91</v>
      </c>
      <c r="G581" s="7" t="s">
        <v>369</v>
      </c>
    </row>
    <row r="582" spans="1:7" x14ac:dyDescent="0.3">
      <c r="A582" s="7" t="s">
        <v>949</v>
      </c>
      <c r="B582" s="7" t="s">
        <v>90</v>
      </c>
      <c r="C582" s="7" t="s">
        <v>357</v>
      </c>
      <c r="D582" s="9">
        <v>45997</v>
      </c>
      <c r="E582" s="9">
        <v>46027</v>
      </c>
      <c r="F582" s="3">
        <v>4032.19</v>
      </c>
      <c r="G582" s="7" t="s">
        <v>367</v>
      </c>
    </row>
    <row r="583" spans="1:7" x14ac:dyDescent="0.3">
      <c r="A583" s="7" t="s">
        <v>950</v>
      </c>
      <c r="B583" s="7" t="s">
        <v>58</v>
      </c>
      <c r="C583" s="7" t="s">
        <v>355</v>
      </c>
      <c r="D583" s="9">
        <v>46110</v>
      </c>
      <c r="E583" s="9">
        <v>46140</v>
      </c>
      <c r="F583" s="3">
        <v>12345.71</v>
      </c>
      <c r="G583" s="7" t="s">
        <v>367</v>
      </c>
    </row>
    <row r="584" spans="1:7" x14ac:dyDescent="0.3">
      <c r="A584" s="7" t="s">
        <v>951</v>
      </c>
      <c r="B584" s="7" t="s">
        <v>57</v>
      </c>
      <c r="C584" s="7" t="s">
        <v>351</v>
      </c>
      <c r="D584" s="9">
        <v>46051</v>
      </c>
      <c r="E584" s="9">
        <v>46081</v>
      </c>
      <c r="F584" s="3">
        <v>5236.49</v>
      </c>
      <c r="G584" s="7" t="s">
        <v>367</v>
      </c>
    </row>
    <row r="585" spans="1:7" x14ac:dyDescent="0.3">
      <c r="A585" s="7" t="s">
        <v>952</v>
      </c>
      <c r="B585" s="7" t="s">
        <v>41</v>
      </c>
      <c r="C585" s="7" t="s">
        <v>353</v>
      </c>
      <c r="D585" s="9">
        <v>46002</v>
      </c>
      <c r="E585" s="9">
        <v>46032</v>
      </c>
      <c r="F585" s="3">
        <v>2690.51</v>
      </c>
      <c r="G585" s="7" t="s">
        <v>367</v>
      </c>
    </row>
    <row r="586" spans="1:7" x14ac:dyDescent="0.3">
      <c r="A586" s="7" t="s">
        <v>953</v>
      </c>
      <c r="B586" s="7" t="s">
        <v>114</v>
      </c>
      <c r="C586" s="7" t="s">
        <v>353</v>
      </c>
      <c r="D586" s="9">
        <v>46040</v>
      </c>
      <c r="E586" s="9">
        <v>46070</v>
      </c>
      <c r="F586" s="3">
        <v>2020.23</v>
      </c>
      <c r="G586" s="7" t="s">
        <v>367</v>
      </c>
    </row>
    <row r="587" spans="1:7" x14ac:dyDescent="0.3">
      <c r="A587" s="7" t="s">
        <v>954</v>
      </c>
      <c r="B587" s="7" t="s">
        <v>36</v>
      </c>
      <c r="C587" s="7" t="s">
        <v>355</v>
      </c>
      <c r="D587" s="9">
        <v>46031</v>
      </c>
      <c r="E587" s="9">
        <v>46061</v>
      </c>
      <c r="F587" s="3">
        <v>13719.53</v>
      </c>
      <c r="G587" s="7" t="s">
        <v>387</v>
      </c>
    </row>
    <row r="588" spans="1:7" x14ac:dyDescent="0.3">
      <c r="A588" s="7" t="s">
        <v>955</v>
      </c>
      <c r="B588" s="7" t="s">
        <v>48</v>
      </c>
      <c r="C588" s="7" t="s">
        <v>351</v>
      </c>
      <c r="D588" s="9">
        <v>45985</v>
      </c>
      <c r="E588" s="9">
        <v>46015</v>
      </c>
      <c r="F588" s="3">
        <v>4600.96</v>
      </c>
      <c r="G588" s="7" t="s">
        <v>369</v>
      </c>
    </row>
    <row r="589" spans="1:7" x14ac:dyDescent="0.3">
      <c r="A589" s="7" t="s">
        <v>956</v>
      </c>
      <c r="B589" s="7" t="s">
        <v>63</v>
      </c>
      <c r="C589" s="7" t="s">
        <v>353</v>
      </c>
      <c r="D589" s="9">
        <v>46013</v>
      </c>
      <c r="E589" s="9">
        <v>46043</v>
      </c>
      <c r="F589" s="3">
        <v>2728.8</v>
      </c>
      <c r="G589" s="7" t="s">
        <v>367</v>
      </c>
    </row>
    <row r="590" spans="1:7" x14ac:dyDescent="0.3">
      <c r="A590" s="7" t="s">
        <v>957</v>
      </c>
      <c r="B590" s="7" t="s">
        <v>73</v>
      </c>
      <c r="C590" s="7" t="s">
        <v>351</v>
      </c>
      <c r="D590" s="9">
        <v>46002</v>
      </c>
      <c r="E590" s="9">
        <v>46032</v>
      </c>
      <c r="F590" s="3">
        <v>5826.87</v>
      </c>
      <c r="G590" s="7" t="s">
        <v>367</v>
      </c>
    </row>
    <row r="591" spans="1:7" x14ac:dyDescent="0.3">
      <c r="A591" s="7" t="s">
        <v>958</v>
      </c>
      <c r="B591" s="7" t="s">
        <v>97</v>
      </c>
      <c r="C591" s="7" t="s">
        <v>353</v>
      </c>
      <c r="D591" s="9">
        <v>46056</v>
      </c>
      <c r="E591" s="9">
        <v>46086</v>
      </c>
      <c r="F591" s="3">
        <v>2821.02</v>
      </c>
      <c r="G591" s="7" t="s">
        <v>367</v>
      </c>
    </row>
    <row r="592" spans="1:7" x14ac:dyDescent="0.3">
      <c r="A592" s="7" t="s">
        <v>959</v>
      </c>
      <c r="B592" s="7" t="s">
        <v>10</v>
      </c>
      <c r="C592" s="7" t="s">
        <v>357</v>
      </c>
      <c r="D592" s="9">
        <v>46070</v>
      </c>
      <c r="E592" s="9">
        <v>46100</v>
      </c>
      <c r="F592" s="3">
        <v>3364.74</v>
      </c>
      <c r="G592" s="7" t="s">
        <v>369</v>
      </c>
    </row>
    <row r="593" spans="1:7" x14ac:dyDescent="0.3">
      <c r="A593" s="7" t="s">
        <v>960</v>
      </c>
      <c r="B593" s="7" t="s">
        <v>38</v>
      </c>
      <c r="C593" s="7" t="s">
        <v>351</v>
      </c>
      <c r="D593" s="9">
        <v>46042</v>
      </c>
      <c r="E593" s="9">
        <v>46072</v>
      </c>
      <c r="F593" s="3">
        <v>4385.53</v>
      </c>
      <c r="G593" s="7" t="s">
        <v>369</v>
      </c>
    </row>
    <row r="594" spans="1:7" x14ac:dyDescent="0.3">
      <c r="A594" s="7" t="s">
        <v>961</v>
      </c>
      <c r="B594" s="7" t="s">
        <v>54</v>
      </c>
      <c r="C594" s="7" t="s">
        <v>349</v>
      </c>
      <c r="D594" s="9">
        <v>46053</v>
      </c>
      <c r="E594" s="9">
        <v>46083</v>
      </c>
      <c r="F594" s="3">
        <v>2947.74</v>
      </c>
      <c r="G594" s="7" t="s">
        <v>367</v>
      </c>
    </row>
    <row r="595" spans="1:7" x14ac:dyDescent="0.3">
      <c r="A595" s="7" t="s">
        <v>962</v>
      </c>
      <c r="B595" s="7" t="s">
        <v>37</v>
      </c>
      <c r="C595" s="7" t="s">
        <v>355</v>
      </c>
      <c r="D595" s="9">
        <v>45964</v>
      </c>
      <c r="E595" s="9">
        <v>45994</v>
      </c>
      <c r="F595" s="3">
        <v>12024.61</v>
      </c>
      <c r="G595" s="7" t="s">
        <v>367</v>
      </c>
    </row>
    <row r="596" spans="1:7" x14ac:dyDescent="0.3">
      <c r="A596" s="7" t="s">
        <v>963</v>
      </c>
      <c r="B596" s="7" t="s">
        <v>67</v>
      </c>
      <c r="C596" s="7" t="s">
        <v>353</v>
      </c>
      <c r="D596" s="9">
        <v>46035</v>
      </c>
      <c r="E596" s="9">
        <v>46065</v>
      </c>
      <c r="F596" s="3">
        <v>2488.79</v>
      </c>
      <c r="G596" s="7" t="s">
        <v>387</v>
      </c>
    </row>
    <row r="597" spans="1:7" x14ac:dyDescent="0.3">
      <c r="A597" s="7" t="s">
        <v>964</v>
      </c>
      <c r="B597" s="7" t="s">
        <v>40</v>
      </c>
      <c r="C597" s="7" t="s">
        <v>357</v>
      </c>
      <c r="D597" s="9">
        <v>46010</v>
      </c>
      <c r="E597" s="9">
        <v>46040</v>
      </c>
      <c r="F597" s="3">
        <v>3571.87</v>
      </c>
      <c r="G597" s="7" t="s">
        <v>369</v>
      </c>
    </row>
    <row r="598" spans="1:7" x14ac:dyDescent="0.3">
      <c r="A598" s="7" t="s">
        <v>965</v>
      </c>
      <c r="B598" s="7" t="s">
        <v>13</v>
      </c>
      <c r="C598" s="7" t="s">
        <v>359</v>
      </c>
      <c r="D598" s="9">
        <v>46032</v>
      </c>
      <c r="E598" s="9">
        <v>46062</v>
      </c>
      <c r="F598" s="3">
        <v>2038.23</v>
      </c>
      <c r="G598" s="7" t="s">
        <v>367</v>
      </c>
    </row>
    <row r="599" spans="1:7" x14ac:dyDescent="0.3">
      <c r="A599" s="7" t="s">
        <v>966</v>
      </c>
      <c r="B599" s="7" t="s">
        <v>89</v>
      </c>
      <c r="C599" s="7" t="s">
        <v>351</v>
      </c>
      <c r="D599" s="9">
        <v>46048</v>
      </c>
      <c r="E599" s="9">
        <v>46078</v>
      </c>
      <c r="F599" s="3">
        <v>5707.64</v>
      </c>
      <c r="G599" s="7" t="s">
        <v>369</v>
      </c>
    </row>
    <row r="600" spans="1:7" x14ac:dyDescent="0.3">
      <c r="A600" s="7" t="s">
        <v>967</v>
      </c>
      <c r="B600" s="7" t="s">
        <v>9</v>
      </c>
      <c r="C600" s="7" t="s">
        <v>351</v>
      </c>
      <c r="D600" s="9">
        <v>45996</v>
      </c>
      <c r="E600" s="9">
        <v>46026</v>
      </c>
      <c r="F600" s="3">
        <v>5355.39</v>
      </c>
      <c r="G600" s="7" t="s">
        <v>367</v>
      </c>
    </row>
    <row r="601" spans="1:7" x14ac:dyDescent="0.3">
      <c r="A601" s="7" t="s">
        <v>968</v>
      </c>
      <c r="B601" s="7" t="s">
        <v>109</v>
      </c>
      <c r="C601" s="7" t="s">
        <v>359</v>
      </c>
      <c r="D601" s="9">
        <v>46075</v>
      </c>
      <c r="E601" s="9">
        <v>46105</v>
      </c>
      <c r="F601" s="3">
        <v>1446.41</v>
      </c>
      <c r="G601" s="7" t="s">
        <v>367</v>
      </c>
    </row>
    <row r="602" spans="1:7" x14ac:dyDescent="0.3">
      <c r="A602" s="7" t="s">
        <v>969</v>
      </c>
      <c r="B602" s="7" t="s">
        <v>97</v>
      </c>
      <c r="C602" s="7" t="s">
        <v>349</v>
      </c>
      <c r="D602" s="9">
        <v>45978</v>
      </c>
      <c r="E602" s="9">
        <v>46008</v>
      </c>
      <c r="F602" s="3">
        <v>2668.52</v>
      </c>
      <c r="G602" s="7" t="s">
        <v>367</v>
      </c>
    </row>
    <row r="603" spans="1:7" x14ac:dyDescent="0.3">
      <c r="A603" s="7" t="s">
        <v>970</v>
      </c>
      <c r="B603" s="7" t="s">
        <v>34</v>
      </c>
      <c r="C603" s="7" t="s">
        <v>359</v>
      </c>
      <c r="D603" s="9">
        <v>46000</v>
      </c>
      <c r="E603" s="9">
        <v>46030</v>
      </c>
      <c r="F603" s="3">
        <v>1638.27</v>
      </c>
      <c r="G603" s="7" t="s">
        <v>367</v>
      </c>
    </row>
    <row r="604" spans="1:7" x14ac:dyDescent="0.3">
      <c r="A604" s="7" t="s">
        <v>971</v>
      </c>
      <c r="B604" s="7" t="s">
        <v>20</v>
      </c>
      <c r="C604" s="7" t="s">
        <v>355</v>
      </c>
      <c r="D604" s="9">
        <v>45994</v>
      </c>
      <c r="E604" s="9">
        <v>46024</v>
      </c>
      <c r="F604" s="3">
        <v>11050.3</v>
      </c>
      <c r="G604" s="7" t="s">
        <v>367</v>
      </c>
    </row>
    <row r="605" spans="1:7" x14ac:dyDescent="0.3">
      <c r="A605" s="7" t="s">
        <v>972</v>
      </c>
      <c r="B605" s="7" t="s">
        <v>83</v>
      </c>
      <c r="C605" s="7" t="s">
        <v>349</v>
      </c>
      <c r="D605" s="9">
        <v>46112</v>
      </c>
      <c r="E605" s="9">
        <v>46142</v>
      </c>
      <c r="F605" s="3">
        <v>3013.82</v>
      </c>
      <c r="G605" s="7" t="s">
        <v>367</v>
      </c>
    </row>
    <row r="606" spans="1:7" x14ac:dyDescent="0.3">
      <c r="A606" s="7" t="s">
        <v>973</v>
      </c>
      <c r="B606" s="7" t="s">
        <v>50</v>
      </c>
      <c r="C606" s="7" t="s">
        <v>357</v>
      </c>
      <c r="D606" s="9">
        <v>45969</v>
      </c>
      <c r="E606" s="9">
        <v>45999</v>
      </c>
      <c r="F606" s="3">
        <v>3195.75</v>
      </c>
      <c r="G606" s="7" t="s">
        <v>367</v>
      </c>
    </row>
    <row r="607" spans="1:7" x14ac:dyDescent="0.3">
      <c r="A607" s="7" t="s">
        <v>974</v>
      </c>
      <c r="B607" s="7" t="s">
        <v>98</v>
      </c>
      <c r="C607" s="7" t="s">
        <v>353</v>
      </c>
      <c r="D607" s="9">
        <v>46039</v>
      </c>
      <c r="E607" s="9">
        <v>46069</v>
      </c>
      <c r="F607" s="3">
        <v>2640.59</v>
      </c>
      <c r="G607" s="7" t="s">
        <v>367</v>
      </c>
    </row>
    <row r="608" spans="1:7" x14ac:dyDescent="0.3">
      <c r="A608" s="7" t="s">
        <v>975</v>
      </c>
      <c r="B608" s="7" t="s">
        <v>122</v>
      </c>
      <c r="C608" s="7" t="s">
        <v>359</v>
      </c>
      <c r="D608" s="9">
        <v>46007</v>
      </c>
      <c r="E608" s="9">
        <v>46037</v>
      </c>
      <c r="F608" s="3">
        <v>1655.13</v>
      </c>
      <c r="G608" s="7" t="s">
        <v>369</v>
      </c>
    </row>
    <row r="609" spans="1:7" x14ac:dyDescent="0.3">
      <c r="A609" s="7" t="s">
        <v>976</v>
      </c>
      <c r="B609" s="7" t="s">
        <v>47</v>
      </c>
      <c r="C609" s="7" t="s">
        <v>349</v>
      </c>
      <c r="D609" s="9">
        <v>45971</v>
      </c>
      <c r="E609" s="9">
        <v>46001</v>
      </c>
      <c r="F609" s="3">
        <v>3366.52</v>
      </c>
      <c r="G609" s="7" t="s">
        <v>367</v>
      </c>
    </row>
    <row r="610" spans="1:7" x14ac:dyDescent="0.3">
      <c r="A610" s="7" t="s">
        <v>977</v>
      </c>
      <c r="B610" s="7" t="s">
        <v>44</v>
      </c>
      <c r="C610" s="7" t="s">
        <v>359</v>
      </c>
      <c r="D610" s="9">
        <v>46046</v>
      </c>
      <c r="E610" s="9">
        <v>46076</v>
      </c>
      <c r="F610" s="3">
        <v>1540.75</v>
      </c>
      <c r="G610" s="7" t="s">
        <v>367</v>
      </c>
    </row>
    <row r="611" spans="1:7" x14ac:dyDescent="0.3">
      <c r="A611" s="7" t="s">
        <v>978</v>
      </c>
      <c r="B611" s="7" t="s">
        <v>81</v>
      </c>
      <c r="C611" s="7" t="s">
        <v>353</v>
      </c>
      <c r="D611" s="9">
        <v>46020</v>
      </c>
      <c r="E611" s="9">
        <v>46050</v>
      </c>
      <c r="F611" s="3">
        <v>2906.91</v>
      </c>
      <c r="G611" s="7" t="s">
        <v>367</v>
      </c>
    </row>
    <row r="612" spans="1:7" x14ac:dyDescent="0.3">
      <c r="A612" s="7" t="s">
        <v>979</v>
      </c>
      <c r="B612" s="7" t="s">
        <v>98</v>
      </c>
      <c r="C612" s="7" t="s">
        <v>359</v>
      </c>
      <c r="D612" s="9">
        <v>46088</v>
      </c>
      <c r="E612" s="9">
        <v>46118</v>
      </c>
      <c r="F612" s="3">
        <v>2156.2199999999998</v>
      </c>
      <c r="G612" s="7" t="s">
        <v>367</v>
      </c>
    </row>
    <row r="613" spans="1:7" x14ac:dyDescent="0.3">
      <c r="A613" s="7" t="s">
        <v>980</v>
      </c>
      <c r="B613" s="7" t="s">
        <v>92</v>
      </c>
      <c r="C613" s="7" t="s">
        <v>351</v>
      </c>
      <c r="D613" s="9">
        <v>46041</v>
      </c>
      <c r="E613" s="9">
        <v>46071</v>
      </c>
      <c r="F613" s="3">
        <v>5372.64</v>
      </c>
      <c r="G613" s="7" t="s">
        <v>369</v>
      </c>
    </row>
    <row r="614" spans="1:7" x14ac:dyDescent="0.3">
      <c r="A614" s="7" t="s">
        <v>981</v>
      </c>
      <c r="B614" s="7" t="s">
        <v>119</v>
      </c>
      <c r="C614" s="7" t="s">
        <v>353</v>
      </c>
      <c r="D614" s="9">
        <v>46077</v>
      </c>
      <c r="E614" s="9">
        <v>46107</v>
      </c>
      <c r="F614" s="3">
        <v>2507.31</v>
      </c>
      <c r="G614" s="7" t="s">
        <v>369</v>
      </c>
    </row>
    <row r="615" spans="1:7" x14ac:dyDescent="0.3">
      <c r="A615" s="7" t="s">
        <v>982</v>
      </c>
      <c r="B615" s="7" t="s">
        <v>40</v>
      </c>
      <c r="C615" s="7" t="s">
        <v>357</v>
      </c>
      <c r="D615" s="9">
        <v>46022</v>
      </c>
      <c r="E615" s="9">
        <v>46052</v>
      </c>
      <c r="F615" s="3">
        <v>3053.59</v>
      </c>
      <c r="G615" s="7" t="s">
        <v>367</v>
      </c>
    </row>
    <row r="616" spans="1:7" x14ac:dyDescent="0.3">
      <c r="A616" s="7" t="s">
        <v>983</v>
      </c>
      <c r="B616" s="7" t="s">
        <v>122</v>
      </c>
      <c r="C616" s="7" t="s">
        <v>359</v>
      </c>
      <c r="D616" s="9">
        <v>45980</v>
      </c>
      <c r="E616" s="9">
        <v>46010</v>
      </c>
      <c r="F616" s="3">
        <v>2022.01</v>
      </c>
      <c r="G616" s="7" t="s">
        <v>369</v>
      </c>
    </row>
    <row r="617" spans="1:7" x14ac:dyDescent="0.3">
      <c r="A617" s="7" t="s">
        <v>984</v>
      </c>
      <c r="B617" s="7" t="s">
        <v>118</v>
      </c>
      <c r="C617" s="7" t="s">
        <v>353</v>
      </c>
      <c r="D617" s="9">
        <v>45981</v>
      </c>
      <c r="E617" s="9">
        <v>46011</v>
      </c>
      <c r="F617" s="3">
        <v>2654.43</v>
      </c>
      <c r="G617" s="7" t="s">
        <v>367</v>
      </c>
    </row>
    <row r="618" spans="1:7" x14ac:dyDescent="0.3">
      <c r="A618" s="7" t="s">
        <v>985</v>
      </c>
      <c r="B618" s="7" t="s">
        <v>81</v>
      </c>
      <c r="C618" s="7" t="s">
        <v>353</v>
      </c>
      <c r="D618" s="9">
        <v>46007</v>
      </c>
      <c r="E618" s="9">
        <v>46037</v>
      </c>
      <c r="F618" s="3">
        <v>2420.4699999999998</v>
      </c>
      <c r="G618" s="7" t="s">
        <v>367</v>
      </c>
    </row>
    <row r="619" spans="1:7" x14ac:dyDescent="0.3">
      <c r="A619" s="7" t="s">
        <v>986</v>
      </c>
      <c r="B619" s="7" t="s">
        <v>88</v>
      </c>
      <c r="C619" s="7" t="s">
        <v>353</v>
      </c>
      <c r="D619" s="9">
        <v>45971</v>
      </c>
      <c r="E619" s="9">
        <v>46001</v>
      </c>
      <c r="F619" s="3">
        <v>2463.7600000000002</v>
      </c>
      <c r="G619" s="7" t="s">
        <v>367</v>
      </c>
    </row>
    <row r="620" spans="1:7" x14ac:dyDescent="0.3">
      <c r="A620" s="7" t="s">
        <v>987</v>
      </c>
      <c r="B620" s="7" t="s">
        <v>31</v>
      </c>
      <c r="C620" s="7" t="s">
        <v>357</v>
      </c>
      <c r="D620" s="9">
        <v>46111</v>
      </c>
      <c r="E620" s="9">
        <v>46141</v>
      </c>
      <c r="F620" s="3">
        <v>3612.44</v>
      </c>
      <c r="G620" s="7" t="s">
        <v>367</v>
      </c>
    </row>
    <row r="621" spans="1:7" x14ac:dyDescent="0.3">
      <c r="A621" s="7" t="s">
        <v>988</v>
      </c>
      <c r="B621" s="7" t="s">
        <v>59</v>
      </c>
      <c r="C621" s="7" t="s">
        <v>357</v>
      </c>
      <c r="D621" s="9">
        <v>46000</v>
      </c>
      <c r="E621" s="9">
        <v>46030</v>
      </c>
      <c r="F621" s="3">
        <v>2967.74</v>
      </c>
      <c r="G621" s="7" t="s">
        <v>367</v>
      </c>
    </row>
    <row r="622" spans="1:7" x14ac:dyDescent="0.3">
      <c r="A622" s="7" t="s">
        <v>989</v>
      </c>
      <c r="B622" s="7" t="s">
        <v>50</v>
      </c>
      <c r="C622" s="7" t="s">
        <v>349</v>
      </c>
      <c r="D622" s="9">
        <v>46109</v>
      </c>
      <c r="E622" s="9">
        <v>46139</v>
      </c>
      <c r="F622" s="3">
        <v>3445.02</v>
      </c>
      <c r="G622" s="7" t="s">
        <v>387</v>
      </c>
    </row>
    <row r="623" spans="1:7" x14ac:dyDescent="0.3">
      <c r="A623" s="7" t="s">
        <v>990</v>
      </c>
      <c r="B623" s="7" t="s">
        <v>98</v>
      </c>
      <c r="C623" s="7" t="s">
        <v>355</v>
      </c>
      <c r="D623" s="9">
        <v>46077</v>
      </c>
      <c r="E623" s="9">
        <v>46107</v>
      </c>
      <c r="F623" s="3">
        <v>14338.52</v>
      </c>
      <c r="G623" s="7" t="s">
        <v>367</v>
      </c>
    </row>
    <row r="624" spans="1:7" x14ac:dyDescent="0.3">
      <c r="A624" s="7" t="s">
        <v>991</v>
      </c>
      <c r="B624" s="7" t="s">
        <v>29</v>
      </c>
      <c r="C624" s="7" t="s">
        <v>351</v>
      </c>
      <c r="D624" s="9">
        <v>46045</v>
      </c>
      <c r="E624" s="9">
        <v>46075</v>
      </c>
      <c r="F624" s="3">
        <v>5557.88</v>
      </c>
      <c r="G624" s="7" t="s">
        <v>367</v>
      </c>
    </row>
    <row r="625" spans="1:7" x14ac:dyDescent="0.3">
      <c r="A625" s="7" t="s">
        <v>992</v>
      </c>
      <c r="B625" s="7" t="s">
        <v>104</v>
      </c>
      <c r="C625" s="7" t="s">
        <v>353</v>
      </c>
      <c r="D625" s="9">
        <v>46063</v>
      </c>
      <c r="E625" s="9">
        <v>46093</v>
      </c>
      <c r="F625" s="3">
        <v>2634.5</v>
      </c>
      <c r="G625" s="7" t="s">
        <v>367</v>
      </c>
    </row>
    <row r="626" spans="1:7" x14ac:dyDescent="0.3">
      <c r="A626" s="7" t="s">
        <v>993</v>
      </c>
      <c r="B626" s="7" t="s">
        <v>106</v>
      </c>
      <c r="C626" s="7" t="s">
        <v>351</v>
      </c>
      <c r="D626" s="9">
        <v>45994</v>
      </c>
      <c r="E626" s="9">
        <v>46024</v>
      </c>
      <c r="F626" s="3">
        <v>5152.5600000000004</v>
      </c>
      <c r="G626" s="7" t="s">
        <v>369</v>
      </c>
    </row>
    <row r="627" spans="1:7" x14ac:dyDescent="0.3">
      <c r="A627" s="7" t="s">
        <v>994</v>
      </c>
      <c r="B627" s="7" t="s">
        <v>61</v>
      </c>
      <c r="C627" s="7" t="s">
        <v>349</v>
      </c>
      <c r="D627" s="9">
        <v>46093</v>
      </c>
      <c r="E627" s="9">
        <v>46123</v>
      </c>
      <c r="F627" s="3">
        <v>2555.29</v>
      </c>
      <c r="G627" s="7" t="s">
        <v>367</v>
      </c>
    </row>
    <row r="628" spans="1:7" x14ac:dyDescent="0.3">
      <c r="A628" s="7" t="s">
        <v>995</v>
      </c>
      <c r="B628" s="7" t="s">
        <v>54</v>
      </c>
      <c r="C628" s="7" t="s">
        <v>355</v>
      </c>
      <c r="D628" s="9">
        <v>46109</v>
      </c>
      <c r="E628" s="9">
        <v>46139</v>
      </c>
      <c r="F628" s="3">
        <v>11439.92</v>
      </c>
      <c r="G628" s="7" t="s">
        <v>367</v>
      </c>
    </row>
    <row r="629" spans="1:7" x14ac:dyDescent="0.3">
      <c r="A629" s="7" t="s">
        <v>996</v>
      </c>
      <c r="B629" s="7" t="s">
        <v>93</v>
      </c>
      <c r="C629" s="7" t="s">
        <v>349</v>
      </c>
      <c r="D629" s="9">
        <v>45995</v>
      </c>
      <c r="E629" s="9">
        <v>46025</v>
      </c>
      <c r="F629" s="3">
        <v>3470.41</v>
      </c>
      <c r="G629" s="7" t="s">
        <v>367</v>
      </c>
    </row>
    <row r="630" spans="1:7" x14ac:dyDescent="0.3">
      <c r="A630" s="7" t="s">
        <v>997</v>
      </c>
      <c r="B630" s="7" t="s">
        <v>51</v>
      </c>
      <c r="C630" s="7" t="s">
        <v>349</v>
      </c>
      <c r="D630" s="9">
        <v>45990</v>
      </c>
      <c r="E630" s="9">
        <v>46020</v>
      </c>
      <c r="F630" s="3">
        <v>3152.02</v>
      </c>
      <c r="G630" s="7" t="s">
        <v>367</v>
      </c>
    </row>
    <row r="631" spans="1:7" x14ac:dyDescent="0.3">
      <c r="A631" s="7" t="s">
        <v>998</v>
      </c>
      <c r="B631" s="7" t="s">
        <v>28</v>
      </c>
      <c r="C631" s="7" t="s">
        <v>353</v>
      </c>
      <c r="D631" s="9">
        <v>45981</v>
      </c>
      <c r="E631" s="9">
        <v>46011</v>
      </c>
      <c r="F631" s="3">
        <v>2128.9299999999998</v>
      </c>
      <c r="G631" s="7" t="s">
        <v>367</v>
      </c>
    </row>
    <row r="632" spans="1:7" x14ac:dyDescent="0.3">
      <c r="A632" s="7" t="s">
        <v>999</v>
      </c>
      <c r="B632" s="7" t="s">
        <v>73</v>
      </c>
      <c r="C632" s="7" t="s">
        <v>349</v>
      </c>
      <c r="D632" s="9">
        <v>45975</v>
      </c>
      <c r="E632" s="9">
        <v>46005</v>
      </c>
      <c r="F632" s="3">
        <v>3388.61</v>
      </c>
      <c r="G632" s="7" t="s">
        <v>367</v>
      </c>
    </row>
    <row r="633" spans="1:7" x14ac:dyDescent="0.3">
      <c r="A633" s="7" t="s">
        <v>1000</v>
      </c>
      <c r="B633" s="7" t="s">
        <v>50</v>
      </c>
      <c r="C633" s="7" t="s">
        <v>357</v>
      </c>
      <c r="D633" s="9">
        <v>45991</v>
      </c>
      <c r="E633" s="9">
        <v>46021</v>
      </c>
      <c r="F633" s="3">
        <v>3533.76</v>
      </c>
      <c r="G633" s="7" t="s">
        <v>387</v>
      </c>
    </row>
    <row r="634" spans="1:7" x14ac:dyDescent="0.3">
      <c r="A634" s="7" t="s">
        <v>1001</v>
      </c>
      <c r="B634" s="7" t="s">
        <v>124</v>
      </c>
      <c r="C634" s="7" t="s">
        <v>355</v>
      </c>
      <c r="D634" s="9">
        <v>46106</v>
      </c>
      <c r="E634" s="9">
        <v>46136</v>
      </c>
      <c r="F634" s="3">
        <v>11324.4</v>
      </c>
      <c r="G634" s="7" t="s">
        <v>369</v>
      </c>
    </row>
    <row r="635" spans="1:7" x14ac:dyDescent="0.3">
      <c r="A635" s="7" t="s">
        <v>1002</v>
      </c>
      <c r="B635" s="7" t="s">
        <v>34</v>
      </c>
      <c r="C635" s="7" t="s">
        <v>355</v>
      </c>
      <c r="D635" s="9">
        <v>45984</v>
      </c>
      <c r="E635" s="9">
        <v>46014</v>
      </c>
      <c r="F635" s="3">
        <v>9691.7999999999993</v>
      </c>
      <c r="G635" s="7" t="s">
        <v>387</v>
      </c>
    </row>
    <row r="636" spans="1:7" x14ac:dyDescent="0.3">
      <c r="A636" s="7" t="s">
        <v>1003</v>
      </c>
      <c r="B636" s="7" t="s">
        <v>98</v>
      </c>
      <c r="C636" s="7" t="s">
        <v>359</v>
      </c>
      <c r="D636" s="9">
        <v>46015</v>
      </c>
      <c r="E636" s="9">
        <v>46045</v>
      </c>
      <c r="F636" s="3">
        <v>1455.78</v>
      </c>
      <c r="G636" s="7" t="s">
        <v>367</v>
      </c>
    </row>
    <row r="637" spans="1:7" x14ac:dyDescent="0.3">
      <c r="A637" s="7" t="s">
        <v>1004</v>
      </c>
      <c r="B637" s="7" t="s">
        <v>75</v>
      </c>
      <c r="C637" s="7" t="s">
        <v>359</v>
      </c>
      <c r="D637" s="9">
        <v>45998</v>
      </c>
      <c r="E637" s="9">
        <v>46028</v>
      </c>
      <c r="F637" s="3">
        <v>2010.33</v>
      </c>
      <c r="G637" s="7" t="s">
        <v>367</v>
      </c>
    </row>
    <row r="638" spans="1:7" x14ac:dyDescent="0.3">
      <c r="A638" s="7" t="s">
        <v>1005</v>
      </c>
      <c r="B638" s="7" t="s">
        <v>114</v>
      </c>
      <c r="C638" s="7" t="s">
        <v>357</v>
      </c>
      <c r="D638" s="9">
        <v>46070</v>
      </c>
      <c r="E638" s="9">
        <v>46100</v>
      </c>
      <c r="F638" s="3">
        <v>2868.02</v>
      </c>
      <c r="G638" s="7" t="s">
        <v>367</v>
      </c>
    </row>
    <row r="639" spans="1:7" x14ac:dyDescent="0.3">
      <c r="A639" s="7" t="s">
        <v>1006</v>
      </c>
      <c r="B639" s="7" t="s">
        <v>22</v>
      </c>
      <c r="C639" s="7" t="s">
        <v>349</v>
      </c>
      <c r="D639" s="9">
        <v>46112</v>
      </c>
      <c r="E639" s="9">
        <v>46142</v>
      </c>
      <c r="F639" s="3">
        <v>2457.88</v>
      </c>
      <c r="G639" s="7" t="s">
        <v>367</v>
      </c>
    </row>
    <row r="640" spans="1:7" x14ac:dyDescent="0.3">
      <c r="A640" s="7" t="s">
        <v>1007</v>
      </c>
      <c r="B640" s="7" t="s">
        <v>94</v>
      </c>
      <c r="C640" s="7" t="s">
        <v>357</v>
      </c>
      <c r="D640" s="9">
        <v>46083</v>
      </c>
      <c r="E640" s="9">
        <v>46113</v>
      </c>
      <c r="F640" s="3">
        <v>3153.83</v>
      </c>
      <c r="G640" s="7" t="s">
        <v>367</v>
      </c>
    </row>
    <row r="641" spans="1:7" x14ac:dyDescent="0.3">
      <c r="A641" s="7" t="s">
        <v>1008</v>
      </c>
      <c r="B641" s="7" t="s">
        <v>73</v>
      </c>
      <c r="C641" s="7" t="s">
        <v>359</v>
      </c>
      <c r="D641" s="9">
        <v>46027</v>
      </c>
      <c r="E641" s="9">
        <v>46057</v>
      </c>
      <c r="F641" s="3">
        <v>1446.7</v>
      </c>
      <c r="G641" s="7" t="s">
        <v>367</v>
      </c>
    </row>
    <row r="642" spans="1:7" x14ac:dyDescent="0.3">
      <c r="A642" s="7" t="s">
        <v>1009</v>
      </c>
      <c r="B642" s="7" t="s">
        <v>122</v>
      </c>
      <c r="C642" s="7" t="s">
        <v>353</v>
      </c>
      <c r="D642" s="9">
        <v>45997</v>
      </c>
      <c r="E642" s="9">
        <v>46027</v>
      </c>
      <c r="F642" s="3">
        <v>2622.8</v>
      </c>
      <c r="G642" s="7" t="s">
        <v>367</v>
      </c>
    </row>
    <row r="643" spans="1:7" x14ac:dyDescent="0.3">
      <c r="A643" s="7" t="s">
        <v>1010</v>
      </c>
      <c r="B643" s="7" t="s">
        <v>107</v>
      </c>
      <c r="C643" s="7" t="s">
        <v>349</v>
      </c>
      <c r="D643" s="9">
        <v>46109</v>
      </c>
      <c r="E643" s="9">
        <v>46139</v>
      </c>
      <c r="F643" s="3">
        <v>3013.9</v>
      </c>
      <c r="G643" s="7" t="s">
        <v>367</v>
      </c>
    </row>
    <row r="644" spans="1:7" x14ac:dyDescent="0.3">
      <c r="A644" s="7" t="s">
        <v>1011</v>
      </c>
      <c r="B644" s="7" t="s">
        <v>113</v>
      </c>
      <c r="C644" s="7" t="s">
        <v>349</v>
      </c>
      <c r="D644" s="9">
        <v>46081</v>
      </c>
      <c r="E644" s="9">
        <v>46111</v>
      </c>
      <c r="F644" s="3">
        <v>2997.29</v>
      </c>
      <c r="G644" s="7" t="s">
        <v>369</v>
      </c>
    </row>
    <row r="645" spans="1:7" x14ac:dyDescent="0.3">
      <c r="A645" s="7" t="s">
        <v>1012</v>
      </c>
      <c r="B645" s="7" t="s">
        <v>27</v>
      </c>
      <c r="C645" s="7" t="s">
        <v>357</v>
      </c>
      <c r="D645" s="9">
        <v>46098</v>
      </c>
      <c r="E645" s="9">
        <v>46128</v>
      </c>
      <c r="F645" s="3">
        <v>4162.37</v>
      </c>
      <c r="G645" s="7" t="s">
        <v>367</v>
      </c>
    </row>
    <row r="646" spans="1:7" x14ac:dyDescent="0.3">
      <c r="A646" s="7" t="s">
        <v>1013</v>
      </c>
      <c r="B646" s="7" t="s">
        <v>49</v>
      </c>
      <c r="C646" s="7" t="s">
        <v>349</v>
      </c>
      <c r="D646" s="9">
        <v>46089</v>
      </c>
      <c r="E646" s="9">
        <v>46119</v>
      </c>
      <c r="F646" s="3">
        <v>3057.77</v>
      </c>
      <c r="G646" s="7" t="s">
        <v>369</v>
      </c>
    </row>
    <row r="647" spans="1:7" x14ac:dyDescent="0.3">
      <c r="A647" s="7" t="s">
        <v>1014</v>
      </c>
      <c r="B647" s="7" t="s">
        <v>113</v>
      </c>
      <c r="C647" s="7" t="s">
        <v>351</v>
      </c>
      <c r="D647" s="9">
        <v>45997</v>
      </c>
      <c r="E647" s="9">
        <v>46027</v>
      </c>
      <c r="F647" s="3">
        <v>4005.48</v>
      </c>
      <c r="G647" s="7" t="s">
        <v>369</v>
      </c>
    </row>
    <row r="648" spans="1:7" x14ac:dyDescent="0.3">
      <c r="A648" s="7" t="s">
        <v>1015</v>
      </c>
      <c r="B648" s="7" t="s">
        <v>16</v>
      </c>
      <c r="C648" s="7" t="s">
        <v>357</v>
      </c>
      <c r="D648" s="9">
        <v>45998</v>
      </c>
      <c r="E648" s="9">
        <v>46028</v>
      </c>
      <c r="F648" s="3">
        <v>3736.63</v>
      </c>
      <c r="G648" s="7" t="s">
        <v>369</v>
      </c>
    </row>
    <row r="649" spans="1:7" x14ac:dyDescent="0.3">
      <c r="A649" s="7" t="s">
        <v>1016</v>
      </c>
      <c r="B649" s="7" t="s">
        <v>44</v>
      </c>
      <c r="C649" s="7" t="s">
        <v>359</v>
      </c>
      <c r="D649" s="9">
        <v>46106</v>
      </c>
      <c r="E649" s="9">
        <v>46136</v>
      </c>
      <c r="F649" s="3">
        <v>1960.97</v>
      </c>
      <c r="G649" s="7" t="s">
        <v>367</v>
      </c>
    </row>
    <row r="650" spans="1:7" x14ac:dyDescent="0.3">
      <c r="A650" s="7" t="s">
        <v>1017</v>
      </c>
      <c r="B650" s="7" t="s">
        <v>116</v>
      </c>
      <c r="C650" s="7" t="s">
        <v>353</v>
      </c>
      <c r="D650" s="9">
        <v>46050</v>
      </c>
      <c r="E650" s="9">
        <v>46080</v>
      </c>
      <c r="F650" s="3">
        <v>2464.2800000000002</v>
      </c>
      <c r="G650" s="7" t="s">
        <v>369</v>
      </c>
    </row>
    <row r="651" spans="1:7" x14ac:dyDescent="0.3">
      <c r="A651" s="7" t="s">
        <v>1018</v>
      </c>
      <c r="B651" s="7" t="s">
        <v>21</v>
      </c>
      <c r="C651" s="7" t="s">
        <v>353</v>
      </c>
      <c r="D651" s="9">
        <v>46095</v>
      </c>
      <c r="E651" s="9">
        <v>46125</v>
      </c>
      <c r="F651" s="3">
        <v>2360.21</v>
      </c>
      <c r="G651" s="7" t="s">
        <v>367</v>
      </c>
    </row>
    <row r="652" spans="1:7" x14ac:dyDescent="0.3">
      <c r="A652" s="7" t="s">
        <v>1019</v>
      </c>
      <c r="B652" s="7" t="s">
        <v>91</v>
      </c>
      <c r="C652" s="7" t="s">
        <v>349</v>
      </c>
      <c r="D652" s="9">
        <v>45972</v>
      </c>
      <c r="E652" s="9">
        <v>46002</v>
      </c>
      <c r="F652" s="3">
        <v>3421.5</v>
      </c>
      <c r="G652" s="7" t="s">
        <v>369</v>
      </c>
    </row>
    <row r="653" spans="1:7" x14ac:dyDescent="0.3">
      <c r="A653" s="7" t="s">
        <v>1020</v>
      </c>
      <c r="B653" s="7" t="s">
        <v>41</v>
      </c>
      <c r="C653" s="7" t="s">
        <v>359</v>
      </c>
      <c r="D653" s="9">
        <v>46003</v>
      </c>
      <c r="E653" s="9">
        <v>46033</v>
      </c>
      <c r="F653" s="3">
        <v>1562.77</v>
      </c>
      <c r="G653" s="7" t="s">
        <v>387</v>
      </c>
    </row>
    <row r="654" spans="1:7" x14ac:dyDescent="0.3">
      <c r="A654" s="7" t="s">
        <v>1021</v>
      </c>
      <c r="B654" s="7" t="s">
        <v>58</v>
      </c>
      <c r="C654" s="7" t="s">
        <v>359</v>
      </c>
      <c r="D654" s="9">
        <v>45984</v>
      </c>
      <c r="E654" s="9">
        <v>46014</v>
      </c>
      <c r="F654" s="3">
        <v>1506.92</v>
      </c>
      <c r="G654" s="7" t="s">
        <v>367</v>
      </c>
    </row>
    <row r="655" spans="1:7" x14ac:dyDescent="0.3">
      <c r="A655" s="7" t="s">
        <v>1022</v>
      </c>
      <c r="B655" s="7" t="s">
        <v>68</v>
      </c>
      <c r="C655" s="7" t="s">
        <v>355</v>
      </c>
      <c r="D655" s="9">
        <v>45994</v>
      </c>
      <c r="E655" s="9">
        <v>46024</v>
      </c>
      <c r="F655" s="3">
        <v>14219.09</v>
      </c>
      <c r="G655" s="7" t="s">
        <v>367</v>
      </c>
    </row>
    <row r="656" spans="1:7" x14ac:dyDescent="0.3">
      <c r="A656" s="7" t="s">
        <v>1023</v>
      </c>
      <c r="B656" s="7" t="s">
        <v>96</v>
      </c>
      <c r="C656" s="7" t="s">
        <v>355</v>
      </c>
      <c r="D656" s="9">
        <v>46106</v>
      </c>
      <c r="E656" s="9">
        <v>46136</v>
      </c>
      <c r="F656" s="3">
        <v>12714.46</v>
      </c>
      <c r="G656" s="7" t="s">
        <v>367</v>
      </c>
    </row>
    <row r="657" spans="1:7" x14ac:dyDescent="0.3">
      <c r="A657" s="7" t="s">
        <v>1024</v>
      </c>
      <c r="B657" s="7" t="s">
        <v>123</v>
      </c>
      <c r="C657" s="7" t="s">
        <v>359</v>
      </c>
      <c r="D657" s="9">
        <v>46081</v>
      </c>
      <c r="E657" s="9">
        <v>46111</v>
      </c>
      <c r="F657" s="3">
        <v>1482.23</v>
      </c>
      <c r="G657" s="7" t="s">
        <v>367</v>
      </c>
    </row>
    <row r="658" spans="1:7" x14ac:dyDescent="0.3">
      <c r="A658" s="7" t="s">
        <v>1025</v>
      </c>
      <c r="B658" s="7" t="s">
        <v>85</v>
      </c>
      <c r="C658" s="7" t="s">
        <v>357</v>
      </c>
      <c r="D658" s="9">
        <v>46051</v>
      </c>
      <c r="E658" s="9">
        <v>46081</v>
      </c>
      <c r="F658" s="3">
        <v>3475.74</v>
      </c>
      <c r="G658" s="7" t="s">
        <v>367</v>
      </c>
    </row>
    <row r="659" spans="1:7" x14ac:dyDescent="0.3">
      <c r="A659" s="7" t="s">
        <v>1026</v>
      </c>
      <c r="B659" s="7" t="s">
        <v>119</v>
      </c>
      <c r="C659" s="7" t="s">
        <v>355</v>
      </c>
      <c r="D659" s="9">
        <v>46041</v>
      </c>
      <c r="E659" s="9">
        <v>46071</v>
      </c>
      <c r="F659" s="3">
        <v>13339.99</v>
      </c>
      <c r="G659" s="7" t="s">
        <v>369</v>
      </c>
    </row>
    <row r="660" spans="1:7" x14ac:dyDescent="0.3">
      <c r="A660" s="7" t="s">
        <v>1027</v>
      </c>
      <c r="B660" s="7" t="s">
        <v>21</v>
      </c>
      <c r="C660" s="7" t="s">
        <v>359</v>
      </c>
      <c r="D660" s="9">
        <v>46058</v>
      </c>
      <c r="E660" s="9">
        <v>46088</v>
      </c>
      <c r="F660" s="3">
        <v>2140.88</v>
      </c>
      <c r="G660" s="7" t="s">
        <v>369</v>
      </c>
    </row>
    <row r="661" spans="1:7" x14ac:dyDescent="0.3">
      <c r="A661" s="7" t="s">
        <v>1028</v>
      </c>
      <c r="B661" s="7" t="s">
        <v>8</v>
      </c>
      <c r="C661" s="7" t="s">
        <v>355</v>
      </c>
      <c r="D661" s="9">
        <v>46006</v>
      </c>
      <c r="E661" s="9">
        <v>46036</v>
      </c>
      <c r="F661" s="3">
        <v>11715.3</v>
      </c>
      <c r="G661" s="7" t="s">
        <v>367</v>
      </c>
    </row>
    <row r="662" spans="1:7" x14ac:dyDescent="0.3">
      <c r="A662" s="7" t="s">
        <v>1029</v>
      </c>
      <c r="B662" s="7" t="s">
        <v>79</v>
      </c>
      <c r="C662" s="7" t="s">
        <v>359</v>
      </c>
      <c r="D662" s="9">
        <v>46098</v>
      </c>
      <c r="E662" s="9">
        <v>46128</v>
      </c>
      <c r="F662" s="3">
        <v>2065.1999999999998</v>
      </c>
      <c r="G662" s="7" t="s">
        <v>367</v>
      </c>
    </row>
    <row r="663" spans="1:7" x14ac:dyDescent="0.3">
      <c r="A663" s="7" t="s">
        <v>1030</v>
      </c>
      <c r="B663" s="7" t="s">
        <v>95</v>
      </c>
      <c r="C663" s="7" t="s">
        <v>351</v>
      </c>
      <c r="D663" s="9">
        <v>46093</v>
      </c>
      <c r="E663" s="9">
        <v>46123</v>
      </c>
      <c r="F663" s="3">
        <v>5955.79</v>
      </c>
      <c r="G663" s="7" t="s">
        <v>367</v>
      </c>
    </row>
    <row r="664" spans="1:7" x14ac:dyDescent="0.3">
      <c r="A664" s="7" t="s">
        <v>1031</v>
      </c>
      <c r="B664" s="7" t="s">
        <v>68</v>
      </c>
      <c r="C664" s="7" t="s">
        <v>359</v>
      </c>
      <c r="D664" s="9">
        <v>46109</v>
      </c>
      <c r="E664" s="9">
        <v>46139</v>
      </c>
      <c r="F664" s="3">
        <v>1885.13</v>
      </c>
      <c r="G664" s="7" t="s">
        <v>367</v>
      </c>
    </row>
    <row r="665" spans="1:7" x14ac:dyDescent="0.3">
      <c r="A665" s="7" t="s">
        <v>1032</v>
      </c>
      <c r="B665" s="7" t="s">
        <v>112</v>
      </c>
      <c r="C665" s="7" t="s">
        <v>353</v>
      </c>
      <c r="D665" s="9">
        <v>46067</v>
      </c>
      <c r="E665" s="9">
        <v>46097</v>
      </c>
      <c r="F665" s="3">
        <v>2663.71</v>
      </c>
      <c r="G665" s="7" t="s">
        <v>367</v>
      </c>
    </row>
    <row r="666" spans="1:7" x14ac:dyDescent="0.3">
      <c r="A666" s="7" t="s">
        <v>1033</v>
      </c>
      <c r="B666" s="7" t="s">
        <v>27</v>
      </c>
      <c r="C666" s="7" t="s">
        <v>357</v>
      </c>
      <c r="D666" s="9">
        <v>46075</v>
      </c>
      <c r="E666" s="9">
        <v>46105</v>
      </c>
      <c r="F666" s="3">
        <v>4048.89</v>
      </c>
      <c r="G666" s="7" t="s">
        <v>367</v>
      </c>
    </row>
    <row r="667" spans="1:7" x14ac:dyDescent="0.3">
      <c r="A667" s="7" t="s">
        <v>1034</v>
      </c>
      <c r="B667" s="7" t="s">
        <v>16</v>
      </c>
      <c r="C667" s="7" t="s">
        <v>357</v>
      </c>
      <c r="D667" s="9">
        <v>46038</v>
      </c>
      <c r="E667" s="9">
        <v>46068</v>
      </c>
      <c r="F667" s="3">
        <v>3988.38</v>
      </c>
      <c r="G667" s="7" t="s">
        <v>369</v>
      </c>
    </row>
    <row r="668" spans="1:7" x14ac:dyDescent="0.3">
      <c r="A668" s="7" t="s">
        <v>1035</v>
      </c>
      <c r="B668" s="7" t="s">
        <v>35</v>
      </c>
      <c r="C668" s="7" t="s">
        <v>355</v>
      </c>
      <c r="D668" s="9">
        <v>45984</v>
      </c>
      <c r="E668" s="9">
        <v>46014</v>
      </c>
      <c r="F668" s="3">
        <v>11139.04</v>
      </c>
      <c r="G668" s="7" t="s">
        <v>367</v>
      </c>
    </row>
    <row r="669" spans="1:7" x14ac:dyDescent="0.3">
      <c r="A669" s="7" t="s">
        <v>1036</v>
      </c>
      <c r="B669" s="7" t="s">
        <v>63</v>
      </c>
      <c r="C669" s="7" t="s">
        <v>357</v>
      </c>
      <c r="D669" s="9">
        <v>46070</v>
      </c>
      <c r="E669" s="9">
        <v>46100</v>
      </c>
      <c r="F669" s="3">
        <v>3700.64</v>
      </c>
      <c r="G669" s="7" t="s">
        <v>367</v>
      </c>
    </row>
    <row r="670" spans="1:7" x14ac:dyDescent="0.3">
      <c r="A670" s="7" t="s">
        <v>1037</v>
      </c>
      <c r="B670" s="7" t="s">
        <v>22</v>
      </c>
      <c r="C670" s="7" t="s">
        <v>357</v>
      </c>
      <c r="D670" s="9">
        <v>46062</v>
      </c>
      <c r="E670" s="9">
        <v>46092</v>
      </c>
      <c r="F670" s="3">
        <v>3427.34</v>
      </c>
      <c r="G670" s="7" t="s">
        <v>367</v>
      </c>
    </row>
    <row r="671" spans="1:7" x14ac:dyDescent="0.3">
      <c r="A671" s="7" t="s">
        <v>1038</v>
      </c>
      <c r="B671" s="7" t="s">
        <v>11</v>
      </c>
      <c r="C671" s="7" t="s">
        <v>355</v>
      </c>
      <c r="D671" s="9">
        <v>46073</v>
      </c>
      <c r="E671" s="9">
        <v>46103</v>
      </c>
      <c r="F671" s="3">
        <v>13177.15</v>
      </c>
      <c r="G671" s="7" t="s">
        <v>367</v>
      </c>
    </row>
    <row r="672" spans="1:7" x14ac:dyDescent="0.3">
      <c r="A672" s="7" t="s">
        <v>1039</v>
      </c>
      <c r="B672" s="7" t="s">
        <v>86</v>
      </c>
      <c r="C672" s="7" t="s">
        <v>357</v>
      </c>
      <c r="D672" s="9">
        <v>46097</v>
      </c>
      <c r="E672" s="9">
        <v>46127</v>
      </c>
      <c r="F672" s="3">
        <v>3568.74</v>
      </c>
      <c r="G672" s="7" t="s">
        <v>369</v>
      </c>
    </row>
    <row r="673" spans="1:7" x14ac:dyDescent="0.3">
      <c r="A673" s="7" t="s">
        <v>1040</v>
      </c>
      <c r="B673" s="7" t="s">
        <v>92</v>
      </c>
      <c r="C673" s="7" t="s">
        <v>359</v>
      </c>
      <c r="D673" s="9">
        <v>46012</v>
      </c>
      <c r="E673" s="9">
        <v>46042</v>
      </c>
      <c r="F673" s="3">
        <v>1659.31</v>
      </c>
      <c r="G673" s="7" t="s">
        <v>367</v>
      </c>
    </row>
    <row r="674" spans="1:7" x14ac:dyDescent="0.3">
      <c r="A674" s="7" t="s">
        <v>1041</v>
      </c>
      <c r="B674" s="7" t="s">
        <v>115</v>
      </c>
      <c r="C674" s="7" t="s">
        <v>355</v>
      </c>
      <c r="D674" s="9">
        <v>46102</v>
      </c>
      <c r="E674" s="9">
        <v>46132</v>
      </c>
      <c r="F674" s="3">
        <v>14161.7</v>
      </c>
      <c r="G674" s="7" t="s">
        <v>369</v>
      </c>
    </row>
    <row r="675" spans="1:7" x14ac:dyDescent="0.3">
      <c r="A675" s="7" t="s">
        <v>1042</v>
      </c>
      <c r="B675" s="7" t="s">
        <v>98</v>
      </c>
      <c r="C675" s="7" t="s">
        <v>355</v>
      </c>
      <c r="D675" s="9">
        <v>46088</v>
      </c>
      <c r="E675" s="9">
        <v>46118</v>
      </c>
      <c r="F675" s="3">
        <v>11193.47</v>
      </c>
      <c r="G675" s="7" t="s">
        <v>367</v>
      </c>
    </row>
    <row r="676" spans="1:7" x14ac:dyDescent="0.3">
      <c r="A676" s="7" t="s">
        <v>1043</v>
      </c>
      <c r="B676" s="7" t="s">
        <v>91</v>
      </c>
      <c r="C676" s="7" t="s">
        <v>359</v>
      </c>
      <c r="D676" s="9">
        <v>46041</v>
      </c>
      <c r="E676" s="9">
        <v>46071</v>
      </c>
      <c r="F676" s="3">
        <v>1701.57</v>
      </c>
      <c r="G676" s="7" t="s">
        <v>367</v>
      </c>
    </row>
    <row r="677" spans="1:7" x14ac:dyDescent="0.3">
      <c r="A677" s="7" t="s">
        <v>1044</v>
      </c>
      <c r="B677" s="7" t="s">
        <v>44</v>
      </c>
      <c r="C677" s="7" t="s">
        <v>351</v>
      </c>
      <c r="D677" s="9">
        <v>46052</v>
      </c>
      <c r="E677" s="9">
        <v>46082</v>
      </c>
      <c r="F677" s="3">
        <v>4004.39</v>
      </c>
      <c r="G677" s="7" t="s">
        <v>387</v>
      </c>
    </row>
    <row r="678" spans="1:7" x14ac:dyDescent="0.3">
      <c r="A678" s="7" t="s">
        <v>1045</v>
      </c>
      <c r="B678" s="7" t="s">
        <v>28</v>
      </c>
      <c r="C678" s="7" t="s">
        <v>357</v>
      </c>
      <c r="D678" s="9">
        <v>46063</v>
      </c>
      <c r="E678" s="9">
        <v>46093</v>
      </c>
      <c r="F678" s="3">
        <v>3530.78</v>
      </c>
      <c r="G678" s="7" t="s">
        <v>367</v>
      </c>
    </row>
    <row r="679" spans="1:7" x14ac:dyDescent="0.3">
      <c r="A679" s="7" t="s">
        <v>1046</v>
      </c>
      <c r="B679" s="7" t="s">
        <v>20</v>
      </c>
      <c r="C679" s="7" t="s">
        <v>355</v>
      </c>
      <c r="D679" s="9">
        <v>46044</v>
      </c>
      <c r="E679" s="9">
        <v>46074</v>
      </c>
      <c r="F679" s="3">
        <v>10274.16</v>
      </c>
      <c r="G679" s="7" t="s">
        <v>367</v>
      </c>
    </row>
    <row r="680" spans="1:7" x14ac:dyDescent="0.3">
      <c r="A680" s="7" t="s">
        <v>1047</v>
      </c>
      <c r="B680" s="7" t="s">
        <v>57</v>
      </c>
      <c r="C680" s="7" t="s">
        <v>353</v>
      </c>
      <c r="D680" s="9">
        <v>46101</v>
      </c>
      <c r="E680" s="9">
        <v>46131</v>
      </c>
      <c r="F680" s="3">
        <v>2610.85</v>
      </c>
      <c r="G680" s="7" t="s">
        <v>369</v>
      </c>
    </row>
    <row r="681" spans="1:7" x14ac:dyDescent="0.3">
      <c r="A681" s="7" t="s">
        <v>1048</v>
      </c>
      <c r="B681" s="7" t="s">
        <v>20</v>
      </c>
      <c r="C681" s="7" t="s">
        <v>351</v>
      </c>
      <c r="D681" s="9">
        <v>46047</v>
      </c>
      <c r="E681" s="9">
        <v>46077</v>
      </c>
      <c r="F681" s="3">
        <v>4914.09</v>
      </c>
      <c r="G681" s="7" t="s">
        <v>367</v>
      </c>
    </row>
    <row r="682" spans="1:7" x14ac:dyDescent="0.3">
      <c r="A682" s="7" t="s">
        <v>1049</v>
      </c>
      <c r="B682" s="7" t="s">
        <v>105</v>
      </c>
      <c r="C682" s="7" t="s">
        <v>355</v>
      </c>
      <c r="D682" s="9">
        <v>45982</v>
      </c>
      <c r="E682" s="9">
        <v>46012</v>
      </c>
      <c r="F682" s="3">
        <v>9823.2000000000007</v>
      </c>
      <c r="G682" s="7" t="s">
        <v>367</v>
      </c>
    </row>
    <row r="683" spans="1:7" x14ac:dyDescent="0.3">
      <c r="A683" s="7" t="s">
        <v>1050</v>
      </c>
      <c r="B683" s="7" t="s">
        <v>70</v>
      </c>
      <c r="C683" s="7" t="s">
        <v>355</v>
      </c>
      <c r="D683" s="9">
        <v>46064</v>
      </c>
      <c r="E683" s="9">
        <v>46094</v>
      </c>
      <c r="F683" s="3">
        <v>11795.46</v>
      </c>
      <c r="G683" s="7" t="s">
        <v>367</v>
      </c>
    </row>
    <row r="684" spans="1:7" x14ac:dyDescent="0.3">
      <c r="A684" s="7" t="s">
        <v>1051</v>
      </c>
      <c r="B684" s="7" t="s">
        <v>114</v>
      </c>
      <c r="C684" s="7" t="s">
        <v>349</v>
      </c>
      <c r="D684" s="9">
        <v>46033</v>
      </c>
      <c r="E684" s="9">
        <v>46063</v>
      </c>
      <c r="F684" s="3">
        <v>3036.44</v>
      </c>
      <c r="G684" s="7" t="s">
        <v>369</v>
      </c>
    </row>
    <row r="685" spans="1:7" x14ac:dyDescent="0.3">
      <c r="A685" s="7" t="s">
        <v>1052</v>
      </c>
      <c r="B685" s="7" t="s">
        <v>29</v>
      </c>
      <c r="C685" s="7" t="s">
        <v>357</v>
      </c>
      <c r="D685" s="9">
        <v>46062</v>
      </c>
      <c r="E685" s="9">
        <v>46092</v>
      </c>
      <c r="F685" s="3">
        <v>3476.1</v>
      </c>
      <c r="G685" s="7" t="s">
        <v>367</v>
      </c>
    </row>
    <row r="686" spans="1:7" x14ac:dyDescent="0.3">
      <c r="A686" s="7" t="s">
        <v>1053</v>
      </c>
      <c r="B686" s="7" t="s">
        <v>84</v>
      </c>
      <c r="C686" s="7" t="s">
        <v>359</v>
      </c>
      <c r="D686" s="9">
        <v>45971</v>
      </c>
      <c r="E686" s="9">
        <v>46001</v>
      </c>
      <c r="F686" s="3">
        <v>2026.98</v>
      </c>
      <c r="G686" s="7" t="s">
        <v>367</v>
      </c>
    </row>
    <row r="687" spans="1:7" x14ac:dyDescent="0.3">
      <c r="A687" s="7" t="s">
        <v>1054</v>
      </c>
      <c r="B687" s="7" t="s">
        <v>124</v>
      </c>
      <c r="C687" s="7" t="s">
        <v>353</v>
      </c>
      <c r="D687" s="9">
        <v>46058</v>
      </c>
      <c r="E687" s="9">
        <v>46088</v>
      </c>
      <c r="F687" s="3">
        <v>2504.11</v>
      </c>
      <c r="G687" s="7" t="s">
        <v>387</v>
      </c>
    </row>
    <row r="688" spans="1:7" x14ac:dyDescent="0.3">
      <c r="A688" s="7" t="s">
        <v>1055</v>
      </c>
      <c r="B688" s="7" t="s">
        <v>44</v>
      </c>
      <c r="C688" s="7" t="s">
        <v>359</v>
      </c>
      <c r="D688" s="9">
        <v>46090</v>
      </c>
      <c r="E688" s="9">
        <v>46120</v>
      </c>
      <c r="F688" s="3">
        <v>1988.91</v>
      </c>
      <c r="G688" s="7" t="s">
        <v>387</v>
      </c>
    </row>
    <row r="689" spans="1:7" x14ac:dyDescent="0.3">
      <c r="A689" s="7" t="s">
        <v>1056</v>
      </c>
      <c r="B689" s="7" t="s">
        <v>120</v>
      </c>
      <c r="C689" s="7" t="s">
        <v>355</v>
      </c>
      <c r="D689" s="9">
        <v>46081</v>
      </c>
      <c r="E689" s="9">
        <v>46111</v>
      </c>
      <c r="F689" s="3">
        <v>13463.02</v>
      </c>
      <c r="G689" s="7" t="s">
        <v>367</v>
      </c>
    </row>
    <row r="690" spans="1:7" x14ac:dyDescent="0.3">
      <c r="A690" s="7" t="s">
        <v>1057</v>
      </c>
      <c r="B690" s="7" t="s">
        <v>47</v>
      </c>
      <c r="C690" s="7" t="s">
        <v>359</v>
      </c>
      <c r="D690" s="9">
        <v>46109</v>
      </c>
      <c r="E690" s="9">
        <v>46139</v>
      </c>
      <c r="F690" s="3">
        <v>1808.85</v>
      </c>
      <c r="G690" s="7" t="s">
        <v>367</v>
      </c>
    </row>
    <row r="691" spans="1:7" x14ac:dyDescent="0.3">
      <c r="A691" s="7" t="s">
        <v>1058</v>
      </c>
      <c r="B691" s="7" t="s">
        <v>33</v>
      </c>
      <c r="C691" s="7" t="s">
        <v>359</v>
      </c>
      <c r="D691" s="9">
        <v>46008</v>
      </c>
      <c r="E691" s="9">
        <v>46038</v>
      </c>
      <c r="F691" s="3">
        <v>1970.51</v>
      </c>
      <c r="G691" s="7" t="s">
        <v>367</v>
      </c>
    </row>
    <row r="692" spans="1:7" x14ac:dyDescent="0.3">
      <c r="A692" s="7" t="s">
        <v>1059</v>
      </c>
      <c r="B692" s="7" t="s">
        <v>23</v>
      </c>
      <c r="C692" s="7" t="s">
        <v>357</v>
      </c>
      <c r="D692" s="9">
        <v>46041</v>
      </c>
      <c r="E692" s="9">
        <v>46071</v>
      </c>
      <c r="F692" s="3">
        <v>3800.14</v>
      </c>
      <c r="G692" s="7" t="s">
        <v>369</v>
      </c>
    </row>
    <row r="693" spans="1:7" x14ac:dyDescent="0.3">
      <c r="A693" s="7" t="s">
        <v>1060</v>
      </c>
      <c r="B693" s="7" t="s">
        <v>88</v>
      </c>
      <c r="C693" s="7" t="s">
        <v>359</v>
      </c>
      <c r="D693" s="9">
        <v>45982</v>
      </c>
      <c r="E693" s="9">
        <v>46012</v>
      </c>
      <c r="F693" s="3">
        <v>1908.06</v>
      </c>
      <c r="G693" s="7" t="s">
        <v>367</v>
      </c>
    </row>
    <row r="694" spans="1:7" x14ac:dyDescent="0.3">
      <c r="A694" s="7" t="s">
        <v>1061</v>
      </c>
      <c r="B694" s="7" t="s">
        <v>81</v>
      </c>
      <c r="C694" s="7" t="s">
        <v>353</v>
      </c>
      <c r="D694" s="9">
        <v>45977</v>
      </c>
      <c r="E694" s="9">
        <v>46007</v>
      </c>
      <c r="F694" s="3">
        <v>2710.35</v>
      </c>
      <c r="G694" s="7" t="s">
        <v>367</v>
      </c>
    </row>
    <row r="695" spans="1:7" x14ac:dyDescent="0.3">
      <c r="A695" s="7" t="s">
        <v>1062</v>
      </c>
      <c r="B695" s="7" t="s">
        <v>121</v>
      </c>
      <c r="C695" s="7" t="s">
        <v>357</v>
      </c>
      <c r="D695" s="9">
        <v>45990</v>
      </c>
      <c r="E695" s="9">
        <v>46020</v>
      </c>
      <c r="F695" s="3">
        <v>4119.74</v>
      </c>
      <c r="G695" s="7" t="s">
        <v>367</v>
      </c>
    </row>
    <row r="696" spans="1:7" x14ac:dyDescent="0.3">
      <c r="A696" s="7" t="s">
        <v>1063</v>
      </c>
      <c r="B696" s="7" t="s">
        <v>73</v>
      </c>
      <c r="C696" s="7" t="s">
        <v>357</v>
      </c>
      <c r="D696" s="9">
        <v>46084</v>
      </c>
      <c r="E696" s="9">
        <v>46114</v>
      </c>
      <c r="F696" s="3">
        <v>3200.3</v>
      </c>
      <c r="G696" s="7" t="s">
        <v>369</v>
      </c>
    </row>
    <row r="697" spans="1:7" x14ac:dyDescent="0.3">
      <c r="A697" s="7" t="s">
        <v>1064</v>
      </c>
      <c r="B697" s="7" t="s">
        <v>32</v>
      </c>
      <c r="C697" s="7" t="s">
        <v>349</v>
      </c>
      <c r="D697" s="9">
        <v>45994</v>
      </c>
      <c r="E697" s="9">
        <v>46024</v>
      </c>
      <c r="F697" s="3">
        <v>2430.33</v>
      </c>
      <c r="G697" s="7" t="s">
        <v>367</v>
      </c>
    </row>
    <row r="698" spans="1:7" x14ac:dyDescent="0.3">
      <c r="A698" s="7" t="s">
        <v>1065</v>
      </c>
      <c r="B698" s="7" t="s">
        <v>25</v>
      </c>
      <c r="C698" s="7" t="s">
        <v>353</v>
      </c>
      <c r="D698" s="9">
        <v>45987</v>
      </c>
      <c r="E698" s="9">
        <v>46017</v>
      </c>
      <c r="F698" s="3">
        <v>2750.19</v>
      </c>
      <c r="G698" s="7" t="s">
        <v>367</v>
      </c>
    </row>
    <row r="699" spans="1:7" x14ac:dyDescent="0.3">
      <c r="A699" s="7" t="s">
        <v>1066</v>
      </c>
      <c r="B699" s="7" t="s">
        <v>11</v>
      </c>
      <c r="C699" s="7" t="s">
        <v>349</v>
      </c>
      <c r="D699" s="9">
        <v>46050</v>
      </c>
      <c r="E699" s="9">
        <v>46080</v>
      </c>
      <c r="F699" s="3">
        <v>3228.71</v>
      </c>
      <c r="G699" s="7" t="s">
        <v>369</v>
      </c>
    </row>
    <row r="700" spans="1:7" x14ac:dyDescent="0.3">
      <c r="A700" s="7" t="s">
        <v>1067</v>
      </c>
      <c r="B700" s="7" t="s">
        <v>101</v>
      </c>
      <c r="C700" s="7" t="s">
        <v>353</v>
      </c>
      <c r="D700" s="9">
        <v>45988</v>
      </c>
      <c r="E700" s="9">
        <v>46018</v>
      </c>
      <c r="F700" s="3">
        <v>2814.03</v>
      </c>
      <c r="G700" s="7" t="s">
        <v>369</v>
      </c>
    </row>
    <row r="701" spans="1:7" x14ac:dyDescent="0.3">
      <c r="A701" s="7" t="s">
        <v>1068</v>
      </c>
      <c r="B701" s="7" t="s">
        <v>37</v>
      </c>
      <c r="C701" s="7" t="s">
        <v>357</v>
      </c>
      <c r="D701" s="9">
        <v>46054</v>
      </c>
      <c r="E701" s="9">
        <v>46084</v>
      </c>
      <c r="F701" s="3">
        <v>4010.78</v>
      </c>
      <c r="G701" s="7" t="s">
        <v>367</v>
      </c>
    </row>
    <row r="702" spans="1:7" x14ac:dyDescent="0.3">
      <c r="A702" s="7" t="s">
        <v>1069</v>
      </c>
      <c r="B702" s="7" t="s">
        <v>92</v>
      </c>
      <c r="C702" s="7" t="s">
        <v>357</v>
      </c>
      <c r="D702" s="9">
        <v>46042</v>
      </c>
      <c r="E702" s="9">
        <v>46072</v>
      </c>
      <c r="F702" s="3">
        <v>3898.03</v>
      </c>
      <c r="G702" s="7" t="s">
        <v>367</v>
      </c>
    </row>
    <row r="703" spans="1:7" x14ac:dyDescent="0.3">
      <c r="A703" s="7" t="s">
        <v>1070</v>
      </c>
      <c r="B703" s="7" t="s">
        <v>94</v>
      </c>
      <c r="C703" s="7" t="s">
        <v>349</v>
      </c>
      <c r="D703" s="9">
        <v>46067</v>
      </c>
      <c r="E703" s="9">
        <v>46097</v>
      </c>
      <c r="F703" s="3">
        <v>3511.78</v>
      </c>
      <c r="G703" s="7" t="s">
        <v>387</v>
      </c>
    </row>
    <row r="704" spans="1:7" x14ac:dyDescent="0.3">
      <c r="A704" s="7" t="s">
        <v>1071</v>
      </c>
      <c r="B704" s="7" t="s">
        <v>32</v>
      </c>
      <c r="C704" s="7" t="s">
        <v>353</v>
      </c>
      <c r="D704" s="9">
        <v>45962</v>
      </c>
      <c r="E704" s="9">
        <v>45992</v>
      </c>
      <c r="F704" s="3">
        <v>2965.83</v>
      </c>
      <c r="G704" s="7" t="s">
        <v>367</v>
      </c>
    </row>
    <row r="705" spans="1:7" x14ac:dyDescent="0.3">
      <c r="A705" s="7" t="s">
        <v>1072</v>
      </c>
      <c r="B705" s="7" t="s">
        <v>123</v>
      </c>
      <c r="C705" s="7" t="s">
        <v>357</v>
      </c>
      <c r="D705" s="9">
        <v>45998</v>
      </c>
      <c r="E705" s="9">
        <v>46028</v>
      </c>
      <c r="F705" s="3">
        <v>4016.39</v>
      </c>
      <c r="G705" s="7" t="s">
        <v>369</v>
      </c>
    </row>
    <row r="706" spans="1:7" x14ac:dyDescent="0.3">
      <c r="A706" s="7" t="s">
        <v>1073</v>
      </c>
      <c r="B706" s="7" t="s">
        <v>76</v>
      </c>
      <c r="C706" s="7" t="s">
        <v>359</v>
      </c>
      <c r="D706" s="9">
        <v>45996</v>
      </c>
      <c r="E706" s="9">
        <v>46026</v>
      </c>
      <c r="F706" s="3">
        <v>1947.33</v>
      </c>
      <c r="G706" s="7" t="s">
        <v>369</v>
      </c>
    </row>
    <row r="707" spans="1:7" x14ac:dyDescent="0.3">
      <c r="A707" s="7" t="s">
        <v>1074</v>
      </c>
      <c r="B707" s="7" t="s">
        <v>44</v>
      </c>
      <c r="C707" s="7" t="s">
        <v>359</v>
      </c>
      <c r="D707" s="9">
        <v>46075</v>
      </c>
      <c r="E707" s="9">
        <v>46105</v>
      </c>
      <c r="F707" s="3">
        <v>1874.44</v>
      </c>
      <c r="G707" s="7" t="s">
        <v>387</v>
      </c>
    </row>
    <row r="708" spans="1:7" x14ac:dyDescent="0.3">
      <c r="A708" s="7" t="s">
        <v>1075</v>
      </c>
      <c r="B708" s="7" t="s">
        <v>29</v>
      </c>
      <c r="C708" s="7" t="s">
        <v>355</v>
      </c>
      <c r="D708" s="9">
        <v>45973</v>
      </c>
      <c r="E708" s="9">
        <v>46003</v>
      </c>
      <c r="F708" s="3">
        <v>10451.64</v>
      </c>
      <c r="G708" s="7" t="s">
        <v>367</v>
      </c>
    </row>
    <row r="709" spans="1:7" x14ac:dyDescent="0.3">
      <c r="A709" s="7" t="s">
        <v>1076</v>
      </c>
      <c r="B709" s="7" t="s">
        <v>78</v>
      </c>
      <c r="C709" s="7" t="s">
        <v>359</v>
      </c>
      <c r="D709" s="9">
        <v>45977</v>
      </c>
      <c r="E709" s="9">
        <v>46007</v>
      </c>
      <c r="F709" s="3">
        <v>1809.97</v>
      </c>
      <c r="G709" s="7" t="s">
        <v>367</v>
      </c>
    </row>
    <row r="710" spans="1:7" x14ac:dyDescent="0.3">
      <c r="A710" s="7" t="s">
        <v>1077</v>
      </c>
      <c r="B710" s="7" t="s">
        <v>66</v>
      </c>
      <c r="C710" s="7" t="s">
        <v>353</v>
      </c>
      <c r="D710" s="9">
        <v>46074</v>
      </c>
      <c r="E710" s="9">
        <v>46104</v>
      </c>
      <c r="F710" s="3">
        <v>2130.0700000000002</v>
      </c>
      <c r="G710" s="7" t="s">
        <v>367</v>
      </c>
    </row>
    <row r="711" spans="1:7" x14ac:dyDescent="0.3">
      <c r="A711" s="7" t="s">
        <v>1078</v>
      </c>
      <c r="B711" s="7" t="s">
        <v>83</v>
      </c>
      <c r="C711" s="7" t="s">
        <v>359</v>
      </c>
      <c r="D711" s="9">
        <v>46064</v>
      </c>
      <c r="E711" s="9">
        <v>46094</v>
      </c>
      <c r="F711" s="3">
        <v>2115</v>
      </c>
      <c r="G711" s="7" t="s">
        <v>369</v>
      </c>
    </row>
    <row r="712" spans="1:7" x14ac:dyDescent="0.3">
      <c r="A712" s="7" t="s">
        <v>1079</v>
      </c>
      <c r="B712" s="7" t="s">
        <v>45</v>
      </c>
      <c r="C712" s="7" t="s">
        <v>349</v>
      </c>
      <c r="D712" s="9">
        <v>46066</v>
      </c>
      <c r="E712" s="9">
        <v>46096</v>
      </c>
      <c r="F712" s="3">
        <v>3328.39</v>
      </c>
      <c r="G712" s="7" t="s">
        <v>369</v>
      </c>
    </row>
    <row r="713" spans="1:7" x14ac:dyDescent="0.3">
      <c r="A713" s="7" t="s">
        <v>1080</v>
      </c>
      <c r="B713" s="7" t="s">
        <v>97</v>
      </c>
      <c r="C713" s="7" t="s">
        <v>355</v>
      </c>
      <c r="D713" s="9">
        <v>46062</v>
      </c>
      <c r="E713" s="9">
        <v>46092</v>
      </c>
      <c r="F713" s="3">
        <v>13391.56</v>
      </c>
      <c r="G713" s="7" t="s">
        <v>367</v>
      </c>
    </row>
    <row r="714" spans="1:7" x14ac:dyDescent="0.3">
      <c r="A714" s="7" t="s">
        <v>1081</v>
      </c>
      <c r="B714" s="7" t="s">
        <v>71</v>
      </c>
      <c r="C714" s="7" t="s">
        <v>353</v>
      </c>
      <c r="D714" s="9">
        <v>46090</v>
      </c>
      <c r="E714" s="9">
        <v>46120</v>
      </c>
      <c r="F714" s="3">
        <v>2525.4</v>
      </c>
      <c r="G714" s="7" t="s">
        <v>367</v>
      </c>
    </row>
    <row r="715" spans="1:7" x14ac:dyDescent="0.3">
      <c r="A715" s="7" t="s">
        <v>1082</v>
      </c>
      <c r="B715" s="7" t="s">
        <v>35</v>
      </c>
      <c r="C715" s="7" t="s">
        <v>351</v>
      </c>
      <c r="D715" s="9">
        <v>46027</v>
      </c>
      <c r="E715" s="9">
        <v>46057</v>
      </c>
      <c r="F715" s="3">
        <v>4831.8599999999997</v>
      </c>
      <c r="G715" s="7" t="s">
        <v>367</v>
      </c>
    </row>
    <row r="716" spans="1:7" x14ac:dyDescent="0.3">
      <c r="A716" s="7" t="s">
        <v>1083</v>
      </c>
      <c r="B716" s="7" t="s">
        <v>103</v>
      </c>
      <c r="C716" s="7" t="s">
        <v>351</v>
      </c>
      <c r="D716" s="9">
        <v>46015</v>
      </c>
      <c r="E716" s="9">
        <v>46045</v>
      </c>
      <c r="F716" s="3">
        <v>5326.67</v>
      </c>
      <c r="G716" s="7" t="s">
        <v>367</v>
      </c>
    </row>
    <row r="717" spans="1:7" x14ac:dyDescent="0.3">
      <c r="A717" s="7" t="s">
        <v>1084</v>
      </c>
      <c r="B717" s="7" t="s">
        <v>92</v>
      </c>
      <c r="C717" s="7" t="s">
        <v>357</v>
      </c>
      <c r="D717" s="9">
        <v>45971</v>
      </c>
      <c r="E717" s="9">
        <v>46001</v>
      </c>
      <c r="F717" s="3">
        <v>3542.7</v>
      </c>
      <c r="G717" s="7" t="s">
        <v>367</v>
      </c>
    </row>
    <row r="718" spans="1:7" x14ac:dyDescent="0.3">
      <c r="A718" s="7" t="s">
        <v>1085</v>
      </c>
      <c r="B718" s="7" t="s">
        <v>38</v>
      </c>
      <c r="C718" s="7" t="s">
        <v>353</v>
      </c>
      <c r="D718" s="9">
        <v>46053</v>
      </c>
      <c r="E718" s="9">
        <v>46083</v>
      </c>
      <c r="F718" s="3">
        <v>2445.67</v>
      </c>
      <c r="G718" s="7" t="s">
        <v>369</v>
      </c>
    </row>
    <row r="719" spans="1:7" x14ac:dyDescent="0.3">
      <c r="A719" s="7" t="s">
        <v>1086</v>
      </c>
      <c r="B719" s="7" t="s">
        <v>21</v>
      </c>
      <c r="C719" s="7" t="s">
        <v>349</v>
      </c>
      <c r="D719" s="9">
        <v>45995</v>
      </c>
      <c r="E719" s="9">
        <v>46025</v>
      </c>
      <c r="F719" s="3">
        <v>3219.06</v>
      </c>
      <c r="G719" s="7" t="s">
        <v>369</v>
      </c>
    </row>
    <row r="720" spans="1:7" x14ac:dyDescent="0.3">
      <c r="A720" s="7" t="s">
        <v>1087</v>
      </c>
      <c r="B720" s="7" t="s">
        <v>73</v>
      </c>
      <c r="C720" s="7" t="s">
        <v>355</v>
      </c>
      <c r="D720" s="9">
        <v>45969</v>
      </c>
      <c r="E720" s="9">
        <v>45999</v>
      </c>
      <c r="F720" s="3">
        <v>10831.63</v>
      </c>
      <c r="G720" s="7" t="s">
        <v>367</v>
      </c>
    </row>
    <row r="721" spans="1:7" x14ac:dyDescent="0.3">
      <c r="A721" s="7" t="s">
        <v>1088</v>
      </c>
      <c r="B721" s="7" t="s">
        <v>44</v>
      </c>
      <c r="C721" s="7" t="s">
        <v>353</v>
      </c>
      <c r="D721" s="9">
        <v>46060</v>
      </c>
      <c r="E721" s="9">
        <v>46090</v>
      </c>
      <c r="F721" s="3">
        <v>2514.31</v>
      </c>
      <c r="G721" s="7" t="s">
        <v>367</v>
      </c>
    </row>
    <row r="722" spans="1:7" x14ac:dyDescent="0.3">
      <c r="A722" s="7" t="s">
        <v>1089</v>
      </c>
      <c r="B722" s="7" t="s">
        <v>28</v>
      </c>
      <c r="C722" s="7" t="s">
        <v>359</v>
      </c>
      <c r="D722" s="9">
        <v>46050</v>
      </c>
      <c r="E722" s="9">
        <v>46080</v>
      </c>
      <c r="F722" s="3">
        <v>1578.61</v>
      </c>
      <c r="G722" s="7" t="s">
        <v>369</v>
      </c>
    </row>
    <row r="723" spans="1:7" x14ac:dyDescent="0.3">
      <c r="A723" s="7" t="s">
        <v>1090</v>
      </c>
      <c r="B723" s="7" t="s">
        <v>87</v>
      </c>
      <c r="C723" s="7" t="s">
        <v>357</v>
      </c>
      <c r="D723" s="9">
        <v>46060</v>
      </c>
      <c r="E723" s="9">
        <v>46090</v>
      </c>
      <c r="F723" s="3">
        <v>3546.49</v>
      </c>
      <c r="G723" s="7" t="s">
        <v>367</v>
      </c>
    </row>
    <row r="724" spans="1:7" x14ac:dyDescent="0.3">
      <c r="A724" s="7" t="s">
        <v>1091</v>
      </c>
      <c r="B724" s="7" t="s">
        <v>113</v>
      </c>
      <c r="C724" s="7" t="s">
        <v>351</v>
      </c>
      <c r="D724" s="9">
        <v>45984</v>
      </c>
      <c r="E724" s="9">
        <v>46014</v>
      </c>
      <c r="F724" s="3">
        <v>5729.9</v>
      </c>
      <c r="G724" s="7" t="s">
        <v>367</v>
      </c>
    </row>
    <row r="725" spans="1:7" x14ac:dyDescent="0.3">
      <c r="A725" s="7" t="s">
        <v>1092</v>
      </c>
      <c r="B725" s="7" t="s">
        <v>16</v>
      </c>
      <c r="C725" s="7" t="s">
        <v>359</v>
      </c>
      <c r="D725" s="9">
        <v>46106</v>
      </c>
      <c r="E725" s="9">
        <v>46136</v>
      </c>
      <c r="F725" s="3">
        <v>2072.62</v>
      </c>
      <c r="G725" s="7" t="s">
        <v>367</v>
      </c>
    </row>
    <row r="726" spans="1:7" x14ac:dyDescent="0.3">
      <c r="A726" s="7" t="s">
        <v>1093</v>
      </c>
      <c r="B726" s="7" t="s">
        <v>11</v>
      </c>
      <c r="C726" s="7" t="s">
        <v>359</v>
      </c>
      <c r="D726" s="9">
        <v>46064</v>
      </c>
      <c r="E726" s="9">
        <v>46094</v>
      </c>
      <c r="F726" s="3">
        <v>1933.95</v>
      </c>
      <c r="G726" s="7" t="s">
        <v>367</v>
      </c>
    </row>
    <row r="727" spans="1:7" x14ac:dyDescent="0.3">
      <c r="A727" s="7" t="s">
        <v>1094</v>
      </c>
      <c r="B727" s="7" t="s">
        <v>80</v>
      </c>
      <c r="C727" s="7" t="s">
        <v>349</v>
      </c>
      <c r="D727" s="9">
        <v>45981</v>
      </c>
      <c r="E727" s="9">
        <v>46011</v>
      </c>
      <c r="F727" s="3">
        <v>2487.9</v>
      </c>
      <c r="G727" s="7" t="s">
        <v>367</v>
      </c>
    </row>
    <row r="728" spans="1:7" x14ac:dyDescent="0.3">
      <c r="A728" s="7" t="s">
        <v>1095</v>
      </c>
      <c r="B728" s="7" t="s">
        <v>58</v>
      </c>
      <c r="C728" s="7" t="s">
        <v>351</v>
      </c>
      <c r="D728" s="9">
        <v>46081</v>
      </c>
      <c r="E728" s="9">
        <v>46111</v>
      </c>
      <c r="F728" s="3">
        <v>5821.97</v>
      </c>
      <c r="G728" s="7" t="s">
        <v>367</v>
      </c>
    </row>
    <row r="729" spans="1:7" x14ac:dyDescent="0.3">
      <c r="A729" s="7" t="s">
        <v>1096</v>
      </c>
      <c r="B729" s="7" t="s">
        <v>7</v>
      </c>
      <c r="C729" s="7" t="s">
        <v>355</v>
      </c>
      <c r="D729" s="9">
        <v>46110</v>
      </c>
      <c r="E729" s="9">
        <v>46140</v>
      </c>
      <c r="F729" s="3">
        <v>11118.74</v>
      </c>
      <c r="G729" s="7" t="s">
        <v>367</v>
      </c>
    </row>
    <row r="730" spans="1:7" x14ac:dyDescent="0.3">
      <c r="A730" s="7" t="s">
        <v>1097</v>
      </c>
      <c r="B730" s="7" t="s">
        <v>96</v>
      </c>
      <c r="C730" s="7" t="s">
        <v>359</v>
      </c>
      <c r="D730" s="9">
        <v>46107</v>
      </c>
      <c r="E730" s="9">
        <v>46137</v>
      </c>
      <c r="F730" s="3">
        <v>1958.61</v>
      </c>
      <c r="G730" s="7" t="s">
        <v>367</v>
      </c>
    </row>
    <row r="731" spans="1:7" x14ac:dyDescent="0.3">
      <c r="A731" s="7" t="s">
        <v>1098</v>
      </c>
      <c r="B731" s="7" t="s">
        <v>94</v>
      </c>
      <c r="C731" s="7" t="s">
        <v>349</v>
      </c>
      <c r="D731" s="9">
        <v>45970</v>
      </c>
      <c r="E731" s="9">
        <v>46000</v>
      </c>
      <c r="F731" s="3">
        <v>2829.24</v>
      </c>
      <c r="G731" s="7" t="s">
        <v>367</v>
      </c>
    </row>
    <row r="732" spans="1:7" x14ac:dyDescent="0.3">
      <c r="A732" s="7" t="s">
        <v>1099</v>
      </c>
      <c r="B732" s="7" t="s">
        <v>112</v>
      </c>
      <c r="C732" s="7" t="s">
        <v>353</v>
      </c>
      <c r="D732" s="9">
        <v>46014</v>
      </c>
      <c r="E732" s="9">
        <v>46044</v>
      </c>
      <c r="F732" s="3">
        <v>2606.5700000000002</v>
      </c>
      <c r="G732" s="7" t="s">
        <v>367</v>
      </c>
    </row>
    <row r="733" spans="1:7" x14ac:dyDescent="0.3">
      <c r="A733" s="7" t="s">
        <v>1100</v>
      </c>
      <c r="B733" s="7" t="s">
        <v>102</v>
      </c>
      <c r="C733" s="7" t="s">
        <v>359</v>
      </c>
      <c r="D733" s="9">
        <v>46088</v>
      </c>
      <c r="E733" s="9">
        <v>46118</v>
      </c>
      <c r="F733" s="3">
        <v>1462.19</v>
      </c>
      <c r="G733" s="7" t="s">
        <v>367</v>
      </c>
    </row>
    <row r="734" spans="1:7" x14ac:dyDescent="0.3">
      <c r="A734" s="7" t="s">
        <v>1101</v>
      </c>
      <c r="B734" s="7" t="s">
        <v>88</v>
      </c>
      <c r="C734" s="7" t="s">
        <v>355</v>
      </c>
      <c r="D734" s="9">
        <v>46111</v>
      </c>
      <c r="E734" s="9">
        <v>46141</v>
      </c>
      <c r="F734" s="3">
        <v>13424.5</v>
      </c>
      <c r="G734" s="7" t="s">
        <v>367</v>
      </c>
    </row>
    <row r="735" spans="1:7" x14ac:dyDescent="0.3">
      <c r="A735" s="7" t="s">
        <v>1102</v>
      </c>
      <c r="B735" s="7" t="s">
        <v>8</v>
      </c>
      <c r="C735" s="7" t="s">
        <v>351</v>
      </c>
      <c r="D735" s="9">
        <v>46030</v>
      </c>
      <c r="E735" s="9">
        <v>46060</v>
      </c>
      <c r="F735" s="3">
        <v>4596.1099999999997</v>
      </c>
      <c r="G735" s="7" t="s">
        <v>367</v>
      </c>
    </row>
    <row r="736" spans="1:7" x14ac:dyDescent="0.3">
      <c r="A736" s="7" t="s">
        <v>1103</v>
      </c>
      <c r="B736" s="7" t="s">
        <v>80</v>
      </c>
      <c r="C736" s="7" t="s">
        <v>357</v>
      </c>
      <c r="D736" s="9">
        <v>46025</v>
      </c>
      <c r="E736" s="9">
        <v>46055</v>
      </c>
      <c r="F736" s="3">
        <v>4024.67</v>
      </c>
      <c r="G736" s="7" t="s">
        <v>367</v>
      </c>
    </row>
    <row r="737" spans="1:7" x14ac:dyDescent="0.3">
      <c r="A737" s="7" t="s">
        <v>1104</v>
      </c>
      <c r="B737" s="7" t="s">
        <v>102</v>
      </c>
      <c r="C737" s="7" t="s">
        <v>357</v>
      </c>
      <c r="D737" s="9">
        <v>46053</v>
      </c>
      <c r="E737" s="9">
        <v>46083</v>
      </c>
      <c r="F737" s="3">
        <v>3351.71</v>
      </c>
      <c r="G737" s="7" t="s">
        <v>367</v>
      </c>
    </row>
    <row r="738" spans="1:7" x14ac:dyDescent="0.3">
      <c r="A738" s="7" t="s">
        <v>1105</v>
      </c>
      <c r="B738" s="7" t="s">
        <v>89</v>
      </c>
      <c r="C738" s="7" t="s">
        <v>359</v>
      </c>
      <c r="D738" s="9">
        <v>46053</v>
      </c>
      <c r="E738" s="9">
        <v>46083</v>
      </c>
      <c r="F738" s="3">
        <v>2090.5500000000002</v>
      </c>
      <c r="G738" s="7" t="s">
        <v>367</v>
      </c>
    </row>
    <row r="739" spans="1:7" x14ac:dyDescent="0.3">
      <c r="A739" s="7" t="s">
        <v>1106</v>
      </c>
      <c r="B739" s="7" t="s">
        <v>39</v>
      </c>
      <c r="C739" s="7" t="s">
        <v>357</v>
      </c>
      <c r="D739" s="9">
        <v>46057</v>
      </c>
      <c r="E739" s="9">
        <v>46087</v>
      </c>
      <c r="F739" s="3">
        <v>2999.44</v>
      </c>
      <c r="G739" s="7" t="s">
        <v>367</v>
      </c>
    </row>
    <row r="740" spans="1:7" x14ac:dyDescent="0.3">
      <c r="A740" s="7" t="s">
        <v>1107</v>
      </c>
      <c r="B740" s="7" t="s">
        <v>115</v>
      </c>
      <c r="C740" s="7" t="s">
        <v>351</v>
      </c>
      <c r="D740" s="9">
        <v>46079</v>
      </c>
      <c r="E740" s="9">
        <v>46109</v>
      </c>
      <c r="F740" s="3">
        <v>4229.25</v>
      </c>
      <c r="G740" s="7" t="s">
        <v>369</v>
      </c>
    </row>
    <row r="741" spans="1:7" x14ac:dyDescent="0.3">
      <c r="A741" s="7" t="s">
        <v>1108</v>
      </c>
      <c r="B741" s="7" t="s">
        <v>15</v>
      </c>
      <c r="C741" s="7" t="s">
        <v>357</v>
      </c>
      <c r="D741" s="9">
        <v>46067</v>
      </c>
      <c r="E741" s="9">
        <v>46097</v>
      </c>
      <c r="F741" s="3">
        <v>3445.77</v>
      </c>
      <c r="G741" s="7" t="s">
        <v>367</v>
      </c>
    </row>
    <row r="742" spans="1:7" x14ac:dyDescent="0.3">
      <c r="A742" s="7" t="s">
        <v>1109</v>
      </c>
      <c r="B742" s="7" t="s">
        <v>49</v>
      </c>
      <c r="C742" s="7" t="s">
        <v>353</v>
      </c>
      <c r="D742" s="9">
        <v>46025</v>
      </c>
      <c r="E742" s="9">
        <v>46055</v>
      </c>
      <c r="F742" s="3">
        <v>2098.1999999999998</v>
      </c>
      <c r="G742" s="7" t="s">
        <v>367</v>
      </c>
    </row>
    <row r="743" spans="1:7" x14ac:dyDescent="0.3">
      <c r="A743" s="7" t="s">
        <v>1110</v>
      </c>
      <c r="B743" s="7" t="s">
        <v>86</v>
      </c>
      <c r="C743" s="7" t="s">
        <v>353</v>
      </c>
      <c r="D743" s="9">
        <v>46111</v>
      </c>
      <c r="E743" s="9">
        <v>46141</v>
      </c>
      <c r="F743" s="3">
        <v>2128.2199999999998</v>
      </c>
      <c r="G743" s="7" t="s">
        <v>367</v>
      </c>
    </row>
    <row r="744" spans="1:7" x14ac:dyDescent="0.3">
      <c r="A744" s="7" t="s">
        <v>1111</v>
      </c>
      <c r="B744" s="7" t="s">
        <v>85</v>
      </c>
      <c r="C744" s="7" t="s">
        <v>349</v>
      </c>
      <c r="D744" s="9">
        <v>46103</v>
      </c>
      <c r="E744" s="9">
        <v>46133</v>
      </c>
      <c r="F744" s="3">
        <v>3480.14</v>
      </c>
      <c r="G744" s="7" t="s">
        <v>367</v>
      </c>
    </row>
    <row r="745" spans="1:7" x14ac:dyDescent="0.3">
      <c r="A745" s="7" t="s">
        <v>1112</v>
      </c>
      <c r="B745" s="7" t="s">
        <v>53</v>
      </c>
      <c r="C745" s="7" t="s">
        <v>359</v>
      </c>
      <c r="D745" s="9">
        <v>46076</v>
      </c>
      <c r="E745" s="9">
        <v>46106</v>
      </c>
      <c r="F745" s="3">
        <v>1660.09</v>
      </c>
      <c r="G745" s="7" t="s">
        <v>367</v>
      </c>
    </row>
    <row r="746" spans="1:7" x14ac:dyDescent="0.3">
      <c r="A746" s="7" t="s">
        <v>1113</v>
      </c>
      <c r="B746" s="7" t="s">
        <v>107</v>
      </c>
      <c r="C746" s="7" t="s">
        <v>353</v>
      </c>
      <c r="D746" s="9">
        <v>46089</v>
      </c>
      <c r="E746" s="9">
        <v>46119</v>
      </c>
      <c r="F746" s="3">
        <v>2958.66</v>
      </c>
      <c r="G746" s="7" t="s">
        <v>367</v>
      </c>
    </row>
    <row r="747" spans="1:7" x14ac:dyDescent="0.3">
      <c r="A747" s="7" t="s">
        <v>1114</v>
      </c>
      <c r="B747" s="7" t="s">
        <v>53</v>
      </c>
      <c r="C747" s="7" t="s">
        <v>351</v>
      </c>
      <c r="D747" s="9">
        <v>46014</v>
      </c>
      <c r="E747" s="9">
        <v>46044</v>
      </c>
      <c r="F747" s="3">
        <v>5424.4</v>
      </c>
      <c r="G747" s="7" t="s">
        <v>367</v>
      </c>
    </row>
    <row r="748" spans="1:7" x14ac:dyDescent="0.3">
      <c r="A748" s="7" t="s">
        <v>1115</v>
      </c>
      <c r="B748" s="7" t="s">
        <v>52</v>
      </c>
      <c r="C748" s="7" t="s">
        <v>351</v>
      </c>
      <c r="D748" s="9">
        <v>46015</v>
      </c>
      <c r="E748" s="9">
        <v>46045</v>
      </c>
      <c r="F748" s="3">
        <v>5359.16</v>
      </c>
      <c r="G748" s="7" t="s">
        <v>367</v>
      </c>
    </row>
    <row r="749" spans="1:7" x14ac:dyDescent="0.3">
      <c r="A749" s="7" t="s">
        <v>1116</v>
      </c>
      <c r="B749" s="7" t="s">
        <v>17</v>
      </c>
      <c r="C749" s="7" t="s">
        <v>353</v>
      </c>
      <c r="D749" s="9">
        <v>46060</v>
      </c>
      <c r="E749" s="9">
        <v>46090</v>
      </c>
      <c r="F749" s="3">
        <v>2486.9699999999998</v>
      </c>
      <c r="G749" s="7" t="s">
        <v>367</v>
      </c>
    </row>
    <row r="750" spans="1:7" x14ac:dyDescent="0.3">
      <c r="A750" s="7" t="s">
        <v>1117</v>
      </c>
      <c r="B750" s="7" t="s">
        <v>100</v>
      </c>
      <c r="C750" s="7" t="s">
        <v>353</v>
      </c>
      <c r="D750" s="9">
        <v>46007</v>
      </c>
      <c r="E750" s="9">
        <v>46037</v>
      </c>
      <c r="F750" s="3">
        <v>2858.71</v>
      </c>
      <c r="G750" s="7" t="s">
        <v>367</v>
      </c>
    </row>
    <row r="751" spans="1:7" x14ac:dyDescent="0.3">
      <c r="A751" s="7" t="s">
        <v>1118</v>
      </c>
      <c r="B751" s="7" t="s">
        <v>87</v>
      </c>
      <c r="C751" s="7" t="s">
        <v>359</v>
      </c>
      <c r="D751" s="9">
        <v>46112</v>
      </c>
      <c r="E751" s="9">
        <v>46142</v>
      </c>
      <c r="F751" s="3">
        <v>1495.05</v>
      </c>
      <c r="G751" s="7" t="s">
        <v>369</v>
      </c>
    </row>
    <row r="752" spans="1:7" x14ac:dyDescent="0.3">
      <c r="A752" s="7" t="s">
        <v>1119</v>
      </c>
      <c r="B752" s="7" t="s">
        <v>34</v>
      </c>
      <c r="C752" s="7" t="s">
        <v>349</v>
      </c>
      <c r="D752" s="9">
        <v>46092</v>
      </c>
      <c r="E752" s="9">
        <v>46122</v>
      </c>
      <c r="F752" s="3">
        <v>3375.17</v>
      </c>
      <c r="G752" s="7" t="s">
        <v>369</v>
      </c>
    </row>
    <row r="753" spans="1:7" x14ac:dyDescent="0.3">
      <c r="A753" s="7" t="s">
        <v>1120</v>
      </c>
      <c r="B753" s="7" t="s">
        <v>106</v>
      </c>
      <c r="C753" s="7" t="s">
        <v>349</v>
      </c>
      <c r="D753" s="9">
        <v>46020</v>
      </c>
      <c r="E753" s="9">
        <v>46050</v>
      </c>
      <c r="F753" s="3">
        <v>3061.91</v>
      </c>
      <c r="G753" s="7" t="s">
        <v>367</v>
      </c>
    </row>
    <row r="754" spans="1:7" x14ac:dyDescent="0.3">
      <c r="A754" s="7" t="s">
        <v>1121</v>
      </c>
      <c r="B754" s="7" t="s">
        <v>44</v>
      </c>
      <c r="C754" s="7" t="s">
        <v>351</v>
      </c>
      <c r="D754" s="9">
        <v>46087</v>
      </c>
      <c r="E754" s="9">
        <v>46117</v>
      </c>
      <c r="F754" s="3">
        <v>4731.6400000000003</v>
      </c>
      <c r="G754" s="7" t="s">
        <v>367</v>
      </c>
    </row>
    <row r="755" spans="1:7" x14ac:dyDescent="0.3">
      <c r="A755" s="7" t="s">
        <v>1122</v>
      </c>
      <c r="B755" s="7" t="s">
        <v>71</v>
      </c>
      <c r="C755" s="7" t="s">
        <v>351</v>
      </c>
      <c r="D755" s="9">
        <v>45964</v>
      </c>
      <c r="E755" s="9">
        <v>45994</v>
      </c>
      <c r="F755" s="3">
        <v>4929.3999999999996</v>
      </c>
      <c r="G755" s="7" t="s">
        <v>367</v>
      </c>
    </row>
    <row r="756" spans="1:7" x14ac:dyDescent="0.3">
      <c r="A756" s="7" t="s">
        <v>1123</v>
      </c>
      <c r="B756" s="7" t="s">
        <v>103</v>
      </c>
      <c r="C756" s="7" t="s">
        <v>349</v>
      </c>
      <c r="D756" s="9">
        <v>46103</v>
      </c>
      <c r="E756" s="9">
        <v>46133</v>
      </c>
      <c r="F756" s="3">
        <v>3195.21</v>
      </c>
      <c r="G756" s="7" t="s">
        <v>367</v>
      </c>
    </row>
    <row r="757" spans="1:7" x14ac:dyDescent="0.3">
      <c r="A757" s="7" t="s">
        <v>1124</v>
      </c>
      <c r="B757" s="7" t="s">
        <v>79</v>
      </c>
      <c r="C757" s="7" t="s">
        <v>357</v>
      </c>
      <c r="D757" s="9">
        <v>45992</v>
      </c>
      <c r="E757" s="9">
        <v>46022</v>
      </c>
      <c r="F757" s="3">
        <v>2996.52</v>
      </c>
      <c r="G757" s="7" t="s">
        <v>367</v>
      </c>
    </row>
    <row r="758" spans="1:7" x14ac:dyDescent="0.3">
      <c r="A758" s="7" t="s">
        <v>1125</v>
      </c>
      <c r="B758" s="7" t="s">
        <v>52</v>
      </c>
      <c r="C758" s="7" t="s">
        <v>359</v>
      </c>
      <c r="D758" s="9">
        <v>45979</v>
      </c>
      <c r="E758" s="9">
        <v>46009</v>
      </c>
      <c r="F758" s="3">
        <v>2067.98</v>
      </c>
      <c r="G758" s="7" t="s">
        <v>367</v>
      </c>
    </row>
    <row r="759" spans="1:7" x14ac:dyDescent="0.3">
      <c r="A759" s="7" t="s">
        <v>1126</v>
      </c>
      <c r="B759" s="7" t="s">
        <v>54</v>
      </c>
      <c r="C759" s="7" t="s">
        <v>349</v>
      </c>
      <c r="D759" s="9">
        <v>46056</v>
      </c>
      <c r="E759" s="9">
        <v>46086</v>
      </c>
      <c r="F759" s="3">
        <v>2662.58</v>
      </c>
      <c r="G759" s="7" t="s">
        <v>367</v>
      </c>
    </row>
    <row r="760" spans="1:7" x14ac:dyDescent="0.3">
      <c r="A760" s="7" t="s">
        <v>1127</v>
      </c>
      <c r="B760" s="7" t="s">
        <v>53</v>
      </c>
      <c r="C760" s="7" t="s">
        <v>351</v>
      </c>
      <c r="D760" s="9">
        <v>46016</v>
      </c>
      <c r="E760" s="9">
        <v>46046</v>
      </c>
      <c r="F760" s="3">
        <v>4085.62</v>
      </c>
      <c r="G760" s="7" t="s">
        <v>369</v>
      </c>
    </row>
    <row r="761" spans="1:7" x14ac:dyDescent="0.3">
      <c r="A761" s="7" t="s">
        <v>1128</v>
      </c>
      <c r="B761" s="7" t="s">
        <v>90</v>
      </c>
      <c r="C761" s="7" t="s">
        <v>355</v>
      </c>
      <c r="D761" s="9">
        <v>46076</v>
      </c>
      <c r="E761" s="9">
        <v>46106</v>
      </c>
      <c r="F761" s="3">
        <v>11854.44</v>
      </c>
      <c r="G761" s="7" t="s">
        <v>367</v>
      </c>
    </row>
    <row r="762" spans="1:7" x14ac:dyDescent="0.3">
      <c r="A762" s="7" t="s">
        <v>1129</v>
      </c>
      <c r="B762" s="7" t="s">
        <v>113</v>
      </c>
      <c r="C762" s="7" t="s">
        <v>353</v>
      </c>
      <c r="D762" s="9">
        <v>46038</v>
      </c>
      <c r="E762" s="9">
        <v>46068</v>
      </c>
      <c r="F762" s="3">
        <v>2103.23</v>
      </c>
      <c r="G762" s="7" t="s">
        <v>369</v>
      </c>
    </row>
    <row r="763" spans="1:7" x14ac:dyDescent="0.3">
      <c r="A763" s="7" t="s">
        <v>1130</v>
      </c>
      <c r="B763" s="7" t="s">
        <v>90</v>
      </c>
      <c r="C763" s="7" t="s">
        <v>359</v>
      </c>
      <c r="D763" s="9">
        <v>45970</v>
      </c>
      <c r="E763" s="9">
        <v>46000</v>
      </c>
      <c r="F763" s="3">
        <v>1629.59</v>
      </c>
      <c r="G763" s="7" t="s">
        <v>367</v>
      </c>
    </row>
    <row r="764" spans="1:7" x14ac:dyDescent="0.3">
      <c r="A764" s="7" t="s">
        <v>1131</v>
      </c>
      <c r="B764" s="7" t="s">
        <v>55</v>
      </c>
      <c r="C764" s="7" t="s">
        <v>355</v>
      </c>
      <c r="D764" s="9">
        <v>45974</v>
      </c>
      <c r="E764" s="9">
        <v>46004</v>
      </c>
      <c r="F764" s="3">
        <v>11353.42</v>
      </c>
      <c r="G764" s="7" t="s">
        <v>367</v>
      </c>
    </row>
    <row r="765" spans="1:7" x14ac:dyDescent="0.3">
      <c r="A765" s="7" t="s">
        <v>1132</v>
      </c>
      <c r="B765" s="7" t="s">
        <v>68</v>
      </c>
      <c r="C765" s="7" t="s">
        <v>351</v>
      </c>
      <c r="D765" s="9">
        <v>46083</v>
      </c>
      <c r="E765" s="9">
        <v>46113</v>
      </c>
      <c r="F765" s="3">
        <v>5032.74</v>
      </c>
      <c r="G765" s="7" t="s">
        <v>367</v>
      </c>
    </row>
    <row r="766" spans="1:7" x14ac:dyDescent="0.3">
      <c r="A766" s="7" t="s">
        <v>1133</v>
      </c>
      <c r="B766" s="7" t="s">
        <v>36</v>
      </c>
      <c r="C766" s="7" t="s">
        <v>357</v>
      </c>
      <c r="D766" s="9">
        <v>46092</v>
      </c>
      <c r="E766" s="9">
        <v>46122</v>
      </c>
      <c r="F766" s="3">
        <v>2809.24</v>
      </c>
      <c r="G766" s="7" t="s">
        <v>367</v>
      </c>
    </row>
    <row r="767" spans="1:7" x14ac:dyDescent="0.3">
      <c r="A767" s="7" t="s">
        <v>1134</v>
      </c>
      <c r="B767" s="7" t="s">
        <v>27</v>
      </c>
      <c r="C767" s="7" t="s">
        <v>349</v>
      </c>
      <c r="D767" s="9">
        <v>46028</v>
      </c>
      <c r="E767" s="9">
        <v>46058</v>
      </c>
      <c r="F767" s="3">
        <v>3017.45</v>
      </c>
      <c r="G767" s="7" t="s">
        <v>367</v>
      </c>
    </row>
    <row r="768" spans="1:7" x14ac:dyDescent="0.3">
      <c r="A768" s="7" t="s">
        <v>1135</v>
      </c>
      <c r="B768" s="7" t="s">
        <v>60</v>
      </c>
      <c r="C768" s="7" t="s">
        <v>353</v>
      </c>
      <c r="D768" s="9">
        <v>45980</v>
      </c>
      <c r="E768" s="9">
        <v>46010</v>
      </c>
      <c r="F768" s="3">
        <v>2602.02</v>
      </c>
      <c r="G768" s="7" t="s">
        <v>367</v>
      </c>
    </row>
    <row r="769" spans="1:7" x14ac:dyDescent="0.3">
      <c r="A769" s="7" t="s">
        <v>1136</v>
      </c>
      <c r="B769" s="7" t="s">
        <v>33</v>
      </c>
      <c r="C769" s="7" t="s">
        <v>353</v>
      </c>
      <c r="D769" s="9">
        <v>45985</v>
      </c>
      <c r="E769" s="9">
        <v>46015</v>
      </c>
      <c r="F769" s="3">
        <v>2720.26</v>
      </c>
      <c r="G769" s="7" t="s">
        <v>367</v>
      </c>
    </row>
    <row r="770" spans="1:7" x14ac:dyDescent="0.3">
      <c r="A770" s="7" t="s">
        <v>1137</v>
      </c>
      <c r="B770" s="7" t="s">
        <v>12</v>
      </c>
      <c r="C770" s="7" t="s">
        <v>357</v>
      </c>
      <c r="D770" s="9">
        <v>46019</v>
      </c>
      <c r="E770" s="9">
        <v>46049</v>
      </c>
      <c r="F770" s="3">
        <v>3025.74</v>
      </c>
      <c r="G770" s="7" t="s">
        <v>367</v>
      </c>
    </row>
    <row r="771" spans="1:7" x14ac:dyDescent="0.3">
      <c r="A771" s="7" t="s">
        <v>1138</v>
      </c>
      <c r="B771" s="7" t="s">
        <v>12</v>
      </c>
      <c r="C771" s="7" t="s">
        <v>351</v>
      </c>
      <c r="D771" s="9">
        <v>46088</v>
      </c>
      <c r="E771" s="9">
        <v>46118</v>
      </c>
      <c r="F771" s="3">
        <v>5146.97</v>
      </c>
      <c r="G771" s="7" t="s">
        <v>367</v>
      </c>
    </row>
    <row r="772" spans="1:7" x14ac:dyDescent="0.3">
      <c r="A772" s="7" t="s">
        <v>1139</v>
      </c>
      <c r="B772" s="7" t="s">
        <v>73</v>
      </c>
      <c r="C772" s="7" t="s">
        <v>357</v>
      </c>
      <c r="D772" s="9">
        <v>46091</v>
      </c>
      <c r="E772" s="9">
        <v>46121</v>
      </c>
      <c r="F772" s="3">
        <v>3005.61</v>
      </c>
      <c r="G772" s="7" t="s">
        <v>369</v>
      </c>
    </row>
    <row r="773" spans="1:7" x14ac:dyDescent="0.3">
      <c r="A773" s="7" t="s">
        <v>1140</v>
      </c>
      <c r="B773" s="7" t="s">
        <v>99</v>
      </c>
      <c r="C773" s="7" t="s">
        <v>355</v>
      </c>
      <c r="D773" s="9">
        <v>46057</v>
      </c>
      <c r="E773" s="9">
        <v>46087</v>
      </c>
      <c r="F773" s="3">
        <v>12476.92</v>
      </c>
      <c r="G773" s="7" t="s">
        <v>367</v>
      </c>
    </row>
    <row r="774" spans="1:7" x14ac:dyDescent="0.3">
      <c r="A774" s="7" t="s">
        <v>1141</v>
      </c>
      <c r="B774" s="7" t="s">
        <v>84</v>
      </c>
      <c r="C774" s="7" t="s">
        <v>359</v>
      </c>
      <c r="D774" s="9">
        <v>46103</v>
      </c>
      <c r="E774" s="9">
        <v>46133</v>
      </c>
      <c r="F774" s="3">
        <v>1916.46</v>
      </c>
      <c r="G774" s="7" t="s">
        <v>367</v>
      </c>
    </row>
    <row r="775" spans="1:7" x14ac:dyDescent="0.3">
      <c r="A775" s="7" t="s">
        <v>1142</v>
      </c>
      <c r="B775" s="7" t="s">
        <v>83</v>
      </c>
      <c r="C775" s="7" t="s">
        <v>355</v>
      </c>
      <c r="D775" s="9">
        <v>45964</v>
      </c>
      <c r="E775" s="9">
        <v>45994</v>
      </c>
      <c r="F775" s="3">
        <v>13763.05</v>
      </c>
      <c r="G775" s="7" t="s">
        <v>369</v>
      </c>
    </row>
    <row r="776" spans="1:7" x14ac:dyDescent="0.3">
      <c r="A776" s="7" t="s">
        <v>1143</v>
      </c>
      <c r="B776" s="7" t="s">
        <v>72</v>
      </c>
      <c r="C776" s="7" t="s">
        <v>351</v>
      </c>
      <c r="D776" s="9">
        <v>46038</v>
      </c>
      <c r="E776" s="9">
        <v>46068</v>
      </c>
      <c r="F776" s="3">
        <v>5589.23</v>
      </c>
      <c r="G776" s="7" t="s">
        <v>367</v>
      </c>
    </row>
    <row r="777" spans="1:7" x14ac:dyDescent="0.3">
      <c r="A777" s="7" t="s">
        <v>1144</v>
      </c>
      <c r="B777" s="7" t="s">
        <v>83</v>
      </c>
      <c r="C777" s="7" t="s">
        <v>353</v>
      </c>
      <c r="D777" s="9">
        <v>45992</v>
      </c>
      <c r="E777" s="9">
        <v>46022</v>
      </c>
      <c r="F777" s="3">
        <v>2167.7199999999998</v>
      </c>
      <c r="G777" s="7" t="s">
        <v>369</v>
      </c>
    </row>
    <row r="778" spans="1:7" x14ac:dyDescent="0.3">
      <c r="A778" s="7" t="s">
        <v>1145</v>
      </c>
      <c r="B778" s="7" t="s">
        <v>9</v>
      </c>
      <c r="C778" s="7" t="s">
        <v>357</v>
      </c>
      <c r="D778" s="9">
        <v>46074</v>
      </c>
      <c r="E778" s="9">
        <v>46104</v>
      </c>
      <c r="F778" s="3">
        <v>2896.38</v>
      </c>
      <c r="G778" s="7" t="s">
        <v>367</v>
      </c>
    </row>
    <row r="779" spans="1:7" x14ac:dyDescent="0.3">
      <c r="A779" s="7" t="s">
        <v>1146</v>
      </c>
      <c r="B779" s="7" t="s">
        <v>26</v>
      </c>
      <c r="C779" s="7" t="s">
        <v>351</v>
      </c>
      <c r="D779" s="9">
        <v>45994</v>
      </c>
      <c r="E779" s="9">
        <v>46024</v>
      </c>
      <c r="F779" s="3">
        <v>5045.42</v>
      </c>
      <c r="G779" s="7" t="s">
        <v>367</v>
      </c>
    </row>
    <row r="780" spans="1:7" x14ac:dyDescent="0.3">
      <c r="A780" s="7" t="s">
        <v>1147</v>
      </c>
      <c r="B780" s="7" t="s">
        <v>119</v>
      </c>
      <c r="C780" s="7" t="s">
        <v>357</v>
      </c>
      <c r="D780" s="9">
        <v>45994</v>
      </c>
      <c r="E780" s="9">
        <v>46024</v>
      </c>
      <c r="F780" s="3">
        <v>2934.82</v>
      </c>
      <c r="G780" s="7" t="s">
        <v>367</v>
      </c>
    </row>
    <row r="781" spans="1:7" x14ac:dyDescent="0.3">
      <c r="A781" s="7" t="s">
        <v>1148</v>
      </c>
      <c r="B781" s="7" t="s">
        <v>23</v>
      </c>
      <c r="C781" s="7" t="s">
        <v>357</v>
      </c>
      <c r="D781" s="9">
        <v>46019</v>
      </c>
      <c r="E781" s="9">
        <v>46049</v>
      </c>
      <c r="F781" s="3">
        <v>3504.66</v>
      </c>
      <c r="G781" s="7" t="s">
        <v>367</v>
      </c>
    </row>
    <row r="782" spans="1:7" x14ac:dyDescent="0.3">
      <c r="A782" s="7" t="s">
        <v>1149</v>
      </c>
      <c r="B782" s="7" t="s">
        <v>73</v>
      </c>
      <c r="C782" s="7" t="s">
        <v>357</v>
      </c>
      <c r="D782" s="9">
        <v>46076</v>
      </c>
      <c r="E782" s="9">
        <v>46106</v>
      </c>
      <c r="F782" s="3">
        <v>3555</v>
      </c>
      <c r="G782" s="7" t="s">
        <v>367</v>
      </c>
    </row>
    <row r="783" spans="1:7" x14ac:dyDescent="0.3">
      <c r="A783" s="7" t="s">
        <v>1150</v>
      </c>
      <c r="B783" s="7" t="s">
        <v>36</v>
      </c>
      <c r="C783" s="7" t="s">
        <v>355</v>
      </c>
      <c r="D783" s="9">
        <v>46080</v>
      </c>
      <c r="E783" s="9">
        <v>46110</v>
      </c>
      <c r="F783" s="3">
        <v>11377.81</v>
      </c>
      <c r="G783" s="7" t="s">
        <v>367</v>
      </c>
    </row>
    <row r="784" spans="1:7" x14ac:dyDescent="0.3">
      <c r="A784" s="7" t="s">
        <v>1151</v>
      </c>
      <c r="B784" s="7" t="s">
        <v>101</v>
      </c>
      <c r="C784" s="7" t="s">
        <v>355</v>
      </c>
      <c r="D784" s="9">
        <v>46033</v>
      </c>
      <c r="E784" s="9">
        <v>46063</v>
      </c>
      <c r="F784" s="3">
        <v>13389.87</v>
      </c>
      <c r="G784" s="7" t="s">
        <v>367</v>
      </c>
    </row>
    <row r="785" spans="1:7" x14ac:dyDescent="0.3">
      <c r="A785" s="7" t="s">
        <v>1152</v>
      </c>
      <c r="B785" s="7" t="s">
        <v>105</v>
      </c>
      <c r="C785" s="7" t="s">
        <v>359</v>
      </c>
      <c r="D785" s="9">
        <v>46098</v>
      </c>
      <c r="E785" s="9">
        <v>46128</v>
      </c>
      <c r="F785" s="3">
        <v>1854.81</v>
      </c>
      <c r="G785" s="7" t="s">
        <v>367</v>
      </c>
    </row>
    <row r="786" spans="1:7" x14ac:dyDescent="0.3">
      <c r="A786" s="7" t="s">
        <v>1153</v>
      </c>
      <c r="B786" s="7" t="s">
        <v>76</v>
      </c>
      <c r="C786" s="7" t="s">
        <v>351</v>
      </c>
      <c r="D786" s="9">
        <v>46001</v>
      </c>
      <c r="E786" s="9">
        <v>46031</v>
      </c>
      <c r="F786" s="3">
        <v>5820.17</v>
      </c>
      <c r="G786" s="7" t="s">
        <v>367</v>
      </c>
    </row>
    <row r="787" spans="1:7" x14ac:dyDescent="0.3">
      <c r="A787" s="7" t="s">
        <v>1154</v>
      </c>
      <c r="B787" s="7" t="s">
        <v>7</v>
      </c>
      <c r="C787" s="7" t="s">
        <v>355</v>
      </c>
      <c r="D787" s="9">
        <v>46089</v>
      </c>
      <c r="E787" s="9">
        <v>46119</v>
      </c>
      <c r="F787" s="3">
        <v>10837.46</v>
      </c>
      <c r="G787" s="7" t="s">
        <v>367</v>
      </c>
    </row>
    <row r="788" spans="1:7" x14ac:dyDescent="0.3">
      <c r="A788" s="7" t="s">
        <v>1155</v>
      </c>
      <c r="B788" s="7" t="s">
        <v>33</v>
      </c>
      <c r="C788" s="7" t="s">
        <v>357</v>
      </c>
      <c r="D788" s="9">
        <v>46015</v>
      </c>
      <c r="E788" s="9">
        <v>46045</v>
      </c>
      <c r="F788" s="3">
        <v>3531.56</v>
      </c>
      <c r="G788" s="7" t="s">
        <v>367</v>
      </c>
    </row>
    <row r="789" spans="1:7" x14ac:dyDescent="0.3">
      <c r="A789" s="7" t="s">
        <v>1156</v>
      </c>
      <c r="B789" s="7" t="s">
        <v>61</v>
      </c>
      <c r="C789" s="7" t="s">
        <v>359</v>
      </c>
      <c r="D789" s="9">
        <v>46056</v>
      </c>
      <c r="E789" s="9">
        <v>46086</v>
      </c>
      <c r="F789" s="3">
        <v>2019.09</v>
      </c>
      <c r="G789" s="7" t="s">
        <v>367</v>
      </c>
    </row>
    <row r="790" spans="1:7" x14ac:dyDescent="0.3">
      <c r="A790" s="7" t="s">
        <v>1157</v>
      </c>
      <c r="B790" s="7" t="s">
        <v>53</v>
      </c>
      <c r="C790" s="7" t="s">
        <v>359</v>
      </c>
      <c r="D790" s="9">
        <v>46062</v>
      </c>
      <c r="E790" s="9">
        <v>46092</v>
      </c>
      <c r="F790" s="3">
        <v>1861.47</v>
      </c>
      <c r="G790" s="7" t="s">
        <v>367</v>
      </c>
    </row>
    <row r="791" spans="1:7" x14ac:dyDescent="0.3">
      <c r="A791" s="7" t="s">
        <v>1158</v>
      </c>
      <c r="B791" s="7" t="s">
        <v>59</v>
      </c>
      <c r="C791" s="7" t="s">
        <v>357</v>
      </c>
      <c r="D791" s="9">
        <v>46079</v>
      </c>
      <c r="E791" s="9">
        <v>46109</v>
      </c>
      <c r="F791" s="3">
        <v>3185.78</v>
      </c>
      <c r="G791" s="7" t="s">
        <v>369</v>
      </c>
    </row>
    <row r="792" spans="1:7" x14ac:dyDescent="0.3">
      <c r="A792" s="7" t="s">
        <v>1159</v>
      </c>
      <c r="B792" s="7" t="s">
        <v>78</v>
      </c>
      <c r="C792" s="7" t="s">
        <v>357</v>
      </c>
      <c r="D792" s="9">
        <v>46025</v>
      </c>
      <c r="E792" s="9">
        <v>46055</v>
      </c>
      <c r="F792" s="3">
        <v>3897.3</v>
      </c>
      <c r="G792" s="7" t="s">
        <v>367</v>
      </c>
    </row>
    <row r="793" spans="1:7" x14ac:dyDescent="0.3">
      <c r="A793" s="7" t="s">
        <v>1160</v>
      </c>
      <c r="B793" s="7" t="s">
        <v>97</v>
      </c>
      <c r="C793" s="7" t="s">
        <v>355</v>
      </c>
      <c r="D793" s="9">
        <v>46111</v>
      </c>
      <c r="E793" s="9">
        <v>46141</v>
      </c>
      <c r="F793" s="3">
        <v>10818.13</v>
      </c>
      <c r="G793" s="7" t="s">
        <v>367</v>
      </c>
    </row>
    <row r="794" spans="1:7" x14ac:dyDescent="0.3">
      <c r="A794" s="7" t="s">
        <v>1161</v>
      </c>
      <c r="B794" s="7" t="s">
        <v>36</v>
      </c>
      <c r="C794" s="7" t="s">
        <v>355</v>
      </c>
      <c r="D794" s="9">
        <v>45972</v>
      </c>
      <c r="E794" s="9">
        <v>46002</v>
      </c>
      <c r="F794" s="3">
        <v>13131.76</v>
      </c>
      <c r="G794" s="7" t="s">
        <v>367</v>
      </c>
    </row>
    <row r="795" spans="1:7" x14ac:dyDescent="0.3">
      <c r="A795" s="7" t="s">
        <v>1162</v>
      </c>
      <c r="B795" s="7" t="s">
        <v>58</v>
      </c>
      <c r="C795" s="7" t="s">
        <v>355</v>
      </c>
      <c r="D795" s="9">
        <v>45977</v>
      </c>
      <c r="E795" s="9">
        <v>46007</v>
      </c>
      <c r="F795" s="3">
        <v>13358.92</v>
      </c>
      <c r="G795" s="7" t="s">
        <v>367</v>
      </c>
    </row>
    <row r="796" spans="1:7" x14ac:dyDescent="0.3">
      <c r="A796" s="7" t="s">
        <v>1163</v>
      </c>
      <c r="B796" s="7" t="s">
        <v>13</v>
      </c>
      <c r="C796" s="7" t="s">
        <v>353</v>
      </c>
      <c r="D796" s="9">
        <v>45979</v>
      </c>
      <c r="E796" s="9">
        <v>46009</v>
      </c>
      <c r="F796" s="3">
        <v>2800.85</v>
      </c>
      <c r="G796" s="7" t="s">
        <v>367</v>
      </c>
    </row>
    <row r="797" spans="1:7" x14ac:dyDescent="0.3">
      <c r="A797" s="7" t="s">
        <v>1164</v>
      </c>
      <c r="B797" s="7" t="s">
        <v>112</v>
      </c>
      <c r="C797" s="7" t="s">
        <v>351</v>
      </c>
      <c r="D797" s="9">
        <v>46042</v>
      </c>
      <c r="E797" s="9">
        <v>46072</v>
      </c>
      <c r="F797" s="3">
        <v>4778.21</v>
      </c>
      <c r="G797" s="7" t="s">
        <v>369</v>
      </c>
    </row>
    <row r="798" spans="1:7" x14ac:dyDescent="0.3">
      <c r="A798" s="7" t="s">
        <v>1165</v>
      </c>
      <c r="B798" s="7" t="s">
        <v>40</v>
      </c>
      <c r="C798" s="7" t="s">
        <v>351</v>
      </c>
      <c r="D798" s="9">
        <v>45975</v>
      </c>
      <c r="E798" s="9">
        <v>46005</v>
      </c>
      <c r="F798" s="3">
        <v>4943.34</v>
      </c>
      <c r="G798" s="7" t="s">
        <v>367</v>
      </c>
    </row>
    <row r="799" spans="1:7" x14ac:dyDescent="0.3">
      <c r="A799" s="7" t="s">
        <v>1166</v>
      </c>
      <c r="B799" s="7" t="s">
        <v>58</v>
      </c>
      <c r="C799" s="7" t="s">
        <v>351</v>
      </c>
      <c r="D799" s="9">
        <v>45969</v>
      </c>
      <c r="E799" s="9">
        <v>45999</v>
      </c>
      <c r="F799" s="3">
        <v>4741.67</v>
      </c>
      <c r="G799" s="7" t="s">
        <v>367</v>
      </c>
    </row>
    <row r="800" spans="1:7" x14ac:dyDescent="0.3">
      <c r="A800" s="7" t="s">
        <v>1167</v>
      </c>
      <c r="B800" s="7" t="s">
        <v>14</v>
      </c>
      <c r="C800" s="7" t="s">
        <v>357</v>
      </c>
      <c r="D800" s="9">
        <v>46050</v>
      </c>
      <c r="E800" s="9">
        <v>46080</v>
      </c>
      <c r="F800" s="3">
        <v>3718.65</v>
      </c>
      <c r="G800" s="7" t="s">
        <v>387</v>
      </c>
    </row>
    <row r="801" spans="1:7" x14ac:dyDescent="0.3">
      <c r="A801" s="7" t="s">
        <v>1168</v>
      </c>
      <c r="B801" s="7" t="s">
        <v>91</v>
      </c>
      <c r="C801" s="7" t="s">
        <v>351</v>
      </c>
      <c r="D801" s="9">
        <v>45976</v>
      </c>
      <c r="E801" s="9">
        <v>46006</v>
      </c>
      <c r="F801" s="3">
        <v>5280.58</v>
      </c>
      <c r="G801" s="7" t="s">
        <v>367</v>
      </c>
    </row>
    <row r="802" spans="1:7" x14ac:dyDescent="0.3">
      <c r="A802" s="7" t="s">
        <v>1169</v>
      </c>
      <c r="B802" s="7" t="s">
        <v>96</v>
      </c>
      <c r="C802" s="7" t="s">
        <v>357</v>
      </c>
      <c r="D802" s="9">
        <v>46011</v>
      </c>
      <c r="E802" s="9">
        <v>46041</v>
      </c>
      <c r="F802" s="3">
        <v>3200.41</v>
      </c>
      <c r="G802" s="7" t="s">
        <v>367</v>
      </c>
    </row>
    <row r="803" spans="1:7" x14ac:dyDescent="0.3">
      <c r="A803" s="7" t="s">
        <v>1170</v>
      </c>
      <c r="B803" s="7" t="s">
        <v>90</v>
      </c>
      <c r="C803" s="7" t="s">
        <v>351</v>
      </c>
      <c r="D803" s="9">
        <v>46059</v>
      </c>
      <c r="E803" s="9">
        <v>46089</v>
      </c>
      <c r="F803" s="3">
        <v>5230.38</v>
      </c>
      <c r="G803" s="7" t="s">
        <v>367</v>
      </c>
    </row>
    <row r="804" spans="1:7" x14ac:dyDescent="0.3">
      <c r="A804" s="7" t="s">
        <v>1171</v>
      </c>
      <c r="B804" s="7" t="s">
        <v>52</v>
      </c>
      <c r="C804" s="7" t="s">
        <v>349</v>
      </c>
      <c r="D804" s="9">
        <v>46027</v>
      </c>
      <c r="E804" s="9">
        <v>46057</v>
      </c>
      <c r="F804" s="3">
        <v>3570.78</v>
      </c>
      <c r="G804" s="7" t="s">
        <v>369</v>
      </c>
    </row>
    <row r="805" spans="1:7" x14ac:dyDescent="0.3">
      <c r="A805" s="7" t="s">
        <v>1172</v>
      </c>
      <c r="B805" s="7" t="s">
        <v>101</v>
      </c>
      <c r="C805" s="7" t="s">
        <v>359</v>
      </c>
      <c r="D805" s="9">
        <v>46028</v>
      </c>
      <c r="E805" s="9">
        <v>46058</v>
      </c>
      <c r="F805" s="3">
        <v>1724.5</v>
      </c>
      <c r="G805" s="7" t="s">
        <v>367</v>
      </c>
    </row>
    <row r="806" spans="1:7" x14ac:dyDescent="0.3">
      <c r="A806" s="7" t="s">
        <v>1173</v>
      </c>
      <c r="B806" s="7" t="s">
        <v>113</v>
      </c>
      <c r="C806" s="7" t="s">
        <v>359</v>
      </c>
      <c r="D806" s="9">
        <v>45995</v>
      </c>
      <c r="E806" s="9">
        <v>46025</v>
      </c>
      <c r="F806" s="3">
        <v>1489.4</v>
      </c>
      <c r="G806" s="7" t="s">
        <v>367</v>
      </c>
    </row>
    <row r="807" spans="1:7" x14ac:dyDescent="0.3">
      <c r="A807" s="7" t="s">
        <v>1174</v>
      </c>
      <c r="B807" s="7" t="s">
        <v>42</v>
      </c>
      <c r="C807" s="7" t="s">
        <v>357</v>
      </c>
      <c r="D807" s="9">
        <v>46043</v>
      </c>
      <c r="E807" s="9">
        <v>46073</v>
      </c>
      <c r="F807" s="3">
        <v>4081.01</v>
      </c>
      <c r="G807" s="7" t="s">
        <v>387</v>
      </c>
    </row>
    <row r="808" spans="1:7" x14ac:dyDescent="0.3">
      <c r="A808" s="7" t="s">
        <v>1175</v>
      </c>
      <c r="B808" s="7" t="s">
        <v>80</v>
      </c>
      <c r="C808" s="7" t="s">
        <v>351</v>
      </c>
      <c r="D808" s="9">
        <v>45996</v>
      </c>
      <c r="E808" s="9">
        <v>46026</v>
      </c>
      <c r="F808" s="3">
        <v>5212.7299999999996</v>
      </c>
      <c r="G808" s="7" t="s">
        <v>369</v>
      </c>
    </row>
    <row r="809" spans="1:7" x14ac:dyDescent="0.3">
      <c r="A809" s="7" t="s">
        <v>1176</v>
      </c>
      <c r="B809" s="7" t="s">
        <v>16</v>
      </c>
      <c r="C809" s="7" t="s">
        <v>349</v>
      </c>
      <c r="D809" s="9">
        <v>46045</v>
      </c>
      <c r="E809" s="9">
        <v>46075</v>
      </c>
      <c r="F809" s="3">
        <v>2713.33</v>
      </c>
      <c r="G809" s="7" t="s">
        <v>367</v>
      </c>
    </row>
    <row r="810" spans="1:7" x14ac:dyDescent="0.3">
      <c r="A810" s="7" t="s">
        <v>1177</v>
      </c>
      <c r="B810" s="7" t="s">
        <v>119</v>
      </c>
      <c r="C810" s="7" t="s">
        <v>357</v>
      </c>
      <c r="D810" s="9">
        <v>46100</v>
      </c>
      <c r="E810" s="9">
        <v>46130</v>
      </c>
      <c r="F810" s="3">
        <v>3211.95</v>
      </c>
      <c r="G810" s="7" t="s">
        <v>387</v>
      </c>
    </row>
    <row r="811" spans="1:7" x14ac:dyDescent="0.3">
      <c r="A811" s="7" t="s">
        <v>1178</v>
      </c>
      <c r="B811" s="7" t="s">
        <v>55</v>
      </c>
      <c r="C811" s="7" t="s">
        <v>357</v>
      </c>
      <c r="D811" s="9">
        <v>46091</v>
      </c>
      <c r="E811" s="9">
        <v>46121</v>
      </c>
      <c r="F811" s="3">
        <v>3938.41</v>
      </c>
      <c r="G811" s="7" t="s">
        <v>367</v>
      </c>
    </row>
    <row r="812" spans="1:7" x14ac:dyDescent="0.3">
      <c r="A812" s="7" t="s">
        <v>1179</v>
      </c>
      <c r="B812" s="7" t="s">
        <v>65</v>
      </c>
      <c r="C812" s="7" t="s">
        <v>357</v>
      </c>
      <c r="D812" s="9">
        <v>46017</v>
      </c>
      <c r="E812" s="9">
        <v>46047</v>
      </c>
      <c r="F812" s="3">
        <v>3477.08</v>
      </c>
      <c r="G812" s="7" t="s">
        <v>387</v>
      </c>
    </row>
    <row r="813" spans="1:7" x14ac:dyDescent="0.3">
      <c r="A813" s="7" t="s">
        <v>1180</v>
      </c>
      <c r="B813" s="7" t="s">
        <v>40</v>
      </c>
      <c r="C813" s="7" t="s">
        <v>359</v>
      </c>
      <c r="D813" s="9">
        <v>46111</v>
      </c>
      <c r="E813" s="9">
        <v>46141</v>
      </c>
      <c r="F813" s="3">
        <v>1771.72</v>
      </c>
      <c r="G813" s="7" t="s">
        <v>367</v>
      </c>
    </row>
    <row r="814" spans="1:7" x14ac:dyDescent="0.3">
      <c r="A814" s="7" t="s">
        <v>1181</v>
      </c>
      <c r="B814" s="7" t="s">
        <v>36</v>
      </c>
      <c r="C814" s="7" t="s">
        <v>349</v>
      </c>
      <c r="D814" s="9">
        <v>46069</v>
      </c>
      <c r="E814" s="9">
        <v>46099</v>
      </c>
      <c r="F814" s="3">
        <v>2859.21</v>
      </c>
      <c r="G814" s="7" t="s">
        <v>367</v>
      </c>
    </row>
    <row r="815" spans="1:7" x14ac:dyDescent="0.3">
      <c r="A815" s="7" t="s">
        <v>1182</v>
      </c>
      <c r="B815" s="7" t="s">
        <v>96</v>
      </c>
      <c r="C815" s="7" t="s">
        <v>353</v>
      </c>
      <c r="D815" s="9">
        <v>46066</v>
      </c>
      <c r="E815" s="9">
        <v>46096</v>
      </c>
      <c r="F815" s="3">
        <v>2412.4299999999998</v>
      </c>
      <c r="G815" s="7" t="s">
        <v>367</v>
      </c>
    </row>
    <row r="816" spans="1:7" x14ac:dyDescent="0.3">
      <c r="A816" s="7" t="s">
        <v>1183</v>
      </c>
      <c r="B816" s="7" t="s">
        <v>112</v>
      </c>
      <c r="C816" s="7" t="s">
        <v>353</v>
      </c>
      <c r="D816" s="9">
        <v>46099</v>
      </c>
      <c r="E816" s="9">
        <v>46129</v>
      </c>
      <c r="F816" s="3">
        <v>2248.2600000000002</v>
      </c>
      <c r="G816" s="7" t="s">
        <v>367</v>
      </c>
    </row>
    <row r="817" spans="1:7" x14ac:dyDescent="0.3">
      <c r="A817" s="7" t="s">
        <v>1184</v>
      </c>
      <c r="B817" s="7" t="s">
        <v>34</v>
      </c>
      <c r="C817" s="7" t="s">
        <v>353</v>
      </c>
      <c r="D817" s="9">
        <v>46109</v>
      </c>
      <c r="E817" s="9">
        <v>46139</v>
      </c>
      <c r="F817" s="3">
        <v>2076.0300000000002</v>
      </c>
      <c r="G817" s="7" t="s">
        <v>367</v>
      </c>
    </row>
    <row r="818" spans="1:7" x14ac:dyDescent="0.3">
      <c r="A818" s="7" t="s">
        <v>1185</v>
      </c>
      <c r="B818" s="7" t="s">
        <v>31</v>
      </c>
      <c r="C818" s="7" t="s">
        <v>357</v>
      </c>
      <c r="D818" s="9">
        <v>45966</v>
      </c>
      <c r="E818" s="9">
        <v>45996</v>
      </c>
      <c r="F818" s="3">
        <v>3176.71</v>
      </c>
      <c r="G818" s="7" t="s">
        <v>369</v>
      </c>
    </row>
    <row r="819" spans="1:7" x14ac:dyDescent="0.3">
      <c r="A819" s="7" t="s">
        <v>1186</v>
      </c>
      <c r="B819" s="7" t="s">
        <v>40</v>
      </c>
      <c r="C819" s="7" t="s">
        <v>355</v>
      </c>
      <c r="D819" s="9">
        <v>46084</v>
      </c>
      <c r="E819" s="9">
        <v>46114</v>
      </c>
      <c r="F819" s="3">
        <v>13138.14</v>
      </c>
      <c r="G819" s="7" t="s">
        <v>367</v>
      </c>
    </row>
    <row r="820" spans="1:7" x14ac:dyDescent="0.3">
      <c r="A820" s="7" t="s">
        <v>1187</v>
      </c>
      <c r="B820" s="7" t="s">
        <v>52</v>
      </c>
      <c r="C820" s="7" t="s">
        <v>351</v>
      </c>
      <c r="D820" s="9">
        <v>46053</v>
      </c>
      <c r="E820" s="9">
        <v>46083</v>
      </c>
      <c r="F820" s="3">
        <v>4458.42</v>
      </c>
      <c r="G820" s="7" t="s">
        <v>369</v>
      </c>
    </row>
    <row r="821" spans="1:7" x14ac:dyDescent="0.3">
      <c r="A821" s="7" t="s">
        <v>1188</v>
      </c>
      <c r="B821" s="7" t="s">
        <v>91</v>
      </c>
      <c r="C821" s="7" t="s">
        <v>351</v>
      </c>
      <c r="D821" s="9">
        <v>46040</v>
      </c>
      <c r="E821" s="9">
        <v>46070</v>
      </c>
      <c r="F821" s="3">
        <v>5557.88</v>
      </c>
      <c r="G821" s="7" t="s">
        <v>367</v>
      </c>
    </row>
    <row r="822" spans="1:7" x14ac:dyDescent="0.3">
      <c r="A822" s="7" t="s">
        <v>1189</v>
      </c>
      <c r="B822" s="7" t="s">
        <v>115</v>
      </c>
      <c r="C822" s="7" t="s">
        <v>355</v>
      </c>
      <c r="D822" s="9">
        <v>46037</v>
      </c>
      <c r="E822" s="9">
        <v>46067</v>
      </c>
      <c r="F822" s="3">
        <v>12546.37</v>
      </c>
      <c r="G822" s="7" t="s">
        <v>387</v>
      </c>
    </row>
    <row r="823" spans="1:7" x14ac:dyDescent="0.3">
      <c r="A823" s="7" t="s">
        <v>1190</v>
      </c>
      <c r="B823" s="7" t="s">
        <v>119</v>
      </c>
      <c r="C823" s="7" t="s">
        <v>355</v>
      </c>
      <c r="D823" s="9">
        <v>46039</v>
      </c>
      <c r="E823" s="9">
        <v>46069</v>
      </c>
      <c r="F823" s="3">
        <v>11381.74</v>
      </c>
      <c r="G823" s="7" t="s">
        <v>369</v>
      </c>
    </row>
    <row r="824" spans="1:7" x14ac:dyDescent="0.3">
      <c r="A824" s="7" t="s">
        <v>1191</v>
      </c>
      <c r="B824" s="7" t="s">
        <v>124</v>
      </c>
      <c r="C824" s="7" t="s">
        <v>357</v>
      </c>
      <c r="D824" s="9">
        <v>45971</v>
      </c>
      <c r="E824" s="9">
        <v>46001</v>
      </c>
      <c r="F824" s="3">
        <v>4016.28</v>
      </c>
      <c r="G824" s="7" t="s">
        <v>387</v>
      </c>
    </row>
    <row r="825" spans="1:7" x14ac:dyDescent="0.3">
      <c r="A825" s="7" t="s">
        <v>1192</v>
      </c>
      <c r="B825" s="7" t="s">
        <v>74</v>
      </c>
      <c r="C825" s="7" t="s">
        <v>357</v>
      </c>
      <c r="D825" s="9">
        <v>45972</v>
      </c>
      <c r="E825" s="9">
        <v>46002</v>
      </c>
      <c r="F825" s="3">
        <v>3192.37</v>
      </c>
      <c r="G825" s="7" t="s">
        <v>367</v>
      </c>
    </row>
    <row r="826" spans="1:7" x14ac:dyDescent="0.3">
      <c r="A826" s="7" t="s">
        <v>1193</v>
      </c>
      <c r="B826" s="7" t="s">
        <v>57</v>
      </c>
      <c r="C826" s="7" t="s">
        <v>355</v>
      </c>
      <c r="D826" s="9">
        <v>46023</v>
      </c>
      <c r="E826" s="9">
        <v>46053</v>
      </c>
      <c r="F826" s="3">
        <v>11895.94</v>
      </c>
      <c r="G826" s="7" t="s">
        <v>367</v>
      </c>
    </row>
    <row r="827" spans="1:7" x14ac:dyDescent="0.3">
      <c r="A827" s="7" t="s">
        <v>1194</v>
      </c>
      <c r="B827" s="7" t="s">
        <v>65</v>
      </c>
      <c r="C827" s="7" t="s">
        <v>359</v>
      </c>
      <c r="D827" s="9">
        <v>46089</v>
      </c>
      <c r="E827" s="9">
        <v>46119</v>
      </c>
      <c r="F827" s="3">
        <v>1998.65</v>
      </c>
      <c r="G827" s="7" t="s">
        <v>367</v>
      </c>
    </row>
    <row r="828" spans="1:7" x14ac:dyDescent="0.3">
      <c r="A828" s="7" t="s">
        <v>1195</v>
      </c>
      <c r="B828" s="7" t="s">
        <v>81</v>
      </c>
      <c r="C828" s="7" t="s">
        <v>353</v>
      </c>
      <c r="D828" s="9">
        <v>45981</v>
      </c>
      <c r="E828" s="9">
        <v>46011</v>
      </c>
      <c r="F828" s="3">
        <v>2689.21</v>
      </c>
      <c r="G828" s="7" t="s">
        <v>367</v>
      </c>
    </row>
    <row r="829" spans="1:7" x14ac:dyDescent="0.3">
      <c r="A829" s="7" t="s">
        <v>1196</v>
      </c>
      <c r="B829" s="7" t="s">
        <v>40</v>
      </c>
      <c r="C829" s="7" t="s">
        <v>349</v>
      </c>
      <c r="D829" s="9">
        <v>46103</v>
      </c>
      <c r="E829" s="9">
        <v>46133</v>
      </c>
      <c r="F829" s="3">
        <v>2790.52</v>
      </c>
      <c r="G829" s="7" t="s">
        <v>367</v>
      </c>
    </row>
    <row r="830" spans="1:7" x14ac:dyDescent="0.3">
      <c r="A830" s="7" t="s">
        <v>1197</v>
      </c>
      <c r="B830" s="7" t="s">
        <v>70</v>
      </c>
      <c r="C830" s="7" t="s">
        <v>351</v>
      </c>
      <c r="D830" s="9">
        <v>46069</v>
      </c>
      <c r="E830" s="9">
        <v>46099</v>
      </c>
      <c r="F830" s="3">
        <v>4538.82</v>
      </c>
      <c r="G830" s="7" t="s">
        <v>367</v>
      </c>
    </row>
    <row r="831" spans="1:7" x14ac:dyDescent="0.3">
      <c r="A831" s="7" t="s">
        <v>1198</v>
      </c>
      <c r="B831" s="7" t="s">
        <v>58</v>
      </c>
      <c r="C831" s="7" t="s">
        <v>355</v>
      </c>
      <c r="D831" s="9">
        <v>45976</v>
      </c>
      <c r="E831" s="9">
        <v>46006</v>
      </c>
      <c r="F831" s="3">
        <v>10610.56</v>
      </c>
      <c r="G831" s="7" t="s">
        <v>367</v>
      </c>
    </row>
    <row r="832" spans="1:7" x14ac:dyDescent="0.3">
      <c r="A832" s="7" t="s">
        <v>1199</v>
      </c>
      <c r="B832" s="7" t="s">
        <v>94</v>
      </c>
      <c r="C832" s="7" t="s">
        <v>353</v>
      </c>
      <c r="D832" s="9">
        <v>46110</v>
      </c>
      <c r="E832" s="9">
        <v>46140</v>
      </c>
      <c r="F832" s="3">
        <v>2450.73</v>
      </c>
      <c r="G832" s="7" t="s">
        <v>387</v>
      </c>
    </row>
    <row r="833" spans="1:7" x14ac:dyDescent="0.3">
      <c r="A833" s="7" t="s">
        <v>1200</v>
      </c>
      <c r="B833" s="7" t="s">
        <v>78</v>
      </c>
      <c r="C833" s="7" t="s">
        <v>351</v>
      </c>
      <c r="D833" s="9">
        <v>46085</v>
      </c>
      <c r="E833" s="9">
        <v>46115</v>
      </c>
      <c r="F833" s="3">
        <v>5628.38</v>
      </c>
      <c r="G833" s="7" t="s">
        <v>369</v>
      </c>
    </row>
    <row r="834" spans="1:7" x14ac:dyDescent="0.3">
      <c r="A834" s="7" t="s">
        <v>1201</v>
      </c>
      <c r="B834" s="7" t="s">
        <v>101</v>
      </c>
      <c r="C834" s="7" t="s">
        <v>355</v>
      </c>
      <c r="D834" s="9">
        <v>45987</v>
      </c>
      <c r="E834" s="9">
        <v>46017</v>
      </c>
      <c r="F834" s="3">
        <v>13710.28</v>
      </c>
      <c r="G834" s="7" t="s">
        <v>369</v>
      </c>
    </row>
    <row r="835" spans="1:7" x14ac:dyDescent="0.3">
      <c r="A835" s="7" t="s">
        <v>1202</v>
      </c>
      <c r="B835" s="7" t="s">
        <v>24</v>
      </c>
      <c r="C835" s="7" t="s">
        <v>351</v>
      </c>
      <c r="D835" s="9">
        <v>46012</v>
      </c>
      <c r="E835" s="9">
        <v>46042</v>
      </c>
      <c r="F835" s="3">
        <v>4945.97</v>
      </c>
      <c r="G835" s="7" t="s">
        <v>367</v>
      </c>
    </row>
    <row r="836" spans="1:7" x14ac:dyDescent="0.3">
      <c r="A836" s="7" t="s">
        <v>1203</v>
      </c>
      <c r="B836" s="7" t="s">
        <v>45</v>
      </c>
      <c r="C836" s="7" t="s">
        <v>359</v>
      </c>
      <c r="D836" s="9">
        <v>46027</v>
      </c>
      <c r="E836" s="9">
        <v>46057</v>
      </c>
      <c r="F836" s="3">
        <v>1812.25</v>
      </c>
      <c r="G836" s="7" t="s">
        <v>369</v>
      </c>
    </row>
    <row r="837" spans="1:7" x14ac:dyDescent="0.3">
      <c r="A837" s="7" t="s">
        <v>1204</v>
      </c>
      <c r="B837" s="7" t="s">
        <v>95</v>
      </c>
      <c r="C837" s="7" t="s">
        <v>353</v>
      </c>
      <c r="D837" s="9">
        <v>46039</v>
      </c>
      <c r="E837" s="9">
        <v>46069</v>
      </c>
      <c r="F837" s="3">
        <v>2562.14</v>
      </c>
      <c r="G837" s="7" t="s">
        <v>367</v>
      </c>
    </row>
    <row r="838" spans="1:7" x14ac:dyDescent="0.3">
      <c r="A838" s="7" t="s">
        <v>1205</v>
      </c>
      <c r="B838" s="7" t="s">
        <v>87</v>
      </c>
      <c r="C838" s="7" t="s">
        <v>351</v>
      </c>
      <c r="D838" s="9">
        <v>46022</v>
      </c>
      <c r="E838" s="9">
        <v>46052</v>
      </c>
      <c r="F838" s="3">
        <v>4120.07</v>
      </c>
      <c r="G838" s="7" t="s">
        <v>367</v>
      </c>
    </row>
    <row r="839" spans="1:7" x14ac:dyDescent="0.3">
      <c r="A839" s="7" t="s">
        <v>1206</v>
      </c>
      <c r="B839" s="7" t="s">
        <v>78</v>
      </c>
      <c r="C839" s="7" t="s">
        <v>349</v>
      </c>
      <c r="D839" s="9">
        <v>46055</v>
      </c>
      <c r="E839" s="9">
        <v>46085</v>
      </c>
      <c r="F839" s="3">
        <v>2939.83</v>
      </c>
      <c r="G839" s="7" t="s">
        <v>367</v>
      </c>
    </row>
    <row r="840" spans="1:7" x14ac:dyDescent="0.3">
      <c r="A840" s="7" t="s">
        <v>1207</v>
      </c>
      <c r="B840" s="7" t="s">
        <v>22</v>
      </c>
      <c r="C840" s="7" t="s">
        <v>357</v>
      </c>
      <c r="D840" s="9">
        <v>45988</v>
      </c>
      <c r="E840" s="9">
        <v>46018</v>
      </c>
      <c r="F840" s="3">
        <v>4104.58</v>
      </c>
      <c r="G840" s="7" t="s">
        <v>367</v>
      </c>
    </row>
    <row r="841" spans="1:7" x14ac:dyDescent="0.3">
      <c r="A841" s="7" t="s">
        <v>1208</v>
      </c>
      <c r="B841" s="7" t="s">
        <v>90</v>
      </c>
      <c r="C841" s="7" t="s">
        <v>353</v>
      </c>
      <c r="D841" s="9">
        <v>46098</v>
      </c>
      <c r="E841" s="9">
        <v>46128</v>
      </c>
      <c r="F841" s="3">
        <v>2867.37</v>
      </c>
      <c r="G841" s="7" t="s">
        <v>367</v>
      </c>
    </row>
    <row r="842" spans="1:7" x14ac:dyDescent="0.3">
      <c r="A842" s="7" t="s">
        <v>1209</v>
      </c>
      <c r="B842" s="7" t="s">
        <v>93</v>
      </c>
      <c r="C842" s="7" t="s">
        <v>359</v>
      </c>
      <c r="D842" s="9">
        <v>46067</v>
      </c>
      <c r="E842" s="9">
        <v>46097</v>
      </c>
      <c r="F842" s="3">
        <v>1827.68</v>
      </c>
      <c r="G842" s="7" t="s">
        <v>367</v>
      </c>
    </row>
    <row r="843" spans="1:7" x14ac:dyDescent="0.3">
      <c r="A843" s="7" t="s">
        <v>1210</v>
      </c>
      <c r="B843" s="7" t="s">
        <v>55</v>
      </c>
      <c r="C843" s="7" t="s">
        <v>357</v>
      </c>
      <c r="D843" s="9">
        <v>46071</v>
      </c>
      <c r="E843" s="9">
        <v>46101</v>
      </c>
      <c r="F843" s="3">
        <v>3482.49</v>
      </c>
      <c r="G843" s="7" t="s">
        <v>369</v>
      </c>
    </row>
    <row r="844" spans="1:7" x14ac:dyDescent="0.3">
      <c r="A844" s="7" t="s">
        <v>1211</v>
      </c>
      <c r="B844" s="7" t="s">
        <v>88</v>
      </c>
      <c r="C844" s="7" t="s">
        <v>357</v>
      </c>
      <c r="D844" s="9">
        <v>46104</v>
      </c>
      <c r="E844" s="9">
        <v>46134</v>
      </c>
      <c r="F844" s="3">
        <v>3201.13</v>
      </c>
      <c r="G844" s="7" t="s">
        <v>369</v>
      </c>
    </row>
    <row r="845" spans="1:7" x14ac:dyDescent="0.3">
      <c r="A845" s="7" t="s">
        <v>1212</v>
      </c>
      <c r="B845" s="7" t="s">
        <v>123</v>
      </c>
      <c r="C845" s="7" t="s">
        <v>353</v>
      </c>
      <c r="D845" s="9">
        <v>46022</v>
      </c>
      <c r="E845" s="9">
        <v>46052</v>
      </c>
      <c r="F845" s="3">
        <v>2421.8200000000002</v>
      </c>
      <c r="G845" s="7" t="s">
        <v>367</v>
      </c>
    </row>
    <row r="846" spans="1:7" x14ac:dyDescent="0.3">
      <c r="A846" s="7" t="s">
        <v>1213</v>
      </c>
      <c r="B846" s="7" t="s">
        <v>90</v>
      </c>
      <c r="C846" s="7" t="s">
        <v>349</v>
      </c>
      <c r="D846" s="9">
        <v>46022</v>
      </c>
      <c r="E846" s="9">
        <v>46052</v>
      </c>
      <c r="F846" s="3">
        <v>2494.9299999999998</v>
      </c>
      <c r="G846" s="7" t="s">
        <v>367</v>
      </c>
    </row>
    <row r="847" spans="1:7" x14ac:dyDescent="0.3">
      <c r="A847" s="7" t="s">
        <v>1214</v>
      </c>
      <c r="B847" s="7" t="s">
        <v>120</v>
      </c>
      <c r="C847" s="7" t="s">
        <v>353</v>
      </c>
      <c r="D847" s="9">
        <v>45970</v>
      </c>
      <c r="E847" s="9">
        <v>46000</v>
      </c>
      <c r="F847" s="3">
        <v>2710.43</v>
      </c>
      <c r="G847" s="7" t="s">
        <v>367</v>
      </c>
    </row>
    <row r="848" spans="1:7" x14ac:dyDescent="0.3">
      <c r="A848" s="7" t="s">
        <v>1215</v>
      </c>
      <c r="B848" s="7" t="s">
        <v>64</v>
      </c>
      <c r="C848" s="7" t="s">
        <v>355</v>
      </c>
      <c r="D848" s="9">
        <v>46111</v>
      </c>
      <c r="E848" s="9">
        <v>46141</v>
      </c>
      <c r="F848" s="3">
        <v>13348.68</v>
      </c>
      <c r="G848" s="7" t="s">
        <v>367</v>
      </c>
    </row>
    <row r="849" spans="1:7" x14ac:dyDescent="0.3">
      <c r="A849" s="7" t="s">
        <v>1216</v>
      </c>
      <c r="B849" s="7" t="s">
        <v>37</v>
      </c>
      <c r="C849" s="7" t="s">
        <v>355</v>
      </c>
      <c r="D849" s="9">
        <v>46098</v>
      </c>
      <c r="E849" s="9">
        <v>46128</v>
      </c>
      <c r="F849" s="3">
        <v>10403.129999999999</v>
      </c>
      <c r="G849" s="7" t="s">
        <v>367</v>
      </c>
    </row>
    <row r="850" spans="1:7" x14ac:dyDescent="0.3">
      <c r="A850" s="7" t="s">
        <v>1217</v>
      </c>
      <c r="B850" s="7" t="s">
        <v>33</v>
      </c>
      <c r="C850" s="7" t="s">
        <v>359</v>
      </c>
      <c r="D850" s="9">
        <v>46017</v>
      </c>
      <c r="E850" s="9">
        <v>46047</v>
      </c>
      <c r="F850" s="3">
        <v>1621.19</v>
      </c>
      <c r="G850" s="7" t="s">
        <v>367</v>
      </c>
    </row>
    <row r="851" spans="1:7" x14ac:dyDescent="0.3">
      <c r="A851" s="7" t="s">
        <v>1218</v>
      </c>
      <c r="B851" s="7" t="s">
        <v>67</v>
      </c>
      <c r="C851" s="7" t="s">
        <v>351</v>
      </c>
      <c r="D851" s="9">
        <v>45974</v>
      </c>
      <c r="E851" s="9">
        <v>46004</v>
      </c>
      <c r="F851" s="3">
        <v>4794.09</v>
      </c>
      <c r="G851" s="7" t="s">
        <v>369</v>
      </c>
    </row>
    <row r="852" spans="1:7" x14ac:dyDescent="0.3">
      <c r="A852" s="7" t="s">
        <v>1219</v>
      </c>
      <c r="B852" s="7" t="s">
        <v>17</v>
      </c>
      <c r="C852" s="7" t="s">
        <v>357</v>
      </c>
      <c r="D852" s="9">
        <v>46045</v>
      </c>
      <c r="E852" s="9">
        <v>46075</v>
      </c>
      <c r="F852" s="3">
        <v>2875.36</v>
      </c>
      <c r="G852" s="7" t="s">
        <v>367</v>
      </c>
    </row>
    <row r="853" spans="1:7" x14ac:dyDescent="0.3">
      <c r="A853" s="7" t="s">
        <v>1220</v>
      </c>
      <c r="B853" s="7" t="s">
        <v>120</v>
      </c>
      <c r="C853" s="7" t="s">
        <v>349</v>
      </c>
      <c r="D853" s="9">
        <v>46098</v>
      </c>
      <c r="E853" s="9">
        <v>46128</v>
      </c>
      <c r="F853" s="3">
        <v>2714.94</v>
      </c>
      <c r="G853" s="7" t="s">
        <v>367</v>
      </c>
    </row>
    <row r="854" spans="1:7" x14ac:dyDescent="0.3">
      <c r="A854" s="7" t="s">
        <v>1221</v>
      </c>
      <c r="B854" s="7" t="s">
        <v>87</v>
      </c>
      <c r="C854" s="7" t="s">
        <v>355</v>
      </c>
      <c r="D854" s="9">
        <v>46031</v>
      </c>
      <c r="E854" s="9">
        <v>46061</v>
      </c>
      <c r="F854" s="3">
        <v>11084.98</v>
      </c>
      <c r="G854" s="7" t="s">
        <v>367</v>
      </c>
    </row>
    <row r="855" spans="1:7" x14ac:dyDescent="0.3">
      <c r="A855" s="7" t="s">
        <v>1222</v>
      </c>
      <c r="B855" s="7" t="s">
        <v>91</v>
      </c>
      <c r="C855" s="7" t="s">
        <v>351</v>
      </c>
      <c r="D855" s="9">
        <v>45987</v>
      </c>
      <c r="E855" s="9">
        <v>46017</v>
      </c>
      <c r="F855" s="3">
        <v>4262.55</v>
      </c>
      <c r="G855" s="7" t="s">
        <v>367</v>
      </c>
    </row>
    <row r="856" spans="1:7" x14ac:dyDescent="0.3">
      <c r="A856" s="7" t="s">
        <v>1223</v>
      </c>
      <c r="B856" s="7" t="s">
        <v>118</v>
      </c>
      <c r="C856" s="7" t="s">
        <v>353</v>
      </c>
      <c r="D856" s="9">
        <v>46028</v>
      </c>
      <c r="E856" s="9">
        <v>46058</v>
      </c>
      <c r="F856" s="3">
        <v>2860.37</v>
      </c>
      <c r="G856" s="7" t="s">
        <v>367</v>
      </c>
    </row>
    <row r="857" spans="1:7" x14ac:dyDescent="0.3">
      <c r="A857" s="7" t="s">
        <v>1224</v>
      </c>
      <c r="B857" s="7" t="s">
        <v>96</v>
      </c>
      <c r="C857" s="7" t="s">
        <v>357</v>
      </c>
      <c r="D857" s="9">
        <v>46103</v>
      </c>
      <c r="E857" s="9">
        <v>46133</v>
      </c>
      <c r="F857" s="3">
        <v>4108.8</v>
      </c>
      <c r="G857" s="7" t="s">
        <v>367</v>
      </c>
    </row>
    <row r="858" spans="1:7" x14ac:dyDescent="0.3">
      <c r="A858" s="7" t="s">
        <v>1225</v>
      </c>
      <c r="B858" s="7" t="s">
        <v>88</v>
      </c>
      <c r="C858" s="7" t="s">
        <v>357</v>
      </c>
      <c r="D858" s="9">
        <v>46063</v>
      </c>
      <c r="E858" s="9">
        <v>46093</v>
      </c>
      <c r="F858" s="3">
        <v>3047.85</v>
      </c>
      <c r="G858" s="7" t="s">
        <v>367</v>
      </c>
    </row>
    <row r="859" spans="1:7" x14ac:dyDescent="0.3">
      <c r="A859" s="7" t="s">
        <v>1226</v>
      </c>
      <c r="B859" s="7" t="s">
        <v>123</v>
      </c>
      <c r="C859" s="7" t="s">
        <v>357</v>
      </c>
      <c r="D859" s="9">
        <v>46073</v>
      </c>
      <c r="E859" s="9">
        <v>46103</v>
      </c>
      <c r="F859" s="3">
        <v>3408.97</v>
      </c>
      <c r="G859" s="7" t="s">
        <v>367</v>
      </c>
    </row>
    <row r="860" spans="1:7" x14ac:dyDescent="0.3">
      <c r="A860" s="7" t="s">
        <v>1227</v>
      </c>
      <c r="B860" s="7" t="s">
        <v>53</v>
      </c>
      <c r="C860" s="7" t="s">
        <v>353</v>
      </c>
      <c r="D860" s="9">
        <v>45974</v>
      </c>
      <c r="E860" s="9">
        <v>46004</v>
      </c>
      <c r="F860" s="3">
        <v>2481.65</v>
      </c>
      <c r="G860" s="7" t="s">
        <v>367</v>
      </c>
    </row>
    <row r="861" spans="1:7" x14ac:dyDescent="0.3">
      <c r="A861" s="7" t="s">
        <v>1228</v>
      </c>
      <c r="B861" s="7" t="s">
        <v>111</v>
      </c>
      <c r="C861" s="7" t="s">
        <v>355</v>
      </c>
      <c r="D861" s="9">
        <v>46102</v>
      </c>
      <c r="E861" s="9">
        <v>46132</v>
      </c>
      <c r="F861" s="3">
        <v>10847.07</v>
      </c>
      <c r="G861" s="7" t="s">
        <v>367</v>
      </c>
    </row>
    <row r="862" spans="1:7" x14ac:dyDescent="0.3">
      <c r="A862" s="7" t="s">
        <v>1229</v>
      </c>
      <c r="B862" s="7" t="s">
        <v>69</v>
      </c>
      <c r="C862" s="7" t="s">
        <v>351</v>
      </c>
      <c r="D862" s="9">
        <v>46079</v>
      </c>
      <c r="E862" s="9">
        <v>46109</v>
      </c>
      <c r="F862" s="3">
        <v>4687.7700000000004</v>
      </c>
      <c r="G862" s="7" t="s">
        <v>367</v>
      </c>
    </row>
    <row r="863" spans="1:7" x14ac:dyDescent="0.3">
      <c r="A863" s="7" t="s">
        <v>1230</v>
      </c>
      <c r="B863" s="7" t="s">
        <v>83</v>
      </c>
      <c r="C863" s="7" t="s">
        <v>355</v>
      </c>
      <c r="D863" s="9">
        <v>45977</v>
      </c>
      <c r="E863" s="9">
        <v>46007</v>
      </c>
      <c r="F863" s="3">
        <v>11038.13</v>
      </c>
      <c r="G863" s="7" t="s">
        <v>369</v>
      </c>
    </row>
    <row r="864" spans="1:7" x14ac:dyDescent="0.3">
      <c r="A864" s="7" t="s">
        <v>1231</v>
      </c>
      <c r="B864" s="7" t="s">
        <v>119</v>
      </c>
      <c r="C864" s="7" t="s">
        <v>351</v>
      </c>
      <c r="D864" s="9">
        <v>46067</v>
      </c>
      <c r="E864" s="9">
        <v>46097</v>
      </c>
      <c r="F864" s="3">
        <v>5593.53</v>
      </c>
      <c r="G864" s="7" t="s">
        <v>367</v>
      </c>
    </row>
    <row r="865" spans="1:7" x14ac:dyDescent="0.3">
      <c r="A865" s="7" t="s">
        <v>1232</v>
      </c>
      <c r="B865" s="7" t="s">
        <v>89</v>
      </c>
      <c r="C865" s="7" t="s">
        <v>357</v>
      </c>
      <c r="D865" s="9">
        <v>46051</v>
      </c>
      <c r="E865" s="9">
        <v>46081</v>
      </c>
      <c r="F865" s="3">
        <v>3411.95</v>
      </c>
      <c r="G865" s="7" t="s">
        <v>367</v>
      </c>
    </row>
    <row r="866" spans="1:7" x14ac:dyDescent="0.3">
      <c r="A866" s="7" t="s">
        <v>1233</v>
      </c>
      <c r="B866" s="7" t="s">
        <v>87</v>
      </c>
      <c r="C866" s="7" t="s">
        <v>355</v>
      </c>
      <c r="D866" s="9">
        <v>46095</v>
      </c>
      <c r="E866" s="9">
        <v>46125</v>
      </c>
      <c r="F866" s="3">
        <v>13576.45</v>
      </c>
      <c r="G866" s="7" t="s">
        <v>367</v>
      </c>
    </row>
    <row r="867" spans="1:7" x14ac:dyDescent="0.3">
      <c r="A867" s="7" t="s">
        <v>1234</v>
      </c>
      <c r="B867" s="7" t="s">
        <v>94</v>
      </c>
      <c r="C867" s="7" t="s">
        <v>351</v>
      </c>
      <c r="D867" s="9">
        <v>46083</v>
      </c>
      <c r="E867" s="9">
        <v>46113</v>
      </c>
      <c r="F867" s="3">
        <v>5033.22</v>
      </c>
      <c r="G867" s="7" t="s">
        <v>369</v>
      </c>
    </row>
    <row r="868" spans="1:7" x14ac:dyDescent="0.3">
      <c r="A868" s="7" t="s">
        <v>1235</v>
      </c>
      <c r="B868" s="7" t="s">
        <v>59</v>
      </c>
      <c r="C868" s="7" t="s">
        <v>353</v>
      </c>
      <c r="D868" s="9">
        <v>46098</v>
      </c>
      <c r="E868" s="9">
        <v>46128</v>
      </c>
      <c r="F868" s="3">
        <v>2284.6799999999998</v>
      </c>
      <c r="G868" s="7" t="s">
        <v>369</v>
      </c>
    </row>
    <row r="869" spans="1:7" x14ac:dyDescent="0.3">
      <c r="A869" s="7" t="s">
        <v>1236</v>
      </c>
      <c r="B869" s="7" t="s">
        <v>88</v>
      </c>
      <c r="C869" s="7" t="s">
        <v>351</v>
      </c>
      <c r="D869" s="9">
        <v>46037</v>
      </c>
      <c r="E869" s="9">
        <v>46067</v>
      </c>
      <c r="F869" s="3">
        <v>5706.96</v>
      </c>
      <c r="G869" s="7" t="s">
        <v>367</v>
      </c>
    </row>
    <row r="870" spans="1:7" x14ac:dyDescent="0.3">
      <c r="A870" s="7" t="s">
        <v>1237</v>
      </c>
      <c r="B870" s="7" t="s">
        <v>31</v>
      </c>
      <c r="C870" s="7" t="s">
        <v>355</v>
      </c>
      <c r="D870" s="9">
        <v>46019</v>
      </c>
      <c r="E870" s="9">
        <v>46049</v>
      </c>
      <c r="F870" s="3">
        <v>12565.1</v>
      </c>
      <c r="G870" s="7" t="s">
        <v>367</v>
      </c>
    </row>
    <row r="871" spans="1:7" x14ac:dyDescent="0.3">
      <c r="A871" s="7" t="s">
        <v>1238</v>
      </c>
      <c r="B871" s="7" t="s">
        <v>20</v>
      </c>
      <c r="C871" s="7" t="s">
        <v>353</v>
      </c>
      <c r="D871" s="9">
        <v>46063</v>
      </c>
      <c r="E871" s="9">
        <v>46093</v>
      </c>
      <c r="F871" s="3">
        <v>2019.4</v>
      </c>
      <c r="G871" s="7" t="s">
        <v>367</v>
      </c>
    </row>
    <row r="872" spans="1:7" x14ac:dyDescent="0.3">
      <c r="A872" s="7" t="s">
        <v>1239</v>
      </c>
      <c r="B872" s="7" t="s">
        <v>36</v>
      </c>
      <c r="C872" s="7" t="s">
        <v>353</v>
      </c>
      <c r="D872" s="9">
        <v>46058</v>
      </c>
      <c r="E872" s="9">
        <v>46088</v>
      </c>
      <c r="F872" s="3">
        <v>2269.1999999999998</v>
      </c>
      <c r="G872" s="7" t="s">
        <v>367</v>
      </c>
    </row>
    <row r="873" spans="1:7" x14ac:dyDescent="0.3">
      <c r="A873" s="7" t="s">
        <v>1240</v>
      </c>
      <c r="B873" s="7" t="s">
        <v>46</v>
      </c>
      <c r="C873" s="7" t="s">
        <v>349</v>
      </c>
      <c r="D873" s="9">
        <v>45994</v>
      </c>
      <c r="E873" s="9">
        <v>46024</v>
      </c>
      <c r="F873" s="3">
        <v>2580.8200000000002</v>
      </c>
      <c r="G873" s="7" t="s">
        <v>367</v>
      </c>
    </row>
    <row r="874" spans="1:7" x14ac:dyDescent="0.3">
      <c r="A874" s="7" t="s">
        <v>1241</v>
      </c>
      <c r="B874" s="7" t="s">
        <v>49</v>
      </c>
      <c r="C874" s="7" t="s">
        <v>355</v>
      </c>
      <c r="D874" s="9">
        <v>45987</v>
      </c>
      <c r="E874" s="9">
        <v>46017</v>
      </c>
      <c r="F874" s="3">
        <v>14390.22</v>
      </c>
      <c r="G874" s="7" t="s">
        <v>369</v>
      </c>
    </row>
    <row r="875" spans="1:7" x14ac:dyDescent="0.3">
      <c r="A875" s="7" t="s">
        <v>1242</v>
      </c>
      <c r="B875" s="7" t="s">
        <v>57</v>
      </c>
      <c r="C875" s="7" t="s">
        <v>349</v>
      </c>
      <c r="D875" s="9">
        <v>45985</v>
      </c>
      <c r="E875" s="9">
        <v>46015</v>
      </c>
      <c r="F875" s="3">
        <v>3412.26</v>
      </c>
      <c r="G875" s="7" t="s">
        <v>367</v>
      </c>
    </row>
    <row r="876" spans="1:7" x14ac:dyDescent="0.3">
      <c r="A876" s="7" t="s">
        <v>1243</v>
      </c>
      <c r="B876" s="7" t="s">
        <v>39</v>
      </c>
      <c r="C876" s="7" t="s">
        <v>349</v>
      </c>
      <c r="D876" s="9">
        <v>46000</v>
      </c>
      <c r="E876" s="9">
        <v>46030</v>
      </c>
      <c r="F876" s="3">
        <v>3051.83</v>
      </c>
      <c r="G876" s="7" t="s">
        <v>369</v>
      </c>
    </row>
    <row r="877" spans="1:7" x14ac:dyDescent="0.3">
      <c r="A877" s="7" t="s">
        <v>1244</v>
      </c>
      <c r="B877" s="7" t="s">
        <v>105</v>
      </c>
      <c r="C877" s="7" t="s">
        <v>355</v>
      </c>
      <c r="D877" s="9">
        <v>45998</v>
      </c>
      <c r="E877" s="9">
        <v>46028</v>
      </c>
      <c r="F877" s="3">
        <v>13575.61</v>
      </c>
      <c r="G877" s="7" t="s">
        <v>367</v>
      </c>
    </row>
    <row r="878" spans="1:7" x14ac:dyDescent="0.3">
      <c r="A878" s="7" t="s">
        <v>1245</v>
      </c>
      <c r="B878" s="7" t="s">
        <v>105</v>
      </c>
      <c r="C878" s="7" t="s">
        <v>355</v>
      </c>
      <c r="D878" s="9">
        <v>46091</v>
      </c>
      <c r="E878" s="9">
        <v>46121</v>
      </c>
      <c r="F878" s="3">
        <v>10786.38</v>
      </c>
      <c r="G878" s="7" t="s">
        <v>367</v>
      </c>
    </row>
    <row r="879" spans="1:7" x14ac:dyDescent="0.3">
      <c r="A879" s="7" t="s">
        <v>1246</v>
      </c>
      <c r="B879" s="7" t="s">
        <v>46</v>
      </c>
      <c r="C879" s="7" t="s">
        <v>349</v>
      </c>
      <c r="D879" s="9">
        <v>46079</v>
      </c>
      <c r="E879" s="9">
        <v>46109</v>
      </c>
      <c r="F879" s="3">
        <v>3025.37</v>
      </c>
      <c r="G879" s="7" t="s">
        <v>367</v>
      </c>
    </row>
    <row r="880" spans="1:7" x14ac:dyDescent="0.3">
      <c r="A880" s="7" t="s">
        <v>1247</v>
      </c>
      <c r="B880" s="7" t="s">
        <v>77</v>
      </c>
      <c r="C880" s="7" t="s">
        <v>353</v>
      </c>
      <c r="D880" s="9">
        <v>45985</v>
      </c>
      <c r="E880" s="9">
        <v>46015</v>
      </c>
      <c r="F880" s="3">
        <v>2158.61</v>
      </c>
      <c r="G880" s="7" t="s">
        <v>367</v>
      </c>
    </row>
    <row r="881" spans="1:7" x14ac:dyDescent="0.3">
      <c r="A881" s="7" t="s">
        <v>1248</v>
      </c>
      <c r="B881" s="7" t="s">
        <v>53</v>
      </c>
      <c r="C881" s="7" t="s">
        <v>357</v>
      </c>
      <c r="D881" s="9">
        <v>45965</v>
      </c>
      <c r="E881" s="9">
        <v>45995</v>
      </c>
      <c r="F881" s="3">
        <v>2971</v>
      </c>
      <c r="G881" s="7" t="s">
        <v>367</v>
      </c>
    </row>
    <row r="882" spans="1:7" x14ac:dyDescent="0.3">
      <c r="A882" s="7" t="s">
        <v>1249</v>
      </c>
      <c r="B882" s="7" t="s">
        <v>62</v>
      </c>
      <c r="C882" s="7" t="s">
        <v>349</v>
      </c>
      <c r="D882" s="9">
        <v>46005</v>
      </c>
      <c r="E882" s="9">
        <v>46035</v>
      </c>
      <c r="F882" s="3">
        <v>3436.39</v>
      </c>
      <c r="G882" s="7" t="s">
        <v>367</v>
      </c>
    </row>
    <row r="883" spans="1:7" x14ac:dyDescent="0.3">
      <c r="A883" s="7" t="s">
        <v>1250</v>
      </c>
      <c r="B883" s="7" t="s">
        <v>57</v>
      </c>
      <c r="C883" s="7" t="s">
        <v>353</v>
      </c>
      <c r="D883" s="9">
        <v>45966</v>
      </c>
      <c r="E883" s="9">
        <v>45996</v>
      </c>
      <c r="F883" s="3">
        <v>2015.07</v>
      </c>
      <c r="G883" s="7" t="s">
        <v>367</v>
      </c>
    </row>
    <row r="884" spans="1:7" x14ac:dyDescent="0.3">
      <c r="A884" s="7" t="s">
        <v>1251</v>
      </c>
      <c r="B884" s="7" t="s">
        <v>67</v>
      </c>
      <c r="C884" s="7" t="s">
        <v>351</v>
      </c>
      <c r="D884" s="9">
        <v>46087</v>
      </c>
      <c r="E884" s="9">
        <v>46117</v>
      </c>
      <c r="F884" s="3">
        <v>4017.86</v>
      </c>
      <c r="G884" s="7" t="s">
        <v>369</v>
      </c>
    </row>
    <row r="885" spans="1:7" x14ac:dyDescent="0.3">
      <c r="A885" s="7" t="s">
        <v>1252</v>
      </c>
      <c r="B885" s="7" t="s">
        <v>70</v>
      </c>
      <c r="C885" s="7" t="s">
        <v>359</v>
      </c>
      <c r="D885" s="9">
        <v>46101</v>
      </c>
      <c r="E885" s="9">
        <v>46131</v>
      </c>
      <c r="F885" s="3">
        <v>1869.27</v>
      </c>
      <c r="G885" s="7" t="s">
        <v>367</v>
      </c>
    </row>
    <row r="886" spans="1:7" x14ac:dyDescent="0.3">
      <c r="A886" s="7" t="s">
        <v>1253</v>
      </c>
      <c r="B886" s="7" t="s">
        <v>52</v>
      </c>
      <c r="C886" s="7" t="s">
        <v>349</v>
      </c>
      <c r="D886" s="9">
        <v>46099</v>
      </c>
      <c r="E886" s="9">
        <v>46129</v>
      </c>
      <c r="F886" s="3">
        <v>3223.13</v>
      </c>
      <c r="G886" s="7" t="s">
        <v>367</v>
      </c>
    </row>
    <row r="887" spans="1:7" x14ac:dyDescent="0.3">
      <c r="A887" s="7" t="s">
        <v>1254</v>
      </c>
      <c r="B887" s="7" t="s">
        <v>36</v>
      </c>
      <c r="C887" s="7" t="s">
        <v>359</v>
      </c>
      <c r="D887" s="9">
        <v>46065</v>
      </c>
      <c r="E887" s="9">
        <v>46095</v>
      </c>
      <c r="F887" s="3">
        <v>1550.82</v>
      </c>
      <c r="G887" s="7" t="s">
        <v>367</v>
      </c>
    </row>
    <row r="888" spans="1:7" x14ac:dyDescent="0.3">
      <c r="A888" s="7" t="s">
        <v>1255</v>
      </c>
      <c r="B888" s="7" t="s">
        <v>110</v>
      </c>
      <c r="C888" s="7" t="s">
        <v>353</v>
      </c>
      <c r="D888" s="9">
        <v>46053</v>
      </c>
      <c r="E888" s="9">
        <v>46083</v>
      </c>
      <c r="F888" s="3">
        <v>2981.68</v>
      </c>
      <c r="G888" s="7" t="s">
        <v>369</v>
      </c>
    </row>
    <row r="889" spans="1:7" x14ac:dyDescent="0.3">
      <c r="A889" s="7" t="s">
        <v>1256</v>
      </c>
      <c r="B889" s="7" t="s">
        <v>99</v>
      </c>
      <c r="C889" s="7" t="s">
        <v>355</v>
      </c>
      <c r="D889" s="9">
        <v>46005</v>
      </c>
      <c r="E889" s="9">
        <v>46035</v>
      </c>
      <c r="F889" s="3">
        <v>13119.31</v>
      </c>
      <c r="G889" s="7" t="s">
        <v>367</v>
      </c>
    </row>
    <row r="890" spans="1:7" x14ac:dyDescent="0.3">
      <c r="A890" s="7" t="s">
        <v>1257</v>
      </c>
      <c r="B890" s="7" t="s">
        <v>78</v>
      </c>
      <c r="C890" s="7" t="s">
        <v>351</v>
      </c>
      <c r="D890" s="9">
        <v>46051</v>
      </c>
      <c r="E890" s="9">
        <v>46081</v>
      </c>
      <c r="F890" s="3">
        <v>4501.3900000000003</v>
      </c>
      <c r="G890" s="7" t="s">
        <v>367</v>
      </c>
    </row>
    <row r="891" spans="1:7" x14ac:dyDescent="0.3">
      <c r="A891" s="7" t="s">
        <v>1258</v>
      </c>
      <c r="B891" s="7" t="s">
        <v>76</v>
      </c>
      <c r="C891" s="7" t="s">
        <v>353</v>
      </c>
      <c r="D891" s="9">
        <v>45988</v>
      </c>
      <c r="E891" s="9">
        <v>46018</v>
      </c>
      <c r="F891" s="3">
        <v>2542.73</v>
      </c>
      <c r="G891" s="7" t="s">
        <v>367</v>
      </c>
    </row>
    <row r="892" spans="1:7" x14ac:dyDescent="0.3">
      <c r="A892" s="7" t="s">
        <v>1259</v>
      </c>
      <c r="B892" s="7" t="s">
        <v>83</v>
      </c>
      <c r="C892" s="7" t="s">
        <v>353</v>
      </c>
      <c r="D892" s="9">
        <v>46021</v>
      </c>
      <c r="E892" s="9">
        <v>46051</v>
      </c>
      <c r="F892" s="3">
        <v>2323.6799999999998</v>
      </c>
      <c r="G892" s="7" t="s">
        <v>369</v>
      </c>
    </row>
    <row r="893" spans="1:7" x14ac:dyDescent="0.3">
      <c r="A893" s="7" t="s">
        <v>1260</v>
      </c>
      <c r="B893" s="7" t="s">
        <v>111</v>
      </c>
      <c r="C893" s="7" t="s">
        <v>357</v>
      </c>
      <c r="D893" s="9">
        <v>46066</v>
      </c>
      <c r="E893" s="9">
        <v>46096</v>
      </c>
      <c r="F893" s="3">
        <v>3024.48</v>
      </c>
      <c r="G893" s="7" t="s">
        <v>367</v>
      </c>
    </row>
    <row r="894" spans="1:7" x14ac:dyDescent="0.3">
      <c r="A894" s="7" t="s">
        <v>1261</v>
      </c>
      <c r="B894" s="7" t="s">
        <v>71</v>
      </c>
      <c r="C894" s="7" t="s">
        <v>353</v>
      </c>
      <c r="D894" s="9">
        <v>46053</v>
      </c>
      <c r="E894" s="9">
        <v>46083</v>
      </c>
      <c r="F894" s="3">
        <v>2541.61</v>
      </c>
      <c r="G894" s="7" t="s">
        <v>369</v>
      </c>
    </row>
    <row r="895" spans="1:7" x14ac:dyDescent="0.3">
      <c r="A895" s="7" t="s">
        <v>1262</v>
      </c>
      <c r="B895" s="7" t="s">
        <v>53</v>
      </c>
      <c r="C895" s="7" t="s">
        <v>355</v>
      </c>
      <c r="D895" s="9">
        <v>45988</v>
      </c>
      <c r="E895" s="9">
        <v>46018</v>
      </c>
      <c r="F895" s="3">
        <v>13121.56</v>
      </c>
      <c r="G895" s="7" t="s">
        <v>367</v>
      </c>
    </row>
    <row r="896" spans="1:7" x14ac:dyDescent="0.3">
      <c r="A896" s="7" t="s">
        <v>1263</v>
      </c>
      <c r="B896" s="7" t="s">
        <v>75</v>
      </c>
      <c r="C896" s="7" t="s">
        <v>357</v>
      </c>
      <c r="D896" s="9">
        <v>46010</v>
      </c>
      <c r="E896" s="9">
        <v>46040</v>
      </c>
      <c r="F896" s="3">
        <v>3134.3</v>
      </c>
      <c r="G896" s="7" t="s">
        <v>367</v>
      </c>
    </row>
    <row r="897" spans="1:7" x14ac:dyDescent="0.3">
      <c r="A897" s="7" t="s">
        <v>1264</v>
      </c>
      <c r="B897" s="7" t="s">
        <v>26</v>
      </c>
      <c r="C897" s="7" t="s">
        <v>355</v>
      </c>
      <c r="D897" s="9">
        <v>46060</v>
      </c>
      <c r="E897" s="9">
        <v>46090</v>
      </c>
      <c r="F897" s="3">
        <v>10511.37</v>
      </c>
      <c r="G897" s="7" t="s">
        <v>369</v>
      </c>
    </row>
    <row r="898" spans="1:7" x14ac:dyDescent="0.3">
      <c r="A898" s="7" t="s">
        <v>1265</v>
      </c>
      <c r="B898" s="7" t="s">
        <v>19</v>
      </c>
      <c r="C898" s="7" t="s">
        <v>357</v>
      </c>
      <c r="D898" s="9">
        <v>45963</v>
      </c>
      <c r="E898" s="9">
        <v>45993</v>
      </c>
      <c r="F898" s="3">
        <v>3196.38</v>
      </c>
      <c r="G898" s="7" t="s">
        <v>367</v>
      </c>
    </row>
    <row r="899" spans="1:7" x14ac:dyDescent="0.3">
      <c r="A899" s="7" t="s">
        <v>1266</v>
      </c>
      <c r="B899" s="7" t="s">
        <v>11</v>
      </c>
      <c r="C899" s="7" t="s">
        <v>357</v>
      </c>
      <c r="D899" s="9">
        <v>46075</v>
      </c>
      <c r="E899" s="9">
        <v>46105</v>
      </c>
      <c r="F899" s="3">
        <v>3722.45</v>
      </c>
      <c r="G899" s="7" t="s">
        <v>367</v>
      </c>
    </row>
    <row r="900" spans="1:7" x14ac:dyDescent="0.3">
      <c r="A900" s="7" t="s">
        <v>1267</v>
      </c>
      <c r="B900" s="7" t="s">
        <v>89</v>
      </c>
      <c r="C900" s="7" t="s">
        <v>351</v>
      </c>
      <c r="D900" s="9">
        <v>45995</v>
      </c>
      <c r="E900" s="9">
        <v>46025</v>
      </c>
      <c r="F900" s="3">
        <v>4214.1099999999997</v>
      </c>
      <c r="G900" s="7" t="s">
        <v>367</v>
      </c>
    </row>
    <row r="901" spans="1:7" x14ac:dyDescent="0.3">
      <c r="A901" s="7" t="s">
        <v>1268</v>
      </c>
      <c r="B901" s="7" t="s">
        <v>39</v>
      </c>
      <c r="C901" s="7" t="s">
        <v>355</v>
      </c>
      <c r="D901" s="9">
        <v>46094</v>
      </c>
      <c r="E901" s="9">
        <v>46124</v>
      </c>
      <c r="F901" s="3">
        <v>12758.02</v>
      </c>
      <c r="G901" s="7" t="s">
        <v>367</v>
      </c>
    </row>
    <row r="902" spans="1:7" x14ac:dyDescent="0.3">
      <c r="A902" s="7" t="s">
        <v>1269</v>
      </c>
      <c r="B902" s="7" t="s">
        <v>124</v>
      </c>
      <c r="C902" s="7" t="s">
        <v>349</v>
      </c>
      <c r="D902" s="9">
        <v>46103</v>
      </c>
      <c r="E902" s="9">
        <v>46133</v>
      </c>
      <c r="F902" s="3">
        <v>2839.62</v>
      </c>
      <c r="G902" s="7" t="s">
        <v>367</v>
      </c>
    </row>
    <row r="903" spans="1:7" x14ac:dyDescent="0.3">
      <c r="A903" s="7" t="s">
        <v>1270</v>
      </c>
      <c r="B903" s="7" t="s">
        <v>88</v>
      </c>
      <c r="C903" s="7" t="s">
        <v>351</v>
      </c>
      <c r="D903" s="9">
        <v>46035</v>
      </c>
      <c r="E903" s="9">
        <v>46065</v>
      </c>
      <c r="F903" s="3">
        <v>5311.5</v>
      </c>
      <c r="G903" s="7" t="s">
        <v>367</v>
      </c>
    </row>
    <row r="904" spans="1:7" x14ac:dyDescent="0.3">
      <c r="A904" s="7" t="s">
        <v>1271</v>
      </c>
      <c r="B904" s="7" t="s">
        <v>108</v>
      </c>
      <c r="C904" s="7" t="s">
        <v>349</v>
      </c>
      <c r="D904" s="9">
        <v>45998</v>
      </c>
      <c r="E904" s="9">
        <v>46028</v>
      </c>
      <c r="F904" s="3">
        <v>2833.11</v>
      </c>
      <c r="G904" s="7" t="s">
        <v>369</v>
      </c>
    </row>
    <row r="905" spans="1:7" x14ac:dyDescent="0.3">
      <c r="A905" s="7" t="s">
        <v>1272</v>
      </c>
      <c r="B905" s="7" t="s">
        <v>100</v>
      </c>
      <c r="C905" s="7" t="s">
        <v>359</v>
      </c>
      <c r="D905" s="9">
        <v>45996</v>
      </c>
      <c r="E905" s="9">
        <v>46026</v>
      </c>
      <c r="F905" s="3">
        <v>1481.98</v>
      </c>
      <c r="G905" s="7" t="s">
        <v>367</v>
      </c>
    </row>
    <row r="906" spans="1:7" x14ac:dyDescent="0.3">
      <c r="A906" s="7" t="s">
        <v>1273</v>
      </c>
      <c r="B906" s="7" t="s">
        <v>19</v>
      </c>
      <c r="C906" s="7" t="s">
        <v>349</v>
      </c>
      <c r="D906" s="9">
        <v>46076</v>
      </c>
      <c r="E906" s="9">
        <v>46106</v>
      </c>
      <c r="F906" s="3">
        <v>3401.35</v>
      </c>
      <c r="G906" s="7" t="s">
        <v>387</v>
      </c>
    </row>
    <row r="907" spans="1:7" x14ac:dyDescent="0.3">
      <c r="A907" s="7" t="s">
        <v>1274</v>
      </c>
      <c r="B907" s="7" t="s">
        <v>74</v>
      </c>
      <c r="C907" s="7" t="s">
        <v>349</v>
      </c>
      <c r="D907" s="9">
        <v>45974</v>
      </c>
      <c r="E907" s="9">
        <v>46004</v>
      </c>
      <c r="F907" s="3">
        <v>3270.21</v>
      </c>
      <c r="G907" s="7" t="s">
        <v>367</v>
      </c>
    </row>
    <row r="908" spans="1:7" x14ac:dyDescent="0.3">
      <c r="A908" s="7" t="s">
        <v>1275</v>
      </c>
      <c r="B908" s="7" t="s">
        <v>78</v>
      </c>
      <c r="C908" s="7" t="s">
        <v>359</v>
      </c>
      <c r="D908" s="9">
        <v>46031</v>
      </c>
      <c r="E908" s="9">
        <v>46061</v>
      </c>
      <c r="F908" s="3">
        <v>1619.11</v>
      </c>
      <c r="G908" s="7" t="s">
        <v>367</v>
      </c>
    </row>
    <row r="909" spans="1:7" x14ac:dyDescent="0.3">
      <c r="A909" s="7" t="s">
        <v>1276</v>
      </c>
      <c r="B909" s="7" t="s">
        <v>93</v>
      </c>
      <c r="C909" s="7" t="s">
        <v>355</v>
      </c>
      <c r="D909" s="9">
        <v>46011</v>
      </c>
      <c r="E909" s="9">
        <v>46041</v>
      </c>
      <c r="F909" s="3">
        <v>13181.32</v>
      </c>
      <c r="G909" s="7" t="s">
        <v>367</v>
      </c>
    </row>
    <row r="910" spans="1:7" x14ac:dyDescent="0.3">
      <c r="A910" s="7" t="s">
        <v>1277</v>
      </c>
      <c r="B910" s="7" t="s">
        <v>30</v>
      </c>
      <c r="C910" s="7" t="s">
        <v>355</v>
      </c>
      <c r="D910" s="9">
        <v>46012</v>
      </c>
      <c r="E910" s="9">
        <v>46042</v>
      </c>
      <c r="F910" s="3">
        <v>12972.24</v>
      </c>
      <c r="G910" s="7" t="s">
        <v>367</v>
      </c>
    </row>
    <row r="911" spans="1:7" x14ac:dyDescent="0.3">
      <c r="A911" s="7" t="s">
        <v>1278</v>
      </c>
      <c r="B911" s="7" t="s">
        <v>83</v>
      </c>
      <c r="C911" s="7" t="s">
        <v>357</v>
      </c>
      <c r="D911" s="9">
        <v>46051</v>
      </c>
      <c r="E911" s="9">
        <v>46081</v>
      </c>
      <c r="F911" s="3">
        <v>3362.18</v>
      </c>
      <c r="G911" s="7" t="s">
        <v>367</v>
      </c>
    </row>
    <row r="912" spans="1:7" x14ac:dyDescent="0.3">
      <c r="A912" s="7" t="s">
        <v>1279</v>
      </c>
      <c r="B912" s="7" t="s">
        <v>48</v>
      </c>
      <c r="C912" s="7" t="s">
        <v>355</v>
      </c>
      <c r="D912" s="9">
        <v>46102</v>
      </c>
      <c r="E912" s="9">
        <v>46132</v>
      </c>
      <c r="F912" s="3">
        <v>14080.9</v>
      </c>
      <c r="G912" s="7" t="s">
        <v>387</v>
      </c>
    </row>
    <row r="913" spans="1:7" x14ac:dyDescent="0.3">
      <c r="A913" s="7" t="s">
        <v>1280</v>
      </c>
      <c r="B913" s="7" t="s">
        <v>48</v>
      </c>
      <c r="C913" s="7" t="s">
        <v>353</v>
      </c>
      <c r="D913" s="9">
        <v>46041</v>
      </c>
      <c r="E913" s="9">
        <v>46071</v>
      </c>
      <c r="F913" s="3">
        <v>2412.34</v>
      </c>
      <c r="G913" s="7" t="s">
        <v>369</v>
      </c>
    </row>
    <row r="914" spans="1:7" x14ac:dyDescent="0.3">
      <c r="A914" s="7" t="s">
        <v>1281</v>
      </c>
      <c r="B914" s="7" t="s">
        <v>77</v>
      </c>
      <c r="C914" s="7" t="s">
        <v>357</v>
      </c>
      <c r="D914" s="9">
        <v>46039</v>
      </c>
      <c r="E914" s="9">
        <v>46069</v>
      </c>
      <c r="F914" s="3">
        <v>3137.01</v>
      </c>
      <c r="G914" s="7" t="s">
        <v>367</v>
      </c>
    </row>
    <row r="915" spans="1:7" x14ac:dyDescent="0.3">
      <c r="A915" s="7" t="s">
        <v>1282</v>
      </c>
      <c r="B915" s="7" t="s">
        <v>7</v>
      </c>
      <c r="C915" s="7" t="s">
        <v>359</v>
      </c>
      <c r="D915" s="9">
        <v>46051</v>
      </c>
      <c r="E915" s="9">
        <v>46081</v>
      </c>
      <c r="F915" s="3">
        <v>1622.94</v>
      </c>
      <c r="G915" s="7" t="s">
        <v>387</v>
      </c>
    </row>
    <row r="916" spans="1:7" x14ac:dyDescent="0.3">
      <c r="A916" s="7" t="s">
        <v>1283</v>
      </c>
      <c r="B916" s="7" t="s">
        <v>24</v>
      </c>
      <c r="C916" s="7" t="s">
        <v>359</v>
      </c>
      <c r="D916" s="9">
        <v>46072</v>
      </c>
      <c r="E916" s="9">
        <v>46102</v>
      </c>
      <c r="F916" s="3">
        <v>1464.96</v>
      </c>
      <c r="G916" s="7" t="s">
        <v>367</v>
      </c>
    </row>
    <row r="917" spans="1:7" x14ac:dyDescent="0.3">
      <c r="A917" s="7" t="s">
        <v>1284</v>
      </c>
      <c r="B917" s="7" t="s">
        <v>9</v>
      </c>
      <c r="C917" s="7" t="s">
        <v>353</v>
      </c>
      <c r="D917" s="9">
        <v>45996</v>
      </c>
      <c r="E917" s="9">
        <v>46026</v>
      </c>
      <c r="F917" s="3">
        <v>2006.57</v>
      </c>
      <c r="G917" s="7" t="s">
        <v>369</v>
      </c>
    </row>
    <row r="918" spans="1:7" x14ac:dyDescent="0.3">
      <c r="A918" s="7" t="s">
        <v>1285</v>
      </c>
      <c r="B918" s="7" t="s">
        <v>80</v>
      </c>
      <c r="C918" s="7" t="s">
        <v>359</v>
      </c>
      <c r="D918" s="9">
        <v>46001</v>
      </c>
      <c r="E918" s="9">
        <v>46031</v>
      </c>
      <c r="F918" s="3">
        <v>2032.08</v>
      </c>
      <c r="G918" s="7" t="s">
        <v>367</v>
      </c>
    </row>
    <row r="919" spans="1:7" x14ac:dyDescent="0.3">
      <c r="A919" s="7" t="s">
        <v>1286</v>
      </c>
      <c r="B919" s="7" t="s">
        <v>40</v>
      </c>
      <c r="C919" s="7" t="s">
        <v>351</v>
      </c>
      <c r="D919" s="9">
        <v>46085</v>
      </c>
      <c r="E919" s="9">
        <v>46115</v>
      </c>
      <c r="F919" s="3">
        <v>4188.57</v>
      </c>
      <c r="G919" s="7" t="s">
        <v>367</v>
      </c>
    </row>
    <row r="920" spans="1:7" x14ac:dyDescent="0.3">
      <c r="A920" s="7" t="s">
        <v>1287</v>
      </c>
      <c r="B920" s="7" t="s">
        <v>45</v>
      </c>
      <c r="C920" s="7" t="s">
        <v>353</v>
      </c>
      <c r="D920" s="9">
        <v>46107</v>
      </c>
      <c r="E920" s="9">
        <v>46137</v>
      </c>
      <c r="F920" s="3">
        <v>2889.63</v>
      </c>
      <c r="G920" s="7" t="s">
        <v>367</v>
      </c>
    </row>
    <row r="921" spans="1:7" x14ac:dyDescent="0.3">
      <c r="A921" s="7" t="s">
        <v>1288</v>
      </c>
      <c r="B921" s="7" t="s">
        <v>99</v>
      </c>
      <c r="C921" s="7" t="s">
        <v>349</v>
      </c>
      <c r="D921" s="9">
        <v>46111</v>
      </c>
      <c r="E921" s="9">
        <v>46141</v>
      </c>
      <c r="F921" s="3">
        <v>3084.58</v>
      </c>
      <c r="G921" s="7" t="s">
        <v>367</v>
      </c>
    </row>
    <row r="922" spans="1:7" x14ac:dyDescent="0.3">
      <c r="A922" s="7" t="s">
        <v>1289</v>
      </c>
      <c r="B922" s="7" t="s">
        <v>95</v>
      </c>
      <c r="C922" s="7" t="s">
        <v>353</v>
      </c>
      <c r="D922" s="9">
        <v>46111</v>
      </c>
      <c r="E922" s="9">
        <v>46141</v>
      </c>
      <c r="F922" s="3">
        <v>2792.9</v>
      </c>
      <c r="G922" s="7" t="s">
        <v>369</v>
      </c>
    </row>
    <row r="923" spans="1:7" x14ac:dyDescent="0.3">
      <c r="A923" s="7" t="s">
        <v>1290</v>
      </c>
      <c r="B923" s="7" t="s">
        <v>11</v>
      </c>
      <c r="C923" s="7" t="s">
        <v>359</v>
      </c>
      <c r="D923" s="9">
        <v>46108</v>
      </c>
      <c r="E923" s="9">
        <v>46138</v>
      </c>
      <c r="F923" s="3">
        <v>1854.89</v>
      </c>
      <c r="G923" s="7" t="s">
        <v>367</v>
      </c>
    </row>
    <row r="924" spans="1:7" x14ac:dyDescent="0.3">
      <c r="A924" s="7" t="s">
        <v>1291</v>
      </c>
      <c r="B924" s="7" t="s">
        <v>124</v>
      </c>
      <c r="C924" s="7" t="s">
        <v>359</v>
      </c>
      <c r="D924" s="9">
        <v>45972</v>
      </c>
      <c r="E924" s="9">
        <v>46002</v>
      </c>
      <c r="F924" s="3">
        <v>2022.01</v>
      </c>
      <c r="G924" s="7" t="s">
        <v>369</v>
      </c>
    </row>
    <row r="925" spans="1:7" x14ac:dyDescent="0.3">
      <c r="A925" s="7" t="s">
        <v>1292</v>
      </c>
      <c r="B925" s="7" t="s">
        <v>118</v>
      </c>
      <c r="C925" s="7" t="s">
        <v>353</v>
      </c>
      <c r="D925" s="9">
        <v>46032</v>
      </c>
      <c r="E925" s="9">
        <v>46062</v>
      </c>
      <c r="F925" s="3">
        <v>2347.9299999999998</v>
      </c>
      <c r="G925" s="7" t="s">
        <v>367</v>
      </c>
    </row>
    <row r="926" spans="1:7" x14ac:dyDescent="0.3">
      <c r="A926" s="7" t="s">
        <v>1293</v>
      </c>
      <c r="B926" s="7" t="s">
        <v>84</v>
      </c>
      <c r="C926" s="7" t="s">
        <v>349</v>
      </c>
      <c r="D926" s="9">
        <v>46078</v>
      </c>
      <c r="E926" s="9">
        <v>46108</v>
      </c>
      <c r="F926" s="3">
        <v>3443.74</v>
      </c>
      <c r="G926" s="7" t="s">
        <v>367</v>
      </c>
    </row>
    <row r="927" spans="1:7" x14ac:dyDescent="0.3">
      <c r="A927" s="7" t="s">
        <v>1294</v>
      </c>
      <c r="B927" s="7" t="s">
        <v>74</v>
      </c>
      <c r="C927" s="7" t="s">
        <v>349</v>
      </c>
      <c r="D927" s="9">
        <v>46074</v>
      </c>
      <c r="E927" s="9">
        <v>46104</v>
      </c>
      <c r="F927" s="3">
        <v>3160.66</v>
      </c>
      <c r="G927" s="7" t="s">
        <v>367</v>
      </c>
    </row>
    <row r="928" spans="1:7" x14ac:dyDescent="0.3">
      <c r="A928" s="7" t="s">
        <v>1295</v>
      </c>
      <c r="B928" s="7" t="s">
        <v>96</v>
      </c>
      <c r="C928" s="7" t="s">
        <v>349</v>
      </c>
      <c r="D928" s="9">
        <v>46009</v>
      </c>
      <c r="E928" s="9">
        <v>46039</v>
      </c>
      <c r="F928" s="3">
        <v>2783.18</v>
      </c>
      <c r="G928" s="7" t="s">
        <v>367</v>
      </c>
    </row>
    <row r="929" spans="1:7" x14ac:dyDescent="0.3">
      <c r="A929" s="7" t="s">
        <v>1296</v>
      </c>
      <c r="B929" s="7" t="s">
        <v>64</v>
      </c>
      <c r="C929" s="7" t="s">
        <v>351</v>
      </c>
      <c r="D929" s="9">
        <v>46037</v>
      </c>
      <c r="E929" s="9">
        <v>46067</v>
      </c>
      <c r="F929" s="3">
        <v>4306.3900000000003</v>
      </c>
      <c r="G929" s="7" t="s">
        <v>387</v>
      </c>
    </row>
    <row r="930" spans="1:7" x14ac:dyDescent="0.3">
      <c r="A930" s="7" t="s">
        <v>1297</v>
      </c>
      <c r="B930" s="7" t="s">
        <v>107</v>
      </c>
      <c r="C930" s="7" t="s">
        <v>357</v>
      </c>
      <c r="D930" s="9">
        <v>46008</v>
      </c>
      <c r="E930" s="9">
        <v>46038</v>
      </c>
      <c r="F930" s="3">
        <v>3605.36</v>
      </c>
      <c r="G930" s="7" t="s">
        <v>367</v>
      </c>
    </row>
    <row r="931" spans="1:7" x14ac:dyDescent="0.3">
      <c r="A931" s="7" t="s">
        <v>1298</v>
      </c>
      <c r="B931" s="7" t="s">
        <v>102</v>
      </c>
      <c r="C931" s="7" t="s">
        <v>355</v>
      </c>
      <c r="D931" s="9">
        <v>46086</v>
      </c>
      <c r="E931" s="9">
        <v>46116</v>
      </c>
      <c r="F931" s="3">
        <v>10310.459999999999</v>
      </c>
      <c r="G931" s="7" t="s">
        <v>367</v>
      </c>
    </row>
    <row r="932" spans="1:7" x14ac:dyDescent="0.3">
      <c r="A932" s="7" t="s">
        <v>1299</v>
      </c>
      <c r="B932" s="7" t="s">
        <v>62</v>
      </c>
      <c r="C932" s="7" t="s">
        <v>349</v>
      </c>
      <c r="D932" s="9">
        <v>46029</v>
      </c>
      <c r="E932" s="9">
        <v>46059</v>
      </c>
      <c r="F932" s="3">
        <v>3057.78</v>
      </c>
      <c r="G932" s="7" t="s">
        <v>367</v>
      </c>
    </row>
    <row r="933" spans="1:7" x14ac:dyDescent="0.3">
      <c r="A933" s="7" t="s">
        <v>1300</v>
      </c>
      <c r="B933" s="7" t="s">
        <v>69</v>
      </c>
      <c r="C933" s="7" t="s">
        <v>359</v>
      </c>
      <c r="D933" s="9">
        <v>46008</v>
      </c>
      <c r="E933" s="9">
        <v>46038</v>
      </c>
      <c r="F933" s="3">
        <v>1533.87</v>
      </c>
      <c r="G933" s="7" t="s">
        <v>367</v>
      </c>
    </row>
    <row r="934" spans="1:7" x14ac:dyDescent="0.3">
      <c r="A934" s="7" t="s">
        <v>1301</v>
      </c>
      <c r="B934" s="7" t="s">
        <v>101</v>
      </c>
      <c r="C934" s="7" t="s">
        <v>355</v>
      </c>
      <c r="D934" s="9">
        <v>46019</v>
      </c>
      <c r="E934" s="9">
        <v>46049</v>
      </c>
      <c r="F934" s="3">
        <v>12730.79</v>
      </c>
      <c r="G934" s="7" t="s">
        <v>367</v>
      </c>
    </row>
    <row r="935" spans="1:7" x14ac:dyDescent="0.3">
      <c r="A935" s="7" t="s">
        <v>1302</v>
      </c>
      <c r="B935" s="7" t="s">
        <v>48</v>
      </c>
      <c r="C935" s="7" t="s">
        <v>357</v>
      </c>
      <c r="D935" s="9">
        <v>46059</v>
      </c>
      <c r="E935" s="9">
        <v>46089</v>
      </c>
      <c r="F935" s="3">
        <v>3144.74</v>
      </c>
      <c r="G935" s="7" t="s">
        <v>369</v>
      </c>
    </row>
    <row r="936" spans="1:7" x14ac:dyDescent="0.3">
      <c r="A936" s="7" t="s">
        <v>1303</v>
      </c>
      <c r="B936" s="7" t="s">
        <v>61</v>
      </c>
      <c r="C936" s="7" t="s">
        <v>359</v>
      </c>
      <c r="D936" s="9">
        <v>46064</v>
      </c>
      <c r="E936" s="9">
        <v>46094</v>
      </c>
      <c r="F936" s="3">
        <v>2105.38</v>
      </c>
      <c r="G936" s="7" t="s">
        <v>367</v>
      </c>
    </row>
    <row r="937" spans="1:7" x14ac:dyDescent="0.3">
      <c r="A937" s="7" t="s">
        <v>1304</v>
      </c>
      <c r="B937" s="7" t="s">
        <v>10</v>
      </c>
      <c r="C937" s="7" t="s">
        <v>353</v>
      </c>
      <c r="D937" s="9">
        <v>46041</v>
      </c>
      <c r="E937" s="9">
        <v>46071</v>
      </c>
      <c r="F937" s="3">
        <v>2348.31</v>
      </c>
      <c r="G937" s="7" t="s">
        <v>367</v>
      </c>
    </row>
    <row r="938" spans="1:7" x14ac:dyDescent="0.3">
      <c r="A938" s="7" t="s">
        <v>1305</v>
      </c>
      <c r="B938" s="7" t="s">
        <v>109</v>
      </c>
      <c r="C938" s="7" t="s">
        <v>353</v>
      </c>
      <c r="D938" s="9">
        <v>46047</v>
      </c>
      <c r="E938" s="9">
        <v>46077</v>
      </c>
      <c r="F938" s="3">
        <v>2169.2600000000002</v>
      </c>
      <c r="G938" s="7" t="s">
        <v>369</v>
      </c>
    </row>
    <row r="939" spans="1:7" x14ac:dyDescent="0.3">
      <c r="A939" s="7" t="s">
        <v>1306</v>
      </c>
      <c r="B939" s="7" t="s">
        <v>36</v>
      </c>
      <c r="C939" s="7" t="s">
        <v>355</v>
      </c>
      <c r="D939" s="9">
        <v>46076</v>
      </c>
      <c r="E939" s="9">
        <v>46106</v>
      </c>
      <c r="F939" s="3">
        <v>12591.27</v>
      </c>
      <c r="G939" s="7" t="s">
        <v>369</v>
      </c>
    </row>
    <row r="940" spans="1:7" x14ac:dyDescent="0.3">
      <c r="A940" s="7" t="s">
        <v>1307</v>
      </c>
      <c r="B940" s="7" t="s">
        <v>21</v>
      </c>
      <c r="C940" s="7" t="s">
        <v>351</v>
      </c>
      <c r="D940" s="9">
        <v>46023</v>
      </c>
      <c r="E940" s="9">
        <v>46053</v>
      </c>
      <c r="F940" s="3">
        <v>5370.72</v>
      </c>
      <c r="G940" s="7" t="s">
        <v>369</v>
      </c>
    </row>
    <row r="941" spans="1:7" x14ac:dyDescent="0.3">
      <c r="A941" s="7" t="s">
        <v>1308</v>
      </c>
      <c r="B941" s="7" t="s">
        <v>111</v>
      </c>
      <c r="C941" s="7" t="s">
        <v>359</v>
      </c>
      <c r="D941" s="9">
        <v>46069</v>
      </c>
      <c r="E941" s="9">
        <v>46099</v>
      </c>
      <c r="F941" s="3">
        <v>1479.27</v>
      </c>
      <c r="G941" s="7" t="s">
        <v>369</v>
      </c>
    </row>
    <row r="942" spans="1:7" x14ac:dyDescent="0.3">
      <c r="A942" s="7" t="s">
        <v>1309</v>
      </c>
      <c r="B942" s="7" t="s">
        <v>67</v>
      </c>
      <c r="C942" s="7" t="s">
        <v>353</v>
      </c>
      <c r="D942" s="9">
        <v>46089</v>
      </c>
      <c r="E942" s="9">
        <v>46119</v>
      </c>
      <c r="F942" s="3">
        <v>2013.73</v>
      </c>
      <c r="G942" s="7" t="s">
        <v>367</v>
      </c>
    </row>
    <row r="943" spans="1:7" x14ac:dyDescent="0.3">
      <c r="A943" s="7" t="s">
        <v>1310</v>
      </c>
      <c r="B943" s="7" t="s">
        <v>76</v>
      </c>
      <c r="C943" s="7" t="s">
        <v>349</v>
      </c>
      <c r="D943" s="9">
        <v>46066</v>
      </c>
      <c r="E943" s="9">
        <v>46096</v>
      </c>
      <c r="F943" s="3">
        <v>2798.25</v>
      </c>
      <c r="G943" s="7" t="s">
        <v>367</v>
      </c>
    </row>
    <row r="944" spans="1:7" x14ac:dyDescent="0.3">
      <c r="A944" s="7" t="s">
        <v>1311</v>
      </c>
      <c r="B944" s="7" t="s">
        <v>25</v>
      </c>
      <c r="C944" s="7" t="s">
        <v>357</v>
      </c>
      <c r="D944" s="9">
        <v>45967</v>
      </c>
      <c r="E944" s="9">
        <v>45997</v>
      </c>
      <c r="F944" s="3">
        <v>3850.5</v>
      </c>
      <c r="G944" s="7" t="s">
        <v>367</v>
      </c>
    </row>
    <row r="945" spans="1:7" x14ac:dyDescent="0.3">
      <c r="A945" s="7" t="s">
        <v>1312</v>
      </c>
      <c r="B945" s="7" t="s">
        <v>91</v>
      </c>
      <c r="C945" s="7" t="s">
        <v>359</v>
      </c>
      <c r="D945" s="9">
        <v>46054</v>
      </c>
      <c r="E945" s="9">
        <v>46084</v>
      </c>
      <c r="F945" s="3">
        <v>1943.1</v>
      </c>
      <c r="G945" s="7" t="s">
        <v>367</v>
      </c>
    </row>
    <row r="946" spans="1:7" x14ac:dyDescent="0.3">
      <c r="A946" s="7" t="s">
        <v>1313</v>
      </c>
      <c r="B946" s="7" t="s">
        <v>108</v>
      </c>
      <c r="C946" s="7" t="s">
        <v>357</v>
      </c>
      <c r="D946" s="9">
        <v>45977</v>
      </c>
      <c r="E946" s="9">
        <v>46007</v>
      </c>
      <c r="F946" s="3">
        <v>2860.87</v>
      </c>
      <c r="G946" s="7" t="s">
        <v>367</v>
      </c>
    </row>
    <row r="947" spans="1:7" x14ac:dyDescent="0.3">
      <c r="A947" s="7" t="s">
        <v>1314</v>
      </c>
      <c r="B947" s="7" t="s">
        <v>8</v>
      </c>
      <c r="C947" s="7" t="s">
        <v>359</v>
      </c>
      <c r="D947" s="9">
        <v>46079</v>
      </c>
      <c r="E947" s="9">
        <v>46109</v>
      </c>
      <c r="F947" s="3">
        <v>1884.93</v>
      </c>
      <c r="G947" s="7" t="s">
        <v>367</v>
      </c>
    </row>
    <row r="948" spans="1:7" x14ac:dyDescent="0.3">
      <c r="A948" s="7" t="s">
        <v>1315</v>
      </c>
      <c r="B948" s="7" t="s">
        <v>91</v>
      </c>
      <c r="C948" s="7" t="s">
        <v>349</v>
      </c>
      <c r="D948" s="9">
        <v>45975</v>
      </c>
      <c r="E948" s="9">
        <v>46005</v>
      </c>
      <c r="F948" s="3">
        <v>2866.37</v>
      </c>
      <c r="G948" s="7" t="s">
        <v>369</v>
      </c>
    </row>
    <row r="949" spans="1:7" x14ac:dyDescent="0.3">
      <c r="A949" s="7" t="s">
        <v>1316</v>
      </c>
      <c r="B949" s="7" t="s">
        <v>90</v>
      </c>
      <c r="C949" s="7" t="s">
        <v>353</v>
      </c>
      <c r="D949" s="9">
        <v>46018</v>
      </c>
      <c r="E949" s="9">
        <v>46048</v>
      </c>
      <c r="F949" s="3">
        <v>2864.28</v>
      </c>
      <c r="G949" s="7" t="s">
        <v>369</v>
      </c>
    </row>
    <row r="950" spans="1:7" x14ac:dyDescent="0.3">
      <c r="A950" s="7" t="s">
        <v>1317</v>
      </c>
      <c r="B950" s="7" t="s">
        <v>19</v>
      </c>
      <c r="C950" s="7" t="s">
        <v>355</v>
      </c>
      <c r="D950" s="9">
        <v>46086</v>
      </c>
      <c r="E950" s="9">
        <v>46116</v>
      </c>
      <c r="F950" s="3">
        <v>10709.61</v>
      </c>
      <c r="G950" s="7" t="s">
        <v>387</v>
      </c>
    </row>
    <row r="951" spans="1:7" x14ac:dyDescent="0.3">
      <c r="A951" s="7" t="s">
        <v>1318</v>
      </c>
      <c r="B951" s="7" t="s">
        <v>32</v>
      </c>
      <c r="C951" s="7" t="s">
        <v>353</v>
      </c>
      <c r="D951" s="9">
        <v>46097</v>
      </c>
      <c r="E951" s="9">
        <v>46127</v>
      </c>
      <c r="F951" s="3">
        <v>2484.66</v>
      </c>
      <c r="G951" s="7" t="s">
        <v>367</v>
      </c>
    </row>
    <row r="952" spans="1:7" x14ac:dyDescent="0.3">
      <c r="A952" s="7" t="s">
        <v>1319</v>
      </c>
      <c r="B952" s="7" t="s">
        <v>38</v>
      </c>
      <c r="C952" s="7" t="s">
        <v>357</v>
      </c>
      <c r="D952" s="9">
        <v>46047</v>
      </c>
      <c r="E952" s="9">
        <v>46077</v>
      </c>
      <c r="F952" s="3">
        <v>4153.51</v>
      </c>
      <c r="G952" s="7" t="s">
        <v>367</v>
      </c>
    </row>
    <row r="953" spans="1:7" x14ac:dyDescent="0.3">
      <c r="A953" s="7" t="s">
        <v>1320</v>
      </c>
      <c r="B953" s="7" t="s">
        <v>9</v>
      </c>
      <c r="C953" s="7" t="s">
        <v>357</v>
      </c>
      <c r="D953" s="9">
        <v>46007</v>
      </c>
      <c r="E953" s="9">
        <v>46037</v>
      </c>
      <c r="F953" s="3">
        <v>3226.9</v>
      </c>
      <c r="G953" s="7" t="s">
        <v>367</v>
      </c>
    </row>
    <row r="954" spans="1:7" x14ac:dyDescent="0.3">
      <c r="A954" s="7" t="s">
        <v>1321</v>
      </c>
      <c r="B954" s="7" t="s">
        <v>71</v>
      </c>
      <c r="C954" s="7" t="s">
        <v>353</v>
      </c>
      <c r="D954" s="9">
        <v>46086</v>
      </c>
      <c r="E954" s="9">
        <v>46116</v>
      </c>
      <c r="F954" s="3">
        <v>2684.31</v>
      </c>
      <c r="G954" s="7" t="s">
        <v>367</v>
      </c>
    </row>
    <row r="955" spans="1:7" x14ac:dyDescent="0.3">
      <c r="A955" s="7" t="s">
        <v>1322</v>
      </c>
      <c r="B955" s="7" t="s">
        <v>120</v>
      </c>
      <c r="C955" s="7" t="s">
        <v>353</v>
      </c>
      <c r="D955" s="9">
        <v>46107</v>
      </c>
      <c r="E955" s="9">
        <v>46137</v>
      </c>
      <c r="F955" s="3">
        <v>2811.89</v>
      </c>
      <c r="G955" s="7" t="s">
        <v>369</v>
      </c>
    </row>
    <row r="956" spans="1:7" x14ac:dyDescent="0.3">
      <c r="A956" s="7" t="s">
        <v>1323</v>
      </c>
      <c r="B956" s="7" t="s">
        <v>121</v>
      </c>
      <c r="C956" s="7" t="s">
        <v>349</v>
      </c>
      <c r="D956" s="9">
        <v>46089</v>
      </c>
      <c r="E956" s="9">
        <v>46119</v>
      </c>
      <c r="F956" s="3">
        <v>3532.96</v>
      </c>
      <c r="G956" s="7" t="s">
        <v>367</v>
      </c>
    </row>
    <row r="957" spans="1:7" x14ac:dyDescent="0.3">
      <c r="A957" s="7" t="s">
        <v>1324</v>
      </c>
      <c r="B957" s="7" t="s">
        <v>93</v>
      </c>
      <c r="C957" s="7" t="s">
        <v>355</v>
      </c>
      <c r="D957" s="9">
        <v>45980</v>
      </c>
      <c r="E957" s="9">
        <v>46010</v>
      </c>
      <c r="F957" s="3">
        <v>12753.27</v>
      </c>
      <c r="G957" s="7" t="s">
        <v>367</v>
      </c>
    </row>
    <row r="958" spans="1:7" x14ac:dyDescent="0.3">
      <c r="A958" s="7" t="s">
        <v>1325</v>
      </c>
      <c r="B958" s="7" t="s">
        <v>80</v>
      </c>
      <c r="C958" s="7" t="s">
        <v>357</v>
      </c>
      <c r="D958" s="9">
        <v>45970</v>
      </c>
      <c r="E958" s="9">
        <v>46000</v>
      </c>
      <c r="F958" s="3">
        <v>4021.78</v>
      </c>
      <c r="G958" s="7" t="s">
        <v>367</v>
      </c>
    </row>
    <row r="959" spans="1:7" x14ac:dyDescent="0.3">
      <c r="A959" s="7" t="s">
        <v>1326</v>
      </c>
      <c r="B959" s="7" t="s">
        <v>76</v>
      </c>
      <c r="C959" s="7" t="s">
        <v>351</v>
      </c>
      <c r="D959" s="9">
        <v>46019</v>
      </c>
      <c r="E959" s="9">
        <v>46049</v>
      </c>
      <c r="F959" s="3">
        <v>4852.93</v>
      </c>
      <c r="G959" s="7" t="s">
        <v>367</v>
      </c>
    </row>
    <row r="960" spans="1:7" x14ac:dyDescent="0.3">
      <c r="A960" s="7" t="s">
        <v>1327</v>
      </c>
      <c r="B960" s="7" t="s">
        <v>109</v>
      </c>
      <c r="C960" s="7" t="s">
        <v>351</v>
      </c>
      <c r="D960" s="9">
        <v>45973</v>
      </c>
      <c r="E960" s="9">
        <v>46003</v>
      </c>
      <c r="F960" s="3">
        <v>4413.51</v>
      </c>
      <c r="G960" s="7" t="s">
        <v>367</v>
      </c>
    </row>
    <row r="961" spans="1:7" x14ac:dyDescent="0.3">
      <c r="A961" s="7" t="s">
        <v>1328</v>
      </c>
      <c r="B961" s="7" t="s">
        <v>74</v>
      </c>
      <c r="C961" s="7" t="s">
        <v>351</v>
      </c>
      <c r="D961" s="9">
        <v>46097</v>
      </c>
      <c r="E961" s="9">
        <v>46127</v>
      </c>
      <c r="F961" s="3">
        <v>5725.18</v>
      </c>
      <c r="G961" s="7" t="s">
        <v>367</v>
      </c>
    </row>
    <row r="962" spans="1:7" x14ac:dyDescent="0.3">
      <c r="A962" s="7" t="s">
        <v>1329</v>
      </c>
      <c r="B962" s="7" t="s">
        <v>79</v>
      </c>
      <c r="C962" s="7" t="s">
        <v>351</v>
      </c>
      <c r="D962" s="9">
        <v>46059</v>
      </c>
      <c r="E962" s="9">
        <v>46089</v>
      </c>
      <c r="F962" s="3">
        <v>4860.13</v>
      </c>
      <c r="G962" s="7" t="s">
        <v>367</v>
      </c>
    </row>
    <row r="963" spans="1:7" x14ac:dyDescent="0.3">
      <c r="A963" s="7" t="s">
        <v>1330</v>
      </c>
      <c r="B963" s="7" t="s">
        <v>22</v>
      </c>
      <c r="C963" s="7" t="s">
        <v>351</v>
      </c>
      <c r="D963" s="9">
        <v>46037</v>
      </c>
      <c r="E963" s="9">
        <v>46067</v>
      </c>
      <c r="F963" s="3">
        <v>4634.99</v>
      </c>
      <c r="G963" s="7" t="s">
        <v>369</v>
      </c>
    </row>
    <row r="964" spans="1:7" x14ac:dyDescent="0.3">
      <c r="A964" s="7" t="s">
        <v>1331</v>
      </c>
      <c r="B964" s="7" t="s">
        <v>104</v>
      </c>
      <c r="C964" s="7" t="s">
        <v>351</v>
      </c>
      <c r="D964" s="9">
        <v>46026</v>
      </c>
      <c r="E964" s="9">
        <v>46056</v>
      </c>
      <c r="F964" s="3">
        <v>4635.2</v>
      </c>
      <c r="G964" s="7" t="s">
        <v>367</v>
      </c>
    </row>
    <row r="965" spans="1:7" x14ac:dyDescent="0.3">
      <c r="A965" s="7" t="s">
        <v>1332</v>
      </c>
      <c r="B965" s="7" t="s">
        <v>102</v>
      </c>
      <c r="C965" s="7" t="s">
        <v>353</v>
      </c>
      <c r="D965" s="9">
        <v>46010</v>
      </c>
      <c r="E965" s="9">
        <v>46040</v>
      </c>
      <c r="F965" s="3">
        <v>2880.13</v>
      </c>
      <c r="G965" s="7" t="s">
        <v>367</v>
      </c>
    </row>
    <row r="966" spans="1:7" x14ac:dyDescent="0.3">
      <c r="A966" s="7" t="s">
        <v>1333</v>
      </c>
      <c r="B966" s="7" t="s">
        <v>20</v>
      </c>
      <c r="C966" s="7" t="s">
        <v>359</v>
      </c>
      <c r="D966" s="9">
        <v>46102</v>
      </c>
      <c r="E966" s="9">
        <v>46132</v>
      </c>
      <c r="F966" s="3">
        <v>2111.94</v>
      </c>
      <c r="G966" s="7" t="s">
        <v>369</v>
      </c>
    </row>
    <row r="967" spans="1:7" x14ac:dyDescent="0.3">
      <c r="A967" s="7" t="s">
        <v>1334</v>
      </c>
      <c r="B967" s="7" t="s">
        <v>84</v>
      </c>
      <c r="C967" s="7" t="s">
        <v>351</v>
      </c>
      <c r="D967" s="9">
        <v>45993</v>
      </c>
      <c r="E967" s="9">
        <v>46023</v>
      </c>
      <c r="F967" s="3">
        <v>4369.49</v>
      </c>
      <c r="G967" s="7" t="s">
        <v>367</v>
      </c>
    </row>
    <row r="968" spans="1:7" x14ac:dyDescent="0.3">
      <c r="A968" s="7" t="s">
        <v>1335</v>
      </c>
      <c r="B968" s="7" t="s">
        <v>10</v>
      </c>
      <c r="C968" s="7" t="s">
        <v>357</v>
      </c>
      <c r="D968" s="9">
        <v>45991</v>
      </c>
      <c r="E968" s="9">
        <v>46021</v>
      </c>
      <c r="F968" s="3">
        <v>3657.31</v>
      </c>
      <c r="G968" s="7" t="s">
        <v>367</v>
      </c>
    </row>
    <row r="969" spans="1:7" x14ac:dyDescent="0.3">
      <c r="A969" s="7" t="s">
        <v>1336</v>
      </c>
      <c r="B969" s="7" t="s">
        <v>115</v>
      </c>
      <c r="C969" s="7" t="s">
        <v>353</v>
      </c>
      <c r="D969" s="9">
        <v>45977</v>
      </c>
      <c r="E969" s="9">
        <v>46007</v>
      </c>
      <c r="F969" s="3">
        <v>2079.48</v>
      </c>
      <c r="G969" s="7" t="s">
        <v>367</v>
      </c>
    </row>
    <row r="970" spans="1:7" x14ac:dyDescent="0.3">
      <c r="A970" s="7" t="s">
        <v>1337</v>
      </c>
      <c r="B970" s="7" t="s">
        <v>56</v>
      </c>
      <c r="C970" s="7" t="s">
        <v>357</v>
      </c>
      <c r="D970" s="9">
        <v>46089</v>
      </c>
      <c r="E970" s="9">
        <v>46119</v>
      </c>
      <c r="F970" s="3">
        <v>3456.27</v>
      </c>
      <c r="G970" s="7" t="s">
        <v>367</v>
      </c>
    </row>
    <row r="971" spans="1:7" x14ac:dyDescent="0.3">
      <c r="A971" s="7" t="s">
        <v>1338</v>
      </c>
      <c r="B971" s="7" t="s">
        <v>59</v>
      </c>
      <c r="C971" s="7" t="s">
        <v>355</v>
      </c>
      <c r="D971" s="9">
        <v>45970</v>
      </c>
      <c r="E971" s="9">
        <v>46000</v>
      </c>
      <c r="F971" s="3">
        <v>11874.47</v>
      </c>
      <c r="G971" s="7" t="s">
        <v>367</v>
      </c>
    </row>
    <row r="972" spans="1:7" x14ac:dyDescent="0.3">
      <c r="A972" s="7" t="s">
        <v>1339</v>
      </c>
      <c r="B972" s="7" t="s">
        <v>32</v>
      </c>
      <c r="C972" s="7" t="s">
        <v>349</v>
      </c>
      <c r="D972" s="9">
        <v>45976</v>
      </c>
      <c r="E972" s="9">
        <v>46006</v>
      </c>
      <c r="F972" s="3">
        <v>3510.52</v>
      </c>
      <c r="G972" s="7" t="s">
        <v>367</v>
      </c>
    </row>
    <row r="973" spans="1:7" x14ac:dyDescent="0.3">
      <c r="A973" s="7" t="s">
        <v>1340</v>
      </c>
      <c r="B973" s="7" t="s">
        <v>48</v>
      </c>
      <c r="C973" s="7" t="s">
        <v>351</v>
      </c>
      <c r="D973" s="9">
        <v>46008</v>
      </c>
      <c r="E973" s="9">
        <v>46038</v>
      </c>
      <c r="F973" s="3">
        <v>4132.2700000000004</v>
      </c>
      <c r="G973" s="7" t="s">
        <v>367</v>
      </c>
    </row>
    <row r="974" spans="1:7" x14ac:dyDescent="0.3">
      <c r="A974" s="7" t="s">
        <v>1341</v>
      </c>
      <c r="B974" s="7" t="s">
        <v>84</v>
      </c>
      <c r="C974" s="7" t="s">
        <v>355</v>
      </c>
      <c r="D974" s="9">
        <v>45978</v>
      </c>
      <c r="E974" s="9">
        <v>46008</v>
      </c>
      <c r="F974" s="3">
        <v>13860.42</v>
      </c>
      <c r="G974" s="7" t="s">
        <v>369</v>
      </c>
    </row>
    <row r="975" spans="1:7" x14ac:dyDescent="0.3">
      <c r="A975" s="7" t="s">
        <v>1342</v>
      </c>
      <c r="B975" s="7" t="s">
        <v>102</v>
      </c>
      <c r="C975" s="7" t="s">
        <v>359</v>
      </c>
      <c r="D975" s="9">
        <v>46073</v>
      </c>
      <c r="E975" s="9">
        <v>46103</v>
      </c>
      <c r="F975" s="3">
        <v>2033.52</v>
      </c>
      <c r="G975" s="7" t="s">
        <v>367</v>
      </c>
    </row>
    <row r="976" spans="1:7" x14ac:dyDescent="0.3">
      <c r="A976" s="7" t="s">
        <v>1343</v>
      </c>
      <c r="B976" s="7" t="s">
        <v>107</v>
      </c>
      <c r="C976" s="7" t="s">
        <v>357</v>
      </c>
      <c r="D976" s="9">
        <v>46045</v>
      </c>
      <c r="E976" s="9">
        <v>46075</v>
      </c>
      <c r="F976" s="3">
        <v>3631.33</v>
      </c>
      <c r="G976" s="7" t="s">
        <v>369</v>
      </c>
    </row>
    <row r="977" spans="1:7" x14ac:dyDescent="0.3">
      <c r="A977" s="7" t="s">
        <v>1344</v>
      </c>
      <c r="B977" s="7" t="s">
        <v>12</v>
      </c>
      <c r="C977" s="7" t="s">
        <v>349</v>
      </c>
      <c r="D977" s="9">
        <v>46024</v>
      </c>
      <c r="E977" s="9">
        <v>46054</v>
      </c>
      <c r="F977" s="3">
        <v>3024.78</v>
      </c>
      <c r="G977" s="7" t="s">
        <v>369</v>
      </c>
    </row>
    <row r="978" spans="1:7" x14ac:dyDescent="0.3">
      <c r="A978" s="7" t="s">
        <v>1345</v>
      </c>
      <c r="B978" s="7" t="s">
        <v>56</v>
      </c>
      <c r="C978" s="7" t="s">
        <v>351</v>
      </c>
      <c r="D978" s="9">
        <v>46071</v>
      </c>
      <c r="E978" s="9">
        <v>46101</v>
      </c>
      <c r="F978" s="3">
        <v>5037.41</v>
      </c>
      <c r="G978" s="7" t="s">
        <v>367</v>
      </c>
    </row>
    <row r="979" spans="1:7" x14ac:dyDescent="0.3">
      <c r="A979" s="7" t="s">
        <v>1346</v>
      </c>
      <c r="B979" s="7" t="s">
        <v>57</v>
      </c>
      <c r="C979" s="7" t="s">
        <v>357</v>
      </c>
      <c r="D979" s="9">
        <v>46079</v>
      </c>
      <c r="E979" s="9">
        <v>46109</v>
      </c>
      <c r="F979" s="3">
        <v>3871.22</v>
      </c>
      <c r="G979" s="7" t="s">
        <v>367</v>
      </c>
    </row>
    <row r="980" spans="1:7" x14ac:dyDescent="0.3">
      <c r="A980" s="7" t="s">
        <v>1347</v>
      </c>
      <c r="B980" s="7" t="s">
        <v>44</v>
      </c>
      <c r="C980" s="7" t="s">
        <v>353</v>
      </c>
      <c r="D980" s="9">
        <v>46065</v>
      </c>
      <c r="E980" s="9">
        <v>46095</v>
      </c>
      <c r="F980" s="3">
        <v>2773.68</v>
      </c>
      <c r="G980" s="7" t="s">
        <v>367</v>
      </c>
    </row>
    <row r="981" spans="1:7" x14ac:dyDescent="0.3">
      <c r="A981" s="7" t="s">
        <v>1348</v>
      </c>
      <c r="B981" s="7" t="s">
        <v>66</v>
      </c>
      <c r="C981" s="7" t="s">
        <v>357</v>
      </c>
      <c r="D981" s="9">
        <v>46005</v>
      </c>
      <c r="E981" s="9">
        <v>46035</v>
      </c>
      <c r="F981" s="3">
        <v>4086.65</v>
      </c>
      <c r="G981" s="7" t="s">
        <v>369</v>
      </c>
    </row>
    <row r="982" spans="1:7" x14ac:dyDescent="0.3">
      <c r="A982" s="7" t="s">
        <v>1349</v>
      </c>
      <c r="B982" s="7" t="s">
        <v>106</v>
      </c>
      <c r="C982" s="7" t="s">
        <v>359</v>
      </c>
      <c r="D982" s="9">
        <v>45980</v>
      </c>
      <c r="E982" s="9">
        <v>46010</v>
      </c>
      <c r="F982" s="3">
        <v>1765.22</v>
      </c>
      <c r="G982" s="7" t="s">
        <v>367</v>
      </c>
    </row>
    <row r="983" spans="1:7" x14ac:dyDescent="0.3">
      <c r="A983" s="7" t="s">
        <v>1350</v>
      </c>
      <c r="B983" s="7" t="s">
        <v>59</v>
      </c>
      <c r="C983" s="7" t="s">
        <v>357</v>
      </c>
      <c r="D983" s="9">
        <v>45968</v>
      </c>
      <c r="E983" s="9">
        <v>45998</v>
      </c>
      <c r="F983" s="3">
        <v>4112.9799999999996</v>
      </c>
      <c r="G983" s="7" t="s">
        <v>367</v>
      </c>
    </row>
    <row r="984" spans="1:7" x14ac:dyDescent="0.3">
      <c r="A984" s="7" t="s">
        <v>1351</v>
      </c>
      <c r="B984" s="7" t="s">
        <v>98</v>
      </c>
      <c r="C984" s="7" t="s">
        <v>353</v>
      </c>
      <c r="D984" s="9">
        <v>46079</v>
      </c>
      <c r="E984" s="9">
        <v>46109</v>
      </c>
      <c r="F984" s="3">
        <v>2450.89</v>
      </c>
      <c r="G984" s="7" t="s">
        <v>367</v>
      </c>
    </row>
    <row r="985" spans="1:7" x14ac:dyDescent="0.3">
      <c r="A985" s="7" t="s">
        <v>1352</v>
      </c>
      <c r="B985" s="7" t="s">
        <v>90</v>
      </c>
      <c r="C985" s="7" t="s">
        <v>351</v>
      </c>
      <c r="D985" s="9">
        <v>46070</v>
      </c>
      <c r="E985" s="9">
        <v>46100</v>
      </c>
      <c r="F985" s="3">
        <v>5765.1</v>
      </c>
      <c r="G985" s="7" t="s">
        <v>367</v>
      </c>
    </row>
    <row r="986" spans="1:7" x14ac:dyDescent="0.3">
      <c r="A986" s="7" t="s">
        <v>1353</v>
      </c>
      <c r="B986" s="7" t="s">
        <v>21</v>
      </c>
      <c r="C986" s="7" t="s">
        <v>359</v>
      </c>
      <c r="D986" s="9">
        <v>46089</v>
      </c>
      <c r="E986" s="9">
        <v>46119</v>
      </c>
      <c r="F986" s="3">
        <v>2013.47</v>
      </c>
      <c r="G986" s="7" t="s">
        <v>367</v>
      </c>
    </row>
    <row r="987" spans="1:7" x14ac:dyDescent="0.3">
      <c r="A987" s="7" t="s">
        <v>1354</v>
      </c>
      <c r="B987" s="7" t="s">
        <v>56</v>
      </c>
      <c r="C987" s="7" t="s">
        <v>359</v>
      </c>
      <c r="D987" s="9">
        <v>46008</v>
      </c>
      <c r="E987" s="9">
        <v>46038</v>
      </c>
      <c r="F987" s="3">
        <v>1763.57</v>
      </c>
      <c r="G987" s="7" t="s">
        <v>367</v>
      </c>
    </row>
    <row r="988" spans="1:7" x14ac:dyDescent="0.3">
      <c r="A988" s="7" t="s">
        <v>1355</v>
      </c>
      <c r="B988" s="7" t="s">
        <v>55</v>
      </c>
      <c r="C988" s="7" t="s">
        <v>359</v>
      </c>
      <c r="D988" s="9">
        <v>45993</v>
      </c>
      <c r="E988" s="9">
        <v>46023</v>
      </c>
      <c r="F988" s="3">
        <v>2009.57</v>
      </c>
      <c r="G988" s="7" t="s">
        <v>369</v>
      </c>
    </row>
    <row r="989" spans="1:7" x14ac:dyDescent="0.3">
      <c r="A989" s="7" t="s">
        <v>1356</v>
      </c>
      <c r="B989" s="7" t="s">
        <v>79</v>
      </c>
      <c r="C989" s="7" t="s">
        <v>357</v>
      </c>
      <c r="D989" s="9">
        <v>45966</v>
      </c>
      <c r="E989" s="9">
        <v>45996</v>
      </c>
      <c r="F989" s="3">
        <v>3332.85</v>
      </c>
      <c r="G989" s="7" t="s">
        <v>369</v>
      </c>
    </row>
    <row r="990" spans="1:7" x14ac:dyDescent="0.3">
      <c r="A990" s="7" t="s">
        <v>1357</v>
      </c>
      <c r="B990" s="7" t="s">
        <v>98</v>
      </c>
      <c r="C990" s="7" t="s">
        <v>359</v>
      </c>
      <c r="D990" s="9">
        <v>46058</v>
      </c>
      <c r="E990" s="9">
        <v>46088</v>
      </c>
      <c r="F990" s="3">
        <v>2061.12</v>
      </c>
      <c r="G990" s="7" t="s">
        <v>367</v>
      </c>
    </row>
    <row r="991" spans="1:7" x14ac:dyDescent="0.3">
      <c r="A991" s="7" t="s">
        <v>1358</v>
      </c>
      <c r="B991" s="7" t="s">
        <v>64</v>
      </c>
      <c r="C991" s="7" t="s">
        <v>349</v>
      </c>
      <c r="D991" s="9">
        <v>46000</v>
      </c>
      <c r="E991" s="9">
        <v>46030</v>
      </c>
      <c r="F991" s="3">
        <v>2903.5</v>
      </c>
      <c r="G991" s="7" t="s">
        <v>369</v>
      </c>
    </row>
    <row r="992" spans="1:7" x14ac:dyDescent="0.3">
      <c r="A992" s="7" t="s">
        <v>1359</v>
      </c>
      <c r="B992" s="7" t="s">
        <v>7</v>
      </c>
      <c r="C992" s="7" t="s">
        <v>353</v>
      </c>
      <c r="D992" s="9">
        <v>46005</v>
      </c>
      <c r="E992" s="9">
        <v>46035</v>
      </c>
      <c r="F992" s="3">
        <v>2626.45</v>
      </c>
      <c r="G992" s="7" t="s">
        <v>387</v>
      </c>
    </row>
    <row r="993" spans="1:7" x14ac:dyDescent="0.3">
      <c r="A993" s="7" t="s">
        <v>1360</v>
      </c>
      <c r="B993" s="7" t="s">
        <v>70</v>
      </c>
      <c r="C993" s="7" t="s">
        <v>357</v>
      </c>
      <c r="D993" s="9">
        <v>45985</v>
      </c>
      <c r="E993" s="9">
        <v>46015</v>
      </c>
      <c r="F993" s="3">
        <v>3871.55</v>
      </c>
      <c r="G993" s="7" t="s">
        <v>367</v>
      </c>
    </row>
    <row r="994" spans="1:7" x14ac:dyDescent="0.3">
      <c r="A994" s="7" t="s">
        <v>1361</v>
      </c>
      <c r="B994" s="7" t="s">
        <v>82</v>
      </c>
      <c r="C994" s="7" t="s">
        <v>357</v>
      </c>
      <c r="D994" s="9">
        <v>46037</v>
      </c>
      <c r="E994" s="9">
        <v>46067</v>
      </c>
      <c r="F994" s="3">
        <v>3930.44</v>
      </c>
      <c r="G994" s="7" t="s">
        <v>367</v>
      </c>
    </row>
    <row r="995" spans="1:7" x14ac:dyDescent="0.3">
      <c r="A995" s="7" t="s">
        <v>1362</v>
      </c>
      <c r="B995" s="7" t="s">
        <v>83</v>
      </c>
      <c r="C995" s="7" t="s">
        <v>359</v>
      </c>
      <c r="D995" s="9">
        <v>46017</v>
      </c>
      <c r="E995" s="9">
        <v>46047</v>
      </c>
      <c r="F995" s="3">
        <v>1782.51</v>
      </c>
      <c r="G995" s="7" t="s">
        <v>367</v>
      </c>
    </row>
    <row r="996" spans="1:7" x14ac:dyDescent="0.3">
      <c r="A996" s="7" t="s">
        <v>1363</v>
      </c>
      <c r="B996" s="7" t="s">
        <v>78</v>
      </c>
      <c r="C996" s="7" t="s">
        <v>349</v>
      </c>
      <c r="D996" s="9">
        <v>46012</v>
      </c>
      <c r="E996" s="9">
        <v>46042</v>
      </c>
      <c r="F996" s="3">
        <v>2693.66</v>
      </c>
      <c r="G996" s="7" t="s">
        <v>367</v>
      </c>
    </row>
    <row r="997" spans="1:7" x14ac:dyDescent="0.3">
      <c r="A997" s="7" t="s">
        <v>1364</v>
      </c>
      <c r="B997" s="7" t="s">
        <v>11</v>
      </c>
      <c r="C997" s="7" t="s">
        <v>351</v>
      </c>
      <c r="D997" s="9">
        <v>45991</v>
      </c>
      <c r="E997" s="9">
        <v>46021</v>
      </c>
      <c r="F997" s="3">
        <v>4097.84</v>
      </c>
      <c r="G997" s="7" t="s">
        <v>367</v>
      </c>
    </row>
    <row r="998" spans="1:7" x14ac:dyDescent="0.3">
      <c r="A998" s="7" t="s">
        <v>1365</v>
      </c>
      <c r="B998" s="7" t="s">
        <v>45</v>
      </c>
      <c r="C998" s="7" t="s">
        <v>351</v>
      </c>
      <c r="D998" s="9">
        <v>46010</v>
      </c>
      <c r="E998" s="9">
        <v>46040</v>
      </c>
      <c r="F998" s="3">
        <v>5707.66</v>
      </c>
      <c r="G998" s="7" t="s">
        <v>369</v>
      </c>
    </row>
    <row r="999" spans="1:7" x14ac:dyDescent="0.3">
      <c r="A999" s="7" t="s">
        <v>1366</v>
      </c>
      <c r="B999" s="7" t="s">
        <v>29</v>
      </c>
      <c r="C999" s="7" t="s">
        <v>353</v>
      </c>
      <c r="D999" s="9">
        <v>46012</v>
      </c>
      <c r="E999" s="9">
        <v>46042</v>
      </c>
      <c r="F999" s="3">
        <v>2920.38</v>
      </c>
      <c r="G999" s="7" t="s">
        <v>367</v>
      </c>
    </row>
    <row r="1000" spans="1:7" x14ac:dyDescent="0.3">
      <c r="A1000" s="7" t="s">
        <v>1367</v>
      </c>
      <c r="B1000" s="7" t="s">
        <v>83</v>
      </c>
      <c r="C1000" s="7" t="s">
        <v>351</v>
      </c>
      <c r="D1000" s="9">
        <v>46081</v>
      </c>
      <c r="E1000" s="9">
        <v>46111</v>
      </c>
      <c r="F1000" s="3">
        <v>5344.18</v>
      </c>
      <c r="G1000" s="7" t="s">
        <v>367</v>
      </c>
    </row>
    <row r="1001" spans="1:7" x14ac:dyDescent="0.3">
      <c r="A1001" s="7" t="s">
        <v>1368</v>
      </c>
      <c r="B1001" s="7" t="s">
        <v>53</v>
      </c>
      <c r="C1001" s="7" t="s">
        <v>357</v>
      </c>
      <c r="D1001" s="9">
        <v>46047</v>
      </c>
      <c r="E1001" s="9">
        <v>46077</v>
      </c>
      <c r="F1001" s="3">
        <v>3902.23</v>
      </c>
      <c r="G1001" s="7" t="s">
        <v>367</v>
      </c>
    </row>
    <row r="1002" spans="1:7" x14ac:dyDescent="0.3">
      <c r="A1002" s="7" t="s">
        <v>1369</v>
      </c>
      <c r="B1002" s="7" t="s">
        <v>55</v>
      </c>
      <c r="C1002" s="7" t="s">
        <v>349</v>
      </c>
      <c r="D1002" s="9">
        <v>46064</v>
      </c>
      <c r="E1002" s="9">
        <v>46094</v>
      </c>
      <c r="F1002" s="3">
        <v>2511.75</v>
      </c>
      <c r="G1002" s="7" t="s">
        <v>367</v>
      </c>
    </row>
    <row r="1003" spans="1:7" x14ac:dyDescent="0.3">
      <c r="A1003" s="7" t="s">
        <v>1370</v>
      </c>
      <c r="B1003" s="7" t="s">
        <v>67</v>
      </c>
      <c r="C1003" s="7" t="s">
        <v>349</v>
      </c>
      <c r="D1003" s="9">
        <v>45979</v>
      </c>
      <c r="E1003" s="9">
        <v>46009</v>
      </c>
      <c r="F1003" s="3">
        <v>3310.13</v>
      </c>
      <c r="G1003" s="7" t="s">
        <v>367</v>
      </c>
    </row>
    <row r="1004" spans="1:7" x14ac:dyDescent="0.3">
      <c r="A1004" s="7" t="s">
        <v>1371</v>
      </c>
      <c r="B1004" s="7" t="s">
        <v>59</v>
      </c>
      <c r="C1004" s="7" t="s">
        <v>351</v>
      </c>
      <c r="D1004" s="9">
        <v>46019</v>
      </c>
      <c r="E1004" s="9">
        <v>46049</v>
      </c>
      <c r="F1004" s="3">
        <v>4244.05</v>
      </c>
      <c r="G1004" s="7" t="s">
        <v>367</v>
      </c>
    </row>
    <row r="1005" spans="1:7" x14ac:dyDescent="0.3">
      <c r="A1005" s="7" t="s">
        <v>1372</v>
      </c>
      <c r="B1005" s="7" t="s">
        <v>80</v>
      </c>
      <c r="C1005" s="7" t="s">
        <v>357</v>
      </c>
      <c r="D1005" s="9">
        <v>45969</v>
      </c>
      <c r="E1005" s="9">
        <v>45999</v>
      </c>
      <c r="F1005" s="3">
        <v>3093.78</v>
      </c>
      <c r="G1005" s="7" t="s">
        <v>367</v>
      </c>
    </row>
    <row r="1006" spans="1:7" x14ac:dyDescent="0.3">
      <c r="A1006" s="7" t="s">
        <v>1373</v>
      </c>
      <c r="B1006" s="7" t="s">
        <v>95</v>
      </c>
      <c r="C1006" s="7" t="s">
        <v>359</v>
      </c>
      <c r="D1006" s="9">
        <v>46044</v>
      </c>
      <c r="E1006" s="9">
        <v>46074</v>
      </c>
      <c r="F1006" s="3">
        <v>2145.13</v>
      </c>
      <c r="G1006" s="7" t="s">
        <v>367</v>
      </c>
    </row>
    <row r="1007" spans="1:7" x14ac:dyDescent="0.3">
      <c r="A1007" s="7" t="s">
        <v>1374</v>
      </c>
      <c r="B1007" s="7" t="s">
        <v>115</v>
      </c>
      <c r="C1007" s="7" t="s">
        <v>357</v>
      </c>
      <c r="D1007" s="9">
        <v>46089</v>
      </c>
      <c r="E1007" s="9">
        <v>46119</v>
      </c>
      <c r="F1007" s="3">
        <v>4107.45</v>
      </c>
      <c r="G1007" s="7" t="s">
        <v>367</v>
      </c>
    </row>
    <row r="1008" spans="1:7" x14ac:dyDescent="0.3">
      <c r="A1008" s="7" t="s">
        <v>1375</v>
      </c>
      <c r="B1008" s="7" t="s">
        <v>23</v>
      </c>
      <c r="C1008" s="7" t="s">
        <v>353</v>
      </c>
      <c r="D1008" s="9">
        <v>46103</v>
      </c>
      <c r="E1008" s="9">
        <v>46133</v>
      </c>
      <c r="F1008" s="3">
        <v>2259.66</v>
      </c>
      <c r="G1008" s="7" t="s">
        <v>367</v>
      </c>
    </row>
    <row r="1009" spans="1:7" x14ac:dyDescent="0.3">
      <c r="A1009" s="7" t="s">
        <v>1376</v>
      </c>
      <c r="B1009" s="7" t="s">
        <v>70</v>
      </c>
      <c r="C1009" s="7" t="s">
        <v>357</v>
      </c>
      <c r="D1009" s="9">
        <v>45978</v>
      </c>
      <c r="E1009" s="9">
        <v>46008</v>
      </c>
      <c r="F1009" s="3">
        <v>3587.69</v>
      </c>
      <c r="G1009" s="7" t="s">
        <v>367</v>
      </c>
    </row>
    <row r="1010" spans="1:7" x14ac:dyDescent="0.3">
      <c r="A1010" s="7" t="s">
        <v>1377</v>
      </c>
      <c r="B1010" s="7" t="s">
        <v>31</v>
      </c>
      <c r="C1010" s="7" t="s">
        <v>351</v>
      </c>
      <c r="D1010" s="9">
        <v>46000</v>
      </c>
      <c r="E1010" s="9">
        <v>46030</v>
      </c>
      <c r="F1010" s="3">
        <v>5767.33</v>
      </c>
      <c r="G1010" s="7" t="s">
        <v>367</v>
      </c>
    </row>
    <row r="1011" spans="1:7" x14ac:dyDescent="0.3">
      <c r="A1011" s="7" t="s">
        <v>1378</v>
      </c>
      <c r="B1011" s="7" t="s">
        <v>101</v>
      </c>
      <c r="C1011" s="7" t="s">
        <v>349</v>
      </c>
      <c r="D1011" s="9">
        <v>46027</v>
      </c>
      <c r="E1011" s="9">
        <v>46057</v>
      </c>
      <c r="F1011" s="3">
        <v>2541.85</v>
      </c>
      <c r="G1011" s="7" t="s">
        <v>369</v>
      </c>
    </row>
    <row r="1012" spans="1:7" x14ac:dyDescent="0.3">
      <c r="A1012" s="7" t="s">
        <v>1379</v>
      </c>
      <c r="B1012" s="7" t="s">
        <v>51</v>
      </c>
      <c r="C1012" s="7" t="s">
        <v>351</v>
      </c>
      <c r="D1012" s="9">
        <v>45974</v>
      </c>
      <c r="E1012" s="9">
        <v>46004</v>
      </c>
      <c r="F1012" s="3">
        <v>5599.13</v>
      </c>
      <c r="G1012" s="7" t="s">
        <v>367</v>
      </c>
    </row>
    <row r="1013" spans="1:7" x14ac:dyDescent="0.3">
      <c r="A1013" s="7" t="s">
        <v>1380</v>
      </c>
      <c r="B1013" s="7" t="s">
        <v>95</v>
      </c>
      <c r="C1013" s="7" t="s">
        <v>357</v>
      </c>
      <c r="D1013" s="9">
        <v>46055</v>
      </c>
      <c r="E1013" s="9">
        <v>46085</v>
      </c>
      <c r="F1013" s="3">
        <v>3928.46</v>
      </c>
      <c r="G1013" s="7" t="s">
        <v>367</v>
      </c>
    </row>
    <row r="1014" spans="1:7" x14ac:dyDescent="0.3">
      <c r="A1014" s="7" t="s">
        <v>1381</v>
      </c>
      <c r="B1014" s="7" t="s">
        <v>77</v>
      </c>
      <c r="C1014" s="7" t="s">
        <v>353</v>
      </c>
      <c r="D1014" s="9">
        <v>45987</v>
      </c>
      <c r="E1014" s="9">
        <v>46017</v>
      </c>
      <c r="F1014" s="3">
        <v>2254.42</v>
      </c>
      <c r="G1014" s="7" t="s">
        <v>367</v>
      </c>
    </row>
    <row r="1015" spans="1:7" x14ac:dyDescent="0.3">
      <c r="A1015" s="7" t="s">
        <v>1382</v>
      </c>
      <c r="B1015" s="7" t="s">
        <v>57</v>
      </c>
      <c r="C1015" s="7" t="s">
        <v>353</v>
      </c>
      <c r="D1015" s="9">
        <v>46107</v>
      </c>
      <c r="E1015" s="9">
        <v>46137</v>
      </c>
      <c r="F1015" s="3">
        <v>2767.03</v>
      </c>
      <c r="G1015" s="7" t="s">
        <v>367</v>
      </c>
    </row>
    <row r="1016" spans="1:7" x14ac:dyDescent="0.3">
      <c r="A1016" s="7" t="s">
        <v>1383</v>
      </c>
      <c r="B1016" s="7" t="s">
        <v>113</v>
      </c>
      <c r="C1016" s="7" t="s">
        <v>359</v>
      </c>
      <c r="D1016" s="9">
        <v>46112</v>
      </c>
      <c r="E1016" s="9">
        <v>46142</v>
      </c>
      <c r="F1016" s="3">
        <v>1849.62</v>
      </c>
      <c r="G1016" s="7" t="s">
        <v>367</v>
      </c>
    </row>
    <row r="1017" spans="1:7" x14ac:dyDescent="0.3">
      <c r="A1017" s="7" t="s">
        <v>1384</v>
      </c>
      <c r="B1017" s="7" t="s">
        <v>89</v>
      </c>
      <c r="C1017" s="7" t="s">
        <v>353</v>
      </c>
      <c r="D1017" s="9">
        <v>46051</v>
      </c>
      <c r="E1017" s="9">
        <v>46081</v>
      </c>
      <c r="F1017" s="3">
        <v>2922.28</v>
      </c>
      <c r="G1017" s="7" t="s">
        <v>369</v>
      </c>
    </row>
    <row r="1018" spans="1:7" x14ac:dyDescent="0.3">
      <c r="A1018" s="7" t="s">
        <v>1385</v>
      </c>
      <c r="B1018" s="7" t="s">
        <v>75</v>
      </c>
      <c r="C1018" s="7" t="s">
        <v>351</v>
      </c>
      <c r="D1018" s="9">
        <v>46089</v>
      </c>
      <c r="E1018" s="9">
        <v>46119</v>
      </c>
      <c r="F1018" s="3">
        <v>4962.99</v>
      </c>
      <c r="G1018" s="7" t="s">
        <v>369</v>
      </c>
    </row>
    <row r="1019" spans="1:7" x14ac:dyDescent="0.3">
      <c r="A1019" s="7" t="s">
        <v>1386</v>
      </c>
      <c r="B1019" s="7" t="s">
        <v>14</v>
      </c>
      <c r="C1019" s="7" t="s">
        <v>353</v>
      </c>
      <c r="D1019" s="9">
        <v>46060</v>
      </c>
      <c r="E1019" s="9">
        <v>46090</v>
      </c>
      <c r="F1019" s="3">
        <v>2462.4699999999998</v>
      </c>
      <c r="G1019" s="7" t="s">
        <v>369</v>
      </c>
    </row>
    <row r="1020" spans="1:7" x14ac:dyDescent="0.3">
      <c r="A1020" s="7" t="s">
        <v>1387</v>
      </c>
      <c r="B1020" s="7" t="s">
        <v>75</v>
      </c>
      <c r="C1020" s="7" t="s">
        <v>357</v>
      </c>
      <c r="D1020" s="9">
        <v>46009</v>
      </c>
      <c r="E1020" s="9">
        <v>46039</v>
      </c>
      <c r="F1020" s="3">
        <v>3219.08</v>
      </c>
      <c r="G1020" s="7" t="s">
        <v>367</v>
      </c>
    </row>
    <row r="1021" spans="1:7" x14ac:dyDescent="0.3">
      <c r="A1021" s="7" t="s">
        <v>1388</v>
      </c>
      <c r="B1021" s="7" t="s">
        <v>120</v>
      </c>
      <c r="C1021" s="7" t="s">
        <v>349</v>
      </c>
      <c r="D1021" s="9">
        <v>46052</v>
      </c>
      <c r="E1021" s="9">
        <v>46082</v>
      </c>
      <c r="F1021" s="3">
        <v>2649.91</v>
      </c>
      <c r="G1021" s="7" t="s">
        <v>369</v>
      </c>
    </row>
    <row r="1022" spans="1:7" x14ac:dyDescent="0.3">
      <c r="A1022" s="7" t="s">
        <v>1389</v>
      </c>
      <c r="B1022" s="7" t="s">
        <v>50</v>
      </c>
      <c r="C1022" s="7" t="s">
        <v>353</v>
      </c>
      <c r="D1022" s="9">
        <v>46095</v>
      </c>
      <c r="E1022" s="9">
        <v>46125</v>
      </c>
      <c r="F1022" s="3">
        <v>2066.21</v>
      </c>
      <c r="G1022" s="7" t="s">
        <v>369</v>
      </c>
    </row>
    <row r="1023" spans="1:7" x14ac:dyDescent="0.3">
      <c r="A1023" s="7" t="s">
        <v>1390</v>
      </c>
      <c r="B1023" s="7" t="s">
        <v>56</v>
      </c>
      <c r="C1023" s="7" t="s">
        <v>355</v>
      </c>
      <c r="D1023" s="9">
        <v>46081</v>
      </c>
      <c r="E1023" s="9">
        <v>46111</v>
      </c>
      <c r="F1023" s="3">
        <v>12607.25</v>
      </c>
      <c r="G1023" s="7" t="s">
        <v>367</v>
      </c>
    </row>
    <row r="1024" spans="1:7" x14ac:dyDescent="0.3">
      <c r="A1024" s="7" t="s">
        <v>1391</v>
      </c>
      <c r="B1024" s="7" t="s">
        <v>47</v>
      </c>
      <c r="C1024" s="7" t="s">
        <v>351</v>
      </c>
      <c r="D1024" s="9">
        <v>46108</v>
      </c>
      <c r="E1024" s="9">
        <v>46138</v>
      </c>
      <c r="F1024" s="3">
        <v>5190.38</v>
      </c>
      <c r="G1024" s="7" t="s">
        <v>367</v>
      </c>
    </row>
    <row r="1025" spans="1:7" x14ac:dyDescent="0.3">
      <c r="A1025" s="7" t="s">
        <v>1392</v>
      </c>
      <c r="B1025" s="7" t="s">
        <v>37</v>
      </c>
      <c r="C1025" s="7" t="s">
        <v>359</v>
      </c>
      <c r="D1025" s="9">
        <v>46015</v>
      </c>
      <c r="E1025" s="9">
        <v>46045</v>
      </c>
      <c r="F1025" s="3">
        <v>1462.77</v>
      </c>
      <c r="G1025" s="7" t="s">
        <v>367</v>
      </c>
    </row>
    <row r="1026" spans="1:7" x14ac:dyDescent="0.3">
      <c r="A1026" s="7" t="s">
        <v>1393</v>
      </c>
      <c r="B1026" s="7" t="s">
        <v>29</v>
      </c>
      <c r="C1026" s="7" t="s">
        <v>353</v>
      </c>
      <c r="D1026" s="9">
        <v>46002</v>
      </c>
      <c r="E1026" s="9">
        <v>46032</v>
      </c>
      <c r="F1026" s="3">
        <v>2451.91</v>
      </c>
      <c r="G1026" s="7" t="s">
        <v>367</v>
      </c>
    </row>
    <row r="1027" spans="1:7" x14ac:dyDescent="0.3">
      <c r="A1027" s="7" t="s">
        <v>1394</v>
      </c>
      <c r="B1027" s="7" t="s">
        <v>63</v>
      </c>
      <c r="C1027" s="7" t="s">
        <v>349</v>
      </c>
      <c r="D1027" s="9">
        <v>46058</v>
      </c>
      <c r="E1027" s="9">
        <v>46088</v>
      </c>
      <c r="F1027" s="3">
        <v>2849.06</v>
      </c>
      <c r="G1027" s="7" t="s">
        <v>369</v>
      </c>
    </row>
    <row r="1028" spans="1:7" x14ac:dyDescent="0.3">
      <c r="A1028" s="7" t="s">
        <v>1395</v>
      </c>
      <c r="B1028" s="7" t="s">
        <v>50</v>
      </c>
      <c r="C1028" s="7" t="s">
        <v>357</v>
      </c>
      <c r="D1028" s="9">
        <v>46087</v>
      </c>
      <c r="E1028" s="9">
        <v>46117</v>
      </c>
      <c r="F1028" s="3">
        <v>2834.91</v>
      </c>
      <c r="G1028" s="7" t="s">
        <v>367</v>
      </c>
    </row>
    <row r="1029" spans="1:7" x14ac:dyDescent="0.3">
      <c r="A1029" s="7" t="s">
        <v>1396</v>
      </c>
      <c r="B1029" s="7" t="s">
        <v>25</v>
      </c>
      <c r="C1029" s="7" t="s">
        <v>355</v>
      </c>
      <c r="D1029" s="9">
        <v>46060</v>
      </c>
      <c r="E1029" s="9">
        <v>46090</v>
      </c>
      <c r="F1029" s="3">
        <v>13115.72</v>
      </c>
      <c r="G1029" s="7" t="s">
        <v>369</v>
      </c>
    </row>
    <row r="1030" spans="1:7" x14ac:dyDescent="0.3">
      <c r="A1030" s="7" t="s">
        <v>1397</v>
      </c>
      <c r="B1030" s="7" t="s">
        <v>33</v>
      </c>
      <c r="C1030" s="7" t="s">
        <v>349</v>
      </c>
      <c r="D1030" s="9">
        <v>46064</v>
      </c>
      <c r="E1030" s="9">
        <v>46094</v>
      </c>
      <c r="F1030" s="3">
        <v>3386.57</v>
      </c>
      <c r="G1030" s="7" t="s">
        <v>387</v>
      </c>
    </row>
    <row r="1031" spans="1:7" x14ac:dyDescent="0.3">
      <c r="A1031" s="7" t="s">
        <v>1398</v>
      </c>
      <c r="B1031" s="7" t="s">
        <v>21</v>
      </c>
      <c r="C1031" s="7" t="s">
        <v>359</v>
      </c>
      <c r="D1031" s="9">
        <v>46094</v>
      </c>
      <c r="E1031" s="9">
        <v>46124</v>
      </c>
      <c r="F1031" s="3">
        <v>1466.32</v>
      </c>
      <c r="G1031" s="7" t="s">
        <v>369</v>
      </c>
    </row>
    <row r="1032" spans="1:7" x14ac:dyDescent="0.3">
      <c r="A1032" s="7" t="s">
        <v>1399</v>
      </c>
      <c r="B1032" s="7" t="s">
        <v>118</v>
      </c>
      <c r="C1032" s="7" t="s">
        <v>349</v>
      </c>
      <c r="D1032" s="9">
        <v>46084</v>
      </c>
      <c r="E1032" s="9">
        <v>46114</v>
      </c>
      <c r="F1032" s="3">
        <v>2773.18</v>
      </c>
      <c r="G1032" s="7" t="s">
        <v>369</v>
      </c>
    </row>
    <row r="1033" spans="1:7" x14ac:dyDescent="0.3">
      <c r="A1033" s="7" t="s">
        <v>1400</v>
      </c>
      <c r="B1033" s="7" t="s">
        <v>91</v>
      </c>
      <c r="C1033" s="7" t="s">
        <v>349</v>
      </c>
      <c r="D1033" s="9">
        <v>46049</v>
      </c>
      <c r="E1033" s="9">
        <v>46079</v>
      </c>
      <c r="F1033" s="3">
        <v>2799.95</v>
      </c>
      <c r="G1033" s="7" t="s">
        <v>367</v>
      </c>
    </row>
    <row r="1034" spans="1:7" x14ac:dyDescent="0.3">
      <c r="A1034" s="7" t="s">
        <v>1401</v>
      </c>
      <c r="B1034" s="7" t="s">
        <v>33</v>
      </c>
      <c r="C1034" s="7" t="s">
        <v>359</v>
      </c>
      <c r="D1034" s="9">
        <v>46038</v>
      </c>
      <c r="E1034" s="9">
        <v>46068</v>
      </c>
      <c r="F1034" s="3">
        <v>1664.99</v>
      </c>
      <c r="G1034" s="7" t="s">
        <v>367</v>
      </c>
    </row>
    <row r="1035" spans="1:7" x14ac:dyDescent="0.3">
      <c r="A1035" s="7" t="s">
        <v>1402</v>
      </c>
      <c r="B1035" s="7" t="s">
        <v>105</v>
      </c>
      <c r="C1035" s="7" t="s">
        <v>353</v>
      </c>
      <c r="D1035" s="9">
        <v>46023</v>
      </c>
      <c r="E1035" s="9">
        <v>46053</v>
      </c>
      <c r="F1035" s="3">
        <v>2200.56</v>
      </c>
      <c r="G1035" s="7" t="s">
        <v>367</v>
      </c>
    </row>
    <row r="1036" spans="1:7" x14ac:dyDescent="0.3">
      <c r="A1036" s="7" t="s">
        <v>1403</v>
      </c>
      <c r="B1036" s="7" t="s">
        <v>21</v>
      </c>
      <c r="C1036" s="7" t="s">
        <v>355</v>
      </c>
      <c r="D1036" s="9">
        <v>46009</v>
      </c>
      <c r="E1036" s="9">
        <v>46039</v>
      </c>
      <c r="F1036" s="3">
        <v>12821.4</v>
      </c>
      <c r="G1036" s="7" t="s">
        <v>367</v>
      </c>
    </row>
    <row r="1037" spans="1:7" x14ac:dyDescent="0.3">
      <c r="A1037" s="7" t="s">
        <v>1404</v>
      </c>
      <c r="B1037" s="7" t="s">
        <v>76</v>
      </c>
      <c r="C1037" s="7" t="s">
        <v>349</v>
      </c>
      <c r="D1037" s="9">
        <v>46046</v>
      </c>
      <c r="E1037" s="9">
        <v>46076</v>
      </c>
      <c r="F1037" s="3">
        <v>3549.96</v>
      </c>
      <c r="G1037" s="7" t="s">
        <v>367</v>
      </c>
    </row>
    <row r="1038" spans="1:7" x14ac:dyDescent="0.3">
      <c r="A1038" s="7" t="s">
        <v>1405</v>
      </c>
      <c r="B1038" s="7" t="s">
        <v>109</v>
      </c>
      <c r="C1038" s="7" t="s">
        <v>353</v>
      </c>
      <c r="D1038" s="9">
        <v>46079</v>
      </c>
      <c r="E1038" s="9">
        <v>46109</v>
      </c>
      <c r="F1038" s="3">
        <v>2549.37</v>
      </c>
      <c r="G1038" s="7" t="s">
        <v>369</v>
      </c>
    </row>
    <row r="1039" spans="1:7" x14ac:dyDescent="0.3">
      <c r="A1039" s="7" t="s">
        <v>1406</v>
      </c>
      <c r="B1039" s="7" t="s">
        <v>121</v>
      </c>
      <c r="C1039" s="7" t="s">
        <v>353</v>
      </c>
      <c r="D1039" s="9">
        <v>46100</v>
      </c>
      <c r="E1039" s="9">
        <v>46130</v>
      </c>
      <c r="F1039" s="3">
        <v>2574.08</v>
      </c>
      <c r="G1039" s="7" t="s">
        <v>367</v>
      </c>
    </row>
    <row r="1040" spans="1:7" x14ac:dyDescent="0.3">
      <c r="A1040" s="7" t="s">
        <v>1407</v>
      </c>
      <c r="B1040" s="7" t="s">
        <v>122</v>
      </c>
      <c r="C1040" s="7" t="s">
        <v>353</v>
      </c>
      <c r="D1040" s="9">
        <v>46092</v>
      </c>
      <c r="E1040" s="9">
        <v>46122</v>
      </c>
      <c r="F1040" s="3">
        <v>2540.58</v>
      </c>
      <c r="G1040" s="7" t="s">
        <v>367</v>
      </c>
    </row>
    <row r="1041" spans="1:7" x14ac:dyDescent="0.3">
      <c r="A1041" s="7" t="s">
        <v>1408</v>
      </c>
      <c r="B1041" s="7" t="s">
        <v>57</v>
      </c>
      <c r="C1041" s="7" t="s">
        <v>359</v>
      </c>
      <c r="D1041" s="9">
        <v>46000</v>
      </c>
      <c r="E1041" s="9">
        <v>46030</v>
      </c>
      <c r="F1041" s="3">
        <v>1476.33</v>
      </c>
      <c r="G1041" s="7" t="s">
        <v>367</v>
      </c>
    </row>
    <row r="1042" spans="1:7" x14ac:dyDescent="0.3">
      <c r="A1042" s="7" t="s">
        <v>1409</v>
      </c>
      <c r="B1042" s="7" t="s">
        <v>96</v>
      </c>
      <c r="C1042" s="7" t="s">
        <v>351</v>
      </c>
      <c r="D1042" s="9">
        <v>46091</v>
      </c>
      <c r="E1042" s="9">
        <v>46121</v>
      </c>
      <c r="F1042" s="3">
        <v>5409.36</v>
      </c>
      <c r="G1042" s="7" t="s">
        <v>369</v>
      </c>
    </row>
    <row r="1043" spans="1:7" x14ac:dyDescent="0.3">
      <c r="A1043" s="7" t="s">
        <v>1410</v>
      </c>
      <c r="B1043" s="7" t="s">
        <v>98</v>
      </c>
      <c r="C1043" s="7" t="s">
        <v>355</v>
      </c>
      <c r="D1043" s="9">
        <v>46012</v>
      </c>
      <c r="E1043" s="9">
        <v>46042</v>
      </c>
      <c r="F1043" s="3">
        <v>12558.31</v>
      </c>
      <c r="G1043" s="7" t="s">
        <v>369</v>
      </c>
    </row>
    <row r="1044" spans="1:7" x14ac:dyDescent="0.3">
      <c r="A1044" s="7" t="s">
        <v>1411</v>
      </c>
      <c r="B1044" s="7" t="s">
        <v>18</v>
      </c>
      <c r="C1044" s="7" t="s">
        <v>359</v>
      </c>
      <c r="D1044" s="9">
        <v>46069</v>
      </c>
      <c r="E1044" s="9">
        <v>46099</v>
      </c>
      <c r="F1044" s="3">
        <v>2022.7</v>
      </c>
      <c r="G1044" s="7" t="s">
        <v>367</v>
      </c>
    </row>
    <row r="1045" spans="1:7" x14ac:dyDescent="0.3">
      <c r="A1045" s="7" t="s">
        <v>1412</v>
      </c>
      <c r="B1045" s="7" t="s">
        <v>97</v>
      </c>
      <c r="C1045" s="7" t="s">
        <v>359</v>
      </c>
      <c r="D1045" s="9">
        <v>46070</v>
      </c>
      <c r="E1045" s="9">
        <v>46100</v>
      </c>
      <c r="F1045" s="3">
        <v>1777.16</v>
      </c>
      <c r="G1045" s="7" t="s">
        <v>367</v>
      </c>
    </row>
    <row r="1046" spans="1:7" x14ac:dyDescent="0.3">
      <c r="A1046" s="7" t="s">
        <v>1413</v>
      </c>
      <c r="B1046" s="7" t="s">
        <v>85</v>
      </c>
      <c r="C1046" s="7" t="s">
        <v>355</v>
      </c>
      <c r="D1046" s="9">
        <v>46003</v>
      </c>
      <c r="E1046" s="9">
        <v>46033</v>
      </c>
      <c r="F1046" s="3">
        <v>11858.62</v>
      </c>
      <c r="G1046" s="7" t="s">
        <v>369</v>
      </c>
    </row>
    <row r="1047" spans="1:7" x14ac:dyDescent="0.3">
      <c r="A1047" s="7" t="s">
        <v>1414</v>
      </c>
      <c r="B1047" s="7" t="s">
        <v>92</v>
      </c>
      <c r="C1047" s="7" t="s">
        <v>353</v>
      </c>
      <c r="D1047" s="9">
        <v>46068</v>
      </c>
      <c r="E1047" s="9">
        <v>46098</v>
      </c>
      <c r="F1047" s="3">
        <v>2912.86</v>
      </c>
      <c r="G1047" s="7" t="s">
        <v>367</v>
      </c>
    </row>
    <row r="1048" spans="1:7" x14ac:dyDescent="0.3">
      <c r="A1048" s="7" t="s">
        <v>1415</v>
      </c>
      <c r="B1048" s="7" t="s">
        <v>10</v>
      </c>
      <c r="C1048" s="7" t="s">
        <v>353</v>
      </c>
      <c r="D1048" s="9">
        <v>46101</v>
      </c>
      <c r="E1048" s="9">
        <v>46131</v>
      </c>
      <c r="F1048" s="3">
        <v>2788.78</v>
      </c>
      <c r="G1048" s="7" t="s">
        <v>367</v>
      </c>
    </row>
    <row r="1049" spans="1:7" x14ac:dyDescent="0.3">
      <c r="A1049" s="7" t="s">
        <v>1416</v>
      </c>
      <c r="B1049" s="7" t="s">
        <v>28</v>
      </c>
      <c r="C1049" s="7" t="s">
        <v>349</v>
      </c>
      <c r="D1049" s="9">
        <v>45967</v>
      </c>
      <c r="E1049" s="9">
        <v>45997</v>
      </c>
      <c r="F1049" s="3">
        <v>2970.4</v>
      </c>
      <c r="G1049" s="7" t="s">
        <v>367</v>
      </c>
    </row>
    <row r="1050" spans="1:7" x14ac:dyDescent="0.3">
      <c r="A1050" s="7" t="s">
        <v>1417</v>
      </c>
      <c r="B1050" s="7" t="s">
        <v>20</v>
      </c>
      <c r="C1050" s="7" t="s">
        <v>353</v>
      </c>
      <c r="D1050" s="9">
        <v>46093</v>
      </c>
      <c r="E1050" s="9">
        <v>46123</v>
      </c>
      <c r="F1050" s="3">
        <v>2767.94</v>
      </c>
      <c r="G1050" s="7" t="s">
        <v>367</v>
      </c>
    </row>
    <row r="1051" spans="1:7" x14ac:dyDescent="0.3">
      <c r="A1051" s="7" t="s">
        <v>1418</v>
      </c>
      <c r="B1051" s="7" t="s">
        <v>90</v>
      </c>
      <c r="C1051" s="7" t="s">
        <v>355</v>
      </c>
      <c r="D1051" s="9">
        <v>45993</v>
      </c>
      <c r="E1051" s="9">
        <v>46023</v>
      </c>
      <c r="F1051" s="3">
        <v>13524.25</v>
      </c>
      <c r="G1051" s="7" t="s">
        <v>367</v>
      </c>
    </row>
    <row r="1052" spans="1:7" x14ac:dyDescent="0.3">
      <c r="A1052" s="7" t="s">
        <v>1419</v>
      </c>
      <c r="B1052" s="7" t="s">
        <v>59</v>
      </c>
      <c r="C1052" s="7" t="s">
        <v>349</v>
      </c>
      <c r="D1052" s="9">
        <v>46089</v>
      </c>
      <c r="E1052" s="9">
        <v>46119</v>
      </c>
      <c r="F1052" s="3">
        <v>3350.92</v>
      </c>
      <c r="G1052" s="7" t="s">
        <v>367</v>
      </c>
    </row>
    <row r="1053" spans="1:7" x14ac:dyDescent="0.3">
      <c r="A1053" s="7" t="s">
        <v>1420</v>
      </c>
      <c r="B1053" s="7" t="s">
        <v>56</v>
      </c>
      <c r="C1053" s="7" t="s">
        <v>351</v>
      </c>
      <c r="D1053" s="9">
        <v>46005</v>
      </c>
      <c r="E1053" s="9">
        <v>46035</v>
      </c>
      <c r="F1053" s="3">
        <v>5241.75</v>
      </c>
      <c r="G1053" s="7" t="s">
        <v>387</v>
      </c>
    </row>
    <row r="1054" spans="1:7" x14ac:dyDescent="0.3">
      <c r="A1054" s="7" t="s">
        <v>1421</v>
      </c>
      <c r="B1054" s="7" t="s">
        <v>107</v>
      </c>
      <c r="C1054" s="7" t="s">
        <v>349</v>
      </c>
      <c r="D1054" s="9">
        <v>46048</v>
      </c>
      <c r="E1054" s="9">
        <v>46078</v>
      </c>
      <c r="F1054" s="3">
        <v>2808.86</v>
      </c>
      <c r="G1054" s="7" t="s">
        <v>367</v>
      </c>
    </row>
    <row r="1055" spans="1:7" x14ac:dyDescent="0.3">
      <c r="A1055" s="7" t="s">
        <v>1422</v>
      </c>
      <c r="B1055" s="7" t="s">
        <v>29</v>
      </c>
      <c r="C1055" s="7" t="s">
        <v>355</v>
      </c>
      <c r="D1055" s="9">
        <v>46083</v>
      </c>
      <c r="E1055" s="9">
        <v>46113</v>
      </c>
      <c r="F1055" s="3">
        <v>12322.61</v>
      </c>
      <c r="G1055" s="7" t="s">
        <v>367</v>
      </c>
    </row>
    <row r="1056" spans="1:7" x14ac:dyDescent="0.3">
      <c r="A1056" s="7" t="s">
        <v>1423</v>
      </c>
      <c r="B1056" s="7" t="s">
        <v>69</v>
      </c>
      <c r="C1056" s="7" t="s">
        <v>359</v>
      </c>
      <c r="D1056" s="9">
        <v>46048</v>
      </c>
      <c r="E1056" s="9">
        <v>46078</v>
      </c>
      <c r="F1056" s="3">
        <v>1922.12</v>
      </c>
      <c r="G1056" s="7" t="s">
        <v>367</v>
      </c>
    </row>
    <row r="1057" spans="1:7" x14ac:dyDescent="0.3">
      <c r="A1057" s="7" t="s">
        <v>1424</v>
      </c>
      <c r="B1057" s="7" t="s">
        <v>112</v>
      </c>
      <c r="C1057" s="7" t="s">
        <v>349</v>
      </c>
      <c r="D1057" s="9">
        <v>46096</v>
      </c>
      <c r="E1057" s="9">
        <v>46126</v>
      </c>
      <c r="F1057" s="3">
        <v>3110.6</v>
      </c>
      <c r="G1057" s="7" t="s">
        <v>367</v>
      </c>
    </row>
    <row r="1058" spans="1:7" x14ac:dyDescent="0.3">
      <c r="A1058" s="7" t="s">
        <v>1425</v>
      </c>
      <c r="B1058" s="7" t="s">
        <v>94</v>
      </c>
      <c r="C1058" s="7" t="s">
        <v>355</v>
      </c>
      <c r="D1058" s="9">
        <v>46068</v>
      </c>
      <c r="E1058" s="9">
        <v>46098</v>
      </c>
      <c r="F1058" s="3">
        <v>10445.64</v>
      </c>
      <c r="G1058" s="7" t="s">
        <v>367</v>
      </c>
    </row>
    <row r="1059" spans="1:7" x14ac:dyDescent="0.3">
      <c r="A1059" s="7" t="s">
        <v>1426</v>
      </c>
      <c r="B1059" s="7" t="s">
        <v>91</v>
      </c>
      <c r="C1059" s="7" t="s">
        <v>357</v>
      </c>
      <c r="D1059" s="9">
        <v>45964</v>
      </c>
      <c r="E1059" s="9">
        <v>45994</v>
      </c>
      <c r="F1059" s="3">
        <v>3879.88</v>
      </c>
      <c r="G1059" s="7" t="s">
        <v>367</v>
      </c>
    </row>
    <row r="1060" spans="1:7" x14ac:dyDescent="0.3">
      <c r="A1060" s="7" t="s">
        <v>1427</v>
      </c>
      <c r="B1060" s="7" t="s">
        <v>122</v>
      </c>
      <c r="C1060" s="7" t="s">
        <v>349</v>
      </c>
      <c r="D1060" s="9">
        <v>46000</v>
      </c>
      <c r="E1060" s="9">
        <v>46030</v>
      </c>
      <c r="F1060" s="3">
        <v>2508.64</v>
      </c>
      <c r="G1060" s="7" t="s">
        <v>369</v>
      </c>
    </row>
    <row r="1061" spans="1:7" x14ac:dyDescent="0.3">
      <c r="A1061" s="7" t="s">
        <v>1428</v>
      </c>
      <c r="B1061" s="7" t="s">
        <v>64</v>
      </c>
      <c r="C1061" s="7" t="s">
        <v>359</v>
      </c>
      <c r="D1061" s="9">
        <v>46028</v>
      </c>
      <c r="E1061" s="9">
        <v>46058</v>
      </c>
      <c r="F1061" s="3">
        <v>2023.08</v>
      </c>
      <c r="G1061" s="7" t="s">
        <v>367</v>
      </c>
    </row>
    <row r="1062" spans="1:7" x14ac:dyDescent="0.3">
      <c r="A1062" s="7" t="s">
        <v>1429</v>
      </c>
      <c r="B1062" s="7" t="s">
        <v>33</v>
      </c>
      <c r="C1062" s="7" t="s">
        <v>357</v>
      </c>
      <c r="D1062" s="9">
        <v>46108</v>
      </c>
      <c r="E1062" s="9">
        <v>46138</v>
      </c>
      <c r="F1062" s="3">
        <v>3208.1</v>
      </c>
      <c r="G1062" s="7" t="s">
        <v>367</v>
      </c>
    </row>
    <row r="1063" spans="1:7" x14ac:dyDescent="0.3">
      <c r="A1063" s="7" t="s">
        <v>1430</v>
      </c>
      <c r="B1063" s="7" t="s">
        <v>93</v>
      </c>
      <c r="C1063" s="7" t="s">
        <v>359</v>
      </c>
      <c r="D1063" s="9">
        <v>46096</v>
      </c>
      <c r="E1063" s="9">
        <v>46126</v>
      </c>
      <c r="F1063" s="3">
        <v>2071.75</v>
      </c>
      <c r="G1063" s="7" t="s">
        <v>369</v>
      </c>
    </row>
    <row r="1064" spans="1:7" x14ac:dyDescent="0.3">
      <c r="A1064" s="7" t="s">
        <v>1431</v>
      </c>
      <c r="B1064" s="7" t="s">
        <v>51</v>
      </c>
      <c r="C1064" s="7" t="s">
        <v>353</v>
      </c>
      <c r="D1064" s="9">
        <v>46095</v>
      </c>
      <c r="E1064" s="9">
        <v>46125</v>
      </c>
      <c r="F1064" s="3">
        <v>2918.5</v>
      </c>
      <c r="G1064" s="7" t="s">
        <v>387</v>
      </c>
    </row>
    <row r="1065" spans="1:7" x14ac:dyDescent="0.3">
      <c r="A1065" s="7" t="s">
        <v>1432</v>
      </c>
      <c r="B1065" s="7" t="s">
        <v>23</v>
      </c>
      <c r="C1065" s="7" t="s">
        <v>349</v>
      </c>
      <c r="D1065" s="9">
        <v>45967</v>
      </c>
      <c r="E1065" s="9">
        <v>45997</v>
      </c>
      <c r="F1065" s="3">
        <v>3099.27</v>
      </c>
      <c r="G1065" s="7" t="s">
        <v>367</v>
      </c>
    </row>
    <row r="1066" spans="1:7" x14ac:dyDescent="0.3">
      <c r="A1066" s="7" t="s">
        <v>1433</v>
      </c>
      <c r="B1066" s="7" t="s">
        <v>78</v>
      </c>
      <c r="C1066" s="7" t="s">
        <v>353</v>
      </c>
      <c r="D1066" s="9">
        <v>45969</v>
      </c>
      <c r="E1066" s="9">
        <v>45999</v>
      </c>
      <c r="F1066" s="3">
        <v>2062.41</v>
      </c>
      <c r="G1066" s="7" t="s">
        <v>367</v>
      </c>
    </row>
    <row r="1067" spans="1:7" x14ac:dyDescent="0.3">
      <c r="A1067" s="7" t="s">
        <v>1434</v>
      </c>
      <c r="B1067" s="7" t="s">
        <v>96</v>
      </c>
      <c r="C1067" s="7" t="s">
        <v>353</v>
      </c>
      <c r="D1067" s="9">
        <v>46064</v>
      </c>
      <c r="E1067" s="9">
        <v>46094</v>
      </c>
      <c r="F1067" s="3">
        <v>2109.6999999999998</v>
      </c>
      <c r="G1067" s="7" t="s">
        <v>367</v>
      </c>
    </row>
    <row r="1068" spans="1:7" x14ac:dyDescent="0.3">
      <c r="A1068" s="7" t="s">
        <v>1435</v>
      </c>
      <c r="B1068" s="7" t="s">
        <v>55</v>
      </c>
      <c r="C1068" s="7" t="s">
        <v>357</v>
      </c>
      <c r="D1068" s="9">
        <v>46014</v>
      </c>
      <c r="E1068" s="9">
        <v>46044</v>
      </c>
      <c r="F1068" s="3">
        <v>3351.98</v>
      </c>
      <c r="G1068" s="7" t="s">
        <v>367</v>
      </c>
    </row>
    <row r="1069" spans="1:7" x14ac:dyDescent="0.3">
      <c r="A1069" s="7" t="s">
        <v>1436</v>
      </c>
      <c r="B1069" s="7" t="s">
        <v>31</v>
      </c>
      <c r="C1069" s="7" t="s">
        <v>355</v>
      </c>
      <c r="D1069" s="9">
        <v>46014</v>
      </c>
      <c r="E1069" s="9">
        <v>46044</v>
      </c>
      <c r="F1069" s="3">
        <v>12216.57</v>
      </c>
      <c r="G1069" s="7" t="s">
        <v>367</v>
      </c>
    </row>
    <row r="1070" spans="1:7" x14ac:dyDescent="0.3">
      <c r="A1070" s="7" t="s">
        <v>1437</v>
      </c>
      <c r="B1070" s="7" t="s">
        <v>118</v>
      </c>
      <c r="C1070" s="7" t="s">
        <v>357</v>
      </c>
      <c r="D1070" s="9">
        <v>45986</v>
      </c>
      <c r="E1070" s="9">
        <v>46016</v>
      </c>
      <c r="F1070" s="3">
        <v>3338.43</v>
      </c>
      <c r="G1070" s="7" t="s">
        <v>367</v>
      </c>
    </row>
    <row r="1071" spans="1:7" x14ac:dyDescent="0.3">
      <c r="A1071" s="7" t="s">
        <v>1438</v>
      </c>
      <c r="B1071" s="7" t="s">
        <v>25</v>
      </c>
      <c r="C1071" s="7" t="s">
        <v>359</v>
      </c>
      <c r="D1071" s="9">
        <v>46091</v>
      </c>
      <c r="E1071" s="9">
        <v>46121</v>
      </c>
      <c r="F1071" s="3">
        <v>1530.4</v>
      </c>
      <c r="G1071" s="7" t="s">
        <v>367</v>
      </c>
    </row>
    <row r="1072" spans="1:7" x14ac:dyDescent="0.3">
      <c r="A1072" s="7" t="s">
        <v>1439</v>
      </c>
      <c r="B1072" s="7" t="s">
        <v>24</v>
      </c>
      <c r="C1072" s="7" t="s">
        <v>359</v>
      </c>
      <c r="D1072" s="9">
        <v>46022</v>
      </c>
      <c r="E1072" s="9">
        <v>46052</v>
      </c>
      <c r="F1072" s="3">
        <v>2077.12</v>
      </c>
      <c r="G1072" s="7" t="s">
        <v>387</v>
      </c>
    </row>
    <row r="1073" spans="1:7" x14ac:dyDescent="0.3">
      <c r="A1073" s="7" t="s">
        <v>1440</v>
      </c>
      <c r="B1073" s="7" t="s">
        <v>121</v>
      </c>
      <c r="C1073" s="7" t="s">
        <v>349</v>
      </c>
      <c r="D1073" s="9">
        <v>45979</v>
      </c>
      <c r="E1073" s="9">
        <v>46009</v>
      </c>
      <c r="F1073" s="3">
        <v>2564.66</v>
      </c>
      <c r="G1073" s="7" t="s">
        <v>369</v>
      </c>
    </row>
    <row r="1074" spans="1:7" x14ac:dyDescent="0.3">
      <c r="A1074" s="7" t="s">
        <v>1441</v>
      </c>
      <c r="B1074" s="7" t="s">
        <v>72</v>
      </c>
      <c r="C1074" s="7" t="s">
        <v>359</v>
      </c>
      <c r="D1074" s="9">
        <v>45984</v>
      </c>
      <c r="E1074" s="9">
        <v>46014</v>
      </c>
      <c r="F1074" s="3">
        <v>1875.19</v>
      </c>
      <c r="G1074" s="7" t="s">
        <v>367</v>
      </c>
    </row>
    <row r="1075" spans="1:7" x14ac:dyDescent="0.3">
      <c r="A1075" s="7" t="s">
        <v>1442</v>
      </c>
      <c r="B1075" s="7" t="s">
        <v>30</v>
      </c>
      <c r="C1075" s="7" t="s">
        <v>355</v>
      </c>
      <c r="D1075" s="9">
        <v>46106</v>
      </c>
      <c r="E1075" s="9">
        <v>46136</v>
      </c>
      <c r="F1075" s="3">
        <v>12249.84</v>
      </c>
      <c r="G1075" s="7" t="s">
        <v>367</v>
      </c>
    </row>
    <row r="1076" spans="1:7" x14ac:dyDescent="0.3">
      <c r="A1076" s="7" t="s">
        <v>1443</v>
      </c>
      <c r="B1076" s="7" t="s">
        <v>37</v>
      </c>
      <c r="C1076" s="7" t="s">
        <v>355</v>
      </c>
      <c r="D1076" s="9">
        <v>46057</v>
      </c>
      <c r="E1076" s="9">
        <v>46087</v>
      </c>
      <c r="F1076" s="3">
        <v>12501.95</v>
      </c>
      <c r="G1076" s="7" t="s">
        <v>369</v>
      </c>
    </row>
    <row r="1077" spans="1:7" x14ac:dyDescent="0.3">
      <c r="A1077" s="7" t="s">
        <v>1444</v>
      </c>
      <c r="B1077" s="7" t="s">
        <v>11</v>
      </c>
      <c r="C1077" s="7" t="s">
        <v>359</v>
      </c>
      <c r="D1077" s="9">
        <v>46055</v>
      </c>
      <c r="E1077" s="9">
        <v>46085</v>
      </c>
      <c r="F1077" s="3">
        <v>1801.24</v>
      </c>
      <c r="G1077" s="7" t="s">
        <v>367</v>
      </c>
    </row>
    <row r="1078" spans="1:7" x14ac:dyDescent="0.3">
      <c r="A1078" s="7" t="s">
        <v>1445</v>
      </c>
      <c r="B1078" s="7" t="s">
        <v>68</v>
      </c>
      <c r="C1078" s="7" t="s">
        <v>349</v>
      </c>
      <c r="D1078" s="9">
        <v>46058</v>
      </c>
      <c r="E1078" s="9">
        <v>46088</v>
      </c>
      <c r="F1078" s="3">
        <v>3081.78</v>
      </c>
      <c r="G1078" s="7" t="s">
        <v>367</v>
      </c>
    </row>
    <row r="1079" spans="1:7" x14ac:dyDescent="0.3">
      <c r="A1079" s="7" t="s">
        <v>1446</v>
      </c>
      <c r="B1079" s="7" t="s">
        <v>116</v>
      </c>
      <c r="C1079" s="7" t="s">
        <v>359</v>
      </c>
      <c r="D1079" s="9">
        <v>45965</v>
      </c>
      <c r="E1079" s="9">
        <v>45995</v>
      </c>
      <c r="F1079" s="3">
        <v>1497.65</v>
      </c>
      <c r="G1079" s="7" t="s">
        <v>367</v>
      </c>
    </row>
    <row r="1080" spans="1:7" x14ac:dyDescent="0.3">
      <c r="A1080" s="7" t="s">
        <v>1447</v>
      </c>
      <c r="B1080" s="7" t="s">
        <v>18</v>
      </c>
      <c r="C1080" s="7" t="s">
        <v>353</v>
      </c>
      <c r="D1080" s="9">
        <v>46104</v>
      </c>
      <c r="E1080" s="9">
        <v>46134</v>
      </c>
      <c r="F1080" s="3">
        <v>2464.94</v>
      </c>
      <c r="G1080" s="7" t="s">
        <v>369</v>
      </c>
    </row>
    <row r="1081" spans="1:7" x14ac:dyDescent="0.3">
      <c r="A1081" s="7" t="s">
        <v>1448</v>
      </c>
      <c r="B1081" s="7" t="s">
        <v>16</v>
      </c>
      <c r="C1081" s="7" t="s">
        <v>351</v>
      </c>
      <c r="D1081" s="9">
        <v>46072</v>
      </c>
      <c r="E1081" s="9">
        <v>46102</v>
      </c>
      <c r="F1081" s="3">
        <v>4944.8999999999996</v>
      </c>
      <c r="G1081" s="7" t="s">
        <v>387</v>
      </c>
    </row>
    <row r="1082" spans="1:7" x14ac:dyDescent="0.3">
      <c r="A1082" s="7" t="s">
        <v>1449</v>
      </c>
      <c r="B1082" s="7" t="s">
        <v>13</v>
      </c>
      <c r="C1082" s="7" t="s">
        <v>359</v>
      </c>
      <c r="D1082" s="9">
        <v>46079</v>
      </c>
      <c r="E1082" s="9">
        <v>46109</v>
      </c>
      <c r="F1082" s="3">
        <v>1896.26</v>
      </c>
      <c r="G1082" s="7" t="s">
        <v>367</v>
      </c>
    </row>
    <row r="1083" spans="1:7" x14ac:dyDescent="0.3">
      <c r="A1083" s="7" t="s">
        <v>1450</v>
      </c>
      <c r="B1083" s="7" t="s">
        <v>122</v>
      </c>
      <c r="C1083" s="7" t="s">
        <v>353</v>
      </c>
      <c r="D1083" s="9">
        <v>46082</v>
      </c>
      <c r="E1083" s="9">
        <v>46112</v>
      </c>
      <c r="F1083" s="3">
        <v>2535.0300000000002</v>
      </c>
      <c r="G1083" s="7" t="s">
        <v>367</v>
      </c>
    </row>
    <row r="1084" spans="1:7" x14ac:dyDescent="0.3">
      <c r="A1084" s="7" t="s">
        <v>1451</v>
      </c>
      <c r="B1084" s="7" t="s">
        <v>109</v>
      </c>
      <c r="C1084" s="7" t="s">
        <v>355</v>
      </c>
      <c r="D1084" s="9">
        <v>46059</v>
      </c>
      <c r="E1084" s="9">
        <v>46089</v>
      </c>
      <c r="F1084" s="3">
        <v>12355.03</v>
      </c>
      <c r="G1084" s="7" t="s">
        <v>367</v>
      </c>
    </row>
    <row r="1085" spans="1:7" x14ac:dyDescent="0.3">
      <c r="A1085" s="7" t="s">
        <v>1452</v>
      </c>
      <c r="B1085" s="7" t="s">
        <v>102</v>
      </c>
      <c r="C1085" s="7" t="s">
        <v>353</v>
      </c>
      <c r="D1085" s="9">
        <v>45967</v>
      </c>
      <c r="E1085" s="9">
        <v>45997</v>
      </c>
      <c r="F1085" s="3">
        <v>2289.21</v>
      </c>
      <c r="G1085" s="7" t="s">
        <v>369</v>
      </c>
    </row>
    <row r="1086" spans="1:7" x14ac:dyDescent="0.3">
      <c r="A1086" s="7" t="s">
        <v>1453</v>
      </c>
      <c r="B1086" s="7" t="s">
        <v>67</v>
      </c>
      <c r="C1086" s="7" t="s">
        <v>353</v>
      </c>
      <c r="D1086" s="9">
        <v>46047</v>
      </c>
      <c r="E1086" s="9">
        <v>46077</v>
      </c>
      <c r="F1086" s="3">
        <v>2726.97</v>
      </c>
      <c r="G1086" s="7" t="s">
        <v>367</v>
      </c>
    </row>
    <row r="1087" spans="1:7" x14ac:dyDescent="0.3">
      <c r="A1087" s="7" t="s">
        <v>1454</v>
      </c>
      <c r="B1087" s="7" t="s">
        <v>110</v>
      </c>
      <c r="C1087" s="7" t="s">
        <v>357</v>
      </c>
      <c r="D1087" s="9">
        <v>46013</v>
      </c>
      <c r="E1087" s="9">
        <v>46043</v>
      </c>
      <c r="F1087" s="3">
        <v>3036.71</v>
      </c>
      <c r="G1087" s="7" t="s">
        <v>387</v>
      </c>
    </row>
    <row r="1088" spans="1:7" x14ac:dyDescent="0.3">
      <c r="A1088" s="7" t="s">
        <v>1455</v>
      </c>
      <c r="B1088" s="7" t="s">
        <v>71</v>
      </c>
      <c r="C1088" s="7" t="s">
        <v>359</v>
      </c>
      <c r="D1088" s="9">
        <v>46106</v>
      </c>
      <c r="E1088" s="9">
        <v>46136</v>
      </c>
      <c r="F1088" s="3">
        <v>1889.51</v>
      </c>
      <c r="G1088" s="7" t="s">
        <v>367</v>
      </c>
    </row>
    <row r="1089" spans="1:7" x14ac:dyDescent="0.3">
      <c r="A1089" s="7" t="s">
        <v>1456</v>
      </c>
      <c r="B1089" s="7" t="s">
        <v>42</v>
      </c>
      <c r="C1089" s="7" t="s">
        <v>349</v>
      </c>
      <c r="D1089" s="9">
        <v>46015</v>
      </c>
      <c r="E1089" s="9">
        <v>46045</v>
      </c>
      <c r="F1089" s="3">
        <v>3421.73</v>
      </c>
      <c r="G1089" s="7" t="s">
        <v>367</v>
      </c>
    </row>
    <row r="1090" spans="1:7" x14ac:dyDescent="0.3">
      <c r="A1090" s="7" t="s">
        <v>1457</v>
      </c>
      <c r="B1090" s="7" t="s">
        <v>29</v>
      </c>
      <c r="C1090" s="7" t="s">
        <v>353</v>
      </c>
      <c r="D1090" s="9">
        <v>46034</v>
      </c>
      <c r="E1090" s="9">
        <v>46064</v>
      </c>
      <c r="F1090" s="3">
        <v>2857.86</v>
      </c>
      <c r="G1090" s="7" t="s">
        <v>367</v>
      </c>
    </row>
    <row r="1091" spans="1:7" x14ac:dyDescent="0.3">
      <c r="A1091" s="7" t="s">
        <v>1458</v>
      </c>
      <c r="B1091" s="7" t="s">
        <v>29</v>
      </c>
      <c r="C1091" s="7" t="s">
        <v>357</v>
      </c>
      <c r="D1091" s="9">
        <v>46057</v>
      </c>
      <c r="E1091" s="9">
        <v>46087</v>
      </c>
      <c r="F1091" s="3">
        <v>3834.55</v>
      </c>
      <c r="G1091" s="7" t="s">
        <v>367</v>
      </c>
    </row>
    <row r="1092" spans="1:7" x14ac:dyDescent="0.3">
      <c r="A1092" s="7" t="s">
        <v>1459</v>
      </c>
      <c r="B1092" s="7" t="s">
        <v>74</v>
      </c>
      <c r="C1092" s="7" t="s">
        <v>353</v>
      </c>
      <c r="D1092" s="9">
        <v>46027</v>
      </c>
      <c r="E1092" s="9">
        <v>46057</v>
      </c>
      <c r="F1092" s="3">
        <v>2782.53</v>
      </c>
      <c r="G1092" s="7" t="s">
        <v>367</v>
      </c>
    </row>
    <row r="1093" spans="1:7" x14ac:dyDescent="0.3">
      <c r="A1093" s="7" t="s">
        <v>1460</v>
      </c>
      <c r="B1093" s="7" t="s">
        <v>112</v>
      </c>
      <c r="C1093" s="7" t="s">
        <v>349</v>
      </c>
      <c r="D1093" s="9">
        <v>46041</v>
      </c>
      <c r="E1093" s="9">
        <v>46071</v>
      </c>
      <c r="F1093" s="3">
        <v>2811.42</v>
      </c>
      <c r="G1093" s="7" t="s">
        <v>367</v>
      </c>
    </row>
    <row r="1094" spans="1:7" x14ac:dyDescent="0.3">
      <c r="A1094" s="7" t="s">
        <v>1461</v>
      </c>
      <c r="B1094" s="7" t="s">
        <v>37</v>
      </c>
      <c r="C1094" s="7" t="s">
        <v>351</v>
      </c>
      <c r="D1094" s="9">
        <v>45979</v>
      </c>
      <c r="E1094" s="9">
        <v>46009</v>
      </c>
      <c r="F1094" s="3">
        <v>5675.23</v>
      </c>
      <c r="G1094" s="7" t="s">
        <v>369</v>
      </c>
    </row>
    <row r="1095" spans="1:7" x14ac:dyDescent="0.3">
      <c r="A1095" s="7" t="s">
        <v>1462</v>
      </c>
      <c r="B1095" s="7" t="s">
        <v>100</v>
      </c>
      <c r="C1095" s="7" t="s">
        <v>359</v>
      </c>
      <c r="D1095" s="9">
        <v>46056</v>
      </c>
      <c r="E1095" s="9">
        <v>46086</v>
      </c>
      <c r="F1095" s="3">
        <v>1756.93</v>
      </c>
      <c r="G1095" s="7" t="s">
        <v>367</v>
      </c>
    </row>
    <row r="1096" spans="1:7" x14ac:dyDescent="0.3">
      <c r="A1096" s="7" t="s">
        <v>1463</v>
      </c>
      <c r="B1096" s="7" t="s">
        <v>66</v>
      </c>
      <c r="C1096" s="7" t="s">
        <v>353</v>
      </c>
      <c r="D1096" s="9">
        <v>46051</v>
      </c>
      <c r="E1096" s="9">
        <v>46081</v>
      </c>
      <c r="F1096" s="3">
        <v>2054.33</v>
      </c>
      <c r="G1096" s="7" t="s">
        <v>367</v>
      </c>
    </row>
    <row r="1097" spans="1:7" x14ac:dyDescent="0.3">
      <c r="A1097" s="7" t="s">
        <v>1464</v>
      </c>
      <c r="B1097" s="7" t="s">
        <v>75</v>
      </c>
      <c r="C1097" s="7" t="s">
        <v>355</v>
      </c>
      <c r="D1097" s="9">
        <v>46061</v>
      </c>
      <c r="E1097" s="9">
        <v>46091</v>
      </c>
      <c r="F1097" s="3">
        <v>11885.91</v>
      </c>
      <c r="G1097" s="7" t="s">
        <v>369</v>
      </c>
    </row>
    <row r="1098" spans="1:7" x14ac:dyDescent="0.3">
      <c r="A1098" s="7" t="s">
        <v>1465</v>
      </c>
      <c r="B1098" s="7" t="s">
        <v>25</v>
      </c>
      <c r="C1098" s="7" t="s">
        <v>351</v>
      </c>
      <c r="D1098" s="9">
        <v>46073</v>
      </c>
      <c r="E1098" s="9">
        <v>46103</v>
      </c>
      <c r="F1098" s="3">
        <v>4759.6000000000004</v>
      </c>
      <c r="G1098" s="7" t="s">
        <v>367</v>
      </c>
    </row>
    <row r="1099" spans="1:7" x14ac:dyDescent="0.3">
      <c r="A1099" s="7" t="s">
        <v>1466</v>
      </c>
      <c r="B1099" s="7" t="s">
        <v>64</v>
      </c>
      <c r="C1099" s="7" t="s">
        <v>357</v>
      </c>
      <c r="D1099" s="9">
        <v>46099</v>
      </c>
      <c r="E1099" s="9">
        <v>46129</v>
      </c>
      <c r="F1099" s="3">
        <v>4018.39</v>
      </c>
      <c r="G1099" s="7" t="s">
        <v>369</v>
      </c>
    </row>
    <row r="1100" spans="1:7" x14ac:dyDescent="0.3">
      <c r="A1100" s="7" t="s">
        <v>1467</v>
      </c>
      <c r="B1100" s="7" t="s">
        <v>19</v>
      </c>
      <c r="C1100" s="7" t="s">
        <v>355</v>
      </c>
      <c r="D1100" s="9">
        <v>46060</v>
      </c>
      <c r="E1100" s="9">
        <v>46090</v>
      </c>
      <c r="F1100" s="3">
        <v>12856.77</v>
      </c>
      <c r="G1100" s="7" t="s">
        <v>387</v>
      </c>
    </row>
    <row r="1101" spans="1:7" x14ac:dyDescent="0.3">
      <c r="A1101" s="7" t="s">
        <v>1468</v>
      </c>
      <c r="B1101" s="7" t="s">
        <v>90</v>
      </c>
      <c r="C1101" s="7" t="s">
        <v>357</v>
      </c>
      <c r="D1101" s="9">
        <v>46043</v>
      </c>
      <c r="E1101" s="9">
        <v>46073</v>
      </c>
      <c r="F1101" s="3">
        <v>3692.39</v>
      </c>
      <c r="G1101" s="7" t="s">
        <v>367</v>
      </c>
    </row>
    <row r="1102" spans="1:7" x14ac:dyDescent="0.3">
      <c r="A1102" s="7" t="s">
        <v>1469</v>
      </c>
      <c r="B1102" s="7" t="s">
        <v>81</v>
      </c>
      <c r="C1102" s="7" t="s">
        <v>353</v>
      </c>
      <c r="D1102" s="9">
        <v>46004</v>
      </c>
      <c r="E1102" s="9">
        <v>46034</v>
      </c>
      <c r="F1102" s="3">
        <v>2334.9699999999998</v>
      </c>
      <c r="G1102" s="7" t="s">
        <v>367</v>
      </c>
    </row>
    <row r="1103" spans="1:7" x14ac:dyDescent="0.3">
      <c r="A1103" s="7" t="s">
        <v>1470</v>
      </c>
      <c r="B1103" s="7" t="s">
        <v>93</v>
      </c>
      <c r="C1103" s="7" t="s">
        <v>355</v>
      </c>
      <c r="D1103" s="9">
        <v>46089</v>
      </c>
      <c r="E1103" s="9">
        <v>46119</v>
      </c>
      <c r="F1103" s="3">
        <v>11813.32</v>
      </c>
      <c r="G1103" s="7" t="s">
        <v>367</v>
      </c>
    </row>
    <row r="1104" spans="1:7" x14ac:dyDescent="0.3">
      <c r="A1104" s="7" t="s">
        <v>1471</v>
      </c>
      <c r="B1104" s="7" t="s">
        <v>30</v>
      </c>
      <c r="C1104" s="7" t="s">
        <v>357</v>
      </c>
      <c r="D1104" s="9">
        <v>46018</v>
      </c>
      <c r="E1104" s="9">
        <v>46048</v>
      </c>
      <c r="F1104" s="3">
        <v>3878.7</v>
      </c>
      <c r="G1104" s="7" t="s">
        <v>367</v>
      </c>
    </row>
    <row r="1105" spans="1:7" x14ac:dyDescent="0.3">
      <c r="A1105" s="7" t="s">
        <v>1472</v>
      </c>
      <c r="B1105" s="7" t="s">
        <v>8</v>
      </c>
      <c r="C1105" s="7" t="s">
        <v>353</v>
      </c>
      <c r="D1105" s="9">
        <v>46083</v>
      </c>
      <c r="E1105" s="9">
        <v>46113</v>
      </c>
      <c r="F1105" s="3">
        <v>2547.61</v>
      </c>
      <c r="G1105" s="7" t="s">
        <v>369</v>
      </c>
    </row>
    <row r="1106" spans="1:7" x14ac:dyDescent="0.3">
      <c r="A1106" s="7" t="s">
        <v>1473</v>
      </c>
      <c r="B1106" s="7" t="s">
        <v>35</v>
      </c>
      <c r="C1106" s="7" t="s">
        <v>355</v>
      </c>
      <c r="D1106" s="9">
        <v>46078</v>
      </c>
      <c r="E1106" s="9">
        <v>46108</v>
      </c>
      <c r="F1106" s="3">
        <v>10068.950000000001</v>
      </c>
      <c r="G1106" s="7" t="s">
        <v>367</v>
      </c>
    </row>
    <row r="1107" spans="1:7" x14ac:dyDescent="0.3">
      <c r="A1107" s="7" t="s">
        <v>1474</v>
      </c>
      <c r="B1107" s="7" t="s">
        <v>18</v>
      </c>
      <c r="C1107" s="7" t="s">
        <v>359</v>
      </c>
      <c r="D1107" s="9">
        <v>46088</v>
      </c>
      <c r="E1107" s="9">
        <v>46118</v>
      </c>
      <c r="F1107" s="3">
        <v>1643.97</v>
      </c>
      <c r="G1107" s="7" t="s">
        <v>367</v>
      </c>
    </row>
    <row r="1108" spans="1:7" x14ac:dyDescent="0.3">
      <c r="A1108" s="7" t="s">
        <v>1475</v>
      </c>
      <c r="B1108" s="7" t="s">
        <v>88</v>
      </c>
      <c r="C1108" s="7" t="s">
        <v>349</v>
      </c>
      <c r="D1108" s="9">
        <v>46082</v>
      </c>
      <c r="E1108" s="9">
        <v>46112</v>
      </c>
      <c r="F1108" s="3">
        <v>3526.21</v>
      </c>
      <c r="G1108" s="7" t="s">
        <v>387</v>
      </c>
    </row>
    <row r="1109" spans="1:7" x14ac:dyDescent="0.3">
      <c r="A1109" s="7" t="s">
        <v>1476</v>
      </c>
      <c r="B1109" s="7" t="s">
        <v>23</v>
      </c>
      <c r="C1109" s="7" t="s">
        <v>349</v>
      </c>
      <c r="D1109" s="9">
        <v>45991</v>
      </c>
      <c r="E1109" s="9">
        <v>46021</v>
      </c>
      <c r="F1109" s="3">
        <v>3249.69</v>
      </c>
      <c r="G1109" s="7" t="s">
        <v>369</v>
      </c>
    </row>
    <row r="1110" spans="1:7" x14ac:dyDescent="0.3">
      <c r="A1110" s="7" t="s">
        <v>1477</v>
      </c>
      <c r="B1110" s="7" t="s">
        <v>30</v>
      </c>
      <c r="C1110" s="7" t="s">
        <v>355</v>
      </c>
      <c r="D1110" s="9">
        <v>45999</v>
      </c>
      <c r="E1110" s="9">
        <v>46029</v>
      </c>
      <c r="F1110" s="3">
        <v>12750.69</v>
      </c>
      <c r="G1110" s="7" t="s">
        <v>369</v>
      </c>
    </row>
    <row r="1111" spans="1:7" x14ac:dyDescent="0.3">
      <c r="A1111" s="7" t="s">
        <v>1478</v>
      </c>
      <c r="B1111" s="7" t="s">
        <v>16</v>
      </c>
      <c r="C1111" s="7" t="s">
        <v>349</v>
      </c>
      <c r="D1111" s="9">
        <v>46044</v>
      </c>
      <c r="E1111" s="9">
        <v>46074</v>
      </c>
      <c r="F1111" s="3">
        <v>3234.78</v>
      </c>
      <c r="G1111" s="7" t="s">
        <v>367</v>
      </c>
    </row>
    <row r="1112" spans="1:7" x14ac:dyDescent="0.3">
      <c r="A1112" s="7" t="s">
        <v>1479</v>
      </c>
      <c r="B1112" s="7" t="s">
        <v>92</v>
      </c>
      <c r="C1112" s="7" t="s">
        <v>359</v>
      </c>
      <c r="D1112" s="9">
        <v>46072</v>
      </c>
      <c r="E1112" s="9">
        <v>46102</v>
      </c>
      <c r="F1112" s="3">
        <v>1766.48</v>
      </c>
      <c r="G1112" s="7" t="s">
        <v>367</v>
      </c>
    </row>
    <row r="1113" spans="1:7" x14ac:dyDescent="0.3">
      <c r="A1113" s="7" t="s">
        <v>1480</v>
      </c>
      <c r="B1113" s="7" t="s">
        <v>14</v>
      </c>
      <c r="C1113" s="7" t="s">
        <v>353</v>
      </c>
      <c r="D1113" s="9">
        <v>46109</v>
      </c>
      <c r="E1113" s="9">
        <v>46139</v>
      </c>
      <c r="F1113" s="3">
        <v>2257.34</v>
      </c>
      <c r="G1113" s="7" t="s">
        <v>367</v>
      </c>
    </row>
    <row r="1114" spans="1:7" x14ac:dyDescent="0.3">
      <c r="A1114" s="7" t="s">
        <v>1481</v>
      </c>
      <c r="B1114" s="7" t="s">
        <v>40</v>
      </c>
      <c r="C1114" s="7" t="s">
        <v>355</v>
      </c>
      <c r="D1114" s="9">
        <v>46082</v>
      </c>
      <c r="E1114" s="9">
        <v>46112</v>
      </c>
      <c r="F1114" s="3">
        <v>11465.23</v>
      </c>
      <c r="G1114" s="7" t="s">
        <v>387</v>
      </c>
    </row>
    <row r="1115" spans="1:7" x14ac:dyDescent="0.3">
      <c r="A1115" s="7" t="s">
        <v>1482</v>
      </c>
      <c r="B1115" s="7" t="s">
        <v>29</v>
      </c>
      <c r="C1115" s="7" t="s">
        <v>351</v>
      </c>
      <c r="D1115" s="9">
        <v>46057</v>
      </c>
      <c r="E1115" s="9">
        <v>46087</v>
      </c>
      <c r="F1115" s="3">
        <v>4881.1499999999996</v>
      </c>
      <c r="G1115" s="7" t="s">
        <v>367</v>
      </c>
    </row>
    <row r="1116" spans="1:7" x14ac:dyDescent="0.3">
      <c r="A1116" s="7" t="s">
        <v>1483</v>
      </c>
      <c r="B1116" s="7" t="s">
        <v>34</v>
      </c>
      <c r="C1116" s="7" t="s">
        <v>359</v>
      </c>
      <c r="D1116" s="9">
        <v>46065</v>
      </c>
      <c r="E1116" s="9">
        <v>46095</v>
      </c>
      <c r="F1116" s="3">
        <v>1794.28</v>
      </c>
      <c r="G1116" s="7" t="s">
        <v>369</v>
      </c>
    </row>
    <row r="1117" spans="1:7" x14ac:dyDescent="0.3">
      <c r="A1117" s="7" t="s">
        <v>1484</v>
      </c>
      <c r="B1117" s="7" t="s">
        <v>11</v>
      </c>
      <c r="C1117" s="7" t="s">
        <v>357</v>
      </c>
      <c r="D1117" s="9">
        <v>46018</v>
      </c>
      <c r="E1117" s="9">
        <v>46048</v>
      </c>
      <c r="F1117" s="3">
        <v>3700.67</v>
      </c>
      <c r="G1117" s="7" t="s">
        <v>367</v>
      </c>
    </row>
    <row r="1118" spans="1:7" x14ac:dyDescent="0.3">
      <c r="A1118" s="7" t="s">
        <v>1485</v>
      </c>
      <c r="B1118" s="7" t="s">
        <v>9</v>
      </c>
      <c r="C1118" s="7" t="s">
        <v>349</v>
      </c>
      <c r="D1118" s="9">
        <v>46084</v>
      </c>
      <c r="E1118" s="9">
        <v>46114</v>
      </c>
      <c r="F1118" s="3">
        <v>2484.4899999999998</v>
      </c>
      <c r="G1118" s="7" t="s">
        <v>369</v>
      </c>
    </row>
    <row r="1119" spans="1:7" x14ac:dyDescent="0.3">
      <c r="A1119" s="7" t="s">
        <v>1486</v>
      </c>
      <c r="B1119" s="7" t="s">
        <v>92</v>
      </c>
      <c r="C1119" s="7" t="s">
        <v>355</v>
      </c>
      <c r="D1119" s="9">
        <v>46085</v>
      </c>
      <c r="E1119" s="9">
        <v>46115</v>
      </c>
      <c r="F1119" s="3">
        <v>10314.5</v>
      </c>
      <c r="G1119" s="7" t="s">
        <v>369</v>
      </c>
    </row>
    <row r="1120" spans="1:7" x14ac:dyDescent="0.3">
      <c r="A1120" s="7" t="s">
        <v>1487</v>
      </c>
      <c r="B1120" s="7" t="s">
        <v>80</v>
      </c>
      <c r="C1120" s="7" t="s">
        <v>355</v>
      </c>
      <c r="D1120" s="9">
        <v>46026</v>
      </c>
      <c r="E1120" s="9">
        <v>46056</v>
      </c>
      <c r="F1120" s="3">
        <v>10878.9</v>
      </c>
      <c r="G1120" s="7" t="s">
        <v>369</v>
      </c>
    </row>
    <row r="1121" spans="1:7" x14ac:dyDescent="0.3">
      <c r="A1121" s="7" t="s">
        <v>1488</v>
      </c>
      <c r="B1121" s="7" t="s">
        <v>58</v>
      </c>
      <c r="C1121" s="7" t="s">
        <v>349</v>
      </c>
      <c r="D1121" s="9">
        <v>46061</v>
      </c>
      <c r="E1121" s="9">
        <v>46091</v>
      </c>
      <c r="F1121" s="3">
        <v>3018.46</v>
      </c>
      <c r="G1121" s="7" t="s">
        <v>367</v>
      </c>
    </row>
    <row r="1122" spans="1:7" x14ac:dyDescent="0.3">
      <c r="A1122" s="7" t="s">
        <v>1489</v>
      </c>
      <c r="B1122" s="7" t="s">
        <v>7</v>
      </c>
      <c r="C1122" s="7" t="s">
        <v>359</v>
      </c>
      <c r="D1122" s="9">
        <v>46013</v>
      </c>
      <c r="E1122" s="9">
        <v>46043</v>
      </c>
      <c r="F1122" s="3">
        <v>2002.27</v>
      </c>
      <c r="G1122" s="7" t="s">
        <v>367</v>
      </c>
    </row>
    <row r="1123" spans="1:7" x14ac:dyDescent="0.3">
      <c r="A1123" s="7" t="s">
        <v>1490</v>
      </c>
      <c r="B1123" s="7" t="s">
        <v>75</v>
      </c>
      <c r="C1123" s="7" t="s">
        <v>355</v>
      </c>
      <c r="D1123" s="9">
        <v>46039</v>
      </c>
      <c r="E1123" s="9">
        <v>46069</v>
      </c>
      <c r="F1123" s="3">
        <v>14179.95</v>
      </c>
      <c r="G1123" s="7" t="s">
        <v>367</v>
      </c>
    </row>
    <row r="1124" spans="1:7" x14ac:dyDescent="0.3">
      <c r="A1124" s="7" t="s">
        <v>1491</v>
      </c>
      <c r="B1124" s="7" t="s">
        <v>89</v>
      </c>
      <c r="C1124" s="7" t="s">
        <v>353</v>
      </c>
      <c r="D1124" s="9">
        <v>46069</v>
      </c>
      <c r="E1124" s="9">
        <v>46099</v>
      </c>
      <c r="F1124" s="3">
        <v>2333.44</v>
      </c>
      <c r="G1124" s="7" t="s">
        <v>367</v>
      </c>
    </row>
    <row r="1125" spans="1:7" x14ac:dyDescent="0.3">
      <c r="A1125" s="7" t="s">
        <v>1492</v>
      </c>
      <c r="B1125" s="7" t="s">
        <v>65</v>
      </c>
      <c r="C1125" s="7" t="s">
        <v>349</v>
      </c>
      <c r="D1125" s="9">
        <v>46082</v>
      </c>
      <c r="E1125" s="9">
        <v>46112</v>
      </c>
      <c r="F1125" s="3">
        <v>2838.43</v>
      </c>
      <c r="G1125" s="7" t="s">
        <v>367</v>
      </c>
    </row>
    <row r="1126" spans="1:7" x14ac:dyDescent="0.3">
      <c r="A1126" s="7" t="s">
        <v>1493</v>
      </c>
      <c r="B1126" s="7" t="s">
        <v>56</v>
      </c>
      <c r="C1126" s="7" t="s">
        <v>353</v>
      </c>
      <c r="D1126" s="9">
        <v>46062</v>
      </c>
      <c r="E1126" s="9">
        <v>46092</v>
      </c>
      <c r="F1126" s="3">
        <v>2647.79</v>
      </c>
      <c r="G1126" s="7" t="s">
        <v>367</v>
      </c>
    </row>
    <row r="1127" spans="1:7" x14ac:dyDescent="0.3">
      <c r="A1127" s="7" t="s">
        <v>1494</v>
      </c>
      <c r="B1127" s="7" t="s">
        <v>87</v>
      </c>
      <c r="C1127" s="7" t="s">
        <v>359</v>
      </c>
      <c r="D1127" s="9">
        <v>46087</v>
      </c>
      <c r="E1127" s="9">
        <v>46117</v>
      </c>
      <c r="F1127" s="3">
        <v>1577.52</v>
      </c>
      <c r="G1127" s="7" t="s">
        <v>369</v>
      </c>
    </row>
    <row r="1128" spans="1:7" x14ac:dyDescent="0.3">
      <c r="A1128" s="7" t="s">
        <v>1495</v>
      </c>
      <c r="B1128" s="7" t="s">
        <v>31</v>
      </c>
      <c r="C1128" s="7" t="s">
        <v>359</v>
      </c>
      <c r="D1128" s="9">
        <v>46004</v>
      </c>
      <c r="E1128" s="9">
        <v>46034</v>
      </c>
      <c r="F1128" s="3">
        <v>1698.67</v>
      </c>
      <c r="G1128" s="7" t="s">
        <v>367</v>
      </c>
    </row>
    <row r="1129" spans="1:7" x14ac:dyDescent="0.3">
      <c r="A1129" s="7" t="s">
        <v>1496</v>
      </c>
      <c r="B1129" s="7" t="s">
        <v>37</v>
      </c>
      <c r="C1129" s="7" t="s">
        <v>351</v>
      </c>
      <c r="D1129" s="9">
        <v>46090</v>
      </c>
      <c r="E1129" s="9">
        <v>46120</v>
      </c>
      <c r="F1129" s="3">
        <v>4071.4</v>
      </c>
      <c r="G1129" s="7" t="s">
        <v>387</v>
      </c>
    </row>
    <row r="1130" spans="1:7" x14ac:dyDescent="0.3">
      <c r="A1130" s="7" t="s">
        <v>1497</v>
      </c>
      <c r="B1130" s="7" t="s">
        <v>70</v>
      </c>
      <c r="C1130" s="7" t="s">
        <v>355</v>
      </c>
      <c r="D1130" s="9">
        <v>46003</v>
      </c>
      <c r="E1130" s="9">
        <v>46033</v>
      </c>
      <c r="F1130" s="3">
        <v>11466.08</v>
      </c>
      <c r="G1130" s="7" t="s">
        <v>367</v>
      </c>
    </row>
    <row r="1131" spans="1:7" x14ac:dyDescent="0.3">
      <c r="A1131" s="7" t="s">
        <v>1498</v>
      </c>
      <c r="B1131" s="7" t="s">
        <v>9</v>
      </c>
      <c r="C1131" s="7" t="s">
        <v>357</v>
      </c>
      <c r="D1131" s="9">
        <v>45977</v>
      </c>
      <c r="E1131" s="9">
        <v>46007</v>
      </c>
      <c r="F1131" s="3">
        <v>4150.9399999999996</v>
      </c>
      <c r="G1131" s="7" t="s">
        <v>387</v>
      </c>
    </row>
    <row r="1132" spans="1:7" x14ac:dyDescent="0.3">
      <c r="A1132" s="7" t="s">
        <v>1499</v>
      </c>
      <c r="B1132" s="7" t="s">
        <v>22</v>
      </c>
      <c r="C1132" s="7" t="s">
        <v>349</v>
      </c>
      <c r="D1132" s="9">
        <v>45992</v>
      </c>
      <c r="E1132" s="9">
        <v>46022</v>
      </c>
      <c r="F1132" s="3">
        <v>2807.14</v>
      </c>
      <c r="G1132" s="7" t="s">
        <v>367</v>
      </c>
    </row>
    <row r="1133" spans="1:7" x14ac:dyDescent="0.3">
      <c r="A1133" s="7" t="s">
        <v>1500</v>
      </c>
      <c r="B1133" s="7" t="s">
        <v>93</v>
      </c>
      <c r="C1133" s="7" t="s">
        <v>351</v>
      </c>
      <c r="D1133" s="9">
        <v>45964</v>
      </c>
      <c r="E1133" s="9">
        <v>45994</v>
      </c>
      <c r="F1133" s="3">
        <v>5614.21</v>
      </c>
      <c r="G1133" s="7" t="s">
        <v>367</v>
      </c>
    </row>
    <row r="1134" spans="1:7" x14ac:dyDescent="0.3">
      <c r="A1134" s="7" t="s">
        <v>1501</v>
      </c>
      <c r="B1134" s="7" t="s">
        <v>11</v>
      </c>
      <c r="C1134" s="7" t="s">
        <v>357</v>
      </c>
      <c r="D1134" s="9">
        <v>46061</v>
      </c>
      <c r="E1134" s="9">
        <v>46091</v>
      </c>
      <c r="F1134" s="3">
        <v>3008.54</v>
      </c>
      <c r="G1134" s="7" t="s">
        <v>369</v>
      </c>
    </row>
    <row r="1135" spans="1:7" x14ac:dyDescent="0.3">
      <c r="A1135" s="7" t="s">
        <v>1502</v>
      </c>
      <c r="B1135" s="7" t="s">
        <v>124</v>
      </c>
      <c r="C1135" s="7" t="s">
        <v>359</v>
      </c>
      <c r="D1135" s="9">
        <v>45982</v>
      </c>
      <c r="E1135" s="9">
        <v>46012</v>
      </c>
      <c r="F1135" s="3">
        <v>1541.95</v>
      </c>
      <c r="G1135" s="7" t="s">
        <v>367</v>
      </c>
    </row>
    <row r="1136" spans="1:7" x14ac:dyDescent="0.3">
      <c r="A1136" s="7" t="s">
        <v>1503</v>
      </c>
      <c r="B1136" s="7" t="s">
        <v>29</v>
      </c>
      <c r="C1136" s="7" t="s">
        <v>357</v>
      </c>
      <c r="D1136" s="9">
        <v>45976</v>
      </c>
      <c r="E1136" s="9">
        <v>46006</v>
      </c>
      <c r="F1136" s="3">
        <v>2864.12</v>
      </c>
      <c r="G1136" s="7" t="s">
        <v>367</v>
      </c>
    </row>
    <row r="1137" spans="1:7" x14ac:dyDescent="0.3">
      <c r="A1137" s="7" t="s">
        <v>1504</v>
      </c>
      <c r="B1137" s="7" t="s">
        <v>28</v>
      </c>
      <c r="C1137" s="7" t="s">
        <v>359</v>
      </c>
      <c r="D1137" s="9">
        <v>46031</v>
      </c>
      <c r="E1137" s="9">
        <v>46061</v>
      </c>
      <c r="F1137" s="3">
        <v>1475.97</v>
      </c>
      <c r="G1137" s="7" t="s">
        <v>367</v>
      </c>
    </row>
    <row r="1138" spans="1:7" x14ac:dyDescent="0.3">
      <c r="A1138" s="7" t="s">
        <v>1505</v>
      </c>
      <c r="B1138" s="7" t="s">
        <v>83</v>
      </c>
      <c r="C1138" s="7" t="s">
        <v>357</v>
      </c>
      <c r="D1138" s="9">
        <v>46057</v>
      </c>
      <c r="E1138" s="9">
        <v>46087</v>
      </c>
      <c r="F1138" s="3">
        <v>2889.54</v>
      </c>
      <c r="G1138" s="7" t="s">
        <v>367</v>
      </c>
    </row>
    <row r="1139" spans="1:7" x14ac:dyDescent="0.3">
      <c r="A1139" s="7" t="s">
        <v>1506</v>
      </c>
      <c r="B1139" s="7" t="s">
        <v>110</v>
      </c>
      <c r="C1139" s="7" t="s">
        <v>357</v>
      </c>
      <c r="D1139" s="9">
        <v>46091</v>
      </c>
      <c r="E1139" s="9">
        <v>46121</v>
      </c>
      <c r="F1139" s="3">
        <v>3108.8</v>
      </c>
      <c r="G1139" s="7" t="s">
        <v>367</v>
      </c>
    </row>
    <row r="1140" spans="1:7" x14ac:dyDescent="0.3">
      <c r="A1140" s="7" t="s">
        <v>1507</v>
      </c>
      <c r="B1140" s="7" t="s">
        <v>80</v>
      </c>
      <c r="C1140" s="7" t="s">
        <v>359</v>
      </c>
      <c r="D1140" s="9">
        <v>45979</v>
      </c>
      <c r="E1140" s="9">
        <v>46009</v>
      </c>
      <c r="F1140" s="3">
        <v>1928.45</v>
      </c>
      <c r="G1140" s="7" t="s">
        <v>387</v>
      </c>
    </row>
    <row r="1141" spans="1:7" x14ac:dyDescent="0.3">
      <c r="A1141" s="7" t="s">
        <v>1508</v>
      </c>
      <c r="B1141" s="7" t="s">
        <v>82</v>
      </c>
      <c r="C1141" s="7" t="s">
        <v>357</v>
      </c>
      <c r="D1141" s="9">
        <v>46058</v>
      </c>
      <c r="E1141" s="9">
        <v>46088</v>
      </c>
      <c r="F1141" s="3">
        <v>2992.26</v>
      </c>
      <c r="G1141" s="7" t="s">
        <v>369</v>
      </c>
    </row>
    <row r="1142" spans="1:7" x14ac:dyDescent="0.3">
      <c r="A1142" s="7" t="s">
        <v>1509</v>
      </c>
      <c r="B1142" s="7" t="s">
        <v>60</v>
      </c>
      <c r="C1142" s="7" t="s">
        <v>351</v>
      </c>
      <c r="D1142" s="9">
        <v>46056</v>
      </c>
      <c r="E1142" s="9">
        <v>46086</v>
      </c>
      <c r="F1142" s="3">
        <v>4671.01</v>
      </c>
      <c r="G1142" s="7" t="s">
        <v>367</v>
      </c>
    </row>
    <row r="1143" spans="1:7" x14ac:dyDescent="0.3">
      <c r="A1143" s="7" t="s">
        <v>1510</v>
      </c>
      <c r="B1143" s="7" t="s">
        <v>81</v>
      </c>
      <c r="C1143" s="7" t="s">
        <v>351</v>
      </c>
      <c r="D1143" s="9">
        <v>46108</v>
      </c>
      <c r="E1143" s="9">
        <v>46138</v>
      </c>
      <c r="F1143" s="3">
        <v>5392.59</v>
      </c>
      <c r="G1143" s="7" t="s">
        <v>367</v>
      </c>
    </row>
    <row r="1144" spans="1:7" x14ac:dyDescent="0.3">
      <c r="A1144" s="7" t="s">
        <v>1511</v>
      </c>
      <c r="B1144" s="7" t="s">
        <v>106</v>
      </c>
      <c r="C1144" s="7" t="s">
        <v>349</v>
      </c>
      <c r="D1144" s="9">
        <v>46110</v>
      </c>
      <c r="E1144" s="9">
        <v>46140</v>
      </c>
      <c r="F1144" s="3">
        <v>2560.0500000000002</v>
      </c>
      <c r="G1144" s="7" t="s">
        <v>367</v>
      </c>
    </row>
    <row r="1145" spans="1:7" x14ac:dyDescent="0.3">
      <c r="A1145" s="7" t="s">
        <v>1512</v>
      </c>
      <c r="B1145" s="7" t="s">
        <v>29</v>
      </c>
      <c r="C1145" s="7" t="s">
        <v>351</v>
      </c>
      <c r="D1145" s="9">
        <v>46049</v>
      </c>
      <c r="E1145" s="9">
        <v>46079</v>
      </c>
      <c r="F1145" s="3">
        <v>4031.26</v>
      </c>
      <c r="G1145" s="7" t="s">
        <v>367</v>
      </c>
    </row>
    <row r="1146" spans="1:7" x14ac:dyDescent="0.3">
      <c r="A1146" s="7" t="s">
        <v>1513</v>
      </c>
      <c r="B1146" s="7" t="s">
        <v>110</v>
      </c>
      <c r="C1146" s="7" t="s">
        <v>349</v>
      </c>
      <c r="D1146" s="9">
        <v>46005</v>
      </c>
      <c r="E1146" s="9">
        <v>46035</v>
      </c>
      <c r="F1146" s="3">
        <v>3248.09</v>
      </c>
      <c r="G1146" s="7" t="s">
        <v>367</v>
      </c>
    </row>
    <row r="1147" spans="1:7" x14ac:dyDescent="0.3">
      <c r="A1147" s="7" t="s">
        <v>1514</v>
      </c>
      <c r="B1147" s="7" t="s">
        <v>73</v>
      </c>
      <c r="C1147" s="7" t="s">
        <v>355</v>
      </c>
      <c r="D1147" s="9">
        <v>46092</v>
      </c>
      <c r="E1147" s="9">
        <v>46122</v>
      </c>
      <c r="F1147" s="3">
        <v>12923.32</v>
      </c>
      <c r="G1147" s="7" t="s">
        <v>367</v>
      </c>
    </row>
    <row r="1148" spans="1:7" x14ac:dyDescent="0.3">
      <c r="A1148" s="7" t="s">
        <v>1515</v>
      </c>
      <c r="B1148" s="7" t="s">
        <v>83</v>
      </c>
      <c r="C1148" s="7" t="s">
        <v>355</v>
      </c>
      <c r="D1148" s="9">
        <v>46055</v>
      </c>
      <c r="E1148" s="9">
        <v>46085</v>
      </c>
      <c r="F1148" s="3">
        <v>11577.75</v>
      </c>
      <c r="G1148" s="7" t="s">
        <v>367</v>
      </c>
    </row>
    <row r="1149" spans="1:7" x14ac:dyDescent="0.3">
      <c r="A1149" s="7" t="s">
        <v>1516</v>
      </c>
      <c r="B1149" s="7" t="s">
        <v>107</v>
      </c>
      <c r="C1149" s="7" t="s">
        <v>351</v>
      </c>
      <c r="D1149" s="9">
        <v>45970</v>
      </c>
      <c r="E1149" s="9">
        <v>46000</v>
      </c>
      <c r="F1149" s="3">
        <v>5434.4</v>
      </c>
      <c r="G1149" s="7" t="s">
        <v>367</v>
      </c>
    </row>
    <row r="1150" spans="1:7" x14ac:dyDescent="0.3">
      <c r="A1150" s="7" t="s">
        <v>1517</v>
      </c>
      <c r="B1150" s="7" t="s">
        <v>22</v>
      </c>
      <c r="C1150" s="7" t="s">
        <v>353</v>
      </c>
      <c r="D1150" s="9">
        <v>46003</v>
      </c>
      <c r="E1150" s="9">
        <v>46033</v>
      </c>
      <c r="F1150" s="3">
        <v>2347.85</v>
      </c>
      <c r="G1150" s="7" t="s">
        <v>367</v>
      </c>
    </row>
    <row r="1151" spans="1:7" x14ac:dyDescent="0.3">
      <c r="A1151" s="7" t="s">
        <v>1518</v>
      </c>
      <c r="B1151" s="7" t="s">
        <v>76</v>
      </c>
      <c r="C1151" s="7" t="s">
        <v>357</v>
      </c>
      <c r="D1151" s="9">
        <v>46025</v>
      </c>
      <c r="E1151" s="9">
        <v>46055</v>
      </c>
      <c r="F1151" s="3">
        <v>4167.51</v>
      </c>
      <c r="G1151" s="7" t="s">
        <v>369</v>
      </c>
    </row>
    <row r="1152" spans="1:7" x14ac:dyDescent="0.3">
      <c r="A1152" s="7" t="s">
        <v>1519</v>
      </c>
      <c r="B1152" s="7" t="s">
        <v>42</v>
      </c>
      <c r="C1152" s="7" t="s">
        <v>357</v>
      </c>
      <c r="D1152" s="9">
        <v>46099</v>
      </c>
      <c r="E1152" s="9">
        <v>46129</v>
      </c>
      <c r="F1152" s="3">
        <v>3106.99</v>
      </c>
      <c r="G1152" s="7" t="s">
        <v>367</v>
      </c>
    </row>
    <row r="1153" spans="1:7" x14ac:dyDescent="0.3">
      <c r="A1153" s="7" t="s">
        <v>1520</v>
      </c>
      <c r="B1153" s="7" t="s">
        <v>123</v>
      </c>
      <c r="C1153" s="7" t="s">
        <v>349</v>
      </c>
      <c r="D1153" s="9">
        <v>46058</v>
      </c>
      <c r="E1153" s="9">
        <v>46088</v>
      </c>
      <c r="F1153" s="3">
        <v>2632.46</v>
      </c>
      <c r="G1153" s="7" t="s">
        <v>367</v>
      </c>
    </row>
    <row r="1154" spans="1:7" x14ac:dyDescent="0.3">
      <c r="A1154" s="7" t="s">
        <v>1521</v>
      </c>
      <c r="B1154" s="7" t="s">
        <v>13</v>
      </c>
      <c r="C1154" s="7" t="s">
        <v>355</v>
      </c>
      <c r="D1154" s="9">
        <v>45977</v>
      </c>
      <c r="E1154" s="9">
        <v>46007</v>
      </c>
      <c r="F1154" s="3">
        <v>11988.07</v>
      </c>
      <c r="G1154" s="7" t="s">
        <v>369</v>
      </c>
    </row>
    <row r="1155" spans="1:7" x14ac:dyDescent="0.3">
      <c r="A1155" s="7" t="s">
        <v>1522</v>
      </c>
      <c r="B1155" s="7" t="s">
        <v>85</v>
      </c>
      <c r="C1155" s="7" t="s">
        <v>359</v>
      </c>
      <c r="D1155" s="9">
        <v>46015</v>
      </c>
      <c r="E1155" s="9">
        <v>46045</v>
      </c>
      <c r="F1155" s="3">
        <v>1702.22</v>
      </c>
      <c r="G1155" s="7" t="s">
        <v>367</v>
      </c>
    </row>
    <row r="1156" spans="1:7" x14ac:dyDescent="0.3">
      <c r="A1156" s="7" t="s">
        <v>1523</v>
      </c>
      <c r="B1156" s="7" t="s">
        <v>29</v>
      </c>
      <c r="C1156" s="7" t="s">
        <v>355</v>
      </c>
      <c r="D1156" s="9">
        <v>46047</v>
      </c>
      <c r="E1156" s="9">
        <v>46077</v>
      </c>
      <c r="F1156" s="3">
        <v>9807.92</v>
      </c>
      <c r="G1156" s="7" t="s">
        <v>369</v>
      </c>
    </row>
    <row r="1157" spans="1:7" x14ac:dyDescent="0.3">
      <c r="A1157" s="7" t="s">
        <v>1524</v>
      </c>
      <c r="B1157" s="7" t="s">
        <v>121</v>
      </c>
      <c r="C1157" s="7" t="s">
        <v>351</v>
      </c>
      <c r="D1157" s="9">
        <v>46086</v>
      </c>
      <c r="E1157" s="9">
        <v>46116</v>
      </c>
      <c r="F1157" s="3">
        <v>5570.98</v>
      </c>
      <c r="G1157" s="7" t="s">
        <v>367</v>
      </c>
    </row>
    <row r="1158" spans="1:7" x14ac:dyDescent="0.3">
      <c r="A1158" s="7" t="s">
        <v>1525</v>
      </c>
      <c r="B1158" s="7" t="s">
        <v>32</v>
      </c>
      <c r="C1158" s="7" t="s">
        <v>351</v>
      </c>
      <c r="D1158" s="9">
        <v>45983</v>
      </c>
      <c r="E1158" s="9">
        <v>46013</v>
      </c>
      <c r="F1158" s="3">
        <v>5442.81</v>
      </c>
      <c r="G1158" s="7" t="s">
        <v>367</v>
      </c>
    </row>
    <row r="1159" spans="1:7" x14ac:dyDescent="0.3">
      <c r="A1159" s="7" t="s">
        <v>1526</v>
      </c>
      <c r="B1159" s="7" t="s">
        <v>48</v>
      </c>
      <c r="C1159" s="7" t="s">
        <v>359</v>
      </c>
      <c r="D1159" s="9">
        <v>46052</v>
      </c>
      <c r="E1159" s="9">
        <v>46082</v>
      </c>
      <c r="F1159" s="3">
        <v>1927.33</v>
      </c>
      <c r="G1159" s="7" t="s">
        <v>369</v>
      </c>
    </row>
    <row r="1160" spans="1:7" x14ac:dyDescent="0.3">
      <c r="A1160" s="7" t="s">
        <v>1527</v>
      </c>
      <c r="B1160" s="7" t="s">
        <v>55</v>
      </c>
      <c r="C1160" s="7" t="s">
        <v>351</v>
      </c>
      <c r="D1160" s="9">
        <v>46057</v>
      </c>
      <c r="E1160" s="9">
        <v>46087</v>
      </c>
      <c r="F1160" s="3">
        <v>4196.13</v>
      </c>
      <c r="G1160" s="7" t="s">
        <v>369</v>
      </c>
    </row>
    <row r="1161" spans="1:7" x14ac:dyDescent="0.3">
      <c r="A1161" s="7" t="s">
        <v>1528</v>
      </c>
      <c r="B1161" s="7" t="s">
        <v>62</v>
      </c>
      <c r="C1161" s="7" t="s">
        <v>351</v>
      </c>
      <c r="D1161" s="9">
        <v>46087</v>
      </c>
      <c r="E1161" s="9">
        <v>46117</v>
      </c>
      <c r="F1161" s="3">
        <v>4147.0600000000004</v>
      </c>
      <c r="G1161" s="7" t="s">
        <v>367</v>
      </c>
    </row>
    <row r="1162" spans="1:7" x14ac:dyDescent="0.3">
      <c r="A1162" s="7" t="s">
        <v>1529</v>
      </c>
      <c r="B1162" s="7" t="s">
        <v>54</v>
      </c>
      <c r="C1162" s="7" t="s">
        <v>351</v>
      </c>
      <c r="D1162" s="9">
        <v>46039</v>
      </c>
      <c r="E1162" s="9">
        <v>46069</v>
      </c>
      <c r="F1162" s="3">
        <v>4432.33</v>
      </c>
      <c r="G1162" s="7" t="s">
        <v>367</v>
      </c>
    </row>
    <row r="1163" spans="1:7" x14ac:dyDescent="0.3">
      <c r="A1163" s="7" t="s">
        <v>1530</v>
      </c>
      <c r="B1163" s="7" t="s">
        <v>41</v>
      </c>
      <c r="C1163" s="7" t="s">
        <v>351</v>
      </c>
      <c r="D1163" s="9">
        <v>45985</v>
      </c>
      <c r="E1163" s="9">
        <v>46015</v>
      </c>
      <c r="F1163" s="3">
        <v>4915.4799999999996</v>
      </c>
      <c r="G1163" s="7" t="s">
        <v>367</v>
      </c>
    </row>
    <row r="1164" spans="1:7" x14ac:dyDescent="0.3">
      <c r="A1164" s="7" t="s">
        <v>1531</v>
      </c>
      <c r="B1164" s="7" t="s">
        <v>42</v>
      </c>
      <c r="C1164" s="7" t="s">
        <v>351</v>
      </c>
      <c r="D1164" s="9">
        <v>46005</v>
      </c>
      <c r="E1164" s="9">
        <v>46035</v>
      </c>
      <c r="F1164" s="3">
        <v>4671.78</v>
      </c>
      <c r="G1164" s="7" t="s">
        <v>367</v>
      </c>
    </row>
    <row r="1165" spans="1:7" x14ac:dyDescent="0.3">
      <c r="A1165" s="7" t="s">
        <v>1532</v>
      </c>
      <c r="B1165" s="7" t="s">
        <v>104</v>
      </c>
      <c r="C1165" s="7" t="s">
        <v>351</v>
      </c>
      <c r="D1165" s="9">
        <v>46066</v>
      </c>
      <c r="E1165" s="9">
        <v>46096</v>
      </c>
      <c r="F1165" s="3">
        <v>4222.22</v>
      </c>
      <c r="G1165" s="7" t="s">
        <v>367</v>
      </c>
    </row>
    <row r="1166" spans="1:7" x14ac:dyDescent="0.3">
      <c r="A1166" s="7" t="s">
        <v>1533</v>
      </c>
      <c r="B1166" s="7" t="s">
        <v>108</v>
      </c>
      <c r="C1166" s="7" t="s">
        <v>353</v>
      </c>
      <c r="D1166" s="9">
        <v>46098</v>
      </c>
      <c r="E1166" s="9">
        <v>46128</v>
      </c>
      <c r="F1166" s="3">
        <v>2219.85</v>
      </c>
      <c r="G1166" s="7" t="s">
        <v>367</v>
      </c>
    </row>
    <row r="1167" spans="1:7" x14ac:dyDescent="0.3">
      <c r="A1167" s="7" t="s">
        <v>1534</v>
      </c>
      <c r="B1167" s="7" t="s">
        <v>116</v>
      </c>
      <c r="C1167" s="7" t="s">
        <v>359</v>
      </c>
      <c r="D1167" s="9">
        <v>46016</v>
      </c>
      <c r="E1167" s="9">
        <v>46046</v>
      </c>
      <c r="F1167" s="3">
        <v>2125.9899999999998</v>
      </c>
      <c r="G1167" s="7" t="s">
        <v>387</v>
      </c>
    </row>
    <row r="1168" spans="1:7" x14ac:dyDescent="0.3">
      <c r="A1168" s="7" t="s">
        <v>1535</v>
      </c>
      <c r="B1168" s="7" t="s">
        <v>34</v>
      </c>
      <c r="C1168" s="7" t="s">
        <v>351</v>
      </c>
      <c r="D1168" s="9">
        <v>45974</v>
      </c>
      <c r="E1168" s="9">
        <v>46004</v>
      </c>
      <c r="F1168" s="3">
        <v>4172.95</v>
      </c>
      <c r="G1168" s="7" t="s">
        <v>367</v>
      </c>
    </row>
    <row r="1169" spans="1:7" x14ac:dyDescent="0.3">
      <c r="A1169" s="7" t="s">
        <v>1536</v>
      </c>
      <c r="B1169" s="7" t="s">
        <v>61</v>
      </c>
      <c r="C1169" s="7" t="s">
        <v>357</v>
      </c>
      <c r="D1169" s="9">
        <v>46059</v>
      </c>
      <c r="E1169" s="9">
        <v>46089</v>
      </c>
      <c r="F1169" s="3">
        <v>3462.88</v>
      </c>
      <c r="G1169" s="7" t="s">
        <v>367</v>
      </c>
    </row>
    <row r="1170" spans="1:7" x14ac:dyDescent="0.3">
      <c r="A1170" s="7" t="s">
        <v>1537</v>
      </c>
      <c r="B1170" s="7" t="s">
        <v>35</v>
      </c>
      <c r="C1170" s="7" t="s">
        <v>359</v>
      </c>
      <c r="D1170" s="9">
        <v>46019</v>
      </c>
      <c r="E1170" s="9">
        <v>46049</v>
      </c>
      <c r="F1170" s="3">
        <v>2068.27</v>
      </c>
      <c r="G1170" s="7" t="s">
        <v>367</v>
      </c>
    </row>
    <row r="1171" spans="1:7" x14ac:dyDescent="0.3">
      <c r="A1171" s="7" t="s">
        <v>1538</v>
      </c>
      <c r="B1171" s="7" t="s">
        <v>12</v>
      </c>
      <c r="C1171" s="7" t="s">
        <v>357</v>
      </c>
      <c r="D1171" s="9">
        <v>46039</v>
      </c>
      <c r="E1171" s="9">
        <v>46069</v>
      </c>
      <c r="F1171" s="3">
        <v>4124.75</v>
      </c>
      <c r="G1171" s="7" t="s">
        <v>367</v>
      </c>
    </row>
    <row r="1172" spans="1:7" x14ac:dyDescent="0.3">
      <c r="A1172" s="7" t="s">
        <v>1539</v>
      </c>
      <c r="B1172" s="7" t="s">
        <v>74</v>
      </c>
      <c r="C1172" s="7" t="s">
        <v>349</v>
      </c>
      <c r="D1172" s="9">
        <v>45980</v>
      </c>
      <c r="E1172" s="9">
        <v>46010</v>
      </c>
      <c r="F1172" s="3">
        <v>3589.53</v>
      </c>
      <c r="G1172" s="7" t="s">
        <v>367</v>
      </c>
    </row>
    <row r="1173" spans="1:7" x14ac:dyDescent="0.3">
      <c r="A1173" s="7" t="s">
        <v>1540</v>
      </c>
      <c r="B1173" s="7" t="s">
        <v>64</v>
      </c>
      <c r="C1173" s="7" t="s">
        <v>355</v>
      </c>
      <c r="D1173" s="9">
        <v>45994</v>
      </c>
      <c r="E1173" s="9">
        <v>46024</v>
      </c>
      <c r="F1173" s="3">
        <v>11900.49</v>
      </c>
      <c r="G1173" s="7" t="s">
        <v>369</v>
      </c>
    </row>
    <row r="1174" spans="1:7" x14ac:dyDescent="0.3">
      <c r="A1174" s="7" t="s">
        <v>1541</v>
      </c>
      <c r="B1174" s="7" t="s">
        <v>59</v>
      </c>
      <c r="C1174" s="7" t="s">
        <v>355</v>
      </c>
      <c r="D1174" s="9">
        <v>46009</v>
      </c>
      <c r="E1174" s="9">
        <v>46039</v>
      </c>
      <c r="F1174" s="3">
        <v>10754.46</v>
      </c>
      <c r="G1174" s="7" t="s">
        <v>367</v>
      </c>
    </row>
    <row r="1175" spans="1:7" x14ac:dyDescent="0.3">
      <c r="A1175" s="7" t="s">
        <v>1542</v>
      </c>
      <c r="B1175" s="7" t="s">
        <v>18</v>
      </c>
      <c r="C1175" s="7" t="s">
        <v>351</v>
      </c>
      <c r="D1175" s="9">
        <v>46078</v>
      </c>
      <c r="E1175" s="9">
        <v>46108</v>
      </c>
      <c r="F1175" s="3">
        <v>4265.42</v>
      </c>
      <c r="G1175" s="7" t="s">
        <v>367</v>
      </c>
    </row>
    <row r="1176" spans="1:7" x14ac:dyDescent="0.3">
      <c r="A1176" s="7" t="s">
        <v>1543</v>
      </c>
      <c r="B1176" s="7" t="s">
        <v>116</v>
      </c>
      <c r="C1176" s="7" t="s">
        <v>349</v>
      </c>
      <c r="D1176" s="9">
        <v>45970</v>
      </c>
      <c r="E1176" s="9">
        <v>46000</v>
      </c>
      <c r="F1176" s="3">
        <v>2975.74</v>
      </c>
      <c r="G1176" s="7" t="s">
        <v>367</v>
      </c>
    </row>
    <row r="1177" spans="1:7" x14ac:dyDescent="0.3">
      <c r="A1177" s="7" t="s">
        <v>1544</v>
      </c>
      <c r="B1177" s="7" t="s">
        <v>24</v>
      </c>
      <c r="C1177" s="7" t="s">
        <v>357</v>
      </c>
      <c r="D1177" s="9">
        <v>46071</v>
      </c>
      <c r="E1177" s="9">
        <v>46101</v>
      </c>
      <c r="F1177" s="3">
        <v>3846.2</v>
      </c>
      <c r="G1177" s="7" t="s">
        <v>367</v>
      </c>
    </row>
    <row r="1178" spans="1:7" x14ac:dyDescent="0.3">
      <c r="A1178" s="7" t="s">
        <v>1545</v>
      </c>
      <c r="B1178" s="7" t="s">
        <v>97</v>
      </c>
      <c r="C1178" s="7" t="s">
        <v>359</v>
      </c>
      <c r="D1178" s="9">
        <v>46000</v>
      </c>
      <c r="E1178" s="9">
        <v>46030</v>
      </c>
      <c r="F1178" s="3">
        <v>1731.86</v>
      </c>
      <c r="G1178" s="7" t="s">
        <v>367</v>
      </c>
    </row>
    <row r="1179" spans="1:7" x14ac:dyDescent="0.3">
      <c r="A1179" s="7" t="s">
        <v>1546</v>
      </c>
      <c r="B1179" s="7" t="s">
        <v>95</v>
      </c>
      <c r="C1179" s="7" t="s">
        <v>359</v>
      </c>
      <c r="D1179" s="9">
        <v>46098</v>
      </c>
      <c r="E1179" s="9">
        <v>46128</v>
      </c>
      <c r="F1179" s="3">
        <v>1440.98</v>
      </c>
      <c r="G1179" s="7" t="s">
        <v>367</v>
      </c>
    </row>
    <row r="1180" spans="1:7" x14ac:dyDescent="0.3">
      <c r="A1180" s="7" t="s">
        <v>1547</v>
      </c>
      <c r="B1180" s="7" t="s">
        <v>96</v>
      </c>
      <c r="C1180" s="7" t="s">
        <v>353</v>
      </c>
      <c r="D1180" s="9">
        <v>45999</v>
      </c>
      <c r="E1180" s="9">
        <v>46029</v>
      </c>
      <c r="F1180" s="3">
        <v>2530.92</v>
      </c>
      <c r="G1180" s="7" t="s">
        <v>369</v>
      </c>
    </row>
    <row r="1181" spans="1:7" x14ac:dyDescent="0.3">
      <c r="A1181" s="7" t="s">
        <v>1548</v>
      </c>
      <c r="B1181" s="7" t="s">
        <v>17</v>
      </c>
      <c r="C1181" s="7" t="s">
        <v>357</v>
      </c>
      <c r="D1181" s="9">
        <v>46001</v>
      </c>
      <c r="E1181" s="9">
        <v>46031</v>
      </c>
      <c r="F1181" s="3">
        <v>3559.41</v>
      </c>
      <c r="G1181" s="7" t="s">
        <v>369</v>
      </c>
    </row>
    <row r="1182" spans="1:7" x14ac:dyDescent="0.3">
      <c r="A1182" s="7" t="s">
        <v>1549</v>
      </c>
      <c r="B1182" s="7" t="s">
        <v>123</v>
      </c>
      <c r="C1182" s="7" t="s">
        <v>357</v>
      </c>
      <c r="D1182" s="9">
        <v>46045</v>
      </c>
      <c r="E1182" s="9">
        <v>46075</v>
      </c>
      <c r="F1182" s="3">
        <v>4033.19</v>
      </c>
      <c r="G1182" s="7" t="s">
        <v>367</v>
      </c>
    </row>
    <row r="1183" spans="1:7" x14ac:dyDescent="0.3">
      <c r="A1183" s="7" t="s">
        <v>1550</v>
      </c>
      <c r="B1183" s="7" t="s">
        <v>66</v>
      </c>
      <c r="C1183" s="7" t="s">
        <v>359</v>
      </c>
      <c r="D1183" s="9">
        <v>45971</v>
      </c>
      <c r="E1183" s="9">
        <v>46001</v>
      </c>
      <c r="F1183" s="3">
        <v>1702.07</v>
      </c>
      <c r="G1183" s="7" t="s">
        <v>367</v>
      </c>
    </row>
    <row r="1184" spans="1:7" x14ac:dyDescent="0.3">
      <c r="A1184" s="7" t="s">
        <v>1551</v>
      </c>
      <c r="B1184" s="7" t="s">
        <v>97</v>
      </c>
      <c r="C1184" s="7" t="s">
        <v>357</v>
      </c>
      <c r="D1184" s="9">
        <v>45995</v>
      </c>
      <c r="E1184" s="9">
        <v>46025</v>
      </c>
      <c r="F1184" s="3">
        <v>2857.22</v>
      </c>
      <c r="G1184" s="7" t="s">
        <v>367</v>
      </c>
    </row>
    <row r="1185" spans="1:7" x14ac:dyDescent="0.3">
      <c r="A1185" s="7" t="s">
        <v>1552</v>
      </c>
      <c r="B1185" s="7" t="s">
        <v>49</v>
      </c>
      <c r="C1185" s="7" t="s">
        <v>349</v>
      </c>
      <c r="D1185" s="9">
        <v>46062</v>
      </c>
      <c r="E1185" s="9">
        <v>46092</v>
      </c>
      <c r="F1185" s="3">
        <v>3072.91</v>
      </c>
      <c r="G1185" s="7" t="s">
        <v>367</v>
      </c>
    </row>
    <row r="1186" spans="1:7" x14ac:dyDescent="0.3">
      <c r="A1186" s="7" t="s">
        <v>1553</v>
      </c>
      <c r="B1186" s="7" t="s">
        <v>103</v>
      </c>
      <c r="C1186" s="7" t="s">
        <v>351</v>
      </c>
      <c r="D1186" s="9">
        <v>46101</v>
      </c>
      <c r="E1186" s="9">
        <v>46131</v>
      </c>
      <c r="F1186" s="3">
        <v>5079.2700000000004</v>
      </c>
      <c r="G1186" s="7" t="s">
        <v>367</v>
      </c>
    </row>
    <row r="1187" spans="1:7" x14ac:dyDescent="0.3">
      <c r="A1187" s="7" t="s">
        <v>1554</v>
      </c>
      <c r="B1187" s="7" t="s">
        <v>104</v>
      </c>
      <c r="C1187" s="7" t="s">
        <v>357</v>
      </c>
      <c r="D1187" s="9">
        <v>45988</v>
      </c>
      <c r="E1187" s="9">
        <v>46018</v>
      </c>
      <c r="F1187" s="3">
        <v>4019.58</v>
      </c>
      <c r="G1187" s="7" t="s">
        <v>369</v>
      </c>
    </row>
    <row r="1188" spans="1:7" x14ac:dyDescent="0.3">
      <c r="A1188" s="7" t="s">
        <v>1555</v>
      </c>
      <c r="B1188" s="7" t="s">
        <v>42</v>
      </c>
      <c r="C1188" s="7" t="s">
        <v>351</v>
      </c>
      <c r="D1188" s="9">
        <v>46024</v>
      </c>
      <c r="E1188" s="9">
        <v>46054</v>
      </c>
      <c r="F1188" s="3">
        <v>4640.93</v>
      </c>
      <c r="G1188" s="7" t="s">
        <v>367</v>
      </c>
    </row>
    <row r="1189" spans="1:7" x14ac:dyDescent="0.3">
      <c r="A1189" s="7" t="s">
        <v>1556</v>
      </c>
      <c r="B1189" s="7" t="s">
        <v>74</v>
      </c>
      <c r="C1189" s="7" t="s">
        <v>349</v>
      </c>
      <c r="D1189" s="9">
        <v>46091</v>
      </c>
      <c r="E1189" s="9">
        <v>46121</v>
      </c>
      <c r="F1189" s="3">
        <v>2476.04</v>
      </c>
      <c r="G1189" s="7" t="s">
        <v>367</v>
      </c>
    </row>
    <row r="1190" spans="1:7" x14ac:dyDescent="0.3">
      <c r="A1190" s="7" t="s">
        <v>1557</v>
      </c>
      <c r="B1190" s="7" t="s">
        <v>122</v>
      </c>
      <c r="C1190" s="7" t="s">
        <v>349</v>
      </c>
      <c r="D1190" s="9">
        <v>46075</v>
      </c>
      <c r="E1190" s="9">
        <v>46105</v>
      </c>
      <c r="F1190" s="3">
        <v>2964.2</v>
      </c>
      <c r="G1190" s="7" t="s">
        <v>369</v>
      </c>
    </row>
    <row r="1191" spans="1:7" x14ac:dyDescent="0.3">
      <c r="A1191" s="7" t="s">
        <v>1558</v>
      </c>
      <c r="B1191" s="7" t="s">
        <v>110</v>
      </c>
      <c r="C1191" s="7" t="s">
        <v>353</v>
      </c>
      <c r="D1191" s="9">
        <v>46008</v>
      </c>
      <c r="E1191" s="9">
        <v>46038</v>
      </c>
      <c r="F1191" s="3">
        <v>2451.98</v>
      </c>
      <c r="G1191" s="7" t="s">
        <v>369</v>
      </c>
    </row>
    <row r="1192" spans="1:7" x14ac:dyDescent="0.3">
      <c r="A1192" s="7" t="s">
        <v>1559</v>
      </c>
      <c r="B1192" s="7" t="s">
        <v>57</v>
      </c>
      <c r="C1192" s="7" t="s">
        <v>349</v>
      </c>
      <c r="D1192" s="9">
        <v>46106</v>
      </c>
      <c r="E1192" s="9">
        <v>46136</v>
      </c>
      <c r="F1192" s="3">
        <v>2626.02</v>
      </c>
      <c r="G1192" s="7" t="s">
        <v>367</v>
      </c>
    </row>
    <row r="1193" spans="1:7" x14ac:dyDescent="0.3">
      <c r="A1193" s="7" t="s">
        <v>1560</v>
      </c>
      <c r="B1193" s="7" t="s">
        <v>21</v>
      </c>
      <c r="C1193" s="7" t="s">
        <v>351</v>
      </c>
      <c r="D1193" s="9">
        <v>46068</v>
      </c>
      <c r="E1193" s="9">
        <v>46098</v>
      </c>
      <c r="F1193" s="3">
        <v>4576.75</v>
      </c>
      <c r="G1193" s="7" t="s">
        <v>367</v>
      </c>
    </row>
    <row r="1194" spans="1:7" x14ac:dyDescent="0.3">
      <c r="A1194" s="7" t="s">
        <v>1561</v>
      </c>
      <c r="B1194" s="7" t="s">
        <v>87</v>
      </c>
      <c r="C1194" s="7" t="s">
        <v>359</v>
      </c>
      <c r="D1194" s="9">
        <v>46002</v>
      </c>
      <c r="E1194" s="9">
        <v>46032</v>
      </c>
      <c r="F1194" s="3">
        <v>1546.53</v>
      </c>
      <c r="G1194" s="7" t="s">
        <v>367</v>
      </c>
    </row>
    <row r="1195" spans="1:7" x14ac:dyDescent="0.3">
      <c r="A1195" s="7" t="s">
        <v>1562</v>
      </c>
      <c r="B1195" s="7" t="s">
        <v>67</v>
      </c>
      <c r="C1195" s="7" t="s">
        <v>349</v>
      </c>
      <c r="D1195" s="9">
        <v>46037</v>
      </c>
      <c r="E1195" s="9">
        <v>46067</v>
      </c>
      <c r="F1195" s="3">
        <v>2751.8</v>
      </c>
      <c r="G1195" s="7" t="s">
        <v>369</v>
      </c>
    </row>
    <row r="1196" spans="1:7" x14ac:dyDescent="0.3">
      <c r="A1196" s="7" t="s">
        <v>1563</v>
      </c>
      <c r="B1196" s="7" t="s">
        <v>31</v>
      </c>
      <c r="C1196" s="7" t="s">
        <v>353</v>
      </c>
      <c r="D1196" s="9">
        <v>46004</v>
      </c>
      <c r="E1196" s="9">
        <v>46034</v>
      </c>
      <c r="F1196" s="3">
        <v>2420.13</v>
      </c>
      <c r="G1196" s="7" t="s">
        <v>367</v>
      </c>
    </row>
    <row r="1197" spans="1:7" x14ac:dyDescent="0.3">
      <c r="A1197" s="7" t="s">
        <v>1564</v>
      </c>
      <c r="B1197" s="7" t="s">
        <v>73</v>
      </c>
      <c r="C1197" s="7" t="s">
        <v>349</v>
      </c>
      <c r="D1197" s="9">
        <v>46098</v>
      </c>
      <c r="E1197" s="9">
        <v>46128</v>
      </c>
      <c r="F1197" s="3">
        <v>2426.44</v>
      </c>
      <c r="G1197" s="7" t="s">
        <v>369</v>
      </c>
    </row>
    <row r="1198" spans="1:7" x14ac:dyDescent="0.3">
      <c r="A1198" s="7" t="s">
        <v>1565</v>
      </c>
      <c r="B1198" s="7" t="s">
        <v>107</v>
      </c>
      <c r="C1198" s="7" t="s">
        <v>359</v>
      </c>
      <c r="D1198" s="9">
        <v>46078</v>
      </c>
      <c r="E1198" s="9">
        <v>46108</v>
      </c>
      <c r="F1198" s="3">
        <v>1681.83</v>
      </c>
      <c r="G1198" s="7" t="s">
        <v>367</v>
      </c>
    </row>
    <row r="1199" spans="1:7" x14ac:dyDescent="0.3">
      <c r="A1199" s="7" t="s">
        <v>1566</v>
      </c>
      <c r="B1199" s="7" t="s">
        <v>77</v>
      </c>
      <c r="C1199" s="7" t="s">
        <v>353</v>
      </c>
      <c r="D1199" s="9">
        <v>46096</v>
      </c>
      <c r="E1199" s="9">
        <v>46126</v>
      </c>
      <c r="F1199" s="3">
        <v>2486.15</v>
      </c>
      <c r="G1199" s="7" t="s">
        <v>367</v>
      </c>
    </row>
    <row r="1200" spans="1:7" x14ac:dyDescent="0.3">
      <c r="A1200" s="7" t="s">
        <v>1567</v>
      </c>
      <c r="B1200" s="7" t="s">
        <v>46</v>
      </c>
      <c r="C1200" s="7" t="s">
        <v>355</v>
      </c>
      <c r="D1200" s="9">
        <v>46022</v>
      </c>
      <c r="E1200" s="9">
        <v>46052</v>
      </c>
      <c r="F1200" s="3">
        <v>11798.43</v>
      </c>
      <c r="G1200" s="7" t="s">
        <v>369</v>
      </c>
    </row>
    <row r="1201" spans="1:7" x14ac:dyDescent="0.3">
      <c r="A1201" s="7" t="s">
        <v>1568</v>
      </c>
      <c r="B1201" s="7" t="s">
        <v>43</v>
      </c>
      <c r="C1201" s="7" t="s">
        <v>351</v>
      </c>
      <c r="D1201" s="9">
        <v>46068</v>
      </c>
      <c r="E1201" s="9">
        <v>46098</v>
      </c>
      <c r="F1201" s="3">
        <v>5578.54</v>
      </c>
      <c r="G1201" s="7" t="s">
        <v>367</v>
      </c>
    </row>
    <row r="1202" spans="1:7" x14ac:dyDescent="0.3">
      <c r="A1202" s="7" t="s">
        <v>1569</v>
      </c>
      <c r="B1202" s="7" t="s">
        <v>86</v>
      </c>
      <c r="C1202" s="7" t="s">
        <v>349</v>
      </c>
      <c r="D1202" s="9">
        <v>46094</v>
      </c>
      <c r="E1202" s="9">
        <v>46124</v>
      </c>
      <c r="F1202" s="3">
        <v>2578.0100000000002</v>
      </c>
      <c r="G1202" s="7" t="s">
        <v>387</v>
      </c>
    </row>
    <row r="1203" spans="1:7" x14ac:dyDescent="0.3">
      <c r="A1203" s="7" t="s">
        <v>1570</v>
      </c>
      <c r="B1203" s="7" t="s">
        <v>114</v>
      </c>
      <c r="C1203" s="7" t="s">
        <v>351</v>
      </c>
      <c r="D1203" s="9">
        <v>46102</v>
      </c>
      <c r="E1203" s="9">
        <v>46132</v>
      </c>
      <c r="F1203" s="3">
        <v>5423.62</v>
      </c>
      <c r="G1203" s="7" t="s">
        <v>387</v>
      </c>
    </row>
    <row r="1204" spans="1:7" x14ac:dyDescent="0.3">
      <c r="A1204" s="7" t="s">
        <v>1571</v>
      </c>
      <c r="B1204" s="7" t="s">
        <v>21</v>
      </c>
      <c r="C1204" s="7" t="s">
        <v>359</v>
      </c>
      <c r="D1204" s="9">
        <v>46027</v>
      </c>
      <c r="E1204" s="9">
        <v>46057</v>
      </c>
      <c r="F1204" s="3">
        <v>1938.86</v>
      </c>
      <c r="G1204" s="7" t="s">
        <v>367</v>
      </c>
    </row>
    <row r="1205" spans="1:7" x14ac:dyDescent="0.3">
      <c r="A1205" s="7" t="s">
        <v>1572</v>
      </c>
      <c r="B1205" s="7" t="s">
        <v>54</v>
      </c>
      <c r="C1205" s="7" t="s">
        <v>349</v>
      </c>
      <c r="D1205" s="9">
        <v>46062</v>
      </c>
      <c r="E1205" s="9">
        <v>46092</v>
      </c>
      <c r="F1205" s="3">
        <v>3592.53</v>
      </c>
      <c r="G1205" s="7" t="s">
        <v>367</v>
      </c>
    </row>
    <row r="1206" spans="1:7" x14ac:dyDescent="0.3">
      <c r="A1206" s="7" t="s">
        <v>1573</v>
      </c>
      <c r="B1206" s="7" t="s">
        <v>51</v>
      </c>
      <c r="C1206" s="7" t="s">
        <v>351</v>
      </c>
      <c r="D1206" s="9">
        <v>46104</v>
      </c>
      <c r="E1206" s="9">
        <v>46134</v>
      </c>
      <c r="F1206" s="3">
        <v>4410.3100000000004</v>
      </c>
      <c r="G1206" s="7" t="s">
        <v>367</v>
      </c>
    </row>
    <row r="1207" spans="1:7" x14ac:dyDescent="0.3">
      <c r="A1207" s="7" t="s">
        <v>1574</v>
      </c>
      <c r="B1207" s="7" t="s">
        <v>22</v>
      </c>
      <c r="C1207" s="7" t="s">
        <v>351</v>
      </c>
      <c r="D1207" s="9">
        <v>46001</v>
      </c>
      <c r="E1207" s="9">
        <v>46031</v>
      </c>
      <c r="F1207" s="3">
        <v>4745.83</v>
      </c>
      <c r="G1207" s="7" t="s">
        <v>367</v>
      </c>
    </row>
    <row r="1208" spans="1:7" x14ac:dyDescent="0.3">
      <c r="A1208" s="7" t="s">
        <v>1575</v>
      </c>
      <c r="B1208" s="7" t="s">
        <v>47</v>
      </c>
      <c r="C1208" s="7" t="s">
        <v>349</v>
      </c>
      <c r="D1208" s="9">
        <v>46022</v>
      </c>
      <c r="E1208" s="9">
        <v>46052</v>
      </c>
      <c r="F1208" s="3">
        <v>2885.47</v>
      </c>
      <c r="G1208" s="7" t="s">
        <v>369</v>
      </c>
    </row>
    <row r="1209" spans="1:7" x14ac:dyDescent="0.3">
      <c r="A1209" s="7" t="s">
        <v>1576</v>
      </c>
      <c r="B1209" s="7" t="s">
        <v>49</v>
      </c>
      <c r="C1209" s="7" t="s">
        <v>351</v>
      </c>
      <c r="D1209" s="9">
        <v>45989</v>
      </c>
      <c r="E1209" s="9">
        <v>46019</v>
      </c>
      <c r="F1209" s="3">
        <v>4008.59</v>
      </c>
      <c r="G1209" s="7" t="s">
        <v>387</v>
      </c>
    </row>
    <row r="1210" spans="1:7" x14ac:dyDescent="0.3">
      <c r="A1210" s="7" t="s">
        <v>1577</v>
      </c>
      <c r="B1210" s="7" t="s">
        <v>103</v>
      </c>
      <c r="C1210" s="7" t="s">
        <v>359</v>
      </c>
      <c r="D1210" s="9">
        <v>45977</v>
      </c>
      <c r="E1210" s="9">
        <v>46007</v>
      </c>
      <c r="F1210" s="3">
        <v>1947.92</v>
      </c>
      <c r="G1210" s="7" t="s">
        <v>387</v>
      </c>
    </row>
    <row r="1211" spans="1:7" x14ac:dyDescent="0.3">
      <c r="A1211" s="7" t="s">
        <v>1578</v>
      </c>
      <c r="B1211" s="7" t="s">
        <v>63</v>
      </c>
      <c r="C1211" s="7" t="s">
        <v>357</v>
      </c>
      <c r="D1211" s="9">
        <v>46041</v>
      </c>
      <c r="E1211" s="9">
        <v>46071</v>
      </c>
      <c r="F1211" s="3">
        <v>3733.64</v>
      </c>
      <c r="G1211" s="7" t="s">
        <v>367</v>
      </c>
    </row>
    <row r="1212" spans="1:7" x14ac:dyDescent="0.3">
      <c r="A1212" s="7" t="s">
        <v>1579</v>
      </c>
      <c r="B1212" s="7" t="s">
        <v>24</v>
      </c>
      <c r="C1212" s="7" t="s">
        <v>353</v>
      </c>
      <c r="D1212" s="9">
        <v>46014</v>
      </c>
      <c r="E1212" s="9">
        <v>46044</v>
      </c>
      <c r="F1212" s="3">
        <v>2689.15</v>
      </c>
      <c r="G1212" s="7" t="s">
        <v>369</v>
      </c>
    </row>
    <row r="1213" spans="1:7" x14ac:dyDescent="0.3">
      <c r="A1213" s="7" t="s">
        <v>1580</v>
      </c>
      <c r="B1213" s="7" t="s">
        <v>114</v>
      </c>
      <c r="C1213" s="7" t="s">
        <v>359</v>
      </c>
      <c r="D1213" s="9">
        <v>45989</v>
      </c>
      <c r="E1213" s="9">
        <v>46019</v>
      </c>
      <c r="F1213" s="3">
        <v>1836.69</v>
      </c>
      <c r="G1213" s="7" t="s">
        <v>367</v>
      </c>
    </row>
    <row r="1214" spans="1:7" x14ac:dyDescent="0.3">
      <c r="A1214" s="7" t="s">
        <v>1581</v>
      </c>
      <c r="B1214" s="7" t="s">
        <v>89</v>
      </c>
      <c r="C1214" s="7" t="s">
        <v>351</v>
      </c>
      <c r="D1214" s="9">
        <v>45971</v>
      </c>
      <c r="E1214" s="9">
        <v>46001</v>
      </c>
      <c r="F1214" s="3">
        <v>4891.95</v>
      </c>
      <c r="G1214" s="7" t="s">
        <v>367</v>
      </c>
    </row>
    <row r="1215" spans="1:7" x14ac:dyDescent="0.3">
      <c r="A1215" s="7" t="s">
        <v>1582</v>
      </c>
      <c r="B1215" s="7" t="s">
        <v>17</v>
      </c>
      <c r="C1215" s="7" t="s">
        <v>351</v>
      </c>
      <c r="D1215" s="9">
        <v>45968</v>
      </c>
      <c r="E1215" s="9">
        <v>45998</v>
      </c>
      <c r="F1215" s="3">
        <v>5166.8599999999997</v>
      </c>
      <c r="G1215" s="7" t="s">
        <v>367</v>
      </c>
    </row>
    <row r="1216" spans="1:7" x14ac:dyDescent="0.3">
      <c r="A1216" s="7" t="s">
        <v>1583</v>
      </c>
      <c r="B1216" s="7" t="s">
        <v>72</v>
      </c>
      <c r="C1216" s="7" t="s">
        <v>357</v>
      </c>
      <c r="D1216" s="9">
        <v>46025</v>
      </c>
      <c r="E1216" s="9">
        <v>46055</v>
      </c>
      <c r="F1216" s="3">
        <v>3989.23</v>
      </c>
      <c r="G1216" s="7" t="s">
        <v>387</v>
      </c>
    </row>
    <row r="1217" spans="1:7" x14ac:dyDescent="0.3">
      <c r="A1217" s="7" t="s">
        <v>1584</v>
      </c>
      <c r="B1217" s="7" t="s">
        <v>14</v>
      </c>
      <c r="C1217" s="7" t="s">
        <v>355</v>
      </c>
      <c r="D1217" s="9">
        <v>46091</v>
      </c>
      <c r="E1217" s="9">
        <v>46121</v>
      </c>
      <c r="F1217" s="3">
        <v>10533.36</v>
      </c>
      <c r="G1217" s="7" t="s">
        <v>367</v>
      </c>
    </row>
    <row r="1218" spans="1:7" x14ac:dyDescent="0.3">
      <c r="A1218" s="7" t="s">
        <v>1585</v>
      </c>
      <c r="B1218" s="7" t="s">
        <v>54</v>
      </c>
      <c r="C1218" s="7" t="s">
        <v>359</v>
      </c>
      <c r="D1218" s="9">
        <v>46048</v>
      </c>
      <c r="E1218" s="9">
        <v>46078</v>
      </c>
      <c r="F1218" s="3">
        <v>1699.97</v>
      </c>
      <c r="G1218" s="7" t="s">
        <v>369</v>
      </c>
    </row>
    <row r="1219" spans="1:7" x14ac:dyDescent="0.3">
      <c r="A1219" s="7" t="s">
        <v>1586</v>
      </c>
      <c r="B1219" s="7" t="s">
        <v>64</v>
      </c>
      <c r="C1219" s="7" t="s">
        <v>355</v>
      </c>
      <c r="D1219" s="9">
        <v>46100</v>
      </c>
      <c r="E1219" s="9">
        <v>46130</v>
      </c>
      <c r="F1219" s="3">
        <v>11389.59</v>
      </c>
      <c r="G1219" s="7" t="s">
        <v>367</v>
      </c>
    </row>
    <row r="1220" spans="1:7" x14ac:dyDescent="0.3">
      <c r="A1220" s="7" t="s">
        <v>1587</v>
      </c>
      <c r="B1220" s="7" t="s">
        <v>60</v>
      </c>
      <c r="C1220" s="7" t="s">
        <v>357</v>
      </c>
      <c r="D1220" s="9">
        <v>46051</v>
      </c>
      <c r="E1220" s="9">
        <v>46081</v>
      </c>
      <c r="F1220" s="3">
        <v>2922.64</v>
      </c>
      <c r="G1220" s="7" t="s">
        <v>367</v>
      </c>
    </row>
    <row r="1221" spans="1:7" x14ac:dyDescent="0.3">
      <c r="A1221" s="7" t="s">
        <v>1588</v>
      </c>
      <c r="B1221" s="7" t="s">
        <v>61</v>
      </c>
      <c r="C1221" s="7" t="s">
        <v>355</v>
      </c>
      <c r="D1221" s="9">
        <v>46001</v>
      </c>
      <c r="E1221" s="9">
        <v>46031</v>
      </c>
      <c r="F1221" s="3">
        <v>10985.44</v>
      </c>
      <c r="G1221" s="7" t="s">
        <v>387</v>
      </c>
    </row>
    <row r="1222" spans="1:7" x14ac:dyDescent="0.3">
      <c r="A1222" s="7" t="s">
        <v>1589</v>
      </c>
      <c r="B1222" s="7" t="s">
        <v>25</v>
      </c>
      <c r="C1222" s="7" t="s">
        <v>359</v>
      </c>
      <c r="D1222" s="9">
        <v>46109</v>
      </c>
      <c r="E1222" s="9">
        <v>46139</v>
      </c>
      <c r="F1222" s="3">
        <v>2085.4299999999998</v>
      </c>
      <c r="G1222" s="7" t="s">
        <v>367</v>
      </c>
    </row>
    <row r="1223" spans="1:7" x14ac:dyDescent="0.3">
      <c r="A1223" s="7" t="s">
        <v>1590</v>
      </c>
      <c r="B1223" s="7" t="s">
        <v>15</v>
      </c>
      <c r="C1223" s="7" t="s">
        <v>351</v>
      </c>
      <c r="D1223" s="9">
        <v>46091</v>
      </c>
      <c r="E1223" s="9">
        <v>46121</v>
      </c>
      <c r="F1223" s="3">
        <v>4606.46</v>
      </c>
      <c r="G1223" s="7" t="s">
        <v>387</v>
      </c>
    </row>
    <row r="1224" spans="1:7" x14ac:dyDescent="0.3">
      <c r="A1224" s="7" t="s">
        <v>1591</v>
      </c>
      <c r="B1224" s="7" t="s">
        <v>124</v>
      </c>
      <c r="C1224" s="7" t="s">
        <v>357</v>
      </c>
      <c r="D1224" s="9">
        <v>46032</v>
      </c>
      <c r="E1224" s="9">
        <v>46062</v>
      </c>
      <c r="F1224" s="3">
        <v>3858.56</v>
      </c>
      <c r="G1224" s="7" t="s">
        <v>367</v>
      </c>
    </row>
    <row r="1225" spans="1:7" x14ac:dyDescent="0.3">
      <c r="A1225" s="7" t="s">
        <v>1592</v>
      </c>
      <c r="B1225" s="7" t="s">
        <v>103</v>
      </c>
      <c r="C1225" s="7" t="s">
        <v>353</v>
      </c>
      <c r="D1225" s="9">
        <v>46005</v>
      </c>
      <c r="E1225" s="9">
        <v>46035</v>
      </c>
      <c r="F1225" s="3">
        <v>2414.5100000000002</v>
      </c>
      <c r="G1225" s="7" t="s">
        <v>367</v>
      </c>
    </row>
    <row r="1226" spans="1:7" x14ac:dyDescent="0.3">
      <c r="A1226" s="7" t="s">
        <v>1593</v>
      </c>
      <c r="B1226" s="7" t="s">
        <v>69</v>
      </c>
      <c r="C1226" s="7" t="s">
        <v>351</v>
      </c>
      <c r="D1226" s="9">
        <v>46078</v>
      </c>
      <c r="E1226" s="9">
        <v>46108</v>
      </c>
      <c r="F1226" s="3">
        <v>4398.5200000000004</v>
      </c>
      <c r="G1226" s="7" t="s">
        <v>367</v>
      </c>
    </row>
    <row r="1227" spans="1:7" x14ac:dyDescent="0.3">
      <c r="A1227" s="7" t="s">
        <v>1594</v>
      </c>
      <c r="B1227" s="7" t="s">
        <v>78</v>
      </c>
      <c r="C1227" s="7" t="s">
        <v>349</v>
      </c>
      <c r="D1227" s="9">
        <v>46028</v>
      </c>
      <c r="E1227" s="9">
        <v>46058</v>
      </c>
      <c r="F1227" s="3">
        <v>3387.36</v>
      </c>
      <c r="G1227" s="7" t="s">
        <v>367</v>
      </c>
    </row>
    <row r="1228" spans="1:7" x14ac:dyDescent="0.3">
      <c r="A1228" s="7" t="s">
        <v>1595</v>
      </c>
      <c r="B1228" s="7" t="s">
        <v>45</v>
      </c>
      <c r="C1228" s="7" t="s">
        <v>359</v>
      </c>
      <c r="D1228" s="9">
        <v>46041</v>
      </c>
      <c r="E1228" s="9">
        <v>46071</v>
      </c>
      <c r="F1228" s="3">
        <v>1773.69</v>
      </c>
      <c r="G1228" s="7" t="s">
        <v>367</v>
      </c>
    </row>
    <row r="1229" spans="1:7" x14ac:dyDescent="0.3">
      <c r="A1229" s="7" t="s">
        <v>1596</v>
      </c>
      <c r="B1229" s="7" t="s">
        <v>121</v>
      </c>
      <c r="C1229" s="7" t="s">
        <v>359</v>
      </c>
      <c r="D1229" s="9">
        <v>46023</v>
      </c>
      <c r="E1229" s="9">
        <v>46053</v>
      </c>
      <c r="F1229" s="3">
        <v>2040.66</v>
      </c>
      <c r="G1229" s="7" t="s">
        <v>367</v>
      </c>
    </row>
    <row r="1230" spans="1:7" x14ac:dyDescent="0.3">
      <c r="A1230" s="7" t="s">
        <v>1597</v>
      </c>
      <c r="B1230" s="7" t="s">
        <v>10</v>
      </c>
      <c r="C1230" s="7" t="s">
        <v>353</v>
      </c>
      <c r="D1230" s="9">
        <v>46078</v>
      </c>
      <c r="E1230" s="9">
        <v>46108</v>
      </c>
      <c r="F1230" s="3">
        <v>2417.16</v>
      </c>
      <c r="G1230" s="7" t="s">
        <v>367</v>
      </c>
    </row>
    <row r="1231" spans="1:7" x14ac:dyDescent="0.3">
      <c r="A1231" s="7" t="s">
        <v>1598</v>
      </c>
      <c r="B1231" s="7" t="s">
        <v>53</v>
      </c>
      <c r="C1231" s="7" t="s">
        <v>349</v>
      </c>
      <c r="D1231" s="9">
        <v>46045</v>
      </c>
      <c r="E1231" s="9">
        <v>46075</v>
      </c>
      <c r="F1231" s="3">
        <v>3317.66</v>
      </c>
      <c r="G1231" s="7" t="s">
        <v>367</v>
      </c>
    </row>
    <row r="1232" spans="1:7" x14ac:dyDescent="0.3">
      <c r="A1232" s="7" t="s">
        <v>1599</v>
      </c>
      <c r="B1232" s="7" t="s">
        <v>67</v>
      </c>
      <c r="C1232" s="7" t="s">
        <v>357</v>
      </c>
      <c r="D1232" s="9">
        <v>45981</v>
      </c>
      <c r="E1232" s="9">
        <v>46011</v>
      </c>
      <c r="F1232" s="3">
        <v>3472.68</v>
      </c>
      <c r="G1232" s="7" t="s">
        <v>367</v>
      </c>
    </row>
    <row r="1233" spans="1:7" x14ac:dyDescent="0.3">
      <c r="A1233" s="7" t="s">
        <v>1600</v>
      </c>
      <c r="B1233" s="7" t="s">
        <v>9</v>
      </c>
      <c r="C1233" s="7" t="s">
        <v>359</v>
      </c>
      <c r="D1233" s="9">
        <v>45971</v>
      </c>
      <c r="E1233" s="9">
        <v>46001</v>
      </c>
      <c r="F1233" s="3">
        <v>2029.16</v>
      </c>
      <c r="G1233" s="7" t="s">
        <v>367</v>
      </c>
    </row>
    <row r="1234" spans="1:7" x14ac:dyDescent="0.3">
      <c r="A1234" s="7" t="s">
        <v>1601</v>
      </c>
      <c r="B1234" s="7" t="s">
        <v>119</v>
      </c>
      <c r="C1234" s="7" t="s">
        <v>353</v>
      </c>
      <c r="D1234" s="9">
        <v>45972</v>
      </c>
      <c r="E1234" s="9">
        <v>46002</v>
      </c>
      <c r="F1234" s="3">
        <v>2162.85</v>
      </c>
      <c r="G1234" s="7" t="s">
        <v>367</v>
      </c>
    </row>
    <row r="1235" spans="1:7" x14ac:dyDescent="0.3">
      <c r="A1235" s="7" t="s">
        <v>1602</v>
      </c>
      <c r="B1235" s="7" t="s">
        <v>60</v>
      </c>
      <c r="C1235" s="7" t="s">
        <v>359</v>
      </c>
      <c r="D1235" s="9">
        <v>46011</v>
      </c>
      <c r="E1235" s="9">
        <v>46041</v>
      </c>
      <c r="F1235" s="3">
        <v>1537.56</v>
      </c>
      <c r="G1235" s="7" t="s">
        <v>367</v>
      </c>
    </row>
    <row r="1236" spans="1:7" x14ac:dyDescent="0.3">
      <c r="A1236" s="7" t="s">
        <v>1603</v>
      </c>
      <c r="B1236" s="7" t="s">
        <v>74</v>
      </c>
      <c r="C1236" s="7" t="s">
        <v>359</v>
      </c>
      <c r="D1236" s="9">
        <v>46023</v>
      </c>
      <c r="E1236" s="9">
        <v>46053</v>
      </c>
      <c r="F1236" s="3">
        <v>2096.7199999999998</v>
      </c>
      <c r="G1236" s="7" t="s">
        <v>367</v>
      </c>
    </row>
    <row r="1237" spans="1:7" x14ac:dyDescent="0.3">
      <c r="A1237" s="7" t="s">
        <v>1604</v>
      </c>
      <c r="B1237" s="7" t="s">
        <v>30</v>
      </c>
      <c r="C1237" s="7" t="s">
        <v>359</v>
      </c>
      <c r="D1237" s="9">
        <v>46029</v>
      </c>
      <c r="E1237" s="9">
        <v>46059</v>
      </c>
      <c r="F1237" s="3">
        <v>2114.15</v>
      </c>
      <c r="G1237" s="7" t="s">
        <v>369</v>
      </c>
    </row>
    <row r="1238" spans="1:7" x14ac:dyDescent="0.3">
      <c r="A1238" s="7" t="s">
        <v>1605</v>
      </c>
      <c r="B1238" s="7" t="s">
        <v>47</v>
      </c>
      <c r="C1238" s="7" t="s">
        <v>349</v>
      </c>
      <c r="D1238" s="9">
        <v>46089</v>
      </c>
      <c r="E1238" s="9">
        <v>46119</v>
      </c>
      <c r="F1238" s="3">
        <v>3118.51</v>
      </c>
      <c r="G1238" s="7" t="s">
        <v>367</v>
      </c>
    </row>
    <row r="1239" spans="1:7" x14ac:dyDescent="0.3">
      <c r="A1239" s="7" t="s">
        <v>1606</v>
      </c>
      <c r="B1239" s="7" t="s">
        <v>53</v>
      </c>
      <c r="C1239" s="7" t="s">
        <v>359</v>
      </c>
      <c r="D1239" s="9">
        <v>46024</v>
      </c>
      <c r="E1239" s="9">
        <v>46054</v>
      </c>
      <c r="F1239" s="3">
        <v>2015.91</v>
      </c>
      <c r="G1239" s="7" t="s">
        <v>367</v>
      </c>
    </row>
    <row r="1240" spans="1:7" x14ac:dyDescent="0.3">
      <c r="A1240" s="7" t="s">
        <v>1607</v>
      </c>
      <c r="B1240" s="7" t="s">
        <v>73</v>
      </c>
      <c r="C1240" s="7" t="s">
        <v>349</v>
      </c>
      <c r="D1240" s="9">
        <v>45976</v>
      </c>
      <c r="E1240" s="9">
        <v>46006</v>
      </c>
      <c r="F1240" s="3">
        <v>3041.3</v>
      </c>
      <c r="G1240" s="7" t="s">
        <v>367</v>
      </c>
    </row>
    <row r="1241" spans="1:7" x14ac:dyDescent="0.3">
      <c r="A1241" s="7" t="s">
        <v>1608</v>
      </c>
      <c r="B1241" s="7" t="s">
        <v>123</v>
      </c>
      <c r="C1241" s="7" t="s">
        <v>353</v>
      </c>
      <c r="D1241" s="9">
        <v>46018</v>
      </c>
      <c r="E1241" s="9">
        <v>46048</v>
      </c>
      <c r="F1241" s="3">
        <v>2373.0100000000002</v>
      </c>
      <c r="G1241" s="7" t="s">
        <v>367</v>
      </c>
    </row>
    <row r="1242" spans="1:7" x14ac:dyDescent="0.3">
      <c r="A1242" s="7" t="s">
        <v>1609</v>
      </c>
      <c r="B1242" s="7" t="s">
        <v>31</v>
      </c>
      <c r="C1242" s="7" t="s">
        <v>351</v>
      </c>
      <c r="D1242" s="9">
        <v>46083</v>
      </c>
      <c r="E1242" s="9">
        <v>46113</v>
      </c>
      <c r="F1242" s="3">
        <v>4204.84</v>
      </c>
      <c r="G1242" s="7" t="s">
        <v>367</v>
      </c>
    </row>
    <row r="1243" spans="1:7" x14ac:dyDescent="0.3">
      <c r="A1243" s="7" t="s">
        <v>1610</v>
      </c>
      <c r="B1243" s="7" t="s">
        <v>98</v>
      </c>
      <c r="C1243" s="7" t="s">
        <v>357</v>
      </c>
      <c r="D1243" s="9">
        <v>46000</v>
      </c>
      <c r="E1243" s="9">
        <v>46030</v>
      </c>
      <c r="F1243" s="3">
        <v>3658.8</v>
      </c>
      <c r="G1243" s="7" t="s">
        <v>369</v>
      </c>
    </row>
    <row r="1244" spans="1:7" x14ac:dyDescent="0.3">
      <c r="A1244" s="7" t="s">
        <v>1611</v>
      </c>
      <c r="B1244" s="7" t="s">
        <v>124</v>
      </c>
      <c r="C1244" s="7" t="s">
        <v>357</v>
      </c>
      <c r="D1244" s="9">
        <v>46057</v>
      </c>
      <c r="E1244" s="9">
        <v>46087</v>
      </c>
      <c r="F1244" s="3">
        <v>3783.17</v>
      </c>
      <c r="G1244" s="7" t="s">
        <v>367</v>
      </c>
    </row>
    <row r="1245" spans="1:7" x14ac:dyDescent="0.3">
      <c r="A1245" s="7" t="s">
        <v>1612</v>
      </c>
      <c r="B1245" s="7" t="s">
        <v>46</v>
      </c>
      <c r="C1245" s="7" t="s">
        <v>349</v>
      </c>
      <c r="D1245" s="9">
        <v>45991</v>
      </c>
      <c r="E1245" s="9">
        <v>46021</v>
      </c>
      <c r="F1245" s="3">
        <v>2539.88</v>
      </c>
      <c r="G1245" s="7" t="s">
        <v>367</v>
      </c>
    </row>
    <row r="1246" spans="1:7" x14ac:dyDescent="0.3">
      <c r="A1246" s="7" t="s">
        <v>1613</v>
      </c>
      <c r="B1246" s="7" t="s">
        <v>83</v>
      </c>
      <c r="C1246" s="7" t="s">
        <v>359</v>
      </c>
      <c r="D1246" s="9">
        <v>46090</v>
      </c>
      <c r="E1246" s="9">
        <v>46120</v>
      </c>
      <c r="F1246" s="3">
        <v>1701.05</v>
      </c>
      <c r="G1246" s="7" t="s">
        <v>369</v>
      </c>
    </row>
    <row r="1247" spans="1:7" x14ac:dyDescent="0.3">
      <c r="A1247" s="7" t="s">
        <v>1614</v>
      </c>
      <c r="B1247" s="7" t="s">
        <v>10</v>
      </c>
      <c r="C1247" s="7" t="s">
        <v>357</v>
      </c>
      <c r="D1247" s="9">
        <v>46007</v>
      </c>
      <c r="E1247" s="9">
        <v>46037</v>
      </c>
      <c r="F1247" s="3">
        <v>3869.03</v>
      </c>
      <c r="G1247" s="7" t="s">
        <v>367</v>
      </c>
    </row>
    <row r="1248" spans="1:7" x14ac:dyDescent="0.3">
      <c r="A1248" s="7" t="s">
        <v>1615</v>
      </c>
      <c r="B1248" s="7" t="s">
        <v>25</v>
      </c>
      <c r="C1248" s="7" t="s">
        <v>359</v>
      </c>
      <c r="D1248" s="9">
        <v>45976</v>
      </c>
      <c r="E1248" s="9">
        <v>46006</v>
      </c>
      <c r="F1248" s="3">
        <v>2026.49</v>
      </c>
      <c r="G1248" s="7" t="s">
        <v>369</v>
      </c>
    </row>
    <row r="1249" spans="1:7" x14ac:dyDescent="0.3">
      <c r="A1249" s="7" t="s">
        <v>1616</v>
      </c>
      <c r="B1249" s="7" t="s">
        <v>17</v>
      </c>
      <c r="C1249" s="7" t="s">
        <v>359</v>
      </c>
      <c r="D1249" s="9">
        <v>45975</v>
      </c>
      <c r="E1249" s="9">
        <v>46005</v>
      </c>
      <c r="F1249" s="3">
        <v>1603.13</v>
      </c>
      <c r="G1249" s="7" t="s">
        <v>367</v>
      </c>
    </row>
    <row r="1250" spans="1:7" x14ac:dyDescent="0.3">
      <c r="A1250" s="7" t="s">
        <v>1617</v>
      </c>
      <c r="B1250" s="7" t="s">
        <v>106</v>
      </c>
      <c r="C1250" s="7" t="s">
        <v>355</v>
      </c>
      <c r="D1250" s="9">
        <v>46001</v>
      </c>
      <c r="E1250" s="9">
        <v>46031</v>
      </c>
      <c r="F1250" s="3">
        <v>12915.93</v>
      </c>
      <c r="G1250" s="7" t="s">
        <v>367</v>
      </c>
    </row>
    <row r="1251" spans="1:7" x14ac:dyDescent="0.3">
      <c r="A1251" s="7" t="s">
        <v>1618</v>
      </c>
      <c r="B1251" s="7" t="s">
        <v>108</v>
      </c>
      <c r="C1251" s="7" t="s">
        <v>355</v>
      </c>
      <c r="D1251" s="9">
        <v>46097</v>
      </c>
      <c r="E1251" s="9">
        <v>46127</v>
      </c>
      <c r="F1251" s="3">
        <v>13235.2</v>
      </c>
      <c r="G1251" s="7" t="s">
        <v>367</v>
      </c>
    </row>
    <row r="1252" spans="1:7" x14ac:dyDescent="0.3">
      <c r="A1252" s="7" t="s">
        <v>1619</v>
      </c>
      <c r="B1252" s="7" t="s">
        <v>39</v>
      </c>
      <c r="C1252" s="7" t="s">
        <v>359</v>
      </c>
      <c r="D1252" s="9">
        <v>46045</v>
      </c>
      <c r="E1252" s="9">
        <v>46075</v>
      </c>
      <c r="F1252" s="3">
        <v>1809.71</v>
      </c>
      <c r="G1252" s="7" t="s">
        <v>367</v>
      </c>
    </row>
    <row r="1253" spans="1:7" x14ac:dyDescent="0.3">
      <c r="A1253" s="7" t="s">
        <v>1620</v>
      </c>
      <c r="B1253" s="7" t="s">
        <v>107</v>
      </c>
      <c r="C1253" s="7" t="s">
        <v>349</v>
      </c>
      <c r="D1253" s="9">
        <v>46060</v>
      </c>
      <c r="E1253" s="9">
        <v>46090</v>
      </c>
      <c r="F1253" s="3">
        <v>2479.5</v>
      </c>
      <c r="G1253" s="7" t="s">
        <v>369</v>
      </c>
    </row>
    <row r="1254" spans="1:7" x14ac:dyDescent="0.3">
      <c r="A1254" s="7" t="s">
        <v>1621</v>
      </c>
      <c r="B1254" s="7" t="s">
        <v>30</v>
      </c>
      <c r="C1254" s="7" t="s">
        <v>349</v>
      </c>
      <c r="D1254" s="9">
        <v>46083</v>
      </c>
      <c r="E1254" s="9">
        <v>46113</v>
      </c>
      <c r="F1254" s="3">
        <v>3504.12</v>
      </c>
      <c r="G1254" s="7" t="s">
        <v>369</v>
      </c>
    </row>
    <row r="1255" spans="1:7" x14ac:dyDescent="0.3">
      <c r="A1255" s="7" t="s">
        <v>1622</v>
      </c>
      <c r="B1255" s="7" t="s">
        <v>42</v>
      </c>
      <c r="C1255" s="7" t="s">
        <v>359</v>
      </c>
      <c r="D1255" s="9">
        <v>46013</v>
      </c>
      <c r="E1255" s="9">
        <v>46043</v>
      </c>
      <c r="F1255" s="3">
        <v>1693.1</v>
      </c>
      <c r="G1255" s="7" t="s">
        <v>369</v>
      </c>
    </row>
    <row r="1256" spans="1:7" x14ac:dyDescent="0.3">
      <c r="A1256" s="7" t="s">
        <v>1623</v>
      </c>
      <c r="B1256" s="7" t="s">
        <v>85</v>
      </c>
      <c r="C1256" s="7" t="s">
        <v>357</v>
      </c>
      <c r="D1256" s="9">
        <v>46065</v>
      </c>
      <c r="E1256" s="9">
        <v>46095</v>
      </c>
      <c r="F1256" s="3">
        <v>3286.97</v>
      </c>
      <c r="G1256" s="7" t="s">
        <v>369</v>
      </c>
    </row>
    <row r="1257" spans="1:7" x14ac:dyDescent="0.3">
      <c r="A1257" s="7" t="s">
        <v>1624</v>
      </c>
      <c r="B1257" s="7" t="s">
        <v>104</v>
      </c>
      <c r="C1257" s="7" t="s">
        <v>351</v>
      </c>
      <c r="D1257" s="9">
        <v>46077</v>
      </c>
      <c r="E1257" s="9">
        <v>46107</v>
      </c>
      <c r="F1257" s="3">
        <v>5009.82</v>
      </c>
      <c r="G1257" s="7" t="s">
        <v>369</v>
      </c>
    </row>
    <row r="1258" spans="1:7" x14ac:dyDescent="0.3">
      <c r="A1258" s="7" t="s">
        <v>1625</v>
      </c>
      <c r="B1258" s="7" t="s">
        <v>28</v>
      </c>
      <c r="C1258" s="7" t="s">
        <v>349</v>
      </c>
      <c r="D1258" s="9">
        <v>46080</v>
      </c>
      <c r="E1258" s="9">
        <v>46110</v>
      </c>
      <c r="F1258" s="3">
        <v>3034.61</v>
      </c>
      <c r="G1258" s="7" t="s">
        <v>387</v>
      </c>
    </row>
    <row r="1259" spans="1:7" x14ac:dyDescent="0.3">
      <c r="A1259" s="7" t="s">
        <v>1626</v>
      </c>
      <c r="B1259" s="7" t="s">
        <v>124</v>
      </c>
      <c r="C1259" s="7" t="s">
        <v>357</v>
      </c>
      <c r="D1259" s="9">
        <v>45984</v>
      </c>
      <c r="E1259" s="9">
        <v>46014</v>
      </c>
      <c r="F1259" s="3">
        <v>2806.06</v>
      </c>
      <c r="G1259" s="7" t="s">
        <v>369</v>
      </c>
    </row>
    <row r="1260" spans="1:7" x14ac:dyDescent="0.3">
      <c r="A1260" s="7" t="s">
        <v>1627</v>
      </c>
      <c r="B1260" s="7" t="s">
        <v>30</v>
      </c>
      <c r="C1260" s="7" t="s">
        <v>357</v>
      </c>
      <c r="D1260" s="9">
        <v>46097</v>
      </c>
      <c r="E1260" s="9">
        <v>46127</v>
      </c>
      <c r="F1260" s="3">
        <v>3991.82</v>
      </c>
      <c r="G1260" s="7" t="s">
        <v>367</v>
      </c>
    </row>
    <row r="1261" spans="1:7" x14ac:dyDescent="0.3">
      <c r="A1261" s="7" t="s">
        <v>1628</v>
      </c>
      <c r="B1261" s="7" t="s">
        <v>55</v>
      </c>
      <c r="C1261" s="7" t="s">
        <v>355</v>
      </c>
      <c r="D1261" s="9">
        <v>46041</v>
      </c>
      <c r="E1261" s="9">
        <v>46071</v>
      </c>
      <c r="F1261" s="3">
        <v>12832.92</v>
      </c>
      <c r="G1261" s="7" t="s">
        <v>369</v>
      </c>
    </row>
    <row r="1262" spans="1:7" x14ac:dyDescent="0.3">
      <c r="A1262" s="7" t="s">
        <v>1629</v>
      </c>
      <c r="B1262" s="7" t="s">
        <v>47</v>
      </c>
      <c r="C1262" s="7" t="s">
        <v>355</v>
      </c>
      <c r="D1262" s="9">
        <v>46036</v>
      </c>
      <c r="E1262" s="9">
        <v>46066</v>
      </c>
      <c r="F1262" s="3">
        <v>10628.52</v>
      </c>
      <c r="G1262" s="7" t="s">
        <v>367</v>
      </c>
    </row>
    <row r="1263" spans="1:7" x14ac:dyDescent="0.3">
      <c r="A1263" s="7" t="s">
        <v>1630</v>
      </c>
      <c r="B1263" s="7" t="s">
        <v>53</v>
      </c>
      <c r="C1263" s="7" t="s">
        <v>349</v>
      </c>
      <c r="D1263" s="9">
        <v>46032</v>
      </c>
      <c r="E1263" s="9">
        <v>46062</v>
      </c>
      <c r="F1263" s="3">
        <v>2959.08</v>
      </c>
      <c r="G1263" s="7" t="s">
        <v>367</v>
      </c>
    </row>
    <row r="1264" spans="1:7" x14ac:dyDescent="0.3">
      <c r="A1264" s="7" t="s">
        <v>1631</v>
      </c>
      <c r="B1264" s="7" t="s">
        <v>70</v>
      </c>
      <c r="C1264" s="7" t="s">
        <v>359</v>
      </c>
      <c r="D1264" s="9">
        <v>46034</v>
      </c>
      <c r="E1264" s="9">
        <v>46064</v>
      </c>
      <c r="F1264" s="3">
        <v>1647.56</v>
      </c>
      <c r="G1264" s="7" t="s">
        <v>367</v>
      </c>
    </row>
    <row r="1265" spans="1:7" x14ac:dyDescent="0.3">
      <c r="A1265" s="7" t="s">
        <v>1632</v>
      </c>
      <c r="B1265" s="7" t="s">
        <v>94</v>
      </c>
      <c r="C1265" s="7" t="s">
        <v>349</v>
      </c>
      <c r="D1265" s="9">
        <v>46052</v>
      </c>
      <c r="E1265" s="9">
        <v>46082</v>
      </c>
      <c r="F1265" s="3">
        <v>2861.74</v>
      </c>
      <c r="G1265" s="7" t="s">
        <v>367</v>
      </c>
    </row>
    <row r="1266" spans="1:7" x14ac:dyDescent="0.3">
      <c r="A1266" s="7" t="s">
        <v>1633</v>
      </c>
      <c r="B1266" s="7" t="s">
        <v>61</v>
      </c>
      <c r="C1266" s="7" t="s">
        <v>355</v>
      </c>
      <c r="D1266" s="9">
        <v>46013</v>
      </c>
      <c r="E1266" s="9">
        <v>46043</v>
      </c>
      <c r="F1266" s="3">
        <v>10684.19</v>
      </c>
      <c r="G1266" s="7" t="s">
        <v>387</v>
      </c>
    </row>
    <row r="1267" spans="1:7" x14ac:dyDescent="0.3">
      <c r="A1267" s="7" t="s">
        <v>1634</v>
      </c>
      <c r="B1267" s="7" t="s">
        <v>54</v>
      </c>
      <c r="C1267" s="7" t="s">
        <v>351</v>
      </c>
      <c r="D1267" s="9">
        <v>46098</v>
      </c>
      <c r="E1267" s="9">
        <v>46128</v>
      </c>
      <c r="F1267" s="3">
        <v>5713.55</v>
      </c>
      <c r="G1267" s="7" t="s">
        <v>369</v>
      </c>
    </row>
    <row r="1268" spans="1:7" x14ac:dyDescent="0.3">
      <c r="A1268" s="7" t="s">
        <v>1635</v>
      </c>
      <c r="B1268" s="7" t="s">
        <v>57</v>
      </c>
      <c r="C1268" s="7" t="s">
        <v>351</v>
      </c>
      <c r="D1268" s="9">
        <v>46009</v>
      </c>
      <c r="E1268" s="9">
        <v>46039</v>
      </c>
      <c r="F1268" s="3">
        <v>4025.57</v>
      </c>
      <c r="G1268" s="7" t="s">
        <v>367</v>
      </c>
    </row>
    <row r="1269" spans="1:7" x14ac:dyDescent="0.3">
      <c r="A1269" s="7" t="s">
        <v>1636</v>
      </c>
      <c r="B1269" s="7" t="s">
        <v>57</v>
      </c>
      <c r="C1269" s="7" t="s">
        <v>355</v>
      </c>
      <c r="D1269" s="9">
        <v>46066</v>
      </c>
      <c r="E1269" s="9">
        <v>46096</v>
      </c>
      <c r="F1269" s="3">
        <v>12108.78</v>
      </c>
      <c r="G1269" s="7" t="s">
        <v>367</v>
      </c>
    </row>
    <row r="1270" spans="1:7" x14ac:dyDescent="0.3">
      <c r="A1270" s="7" t="s">
        <v>1637</v>
      </c>
      <c r="B1270" s="7" t="s">
        <v>28</v>
      </c>
      <c r="C1270" s="7" t="s">
        <v>355</v>
      </c>
      <c r="D1270" s="9">
        <v>46050</v>
      </c>
      <c r="E1270" s="9">
        <v>46080</v>
      </c>
      <c r="F1270" s="3">
        <v>12936.18</v>
      </c>
      <c r="G1270" s="7" t="s">
        <v>369</v>
      </c>
    </row>
    <row r="1271" spans="1:7" x14ac:dyDescent="0.3">
      <c r="A1271" s="7" t="s">
        <v>1638</v>
      </c>
      <c r="B1271" s="7" t="s">
        <v>115</v>
      </c>
      <c r="C1271" s="7" t="s">
        <v>349</v>
      </c>
      <c r="D1271" s="9">
        <v>46007</v>
      </c>
      <c r="E1271" s="9">
        <v>46037</v>
      </c>
      <c r="F1271" s="3">
        <v>2836.45</v>
      </c>
      <c r="G1271" s="7" t="s">
        <v>367</v>
      </c>
    </row>
    <row r="1272" spans="1:7" x14ac:dyDescent="0.3">
      <c r="A1272" s="7" t="s">
        <v>1639</v>
      </c>
      <c r="B1272" s="7" t="s">
        <v>42</v>
      </c>
      <c r="C1272" s="7" t="s">
        <v>355</v>
      </c>
      <c r="D1272" s="9">
        <v>46064</v>
      </c>
      <c r="E1272" s="9">
        <v>46094</v>
      </c>
      <c r="F1272" s="3">
        <v>10189.26</v>
      </c>
      <c r="G1272" s="7" t="s">
        <v>367</v>
      </c>
    </row>
    <row r="1273" spans="1:7" x14ac:dyDescent="0.3">
      <c r="A1273" s="7" t="s">
        <v>1640</v>
      </c>
      <c r="B1273" s="7" t="s">
        <v>109</v>
      </c>
      <c r="C1273" s="7" t="s">
        <v>359</v>
      </c>
      <c r="D1273" s="9">
        <v>46077</v>
      </c>
      <c r="E1273" s="9">
        <v>46107</v>
      </c>
      <c r="F1273" s="3">
        <v>1991.5</v>
      </c>
      <c r="G1273" s="7" t="s">
        <v>369</v>
      </c>
    </row>
    <row r="1274" spans="1:7" x14ac:dyDescent="0.3">
      <c r="A1274" s="7" t="s">
        <v>1641</v>
      </c>
      <c r="B1274" s="7" t="s">
        <v>58</v>
      </c>
      <c r="C1274" s="7" t="s">
        <v>359</v>
      </c>
      <c r="D1274" s="9">
        <v>46087</v>
      </c>
      <c r="E1274" s="9">
        <v>46117</v>
      </c>
      <c r="F1274" s="3">
        <v>2119.12</v>
      </c>
      <c r="G1274" s="7" t="s">
        <v>367</v>
      </c>
    </row>
    <row r="1275" spans="1:7" x14ac:dyDescent="0.3">
      <c r="A1275" s="7" t="s">
        <v>1642</v>
      </c>
      <c r="B1275" s="7" t="s">
        <v>39</v>
      </c>
      <c r="C1275" s="7" t="s">
        <v>355</v>
      </c>
      <c r="D1275" s="9">
        <v>45963</v>
      </c>
      <c r="E1275" s="9">
        <v>45993</v>
      </c>
      <c r="F1275" s="3">
        <v>12054.79</v>
      </c>
      <c r="G1275" s="7" t="s">
        <v>367</v>
      </c>
    </row>
    <row r="1276" spans="1:7" x14ac:dyDescent="0.3">
      <c r="A1276" s="7" t="s">
        <v>1643</v>
      </c>
      <c r="B1276" s="7" t="s">
        <v>101</v>
      </c>
      <c r="C1276" s="7" t="s">
        <v>355</v>
      </c>
      <c r="D1276" s="9">
        <v>46105</v>
      </c>
      <c r="E1276" s="9">
        <v>46135</v>
      </c>
      <c r="F1276" s="3">
        <v>11986.91</v>
      </c>
      <c r="G1276" s="7" t="s">
        <v>367</v>
      </c>
    </row>
    <row r="1277" spans="1:7" x14ac:dyDescent="0.3">
      <c r="A1277" s="7" t="s">
        <v>1644</v>
      </c>
      <c r="B1277" s="7" t="s">
        <v>29</v>
      </c>
      <c r="C1277" s="7" t="s">
        <v>349</v>
      </c>
      <c r="D1277" s="9">
        <v>46067</v>
      </c>
      <c r="E1277" s="9">
        <v>46097</v>
      </c>
      <c r="F1277" s="3">
        <v>3396.37</v>
      </c>
      <c r="G1277" s="7" t="s">
        <v>367</v>
      </c>
    </row>
    <row r="1278" spans="1:7" x14ac:dyDescent="0.3">
      <c r="A1278" s="7" t="s">
        <v>1645</v>
      </c>
      <c r="B1278" s="7" t="s">
        <v>86</v>
      </c>
      <c r="C1278" s="7" t="s">
        <v>355</v>
      </c>
      <c r="D1278" s="9">
        <v>46049</v>
      </c>
      <c r="E1278" s="9">
        <v>46079</v>
      </c>
      <c r="F1278" s="3">
        <v>12502</v>
      </c>
      <c r="G1278" s="7" t="s">
        <v>367</v>
      </c>
    </row>
    <row r="1279" spans="1:7" x14ac:dyDescent="0.3">
      <c r="A1279" s="7" t="s">
        <v>1646</v>
      </c>
      <c r="B1279" s="7" t="s">
        <v>108</v>
      </c>
      <c r="C1279" s="7" t="s">
        <v>349</v>
      </c>
      <c r="D1279" s="9">
        <v>45996</v>
      </c>
      <c r="E1279" s="9">
        <v>46026</v>
      </c>
      <c r="F1279" s="3">
        <v>3312.21</v>
      </c>
      <c r="G1279" s="7" t="s">
        <v>369</v>
      </c>
    </row>
    <row r="1280" spans="1:7" x14ac:dyDescent="0.3">
      <c r="A1280" s="7" t="s">
        <v>1647</v>
      </c>
      <c r="B1280" s="7" t="s">
        <v>40</v>
      </c>
      <c r="C1280" s="7" t="s">
        <v>355</v>
      </c>
      <c r="D1280" s="9">
        <v>45971</v>
      </c>
      <c r="E1280" s="9">
        <v>46001</v>
      </c>
      <c r="F1280" s="3">
        <v>10569.27</v>
      </c>
      <c r="G1280" s="7" t="s">
        <v>367</v>
      </c>
    </row>
    <row r="1281" spans="1:7" x14ac:dyDescent="0.3">
      <c r="A1281" s="7" t="s">
        <v>1648</v>
      </c>
      <c r="B1281" s="7" t="s">
        <v>104</v>
      </c>
      <c r="C1281" s="7" t="s">
        <v>357</v>
      </c>
      <c r="D1281" s="9">
        <v>45965</v>
      </c>
      <c r="E1281" s="9">
        <v>45995</v>
      </c>
      <c r="F1281" s="3">
        <v>3281.06</v>
      </c>
      <c r="G1281" s="7" t="s">
        <v>367</v>
      </c>
    </row>
    <row r="1282" spans="1:7" x14ac:dyDescent="0.3">
      <c r="A1282" s="7" t="s">
        <v>1649</v>
      </c>
      <c r="B1282" s="7" t="s">
        <v>47</v>
      </c>
      <c r="C1282" s="7" t="s">
        <v>349</v>
      </c>
      <c r="D1282" s="9">
        <v>46047</v>
      </c>
      <c r="E1282" s="9">
        <v>46077</v>
      </c>
      <c r="F1282" s="3">
        <v>3588.85</v>
      </c>
      <c r="G1282" s="7" t="s">
        <v>367</v>
      </c>
    </row>
    <row r="1283" spans="1:7" x14ac:dyDescent="0.3">
      <c r="A1283" s="7" t="s">
        <v>1650</v>
      </c>
      <c r="B1283" s="7" t="s">
        <v>91</v>
      </c>
      <c r="C1283" s="7" t="s">
        <v>355</v>
      </c>
      <c r="D1283" s="9">
        <v>46004</v>
      </c>
      <c r="E1283" s="9">
        <v>46034</v>
      </c>
      <c r="F1283" s="3">
        <v>11724.27</v>
      </c>
      <c r="G1283" s="7" t="s">
        <v>367</v>
      </c>
    </row>
    <row r="1284" spans="1:7" x14ac:dyDescent="0.3">
      <c r="A1284" s="7" t="s">
        <v>1651</v>
      </c>
      <c r="B1284" s="7" t="s">
        <v>46</v>
      </c>
      <c r="C1284" s="7" t="s">
        <v>353</v>
      </c>
      <c r="D1284" s="9">
        <v>45995</v>
      </c>
      <c r="E1284" s="9">
        <v>46025</v>
      </c>
      <c r="F1284" s="3">
        <v>2884.7</v>
      </c>
      <c r="G1284" s="7" t="s">
        <v>367</v>
      </c>
    </row>
    <row r="1285" spans="1:7" x14ac:dyDescent="0.3">
      <c r="A1285" s="7" t="s">
        <v>1652</v>
      </c>
      <c r="B1285" s="7" t="s">
        <v>69</v>
      </c>
      <c r="C1285" s="7" t="s">
        <v>359</v>
      </c>
      <c r="D1285" s="9">
        <v>45996</v>
      </c>
      <c r="E1285" s="9">
        <v>46026</v>
      </c>
      <c r="F1285" s="3">
        <v>1720.14</v>
      </c>
      <c r="G1285" s="7" t="s">
        <v>367</v>
      </c>
    </row>
    <row r="1286" spans="1:7" x14ac:dyDescent="0.3">
      <c r="A1286" s="7" t="s">
        <v>1653</v>
      </c>
      <c r="B1286" s="7" t="s">
        <v>78</v>
      </c>
      <c r="C1286" s="7" t="s">
        <v>359</v>
      </c>
      <c r="D1286" s="9">
        <v>46003</v>
      </c>
      <c r="E1286" s="9">
        <v>46033</v>
      </c>
      <c r="F1286" s="3">
        <v>1838.72</v>
      </c>
      <c r="G1286" s="7" t="s">
        <v>367</v>
      </c>
    </row>
    <row r="1287" spans="1:7" x14ac:dyDescent="0.3">
      <c r="A1287" s="7" t="s">
        <v>1654</v>
      </c>
      <c r="B1287" s="7" t="s">
        <v>55</v>
      </c>
      <c r="C1287" s="7" t="s">
        <v>351</v>
      </c>
      <c r="D1287" s="9">
        <v>46079</v>
      </c>
      <c r="E1287" s="9">
        <v>46109</v>
      </c>
      <c r="F1287" s="3">
        <v>5013.37</v>
      </c>
      <c r="G1287" s="7" t="s">
        <v>367</v>
      </c>
    </row>
    <row r="1288" spans="1:7" x14ac:dyDescent="0.3">
      <c r="A1288" s="7" t="s">
        <v>1655</v>
      </c>
      <c r="B1288" s="7" t="s">
        <v>10</v>
      </c>
      <c r="C1288" s="7" t="s">
        <v>357</v>
      </c>
      <c r="D1288" s="9">
        <v>45987</v>
      </c>
      <c r="E1288" s="9">
        <v>46017</v>
      </c>
      <c r="F1288" s="3">
        <v>3747.08</v>
      </c>
      <c r="G1288" s="7" t="s">
        <v>367</v>
      </c>
    </row>
    <row r="1289" spans="1:7" x14ac:dyDescent="0.3">
      <c r="A1289" s="7" t="s">
        <v>1656</v>
      </c>
      <c r="B1289" s="7" t="s">
        <v>101</v>
      </c>
      <c r="C1289" s="7" t="s">
        <v>357</v>
      </c>
      <c r="D1289" s="9">
        <v>45996</v>
      </c>
      <c r="E1289" s="9">
        <v>46026</v>
      </c>
      <c r="F1289" s="3">
        <v>2863.17</v>
      </c>
      <c r="G1289" s="7" t="s">
        <v>367</v>
      </c>
    </row>
    <row r="1290" spans="1:7" x14ac:dyDescent="0.3">
      <c r="A1290" s="7" t="s">
        <v>1657</v>
      </c>
      <c r="B1290" s="7" t="s">
        <v>61</v>
      </c>
      <c r="C1290" s="7" t="s">
        <v>357</v>
      </c>
      <c r="D1290" s="9">
        <v>46025</v>
      </c>
      <c r="E1290" s="9">
        <v>46055</v>
      </c>
      <c r="F1290" s="3">
        <v>2837.66</v>
      </c>
      <c r="G1290" s="7" t="s">
        <v>367</v>
      </c>
    </row>
    <row r="1291" spans="1:7" x14ac:dyDescent="0.3">
      <c r="A1291" s="7" t="s">
        <v>1658</v>
      </c>
      <c r="B1291" s="7" t="s">
        <v>38</v>
      </c>
      <c r="C1291" s="7" t="s">
        <v>353</v>
      </c>
      <c r="D1291" s="9">
        <v>46102</v>
      </c>
      <c r="E1291" s="9">
        <v>46132</v>
      </c>
      <c r="F1291" s="3">
        <v>2991.95</v>
      </c>
      <c r="G1291" s="7" t="s">
        <v>367</v>
      </c>
    </row>
    <row r="1292" spans="1:7" x14ac:dyDescent="0.3">
      <c r="A1292" s="7" t="s">
        <v>1659</v>
      </c>
      <c r="B1292" s="7" t="s">
        <v>95</v>
      </c>
      <c r="C1292" s="7" t="s">
        <v>351</v>
      </c>
      <c r="D1292" s="9">
        <v>46058</v>
      </c>
      <c r="E1292" s="9">
        <v>46088</v>
      </c>
      <c r="F1292" s="3">
        <v>4469.24</v>
      </c>
      <c r="G1292" s="7" t="s">
        <v>367</v>
      </c>
    </row>
    <row r="1293" spans="1:7" x14ac:dyDescent="0.3">
      <c r="A1293" s="7" t="s">
        <v>1660</v>
      </c>
      <c r="B1293" s="7" t="s">
        <v>75</v>
      </c>
      <c r="C1293" s="7" t="s">
        <v>349</v>
      </c>
      <c r="D1293" s="9">
        <v>46086</v>
      </c>
      <c r="E1293" s="9">
        <v>46116</v>
      </c>
      <c r="F1293" s="3">
        <v>3442.73</v>
      </c>
      <c r="G1293" s="7" t="s">
        <v>367</v>
      </c>
    </row>
    <row r="1294" spans="1:7" x14ac:dyDescent="0.3">
      <c r="A1294" s="7" t="s">
        <v>1661</v>
      </c>
      <c r="B1294" s="7" t="s">
        <v>122</v>
      </c>
      <c r="C1294" s="7" t="s">
        <v>353</v>
      </c>
      <c r="D1294" s="9">
        <v>46001</v>
      </c>
      <c r="E1294" s="9">
        <v>46031</v>
      </c>
      <c r="F1294" s="3">
        <v>2037.38</v>
      </c>
      <c r="G1294" s="7" t="s">
        <v>367</v>
      </c>
    </row>
    <row r="1295" spans="1:7" x14ac:dyDescent="0.3">
      <c r="A1295" s="7" t="s">
        <v>1662</v>
      </c>
      <c r="B1295" s="7" t="s">
        <v>47</v>
      </c>
      <c r="C1295" s="7" t="s">
        <v>355</v>
      </c>
      <c r="D1295" s="9">
        <v>46011</v>
      </c>
      <c r="E1295" s="9">
        <v>46041</v>
      </c>
      <c r="F1295" s="3">
        <v>10879.77</v>
      </c>
      <c r="G1295" s="7" t="s">
        <v>367</v>
      </c>
    </row>
    <row r="1296" spans="1:7" x14ac:dyDescent="0.3">
      <c r="A1296" s="7" t="s">
        <v>1663</v>
      </c>
      <c r="B1296" s="7" t="s">
        <v>69</v>
      </c>
      <c r="C1296" s="7" t="s">
        <v>355</v>
      </c>
      <c r="D1296" s="9">
        <v>46108</v>
      </c>
      <c r="E1296" s="9">
        <v>46138</v>
      </c>
      <c r="F1296" s="3">
        <v>12337.7</v>
      </c>
      <c r="G1296" s="7" t="s">
        <v>367</v>
      </c>
    </row>
    <row r="1297" spans="1:7" x14ac:dyDescent="0.3">
      <c r="A1297" s="7" t="s">
        <v>1664</v>
      </c>
      <c r="B1297" s="7" t="s">
        <v>110</v>
      </c>
      <c r="C1297" s="7" t="s">
        <v>349</v>
      </c>
      <c r="D1297" s="9">
        <v>46095</v>
      </c>
      <c r="E1297" s="9">
        <v>46125</v>
      </c>
      <c r="F1297" s="3">
        <v>3229.04</v>
      </c>
      <c r="G1297" s="7" t="s">
        <v>367</v>
      </c>
    </row>
    <row r="1298" spans="1:7" x14ac:dyDescent="0.3">
      <c r="A1298" s="7" t="s">
        <v>1665</v>
      </c>
      <c r="B1298" s="7" t="s">
        <v>62</v>
      </c>
      <c r="C1298" s="7" t="s">
        <v>359</v>
      </c>
      <c r="D1298" s="9">
        <v>46088</v>
      </c>
      <c r="E1298" s="9">
        <v>46118</v>
      </c>
      <c r="F1298" s="3">
        <v>1684.47</v>
      </c>
      <c r="G1298" s="7" t="s">
        <v>367</v>
      </c>
    </row>
    <row r="1299" spans="1:7" x14ac:dyDescent="0.3">
      <c r="A1299" s="7" t="s">
        <v>1666</v>
      </c>
      <c r="B1299" s="7" t="s">
        <v>75</v>
      </c>
      <c r="C1299" s="7" t="s">
        <v>351</v>
      </c>
      <c r="D1299" s="9">
        <v>46000</v>
      </c>
      <c r="E1299" s="9">
        <v>46030</v>
      </c>
      <c r="F1299" s="3">
        <v>4993.8999999999996</v>
      </c>
      <c r="G1299" s="7" t="s">
        <v>369</v>
      </c>
    </row>
    <row r="1300" spans="1:7" x14ac:dyDescent="0.3">
      <c r="A1300" s="7" t="s">
        <v>1667</v>
      </c>
      <c r="B1300" s="7" t="s">
        <v>58</v>
      </c>
      <c r="C1300" s="7" t="s">
        <v>351</v>
      </c>
      <c r="D1300" s="9">
        <v>45991</v>
      </c>
      <c r="E1300" s="9">
        <v>46021</v>
      </c>
      <c r="F1300" s="3">
        <v>4574.71</v>
      </c>
      <c r="G1300" s="7" t="s">
        <v>387</v>
      </c>
    </row>
    <row r="1301" spans="1:7" x14ac:dyDescent="0.3">
      <c r="A1301" s="7" t="s">
        <v>1668</v>
      </c>
      <c r="B1301" s="7" t="s">
        <v>19</v>
      </c>
      <c r="C1301" s="7" t="s">
        <v>351</v>
      </c>
      <c r="D1301" s="9">
        <v>46016</v>
      </c>
      <c r="E1301" s="9">
        <v>46046</v>
      </c>
      <c r="F1301" s="3">
        <v>5249.14</v>
      </c>
      <c r="G1301" s="7" t="s">
        <v>369</v>
      </c>
    </row>
    <row r="1302" spans="1:7" x14ac:dyDescent="0.3">
      <c r="A1302" s="7" t="s">
        <v>1669</v>
      </c>
      <c r="B1302" s="7" t="s">
        <v>67</v>
      </c>
      <c r="C1302" s="7" t="s">
        <v>357</v>
      </c>
      <c r="D1302" s="9">
        <v>46075</v>
      </c>
      <c r="E1302" s="9">
        <v>46105</v>
      </c>
      <c r="F1302" s="3">
        <v>3271.57</v>
      </c>
      <c r="G1302" s="7" t="s">
        <v>369</v>
      </c>
    </row>
    <row r="1303" spans="1:7" x14ac:dyDescent="0.3">
      <c r="A1303" s="7" t="s">
        <v>1670</v>
      </c>
      <c r="B1303" s="7" t="s">
        <v>45</v>
      </c>
      <c r="C1303" s="7" t="s">
        <v>355</v>
      </c>
      <c r="D1303" s="9">
        <v>46094</v>
      </c>
      <c r="E1303" s="9">
        <v>46124</v>
      </c>
      <c r="F1303" s="3">
        <v>10606.75</v>
      </c>
      <c r="G1303" s="7" t="s">
        <v>367</v>
      </c>
    </row>
    <row r="1304" spans="1:7" x14ac:dyDescent="0.3">
      <c r="A1304" s="7" t="s">
        <v>1671</v>
      </c>
      <c r="B1304" s="7" t="s">
        <v>32</v>
      </c>
      <c r="C1304" s="7" t="s">
        <v>357</v>
      </c>
      <c r="D1304" s="9">
        <v>45964</v>
      </c>
      <c r="E1304" s="9">
        <v>45994</v>
      </c>
      <c r="F1304" s="3">
        <v>3925.78</v>
      </c>
      <c r="G1304" s="7" t="s">
        <v>367</v>
      </c>
    </row>
    <row r="1305" spans="1:7" x14ac:dyDescent="0.3">
      <c r="A1305" s="7" t="s">
        <v>1672</v>
      </c>
      <c r="B1305" s="7" t="s">
        <v>104</v>
      </c>
      <c r="C1305" s="7" t="s">
        <v>355</v>
      </c>
      <c r="D1305" s="9">
        <v>45983</v>
      </c>
      <c r="E1305" s="9">
        <v>46013</v>
      </c>
      <c r="F1305" s="3">
        <v>11531.04</v>
      </c>
      <c r="G1305" s="7" t="s">
        <v>367</v>
      </c>
    </row>
    <row r="1306" spans="1:7" x14ac:dyDescent="0.3">
      <c r="A1306" s="7" t="s">
        <v>1673</v>
      </c>
      <c r="B1306" s="7" t="s">
        <v>117</v>
      </c>
      <c r="C1306" s="7" t="s">
        <v>357</v>
      </c>
      <c r="D1306" s="9">
        <v>46058</v>
      </c>
      <c r="E1306" s="9">
        <v>46088</v>
      </c>
      <c r="F1306" s="3">
        <v>3052.84</v>
      </c>
      <c r="G1306" s="7" t="s">
        <v>367</v>
      </c>
    </row>
    <row r="1307" spans="1:7" x14ac:dyDescent="0.3">
      <c r="A1307" s="7" t="s">
        <v>1674</v>
      </c>
      <c r="B1307" s="7" t="s">
        <v>102</v>
      </c>
      <c r="C1307" s="7" t="s">
        <v>351</v>
      </c>
      <c r="D1307" s="9">
        <v>45993</v>
      </c>
      <c r="E1307" s="9">
        <v>46023</v>
      </c>
      <c r="F1307" s="3">
        <v>5153.6899999999996</v>
      </c>
      <c r="G1307" s="7" t="s">
        <v>387</v>
      </c>
    </row>
    <row r="1308" spans="1:7" x14ac:dyDescent="0.3">
      <c r="A1308" s="7" t="s">
        <v>1675</v>
      </c>
      <c r="B1308" s="7" t="s">
        <v>116</v>
      </c>
      <c r="C1308" s="7" t="s">
        <v>355</v>
      </c>
      <c r="D1308" s="9">
        <v>46025</v>
      </c>
      <c r="E1308" s="9">
        <v>46055</v>
      </c>
      <c r="F1308" s="3">
        <v>10886.09</v>
      </c>
      <c r="G1308" s="7" t="s">
        <v>369</v>
      </c>
    </row>
    <row r="1309" spans="1:7" x14ac:dyDescent="0.3">
      <c r="A1309" s="7" t="s">
        <v>1676</v>
      </c>
      <c r="B1309" s="7" t="s">
        <v>32</v>
      </c>
      <c r="C1309" s="7" t="s">
        <v>355</v>
      </c>
      <c r="D1309" s="9">
        <v>46026</v>
      </c>
      <c r="E1309" s="9">
        <v>46056</v>
      </c>
      <c r="F1309" s="3">
        <v>14086.25</v>
      </c>
      <c r="G1309" s="7" t="s">
        <v>367</v>
      </c>
    </row>
    <row r="1310" spans="1:7" x14ac:dyDescent="0.3">
      <c r="A1310" s="7" t="s">
        <v>1677</v>
      </c>
      <c r="B1310" s="7" t="s">
        <v>104</v>
      </c>
      <c r="C1310" s="7" t="s">
        <v>353</v>
      </c>
      <c r="D1310" s="9">
        <v>46060</v>
      </c>
      <c r="E1310" s="9">
        <v>46090</v>
      </c>
      <c r="F1310" s="3">
        <v>2462.4899999999998</v>
      </c>
      <c r="G1310" s="7" t="s">
        <v>367</v>
      </c>
    </row>
    <row r="1311" spans="1:7" x14ac:dyDescent="0.3">
      <c r="A1311" s="7" t="s">
        <v>1678</v>
      </c>
      <c r="B1311" s="7" t="s">
        <v>123</v>
      </c>
      <c r="C1311" s="7" t="s">
        <v>353</v>
      </c>
      <c r="D1311" s="9">
        <v>46073</v>
      </c>
      <c r="E1311" s="9">
        <v>46103</v>
      </c>
      <c r="F1311" s="3">
        <v>2844.12</v>
      </c>
      <c r="G1311" s="7" t="s">
        <v>369</v>
      </c>
    </row>
    <row r="1312" spans="1:7" x14ac:dyDescent="0.3">
      <c r="A1312" s="7" t="s">
        <v>1679</v>
      </c>
      <c r="B1312" s="7" t="s">
        <v>43</v>
      </c>
      <c r="C1312" s="7" t="s">
        <v>349</v>
      </c>
      <c r="D1312" s="9">
        <v>46014</v>
      </c>
      <c r="E1312" s="9">
        <v>46044</v>
      </c>
      <c r="F1312" s="3">
        <v>3160.71</v>
      </c>
      <c r="G1312" s="7" t="s">
        <v>367</v>
      </c>
    </row>
    <row r="1313" spans="1:7" x14ac:dyDescent="0.3">
      <c r="A1313" s="7" t="s">
        <v>1680</v>
      </c>
      <c r="B1313" s="7" t="s">
        <v>37</v>
      </c>
      <c r="C1313" s="7" t="s">
        <v>359</v>
      </c>
      <c r="D1313" s="9">
        <v>45970</v>
      </c>
      <c r="E1313" s="9">
        <v>46000</v>
      </c>
      <c r="F1313" s="3">
        <v>1555.62</v>
      </c>
      <c r="G1313" s="7" t="s">
        <v>367</v>
      </c>
    </row>
    <row r="1314" spans="1:7" x14ac:dyDescent="0.3">
      <c r="A1314" s="7" t="s">
        <v>1681</v>
      </c>
      <c r="B1314" s="7" t="s">
        <v>46</v>
      </c>
      <c r="C1314" s="7" t="s">
        <v>349</v>
      </c>
      <c r="D1314" s="9">
        <v>45997</v>
      </c>
      <c r="E1314" s="9">
        <v>46027</v>
      </c>
      <c r="F1314" s="3">
        <v>2579.9499999999998</v>
      </c>
      <c r="G1314" s="7" t="s">
        <v>369</v>
      </c>
    </row>
    <row r="1315" spans="1:7" x14ac:dyDescent="0.3">
      <c r="A1315" s="7" t="s">
        <v>1682</v>
      </c>
      <c r="B1315" s="7" t="s">
        <v>11</v>
      </c>
      <c r="C1315" s="7" t="s">
        <v>355</v>
      </c>
      <c r="D1315" s="9">
        <v>45997</v>
      </c>
      <c r="E1315" s="9">
        <v>46027</v>
      </c>
      <c r="F1315" s="3">
        <v>11929.84</v>
      </c>
      <c r="G1315" s="7" t="s">
        <v>367</v>
      </c>
    </row>
    <row r="1316" spans="1:7" x14ac:dyDescent="0.3">
      <c r="A1316" s="7" t="s">
        <v>1683</v>
      </c>
      <c r="B1316" s="7" t="s">
        <v>109</v>
      </c>
      <c r="C1316" s="7" t="s">
        <v>351</v>
      </c>
      <c r="D1316" s="9">
        <v>46047</v>
      </c>
      <c r="E1316" s="9">
        <v>46077</v>
      </c>
      <c r="F1316" s="3">
        <v>4318.72</v>
      </c>
      <c r="G1316" s="7" t="s">
        <v>367</v>
      </c>
    </row>
    <row r="1317" spans="1:7" x14ac:dyDescent="0.3">
      <c r="A1317" s="7" t="s">
        <v>1684</v>
      </c>
      <c r="B1317" s="7" t="s">
        <v>99</v>
      </c>
      <c r="C1317" s="7" t="s">
        <v>353</v>
      </c>
      <c r="D1317" s="9">
        <v>46009</v>
      </c>
      <c r="E1317" s="9">
        <v>46039</v>
      </c>
      <c r="F1317" s="3">
        <v>2658.67</v>
      </c>
      <c r="G1317" s="7" t="s">
        <v>369</v>
      </c>
    </row>
    <row r="1318" spans="1:7" x14ac:dyDescent="0.3">
      <c r="A1318" s="7" t="s">
        <v>1685</v>
      </c>
      <c r="B1318" s="7" t="s">
        <v>45</v>
      </c>
      <c r="C1318" s="7" t="s">
        <v>355</v>
      </c>
      <c r="D1318" s="9">
        <v>46027</v>
      </c>
      <c r="E1318" s="9">
        <v>46057</v>
      </c>
      <c r="F1318" s="3">
        <v>13354.72</v>
      </c>
      <c r="G1318" s="7" t="s">
        <v>367</v>
      </c>
    </row>
    <row r="1319" spans="1:7" x14ac:dyDescent="0.3">
      <c r="A1319" s="7" t="s">
        <v>1686</v>
      </c>
      <c r="B1319" s="7" t="s">
        <v>120</v>
      </c>
      <c r="C1319" s="7" t="s">
        <v>349</v>
      </c>
      <c r="D1319" s="9">
        <v>46048</v>
      </c>
      <c r="E1319" s="9">
        <v>46078</v>
      </c>
      <c r="F1319" s="3">
        <v>3480.69</v>
      </c>
      <c r="G1319" s="7" t="s">
        <v>367</v>
      </c>
    </row>
    <row r="1320" spans="1:7" x14ac:dyDescent="0.3">
      <c r="A1320" s="7" t="s">
        <v>1687</v>
      </c>
      <c r="B1320" s="7" t="s">
        <v>37</v>
      </c>
      <c r="C1320" s="7" t="s">
        <v>349</v>
      </c>
      <c r="D1320" s="9">
        <v>45999</v>
      </c>
      <c r="E1320" s="9">
        <v>46029</v>
      </c>
      <c r="F1320" s="3">
        <v>2876.27</v>
      </c>
      <c r="G1320" s="7" t="s">
        <v>369</v>
      </c>
    </row>
    <row r="1321" spans="1:7" x14ac:dyDescent="0.3">
      <c r="A1321" s="7" t="s">
        <v>1688</v>
      </c>
      <c r="B1321" s="7" t="s">
        <v>113</v>
      </c>
      <c r="C1321" s="7" t="s">
        <v>349</v>
      </c>
      <c r="D1321" s="9">
        <v>45965</v>
      </c>
      <c r="E1321" s="9">
        <v>45995</v>
      </c>
      <c r="F1321" s="3">
        <v>3085.17</v>
      </c>
      <c r="G1321" s="7" t="s">
        <v>367</v>
      </c>
    </row>
    <row r="1322" spans="1:7" x14ac:dyDescent="0.3">
      <c r="A1322" s="7" t="s">
        <v>1689</v>
      </c>
      <c r="B1322" s="7" t="s">
        <v>18</v>
      </c>
      <c r="C1322" s="7" t="s">
        <v>357</v>
      </c>
      <c r="D1322" s="9">
        <v>46091</v>
      </c>
      <c r="E1322" s="9">
        <v>46121</v>
      </c>
      <c r="F1322" s="3">
        <v>4129.54</v>
      </c>
      <c r="G1322" s="7" t="s">
        <v>367</v>
      </c>
    </row>
    <row r="1323" spans="1:7" x14ac:dyDescent="0.3">
      <c r="A1323" s="7" t="s">
        <v>1690</v>
      </c>
      <c r="B1323" s="7" t="s">
        <v>81</v>
      </c>
      <c r="C1323" s="7" t="s">
        <v>351</v>
      </c>
      <c r="D1323" s="9">
        <v>46056</v>
      </c>
      <c r="E1323" s="9">
        <v>46086</v>
      </c>
      <c r="F1323" s="3">
        <v>5199.6400000000003</v>
      </c>
      <c r="G1323" s="7" t="s">
        <v>367</v>
      </c>
    </row>
    <row r="1324" spans="1:7" x14ac:dyDescent="0.3">
      <c r="A1324" s="7" t="s">
        <v>1691</v>
      </c>
      <c r="B1324" s="7" t="s">
        <v>61</v>
      </c>
      <c r="C1324" s="7" t="s">
        <v>359</v>
      </c>
      <c r="D1324" s="9">
        <v>46083</v>
      </c>
      <c r="E1324" s="9">
        <v>46113</v>
      </c>
      <c r="F1324" s="3">
        <v>1720.76</v>
      </c>
      <c r="G1324" s="7" t="s">
        <v>367</v>
      </c>
    </row>
    <row r="1325" spans="1:7" x14ac:dyDescent="0.3">
      <c r="A1325" s="7" t="s">
        <v>1692</v>
      </c>
      <c r="B1325" s="7" t="s">
        <v>63</v>
      </c>
      <c r="C1325" s="7" t="s">
        <v>351</v>
      </c>
      <c r="D1325" s="9">
        <v>45965</v>
      </c>
      <c r="E1325" s="9">
        <v>45995</v>
      </c>
      <c r="F1325" s="3">
        <v>4288.5600000000004</v>
      </c>
      <c r="G1325" s="7" t="s">
        <v>387</v>
      </c>
    </row>
    <row r="1326" spans="1:7" x14ac:dyDescent="0.3">
      <c r="A1326" s="7" t="s">
        <v>1693</v>
      </c>
      <c r="B1326" s="7" t="s">
        <v>54</v>
      </c>
      <c r="C1326" s="7" t="s">
        <v>355</v>
      </c>
      <c r="D1326" s="9">
        <v>46103</v>
      </c>
      <c r="E1326" s="9">
        <v>46133</v>
      </c>
      <c r="F1326" s="3">
        <v>10820.67</v>
      </c>
      <c r="G1326" s="7" t="s">
        <v>367</v>
      </c>
    </row>
    <row r="1327" spans="1:7" x14ac:dyDescent="0.3">
      <c r="A1327" s="7" t="s">
        <v>1694</v>
      </c>
      <c r="B1327" s="7" t="s">
        <v>94</v>
      </c>
      <c r="C1327" s="7" t="s">
        <v>359</v>
      </c>
      <c r="D1327" s="9">
        <v>46099</v>
      </c>
      <c r="E1327" s="9">
        <v>46129</v>
      </c>
      <c r="F1327" s="3">
        <v>2123.0700000000002</v>
      </c>
      <c r="G1327" s="7" t="s">
        <v>367</v>
      </c>
    </row>
    <row r="1328" spans="1:7" x14ac:dyDescent="0.3">
      <c r="A1328" s="7" t="s">
        <v>1695</v>
      </c>
      <c r="B1328" s="7" t="s">
        <v>98</v>
      </c>
      <c r="C1328" s="7" t="s">
        <v>351</v>
      </c>
      <c r="D1328" s="9">
        <v>45988</v>
      </c>
      <c r="E1328" s="9">
        <v>46018</v>
      </c>
      <c r="F1328" s="3">
        <v>5926.63</v>
      </c>
      <c r="G1328" s="7" t="s">
        <v>367</v>
      </c>
    </row>
    <row r="1329" spans="1:7" x14ac:dyDescent="0.3">
      <c r="A1329" s="7" t="s">
        <v>1696</v>
      </c>
      <c r="B1329" s="7" t="s">
        <v>84</v>
      </c>
      <c r="C1329" s="7" t="s">
        <v>353</v>
      </c>
      <c r="D1329" s="9">
        <v>45971</v>
      </c>
      <c r="E1329" s="9">
        <v>46001</v>
      </c>
      <c r="F1329" s="3">
        <v>2821.37</v>
      </c>
      <c r="G1329" s="7" t="s">
        <v>387</v>
      </c>
    </row>
    <row r="1330" spans="1:7" x14ac:dyDescent="0.3">
      <c r="A1330" s="7" t="s">
        <v>1697</v>
      </c>
      <c r="B1330" s="7" t="s">
        <v>107</v>
      </c>
      <c r="C1330" s="7" t="s">
        <v>349</v>
      </c>
      <c r="D1330" s="9">
        <v>45997</v>
      </c>
      <c r="E1330" s="9">
        <v>46027</v>
      </c>
      <c r="F1330" s="3">
        <v>3409.77</v>
      </c>
      <c r="G1330" s="7" t="s">
        <v>367</v>
      </c>
    </row>
    <row r="1331" spans="1:7" x14ac:dyDescent="0.3">
      <c r="A1331" s="7" t="s">
        <v>1698</v>
      </c>
      <c r="B1331" s="7" t="s">
        <v>96</v>
      </c>
      <c r="C1331" s="7" t="s">
        <v>359</v>
      </c>
      <c r="D1331" s="9">
        <v>46077</v>
      </c>
      <c r="E1331" s="9">
        <v>46107</v>
      </c>
      <c r="F1331" s="3">
        <v>1612.57</v>
      </c>
      <c r="G1331" s="7" t="s">
        <v>367</v>
      </c>
    </row>
    <row r="1332" spans="1:7" x14ac:dyDescent="0.3">
      <c r="A1332" s="7" t="s">
        <v>1699</v>
      </c>
      <c r="B1332" s="7" t="s">
        <v>37</v>
      </c>
      <c r="C1332" s="7" t="s">
        <v>353</v>
      </c>
      <c r="D1332" s="9">
        <v>45994</v>
      </c>
      <c r="E1332" s="9">
        <v>46024</v>
      </c>
      <c r="F1332" s="3">
        <v>2903.16</v>
      </c>
      <c r="G1332" s="7" t="s">
        <v>367</v>
      </c>
    </row>
    <row r="1333" spans="1:7" x14ac:dyDescent="0.3">
      <c r="A1333" s="7" t="s">
        <v>1700</v>
      </c>
      <c r="B1333" s="7" t="s">
        <v>112</v>
      </c>
      <c r="C1333" s="7" t="s">
        <v>355</v>
      </c>
      <c r="D1333" s="9">
        <v>46068</v>
      </c>
      <c r="E1333" s="9">
        <v>46098</v>
      </c>
      <c r="F1333" s="3">
        <v>11464.66</v>
      </c>
      <c r="G1333" s="7" t="s">
        <v>367</v>
      </c>
    </row>
    <row r="1334" spans="1:7" x14ac:dyDescent="0.3">
      <c r="A1334" s="7" t="s">
        <v>1701</v>
      </c>
      <c r="B1334" s="7" t="s">
        <v>87</v>
      </c>
      <c r="C1334" s="7" t="s">
        <v>351</v>
      </c>
      <c r="D1334" s="9">
        <v>45971</v>
      </c>
      <c r="E1334" s="9">
        <v>46001</v>
      </c>
      <c r="F1334" s="3">
        <v>4594.8500000000004</v>
      </c>
      <c r="G1334" s="7" t="s">
        <v>369</v>
      </c>
    </row>
    <row r="1335" spans="1:7" x14ac:dyDescent="0.3">
      <c r="A1335" s="7" t="s">
        <v>1702</v>
      </c>
      <c r="B1335" s="7" t="s">
        <v>11</v>
      </c>
      <c r="C1335" s="7" t="s">
        <v>353</v>
      </c>
      <c r="D1335" s="9">
        <v>46045</v>
      </c>
      <c r="E1335" s="9">
        <v>46075</v>
      </c>
      <c r="F1335" s="3">
        <v>2879.47</v>
      </c>
      <c r="G1335" s="7" t="s">
        <v>367</v>
      </c>
    </row>
    <row r="1336" spans="1:7" x14ac:dyDescent="0.3">
      <c r="A1336" s="7" t="s">
        <v>1703</v>
      </c>
      <c r="B1336" s="7" t="s">
        <v>59</v>
      </c>
      <c r="C1336" s="7" t="s">
        <v>353</v>
      </c>
      <c r="D1336" s="9">
        <v>46051</v>
      </c>
      <c r="E1336" s="9">
        <v>46081</v>
      </c>
      <c r="F1336" s="3">
        <v>2866.44</v>
      </c>
      <c r="G1336" s="7" t="s">
        <v>367</v>
      </c>
    </row>
    <row r="1337" spans="1:7" x14ac:dyDescent="0.3">
      <c r="A1337" s="7" t="s">
        <v>1704</v>
      </c>
      <c r="B1337" s="7" t="s">
        <v>96</v>
      </c>
      <c r="C1337" s="7" t="s">
        <v>353</v>
      </c>
      <c r="D1337" s="9">
        <v>46089</v>
      </c>
      <c r="E1337" s="9">
        <v>46119</v>
      </c>
      <c r="F1337" s="3">
        <v>2717.39</v>
      </c>
      <c r="G1337" s="7" t="s">
        <v>369</v>
      </c>
    </row>
    <row r="1338" spans="1:7" x14ac:dyDescent="0.3">
      <c r="A1338" s="7" t="s">
        <v>1705</v>
      </c>
      <c r="B1338" s="7" t="s">
        <v>111</v>
      </c>
      <c r="C1338" s="7" t="s">
        <v>353</v>
      </c>
      <c r="D1338" s="9">
        <v>46010</v>
      </c>
      <c r="E1338" s="9">
        <v>46040</v>
      </c>
      <c r="F1338" s="3">
        <v>2506.33</v>
      </c>
      <c r="G1338" s="7" t="s">
        <v>367</v>
      </c>
    </row>
    <row r="1339" spans="1:7" x14ac:dyDescent="0.3">
      <c r="A1339" s="7" t="s">
        <v>1706</v>
      </c>
      <c r="B1339" s="7" t="s">
        <v>13</v>
      </c>
      <c r="C1339" s="7" t="s">
        <v>357</v>
      </c>
      <c r="D1339" s="9">
        <v>46077</v>
      </c>
      <c r="E1339" s="9">
        <v>46107</v>
      </c>
      <c r="F1339" s="3">
        <v>3832.9</v>
      </c>
      <c r="G1339" s="7" t="s">
        <v>367</v>
      </c>
    </row>
    <row r="1340" spans="1:7" x14ac:dyDescent="0.3">
      <c r="A1340" s="7" t="s">
        <v>1707</v>
      </c>
      <c r="B1340" s="7" t="s">
        <v>24</v>
      </c>
      <c r="C1340" s="7" t="s">
        <v>359</v>
      </c>
      <c r="D1340" s="9">
        <v>46072</v>
      </c>
      <c r="E1340" s="9">
        <v>46102</v>
      </c>
      <c r="F1340" s="3">
        <v>1901.95</v>
      </c>
      <c r="G1340" s="7" t="s">
        <v>369</v>
      </c>
    </row>
    <row r="1341" spans="1:7" x14ac:dyDescent="0.3">
      <c r="A1341" s="7" t="s">
        <v>1708</v>
      </c>
      <c r="B1341" s="7" t="s">
        <v>17</v>
      </c>
      <c r="C1341" s="7" t="s">
        <v>349</v>
      </c>
      <c r="D1341" s="9">
        <v>45982</v>
      </c>
      <c r="E1341" s="9">
        <v>46012</v>
      </c>
      <c r="F1341" s="3">
        <v>2880.79</v>
      </c>
      <c r="G1341" s="7" t="s">
        <v>367</v>
      </c>
    </row>
    <row r="1342" spans="1:7" x14ac:dyDescent="0.3">
      <c r="A1342" s="7" t="s">
        <v>1709</v>
      </c>
      <c r="B1342" s="7" t="s">
        <v>113</v>
      </c>
      <c r="C1342" s="7" t="s">
        <v>349</v>
      </c>
      <c r="D1342" s="9">
        <v>46093</v>
      </c>
      <c r="E1342" s="9">
        <v>46123</v>
      </c>
      <c r="F1342" s="3">
        <v>2589.39</v>
      </c>
      <c r="G1342" s="7" t="s">
        <v>387</v>
      </c>
    </row>
    <row r="1343" spans="1:7" x14ac:dyDescent="0.3">
      <c r="A1343" s="7" t="s">
        <v>1710</v>
      </c>
      <c r="B1343" s="7" t="s">
        <v>108</v>
      </c>
      <c r="C1343" s="7" t="s">
        <v>359</v>
      </c>
      <c r="D1343" s="9">
        <v>46040</v>
      </c>
      <c r="E1343" s="9">
        <v>46070</v>
      </c>
      <c r="F1343" s="3">
        <v>1989.48</v>
      </c>
      <c r="G1343" s="7" t="s">
        <v>367</v>
      </c>
    </row>
    <row r="1344" spans="1:7" x14ac:dyDescent="0.3">
      <c r="A1344" s="7" t="s">
        <v>1711</v>
      </c>
      <c r="B1344" s="7" t="s">
        <v>29</v>
      </c>
      <c r="C1344" s="7" t="s">
        <v>353</v>
      </c>
      <c r="D1344" s="9">
        <v>46043</v>
      </c>
      <c r="E1344" s="9">
        <v>46073</v>
      </c>
      <c r="F1344" s="3">
        <v>2451.4899999999998</v>
      </c>
      <c r="G1344" s="7" t="s">
        <v>367</v>
      </c>
    </row>
    <row r="1345" spans="1:7" x14ac:dyDescent="0.3">
      <c r="A1345" s="7" t="s">
        <v>1712</v>
      </c>
      <c r="B1345" s="7" t="s">
        <v>60</v>
      </c>
      <c r="C1345" s="7" t="s">
        <v>359</v>
      </c>
      <c r="D1345" s="9">
        <v>45996</v>
      </c>
      <c r="E1345" s="9">
        <v>46026</v>
      </c>
      <c r="F1345" s="3">
        <v>1866.97</v>
      </c>
      <c r="G1345" s="7" t="s">
        <v>367</v>
      </c>
    </row>
    <row r="1346" spans="1:7" x14ac:dyDescent="0.3">
      <c r="A1346" s="7" t="s">
        <v>1713</v>
      </c>
      <c r="B1346" s="7" t="s">
        <v>120</v>
      </c>
      <c r="C1346" s="7" t="s">
        <v>353</v>
      </c>
      <c r="D1346" s="9">
        <v>46006</v>
      </c>
      <c r="E1346" s="9">
        <v>46036</v>
      </c>
      <c r="F1346" s="3">
        <v>2181.89</v>
      </c>
      <c r="G1346" s="7" t="s">
        <v>369</v>
      </c>
    </row>
    <row r="1347" spans="1:7" x14ac:dyDescent="0.3">
      <c r="A1347" s="7" t="s">
        <v>1714</v>
      </c>
      <c r="B1347" s="7" t="s">
        <v>87</v>
      </c>
      <c r="C1347" s="7" t="s">
        <v>357</v>
      </c>
      <c r="D1347" s="9">
        <v>46083</v>
      </c>
      <c r="E1347" s="9">
        <v>46113</v>
      </c>
      <c r="F1347" s="3">
        <v>3114.28</v>
      </c>
      <c r="G1347" s="7" t="s">
        <v>367</v>
      </c>
    </row>
    <row r="1348" spans="1:7" x14ac:dyDescent="0.3">
      <c r="A1348" s="7" t="s">
        <v>1715</v>
      </c>
      <c r="B1348" s="7" t="s">
        <v>116</v>
      </c>
      <c r="C1348" s="7" t="s">
        <v>351</v>
      </c>
      <c r="D1348" s="9">
        <v>46070</v>
      </c>
      <c r="E1348" s="9">
        <v>46100</v>
      </c>
      <c r="F1348" s="3">
        <v>5813.69</v>
      </c>
      <c r="G1348" s="7" t="s">
        <v>367</v>
      </c>
    </row>
    <row r="1349" spans="1:7" x14ac:dyDescent="0.3">
      <c r="A1349" s="7" t="s">
        <v>1716</v>
      </c>
      <c r="B1349" s="7" t="s">
        <v>26</v>
      </c>
      <c r="C1349" s="7" t="s">
        <v>351</v>
      </c>
      <c r="D1349" s="9">
        <v>46045</v>
      </c>
      <c r="E1349" s="9">
        <v>46075</v>
      </c>
      <c r="F1349" s="3">
        <v>4099.57</v>
      </c>
      <c r="G1349" s="7" t="s">
        <v>367</v>
      </c>
    </row>
    <row r="1350" spans="1:7" x14ac:dyDescent="0.3">
      <c r="A1350" s="7" t="s">
        <v>1717</v>
      </c>
      <c r="B1350" s="7" t="s">
        <v>98</v>
      </c>
      <c r="C1350" s="7" t="s">
        <v>349</v>
      </c>
      <c r="D1350" s="9">
        <v>46094</v>
      </c>
      <c r="E1350" s="9">
        <v>46124</v>
      </c>
      <c r="F1350" s="3">
        <v>3549.64</v>
      </c>
      <c r="G1350" s="7" t="s">
        <v>367</v>
      </c>
    </row>
    <row r="1351" spans="1:7" x14ac:dyDescent="0.3">
      <c r="A1351" s="7" t="s">
        <v>1718</v>
      </c>
      <c r="B1351" s="7" t="s">
        <v>35</v>
      </c>
      <c r="C1351" s="7" t="s">
        <v>357</v>
      </c>
      <c r="D1351" s="9">
        <v>46018</v>
      </c>
      <c r="E1351" s="9">
        <v>46048</v>
      </c>
      <c r="F1351" s="3">
        <v>3409.22</v>
      </c>
      <c r="G1351" s="7" t="s">
        <v>367</v>
      </c>
    </row>
    <row r="1352" spans="1:7" x14ac:dyDescent="0.3">
      <c r="A1352" s="7" t="s">
        <v>1719</v>
      </c>
      <c r="B1352" s="7" t="s">
        <v>70</v>
      </c>
      <c r="C1352" s="7" t="s">
        <v>359</v>
      </c>
      <c r="D1352" s="9">
        <v>46091</v>
      </c>
      <c r="E1352" s="9">
        <v>46121</v>
      </c>
      <c r="F1352" s="3">
        <v>1586.26</v>
      </c>
      <c r="G1352" s="7" t="s">
        <v>367</v>
      </c>
    </row>
    <row r="1353" spans="1:7" x14ac:dyDescent="0.3">
      <c r="A1353" s="7" t="s">
        <v>1720</v>
      </c>
      <c r="B1353" s="7" t="s">
        <v>112</v>
      </c>
      <c r="C1353" s="7" t="s">
        <v>355</v>
      </c>
      <c r="D1353" s="9">
        <v>46099</v>
      </c>
      <c r="E1353" s="9">
        <v>46129</v>
      </c>
      <c r="F1353" s="3">
        <v>10224.959999999999</v>
      </c>
      <c r="G1353" s="7" t="s">
        <v>367</v>
      </c>
    </row>
    <row r="1354" spans="1:7" x14ac:dyDescent="0.3">
      <c r="A1354" s="7" t="s">
        <v>1721</v>
      </c>
      <c r="B1354" s="7" t="s">
        <v>108</v>
      </c>
      <c r="C1354" s="7" t="s">
        <v>353</v>
      </c>
      <c r="D1354" s="9">
        <v>46054</v>
      </c>
      <c r="E1354" s="9">
        <v>46084</v>
      </c>
      <c r="F1354" s="3">
        <v>2726.71</v>
      </c>
      <c r="G1354" s="7" t="s">
        <v>367</v>
      </c>
    </row>
    <row r="1355" spans="1:7" x14ac:dyDescent="0.3">
      <c r="A1355" s="7" t="s">
        <v>1722</v>
      </c>
      <c r="B1355" s="7" t="s">
        <v>123</v>
      </c>
      <c r="C1355" s="7" t="s">
        <v>351</v>
      </c>
      <c r="D1355" s="9">
        <v>46034</v>
      </c>
      <c r="E1355" s="9">
        <v>46064</v>
      </c>
      <c r="F1355" s="3">
        <v>4057.55</v>
      </c>
      <c r="G1355" s="7" t="s">
        <v>367</v>
      </c>
    </row>
    <row r="1356" spans="1:7" x14ac:dyDescent="0.3">
      <c r="A1356" s="7" t="s">
        <v>1723</v>
      </c>
      <c r="B1356" s="7" t="s">
        <v>8</v>
      </c>
      <c r="C1356" s="7" t="s">
        <v>351</v>
      </c>
      <c r="D1356" s="9">
        <v>46109</v>
      </c>
      <c r="E1356" s="9">
        <v>46139</v>
      </c>
      <c r="F1356" s="3">
        <v>4739.28</v>
      </c>
      <c r="G1356" s="7" t="s">
        <v>367</v>
      </c>
    </row>
    <row r="1357" spans="1:7" x14ac:dyDescent="0.3">
      <c r="A1357" s="7" t="s">
        <v>1724</v>
      </c>
      <c r="B1357" s="7" t="s">
        <v>34</v>
      </c>
      <c r="C1357" s="7" t="s">
        <v>355</v>
      </c>
      <c r="D1357" s="9">
        <v>46028</v>
      </c>
      <c r="E1357" s="9">
        <v>46058</v>
      </c>
      <c r="F1357" s="3">
        <v>10239.379999999999</v>
      </c>
      <c r="G1357" s="7" t="s">
        <v>367</v>
      </c>
    </row>
    <row r="1358" spans="1:7" x14ac:dyDescent="0.3">
      <c r="A1358" s="7" t="s">
        <v>1725</v>
      </c>
      <c r="B1358" s="7" t="s">
        <v>16</v>
      </c>
      <c r="C1358" s="7" t="s">
        <v>359</v>
      </c>
      <c r="D1358" s="9">
        <v>46042</v>
      </c>
      <c r="E1358" s="9">
        <v>46072</v>
      </c>
      <c r="F1358" s="3">
        <v>1716.12</v>
      </c>
      <c r="G1358" s="7" t="s">
        <v>367</v>
      </c>
    </row>
    <row r="1359" spans="1:7" x14ac:dyDescent="0.3">
      <c r="A1359" s="7" t="s">
        <v>1726</v>
      </c>
      <c r="B1359" s="7" t="s">
        <v>67</v>
      </c>
      <c r="C1359" s="7" t="s">
        <v>349</v>
      </c>
      <c r="D1359" s="9">
        <v>46019</v>
      </c>
      <c r="E1359" s="9">
        <v>46049</v>
      </c>
      <c r="F1359" s="3">
        <v>3068.4</v>
      </c>
      <c r="G1359" s="7" t="s">
        <v>369</v>
      </c>
    </row>
    <row r="1360" spans="1:7" x14ac:dyDescent="0.3">
      <c r="A1360" s="7" t="s">
        <v>1727</v>
      </c>
      <c r="B1360" s="7" t="s">
        <v>110</v>
      </c>
      <c r="C1360" s="7" t="s">
        <v>353</v>
      </c>
      <c r="D1360" s="9">
        <v>46102</v>
      </c>
      <c r="E1360" s="9">
        <v>46132</v>
      </c>
      <c r="F1360" s="3">
        <v>2996.74</v>
      </c>
      <c r="G1360" s="7" t="s">
        <v>367</v>
      </c>
    </row>
    <row r="1361" spans="1:7" x14ac:dyDescent="0.3">
      <c r="A1361" s="7" t="s">
        <v>1728</v>
      </c>
      <c r="B1361" s="7" t="s">
        <v>57</v>
      </c>
      <c r="C1361" s="7" t="s">
        <v>349</v>
      </c>
      <c r="D1361" s="9">
        <v>46024</v>
      </c>
      <c r="E1361" s="9">
        <v>46054</v>
      </c>
      <c r="F1361" s="3">
        <v>2406.4299999999998</v>
      </c>
      <c r="G1361" s="7" t="s">
        <v>367</v>
      </c>
    </row>
    <row r="1362" spans="1:7" x14ac:dyDescent="0.3">
      <c r="A1362" s="7" t="s">
        <v>1729</v>
      </c>
      <c r="B1362" s="7" t="s">
        <v>40</v>
      </c>
      <c r="C1362" s="7" t="s">
        <v>359</v>
      </c>
      <c r="D1362" s="9">
        <v>46091</v>
      </c>
      <c r="E1362" s="9">
        <v>46121</v>
      </c>
      <c r="F1362" s="3">
        <v>1707.05</v>
      </c>
      <c r="G1362" s="7" t="s">
        <v>367</v>
      </c>
    </row>
    <row r="1363" spans="1:7" x14ac:dyDescent="0.3">
      <c r="A1363" s="7" t="s">
        <v>1730</v>
      </c>
      <c r="B1363" s="7" t="s">
        <v>47</v>
      </c>
      <c r="C1363" s="7" t="s">
        <v>351</v>
      </c>
      <c r="D1363" s="9">
        <v>45988</v>
      </c>
      <c r="E1363" s="9">
        <v>46018</v>
      </c>
      <c r="F1363" s="3">
        <v>5007.49</v>
      </c>
      <c r="G1363" s="7" t="s">
        <v>367</v>
      </c>
    </row>
    <row r="1364" spans="1:7" x14ac:dyDescent="0.3">
      <c r="A1364" s="7" t="s">
        <v>1731</v>
      </c>
      <c r="B1364" s="7" t="s">
        <v>12</v>
      </c>
      <c r="C1364" s="7" t="s">
        <v>359</v>
      </c>
      <c r="D1364" s="9">
        <v>46097</v>
      </c>
      <c r="E1364" s="9">
        <v>46127</v>
      </c>
      <c r="F1364" s="3">
        <v>1821.91</v>
      </c>
      <c r="G1364" s="7" t="s">
        <v>367</v>
      </c>
    </row>
    <row r="1365" spans="1:7" x14ac:dyDescent="0.3">
      <c r="A1365" s="7" t="s">
        <v>1732</v>
      </c>
      <c r="B1365" s="7" t="s">
        <v>62</v>
      </c>
      <c r="C1365" s="7" t="s">
        <v>351</v>
      </c>
      <c r="D1365" s="9">
        <v>46002</v>
      </c>
      <c r="E1365" s="9">
        <v>46032</v>
      </c>
      <c r="F1365" s="3">
        <v>4998.42</v>
      </c>
      <c r="G1365" s="7" t="s">
        <v>367</v>
      </c>
    </row>
    <row r="1366" spans="1:7" x14ac:dyDescent="0.3">
      <c r="A1366" s="7" t="s">
        <v>1733</v>
      </c>
      <c r="B1366" s="7" t="s">
        <v>40</v>
      </c>
      <c r="C1366" s="7" t="s">
        <v>353</v>
      </c>
      <c r="D1366" s="9">
        <v>46094</v>
      </c>
      <c r="E1366" s="9">
        <v>46124</v>
      </c>
      <c r="F1366" s="3">
        <v>2902.79</v>
      </c>
      <c r="G1366" s="7" t="s">
        <v>369</v>
      </c>
    </row>
    <row r="1367" spans="1:7" x14ac:dyDescent="0.3">
      <c r="A1367" s="7" t="s">
        <v>1734</v>
      </c>
      <c r="B1367" s="7" t="s">
        <v>69</v>
      </c>
      <c r="C1367" s="7" t="s">
        <v>357</v>
      </c>
      <c r="D1367" s="9">
        <v>45966</v>
      </c>
      <c r="E1367" s="9">
        <v>45996</v>
      </c>
      <c r="F1367" s="3">
        <v>3238.21</v>
      </c>
      <c r="G1367" s="7" t="s">
        <v>367</v>
      </c>
    </row>
    <row r="1368" spans="1:7" x14ac:dyDescent="0.3">
      <c r="A1368" s="7" t="s">
        <v>1735</v>
      </c>
      <c r="B1368" s="7" t="s">
        <v>13</v>
      </c>
      <c r="C1368" s="7" t="s">
        <v>351</v>
      </c>
      <c r="D1368" s="9">
        <v>46009</v>
      </c>
      <c r="E1368" s="9">
        <v>46039</v>
      </c>
      <c r="F1368" s="3">
        <v>5111.3500000000004</v>
      </c>
      <c r="G1368" s="7" t="s">
        <v>369</v>
      </c>
    </row>
    <row r="1369" spans="1:7" x14ac:dyDescent="0.3">
      <c r="A1369" s="7" t="s">
        <v>1736</v>
      </c>
      <c r="B1369" s="7" t="s">
        <v>40</v>
      </c>
      <c r="C1369" s="7" t="s">
        <v>351</v>
      </c>
      <c r="D1369" s="9">
        <v>45987</v>
      </c>
      <c r="E1369" s="9">
        <v>46017</v>
      </c>
      <c r="F1369" s="3">
        <v>4297.24</v>
      </c>
      <c r="G1369" s="7" t="s">
        <v>367</v>
      </c>
    </row>
    <row r="1370" spans="1:7" x14ac:dyDescent="0.3">
      <c r="A1370" s="7" t="s">
        <v>1737</v>
      </c>
      <c r="B1370" s="7" t="s">
        <v>70</v>
      </c>
      <c r="C1370" s="7" t="s">
        <v>351</v>
      </c>
      <c r="D1370" s="9">
        <v>46080</v>
      </c>
      <c r="E1370" s="9">
        <v>46110</v>
      </c>
      <c r="F1370" s="3">
        <v>5411.93</v>
      </c>
      <c r="G1370" s="7" t="s">
        <v>387</v>
      </c>
    </row>
    <row r="1371" spans="1:7" x14ac:dyDescent="0.3">
      <c r="A1371" s="7" t="s">
        <v>1738</v>
      </c>
      <c r="B1371" s="7" t="s">
        <v>70</v>
      </c>
      <c r="C1371" s="7" t="s">
        <v>349</v>
      </c>
      <c r="D1371" s="9">
        <v>46000</v>
      </c>
      <c r="E1371" s="9">
        <v>46030</v>
      </c>
      <c r="F1371" s="3">
        <v>2929.82</v>
      </c>
      <c r="G1371" s="7" t="s">
        <v>367</v>
      </c>
    </row>
    <row r="1372" spans="1:7" x14ac:dyDescent="0.3">
      <c r="A1372" s="7" t="s">
        <v>1739</v>
      </c>
      <c r="B1372" s="7" t="s">
        <v>18</v>
      </c>
      <c r="C1372" s="7" t="s">
        <v>349</v>
      </c>
      <c r="D1372" s="9">
        <v>45998</v>
      </c>
      <c r="E1372" s="9">
        <v>46028</v>
      </c>
      <c r="F1372" s="3">
        <v>3415.01</v>
      </c>
      <c r="G1372" s="7" t="s">
        <v>367</v>
      </c>
    </row>
    <row r="1373" spans="1:7" x14ac:dyDescent="0.3">
      <c r="A1373" s="7" t="s">
        <v>1740</v>
      </c>
      <c r="B1373" s="7" t="s">
        <v>112</v>
      </c>
      <c r="C1373" s="7" t="s">
        <v>351</v>
      </c>
      <c r="D1373" s="9">
        <v>45993</v>
      </c>
      <c r="E1373" s="9">
        <v>46023</v>
      </c>
      <c r="F1373" s="3">
        <v>5736.35</v>
      </c>
      <c r="G1373" s="7" t="s">
        <v>367</v>
      </c>
    </row>
    <row r="1374" spans="1:7" x14ac:dyDescent="0.3">
      <c r="A1374" s="7" t="s">
        <v>1741</v>
      </c>
      <c r="B1374" s="7" t="s">
        <v>7</v>
      </c>
      <c r="C1374" s="7" t="s">
        <v>353</v>
      </c>
      <c r="D1374" s="9">
        <v>45965</v>
      </c>
      <c r="E1374" s="9">
        <v>45995</v>
      </c>
      <c r="F1374" s="3">
        <v>2563.25</v>
      </c>
      <c r="G1374" s="7" t="s">
        <v>367</v>
      </c>
    </row>
    <row r="1375" spans="1:7" x14ac:dyDescent="0.3">
      <c r="A1375" s="7" t="s">
        <v>1742</v>
      </c>
      <c r="B1375" s="7" t="s">
        <v>38</v>
      </c>
      <c r="C1375" s="7" t="s">
        <v>357</v>
      </c>
      <c r="D1375" s="9">
        <v>46016</v>
      </c>
      <c r="E1375" s="9">
        <v>46046</v>
      </c>
      <c r="F1375" s="3">
        <v>3873.59</v>
      </c>
      <c r="G1375" s="7" t="s">
        <v>369</v>
      </c>
    </row>
    <row r="1376" spans="1:7" x14ac:dyDescent="0.3">
      <c r="A1376" s="7" t="s">
        <v>1743</v>
      </c>
      <c r="B1376" s="7" t="s">
        <v>94</v>
      </c>
      <c r="C1376" s="7" t="s">
        <v>355</v>
      </c>
      <c r="D1376" s="9">
        <v>46013</v>
      </c>
      <c r="E1376" s="9">
        <v>46043</v>
      </c>
      <c r="F1376" s="3">
        <v>12849.16</v>
      </c>
      <c r="G1376" s="7" t="s">
        <v>367</v>
      </c>
    </row>
    <row r="1377" spans="1:7" x14ac:dyDescent="0.3">
      <c r="A1377" s="7" t="s">
        <v>1744</v>
      </c>
      <c r="B1377" s="7" t="s">
        <v>20</v>
      </c>
      <c r="C1377" s="7" t="s">
        <v>359</v>
      </c>
      <c r="D1377" s="9">
        <v>46060</v>
      </c>
      <c r="E1377" s="9">
        <v>46090</v>
      </c>
      <c r="F1377" s="3">
        <v>1527.83</v>
      </c>
      <c r="G1377" s="7" t="s">
        <v>369</v>
      </c>
    </row>
    <row r="1378" spans="1:7" x14ac:dyDescent="0.3">
      <c r="A1378" s="7" t="s">
        <v>1745</v>
      </c>
      <c r="B1378" s="7" t="s">
        <v>91</v>
      </c>
      <c r="C1378" s="7" t="s">
        <v>353</v>
      </c>
      <c r="D1378" s="9">
        <v>46052</v>
      </c>
      <c r="E1378" s="9">
        <v>46082</v>
      </c>
      <c r="F1378" s="3">
        <v>2153.7800000000002</v>
      </c>
      <c r="G1378" s="7" t="s">
        <v>369</v>
      </c>
    </row>
    <row r="1379" spans="1:7" x14ac:dyDescent="0.3">
      <c r="A1379" s="7" t="s">
        <v>1746</v>
      </c>
      <c r="B1379" s="7" t="s">
        <v>49</v>
      </c>
      <c r="C1379" s="7" t="s">
        <v>355</v>
      </c>
      <c r="D1379" s="9">
        <v>46029</v>
      </c>
      <c r="E1379" s="9">
        <v>46059</v>
      </c>
      <c r="F1379" s="3">
        <v>11779.47</v>
      </c>
      <c r="G1379" s="7" t="s">
        <v>367</v>
      </c>
    </row>
    <row r="1380" spans="1:7" x14ac:dyDescent="0.3">
      <c r="A1380" s="7" t="s">
        <v>1747</v>
      </c>
      <c r="B1380" s="7" t="s">
        <v>100</v>
      </c>
      <c r="C1380" s="7" t="s">
        <v>349</v>
      </c>
      <c r="D1380" s="9">
        <v>46108</v>
      </c>
      <c r="E1380" s="9">
        <v>46138</v>
      </c>
      <c r="F1380" s="3">
        <v>3187.41</v>
      </c>
      <c r="G1380" s="7" t="s">
        <v>369</v>
      </c>
    </row>
    <row r="1381" spans="1:7" x14ac:dyDescent="0.3">
      <c r="A1381" s="7" t="s">
        <v>1748</v>
      </c>
      <c r="B1381" s="7" t="s">
        <v>43</v>
      </c>
      <c r="C1381" s="7" t="s">
        <v>357</v>
      </c>
      <c r="D1381" s="9">
        <v>46027</v>
      </c>
      <c r="E1381" s="9">
        <v>46057</v>
      </c>
      <c r="F1381" s="3">
        <v>2981.05</v>
      </c>
      <c r="G1381" s="7" t="s">
        <v>369</v>
      </c>
    </row>
    <row r="1382" spans="1:7" x14ac:dyDescent="0.3">
      <c r="A1382" s="7" t="s">
        <v>1749</v>
      </c>
      <c r="B1382" s="7" t="s">
        <v>84</v>
      </c>
      <c r="C1382" s="7" t="s">
        <v>353</v>
      </c>
      <c r="D1382" s="9">
        <v>46038</v>
      </c>
      <c r="E1382" s="9">
        <v>46068</v>
      </c>
      <c r="F1382" s="3">
        <v>2798.15</v>
      </c>
      <c r="G1382" s="7" t="s">
        <v>367</v>
      </c>
    </row>
    <row r="1383" spans="1:7" x14ac:dyDescent="0.3">
      <c r="A1383" s="7" t="s">
        <v>1750</v>
      </c>
      <c r="B1383" s="7" t="s">
        <v>105</v>
      </c>
      <c r="C1383" s="7" t="s">
        <v>355</v>
      </c>
      <c r="D1383" s="9">
        <v>46090</v>
      </c>
      <c r="E1383" s="9">
        <v>46120</v>
      </c>
      <c r="F1383" s="3">
        <v>10044.24</v>
      </c>
      <c r="G1383" s="7" t="s">
        <v>367</v>
      </c>
    </row>
    <row r="1384" spans="1:7" x14ac:dyDescent="0.3">
      <c r="A1384" s="7" t="s">
        <v>1751</v>
      </c>
      <c r="B1384" s="7" t="s">
        <v>106</v>
      </c>
      <c r="C1384" s="7" t="s">
        <v>355</v>
      </c>
      <c r="D1384" s="9">
        <v>46048</v>
      </c>
      <c r="E1384" s="9">
        <v>46078</v>
      </c>
      <c r="F1384" s="3">
        <v>10028.1</v>
      </c>
      <c r="G1384" s="7" t="s">
        <v>367</v>
      </c>
    </row>
    <row r="1385" spans="1:7" x14ac:dyDescent="0.3">
      <c r="A1385" s="7" t="s">
        <v>1752</v>
      </c>
      <c r="B1385" s="7" t="s">
        <v>45</v>
      </c>
      <c r="C1385" s="7" t="s">
        <v>355</v>
      </c>
      <c r="D1385" s="9">
        <v>45969</v>
      </c>
      <c r="E1385" s="9">
        <v>45999</v>
      </c>
      <c r="F1385" s="3">
        <v>10967.69</v>
      </c>
      <c r="G1385" s="7" t="s">
        <v>367</v>
      </c>
    </row>
    <row r="1386" spans="1:7" x14ac:dyDescent="0.3">
      <c r="A1386" s="7" t="s">
        <v>1753</v>
      </c>
      <c r="B1386" s="7" t="s">
        <v>84</v>
      </c>
      <c r="C1386" s="7" t="s">
        <v>355</v>
      </c>
      <c r="D1386" s="9">
        <v>46061</v>
      </c>
      <c r="E1386" s="9">
        <v>46091</v>
      </c>
      <c r="F1386" s="3">
        <v>13445.28</v>
      </c>
      <c r="G1386" s="7" t="s">
        <v>369</v>
      </c>
    </row>
    <row r="1387" spans="1:7" x14ac:dyDescent="0.3">
      <c r="A1387" s="7" t="s">
        <v>1754</v>
      </c>
      <c r="B1387" s="7" t="s">
        <v>69</v>
      </c>
      <c r="C1387" s="7" t="s">
        <v>351</v>
      </c>
      <c r="D1387" s="9">
        <v>46018</v>
      </c>
      <c r="E1387" s="9">
        <v>46048</v>
      </c>
      <c r="F1387" s="3">
        <v>4718.09</v>
      </c>
      <c r="G1387" s="7" t="s">
        <v>367</v>
      </c>
    </row>
    <row r="1388" spans="1:7" x14ac:dyDescent="0.3">
      <c r="A1388" s="7" t="s">
        <v>1755</v>
      </c>
      <c r="B1388" s="7" t="s">
        <v>61</v>
      </c>
      <c r="C1388" s="7" t="s">
        <v>355</v>
      </c>
      <c r="D1388" s="9">
        <v>46024</v>
      </c>
      <c r="E1388" s="9">
        <v>46054</v>
      </c>
      <c r="F1388" s="3">
        <v>13849.98</v>
      </c>
      <c r="G1388" s="7" t="s">
        <v>367</v>
      </c>
    </row>
    <row r="1389" spans="1:7" x14ac:dyDescent="0.3">
      <c r="A1389" s="7" t="s">
        <v>1756</v>
      </c>
      <c r="B1389" s="7" t="s">
        <v>62</v>
      </c>
      <c r="C1389" s="7" t="s">
        <v>349</v>
      </c>
      <c r="D1389" s="9">
        <v>46014</v>
      </c>
      <c r="E1389" s="9">
        <v>46044</v>
      </c>
      <c r="F1389" s="3">
        <v>3307.79</v>
      </c>
      <c r="G1389" s="7" t="s">
        <v>367</v>
      </c>
    </row>
    <row r="1390" spans="1:7" x14ac:dyDescent="0.3">
      <c r="A1390" s="7" t="s">
        <v>1757</v>
      </c>
      <c r="B1390" s="7" t="s">
        <v>66</v>
      </c>
      <c r="C1390" s="7" t="s">
        <v>359</v>
      </c>
      <c r="D1390" s="9">
        <v>46081</v>
      </c>
      <c r="E1390" s="9">
        <v>46111</v>
      </c>
      <c r="F1390" s="3">
        <v>1746.73</v>
      </c>
      <c r="G1390" s="7" t="s">
        <v>367</v>
      </c>
    </row>
    <row r="1391" spans="1:7" x14ac:dyDescent="0.3">
      <c r="A1391" s="7" t="s">
        <v>1758</v>
      </c>
      <c r="B1391" s="7" t="s">
        <v>70</v>
      </c>
      <c r="C1391" s="7" t="s">
        <v>359</v>
      </c>
      <c r="D1391" s="9">
        <v>46040</v>
      </c>
      <c r="E1391" s="9">
        <v>46070</v>
      </c>
      <c r="F1391" s="3">
        <v>1601.45</v>
      </c>
      <c r="G1391" s="7" t="s">
        <v>367</v>
      </c>
    </row>
    <row r="1392" spans="1:7" x14ac:dyDescent="0.3">
      <c r="A1392" s="7" t="s">
        <v>1759</v>
      </c>
      <c r="B1392" s="7" t="s">
        <v>62</v>
      </c>
      <c r="C1392" s="7" t="s">
        <v>357</v>
      </c>
      <c r="D1392" s="9">
        <v>46092</v>
      </c>
      <c r="E1392" s="9">
        <v>46122</v>
      </c>
      <c r="F1392" s="3">
        <v>3681.38</v>
      </c>
      <c r="G1392" s="7" t="s">
        <v>367</v>
      </c>
    </row>
    <row r="1393" spans="1:7" x14ac:dyDescent="0.3">
      <c r="A1393" s="7" t="s">
        <v>1760</v>
      </c>
      <c r="B1393" s="7" t="s">
        <v>23</v>
      </c>
      <c r="C1393" s="7" t="s">
        <v>349</v>
      </c>
      <c r="D1393" s="9">
        <v>45963</v>
      </c>
      <c r="E1393" s="9">
        <v>45993</v>
      </c>
      <c r="F1393" s="3">
        <v>3488.65</v>
      </c>
      <c r="G1393" s="7" t="s">
        <v>367</v>
      </c>
    </row>
    <row r="1394" spans="1:7" x14ac:dyDescent="0.3">
      <c r="A1394" s="7" t="s">
        <v>1761</v>
      </c>
      <c r="B1394" s="7" t="s">
        <v>44</v>
      </c>
      <c r="C1394" s="7" t="s">
        <v>359</v>
      </c>
      <c r="D1394" s="9">
        <v>46050</v>
      </c>
      <c r="E1394" s="9">
        <v>46080</v>
      </c>
      <c r="F1394" s="3">
        <v>2090.09</v>
      </c>
      <c r="G1394" s="7" t="s">
        <v>367</v>
      </c>
    </row>
    <row r="1395" spans="1:7" x14ac:dyDescent="0.3">
      <c r="A1395" s="7" t="s">
        <v>1762</v>
      </c>
      <c r="B1395" s="7" t="s">
        <v>72</v>
      </c>
      <c r="C1395" s="7" t="s">
        <v>357</v>
      </c>
      <c r="D1395" s="9">
        <v>46087</v>
      </c>
      <c r="E1395" s="9">
        <v>46117</v>
      </c>
      <c r="F1395" s="3">
        <v>2866.82</v>
      </c>
      <c r="G1395" s="7" t="s">
        <v>367</v>
      </c>
    </row>
    <row r="1396" spans="1:7" x14ac:dyDescent="0.3">
      <c r="A1396" s="7" t="s">
        <v>1763</v>
      </c>
      <c r="B1396" s="7" t="s">
        <v>111</v>
      </c>
      <c r="C1396" s="7" t="s">
        <v>355</v>
      </c>
      <c r="D1396" s="9">
        <v>46016</v>
      </c>
      <c r="E1396" s="9">
        <v>46046</v>
      </c>
      <c r="F1396" s="3">
        <v>11582.49</v>
      </c>
      <c r="G1396" s="7" t="s">
        <v>367</v>
      </c>
    </row>
    <row r="1397" spans="1:7" x14ac:dyDescent="0.3">
      <c r="A1397" s="7" t="s">
        <v>1764</v>
      </c>
      <c r="B1397" s="7" t="s">
        <v>9</v>
      </c>
      <c r="C1397" s="7" t="s">
        <v>353</v>
      </c>
      <c r="D1397" s="9">
        <v>45987</v>
      </c>
      <c r="E1397" s="9">
        <v>46017</v>
      </c>
      <c r="F1397" s="3">
        <v>2355.46</v>
      </c>
      <c r="G1397" s="7" t="s">
        <v>369</v>
      </c>
    </row>
    <row r="1398" spans="1:7" x14ac:dyDescent="0.3">
      <c r="A1398" s="7" t="s">
        <v>1765</v>
      </c>
      <c r="B1398" s="7" t="s">
        <v>114</v>
      </c>
      <c r="C1398" s="7" t="s">
        <v>349</v>
      </c>
      <c r="D1398" s="9">
        <v>46083</v>
      </c>
      <c r="E1398" s="9">
        <v>46113</v>
      </c>
      <c r="F1398" s="3">
        <v>3288.62</v>
      </c>
      <c r="G1398" s="7" t="s">
        <v>369</v>
      </c>
    </row>
    <row r="1399" spans="1:7" x14ac:dyDescent="0.3">
      <c r="A1399" s="7" t="s">
        <v>1766</v>
      </c>
      <c r="B1399" s="7" t="s">
        <v>82</v>
      </c>
      <c r="C1399" s="7" t="s">
        <v>355</v>
      </c>
      <c r="D1399" s="9">
        <v>46052</v>
      </c>
      <c r="E1399" s="9">
        <v>46082</v>
      </c>
      <c r="F1399" s="3">
        <v>9817.24</v>
      </c>
      <c r="G1399" s="7" t="s">
        <v>367</v>
      </c>
    </row>
    <row r="1400" spans="1:7" x14ac:dyDescent="0.3">
      <c r="A1400" s="7" t="s">
        <v>1767</v>
      </c>
      <c r="B1400" s="7" t="s">
        <v>40</v>
      </c>
      <c r="C1400" s="7" t="s">
        <v>359</v>
      </c>
      <c r="D1400" s="9">
        <v>46016</v>
      </c>
      <c r="E1400" s="9">
        <v>46046</v>
      </c>
      <c r="F1400" s="3">
        <v>1767.6</v>
      </c>
      <c r="G1400" s="7" t="s">
        <v>367</v>
      </c>
    </row>
    <row r="1401" spans="1:7" x14ac:dyDescent="0.3">
      <c r="A1401" s="7" t="s">
        <v>1768</v>
      </c>
      <c r="B1401" s="7" t="s">
        <v>17</v>
      </c>
      <c r="C1401" s="7" t="s">
        <v>353</v>
      </c>
      <c r="D1401" s="9">
        <v>46057</v>
      </c>
      <c r="E1401" s="9">
        <v>46087</v>
      </c>
      <c r="F1401" s="3">
        <v>2966.72</v>
      </c>
      <c r="G1401" s="7" t="s">
        <v>367</v>
      </c>
    </row>
    <row r="1402" spans="1:7" x14ac:dyDescent="0.3">
      <c r="A1402" s="7" t="s">
        <v>1769</v>
      </c>
      <c r="B1402" s="7" t="s">
        <v>75</v>
      </c>
      <c r="C1402" s="7" t="s">
        <v>359</v>
      </c>
      <c r="D1402" s="9">
        <v>46054</v>
      </c>
      <c r="E1402" s="9">
        <v>46084</v>
      </c>
      <c r="F1402" s="3">
        <v>2147.17</v>
      </c>
      <c r="G1402" s="7" t="s">
        <v>367</v>
      </c>
    </row>
    <row r="1403" spans="1:7" x14ac:dyDescent="0.3">
      <c r="A1403" s="7" t="s">
        <v>1770</v>
      </c>
      <c r="B1403" s="7" t="s">
        <v>68</v>
      </c>
      <c r="C1403" s="7" t="s">
        <v>349</v>
      </c>
      <c r="D1403" s="9">
        <v>46063</v>
      </c>
      <c r="E1403" s="9">
        <v>46093</v>
      </c>
      <c r="F1403" s="3">
        <v>2407.02</v>
      </c>
      <c r="G1403" s="7" t="s">
        <v>367</v>
      </c>
    </row>
    <row r="1404" spans="1:7" x14ac:dyDescent="0.3">
      <c r="A1404" s="7" t="s">
        <v>1771</v>
      </c>
      <c r="B1404" s="7" t="s">
        <v>84</v>
      </c>
      <c r="C1404" s="7" t="s">
        <v>355</v>
      </c>
      <c r="D1404" s="9">
        <v>45987</v>
      </c>
      <c r="E1404" s="9">
        <v>46017</v>
      </c>
      <c r="F1404" s="3">
        <v>12920.67</v>
      </c>
      <c r="G1404" s="7" t="s">
        <v>387</v>
      </c>
    </row>
    <row r="1405" spans="1:7" x14ac:dyDescent="0.3">
      <c r="A1405" s="7" t="s">
        <v>1772</v>
      </c>
      <c r="B1405" s="7" t="s">
        <v>93</v>
      </c>
      <c r="C1405" s="7" t="s">
        <v>359</v>
      </c>
      <c r="D1405" s="9">
        <v>46095</v>
      </c>
      <c r="E1405" s="9">
        <v>46125</v>
      </c>
      <c r="F1405" s="3">
        <v>1790.44</v>
      </c>
      <c r="G1405" s="7" t="s">
        <v>367</v>
      </c>
    </row>
    <row r="1406" spans="1:7" x14ac:dyDescent="0.3">
      <c r="A1406" s="7" t="s">
        <v>1773</v>
      </c>
      <c r="B1406" s="7" t="s">
        <v>24</v>
      </c>
      <c r="C1406" s="7" t="s">
        <v>359</v>
      </c>
      <c r="D1406" s="9">
        <v>45970</v>
      </c>
      <c r="E1406" s="9">
        <v>46000</v>
      </c>
      <c r="F1406" s="3">
        <v>1926.07</v>
      </c>
      <c r="G1406" s="7" t="s">
        <v>367</v>
      </c>
    </row>
    <row r="1407" spans="1:7" x14ac:dyDescent="0.3">
      <c r="A1407" s="7" t="s">
        <v>1774</v>
      </c>
      <c r="B1407" s="7" t="s">
        <v>31</v>
      </c>
      <c r="C1407" s="7" t="s">
        <v>349</v>
      </c>
      <c r="D1407" s="9">
        <v>46052</v>
      </c>
      <c r="E1407" s="9">
        <v>46082</v>
      </c>
      <c r="F1407" s="3">
        <v>2628.96</v>
      </c>
      <c r="G1407" s="7" t="s">
        <v>367</v>
      </c>
    </row>
    <row r="1408" spans="1:7" x14ac:dyDescent="0.3">
      <c r="A1408" s="7" t="s">
        <v>1775</v>
      </c>
      <c r="B1408" s="7" t="s">
        <v>62</v>
      </c>
      <c r="C1408" s="7" t="s">
        <v>349</v>
      </c>
      <c r="D1408" s="9">
        <v>45977</v>
      </c>
      <c r="E1408" s="9">
        <v>46007</v>
      </c>
      <c r="F1408" s="3">
        <v>2651.08</v>
      </c>
      <c r="G1408" s="7" t="s">
        <v>367</v>
      </c>
    </row>
    <row r="1409" spans="1:7" x14ac:dyDescent="0.3">
      <c r="A1409" s="7" t="s">
        <v>1776</v>
      </c>
      <c r="B1409" s="7" t="s">
        <v>105</v>
      </c>
      <c r="C1409" s="7" t="s">
        <v>359</v>
      </c>
      <c r="D1409" s="9">
        <v>46010</v>
      </c>
      <c r="E1409" s="9">
        <v>46040</v>
      </c>
      <c r="F1409" s="3">
        <v>2057.9</v>
      </c>
      <c r="G1409" s="7" t="s">
        <v>367</v>
      </c>
    </row>
    <row r="1410" spans="1:7" x14ac:dyDescent="0.3">
      <c r="A1410" s="7" t="s">
        <v>1777</v>
      </c>
      <c r="B1410" s="7" t="s">
        <v>122</v>
      </c>
      <c r="C1410" s="7" t="s">
        <v>355</v>
      </c>
      <c r="D1410" s="9">
        <v>46086</v>
      </c>
      <c r="E1410" s="9">
        <v>46116</v>
      </c>
      <c r="F1410" s="3">
        <v>10311.200000000001</v>
      </c>
      <c r="G1410" s="7" t="s">
        <v>367</v>
      </c>
    </row>
    <row r="1411" spans="1:7" x14ac:dyDescent="0.3">
      <c r="A1411" s="7" t="s">
        <v>1778</v>
      </c>
      <c r="B1411" s="7" t="s">
        <v>117</v>
      </c>
      <c r="C1411" s="7" t="s">
        <v>351</v>
      </c>
      <c r="D1411" s="9">
        <v>46016</v>
      </c>
      <c r="E1411" s="9">
        <v>46046</v>
      </c>
      <c r="F1411" s="3">
        <v>5477.56</v>
      </c>
      <c r="G1411" s="7" t="s">
        <v>367</v>
      </c>
    </row>
    <row r="1412" spans="1:7" x14ac:dyDescent="0.3">
      <c r="A1412" s="7" t="s">
        <v>1779</v>
      </c>
      <c r="B1412" s="7" t="s">
        <v>113</v>
      </c>
      <c r="C1412" s="7" t="s">
        <v>355</v>
      </c>
      <c r="D1412" s="9">
        <v>46107</v>
      </c>
      <c r="E1412" s="9">
        <v>46137</v>
      </c>
      <c r="F1412" s="3">
        <v>12409.09</v>
      </c>
      <c r="G1412" s="7" t="s">
        <v>367</v>
      </c>
    </row>
    <row r="1413" spans="1:7" x14ac:dyDescent="0.3">
      <c r="A1413" s="7" t="s">
        <v>1780</v>
      </c>
      <c r="B1413" s="7" t="s">
        <v>98</v>
      </c>
      <c r="C1413" s="7" t="s">
        <v>355</v>
      </c>
      <c r="D1413" s="9">
        <v>46000</v>
      </c>
      <c r="E1413" s="9">
        <v>46030</v>
      </c>
      <c r="F1413" s="3">
        <v>9844.43</v>
      </c>
      <c r="G1413" s="7" t="s">
        <v>367</v>
      </c>
    </row>
    <row r="1414" spans="1:7" x14ac:dyDescent="0.3">
      <c r="A1414" s="7" t="s">
        <v>1781</v>
      </c>
      <c r="B1414" s="7" t="s">
        <v>83</v>
      </c>
      <c r="C1414" s="7" t="s">
        <v>355</v>
      </c>
      <c r="D1414" s="9">
        <v>46007</v>
      </c>
      <c r="E1414" s="9">
        <v>46037</v>
      </c>
      <c r="F1414" s="3">
        <v>14301.54</v>
      </c>
      <c r="G1414" s="7" t="s">
        <v>367</v>
      </c>
    </row>
    <row r="1415" spans="1:7" x14ac:dyDescent="0.3">
      <c r="A1415" s="7" t="s">
        <v>1782</v>
      </c>
      <c r="B1415" s="7" t="s">
        <v>69</v>
      </c>
      <c r="C1415" s="7" t="s">
        <v>359</v>
      </c>
      <c r="D1415" s="9">
        <v>46098</v>
      </c>
      <c r="E1415" s="9">
        <v>46128</v>
      </c>
      <c r="F1415" s="3">
        <v>1839.1</v>
      </c>
      <c r="G1415" s="7" t="s">
        <v>367</v>
      </c>
    </row>
    <row r="1416" spans="1:7" x14ac:dyDescent="0.3">
      <c r="A1416" s="7" t="s">
        <v>1783</v>
      </c>
      <c r="B1416" s="7" t="s">
        <v>118</v>
      </c>
      <c r="C1416" s="7" t="s">
        <v>357</v>
      </c>
      <c r="D1416" s="9">
        <v>46026</v>
      </c>
      <c r="E1416" s="9">
        <v>46056</v>
      </c>
      <c r="F1416" s="3">
        <v>3627.45</v>
      </c>
      <c r="G1416" s="7" t="s">
        <v>369</v>
      </c>
    </row>
    <row r="1417" spans="1:7" x14ac:dyDescent="0.3">
      <c r="A1417" s="7" t="s">
        <v>1784</v>
      </c>
      <c r="B1417" s="7" t="s">
        <v>80</v>
      </c>
      <c r="C1417" s="7" t="s">
        <v>355</v>
      </c>
      <c r="D1417" s="9">
        <v>46080</v>
      </c>
      <c r="E1417" s="9">
        <v>46110</v>
      </c>
      <c r="F1417" s="3">
        <v>10713.15</v>
      </c>
      <c r="G1417" s="7" t="s">
        <v>367</v>
      </c>
    </row>
    <row r="1418" spans="1:7" x14ac:dyDescent="0.3">
      <c r="A1418" s="7" t="s">
        <v>1785</v>
      </c>
      <c r="B1418" s="7" t="s">
        <v>67</v>
      </c>
      <c r="C1418" s="7" t="s">
        <v>353</v>
      </c>
      <c r="D1418" s="9">
        <v>46029</v>
      </c>
      <c r="E1418" s="9">
        <v>46059</v>
      </c>
      <c r="F1418" s="3">
        <v>2553.2600000000002</v>
      </c>
      <c r="G1418" s="7" t="s">
        <v>367</v>
      </c>
    </row>
    <row r="1419" spans="1:7" x14ac:dyDescent="0.3">
      <c r="A1419" s="7" t="s">
        <v>1786</v>
      </c>
      <c r="B1419" s="7" t="s">
        <v>62</v>
      </c>
      <c r="C1419" s="7" t="s">
        <v>349</v>
      </c>
      <c r="D1419" s="9">
        <v>46089</v>
      </c>
      <c r="E1419" s="9">
        <v>46119</v>
      </c>
      <c r="F1419" s="3">
        <v>2993.75</v>
      </c>
      <c r="G1419" s="7" t="s">
        <v>367</v>
      </c>
    </row>
    <row r="1420" spans="1:7" x14ac:dyDescent="0.3">
      <c r="A1420" s="7" t="s">
        <v>1787</v>
      </c>
      <c r="B1420" s="7" t="s">
        <v>63</v>
      </c>
      <c r="C1420" s="7" t="s">
        <v>349</v>
      </c>
      <c r="D1420" s="9">
        <v>46007</v>
      </c>
      <c r="E1420" s="9">
        <v>46037</v>
      </c>
      <c r="F1420" s="3">
        <v>2593.6</v>
      </c>
      <c r="G1420" s="7" t="s">
        <v>367</v>
      </c>
    </row>
    <row r="1421" spans="1:7" x14ac:dyDescent="0.3">
      <c r="A1421" s="7" t="s">
        <v>1788</v>
      </c>
      <c r="B1421" s="7" t="s">
        <v>84</v>
      </c>
      <c r="C1421" s="7" t="s">
        <v>351</v>
      </c>
      <c r="D1421" s="9">
        <v>46010</v>
      </c>
      <c r="E1421" s="9">
        <v>46040</v>
      </c>
      <c r="F1421" s="3">
        <v>5015.2700000000004</v>
      </c>
      <c r="G1421" s="7" t="s">
        <v>367</v>
      </c>
    </row>
    <row r="1422" spans="1:7" x14ac:dyDescent="0.3">
      <c r="A1422" s="7" t="s">
        <v>1789</v>
      </c>
      <c r="B1422" s="7" t="s">
        <v>56</v>
      </c>
      <c r="C1422" s="7" t="s">
        <v>359</v>
      </c>
      <c r="D1422" s="9">
        <v>46063</v>
      </c>
      <c r="E1422" s="9">
        <v>46093</v>
      </c>
      <c r="F1422" s="3">
        <v>1913.01</v>
      </c>
      <c r="G1422" s="7" t="s">
        <v>367</v>
      </c>
    </row>
    <row r="1423" spans="1:7" x14ac:dyDescent="0.3">
      <c r="A1423" s="7" t="s">
        <v>1790</v>
      </c>
      <c r="B1423" s="7" t="s">
        <v>108</v>
      </c>
      <c r="C1423" s="7" t="s">
        <v>355</v>
      </c>
      <c r="D1423" s="9">
        <v>45965</v>
      </c>
      <c r="E1423" s="9">
        <v>45995</v>
      </c>
      <c r="F1423" s="3">
        <v>13598.79</v>
      </c>
      <c r="G1423" s="7" t="s">
        <v>367</v>
      </c>
    </row>
    <row r="1424" spans="1:7" x14ac:dyDescent="0.3">
      <c r="A1424" s="7" t="s">
        <v>1791</v>
      </c>
      <c r="B1424" s="7" t="s">
        <v>43</v>
      </c>
      <c r="C1424" s="7" t="s">
        <v>355</v>
      </c>
      <c r="D1424" s="9">
        <v>45965</v>
      </c>
      <c r="E1424" s="9">
        <v>45995</v>
      </c>
      <c r="F1424" s="3">
        <v>13438.82</v>
      </c>
      <c r="G1424" s="7" t="s">
        <v>367</v>
      </c>
    </row>
    <row r="1425" spans="1:7" x14ac:dyDescent="0.3">
      <c r="A1425" s="7" t="s">
        <v>1792</v>
      </c>
      <c r="B1425" s="7" t="s">
        <v>32</v>
      </c>
      <c r="C1425" s="7" t="s">
        <v>359</v>
      </c>
      <c r="D1425" s="9">
        <v>46010</v>
      </c>
      <c r="E1425" s="9">
        <v>46040</v>
      </c>
      <c r="F1425" s="3">
        <v>1979.46</v>
      </c>
      <c r="G1425" s="7" t="s">
        <v>367</v>
      </c>
    </row>
    <row r="1426" spans="1:7" x14ac:dyDescent="0.3">
      <c r="A1426" s="7" t="s">
        <v>1793</v>
      </c>
      <c r="B1426" s="7" t="s">
        <v>70</v>
      </c>
      <c r="C1426" s="7" t="s">
        <v>351</v>
      </c>
      <c r="D1426" s="9">
        <v>46104</v>
      </c>
      <c r="E1426" s="9">
        <v>46134</v>
      </c>
      <c r="F1426" s="3">
        <v>5211.5</v>
      </c>
      <c r="G1426" s="7" t="s">
        <v>369</v>
      </c>
    </row>
    <row r="1427" spans="1:7" x14ac:dyDescent="0.3">
      <c r="A1427" s="7" t="s">
        <v>1794</v>
      </c>
      <c r="B1427" s="7" t="s">
        <v>52</v>
      </c>
      <c r="C1427" s="7" t="s">
        <v>353</v>
      </c>
      <c r="D1427" s="9">
        <v>45991</v>
      </c>
      <c r="E1427" s="9">
        <v>46021</v>
      </c>
      <c r="F1427" s="3">
        <v>2234.7199999999998</v>
      </c>
      <c r="G1427" s="7" t="s">
        <v>387</v>
      </c>
    </row>
    <row r="1428" spans="1:7" x14ac:dyDescent="0.3">
      <c r="A1428" s="7" t="s">
        <v>1795</v>
      </c>
      <c r="B1428" s="7" t="s">
        <v>121</v>
      </c>
      <c r="C1428" s="7" t="s">
        <v>353</v>
      </c>
      <c r="D1428" s="9">
        <v>45968</v>
      </c>
      <c r="E1428" s="9">
        <v>45998</v>
      </c>
      <c r="F1428" s="3">
        <v>2357.04</v>
      </c>
      <c r="G1428" s="7" t="s">
        <v>369</v>
      </c>
    </row>
    <row r="1429" spans="1:7" x14ac:dyDescent="0.3">
      <c r="A1429" s="7" t="s">
        <v>1796</v>
      </c>
      <c r="B1429" s="7" t="s">
        <v>86</v>
      </c>
      <c r="C1429" s="7" t="s">
        <v>357</v>
      </c>
      <c r="D1429" s="9">
        <v>46088</v>
      </c>
      <c r="E1429" s="9">
        <v>46118</v>
      </c>
      <c r="F1429" s="3">
        <v>2844.76</v>
      </c>
      <c r="G1429" s="7" t="s">
        <v>367</v>
      </c>
    </row>
    <row r="1430" spans="1:7" x14ac:dyDescent="0.3">
      <c r="A1430" s="7" t="s">
        <v>1797</v>
      </c>
      <c r="B1430" s="7" t="s">
        <v>50</v>
      </c>
      <c r="C1430" s="7" t="s">
        <v>351</v>
      </c>
      <c r="D1430" s="9">
        <v>46103</v>
      </c>
      <c r="E1430" s="9">
        <v>46133</v>
      </c>
      <c r="F1430" s="3">
        <v>4241.38</v>
      </c>
      <c r="G1430" s="7" t="s">
        <v>367</v>
      </c>
    </row>
    <row r="1431" spans="1:7" x14ac:dyDescent="0.3">
      <c r="A1431" s="7" t="s">
        <v>1798</v>
      </c>
      <c r="B1431" s="7" t="s">
        <v>26</v>
      </c>
      <c r="C1431" s="7" t="s">
        <v>353</v>
      </c>
      <c r="D1431" s="9">
        <v>46108</v>
      </c>
      <c r="E1431" s="9">
        <v>46138</v>
      </c>
      <c r="F1431" s="3">
        <v>2769.37</v>
      </c>
      <c r="G1431" s="7" t="s">
        <v>367</v>
      </c>
    </row>
    <row r="1432" spans="1:7" x14ac:dyDescent="0.3">
      <c r="A1432" s="7" t="s">
        <v>1799</v>
      </c>
      <c r="B1432" s="7" t="s">
        <v>13</v>
      </c>
      <c r="C1432" s="7" t="s">
        <v>359</v>
      </c>
      <c r="D1432" s="9">
        <v>46023</v>
      </c>
      <c r="E1432" s="9">
        <v>46053</v>
      </c>
      <c r="F1432" s="3">
        <v>2069.06</v>
      </c>
      <c r="G1432" s="7" t="s">
        <v>367</v>
      </c>
    </row>
    <row r="1433" spans="1:7" x14ac:dyDescent="0.3">
      <c r="A1433" s="7" t="s">
        <v>1800</v>
      </c>
      <c r="B1433" s="7" t="s">
        <v>107</v>
      </c>
      <c r="C1433" s="7" t="s">
        <v>355</v>
      </c>
      <c r="D1433" s="9">
        <v>46099</v>
      </c>
      <c r="E1433" s="9">
        <v>46129</v>
      </c>
      <c r="F1433" s="3">
        <v>13435.14</v>
      </c>
      <c r="G1433" s="7" t="s">
        <v>387</v>
      </c>
    </row>
    <row r="1434" spans="1:7" x14ac:dyDescent="0.3">
      <c r="A1434" s="7" t="s">
        <v>1801</v>
      </c>
      <c r="B1434" s="7" t="s">
        <v>12</v>
      </c>
      <c r="C1434" s="7" t="s">
        <v>357</v>
      </c>
      <c r="D1434" s="9">
        <v>46086</v>
      </c>
      <c r="E1434" s="9">
        <v>46116</v>
      </c>
      <c r="F1434" s="3">
        <v>3653.52</v>
      </c>
      <c r="G1434" s="7" t="s">
        <v>369</v>
      </c>
    </row>
    <row r="1435" spans="1:7" x14ac:dyDescent="0.3">
      <c r="A1435" s="7" t="s">
        <v>1802</v>
      </c>
      <c r="B1435" s="7" t="s">
        <v>123</v>
      </c>
      <c r="C1435" s="7" t="s">
        <v>357</v>
      </c>
      <c r="D1435" s="9">
        <v>46059</v>
      </c>
      <c r="E1435" s="9">
        <v>46089</v>
      </c>
      <c r="F1435" s="3">
        <v>2947.58</v>
      </c>
      <c r="G1435" s="7" t="s">
        <v>369</v>
      </c>
    </row>
    <row r="1436" spans="1:7" x14ac:dyDescent="0.3">
      <c r="A1436" s="7" t="s">
        <v>1803</v>
      </c>
      <c r="B1436" s="7" t="s">
        <v>71</v>
      </c>
      <c r="C1436" s="7" t="s">
        <v>353</v>
      </c>
      <c r="D1436" s="9">
        <v>46015</v>
      </c>
      <c r="E1436" s="9">
        <v>46045</v>
      </c>
      <c r="F1436" s="3">
        <v>2157.0300000000002</v>
      </c>
      <c r="G1436" s="7" t="s">
        <v>367</v>
      </c>
    </row>
    <row r="1437" spans="1:7" x14ac:dyDescent="0.3">
      <c r="A1437" s="7" t="s">
        <v>1804</v>
      </c>
      <c r="B1437" s="7" t="s">
        <v>49</v>
      </c>
      <c r="C1437" s="7" t="s">
        <v>355</v>
      </c>
      <c r="D1437" s="9">
        <v>46043</v>
      </c>
      <c r="E1437" s="9">
        <v>46073</v>
      </c>
      <c r="F1437" s="3">
        <v>13116.25</v>
      </c>
      <c r="G1437" s="7" t="s">
        <v>367</v>
      </c>
    </row>
    <row r="1438" spans="1:7" x14ac:dyDescent="0.3">
      <c r="A1438" s="7" t="s">
        <v>1805</v>
      </c>
      <c r="B1438" s="7" t="s">
        <v>105</v>
      </c>
      <c r="C1438" s="7" t="s">
        <v>351</v>
      </c>
      <c r="D1438" s="9">
        <v>46057</v>
      </c>
      <c r="E1438" s="9">
        <v>46087</v>
      </c>
      <c r="F1438" s="3">
        <v>4245.97</v>
      </c>
      <c r="G1438" s="7" t="s">
        <v>387</v>
      </c>
    </row>
    <row r="1439" spans="1:7" x14ac:dyDescent="0.3">
      <c r="A1439" s="7" t="s">
        <v>1806</v>
      </c>
      <c r="B1439" s="7" t="s">
        <v>71</v>
      </c>
      <c r="C1439" s="7" t="s">
        <v>349</v>
      </c>
      <c r="D1439" s="9">
        <v>46093</v>
      </c>
      <c r="E1439" s="9">
        <v>46123</v>
      </c>
      <c r="F1439" s="3">
        <v>2694.38</v>
      </c>
      <c r="G1439" s="7" t="s">
        <v>367</v>
      </c>
    </row>
    <row r="1440" spans="1:7" x14ac:dyDescent="0.3">
      <c r="A1440" s="7" t="s">
        <v>1807</v>
      </c>
      <c r="B1440" s="7" t="s">
        <v>53</v>
      </c>
      <c r="C1440" s="7" t="s">
        <v>351</v>
      </c>
      <c r="D1440" s="9">
        <v>46103</v>
      </c>
      <c r="E1440" s="9">
        <v>46133</v>
      </c>
      <c r="F1440" s="3">
        <v>4170.47</v>
      </c>
      <c r="G1440" s="7" t="s">
        <v>369</v>
      </c>
    </row>
    <row r="1441" spans="1:7" x14ac:dyDescent="0.3">
      <c r="A1441" s="7" t="s">
        <v>1808</v>
      </c>
      <c r="B1441" s="7" t="s">
        <v>36</v>
      </c>
      <c r="C1441" s="7" t="s">
        <v>359</v>
      </c>
      <c r="D1441" s="9">
        <v>46021</v>
      </c>
      <c r="E1441" s="9">
        <v>46051</v>
      </c>
      <c r="F1441" s="3">
        <v>1918.8</v>
      </c>
      <c r="G1441" s="7" t="s">
        <v>367</v>
      </c>
    </row>
    <row r="1442" spans="1:7" x14ac:dyDescent="0.3">
      <c r="A1442" s="7" t="s">
        <v>1809</v>
      </c>
      <c r="B1442" s="7" t="s">
        <v>116</v>
      </c>
      <c r="C1442" s="7" t="s">
        <v>351</v>
      </c>
      <c r="D1442" s="9">
        <v>46081</v>
      </c>
      <c r="E1442" s="9">
        <v>46111</v>
      </c>
      <c r="F1442" s="3">
        <v>5603.54</v>
      </c>
      <c r="G1442" s="7" t="s">
        <v>369</v>
      </c>
    </row>
    <row r="1443" spans="1:7" x14ac:dyDescent="0.3">
      <c r="A1443" s="7" t="s">
        <v>1810</v>
      </c>
      <c r="B1443" s="7" t="s">
        <v>105</v>
      </c>
      <c r="C1443" s="7" t="s">
        <v>357</v>
      </c>
      <c r="D1443" s="9">
        <v>46038</v>
      </c>
      <c r="E1443" s="9">
        <v>46068</v>
      </c>
      <c r="F1443" s="3">
        <v>3912.45</v>
      </c>
      <c r="G1443" s="7" t="s">
        <v>367</v>
      </c>
    </row>
    <row r="1444" spans="1:7" x14ac:dyDescent="0.3">
      <c r="A1444" s="7" t="s">
        <v>1811</v>
      </c>
      <c r="B1444" s="7" t="s">
        <v>47</v>
      </c>
      <c r="C1444" s="7" t="s">
        <v>349</v>
      </c>
      <c r="D1444" s="9">
        <v>45998</v>
      </c>
      <c r="E1444" s="9">
        <v>46028</v>
      </c>
      <c r="F1444" s="3">
        <v>3261.15</v>
      </c>
      <c r="G1444" s="7" t="s">
        <v>367</v>
      </c>
    </row>
    <row r="1445" spans="1:7" x14ac:dyDescent="0.3">
      <c r="A1445" s="7" t="s">
        <v>1812</v>
      </c>
      <c r="B1445" s="7" t="s">
        <v>104</v>
      </c>
      <c r="C1445" s="7" t="s">
        <v>355</v>
      </c>
      <c r="D1445" s="9">
        <v>46081</v>
      </c>
      <c r="E1445" s="9">
        <v>46111</v>
      </c>
      <c r="F1445" s="3">
        <v>14313.34</v>
      </c>
      <c r="G1445" s="7" t="s">
        <v>367</v>
      </c>
    </row>
    <row r="1446" spans="1:7" x14ac:dyDescent="0.3">
      <c r="A1446" s="7" t="s">
        <v>1813</v>
      </c>
      <c r="B1446" s="7" t="s">
        <v>14</v>
      </c>
      <c r="C1446" s="7" t="s">
        <v>349</v>
      </c>
      <c r="D1446" s="9">
        <v>46027</v>
      </c>
      <c r="E1446" s="9">
        <v>46057</v>
      </c>
      <c r="F1446" s="3">
        <v>3192.21</v>
      </c>
      <c r="G1446" s="7" t="s">
        <v>369</v>
      </c>
    </row>
    <row r="1447" spans="1:7" x14ac:dyDescent="0.3">
      <c r="A1447" s="7" t="s">
        <v>1814</v>
      </c>
      <c r="B1447" s="7" t="s">
        <v>44</v>
      </c>
      <c r="C1447" s="7" t="s">
        <v>359</v>
      </c>
      <c r="D1447" s="9">
        <v>45985</v>
      </c>
      <c r="E1447" s="9">
        <v>46015</v>
      </c>
      <c r="F1447" s="3">
        <v>2145.63</v>
      </c>
      <c r="G1447" s="7" t="s">
        <v>369</v>
      </c>
    </row>
    <row r="1448" spans="1:7" x14ac:dyDescent="0.3">
      <c r="A1448" s="7" t="s">
        <v>1815</v>
      </c>
      <c r="B1448" s="7" t="s">
        <v>45</v>
      </c>
      <c r="C1448" s="7" t="s">
        <v>355</v>
      </c>
      <c r="D1448" s="9">
        <v>46080</v>
      </c>
      <c r="E1448" s="9">
        <v>46110</v>
      </c>
      <c r="F1448" s="3">
        <v>11529.61</v>
      </c>
      <c r="G1448" s="7" t="s">
        <v>367</v>
      </c>
    </row>
    <row r="1449" spans="1:7" x14ac:dyDescent="0.3">
      <c r="A1449" s="7" t="s">
        <v>1816</v>
      </c>
      <c r="B1449" s="7" t="s">
        <v>122</v>
      </c>
      <c r="C1449" s="7" t="s">
        <v>359</v>
      </c>
      <c r="D1449" s="9">
        <v>46025</v>
      </c>
      <c r="E1449" s="9">
        <v>46055</v>
      </c>
      <c r="F1449" s="3">
        <v>1974.74</v>
      </c>
      <c r="G1449" s="7" t="s">
        <v>369</v>
      </c>
    </row>
    <row r="1450" spans="1:7" x14ac:dyDescent="0.3">
      <c r="A1450" s="7" t="s">
        <v>1817</v>
      </c>
      <c r="B1450" s="7" t="s">
        <v>89</v>
      </c>
      <c r="C1450" s="7" t="s">
        <v>357</v>
      </c>
      <c r="D1450" s="9">
        <v>46099</v>
      </c>
      <c r="E1450" s="9">
        <v>46129</v>
      </c>
      <c r="F1450" s="3">
        <v>3654.56</v>
      </c>
      <c r="G1450" s="7" t="s">
        <v>367</v>
      </c>
    </row>
    <row r="1451" spans="1:7" x14ac:dyDescent="0.3">
      <c r="A1451" s="7" t="s">
        <v>1818</v>
      </c>
      <c r="B1451" s="7" t="s">
        <v>96</v>
      </c>
      <c r="C1451" s="7" t="s">
        <v>351</v>
      </c>
      <c r="D1451" s="9">
        <v>46073</v>
      </c>
      <c r="E1451" s="9">
        <v>46103</v>
      </c>
      <c r="F1451" s="3">
        <v>5775.16</v>
      </c>
      <c r="G1451" s="7" t="s">
        <v>367</v>
      </c>
    </row>
    <row r="1452" spans="1:7" x14ac:dyDescent="0.3">
      <c r="A1452" s="7" t="s">
        <v>1819</v>
      </c>
      <c r="B1452" s="7" t="s">
        <v>32</v>
      </c>
      <c r="C1452" s="7" t="s">
        <v>353</v>
      </c>
      <c r="D1452" s="9">
        <v>45977</v>
      </c>
      <c r="E1452" s="9">
        <v>46007</v>
      </c>
      <c r="F1452" s="3">
        <v>2887.67</v>
      </c>
      <c r="G1452" s="7" t="s">
        <v>367</v>
      </c>
    </row>
    <row r="1453" spans="1:7" x14ac:dyDescent="0.3">
      <c r="A1453" s="7" t="s">
        <v>1820</v>
      </c>
      <c r="B1453" s="7" t="s">
        <v>99</v>
      </c>
      <c r="C1453" s="7" t="s">
        <v>353</v>
      </c>
      <c r="D1453" s="9">
        <v>45981</v>
      </c>
      <c r="E1453" s="9">
        <v>46011</v>
      </c>
      <c r="F1453" s="3">
        <v>2084.2800000000002</v>
      </c>
      <c r="G1453" s="7" t="s">
        <v>367</v>
      </c>
    </row>
    <row r="1454" spans="1:7" x14ac:dyDescent="0.3">
      <c r="A1454" s="7" t="s">
        <v>1821</v>
      </c>
      <c r="B1454" s="7" t="s">
        <v>18</v>
      </c>
      <c r="C1454" s="7" t="s">
        <v>359</v>
      </c>
      <c r="D1454" s="9">
        <v>46009</v>
      </c>
      <c r="E1454" s="9">
        <v>46039</v>
      </c>
      <c r="F1454" s="3">
        <v>2073.5100000000002</v>
      </c>
      <c r="G1454" s="7" t="s">
        <v>367</v>
      </c>
    </row>
    <row r="1455" spans="1:7" x14ac:dyDescent="0.3">
      <c r="A1455" s="7" t="s">
        <v>1822</v>
      </c>
      <c r="B1455" s="7" t="s">
        <v>27</v>
      </c>
      <c r="C1455" s="7" t="s">
        <v>357</v>
      </c>
      <c r="D1455" s="9">
        <v>46107</v>
      </c>
      <c r="E1455" s="9">
        <v>46137</v>
      </c>
      <c r="F1455" s="3">
        <v>3572.5</v>
      </c>
      <c r="G1455" s="7" t="s">
        <v>369</v>
      </c>
    </row>
    <row r="1456" spans="1:7" x14ac:dyDescent="0.3">
      <c r="A1456" s="7" t="s">
        <v>1823</v>
      </c>
      <c r="B1456" s="7" t="s">
        <v>37</v>
      </c>
      <c r="C1456" s="7" t="s">
        <v>349</v>
      </c>
      <c r="D1456" s="9">
        <v>45992</v>
      </c>
      <c r="E1456" s="9">
        <v>46022</v>
      </c>
      <c r="F1456" s="3">
        <v>2433.4699999999998</v>
      </c>
      <c r="G1456" s="7" t="s">
        <v>367</v>
      </c>
    </row>
    <row r="1457" spans="1:7" x14ac:dyDescent="0.3">
      <c r="A1457" s="7" t="s">
        <v>1824</v>
      </c>
      <c r="B1457" s="7" t="s">
        <v>114</v>
      </c>
      <c r="C1457" s="7" t="s">
        <v>353</v>
      </c>
      <c r="D1457" s="9">
        <v>46036</v>
      </c>
      <c r="E1457" s="9">
        <v>46066</v>
      </c>
      <c r="F1457" s="3">
        <v>2726.51</v>
      </c>
      <c r="G1457" s="7" t="s">
        <v>367</v>
      </c>
    </row>
    <row r="1458" spans="1:7" x14ac:dyDescent="0.3">
      <c r="A1458" s="7" t="s">
        <v>1825</v>
      </c>
      <c r="B1458" s="7" t="s">
        <v>103</v>
      </c>
      <c r="C1458" s="7" t="s">
        <v>353</v>
      </c>
      <c r="D1458" s="9">
        <v>45987</v>
      </c>
      <c r="E1458" s="9">
        <v>46017</v>
      </c>
      <c r="F1458" s="3">
        <v>2259.7600000000002</v>
      </c>
      <c r="G1458" s="7" t="s">
        <v>367</v>
      </c>
    </row>
    <row r="1459" spans="1:7" x14ac:dyDescent="0.3">
      <c r="A1459" s="7" t="s">
        <v>1826</v>
      </c>
      <c r="B1459" s="7" t="s">
        <v>7</v>
      </c>
      <c r="C1459" s="7" t="s">
        <v>359</v>
      </c>
      <c r="D1459" s="9">
        <v>45996</v>
      </c>
      <c r="E1459" s="9">
        <v>46026</v>
      </c>
      <c r="F1459" s="3">
        <v>2117.77</v>
      </c>
      <c r="G1459" s="7" t="s">
        <v>367</v>
      </c>
    </row>
    <row r="1460" spans="1:7" x14ac:dyDescent="0.3">
      <c r="A1460" s="7" t="s">
        <v>1827</v>
      </c>
      <c r="B1460" s="7" t="s">
        <v>79</v>
      </c>
      <c r="C1460" s="7" t="s">
        <v>355</v>
      </c>
      <c r="D1460" s="9">
        <v>46078</v>
      </c>
      <c r="E1460" s="9">
        <v>46108</v>
      </c>
      <c r="F1460" s="3">
        <v>11227.11</v>
      </c>
      <c r="G1460" s="7" t="s">
        <v>387</v>
      </c>
    </row>
    <row r="1461" spans="1:7" x14ac:dyDescent="0.3">
      <c r="A1461" s="7" t="s">
        <v>1828</v>
      </c>
      <c r="B1461" s="7" t="s">
        <v>83</v>
      </c>
      <c r="C1461" s="7" t="s">
        <v>359</v>
      </c>
      <c r="D1461" s="9">
        <v>46069</v>
      </c>
      <c r="E1461" s="9">
        <v>46099</v>
      </c>
      <c r="F1461" s="3">
        <v>2083.92</v>
      </c>
      <c r="G1461" s="7" t="s">
        <v>367</v>
      </c>
    </row>
    <row r="1462" spans="1:7" x14ac:dyDescent="0.3">
      <c r="A1462" s="7" t="s">
        <v>1829</v>
      </c>
      <c r="B1462" s="7" t="s">
        <v>98</v>
      </c>
      <c r="C1462" s="7" t="s">
        <v>351</v>
      </c>
      <c r="D1462" s="9">
        <v>46075</v>
      </c>
      <c r="E1462" s="9">
        <v>46105</v>
      </c>
      <c r="F1462" s="3">
        <v>4700.67</v>
      </c>
      <c r="G1462" s="7" t="s">
        <v>369</v>
      </c>
    </row>
    <row r="1463" spans="1:7" x14ac:dyDescent="0.3">
      <c r="A1463" s="7" t="s">
        <v>1830</v>
      </c>
      <c r="B1463" s="7" t="s">
        <v>38</v>
      </c>
      <c r="C1463" s="7" t="s">
        <v>357</v>
      </c>
      <c r="D1463" s="9">
        <v>45985</v>
      </c>
      <c r="E1463" s="9">
        <v>46015</v>
      </c>
      <c r="F1463" s="3">
        <v>3741.41</v>
      </c>
      <c r="G1463" s="7" t="s">
        <v>367</v>
      </c>
    </row>
    <row r="1464" spans="1:7" x14ac:dyDescent="0.3">
      <c r="A1464" s="7" t="s">
        <v>1831</v>
      </c>
      <c r="B1464" s="7" t="s">
        <v>53</v>
      </c>
      <c r="C1464" s="7" t="s">
        <v>349</v>
      </c>
      <c r="D1464" s="9">
        <v>46105</v>
      </c>
      <c r="E1464" s="9">
        <v>46135</v>
      </c>
      <c r="F1464" s="3">
        <v>2793.42</v>
      </c>
      <c r="G1464" s="7" t="s">
        <v>369</v>
      </c>
    </row>
    <row r="1465" spans="1:7" x14ac:dyDescent="0.3">
      <c r="A1465" s="7" t="s">
        <v>1832</v>
      </c>
      <c r="B1465" s="7" t="s">
        <v>17</v>
      </c>
      <c r="C1465" s="7" t="s">
        <v>355</v>
      </c>
      <c r="D1465" s="9">
        <v>46051</v>
      </c>
      <c r="E1465" s="9">
        <v>46081</v>
      </c>
      <c r="F1465" s="3">
        <v>10070.34</v>
      </c>
      <c r="G1465" s="7" t="s">
        <v>369</v>
      </c>
    </row>
    <row r="1466" spans="1:7" x14ac:dyDescent="0.3">
      <c r="A1466" s="7" t="s">
        <v>1833</v>
      </c>
      <c r="B1466" s="7" t="s">
        <v>64</v>
      </c>
      <c r="C1466" s="7" t="s">
        <v>349</v>
      </c>
      <c r="D1466" s="9">
        <v>46014</v>
      </c>
      <c r="E1466" s="9">
        <v>46044</v>
      </c>
      <c r="F1466" s="3">
        <v>2474.63</v>
      </c>
      <c r="G1466" s="7" t="s">
        <v>367</v>
      </c>
    </row>
    <row r="1467" spans="1:7" x14ac:dyDescent="0.3">
      <c r="A1467" s="7" t="s">
        <v>1834</v>
      </c>
      <c r="B1467" s="7" t="s">
        <v>73</v>
      </c>
      <c r="C1467" s="7" t="s">
        <v>349</v>
      </c>
      <c r="D1467" s="9">
        <v>45982</v>
      </c>
      <c r="E1467" s="9">
        <v>46012</v>
      </c>
      <c r="F1467" s="3">
        <v>2843.15</v>
      </c>
      <c r="G1467" s="7" t="s">
        <v>367</v>
      </c>
    </row>
    <row r="1468" spans="1:7" x14ac:dyDescent="0.3">
      <c r="A1468" s="7" t="s">
        <v>1835</v>
      </c>
      <c r="B1468" s="7" t="s">
        <v>63</v>
      </c>
      <c r="C1468" s="7" t="s">
        <v>355</v>
      </c>
      <c r="D1468" s="9">
        <v>46080</v>
      </c>
      <c r="E1468" s="9">
        <v>46110</v>
      </c>
      <c r="F1468" s="3">
        <v>13785.67</v>
      </c>
      <c r="G1468" s="7" t="s">
        <v>367</v>
      </c>
    </row>
    <row r="1469" spans="1:7" x14ac:dyDescent="0.3">
      <c r="A1469" s="7" t="s">
        <v>1836</v>
      </c>
      <c r="B1469" s="7" t="s">
        <v>112</v>
      </c>
      <c r="C1469" s="7" t="s">
        <v>359</v>
      </c>
      <c r="D1469" s="9">
        <v>45962</v>
      </c>
      <c r="E1469" s="9">
        <v>45992</v>
      </c>
      <c r="F1469" s="3">
        <v>2110.35</v>
      </c>
      <c r="G1469" s="7" t="s">
        <v>387</v>
      </c>
    </row>
    <row r="1470" spans="1:7" x14ac:dyDescent="0.3">
      <c r="A1470" s="7" t="s">
        <v>1837</v>
      </c>
      <c r="B1470" s="7" t="s">
        <v>23</v>
      </c>
      <c r="C1470" s="7" t="s">
        <v>351</v>
      </c>
      <c r="D1470" s="9">
        <v>46022</v>
      </c>
      <c r="E1470" s="9">
        <v>46052</v>
      </c>
      <c r="F1470" s="3">
        <v>4288.6899999999996</v>
      </c>
      <c r="G1470" s="7" t="s">
        <v>367</v>
      </c>
    </row>
    <row r="1471" spans="1:7" x14ac:dyDescent="0.3">
      <c r="A1471" s="7" t="s">
        <v>1838</v>
      </c>
      <c r="B1471" s="7" t="s">
        <v>65</v>
      </c>
      <c r="C1471" s="7" t="s">
        <v>359</v>
      </c>
      <c r="D1471" s="9">
        <v>46089</v>
      </c>
      <c r="E1471" s="9">
        <v>46119</v>
      </c>
      <c r="F1471" s="3">
        <v>1809.49</v>
      </c>
      <c r="G1471" s="7" t="s">
        <v>367</v>
      </c>
    </row>
    <row r="1472" spans="1:7" x14ac:dyDescent="0.3">
      <c r="A1472" s="7" t="s">
        <v>1839</v>
      </c>
      <c r="B1472" s="7" t="s">
        <v>22</v>
      </c>
      <c r="C1472" s="7" t="s">
        <v>355</v>
      </c>
      <c r="D1472" s="9">
        <v>46010</v>
      </c>
      <c r="E1472" s="9">
        <v>46040</v>
      </c>
      <c r="F1472" s="3">
        <v>9756.52</v>
      </c>
      <c r="G1472" s="7" t="s">
        <v>367</v>
      </c>
    </row>
    <row r="1473" spans="1:7" x14ac:dyDescent="0.3">
      <c r="A1473" s="7" t="s">
        <v>1840</v>
      </c>
      <c r="B1473" s="7" t="s">
        <v>44</v>
      </c>
      <c r="C1473" s="7" t="s">
        <v>357</v>
      </c>
      <c r="D1473" s="9">
        <v>46069</v>
      </c>
      <c r="E1473" s="9">
        <v>46099</v>
      </c>
      <c r="F1473" s="3">
        <v>3993.24</v>
      </c>
      <c r="G1473" s="7" t="s">
        <v>367</v>
      </c>
    </row>
    <row r="1474" spans="1:7" x14ac:dyDescent="0.3">
      <c r="A1474" s="7" t="s">
        <v>1841</v>
      </c>
      <c r="B1474" s="7" t="s">
        <v>54</v>
      </c>
      <c r="C1474" s="7" t="s">
        <v>349</v>
      </c>
      <c r="D1474" s="9">
        <v>46044</v>
      </c>
      <c r="E1474" s="9">
        <v>46074</v>
      </c>
      <c r="F1474" s="3">
        <v>3027.33</v>
      </c>
      <c r="G1474" s="7" t="s">
        <v>367</v>
      </c>
    </row>
    <row r="1475" spans="1:7" x14ac:dyDescent="0.3">
      <c r="A1475" s="7" t="s">
        <v>1842</v>
      </c>
      <c r="B1475" s="7" t="s">
        <v>82</v>
      </c>
      <c r="C1475" s="7" t="s">
        <v>353</v>
      </c>
      <c r="D1475" s="9">
        <v>46100</v>
      </c>
      <c r="E1475" s="9">
        <v>46130</v>
      </c>
      <c r="F1475" s="3">
        <v>2293.98</v>
      </c>
      <c r="G1475" s="7" t="s">
        <v>367</v>
      </c>
    </row>
    <row r="1476" spans="1:7" x14ac:dyDescent="0.3">
      <c r="A1476" s="7" t="s">
        <v>1843</v>
      </c>
      <c r="B1476" s="7" t="s">
        <v>111</v>
      </c>
      <c r="C1476" s="7" t="s">
        <v>355</v>
      </c>
      <c r="D1476" s="9">
        <v>45984</v>
      </c>
      <c r="E1476" s="9">
        <v>46014</v>
      </c>
      <c r="F1476" s="3">
        <v>9833.5300000000007</v>
      </c>
      <c r="G1476" s="7" t="s">
        <v>367</v>
      </c>
    </row>
    <row r="1477" spans="1:7" x14ac:dyDescent="0.3">
      <c r="A1477" s="7" t="s">
        <v>1844</v>
      </c>
      <c r="B1477" s="7" t="s">
        <v>118</v>
      </c>
      <c r="C1477" s="7" t="s">
        <v>359</v>
      </c>
      <c r="D1477" s="9">
        <v>46053</v>
      </c>
      <c r="E1477" s="9">
        <v>46083</v>
      </c>
      <c r="F1477" s="3">
        <v>1791.93</v>
      </c>
      <c r="G1477" s="7" t="s">
        <v>367</v>
      </c>
    </row>
    <row r="1478" spans="1:7" x14ac:dyDescent="0.3">
      <c r="A1478" s="7" t="s">
        <v>1845</v>
      </c>
      <c r="B1478" s="7" t="s">
        <v>122</v>
      </c>
      <c r="C1478" s="7" t="s">
        <v>349</v>
      </c>
      <c r="D1478" s="9">
        <v>46007</v>
      </c>
      <c r="E1478" s="9">
        <v>46037</v>
      </c>
      <c r="F1478" s="3">
        <v>2901.09</v>
      </c>
      <c r="G1478" s="7" t="s">
        <v>367</v>
      </c>
    </row>
    <row r="1479" spans="1:7" x14ac:dyDescent="0.3">
      <c r="A1479" s="7" t="s">
        <v>1846</v>
      </c>
      <c r="B1479" s="7" t="s">
        <v>23</v>
      </c>
      <c r="C1479" s="7" t="s">
        <v>353</v>
      </c>
      <c r="D1479" s="9">
        <v>46094</v>
      </c>
      <c r="E1479" s="9">
        <v>46124</v>
      </c>
      <c r="F1479" s="3">
        <v>2781.35</v>
      </c>
      <c r="G1479" s="7" t="s">
        <v>369</v>
      </c>
    </row>
    <row r="1480" spans="1:7" x14ac:dyDescent="0.3">
      <c r="A1480" s="7" t="s">
        <v>1847</v>
      </c>
      <c r="B1480" s="7" t="s">
        <v>26</v>
      </c>
      <c r="C1480" s="7" t="s">
        <v>351</v>
      </c>
      <c r="D1480" s="9">
        <v>46033</v>
      </c>
      <c r="E1480" s="9">
        <v>46063</v>
      </c>
      <c r="F1480" s="3">
        <v>5009.53</v>
      </c>
      <c r="G1480" s="7" t="s">
        <v>367</v>
      </c>
    </row>
    <row r="1481" spans="1:7" x14ac:dyDescent="0.3">
      <c r="A1481" s="7" t="s">
        <v>1848</v>
      </c>
      <c r="B1481" s="7" t="s">
        <v>59</v>
      </c>
      <c r="C1481" s="7" t="s">
        <v>359</v>
      </c>
      <c r="D1481" s="9">
        <v>46044</v>
      </c>
      <c r="E1481" s="9">
        <v>46074</v>
      </c>
      <c r="F1481" s="3">
        <v>1674.16</v>
      </c>
      <c r="G1481" s="7" t="s">
        <v>367</v>
      </c>
    </row>
    <row r="1482" spans="1:7" x14ac:dyDescent="0.3">
      <c r="A1482" s="7" t="s">
        <v>1849</v>
      </c>
      <c r="B1482" s="7" t="s">
        <v>92</v>
      </c>
      <c r="C1482" s="7" t="s">
        <v>355</v>
      </c>
      <c r="D1482" s="9">
        <v>46040</v>
      </c>
      <c r="E1482" s="9">
        <v>46070</v>
      </c>
      <c r="F1482" s="3">
        <v>10717.55</v>
      </c>
      <c r="G1482" s="7" t="s">
        <v>367</v>
      </c>
    </row>
    <row r="1483" spans="1:7" x14ac:dyDescent="0.3">
      <c r="A1483" s="7" t="s">
        <v>1850</v>
      </c>
      <c r="B1483" s="7" t="s">
        <v>97</v>
      </c>
      <c r="C1483" s="7" t="s">
        <v>355</v>
      </c>
      <c r="D1483" s="9">
        <v>45991</v>
      </c>
      <c r="E1483" s="9">
        <v>46021</v>
      </c>
      <c r="F1483" s="3">
        <v>13132.38</v>
      </c>
      <c r="G1483" s="7" t="s">
        <v>369</v>
      </c>
    </row>
    <row r="1484" spans="1:7" x14ac:dyDescent="0.3">
      <c r="A1484" s="7" t="s">
        <v>1851</v>
      </c>
      <c r="B1484" s="7" t="s">
        <v>89</v>
      </c>
      <c r="C1484" s="7" t="s">
        <v>349</v>
      </c>
      <c r="D1484" s="9">
        <v>46079</v>
      </c>
      <c r="E1484" s="9">
        <v>46109</v>
      </c>
      <c r="F1484" s="3">
        <v>3086.39</v>
      </c>
      <c r="G1484" s="7" t="s">
        <v>367</v>
      </c>
    </row>
    <row r="1485" spans="1:7" x14ac:dyDescent="0.3">
      <c r="A1485" s="7" t="s">
        <v>1852</v>
      </c>
      <c r="B1485" s="7" t="s">
        <v>76</v>
      </c>
      <c r="C1485" s="7" t="s">
        <v>349</v>
      </c>
      <c r="D1485" s="9">
        <v>46063</v>
      </c>
      <c r="E1485" s="9">
        <v>46093</v>
      </c>
      <c r="F1485" s="3">
        <v>3172.7</v>
      </c>
      <c r="G1485" s="7" t="s">
        <v>387</v>
      </c>
    </row>
    <row r="1486" spans="1:7" x14ac:dyDescent="0.3">
      <c r="A1486" s="7" t="s">
        <v>1853</v>
      </c>
      <c r="B1486" s="7" t="s">
        <v>67</v>
      </c>
      <c r="C1486" s="7" t="s">
        <v>357</v>
      </c>
      <c r="D1486" s="9">
        <v>45998</v>
      </c>
      <c r="E1486" s="9">
        <v>46028</v>
      </c>
      <c r="F1486" s="3">
        <v>3860.66</v>
      </c>
      <c r="G1486" s="7" t="s">
        <v>367</v>
      </c>
    </row>
    <row r="1487" spans="1:7" x14ac:dyDescent="0.3">
      <c r="A1487" s="7" t="s">
        <v>1854</v>
      </c>
      <c r="B1487" s="7" t="s">
        <v>30</v>
      </c>
      <c r="C1487" s="7" t="s">
        <v>357</v>
      </c>
      <c r="D1487" s="9">
        <v>46020</v>
      </c>
      <c r="E1487" s="9">
        <v>46050</v>
      </c>
      <c r="F1487" s="3">
        <v>4055.61</v>
      </c>
      <c r="G1487" s="7" t="s">
        <v>369</v>
      </c>
    </row>
    <row r="1488" spans="1:7" x14ac:dyDescent="0.3">
      <c r="A1488" s="7" t="s">
        <v>1855</v>
      </c>
      <c r="B1488" s="7" t="s">
        <v>114</v>
      </c>
      <c r="C1488" s="7" t="s">
        <v>349</v>
      </c>
      <c r="D1488" s="9">
        <v>46076</v>
      </c>
      <c r="E1488" s="9">
        <v>46106</v>
      </c>
      <c r="F1488" s="3">
        <v>2729.96</v>
      </c>
      <c r="G1488" s="7" t="s">
        <v>369</v>
      </c>
    </row>
    <row r="1489" spans="1:7" x14ac:dyDescent="0.3">
      <c r="A1489" s="7" t="s">
        <v>1856</v>
      </c>
      <c r="B1489" s="7" t="s">
        <v>58</v>
      </c>
      <c r="C1489" s="7" t="s">
        <v>357</v>
      </c>
      <c r="D1489" s="9">
        <v>45964</v>
      </c>
      <c r="E1489" s="9">
        <v>45994</v>
      </c>
      <c r="F1489" s="3">
        <v>3421.92</v>
      </c>
      <c r="G1489" s="7" t="s">
        <v>367</v>
      </c>
    </row>
    <row r="1490" spans="1:7" x14ac:dyDescent="0.3">
      <c r="A1490" s="7" t="s">
        <v>1857</v>
      </c>
      <c r="B1490" s="7" t="s">
        <v>30</v>
      </c>
      <c r="C1490" s="7" t="s">
        <v>357</v>
      </c>
      <c r="D1490" s="9">
        <v>46040</v>
      </c>
      <c r="E1490" s="9">
        <v>46070</v>
      </c>
      <c r="F1490" s="3">
        <v>2862.98</v>
      </c>
      <c r="G1490" s="7" t="s">
        <v>367</v>
      </c>
    </row>
    <row r="1491" spans="1:7" x14ac:dyDescent="0.3">
      <c r="A1491" s="7" t="s">
        <v>1858</v>
      </c>
      <c r="B1491" s="7" t="s">
        <v>18</v>
      </c>
      <c r="C1491" s="7" t="s">
        <v>355</v>
      </c>
      <c r="D1491" s="9">
        <v>46047</v>
      </c>
      <c r="E1491" s="9">
        <v>46077</v>
      </c>
      <c r="F1491" s="3">
        <v>9715.4699999999993</v>
      </c>
      <c r="G1491" s="7" t="s">
        <v>367</v>
      </c>
    </row>
    <row r="1492" spans="1:7" x14ac:dyDescent="0.3">
      <c r="A1492" s="7" t="s">
        <v>1859</v>
      </c>
      <c r="B1492" s="7" t="s">
        <v>30</v>
      </c>
      <c r="C1492" s="7" t="s">
        <v>349</v>
      </c>
      <c r="D1492" s="9">
        <v>46014</v>
      </c>
      <c r="E1492" s="9">
        <v>46044</v>
      </c>
      <c r="F1492" s="3">
        <v>3575.74</v>
      </c>
      <c r="G1492" s="7" t="s">
        <v>367</v>
      </c>
    </row>
    <row r="1493" spans="1:7" x14ac:dyDescent="0.3">
      <c r="A1493" s="7" t="s">
        <v>1860</v>
      </c>
      <c r="B1493" s="7" t="s">
        <v>93</v>
      </c>
      <c r="C1493" s="7" t="s">
        <v>353</v>
      </c>
      <c r="D1493" s="9">
        <v>46015</v>
      </c>
      <c r="E1493" s="9">
        <v>46045</v>
      </c>
      <c r="F1493" s="3">
        <v>2768.3</v>
      </c>
      <c r="G1493" s="7" t="s">
        <v>387</v>
      </c>
    </row>
    <row r="1494" spans="1:7" x14ac:dyDescent="0.3">
      <c r="A1494" s="7" t="s">
        <v>1861</v>
      </c>
      <c r="B1494" s="7" t="s">
        <v>14</v>
      </c>
      <c r="C1494" s="7" t="s">
        <v>351</v>
      </c>
      <c r="D1494" s="9">
        <v>46040</v>
      </c>
      <c r="E1494" s="9">
        <v>46070</v>
      </c>
      <c r="F1494" s="3">
        <v>4117.83</v>
      </c>
      <c r="G1494" s="7" t="s">
        <v>367</v>
      </c>
    </row>
    <row r="1495" spans="1:7" x14ac:dyDescent="0.3">
      <c r="A1495" s="7" t="s">
        <v>1862</v>
      </c>
      <c r="B1495" s="7" t="s">
        <v>48</v>
      </c>
      <c r="C1495" s="7" t="s">
        <v>353</v>
      </c>
      <c r="D1495" s="9">
        <v>46082</v>
      </c>
      <c r="E1495" s="9">
        <v>46112</v>
      </c>
      <c r="F1495" s="3">
        <v>2389.94</v>
      </c>
      <c r="G1495" s="7" t="s">
        <v>367</v>
      </c>
    </row>
    <row r="1496" spans="1:7" x14ac:dyDescent="0.3">
      <c r="A1496" s="7" t="s">
        <v>1863</v>
      </c>
      <c r="B1496" s="7" t="s">
        <v>37</v>
      </c>
      <c r="C1496" s="7" t="s">
        <v>353</v>
      </c>
      <c r="D1496" s="9">
        <v>45987</v>
      </c>
      <c r="E1496" s="9">
        <v>46017</v>
      </c>
      <c r="F1496" s="3">
        <v>2375.5100000000002</v>
      </c>
      <c r="G1496" s="7" t="s">
        <v>367</v>
      </c>
    </row>
    <row r="1497" spans="1:7" x14ac:dyDescent="0.3">
      <c r="A1497" s="7" t="s">
        <v>1864</v>
      </c>
      <c r="B1497" s="7" t="s">
        <v>56</v>
      </c>
      <c r="C1497" s="7" t="s">
        <v>357</v>
      </c>
      <c r="D1497" s="9">
        <v>45972</v>
      </c>
      <c r="E1497" s="9">
        <v>46002</v>
      </c>
      <c r="F1497" s="3">
        <v>3620.44</v>
      </c>
      <c r="G1497" s="7" t="s">
        <v>369</v>
      </c>
    </row>
    <row r="1498" spans="1:7" x14ac:dyDescent="0.3">
      <c r="A1498" s="7" t="s">
        <v>1865</v>
      </c>
      <c r="B1498" s="7" t="s">
        <v>15</v>
      </c>
      <c r="C1498" s="7" t="s">
        <v>349</v>
      </c>
      <c r="D1498" s="9">
        <v>46061</v>
      </c>
      <c r="E1498" s="9">
        <v>46091</v>
      </c>
      <c r="F1498" s="3">
        <v>2723.15</v>
      </c>
      <c r="G1498" s="7" t="s">
        <v>367</v>
      </c>
    </row>
    <row r="1499" spans="1:7" x14ac:dyDescent="0.3">
      <c r="A1499" s="7" t="s">
        <v>1866</v>
      </c>
      <c r="B1499" s="7" t="s">
        <v>9</v>
      </c>
      <c r="C1499" s="7" t="s">
        <v>355</v>
      </c>
      <c r="D1499" s="9">
        <v>46063</v>
      </c>
      <c r="E1499" s="9">
        <v>46093</v>
      </c>
      <c r="F1499" s="3">
        <v>9738.75</v>
      </c>
      <c r="G1499" s="7" t="s">
        <v>369</v>
      </c>
    </row>
    <row r="1500" spans="1:7" x14ac:dyDescent="0.3">
      <c r="A1500" s="7" t="s">
        <v>1867</v>
      </c>
      <c r="B1500" s="7" t="s">
        <v>104</v>
      </c>
      <c r="C1500" s="7" t="s">
        <v>353</v>
      </c>
      <c r="D1500" s="9">
        <v>46001</v>
      </c>
      <c r="E1500" s="9">
        <v>46031</v>
      </c>
      <c r="F1500" s="3">
        <v>2554.08</v>
      </c>
      <c r="G1500" s="7" t="s">
        <v>367</v>
      </c>
    </row>
    <row r="1501" spans="1:7" x14ac:dyDescent="0.3">
      <c r="A1501" s="7" t="s">
        <v>1868</v>
      </c>
      <c r="B1501" s="7" t="s">
        <v>64</v>
      </c>
      <c r="C1501" s="7" t="s">
        <v>357</v>
      </c>
      <c r="D1501" s="9">
        <v>46069</v>
      </c>
      <c r="E1501" s="9">
        <v>46099</v>
      </c>
      <c r="F1501" s="3">
        <v>3712.17</v>
      </c>
      <c r="G1501" s="7" t="s">
        <v>367</v>
      </c>
    </row>
    <row r="1502" spans="1:7" x14ac:dyDescent="0.3">
      <c r="A1502" s="7" t="s">
        <v>1869</v>
      </c>
      <c r="B1502" s="7" t="s">
        <v>25</v>
      </c>
      <c r="C1502" s="7" t="s">
        <v>349</v>
      </c>
      <c r="D1502" s="9">
        <v>45998</v>
      </c>
      <c r="E1502" s="9">
        <v>46028</v>
      </c>
      <c r="F1502" s="3">
        <v>3415.53</v>
      </c>
      <c r="G1502" s="7" t="s">
        <v>369</v>
      </c>
    </row>
    <row r="1503" spans="1:7" x14ac:dyDescent="0.3">
      <c r="A1503" s="7" t="s">
        <v>1870</v>
      </c>
      <c r="B1503" s="7" t="s">
        <v>61</v>
      </c>
      <c r="C1503" s="7" t="s">
        <v>353</v>
      </c>
      <c r="D1503" s="9">
        <v>46055</v>
      </c>
      <c r="E1503" s="9">
        <v>46085</v>
      </c>
      <c r="F1503" s="3">
        <v>2540.44</v>
      </c>
      <c r="G1503" s="7" t="s">
        <v>367</v>
      </c>
    </row>
    <row r="1504" spans="1:7" x14ac:dyDescent="0.3">
      <c r="A1504" s="7" t="s">
        <v>1871</v>
      </c>
      <c r="B1504" s="7" t="s">
        <v>86</v>
      </c>
      <c r="C1504" s="7" t="s">
        <v>357</v>
      </c>
      <c r="D1504" s="9">
        <v>45971</v>
      </c>
      <c r="E1504" s="9">
        <v>46001</v>
      </c>
      <c r="F1504" s="3">
        <v>3432.44</v>
      </c>
      <c r="G1504" s="7" t="s">
        <v>387</v>
      </c>
    </row>
    <row r="1505" spans="1:7" x14ac:dyDescent="0.3">
      <c r="A1505" s="7" t="s">
        <v>1872</v>
      </c>
      <c r="B1505" s="7" t="s">
        <v>124</v>
      </c>
      <c r="C1505" s="7" t="s">
        <v>353</v>
      </c>
      <c r="D1505" s="9">
        <v>46100</v>
      </c>
      <c r="E1505" s="9">
        <v>46130</v>
      </c>
      <c r="F1505" s="3">
        <v>2653.06</v>
      </c>
      <c r="G1505" s="7" t="s">
        <v>367</v>
      </c>
    </row>
    <row r="1506" spans="1:7" x14ac:dyDescent="0.3">
      <c r="A1506" s="7" t="s">
        <v>1873</v>
      </c>
      <c r="B1506" s="7" t="s">
        <v>51</v>
      </c>
      <c r="C1506" s="7" t="s">
        <v>355</v>
      </c>
      <c r="D1506" s="9">
        <v>45978</v>
      </c>
      <c r="E1506" s="9">
        <v>46008</v>
      </c>
      <c r="F1506" s="3">
        <v>10911.85</v>
      </c>
      <c r="G1506" s="7" t="s">
        <v>367</v>
      </c>
    </row>
    <row r="1507" spans="1:7" x14ac:dyDescent="0.3">
      <c r="A1507" s="7" t="s">
        <v>1874</v>
      </c>
      <c r="B1507" s="7" t="s">
        <v>27</v>
      </c>
      <c r="C1507" s="7" t="s">
        <v>359</v>
      </c>
      <c r="D1507" s="9">
        <v>46108</v>
      </c>
      <c r="E1507" s="9">
        <v>46138</v>
      </c>
      <c r="F1507" s="3">
        <v>1593.18</v>
      </c>
      <c r="G1507" s="7" t="s">
        <v>367</v>
      </c>
    </row>
    <row r="1508" spans="1:7" x14ac:dyDescent="0.3">
      <c r="A1508" s="7" t="s">
        <v>1875</v>
      </c>
      <c r="B1508" s="7" t="s">
        <v>96</v>
      </c>
      <c r="C1508" s="7" t="s">
        <v>359</v>
      </c>
      <c r="D1508" s="9">
        <v>46081</v>
      </c>
      <c r="E1508" s="9">
        <v>46111</v>
      </c>
      <c r="F1508" s="3">
        <v>1824.54</v>
      </c>
      <c r="G1508" s="7" t="s">
        <v>367</v>
      </c>
    </row>
    <row r="1509" spans="1:7" x14ac:dyDescent="0.3">
      <c r="A1509" s="7" t="s">
        <v>1876</v>
      </c>
      <c r="B1509" s="7" t="s">
        <v>119</v>
      </c>
      <c r="C1509" s="7" t="s">
        <v>349</v>
      </c>
      <c r="D1509" s="9">
        <v>45987</v>
      </c>
      <c r="E1509" s="9">
        <v>46017</v>
      </c>
      <c r="F1509" s="3">
        <v>3396.6</v>
      </c>
      <c r="G1509" s="7" t="s">
        <v>387</v>
      </c>
    </row>
    <row r="1510" spans="1:7" x14ac:dyDescent="0.3">
      <c r="A1510" s="7" t="s">
        <v>1877</v>
      </c>
      <c r="B1510" s="7" t="s">
        <v>50</v>
      </c>
      <c r="C1510" s="7" t="s">
        <v>355</v>
      </c>
      <c r="D1510" s="9">
        <v>46100</v>
      </c>
      <c r="E1510" s="9">
        <v>46130</v>
      </c>
      <c r="F1510" s="3">
        <v>10612.08</v>
      </c>
      <c r="G1510" s="7" t="s">
        <v>369</v>
      </c>
    </row>
    <row r="1511" spans="1:7" x14ac:dyDescent="0.3">
      <c r="A1511" s="7" t="s">
        <v>1878</v>
      </c>
      <c r="B1511" s="7" t="s">
        <v>38</v>
      </c>
      <c r="C1511" s="7" t="s">
        <v>359</v>
      </c>
      <c r="D1511" s="9">
        <v>46106</v>
      </c>
      <c r="E1511" s="9">
        <v>46136</v>
      </c>
      <c r="F1511" s="3">
        <v>1628.18</v>
      </c>
      <c r="G1511" s="7" t="s">
        <v>367</v>
      </c>
    </row>
    <row r="1512" spans="1:7" x14ac:dyDescent="0.3">
      <c r="A1512" s="7" t="s">
        <v>1879</v>
      </c>
      <c r="B1512" s="7" t="s">
        <v>83</v>
      </c>
      <c r="C1512" s="7" t="s">
        <v>359</v>
      </c>
      <c r="D1512" s="9">
        <v>46023</v>
      </c>
      <c r="E1512" s="9">
        <v>46053</v>
      </c>
      <c r="F1512" s="3">
        <v>2147.7800000000002</v>
      </c>
      <c r="G1512" s="7" t="s">
        <v>367</v>
      </c>
    </row>
    <row r="1513" spans="1:7" x14ac:dyDescent="0.3">
      <c r="A1513" s="7" t="s">
        <v>1880</v>
      </c>
      <c r="B1513" s="7" t="s">
        <v>7</v>
      </c>
      <c r="C1513" s="7" t="s">
        <v>353</v>
      </c>
      <c r="D1513" s="9">
        <v>46089</v>
      </c>
      <c r="E1513" s="9">
        <v>46119</v>
      </c>
      <c r="F1513" s="3">
        <v>2015.87</v>
      </c>
      <c r="G1513" s="7" t="s">
        <v>367</v>
      </c>
    </row>
    <row r="1514" spans="1:7" x14ac:dyDescent="0.3">
      <c r="A1514" s="7" t="s">
        <v>1881</v>
      </c>
      <c r="B1514" s="7" t="s">
        <v>78</v>
      </c>
      <c r="C1514" s="7" t="s">
        <v>357</v>
      </c>
      <c r="D1514" s="9">
        <v>45967</v>
      </c>
      <c r="E1514" s="9">
        <v>45997</v>
      </c>
      <c r="F1514" s="3">
        <v>3467.14</v>
      </c>
      <c r="G1514" s="7" t="s">
        <v>367</v>
      </c>
    </row>
    <row r="1515" spans="1:7" x14ac:dyDescent="0.3">
      <c r="A1515" s="7" t="s">
        <v>1882</v>
      </c>
      <c r="B1515" s="7" t="s">
        <v>107</v>
      </c>
      <c r="C1515" s="7" t="s">
        <v>359</v>
      </c>
      <c r="D1515" s="9">
        <v>46055</v>
      </c>
      <c r="E1515" s="9">
        <v>46085</v>
      </c>
      <c r="F1515" s="3">
        <v>1946.38</v>
      </c>
      <c r="G1515" s="7" t="s">
        <v>367</v>
      </c>
    </row>
    <row r="1516" spans="1:7" x14ac:dyDescent="0.3">
      <c r="A1516" s="7" t="s">
        <v>1883</v>
      </c>
      <c r="B1516" s="7" t="s">
        <v>111</v>
      </c>
      <c r="C1516" s="7" t="s">
        <v>359</v>
      </c>
      <c r="D1516" s="9">
        <v>46035</v>
      </c>
      <c r="E1516" s="9">
        <v>46065</v>
      </c>
      <c r="F1516" s="3">
        <v>1908.91</v>
      </c>
      <c r="G1516" s="7" t="s">
        <v>369</v>
      </c>
    </row>
    <row r="1517" spans="1:7" x14ac:dyDescent="0.3">
      <c r="A1517" s="7" t="s">
        <v>1884</v>
      </c>
      <c r="B1517" s="7" t="s">
        <v>55</v>
      </c>
      <c r="C1517" s="7" t="s">
        <v>359</v>
      </c>
      <c r="D1517" s="9">
        <v>45989</v>
      </c>
      <c r="E1517" s="9">
        <v>46019</v>
      </c>
      <c r="F1517" s="3">
        <v>1760.53</v>
      </c>
      <c r="G1517" s="7" t="s">
        <v>387</v>
      </c>
    </row>
    <row r="1518" spans="1:7" x14ac:dyDescent="0.3">
      <c r="A1518" s="7" t="s">
        <v>1885</v>
      </c>
      <c r="B1518" s="7" t="s">
        <v>22</v>
      </c>
      <c r="C1518" s="7" t="s">
        <v>357</v>
      </c>
      <c r="D1518" s="9">
        <v>46042</v>
      </c>
      <c r="E1518" s="9">
        <v>46072</v>
      </c>
      <c r="F1518" s="3">
        <v>3301.15</v>
      </c>
      <c r="G1518" s="7" t="s">
        <v>387</v>
      </c>
    </row>
    <row r="1519" spans="1:7" x14ac:dyDescent="0.3">
      <c r="A1519" s="7" t="s">
        <v>1886</v>
      </c>
      <c r="B1519" s="7" t="s">
        <v>102</v>
      </c>
      <c r="C1519" s="7" t="s">
        <v>355</v>
      </c>
      <c r="D1519" s="9">
        <v>46010</v>
      </c>
      <c r="E1519" s="9">
        <v>46040</v>
      </c>
      <c r="F1519" s="3">
        <v>11378.31</v>
      </c>
      <c r="G1519" s="7" t="s">
        <v>367</v>
      </c>
    </row>
    <row r="1520" spans="1:7" x14ac:dyDescent="0.3">
      <c r="A1520" s="7" t="s">
        <v>1887</v>
      </c>
      <c r="B1520" s="7" t="s">
        <v>18</v>
      </c>
      <c r="C1520" s="7" t="s">
        <v>349</v>
      </c>
      <c r="D1520" s="9">
        <v>46069</v>
      </c>
      <c r="E1520" s="9">
        <v>46099</v>
      </c>
      <c r="F1520" s="3">
        <v>3310.11</v>
      </c>
      <c r="G1520" s="7" t="s">
        <v>367</v>
      </c>
    </row>
    <row r="1521" spans="1:7" x14ac:dyDescent="0.3">
      <c r="A1521" s="7" t="s">
        <v>1888</v>
      </c>
      <c r="B1521" s="7" t="s">
        <v>70</v>
      </c>
      <c r="C1521" s="7" t="s">
        <v>357</v>
      </c>
      <c r="D1521" s="9">
        <v>46056</v>
      </c>
      <c r="E1521" s="9">
        <v>46086</v>
      </c>
      <c r="F1521" s="3">
        <v>3675.33</v>
      </c>
      <c r="G1521" s="7" t="s">
        <v>367</v>
      </c>
    </row>
    <row r="1522" spans="1:7" x14ac:dyDescent="0.3">
      <c r="A1522" s="7" t="s">
        <v>1889</v>
      </c>
      <c r="B1522" s="7" t="s">
        <v>33</v>
      </c>
      <c r="C1522" s="7" t="s">
        <v>353</v>
      </c>
      <c r="D1522" s="9">
        <v>46094</v>
      </c>
      <c r="E1522" s="9">
        <v>46124</v>
      </c>
      <c r="F1522" s="3">
        <v>2036.8</v>
      </c>
      <c r="G1522" s="7" t="s">
        <v>367</v>
      </c>
    </row>
    <row r="1523" spans="1:7" x14ac:dyDescent="0.3">
      <c r="A1523" s="7" t="s">
        <v>1890</v>
      </c>
      <c r="B1523" s="7" t="s">
        <v>118</v>
      </c>
      <c r="C1523" s="7" t="s">
        <v>349</v>
      </c>
      <c r="D1523" s="9">
        <v>46005</v>
      </c>
      <c r="E1523" s="9">
        <v>46035</v>
      </c>
      <c r="F1523" s="3">
        <v>2635.3</v>
      </c>
      <c r="G1523" s="7" t="s">
        <v>367</v>
      </c>
    </row>
    <row r="1524" spans="1:7" x14ac:dyDescent="0.3">
      <c r="A1524" s="7" t="s">
        <v>1891</v>
      </c>
      <c r="B1524" s="7" t="s">
        <v>91</v>
      </c>
      <c r="C1524" s="7" t="s">
        <v>353</v>
      </c>
      <c r="D1524" s="9">
        <v>46004</v>
      </c>
      <c r="E1524" s="9">
        <v>46034</v>
      </c>
      <c r="F1524" s="3">
        <v>2569.1</v>
      </c>
      <c r="G1524" s="7" t="s">
        <v>367</v>
      </c>
    </row>
    <row r="1525" spans="1:7" x14ac:dyDescent="0.3">
      <c r="A1525" s="7" t="s">
        <v>1892</v>
      </c>
      <c r="B1525" s="7" t="s">
        <v>15</v>
      </c>
      <c r="C1525" s="7" t="s">
        <v>359</v>
      </c>
      <c r="D1525" s="9">
        <v>46110</v>
      </c>
      <c r="E1525" s="9">
        <v>46140</v>
      </c>
      <c r="F1525" s="3">
        <v>1847.31</v>
      </c>
      <c r="G1525" s="7" t="s">
        <v>367</v>
      </c>
    </row>
    <row r="1526" spans="1:7" x14ac:dyDescent="0.3">
      <c r="A1526" s="7" t="s">
        <v>1893</v>
      </c>
      <c r="B1526" s="7" t="s">
        <v>79</v>
      </c>
      <c r="C1526" s="7" t="s">
        <v>357</v>
      </c>
      <c r="D1526" s="9">
        <v>46010</v>
      </c>
      <c r="E1526" s="9">
        <v>46040</v>
      </c>
      <c r="F1526" s="3">
        <v>2979.54</v>
      </c>
      <c r="G1526" s="7" t="s">
        <v>367</v>
      </c>
    </row>
    <row r="1527" spans="1:7" x14ac:dyDescent="0.3">
      <c r="A1527" s="7" t="s">
        <v>1894</v>
      </c>
      <c r="B1527" s="7" t="s">
        <v>93</v>
      </c>
      <c r="C1527" s="7" t="s">
        <v>351</v>
      </c>
      <c r="D1527" s="9">
        <v>46101</v>
      </c>
      <c r="E1527" s="9">
        <v>46131</v>
      </c>
      <c r="F1527" s="3">
        <v>5762.01</v>
      </c>
      <c r="G1527" s="7" t="s">
        <v>367</v>
      </c>
    </row>
    <row r="1528" spans="1:7" x14ac:dyDescent="0.3">
      <c r="A1528" s="7" t="s">
        <v>1895</v>
      </c>
      <c r="B1528" s="7" t="s">
        <v>39</v>
      </c>
      <c r="C1528" s="7" t="s">
        <v>349</v>
      </c>
      <c r="D1528" s="9">
        <v>46017</v>
      </c>
      <c r="E1528" s="9">
        <v>46047</v>
      </c>
      <c r="F1528" s="3">
        <v>3590.34</v>
      </c>
      <c r="G1528" s="7" t="s">
        <v>367</v>
      </c>
    </row>
    <row r="1529" spans="1:7" x14ac:dyDescent="0.3">
      <c r="A1529" s="7" t="s">
        <v>1896</v>
      </c>
      <c r="B1529" s="7" t="s">
        <v>89</v>
      </c>
      <c r="C1529" s="7" t="s">
        <v>359</v>
      </c>
      <c r="D1529" s="9">
        <v>45990</v>
      </c>
      <c r="E1529" s="9">
        <v>46020</v>
      </c>
      <c r="F1529" s="3">
        <v>1843.28</v>
      </c>
      <c r="G1529" s="7" t="s">
        <v>369</v>
      </c>
    </row>
    <row r="1530" spans="1:7" x14ac:dyDescent="0.3">
      <c r="A1530" s="7" t="s">
        <v>1897</v>
      </c>
      <c r="B1530" s="7" t="s">
        <v>59</v>
      </c>
      <c r="C1530" s="7" t="s">
        <v>359</v>
      </c>
      <c r="D1530" s="9">
        <v>46079</v>
      </c>
      <c r="E1530" s="9">
        <v>46109</v>
      </c>
      <c r="F1530" s="3">
        <v>2119.0100000000002</v>
      </c>
      <c r="G1530" s="7" t="s">
        <v>367</v>
      </c>
    </row>
    <row r="1531" spans="1:7" x14ac:dyDescent="0.3">
      <c r="A1531" s="7" t="s">
        <v>1898</v>
      </c>
      <c r="B1531" s="7" t="s">
        <v>73</v>
      </c>
      <c r="C1531" s="7" t="s">
        <v>353</v>
      </c>
      <c r="D1531" s="9">
        <v>46110</v>
      </c>
      <c r="E1531" s="9">
        <v>46140</v>
      </c>
      <c r="F1531" s="3">
        <v>2121.7199999999998</v>
      </c>
      <c r="G1531" s="7" t="s">
        <v>367</v>
      </c>
    </row>
    <row r="1532" spans="1:7" x14ac:dyDescent="0.3">
      <c r="A1532" s="7" t="s">
        <v>1899</v>
      </c>
      <c r="B1532" s="7" t="s">
        <v>60</v>
      </c>
      <c r="C1532" s="7" t="s">
        <v>349</v>
      </c>
      <c r="D1532" s="9">
        <v>46054</v>
      </c>
      <c r="E1532" s="9">
        <v>46084</v>
      </c>
      <c r="F1532" s="3">
        <v>3460.56</v>
      </c>
      <c r="G1532" s="7" t="s">
        <v>367</v>
      </c>
    </row>
    <row r="1533" spans="1:7" x14ac:dyDescent="0.3">
      <c r="A1533" s="7" t="s">
        <v>1900</v>
      </c>
      <c r="B1533" s="7" t="s">
        <v>17</v>
      </c>
      <c r="C1533" s="7" t="s">
        <v>357</v>
      </c>
      <c r="D1533" s="9">
        <v>45973</v>
      </c>
      <c r="E1533" s="9">
        <v>46003</v>
      </c>
      <c r="F1533" s="3">
        <v>3428.41</v>
      </c>
      <c r="G1533" s="7" t="s">
        <v>367</v>
      </c>
    </row>
    <row r="1534" spans="1:7" x14ac:dyDescent="0.3">
      <c r="A1534" s="7" t="s">
        <v>1901</v>
      </c>
      <c r="B1534" s="7" t="s">
        <v>61</v>
      </c>
      <c r="C1534" s="7" t="s">
        <v>357</v>
      </c>
      <c r="D1534" s="9">
        <v>46044</v>
      </c>
      <c r="E1534" s="9">
        <v>46074</v>
      </c>
      <c r="F1534" s="3">
        <v>3930.74</v>
      </c>
      <c r="G1534" s="7" t="s">
        <v>387</v>
      </c>
    </row>
    <row r="1535" spans="1:7" x14ac:dyDescent="0.3">
      <c r="A1535" s="7" t="s">
        <v>1902</v>
      </c>
      <c r="B1535" s="7" t="s">
        <v>15</v>
      </c>
      <c r="C1535" s="7" t="s">
        <v>349</v>
      </c>
      <c r="D1535" s="9">
        <v>45988</v>
      </c>
      <c r="E1535" s="9">
        <v>46018</v>
      </c>
      <c r="F1535" s="3">
        <v>3500.39</v>
      </c>
      <c r="G1535" s="7" t="s">
        <v>367</v>
      </c>
    </row>
    <row r="1536" spans="1:7" x14ac:dyDescent="0.3">
      <c r="A1536" s="7" t="s">
        <v>1903</v>
      </c>
      <c r="B1536" s="7" t="s">
        <v>10</v>
      </c>
      <c r="C1536" s="7" t="s">
        <v>359</v>
      </c>
      <c r="D1536" s="9">
        <v>46064</v>
      </c>
      <c r="E1536" s="9">
        <v>46094</v>
      </c>
      <c r="F1536" s="3">
        <v>1890.21</v>
      </c>
      <c r="G1536" s="7" t="s">
        <v>367</v>
      </c>
    </row>
    <row r="1537" spans="1:7" x14ac:dyDescent="0.3">
      <c r="A1537" s="7" t="s">
        <v>1904</v>
      </c>
      <c r="B1537" s="7" t="s">
        <v>67</v>
      </c>
      <c r="C1537" s="7" t="s">
        <v>357</v>
      </c>
      <c r="D1537" s="9">
        <v>46061</v>
      </c>
      <c r="E1537" s="9">
        <v>46091</v>
      </c>
      <c r="F1537" s="3">
        <v>3916.11</v>
      </c>
      <c r="G1537" s="7" t="s">
        <v>367</v>
      </c>
    </row>
    <row r="1538" spans="1:7" x14ac:dyDescent="0.3">
      <c r="A1538" s="7" t="s">
        <v>1905</v>
      </c>
      <c r="B1538" s="7" t="s">
        <v>73</v>
      </c>
      <c r="C1538" s="7" t="s">
        <v>351</v>
      </c>
      <c r="D1538" s="9">
        <v>46094</v>
      </c>
      <c r="E1538" s="9">
        <v>46124</v>
      </c>
      <c r="F1538" s="3">
        <v>5917.61</v>
      </c>
      <c r="G1538" s="7" t="s">
        <v>369</v>
      </c>
    </row>
    <row r="1539" spans="1:7" x14ac:dyDescent="0.3">
      <c r="A1539" s="7" t="s">
        <v>1906</v>
      </c>
      <c r="B1539" s="7" t="s">
        <v>104</v>
      </c>
      <c r="C1539" s="7" t="s">
        <v>351</v>
      </c>
      <c r="D1539" s="9">
        <v>45980</v>
      </c>
      <c r="E1539" s="9">
        <v>46010</v>
      </c>
      <c r="F1539" s="3">
        <v>5887.1</v>
      </c>
      <c r="G1539" s="7" t="s">
        <v>367</v>
      </c>
    </row>
    <row r="1540" spans="1:7" x14ac:dyDescent="0.3">
      <c r="A1540" s="7" t="s">
        <v>1907</v>
      </c>
      <c r="B1540" s="7" t="s">
        <v>14</v>
      </c>
      <c r="C1540" s="7" t="s">
        <v>349</v>
      </c>
      <c r="D1540" s="9">
        <v>45975</v>
      </c>
      <c r="E1540" s="9">
        <v>46005</v>
      </c>
      <c r="F1540" s="3">
        <v>3150.42</v>
      </c>
      <c r="G1540" s="7" t="s">
        <v>367</v>
      </c>
    </row>
    <row r="1541" spans="1:7" x14ac:dyDescent="0.3">
      <c r="A1541" s="7" t="s">
        <v>1908</v>
      </c>
      <c r="B1541" s="7" t="s">
        <v>23</v>
      </c>
      <c r="C1541" s="7" t="s">
        <v>349</v>
      </c>
      <c r="D1541" s="9">
        <v>46019</v>
      </c>
      <c r="E1541" s="9">
        <v>46049</v>
      </c>
      <c r="F1541" s="3">
        <v>2852.87</v>
      </c>
      <c r="G1541" s="7" t="s">
        <v>367</v>
      </c>
    </row>
    <row r="1542" spans="1:7" x14ac:dyDescent="0.3">
      <c r="A1542" s="7" t="s">
        <v>1909</v>
      </c>
      <c r="B1542" s="7" t="s">
        <v>87</v>
      </c>
      <c r="C1542" s="7" t="s">
        <v>349</v>
      </c>
      <c r="D1542" s="9">
        <v>46048</v>
      </c>
      <c r="E1542" s="9">
        <v>46078</v>
      </c>
      <c r="F1542" s="3">
        <v>3502.94</v>
      </c>
      <c r="G1542" s="7" t="s">
        <v>367</v>
      </c>
    </row>
    <row r="1543" spans="1:7" x14ac:dyDescent="0.3">
      <c r="A1543" s="7" t="s">
        <v>1910</v>
      </c>
      <c r="B1543" s="7" t="s">
        <v>44</v>
      </c>
      <c r="C1543" s="7" t="s">
        <v>355</v>
      </c>
      <c r="D1543" s="9">
        <v>45993</v>
      </c>
      <c r="E1543" s="9">
        <v>46023</v>
      </c>
      <c r="F1543" s="3">
        <v>9915.7900000000009</v>
      </c>
      <c r="G1543" s="7" t="s">
        <v>367</v>
      </c>
    </row>
    <row r="1544" spans="1:7" x14ac:dyDescent="0.3">
      <c r="A1544" s="7" t="s">
        <v>1911</v>
      </c>
      <c r="B1544" s="7" t="s">
        <v>83</v>
      </c>
      <c r="C1544" s="7" t="s">
        <v>355</v>
      </c>
      <c r="D1544" s="9">
        <v>46086</v>
      </c>
      <c r="E1544" s="9">
        <v>46116</v>
      </c>
      <c r="F1544" s="3">
        <v>11528.08</v>
      </c>
      <c r="G1544" s="7" t="s">
        <v>367</v>
      </c>
    </row>
    <row r="1545" spans="1:7" x14ac:dyDescent="0.3">
      <c r="A1545" s="7" t="s">
        <v>1912</v>
      </c>
      <c r="B1545" s="7" t="s">
        <v>61</v>
      </c>
      <c r="C1545" s="7" t="s">
        <v>359</v>
      </c>
      <c r="D1545" s="9">
        <v>46086</v>
      </c>
      <c r="E1545" s="9">
        <v>46116</v>
      </c>
      <c r="F1545" s="3">
        <v>1889.29</v>
      </c>
      <c r="G1545" s="7" t="s">
        <v>367</v>
      </c>
    </row>
    <row r="1546" spans="1:7" x14ac:dyDescent="0.3">
      <c r="A1546" s="7" t="s">
        <v>1913</v>
      </c>
      <c r="B1546" s="7" t="s">
        <v>107</v>
      </c>
      <c r="C1546" s="7" t="s">
        <v>357</v>
      </c>
      <c r="D1546" s="9">
        <v>46094</v>
      </c>
      <c r="E1546" s="9">
        <v>46124</v>
      </c>
      <c r="F1546" s="3">
        <v>3666.92</v>
      </c>
      <c r="G1546" s="7" t="s">
        <v>369</v>
      </c>
    </row>
    <row r="1547" spans="1:7" x14ac:dyDescent="0.3">
      <c r="A1547" s="7" t="s">
        <v>1914</v>
      </c>
      <c r="B1547" s="7" t="s">
        <v>20</v>
      </c>
      <c r="C1547" s="7" t="s">
        <v>349</v>
      </c>
      <c r="D1547" s="9">
        <v>46016</v>
      </c>
      <c r="E1547" s="9">
        <v>46046</v>
      </c>
      <c r="F1547" s="3">
        <v>2944.89</v>
      </c>
      <c r="G1547" s="7" t="s">
        <v>367</v>
      </c>
    </row>
    <row r="1548" spans="1:7" x14ac:dyDescent="0.3">
      <c r="A1548" s="7" t="s">
        <v>1915</v>
      </c>
      <c r="B1548" s="7" t="s">
        <v>31</v>
      </c>
      <c r="C1548" s="7" t="s">
        <v>349</v>
      </c>
      <c r="D1548" s="9">
        <v>46058</v>
      </c>
      <c r="E1548" s="9">
        <v>46088</v>
      </c>
      <c r="F1548" s="3">
        <v>3114.21</v>
      </c>
      <c r="G1548" s="7" t="s">
        <v>369</v>
      </c>
    </row>
    <row r="1549" spans="1:7" x14ac:dyDescent="0.3">
      <c r="A1549" s="7" t="s">
        <v>1916</v>
      </c>
      <c r="B1549" s="7" t="s">
        <v>68</v>
      </c>
      <c r="C1549" s="7" t="s">
        <v>357</v>
      </c>
      <c r="D1549" s="9">
        <v>46092</v>
      </c>
      <c r="E1549" s="9">
        <v>46122</v>
      </c>
      <c r="F1549" s="3">
        <v>2976.37</v>
      </c>
      <c r="G1549" s="7" t="s">
        <v>367</v>
      </c>
    </row>
    <row r="1550" spans="1:7" x14ac:dyDescent="0.3">
      <c r="A1550" s="7" t="s">
        <v>1917</v>
      </c>
      <c r="B1550" s="7" t="s">
        <v>12</v>
      </c>
      <c r="C1550" s="7" t="s">
        <v>359</v>
      </c>
      <c r="D1550" s="9">
        <v>46050</v>
      </c>
      <c r="E1550" s="9">
        <v>46080</v>
      </c>
      <c r="F1550" s="3">
        <v>1887.01</v>
      </c>
      <c r="G1550" s="7" t="s">
        <v>367</v>
      </c>
    </row>
    <row r="1551" spans="1:7" x14ac:dyDescent="0.3">
      <c r="A1551" s="7" t="s">
        <v>1918</v>
      </c>
      <c r="B1551" s="7" t="s">
        <v>90</v>
      </c>
      <c r="C1551" s="7" t="s">
        <v>349</v>
      </c>
      <c r="D1551" s="9">
        <v>46098</v>
      </c>
      <c r="E1551" s="9">
        <v>46128</v>
      </c>
      <c r="F1551" s="3">
        <v>2553.2199999999998</v>
      </c>
      <c r="G1551" s="7" t="s">
        <v>367</v>
      </c>
    </row>
    <row r="1552" spans="1:7" x14ac:dyDescent="0.3">
      <c r="A1552" s="7" t="s">
        <v>1919</v>
      </c>
      <c r="B1552" s="7" t="s">
        <v>25</v>
      </c>
      <c r="C1552" s="7" t="s">
        <v>353</v>
      </c>
      <c r="D1552" s="9">
        <v>46069</v>
      </c>
      <c r="E1552" s="9">
        <v>46099</v>
      </c>
      <c r="F1552" s="3">
        <v>2311.19</v>
      </c>
      <c r="G1552" s="7" t="s">
        <v>369</v>
      </c>
    </row>
    <row r="1553" spans="1:7" x14ac:dyDescent="0.3">
      <c r="A1553" s="7" t="s">
        <v>1920</v>
      </c>
      <c r="B1553" s="7" t="s">
        <v>8</v>
      </c>
      <c r="C1553" s="7" t="s">
        <v>355</v>
      </c>
      <c r="D1553" s="9">
        <v>46107</v>
      </c>
      <c r="E1553" s="9">
        <v>46137</v>
      </c>
      <c r="F1553" s="3">
        <v>11081.64</v>
      </c>
      <c r="G1553" s="7" t="s">
        <v>367</v>
      </c>
    </row>
    <row r="1554" spans="1:7" x14ac:dyDescent="0.3">
      <c r="A1554" s="7" t="s">
        <v>1921</v>
      </c>
      <c r="B1554" s="7" t="s">
        <v>71</v>
      </c>
      <c r="C1554" s="7" t="s">
        <v>357</v>
      </c>
      <c r="D1554" s="9">
        <v>46110</v>
      </c>
      <c r="E1554" s="9">
        <v>46140</v>
      </c>
      <c r="F1554" s="3">
        <v>3621.02</v>
      </c>
      <c r="G1554" s="7" t="s">
        <v>367</v>
      </c>
    </row>
    <row r="1555" spans="1:7" x14ac:dyDescent="0.3">
      <c r="A1555" s="7" t="s">
        <v>1922</v>
      </c>
      <c r="B1555" s="7" t="s">
        <v>32</v>
      </c>
      <c r="C1555" s="7" t="s">
        <v>357</v>
      </c>
      <c r="D1555" s="9">
        <v>46081</v>
      </c>
      <c r="E1555" s="9">
        <v>46111</v>
      </c>
      <c r="F1555" s="3">
        <v>4002.18</v>
      </c>
      <c r="G1555" s="7" t="s">
        <v>367</v>
      </c>
    </row>
    <row r="1556" spans="1:7" x14ac:dyDescent="0.3">
      <c r="A1556" s="7" t="s">
        <v>1923</v>
      </c>
      <c r="B1556" s="7" t="s">
        <v>92</v>
      </c>
      <c r="C1556" s="7" t="s">
        <v>359</v>
      </c>
      <c r="D1556" s="9">
        <v>46033</v>
      </c>
      <c r="E1556" s="9">
        <v>46063</v>
      </c>
      <c r="F1556" s="3">
        <v>2094.12</v>
      </c>
      <c r="G1556" s="7" t="s">
        <v>367</v>
      </c>
    </row>
    <row r="1557" spans="1:7" x14ac:dyDescent="0.3">
      <c r="A1557" s="7" t="s">
        <v>1924</v>
      </c>
      <c r="B1557" s="7" t="s">
        <v>116</v>
      </c>
      <c r="C1557" s="7" t="s">
        <v>355</v>
      </c>
      <c r="D1557" s="9">
        <v>46075</v>
      </c>
      <c r="E1557" s="9">
        <v>46105</v>
      </c>
      <c r="F1557" s="3">
        <v>12934.95</v>
      </c>
      <c r="G1557" s="7" t="s">
        <v>367</v>
      </c>
    </row>
    <row r="1558" spans="1:7" x14ac:dyDescent="0.3">
      <c r="A1558" s="7" t="s">
        <v>1925</v>
      </c>
      <c r="B1558" s="7" t="s">
        <v>49</v>
      </c>
      <c r="C1558" s="7" t="s">
        <v>357</v>
      </c>
      <c r="D1558" s="9">
        <v>45967</v>
      </c>
      <c r="E1558" s="9">
        <v>45997</v>
      </c>
      <c r="F1558" s="3">
        <v>3592.54</v>
      </c>
      <c r="G1558" s="7" t="s">
        <v>367</v>
      </c>
    </row>
    <row r="1559" spans="1:7" x14ac:dyDescent="0.3">
      <c r="A1559" s="7" t="s">
        <v>1926</v>
      </c>
      <c r="B1559" s="7" t="s">
        <v>124</v>
      </c>
      <c r="C1559" s="7" t="s">
        <v>351</v>
      </c>
      <c r="D1559" s="9">
        <v>45989</v>
      </c>
      <c r="E1559" s="9">
        <v>46019</v>
      </c>
      <c r="F1559" s="3">
        <v>4209.7</v>
      </c>
      <c r="G1559" s="7" t="s">
        <v>367</v>
      </c>
    </row>
    <row r="1560" spans="1:7" x14ac:dyDescent="0.3">
      <c r="A1560" s="7" t="s">
        <v>1927</v>
      </c>
      <c r="B1560" s="7" t="s">
        <v>34</v>
      </c>
      <c r="C1560" s="7" t="s">
        <v>349</v>
      </c>
      <c r="D1560" s="9">
        <v>45995</v>
      </c>
      <c r="E1560" s="9">
        <v>46025</v>
      </c>
      <c r="F1560" s="3">
        <v>3166.52</v>
      </c>
      <c r="G1560" s="7" t="s">
        <v>367</v>
      </c>
    </row>
    <row r="1561" spans="1:7" x14ac:dyDescent="0.3">
      <c r="A1561" s="7" t="s">
        <v>1928</v>
      </c>
      <c r="B1561" s="7" t="s">
        <v>55</v>
      </c>
      <c r="C1561" s="7" t="s">
        <v>351</v>
      </c>
      <c r="D1561" s="9">
        <v>46109</v>
      </c>
      <c r="E1561" s="9">
        <v>46139</v>
      </c>
      <c r="F1561" s="3">
        <v>4961.49</v>
      </c>
      <c r="G1561" s="7" t="s">
        <v>369</v>
      </c>
    </row>
    <row r="1562" spans="1:7" x14ac:dyDescent="0.3">
      <c r="A1562" s="7" t="s">
        <v>1929</v>
      </c>
      <c r="B1562" s="7" t="s">
        <v>16</v>
      </c>
      <c r="C1562" s="7" t="s">
        <v>351</v>
      </c>
      <c r="D1562" s="9">
        <v>46035</v>
      </c>
      <c r="E1562" s="9">
        <v>46065</v>
      </c>
      <c r="F1562" s="3">
        <v>4800.63</v>
      </c>
      <c r="G1562" s="7" t="s">
        <v>367</v>
      </c>
    </row>
    <row r="1563" spans="1:7" x14ac:dyDescent="0.3">
      <c r="A1563" s="7" t="s">
        <v>1930</v>
      </c>
      <c r="B1563" s="7" t="s">
        <v>31</v>
      </c>
      <c r="C1563" s="7" t="s">
        <v>353</v>
      </c>
      <c r="D1563" s="9">
        <v>46033</v>
      </c>
      <c r="E1563" s="9">
        <v>46063</v>
      </c>
      <c r="F1563" s="3">
        <v>2030.02</v>
      </c>
      <c r="G1563" s="7" t="s">
        <v>367</v>
      </c>
    </row>
    <row r="1564" spans="1:7" x14ac:dyDescent="0.3">
      <c r="A1564" s="7" t="s">
        <v>1931</v>
      </c>
      <c r="B1564" s="7" t="s">
        <v>10</v>
      </c>
      <c r="C1564" s="7" t="s">
        <v>359</v>
      </c>
      <c r="D1564" s="9">
        <v>46006</v>
      </c>
      <c r="E1564" s="9">
        <v>46036</v>
      </c>
      <c r="F1564" s="3">
        <v>1861.69</v>
      </c>
      <c r="G1564" s="7" t="s">
        <v>367</v>
      </c>
    </row>
    <row r="1565" spans="1:7" x14ac:dyDescent="0.3">
      <c r="A1565" s="7" t="s">
        <v>1932</v>
      </c>
      <c r="B1565" s="7" t="s">
        <v>99</v>
      </c>
      <c r="C1565" s="7" t="s">
        <v>351</v>
      </c>
      <c r="D1565" s="9">
        <v>46041</v>
      </c>
      <c r="E1565" s="9">
        <v>46071</v>
      </c>
      <c r="F1565" s="3">
        <v>4395.6499999999996</v>
      </c>
      <c r="G1565" s="7" t="s">
        <v>369</v>
      </c>
    </row>
    <row r="1566" spans="1:7" x14ac:dyDescent="0.3">
      <c r="A1566" s="7" t="s">
        <v>1933</v>
      </c>
      <c r="B1566" s="7" t="s">
        <v>9</v>
      </c>
      <c r="C1566" s="7" t="s">
        <v>351</v>
      </c>
      <c r="D1566" s="9">
        <v>46090</v>
      </c>
      <c r="E1566" s="9">
        <v>46120</v>
      </c>
      <c r="F1566" s="3">
        <v>4679.63</v>
      </c>
      <c r="G1566" s="7" t="s">
        <v>367</v>
      </c>
    </row>
    <row r="1567" spans="1:7" x14ac:dyDescent="0.3">
      <c r="A1567" s="7" t="s">
        <v>1934</v>
      </c>
      <c r="B1567" s="7" t="s">
        <v>24</v>
      </c>
      <c r="C1567" s="7" t="s">
        <v>351</v>
      </c>
      <c r="D1567" s="9">
        <v>46053</v>
      </c>
      <c r="E1567" s="9">
        <v>46083</v>
      </c>
      <c r="F1567" s="3">
        <v>5685.76</v>
      </c>
      <c r="G1567" s="7" t="s">
        <v>369</v>
      </c>
    </row>
    <row r="1568" spans="1:7" x14ac:dyDescent="0.3">
      <c r="A1568" s="7" t="s">
        <v>1935</v>
      </c>
      <c r="B1568" s="7" t="s">
        <v>33</v>
      </c>
      <c r="C1568" s="7" t="s">
        <v>355</v>
      </c>
      <c r="D1568" s="9">
        <v>46052</v>
      </c>
      <c r="E1568" s="9">
        <v>46082</v>
      </c>
      <c r="F1568" s="3">
        <v>12743.37</v>
      </c>
      <c r="G1568" s="7" t="s">
        <v>367</v>
      </c>
    </row>
    <row r="1569" spans="1:7" x14ac:dyDescent="0.3">
      <c r="A1569" s="7" t="s">
        <v>1936</v>
      </c>
      <c r="B1569" s="7" t="s">
        <v>74</v>
      </c>
      <c r="C1569" s="7" t="s">
        <v>353</v>
      </c>
      <c r="D1569" s="9">
        <v>46051</v>
      </c>
      <c r="E1569" s="9">
        <v>46081</v>
      </c>
      <c r="F1569" s="3">
        <v>2456.1999999999998</v>
      </c>
      <c r="G1569" s="7" t="s">
        <v>367</v>
      </c>
    </row>
    <row r="1570" spans="1:7" x14ac:dyDescent="0.3">
      <c r="A1570" s="7" t="s">
        <v>1937</v>
      </c>
      <c r="B1570" s="7" t="s">
        <v>25</v>
      </c>
      <c r="C1570" s="7" t="s">
        <v>357</v>
      </c>
      <c r="D1570" s="9">
        <v>46056</v>
      </c>
      <c r="E1570" s="9">
        <v>46086</v>
      </c>
      <c r="F1570" s="3">
        <v>4034.33</v>
      </c>
      <c r="G1570" s="7" t="s">
        <v>367</v>
      </c>
    </row>
    <row r="1571" spans="1:7" x14ac:dyDescent="0.3">
      <c r="A1571" s="7" t="s">
        <v>1938</v>
      </c>
      <c r="B1571" s="7" t="s">
        <v>54</v>
      </c>
      <c r="C1571" s="7" t="s">
        <v>351</v>
      </c>
      <c r="D1571" s="9">
        <v>46051</v>
      </c>
      <c r="E1571" s="9">
        <v>46081</v>
      </c>
      <c r="F1571" s="3">
        <v>5589.8</v>
      </c>
      <c r="G1571" s="7" t="s">
        <v>367</v>
      </c>
    </row>
    <row r="1572" spans="1:7" x14ac:dyDescent="0.3">
      <c r="A1572" s="7" t="s">
        <v>1939</v>
      </c>
      <c r="B1572" s="7" t="s">
        <v>104</v>
      </c>
      <c r="C1572" s="7" t="s">
        <v>353</v>
      </c>
      <c r="D1572" s="9">
        <v>45977</v>
      </c>
      <c r="E1572" s="9">
        <v>46007</v>
      </c>
      <c r="F1572" s="3">
        <v>2599.5500000000002</v>
      </c>
      <c r="G1572" s="7" t="s">
        <v>369</v>
      </c>
    </row>
    <row r="1573" spans="1:7" x14ac:dyDescent="0.3">
      <c r="A1573" s="7" t="s">
        <v>1940</v>
      </c>
      <c r="B1573" s="7" t="s">
        <v>26</v>
      </c>
      <c r="C1573" s="7" t="s">
        <v>357</v>
      </c>
      <c r="D1573" s="9">
        <v>46015</v>
      </c>
      <c r="E1573" s="9">
        <v>46045</v>
      </c>
      <c r="F1573" s="3">
        <v>3622.26</v>
      </c>
      <c r="G1573" s="7" t="s">
        <v>367</v>
      </c>
    </row>
    <row r="1574" spans="1:7" x14ac:dyDescent="0.3">
      <c r="A1574" s="7" t="s">
        <v>1941</v>
      </c>
      <c r="B1574" s="7" t="s">
        <v>115</v>
      </c>
      <c r="C1574" s="7" t="s">
        <v>353</v>
      </c>
      <c r="D1574" s="9">
        <v>46085</v>
      </c>
      <c r="E1574" s="9">
        <v>46115</v>
      </c>
      <c r="F1574" s="3">
        <v>2247.17</v>
      </c>
      <c r="G1574" s="7" t="s">
        <v>369</v>
      </c>
    </row>
    <row r="1575" spans="1:7" x14ac:dyDescent="0.3">
      <c r="A1575" s="7" t="s">
        <v>1942</v>
      </c>
      <c r="B1575" s="7" t="s">
        <v>17</v>
      </c>
      <c r="C1575" s="7" t="s">
        <v>357</v>
      </c>
      <c r="D1575" s="9">
        <v>46102</v>
      </c>
      <c r="E1575" s="9">
        <v>46132</v>
      </c>
      <c r="F1575" s="3">
        <v>4155.74</v>
      </c>
      <c r="G1575" s="7" t="s">
        <v>367</v>
      </c>
    </row>
    <row r="1576" spans="1:7" x14ac:dyDescent="0.3">
      <c r="A1576" s="7" t="s">
        <v>1943</v>
      </c>
      <c r="B1576" s="7" t="s">
        <v>56</v>
      </c>
      <c r="C1576" s="7" t="s">
        <v>355</v>
      </c>
      <c r="D1576" s="9">
        <v>46088</v>
      </c>
      <c r="E1576" s="9">
        <v>46118</v>
      </c>
      <c r="F1576" s="3">
        <v>13396.79</v>
      </c>
      <c r="G1576" s="7" t="s">
        <v>367</v>
      </c>
    </row>
    <row r="1577" spans="1:7" x14ac:dyDescent="0.3">
      <c r="A1577" s="7" t="s">
        <v>1944</v>
      </c>
      <c r="B1577" s="7" t="s">
        <v>29</v>
      </c>
      <c r="C1577" s="7" t="s">
        <v>359</v>
      </c>
      <c r="D1577" s="9">
        <v>46100</v>
      </c>
      <c r="E1577" s="9">
        <v>46130</v>
      </c>
      <c r="F1577" s="3">
        <v>1980.82</v>
      </c>
      <c r="G1577" s="7" t="s">
        <v>367</v>
      </c>
    </row>
    <row r="1578" spans="1:7" x14ac:dyDescent="0.3">
      <c r="A1578" s="7" t="s">
        <v>1945</v>
      </c>
      <c r="B1578" s="7" t="s">
        <v>70</v>
      </c>
      <c r="C1578" s="7" t="s">
        <v>353</v>
      </c>
      <c r="D1578" s="9">
        <v>46067</v>
      </c>
      <c r="E1578" s="9">
        <v>46097</v>
      </c>
      <c r="F1578" s="3">
        <v>2712.49</v>
      </c>
      <c r="G1578" s="7" t="s">
        <v>367</v>
      </c>
    </row>
    <row r="1579" spans="1:7" x14ac:dyDescent="0.3">
      <c r="A1579" s="7" t="s">
        <v>1946</v>
      </c>
      <c r="B1579" s="7" t="s">
        <v>81</v>
      </c>
      <c r="C1579" s="7" t="s">
        <v>355</v>
      </c>
      <c r="D1579" s="9">
        <v>46052</v>
      </c>
      <c r="E1579" s="9">
        <v>46082</v>
      </c>
      <c r="F1579" s="3">
        <v>10888.01</v>
      </c>
      <c r="G1579" s="7" t="s">
        <v>369</v>
      </c>
    </row>
    <row r="1580" spans="1:7" x14ac:dyDescent="0.3">
      <c r="A1580" s="7" t="s">
        <v>1947</v>
      </c>
      <c r="B1580" s="7" t="s">
        <v>37</v>
      </c>
      <c r="C1580" s="7" t="s">
        <v>359</v>
      </c>
      <c r="D1580" s="9">
        <v>46041</v>
      </c>
      <c r="E1580" s="9">
        <v>46071</v>
      </c>
      <c r="F1580" s="3">
        <v>1466.36</v>
      </c>
      <c r="G1580" s="7" t="s">
        <v>367</v>
      </c>
    </row>
    <row r="1581" spans="1:7" x14ac:dyDescent="0.3">
      <c r="A1581" s="7" t="s">
        <v>1948</v>
      </c>
      <c r="B1581" s="7" t="s">
        <v>114</v>
      </c>
      <c r="C1581" s="7" t="s">
        <v>355</v>
      </c>
      <c r="D1581" s="9">
        <v>46051</v>
      </c>
      <c r="E1581" s="9">
        <v>46081</v>
      </c>
      <c r="F1581" s="3">
        <v>10649.25</v>
      </c>
      <c r="G1581" s="7" t="s">
        <v>367</v>
      </c>
    </row>
    <row r="1582" spans="1:7" x14ac:dyDescent="0.3">
      <c r="A1582" s="7" t="s">
        <v>1949</v>
      </c>
      <c r="B1582" s="7" t="s">
        <v>44</v>
      </c>
      <c r="C1582" s="7" t="s">
        <v>353</v>
      </c>
      <c r="D1582" s="9">
        <v>45969</v>
      </c>
      <c r="E1582" s="9">
        <v>45999</v>
      </c>
      <c r="F1582" s="3">
        <v>2254.5300000000002</v>
      </c>
      <c r="G1582" s="7" t="s">
        <v>369</v>
      </c>
    </row>
    <row r="1583" spans="1:7" x14ac:dyDescent="0.3">
      <c r="A1583" s="7" t="s">
        <v>1950</v>
      </c>
      <c r="B1583" s="7" t="s">
        <v>72</v>
      </c>
      <c r="C1583" s="7" t="s">
        <v>355</v>
      </c>
      <c r="D1583" s="9">
        <v>45979</v>
      </c>
      <c r="E1583" s="9">
        <v>46009</v>
      </c>
      <c r="F1583" s="3">
        <v>12090.34</v>
      </c>
      <c r="G1583" s="7" t="s">
        <v>367</v>
      </c>
    </row>
    <row r="1584" spans="1:7" x14ac:dyDescent="0.3">
      <c r="A1584" s="7" t="s">
        <v>1951</v>
      </c>
      <c r="B1584" s="7" t="s">
        <v>54</v>
      </c>
      <c r="C1584" s="7" t="s">
        <v>357</v>
      </c>
      <c r="D1584" s="9">
        <v>46065</v>
      </c>
      <c r="E1584" s="9">
        <v>46095</v>
      </c>
      <c r="F1584" s="3">
        <v>3270.92</v>
      </c>
      <c r="G1584" s="7" t="s">
        <v>367</v>
      </c>
    </row>
    <row r="1585" spans="1:7" x14ac:dyDescent="0.3">
      <c r="A1585" s="7" t="s">
        <v>1952</v>
      </c>
      <c r="B1585" s="7" t="s">
        <v>36</v>
      </c>
      <c r="C1585" s="7" t="s">
        <v>355</v>
      </c>
      <c r="D1585" s="9">
        <v>45994</v>
      </c>
      <c r="E1585" s="9">
        <v>46024</v>
      </c>
      <c r="F1585" s="3">
        <v>11121.7</v>
      </c>
      <c r="G1585" s="7" t="s">
        <v>367</v>
      </c>
    </row>
    <row r="1586" spans="1:7" x14ac:dyDescent="0.3">
      <c r="A1586" s="7" t="s">
        <v>1953</v>
      </c>
      <c r="B1586" s="7" t="s">
        <v>71</v>
      </c>
      <c r="C1586" s="7" t="s">
        <v>353</v>
      </c>
      <c r="D1586" s="9">
        <v>46046</v>
      </c>
      <c r="E1586" s="9">
        <v>46076</v>
      </c>
      <c r="F1586" s="3">
        <v>2645.35</v>
      </c>
      <c r="G1586" s="7" t="s">
        <v>367</v>
      </c>
    </row>
    <row r="1587" spans="1:7" x14ac:dyDescent="0.3">
      <c r="A1587" s="7" t="s">
        <v>1954</v>
      </c>
      <c r="B1587" s="7" t="s">
        <v>19</v>
      </c>
      <c r="C1587" s="7" t="s">
        <v>357</v>
      </c>
      <c r="D1587" s="9">
        <v>45966</v>
      </c>
      <c r="E1587" s="9">
        <v>45996</v>
      </c>
      <c r="F1587" s="3">
        <v>3565.31</v>
      </c>
      <c r="G1587" s="7" t="s">
        <v>369</v>
      </c>
    </row>
    <row r="1588" spans="1:7" x14ac:dyDescent="0.3">
      <c r="A1588" s="7" t="s">
        <v>1955</v>
      </c>
      <c r="B1588" s="7" t="s">
        <v>32</v>
      </c>
      <c r="C1588" s="7" t="s">
        <v>349</v>
      </c>
      <c r="D1588" s="9">
        <v>46051</v>
      </c>
      <c r="E1588" s="9">
        <v>46081</v>
      </c>
      <c r="F1588" s="3">
        <v>2485.62</v>
      </c>
      <c r="G1588" s="7" t="s">
        <v>367</v>
      </c>
    </row>
    <row r="1589" spans="1:7" x14ac:dyDescent="0.3">
      <c r="A1589" s="7" t="s">
        <v>1956</v>
      </c>
      <c r="B1589" s="7" t="s">
        <v>94</v>
      </c>
      <c r="C1589" s="7" t="s">
        <v>359</v>
      </c>
      <c r="D1589" s="9">
        <v>46042</v>
      </c>
      <c r="E1589" s="9">
        <v>46072</v>
      </c>
      <c r="F1589" s="3">
        <v>1677.05</v>
      </c>
      <c r="G1589" s="7" t="s">
        <v>369</v>
      </c>
    </row>
    <row r="1590" spans="1:7" x14ac:dyDescent="0.3">
      <c r="A1590" s="7" t="s">
        <v>1957</v>
      </c>
      <c r="B1590" s="7" t="s">
        <v>103</v>
      </c>
      <c r="C1590" s="7" t="s">
        <v>353</v>
      </c>
      <c r="D1590" s="9">
        <v>45999</v>
      </c>
      <c r="E1590" s="9">
        <v>46029</v>
      </c>
      <c r="F1590" s="3">
        <v>2190.64</v>
      </c>
      <c r="G1590" s="7" t="s">
        <v>387</v>
      </c>
    </row>
    <row r="1591" spans="1:7" x14ac:dyDescent="0.3">
      <c r="A1591" s="7" t="s">
        <v>1958</v>
      </c>
      <c r="B1591" s="7" t="s">
        <v>43</v>
      </c>
      <c r="C1591" s="7" t="s">
        <v>359</v>
      </c>
      <c r="D1591" s="9">
        <v>46082</v>
      </c>
      <c r="E1591" s="9">
        <v>46112</v>
      </c>
      <c r="F1591" s="3">
        <v>1972.67</v>
      </c>
      <c r="G1591" s="7" t="s">
        <v>369</v>
      </c>
    </row>
    <row r="1592" spans="1:7" x14ac:dyDescent="0.3">
      <c r="A1592" s="7" t="s">
        <v>1959</v>
      </c>
      <c r="B1592" s="7" t="s">
        <v>103</v>
      </c>
      <c r="C1592" s="7" t="s">
        <v>353</v>
      </c>
      <c r="D1592" s="9">
        <v>46075</v>
      </c>
      <c r="E1592" s="9">
        <v>46105</v>
      </c>
      <c r="F1592" s="3">
        <v>2783.13</v>
      </c>
      <c r="G1592" s="7" t="s">
        <v>369</v>
      </c>
    </row>
    <row r="1593" spans="1:7" x14ac:dyDescent="0.3">
      <c r="A1593" s="7" t="s">
        <v>1960</v>
      </c>
      <c r="B1593" s="7" t="s">
        <v>26</v>
      </c>
      <c r="C1593" s="7" t="s">
        <v>359</v>
      </c>
      <c r="D1593" s="9">
        <v>46079</v>
      </c>
      <c r="E1593" s="9">
        <v>46109</v>
      </c>
      <c r="F1593" s="3">
        <v>1448.56</v>
      </c>
      <c r="G1593" s="7" t="s">
        <v>387</v>
      </c>
    </row>
    <row r="1594" spans="1:7" x14ac:dyDescent="0.3">
      <c r="A1594" s="7" t="s">
        <v>1961</v>
      </c>
      <c r="B1594" s="7" t="s">
        <v>36</v>
      </c>
      <c r="C1594" s="7" t="s">
        <v>355</v>
      </c>
      <c r="D1594" s="9">
        <v>46085</v>
      </c>
      <c r="E1594" s="9">
        <v>46115</v>
      </c>
      <c r="F1594" s="3">
        <v>10692.38</v>
      </c>
      <c r="G1594" s="7" t="s">
        <v>367</v>
      </c>
    </row>
    <row r="1595" spans="1:7" x14ac:dyDescent="0.3">
      <c r="A1595" s="7" t="s">
        <v>1962</v>
      </c>
      <c r="B1595" s="7" t="s">
        <v>66</v>
      </c>
      <c r="C1595" s="7" t="s">
        <v>357</v>
      </c>
      <c r="D1595" s="9">
        <v>46099</v>
      </c>
      <c r="E1595" s="9">
        <v>46129</v>
      </c>
      <c r="F1595" s="3">
        <v>3621.81</v>
      </c>
      <c r="G1595" s="7" t="s">
        <v>367</v>
      </c>
    </row>
    <row r="1596" spans="1:7" x14ac:dyDescent="0.3">
      <c r="A1596" s="7" t="s">
        <v>1963</v>
      </c>
      <c r="B1596" s="7" t="s">
        <v>96</v>
      </c>
      <c r="C1596" s="7" t="s">
        <v>353</v>
      </c>
      <c r="D1596" s="9">
        <v>46019</v>
      </c>
      <c r="E1596" s="9">
        <v>46049</v>
      </c>
      <c r="F1596" s="3">
        <v>2791.91</v>
      </c>
      <c r="G1596" s="7" t="s">
        <v>367</v>
      </c>
    </row>
    <row r="1597" spans="1:7" x14ac:dyDescent="0.3">
      <c r="A1597" s="7" t="s">
        <v>1964</v>
      </c>
      <c r="B1597" s="7" t="s">
        <v>24</v>
      </c>
      <c r="C1597" s="7" t="s">
        <v>355</v>
      </c>
      <c r="D1597" s="9">
        <v>45965</v>
      </c>
      <c r="E1597" s="9">
        <v>45995</v>
      </c>
      <c r="F1597" s="3">
        <v>10606.01</v>
      </c>
      <c r="G1597" s="7" t="s">
        <v>367</v>
      </c>
    </row>
    <row r="1598" spans="1:7" x14ac:dyDescent="0.3">
      <c r="A1598" s="7" t="s">
        <v>1965</v>
      </c>
      <c r="B1598" s="7" t="s">
        <v>110</v>
      </c>
      <c r="C1598" s="7" t="s">
        <v>357</v>
      </c>
      <c r="D1598" s="9">
        <v>45988</v>
      </c>
      <c r="E1598" s="9">
        <v>46018</v>
      </c>
      <c r="F1598" s="3">
        <v>4023.25</v>
      </c>
      <c r="G1598" s="7" t="s">
        <v>367</v>
      </c>
    </row>
    <row r="1599" spans="1:7" x14ac:dyDescent="0.3">
      <c r="A1599" s="7" t="s">
        <v>1966</v>
      </c>
      <c r="B1599" s="7" t="s">
        <v>94</v>
      </c>
      <c r="C1599" s="7" t="s">
        <v>359</v>
      </c>
      <c r="D1599" s="9">
        <v>46037</v>
      </c>
      <c r="E1599" s="9">
        <v>46067</v>
      </c>
      <c r="F1599" s="3">
        <v>2040.7</v>
      </c>
      <c r="G1599" s="7" t="s">
        <v>367</v>
      </c>
    </row>
    <row r="1600" spans="1:7" x14ac:dyDescent="0.3">
      <c r="A1600" s="7" t="s">
        <v>1967</v>
      </c>
      <c r="B1600" s="7" t="s">
        <v>82</v>
      </c>
      <c r="C1600" s="7" t="s">
        <v>355</v>
      </c>
      <c r="D1600" s="9">
        <v>46108</v>
      </c>
      <c r="E1600" s="9">
        <v>46138</v>
      </c>
      <c r="F1600" s="3">
        <v>13261.64</v>
      </c>
      <c r="G1600" s="7" t="s">
        <v>367</v>
      </c>
    </row>
    <row r="1601" spans="1:7" x14ac:dyDescent="0.3">
      <c r="A1601" s="7" t="s">
        <v>1968</v>
      </c>
      <c r="B1601" s="7" t="s">
        <v>49</v>
      </c>
      <c r="C1601" s="7" t="s">
        <v>349</v>
      </c>
      <c r="D1601" s="9">
        <v>45982</v>
      </c>
      <c r="E1601" s="9">
        <v>46012</v>
      </c>
      <c r="F1601" s="3">
        <v>3081.09</v>
      </c>
      <c r="G1601" s="7" t="s">
        <v>367</v>
      </c>
    </row>
    <row r="1602" spans="1:7" x14ac:dyDescent="0.3">
      <c r="A1602" s="7" t="s">
        <v>1969</v>
      </c>
      <c r="B1602" s="7" t="s">
        <v>57</v>
      </c>
      <c r="C1602" s="7" t="s">
        <v>357</v>
      </c>
      <c r="D1602" s="9">
        <v>46095</v>
      </c>
      <c r="E1602" s="9">
        <v>46125</v>
      </c>
      <c r="F1602" s="3">
        <v>3681.78</v>
      </c>
      <c r="G1602" s="7" t="s">
        <v>367</v>
      </c>
    </row>
    <row r="1603" spans="1:7" x14ac:dyDescent="0.3">
      <c r="A1603" s="7" t="s">
        <v>1970</v>
      </c>
      <c r="B1603" s="7" t="s">
        <v>31</v>
      </c>
      <c r="C1603" s="7" t="s">
        <v>355</v>
      </c>
      <c r="D1603" s="9">
        <v>45986</v>
      </c>
      <c r="E1603" s="9">
        <v>46016</v>
      </c>
      <c r="F1603" s="3">
        <v>10580.18</v>
      </c>
      <c r="G1603" s="7" t="s">
        <v>367</v>
      </c>
    </row>
    <row r="1604" spans="1:7" x14ac:dyDescent="0.3">
      <c r="A1604" s="7" t="s">
        <v>1971</v>
      </c>
      <c r="B1604" s="7" t="s">
        <v>45</v>
      </c>
      <c r="C1604" s="7" t="s">
        <v>355</v>
      </c>
      <c r="D1604" s="9">
        <v>45988</v>
      </c>
      <c r="E1604" s="9">
        <v>46018</v>
      </c>
      <c r="F1604" s="3">
        <v>10121.459999999999</v>
      </c>
      <c r="G1604" s="7" t="s">
        <v>367</v>
      </c>
    </row>
    <row r="1605" spans="1:7" x14ac:dyDescent="0.3">
      <c r="A1605" s="7" t="s">
        <v>1972</v>
      </c>
      <c r="B1605" s="7" t="s">
        <v>112</v>
      </c>
      <c r="C1605" s="7" t="s">
        <v>349</v>
      </c>
      <c r="D1605" s="9">
        <v>46087</v>
      </c>
      <c r="E1605" s="9">
        <v>46117</v>
      </c>
      <c r="F1605" s="3">
        <v>2605.71</v>
      </c>
      <c r="G1605" s="7" t="s">
        <v>367</v>
      </c>
    </row>
    <row r="1606" spans="1:7" x14ac:dyDescent="0.3">
      <c r="A1606" s="7" t="s">
        <v>1973</v>
      </c>
      <c r="B1606" s="7" t="s">
        <v>123</v>
      </c>
      <c r="C1606" s="7" t="s">
        <v>359</v>
      </c>
      <c r="D1606" s="9">
        <v>46045</v>
      </c>
      <c r="E1606" s="9">
        <v>46075</v>
      </c>
      <c r="F1606" s="3">
        <v>1874.42</v>
      </c>
      <c r="G1606" s="7" t="s">
        <v>367</v>
      </c>
    </row>
    <row r="1607" spans="1:7" x14ac:dyDescent="0.3">
      <c r="A1607" s="7" t="s">
        <v>1974</v>
      </c>
      <c r="B1607" s="7" t="s">
        <v>15</v>
      </c>
      <c r="C1607" s="7" t="s">
        <v>355</v>
      </c>
      <c r="D1607" s="9">
        <v>46052</v>
      </c>
      <c r="E1607" s="9">
        <v>46082</v>
      </c>
      <c r="F1607" s="3">
        <v>10962.32</v>
      </c>
      <c r="G1607" s="7" t="s">
        <v>367</v>
      </c>
    </row>
    <row r="1608" spans="1:7" x14ac:dyDescent="0.3">
      <c r="A1608" s="7" t="s">
        <v>1975</v>
      </c>
      <c r="B1608" s="7" t="s">
        <v>117</v>
      </c>
      <c r="C1608" s="7" t="s">
        <v>355</v>
      </c>
      <c r="D1608" s="9">
        <v>46053</v>
      </c>
      <c r="E1608" s="9">
        <v>46083</v>
      </c>
      <c r="F1608" s="3">
        <v>9875.7800000000007</v>
      </c>
      <c r="G1608" s="7" t="s">
        <v>367</v>
      </c>
    </row>
    <row r="1609" spans="1:7" x14ac:dyDescent="0.3">
      <c r="A1609" s="7" t="s">
        <v>1976</v>
      </c>
      <c r="B1609" s="7" t="s">
        <v>68</v>
      </c>
      <c r="C1609" s="7" t="s">
        <v>355</v>
      </c>
      <c r="D1609" s="9">
        <v>45964</v>
      </c>
      <c r="E1609" s="9">
        <v>45994</v>
      </c>
      <c r="F1609" s="3">
        <v>11477.31</v>
      </c>
      <c r="G1609" s="7" t="s">
        <v>367</v>
      </c>
    </row>
    <row r="1610" spans="1:7" x14ac:dyDescent="0.3">
      <c r="A1610" s="7" t="s">
        <v>1977</v>
      </c>
      <c r="B1610" s="7" t="s">
        <v>33</v>
      </c>
      <c r="C1610" s="7" t="s">
        <v>359</v>
      </c>
      <c r="D1610" s="9">
        <v>46052</v>
      </c>
      <c r="E1610" s="9">
        <v>46082</v>
      </c>
      <c r="F1610" s="3">
        <v>1489.51</v>
      </c>
      <c r="G1610" s="7" t="s">
        <v>367</v>
      </c>
    </row>
    <row r="1611" spans="1:7" x14ac:dyDescent="0.3">
      <c r="A1611" s="7" t="s">
        <v>1978</v>
      </c>
      <c r="B1611" s="7" t="s">
        <v>84</v>
      </c>
      <c r="C1611" s="7" t="s">
        <v>353</v>
      </c>
      <c r="D1611" s="9">
        <v>46056</v>
      </c>
      <c r="E1611" s="9">
        <v>46086</v>
      </c>
      <c r="F1611" s="3">
        <v>2432.1999999999998</v>
      </c>
      <c r="G1611" s="7" t="s">
        <v>367</v>
      </c>
    </row>
    <row r="1612" spans="1:7" x14ac:dyDescent="0.3">
      <c r="A1612" s="7" t="s">
        <v>1979</v>
      </c>
      <c r="B1612" s="7" t="s">
        <v>94</v>
      </c>
      <c r="C1612" s="7" t="s">
        <v>357</v>
      </c>
      <c r="D1612" s="9">
        <v>46014</v>
      </c>
      <c r="E1612" s="9">
        <v>46044</v>
      </c>
      <c r="F1612" s="3">
        <v>4114.82</v>
      </c>
      <c r="G1612" s="7" t="s">
        <v>367</v>
      </c>
    </row>
    <row r="1613" spans="1:7" x14ac:dyDescent="0.3">
      <c r="A1613" s="7" t="s">
        <v>1980</v>
      </c>
      <c r="B1613" s="7" t="s">
        <v>112</v>
      </c>
      <c r="C1613" s="7" t="s">
        <v>355</v>
      </c>
      <c r="D1613" s="9">
        <v>46047</v>
      </c>
      <c r="E1613" s="9">
        <v>46077</v>
      </c>
      <c r="F1613" s="3">
        <v>10922.12</v>
      </c>
      <c r="G1613" s="7" t="s">
        <v>367</v>
      </c>
    </row>
    <row r="1614" spans="1:7" x14ac:dyDescent="0.3">
      <c r="A1614" s="7" t="s">
        <v>1981</v>
      </c>
      <c r="B1614" s="7" t="s">
        <v>79</v>
      </c>
      <c r="C1614" s="7" t="s">
        <v>355</v>
      </c>
      <c r="D1614" s="9">
        <v>45966</v>
      </c>
      <c r="E1614" s="9">
        <v>45996</v>
      </c>
      <c r="F1614" s="3">
        <v>12503.27</v>
      </c>
      <c r="G1614" s="7" t="s">
        <v>367</v>
      </c>
    </row>
    <row r="1615" spans="1:7" x14ac:dyDescent="0.3">
      <c r="A1615" s="7" t="s">
        <v>1982</v>
      </c>
      <c r="B1615" s="7" t="s">
        <v>43</v>
      </c>
      <c r="C1615" s="7" t="s">
        <v>355</v>
      </c>
      <c r="D1615" s="9">
        <v>46026</v>
      </c>
      <c r="E1615" s="9">
        <v>46056</v>
      </c>
      <c r="F1615" s="3">
        <v>11808.98</v>
      </c>
      <c r="G1615" s="7" t="s">
        <v>367</v>
      </c>
    </row>
    <row r="1616" spans="1:7" x14ac:dyDescent="0.3">
      <c r="A1616" s="7" t="s">
        <v>1983</v>
      </c>
      <c r="B1616" s="7" t="s">
        <v>98</v>
      </c>
      <c r="C1616" s="7" t="s">
        <v>359</v>
      </c>
      <c r="D1616" s="9">
        <v>46066</v>
      </c>
      <c r="E1616" s="9">
        <v>46096</v>
      </c>
      <c r="F1616" s="3">
        <v>2074.3200000000002</v>
      </c>
      <c r="G1616" s="7" t="s">
        <v>367</v>
      </c>
    </row>
    <row r="1617" spans="1:7" x14ac:dyDescent="0.3">
      <c r="A1617" s="7" t="s">
        <v>1984</v>
      </c>
      <c r="B1617" s="7" t="s">
        <v>29</v>
      </c>
      <c r="C1617" s="7" t="s">
        <v>353</v>
      </c>
      <c r="D1617" s="9">
        <v>46104</v>
      </c>
      <c r="E1617" s="9">
        <v>46134</v>
      </c>
      <c r="F1617" s="3">
        <v>2391.09</v>
      </c>
      <c r="G1617" s="7" t="s">
        <v>367</v>
      </c>
    </row>
    <row r="1618" spans="1:7" x14ac:dyDescent="0.3">
      <c r="A1618" s="7" t="s">
        <v>1985</v>
      </c>
      <c r="B1618" s="7" t="s">
        <v>30</v>
      </c>
      <c r="C1618" s="7" t="s">
        <v>357</v>
      </c>
      <c r="D1618" s="9">
        <v>46108</v>
      </c>
      <c r="E1618" s="9">
        <v>46138</v>
      </c>
      <c r="F1618" s="3">
        <v>3826.54</v>
      </c>
      <c r="G1618" s="7" t="s">
        <v>369</v>
      </c>
    </row>
    <row r="1619" spans="1:7" x14ac:dyDescent="0.3">
      <c r="A1619" s="7" t="s">
        <v>1986</v>
      </c>
      <c r="B1619" s="7" t="s">
        <v>37</v>
      </c>
      <c r="C1619" s="7" t="s">
        <v>359</v>
      </c>
      <c r="D1619" s="9">
        <v>46019</v>
      </c>
      <c r="E1619" s="9">
        <v>46049</v>
      </c>
      <c r="F1619" s="3">
        <v>1849.4</v>
      </c>
      <c r="G1619" s="7" t="s">
        <v>369</v>
      </c>
    </row>
    <row r="1620" spans="1:7" x14ac:dyDescent="0.3">
      <c r="A1620" s="7" t="s">
        <v>1987</v>
      </c>
      <c r="B1620" s="7" t="s">
        <v>124</v>
      </c>
      <c r="C1620" s="7" t="s">
        <v>351</v>
      </c>
      <c r="D1620" s="9">
        <v>46060</v>
      </c>
      <c r="E1620" s="9">
        <v>46090</v>
      </c>
      <c r="F1620" s="3">
        <v>4547.55</v>
      </c>
      <c r="G1620" s="7" t="s">
        <v>367</v>
      </c>
    </row>
    <row r="1621" spans="1:7" x14ac:dyDescent="0.3">
      <c r="A1621" s="7" t="s">
        <v>1988</v>
      </c>
      <c r="B1621" s="7" t="s">
        <v>59</v>
      </c>
      <c r="C1621" s="7" t="s">
        <v>349</v>
      </c>
      <c r="D1621" s="9">
        <v>45983</v>
      </c>
      <c r="E1621" s="9">
        <v>46013</v>
      </c>
      <c r="F1621" s="3">
        <v>3237.65</v>
      </c>
      <c r="G1621" s="7" t="s">
        <v>369</v>
      </c>
    </row>
    <row r="1622" spans="1:7" x14ac:dyDescent="0.3">
      <c r="A1622" s="7" t="s">
        <v>1989</v>
      </c>
      <c r="B1622" s="7" t="s">
        <v>71</v>
      </c>
      <c r="C1622" s="7" t="s">
        <v>357</v>
      </c>
      <c r="D1622" s="9">
        <v>46110</v>
      </c>
      <c r="E1622" s="9">
        <v>46140</v>
      </c>
      <c r="F1622" s="3">
        <v>2969.72</v>
      </c>
      <c r="G1622" s="7" t="s">
        <v>369</v>
      </c>
    </row>
    <row r="1623" spans="1:7" x14ac:dyDescent="0.3">
      <c r="A1623" s="7" t="s">
        <v>1990</v>
      </c>
      <c r="B1623" s="7" t="s">
        <v>12</v>
      </c>
      <c r="C1623" s="7" t="s">
        <v>353</v>
      </c>
      <c r="D1623" s="9">
        <v>46004</v>
      </c>
      <c r="E1623" s="9">
        <v>46034</v>
      </c>
      <c r="F1623" s="3">
        <v>2410.1</v>
      </c>
      <c r="G1623" s="7" t="s">
        <v>367</v>
      </c>
    </row>
    <row r="1624" spans="1:7" x14ac:dyDescent="0.3">
      <c r="A1624" s="7" t="s">
        <v>1991</v>
      </c>
      <c r="B1624" s="7" t="s">
        <v>66</v>
      </c>
      <c r="C1624" s="7" t="s">
        <v>355</v>
      </c>
      <c r="D1624" s="9">
        <v>46080</v>
      </c>
      <c r="E1624" s="9">
        <v>46110</v>
      </c>
      <c r="F1624" s="3">
        <v>9728.25</v>
      </c>
      <c r="G1624" s="7" t="s">
        <v>367</v>
      </c>
    </row>
    <row r="1625" spans="1:7" x14ac:dyDescent="0.3">
      <c r="A1625" s="7" t="s">
        <v>1992</v>
      </c>
      <c r="B1625" s="7" t="s">
        <v>8</v>
      </c>
      <c r="C1625" s="7" t="s">
        <v>355</v>
      </c>
      <c r="D1625" s="9">
        <v>45969</v>
      </c>
      <c r="E1625" s="9">
        <v>45999</v>
      </c>
      <c r="F1625" s="3">
        <v>11249.56</v>
      </c>
      <c r="G1625" s="7" t="s">
        <v>367</v>
      </c>
    </row>
    <row r="1626" spans="1:7" x14ac:dyDescent="0.3">
      <c r="A1626" s="7" t="s">
        <v>1993</v>
      </c>
      <c r="B1626" s="7" t="s">
        <v>66</v>
      </c>
      <c r="C1626" s="7" t="s">
        <v>353</v>
      </c>
      <c r="D1626" s="9">
        <v>46017</v>
      </c>
      <c r="E1626" s="9">
        <v>46047</v>
      </c>
      <c r="F1626" s="3">
        <v>2114.6799999999998</v>
      </c>
      <c r="G1626" s="7" t="s">
        <v>367</v>
      </c>
    </row>
    <row r="1627" spans="1:7" x14ac:dyDescent="0.3">
      <c r="A1627" s="7" t="s">
        <v>1994</v>
      </c>
      <c r="B1627" s="7" t="s">
        <v>98</v>
      </c>
      <c r="C1627" s="7" t="s">
        <v>355</v>
      </c>
      <c r="D1627" s="9">
        <v>46017</v>
      </c>
      <c r="E1627" s="9">
        <v>46047</v>
      </c>
      <c r="F1627" s="3">
        <v>11814.51</v>
      </c>
      <c r="G1627" s="7" t="s">
        <v>367</v>
      </c>
    </row>
    <row r="1628" spans="1:7" x14ac:dyDescent="0.3">
      <c r="A1628" s="7" t="s">
        <v>1995</v>
      </c>
      <c r="B1628" s="7" t="s">
        <v>28</v>
      </c>
      <c r="C1628" s="7" t="s">
        <v>355</v>
      </c>
      <c r="D1628" s="9">
        <v>46038</v>
      </c>
      <c r="E1628" s="9">
        <v>46068</v>
      </c>
      <c r="F1628" s="3">
        <v>10273.23</v>
      </c>
      <c r="G1628" s="7" t="s">
        <v>369</v>
      </c>
    </row>
    <row r="1629" spans="1:7" x14ac:dyDescent="0.3">
      <c r="A1629" s="7" t="s">
        <v>1996</v>
      </c>
      <c r="B1629" s="7" t="s">
        <v>101</v>
      </c>
      <c r="C1629" s="7" t="s">
        <v>349</v>
      </c>
      <c r="D1629" s="9">
        <v>46103</v>
      </c>
      <c r="E1629" s="9">
        <v>46133</v>
      </c>
      <c r="F1629" s="3">
        <v>3128.39</v>
      </c>
      <c r="G1629" s="7" t="s">
        <v>367</v>
      </c>
    </row>
    <row r="1630" spans="1:7" x14ac:dyDescent="0.3">
      <c r="A1630" s="7" t="s">
        <v>1997</v>
      </c>
      <c r="B1630" s="7" t="s">
        <v>26</v>
      </c>
      <c r="C1630" s="7" t="s">
        <v>355</v>
      </c>
      <c r="D1630" s="9">
        <v>46002</v>
      </c>
      <c r="E1630" s="9">
        <v>46032</v>
      </c>
      <c r="F1630" s="3">
        <v>10408.58</v>
      </c>
      <c r="G1630" s="7" t="s">
        <v>367</v>
      </c>
    </row>
    <row r="1631" spans="1:7" x14ac:dyDescent="0.3">
      <c r="A1631" s="7" t="s">
        <v>1998</v>
      </c>
      <c r="B1631" s="7" t="s">
        <v>93</v>
      </c>
      <c r="C1631" s="7" t="s">
        <v>355</v>
      </c>
      <c r="D1631" s="9">
        <v>46092</v>
      </c>
      <c r="E1631" s="9">
        <v>46122</v>
      </c>
      <c r="F1631" s="3">
        <v>11318.82</v>
      </c>
      <c r="G1631" s="7" t="s">
        <v>367</v>
      </c>
    </row>
    <row r="1632" spans="1:7" x14ac:dyDescent="0.3">
      <c r="A1632" s="7" t="s">
        <v>1999</v>
      </c>
      <c r="B1632" s="7" t="s">
        <v>110</v>
      </c>
      <c r="C1632" s="7" t="s">
        <v>357</v>
      </c>
      <c r="D1632" s="9">
        <v>45994</v>
      </c>
      <c r="E1632" s="9">
        <v>46024</v>
      </c>
      <c r="F1632" s="3">
        <v>3102.63</v>
      </c>
      <c r="G1632" s="7" t="s">
        <v>369</v>
      </c>
    </row>
    <row r="1633" spans="1:7" x14ac:dyDescent="0.3">
      <c r="A1633" s="7" t="s">
        <v>2000</v>
      </c>
      <c r="B1633" s="7" t="s">
        <v>56</v>
      </c>
      <c r="C1633" s="7" t="s">
        <v>357</v>
      </c>
      <c r="D1633" s="9">
        <v>46061</v>
      </c>
      <c r="E1633" s="9">
        <v>46091</v>
      </c>
      <c r="F1633" s="3">
        <v>3697.42</v>
      </c>
      <c r="G1633" s="7" t="s">
        <v>369</v>
      </c>
    </row>
    <row r="1634" spans="1:7" x14ac:dyDescent="0.3">
      <c r="A1634" s="7" t="s">
        <v>2001</v>
      </c>
      <c r="B1634" s="7" t="s">
        <v>105</v>
      </c>
      <c r="C1634" s="7" t="s">
        <v>359</v>
      </c>
      <c r="D1634" s="9">
        <v>46028</v>
      </c>
      <c r="E1634" s="9">
        <v>46058</v>
      </c>
      <c r="F1634" s="3">
        <v>1661.99</v>
      </c>
      <c r="G1634" s="7" t="s">
        <v>367</v>
      </c>
    </row>
    <row r="1635" spans="1:7" x14ac:dyDescent="0.3">
      <c r="A1635" s="7" t="s">
        <v>2002</v>
      </c>
      <c r="B1635" s="7" t="s">
        <v>32</v>
      </c>
      <c r="C1635" s="7" t="s">
        <v>355</v>
      </c>
      <c r="D1635" s="9">
        <v>46103</v>
      </c>
      <c r="E1635" s="9">
        <v>46133</v>
      </c>
      <c r="F1635" s="3">
        <v>13282.15</v>
      </c>
      <c r="G1635" s="7" t="s">
        <v>369</v>
      </c>
    </row>
    <row r="1636" spans="1:7" x14ac:dyDescent="0.3">
      <c r="A1636" s="7" t="s">
        <v>2003</v>
      </c>
      <c r="B1636" s="7" t="s">
        <v>31</v>
      </c>
      <c r="C1636" s="7" t="s">
        <v>349</v>
      </c>
      <c r="D1636" s="9">
        <v>46090</v>
      </c>
      <c r="E1636" s="9">
        <v>46120</v>
      </c>
      <c r="F1636" s="3">
        <v>2419.25</v>
      </c>
      <c r="G1636" s="7" t="s">
        <v>367</v>
      </c>
    </row>
    <row r="1637" spans="1:7" x14ac:dyDescent="0.3">
      <c r="A1637" s="7" t="s">
        <v>2004</v>
      </c>
      <c r="B1637" s="7" t="s">
        <v>113</v>
      </c>
      <c r="C1637" s="7" t="s">
        <v>359</v>
      </c>
      <c r="D1637" s="9">
        <v>46036</v>
      </c>
      <c r="E1637" s="9">
        <v>46066</v>
      </c>
      <c r="F1637" s="3">
        <v>1921.64</v>
      </c>
      <c r="G1637" s="7" t="s">
        <v>369</v>
      </c>
    </row>
    <row r="1638" spans="1:7" x14ac:dyDescent="0.3">
      <c r="A1638" s="7" t="s">
        <v>2005</v>
      </c>
      <c r="B1638" s="7" t="s">
        <v>20</v>
      </c>
      <c r="C1638" s="7" t="s">
        <v>359</v>
      </c>
      <c r="D1638" s="9">
        <v>46025</v>
      </c>
      <c r="E1638" s="9">
        <v>46055</v>
      </c>
      <c r="F1638" s="3">
        <v>1560.88</v>
      </c>
      <c r="G1638" s="7" t="s">
        <v>367</v>
      </c>
    </row>
    <row r="1639" spans="1:7" x14ac:dyDescent="0.3">
      <c r="A1639" s="7" t="s">
        <v>2006</v>
      </c>
      <c r="B1639" s="7" t="s">
        <v>76</v>
      </c>
      <c r="C1639" s="7" t="s">
        <v>353</v>
      </c>
      <c r="D1639" s="9">
        <v>45976</v>
      </c>
      <c r="E1639" s="9">
        <v>46006</v>
      </c>
      <c r="F1639" s="3">
        <v>2322.6799999999998</v>
      </c>
      <c r="G1639" s="7" t="s">
        <v>367</v>
      </c>
    </row>
    <row r="1640" spans="1:7" x14ac:dyDescent="0.3">
      <c r="A1640" s="7" t="s">
        <v>2007</v>
      </c>
      <c r="B1640" s="7" t="s">
        <v>52</v>
      </c>
      <c r="C1640" s="7" t="s">
        <v>355</v>
      </c>
      <c r="D1640" s="9">
        <v>45962</v>
      </c>
      <c r="E1640" s="9">
        <v>45992</v>
      </c>
      <c r="F1640" s="3">
        <v>14106.83</v>
      </c>
      <c r="G1640" s="7" t="s">
        <v>367</v>
      </c>
    </row>
    <row r="1641" spans="1:7" x14ac:dyDescent="0.3">
      <c r="A1641" s="7" t="s">
        <v>2008</v>
      </c>
      <c r="B1641" s="7" t="s">
        <v>56</v>
      </c>
      <c r="C1641" s="7" t="s">
        <v>353</v>
      </c>
      <c r="D1641" s="9">
        <v>46026</v>
      </c>
      <c r="E1641" s="9">
        <v>46056</v>
      </c>
      <c r="F1641" s="3">
        <v>2173.62</v>
      </c>
      <c r="G1641" s="7" t="s">
        <v>367</v>
      </c>
    </row>
    <row r="1642" spans="1:7" x14ac:dyDescent="0.3">
      <c r="A1642" s="7" t="s">
        <v>2009</v>
      </c>
      <c r="B1642" s="7" t="s">
        <v>90</v>
      </c>
      <c r="C1642" s="7" t="s">
        <v>351</v>
      </c>
      <c r="D1642" s="9">
        <v>45991</v>
      </c>
      <c r="E1642" s="9">
        <v>46021</v>
      </c>
      <c r="F1642" s="3">
        <v>4917.55</v>
      </c>
      <c r="G1642" s="7" t="s">
        <v>369</v>
      </c>
    </row>
    <row r="1643" spans="1:7" x14ac:dyDescent="0.3">
      <c r="A1643" s="7" t="s">
        <v>2010</v>
      </c>
      <c r="B1643" s="7" t="s">
        <v>105</v>
      </c>
      <c r="C1643" s="7" t="s">
        <v>357</v>
      </c>
      <c r="D1643" s="9">
        <v>45990</v>
      </c>
      <c r="E1643" s="9">
        <v>46020</v>
      </c>
      <c r="F1643" s="3">
        <v>3316.57</v>
      </c>
      <c r="G1643" s="7" t="s">
        <v>367</v>
      </c>
    </row>
    <row r="1644" spans="1:7" x14ac:dyDescent="0.3">
      <c r="A1644" s="7" t="s">
        <v>2011</v>
      </c>
      <c r="B1644" s="7" t="s">
        <v>115</v>
      </c>
      <c r="C1644" s="7" t="s">
        <v>357</v>
      </c>
      <c r="D1644" s="9">
        <v>46055</v>
      </c>
      <c r="E1644" s="9">
        <v>46085</v>
      </c>
      <c r="F1644" s="3">
        <v>3499.41</v>
      </c>
      <c r="G1644" s="7" t="s">
        <v>367</v>
      </c>
    </row>
    <row r="1645" spans="1:7" x14ac:dyDescent="0.3">
      <c r="A1645" s="7" t="s">
        <v>2012</v>
      </c>
      <c r="B1645" s="7" t="s">
        <v>87</v>
      </c>
      <c r="C1645" s="7" t="s">
        <v>357</v>
      </c>
      <c r="D1645" s="9">
        <v>46055</v>
      </c>
      <c r="E1645" s="9">
        <v>46085</v>
      </c>
      <c r="F1645" s="3">
        <v>3040.04</v>
      </c>
      <c r="G1645" s="7" t="s">
        <v>367</v>
      </c>
    </row>
    <row r="1646" spans="1:7" x14ac:dyDescent="0.3">
      <c r="A1646" s="7" t="s">
        <v>2013</v>
      </c>
      <c r="B1646" s="7" t="s">
        <v>29</v>
      </c>
      <c r="C1646" s="7" t="s">
        <v>359</v>
      </c>
      <c r="D1646" s="9">
        <v>46022</v>
      </c>
      <c r="E1646" s="9">
        <v>46052</v>
      </c>
      <c r="F1646" s="3">
        <v>1719.77</v>
      </c>
      <c r="G1646" s="7" t="s">
        <v>367</v>
      </c>
    </row>
    <row r="1647" spans="1:7" x14ac:dyDescent="0.3">
      <c r="A1647" s="7" t="s">
        <v>2014</v>
      </c>
      <c r="B1647" s="7" t="s">
        <v>92</v>
      </c>
      <c r="C1647" s="7" t="s">
        <v>359</v>
      </c>
      <c r="D1647" s="9">
        <v>46082</v>
      </c>
      <c r="E1647" s="9">
        <v>46112</v>
      </c>
      <c r="F1647" s="3">
        <v>1988.44</v>
      </c>
      <c r="G1647" s="7" t="s">
        <v>387</v>
      </c>
    </row>
    <row r="1648" spans="1:7" x14ac:dyDescent="0.3">
      <c r="A1648" s="7" t="s">
        <v>2015</v>
      </c>
      <c r="B1648" s="7" t="s">
        <v>64</v>
      </c>
      <c r="C1648" s="7" t="s">
        <v>355</v>
      </c>
      <c r="D1648" s="9">
        <v>45981</v>
      </c>
      <c r="E1648" s="9">
        <v>46011</v>
      </c>
      <c r="F1648" s="3">
        <v>9924.06</v>
      </c>
      <c r="G1648" s="7" t="s">
        <v>369</v>
      </c>
    </row>
    <row r="1649" spans="1:7" x14ac:dyDescent="0.3">
      <c r="A1649" s="7" t="s">
        <v>2016</v>
      </c>
      <c r="B1649" s="7" t="s">
        <v>97</v>
      </c>
      <c r="C1649" s="7" t="s">
        <v>355</v>
      </c>
      <c r="D1649" s="9">
        <v>46108</v>
      </c>
      <c r="E1649" s="9">
        <v>46138</v>
      </c>
      <c r="F1649" s="3">
        <v>12052.93</v>
      </c>
      <c r="G1649" s="7" t="s">
        <v>367</v>
      </c>
    </row>
    <row r="1650" spans="1:7" x14ac:dyDescent="0.3">
      <c r="A1650" s="7" t="s">
        <v>2017</v>
      </c>
      <c r="B1650" s="7" t="s">
        <v>101</v>
      </c>
      <c r="C1650" s="7" t="s">
        <v>349</v>
      </c>
      <c r="D1650" s="9">
        <v>46008</v>
      </c>
      <c r="E1650" s="9">
        <v>46038</v>
      </c>
      <c r="F1650" s="3">
        <v>2679.13</v>
      </c>
      <c r="G1650" s="7" t="s">
        <v>367</v>
      </c>
    </row>
    <row r="1651" spans="1:7" x14ac:dyDescent="0.3">
      <c r="A1651" s="7" t="s">
        <v>2018</v>
      </c>
      <c r="B1651" s="7" t="s">
        <v>54</v>
      </c>
      <c r="C1651" s="7" t="s">
        <v>355</v>
      </c>
      <c r="D1651" s="9">
        <v>45969</v>
      </c>
      <c r="E1651" s="9">
        <v>45999</v>
      </c>
      <c r="F1651" s="3">
        <v>13234.78</v>
      </c>
      <c r="G1651" s="7" t="s">
        <v>367</v>
      </c>
    </row>
    <row r="1652" spans="1:7" x14ac:dyDescent="0.3">
      <c r="A1652" s="7" t="s">
        <v>2019</v>
      </c>
      <c r="B1652" s="7" t="s">
        <v>11</v>
      </c>
      <c r="C1652" s="7" t="s">
        <v>355</v>
      </c>
      <c r="D1652" s="9">
        <v>45984</v>
      </c>
      <c r="E1652" s="9">
        <v>46014</v>
      </c>
      <c r="F1652" s="3">
        <v>11023.75</v>
      </c>
      <c r="G1652" s="7" t="s">
        <v>367</v>
      </c>
    </row>
    <row r="1653" spans="1:7" x14ac:dyDescent="0.3">
      <c r="A1653" s="7" t="s">
        <v>2020</v>
      </c>
      <c r="B1653" s="7" t="s">
        <v>49</v>
      </c>
      <c r="C1653" s="7" t="s">
        <v>351</v>
      </c>
      <c r="D1653" s="9">
        <v>46079</v>
      </c>
      <c r="E1653" s="9">
        <v>46109</v>
      </c>
      <c r="F1653" s="3">
        <v>5846.82</v>
      </c>
      <c r="G1653" s="7" t="s">
        <v>367</v>
      </c>
    </row>
    <row r="1654" spans="1:7" x14ac:dyDescent="0.3">
      <c r="A1654" s="7" t="s">
        <v>2021</v>
      </c>
      <c r="B1654" s="7" t="s">
        <v>60</v>
      </c>
      <c r="C1654" s="7" t="s">
        <v>351</v>
      </c>
      <c r="D1654" s="9">
        <v>46094</v>
      </c>
      <c r="E1654" s="9">
        <v>46124</v>
      </c>
      <c r="F1654" s="3">
        <v>4556.25</v>
      </c>
      <c r="G1654" s="7" t="s">
        <v>367</v>
      </c>
    </row>
    <row r="1655" spans="1:7" x14ac:dyDescent="0.3">
      <c r="A1655" s="7" t="s">
        <v>2022</v>
      </c>
      <c r="B1655" s="7" t="s">
        <v>100</v>
      </c>
      <c r="C1655" s="7" t="s">
        <v>359</v>
      </c>
      <c r="D1655" s="9">
        <v>46073</v>
      </c>
      <c r="E1655" s="9">
        <v>46103</v>
      </c>
      <c r="F1655" s="3">
        <v>2025.15</v>
      </c>
      <c r="G1655" s="7" t="s">
        <v>367</v>
      </c>
    </row>
    <row r="1656" spans="1:7" x14ac:dyDescent="0.3">
      <c r="A1656" s="7" t="s">
        <v>2023</v>
      </c>
      <c r="B1656" s="7" t="s">
        <v>124</v>
      </c>
      <c r="C1656" s="7" t="s">
        <v>353</v>
      </c>
      <c r="D1656" s="9">
        <v>46002</v>
      </c>
      <c r="E1656" s="9">
        <v>46032</v>
      </c>
      <c r="F1656" s="3">
        <v>2342.73</v>
      </c>
      <c r="G1656" s="7" t="s">
        <v>367</v>
      </c>
    </row>
    <row r="1657" spans="1:7" x14ac:dyDescent="0.3">
      <c r="A1657" s="7" t="s">
        <v>2024</v>
      </c>
      <c r="B1657" s="7" t="s">
        <v>35</v>
      </c>
      <c r="C1657" s="7" t="s">
        <v>359</v>
      </c>
      <c r="D1657" s="9">
        <v>45998</v>
      </c>
      <c r="E1657" s="9">
        <v>46028</v>
      </c>
      <c r="F1657" s="3">
        <v>2151.63</v>
      </c>
      <c r="G1657" s="7" t="s">
        <v>367</v>
      </c>
    </row>
    <row r="1658" spans="1:7" x14ac:dyDescent="0.3">
      <c r="A1658" s="7" t="s">
        <v>2025</v>
      </c>
      <c r="B1658" s="7" t="s">
        <v>87</v>
      </c>
      <c r="C1658" s="7" t="s">
        <v>357</v>
      </c>
      <c r="D1658" s="9">
        <v>45994</v>
      </c>
      <c r="E1658" s="9">
        <v>46024</v>
      </c>
      <c r="F1658" s="3">
        <v>4021.79</v>
      </c>
      <c r="G1658" s="7" t="s">
        <v>367</v>
      </c>
    </row>
    <row r="1659" spans="1:7" x14ac:dyDescent="0.3">
      <c r="A1659" s="7" t="s">
        <v>2026</v>
      </c>
      <c r="B1659" s="7" t="s">
        <v>13</v>
      </c>
      <c r="C1659" s="7" t="s">
        <v>349</v>
      </c>
      <c r="D1659" s="9">
        <v>46016</v>
      </c>
      <c r="E1659" s="9">
        <v>46046</v>
      </c>
      <c r="F1659" s="3">
        <v>2477.54</v>
      </c>
      <c r="G1659" s="7" t="s">
        <v>387</v>
      </c>
    </row>
    <row r="1660" spans="1:7" x14ac:dyDescent="0.3">
      <c r="A1660" s="7" t="s">
        <v>2027</v>
      </c>
      <c r="B1660" s="7" t="s">
        <v>82</v>
      </c>
      <c r="C1660" s="7" t="s">
        <v>359</v>
      </c>
      <c r="D1660" s="9">
        <v>46094</v>
      </c>
      <c r="E1660" s="9">
        <v>46124</v>
      </c>
      <c r="F1660" s="3">
        <v>2154.25</v>
      </c>
      <c r="G1660" s="7" t="s">
        <v>367</v>
      </c>
    </row>
    <row r="1661" spans="1:7" x14ac:dyDescent="0.3">
      <c r="A1661" s="7" t="s">
        <v>2028</v>
      </c>
      <c r="B1661" s="7" t="s">
        <v>61</v>
      </c>
      <c r="C1661" s="7" t="s">
        <v>357</v>
      </c>
      <c r="D1661" s="9">
        <v>45972</v>
      </c>
      <c r="E1661" s="9">
        <v>46002</v>
      </c>
      <c r="F1661" s="3">
        <v>3963.71</v>
      </c>
      <c r="G1661" s="7" t="s">
        <v>367</v>
      </c>
    </row>
    <row r="1662" spans="1:7" x14ac:dyDescent="0.3">
      <c r="A1662" s="7" t="s">
        <v>2029</v>
      </c>
      <c r="B1662" s="7" t="s">
        <v>61</v>
      </c>
      <c r="C1662" s="7" t="s">
        <v>359</v>
      </c>
      <c r="D1662" s="9">
        <v>46045</v>
      </c>
      <c r="E1662" s="9">
        <v>46075</v>
      </c>
      <c r="F1662" s="3">
        <v>1776.29</v>
      </c>
      <c r="G1662" s="7" t="s">
        <v>367</v>
      </c>
    </row>
    <row r="1663" spans="1:7" x14ac:dyDescent="0.3">
      <c r="A1663" s="7" t="s">
        <v>2030</v>
      </c>
      <c r="B1663" s="7" t="s">
        <v>88</v>
      </c>
      <c r="C1663" s="7" t="s">
        <v>351</v>
      </c>
      <c r="D1663" s="9">
        <v>46108</v>
      </c>
      <c r="E1663" s="9">
        <v>46138</v>
      </c>
      <c r="F1663" s="3">
        <v>5211.7</v>
      </c>
      <c r="G1663" s="7" t="s">
        <v>367</v>
      </c>
    </row>
    <row r="1664" spans="1:7" x14ac:dyDescent="0.3">
      <c r="A1664" s="7" t="s">
        <v>2031</v>
      </c>
      <c r="B1664" s="7" t="s">
        <v>53</v>
      </c>
      <c r="C1664" s="7" t="s">
        <v>351</v>
      </c>
      <c r="D1664" s="9">
        <v>46056</v>
      </c>
      <c r="E1664" s="9">
        <v>46086</v>
      </c>
      <c r="F1664" s="3">
        <v>4543.72</v>
      </c>
      <c r="G1664" s="7" t="s">
        <v>367</v>
      </c>
    </row>
    <row r="1665" spans="1:7" x14ac:dyDescent="0.3">
      <c r="A1665" s="7" t="s">
        <v>2032</v>
      </c>
      <c r="B1665" s="7" t="s">
        <v>85</v>
      </c>
      <c r="C1665" s="7" t="s">
        <v>355</v>
      </c>
      <c r="D1665" s="9">
        <v>45991</v>
      </c>
      <c r="E1665" s="9">
        <v>46021</v>
      </c>
      <c r="F1665" s="3">
        <v>11413.04</v>
      </c>
      <c r="G1665" s="7" t="s">
        <v>367</v>
      </c>
    </row>
    <row r="1666" spans="1:7" x14ac:dyDescent="0.3">
      <c r="A1666" s="7" t="s">
        <v>2033</v>
      </c>
      <c r="B1666" s="7" t="s">
        <v>55</v>
      </c>
      <c r="C1666" s="7" t="s">
        <v>359</v>
      </c>
      <c r="D1666" s="9">
        <v>46081</v>
      </c>
      <c r="E1666" s="9">
        <v>46111</v>
      </c>
      <c r="F1666" s="3">
        <v>1752.07</v>
      </c>
      <c r="G1666" s="7" t="s">
        <v>367</v>
      </c>
    </row>
    <row r="1667" spans="1:7" x14ac:dyDescent="0.3">
      <c r="A1667" s="7" t="s">
        <v>2034</v>
      </c>
      <c r="B1667" s="7" t="s">
        <v>26</v>
      </c>
      <c r="C1667" s="7" t="s">
        <v>355</v>
      </c>
      <c r="D1667" s="9">
        <v>46043</v>
      </c>
      <c r="E1667" s="9">
        <v>46073</v>
      </c>
      <c r="F1667" s="3">
        <v>13699.4</v>
      </c>
      <c r="G1667" s="7" t="s">
        <v>367</v>
      </c>
    </row>
    <row r="1668" spans="1:7" x14ac:dyDescent="0.3">
      <c r="A1668" s="7" t="s">
        <v>2035</v>
      </c>
      <c r="B1668" s="7" t="s">
        <v>65</v>
      </c>
      <c r="C1668" s="7" t="s">
        <v>357</v>
      </c>
      <c r="D1668" s="9">
        <v>46087</v>
      </c>
      <c r="E1668" s="9">
        <v>46117</v>
      </c>
      <c r="F1668" s="3">
        <v>3817.31</v>
      </c>
      <c r="G1668" s="7" t="s">
        <v>367</v>
      </c>
    </row>
    <row r="1669" spans="1:7" x14ac:dyDescent="0.3">
      <c r="A1669" s="7" t="s">
        <v>2036</v>
      </c>
      <c r="B1669" s="7" t="s">
        <v>24</v>
      </c>
      <c r="C1669" s="7" t="s">
        <v>353</v>
      </c>
      <c r="D1669" s="9">
        <v>46084</v>
      </c>
      <c r="E1669" s="9">
        <v>46114</v>
      </c>
      <c r="F1669" s="3">
        <v>2375.15</v>
      </c>
      <c r="G1669" s="7" t="s">
        <v>367</v>
      </c>
    </row>
    <row r="1670" spans="1:7" x14ac:dyDescent="0.3">
      <c r="A1670" s="7" t="s">
        <v>2037</v>
      </c>
      <c r="B1670" s="7" t="s">
        <v>117</v>
      </c>
      <c r="C1670" s="7" t="s">
        <v>359</v>
      </c>
      <c r="D1670" s="9">
        <v>46022</v>
      </c>
      <c r="E1670" s="9">
        <v>46052</v>
      </c>
      <c r="F1670" s="3">
        <v>1777.87</v>
      </c>
      <c r="G1670" s="7" t="s">
        <v>367</v>
      </c>
    </row>
    <row r="1671" spans="1:7" x14ac:dyDescent="0.3">
      <c r="A1671" s="7" t="s">
        <v>2038</v>
      </c>
      <c r="B1671" s="7" t="s">
        <v>60</v>
      </c>
      <c r="C1671" s="7" t="s">
        <v>357</v>
      </c>
      <c r="D1671" s="9">
        <v>46065</v>
      </c>
      <c r="E1671" s="9">
        <v>46095</v>
      </c>
      <c r="F1671" s="3">
        <v>3822.52</v>
      </c>
      <c r="G1671" s="7" t="s">
        <v>367</v>
      </c>
    </row>
    <row r="1672" spans="1:7" x14ac:dyDescent="0.3">
      <c r="A1672" s="7" t="s">
        <v>2039</v>
      </c>
      <c r="B1672" s="7" t="s">
        <v>89</v>
      </c>
      <c r="C1672" s="7" t="s">
        <v>355</v>
      </c>
      <c r="D1672" s="9">
        <v>45962</v>
      </c>
      <c r="E1672" s="9">
        <v>45992</v>
      </c>
      <c r="F1672" s="3">
        <v>14258.36</v>
      </c>
      <c r="G1672" s="7" t="s">
        <v>367</v>
      </c>
    </row>
    <row r="1673" spans="1:7" x14ac:dyDescent="0.3">
      <c r="A1673" s="7" t="s">
        <v>2040</v>
      </c>
      <c r="B1673" s="7" t="s">
        <v>22</v>
      </c>
      <c r="C1673" s="7" t="s">
        <v>357</v>
      </c>
      <c r="D1673" s="9">
        <v>46029</v>
      </c>
      <c r="E1673" s="9">
        <v>46059</v>
      </c>
      <c r="F1673" s="3">
        <v>2899.73</v>
      </c>
      <c r="G1673" s="7" t="s">
        <v>387</v>
      </c>
    </row>
    <row r="1674" spans="1:7" x14ac:dyDescent="0.3">
      <c r="A1674" s="7" t="s">
        <v>2041</v>
      </c>
      <c r="B1674" s="7" t="s">
        <v>39</v>
      </c>
      <c r="C1674" s="7" t="s">
        <v>355</v>
      </c>
      <c r="D1674" s="9">
        <v>46094</v>
      </c>
      <c r="E1674" s="9">
        <v>46124</v>
      </c>
      <c r="F1674" s="3">
        <v>14074.22</v>
      </c>
      <c r="G1674" s="7" t="s">
        <v>369</v>
      </c>
    </row>
    <row r="1675" spans="1:7" x14ac:dyDescent="0.3">
      <c r="A1675" s="7" t="s">
        <v>2042</v>
      </c>
      <c r="B1675" s="7" t="s">
        <v>54</v>
      </c>
      <c r="C1675" s="7" t="s">
        <v>359</v>
      </c>
      <c r="D1675" s="9">
        <v>46080</v>
      </c>
      <c r="E1675" s="9">
        <v>46110</v>
      </c>
      <c r="F1675" s="3">
        <v>1690.98</v>
      </c>
      <c r="G1675" s="7" t="s">
        <v>367</v>
      </c>
    </row>
    <row r="1676" spans="1:7" x14ac:dyDescent="0.3">
      <c r="A1676" s="7" t="s">
        <v>2043</v>
      </c>
      <c r="B1676" s="7" t="s">
        <v>38</v>
      </c>
      <c r="C1676" s="7" t="s">
        <v>359</v>
      </c>
      <c r="D1676" s="9">
        <v>45962</v>
      </c>
      <c r="E1676" s="9">
        <v>45992</v>
      </c>
      <c r="F1676" s="3">
        <v>1481.55</v>
      </c>
      <c r="G1676" s="7" t="s">
        <v>367</v>
      </c>
    </row>
    <row r="1677" spans="1:7" x14ac:dyDescent="0.3">
      <c r="A1677" s="7" t="s">
        <v>2044</v>
      </c>
      <c r="B1677" s="7" t="s">
        <v>93</v>
      </c>
      <c r="C1677" s="7" t="s">
        <v>355</v>
      </c>
      <c r="D1677" s="9">
        <v>46107</v>
      </c>
      <c r="E1677" s="9">
        <v>46137</v>
      </c>
      <c r="F1677" s="3">
        <v>9765.64</v>
      </c>
      <c r="G1677" s="7" t="s">
        <v>367</v>
      </c>
    </row>
    <row r="1678" spans="1:7" x14ac:dyDescent="0.3">
      <c r="A1678" s="7" t="s">
        <v>2045</v>
      </c>
      <c r="B1678" s="7" t="s">
        <v>65</v>
      </c>
      <c r="C1678" s="7" t="s">
        <v>349</v>
      </c>
      <c r="D1678" s="9">
        <v>45987</v>
      </c>
      <c r="E1678" s="9">
        <v>46017</v>
      </c>
      <c r="F1678" s="3">
        <v>3236.97</v>
      </c>
      <c r="G1678" s="7" t="s">
        <v>367</v>
      </c>
    </row>
    <row r="1679" spans="1:7" x14ac:dyDescent="0.3">
      <c r="A1679" s="7" t="s">
        <v>2046</v>
      </c>
      <c r="B1679" s="7" t="s">
        <v>91</v>
      </c>
      <c r="C1679" s="7" t="s">
        <v>359</v>
      </c>
      <c r="D1679" s="9">
        <v>46049</v>
      </c>
      <c r="E1679" s="9">
        <v>46079</v>
      </c>
      <c r="F1679" s="3">
        <v>1546.1</v>
      </c>
      <c r="G1679" s="7" t="s">
        <v>367</v>
      </c>
    </row>
    <row r="1680" spans="1:7" x14ac:dyDescent="0.3">
      <c r="A1680" s="7" t="s">
        <v>2047</v>
      </c>
      <c r="B1680" s="7" t="s">
        <v>124</v>
      </c>
      <c r="C1680" s="7" t="s">
        <v>351</v>
      </c>
      <c r="D1680" s="9">
        <v>46020</v>
      </c>
      <c r="E1680" s="9">
        <v>46050</v>
      </c>
      <c r="F1680" s="3">
        <v>4024.67</v>
      </c>
      <c r="G1680" s="7" t="s">
        <v>367</v>
      </c>
    </row>
    <row r="1681" spans="1:7" x14ac:dyDescent="0.3">
      <c r="A1681" s="7" t="s">
        <v>2048</v>
      </c>
      <c r="B1681" s="7" t="s">
        <v>31</v>
      </c>
      <c r="C1681" s="7" t="s">
        <v>355</v>
      </c>
      <c r="D1681" s="9">
        <v>46082</v>
      </c>
      <c r="E1681" s="9">
        <v>46112</v>
      </c>
      <c r="F1681" s="3">
        <v>11508.8</v>
      </c>
      <c r="G1681" s="7" t="s">
        <v>367</v>
      </c>
    </row>
    <row r="1682" spans="1:7" x14ac:dyDescent="0.3">
      <c r="A1682" s="7" t="s">
        <v>2049</v>
      </c>
      <c r="B1682" s="7" t="s">
        <v>71</v>
      </c>
      <c r="C1682" s="7" t="s">
        <v>355</v>
      </c>
      <c r="D1682" s="9">
        <v>45966</v>
      </c>
      <c r="E1682" s="9">
        <v>45996</v>
      </c>
      <c r="F1682" s="3">
        <v>10395.950000000001</v>
      </c>
      <c r="G1682" s="7" t="s">
        <v>367</v>
      </c>
    </row>
    <row r="1683" spans="1:7" x14ac:dyDescent="0.3">
      <c r="A1683" s="7" t="s">
        <v>2050</v>
      </c>
      <c r="B1683" s="7" t="s">
        <v>59</v>
      </c>
      <c r="C1683" s="7" t="s">
        <v>357</v>
      </c>
      <c r="D1683" s="9">
        <v>45995</v>
      </c>
      <c r="E1683" s="9">
        <v>46025</v>
      </c>
      <c r="F1683" s="3">
        <v>3721.88</v>
      </c>
      <c r="G1683" s="7" t="s">
        <v>367</v>
      </c>
    </row>
    <row r="1684" spans="1:7" x14ac:dyDescent="0.3">
      <c r="A1684" s="7" t="s">
        <v>2051</v>
      </c>
      <c r="B1684" s="7" t="s">
        <v>109</v>
      </c>
      <c r="C1684" s="7" t="s">
        <v>359</v>
      </c>
      <c r="D1684" s="9">
        <v>45992</v>
      </c>
      <c r="E1684" s="9">
        <v>46022</v>
      </c>
      <c r="F1684" s="3">
        <v>2065.98</v>
      </c>
      <c r="G1684" s="7" t="s">
        <v>367</v>
      </c>
    </row>
    <row r="1685" spans="1:7" x14ac:dyDescent="0.3">
      <c r="A1685" s="7" t="s">
        <v>2052</v>
      </c>
      <c r="B1685" s="7" t="s">
        <v>102</v>
      </c>
      <c r="C1685" s="7" t="s">
        <v>353</v>
      </c>
      <c r="D1685" s="9">
        <v>45980</v>
      </c>
      <c r="E1685" s="9">
        <v>46010</v>
      </c>
      <c r="F1685" s="3">
        <v>2814.23</v>
      </c>
      <c r="G1685" s="7" t="s">
        <v>367</v>
      </c>
    </row>
    <row r="1686" spans="1:7" x14ac:dyDescent="0.3">
      <c r="A1686" s="7" t="s">
        <v>2053</v>
      </c>
      <c r="B1686" s="7" t="s">
        <v>7</v>
      </c>
      <c r="C1686" s="7" t="s">
        <v>355</v>
      </c>
      <c r="D1686" s="9">
        <v>46037</v>
      </c>
      <c r="E1686" s="9">
        <v>46067</v>
      </c>
      <c r="F1686" s="3">
        <v>12955.24</v>
      </c>
      <c r="G1686" s="7" t="s">
        <v>369</v>
      </c>
    </row>
    <row r="1687" spans="1:7" x14ac:dyDescent="0.3">
      <c r="A1687" s="7" t="s">
        <v>2054</v>
      </c>
      <c r="B1687" s="7" t="s">
        <v>90</v>
      </c>
      <c r="C1687" s="7" t="s">
        <v>349</v>
      </c>
      <c r="D1687" s="9">
        <v>46070</v>
      </c>
      <c r="E1687" s="9">
        <v>46100</v>
      </c>
      <c r="F1687" s="3">
        <v>2483.81</v>
      </c>
      <c r="G1687" s="7" t="s">
        <v>367</v>
      </c>
    </row>
    <row r="1688" spans="1:7" x14ac:dyDescent="0.3">
      <c r="A1688" s="7" t="s">
        <v>2055</v>
      </c>
      <c r="B1688" s="7" t="s">
        <v>97</v>
      </c>
      <c r="C1688" s="7" t="s">
        <v>353</v>
      </c>
      <c r="D1688" s="9">
        <v>46000</v>
      </c>
      <c r="E1688" s="9">
        <v>46030</v>
      </c>
      <c r="F1688" s="3">
        <v>2733.04</v>
      </c>
      <c r="G1688" s="7" t="s">
        <v>367</v>
      </c>
    </row>
    <row r="1689" spans="1:7" x14ac:dyDescent="0.3">
      <c r="A1689" s="7" t="s">
        <v>2056</v>
      </c>
      <c r="B1689" s="7" t="s">
        <v>64</v>
      </c>
      <c r="C1689" s="7" t="s">
        <v>351</v>
      </c>
      <c r="D1689" s="9">
        <v>46024</v>
      </c>
      <c r="E1689" s="9">
        <v>46054</v>
      </c>
      <c r="F1689" s="3">
        <v>4396.04</v>
      </c>
      <c r="G1689" s="7" t="s">
        <v>369</v>
      </c>
    </row>
    <row r="1690" spans="1:7" x14ac:dyDescent="0.3">
      <c r="A1690" s="7" t="s">
        <v>2057</v>
      </c>
      <c r="B1690" s="7" t="s">
        <v>30</v>
      </c>
      <c r="C1690" s="7" t="s">
        <v>357</v>
      </c>
      <c r="D1690" s="9">
        <v>45987</v>
      </c>
      <c r="E1690" s="9">
        <v>46017</v>
      </c>
      <c r="F1690" s="3">
        <v>3940.12</v>
      </c>
      <c r="G1690" s="7" t="s">
        <v>367</v>
      </c>
    </row>
    <row r="1691" spans="1:7" x14ac:dyDescent="0.3">
      <c r="A1691" s="7" t="s">
        <v>2058</v>
      </c>
      <c r="B1691" s="7" t="s">
        <v>123</v>
      </c>
      <c r="C1691" s="7" t="s">
        <v>351</v>
      </c>
      <c r="D1691" s="9">
        <v>45991</v>
      </c>
      <c r="E1691" s="9">
        <v>46021</v>
      </c>
      <c r="F1691" s="3">
        <v>4518.7</v>
      </c>
      <c r="G1691" s="7" t="s">
        <v>367</v>
      </c>
    </row>
    <row r="1692" spans="1:7" x14ac:dyDescent="0.3">
      <c r="A1692" s="7" t="s">
        <v>2059</v>
      </c>
      <c r="B1692" s="7" t="s">
        <v>17</v>
      </c>
      <c r="C1692" s="7" t="s">
        <v>357</v>
      </c>
      <c r="D1692" s="9">
        <v>45969</v>
      </c>
      <c r="E1692" s="9">
        <v>45999</v>
      </c>
      <c r="F1692" s="3">
        <v>2952.87</v>
      </c>
      <c r="G1692" s="7" t="s">
        <v>367</v>
      </c>
    </row>
    <row r="1693" spans="1:7" x14ac:dyDescent="0.3">
      <c r="A1693" s="7" t="s">
        <v>2060</v>
      </c>
      <c r="B1693" s="7" t="s">
        <v>37</v>
      </c>
      <c r="C1693" s="7" t="s">
        <v>355</v>
      </c>
      <c r="D1693" s="9">
        <v>46010</v>
      </c>
      <c r="E1693" s="9">
        <v>46040</v>
      </c>
      <c r="F1693" s="3">
        <v>10198.469999999999</v>
      </c>
      <c r="G1693" s="7" t="s">
        <v>367</v>
      </c>
    </row>
    <row r="1694" spans="1:7" x14ac:dyDescent="0.3">
      <c r="A1694" s="7" t="s">
        <v>2061</v>
      </c>
      <c r="B1694" s="7" t="s">
        <v>41</v>
      </c>
      <c r="C1694" s="7" t="s">
        <v>355</v>
      </c>
      <c r="D1694" s="9">
        <v>46089</v>
      </c>
      <c r="E1694" s="9">
        <v>46119</v>
      </c>
      <c r="F1694" s="3">
        <v>11928.93</v>
      </c>
      <c r="G1694" s="7" t="s">
        <v>367</v>
      </c>
    </row>
    <row r="1695" spans="1:7" x14ac:dyDescent="0.3">
      <c r="A1695" s="7" t="s">
        <v>2062</v>
      </c>
      <c r="B1695" s="7" t="s">
        <v>73</v>
      </c>
      <c r="C1695" s="7" t="s">
        <v>349</v>
      </c>
      <c r="D1695" s="9">
        <v>46006</v>
      </c>
      <c r="E1695" s="9">
        <v>46036</v>
      </c>
      <c r="F1695" s="3">
        <v>3198.39</v>
      </c>
      <c r="G1695" s="7" t="s">
        <v>367</v>
      </c>
    </row>
    <row r="1696" spans="1:7" x14ac:dyDescent="0.3">
      <c r="A1696" s="7" t="s">
        <v>2063</v>
      </c>
      <c r="B1696" s="7" t="s">
        <v>67</v>
      </c>
      <c r="C1696" s="7" t="s">
        <v>349</v>
      </c>
      <c r="D1696" s="9">
        <v>46110</v>
      </c>
      <c r="E1696" s="9">
        <v>46140</v>
      </c>
      <c r="F1696" s="3">
        <v>2850.8</v>
      </c>
      <c r="G1696" s="7" t="s">
        <v>369</v>
      </c>
    </row>
    <row r="1697" spans="1:7" x14ac:dyDescent="0.3">
      <c r="A1697" s="7" t="s">
        <v>2064</v>
      </c>
      <c r="B1697" s="7" t="s">
        <v>50</v>
      </c>
      <c r="C1697" s="7" t="s">
        <v>353</v>
      </c>
      <c r="D1697" s="9">
        <v>46090</v>
      </c>
      <c r="E1697" s="9">
        <v>46120</v>
      </c>
      <c r="F1697" s="3">
        <v>2604.37</v>
      </c>
      <c r="G1697" s="7" t="s">
        <v>367</v>
      </c>
    </row>
    <row r="1698" spans="1:7" x14ac:dyDescent="0.3">
      <c r="A1698" s="7" t="s">
        <v>2065</v>
      </c>
      <c r="B1698" s="7" t="s">
        <v>85</v>
      </c>
      <c r="C1698" s="7" t="s">
        <v>353</v>
      </c>
      <c r="D1698" s="9">
        <v>45978</v>
      </c>
      <c r="E1698" s="9">
        <v>46008</v>
      </c>
      <c r="F1698" s="3">
        <v>2816.85</v>
      </c>
      <c r="G1698" s="7" t="s">
        <v>367</v>
      </c>
    </row>
    <row r="1699" spans="1:7" x14ac:dyDescent="0.3">
      <c r="A1699" s="7" t="s">
        <v>2066</v>
      </c>
      <c r="B1699" s="7" t="s">
        <v>7</v>
      </c>
      <c r="C1699" s="7" t="s">
        <v>349</v>
      </c>
      <c r="D1699" s="9">
        <v>45999</v>
      </c>
      <c r="E1699" s="9">
        <v>46029</v>
      </c>
      <c r="F1699" s="3">
        <v>3570.37</v>
      </c>
      <c r="G1699" s="7" t="s">
        <v>369</v>
      </c>
    </row>
    <row r="1700" spans="1:7" x14ac:dyDescent="0.3">
      <c r="A1700" s="7" t="s">
        <v>2067</v>
      </c>
      <c r="B1700" s="7" t="s">
        <v>24</v>
      </c>
      <c r="C1700" s="7" t="s">
        <v>355</v>
      </c>
      <c r="D1700" s="9">
        <v>45969</v>
      </c>
      <c r="E1700" s="9">
        <v>45999</v>
      </c>
      <c r="F1700" s="3">
        <v>13778.6</v>
      </c>
      <c r="G1700" s="7" t="s">
        <v>369</v>
      </c>
    </row>
    <row r="1701" spans="1:7" x14ac:dyDescent="0.3">
      <c r="A1701" s="7" t="s">
        <v>2068</v>
      </c>
      <c r="B1701" s="7" t="s">
        <v>96</v>
      </c>
      <c r="C1701" s="7" t="s">
        <v>349</v>
      </c>
      <c r="D1701" s="9">
        <v>46048</v>
      </c>
      <c r="E1701" s="9">
        <v>46078</v>
      </c>
      <c r="F1701" s="3">
        <v>3122.29</v>
      </c>
      <c r="G1701" s="7" t="s">
        <v>367</v>
      </c>
    </row>
    <row r="1702" spans="1:7" x14ac:dyDescent="0.3">
      <c r="A1702" s="7" t="s">
        <v>2069</v>
      </c>
      <c r="B1702" s="7" t="s">
        <v>67</v>
      </c>
      <c r="C1702" s="7" t="s">
        <v>351</v>
      </c>
      <c r="D1702" s="9">
        <v>46005</v>
      </c>
      <c r="E1702" s="9">
        <v>46035</v>
      </c>
      <c r="F1702" s="3">
        <v>4736.8599999999997</v>
      </c>
      <c r="G1702" s="7" t="s">
        <v>367</v>
      </c>
    </row>
    <row r="1703" spans="1:7" x14ac:dyDescent="0.3">
      <c r="A1703" s="7" t="s">
        <v>2070</v>
      </c>
      <c r="B1703" s="7" t="s">
        <v>111</v>
      </c>
      <c r="C1703" s="7" t="s">
        <v>357</v>
      </c>
      <c r="D1703" s="9">
        <v>46107</v>
      </c>
      <c r="E1703" s="9">
        <v>46137</v>
      </c>
      <c r="F1703" s="3">
        <v>3378.38</v>
      </c>
      <c r="G1703" s="7" t="s">
        <v>387</v>
      </c>
    </row>
    <row r="1704" spans="1:7" x14ac:dyDescent="0.3">
      <c r="A1704" s="7" t="s">
        <v>2071</v>
      </c>
      <c r="B1704" s="7" t="s">
        <v>101</v>
      </c>
      <c r="C1704" s="7" t="s">
        <v>353</v>
      </c>
      <c r="D1704" s="9">
        <v>46014</v>
      </c>
      <c r="E1704" s="9">
        <v>46044</v>
      </c>
      <c r="F1704" s="3">
        <v>2016.63</v>
      </c>
      <c r="G1704" s="7" t="s">
        <v>387</v>
      </c>
    </row>
    <row r="1705" spans="1:7" x14ac:dyDescent="0.3">
      <c r="A1705" s="7" t="s">
        <v>2072</v>
      </c>
      <c r="B1705" s="7" t="s">
        <v>101</v>
      </c>
      <c r="C1705" s="7" t="s">
        <v>353</v>
      </c>
      <c r="D1705" s="9">
        <v>46098</v>
      </c>
      <c r="E1705" s="9">
        <v>46128</v>
      </c>
      <c r="F1705" s="3">
        <v>2677.93</v>
      </c>
      <c r="G1705" s="7" t="s">
        <v>367</v>
      </c>
    </row>
    <row r="1706" spans="1:7" x14ac:dyDescent="0.3">
      <c r="A1706" s="7" t="s">
        <v>2073</v>
      </c>
      <c r="B1706" s="7" t="s">
        <v>67</v>
      </c>
      <c r="C1706" s="7" t="s">
        <v>357</v>
      </c>
      <c r="D1706" s="9">
        <v>46095</v>
      </c>
      <c r="E1706" s="9">
        <v>46125</v>
      </c>
      <c r="F1706" s="3">
        <v>3911.54</v>
      </c>
      <c r="G1706" s="7" t="s">
        <v>369</v>
      </c>
    </row>
    <row r="1707" spans="1:7" x14ac:dyDescent="0.3">
      <c r="A1707" s="7" t="s">
        <v>2074</v>
      </c>
      <c r="B1707" s="7" t="s">
        <v>84</v>
      </c>
      <c r="C1707" s="7" t="s">
        <v>359</v>
      </c>
      <c r="D1707" s="9">
        <v>46085</v>
      </c>
      <c r="E1707" s="9">
        <v>46115</v>
      </c>
      <c r="F1707" s="3">
        <v>2057.11</v>
      </c>
      <c r="G1707" s="7" t="s">
        <v>367</v>
      </c>
    </row>
    <row r="1708" spans="1:7" x14ac:dyDescent="0.3">
      <c r="A1708" s="7" t="s">
        <v>2075</v>
      </c>
      <c r="B1708" s="7" t="s">
        <v>107</v>
      </c>
      <c r="C1708" s="7" t="s">
        <v>351</v>
      </c>
      <c r="D1708" s="9">
        <v>46070</v>
      </c>
      <c r="E1708" s="9">
        <v>46100</v>
      </c>
      <c r="F1708" s="3">
        <v>5423.88</v>
      </c>
      <c r="G1708" s="7" t="s">
        <v>369</v>
      </c>
    </row>
    <row r="1709" spans="1:7" x14ac:dyDescent="0.3">
      <c r="A1709" s="7" t="s">
        <v>2076</v>
      </c>
      <c r="B1709" s="7" t="s">
        <v>45</v>
      </c>
      <c r="C1709" s="7" t="s">
        <v>359</v>
      </c>
      <c r="D1709" s="9">
        <v>46103</v>
      </c>
      <c r="E1709" s="9">
        <v>46133</v>
      </c>
      <c r="F1709" s="3">
        <v>1803.34</v>
      </c>
      <c r="G1709" s="7" t="s">
        <v>369</v>
      </c>
    </row>
    <row r="1710" spans="1:7" x14ac:dyDescent="0.3">
      <c r="A1710" s="7" t="s">
        <v>2077</v>
      </c>
      <c r="B1710" s="7" t="s">
        <v>64</v>
      </c>
      <c r="C1710" s="7" t="s">
        <v>359</v>
      </c>
      <c r="D1710" s="9">
        <v>46064</v>
      </c>
      <c r="E1710" s="9">
        <v>46094</v>
      </c>
      <c r="F1710" s="3">
        <v>2157.34</v>
      </c>
      <c r="G1710" s="7" t="s">
        <v>367</v>
      </c>
    </row>
    <row r="1711" spans="1:7" x14ac:dyDescent="0.3">
      <c r="A1711" s="7" t="s">
        <v>2078</v>
      </c>
      <c r="B1711" s="7" t="s">
        <v>28</v>
      </c>
      <c r="C1711" s="7" t="s">
        <v>349</v>
      </c>
      <c r="D1711" s="9">
        <v>46070</v>
      </c>
      <c r="E1711" s="9">
        <v>46100</v>
      </c>
      <c r="F1711" s="3">
        <v>2978.6</v>
      </c>
      <c r="G1711" s="7" t="s">
        <v>367</v>
      </c>
    </row>
    <row r="1712" spans="1:7" x14ac:dyDescent="0.3">
      <c r="A1712" s="7" t="s">
        <v>2079</v>
      </c>
      <c r="B1712" s="7" t="s">
        <v>10</v>
      </c>
      <c r="C1712" s="7" t="s">
        <v>359</v>
      </c>
      <c r="D1712" s="9">
        <v>45967</v>
      </c>
      <c r="E1712" s="9">
        <v>45997</v>
      </c>
      <c r="F1712" s="3">
        <v>1943.93</v>
      </c>
      <c r="G1712" s="7" t="s">
        <v>387</v>
      </c>
    </row>
    <row r="1713" spans="1:7" x14ac:dyDescent="0.3">
      <c r="A1713" s="7" t="s">
        <v>2080</v>
      </c>
      <c r="B1713" s="7" t="s">
        <v>35</v>
      </c>
      <c r="C1713" s="7" t="s">
        <v>351</v>
      </c>
      <c r="D1713" s="9">
        <v>46063</v>
      </c>
      <c r="E1713" s="9">
        <v>46093</v>
      </c>
      <c r="F1713" s="3">
        <v>5858.01</v>
      </c>
      <c r="G1713" s="7" t="s">
        <v>369</v>
      </c>
    </row>
    <row r="1714" spans="1:7" x14ac:dyDescent="0.3">
      <c r="A1714" s="7" t="s">
        <v>2081</v>
      </c>
      <c r="B1714" s="7" t="s">
        <v>24</v>
      </c>
      <c r="C1714" s="7" t="s">
        <v>359</v>
      </c>
      <c r="D1714" s="9">
        <v>46021</v>
      </c>
      <c r="E1714" s="9">
        <v>46051</v>
      </c>
      <c r="F1714" s="3">
        <v>1625.49</v>
      </c>
      <c r="G1714" s="7" t="s">
        <v>367</v>
      </c>
    </row>
    <row r="1715" spans="1:7" x14ac:dyDescent="0.3">
      <c r="A1715" s="7" t="s">
        <v>2082</v>
      </c>
      <c r="B1715" s="7" t="s">
        <v>49</v>
      </c>
      <c r="C1715" s="7" t="s">
        <v>357</v>
      </c>
      <c r="D1715" s="9">
        <v>46025</v>
      </c>
      <c r="E1715" s="9">
        <v>46055</v>
      </c>
      <c r="F1715" s="3">
        <v>3686.97</v>
      </c>
      <c r="G1715" s="7" t="s">
        <v>369</v>
      </c>
    </row>
    <row r="1716" spans="1:7" x14ac:dyDescent="0.3">
      <c r="A1716" s="7" t="s">
        <v>2083</v>
      </c>
      <c r="B1716" s="7" t="s">
        <v>50</v>
      </c>
      <c r="C1716" s="7" t="s">
        <v>351</v>
      </c>
      <c r="D1716" s="9">
        <v>46043</v>
      </c>
      <c r="E1716" s="9">
        <v>46073</v>
      </c>
      <c r="F1716" s="3">
        <v>5863.56</v>
      </c>
      <c r="G1716" s="7" t="s">
        <v>367</v>
      </c>
    </row>
    <row r="1717" spans="1:7" x14ac:dyDescent="0.3">
      <c r="A1717" s="7" t="s">
        <v>2084</v>
      </c>
      <c r="B1717" s="7" t="s">
        <v>90</v>
      </c>
      <c r="C1717" s="7" t="s">
        <v>355</v>
      </c>
      <c r="D1717" s="9">
        <v>46043</v>
      </c>
      <c r="E1717" s="9">
        <v>46073</v>
      </c>
      <c r="F1717" s="3">
        <v>13968.8</v>
      </c>
      <c r="G1717" s="7" t="s">
        <v>367</v>
      </c>
    </row>
    <row r="1718" spans="1:7" x14ac:dyDescent="0.3">
      <c r="A1718" s="7" t="s">
        <v>2085</v>
      </c>
      <c r="B1718" s="7" t="s">
        <v>35</v>
      </c>
      <c r="C1718" s="7" t="s">
        <v>359</v>
      </c>
      <c r="D1718" s="9">
        <v>45993</v>
      </c>
      <c r="E1718" s="9">
        <v>46023</v>
      </c>
      <c r="F1718" s="3">
        <v>2005.26</v>
      </c>
      <c r="G1718" s="7" t="s">
        <v>369</v>
      </c>
    </row>
    <row r="1719" spans="1:7" x14ac:dyDescent="0.3">
      <c r="A1719" s="7" t="s">
        <v>2086</v>
      </c>
      <c r="B1719" s="7" t="s">
        <v>101</v>
      </c>
      <c r="C1719" s="7" t="s">
        <v>353</v>
      </c>
      <c r="D1719" s="9">
        <v>46055</v>
      </c>
      <c r="E1719" s="9">
        <v>46085</v>
      </c>
      <c r="F1719" s="3">
        <v>2115.69</v>
      </c>
      <c r="G1719" s="7" t="s">
        <v>367</v>
      </c>
    </row>
    <row r="1720" spans="1:7" x14ac:dyDescent="0.3">
      <c r="A1720" s="7" t="s">
        <v>2087</v>
      </c>
      <c r="B1720" s="7" t="s">
        <v>23</v>
      </c>
      <c r="C1720" s="7" t="s">
        <v>357</v>
      </c>
      <c r="D1720" s="9">
        <v>46093</v>
      </c>
      <c r="E1720" s="9">
        <v>46123</v>
      </c>
      <c r="F1720" s="3">
        <v>4112.09</v>
      </c>
      <c r="G1720" s="7" t="s">
        <v>367</v>
      </c>
    </row>
    <row r="1721" spans="1:7" x14ac:dyDescent="0.3">
      <c r="A1721" s="7" t="s">
        <v>2088</v>
      </c>
      <c r="B1721" s="7" t="s">
        <v>14</v>
      </c>
      <c r="C1721" s="7" t="s">
        <v>353</v>
      </c>
      <c r="D1721" s="9">
        <v>46017</v>
      </c>
      <c r="E1721" s="9">
        <v>46047</v>
      </c>
      <c r="F1721" s="3">
        <v>2954.07</v>
      </c>
      <c r="G1721" s="7" t="s">
        <v>367</v>
      </c>
    </row>
    <row r="1722" spans="1:7" x14ac:dyDescent="0.3">
      <c r="A1722" s="7" t="s">
        <v>2089</v>
      </c>
      <c r="B1722" s="7" t="s">
        <v>47</v>
      </c>
      <c r="C1722" s="7" t="s">
        <v>357</v>
      </c>
      <c r="D1722" s="9">
        <v>46073</v>
      </c>
      <c r="E1722" s="9">
        <v>46103</v>
      </c>
      <c r="F1722" s="3">
        <v>3549.84</v>
      </c>
      <c r="G1722" s="7" t="s">
        <v>387</v>
      </c>
    </row>
    <row r="1723" spans="1:7" x14ac:dyDescent="0.3">
      <c r="A1723" s="7" t="s">
        <v>2090</v>
      </c>
      <c r="B1723" s="7" t="s">
        <v>84</v>
      </c>
      <c r="C1723" s="7" t="s">
        <v>353</v>
      </c>
      <c r="D1723" s="9">
        <v>45980</v>
      </c>
      <c r="E1723" s="9">
        <v>46010</v>
      </c>
      <c r="F1723" s="3">
        <v>2797.52</v>
      </c>
      <c r="G1723" s="7" t="s">
        <v>367</v>
      </c>
    </row>
    <row r="1724" spans="1:7" x14ac:dyDescent="0.3">
      <c r="A1724" s="7" t="s">
        <v>2091</v>
      </c>
      <c r="B1724" s="7" t="s">
        <v>65</v>
      </c>
      <c r="C1724" s="7" t="s">
        <v>357</v>
      </c>
      <c r="D1724" s="9">
        <v>45995</v>
      </c>
      <c r="E1724" s="9">
        <v>46025</v>
      </c>
      <c r="F1724" s="3">
        <v>3111</v>
      </c>
      <c r="G1724" s="7" t="s">
        <v>367</v>
      </c>
    </row>
    <row r="1725" spans="1:7" x14ac:dyDescent="0.3">
      <c r="A1725" s="7" t="s">
        <v>2092</v>
      </c>
      <c r="B1725" s="7" t="s">
        <v>65</v>
      </c>
      <c r="C1725" s="7" t="s">
        <v>353</v>
      </c>
      <c r="D1725" s="9">
        <v>46004</v>
      </c>
      <c r="E1725" s="9">
        <v>46034</v>
      </c>
      <c r="F1725" s="3">
        <v>2144.6999999999998</v>
      </c>
      <c r="G1725" s="7" t="s">
        <v>367</v>
      </c>
    </row>
    <row r="1726" spans="1:7" x14ac:dyDescent="0.3">
      <c r="A1726" s="7" t="s">
        <v>2093</v>
      </c>
      <c r="B1726" s="7" t="s">
        <v>109</v>
      </c>
      <c r="C1726" s="7" t="s">
        <v>351</v>
      </c>
      <c r="D1726" s="9">
        <v>46037</v>
      </c>
      <c r="E1726" s="9">
        <v>46067</v>
      </c>
      <c r="F1726" s="3">
        <v>5202.93</v>
      </c>
      <c r="G1726" s="7" t="s">
        <v>367</v>
      </c>
    </row>
    <row r="1727" spans="1:7" x14ac:dyDescent="0.3">
      <c r="A1727" s="7" t="s">
        <v>2094</v>
      </c>
      <c r="B1727" s="7" t="s">
        <v>95</v>
      </c>
      <c r="C1727" s="7" t="s">
        <v>359</v>
      </c>
      <c r="D1727" s="9">
        <v>46030</v>
      </c>
      <c r="E1727" s="9">
        <v>46060</v>
      </c>
      <c r="F1727" s="3">
        <v>1464.73</v>
      </c>
      <c r="G1727" s="7" t="s">
        <v>367</v>
      </c>
    </row>
    <row r="1728" spans="1:7" x14ac:dyDescent="0.3">
      <c r="A1728" s="7" t="s">
        <v>2095</v>
      </c>
      <c r="B1728" s="7" t="s">
        <v>87</v>
      </c>
      <c r="C1728" s="7" t="s">
        <v>349</v>
      </c>
      <c r="D1728" s="9">
        <v>46064</v>
      </c>
      <c r="E1728" s="9">
        <v>46094</v>
      </c>
      <c r="F1728" s="3">
        <v>2728.14</v>
      </c>
      <c r="G1728" s="7" t="s">
        <v>367</v>
      </c>
    </row>
    <row r="1729" spans="1:7" x14ac:dyDescent="0.3">
      <c r="A1729" s="7" t="s">
        <v>2096</v>
      </c>
      <c r="B1729" s="7" t="s">
        <v>110</v>
      </c>
      <c r="C1729" s="7" t="s">
        <v>351</v>
      </c>
      <c r="D1729" s="9">
        <v>46024</v>
      </c>
      <c r="E1729" s="9">
        <v>46054</v>
      </c>
      <c r="F1729" s="3">
        <v>4990.05</v>
      </c>
      <c r="G1729" s="7" t="s">
        <v>367</v>
      </c>
    </row>
    <row r="1730" spans="1:7" x14ac:dyDescent="0.3">
      <c r="A1730" s="7" t="s">
        <v>2097</v>
      </c>
      <c r="B1730" s="7" t="s">
        <v>110</v>
      </c>
      <c r="C1730" s="7" t="s">
        <v>353</v>
      </c>
      <c r="D1730" s="9">
        <v>46078</v>
      </c>
      <c r="E1730" s="9">
        <v>46108</v>
      </c>
      <c r="F1730" s="3">
        <v>2152.6999999999998</v>
      </c>
      <c r="G1730" s="7" t="s">
        <v>369</v>
      </c>
    </row>
    <row r="1731" spans="1:7" x14ac:dyDescent="0.3">
      <c r="A1731" s="7" t="s">
        <v>2098</v>
      </c>
      <c r="B1731" s="7" t="s">
        <v>100</v>
      </c>
      <c r="C1731" s="7" t="s">
        <v>351</v>
      </c>
      <c r="D1731" s="9">
        <v>46023</v>
      </c>
      <c r="E1731" s="9">
        <v>46053</v>
      </c>
      <c r="F1731" s="3">
        <v>5400.81</v>
      </c>
      <c r="G1731" s="7" t="s">
        <v>369</v>
      </c>
    </row>
    <row r="1732" spans="1:7" x14ac:dyDescent="0.3">
      <c r="A1732" s="7" t="s">
        <v>2099</v>
      </c>
      <c r="B1732" s="7" t="s">
        <v>27</v>
      </c>
      <c r="C1732" s="7" t="s">
        <v>355</v>
      </c>
      <c r="D1732" s="9">
        <v>46090</v>
      </c>
      <c r="E1732" s="9">
        <v>46120</v>
      </c>
      <c r="F1732" s="3">
        <v>11035.69</v>
      </c>
      <c r="G1732" s="7" t="s">
        <v>369</v>
      </c>
    </row>
    <row r="1733" spans="1:7" x14ac:dyDescent="0.3">
      <c r="A1733" s="7" t="s">
        <v>2100</v>
      </c>
      <c r="B1733" s="7" t="s">
        <v>51</v>
      </c>
      <c r="C1733" s="7" t="s">
        <v>349</v>
      </c>
      <c r="D1733" s="9">
        <v>46040</v>
      </c>
      <c r="E1733" s="9">
        <v>46070</v>
      </c>
      <c r="F1733" s="3">
        <v>3057.53</v>
      </c>
      <c r="G1733" s="7" t="s">
        <v>367</v>
      </c>
    </row>
    <row r="1734" spans="1:7" x14ac:dyDescent="0.3">
      <c r="A1734" s="7" t="s">
        <v>2101</v>
      </c>
      <c r="B1734" s="7" t="s">
        <v>96</v>
      </c>
      <c r="C1734" s="7" t="s">
        <v>355</v>
      </c>
      <c r="D1734" s="9">
        <v>46068</v>
      </c>
      <c r="E1734" s="9">
        <v>46098</v>
      </c>
      <c r="F1734" s="3">
        <v>11477.1</v>
      </c>
      <c r="G1734" s="7" t="s">
        <v>367</v>
      </c>
    </row>
    <row r="1735" spans="1:7" x14ac:dyDescent="0.3">
      <c r="A1735" s="7" t="s">
        <v>2102</v>
      </c>
      <c r="B1735" s="7" t="s">
        <v>48</v>
      </c>
      <c r="C1735" s="7" t="s">
        <v>351</v>
      </c>
      <c r="D1735" s="9">
        <v>46091</v>
      </c>
      <c r="E1735" s="9">
        <v>46121</v>
      </c>
      <c r="F1735" s="3">
        <v>5402.22</v>
      </c>
      <c r="G1735" s="7" t="s">
        <v>367</v>
      </c>
    </row>
    <row r="1736" spans="1:7" x14ac:dyDescent="0.3">
      <c r="A1736" s="7" t="s">
        <v>2103</v>
      </c>
      <c r="B1736" s="7" t="s">
        <v>90</v>
      </c>
      <c r="C1736" s="7" t="s">
        <v>357</v>
      </c>
      <c r="D1736" s="9">
        <v>46081</v>
      </c>
      <c r="E1736" s="9">
        <v>46111</v>
      </c>
      <c r="F1736" s="3">
        <v>4012.2</v>
      </c>
      <c r="G1736" s="7" t="s">
        <v>367</v>
      </c>
    </row>
    <row r="1737" spans="1:7" x14ac:dyDescent="0.3">
      <c r="A1737" s="7" t="s">
        <v>2104</v>
      </c>
      <c r="B1737" s="7" t="s">
        <v>121</v>
      </c>
      <c r="C1737" s="7" t="s">
        <v>351</v>
      </c>
      <c r="D1737" s="9">
        <v>46098</v>
      </c>
      <c r="E1737" s="9">
        <v>46128</v>
      </c>
      <c r="F1737" s="3">
        <v>5154.3100000000004</v>
      </c>
      <c r="G1737" s="7" t="s">
        <v>367</v>
      </c>
    </row>
    <row r="1738" spans="1:7" x14ac:dyDescent="0.3">
      <c r="A1738" s="7" t="s">
        <v>2105</v>
      </c>
      <c r="B1738" s="7" t="s">
        <v>90</v>
      </c>
      <c r="C1738" s="7" t="s">
        <v>351</v>
      </c>
      <c r="D1738" s="9">
        <v>46081</v>
      </c>
      <c r="E1738" s="9">
        <v>46111</v>
      </c>
      <c r="F1738" s="3">
        <v>4419.53</v>
      </c>
      <c r="G1738" s="7" t="s">
        <v>367</v>
      </c>
    </row>
    <row r="1739" spans="1:7" x14ac:dyDescent="0.3">
      <c r="A1739" s="7" t="s">
        <v>2106</v>
      </c>
      <c r="B1739" s="7" t="s">
        <v>107</v>
      </c>
      <c r="C1739" s="7" t="s">
        <v>349</v>
      </c>
      <c r="D1739" s="9">
        <v>46033</v>
      </c>
      <c r="E1739" s="9">
        <v>46063</v>
      </c>
      <c r="F1739" s="3">
        <v>2834.67</v>
      </c>
      <c r="G1739" s="7" t="s">
        <v>367</v>
      </c>
    </row>
    <row r="1740" spans="1:7" x14ac:dyDescent="0.3">
      <c r="A1740" s="7" t="s">
        <v>2107</v>
      </c>
      <c r="B1740" s="7" t="s">
        <v>14</v>
      </c>
      <c r="C1740" s="7" t="s">
        <v>351</v>
      </c>
      <c r="D1740" s="9">
        <v>45974</v>
      </c>
      <c r="E1740" s="9">
        <v>46004</v>
      </c>
      <c r="F1740" s="3">
        <v>4753.1099999999997</v>
      </c>
      <c r="G1740" s="7" t="s">
        <v>369</v>
      </c>
    </row>
    <row r="1741" spans="1:7" x14ac:dyDescent="0.3">
      <c r="A1741" s="7" t="s">
        <v>2108</v>
      </c>
      <c r="B1741" s="7" t="s">
        <v>22</v>
      </c>
      <c r="C1741" s="7" t="s">
        <v>349</v>
      </c>
      <c r="D1741" s="9">
        <v>46097</v>
      </c>
      <c r="E1741" s="9">
        <v>46127</v>
      </c>
      <c r="F1741" s="3">
        <v>2826.7</v>
      </c>
      <c r="G1741" s="7" t="s">
        <v>369</v>
      </c>
    </row>
    <row r="1742" spans="1:7" x14ac:dyDescent="0.3">
      <c r="A1742" s="7" t="s">
        <v>2109</v>
      </c>
      <c r="B1742" s="7" t="s">
        <v>87</v>
      </c>
      <c r="C1742" s="7" t="s">
        <v>357</v>
      </c>
      <c r="D1742" s="9">
        <v>46057</v>
      </c>
      <c r="E1742" s="9">
        <v>46087</v>
      </c>
      <c r="F1742" s="3">
        <v>3710.14</v>
      </c>
      <c r="G1742" s="7" t="s">
        <v>387</v>
      </c>
    </row>
    <row r="1743" spans="1:7" x14ac:dyDescent="0.3">
      <c r="A1743" s="7" t="s">
        <v>2110</v>
      </c>
      <c r="B1743" s="7" t="s">
        <v>69</v>
      </c>
      <c r="C1743" s="7" t="s">
        <v>359</v>
      </c>
      <c r="D1743" s="9">
        <v>46024</v>
      </c>
      <c r="E1743" s="9">
        <v>46054</v>
      </c>
      <c r="F1743" s="3">
        <v>1730.88</v>
      </c>
      <c r="G1743" s="7" t="s">
        <v>367</v>
      </c>
    </row>
    <row r="1744" spans="1:7" x14ac:dyDescent="0.3">
      <c r="A1744" s="7" t="s">
        <v>2111</v>
      </c>
      <c r="B1744" s="7" t="s">
        <v>106</v>
      </c>
      <c r="C1744" s="7" t="s">
        <v>353</v>
      </c>
      <c r="D1744" s="9">
        <v>46040</v>
      </c>
      <c r="E1744" s="9">
        <v>46070</v>
      </c>
      <c r="F1744" s="3">
        <v>2687.98</v>
      </c>
      <c r="G1744" s="7" t="s">
        <v>367</v>
      </c>
    </row>
    <row r="1745" spans="1:7" x14ac:dyDescent="0.3">
      <c r="A1745" s="7" t="s">
        <v>2112</v>
      </c>
      <c r="B1745" s="7" t="s">
        <v>66</v>
      </c>
      <c r="C1745" s="7" t="s">
        <v>359</v>
      </c>
      <c r="D1745" s="9">
        <v>45982</v>
      </c>
      <c r="E1745" s="9">
        <v>46012</v>
      </c>
      <c r="F1745" s="3">
        <v>2153.64</v>
      </c>
      <c r="G1745" s="7" t="s">
        <v>367</v>
      </c>
    </row>
    <row r="1746" spans="1:7" x14ac:dyDescent="0.3">
      <c r="A1746" s="7" t="s">
        <v>2113</v>
      </c>
      <c r="B1746" s="7" t="s">
        <v>8</v>
      </c>
      <c r="C1746" s="7" t="s">
        <v>359</v>
      </c>
      <c r="D1746" s="9">
        <v>46049</v>
      </c>
      <c r="E1746" s="9">
        <v>46079</v>
      </c>
      <c r="F1746" s="3">
        <v>1715.11</v>
      </c>
      <c r="G1746" s="7" t="s">
        <v>367</v>
      </c>
    </row>
    <row r="1747" spans="1:7" x14ac:dyDescent="0.3">
      <c r="A1747" s="7" t="s">
        <v>2114</v>
      </c>
      <c r="B1747" s="7" t="s">
        <v>123</v>
      </c>
      <c r="C1747" s="7" t="s">
        <v>349</v>
      </c>
      <c r="D1747" s="9">
        <v>45991</v>
      </c>
      <c r="E1747" s="9">
        <v>46021</v>
      </c>
      <c r="F1747" s="3">
        <v>2539.9499999999998</v>
      </c>
      <c r="G1747" s="7" t="s">
        <v>367</v>
      </c>
    </row>
    <row r="1748" spans="1:7" x14ac:dyDescent="0.3">
      <c r="A1748" s="7" t="s">
        <v>2115</v>
      </c>
      <c r="B1748" s="7" t="s">
        <v>68</v>
      </c>
      <c r="C1748" s="7" t="s">
        <v>357</v>
      </c>
      <c r="D1748" s="9">
        <v>46015</v>
      </c>
      <c r="E1748" s="9">
        <v>46045</v>
      </c>
      <c r="F1748" s="3">
        <v>3114.91</v>
      </c>
      <c r="G1748" s="7" t="s">
        <v>387</v>
      </c>
    </row>
    <row r="1749" spans="1:7" x14ac:dyDescent="0.3">
      <c r="A1749" s="7" t="s">
        <v>2116</v>
      </c>
      <c r="B1749" s="7" t="s">
        <v>68</v>
      </c>
      <c r="C1749" s="7" t="s">
        <v>353</v>
      </c>
      <c r="D1749" s="9">
        <v>46089</v>
      </c>
      <c r="E1749" s="9">
        <v>46119</v>
      </c>
      <c r="F1749" s="3">
        <v>2693.73</v>
      </c>
      <c r="G1749" s="7" t="s">
        <v>367</v>
      </c>
    </row>
    <row r="1750" spans="1:7" x14ac:dyDescent="0.3">
      <c r="A1750" s="7" t="s">
        <v>2117</v>
      </c>
      <c r="B1750" s="7" t="s">
        <v>48</v>
      </c>
      <c r="C1750" s="7" t="s">
        <v>359</v>
      </c>
      <c r="D1750" s="9">
        <v>46045</v>
      </c>
      <c r="E1750" s="9">
        <v>46075</v>
      </c>
      <c r="F1750" s="3">
        <v>1945.97</v>
      </c>
      <c r="G1750" s="7" t="s">
        <v>367</v>
      </c>
    </row>
    <row r="1751" spans="1:7" x14ac:dyDescent="0.3">
      <c r="A1751" s="7" t="s">
        <v>2118</v>
      </c>
      <c r="B1751" s="7" t="s">
        <v>111</v>
      </c>
      <c r="C1751" s="7" t="s">
        <v>349</v>
      </c>
      <c r="D1751" s="9">
        <v>46057</v>
      </c>
      <c r="E1751" s="9">
        <v>46087</v>
      </c>
      <c r="F1751" s="3">
        <v>3256.52</v>
      </c>
      <c r="G1751" s="7" t="s">
        <v>367</v>
      </c>
    </row>
    <row r="1752" spans="1:7" x14ac:dyDescent="0.3">
      <c r="A1752" s="7" t="s">
        <v>2119</v>
      </c>
      <c r="B1752" s="7" t="s">
        <v>74</v>
      </c>
      <c r="C1752" s="7" t="s">
        <v>359</v>
      </c>
      <c r="D1752" s="9">
        <v>45997</v>
      </c>
      <c r="E1752" s="9">
        <v>46027</v>
      </c>
      <c r="F1752" s="3">
        <v>1454.22</v>
      </c>
      <c r="G1752" s="7" t="s">
        <v>369</v>
      </c>
    </row>
    <row r="1753" spans="1:7" x14ac:dyDescent="0.3">
      <c r="A1753" s="7" t="s">
        <v>2120</v>
      </c>
      <c r="B1753" s="7" t="s">
        <v>111</v>
      </c>
      <c r="C1753" s="7" t="s">
        <v>355</v>
      </c>
      <c r="D1753" s="9">
        <v>45966</v>
      </c>
      <c r="E1753" s="9">
        <v>45996</v>
      </c>
      <c r="F1753" s="3">
        <v>9906.8700000000008</v>
      </c>
      <c r="G1753" s="7" t="s">
        <v>367</v>
      </c>
    </row>
    <row r="1754" spans="1:7" x14ac:dyDescent="0.3">
      <c r="A1754" s="7" t="s">
        <v>2121</v>
      </c>
      <c r="B1754" s="7" t="s">
        <v>121</v>
      </c>
      <c r="C1754" s="7" t="s">
        <v>359</v>
      </c>
      <c r="D1754" s="9">
        <v>46023</v>
      </c>
      <c r="E1754" s="9">
        <v>46053</v>
      </c>
      <c r="F1754" s="3">
        <v>1529.34</v>
      </c>
      <c r="G1754" s="7" t="s">
        <v>387</v>
      </c>
    </row>
    <row r="1755" spans="1:7" x14ac:dyDescent="0.3">
      <c r="A1755" s="7" t="s">
        <v>2122</v>
      </c>
      <c r="B1755" s="7" t="s">
        <v>78</v>
      </c>
      <c r="C1755" s="7" t="s">
        <v>349</v>
      </c>
      <c r="D1755" s="9">
        <v>45975</v>
      </c>
      <c r="E1755" s="9">
        <v>46005</v>
      </c>
      <c r="F1755" s="3">
        <v>2616.8000000000002</v>
      </c>
      <c r="G1755" s="7" t="s">
        <v>367</v>
      </c>
    </row>
    <row r="1756" spans="1:7" x14ac:dyDescent="0.3">
      <c r="A1756" s="7" t="s">
        <v>2123</v>
      </c>
      <c r="B1756" s="7" t="s">
        <v>33</v>
      </c>
      <c r="C1756" s="7" t="s">
        <v>355</v>
      </c>
      <c r="D1756" s="9">
        <v>46014</v>
      </c>
      <c r="E1756" s="9">
        <v>46044</v>
      </c>
      <c r="F1756" s="3">
        <v>13442.46</v>
      </c>
      <c r="G1756" s="7" t="s">
        <v>367</v>
      </c>
    </row>
    <row r="1757" spans="1:7" x14ac:dyDescent="0.3">
      <c r="A1757" s="7" t="s">
        <v>2124</v>
      </c>
      <c r="B1757" s="7" t="s">
        <v>11</v>
      </c>
      <c r="C1757" s="7" t="s">
        <v>359</v>
      </c>
      <c r="D1757" s="9">
        <v>46015</v>
      </c>
      <c r="E1757" s="9">
        <v>46045</v>
      </c>
      <c r="F1757" s="3">
        <v>1556.07</v>
      </c>
      <c r="G1757" s="7" t="s">
        <v>369</v>
      </c>
    </row>
    <row r="1758" spans="1:7" x14ac:dyDescent="0.3">
      <c r="A1758" s="7" t="s">
        <v>2125</v>
      </c>
      <c r="B1758" s="7" t="s">
        <v>76</v>
      </c>
      <c r="C1758" s="7" t="s">
        <v>349</v>
      </c>
      <c r="D1758" s="9">
        <v>45981</v>
      </c>
      <c r="E1758" s="9">
        <v>46011</v>
      </c>
      <c r="F1758" s="3">
        <v>3575.91</v>
      </c>
      <c r="G1758" s="7" t="s">
        <v>367</v>
      </c>
    </row>
    <row r="1759" spans="1:7" x14ac:dyDescent="0.3">
      <c r="A1759" s="7" t="s">
        <v>2126</v>
      </c>
      <c r="B1759" s="7" t="s">
        <v>12</v>
      </c>
      <c r="C1759" s="7" t="s">
        <v>351</v>
      </c>
      <c r="D1759" s="9">
        <v>46085</v>
      </c>
      <c r="E1759" s="9">
        <v>46115</v>
      </c>
      <c r="F1759" s="3">
        <v>4846.1000000000004</v>
      </c>
      <c r="G1759" s="7" t="s">
        <v>367</v>
      </c>
    </row>
    <row r="1760" spans="1:7" x14ac:dyDescent="0.3">
      <c r="A1760" s="7" t="s">
        <v>2127</v>
      </c>
      <c r="B1760" s="7" t="s">
        <v>24</v>
      </c>
      <c r="C1760" s="7" t="s">
        <v>357</v>
      </c>
      <c r="D1760" s="9">
        <v>45968</v>
      </c>
      <c r="E1760" s="9">
        <v>45998</v>
      </c>
      <c r="F1760" s="3">
        <v>4066.47</v>
      </c>
      <c r="G1760" s="7" t="s">
        <v>367</v>
      </c>
    </row>
    <row r="1761" spans="1:7" x14ac:dyDescent="0.3">
      <c r="A1761" s="7" t="s">
        <v>2128</v>
      </c>
      <c r="B1761" s="7" t="s">
        <v>52</v>
      </c>
      <c r="C1761" s="7" t="s">
        <v>357</v>
      </c>
      <c r="D1761" s="9">
        <v>46091</v>
      </c>
      <c r="E1761" s="9">
        <v>46121</v>
      </c>
      <c r="F1761" s="3">
        <v>3486.62</v>
      </c>
      <c r="G1761" s="7" t="s">
        <v>369</v>
      </c>
    </row>
    <row r="1762" spans="1:7" x14ac:dyDescent="0.3">
      <c r="A1762" s="7" t="s">
        <v>2129</v>
      </c>
      <c r="B1762" s="7" t="s">
        <v>111</v>
      </c>
      <c r="C1762" s="7" t="s">
        <v>357</v>
      </c>
      <c r="D1762" s="9">
        <v>46021</v>
      </c>
      <c r="E1762" s="9">
        <v>46051</v>
      </c>
      <c r="F1762" s="3">
        <v>3553.49</v>
      </c>
      <c r="G1762" s="7" t="s">
        <v>367</v>
      </c>
    </row>
    <row r="1763" spans="1:7" x14ac:dyDescent="0.3">
      <c r="A1763" s="7" t="s">
        <v>2130</v>
      </c>
      <c r="B1763" s="7" t="s">
        <v>113</v>
      </c>
      <c r="C1763" s="7" t="s">
        <v>349</v>
      </c>
      <c r="D1763" s="9">
        <v>46092</v>
      </c>
      <c r="E1763" s="9">
        <v>46122</v>
      </c>
      <c r="F1763" s="3">
        <v>2684.52</v>
      </c>
      <c r="G1763" s="7" t="s">
        <v>367</v>
      </c>
    </row>
    <row r="1764" spans="1:7" x14ac:dyDescent="0.3">
      <c r="A1764" s="7" t="s">
        <v>2131</v>
      </c>
      <c r="B1764" s="7" t="s">
        <v>52</v>
      </c>
      <c r="C1764" s="7" t="s">
        <v>351</v>
      </c>
      <c r="D1764" s="9">
        <v>46051</v>
      </c>
      <c r="E1764" s="9">
        <v>46081</v>
      </c>
      <c r="F1764" s="3">
        <v>5914.85</v>
      </c>
      <c r="G1764" s="7" t="s">
        <v>367</v>
      </c>
    </row>
    <row r="1765" spans="1:7" x14ac:dyDescent="0.3">
      <c r="A1765" s="7" t="s">
        <v>2132</v>
      </c>
      <c r="B1765" s="7" t="s">
        <v>39</v>
      </c>
      <c r="C1765" s="7" t="s">
        <v>353</v>
      </c>
      <c r="D1765" s="9">
        <v>45965</v>
      </c>
      <c r="E1765" s="9">
        <v>45995</v>
      </c>
      <c r="F1765" s="3">
        <v>2128.4899999999998</v>
      </c>
      <c r="G1765" s="7" t="s">
        <v>367</v>
      </c>
    </row>
    <row r="1766" spans="1:7" x14ac:dyDescent="0.3">
      <c r="A1766" s="7" t="s">
        <v>2133</v>
      </c>
      <c r="B1766" s="7" t="s">
        <v>39</v>
      </c>
      <c r="C1766" s="7" t="s">
        <v>353</v>
      </c>
      <c r="D1766" s="9">
        <v>46009</v>
      </c>
      <c r="E1766" s="9">
        <v>46039</v>
      </c>
      <c r="F1766" s="3">
        <v>2381.7800000000002</v>
      </c>
      <c r="G1766" s="7" t="s">
        <v>367</v>
      </c>
    </row>
    <row r="1767" spans="1:7" x14ac:dyDescent="0.3">
      <c r="A1767" s="7" t="s">
        <v>2134</v>
      </c>
      <c r="B1767" s="7" t="s">
        <v>16</v>
      </c>
      <c r="C1767" s="7" t="s">
        <v>359</v>
      </c>
      <c r="D1767" s="9">
        <v>46002</v>
      </c>
      <c r="E1767" s="9">
        <v>46032</v>
      </c>
      <c r="F1767" s="3">
        <v>1746.25</v>
      </c>
      <c r="G1767" s="7" t="s">
        <v>367</v>
      </c>
    </row>
    <row r="1768" spans="1:7" x14ac:dyDescent="0.3">
      <c r="A1768" s="7" t="s">
        <v>2135</v>
      </c>
      <c r="B1768" s="7" t="s">
        <v>98</v>
      </c>
      <c r="C1768" s="7" t="s">
        <v>359</v>
      </c>
      <c r="D1768" s="9">
        <v>46112</v>
      </c>
      <c r="E1768" s="9">
        <v>46142</v>
      </c>
      <c r="F1768" s="3">
        <v>1967.53</v>
      </c>
      <c r="G1768" s="7" t="s">
        <v>367</v>
      </c>
    </row>
    <row r="1769" spans="1:7" x14ac:dyDescent="0.3">
      <c r="A1769" s="7" t="s">
        <v>2136</v>
      </c>
      <c r="B1769" s="7" t="s">
        <v>60</v>
      </c>
      <c r="C1769" s="7" t="s">
        <v>353</v>
      </c>
      <c r="D1769" s="9">
        <v>46033</v>
      </c>
      <c r="E1769" s="9">
        <v>46063</v>
      </c>
      <c r="F1769" s="3">
        <v>2563.64</v>
      </c>
      <c r="G1769" s="7" t="s">
        <v>367</v>
      </c>
    </row>
    <row r="1770" spans="1:7" x14ac:dyDescent="0.3">
      <c r="A1770" s="7" t="s">
        <v>2137</v>
      </c>
      <c r="B1770" s="7" t="s">
        <v>84</v>
      </c>
      <c r="C1770" s="7" t="s">
        <v>351</v>
      </c>
      <c r="D1770" s="9">
        <v>46102</v>
      </c>
      <c r="E1770" s="9">
        <v>46132</v>
      </c>
      <c r="F1770" s="3">
        <v>4632.72</v>
      </c>
      <c r="G1770" s="7" t="s">
        <v>367</v>
      </c>
    </row>
    <row r="1771" spans="1:7" x14ac:dyDescent="0.3">
      <c r="A1771" s="7" t="s">
        <v>2138</v>
      </c>
      <c r="B1771" s="7" t="s">
        <v>77</v>
      </c>
      <c r="C1771" s="7" t="s">
        <v>351</v>
      </c>
      <c r="D1771" s="9">
        <v>45998</v>
      </c>
      <c r="E1771" s="9">
        <v>46028</v>
      </c>
      <c r="F1771" s="3">
        <v>4155.05</v>
      </c>
      <c r="G1771" s="7" t="s">
        <v>367</v>
      </c>
    </row>
    <row r="1772" spans="1:7" x14ac:dyDescent="0.3">
      <c r="A1772" s="7" t="s">
        <v>2139</v>
      </c>
      <c r="B1772" s="7" t="s">
        <v>49</v>
      </c>
      <c r="C1772" s="7" t="s">
        <v>355</v>
      </c>
      <c r="D1772" s="9">
        <v>46094</v>
      </c>
      <c r="E1772" s="9">
        <v>46124</v>
      </c>
      <c r="F1772" s="3">
        <v>9916.6</v>
      </c>
      <c r="G1772" s="7" t="s">
        <v>367</v>
      </c>
    </row>
    <row r="1773" spans="1:7" x14ac:dyDescent="0.3">
      <c r="A1773" s="7" t="s">
        <v>2140</v>
      </c>
      <c r="B1773" s="7" t="s">
        <v>19</v>
      </c>
      <c r="C1773" s="7" t="s">
        <v>353</v>
      </c>
      <c r="D1773" s="9">
        <v>45977</v>
      </c>
      <c r="E1773" s="9">
        <v>46007</v>
      </c>
      <c r="F1773" s="3">
        <v>2146.33</v>
      </c>
      <c r="G1773" s="7" t="s">
        <v>367</v>
      </c>
    </row>
    <row r="1774" spans="1:7" x14ac:dyDescent="0.3">
      <c r="A1774" s="7" t="s">
        <v>2141</v>
      </c>
      <c r="B1774" s="7" t="s">
        <v>107</v>
      </c>
      <c r="C1774" s="7" t="s">
        <v>355</v>
      </c>
      <c r="D1774" s="9">
        <v>46006</v>
      </c>
      <c r="E1774" s="9">
        <v>46036</v>
      </c>
      <c r="F1774" s="3">
        <v>14301.53</v>
      </c>
      <c r="G1774" s="7" t="s">
        <v>387</v>
      </c>
    </row>
    <row r="1775" spans="1:7" x14ac:dyDescent="0.3">
      <c r="A1775" s="7" t="s">
        <v>2142</v>
      </c>
      <c r="B1775" s="7" t="s">
        <v>110</v>
      </c>
      <c r="C1775" s="7" t="s">
        <v>349</v>
      </c>
      <c r="D1775" s="9">
        <v>46051</v>
      </c>
      <c r="E1775" s="9">
        <v>46081</v>
      </c>
      <c r="F1775" s="3">
        <v>2610.88</v>
      </c>
      <c r="G1775" s="7" t="s">
        <v>367</v>
      </c>
    </row>
    <row r="1776" spans="1:7" x14ac:dyDescent="0.3">
      <c r="A1776" s="7" t="s">
        <v>2143</v>
      </c>
      <c r="B1776" s="7" t="s">
        <v>43</v>
      </c>
      <c r="C1776" s="7" t="s">
        <v>355</v>
      </c>
      <c r="D1776" s="9">
        <v>45995</v>
      </c>
      <c r="E1776" s="9">
        <v>46025</v>
      </c>
      <c r="F1776" s="3">
        <v>10058.59</v>
      </c>
      <c r="G1776" s="7" t="s">
        <v>367</v>
      </c>
    </row>
    <row r="1777" spans="1:7" x14ac:dyDescent="0.3">
      <c r="A1777" s="7" t="s">
        <v>2144</v>
      </c>
      <c r="B1777" s="7" t="s">
        <v>103</v>
      </c>
      <c r="C1777" s="7" t="s">
        <v>357</v>
      </c>
      <c r="D1777" s="9">
        <v>46099</v>
      </c>
      <c r="E1777" s="9">
        <v>46129</v>
      </c>
      <c r="F1777" s="3">
        <v>3179.48</v>
      </c>
      <c r="G1777" s="7" t="s">
        <v>367</v>
      </c>
    </row>
    <row r="1778" spans="1:7" x14ac:dyDescent="0.3">
      <c r="A1778" s="7" t="s">
        <v>2145</v>
      </c>
      <c r="B1778" s="7" t="s">
        <v>107</v>
      </c>
      <c r="C1778" s="7" t="s">
        <v>355</v>
      </c>
      <c r="D1778" s="9">
        <v>45979</v>
      </c>
      <c r="E1778" s="9">
        <v>46009</v>
      </c>
      <c r="F1778" s="3">
        <v>10467.23</v>
      </c>
      <c r="G1778" s="7" t="s">
        <v>367</v>
      </c>
    </row>
    <row r="1779" spans="1:7" x14ac:dyDescent="0.3">
      <c r="A1779" s="7" t="s">
        <v>2146</v>
      </c>
      <c r="B1779" s="7" t="s">
        <v>23</v>
      </c>
      <c r="C1779" s="7" t="s">
        <v>357</v>
      </c>
      <c r="D1779" s="9">
        <v>46089</v>
      </c>
      <c r="E1779" s="9">
        <v>46119</v>
      </c>
      <c r="F1779" s="3">
        <v>3572.34</v>
      </c>
      <c r="G1779" s="7" t="s">
        <v>367</v>
      </c>
    </row>
    <row r="1780" spans="1:7" x14ac:dyDescent="0.3">
      <c r="A1780" s="7" t="s">
        <v>2147</v>
      </c>
      <c r="B1780" s="7" t="s">
        <v>23</v>
      </c>
      <c r="C1780" s="7" t="s">
        <v>353</v>
      </c>
      <c r="D1780" s="9">
        <v>46101</v>
      </c>
      <c r="E1780" s="9">
        <v>46131</v>
      </c>
      <c r="F1780" s="3">
        <v>2009.5</v>
      </c>
      <c r="G1780" s="7" t="s">
        <v>367</v>
      </c>
    </row>
    <row r="1781" spans="1:7" x14ac:dyDescent="0.3">
      <c r="A1781" s="7" t="s">
        <v>2148</v>
      </c>
      <c r="B1781" s="7" t="s">
        <v>99</v>
      </c>
      <c r="C1781" s="7" t="s">
        <v>351</v>
      </c>
      <c r="D1781" s="9">
        <v>45965</v>
      </c>
      <c r="E1781" s="9">
        <v>45995</v>
      </c>
      <c r="F1781" s="3">
        <v>4757.6000000000004</v>
      </c>
      <c r="G1781" s="7" t="s">
        <v>367</v>
      </c>
    </row>
    <row r="1782" spans="1:7" x14ac:dyDescent="0.3">
      <c r="A1782" s="7" t="s">
        <v>2149</v>
      </c>
      <c r="B1782" s="7" t="s">
        <v>60</v>
      </c>
      <c r="C1782" s="7" t="s">
        <v>359</v>
      </c>
      <c r="D1782" s="9">
        <v>46048</v>
      </c>
      <c r="E1782" s="9">
        <v>46078</v>
      </c>
      <c r="F1782" s="3">
        <v>2141.64</v>
      </c>
      <c r="G1782" s="7" t="s">
        <v>367</v>
      </c>
    </row>
    <row r="1783" spans="1:7" x14ac:dyDescent="0.3">
      <c r="A1783" s="7" t="s">
        <v>2150</v>
      </c>
      <c r="B1783" s="7" t="s">
        <v>71</v>
      </c>
      <c r="C1783" s="7" t="s">
        <v>359</v>
      </c>
      <c r="D1783" s="9">
        <v>46055</v>
      </c>
      <c r="E1783" s="9">
        <v>46085</v>
      </c>
      <c r="F1783" s="3">
        <v>1769.61</v>
      </c>
      <c r="G1783" s="7" t="s">
        <v>369</v>
      </c>
    </row>
    <row r="1784" spans="1:7" x14ac:dyDescent="0.3">
      <c r="A1784" s="7" t="s">
        <v>2151</v>
      </c>
      <c r="B1784" s="7" t="s">
        <v>119</v>
      </c>
      <c r="C1784" s="7" t="s">
        <v>353</v>
      </c>
      <c r="D1784" s="9">
        <v>45972</v>
      </c>
      <c r="E1784" s="9">
        <v>46002</v>
      </c>
      <c r="F1784" s="3">
        <v>2275.8200000000002</v>
      </c>
      <c r="G1784" s="7" t="s">
        <v>369</v>
      </c>
    </row>
    <row r="1785" spans="1:7" x14ac:dyDescent="0.3">
      <c r="A1785" s="7" t="s">
        <v>2152</v>
      </c>
      <c r="B1785" s="7" t="s">
        <v>59</v>
      </c>
      <c r="C1785" s="7" t="s">
        <v>351</v>
      </c>
      <c r="D1785" s="9">
        <v>46013</v>
      </c>
      <c r="E1785" s="9">
        <v>46043</v>
      </c>
      <c r="F1785" s="3">
        <v>4610.37</v>
      </c>
      <c r="G1785" s="7" t="s">
        <v>369</v>
      </c>
    </row>
    <row r="1786" spans="1:7" x14ac:dyDescent="0.3">
      <c r="A1786" s="7" t="s">
        <v>2153</v>
      </c>
      <c r="B1786" s="7" t="s">
        <v>37</v>
      </c>
      <c r="C1786" s="7" t="s">
        <v>353</v>
      </c>
      <c r="D1786" s="9">
        <v>46098</v>
      </c>
      <c r="E1786" s="9">
        <v>46128</v>
      </c>
      <c r="F1786" s="3">
        <v>2845.25</v>
      </c>
      <c r="G1786" s="7" t="s">
        <v>367</v>
      </c>
    </row>
    <row r="1787" spans="1:7" x14ac:dyDescent="0.3">
      <c r="A1787" s="7" t="s">
        <v>2154</v>
      </c>
      <c r="B1787" s="7" t="s">
        <v>77</v>
      </c>
      <c r="C1787" s="7" t="s">
        <v>349</v>
      </c>
      <c r="D1787" s="9">
        <v>45983</v>
      </c>
      <c r="E1787" s="9">
        <v>46013</v>
      </c>
      <c r="F1787" s="3">
        <v>2598.14</v>
      </c>
      <c r="G1787" s="7" t="s">
        <v>367</v>
      </c>
    </row>
    <row r="1788" spans="1:7" x14ac:dyDescent="0.3">
      <c r="A1788" s="7" t="s">
        <v>2155</v>
      </c>
      <c r="B1788" s="7" t="s">
        <v>100</v>
      </c>
      <c r="C1788" s="7" t="s">
        <v>355</v>
      </c>
      <c r="D1788" s="9">
        <v>45995</v>
      </c>
      <c r="E1788" s="9">
        <v>46025</v>
      </c>
      <c r="F1788" s="3">
        <v>13480.07</v>
      </c>
      <c r="G1788" s="7" t="s">
        <v>367</v>
      </c>
    </row>
    <row r="1789" spans="1:7" x14ac:dyDescent="0.3">
      <c r="A1789" s="7" t="s">
        <v>2156</v>
      </c>
      <c r="B1789" s="7" t="s">
        <v>120</v>
      </c>
      <c r="C1789" s="7" t="s">
        <v>351</v>
      </c>
      <c r="D1789" s="9">
        <v>45968</v>
      </c>
      <c r="E1789" s="9">
        <v>45998</v>
      </c>
      <c r="F1789" s="3">
        <v>4959.3100000000004</v>
      </c>
      <c r="G1789" s="7" t="s">
        <v>387</v>
      </c>
    </row>
    <row r="1790" spans="1:7" x14ac:dyDescent="0.3">
      <c r="A1790" s="7" t="s">
        <v>2157</v>
      </c>
      <c r="B1790" s="7" t="s">
        <v>123</v>
      </c>
      <c r="C1790" s="7" t="s">
        <v>357</v>
      </c>
      <c r="D1790" s="9">
        <v>46069</v>
      </c>
      <c r="E1790" s="9">
        <v>46099</v>
      </c>
      <c r="F1790" s="3">
        <v>3777.03</v>
      </c>
      <c r="G1790" s="7" t="s">
        <v>367</v>
      </c>
    </row>
    <row r="1791" spans="1:7" x14ac:dyDescent="0.3">
      <c r="A1791" s="7" t="s">
        <v>2158</v>
      </c>
      <c r="B1791" s="7" t="s">
        <v>51</v>
      </c>
      <c r="C1791" s="7" t="s">
        <v>359</v>
      </c>
      <c r="D1791" s="9">
        <v>46027</v>
      </c>
      <c r="E1791" s="9">
        <v>46057</v>
      </c>
      <c r="F1791" s="3">
        <v>1445.25</v>
      </c>
      <c r="G1791" s="7" t="s">
        <v>367</v>
      </c>
    </row>
    <row r="1792" spans="1:7" x14ac:dyDescent="0.3">
      <c r="A1792" s="7" t="s">
        <v>2159</v>
      </c>
      <c r="B1792" s="7" t="s">
        <v>12</v>
      </c>
      <c r="C1792" s="7" t="s">
        <v>351</v>
      </c>
      <c r="D1792" s="9">
        <v>46079</v>
      </c>
      <c r="E1792" s="9">
        <v>46109</v>
      </c>
      <c r="F1792" s="3">
        <v>5988.44</v>
      </c>
      <c r="G1792" s="7" t="s">
        <v>367</v>
      </c>
    </row>
    <row r="1793" spans="1:7" x14ac:dyDescent="0.3">
      <c r="A1793" s="7" t="s">
        <v>2160</v>
      </c>
      <c r="B1793" s="7" t="s">
        <v>104</v>
      </c>
      <c r="C1793" s="7" t="s">
        <v>357</v>
      </c>
      <c r="D1793" s="9">
        <v>46089</v>
      </c>
      <c r="E1793" s="9">
        <v>46119</v>
      </c>
      <c r="F1793" s="3">
        <v>3428.11</v>
      </c>
      <c r="G1793" s="7" t="s">
        <v>369</v>
      </c>
    </row>
    <row r="1794" spans="1:7" x14ac:dyDescent="0.3">
      <c r="A1794" s="7" t="s">
        <v>2161</v>
      </c>
      <c r="B1794" s="7" t="s">
        <v>24</v>
      </c>
      <c r="C1794" s="7" t="s">
        <v>357</v>
      </c>
      <c r="D1794" s="9">
        <v>45965</v>
      </c>
      <c r="E1794" s="9">
        <v>45995</v>
      </c>
      <c r="F1794" s="3">
        <v>4065.32</v>
      </c>
      <c r="G1794" s="7" t="s">
        <v>367</v>
      </c>
    </row>
    <row r="1795" spans="1:7" x14ac:dyDescent="0.3">
      <c r="A1795" s="7" t="s">
        <v>2162</v>
      </c>
      <c r="B1795" s="7" t="s">
        <v>28</v>
      </c>
      <c r="C1795" s="7" t="s">
        <v>357</v>
      </c>
      <c r="D1795" s="9">
        <v>46100</v>
      </c>
      <c r="E1795" s="9">
        <v>46130</v>
      </c>
      <c r="F1795" s="3">
        <v>3294.61</v>
      </c>
      <c r="G1795" s="7" t="s">
        <v>367</v>
      </c>
    </row>
    <row r="1796" spans="1:7" x14ac:dyDescent="0.3">
      <c r="A1796" s="7" t="s">
        <v>2163</v>
      </c>
      <c r="B1796" s="7" t="s">
        <v>76</v>
      </c>
      <c r="C1796" s="7" t="s">
        <v>353</v>
      </c>
      <c r="D1796" s="9">
        <v>46112</v>
      </c>
      <c r="E1796" s="9">
        <v>46142</v>
      </c>
      <c r="F1796" s="3">
        <v>2969.73</v>
      </c>
      <c r="G1796" s="7" t="s">
        <v>367</v>
      </c>
    </row>
    <row r="1797" spans="1:7" x14ac:dyDescent="0.3">
      <c r="A1797" s="7" t="s">
        <v>2164</v>
      </c>
      <c r="B1797" s="7" t="s">
        <v>7</v>
      </c>
      <c r="C1797" s="7" t="s">
        <v>349</v>
      </c>
      <c r="D1797" s="9">
        <v>45973</v>
      </c>
      <c r="E1797" s="9">
        <v>46003</v>
      </c>
      <c r="F1797" s="3">
        <v>2748.08</v>
      </c>
      <c r="G1797" s="7" t="s">
        <v>367</v>
      </c>
    </row>
    <row r="1798" spans="1:7" x14ac:dyDescent="0.3">
      <c r="A1798" s="7" t="s">
        <v>2165</v>
      </c>
      <c r="B1798" s="7" t="s">
        <v>89</v>
      </c>
      <c r="C1798" s="7" t="s">
        <v>359</v>
      </c>
      <c r="D1798" s="9">
        <v>46106</v>
      </c>
      <c r="E1798" s="9">
        <v>46136</v>
      </c>
      <c r="F1798" s="3">
        <v>1894.45</v>
      </c>
      <c r="G1798" s="7" t="s">
        <v>369</v>
      </c>
    </row>
    <row r="1799" spans="1:7" x14ac:dyDescent="0.3">
      <c r="A1799" s="7" t="s">
        <v>2166</v>
      </c>
      <c r="B1799" s="7" t="s">
        <v>115</v>
      </c>
      <c r="C1799" s="7" t="s">
        <v>357</v>
      </c>
      <c r="D1799" s="9">
        <v>46013</v>
      </c>
      <c r="E1799" s="9">
        <v>46043</v>
      </c>
      <c r="F1799" s="3">
        <v>3956.02</v>
      </c>
      <c r="G1799" s="7" t="s">
        <v>369</v>
      </c>
    </row>
    <row r="1800" spans="1:7" x14ac:dyDescent="0.3">
      <c r="A1800" s="7" t="s">
        <v>2167</v>
      </c>
      <c r="B1800" s="7" t="s">
        <v>45</v>
      </c>
      <c r="C1800" s="7" t="s">
        <v>355</v>
      </c>
      <c r="D1800" s="9">
        <v>46015</v>
      </c>
      <c r="E1800" s="9">
        <v>46045</v>
      </c>
      <c r="F1800" s="3">
        <v>9875.98</v>
      </c>
      <c r="G1800" s="7" t="s">
        <v>367</v>
      </c>
    </row>
    <row r="1801" spans="1:7" x14ac:dyDescent="0.3">
      <c r="A1801" s="7" t="s">
        <v>2168</v>
      </c>
      <c r="B1801" s="7" t="s">
        <v>52</v>
      </c>
      <c r="C1801" s="7" t="s">
        <v>353</v>
      </c>
      <c r="D1801" s="9">
        <v>46066</v>
      </c>
      <c r="E1801" s="9">
        <v>46096</v>
      </c>
      <c r="F1801" s="3">
        <v>2107.16</v>
      </c>
      <c r="G1801" s="7" t="s">
        <v>367</v>
      </c>
    </row>
    <row r="1802" spans="1:7" x14ac:dyDescent="0.3">
      <c r="A1802" s="7" t="s">
        <v>2169</v>
      </c>
      <c r="B1802" s="7" t="s">
        <v>72</v>
      </c>
      <c r="C1802" s="7" t="s">
        <v>349</v>
      </c>
      <c r="D1802" s="9">
        <v>45993</v>
      </c>
      <c r="E1802" s="9">
        <v>46023</v>
      </c>
      <c r="F1802" s="3">
        <v>2521.61</v>
      </c>
      <c r="G1802" s="7" t="s">
        <v>367</v>
      </c>
    </row>
    <row r="1803" spans="1:7" x14ac:dyDescent="0.3">
      <c r="A1803" s="7" t="s">
        <v>2170</v>
      </c>
      <c r="B1803" s="7" t="s">
        <v>91</v>
      </c>
      <c r="C1803" s="7" t="s">
        <v>351</v>
      </c>
      <c r="D1803" s="9">
        <v>46111</v>
      </c>
      <c r="E1803" s="9">
        <v>46141</v>
      </c>
      <c r="F1803" s="3">
        <v>4821.4399999999996</v>
      </c>
      <c r="G1803" s="7" t="s">
        <v>367</v>
      </c>
    </row>
    <row r="1804" spans="1:7" x14ac:dyDescent="0.3">
      <c r="A1804" s="7" t="s">
        <v>2171</v>
      </c>
      <c r="B1804" s="7" t="s">
        <v>61</v>
      </c>
      <c r="C1804" s="7" t="s">
        <v>353</v>
      </c>
      <c r="D1804" s="9">
        <v>46005</v>
      </c>
      <c r="E1804" s="9">
        <v>46035</v>
      </c>
      <c r="F1804" s="3">
        <v>2226.1</v>
      </c>
      <c r="G1804" s="7" t="s">
        <v>367</v>
      </c>
    </row>
    <row r="1805" spans="1:7" x14ac:dyDescent="0.3">
      <c r="A1805" s="7" t="s">
        <v>2172</v>
      </c>
      <c r="B1805" s="7" t="s">
        <v>91</v>
      </c>
      <c r="C1805" s="7" t="s">
        <v>351</v>
      </c>
      <c r="D1805" s="9">
        <v>46039</v>
      </c>
      <c r="E1805" s="9">
        <v>46069</v>
      </c>
      <c r="F1805" s="3">
        <v>5072.8500000000004</v>
      </c>
      <c r="G1805" s="7" t="s">
        <v>387</v>
      </c>
    </row>
    <row r="1806" spans="1:7" x14ac:dyDescent="0.3">
      <c r="A1806" s="7" t="s">
        <v>2173</v>
      </c>
      <c r="B1806" s="7" t="s">
        <v>52</v>
      </c>
      <c r="C1806" s="7" t="s">
        <v>355</v>
      </c>
      <c r="D1806" s="9">
        <v>45989</v>
      </c>
      <c r="E1806" s="9">
        <v>46019</v>
      </c>
      <c r="F1806" s="3">
        <v>10376.799999999999</v>
      </c>
      <c r="G1806" s="7" t="s">
        <v>367</v>
      </c>
    </row>
    <row r="1807" spans="1:7" x14ac:dyDescent="0.3">
      <c r="A1807" s="7" t="s">
        <v>2174</v>
      </c>
      <c r="B1807" s="7" t="s">
        <v>57</v>
      </c>
      <c r="C1807" s="7" t="s">
        <v>359</v>
      </c>
      <c r="D1807" s="9">
        <v>45983</v>
      </c>
      <c r="E1807" s="9">
        <v>46013</v>
      </c>
      <c r="F1807" s="3">
        <v>1582.89</v>
      </c>
      <c r="G1807" s="7" t="s">
        <v>367</v>
      </c>
    </row>
    <row r="1808" spans="1:7" x14ac:dyDescent="0.3">
      <c r="A1808" s="7" t="s">
        <v>2175</v>
      </c>
      <c r="B1808" s="7" t="s">
        <v>68</v>
      </c>
      <c r="C1808" s="7" t="s">
        <v>355</v>
      </c>
      <c r="D1808" s="9">
        <v>45992</v>
      </c>
      <c r="E1808" s="9">
        <v>46022</v>
      </c>
      <c r="F1808" s="3">
        <v>13170.84</v>
      </c>
      <c r="G1808" s="7" t="s">
        <v>367</v>
      </c>
    </row>
    <row r="1809" spans="1:7" x14ac:dyDescent="0.3">
      <c r="A1809" s="7" t="s">
        <v>2176</v>
      </c>
      <c r="B1809" s="7" t="s">
        <v>70</v>
      </c>
      <c r="C1809" s="7" t="s">
        <v>359</v>
      </c>
      <c r="D1809" s="9">
        <v>46048</v>
      </c>
      <c r="E1809" s="9">
        <v>46078</v>
      </c>
      <c r="F1809" s="3">
        <v>2147.71</v>
      </c>
      <c r="G1809" s="7" t="s">
        <v>367</v>
      </c>
    </row>
    <row r="1810" spans="1:7" x14ac:dyDescent="0.3">
      <c r="A1810" s="7" t="s">
        <v>2177</v>
      </c>
      <c r="B1810" s="7" t="s">
        <v>101</v>
      </c>
      <c r="C1810" s="7" t="s">
        <v>359</v>
      </c>
      <c r="D1810" s="9">
        <v>46048</v>
      </c>
      <c r="E1810" s="9">
        <v>46078</v>
      </c>
      <c r="F1810" s="3">
        <v>1954.31</v>
      </c>
      <c r="G1810" s="7" t="s">
        <v>367</v>
      </c>
    </row>
    <row r="1811" spans="1:7" x14ac:dyDescent="0.3">
      <c r="A1811" s="7" t="s">
        <v>2178</v>
      </c>
      <c r="B1811" s="7" t="s">
        <v>51</v>
      </c>
      <c r="C1811" s="7" t="s">
        <v>355</v>
      </c>
      <c r="D1811" s="9">
        <v>46035</v>
      </c>
      <c r="E1811" s="9">
        <v>46065</v>
      </c>
      <c r="F1811" s="3">
        <v>10230.799999999999</v>
      </c>
      <c r="G1811" s="7" t="s">
        <v>367</v>
      </c>
    </row>
    <row r="1812" spans="1:7" x14ac:dyDescent="0.3">
      <c r="A1812" s="7" t="s">
        <v>2179</v>
      </c>
      <c r="B1812" s="7" t="s">
        <v>113</v>
      </c>
      <c r="C1812" s="7" t="s">
        <v>357</v>
      </c>
      <c r="D1812" s="9">
        <v>46098</v>
      </c>
      <c r="E1812" s="9">
        <v>46128</v>
      </c>
      <c r="F1812" s="3">
        <v>2819.11</v>
      </c>
      <c r="G1812" s="7" t="s">
        <v>367</v>
      </c>
    </row>
    <row r="1813" spans="1:7" x14ac:dyDescent="0.3">
      <c r="A1813" s="7" t="s">
        <v>2180</v>
      </c>
      <c r="B1813" s="7" t="s">
        <v>68</v>
      </c>
      <c r="C1813" s="7" t="s">
        <v>353</v>
      </c>
      <c r="D1813" s="9">
        <v>46089</v>
      </c>
      <c r="E1813" s="9">
        <v>46119</v>
      </c>
      <c r="F1813" s="3">
        <v>2429.67</v>
      </c>
      <c r="G1813" s="7" t="s">
        <v>367</v>
      </c>
    </row>
    <row r="1814" spans="1:7" x14ac:dyDescent="0.3">
      <c r="A1814" s="7" t="s">
        <v>2181</v>
      </c>
      <c r="B1814" s="7" t="s">
        <v>26</v>
      </c>
      <c r="C1814" s="7" t="s">
        <v>353</v>
      </c>
      <c r="D1814" s="9">
        <v>46024</v>
      </c>
      <c r="E1814" s="9">
        <v>46054</v>
      </c>
      <c r="F1814" s="3">
        <v>2282.2199999999998</v>
      </c>
      <c r="G1814" s="7" t="s">
        <v>367</v>
      </c>
    </row>
    <row r="1815" spans="1:7" x14ac:dyDescent="0.3">
      <c r="A1815" s="7" t="s">
        <v>2182</v>
      </c>
      <c r="B1815" s="7" t="s">
        <v>117</v>
      </c>
      <c r="C1815" s="7" t="s">
        <v>359</v>
      </c>
      <c r="D1815" s="9">
        <v>46028</v>
      </c>
      <c r="E1815" s="9">
        <v>46058</v>
      </c>
      <c r="F1815" s="3">
        <v>1808.09</v>
      </c>
      <c r="G1815" s="7" t="s">
        <v>369</v>
      </c>
    </row>
    <row r="1816" spans="1:7" x14ac:dyDescent="0.3">
      <c r="A1816" s="7" t="s">
        <v>2183</v>
      </c>
      <c r="B1816" s="7" t="s">
        <v>32</v>
      </c>
      <c r="C1816" s="7" t="s">
        <v>353</v>
      </c>
      <c r="D1816" s="9">
        <v>46000</v>
      </c>
      <c r="E1816" s="9">
        <v>46030</v>
      </c>
      <c r="F1816" s="3">
        <v>2994.26</v>
      </c>
      <c r="G1816" s="7" t="s">
        <v>369</v>
      </c>
    </row>
    <row r="1817" spans="1:7" x14ac:dyDescent="0.3">
      <c r="A1817" s="7" t="s">
        <v>2184</v>
      </c>
      <c r="B1817" s="7" t="s">
        <v>71</v>
      </c>
      <c r="C1817" s="7" t="s">
        <v>355</v>
      </c>
      <c r="D1817" s="9">
        <v>46001</v>
      </c>
      <c r="E1817" s="9">
        <v>46031</v>
      </c>
      <c r="F1817" s="3">
        <v>12991.01</v>
      </c>
      <c r="G1817" s="7" t="s">
        <v>367</v>
      </c>
    </row>
    <row r="1818" spans="1:7" x14ac:dyDescent="0.3">
      <c r="A1818" s="7" t="s">
        <v>2185</v>
      </c>
      <c r="B1818" s="7" t="s">
        <v>26</v>
      </c>
      <c r="C1818" s="7" t="s">
        <v>357</v>
      </c>
      <c r="D1818" s="9">
        <v>45993</v>
      </c>
      <c r="E1818" s="9">
        <v>46023</v>
      </c>
      <c r="F1818" s="3">
        <v>3053.66</v>
      </c>
      <c r="G1818" s="7" t="s">
        <v>367</v>
      </c>
    </row>
    <row r="1819" spans="1:7" x14ac:dyDescent="0.3">
      <c r="A1819" s="7" t="s">
        <v>2186</v>
      </c>
      <c r="B1819" s="7" t="s">
        <v>31</v>
      </c>
      <c r="C1819" s="7" t="s">
        <v>351</v>
      </c>
      <c r="D1819" s="9">
        <v>46069</v>
      </c>
      <c r="E1819" s="9">
        <v>46099</v>
      </c>
      <c r="F1819" s="3">
        <v>4240.92</v>
      </c>
      <c r="G1819" s="7" t="s">
        <v>367</v>
      </c>
    </row>
    <row r="1820" spans="1:7" x14ac:dyDescent="0.3">
      <c r="A1820" s="7" t="s">
        <v>2187</v>
      </c>
      <c r="B1820" s="7" t="s">
        <v>13</v>
      </c>
      <c r="C1820" s="7" t="s">
        <v>351</v>
      </c>
      <c r="D1820" s="9">
        <v>46034</v>
      </c>
      <c r="E1820" s="9">
        <v>46064</v>
      </c>
      <c r="F1820" s="3">
        <v>4852.6099999999997</v>
      </c>
      <c r="G1820" s="7" t="s">
        <v>367</v>
      </c>
    </row>
    <row r="1821" spans="1:7" x14ac:dyDescent="0.3">
      <c r="A1821" s="7" t="s">
        <v>2188</v>
      </c>
      <c r="B1821" s="7" t="s">
        <v>36</v>
      </c>
      <c r="C1821" s="7" t="s">
        <v>355</v>
      </c>
      <c r="D1821" s="9">
        <v>46011</v>
      </c>
      <c r="E1821" s="9">
        <v>46041</v>
      </c>
      <c r="F1821" s="3">
        <v>11555.03</v>
      </c>
      <c r="G1821" s="7" t="s">
        <v>367</v>
      </c>
    </row>
    <row r="1822" spans="1:7" x14ac:dyDescent="0.3">
      <c r="A1822" s="7" t="s">
        <v>2189</v>
      </c>
      <c r="B1822" s="7" t="s">
        <v>89</v>
      </c>
      <c r="C1822" s="7" t="s">
        <v>351</v>
      </c>
      <c r="D1822" s="9">
        <v>46041</v>
      </c>
      <c r="E1822" s="9">
        <v>46071</v>
      </c>
      <c r="F1822" s="3">
        <v>4672.3599999999997</v>
      </c>
      <c r="G1822" s="7" t="s">
        <v>367</v>
      </c>
    </row>
    <row r="1823" spans="1:7" x14ac:dyDescent="0.3">
      <c r="A1823" s="7" t="s">
        <v>2190</v>
      </c>
      <c r="B1823" s="7" t="s">
        <v>51</v>
      </c>
      <c r="C1823" s="7" t="s">
        <v>349</v>
      </c>
      <c r="D1823" s="9">
        <v>46047</v>
      </c>
      <c r="E1823" s="9">
        <v>46077</v>
      </c>
      <c r="F1823" s="3">
        <v>2765.15</v>
      </c>
      <c r="G1823" s="7" t="s">
        <v>367</v>
      </c>
    </row>
    <row r="1824" spans="1:7" x14ac:dyDescent="0.3">
      <c r="A1824" s="7" t="s">
        <v>2191</v>
      </c>
      <c r="B1824" s="7" t="s">
        <v>7</v>
      </c>
      <c r="C1824" s="7" t="s">
        <v>359</v>
      </c>
      <c r="D1824" s="9">
        <v>46001</v>
      </c>
      <c r="E1824" s="9">
        <v>46031</v>
      </c>
      <c r="F1824" s="3">
        <v>1741.01</v>
      </c>
      <c r="G1824" s="7" t="s">
        <v>367</v>
      </c>
    </row>
    <row r="1825" spans="1:7" x14ac:dyDescent="0.3">
      <c r="A1825" s="7" t="s">
        <v>2192</v>
      </c>
      <c r="B1825" s="7" t="s">
        <v>42</v>
      </c>
      <c r="C1825" s="7" t="s">
        <v>349</v>
      </c>
      <c r="D1825" s="9">
        <v>46031</v>
      </c>
      <c r="E1825" s="9">
        <v>46061</v>
      </c>
      <c r="F1825" s="3">
        <v>3192.52</v>
      </c>
      <c r="G1825" s="7" t="s">
        <v>367</v>
      </c>
    </row>
    <row r="1826" spans="1:7" x14ac:dyDescent="0.3">
      <c r="A1826" s="7" t="s">
        <v>2193</v>
      </c>
      <c r="B1826" s="7" t="s">
        <v>53</v>
      </c>
      <c r="C1826" s="7" t="s">
        <v>357</v>
      </c>
      <c r="D1826" s="9">
        <v>46067</v>
      </c>
      <c r="E1826" s="9">
        <v>46097</v>
      </c>
      <c r="F1826" s="3">
        <v>2941.07</v>
      </c>
      <c r="G1826" s="7" t="s">
        <v>369</v>
      </c>
    </row>
    <row r="1827" spans="1:7" x14ac:dyDescent="0.3">
      <c r="A1827" s="7" t="s">
        <v>2194</v>
      </c>
      <c r="B1827" s="7" t="s">
        <v>77</v>
      </c>
      <c r="C1827" s="7" t="s">
        <v>353</v>
      </c>
      <c r="D1827" s="9">
        <v>45967</v>
      </c>
      <c r="E1827" s="9">
        <v>45997</v>
      </c>
      <c r="F1827" s="3">
        <v>2304.36</v>
      </c>
      <c r="G1827" s="7" t="s">
        <v>367</v>
      </c>
    </row>
    <row r="1828" spans="1:7" x14ac:dyDescent="0.3">
      <c r="A1828" s="7" t="s">
        <v>2195</v>
      </c>
      <c r="B1828" s="7" t="s">
        <v>82</v>
      </c>
      <c r="C1828" s="7" t="s">
        <v>351</v>
      </c>
      <c r="D1828" s="9">
        <v>45981</v>
      </c>
      <c r="E1828" s="9">
        <v>46011</v>
      </c>
      <c r="F1828" s="3">
        <v>4662.42</v>
      </c>
      <c r="G1828" s="7" t="s">
        <v>367</v>
      </c>
    </row>
    <row r="1829" spans="1:7" x14ac:dyDescent="0.3">
      <c r="A1829" s="7" t="s">
        <v>2196</v>
      </c>
      <c r="B1829" s="7" t="s">
        <v>81</v>
      </c>
      <c r="C1829" s="7" t="s">
        <v>357</v>
      </c>
      <c r="D1829" s="9">
        <v>46051</v>
      </c>
      <c r="E1829" s="9">
        <v>46081</v>
      </c>
      <c r="F1829" s="3">
        <v>3646.6</v>
      </c>
      <c r="G1829" s="7" t="s">
        <v>367</v>
      </c>
    </row>
    <row r="1830" spans="1:7" x14ac:dyDescent="0.3">
      <c r="A1830" s="7" t="s">
        <v>2197</v>
      </c>
      <c r="B1830" s="7" t="s">
        <v>84</v>
      </c>
      <c r="C1830" s="7" t="s">
        <v>355</v>
      </c>
      <c r="D1830" s="9">
        <v>46014</v>
      </c>
      <c r="E1830" s="9">
        <v>46044</v>
      </c>
      <c r="F1830" s="3">
        <v>10018.709999999999</v>
      </c>
      <c r="G1830" s="7" t="s">
        <v>367</v>
      </c>
    </row>
    <row r="1831" spans="1:7" x14ac:dyDescent="0.3">
      <c r="A1831" s="7" t="s">
        <v>2198</v>
      </c>
      <c r="B1831" s="7" t="s">
        <v>31</v>
      </c>
      <c r="C1831" s="7" t="s">
        <v>349</v>
      </c>
      <c r="D1831" s="9">
        <v>46076</v>
      </c>
      <c r="E1831" s="9">
        <v>46106</v>
      </c>
      <c r="F1831" s="3">
        <v>2449.25</v>
      </c>
      <c r="G1831" s="7" t="s">
        <v>369</v>
      </c>
    </row>
    <row r="1832" spans="1:7" x14ac:dyDescent="0.3">
      <c r="A1832" s="7" t="s">
        <v>2199</v>
      </c>
      <c r="B1832" s="7" t="s">
        <v>86</v>
      </c>
      <c r="C1832" s="7" t="s">
        <v>359</v>
      </c>
      <c r="D1832" s="9">
        <v>45966</v>
      </c>
      <c r="E1832" s="9">
        <v>45996</v>
      </c>
      <c r="F1832" s="3">
        <v>1760.95</v>
      </c>
      <c r="G1832" s="7" t="s">
        <v>369</v>
      </c>
    </row>
    <row r="1833" spans="1:7" x14ac:dyDescent="0.3">
      <c r="A1833" s="7" t="s">
        <v>2200</v>
      </c>
      <c r="B1833" s="7" t="s">
        <v>26</v>
      </c>
      <c r="C1833" s="7" t="s">
        <v>353</v>
      </c>
      <c r="D1833" s="9">
        <v>45992</v>
      </c>
      <c r="E1833" s="9">
        <v>46022</v>
      </c>
      <c r="F1833" s="3">
        <v>2301.48</v>
      </c>
      <c r="G1833" s="7" t="s">
        <v>367</v>
      </c>
    </row>
    <row r="1834" spans="1:7" x14ac:dyDescent="0.3">
      <c r="A1834" s="7" t="s">
        <v>2201</v>
      </c>
      <c r="B1834" s="7" t="s">
        <v>121</v>
      </c>
      <c r="C1834" s="7" t="s">
        <v>349</v>
      </c>
      <c r="D1834" s="9">
        <v>46072</v>
      </c>
      <c r="E1834" s="9">
        <v>46102</v>
      </c>
      <c r="F1834" s="3">
        <v>2553.4</v>
      </c>
      <c r="G1834" s="7" t="s">
        <v>367</v>
      </c>
    </row>
    <row r="1835" spans="1:7" x14ac:dyDescent="0.3">
      <c r="A1835" s="7" t="s">
        <v>2202</v>
      </c>
      <c r="B1835" s="7" t="s">
        <v>22</v>
      </c>
      <c r="C1835" s="7" t="s">
        <v>357</v>
      </c>
      <c r="D1835" s="9">
        <v>45989</v>
      </c>
      <c r="E1835" s="9">
        <v>46019</v>
      </c>
      <c r="F1835" s="3">
        <v>4165.18</v>
      </c>
      <c r="G1835" s="7" t="s">
        <v>367</v>
      </c>
    </row>
    <row r="1836" spans="1:7" x14ac:dyDescent="0.3">
      <c r="A1836" s="7" t="s">
        <v>2203</v>
      </c>
      <c r="B1836" s="7" t="s">
        <v>71</v>
      </c>
      <c r="C1836" s="7" t="s">
        <v>355</v>
      </c>
      <c r="D1836" s="9">
        <v>45978</v>
      </c>
      <c r="E1836" s="9">
        <v>46008</v>
      </c>
      <c r="F1836" s="3">
        <v>9925</v>
      </c>
      <c r="G1836" s="7" t="s">
        <v>369</v>
      </c>
    </row>
    <row r="1837" spans="1:7" x14ac:dyDescent="0.3">
      <c r="A1837" s="7" t="s">
        <v>2204</v>
      </c>
      <c r="B1837" s="7" t="s">
        <v>44</v>
      </c>
      <c r="C1837" s="7" t="s">
        <v>349</v>
      </c>
      <c r="D1837" s="9">
        <v>46081</v>
      </c>
      <c r="E1837" s="9">
        <v>46111</v>
      </c>
      <c r="F1837" s="3">
        <v>2600.3200000000002</v>
      </c>
      <c r="G1837" s="7" t="s">
        <v>387</v>
      </c>
    </row>
    <row r="1838" spans="1:7" x14ac:dyDescent="0.3">
      <c r="A1838" s="7" t="s">
        <v>2205</v>
      </c>
      <c r="B1838" s="7" t="s">
        <v>111</v>
      </c>
      <c r="C1838" s="7" t="s">
        <v>349</v>
      </c>
      <c r="D1838" s="9">
        <v>46029</v>
      </c>
      <c r="E1838" s="9">
        <v>46059</v>
      </c>
      <c r="F1838" s="3">
        <v>3546.96</v>
      </c>
      <c r="G1838" s="7" t="s">
        <v>367</v>
      </c>
    </row>
    <row r="1839" spans="1:7" x14ac:dyDescent="0.3">
      <c r="A1839" s="7" t="s">
        <v>2206</v>
      </c>
      <c r="B1839" s="7" t="s">
        <v>28</v>
      </c>
      <c r="C1839" s="7" t="s">
        <v>355</v>
      </c>
      <c r="D1839" s="9">
        <v>46097</v>
      </c>
      <c r="E1839" s="9">
        <v>46127</v>
      </c>
      <c r="F1839" s="3">
        <v>11976.12</v>
      </c>
      <c r="G1839" s="7" t="s">
        <v>387</v>
      </c>
    </row>
    <row r="1840" spans="1:7" x14ac:dyDescent="0.3">
      <c r="A1840" s="7" t="s">
        <v>2207</v>
      </c>
      <c r="B1840" s="7" t="s">
        <v>58</v>
      </c>
      <c r="C1840" s="7" t="s">
        <v>355</v>
      </c>
      <c r="D1840" s="9">
        <v>46050</v>
      </c>
      <c r="E1840" s="9">
        <v>46080</v>
      </c>
      <c r="F1840" s="3">
        <v>13203.49</v>
      </c>
      <c r="G1840" s="7" t="s">
        <v>369</v>
      </c>
    </row>
    <row r="1841" spans="1:7" x14ac:dyDescent="0.3">
      <c r="A1841" s="7" t="s">
        <v>2208</v>
      </c>
      <c r="B1841" s="7" t="s">
        <v>34</v>
      </c>
      <c r="C1841" s="7" t="s">
        <v>357</v>
      </c>
      <c r="D1841" s="9">
        <v>45992</v>
      </c>
      <c r="E1841" s="9">
        <v>46022</v>
      </c>
      <c r="F1841" s="3">
        <v>3180.09</v>
      </c>
      <c r="G1841" s="7" t="s">
        <v>367</v>
      </c>
    </row>
    <row r="1842" spans="1:7" x14ac:dyDescent="0.3">
      <c r="A1842" s="7" t="s">
        <v>2209</v>
      </c>
      <c r="B1842" s="7" t="s">
        <v>97</v>
      </c>
      <c r="C1842" s="7" t="s">
        <v>357</v>
      </c>
      <c r="D1842" s="9">
        <v>46014</v>
      </c>
      <c r="E1842" s="9">
        <v>46044</v>
      </c>
      <c r="F1842" s="3">
        <v>3775.41</v>
      </c>
      <c r="G1842" s="7" t="s">
        <v>367</v>
      </c>
    </row>
    <row r="1843" spans="1:7" x14ac:dyDescent="0.3">
      <c r="A1843" s="7" t="s">
        <v>2210</v>
      </c>
      <c r="B1843" s="7" t="s">
        <v>41</v>
      </c>
      <c r="C1843" s="7" t="s">
        <v>359</v>
      </c>
      <c r="D1843" s="9">
        <v>46001</v>
      </c>
      <c r="E1843" s="9">
        <v>46031</v>
      </c>
      <c r="F1843" s="3">
        <v>1818.05</v>
      </c>
      <c r="G1843" s="7" t="s">
        <v>367</v>
      </c>
    </row>
    <row r="1844" spans="1:7" x14ac:dyDescent="0.3">
      <c r="A1844" s="7" t="s">
        <v>2211</v>
      </c>
      <c r="B1844" s="7" t="s">
        <v>44</v>
      </c>
      <c r="C1844" s="7" t="s">
        <v>357</v>
      </c>
      <c r="D1844" s="9">
        <v>46106</v>
      </c>
      <c r="E1844" s="9">
        <v>46136</v>
      </c>
      <c r="F1844" s="3">
        <v>2966.74</v>
      </c>
      <c r="G1844" s="7" t="s">
        <v>367</v>
      </c>
    </row>
    <row r="1845" spans="1:7" x14ac:dyDescent="0.3">
      <c r="A1845" s="7" t="s">
        <v>2212</v>
      </c>
      <c r="B1845" s="7" t="s">
        <v>41</v>
      </c>
      <c r="C1845" s="7" t="s">
        <v>349</v>
      </c>
      <c r="D1845" s="9">
        <v>46071</v>
      </c>
      <c r="E1845" s="9">
        <v>46101</v>
      </c>
      <c r="F1845" s="3">
        <v>3167.54</v>
      </c>
      <c r="G1845" s="7" t="s">
        <v>369</v>
      </c>
    </row>
    <row r="1846" spans="1:7" x14ac:dyDescent="0.3">
      <c r="A1846" s="7" t="s">
        <v>2213</v>
      </c>
      <c r="B1846" s="7" t="s">
        <v>7</v>
      </c>
      <c r="C1846" s="7" t="s">
        <v>349</v>
      </c>
      <c r="D1846" s="9">
        <v>46067</v>
      </c>
      <c r="E1846" s="9">
        <v>46097</v>
      </c>
      <c r="F1846" s="3">
        <v>3170.9</v>
      </c>
      <c r="G1846" s="7" t="s">
        <v>367</v>
      </c>
    </row>
    <row r="1847" spans="1:7" x14ac:dyDescent="0.3">
      <c r="A1847" s="7" t="s">
        <v>2214</v>
      </c>
      <c r="B1847" s="7" t="s">
        <v>97</v>
      </c>
      <c r="C1847" s="7" t="s">
        <v>359</v>
      </c>
      <c r="D1847" s="9">
        <v>45988</v>
      </c>
      <c r="E1847" s="9">
        <v>46018</v>
      </c>
      <c r="F1847" s="3">
        <v>1690.17</v>
      </c>
      <c r="G1847" s="7" t="s">
        <v>367</v>
      </c>
    </row>
    <row r="1848" spans="1:7" x14ac:dyDescent="0.3">
      <c r="A1848" s="7" t="s">
        <v>2215</v>
      </c>
      <c r="B1848" s="7" t="s">
        <v>44</v>
      </c>
      <c r="C1848" s="7" t="s">
        <v>357</v>
      </c>
      <c r="D1848" s="9">
        <v>45974</v>
      </c>
      <c r="E1848" s="9">
        <v>46004</v>
      </c>
      <c r="F1848" s="3">
        <v>3169.65</v>
      </c>
      <c r="G1848" s="7" t="s">
        <v>369</v>
      </c>
    </row>
    <row r="1849" spans="1:7" x14ac:dyDescent="0.3">
      <c r="A1849" s="7" t="s">
        <v>2216</v>
      </c>
      <c r="B1849" s="7" t="s">
        <v>35</v>
      </c>
      <c r="C1849" s="7" t="s">
        <v>353</v>
      </c>
      <c r="D1849" s="9">
        <v>46095</v>
      </c>
      <c r="E1849" s="9">
        <v>46125</v>
      </c>
      <c r="F1849" s="3">
        <v>2985.26</v>
      </c>
      <c r="G1849" s="7" t="s">
        <v>369</v>
      </c>
    </row>
    <row r="1850" spans="1:7" x14ac:dyDescent="0.3">
      <c r="A1850" s="7" t="s">
        <v>2217</v>
      </c>
      <c r="B1850" s="7" t="s">
        <v>75</v>
      </c>
      <c r="C1850" s="7" t="s">
        <v>359</v>
      </c>
      <c r="D1850" s="9">
        <v>46009</v>
      </c>
      <c r="E1850" s="9">
        <v>46039</v>
      </c>
      <c r="F1850" s="3">
        <v>2134.96</v>
      </c>
      <c r="G1850" s="7" t="s">
        <v>387</v>
      </c>
    </row>
    <row r="1851" spans="1:7" x14ac:dyDescent="0.3">
      <c r="A1851" s="7" t="s">
        <v>2218</v>
      </c>
      <c r="B1851" s="7" t="s">
        <v>102</v>
      </c>
      <c r="C1851" s="7" t="s">
        <v>359</v>
      </c>
      <c r="D1851" s="9">
        <v>46018</v>
      </c>
      <c r="E1851" s="9">
        <v>46048</v>
      </c>
      <c r="F1851" s="3">
        <v>2144.71</v>
      </c>
      <c r="G1851" s="7" t="s">
        <v>367</v>
      </c>
    </row>
    <row r="1852" spans="1:7" x14ac:dyDescent="0.3">
      <c r="A1852" s="7" t="s">
        <v>2219</v>
      </c>
      <c r="B1852" s="7" t="s">
        <v>88</v>
      </c>
      <c r="C1852" s="7" t="s">
        <v>359</v>
      </c>
      <c r="D1852" s="9">
        <v>46074</v>
      </c>
      <c r="E1852" s="9">
        <v>46104</v>
      </c>
      <c r="F1852" s="3">
        <v>1715.03</v>
      </c>
      <c r="G1852" s="7" t="s">
        <v>369</v>
      </c>
    </row>
    <row r="1853" spans="1:7" x14ac:dyDescent="0.3">
      <c r="A1853" s="7" t="s">
        <v>2220</v>
      </c>
      <c r="B1853" s="7" t="s">
        <v>41</v>
      </c>
      <c r="C1853" s="7" t="s">
        <v>357</v>
      </c>
      <c r="D1853" s="9">
        <v>46004</v>
      </c>
      <c r="E1853" s="9">
        <v>46034</v>
      </c>
      <c r="F1853" s="3">
        <v>3571.23</v>
      </c>
      <c r="G1853" s="7" t="s">
        <v>367</v>
      </c>
    </row>
    <row r="1854" spans="1:7" x14ac:dyDescent="0.3">
      <c r="A1854" s="7" t="s">
        <v>2221</v>
      </c>
      <c r="B1854" s="7" t="s">
        <v>36</v>
      </c>
      <c r="C1854" s="7" t="s">
        <v>351</v>
      </c>
      <c r="D1854" s="9">
        <v>46092</v>
      </c>
      <c r="E1854" s="9">
        <v>46122</v>
      </c>
      <c r="F1854" s="3">
        <v>5163.33</v>
      </c>
      <c r="G1854" s="7" t="s">
        <v>367</v>
      </c>
    </row>
    <row r="1855" spans="1:7" x14ac:dyDescent="0.3">
      <c r="A1855" s="7" t="s">
        <v>2222</v>
      </c>
      <c r="B1855" s="7" t="s">
        <v>18</v>
      </c>
      <c r="C1855" s="7" t="s">
        <v>359</v>
      </c>
      <c r="D1855" s="9">
        <v>46085</v>
      </c>
      <c r="E1855" s="9">
        <v>46115</v>
      </c>
      <c r="F1855" s="3">
        <v>1962.93</v>
      </c>
      <c r="G1855" s="7" t="s">
        <v>369</v>
      </c>
    </row>
    <row r="1856" spans="1:7" x14ac:dyDescent="0.3">
      <c r="A1856" s="7" t="s">
        <v>2223</v>
      </c>
      <c r="B1856" s="7" t="s">
        <v>69</v>
      </c>
      <c r="C1856" s="7" t="s">
        <v>355</v>
      </c>
      <c r="D1856" s="9">
        <v>46004</v>
      </c>
      <c r="E1856" s="9">
        <v>46034</v>
      </c>
      <c r="F1856" s="3">
        <v>10471.27</v>
      </c>
      <c r="G1856" s="7" t="s">
        <v>367</v>
      </c>
    </row>
    <row r="1857" spans="1:7" x14ac:dyDescent="0.3">
      <c r="A1857" s="7" t="s">
        <v>2224</v>
      </c>
      <c r="B1857" s="7" t="s">
        <v>120</v>
      </c>
      <c r="C1857" s="7" t="s">
        <v>359</v>
      </c>
      <c r="D1857" s="9">
        <v>46022</v>
      </c>
      <c r="E1857" s="9">
        <v>46052</v>
      </c>
      <c r="F1857" s="3">
        <v>1569.89</v>
      </c>
      <c r="G1857" s="7" t="s">
        <v>367</v>
      </c>
    </row>
    <row r="1858" spans="1:7" x14ac:dyDescent="0.3">
      <c r="A1858" s="7" t="s">
        <v>2225</v>
      </c>
      <c r="B1858" s="7" t="s">
        <v>25</v>
      </c>
      <c r="C1858" s="7" t="s">
        <v>351</v>
      </c>
      <c r="D1858" s="9">
        <v>45988</v>
      </c>
      <c r="E1858" s="9">
        <v>46018</v>
      </c>
      <c r="F1858" s="3">
        <v>5635</v>
      </c>
      <c r="G1858" s="7" t="s">
        <v>367</v>
      </c>
    </row>
    <row r="1859" spans="1:7" x14ac:dyDescent="0.3">
      <c r="A1859" s="7" t="s">
        <v>2226</v>
      </c>
      <c r="B1859" s="7" t="s">
        <v>19</v>
      </c>
      <c r="C1859" s="7" t="s">
        <v>349</v>
      </c>
      <c r="D1859" s="9">
        <v>46044</v>
      </c>
      <c r="E1859" s="9">
        <v>46074</v>
      </c>
      <c r="F1859" s="3">
        <v>2911.67</v>
      </c>
      <c r="G1859" s="7" t="s">
        <v>387</v>
      </c>
    </row>
    <row r="1860" spans="1:7" x14ac:dyDescent="0.3">
      <c r="A1860" s="7" t="s">
        <v>2227</v>
      </c>
      <c r="B1860" s="7" t="s">
        <v>55</v>
      </c>
      <c r="C1860" s="7" t="s">
        <v>359</v>
      </c>
      <c r="D1860" s="9">
        <v>46020</v>
      </c>
      <c r="E1860" s="9">
        <v>46050</v>
      </c>
      <c r="F1860" s="3">
        <v>1819.28</v>
      </c>
      <c r="G1860" s="7" t="s">
        <v>367</v>
      </c>
    </row>
    <row r="1861" spans="1:7" x14ac:dyDescent="0.3">
      <c r="A1861" s="7" t="s">
        <v>2228</v>
      </c>
      <c r="B1861" s="7" t="s">
        <v>89</v>
      </c>
      <c r="C1861" s="7" t="s">
        <v>355</v>
      </c>
      <c r="D1861" s="9">
        <v>46108</v>
      </c>
      <c r="E1861" s="9">
        <v>46138</v>
      </c>
      <c r="F1861" s="3">
        <v>9699.44</v>
      </c>
      <c r="G1861" s="7" t="s">
        <v>369</v>
      </c>
    </row>
    <row r="1862" spans="1:7" x14ac:dyDescent="0.3">
      <c r="A1862" s="7" t="s">
        <v>2229</v>
      </c>
      <c r="B1862" s="7" t="s">
        <v>87</v>
      </c>
      <c r="C1862" s="7" t="s">
        <v>349</v>
      </c>
      <c r="D1862" s="9">
        <v>46085</v>
      </c>
      <c r="E1862" s="9">
        <v>46115</v>
      </c>
      <c r="F1862" s="3">
        <v>2558.61</v>
      </c>
      <c r="G1862" s="7" t="s">
        <v>367</v>
      </c>
    </row>
    <row r="1863" spans="1:7" x14ac:dyDescent="0.3">
      <c r="A1863" s="7" t="s">
        <v>2230</v>
      </c>
      <c r="B1863" s="7" t="s">
        <v>111</v>
      </c>
      <c r="C1863" s="7" t="s">
        <v>357</v>
      </c>
      <c r="D1863" s="9">
        <v>46080</v>
      </c>
      <c r="E1863" s="9">
        <v>46110</v>
      </c>
      <c r="F1863" s="3">
        <v>2818.9</v>
      </c>
      <c r="G1863" s="7" t="s">
        <v>367</v>
      </c>
    </row>
    <row r="1864" spans="1:7" x14ac:dyDescent="0.3">
      <c r="A1864" s="7" t="s">
        <v>2231</v>
      </c>
      <c r="B1864" s="7" t="s">
        <v>104</v>
      </c>
      <c r="C1864" s="7" t="s">
        <v>353</v>
      </c>
      <c r="D1864" s="9">
        <v>46055</v>
      </c>
      <c r="E1864" s="9">
        <v>46085</v>
      </c>
      <c r="F1864" s="3">
        <v>2852.72</v>
      </c>
      <c r="G1864" s="7" t="s">
        <v>367</v>
      </c>
    </row>
    <row r="1865" spans="1:7" x14ac:dyDescent="0.3">
      <c r="A1865" s="7" t="s">
        <v>2232</v>
      </c>
      <c r="B1865" s="7" t="s">
        <v>68</v>
      </c>
      <c r="C1865" s="7" t="s">
        <v>357</v>
      </c>
      <c r="D1865" s="9">
        <v>45993</v>
      </c>
      <c r="E1865" s="9">
        <v>46023</v>
      </c>
      <c r="F1865" s="3">
        <v>4049.35</v>
      </c>
      <c r="G1865" s="7" t="s">
        <v>367</v>
      </c>
    </row>
    <row r="1866" spans="1:7" x14ac:dyDescent="0.3">
      <c r="A1866" s="7" t="s">
        <v>2233</v>
      </c>
      <c r="B1866" s="7" t="s">
        <v>76</v>
      </c>
      <c r="C1866" s="7" t="s">
        <v>351</v>
      </c>
      <c r="D1866" s="9">
        <v>46065</v>
      </c>
      <c r="E1866" s="9">
        <v>46095</v>
      </c>
      <c r="F1866" s="3">
        <v>4487.62</v>
      </c>
      <c r="G1866" s="7" t="s">
        <v>367</v>
      </c>
    </row>
    <row r="1867" spans="1:7" x14ac:dyDescent="0.3">
      <c r="A1867" s="7" t="s">
        <v>2234</v>
      </c>
      <c r="B1867" s="7" t="s">
        <v>20</v>
      </c>
      <c r="C1867" s="7" t="s">
        <v>349</v>
      </c>
      <c r="D1867" s="9">
        <v>46051</v>
      </c>
      <c r="E1867" s="9">
        <v>46081</v>
      </c>
      <c r="F1867" s="3">
        <v>2425.4499999999998</v>
      </c>
      <c r="G1867" s="7" t="s">
        <v>367</v>
      </c>
    </row>
    <row r="1868" spans="1:7" x14ac:dyDescent="0.3">
      <c r="A1868" s="7" t="s">
        <v>2235</v>
      </c>
      <c r="B1868" s="7" t="s">
        <v>35</v>
      </c>
      <c r="C1868" s="7" t="s">
        <v>357</v>
      </c>
      <c r="D1868" s="9">
        <v>46055</v>
      </c>
      <c r="E1868" s="9">
        <v>46085</v>
      </c>
      <c r="F1868" s="3">
        <v>4041.04</v>
      </c>
      <c r="G1868" s="7" t="s">
        <v>367</v>
      </c>
    </row>
    <row r="1869" spans="1:7" x14ac:dyDescent="0.3">
      <c r="A1869" s="7" t="s">
        <v>2236</v>
      </c>
      <c r="B1869" s="7" t="s">
        <v>43</v>
      </c>
      <c r="C1869" s="7" t="s">
        <v>349</v>
      </c>
      <c r="D1869" s="9">
        <v>45977</v>
      </c>
      <c r="E1869" s="9">
        <v>46007</v>
      </c>
      <c r="F1869" s="3">
        <v>2672.01</v>
      </c>
      <c r="G1869" s="7" t="s">
        <v>367</v>
      </c>
    </row>
    <row r="1870" spans="1:7" x14ac:dyDescent="0.3">
      <c r="A1870" s="7" t="s">
        <v>2237</v>
      </c>
      <c r="B1870" s="7" t="s">
        <v>98</v>
      </c>
      <c r="C1870" s="7" t="s">
        <v>351</v>
      </c>
      <c r="D1870" s="9">
        <v>45974</v>
      </c>
      <c r="E1870" s="9">
        <v>46004</v>
      </c>
      <c r="F1870" s="3">
        <v>5843.38</v>
      </c>
      <c r="G1870" s="7" t="s">
        <v>367</v>
      </c>
    </row>
    <row r="1871" spans="1:7" x14ac:dyDescent="0.3">
      <c r="A1871" s="7" t="s">
        <v>2238</v>
      </c>
      <c r="B1871" s="7" t="s">
        <v>43</v>
      </c>
      <c r="C1871" s="7" t="s">
        <v>349</v>
      </c>
      <c r="D1871" s="9">
        <v>46020</v>
      </c>
      <c r="E1871" s="9">
        <v>46050</v>
      </c>
      <c r="F1871" s="3">
        <v>2990.18</v>
      </c>
      <c r="G1871" s="7" t="s">
        <v>367</v>
      </c>
    </row>
    <row r="1872" spans="1:7" x14ac:dyDescent="0.3">
      <c r="A1872" s="7" t="s">
        <v>2239</v>
      </c>
      <c r="B1872" s="7" t="s">
        <v>124</v>
      </c>
      <c r="C1872" s="7" t="s">
        <v>353</v>
      </c>
      <c r="D1872" s="9">
        <v>45992</v>
      </c>
      <c r="E1872" s="9">
        <v>46022</v>
      </c>
      <c r="F1872" s="3">
        <v>2076.29</v>
      </c>
      <c r="G1872" s="7" t="s">
        <v>367</v>
      </c>
    </row>
    <row r="1873" spans="1:7" x14ac:dyDescent="0.3">
      <c r="A1873" s="7" t="s">
        <v>2240</v>
      </c>
      <c r="B1873" s="7" t="s">
        <v>74</v>
      </c>
      <c r="C1873" s="7" t="s">
        <v>349</v>
      </c>
      <c r="D1873" s="9">
        <v>45967</v>
      </c>
      <c r="E1873" s="9">
        <v>45997</v>
      </c>
      <c r="F1873" s="3">
        <v>3474.7</v>
      </c>
      <c r="G1873" s="7" t="s">
        <v>367</v>
      </c>
    </row>
    <row r="1874" spans="1:7" x14ac:dyDescent="0.3">
      <c r="A1874" s="7" t="s">
        <v>2241</v>
      </c>
      <c r="B1874" s="7" t="s">
        <v>92</v>
      </c>
      <c r="C1874" s="7" t="s">
        <v>353</v>
      </c>
      <c r="D1874" s="9">
        <v>45989</v>
      </c>
      <c r="E1874" s="9">
        <v>46019</v>
      </c>
      <c r="F1874" s="3">
        <v>2599.61</v>
      </c>
      <c r="G1874" s="7" t="s">
        <v>367</v>
      </c>
    </row>
    <row r="1875" spans="1:7" x14ac:dyDescent="0.3">
      <c r="A1875" s="7" t="s">
        <v>2242</v>
      </c>
      <c r="B1875" s="7" t="s">
        <v>20</v>
      </c>
      <c r="C1875" s="7" t="s">
        <v>359</v>
      </c>
      <c r="D1875" s="9">
        <v>46107</v>
      </c>
      <c r="E1875" s="9">
        <v>46137</v>
      </c>
      <c r="F1875" s="3">
        <v>1657.13</v>
      </c>
      <c r="G1875" s="7" t="s">
        <v>367</v>
      </c>
    </row>
    <row r="1876" spans="1:7" x14ac:dyDescent="0.3">
      <c r="A1876" s="7" t="s">
        <v>2243</v>
      </c>
      <c r="B1876" s="7" t="s">
        <v>110</v>
      </c>
      <c r="C1876" s="7" t="s">
        <v>353</v>
      </c>
      <c r="D1876" s="9">
        <v>46027</v>
      </c>
      <c r="E1876" s="9">
        <v>46057</v>
      </c>
      <c r="F1876" s="3">
        <v>2916.23</v>
      </c>
      <c r="G1876" s="7" t="s">
        <v>369</v>
      </c>
    </row>
    <row r="1877" spans="1:7" x14ac:dyDescent="0.3">
      <c r="A1877" s="7" t="s">
        <v>2244</v>
      </c>
      <c r="B1877" s="7" t="s">
        <v>26</v>
      </c>
      <c r="C1877" s="7" t="s">
        <v>359</v>
      </c>
      <c r="D1877" s="9">
        <v>46092</v>
      </c>
      <c r="E1877" s="9">
        <v>46122</v>
      </c>
      <c r="F1877" s="3">
        <v>2015.05</v>
      </c>
      <c r="G1877" s="7" t="s">
        <v>369</v>
      </c>
    </row>
    <row r="1878" spans="1:7" x14ac:dyDescent="0.3">
      <c r="A1878" s="7" t="s">
        <v>2245</v>
      </c>
      <c r="B1878" s="7" t="s">
        <v>108</v>
      </c>
      <c r="C1878" s="7" t="s">
        <v>359</v>
      </c>
      <c r="D1878" s="9">
        <v>46051</v>
      </c>
      <c r="E1878" s="9">
        <v>46081</v>
      </c>
      <c r="F1878" s="3">
        <v>1545.54</v>
      </c>
      <c r="G1878" s="7" t="s">
        <v>367</v>
      </c>
    </row>
    <row r="1879" spans="1:7" x14ac:dyDescent="0.3">
      <c r="A1879" s="7" t="s">
        <v>2246</v>
      </c>
      <c r="B1879" s="7" t="s">
        <v>100</v>
      </c>
      <c r="C1879" s="7" t="s">
        <v>355</v>
      </c>
      <c r="D1879" s="9">
        <v>46078</v>
      </c>
      <c r="E1879" s="9">
        <v>46108</v>
      </c>
      <c r="F1879" s="3">
        <v>13510.32</v>
      </c>
      <c r="G1879" s="7" t="s">
        <v>367</v>
      </c>
    </row>
    <row r="1880" spans="1:7" x14ac:dyDescent="0.3">
      <c r="A1880" s="7" t="s">
        <v>2247</v>
      </c>
      <c r="B1880" s="7" t="s">
        <v>56</v>
      </c>
      <c r="C1880" s="7" t="s">
        <v>353</v>
      </c>
      <c r="D1880" s="9">
        <v>46002</v>
      </c>
      <c r="E1880" s="9">
        <v>46032</v>
      </c>
      <c r="F1880" s="3">
        <v>2144.67</v>
      </c>
      <c r="G1880" s="7" t="s">
        <v>367</v>
      </c>
    </row>
    <row r="1881" spans="1:7" x14ac:dyDescent="0.3">
      <c r="A1881" s="7" t="s">
        <v>2248</v>
      </c>
      <c r="B1881" s="7" t="s">
        <v>59</v>
      </c>
      <c r="C1881" s="7" t="s">
        <v>353</v>
      </c>
      <c r="D1881" s="9">
        <v>45992</v>
      </c>
      <c r="E1881" s="9">
        <v>46022</v>
      </c>
      <c r="F1881" s="3">
        <v>2319.3200000000002</v>
      </c>
      <c r="G1881" s="7" t="s">
        <v>367</v>
      </c>
    </row>
    <row r="1882" spans="1:7" x14ac:dyDescent="0.3">
      <c r="A1882" s="7" t="s">
        <v>2249</v>
      </c>
      <c r="B1882" s="7" t="s">
        <v>90</v>
      </c>
      <c r="C1882" s="7" t="s">
        <v>357</v>
      </c>
      <c r="D1882" s="9">
        <v>46097</v>
      </c>
      <c r="E1882" s="9">
        <v>46127</v>
      </c>
      <c r="F1882" s="3">
        <v>3910.9</v>
      </c>
      <c r="G1882" s="7" t="s">
        <v>369</v>
      </c>
    </row>
    <row r="1883" spans="1:7" x14ac:dyDescent="0.3">
      <c r="A1883" s="7" t="s">
        <v>2250</v>
      </c>
      <c r="B1883" s="7" t="s">
        <v>70</v>
      </c>
      <c r="C1883" s="7" t="s">
        <v>351</v>
      </c>
      <c r="D1883" s="9">
        <v>45978</v>
      </c>
      <c r="E1883" s="9">
        <v>46008</v>
      </c>
      <c r="F1883" s="3">
        <v>4766.37</v>
      </c>
      <c r="G1883" s="7" t="s">
        <v>367</v>
      </c>
    </row>
    <row r="1884" spans="1:7" x14ac:dyDescent="0.3">
      <c r="A1884" s="7" t="s">
        <v>2251</v>
      </c>
      <c r="B1884" s="7" t="s">
        <v>98</v>
      </c>
      <c r="C1884" s="7" t="s">
        <v>357</v>
      </c>
      <c r="D1884" s="9">
        <v>46092</v>
      </c>
      <c r="E1884" s="9">
        <v>46122</v>
      </c>
      <c r="F1884" s="3">
        <v>3550.7</v>
      </c>
      <c r="G1884" s="7" t="s">
        <v>367</v>
      </c>
    </row>
    <row r="1885" spans="1:7" x14ac:dyDescent="0.3">
      <c r="A1885" s="7" t="s">
        <v>2252</v>
      </c>
      <c r="B1885" s="7" t="s">
        <v>35</v>
      </c>
      <c r="C1885" s="7" t="s">
        <v>355</v>
      </c>
      <c r="D1885" s="9">
        <v>46023</v>
      </c>
      <c r="E1885" s="9">
        <v>46053</v>
      </c>
      <c r="F1885" s="3">
        <v>12129.34</v>
      </c>
      <c r="G1885" s="7" t="s">
        <v>369</v>
      </c>
    </row>
    <row r="1886" spans="1:7" x14ac:dyDescent="0.3">
      <c r="A1886" s="7" t="s">
        <v>2253</v>
      </c>
      <c r="B1886" s="7" t="s">
        <v>115</v>
      </c>
      <c r="C1886" s="7" t="s">
        <v>359</v>
      </c>
      <c r="D1886" s="9">
        <v>46101</v>
      </c>
      <c r="E1886" s="9">
        <v>46131</v>
      </c>
      <c r="F1886" s="3">
        <v>1502.82</v>
      </c>
      <c r="G1886" s="7" t="s">
        <v>367</v>
      </c>
    </row>
    <row r="1887" spans="1:7" x14ac:dyDescent="0.3">
      <c r="A1887" s="7" t="s">
        <v>2254</v>
      </c>
      <c r="B1887" s="7" t="s">
        <v>14</v>
      </c>
      <c r="C1887" s="7" t="s">
        <v>349</v>
      </c>
      <c r="D1887" s="9">
        <v>45984</v>
      </c>
      <c r="E1887" s="9">
        <v>46014</v>
      </c>
      <c r="F1887" s="3">
        <v>2834.88</v>
      </c>
      <c r="G1887" s="7" t="s">
        <v>369</v>
      </c>
    </row>
    <row r="1888" spans="1:7" x14ac:dyDescent="0.3">
      <c r="A1888" s="7" t="s">
        <v>2255</v>
      </c>
      <c r="B1888" s="7" t="s">
        <v>25</v>
      </c>
      <c r="C1888" s="7" t="s">
        <v>353</v>
      </c>
      <c r="D1888" s="9">
        <v>45982</v>
      </c>
      <c r="E1888" s="9">
        <v>46012</v>
      </c>
      <c r="F1888" s="3">
        <v>2360.86</v>
      </c>
      <c r="G1888" s="7" t="s">
        <v>367</v>
      </c>
    </row>
    <row r="1889" spans="1:7" x14ac:dyDescent="0.3">
      <c r="A1889" s="7" t="s">
        <v>2256</v>
      </c>
      <c r="B1889" s="7" t="s">
        <v>35</v>
      </c>
      <c r="C1889" s="7" t="s">
        <v>357</v>
      </c>
      <c r="D1889" s="9">
        <v>46060</v>
      </c>
      <c r="E1889" s="9">
        <v>46090</v>
      </c>
      <c r="F1889" s="3">
        <v>4160.55</v>
      </c>
      <c r="G1889" s="7" t="s">
        <v>367</v>
      </c>
    </row>
    <row r="1890" spans="1:7" x14ac:dyDescent="0.3">
      <c r="A1890" s="7" t="s">
        <v>2257</v>
      </c>
      <c r="B1890" s="7" t="s">
        <v>55</v>
      </c>
      <c r="C1890" s="7" t="s">
        <v>349</v>
      </c>
      <c r="D1890" s="9">
        <v>46002</v>
      </c>
      <c r="E1890" s="9">
        <v>46032</v>
      </c>
      <c r="F1890" s="3">
        <v>3296.39</v>
      </c>
      <c r="G1890" s="7" t="s">
        <v>367</v>
      </c>
    </row>
    <row r="1891" spans="1:7" x14ac:dyDescent="0.3">
      <c r="A1891" s="7" t="s">
        <v>2258</v>
      </c>
      <c r="B1891" s="7" t="s">
        <v>20</v>
      </c>
      <c r="C1891" s="7" t="s">
        <v>359</v>
      </c>
      <c r="D1891" s="9">
        <v>45964</v>
      </c>
      <c r="E1891" s="9">
        <v>45994</v>
      </c>
      <c r="F1891" s="3">
        <v>1458.97</v>
      </c>
      <c r="G1891" s="7" t="s">
        <v>367</v>
      </c>
    </row>
    <row r="1892" spans="1:7" x14ac:dyDescent="0.3">
      <c r="A1892" s="7" t="s">
        <v>2259</v>
      </c>
      <c r="B1892" s="7" t="s">
        <v>10</v>
      </c>
      <c r="C1892" s="7" t="s">
        <v>359</v>
      </c>
      <c r="D1892" s="9">
        <v>46004</v>
      </c>
      <c r="E1892" s="9">
        <v>46034</v>
      </c>
      <c r="F1892" s="3">
        <v>1858.76</v>
      </c>
      <c r="G1892" s="7" t="s">
        <v>369</v>
      </c>
    </row>
    <row r="1893" spans="1:7" x14ac:dyDescent="0.3">
      <c r="A1893" s="7" t="s">
        <v>2260</v>
      </c>
      <c r="B1893" s="7" t="s">
        <v>79</v>
      </c>
      <c r="C1893" s="7" t="s">
        <v>351</v>
      </c>
      <c r="D1893" s="9">
        <v>46107</v>
      </c>
      <c r="E1893" s="9">
        <v>46137</v>
      </c>
      <c r="F1893" s="3">
        <v>4730.49</v>
      </c>
      <c r="G1893" s="7" t="s">
        <v>367</v>
      </c>
    </row>
    <row r="1894" spans="1:7" x14ac:dyDescent="0.3">
      <c r="A1894" s="7" t="s">
        <v>2261</v>
      </c>
      <c r="B1894" s="7" t="s">
        <v>102</v>
      </c>
      <c r="C1894" s="7" t="s">
        <v>355</v>
      </c>
      <c r="D1894" s="9">
        <v>45973</v>
      </c>
      <c r="E1894" s="9">
        <v>46003</v>
      </c>
      <c r="F1894" s="3">
        <v>10318.64</v>
      </c>
      <c r="G1894" s="7" t="s">
        <v>367</v>
      </c>
    </row>
    <row r="1895" spans="1:7" x14ac:dyDescent="0.3">
      <c r="A1895" s="7" t="s">
        <v>2262</v>
      </c>
      <c r="B1895" s="7" t="s">
        <v>50</v>
      </c>
      <c r="C1895" s="7" t="s">
        <v>357</v>
      </c>
      <c r="D1895" s="9">
        <v>46090</v>
      </c>
      <c r="E1895" s="9">
        <v>46120</v>
      </c>
      <c r="F1895" s="3">
        <v>3777.99</v>
      </c>
      <c r="G1895" s="7" t="s">
        <v>367</v>
      </c>
    </row>
    <row r="1896" spans="1:7" x14ac:dyDescent="0.3">
      <c r="A1896" s="7" t="s">
        <v>2263</v>
      </c>
      <c r="B1896" s="7" t="s">
        <v>26</v>
      </c>
      <c r="C1896" s="7" t="s">
        <v>355</v>
      </c>
      <c r="D1896" s="9">
        <v>46097</v>
      </c>
      <c r="E1896" s="9">
        <v>46127</v>
      </c>
      <c r="F1896" s="3">
        <v>13350.71</v>
      </c>
      <c r="G1896" s="7" t="s">
        <v>367</v>
      </c>
    </row>
    <row r="1897" spans="1:7" x14ac:dyDescent="0.3">
      <c r="A1897" s="7" t="s">
        <v>2264</v>
      </c>
      <c r="B1897" s="7" t="s">
        <v>71</v>
      </c>
      <c r="C1897" s="7" t="s">
        <v>349</v>
      </c>
      <c r="D1897" s="9">
        <v>45979</v>
      </c>
      <c r="E1897" s="9">
        <v>46009</v>
      </c>
      <c r="F1897" s="3">
        <v>3457.39</v>
      </c>
      <c r="G1897" s="7" t="s">
        <v>369</v>
      </c>
    </row>
    <row r="1898" spans="1:7" x14ac:dyDescent="0.3">
      <c r="A1898" s="7" t="s">
        <v>2265</v>
      </c>
      <c r="B1898" s="7" t="s">
        <v>119</v>
      </c>
      <c r="C1898" s="7" t="s">
        <v>351</v>
      </c>
      <c r="D1898" s="9">
        <v>46095</v>
      </c>
      <c r="E1898" s="9">
        <v>46125</v>
      </c>
      <c r="F1898" s="3">
        <v>4021.74</v>
      </c>
      <c r="G1898" s="7" t="s">
        <v>367</v>
      </c>
    </row>
    <row r="1899" spans="1:7" x14ac:dyDescent="0.3">
      <c r="A1899" s="7" t="s">
        <v>2266</v>
      </c>
      <c r="B1899" s="7" t="s">
        <v>71</v>
      </c>
      <c r="C1899" s="7" t="s">
        <v>355</v>
      </c>
      <c r="D1899" s="9">
        <v>46014</v>
      </c>
      <c r="E1899" s="9">
        <v>46044</v>
      </c>
      <c r="F1899" s="3">
        <v>12259.95</v>
      </c>
      <c r="G1899" s="7" t="s">
        <v>369</v>
      </c>
    </row>
    <row r="1900" spans="1:7" x14ac:dyDescent="0.3">
      <c r="A1900" s="7" t="s">
        <v>2267</v>
      </c>
      <c r="B1900" s="7" t="s">
        <v>18</v>
      </c>
      <c r="C1900" s="7" t="s">
        <v>353</v>
      </c>
      <c r="D1900" s="9">
        <v>45967</v>
      </c>
      <c r="E1900" s="9">
        <v>45997</v>
      </c>
      <c r="F1900" s="3">
        <v>2709.35</v>
      </c>
      <c r="G1900" s="7" t="s">
        <v>367</v>
      </c>
    </row>
    <row r="1901" spans="1:7" x14ac:dyDescent="0.3">
      <c r="A1901" s="7" t="s">
        <v>2268</v>
      </c>
      <c r="B1901" s="7" t="s">
        <v>86</v>
      </c>
      <c r="C1901" s="7" t="s">
        <v>357</v>
      </c>
      <c r="D1901" s="9">
        <v>46052</v>
      </c>
      <c r="E1901" s="9">
        <v>46082</v>
      </c>
      <c r="F1901" s="3">
        <v>3328.58</v>
      </c>
      <c r="G1901" s="7" t="s">
        <v>367</v>
      </c>
    </row>
    <row r="1902" spans="1:7" x14ac:dyDescent="0.3">
      <c r="A1902" s="7" t="s">
        <v>2269</v>
      </c>
      <c r="B1902" s="7" t="s">
        <v>84</v>
      </c>
      <c r="C1902" s="7" t="s">
        <v>349</v>
      </c>
      <c r="D1902" s="9">
        <v>46073</v>
      </c>
      <c r="E1902" s="9">
        <v>46103</v>
      </c>
      <c r="F1902" s="3">
        <v>2662.69</v>
      </c>
      <c r="G1902" s="7" t="s">
        <v>387</v>
      </c>
    </row>
    <row r="1903" spans="1:7" x14ac:dyDescent="0.3">
      <c r="A1903" s="7" t="s">
        <v>2270</v>
      </c>
      <c r="B1903" s="7" t="s">
        <v>89</v>
      </c>
      <c r="C1903" s="7" t="s">
        <v>349</v>
      </c>
      <c r="D1903" s="9">
        <v>45967</v>
      </c>
      <c r="E1903" s="9">
        <v>45997</v>
      </c>
      <c r="F1903" s="3">
        <v>3379.87</v>
      </c>
      <c r="G1903" s="7" t="s">
        <v>367</v>
      </c>
    </row>
    <row r="1904" spans="1:7" x14ac:dyDescent="0.3">
      <c r="A1904" s="7" t="s">
        <v>2271</v>
      </c>
      <c r="B1904" s="7" t="s">
        <v>89</v>
      </c>
      <c r="C1904" s="7" t="s">
        <v>355</v>
      </c>
      <c r="D1904" s="9">
        <v>45993</v>
      </c>
      <c r="E1904" s="9">
        <v>46023</v>
      </c>
      <c r="F1904" s="3">
        <v>13570.82</v>
      </c>
      <c r="G1904" s="7" t="s">
        <v>369</v>
      </c>
    </row>
    <row r="1905" spans="1:7" x14ac:dyDescent="0.3">
      <c r="A1905" s="7" t="s">
        <v>2272</v>
      </c>
      <c r="B1905" s="7" t="s">
        <v>84</v>
      </c>
      <c r="C1905" s="7" t="s">
        <v>355</v>
      </c>
      <c r="D1905" s="9">
        <v>46031</v>
      </c>
      <c r="E1905" s="9">
        <v>46061</v>
      </c>
      <c r="F1905" s="3">
        <v>10534.71</v>
      </c>
      <c r="G1905" s="7" t="s">
        <v>367</v>
      </c>
    </row>
    <row r="1906" spans="1:7" x14ac:dyDescent="0.3">
      <c r="A1906" s="7" t="s">
        <v>2273</v>
      </c>
      <c r="B1906" s="7" t="s">
        <v>15</v>
      </c>
      <c r="C1906" s="7" t="s">
        <v>353</v>
      </c>
      <c r="D1906" s="9">
        <v>46039</v>
      </c>
      <c r="E1906" s="9">
        <v>46069</v>
      </c>
      <c r="F1906" s="3">
        <v>2028.05</v>
      </c>
      <c r="G1906" s="7" t="s">
        <v>367</v>
      </c>
    </row>
    <row r="1907" spans="1:7" x14ac:dyDescent="0.3">
      <c r="A1907" s="7" t="s">
        <v>2274</v>
      </c>
      <c r="B1907" s="7" t="s">
        <v>32</v>
      </c>
      <c r="C1907" s="7" t="s">
        <v>351</v>
      </c>
      <c r="D1907" s="9">
        <v>45964</v>
      </c>
      <c r="E1907" s="9">
        <v>45994</v>
      </c>
      <c r="F1907" s="3">
        <v>5194.22</v>
      </c>
      <c r="G1907" s="7" t="s">
        <v>367</v>
      </c>
    </row>
    <row r="1908" spans="1:7" x14ac:dyDescent="0.3">
      <c r="A1908" s="7" t="s">
        <v>2275</v>
      </c>
      <c r="B1908" s="7" t="s">
        <v>79</v>
      </c>
      <c r="C1908" s="7" t="s">
        <v>359</v>
      </c>
      <c r="D1908" s="9">
        <v>45973</v>
      </c>
      <c r="E1908" s="9">
        <v>46003</v>
      </c>
      <c r="F1908" s="3">
        <v>2109.0300000000002</v>
      </c>
      <c r="G1908" s="7" t="s">
        <v>367</v>
      </c>
    </row>
    <row r="1909" spans="1:7" x14ac:dyDescent="0.3">
      <c r="A1909" s="7" t="s">
        <v>2276</v>
      </c>
      <c r="B1909" s="7" t="s">
        <v>47</v>
      </c>
      <c r="C1909" s="7" t="s">
        <v>357</v>
      </c>
      <c r="D1909" s="9">
        <v>46042</v>
      </c>
      <c r="E1909" s="9">
        <v>46072</v>
      </c>
      <c r="F1909" s="3">
        <v>2862.82</v>
      </c>
      <c r="G1909" s="7" t="s">
        <v>367</v>
      </c>
    </row>
    <row r="1910" spans="1:7" x14ac:dyDescent="0.3">
      <c r="A1910" s="7" t="s">
        <v>2277</v>
      </c>
      <c r="B1910" s="7" t="s">
        <v>57</v>
      </c>
      <c r="C1910" s="7" t="s">
        <v>349</v>
      </c>
      <c r="D1910" s="9">
        <v>46053</v>
      </c>
      <c r="E1910" s="9">
        <v>46083</v>
      </c>
      <c r="F1910" s="3">
        <v>3532.21</v>
      </c>
      <c r="G1910" s="7" t="s">
        <v>369</v>
      </c>
    </row>
    <row r="1911" spans="1:7" x14ac:dyDescent="0.3">
      <c r="A1911" s="7" t="s">
        <v>2278</v>
      </c>
      <c r="B1911" s="7" t="s">
        <v>23</v>
      </c>
      <c r="C1911" s="7" t="s">
        <v>357</v>
      </c>
      <c r="D1911" s="9">
        <v>46069</v>
      </c>
      <c r="E1911" s="9">
        <v>46099</v>
      </c>
      <c r="F1911" s="3">
        <v>3072.84</v>
      </c>
      <c r="G1911" s="7" t="s">
        <v>367</v>
      </c>
    </row>
    <row r="1912" spans="1:7" x14ac:dyDescent="0.3">
      <c r="A1912" s="7" t="s">
        <v>2279</v>
      </c>
      <c r="B1912" s="7" t="s">
        <v>71</v>
      </c>
      <c r="C1912" s="7" t="s">
        <v>359</v>
      </c>
      <c r="D1912" s="9">
        <v>46102</v>
      </c>
      <c r="E1912" s="9">
        <v>46132</v>
      </c>
      <c r="F1912" s="3">
        <v>1925.77</v>
      </c>
      <c r="G1912" s="7" t="s">
        <v>369</v>
      </c>
    </row>
    <row r="1913" spans="1:7" x14ac:dyDescent="0.3">
      <c r="A1913" s="7" t="s">
        <v>2280</v>
      </c>
      <c r="B1913" s="7" t="s">
        <v>108</v>
      </c>
      <c r="C1913" s="7" t="s">
        <v>349</v>
      </c>
      <c r="D1913" s="9">
        <v>46055</v>
      </c>
      <c r="E1913" s="9">
        <v>46085</v>
      </c>
      <c r="F1913" s="3">
        <v>3002.61</v>
      </c>
      <c r="G1913" s="7" t="s">
        <v>367</v>
      </c>
    </row>
    <row r="1914" spans="1:7" x14ac:dyDescent="0.3">
      <c r="A1914" s="7" t="s">
        <v>2281</v>
      </c>
      <c r="B1914" s="7" t="s">
        <v>26</v>
      </c>
      <c r="C1914" s="7" t="s">
        <v>355</v>
      </c>
      <c r="D1914" s="9">
        <v>45970</v>
      </c>
      <c r="E1914" s="9">
        <v>46000</v>
      </c>
      <c r="F1914" s="3">
        <v>11889.37</v>
      </c>
      <c r="G1914" s="7" t="s">
        <v>367</v>
      </c>
    </row>
    <row r="1915" spans="1:7" x14ac:dyDescent="0.3">
      <c r="A1915" s="7" t="s">
        <v>2282</v>
      </c>
      <c r="B1915" s="7" t="s">
        <v>98</v>
      </c>
      <c r="C1915" s="7" t="s">
        <v>359</v>
      </c>
      <c r="D1915" s="9">
        <v>46040</v>
      </c>
      <c r="E1915" s="9">
        <v>46070</v>
      </c>
      <c r="F1915" s="3">
        <v>1773.44</v>
      </c>
      <c r="G1915" s="7" t="s">
        <v>367</v>
      </c>
    </row>
    <row r="1916" spans="1:7" x14ac:dyDescent="0.3">
      <c r="A1916" s="7" t="s">
        <v>2283</v>
      </c>
      <c r="B1916" s="7" t="s">
        <v>105</v>
      </c>
      <c r="C1916" s="7" t="s">
        <v>351</v>
      </c>
      <c r="D1916" s="9">
        <v>45962</v>
      </c>
      <c r="E1916" s="9">
        <v>45992</v>
      </c>
      <c r="F1916" s="3">
        <v>5768.8</v>
      </c>
      <c r="G1916" s="7" t="s">
        <v>367</v>
      </c>
    </row>
    <row r="1917" spans="1:7" x14ac:dyDescent="0.3">
      <c r="A1917" s="7" t="s">
        <v>2284</v>
      </c>
      <c r="B1917" s="7" t="s">
        <v>84</v>
      </c>
      <c r="C1917" s="7" t="s">
        <v>359</v>
      </c>
      <c r="D1917" s="9">
        <v>45970</v>
      </c>
      <c r="E1917" s="9">
        <v>46000</v>
      </c>
      <c r="F1917" s="3">
        <v>1555.95</v>
      </c>
      <c r="G1917" s="7" t="s">
        <v>387</v>
      </c>
    </row>
    <row r="1918" spans="1:7" x14ac:dyDescent="0.3">
      <c r="A1918" s="7" t="s">
        <v>2285</v>
      </c>
      <c r="B1918" s="7" t="s">
        <v>23</v>
      </c>
      <c r="C1918" s="7" t="s">
        <v>359</v>
      </c>
      <c r="D1918" s="9">
        <v>46084</v>
      </c>
      <c r="E1918" s="9">
        <v>46114</v>
      </c>
      <c r="F1918" s="3">
        <v>1816.77</v>
      </c>
      <c r="G1918" s="7" t="s">
        <v>367</v>
      </c>
    </row>
    <row r="1919" spans="1:7" x14ac:dyDescent="0.3">
      <c r="A1919" s="7" t="s">
        <v>2286</v>
      </c>
      <c r="B1919" s="7" t="s">
        <v>98</v>
      </c>
      <c r="C1919" s="7" t="s">
        <v>353</v>
      </c>
      <c r="D1919" s="9">
        <v>46103</v>
      </c>
      <c r="E1919" s="9">
        <v>46133</v>
      </c>
      <c r="F1919" s="3">
        <v>2290.84</v>
      </c>
      <c r="G1919" s="7" t="s">
        <v>367</v>
      </c>
    </row>
    <row r="1920" spans="1:7" x14ac:dyDescent="0.3">
      <c r="A1920" s="7" t="s">
        <v>2287</v>
      </c>
      <c r="B1920" s="7" t="s">
        <v>26</v>
      </c>
      <c r="C1920" s="7" t="s">
        <v>359</v>
      </c>
      <c r="D1920" s="9">
        <v>46018</v>
      </c>
      <c r="E1920" s="9">
        <v>46048</v>
      </c>
      <c r="F1920" s="3">
        <v>1719.1</v>
      </c>
      <c r="G1920" s="7" t="s">
        <v>367</v>
      </c>
    </row>
    <row r="1921" spans="1:7" x14ac:dyDescent="0.3">
      <c r="A1921" s="7" t="s">
        <v>2288</v>
      </c>
      <c r="B1921" s="7" t="s">
        <v>25</v>
      </c>
      <c r="C1921" s="7" t="s">
        <v>357</v>
      </c>
      <c r="D1921" s="9">
        <v>45972</v>
      </c>
      <c r="E1921" s="9">
        <v>46002</v>
      </c>
      <c r="F1921" s="3">
        <v>3678.91</v>
      </c>
      <c r="G1921" s="7" t="s">
        <v>369</v>
      </c>
    </row>
    <row r="1922" spans="1:7" x14ac:dyDescent="0.3">
      <c r="A1922" s="7" t="s">
        <v>2289</v>
      </c>
      <c r="B1922" s="7" t="s">
        <v>65</v>
      </c>
      <c r="C1922" s="7" t="s">
        <v>353</v>
      </c>
      <c r="D1922" s="9">
        <v>46089</v>
      </c>
      <c r="E1922" s="9">
        <v>46119</v>
      </c>
      <c r="F1922" s="3">
        <v>2547.14</v>
      </c>
      <c r="G1922" s="7" t="s">
        <v>367</v>
      </c>
    </row>
    <row r="1923" spans="1:7" x14ac:dyDescent="0.3">
      <c r="A1923" s="7" t="s">
        <v>2290</v>
      </c>
      <c r="B1923" s="7" t="s">
        <v>80</v>
      </c>
      <c r="C1923" s="7" t="s">
        <v>353</v>
      </c>
      <c r="D1923" s="9">
        <v>46103</v>
      </c>
      <c r="E1923" s="9">
        <v>46133</v>
      </c>
      <c r="F1923" s="3">
        <v>2169.7199999999998</v>
      </c>
      <c r="G1923" s="7" t="s">
        <v>367</v>
      </c>
    </row>
    <row r="1924" spans="1:7" x14ac:dyDescent="0.3">
      <c r="A1924" s="7" t="s">
        <v>2291</v>
      </c>
      <c r="B1924" s="7" t="s">
        <v>65</v>
      </c>
      <c r="C1924" s="7" t="s">
        <v>353</v>
      </c>
      <c r="D1924" s="9">
        <v>45988</v>
      </c>
      <c r="E1924" s="9">
        <v>46018</v>
      </c>
      <c r="F1924" s="3">
        <v>2353.37</v>
      </c>
      <c r="G1924" s="7" t="s">
        <v>367</v>
      </c>
    </row>
    <row r="1925" spans="1:7" x14ac:dyDescent="0.3">
      <c r="A1925" s="7" t="s">
        <v>2292</v>
      </c>
      <c r="B1925" s="7" t="s">
        <v>24</v>
      </c>
      <c r="C1925" s="7" t="s">
        <v>353</v>
      </c>
      <c r="D1925" s="9">
        <v>46089</v>
      </c>
      <c r="E1925" s="9">
        <v>46119</v>
      </c>
      <c r="F1925" s="3">
        <v>2986.14</v>
      </c>
      <c r="G1925" s="7" t="s">
        <v>367</v>
      </c>
    </row>
    <row r="1926" spans="1:7" x14ac:dyDescent="0.3">
      <c r="A1926" s="7" t="s">
        <v>2293</v>
      </c>
      <c r="B1926" s="7" t="s">
        <v>43</v>
      </c>
      <c r="C1926" s="7" t="s">
        <v>349</v>
      </c>
      <c r="D1926" s="9">
        <v>46091</v>
      </c>
      <c r="E1926" s="9">
        <v>46121</v>
      </c>
      <c r="F1926" s="3">
        <v>3566.02</v>
      </c>
      <c r="G1926" s="7" t="s">
        <v>367</v>
      </c>
    </row>
    <row r="1927" spans="1:7" x14ac:dyDescent="0.3">
      <c r="A1927" s="7" t="s">
        <v>2294</v>
      </c>
      <c r="B1927" s="7" t="s">
        <v>53</v>
      </c>
      <c r="C1927" s="7" t="s">
        <v>355</v>
      </c>
      <c r="D1927" s="9">
        <v>46081</v>
      </c>
      <c r="E1927" s="9">
        <v>46111</v>
      </c>
      <c r="F1927" s="3">
        <v>11563.36</v>
      </c>
      <c r="G1927" s="7" t="s">
        <v>367</v>
      </c>
    </row>
    <row r="1928" spans="1:7" x14ac:dyDescent="0.3">
      <c r="A1928" s="7" t="s">
        <v>2295</v>
      </c>
      <c r="B1928" s="7" t="s">
        <v>59</v>
      </c>
      <c r="C1928" s="7" t="s">
        <v>357</v>
      </c>
      <c r="D1928" s="9">
        <v>45966</v>
      </c>
      <c r="E1928" s="9">
        <v>45996</v>
      </c>
      <c r="F1928" s="3">
        <v>3982.77</v>
      </c>
      <c r="G1928" s="7" t="s">
        <v>367</v>
      </c>
    </row>
    <row r="1929" spans="1:7" x14ac:dyDescent="0.3">
      <c r="A1929" s="7" t="s">
        <v>2296</v>
      </c>
      <c r="B1929" s="7" t="s">
        <v>89</v>
      </c>
      <c r="C1929" s="7" t="s">
        <v>357</v>
      </c>
      <c r="D1929" s="9">
        <v>46081</v>
      </c>
      <c r="E1929" s="9">
        <v>46111</v>
      </c>
      <c r="F1929" s="3">
        <v>3430.13</v>
      </c>
      <c r="G1929" s="7" t="s">
        <v>367</v>
      </c>
    </row>
    <row r="1930" spans="1:7" x14ac:dyDescent="0.3">
      <c r="A1930" s="7" t="s">
        <v>2297</v>
      </c>
      <c r="B1930" s="7" t="s">
        <v>8</v>
      </c>
      <c r="C1930" s="7" t="s">
        <v>349</v>
      </c>
      <c r="D1930" s="9">
        <v>45980</v>
      </c>
      <c r="E1930" s="9">
        <v>46010</v>
      </c>
      <c r="F1930" s="3">
        <v>3289.25</v>
      </c>
      <c r="G1930" s="7" t="s">
        <v>369</v>
      </c>
    </row>
    <row r="1931" spans="1:7" x14ac:dyDescent="0.3">
      <c r="A1931" s="7" t="s">
        <v>2298</v>
      </c>
      <c r="B1931" s="7" t="s">
        <v>58</v>
      </c>
      <c r="C1931" s="7" t="s">
        <v>351</v>
      </c>
      <c r="D1931" s="9">
        <v>46083</v>
      </c>
      <c r="E1931" s="9">
        <v>46113</v>
      </c>
      <c r="F1931" s="3">
        <v>5706.12</v>
      </c>
      <c r="G1931" s="7" t="s">
        <v>367</v>
      </c>
    </row>
    <row r="1932" spans="1:7" x14ac:dyDescent="0.3">
      <c r="A1932" s="7" t="s">
        <v>2299</v>
      </c>
      <c r="B1932" s="7" t="s">
        <v>51</v>
      </c>
      <c r="C1932" s="7" t="s">
        <v>349</v>
      </c>
      <c r="D1932" s="9">
        <v>46106</v>
      </c>
      <c r="E1932" s="9">
        <v>46136</v>
      </c>
      <c r="F1932" s="3">
        <v>2667.66</v>
      </c>
      <c r="G1932" s="7" t="s">
        <v>367</v>
      </c>
    </row>
    <row r="1933" spans="1:7" x14ac:dyDescent="0.3">
      <c r="A1933" s="7" t="s">
        <v>2300</v>
      </c>
      <c r="B1933" s="7" t="s">
        <v>30</v>
      </c>
      <c r="C1933" s="7" t="s">
        <v>355</v>
      </c>
      <c r="D1933" s="9">
        <v>45981</v>
      </c>
      <c r="E1933" s="9">
        <v>46011</v>
      </c>
      <c r="F1933" s="3">
        <v>11848.75</v>
      </c>
      <c r="G1933" s="7" t="s">
        <v>367</v>
      </c>
    </row>
    <row r="1934" spans="1:7" x14ac:dyDescent="0.3">
      <c r="A1934" s="7" t="s">
        <v>2301</v>
      </c>
      <c r="B1934" s="7" t="s">
        <v>49</v>
      </c>
      <c r="C1934" s="7" t="s">
        <v>359</v>
      </c>
      <c r="D1934" s="9">
        <v>46053</v>
      </c>
      <c r="E1934" s="9">
        <v>46083</v>
      </c>
      <c r="F1934" s="3">
        <v>1518.01</v>
      </c>
      <c r="G1934" s="7" t="s">
        <v>367</v>
      </c>
    </row>
    <row r="1935" spans="1:7" x14ac:dyDescent="0.3">
      <c r="A1935" s="7" t="s">
        <v>2302</v>
      </c>
      <c r="B1935" s="7" t="s">
        <v>101</v>
      </c>
      <c r="C1935" s="7" t="s">
        <v>349</v>
      </c>
      <c r="D1935" s="9">
        <v>45963</v>
      </c>
      <c r="E1935" s="9">
        <v>45993</v>
      </c>
      <c r="F1935" s="3">
        <v>2780.74</v>
      </c>
      <c r="G1935" s="7" t="s">
        <v>367</v>
      </c>
    </row>
    <row r="1936" spans="1:7" x14ac:dyDescent="0.3">
      <c r="A1936" s="7" t="s">
        <v>2303</v>
      </c>
      <c r="B1936" s="7" t="s">
        <v>67</v>
      </c>
      <c r="C1936" s="7" t="s">
        <v>355</v>
      </c>
      <c r="D1936" s="9">
        <v>46033</v>
      </c>
      <c r="E1936" s="9">
        <v>46063</v>
      </c>
      <c r="F1936" s="3">
        <v>10148.77</v>
      </c>
      <c r="G1936" s="7" t="s">
        <v>367</v>
      </c>
    </row>
    <row r="1937" spans="1:7" x14ac:dyDescent="0.3">
      <c r="A1937" s="7" t="s">
        <v>2304</v>
      </c>
      <c r="B1937" s="7" t="s">
        <v>83</v>
      </c>
      <c r="C1937" s="7" t="s">
        <v>351</v>
      </c>
      <c r="D1937" s="9">
        <v>46083</v>
      </c>
      <c r="E1937" s="9">
        <v>46113</v>
      </c>
      <c r="F1937" s="3">
        <v>5280.43</v>
      </c>
      <c r="G1937" s="7" t="s">
        <v>367</v>
      </c>
    </row>
    <row r="1938" spans="1:7" x14ac:dyDescent="0.3">
      <c r="A1938" s="7" t="s">
        <v>2305</v>
      </c>
      <c r="B1938" s="7" t="s">
        <v>67</v>
      </c>
      <c r="C1938" s="7" t="s">
        <v>355</v>
      </c>
      <c r="D1938" s="9">
        <v>46037</v>
      </c>
      <c r="E1938" s="9">
        <v>46067</v>
      </c>
      <c r="F1938" s="3">
        <v>9899.52</v>
      </c>
      <c r="G1938" s="7" t="s">
        <v>369</v>
      </c>
    </row>
    <row r="1939" spans="1:7" x14ac:dyDescent="0.3">
      <c r="A1939" s="7" t="s">
        <v>2306</v>
      </c>
      <c r="B1939" s="7" t="s">
        <v>94</v>
      </c>
      <c r="C1939" s="7" t="s">
        <v>351</v>
      </c>
      <c r="D1939" s="9">
        <v>45989</v>
      </c>
      <c r="E1939" s="9">
        <v>46019</v>
      </c>
      <c r="F1939" s="3">
        <v>4108.16</v>
      </c>
      <c r="G1939" s="7" t="s">
        <v>387</v>
      </c>
    </row>
    <row r="1940" spans="1:7" x14ac:dyDescent="0.3">
      <c r="A1940" s="7" t="s">
        <v>2307</v>
      </c>
      <c r="B1940" s="7" t="s">
        <v>15</v>
      </c>
      <c r="C1940" s="7" t="s">
        <v>355</v>
      </c>
      <c r="D1940" s="9">
        <v>46051</v>
      </c>
      <c r="E1940" s="9">
        <v>46081</v>
      </c>
      <c r="F1940" s="3">
        <v>10895.27</v>
      </c>
      <c r="G1940" s="7" t="s">
        <v>367</v>
      </c>
    </row>
    <row r="1941" spans="1:7" x14ac:dyDescent="0.3">
      <c r="A1941" s="7" t="s">
        <v>2308</v>
      </c>
      <c r="B1941" s="7" t="s">
        <v>60</v>
      </c>
      <c r="C1941" s="7" t="s">
        <v>353</v>
      </c>
      <c r="D1941" s="9">
        <v>46022</v>
      </c>
      <c r="E1941" s="9">
        <v>46052</v>
      </c>
      <c r="F1941" s="3">
        <v>2405.0700000000002</v>
      </c>
      <c r="G1941" s="7" t="s">
        <v>367</v>
      </c>
    </row>
    <row r="1942" spans="1:7" x14ac:dyDescent="0.3">
      <c r="A1942" s="7" t="s">
        <v>2309</v>
      </c>
      <c r="B1942" s="7" t="s">
        <v>18</v>
      </c>
      <c r="C1942" s="7" t="s">
        <v>357</v>
      </c>
      <c r="D1942" s="9">
        <v>46055</v>
      </c>
      <c r="E1942" s="9">
        <v>46085</v>
      </c>
      <c r="F1942" s="3">
        <v>3099.75</v>
      </c>
      <c r="G1942" s="7" t="s">
        <v>369</v>
      </c>
    </row>
    <row r="1943" spans="1:7" x14ac:dyDescent="0.3">
      <c r="A1943" s="7" t="s">
        <v>2310</v>
      </c>
      <c r="B1943" s="7" t="s">
        <v>51</v>
      </c>
      <c r="C1943" s="7" t="s">
        <v>355</v>
      </c>
      <c r="D1943" s="9">
        <v>45997</v>
      </c>
      <c r="E1943" s="9">
        <v>46027</v>
      </c>
      <c r="F1943" s="3">
        <v>11241.69</v>
      </c>
      <c r="G1943" s="7" t="s">
        <v>367</v>
      </c>
    </row>
    <row r="1944" spans="1:7" x14ac:dyDescent="0.3">
      <c r="A1944" s="7" t="s">
        <v>2311</v>
      </c>
      <c r="B1944" s="7" t="s">
        <v>96</v>
      </c>
      <c r="C1944" s="7" t="s">
        <v>355</v>
      </c>
      <c r="D1944" s="9">
        <v>46047</v>
      </c>
      <c r="E1944" s="9">
        <v>46077</v>
      </c>
      <c r="F1944" s="3">
        <v>11911.8</v>
      </c>
      <c r="G1944" s="7" t="s">
        <v>369</v>
      </c>
    </row>
    <row r="1945" spans="1:7" x14ac:dyDescent="0.3">
      <c r="A1945" s="7" t="s">
        <v>2312</v>
      </c>
      <c r="B1945" s="7" t="s">
        <v>8</v>
      </c>
      <c r="C1945" s="7" t="s">
        <v>355</v>
      </c>
      <c r="D1945" s="9">
        <v>45998</v>
      </c>
      <c r="E1945" s="9">
        <v>46028</v>
      </c>
      <c r="F1945" s="3">
        <v>11302.52</v>
      </c>
      <c r="G1945" s="7" t="s">
        <v>367</v>
      </c>
    </row>
    <row r="1946" spans="1:7" x14ac:dyDescent="0.3">
      <c r="A1946" s="7" t="s">
        <v>2313</v>
      </c>
      <c r="B1946" s="7" t="s">
        <v>92</v>
      </c>
      <c r="C1946" s="7" t="s">
        <v>357</v>
      </c>
      <c r="D1946" s="9">
        <v>46005</v>
      </c>
      <c r="E1946" s="9">
        <v>46035</v>
      </c>
      <c r="F1946" s="3">
        <v>3896.3</v>
      </c>
      <c r="G1946" s="7" t="s">
        <v>367</v>
      </c>
    </row>
    <row r="1947" spans="1:7" x14ac:dyDescent="0.3">
      <c r="A1947" s="7" t="s">
        <v>2314</v>
      </c>
      <c r="B1947" s="7" t="s">
        <v>100</v>
      </c>
      <c r="C1947" s="7" t="s">
        <v>357</v>
      </c>
      <c r="D1947" s="9">
        <v>46098</v>
      </c>
      <c r="E1947" s="9">
        <v>46128</v>
      </c>
      <c r="F1947" s="3">
        <v>3663.12</v>
      </c>
      <c r="G1947" s="7" t="s">
        <v>387</v>
      </c>
    </row>
    <row r="1948" spans="1:7" x14ac:dyDescent="0.3">
      <c r="A1948" s="7" t="s">
        <v>2315</v>
      </c>
      <c r="B1948" s="7" t="s">
        <v>121</v>
      </c>
      <c r="C1948" s="7" t="s">
        <v>359</v>
      </c>
      <c r="D1948" s="9">
        <v>46071</v>
      </c>
      <c r="E1948" s="9">
        <v>46101</v>
      </c>
      <c r="F1948" s="3">
        <v>2034.17</v>
      </c>
      <c r="G1948" s="7" t="s">
        <v>367</v>
      </c>
    </row>
    <row r="1949" spans="1:7" x14ac:dyDescent="0.3">
      <c r="A1949" s="7" t="s">
        <v>2316</v>
      </c>
      <c r="B1949" s="7" t="s">
        <v>93</v>
      </c>
      <c r="C1949" s="7" t="s">
        <v>355</v>
      </c>
      <c r="D1949" s="9">
        <v>46088</v>
      </c>
      <c r="E1949" s="9">
        <v>46118</v>
      </c>
      <c r="F1949" s="3">
        <v>14082.33</v>
      </c>
      <c r="G1949" s="7" t="s">
        <v>367</v>
      </c>
    </row>
    <row r="1950" spans="1:7" x14ac:dyDescent="0.3">
      <c r="A1950" s="7" t="s">
        <v>2317</v>
      </c>
      <c r="B1950" s="7" t="s">
        <v>113</v>
      </c>
      <c r="C1950" s="7" t="s">
        <v>355</v>
      </c>
      <c r="D1950" s="9">
        <v>46046</v>
      </c>
      <c r="E1950" s="9">
        <v>46076</v>
      </c>
      <c r="F1950" s="3">
        <v>10861.45</v>
      </c>
      <c r="G1950" s="7" t="s">
        <v>387</v>
      </c>
    </row>
    <row r="1951" spans="1:7" x14ac:dyDescent="0.3">
      <c r="A1951" s="7" t="s">
        <v>2318</v>
      </c>
      <c r="B1951" s="7" t="s">
        <v>34</v>
      </c>
      <c r="C1951" s="7" t="s">
        <v>351</v>
      </c>
      <c r="D1951" s="9">
        <v>46100</v>
      </c>
      <c r="E1951" s="9">
        <v>46130</v>
      </c>
      <c r="F1951" s="3">
        <v>5268.59</v>
      </c>
      <c r="G1951" s="7" t="s">
        <v>367</v>
      </c>
    </row>
    <row r="1952" spans="1:7" x14ac:dyDescent="0.3">
      <c r="A1952" s="7" t="s">
        <v>2319</v>
      </c>
      <c r="B1952" s="7" t="s">
        <v>28</v>
      </c>
      <c r="C1952" s="7" t="s">
        <v>359</v>
      </c>
      <c r="D1952" s="9">
        <v>46082</v>
      </c>
      <c r="E1952" s="9">
        <v>46112</v>
      </c>
      <c r="F1952" s="3">
        <v>2144.9</v>
      </c>
      <c r="G1952" s="7" t="s">
        <v>367</v>
      </c>
    </row>
    <row r="1953" spans="1:7" x14ac:dyDescent="0.3">
      <c r="A1953" s="7" t="s">
        <v>2320</v>
      </c>
      <c r="B1953" s="7" t="s">
        <v>93</v>
      </c>
      <c r="C1953" s="7" t="s">
        <v>357</v>
      </c>
      <c r="D1953" s="9">
        <v>46068</v>
      </c>
      <c r="E1953" s="9">
        <v>46098</v>
      </c>
      <c r="F1953" s="3">
        <v>3328.58</v>
      </c>
      <c r="G1953" s="7" t="s">
        <v>387</v>
      </c>
    </row>
    <row r="1954" spans="1:7" x14ac:dyDescent="0.3">
      <c r="A1954" s="7" t="s">
        <v>2321</v>
      </c>
      <c r="B1954" s="7" t="s">
        <v>121</v>
      </c>
      <c r="C1954" s="7" t="s">
        <v>357</v>
      </c>
      <c r="D1954" s="9">
        <v>46094</v>
      </c>
      <c r="E1954" s="9">
        <v>46124</v>
      </c>
      <c r="F1954" s="3">
        <v>4137.1499999999996</v>
      </c>
      <c r="G1954" s="7" t="s">
        <v>367</v>
      </c>
    </row>
    <row r="1955" spans="1:7" x14ac:dyDescent="0.3">
      <c r="A1955" s="7" t="s">
        <v>2322</v>
      </c>
      <c r="B1955" s="7" t="s">
        <v>90</v>
      </c>
      <c r="C1955" s="7" t="s">
        <v>353</v>
      </c>
      <c r="D1955" s="9">
        <v>46106</v>
      </c>
      <c r="E1955" s="9">
        <v>46136</v>
      </c>
      <c r="F1955" s="3">
        <v>2502.09</v>
      </c>
      <c r="G1955" s="7" t="s">
        <v>367</v>
      </c>
    </row>
    <row r="1956" spans="1:7" x14ac:dyDescent="0.3">
      <c r="A1956" s="7" t="s">
        <v>2323</v>
      </c>
      <c r="B1956" s="7" t="s">
        <v>61</v>
      </c>
      <c r="C1956" s="7" t="s">
        <v>355</v>
      </c>
      <c r="D1956" s="9">
        <v>46061</v>
      </c>
      <c r="E1956" s="9">
        <v>46091</v>
      </c>
      <c r="F1956" s="3">
        <v>11587.46</v>
      </c>
      <c r="G1956" s="7" t="s">
        <v>369</v>
      </c>
    </row>
    <row r="1957" spans="1:7" x14ac:dyDescent="0.3">
      <c r="A1957" s="7" t="s">
        <v>2324</v>
      </c>
      <c r="B1957" s="7" t="s">
        <v>65</v>
      </c>
      <c r="C1957" s="7" t="s">
        <v>357</v>
      </c>
      <c r="D1957" s="9">
        <v>45997</v>
      </c>
      <c r="E1957" s="9">
        <v>46027</v>
      </c>
      <c r="F1957" s="3">
        <v>4163.7</v>
      </c>
      <c r="G1957" s="7" t="s">
        <v>369</v>
      </c>
    </row>
    <row r="1958" spans="1:7" x14ac:dyDescent="0.3">
      <c r="A1958" s="7" t="s">
        <v>2325</v>
      </c>
      <c r="B1958" s="7" t="s">
        <v>62</v>
      </c>
      <c r="C1958" s="7" t="s">
        <v>355</v>
      </c>
      <c r="D1958" s="9">
        <v>46047</v>
      </c>
      <c r="E1958" s="9">
        <v>46077</v>
      </c>
      <c r="F1958" s="3">
        <v>11390.98</v>
      </c>
      <c r="G1958" s="7" t="s">
        <v>367</v>
      </c>
    </row>
    <row r="1959" spans="1:7" x14ac:dyDescent="0.3">
      <c r="A1959" s="7" t="s">
        <v>2326</v>
      </c>
      <c r="B1959" s="7" t="s">
        <v>88</v>
      </c>
      <c r="C1959" s="7" t="s">
        <v>355</v>
      </c>
      <c r="D1959" s="9">
        <v>46064</v>
      </c>
      <c r="E1959" s="9">
        <v>46094</v>
      </c>
      <c r="F1959" s="3">
        <v>10968.13</v>
      </c>
      <c r="G1959" s="7" t="s">
        <v>367</v>
      </c>
    </row>
    <row r="1960" spans="1:7" x14ac:dyDescent="0.3">
      <c r="A1960" s="7" t="s">
        <v>2327</v>
      </c>
      <c r="B1960" s="7" t="s">
        <v>110</v>
      </c>
      <c r="C1960" s="7" t="s">
        <v>353</v>
      </c>
      <c r="D1960" s="9">
        <v>45975</v>
      </c>
      <c r="E1960" s="9">
        <v>46005</v>
      </c>
      <c r="F1960" s="3">
        <v>2702.09</v>
      </c>
      <c r="G1960" s="7" t="s">
        <v>387</v>
      </c>
    </row>
    <row r="1961" spans="1:7" x14ac:dyDescent="0.3">
      <c r="A1961" s="7" t="s">
        <v>2328</v>
      </c>
      <c r="B1961" s="7" t="s">
        <v>20</v>
      </c>
      <c r="C1961" s="7" t="s">
        <v>349</v>
      </c>
      <c r="D1961" s="9">
        <v>46009</v>
      </c>
      <c r="E1961" s="9">
        <v>46039</v>
      </c>
      <c r="F1961" s="3">
        <v>2507.5700000000002</v>
      </c>
      <c r="G1961" s="7" t="s">
        <v>369</v>
      </c>
    </row>
    <row r="1962" spans="1:7" x14ac:dyDescent="0.3">
      <c r="A1962" s="7" t="s">
        <v>2329</v>
      </c>
      <c r="B1962" s="7" t="s">
        <v>63</v>
      </c>
      <c r="C1962" s="7" t="s">
        <v>355</v>
      </c>
      <c r="D1962" s="9">
        <v>46038</v>
      </c>
      <c r="E1962" s="9">
        <v>46068</v>
      </c>
      <c r="F1962" s="3">
        <v>13199.73</v>
      </c>
      <c r="G1962" s="7" t="s">
        <v>367</v>
      </c>
    </row>
    <row r="1963" spans="1:7" x14ac:dyDescent="0.3">
      <c r="A1963" s="7" t="s">
        <v>2330</v>
      </c>
      <c r="B1963" s="7" t="s">
        <v>60</v>
      </c>
      <c r="C1963" s="7" t="s">
        <v>357</v>
      </c>
      <c r="D1963" s="9">
        <v>45972</v>
      </c>
      <c r="E1963" s="9">
        <v>46002</v>
      </c>
      <c r="F1963" s="3">
        <v>3613.73</v>
      </c>
      <c r="G1963" s="7" t="s">
        <v>367</v>
      </c>
    </row>
    <row r="1964" spans="1:7" x14ac:dyDescent="0.3">
      <c r="A1964" s="7" t="s">
        <v>2331</v>
      </c>
      <c r="B1964" s="7" t="s">
        <v>32</v>
      </c>
      <c r="C1964" s="7" t="s">
        <v>351</v>
      </c>
      <c r="D1964" s="9">
        <v>45988</v>
      </c>
      <c r="E1964" s="9">
        <v>46018</v>
      </c>
      <c r="F1964" s="3">
        <v>4445.76</v>
      </c>
      <c r="G1964" s="7" t="s">
        <v>367</v>
      </c>
    </row>
    <row r="1965" spans="1:7" x14ac:dyDescent="0.3">
      <c r="A1965" s="7" t="s">
        <v>2332</v>
      </c>
      <c r="B1965" s="7" t="s">
        <v>112</v>
      </c>
      <c r="C1965" s="7" t="s">
        <v>355</v>
      </c>
      <c r="D1965" s="9">
        <v>46079</v>
      </c>
      <c r="E1965" s="9">
        <v>46109</v>
      </c>
      <c r="F1965" s="3">
        <v>14162.65</v>
      </c>
      <c r="G1965" s="7" t="s">
        <v>367</v>
      </c>
    </row>
    <row r="1966" spans="1:7" x14ac:dyDescent="0.3">
      <c r="A1966" s="7" t="s">
        <v>2333</v>
      </c>
      <c r="B1966" s="7" t="s">
        <v>54</v>
      </c>
      <c r="C1966" s="7" t="s">
        <v>359</v>
      </c>
      <c r="D1966" s="9">
        <v>46106</v>
      </c>
      <c r="E1966" s="9">
        <v>46136</v>
      </c>
      <c r="F1966" s="3">
        <v>1946.76</v>
      </c>
      <c r="G1966" s="7" t="s">
        <v>367</v>
      </c>
    </row>
    <row r="1967" spans="1:7" x14ac:dyDescent="0.3">
      <c r="A1967" s="7" t="s">
        <v>2334</v>
      </c>
      <c r="B1967" s="7" t="s">
        <v>114</v>
      </c>
      <c r="C1967" s="7" t="s">
        <v>351</v>
      </c>
      <c r="D1967" s="9">
        <v>46080</v>
      </c>
      <c r="E1967" s="9">
        <v>46110</v>
      </c>
      <c r="F1967" s="3">
        <v>5015.12</v>
      </c>
      <c r="G1967" s="7" t="s">
        <v>367</v>
      </c>
    </row>
    <row r="1968" spans="1:7" x14ac:dyDescent="0.3">
      <c r="A1968" s="7" t="s">
        <v>2335</v>
      </c>
      <c r="B1968" s="7" t="s">
        <v>10</v>
      </c>
      <c r="C1968" s="7" t="s">
        <v>355</v>
      </c>
      <c r="D1968" s="9">
        <v>46065</v>
      </c>
      <c r="E1968" s="9">
        <v>46095</v>
      </c>
      <c r="F1968" s="3">
        <v>12831.84</v>
      </c>
      <c r="G1968" s="7" t="s">
        <v>367</v>
      </c>
    </row>
    <row r="1969" spans="1:7" x14ac:dyDescent="0.3">
      <c r="A1969" s="7" t="s">
        <v>2336</v>
      </c>
      <c r="B1969" s="7" t="s">
        <v>83</v>
      </c>
      <c r="C1969" s="7" t="s">
        <v>351</v>
      </c>
      <c r="D1969" s="9">
        <v>46112</v>
      </c>
      <c r="E1969" s="9">
        <v>46142</v>
      </c>
      <c r="F1969" s="3">
        <v>5581.02</v>
      </c>
      <c r="G1969" s="7" t="s">
        <v>369</v>
      </c>
    </row>
    <row r="1970" spans="1:7" x14ac:dyDescent="0.3">
      <c r="A1970" s="7" t="s">
        <v>2337</v>
      </c>
      <c r="B1970" s="7" t="s">
        <v>57</v>
      </c>
      <c r="C1970" s="7" t="s">
        <v>353</v>
      </c>
      <c r="D1970" s="9">
        <v>46069</v>
      </c>
      <c r="E1970" s="9">
        <v>46099</v>
      </c>
      <c r="F1970" s="3">
        <v>2335.09</v>
      </c>
      <c r="G1970" s="7" t="s">
        <v>367</v>
      </c>
    </row>
    <row r="1971" spans="1:7" x14ac:dyDescent="0.3">
      <c r="A1971" s="7" t="s">
        <v>2338</v>
      </c>
      <c r="B1971" s="7" t="s">
        <v>80</v>
      </c>
      <c r="C1971" s="7" t="s">
        <v>351</v>
      </c>
      <c r="D1971" s="9">
        <v>45964</v>
      </c>
      <c r="E1971" s="9">
        <v>45994</v>
      </c>
      <c r="F1971" s="3">
        <v>5232.54</v>
      </c>
      <c r="G1971" s="7" t="s">
        <v>369</v>
      </c>
    </row>
    <row r="1972" spans="1:7" x14ac:dyDescent="0.3">
      <c r="A1972" s="7" t="s">
        <v>2339</v>
      </c>
      <c r="B1972" s="7" t="s">
        <v>29</v>
      </c>
      <c r="C1972" s="7" t="s">
        <v>355</v>
      </c>
      <c r="D1972" s="9">
        <v>45981</v>
      </c>
      <c r="E1972" s="9">
        <v>46011</v>
      </c>
      <c r="F1972" s="3">
        <v>10218.58</v>
      </c>
      <c r="G1972" s="7" t="s">
        <v>387</v>
      </c>
    </row>
    <row r="1973" spans="1:7" x14ac:dyDescent="0.3">
      <c r="A1973" s="7" t="s">
        <v>2340</v>
      </c>
      <c r="B1973" s="7" t="s">
        <v>19</v>
      </c>
      <c r="C1973" s="7" t="s">
        <v>355</v>
      </c>
      <c r="D1973" s="9">
        <v>46074</v>
      </c>
      <c r="E1973" s="9">
        <v>46104</v>
      </c>
      <c r="F1973" s="3">
        <v>13940.02</v>
      </c>
      <c r="G1973" s="7" t="s">
        <v>367</v>
      </c>
    </row>
    <row r="1974" spans="1:7" x14ac:dyDescent="0.3">
      <c r="A1974" s="7" t="s">
        <v>2341</v>
      </c>
      <c r="B1974" s="7" t="s">
        <v>107</v>
      </c>
      <c r="C1974" s="7" t="s">
        <v>359</v>
      </c>
      <c r="D1974" s="9">
        <v>46067</v>
      </c>
      <c r="E1974" s="9">
        <v>46097</v>
      </c>
      <c r="F1974" s="3">
        <v>2016.84</v>
      </c>
      <c r="G1974" s="7" t="s">
        <v>367</v>
      </c>
    </row>
    <row r="1975" spans="1:7" x14ac:dyDescent="0.3">
      <c r="A1975" s="7" t="s">
        <v>2342</v>
      </c>
      <c r="B1975" s="7" t="s">
        <v>27</v>
      </c>
      <c r="C1975" s="7" t="s">
        <v>355</v>
      </c>
      <c r="D1975" s="9">
        <v>46087</v>
      </c>
      <c r="E1975" s="9">
        <v>46117</v>
      </c>
      <c r="F1975" s="3">
        <v>13646.55</v>
      </c>
      <c r="G1975" s="7" t="s">
        <v>369</v>
      </c>
    </row>
    <row r="1976" spans="1:7" x14ac:dyDescent="0.3">
      <c r="A1976" s="7" t="s">
        <v>2343</v>
      </c>
      <c r="B1976" s="7" t="s">
        <v>87</v>
      </c>
      <c r="C1976" s="7" t="s">
        <v>353</v>
      </c>
      <c r="D1976" s="9">
        <v>46072</v>
      </c>
      <c r="E1976" s="9">
        <v>46102</v>
      </c>
      <c r="F1976" s="3">
        <v>2203.7600000000002</v>
      </c>
      <c r="G1976" s="7" t="s">
        <v>367</v>
      </c>
    </row>
    <row r="1977" spans="1:7" x14ac:dyDescent="0.3">
      <c r="A1977" s="7" t="s">
        <v>2344</v>
      </c>
      <c r="B1977" s="7" t="s">
        <v>17</v>
      </c>
      <c r="C1977" s="7" t="s">
        <v>357</v>
      </c>
      <c r="D1977" s="9">
        <v>46022</v>
      </c>
      <c r="E1977" s="9">
        <v>46052</v>
      </c>
      <c r="F1977" s="3">
        <v>3014.27</v>
      </c>
      <c r="G1977" s="7" t="s">
        <v>367</v>
      </c>
    </row>
    <row r="1978" spans="1:7" x14ac:dyDescent="0.3">
      <c r="A1978" s="7" t="s">
        <v>2345</v>
      </c>
      <c r="B1978" s="7" t="s">
        <v>65</v>
      </c>
      <c r="C1978" s="7" t="s">
        <v>357</v>
      </c>
      <c r="D1978" s="9">
        <v>46095</v>
      </c>
      <c r="E1978" s="9">
        <v>46125</v>
      </c>
      <c r="F1978" s="3">
        <v>3335.37</v>
      </c>
      <c r="G1978" s="7" t="s">
        <v>367</v>
      </c>
    </row>
    <row r="1979" spans="1:7" x14ac:dyDescent="0.3">
      <c r="A1979" s="7" t="s">
        <v>2346</v>
      </c>
      <c r="B1979" s="7" t="s">
        <v>121</v>
      </c>
      <c r="C1979" s="7" t="s">
        <v>359</v>
      </c>
      <c r="D1979" s="9">
        <v>46065</v>
      </c>
      <c r="E1979" s="9">
        <v>46095</v>
      </c>
      <c r="F1979" s="3">
        <v>1894.68</v>
      </c>
      <c r="G1979" s="7" t="s">
        <v>367</v>
      </c>
    </row>
    <row r="1980" spans="1:7" x14ac:dyDescent="0.3">
      <c r="A1980" s="7" t="s">
        <v>2347</v>
      </c>
      <c r="B1980" s="7" t="s">
        <v>110</v>
      </c>
      <c r="C1980" s="7" t="s">
        <v>351</v>
      </c>
      <c r="D1980" s="9">
        <v>46039</v>
      </c>
      <c r="E1980" s="9">
        <v>46069</v>
      </c>
      <c r="F1980" s="3">
        <v>4593.8500000000004</v>
      </c>
      <c r="G1980" s="7" t="s">
        <v>367</v>
      </c>
    </row>
    <row r="1981" spans="1:7" x14ac:dyDescent="0.3">
      <c r="A1981" s="7" t="s">
        <v>2348</v>
      </c>
      <c r="B1981" s="7" t="s">
        <v>25</v>
      </c>
      <c r="C1981" s="7" t="s">
        <v>355</v>
      </c>
      <c r="D1981" s="9">
        <v>46089</v>
      </c>
      <c r="E1981" s="9">
        <v>46119</v>
      </c>
      <c r="F1981" s="3">
        <v>13297.88</v>
      </c>
      <c r="G1981" s="7" t="s">
        <v>367</v>
      </c>
    </row>
    <row r="1982" spans="1:7" x14ac:dyDescent="0.3">
      <c r="A1982" s="7" t="s">
        <v>2349</v>
      </c>
      <c r="B1982" s="7" t="s">
        <v>83</v>
      </c>
      <c r="C1982" s="7" t="s">
        <v>359</v>
      </c>
      <c r="D1982" s="9">
        <v>46108</v>
      </c>
      <c r="E1982" s="9">
        <v>46138</v>
      </c>
      <c r="F1982" s="3">
        <v>1456.66</v>
      </c>
      <c r="G1982" s="7" t="s">
        <v>367</v>
      </c>
    </row>
    <row r="1983" spans="1:7" x14ac:dyDescent="0.3">
      <c r="A1983" s="7" t="s">
        <v>2350</v>
      </c>
      <c r="B1983" s="7" t="s">
        <v>18</v>
      </c>
      <c r="C1983" s="7" t="s">
        <v>349</v>
      </c>
      <c r="D1983" s="9">
        <v>46087</v>
      </c>
      <c r="E1983" s="9">
        <v>46117</v>
      </c>
      <c r="F1983" s="3">
        <v>2528.4899999999998</v>
      </c>
      <c r="G1983" s="7" t="s">
        <v>369</v>
      </c>
    </row>
    <row r="1984" spans="1:7" x14ac:dyDescent="0.3">
      <c r="A1984" s="7" t="s">
        <v>2351</v>
      </c>
      <c r="B1984" s="7" t="s">
        <v>69</v>
      </c>
      <c r="C1984" s="7" t="s">
        <v>349</v>
      </c>
      <c r="D1984" s="9">
        <v>46090</v>
      </c>
      <c r="E1984" s="9">
        <v>46120</v>
      </c>
      <c r="F1984" s="3">
        <v>2993.09</v>
      </c>
      <c r="G1984" s="7" t="s">
        <v>367</v>
      </c>
    </row>
    <row r="1985" spans="1:7" x14ac:dyDescent="0.3">
      <c r="A1985" s="7" t="s">
        <v>2352</v>
      </c>
      <c r="B1985" s="7" t="s">
        <v>94</v>
      </c>
      <c r="C1985" s="7" t="s">
        <v>349</v>
      </c>
      <c r="D1985" s="9">
        <v>46098</v>
      </c>
      <c r="E1985" s="9">
        <v>46128</v>
      </c>
      <c r="F1985" s="3">
        <v>2896.49</v>
      </c>
      <c r="G1985" s="7" t="s">
        <v>367</v>
      </c>
    </row>
    <row r="1986" spans="1:7" x14ac:dyDescent="0.3">
      <c r="A1986" s="7" t="s">
        <v>2353</v>
      </c>
      <c r="B1986" s="7" t="s">
        <v>110</v>
      </c>
      <c r="C1986" s="7" t="s">
        <v>355</v>
      </c>
      <c r="D1986" s="9">
        <v>45995</v>
      </c>
      <c r="E1986" s="9">
        <v>46025</v>
      </c>
      <c r="F1986" s="3">
        <v>11401.22</v>
      </c>
      <c r="G1986" s="7" t="s">
        <v>369</v>
      </c>
    </row>
    <row r="1987" spans="1:7" x14ac:dyDescent="0.3">
      <c r="A1987" s="7" t="s">
        <v>2354</v>
      </c>
      <c r="B1987" s="7" t="s">
        <v>87</v>
      </c>
      <c r="C1987" s="7" t="s">
        <v>351</v>
      </c>
      <c r="D1987" s="9">
        <v>45997</v>
      </c>
      <c r="E1987" s="9">
        <v>46027</v>
      </c>
      <c r="F1987" s="3">
        <v>4359.6099999999997</v>
      </c>
      <c r="G1987" s="7" t="s">
        <v>367</v>
      </c>
    </row>
    <row r="1988" spans="1:7" x14ac:dyDescent="0.3">
      <c r="A1988" s="7" t="s">
        <v>2355</v>
      </c>
      <c r="B1988" s="7" t="s">
        <v>68</v>
      </c>
      <c r="C1988" s="7" t="s">
        <v>357</v>
      </c>
      <c r="D1988" s="9">
        <v>45981</v>
      </c>
      <c r="E1988" s="9">
        <v>46011</v>
      </c>
      <c r="F1988" s="3">
        <v>3996.73</v>
      </c>
      <c r="G1988" s="7" t="s">
        <v>387</v>
      </c>
    </row>
    <row r="1989" spans="1:7" x14ac:dyDescent="0.3">
      <c r="A1989" s="7" t="s">
        <v>2356</v>
      </c>
      <c r="B1989" s="7" t="s">
        <v>39</v>
      </c>
      <c r="C1989" s="7" t="s">
        <v>357</v>
      </c>
      <c r="D1989" s="9">
        <v>46044</v>
      </c>
      <c r="E1989" s="9">
        <v>46074</v>
      </c>
      <c r="F1989" s="3">
        <v>3639.99</v>
      </c>
      <c r="G1989" s="7" t="s">
        <v>367</v>
      </c>
    </row>
    <row r="1990" spans="1:7" x14ac:dyDescent="0.3">
      <c r="A1990" s="7" t="s">
        <v>2357</v>
      </c>
      <c r="B1990" s="7" t="s">
        <v>72</v>
      </c>
      <c r="C1990" s="7" t="s">
        <v>349</v>
      </c>
      <c r="D1990" s="9">
        <v>45978</v>
      </c>
      <c r="E1990" s="9">
        <v>46008</v>
      </c>
      <c r="F1990" s="3">
        <v>2631.41</v>
      </c>
      <c r="G1990" s="7" t="s">
        <v>367</v>
      </c>
    </row>
    <row r="1991" spans="1:7" x14ac:dyDescent="0.3">
      <c r="A1991" s="7" t="s">
        <v>2358</v>
      </c>
      <c r="B1991" s="7" t="s">
        <v>10</v>
      </c>
      <c r="C1991" s="7" t="s">
        <v>351</v>
      </c>
      <c r="D1991" s="9">
        <v>46014</v>
      </c>
      <c r="E1991" s="9">
        <v>46044</v>
      </c>
      <c r="F1991" s="3">
        <v>4432.6099999999997</v>
      </c>
      <c r="G1991" s="7" t="s">
        <v>369</v>
      </c>
    </row>
    <row r="1992" spans="1:7" x14ac:dyDescent="0.3">
      <c r="A1992" s="7" t="s">
        <v>2359</v>
      </c>
      <c r="B1992" s="7" t="s">
        <v>23</v>
      </c>
      <c r="C1992" s="7" t="s">
        <v>353</v>
      </c>
      <c r="D1992" s="9">
        <v>45965</v>
      </c>
      <c r="E1992" s="9">
        <v>45995</v>
      </c>
      <c r="F1992" s="3">
        <v>2138.5700000000002</v>
      </c>
      <c r="G1992" s="7" t="s">
        <v>367</v>
      </c>
    </row>
    <row r="1993" spans="1:7" x14ac:dyDescent="0.3">
      <c r="A1993" s="7" t="s">
        <v>2360</v>
      </c>
      <c r="B1993" s="7" t="s">
        <v>77</v>
      </c>
      <c r="C1993" s="7" t="s">
        <v>353</v>
      </c>
      <c r="D1993" s="9">
        <v>45987</v>
      </c>
      <c r="E1993" s="9">
        <v>46017</v>
      </c>
      <c r="F1993" s="3">
        <v>2273.67</v>
      </c>
      <c r="G1993" s="7" t="s">
        <v>367</v>
      </c>
    </row>
    <row r="1994" spans="1:7" x14ac:dyDescent="0.3">
      <c r="A1994" s="7" t="s">
        <v>2361</v>
      </c>
      <c r="B1994" s="7" t="s">
        <v>58</v>
      </c>
      <c r="C1994" s="7" t="s">
        <v>359</v>
      </c>
      <c r="D1994" s="9">
        <v>46109</v>
      </c>
      <c r="E1994" s="9">
        <v>46139</v>
      </c>
      <c r="F1994" s="3">
        <v>1651.91</v>
      </c>
      <c r="G1994" s="7" t="s">
        <v>367</v>
      </c>
    </row>
    <row r="1995" spans="1:7" x14ac:dyDescent="0.3">
      <c r="A1995" s="7" t="s">
        <v>2362</v>
      </c>
      <c r="B1995" s="7" t="s">
        <v>98</v>
      </c>
      <c r="C1995" s="7" t="s">
        <v>351</v>
      </c>
      <c r="D1995" s="9">
        <v>46077</v>
      </c>
      <c r="E1995" s="9">
        <v>46107</v>
      </c>
      <c r="F1995" s="3">
        <v>4500.1899999999996</v>
      </c>
      <c r="G1995" s="7" t="s">
        <v>369</v>
      </c>
    </row>
    <row r="1996" spans="1:7" x14ac:dyDescent="0.3">
      <c r="A1996" s="7" t="s">
        <v>2363</v>
      </c>
      <c r="B1996" s="7" t="s">
        <v>82</v>
      </c>
      <c r="C1996" s="7" t="s">
        <v>353</v>
      </c>
      <c r="D1996" s="9">
        <v>45963</v>
      </c>
      <c r="E1996" s="9">
        <v>45993</v>
      </c>
      <c r="F1996" s="3">
        <v>2961.87</v>
      </c>
      <c r="G1996" s="7" t="s">
        <v>369</v>
      </c>
    </row>
    <row r="1997" spans="1:7" x14ac:dyDescent="0.3">
      <c r="A1997" s="7" t="s">
        <v>2364</v>
      </c>
      <c r="B1997" s="7" t="s">
        <v>120</v>
      </c>
      <c r="C1997" s="7" t="s">
        <v>353</v>
      </c>
      <c r="D1997" s="9">
        <v>46040</v>
      </c>
      <c r="E1997" s="9">
        <v>46070</v>
      </c>
      <c r="F1997" s="3">
        <v>2165.65</v>
      </c>
      <c r="G1997" s="7" t="s">
        <v>367</v>
      </c>
    </row>
    <row r="1998" spans="1:7" x14ac:dyDescent="0.3">
      <c r="A1998" s="7" t="s">
        <v>2365</v>
      </c>
      <c r="B1998" s="7" t="s">
        <v>86</v>
      </c>
      <c r="C1998" s="7" t="s">
        <v>355</v>
      </c>
      <c r="D1998" s="9">
        <v>46105</v>
      </c>
      <c r="E1998" s="9">
        <v>46135</v>
      </c>
      <c r="F1998" s="3">
        <v>11633.94</v>
      </c>
      <c r="G1998" s="7" t="s">
        <v>369</v>
      </c>
    </row>
    <row r="1999" spans="1:7" x14ac:dyDescent="0.3">
      <c r="A1999" s="7" t="s">
        <v>2366</v>
      </c>
      <c r="B1999" s="7" t="s">
        <v>54</v>
      </c>
      <c r="C1999" s="7" t="s">
        <v>349</v>
      </c>
      <c r="D1999" s="9">
        <v>46056</v>
      </c>
      <c r="E1999" s="9">
        <v>46086</v>
      </c>
      <c r="F1999" s="3">
        <v>3128.75</v>
      </c>
      <c r="G1999" s="7" t="s">
        <v>367</v>
      </c>
    </row>
    <row r="2000" spans="1:7" x14ac:dyDescent="0.3">
      <c r="A2000" s="7" t="s">
        <v>2367</v>
      </c>
      <c r="B2000" s="7" t="s">
        <v>72</v>
      </c>
      <c r="C2000" s="7" t="s">
        <v>359</v>
      </c>
      <c r="D2000" s="9">
        <v>46016</v>
      </c>
      <c r="E2000" s="9">
        <v>46046</v>
      </c>
      <c r="F2000" s="3">
        <v>2029.93</v>
      </c>
      <c r="G2000" s="7" t="s">
        <v>369</v>
      </c>
    </row>
    <row r="2001" spans="1:7" x14ac:dyDescent="0.3">
      <c r="A2001" s="7" t="s">
        <v>2368</v>
      </c>
      <c r="B2001" s="7" t="s">
        <v>89</v>
      </c>
      <c r="C2001" s="7" t="s">
        <v>353</v>
      </c>
      <c r="D2001" s="9">
        <v>46103</v>
      </c>
      <c r="E2001" s="9">
        <v>46133</v>
      </c>
      <c r="F2001" s="3">
        <v>2586.87</v>
      </c>
      <c r="G2001" s="7" t="s">
        <v>369</v>
      </c>
    </row>
    <row r="2002" spans="1:7" x14ac:dyDescent="0.3">
      <c r="A2002" s="7" t="s">
        <v>2369</v>
      </c>
      <c r="B2002" s="7" t="s">
        <v>48</v>
      </c>
      <c r="C2002" s="7" t="s">
        <v>357</v>
      </c>
      <c r="D2002" s="9">
        <v>46046</v>
      </c>
      <c r="E2002" s="9">
        <v>46076</v>
      </c>
      <c r="F2002" s="3">
        <v>3293.15</v>
      </c>
      <c r="G2002" s="7" t="s">
        <v>367</v>
      </c>
    </row>
    <row r="2003" spans="1:7" x14ac:dyDescent="0.3">
      <c r="A2003" s="7" t="s">
        <v>2370</v>
      </c>
      <c r="B2003" s="7" t="s">
        <v>91</v>
      </c>
      <c r="C2003" s="7" t="s">
        <v>355</v>
      </c>
      <c r="D2003" s="9">
        <v>46096</v>
      </c>
      <c r="E2003" s="9">
        <v>46126</v>
      </c>
      <c r="F2003" s="3">
        <v>13396.3</v>
      </c>
      <c r="G2003" s="7" t="s">
        <v>367</v>
      </c>
    </row>
    <row r="2004" spans="1:7" x14ac:dyDescent="0.3">
      <c r="A2004" s="7" t="s">
        <v>2371</v>
      </c>
      <c r="B2004" s="7" t="s">
        <v>47</v>
      </c>
      <c r="C2004" s="7" t="s">
        <v>353</v>
      </c>
      <c r="D2004" s="9">
        <v>46021</v>
      </c>
      <c r="E2004" s="9">
        <v>46051</v>
      </c>
      <c r="F2004" s="3">
        <v>2371.96</v>
      </c>
      <c r="G2004" s="7" t="s">
        <v>367</v>
      </c>
    </row>
    <row r="2005" spans="1:7" x14ac:dyDescent="0.3">
      <c r="A2005" s="7" t="s">
        <v>2372</v>
      </c>
      <c r="B2005" s="7" t="s">
        <v>108</v>
      </c>
      <c r="C2005" s="7" t="s">
        <v>359</v>
      </c>
      <c r="D2005" s="9">
        <v>46010</v>
      </c>
      <c r="E2005" s="9">
        <v>46040</v>
      </c>
      <c r="F2005" s="3">
        <v>1447.85</v>
      </c>
      <c r="G2005" s="7" t="s">
        <v>367</v>
      </c>
    </row>
    <row r="2006" spans="1:7" x14ac:dyDescent="0.3">
      <c r="A2006" s="7" t="s">
        <v>2373</v>
      </c>
      <c r="B2006" s="7" t="s">
        <v>84</v>
      </c>
      <c r="C2006" s="7" t="s">
        <v>353</v>
      </c>
      <c r="D2006" s="9">
        <v>46056</v>
      </c>
      <c r="E2006" s="9">
        <v>46086</v>
      </c>
      <c r="F2006" s="3">
        <v>2898.74</v>
      </c>
      <c r="G2006" s="7" t="s">
        <v>367</v>
      </c>
    </row>
    <row r="2007" spans="1:7" x14ac:dyDescent="0.3">
      <c r="A2007" s="7" t="s">
        <v>2374</v>
      </c>
      <c r="B2007" s="7" t="s">
        <v>84</v>
      </c>
      <c r="C2007" s="7" t="s">
        <v>351</v>
      </c>
      <c r="D2007" s="9">
        <v>46079</v>
      </c>
      <c r="E2007" s="9">
        <v>46109</v>
      </c>
      <c r="F2007" s="3">
        <v>5054.5200000000004</v>
      </c>
      <c r="G2007" s="7" t="s">
        <v>367</v>
      </c>
    </row>
    <row r="2008" spans="1:7" x14ac:dyDescent="0.3">
      <c r="A2008" s="7" t="s">
        <v>2375</v>
      </c>
      <c r="B2008" s="7" t="s">
        <v>62</v>
      </c>
      <c r="C2008" s="7" t="s">
        <v>359</v>
      </c>
      <c r="D2008" s="9">
        <v>46044</v>
      </c>
      <c r="E2008" s="9">
        <v>46074</v>
      </c>
      <c r="F2008" s="3">
        <v>1493.87</v>
      </c>
      <c r="G2008" s="7" t="s">
        <v>367</v>
      </c>
    </row>
    <row r="2009" spans="1:7" x14ac:dyDescent="0.3">
      <c r="A2009" s="7" t="s">
        <v>2376</v>
      </c>
      <c r="B2009" s="7" t="s">
        <v>70</v>
      </c>
      <c r="C2009" s="7" t="s">
        <v>353</v>
      </c>
      <c r="D2009" s="9">
        <v>46040</v>
      </c>
      <c r="E2009" s="9">
        <v>46070</v>
      </c>
      <c r="F2009" s="3">
        <v>2813.39</v>
      </c>
      <c r="G2009" s="7" t="s">
        <v>367</v>
      </c>
    </row>
    <row r="2010" spans="1:7" x14ac:dyDescent="0.3">
      <c r="A2010" s="7" t="s">
        <v>2377</v>
      </c>
      <c r="B2010" s="7" t="s">
        <v>64</v>
      </c>
      <c r="C2010" s="7" t="s">
        <v>355</v>
      </c>
      <c r="D2010" s="9">
        <v>46096</v>
      </c>
      <c r="E2010" s="9">
        <v>46126</v>
      </c>
      <c r="F2010" s="3">
        <v>9824.6</v>
      </c>
      <c r="G2010" s="7" t="s">
        <v>367</v>
      </c>
    </row>
    <row r="2011" spans="1:7" x14ac:dyDescent="0.3">
      <c r="A2011" s="7" t="s">
        <v>2378</v>
      </c>
      <c r="B2011" s="7" t="s">
        <v>9</v>
      </c>
      <c r="C2011" s="7" t="s">
        <v>351</v>
      </c>
      <c r="D2011" s="9">
        <v>46109</v>
      </c>
      <c r="E2011" s="9">
        <v>46139</v>
      </c>
      <c r="F2011" s="3">
        <v>5202.8599999999997</v>
      </c>
      <c r="G2011" s="7" t="s">
        <v>367</v>
      </c>
    </row>
    <row r="2012" spans="1:7" x14ac:dyDescent="0.3">
      <c r="A2012" s="7" t="s">
        <v>2379</v>
      </c>
      <c r="B2012" s="7" t="s">
        <v>123</v>
      </c>
      <c r="C2012" s="7" t="s">
        <v>353</v>
      </c>
      <c r="D2012" s="9">
        <v>46014</v>
      </c>
      <c r="E2012" s="9">
        <v>46044</v>
      </c>
      <c r="F2012" s="3">
        <v>2017.84</v>
      </c>
      <c r="G2012" s="7" t="s">
        <v>387</v>
      </c>
    </row>
    <row r="2013" spans="1:7" x14ac:dyDescent="0.3">
      <c r="A2013" s="7" t="s">
        <v>2380</v>
      </c>
      <c r="B2013" s="7" t="s">
        <v>75</v>
      </c>
      <c r="C2013" s="7" t="s">
        <v>355</v>
      </c>
      <c r="D2013" s="9">
        <v>46034</v>
      </c>
      <c r="E2013" s="9">
        <v>46064</v>
      </c>
      <c r="F2013" s="3">
        <v>10964.96</v>
      </c>
      <c r="G2013" s="7" t="s">
        <v>367</v>
      </c>
    </row>
    <row r="2014" spans="1:7" x14ac:dyDescent="0.3">
      <c r="A2014" s="7" t="s">
        <v>2381</v>
      </c>
      <c r="B2014" s="7" t="s">
        <v>19</v>
      </c>
      <c r="C2014" s="7" t="s">
        <v>357</v>
      </c>
      <c r="D2014" s="9">
        <v>46101</v>
      </c>
      <c r="E2014" s="9">
        <v>46131</v>
      </c>
      <c r="F2014" s="3">
        <v>2854.77</v>
      </c>
      <c r="G2014" s="7" t="s">
        <v>367</v>
      </c>
    </row>
    <row r="2015" spans="1:7" x14ac:dyDescent="0.3">
      <c r="A2015" s="7" t="s">
        <v>2382</v>
      </c>
      <c r="B2015" s="7" t="s">
        <v>58</v>
      </c>
      <c r="C2015" s="7" t="s">
        <v>355</v>
      </c>
      <c r="D2015" s="9">
        <v>45992</v>
      </c>
      <c r="E2015" s="9">
        <v>46022</v>
      </c>
      <c r="F2015" s="3">
        <v>13071.62</v>
      </c>
      <c r="G2015" s="7" t="s">
        <v>369</v>
      </c>
    </row>
    <row r="2016" spans="1:7" x14ac:dyDescent="0.3">
      <c r="A2016" s="7" t="s">
        <v>2383</v>
      </c>
      <c r="B2016" s="7" t="s">
        <v>57</v>
      </c>
      <c r="C2016" s="7" t="s">
        <v>349</v>
      </c>
      <c r="D2016" s="9">
        <v>46046</v>
      </c>
      <c r="E2016" s="9">
        <v>46076</v>
      </c>
      <c r="F2016" s="3">
        <v>3067.74</v>
      </c>
      <c r="G2016" s="7" t="s">
        <v>367</v>
      </c>
    </row>
    <row r="2017" spans="1:7" x14ac:dyDescent="0.3">
      <c r="A2017" s="7" t="s">
        <v>2384</v>
      </c>
      <c r="B2017" s="7" t="s">
        <v>123</v>
      </c>
      <c r="C2017" s="7" t="s">
        <v>353</v>
      </c>
      <c r="D2017" s="9">
        <v>46006</v>
      </c>
      <c r="E2017" s="9">
        <v>46036</v>
      </c>
      <c r="F2017" s="3">
        <v>2696.46</v>
      </c>
      <c r="G2017" s="7" t="s">
        <v>369</v>
      </c>
    </row>
    <row r="2018" spans="1:7" x14ac:dyDescent="0.3">
      <c r="A2018" s="7" t="s">
        <v>2385</v>
      </c>
      <c r="B2018" s="7" t="s">
        <v>13</v>
      </c>
      <c r="C2018" s="7" t="s">
        <v>349</v>
      </c>
      <c r="D2018" s="9">
        <v>46022</v>
      </c>
      <c r="E2018" s="9">
        <v>46052</v>
      </c>
      <c r="F2018" s="3">
        <v>3411.69</v>
      </c>
      <c r="G2018" s="7" t="s">
        <v>367</v>
      </c>
    </row>
    <row r="2019" spans="1:7" x14ac:dyDescent="0.3">
      <c r="A2019" s="7" t="s">
        <v>2386</v>
      </c>
      <c r="B2019" s="7" t="s">
        <v>35</v>
      </c>
      <c r="C2019" s="7" t="s">
        <v>349</v>
      </c>
      <c r="D2019" s="9">
        <v>46008</v>
      </c>
      <c r="E2019" s="9">
        <v>46038</v>
      </c>
      <c r="F2019" s="3">
        <v>2566.48</v>
      </c>
      <c r="G2019" s="7" t="s">
        <v>367</v>
      </c>
    </row>
    <row r="2020" spans="1:7" x14ac:dyDescent="0.3">
      <c r="A2020" s="7" t="s">
        <v>2387</v>
      </c>
      <c r="B2020" s="7" t="s">
        <v>75</v>
      </c>
      <c r="C2020" s="7" t="s">
        <v>351</v>
      </c>
      <c r="D2020" s="9">
        <v>45991</v>
      </c>
      <c r="E2020" s="9">
        <v>46021</v>
      </c>
      <c r="F2020" s="3">
        <v>4176.03</v>
      </c>
      <c r="G2020" s="7" t="s">
        <v>369</v>
      </c>
    </row>
    <row r="2021" spans="1:7" x14ac:dyDescent="0.3">
      <c r="A2021" s="7" t="s">
        <v>2388</v>
      </c>
      <c r="B2021" s="7" t="s">
        <v>107</v>
      </c>
      <c r="C2021" s="7" t="s">
        <v>349</v>
      </c>
      <c r="D2021" s="9">
        <v>45976</v>
      </c>
      <c r="E2021" s="9">
        <v>46006</v>
      </c>
      <c r="F2021" s="3">
        <v>3520.93</v>
      </c>
      <c r="G2021" s="7" t="s">
        <v>367</v>
      </c>
    </row>
    <row r="2022" spans="1:7" x14ac:dyDescent="0.3">
      <c r="A2022" s="7" t="s">
        <v>2389</v>
      </c>
      <c r="B2022" s="7" t="s">
        <v>95</v>
      </c>
      <c r="C2022" s="7" t="s">
        <v>349</v>
      </c>
      <c r="D2022" s="9">
        <v>46068</v>
      </c>
      <c r="E2022" s="9">
        <v>46098</v>
      </c>
      <c r="F2022" s="3">
        <v>2532.96</v>
      </c>
      <c r="G2022" s="7" t="s">
        <v>367</v>
      </c>
    </row>
    <row r="2023" spans="1:7" x14ac:dyDescent="0.3">
      <c r="A2023" s="7" t="s">
        <v>2390</v>
      </c>
      <c r="B2023" s="7" t="s">
        <v>24</v>
      </c>
      <c r="C2023" s="7" t="s">
        <v>357</v>
      </c>
      <c r="D2023" s="9">
        <v>45997</v>
      </c>
      <c r="E2023" s="9">
        <v>46027</v>
      </c>
      <c r="F2023" s="3">
        <v>3908.28</v>
      </c>
      <c r="G2023" s="7" t="s">
        <v>367</v>
      </c>
    </row>
    <row r="2024" spans="1:7" x14ac:dyDescent="0.3">
      <c r="A2024" s="7" t="s">
        <v>2391</v>
      </c>
      <c r="B2024" s="7" t="s">
        <v>103</v>
      </c>
      <c r="C2024" s="7" t="s">
        <v>357</v>
      </c>
      <c r="D2024" s="9">
        <v>46104</v>
      </c>
      <c r="E2024" s="9">
        <v>46134</v>
      </c>
      <c r="F2024" s="3">
        <v>3444.97</v>
      </c>
      <c r="G2024" s="7" t="s">
        <v>369</v>
      </c>
    </row>
    <row r="2025" spans="1:7" x14ac:dyDescent="0.3">
      <c r="A2025" s="7" t="s">
        <v>2392</v>
      </c>
      <c r="B2025" s="7" t="s">
        <v>22</v>
      </c>
      <c r="C2025" s="7" t="s">
        <v>357</v>
      </c>
      <c r="D2025" s="9">
        <v>46107</v>
      </c>
      <c r="E2025" s="9">
        <v>46137</v>
      </c>
      <c r="F2025" s="3">
        <v>4042.92</v>
      </c>
      <c r="G2025" s="7" t="s">
        <v>367</v>
      </c>
    </row>
    <row r="2026" spans="1:7" x14ac:dyDescent="0.3">
      <c r="A2026" s="7" t="s">
        <v>2393</v>
      </c>
      <c r="B2026" s="7" t="s">
        <v>42</v>
      </c>
      <c r="C2026" s="7" t="s">
        <v>357</v>
      </c>
      <c r="D2026" s="9">
        <v>46104</v>
      </c>
      <c r="E2026" s="9">
        <v>46134</v>
      </c>
      <c r="F2026" s="3">
        <v>3538.62</v>
      </c>
      <c r="G2026" s="7" t="s">
        <v>367</v>
      </c>
    </row>
    <row r="2027" spans="1:7" x14ac:dyDescent="0.3">
      <c r="A2027" s="7" t="s">
        <v>2394</v>
      </c>
      <c r="B2027" s="7" t="s">
        <v>105</v>
      </c>
      <c r="C2027" s="7" t="s">
        <v>353</v>
      </c>
      <c r="D2027" s="9">
        <v>45985</v>
      </c>
      <c r="E2027" s="9">
        <v>46015</v>
      </c>
      <c r="F2027" s="3">
        <v>2772.64</v>
      </c>
      <c r="G2027" s="7" t="s">
        <v>367</v>
      </c>
    </row>
    <row r="2028" spans="1:7" x14ac:dyDescent="0.3">
      <c r="A2028" s="7" t="s">
        <v>2395</v>
      </c>
      <c r="B2028" s="7" t="s">
        <v>38</v>
      </c>
      <c r="C2028" s="7" t="s">
        <v>353</v>
      </c>
      <c r="D2028" s="9">
        <v>46008</v>
      </c>
      <c r="E2028" s="9">
        <v>46038</v>
      </c>
      <c r="F2028" s="3">
        <v>2711.38</v>
      </c>
      <c r="G2028" s="7" t="s">
        <v>369</v>
      </c>
    </row>
    <row r="2029" spans="1:7" x14ac:dyDescent="0.3">
      <c r="A2029" s="7" t="s">
        <v>2396</v>
      </c>
      <c r="B2029" s="7" t="s">
        <v>16</v>
      </c>
      <c r="C2029" s="7" t="s">
        <v>359</v>
      </c>
      <c r="D2029" s="9">
        <v>46013</v>
      </c>
      <c r="E2029" s="9">
        <v>46043</v>
      </c>
      <c r="F2029" s="3">
        <v>1905.94</v>
      </c>
      <c r="G2029" s="7" t="s">
        <v>367</v>
      </c>
    </row>
    <row r="2030" spans="1:7" x14ac:dyDescent="0.3">
      <c r="A2030" s="7" t="s">
        <v>2397</v>
      </c>
      <c r="B2030" s="7" t="s">
        <v>111</v>
      </c>
      <c r="C2030" s="7" t="s">
        <v>355</v>
      </c>
      <c r="D2030" s="9">
        <v>45986</v>
      </c>
      <c r="E2030" s="9">
        <v>46016</v>
      </c>
      <c r="F2030" s="3">
        <v>9889.2800000000007</v>
      </c>
      <c r="G2030" s="7" t="s">
        <v>367</v>
      </c>
    </row>
    <row r="2031" spans="1:7" x14ac:dyDescent="0.3">
      <c r="A2031" s="7" t="s">
        <v>2398</v>
      </c>
      <c r="B2031" s="7" t="s">
        <v>82</v>
      </c>
      <c r="C2031" s="7" t="s">
        <v>355</v>
      </c>
      <c r="D2031" s="9">
        <v>45976</v>
      </c>
      <c r="E2031" s="9">
        <v>46006</v>
      </c>
      <c r="F2031" s="3">
        <v>10502</v>
      </c>
      <c r="G2031" s="7" t="s">
        <v>367</v>
      </c>
    </row>
    <row r="2032" spans="1:7" x14ac:dyDescent="0.3">
      <c r="A2032" s="7" t="s">
        <v>2399</v>
      </c>
      <c r="B2032" s="7" t="s">
        <v>90</v>
      </c>
      <c r="C2032" s="7" t="s">
        <v>357</v>
      </c>
      <c r="D2032" s="9">
        <v>46029</v>
      </c>
      <c r="E2032" s="9">
        <v>46059</v>
      </c>
      <c r="F2032" s="3">
        <v>3519.5</v>
      </c>
      <c r="G2032" s="7" t="s">
        <v>367</v>
      </c>
    </row>
    <row r="2033" spans="1:7" x14ac:dyDescent="0.3">
      <c r="A2033" s="7" t="s">
        <v>2400</v>
      </c>
      <c r="B2033" s="7" t="s">
        <v>53</v>
      </c>
      <c r="C2033" s="7" t="s">
        <v>351</v>
      </c>
      <c r="D2033" s="9">
        <v>46110</v>
      </c>
      <c r="E2033" s="9">
        <v>46140</v>
      </c>
      <c r="F2033" s="3">
        <v>5695.61</v>
      </c>
      <c r="G2033" s="7" t="s">
        <v>367</v>
      </c>
    </row>
    <row r="2034" spans="1:7" x14ac:dyDescent="0.3">
      <c r="A2034" s="7" t="s">
        <v>2401</v>
      </c>
      <c r="B2034" s="7" t="s">
        <v>106</v>
      </c>
      <c r="C2034" s="7" t="s">
        <v>355</v>
      </c>
      <c r="D2034" s="9">
        <v>45989</v>
      </c>
      <c r="E2034" s="9">
        <v>46019</v>
      </c>
      <c r="F2034" s="3">
        <v>14280.31</v>
      </c>
      <c r="G2034" s="7" t="s">
        <v>367</v>
      </c>
    </row>
    <row r="2035" spans="1:7" x14ac:dyDescent="0.3">
      <c r="A2035" s="7" t="s">
        <v>2402</v>
      </c>
      <c r="B2035" s="7" t="s">
        <v>46</v>
      </c>
      <c r="C2035" s="7" t="s">
        <v>355</v>
      </c>
      <c r="D2035" s="9">
        <v>45972</v>
      </c>
      <c r="E2035" s="9">
        <v>46002</v>
      </c>
      <c r="F2035" s="3">
        <v>10502.18</v>
      </c>
      <c r="G2035" s="7" t="s">
        <v>367</v>
      </c>
    </row>
    <row r="2036" spans="1:7" x14ac:dyDescent="0.3">
      <c r="A2036" s="7" t="s">
        <v>2403</v>
      </c>
      <c r="B2036" s="7" t="s">
        <v>102</v>
      </c>
      <c r="C2036" s="7" t="s">
        <v>357</v>
      </c>
      <c r="D2036" s="9">
        <v>46021</v>
      </c>
      <c r="E2036" s="9">
        <v>46051</v>
      </c>
      <c r="F2036" s="3">
        <v>3707.74</v>
      </c>
      <c r="G2036" s="7" t="s">
        <v>369</v>
      </c>
    </row>
    <row r="2037" spans="1:7" x14ac:dyDescent="0.3">
      <c r="A2037" s="7" t="s">
        <v>2404</v>
      </c>
      <c r="B2037" s="7" t="s">
        <v>67</v>
      </c>
      <c r="C2037" s="7" t="s">
        <v>349</v>
      </c>
      <c r="D2037" s="9">
        <v>46014</v>
      </c>
      <c r="E2037" s="9">
        <v>46044</v>
      </c>
      <c r="F2037" s="3">
        <v>2688.67</v>
      </c>
      <c r="G2037" s="7" t="s">
        <v>367</v>
      </c>
    </row>
    <row r="2038" spans="1:7" x14ac:dyDescent="0.3">
      <c r="A2038" s="7" t="s">
        <v>2405</v>
      </c>
      <c r="B2038" s="7" t="s">
        <v>77</v>
      </c>
      <c r="C2038" s="7" t="s">
        <v>359</v>
      </c>
      <c r="D2038" s="9">
        <v>46069</v>
      </c>
      <c r="E2038" s="9">
        <v>46099</v>
      </c>
      <c r="F2038" s="3">
        <v>1822.24</v>
      </c>
      <c r="G2038" s="7" t="s">
        <v>367</v>
      </c>
    </row>
    <row r="2039" spans="1:7" x14ac:dyDescent="0.3">
      <c r="A2039" s="7" t="s">
        <v>2406</v>
      </c>
      <c r="B2039" s="7" t="s">
        <v>62</v>
      </c>
      <c r="C2039" s="7" t="s">
        <v>349</v>
      </c>
      <c r="D2039" s="9">
        <v>45996</v>
      </c>
      <c r="E2039" s="9">
        <v>46026</v>
      </c>
      <c r="F2039" s="3">
        <v>2825.31</v>
      </c>
      <c r="G2039" s="7" t="s">
        <v>367</v>
      </c>
    </row>
    <row r="2040" spans="1:7" x14ac:dyDescent="0.3">
      <c r="A2040" s="7" t="s">
        <v>2407</v>
      </c>
      <c r="B2040" s="7" t="s">
        <v>13</v>
      </c>
      <c r="C2040" s="7" t="s">
        <v>357</v>
      </c>
      <c r="D2040" s="9">
        <v>46020</v>
      </c>
      <c r="E2040" s="9">
        <v>46050</v>
      </c>
      <c r="F2040" s="3">
        <v>3267.24</v>
      </c>
      <c r="G2040" s="7" t="s">
        <v>367</v>
      </c>
    </row>
    <row r="2041" spans="1:7" x14ac:dyDescent="0.3">
      <c r="A2041" s="7" t="s">
        <v>2408</v>
      </c>
      <c r="B2041" s="7" t="s">
        <v>58</v>
      </c>
      <c r="C2041" s="7" t="s">
        <v>359</v>
      </c>
      <c r="D2041" s="9">
        <v>46026</v>
      </c>
      <c r="E2041" s="9">
        <v>46056</v>
      </c>
      <c r="F2041" s="3">
        <v>1715.42</v>
      </c>
      <c r="G2041" s="7" t="s">
        <v>367</v>
      </c>
    </row>
    <row r="2042" spans="1:7" x14ac:dyDescent="0.3">
      <c r="A2042" s="7" t="s">
        <v>2409</v>
      </c>
      <c r="B2042" s="7" t="s">
        <v>62</v>
      </c>
      <c r="C2042" s="7" t="s">
        <v>351</v>
      </c>
      <c r="D2042" s="9">
        <v>46086</v>
      </c>
      <c r="E2042" s="9">
        <v>46116</v>
      </c>
      <c r="F2042" s="3">
        <v>5188.1000000000004</v>
      </c>
      <c r="G2042" s="7" t="s">
        <v>367</v>
      </c>
    </row>
    <row r="2043" spans="1:7" x14ac:dyDescent="0.3">
      <c r="A2043" s="7" t="s">
        <v>2410</v>
      </c>
      <c r="B2043" s="7" t="s">
        <v>35</v>
      </c>
      <c r="C2043" s="7" t="s">
        <v>349</v>
      </c>
      <c r="D2043" s="9">
        <v>45964</v>
      </c>
      <c r="E2043" s="9">
        <v>45994</v>
      </c>
      <c r="F2043" s="3">
        <v>3217.39</v>
      </c>
      <c r="G2043" s="7" t="s">
        <v>387</v>
      </c>
    </row>
    <row r="2044" spans="1:7" x14ac:dyDescent="0.3">
      <c r="A2044" s="7" t="s">
        <v>2411</v>
      </c>
      <c r="B2044" s="7" t="s">
        <v>15</v>
      </c>
      <c r="C2044" s="7" t="s">
        <v>349</v>
      </c>
      <c r="D2044" s="9">
        <v>45990</v>
      </c>
      <c r="E2044" s="9">
        <v>46020</v>
      </c>
      <c r="F2044" s="3">
        <v>2463.77</v>
      </c>
      <c r="G2044" s="7" t="s">
        <v>367</v>
      </c>
    </row>
    <row r="2045" spans="1:7" x14ac:dyDescent="0.3">
      <c r="A2045" s="7" t="s">
        <v>2412</v>
      </c>
      <c r="B2045" s="7" t="s">
        <v>58</v>
      </c>
      <c r="C2045" s="7" t="s">
        <v>357</v>
      </c>
      <c r="D2045" s="9">
        <v>46078</v>
      </c>
      <c r="E2045" s="9">
        <v>46108</v>
      </c>
      <c r="F2045" s="3">
        <v>2941.44</v>
      </c>
      <c r="G2045" s="7" t="s">
        <v>367</v>
      </c>
    </row>
    <row r="2046" spans="1:7" x14ac:dyDescent="0.3">
      <c r="A2046" s="7" t="s">
        <v>2413</v>
      </c>
      <c r="B2046" s="7" t="s">
        <v>95</v>
      </c>
      <c r="C2046" s="7" t="s">
        <v>355</v>
      </c>
      <c r="D2046" s="9">
        <v>46025</v>
      </c>
      <c r="E2046" s="9">
        <v>46055</v>
      </c>
      <c r="F2046" s="3">
        <v>11485.85</v>
      </c>
      <c r="G2046" s="7" t="s">
        <v>369</v>
      </c>
    </row>
    <row r="2047" spans="1:7" x14ac:dyDescent="0.3">
      <c r="A2047" s="7" t="s">
        <v>2414</v>
      </c>
      <c r="B2047" s="7" t="s">
        <v>43</v>
      </c>
      <c r="C2047" s="7" t="s">
        <v>353</v>
      </c>
      <c r="D2047" s="9">
        <v>46086</v>
      </c>
      <c r="E2047" s="9">
        <v>46116</v>
      </c>
      <c r="F2047" s="3">
        <v>2495.17</v>
      </c>
      <c r="G2047" s="7" t="s">
        <v>367</v>
      </c>
    </row>
    <row r="2048" spans="1:7" x14ac:dyDescent="0.3">
      <c r="A2048" s="7" t="s">
        <v>2415</v>
      </c>
      <c r="B2048" s="7" t="s">
        <v>71</v>
      </c>
      <c r="C2048" s="7" t="s">
        <v>359</v>
      </c>
      <c r="D2048" s="9">
        <v>46073</v>
      </c>
      <c r="E2048" s="9">
        <v>46103</v>
      </c>
      <c r="F2048" s="3">
        <v>1869.35</v>
      </c>
      <c r="G2048" s="7" t="s">
        <v>367</v>
      </c>
    </row>
    <row r="2049" spans="1:7" x14ac:dyDescent="0.3">
      <c r="A2049" s="7" t="s">
        <v>2416</v>
      </c>
      <c r="B2049" s="7" t="s">
        <v>95</v>
      </c>
      <c r="C2049" s="7" t="s">
        <v>359</v>
      </c>
      <c r="D2049" s="9">
        <v>45969</v>
      </c>
      <c r="E2049" s="9">
        <v>45999</v>
      </c>
      <c r="F2049" s="3">
        <v>1887.93</v>
      </c>
      <c r="G2049" s="7" t="s">
        <v>369</v>
      </c>
    </row>
    <row r="2050" spans="1:7" x14ac:dyDescent="0.3">
      <c r="A2050" s="7" t="s">
        <v>2417</v>
      </c>
      <c r="B2050" s="7" t="s">
        <v>49</v>
      </c>
      <c r="C2050" s="7" t="s">
        <v>351</v>
      </c>
      <c r="D2050" s="9">
        <v>46006</v>
      </c>
      <c r="E2050" s="9">
        <v>46036</v>
      </c>
      <c r="F2050" s="3">
        <v>4340.47</v>
      </c>
      <c r="G2050" s="7" t="s">
        <v>367</v>
      </c>
    </row>
    <row r="2051" spans="1:7" x14ac:dyDescent="0.3">
      <c r="A2051" s="7" t="s">
        <v>2418</v>
      </c>
      <c r="B2051" s="7" t="s">
        <v>49</v>
      </c>
      <c r="C2051" s="7" t="s">
        <v>355</v>
      </c>
      <c r="D2051" s="9">
        <v>46014</v>
      </c>
      <c r="E2051" s="9">
        <v>46044</v>
      </c>
      <c r="F2051" s="3">
        <v>10280.799999999999</v>
      </c>
      <c r="G2051" s="7" t="s">
        <v>367</v>
      </c>
    </row>
    <row r="2052" spans="1:7" x14ac:dyDescent="0.3">
      <c r="A2052" s="7" t="s">
        <v>2419</v>
      </c>
      <c r="B2052" s="7" t="s">
        <v>104</v>
      </c>
      <c r="C2052" s="7" t="s">
        <v>349</v>
      </c>
      <c r="D2052" s="9">
        <v>46110</v>
      </c>
      <c r="E2052" s="9">
        <v>46140</v>
      </c>
      <c r="F2052" s="3">
        <v>2613.02</v>
      </c>
      <c r="G2052" s="7" t="s">
        <v>367</v>
      </c>
    </row>
    <row r="2053" spans="1:7" x14ac:dyDescent="0.3">
      <c r="A2053" s="7" t="s">
        <v>2420</v>
      </c>
      <c r="B2053" s="7" t="s">
        <v>118</v>
      </c>
      <c r="C2053" s="7" t="s">
        <v>349</v>
      </c>
      <c r="D2053" s="9">
        <v>45967</v>
      </c>
      <c r="E2053" s="9">
        <v>45997</v>
      </c>
      <c r="F2053" s="3">
        <v>3112.81</v>
      </c>
      <c r="G2053" s="7" t="s">
        <v>367</v>
      </c>
    </row>
    <row r="2054" spans="1:7" x14ac:dyDescent="0.3">
      <c r="A2054" s="7" t="s">
        <v>2421</v>
      </c>
      <c r="B2054" s="7" t="s">
        <v>44</v>
      </c>
      <c r="C2054" s="7" t="s">
        <v>351</v>
      </c>
      <c r="D2054" s="9">
        <v>46051</v>
      </c>
      <c r="E2054" s="9">
        <v>46081</v>
      </c>
      <c r="F2054" s="3">
        <v>4945.1400000000003</v>
      </c>
      <c r="G2054" s="7" t="s">
        <v>367</v>
      </c>
    </row>
    <row r="2055" spans="1:7" x14ac:dyDescent="0.3">
      <c r="A2055" s="7" t="s">
        <v>2422</v>
      </c>
      <c r="B2055" s="7" t="s">
        <v>19</v>
      </c>
      <c r="C2055" s="7" t="s">
        <v>351</v>
      </c>
      <c r="D2055" s="9">
        <v>46017</v>
      </c>
      <c r="E2055" s="9">
        <v>46047</v>
      </c>
      <c r="F2055" s="3">
        <v>5050.54</v>
      </c>
      <c r="G2055" s="7" t="s">
        <v>369</v>
      </c>
    </row>
    <row r="2056" spans="1:7" x14ac:dyDescent="0.3">
      <c r="A2056" s="7" t="s">
        <v>2423</v>
      </c>
      <c r="B2056" s="7" t="s">
        <v>51</v>
      </c>
      <c r="C2056" s="7" t="s">
        <v>353</v>
      </c>
      <c r="D2056" s="9">
        <v>46042</v>
      </c>
      <c r="E2056" s="9">
        <v>46072</v>
      </c>
      <c r="F2056" s="3">
        <v>2803.89</v>
      </c>
      <c r="G2056" s="7" t="s">
        <v>367</v>
      </c>
    </row>
    <row r="2057" spans="1:7" x14ac:dyDescent="0.3">
      <c r="A2057" s="7" t="s">
        <v>2424</v>
      </c>
      <c r="B2057" s="7" t="s">
        <v>8</v>
      </c>
      <c r="C2057" s="7" t="s">
        <v>357</v>
      </c>
      <c r="D2057" s="9">
        <v>46107</v>
      </c>
      <c r="E2057" s="9">
        <v>46137</v>
      </c>
      <c r="F2057" s="3">
        <v>3160.28</v>
      </c>
      <c r="G2057" s="7" t="s">
        <v>367</v>
      </c>
    </row>
    <row r="2058" spans="1:7" x14ac:dyDescent="0.3">
      <c r="A2058" s="7" t="s">
        <v>2425</v>
      </c>
      <c r="B2058" s="7" t="s">
        <v>116</v>
      </c>
      <c r="C2058" s="7" t="s">
        <v>353</v>
      </c>
      <c r="D2058" s="9">
        <v>46086</v>
      </c>
      <c r="E2058" s="9">
        <v>46116</v>
      </c>
      <c r="F2058" s="3">
        <v>2301.13</v>
      </c>
      <c r="G2058" s="7" t="s">
        <v>369</v>
      </c>
    </row>
    <row r="2059" spans="1:7" x14ac:dyDescent="0.3">
      <c r="A2059" s="7" t="s">
        <v>2426</v>
      </c>
      <c r="B2059" s="7" t="s">
        <v>88</v>
      </c>
      <c r="C2059" s="7" t="s">
        <v>357</v>
      </c>
      <c r="D2059" s="9">
        <v>46073</v>
      </c>
      <c r="E2059" s="9">
        <v>46103</v>
      </c>
      <c r="F2059" s="3">
        <v>3478.1</v>
      </c>
      <c r="G2059" s="7" t="s">
        <v>367</v>
      </c>
    </row>
    <row r="2060" spans="1:7" x14ac:dyDescent="0.3">
      <c r="A2060" s="7" t="s">
        <v>2427</v>
      </c>
      <c r="B2060" s="7" t="s">
        <v>25</v>
      </c>
      <c r="C2060" s="7" t="s">
        <v>349</v>
      </c>
      <c r="D2060" s="9">
        <v>46034</v>
      </c>
      <c r="E2060" s="9">
        <v>46064</v>
      </c>
      <c r="F2060" s="3">
        <v>2577.48</v>
      </c>
      <c r="G2060" s="7" t="s">
        <v>367</v>
      </c>
    </row>
    <row r="2061" spans="1:7" x14ac:dyDescent="0.3">
      <c r="A2061" s="7" t="s">
        <v>2428</v>
      </c>
      <c r="B2061" s="7" t="s">
        <v>62</v>
      </c>
      <c r="C2061" s="7" t="s">
        <v>353</v>
      </c>
      <c r="D2061" s="9">
        <v>46108</v>
      </c>
      <c r="E2061" s="9">
        <v>46138</v>
      </c>
      <c r="F2061" s="3">
        <v>2497.83</v>
      </c>
      <c r="G2061" s="7" t="s">
        <v>367</v>
      </c>
    </row>
    <row r="2062" spans="1:7" x14ac:dyDescent="0.3">
      <c r="A2062" s="7" t="s">
        <v>2429</v>
      </c>
      <c r="B2062" s="7" t="s">
        <v>55</v>
      </c>
      <c r="C2062" s="7" t="s">
        <v>353</v>
      </c>
      <c r="D2062" s="9">
        <v>45965</v>
      </c>
      <c r="E2062" s="9">
        <v>45995</v>
      </c>
      <c r="F2062" s="3">
        <v>2206.31</v>
      </c>
      <c r="G2062" s="7" t="s">
        <v>369</v>
      </c>
    </row>
    <row r="2063" spans="1:7" x14ac:dyDescent="0.3">
      <c r="A2063" s="7" t="s">
        <v>2430</v>
      </c>
      <c r="B2063" s="7" t="s">
        <v>122</v>
      </c>
      <c r="C2063" s="7" t="s">
        <v>359</v>
      </c>
      <c r="D2063" s="9">
        <v>45967</v>
      </c>
      <c r="E2063" s="9">
        <v>45997</v>
      </c>
      <c r="F2063" s="3">
        <v>1517.71</v>
      </c>
      <c r="G2063" s="7" t="s">
        <v>367</v>
      </c>
    </row>
    <row r="2064" spans="1:7" x14ac:dyDescent="0.3">
      <c r="A2064" s="7" t="s">
        <v>2431</v>
      </c>
      <c r="B2064" s="7" t="s">
        <v>123</v>
      </c>
      <c r="C2064" s="7" t="s">
        <v>355</v>
      </c>
      <c r="D2064" s="9">
        <v>46098</v>
      </c>
      <c r="E2064" s="9">
        <v>46128</v>
      </c>
      <c r="F2064" s="3">
        <v>14339.19</v>
      </c>
      <c r="G2064" s="7" t="s">
        <v>367</v>
      </c>
    </row>
    <row r="2065" spans="1:7" x14ac:dyDescent="0.3">
      <c r="A2065" s="7" t="s">
        <v>2432</v>
      </c>
      <c r="B2065" s="7" t="s">
        <v>42</v>
      </c>
      <c r="C2065" s="7" t="s">
        <v>359</v>
      </c>
      <c r="D2065" s="9">
        <v>46035</v>
      </c>
      <c r="E2065" s="9">
        <v>46065</v>
      </c>
      <c r="F2065" s="3">
        <v>1691.17</v>
      </c>
      <c r="G2065" s="7" t="s">
        <v>367</v>
      </c>
    </row>
    <row r="2066" spans="1:7" x14ac:dyDescent="0.3">
      <c r="A2066" s="7" t="s">
        <v>2433</v>
      </c>
      <c r="B2066" s="7" t="s">
        <v>113</v>
      </c>
      <c r="C2066" s="7" t="s">
        <v>353</v>
      </c>
      <c r="D2066" s="9">
        <v>46007</v>
      </c>
      <c r="E2066" s="9">
        <v>46037</v>
      </c>
      <c r="F2066" s="3">
        <v>2190.5700000000002</v>
      </c>
      <c r="G2066" s="7" t="s">
        <v>367</v>
      </c>
    </row>
    <row r="2067" spans="1:7" x14ac:dyDescent="0.3">
      <c r="A2067" s="7" t="s">
        <v>2434</v>
      </c>
      <c r="B2067" s="7" t="s">
        <v>108</v>
      </c>
      <c r="C2067" s="7" t="s">
        <v>357</v>
      </c>
      <c r="D2067" s="9">
        <v>46069</v>
      </c>
      <c r="E2067" s="9">
        <v>46099</v>
      </c>
      <c r="F2067" s="3">
        <v>2972.15</v>
      </c>
      <c r="G2067" s="7" t="s">
        <v>367</v>
      </c>
    </row>
    <row r="2068" spans="1:7" x14ac:dyDescent="0.3">
      <c r="A2068" s="7" t="s">
        <v>2435</v>
      </c>
      <c r="B2068" s="7" t="s">
        <v>25</v>
      </c>
      <c r="C2068" s="7" t="s">
        <v>353</v>
      </c>
      <c r="D2068" s="9">
        <v>46096</v>
      </c>
      <c r="E2068" s="9">
        <v>46126</v>
      </c>
      <c r="F2068" s="3">
        <v>2288.41</v>
      </c>
      <c r="G2068" s="7" t="s">
        <v>369</v>
      </c>
    </row>
    <row r="2069" spans="1:7" x14ac:dyDescent="0.3">
      <c r="A2069" s="7" t="s">
        <v>2436</v>
      </c>
      <c r="B2069" s="7" t="s">
        <v>92</v>
      </c>
      <c r="C2069" s="7" t="s">
        <v>355</v>
      </c>
      <c r="D2069" s="9">
        <v>46060</v>
      </c>
      <c r="E2069" s="9">
        <v>46090</v>
      </c>
      <c r="F2069" s="3">
        <v>12868.43</v>
      </c>
      <c r="G2069" s="7" t="s">
        <v>367</v>
      </c>
    </row>
    <row r="2070" spans="1:7" x14ac:dyDescent="0.3">
      <c r="A2070" s="7" t="s">
        <v>2437</v>
      </c>
      <c r="B2070" s="7" t="s">
        <v>8</v>
      </c>
      <c r="C2070" s="7" t="s">
        <v>351</v>
      </c>
      <c r="D2070" s="9">
        <v>46015</v>
      </c>
      <c r="E2070" s="9">
        <v>46045</v>
      </c>
      <c r="F2070" s="3">
        <v>4607.29</v>
      </c>
      <c r="G2070" s="7" t="s">
        <v>369</v>
      </c>
    </row>
    <row r="2071" spans="1:7" x14ac:dyDescent="0.3">
      <c r="A2071" s="7" t="s">
        <v>2438</v>
      </c>
      <c r="B2071" s="7" t="s">
        <v>69</v>
      </c>
      <c r="C2071" s="7" t="s">
        <v>355</v>
      </c>
      <c r="D2071" s="9">
        <v>46065</v>
      </c>
      <c r="E2071" s="9">
        <v>46095</v>
      </c>
      <c r="F2071" s="3">
        <v>9796.57</v>
      </c>
      <c r="G2071" s="7" t="s">
        <v>367</v>
      </c>
    </row>
    <row r="2072" spans="1:7" x14ac:dyDescent="0.3">
      <c r="A2072" s="7" t="s">
        <v>2439</v>
      </c>
      <c r="B2072" s="7" t="s">
        <v>13</v>
      </c>
      <c r="C2072" s="7" t="s">
        <v>353</v>
      </c>
      <c r="D2072" s="9">
        <v>45989</v>
      </c>
      <c r="E2072" s="9">
        <v>46019</v>
      </c>
      <c r="F2072" s="3">
        <v>2005.09</v>
      </c>
      <c r="G2072" s="7" t="s">
        <v>369</v>
      </c>
    </row>
    <row r="2073" spans="1:7" x14ac:dyDescent="0.3">
      <c r="A2073" s="7" t="s">
        <v>2440</v>
      </c>
      <c r="B2073" s="7" t="s">
        <v>71</v>
      </c>
      <c r="C2073" s="7" t="s">
        <v>353</v>
      </c>
      <c r="D2073" s="9">
        <v>46064</v>
      </c>
      <c r="E2073" s="9">
        <v>46094</v>
      </c>
      <c r="F2073" s="3">
        <v>2137.7199999999998</v>
      </c>
      <c r="G2073" s="7" t="s">
        <v>369</v>
      </c>
    </row>
    <row r="2074" spans="1:7" x14ac:dyDescent="0.3">
      <c r="A2074" s="7" t="s">
        <v>2441</v>
      </c>
      <c r="B2074" s="7" t="s">
        <v>98</v>
      </c>
      <c r="C2074" s="7" t="s">
        <v>359</v>
      </c>
      <c r="D2074" s="9">
        <v>46111</v>
      </c>
      <c r="E2074" s="9">
        <v>46141</v>
      </c>
      <c r="F2074" s="3">
        <v>2130.14</v>
      </c>
      <c r="G2074" s="7" t="s">
        <v>387</v>
      </c>
    </row>
    <row r="2075" spans="1:7" x14ac:dyDescent="0.3">
      <c r="A2075" s="7" t="s">
        <v>2442</v>
      </c>
      <c r="B2075" s="7" t="s">
        <v>124</v>
      </c>
      <c r="C2075" s="7" t="s">
        <v>353</v>
      </c>
      <c r="D2075" s="9">
        <v>46039</v>
      </c>
      <c r="E2075" s="9">
        <v>46069</v>
      </c>
      <c r="F2075" s="3">
        <v>2142.64</v>
      </c>
      <c r="G2075" s="7" t="s">
        <v>367</v>
      </c>
    </row>
    <row r="2076" spans="1:7" x14ac:dyDescent="0.3">
      <c r="A2076" s="7" t="s">
        <v>2443</v>
      </c>
      <c r="B2076" s="7" t="s">
        <v>38</v>
      </c>
      <c r="C2076" s="7" t="s">
        <v>349</v>
      </c>
      <c r="D2076" s="9">
        <v>45988</v>
      </c>
      <c r="E2076" s="9">
        <v>46018</v>
      </c>
      <c r="F2076" s="3">
        <v>2748.96</v>
      </c>
      <c r="G2076" s="7" t="s">
        <v>369</v>
      </c>
    </row>
    <row r="2077" spans="1:7" x14ac:dyDescent="0.3">
      <c r="A2077" s="7" t="s">
        <v>2444</v>
      </c>
      <c r="B2077" s="7" t="s">
        <v>19</v>
      </c>
      <c r="C2077" s="7" t="s">
        <v>359</v>
      </c>
      <c r="D2077" s="9">
        <v>46095</v>
      </c>
      <c r="E2077" s="9">
        <v>46125</v>
      </c>
      <c r="F2077" s="3">
        <v>1898.67</v>
      </c>
      <c r="G2077" s="7" t="s">
        <v>387</v>
      </c>
    </row>
    <row r="2078" spans="1:7" x14ac:dyDescent="0.3">
      <c r="A2078" s="7" t="s">
        <v>2445</v>
      </c>
      <c r="B2078" s="7" t="s">
        <v>62</v>
      </c>
      <c r="C2078" s="7" t="s">
        <v>353</v>
      </c>
      <c r="D2078" s="9">
        <v>46108</v>
      </c>
      <c r="E2078" s="9">
        <v>46138</v>
      </c>
      <c r="F2078" s="3">
        <v>2920.19</v>
      </c>
      <c r="G2078" s="7" t="s">
        <v>367</v>
      </c>
    </row>
    <row r="2079" spans="1:7" x14ac:dyDescent="0.3">
      <c r="A2079" s="7" t="s">
        <v>2446</v>
      </c>
      <c r="B2079" s="7" t="s">
        <v>105</v>
      </c>
      <c r="C2079" s="7" t="s">
        <v>359</v>
      </c>
      <c r="D2079" s="9">
        <v>45986</v>
      </c>
      <c r="E2079" s="9">
        <v>46016</v>
      </c>
      <c r="F2079" s="3">
        <v>2070.67</v>
      </c>
      <c r="G2079" s="7" t="s">
        <v>367</v>
      </c>
    </row>
    <row r="2080" spans="1:7" x14ac:dyDescent="0.3">
      <c r="A2080" s="7" t="s">
        <v>2447</v>
      </c>
      <c r="B2080" s="7" t="s">
        <v>46</v>
      </c>
      <c r="C2080" s="7" t="s">
        <v>351</v>
      </c>
      <c r="D2080" s="9">
        <v>46112</v>
      </c>
      <c r="E2080" s="9">
        <v>46142</v>
      </c>
      <c r="F2080" s="3">
        <v>4500.04</v>
      </c>
      <c r="G2080" s="7" t="s">
        <v>367</v>
      </c>
    </row>
    <row r="2081" spans="1:7" x14ac:dyDescent="0.3">
      <c r="A2081" s="7" t="s">
        <v>2448</v>
      </c>
      <c r="B2081" s="7" t="s">
        <v>55</v>
      </c>
      <c r="C2081" s="7" t="s">
        <v>349</v>
      </c>
      <c r="D2081" s="9">
        <v>46081</v>
      </c>
      <c r="E2081" s="9">
        <v>46111</v>
      </c>
      <c r="F2081" s="3">
        <v>2756.8</v>
      </c>
      <c r="G2081" s="7" t="s">
        <v>367</v>
      </c>
    </row>
    <row r="2082" spans="1:7" x14ac:dyDescent="0.3">
      <c r="A2082" s="7" t="s">
        <v>2449</v>
      </c>
      <c r="B2082" s="7" t="s">
        <v>71</v>
      </c>
      <c r="C2082" s="7" t="s">
        <v>355</v>
      </c>
      <c r="D2082" s="9">
        <v>46041</v>
      </c>
      <c r="E2082" s="9">
        <v>46071</v>
      </c>
      <c r="F2082" s="3">
        <v>10061</v>
      </c>
      <c r="G2082" s="7" t="s">
        <v>367</v>
      </c>
    </row>
    <row r="2083" spans="1:7" x14ac:dyDescent="0.3">
      <c r="A2083" s="7" t="s">
        <v>2450</v>
      </c>
      <c r="B2083" s="7" t="s">
        <v>60</v>
      </c>
      <c r="C2083" s="7" t="s">
        <v>359</v>
      </c>
      <c r="D2083" s="9">
        <v>46096</v>
      </c>
      <c r="E2083" s="9">
        <v>46126</v>
      </c>
      <c r="F2083" s="3">
        <v>1953.07</v>
      </c>
      <c r="G2083" s="7" t="s">
        <v>367</v>
      </c>
    </row>
    <row r="2084" spans="1:7" x14ac:dyDescent="0.3">
      <c r="A2084" s="7" t="s">
        <v>2451</v>
      </c>
      <c r="B2084" s="7" t="s">
        <v>60</v>
      </c>
      <c r="C2084" s="7" t="s">
        <v>355</v>
      </c>
      <c r="D2084" s="9">
        <v>46112</v>
      </c>
      <c r="E2084" s="9">
        <v>46142</v>
      </c>
      <c r="F2084" s="3">
        <v>11814.16</v>
      </c>
      <c r="G2084" s="7" t="s">
        <v>387</v>
      </c>
    </row>
    <row r="2085" spans="1:7" x14ac:dyDescent="0.3">
      <c r="A2085" s="7" t="s">
        <v>2452</v>
      </c>
      <c r="B2085" s="7" t="s">
        <v>81</v>
      </c>
      <c r="C2085" s="7" t="s">
        <v>349</v>
      </c>
      <c r="D2085" s="9">
        <v>46054</v>
      </c>
      <c r="E2085" s="9">
        <v>46084</v>
      </c>
      <c r="F2085" s="3">
        <v>3307.03</v>
      </c>
      <c r="G2085" s="7" t="s">
        <v>369</v>
      </c>
    </row>
    <row r="2086" spans="1:7" x14ac:dyDescent="0.3">
      <c r="A2086" s="7" t="s">
        <v>2453</v>
      </c>
      <c r="B2086" s="7" t="s">
        <v>119</v>
      </c>
      <c r="C2086" s="7" t="s">
        <v>357</v>
      </c>
      <c r="D2086" s="9">
        <v>46037</v>
      </c>
      <c r="E2086" s="9">
        <v>46067</v>
      </c>
      <c r="F2086" s="3">
        <v>3322.36</v>
      </c>
      <c r="G2086" s="7" t="s">
        <v>369</v>
      </c>
    </row>
    <row r="2087" spans="1:7" x14ac:dyDescent="0.3">
      <c r="A2087" s="7" t="s">
        <v>2454</v>
      </c>
      <c r="B2087" s="7" t="s">
        <v>92</v>
      </c>
      <c r="C2087" s="7" t="s">
        <v>353</v>
      </c>
      <c r="D2087" s="9">
        <v>46059</v>
      </c>
      <c r="E2087" s="9">
        <v>46089</v>
      </c>
      <c r="F2087" s="3">
        <v>2053.54</v>
      </c>
      <c r="G2087" s="7" t="s">
        <v>367</v>
      </c>
    </row>
    <row r="2088" spans="1:7" x14ac:dyDescent="0.3">
      <c r="A2088" s="7" t="s">
        <v>2455</v>
      </c>
      <c r="B2088" s="7" t="s">
        <v>13</v>
      </c>
      <c r="C2088" s="7" t="s">
        <v>349</v>
      </c>
      <c r="D2088" s="9">
        <v>46063</v>
      </c>
      <c r="E2088" s="9">
        <v>46093</v>
      </c>
      <c r="F2088" s="3">
        <v>2955.37</v>
      </c>
      <c r="G2088" s="7" t="s">
        <v>367</v>
      </c>
    </row>
    <row r="2089" spans="1:7" x14ac:dyDescent="0.3">
      <c r="A2089" s="7" t="s">
        <v>2456</v>
      </c>
      <c r="B2089" s="7" t="s">
        <v>83</v>
      </c>
      <c r="C2089" s="7" t="s">
        <v>349</v>
      </c>
      <c r="D2089" s="9">
        <v>46043</v>
      </c>
      <c r="E2089" s="9">
        <v>46073</v>
      </c>
      <c r="F2089" s="3">
        <v>2465.63</v>
      </c>
      <c r="G2089" s="7" t="s">
        <v>367</v>
      </c>
    </row>
    <row r="2090" spans="1:7" x14ac:dyDescent="0.3">
      <c r="A2090" s="7" t="s">
        <v>2457</v>
      </c>
      <c r="B2090" s="7" t="s">
        <v>117</v>
      </c>
      <c r="C2090" s="7" t="s">
        <v>349</v>
      </c>
      <c r="D2090" s="9">
        <v>45971</v>
      </c>
      <c r="E2090" s="9">
        <v>46001</v>
      </c>
      <c r="F2090" s="3">
        <v>3386.33</v>
      </c>
      <c r="G2090" s="7" t="s">
        <v>367</v>
      </c>
    </row>
    <row r="2091" spans="1:7" x14ac:dyDescent="0.3">
      <c r="A2091" s="7" t="s">
        <v>2458</v>
      </c>
      <c r="B2091" s="7" t="s">
        <v>98</v>
      </c>
      <c r="C2091" s="7" t="s">
        <v>349</v>
      </c>
      <c r="D2091" s="9">
        <v>45969</v>
      </c>
      <c r="E2091" s="9">
        <v>45999</v>
      </c>
      <c r="F2091" s="3">
        <v>2545.73</v>
      </c>
      <c r="G2091" s="7" t="s">
        <v>367</v>
      </c>
    </row>
    <row r="2092" spans="1:7" x14ac:dyDescent="0.3">
      <c r="A2092" s="7" t="s">
        <v>2459</v>
      </c>
      <c r="B2092" s="7" t="s">
        <v>70</v>
      </c>
      <c r="C2092" s="7" t="s">
        <v>349</v>
      </c>
      <c r="D2092" s="9">
        <v>46063</v>
      </c>
      <c r="E2092" s="9">
        <v>46093</v>
      </c>
      <c r="F2092" s="3">
        <v>3241.89</v>
      </c>
      <c r="G2092" s="7" t="s">
        <v>367</v>
      </c>
    </row>
    <row r="2093" spans="1:7" x14ac:dyDescent="0.3">
      <c r="A2093" s="7" t="s">
        <v>2460</v>
      </c>
      <c r="B2093" s="7" t="s">
        <v>45</v>
      </c>
      <c r="C2093" s="7" t="s">
        <v>351</v>
      </c>
      <c r="D2093" s="9">
        <v>46031</v>
      </c>
      <c r="E2093" s="9">
        <v>46061</v>
      </c>
      <c r="F2093" s="3">
        <v>4447.09</v>
      </c>
      <c r="G2093" s="7" t="s">
        <v>369</v>
      </c>
    </row>
    <row r="2094" spans="1:7" x14ac:dyDescent="0.3">
      <c r="A2094" s="7" t="s">
        <v>2461</v>
      </c>
      <c r="B2094" s="7" t="s">
        <v>32</v>
      </c>
      <c r="C2094" s="7" t="s">
        <v>359</v>
      </c>
      <c r="D2094" s="9">
        <v>46001</v>
      </c>
      <c r="E2094" s="9">
        <v>46031</v>
      </c>
      <c r="F2094" s="3">
        <v>1663.84</v>
      </c>
      <c r="G2094" s="7" t="s">
        <v>367</v>
      </c>
    </row>
    <row r="2095" spans="1:7" x14ac:dyDescent="0.3">
      <c r="A2095" s="7" t="s">
        <v>2462</v>
      </c>
      <c r="B2095" s="7" t="s">
        <v>73</v>
      </c>
      <c r="C2095" s="7" t="s">
        <v>349</v>
      </c>
      <c r="D2095" s="9">
        <v>46048</v>
      </c>
      <c r="E2095" s="9">
        <v>46078</v>
      </c>
      <c r="F2095" s="3">
        <v>2480.5700000000002</v>
      </c>
      <c r="G2095" s="7" t="s">
        <v>369</v>
      </c>
    </row>
    <row r="2096" spans="1:7" x14ac:dyDescent="0.3">
      <c r="A2096" s="7" t="s">
        <v>2463</v>
      </c>
      <c r="B2096" s="7" t="s">
        <v>71</v>
      </c>
      <c r="C2096" s="7" t="s">
        <v>349</v>
      </c>
      <c r="D2096" s="9">
        <v>46001</v>
      </c>
      <c r="E2096" s="9">
        <v>46031</v>
      </c>
      <c r="F2096" s="3">
        <v>2696.65</v>
      </c>
      <c r="G2096" s="7" t="s">
        <v>367</v>
      </c>
    </row>
    <row r="2097" spans="1:7" x14ac:dyDescent="0.3">
      <c r="A2097" s="7" t="s">
        <v>2464</v>
      </c>
      <c r="B2097" s="7" t="s">
        <v>30</v>
      </c>
      <c r="C2097" s="7" t="s">
        <v>355</v>
      </c>
      <c r="D2097" s="9">
        <v>46064</v>
      </c>
      <c r="E2097" s="9">
        <v>46094</v>
      </c>
      <c r="F2097" s="3">
        <v>11475.43</v>
      </c>
      <c r="G2097" s="7" t="s">
        <v>367</v>
      </c>
    </row>
    <row r="2098" spans="1:7" x14ac:dyDescent="0.3">
      <c r="A2098" s="7" t="s">
        <v>2465</v>
      </c>
      <c r="B2098" s="7" t="s">
        <v>94</v>
      </c>
      <c r="C2098" s="7" t="s">
        <v>351</v>
      </c>
      <c r="D2098" s="9">
        <v>46008</v>
      </c>
      <c r="E2098" s="9">
        <v>46038</v>
      </c>
      <c r="F2098" s="3">
        <v>5683.44</v>
      </c>
      <c r="G2098" s="7" t="s">
        <v>369</v>
      </c>
    </row>
    <row r="2099" spans="1:7" x14ac:dyDescent="0.3">
      <c r="A2099" s="7" t="s">
        <v>2466</v>
      </c>
      <c r="B2099" s="7" t="s">
        <v>88</v>
      </c>
      <c r="C2099" s="7" t="s">
        <v>355</v>
      </c>
      <c r="D2099" s="9">
        <v>45967</v>
      </c>
      <c r="E2099" s="9">
        <v>45997</v>
      </c>
      <c r="F2099" s="3">
        <v>13724.71</v>
      </c>
      <c r="G2099" s="7" t="s">
        <v>367</v>
      </c>
    </row>
    <row r="2100" spans="1:7" x14ac:dyDescent="0.3">
      <c r="A2100" s="7" t="s">
        <v>2467</v>
      </c>
      <c r="B2100" s="7" t="s">
        <v>28</v>
      </c>
      <c r="C2100" s="7" t="s">
        <v>349</v>
      </c>
      <c r="D2100" s="9">
        <v>45987</v>
      </c>
      <c r="E2100" s="9">
        <v>46017</v>
      </c>
      <c r="F2100" s="3">
        <v>2621.77</v>
      </c>
      <c r="G2100" s="7" t="s">
        <v>367</v>
      </c>
    </row>
    <row r="2101" spans="1:7" x14ac:dyDescent="0.3">
      <c r="A2101" s="7" t="s">
        <v>2468</v>
      </c>
      <c r="B2101" s="7" t="s">
        <v>44</v>
      </c>
      <c r="C2101" s="7" t="s">
        <v>357</v>
      </c>
      <c r="D2101" s="9">
        <v>46103</v>
      </c>
      <c r="E2101" s="9">
        <v>46133</v>
      </c>
      <c r="F2101" s="3">
        <v>3838.33</v>
      </c>
      <c r="G2101" s="7" t="s">
        <v>367</v>
      </c>
    </row>
    <row r="2102" spans="1:7" x14ac:dyDescent="0.3">
      <c r="A2102" s="7" t="s">
        <v>2469</v>
      </c>
      <c r="B2102" s="7" t="s">
        <v>42</v>
      </c>
      <c r="C2102" s="7" t="s">
        <v>353</v>
      </c>
      <c r="D2102" s="9">
        <v>46101</v>
      </c>
      <c r="E2102" s="9">
        <v>46131</v>
      </c>
      <c r="F2102" s="3">
        <v>2667.54</v>
      </c>
      <c r="G2102" s="7" t="s">
        <v>367</v>
      </c>
    </row>
    <row r="2103" spans="1:7" x14ac:dyDescent="0.3">
      <c r="A2103" s="7" t="s">
        <v>2470</v>
      </c>
      <c r="B2103" s="7" t="s">
        <v>111</v>
      </c>
      <c r="C2103" s="7" t="s">
        <v>355</v>
      </c>
      <c r="D2103" s="9">
        <v>45973</v>
      </c>
      <c r="E2103" s="9">
        <v>46003</v>
      </c>
      <c r="F2103" s="3">
        <v>11451.94</v>
      </c>
      <c r="G2103" s="7" t="s">
        <v>367</v>
      </c>
    </row>
    <row r="2104" spans="1:7" x14ac:dyDescent="0.3">
      <c r="A2104" s="7" t="s">
        <v>2471</v>
      </c>
      <c r="B2104" s="7" t="s">
        <v>56</v>
      </c>
      <c r="C2104" s="7" t="s">
        <v>355</v>
      </c>
      <c r="D2104" s="9">
        <v>45975</v>
      </c>
      <c r="E2104" s="9">
        <v>46005</v>
      </c>
      <c r="F2104" s="3">
        <v>10311.200000000001</v>
      </c>
      <c r="G2104" s="7" t="s">
        <v>367</v>
      </c>
    </row>
    <row r="2105" spans="1:7" x14ac:dyDescent="0.3">
      <c r="A2105" s="7" t="s">
        <v>2472</v>
      </c>
      <c r="B2105" s="7" t="s">
        <v>91</v>
      </c>
      <c r="C2105" s="7" t="s">
        <v>349</v>
      </c>
      <c r="D2105" s="9">
        <v>45974</v>
      </c>
      <c r="E2105" s="9">
        <v>46004</v>
      </c>
      <c r="F2105" s="3">
        <v>3096.65</v>
      </c>
      <c r="G2105" s="7" t="s">
        <v>367</v>
      </c>
    </row>
    <row r="2106" spans="1:7" x14ac:dyDescent="0.3">
      <c r="A2106" s="7" t="s">
        <v>2473</v>
      </c>
      <c r="B2106" s="7" t="s">
        <v>99</v>
      </c>
      <c r="C2106" s="7" t="s">
        <v>357</v>
      </c>
      <c r="D2106" s="9">
        <v>46051</v>
      </c>
      <c r="E2106" s="9">
        <v>46081</v>
      </c>
      <c r="F2106" s="3">
        <v>3422.27</v>
      </c>
      <c r="G2106" s="7" t="s">
        <v>367</v>
      </c>
    </row>
    <row r="2107" spans="1:7" x14ac:dyDescent="0.3">
      <c r="A2107" s="7" t="s">
        <v>2474</v>
      </c>
      <c r="B2107" s="7" t="s">
        <v>117</v>
      </c>
      <c r="C2107" s="7" t="s">
        <v>355</v>
      </c>
      <c r="D2107" s="9">
        <v>46051</v>
      </c>
      <c r="E2107" s="9">
        <v>46081</v>
      </c>
      <c r="F2107" s="3">
        <v>10929.14</v>
      </c>
      <c r="G2107" s="7" t="s">
        <v>367</v>
      </c>
    </row>
    <row r="2108" spans="1:7" x14ac:dyDescent="0.3">
      <c r="A2108" s="7" t="s">
        <v>2475</v>
      </c>
      <c r="B2108" s="7" t="s">
        <v>15</v>
      </c>
      <c r="C2108" s="7" t="s">
        <v>357</v>
      </c>
      <c r="D2108" s="9">
        <v>46090</v>
      </c>
      <c r="E2108" s="9">
        <v>46120</v>
      </c>
      <c r="F2108" s="3">
        <v>3095.09</v>
      </c>
      <c r="G2108" s="7" t="s">
        <v>367</v>
      </c>
    </row>
    <row r="2109" spans="1:7" x14ac:dyDescent="0.3">
      <c r="A2109" s="7" t="s">
        <v>2476</v>
      </c>
      <c r="B2109" s="7" t="s">
        <v>50</v>
      </c>
      <c r="C2109" s="7" t="s">
        <v>351</v>
      </c>
      <c r="D2109" s="9">
        <v>46005</v>
      </c>
      <c r="E2109" s="9">
        <v>46035</v>
      </c>
      <c r="F2109" s="3">
        <v>5311.84</v>
      </c>
      <c r="G2109" s="7" t="s">
        <v>367</v>
      </c>
    </row>
    <row r="2110" spans="1:7" x14ac:dyDescent="0.3">
      <c r="A2110" s="7" t="s">
        <v>2477</v>
      </c>
      <c r="B2110" s="7" t="s">
        <v>104</v>
      </c>
      <c r="C2110" s="7" t="s">
        <v>355</v>
      </c>
      <c r="D2110" s="9">
        <v>46068</v>
      </c>
      <c r="E2110" s="9">
        <v>46098</v>
      </c>
      <c r="F2110" s="3">
        <v>13032.88</v>
      </c>
      <c r="G2110" s="7" t="s">
        <v>367</v>
      </c>
    </row>
    <row r="2111" spans="1:7" x14ac:dyDescent="0.3">
      <c r="A2111" s="7" t="s">
        <v>2478</v>
      </c>
      <c r="B2111" s="7" t="s">
        <v>89</v>
      </c>
      <c r="C2111" s="7" t="s">
        <v>359</v>
      </c>
      <c r="D2111" s="9">
        <v>46044</v>
      </c>
      <c r="E2111" s="9">
        <v>46074</v>
      </c>
      <c r="F2111" s="3">
        <v>1658.11</v>
      </c>
      <c r="G2111" s="7" t="s">
        <v>369</v>
      </c>
    </row>
    <row r="2112" spans="1:7" x14ac:dyDescent="0.3">
      <c r="A2112" s="7" t="s">
        <v>2479</v>
      </c>
      <c r="B2112" s="7" t="s">
        <v>80</v>
      </c>
      <c r="C2112" s="7" t="s">
        <v>355</v>
      </c>
      <c r="D2112" s="9">
        <v>46067</v>
      </c>
      <c r="E2112" s="9">
        <v>46097</v>
      </c>
      <c r="F2112" s="3">
        <v>11407.31</v>
      </c>
      <c r="G2112" s="7" t="s">
        <v>367</v>
      </c>
    </row>
    <row r="2113" spans="1:7" x14ac:dyDescent="0.3">
      <c r="A2113" s="7" t="s">
        <v>2480</v>
      </c>
      <c r="B2113" s="7" t="s">
        <v>23</v>
      </c>
      <c r="C2113" s="7" t="s">
        <v>359</v>
      </c>
      <c r="D2113" s="9">
        <v>45991</v>
      </c>
      <c r="E2113" s="9">
        <v>46021</v>
      </c>
      <c r="F2113" s="3">
        <v>2107.7399999999998</v>
      </c>
      <c r="G2113" s="7" t="s">
        <v>367</v>
      </c>
    </row>
    <row r="2114" spans="1:7" x14ac:dyDescent="0.3">
      <c r="A2114" s="7" t="s">
        <v>2481</v>
      </c>
      <c r="B2114" s="7" t="s">
        <v>113</v>
      </c>
      <c r="C2114" s="7" t="s">
        <v>359</v>
      </c>
      <c r="D2114" s="9">
        <v>46005</v>
      </c>
      <c r="E2114" s="9">
        <v>46035</v>
      </c>
      <c r="F2114" s="3">
        <v>1673.34</v>
      </c>
      <c r="G2114" s="7" t="s">
        <v>367</v>
      </c>
    </row>
    <row r="2115" spans="1:7" x14ac:dyDescent="0.3">
      <c r="A2115" s="7" t="s">
        <v>2482</v>
      </c>
      <c r="B2115" s="7" t="s">
        <v>19</v>
      </c>
      <c r="C2115" s="7" t="s">
        <v>355</v>
      </c>
      <c r="D2115" s="9">
        <v>46017</v>
      </c>
      <c r="E2115" s="9">
        <v>46047</v>
      </c>
      <c r="F2115" s="3">
        <v>9924.34</v>
      </c>
      <c r="G2115" s="7" t="s">
        <v>367</v>
      </c>
    </row>
    <row r="2116" spans="1:7" x14ac:dyDescent="0.3">
      <c r="A2116" s="7" t="s">
        <v>2483</v>
      </c>
      <c r="B2116" s="7" t="s">
        <v>36</v>
      </c>
      <c r="C2116" s="7" t="s">
        <v>359</v>
      </c>
      <c r="D2116" s="9">
        <v>46003</v>
      </c>
      <c r="E2116" s="9">
        <v>46033</v>
      </c>
      <c r="F2116" s="3">
        <v>1516.48</v>
      </c>
      <c r="G2116" s="7" t="s">
        <v>367</v>
      </c>
    </row>
    <row r="2117" spans="1:7" x14ac:dyDescent="0.3">
      <c r="A2117" s="7" t="s">
        <v>2484</v>
      </c>
      <c r="B2117" s="7" t="s">
        <v>56</v>
      </c>
      <c r="C2117" s="7" t="s">
        <v>359</v>
      </c>
      <c r="D2117" s="9">
        <v>46105</v>
      </c>
      <c r="E2117" s="9">
        <v>46135</v>
      </c>
      <c r="F2117" s="3">
        <v>2012.84</v>
      </c>
      <c r="G2117" s="7" t="s">
        <v>367</v>
      </c>
    </row>
    <row r="2118" spans="1:7" x14ac:dyDescent="0.3">
      <c r="A2118" s="7" t="s">
        <v>2485</v>
      </c>
      <c r="B2118" s="7" t="s">
        <v>11</v>
      </c>
      <c r="C2118" s="7" t="s">
        <v>355</v>
      </c>
      <c r="D2118" s="9">
        <v>46057</v>
      </c>
      <c r="E2118" s="9">
        <v>46087</v>
      </c>
      <c r="F2118" s="3">
        <v>14027.4</v>
      </c>
      <c r="G2118" s="7" t="s">
        <v>367</v>
      </c>
    </row>
    <row r="2119" spans="1:7" x14ac:dyDescent="0.3">
      <c r="A2119" s="7" t="s">
        <v>2486</v>
      </c>
      <c r="B2119" s="7" t="s">
        <v>114</v>
      </c>
      <c r="C2119" s="7" t="s">
        <v>359</v>
      </c>
      <c r="D2119" s="9">
        <v>46093</v>
      </c>
      <c r="E2119" s="9">
        <v>46123</v>
      </c>
      <c r="F2119" s="3">
        <v>1492.47</v>
      </c>
      <c r="G2119" s="7" t="s">
        <v>367</v>
      </c>
    </row>
    <row r="2120" spans="1:7" x14ac:dyDescent="0.3">
      <c r="A2120" s="7" t="s">
        <v>2487</v>
      </c>
      <c r="B2120" s="7" t="s">
        <v>55</v>
      </c>
      <c r="C2120" s="7" t="s">
        <v>349</v>
      </c>
      <c r="D2120" s="9">
        <v>45968</v>
      </c>
      <c r="E2120" s="9">
        <v>45998</v>
      </c>
      <c r="F2120" s="3">
        <v>3508.26</v>
      </c>
      <c r="G2120" s="7" t="s">
        <v>367</v>
      </c>
    </row>
    <row r="2121" spans="1:7" x14ac:dyDescent="0.3">
      <c r="A2121" s="7" t="s">
        <v>2488</v>
      </c>
      <c r="B2121" s="7" t="s">
        <v>39</v>
      </c>
      <c r="C2121" s="7" t="s">
        <v>351</v>
      </c>
      <c r="D2121" s="9">
        <v>46020</v>
      </c>
      <c r="E2121" s="9">
        <v>46050</v>
      </c>
      <c r="F2121" s="3">
        <v>5977.74</v>
      </c>
      <c r="G2121" s="7" t="s">
        <v>367</v>
      </c>
    </row>
    <row r="2122" spans="1:7" x14ac:dyDescent="0.3">
      <c r="A2122" s="7" t="s">
        <v>2489</v>
      </c>
      <c r="B2122" s="7" t="s">
        <v>27</v>
      </c>
      <c r="C2122" s="7" t="s">
        <v>355</v>
      </c>
      <c r="D2122" s="9">
        <v>46073</v>
      </c>
      <c r="E2122" s="9">
        <v>46103</v>
      </c>
      <c r="F2122" s="3">
        <v>11700.07</v>
      </c>
      <c r="G2122" s="7" t="s">
        <v>367</v>
      </c>
    </row>
    <row r="2123" spans="1:7" x14ac:dyDescent="0.3">
      <c r="A2123" s="7" t="s">
        <v>2490</v>
      </c>
      <c r="B2123" s="7" t="s">
        <v>10</v>
      </c>
      <c r="C2123" s="7" t="s">
        <v>355</v>
      </c>
      <c r="D2123" s="9">
        <v>46086</v>
      </c>
      <c r="E2123" s="9">
        <v>46116</v>
      </c>
      <c r="F2123" s="3">
        <v>13506.42</v>
      </c>
      <c r="G2123" s="7" t="s">
        <v>367</v>
      </c>
    </row>
    <row r="2124" spans="1:7" x14ac:dyDescent="0.3">
      <c r="A2124" s="7" t="s">
        <v>2491</v>
      </c>
      <c r="B2124" s="7" t="s">
        <v>24</v>
      </c>
      <c r="C2124" s="7" t="s">
        <v>359</v>
      </c>
      <c r="D2124" s="9">
        <v>46045</v>
      </c>
      <c r="E2124" s="9">
        <v>46075</v>
      </c>
      <c r="F2124" s="3">
        <v>2131.08</v>
      </c>
      <c r="G2124" s="7" t="s">
        <v>367</v>
      </c>
    </row>
    <row r="2125" spans="1:7" x14ac:dyDescent="0.3">
      <c r="A2125" s="7" t="s">
        <v>2492</v>
      </c>
      <c r="B2125" s="7" t="s">
        <v>16</v>
      </c>
      <c r="C2125" s="7" t="s">
        <v>349</v>
      </c>
      <c r="D2125" s="9">
        <v>45969</v>
      </c>
      <c r="E2125" s="9">
        <v>45999</v>
      </c>
      <c r="F2125" s="3">
        <v>2831.47</v>
      </c>
      <c r="G2125" s="7" t="s">
        <v>367</v>
      </c>
    </row>
    <row r="2126" spans="1:7" x14ac:dyDescent="0.3">
      <c r="A2126" s="7" t="s">
        <v>2493</v>
      </c>
      <c r="B2126" s="7" t="s">
        <v>70</v>
      </c>
      <c r="C2126" s="7" t="s">
        <v>353</v>
      </c>
      <c r="D2126" s="9">
        <v>46068</v>
      </c>
      <c r="E2126" s="9">
        <v>46098</v>
      </c>
      <c r="F2126" s="3">
        <v>2185.3000000000002</v>
      </c>
      <c r="G2126" s="7" t="s">
        <v>367</v>
      </c>
    </row>
    <row r="2127" spans="1:7" x14ac:dyDescent="0.3">
      <c r="A2127" s="7" t="s">
        <v>2494</v>
      </c>
      <c r="B2127" s="7" t="s">
        <v>52</v>
      </c>
      <c r="C2127" s="7" t="s">
        <v>351</v>
      </c>
      <c r="D2127" s="9">
        <v>46046</v>
      </c>
      <c r="E2127" s="9">
        <v>46076</v>
      </c>
      <c r="F2127" s="3">
        <v>5664.81</v>
      </c>
      <c r="G2127" s="7" t="s">
        <v>367</v>
      </c>
    </row>
    <row r="2128" spans="1:7" x14ac:dyDescent="0.3">
      <c r="A2128" s="7" t="s">
        <v>2495</v>
      </c>
      <c r="B2128" s="7" t="s">
        <v>63</v>
      </c>
      <c r="C2128" s="7" t="s">
        <v>357</v>
      </c>
      <c r="D2128" s="9">
        <v>46039</v>
      </c>
      <c r="E2128" s="9">
        <v>46069</v>
      </c>
      <c r="F2128" s="3">
        <v>4059.66</v>
      </c>
      <c r="G2128" s="7" t="s">
        <v>369</v>
      </c>
    </row>
    <row r="2129" spans="1:7" x14ac:dyDescent="0.3">
      <c r="A2129" s="7" t="s">
        <v>2496</v>
      </c>
      <c r="B2129" s="7" t="s">
        <v>23</v>
      </c>
      <c r="C2129" s="7" t="s">
        <v>355</v>
      </c>
      <c r="D2129" s="9">
        <v>46061</v>
      </c>
      <c r="E2129" s="9">
        <v>46091</v>
      </c>
      <c r="F2129" s="3">
        <v>12602.26</v>
      </c>
      <c r="G2129" s="7" t="s">
        <v>367</v>
      </c>
    </row>
    <row r="2130" spans="1:7" x14ac:dyDescent="0.3">
      <c r="A2130" s="7" t="s">
        <v>2497</v>
      </c>
      <c r="B2130" s="7" t="s">
        <v>83</v>
      </c>
      <c r="C2130" s="7" t="s">
        <v>357</v>
      </c>
      <c r="D2130" s="9">
        <v>46031</v>
      </c>
      <c r="E2130" s="9">
        <v>46061</v>
      </c>
      <c r="F2130" s="3">
        <v>3217.52</v>
      </c>
      <c r="G2130" s="7" t="s">
        <v>367</v>
      </c>
    </row>
    <row r="2131" spans="1:7" x14ac:dyDescent="0.3">
      <c r="A2131" s="7" t="s">
        <v>2498</v>
      </c>
      <c r="B2131" s="7" t="s">
        <v>39</v>
      </c>
      <c r="C2131" s="7" t="s">
        <v>357</v>
      </c>
      <c r="D2131" s="9">
        <v>46089</v>
      </c>
      <c r="E2131" s="9">
        <v>46119</v>
      </c>
      <c r="F2131" s="3">
        <v>3263.29</v>
      </c>
      <c r="G2131" s="7" t="s">
        <v>369</v>
      </c>
    </row>
    <row r="2132" spans="1:7" x14ac:dyDescent="0.3">
      <c r="A2132" s="7" t="s">
        <v>2499</v>
      </c>
      <c r="B2132" s="7" t="s">
        <v>16</v>
      </c>
      <c r="C2132" s="7" t="s">
        <v>355</v>
      </c>
      <c r="D2132" s="9">
        <v>46033</v>
      </c>
      <c r="E2132" s="9">
        <v>46063</v>
      </c>
      <c r="F2132" s="3">
        <v>12975.71</v>
      </c>
      <c r="G2132" s="7" t="s">
        <v>387</v>
      </c>
    </row>
    <row r="2133" spans="1:7" x14ac:dyDescent="0.3">
      <c r="A2133" s="7" t="s">
        <v>2500</v>
      </c>
      <c r="B2133" s="7" t="s">
        <v>71</v>
      </c>
      <c r="C2133" s="7" t="s">
        <v>357</v>
      </c>
      <c r="D2133" s="9">
        <v>46071</v>
      </c>
      <c r="E2133" s="9">
        <v>46101</v>
      </c>
      <c r="F2133" s="3">
        <v>3605.5</v>
      </c>
      <c r="G2133" s="7" t="s">
        <v>369</v>
      </c>
    </row>
    <row r="2134" spans="1:7" x14ac:dyDescent="0.3">
      <c r="A2134" s="7" t="s">
        <v>2501</v>
      </c>
      <c r="B2134" s="7" t="s">
        <v>21</v>
      </c>
      <c r="C2134" s="7" t="s">
        <v>353</v>
      </c>
      <c r="D2134" s="9">
        <v>46007</v>
      </c>
      <c r="E2134" s="9">
        <v>46037</v>
      </c>
      <c r="F2134" s="3">
        <v>2399.2199999999998</v>
      </c>
      <c r="G2134" s="7" t="s">
        <v>367</v>
      </c>
    </row>
    <row r="2135" spans="1:7" x14ac:dyDescent="0.3">
      <c r="A2135" s="7" t="s">
        <v>2502</v>
      </c>
      <c r="B2135" s="7" t="s">
        <v>50</v>
      </c>
      <c r="C2135" s="7" t="s">
        <v>357</v>
      </c>
      <c r="D2135" s="9">
        <v>45964</v>
      </c>
      <c r="E2135" s="9">
        <v>45994</v>
      </c>
      <c r="F2135" s="3">
        <v>3459.37</v>
      </c>
      <c r="G2135" s="7" t="s">
        <v>367</v>
      </c>
    </row>
    <row r="2136" spans="1:7" x14ac:dyDescent="0.3">
      <c r="A2136" s="7" t="s">
        <v>2503</v>
      </c>
      <c r="B2136" s="7" t="s">
        <v>77</v>
      </c>
      <c r="C2136" s="7" t="s">
        <v>355</v>
      </c>
      <c r="D2136" s="9">
        <v>46089</v>
      </c>
      <c r="E2136" s="9">
        <v>46119</v>
      </c>
      <c r="F2136" s="3">
        <v>10852.23</v>
      </c>
      <c r="G2136" s="7" t="s">
        <v>367</v>
      </c>
    </row>
    <row r="2137" spans="1:7" x14ac:dyDescent="0.3">
      <c r="A2137" s="7" t="s">
        <v>2504</v>
      </c>
      <c r="B2137" s="7" t="s">
        <v>14</v>
      </c>
      <c r="C2137" s="7" t="s">
        <v>359</v>
      </c>
      <c r="D2137" s="9">
        <v>46045</v>
      </c>
      <c r="E2137" s="9">
        <v>46075</v>
      </c>
      <c r="F2137" s="3">
        <v>1677.32</v>
      </c>
      <c r="G2137" s="7" t="s">
        <v>369</v>
      </c>
    </row>
    <row r="2138" spans="1:7" x14ac:dyDescent="0.3">
      <c r="A2138" s="7" t="s">
        <v>2505</v>
      </c>
      <c r="B2138" s="7" t="s">
        <v>96</v>
      </c>
      <c r="C2138" s="7" t="s">
        <v>351</v>
      </c>
      <c r="D2138" s="9">
        <v>46035</v>
      </c>
      <c r="E2138" s="9">
        <v>46065</v>
      </c>
      <c r="F2138" s="3">
        <v>4987.1099999999997</v>
      </c>
      <c r="G2138" s="7" t="s">
        <v>369</v>
      </c>
    </row>
    <row r="2139" spans="1:7" x14ac:dyDescent="0.3">
      <c r="A2139" s="7" t="s">
        <v>2506</v>
      </c>
      <c r="B2139" s="7" t="s">
        <v>85</v>
      </c>
      <c r="C2139" s="7" t="s">
        <v>349</v>
      </c>
      <c r="D2139" s="9">
        <v>46048</v>
      </c>
      <c r="E2139" s="9">
        <v>46078</v>
      </c>
      <c r="F2139" s="3">
        <v>2815.01</v>
      </c>
      <c r="G2139" s="7" t="s">
        <v>367</v>
      </c>
    </row>
    <row r="2140" spans="1:7" x14ac:dyDescent="0.3">
      <c r="A2140" s="7" t="s">
        <v>2507</v>
      </c>
      <c r="B2140" s="7" t="s">
        <v>12</v>
      </c>
      <c r="C2140" s="7" t="s">
        <v>349</v>
      </c>
      <c r="D2140" s="9">
        <v>46100</v>
      </c>
      <c r="E2140" s="9">
        <v>46130</v>
      </c>
      <c r="F2140" s="3">
        <v>3465.02</v>
      </c>
      <c r="G2140" s="7" t="s">
        <v>367</v>
      </c>
    </row>
    <row r="2141" spans="1:7" x14ac:dyDescent="0.3">
      <c r="A2141" s="7" t="s">
        <v>2508</v>
      </c>
      <c r="B2141" s="7" t="s">
        <v>62</v>
      </c>
      <c r="C2141" s="7" t="s">
        <v>349</v>
      </c>
      <c r="D2141" s="9">
        <v>46110</v>
      </c>
      <c r="E2141" s="9">
        <v>46140</v>
      </c>
      <c r="F2141" s="3">
        <v>2442.7199999999998</v>
      </c>
      <c r="G2141" s="7" t="s">
        <v>367</v>
      </c>
    </row>
    <row r="2142" spans="1:7" x14ac:dyDescent="0.3">
      <c r="A2142" s="7" t="s">
        <v>2509</v>
      </c>
      <c r="B2142" s="7" t="s">
        <v>14</v>
      </c>
      <c r="C2142" s="7" t="s">
        <v>355</v>
      </c>
      <c r="D2142" s="9">
        <v>46111</v>
      </c>
      <c r="E2142" s="9">
        <v>46141</v>
      </c>
      <c r="F2142" s="3">
        <v>11056.41</v>
      </c>
      <c r="G2142" s="7" t="s">
        <v>367</v>
      </c>
    </row>
    <row r="2143" spans="1:7" x14ac:dyDescent="0.3">
      <c r="A2143" s="7" t="s">
        <v>2510</v>
      </c>
      <c r="B2143" s="7" t="s">
        <v>117</v>
      </c>
      <c r="C2143" s="7" t="s">
        <v>349</v>
      </c>
      <c r="D2143" s="9">
        <v>46042</v>
      </c>
      <c r="E2143" s="9">
        <v>46072</v>
      </c>
      <c r="F2143" s="3">
        <v>3328.34</v>
      </c>
      <c r="G2143" s="7" t="s">
        <v>367</v>
      </c>
    </row>
    <row r="2144" spans="1:7" x14ac:dyDescent="0.3">
      <c r="A2144" s="7" t="s">
        <v>2511</v>
      </c>
      <c r="B2144" s="7" t="s">
        <v>13</v>
      </c>
      <c r="C2144" s="7" t="s">
        <v>355</v>
      </c>
      <c r="D2144" s="9">
        <v>46001</v>
      </c>
      <c r="E2144" s="9">
        <v>46031</v>
      </c>
      <c r="F2144" s="3">
        <v>12873.32</v>
      </c>
      <c r="G2144" s="7" t="s">
        <v>367</v>
      </c>
    </row>
    <row r="2145" spans="1:7" x14ac:dyDescent="0.3">
      <c r="A2145" s="7" t="s">
        <v>2512</v>
      </c>
      <c r="B2145" s="7" t="s">
        <v>61</v>
      </c>
      <c r="C2145" s="7" t="s">
        <v>355</v>
      </c>
      <c r="D2145" s="9">
        <v>46070</v>
      </c>
      <c r="E2145" s="9">
        <v>46100</v>
      </c>
      <c r="F2145" s="3">
        <v>13275.27</v>
      </c>
      <c r="G2145" s="7" t="s">
        <v>367</v>
      </c>
    </row>
    <row r="2146" spans="1:7" x14ac:dyDescent="0.3">
      <c r="A2146" s="7" t="s">
        <v>2513</v>
      </c>
      <c r="B2146" s="7" t="s">
        <v>122</v>
      </c>
      <c r="C2146" s="7" t="s">
        <v>357</v>
      </c>
      <c r="D2146" s="9">
        <v>46049</v>
      </c>
      <c r="E2146" s="9">
        <v>46079</v>
      </c>
      <c r="F2146" s="3">
        <v>2992.88</v>
      </c>
      <c r="G2146" s="7" t="s">
        <v>369</v>
      </c>
    </row>
    <row r="2147" spans="1:7" x14ac:dyDescent="0.3">
      <c r="A2147" s="7" t="s">
        <v>2514</v>
      </c>
      <c r="B2147" s="7" t="s">
        <v>37</v>
      </c>
      <c r="C2147" s="7" t="s">
        <v>353</v>
      </c>
      <c r="D2147" s="9">
        <v>46045</v>
      </c>
      <c r="E2147" s="9">
        <v>46075</v>
      </c>
      <c r="F2147" s="3">
        <v>2351.79</v>
      </c>
      <c r="G2147" s="7" t="s">
        <v>369</v>
      </c>
    </row>
    <row r="2148" spans="1:7" x14ac:dyDescent="0.3">
      <c r="A2148" s="7" t="s">
        <v>2515</v>
      </c>
      <c r="B2148" s="7" t="s">
        <v>103</v>
      </c>
      <c r="C2148" s="7" t="s">
        <v>351</v>
      </c>
      <c r="D2148" s="9">
        <v>46024</v>
      </c>
      <c r="E2148" s="9">
        <v>46054</v>
      </c>
      <c r="F2148" s="3">
        <v>4183.9799999999996</v>
      </c>
      <c r="G2148" s="7" t="s">
        <v>367</v>
      </c>
    </row>
    <row r="2149" spans="1:7" x14ac:dyDescent="0.3">
      <c r="A2149" s="7" t="s">
        <v>2516</v>
      </c>
      <c r="B2149" s="7" t="s">
        <v>38</v>
      </c>
      <c r="C2149" s="7" t="s">
        <v>357</v>
      </c>
      <c r="D2149" s="9">
        <v>45971</v>
      </c>
      <c r="E2149" s="9">
        <v>46001</v>
      </c>
      <c r="F2149" s="3">
        <v>3595.27</v>
      </c>
      <c r="G2149" s="7" t="s">
        <v>369</v>
      </c>
    </row>
    <row r="2150" spans="1:7" x14ac:dyDescent="0.3">
      <c r="A2150" s="7" t="s">
        <v>2517</v>
      </c>
      <c r="B2150" s="7" t="s">
        <v>12</v>
      </c>
      <c r="C2150" s="7" t="s">
        <v>349</v>
      </c>
      <c r="D2150" s="9">
        <v>46038</v>
      </c>
      <c r="E2150" s="9">
        <v>46068</v>
      </c>
      <c r="F2150" s="3">
        <v>2491.9299999999998</v>
      </c>
      <c r="G2150" s="7" t="s">
        <v>367</v>
      </c>
    </row>
    <row r="2151" spans="1:7" x14ac:dyDescent="0.3">
      <c r="A2151" s="7" t="s">
        <v>2518</v>
      </c>
      <c r="B2151" s="7" t="s">
        <v>23</v>
      </c>
      <c r="C2151" s="7" t="s">
        <v>353</v>
      </c>
      <c r="D2151" s="9">
        <v>46103</v>
      </c>
      <c r="E2151" s="9">
        <v>46133</v>
      </c>
      <c r="F2151" s="3">
        <v>2349.67</v>
      </c>
      <c r="G2151" s="7" t="s">
        <v>387</v>
      </c>
    </row>
    <row r="2152" spans="1:7" x14ac:dyDescent="0.3">
      <c r="A2152" s="7" t="s">
        <v>2519</v>
      </c>
      <c r="B2152" s="7" t="s">
        <v>16</v>
      </c>
      <c r="C2152" s="7" t="s">
        <v>357</v>
      </c>
      <c r="D2152" s="9">
        <v>46064</v>
      </c>
      <c r="E2152" s="9">
        <v>46094</v>
      </c>
      <c r="F2152" s="3">
        <v>3356.95</v>
      </c>
      <c r="G2152" s="7" t="s">
        <v>367</v>
      </c>
    </row>
    <row r="2153" spans="1:7" x14ac:dyDescent="0.3">
      <c r="A2153" s="7" t="s">
        <v>2520</v>
      </c>
      <c r="B2153" s="7" t="s">
        <v>111</v>
      </c>
      <c r="C2153" s="7" t="s">
        <v>353</v>
      </c>
      <c r="D2153" s="9">
        <v>46038</v>
      </c>
      <c r="E2153" s="9">
        <v>46068</v>
      </c>
      <c r="F2153" s="3">
        <v>2938.37</v>
      </c>
      <c r="G2153" s="7" t="s">
        <v>367</v>
      </c>
    </row>
    <row r="2154" spans="1:7" x14ac:dyDescent="0.3">
      <c r="A2154" s="7" t="s">
        <v>2521</v>
      </c>
      <c r="B2154" s="7" t="s">
        <v>45</v>
      </c>
      <c r="C2154" s="7" t="s">
        <v>353</v>
      </c>
      <c r="D2154" s="9">
        <v>46099</v>
      </c>
      <c r="E2154" s="9">
        <v>46129</v>
      </c>
      <c r="F2154" s="3">
        <v>2897.64</v>
      </c>
      <c r="G2154" s="7" t="s">
        <v>367</v>
      </c>
    </row>
    <row r="2155" spans="1:7" x14ac:dyDescent="0.3">
      <c r="A2155" s="7" t="s">
        <v>2522</v>
      </c>
      <c r="B2155" s="7" t="s">
        <v>121</v>
      </c>
      <c r="C2155" s="7" t="s">
        <v>353</v>
      </c>
      <c r="D2155" s="9">
        <v>46093</v>
      </c>
      <c r="E2155" s="9">
        <v>46123</v>
      </c>
      <c r="F2155" s="3">
        <v>2780.21</v>
      </c>
      <c r="G2155" s="7" t="s">
        <v>367</v>
      </c>
    </row>
    <row r="2156" spans="1:7" x14ac:dyDescent="0.3">
      <c r="A2156" s="7" t="s">
        <v>2523</v>
      </c>
      <c r="B2156" s="7" t="s">
        <v>51</v>
      </c>
      <c r="C2156" s="7" t="s">
        <v>353</v>
      </c>
      <c r="D2156" s="9">
        <v>46084</v>
      </c>
      <c r="E2156" s="9">
        <v>46114</v>
      </c>
      <c r="F2156" s="3">
        <v>2318.86</v>
      </c>
      <c r="G2156" s="7" t="s">
        <v>367</v>
      </c>
    </row>
    <row r="2157" spans="1:7" x14ac:dyDescent="0.3">
      <c r="A2157" s="7" t="s">
        <v>2524</v>
      </c>
      <c r="B2157" s="7" t="s">
        <v>33</v>
      </c>
      <c r="C2157" s="7" t="s">
        <v>355</v>
      </c>
      <c r="D2157" s="9">
        <v>46059</v>
      </c>
      <c r="E2157" s="9">
        <v>46089</v>
      </c>
      <c r="F2157" s="3">
        <v>12986.41</v>
      </c>
      <c r="G2157" s="7" t="s">
        <v>367</v>
      </c>
    </row>
    <row r="2158" spans="1:7" x14ac:dyDescent="0.3">
      <c r="A2158" s="7" t="s">
        <v>2525</v>
      </c>
      <c r="B2158" s="7" t="s">
        <v>77</v>
      </c>
      <c r="C2158" s="7" t="s">
        <v>351</v>
      </c>
      <c r="D2158" s="9">
        <v>45971</v>
      </c>
      <c r="E2158" s="9">
        <v>46001</v>
      </c>
      <c r="F2158" s="3">
        <v>5682.85</v>
      </c>
      <c r="G2158" s="7" t="s">
        <v>367</v>
      </c>
    </row>
    <row r="2159" spans="1:7" x14ac:dyDescent="0.3">
      <c r="A2159" s="7" t="s">
        <v>2526</v>
      </c>
      <c r="B2159" s="7" t="s">
        <v>37</v>
      </c>
      <c r="C2159" s="7" t="s">
        <v>351</v>
      </c>
      <c r="D2159" s="9">
        <v>45983</v>
      </c>
      <c r="E2159" s="9">
        <v>46013</v>
      </c>
      <c r="F2159" s="3">
        <v>4245.5</v>
      </c>
      <c r="G2159" s="7" t="s">
        <v>367</v>
      </c>
    </row>
    <row r="2160" spans="1:7" x14ac:dyDescent="0.3">
      <c r="A2160" s="7" t="s">
        <v>2527</v>
      </c>
      <c r="B2160" s="7" t="s">
        <v>9</v>
      </c>
      <c r="C2160" s="7" t="s">
        <v>359</v>
      </c>
      <c r="D2160" s="9">
        <v>46046</v>
      </c>
      <c r="E2160" s="9">
        <v>46076</v>
      </c>
      <c r="F2160" s="3">
        <v>1757</v>
      </c>
      <c r="G2160" s="7" t="s">
        <v>387</v>
      </c>
    </row>
    <row r="2161" spans="1:7" x14ac:dyDescent="0.3">
      <c r="A2161" s="7" t="s">
        <v>2528</v>
      </c>
      <c r="B2161" s="7" t="s">
        <v>45</v>
      </c>
      <c r="C2161" s="7" t="s">
        <v>355</v>
      </c>
      <c r="D2161" s="9">
        <v>45990</v>
      </c>
      <c r="E2161" s="9">
        <v>46020</v>
      </c>
      <c r="F2161" s="3">
        <v>13614.36</v>
      </c>
      <c r="G2161" s="7" t="s">
        <v>367</v>
      </c>
    </row>
    <row r="2162" spans="1:7" x14ac:dyDescent="0.3">
      <c r="A2162" s="7" t="s">
        <v>2529</v>
      </c>
      <c r="B2162" s="7" t="s">
        <v>9</v>
      </c>
      <c r="C2162" s="7" t="s">
        <v>349</v>
      </c>
      <c r="D2162" s="9">
        <v>46105</v>
      </c>
      <c r="E2162" s="9">
        <v>46135</v>
      </c>
      <c r="F2162" s="3">
        <v>2471.66</v>
      </c>
      <c r="G2162" s="7" t="s">
        <v>367</v>
      </c>
    </row>
    <row r="2163" spans="1:7" x14ac:dyDescent="0.3">
      <c r="A2163" s="7" t="s">
        <v>2530</v>
      </c>
      <c r="B2163" s="7" t="s">
        <v>30</v>
      </c>
      <c r="C2163" s="7" t="s">
        <v>355</v>
      </c>
      <c r="D2163" s="9">
        <v>46109</v>
      </c>
      <c r="E2163" s="9">
        <v>46139</v>
      </c>
      <c r="F2163" s="3">
        <v>11446.38</v>
      </c>
      <c r="G2163" s="7" t="s">
        <v>367</v>
      </c>
    </row>
    <row r="2164" spans="1:7" x14ac:dyDescent="0.3">
      <c r="A2164" s="7" t="s">
        <v>2531</v>
      </c>
      <c r="B2164" s="7" t="s">
        <v>76</v>
      </c>
      <c r="C2164" s="7" t="s">
        <v>359</v>
      </c>
      <c r="D2164" s="9">
        <v>46037</v>
      </c>
      <c r="E2164" s="9">
        <v>46067</v>
      </c>
      <c r="F2164" s="3">
        <v>1750.38</v>
      </c>
      <c r="G2164" s="7" t="s">
        <v>367</v>
      </c>
    </row>
    <row r="2165" spans="1:7" x14ac:dyDescent="0.3">
      <c r="A2165" s="7" t="s">
        <v>2532</v>
      </c>
      <c r="B2165" s="7" t="s">
        <v>123</v>
      </c>
      <c r="C2165" s="7" t="s">
        <v>353</v>
      </c>
      <c r="D2165" s="9">
        <v>46056</v>
      </c>
      <c r="E2165" s="9">
        <v>46086</v>
      </c>
      <c r="F2165" s="3">
        <v>2937.22</v>
      </c>
      <c r="G2165" s="7" t="s">
        <v>369</v>
      </c>
    </row>
    <row r="2166" spans="1:7" x14ac:dyDescent="0.3">
      <c r="A2166" s="7" t="s">
        <v>2533</v>
      </c>
      <c r="B2166" s="7" t="s">
        <v>50</v>
      </c>
      <c r="C2166" s="7" t="s">
        <v>353</v>
      </c>
      <c r="D2166" s="9">
        <v>46032</v>
      </c>
      <c r="E2166" s="9">
        <v>46062</v>
      </c>
      <c r="F2166" s="3">
        <v>2810.24</v>
      </c>
      <c r="G2166" s="7" t="s">
        <v>369</v>
      </c>
    </row>
    <row r="2167" spans="1:7" x14ac:dyDescent="0.3">
      <c r="A2167" s="7" t="s">
        <v>2534</v>
      </c>
      <c r="B2167" s="7" t="s">
        <v>101</v>
      </c>
      <c r="C2167" s="7" t="s">
        <v>359</v>
      </c>
      <c r="D2167" s="9">
        <v>45994</v>
      </c>
      <c r="E2167" s="9">
        <v>46024</v>
      </c>
      <c r="F2167" s="3">
        <v>2037.05</v>
      </c>
      <c r="G2167" s="7" t="s">
        <v>369</v>
      </c>
    </row>
    <row r="2168" spans="1:7" x14ac:dyDescent="0.3">
      <c r="A2168" s="7" t="s">
        <v>2535</v>
      </c>
      <c r="B2168" s="7" t="s">
        <v>93</v>
      </c>
      <c r="C2168" s="7" t="s">
        <v>349</v>
      </c>
      <c r="D2168" s="9">
        <v>45967</v>
      </c>
      <c r="E2168" s="9">
        <v>45997</v>
      </c>
      <c r="F2168" s="3">
        <v>3368.88</v>
      </c>
      <c r="G2168" s="7" t="s">
        <v>387</v>
      </c>
    </row>
    <row r="2169" spans="1:7" x14ac:dyDescent="0.3">
      <c r="A2169" s="7" t="s">
        <v>2536</v>
      </c>
      <c r="B2169" s="7" t="s">
        <v>99</v>
      </c>
      <c r="C2169" s="7" t="s">
        <v>353</v>
      </c>
      <c r="D2169" s="9">
        <v>45990</v>
      </c>
      <c r="E2169" s="9">
        <v>46020</v>
      </c>
      <c r="F2169" s="3">
        <v>2858.51</v>
      </c>
      <c r="G2169" s="7" t="s">
        <v>367</v>
      </c>
    </row>
    <row r="2170" spans="1:7" x14ac:dyDescent="0.3">
      <c r="A2170" s="7" t="s">
        <v>2537</v>
      </c>
      <c r="B2170" s="7" t="s">
        <v>66</v>
      </c>
      <c r="C2170" s="7" t="s">
        <v>357</v>
      </c>
      <c r="D2170" s="9">
        <v>45966</v>
      </c>
      <c r="E2170" s="9">
        <v>45996</v>
      </c>
      <c r="F2170" s="3">
        <v>3876.62</v>
      </c>
      <c r="G2170" s="7" t="s">
        <v>387</v>
      </c>
    </row>
    <row r="2171" spans="1:7" x14ac:dyDescent="0.3">
      <c r="A2171" s="7" t="s">
        <v>2538</v>
      </c>
      <c r="B2171" s="7" t="s">
        <v>42</v>
      </c>
      <c r="C2171" s="7" t="s">
        <v>359</v>
      </c>
      <c r="D2171" s="9">
        <v>46054</v>
      </c>
      <c r="E2171" s="9">
        <v>46084</v>
      </c>
      <c r="F2171" s="3">
        <v>2154.6799999999998</v>
      </c>
      <c r="G2171" s="7" t="s">
        <v>369</v>
      </c>
    </row>
    <row r="2172" spans="1:7" x14ac:dyDescent="0.3">
      <c r="A2172" s="7" t="s">
        <v>2539</v>
      </c>
      <c r="B2172" s="7" t="s">
        <v>44</v>
      </c>
      <c r="C2172" s="7" t="s">
        <v>359</v>
      </c>
      <c r="D2172" s="9">
        <v>46095</v>
      </c>
      <c r="E2172" s="9">
        <v>46125</v>
      </c>
      <c r="F2172" s="3">
        <v>2124.6999999999998</v>
      </c>
      <c r="G2172" s="7" t="s">
        <v>369</v>
      </c>
    </row>
    <row r="2173" spans="1:7" x14ac:dyDescent="0.3">
      <c r="A2173" s="7" t="s">
        <v>2540</v>
      </c>
      <c r="B2173" s="7" t="s">
        <v>41</v>
      </c>
      <c r="C2173" s="7" t="s">
        <v>353</v>
      </c>
      <c r="D2173" s="9">
        <v>45976</v>
      </c>
      <c r="E2173" s="9">
        <v>46006</v>
      </c>
      <c r="F2173" s="3">
        <v>2571.08</v>
      </c>
      <c r="G2173" s="7" t="s">
        <v>367</v>
      </c>
    </row>
    <row r="2174" spans="1:7" x14ac:dyDescent="0.3">
      <c r="A2174" s="7" t="s">
        <v>2541</v>
      </c>
      <c r="B2174" s="7" t="s">
        <v>46</v>
      </c>
      <c r="C2174" s="7" t="s">
        <v>359</v>
      </c>
      <c r="D2174" s="9">
        <v>46035</v>
      </c>
      <c r="E2174" s="9">
        <v>46065</v>
      </c>
      <c r="F2174" s="3">
        <v>1620.37</v>
      </c>
      <c r="G2174" s="7" t="s">
        <v>367</v>
      </c>
    </row>
    <row r="2175" spans="1:7" x14ac:dyDescent="0.3">
      <c r="A2175" s="7" t="s">
        <v>2542</v>
      </c>
      <c r="B2175" s="7" t="s">
        <v>63</v>
      </c>
      <c r="C2175" s="7" t="s">
        <v>357</v>
      </c>
      <c r="D2175" s="9">
        <v>46021</v>
      </c>
      <c r="E2175" s="9">
        <v>46051</v>
      </c>
      <c r="F2175" s="3">
        <v>3725.09</v>
      </c>
      <c r="G2175" s="7" t="s">
        <v>369</v>
      </c>
    </row>
    <row r="2176" spans="1:7" x14ac:dyDescent="0.3">
      <c r="A2176" s="7" t="s">
        <v>2543</v>
      </c>
      <c r="B2176" s="7" t="s">
        <v>52</v>
      </c>
      <c r="C2176" s="7" t="s">
        <v>355</v>
      </c>
      <c r="D2176" s="9">
        <v>46042</v>
      </c>
      <c r="E2176" s="9">
        <v>46072</v>
      </c>
      <c r="F2176" s="3">
        <v>9682.8799999999992</v>
      </c>
      <c r="G2176" s="7" t="s">
        <v>367</v>
      </c>
    </row>
    <row r="2177" spans="1:7" x14ac:dyDescent="0.3">
      <c r="A2177" s="7" t="s">
        <v>2544</v>
      </c>
      <c r="B2177" s="7" t="s">
        <v>81</v>
      </c>
      <c r="C2177" s="7" t="s">
        <v>355</v>
      </c>
      <c r="D2177" s="9">
        <v>46048</v>
      </c>
      <c r="E2177" s="9">
        <v>46078</v>
      </c>
      <c r="F2177" s="3">
        <v>12661.17</v>
      </c>
      <c r="G2177" s="7" t="s">
        <v>367</v>
      </c>
    </row>
    <row r="2178" spans="1:7" x14ac:dyDescent="0.3">
      <c r="A2178" s="7" t="s">
        <v>2545</v>
      </c>
      <c r="B2178" s="7" t="s">
        <v>15</v>
      </c>
      <c r="C2178" s="7" t="s">
        <v>349</v>
      </c>
      <c r="D2178" s="9">
        <v>46018</v>
      </c>
      <c r="E2178" s="9">
        <v>46048</v>
      </c>
      <c r="F2178" s="3">
        <v>2731.73</v>
      </c>
      <c r="G2178" s="7" t="s">
        <v>367</v>
      </c>
    </row>
    <row r="2179" spans="1:7" x14ac:dyDescent="0.3">
      <c r="A2179" s="7" t="s">
        <v>2546</v>
      </c>
      <c r="B2179" s="7" t="s">
        <v>70</v>
      </c>
      <c r="C2179" s="7" t="s">
        <v>355</v>
      </c>
      <c r="D2179" s="9">
        <v>46097</v>
      </c>
      <c r="E2179" s="9">
        <v>46127</v>
      </c>
      <c r="F2179" s="3">
        <v>10463.06</v>
      </c>
      <c r="G2179" s="7" t="s">
        <v>367</v>
      </c>
    </row>
    <row r="2180" spans="1:7" x14ac:dyDescent="0.3">
      <c r="A2180" s="7" t="s">
        <v>2547</v>
      </c>
      <c r="B2180" s="7" t="s">
        <v>90</v>
      </c>
      <c r="C2180" s="7" t="s">
        <v>351</v>
      </c>
      <c r="D2180" s="9">
        <v>46070</v>
      </c>
      <c r="E2180" s="9">
        <v>46100</v>
      </c>
      <c r="F2180" s="3">
        <v>4454.84</v>
      </c>
      <c r="G2180" s="7" t="s">
        <v>369</v>
      </c>
    </row>
    <row r="2181" spans="1:7" x14ac:dyDescent="0.3">
      <c r="A2181" s="7" t="s">
        <v>2548</v>
      </c>
      <c r="B2181" s="7" t="s">
        <v>71</v>
      </c>
      <c r="C2181" s="7" t="s">
        <v>349</v>
      </c>
      <c r="D2181" s="9">
        <v>46052</v>
      </c>
      <c r="E2181" s="9">
        <v>46082</v>
      </c>
      <c r="F2181" s="3">
        <v>2679.21</v>
      </c>
      <c r="G2181" s="7" t="s">
        <v>367</v>
      </c>
    </row>
    <row r="2182" spans="1:7" x14ac:dyDescent="0.3">
      <c r="A2182" s="7" t="s">
        <v>2549</v>
      </c>
      <c r="B2182" s="7" t="s">
        <v>14</v>
      </c>
      <c r="C2182" s="7" t="s">
        <v>355</v>
      </c>
      <c r="D2182" s="9">
        <v>45970</v>
      </c>
      <c r="E2182" s="9">
        <v>46000</v>
      </c>
      <c r="F2182" s="3">
        <v>12383.48</v>
      </c>
      <c r="G2182" s="7" t="s">
        <v>367</v>
      </c>
    </row>
    <row r="2183" spans="1:7" x14ac:dyDescent="0.3">
      <c r="A2183" s="7" t="s">
        <v>2550</v>
      </c>
      <c r="B2183" s="7" t="s">
        <v>116</v>
      </c>
      <c r="C2183" s="7" t="s">
        <v>359</v>
      </c>
      <c r="D2183" s="9">
        <v>46097</v>
      </c>
      <c r="E2183" s="9">
        <v>46127</v>
      </c>
      <c r="F2183" s="3">
        <v>2154.2199999999998</v>
      </c>
      <c r="G2183" s="7" t="s">
        <v>367</v>
      </c>
    </row>
    <row r="2184" spans="1:7" x14ac:dyDescent="0.3">
      <c r="A2184" s="7" t="s">
        <v>2551</v>
      </c>
      <c r="B2184" s="7" t="s">
        <v>20</v>
      </c>
      <c r="C2184" s="7" t="s">
        <v>353</v>
      </c>
      <c r="D2184" s="9">
        <v>46081</v>
      </c>
      <c r="E2184" s="9">
        <v>46111</v>
      </c>
      <c r="F2184" s="3">
        <v>2540.44</v>
      </c>
      <c r="G2184" s="7" t="s">
        <v>367</v>
      </c>
    </row>
    <row r="2185" spans="1:7" x14ac:dyDescent="0.3">
      <c r="A2185" s="7" t="s">
        <v>2552</v>
      </c>
      <c r="B2185" s="7" t="s">
        <v>33</v>
      </c>
      <c r="C2185" s="7" t="s">
        <v>349</v>
      </c>
      <c r="D2185" s="9">
        <v>46045</v>
      </c>
      <c r="E2185" s="9">
        <v>46075</v>
      </c>
      <c r="F2185" s="3">
        <v>3008.33</v>
      </c>
      <c r="G2185" s="7" t="s">
        <v>367</v>
      </c>
    </row>
    <row r="2186" spans="1:7" x14ac:dyDescent="0.3">
      <c r="A2186" s="7" t="s">
        <v>2553</v>
      </c>
      <c r="B2186" s="7" t="s">
        <v>89</v>
      </c>
      <c r="C2186" s="7" t="s">
        <v>353</v>
      </c>
      <c r="D2186" s="9">
        <v>46058</v>
      </c>
      <c r="E2186" s="9">
        <v>46088</v>
      </c>
      <c r="F2186" s="3">
        <v>2570.37</v>
      </c>
      <c r="G2186" s="7" t="s">
        <v>367</v>
      </c>
    </row>
    <row r="2187" spans="1:7" x14ac:dyDescent="0.3">
      <c r="A2187" s="7" t="s">
        <v>2554</v>
      </c>
      <c r="B2187" s="7" t="s">
        <v>107</v>
      </c>
      <c r="C2187" s="7" t="s">
        <v>355</v>
      </c>
      <c r="D2187" s="9">
        <v>46021</v>
      </c>
      <c r="E2187" s="9">
        <v>46051</v>
      </c>
      <c r="F2187" s="3">
        <v>13804.1</v>
      </c>
      <c r="G2187" s="7" t="s">
        <v>367</v>
      </c>
    </row>
    <row r="2188" spans="1:7" x14ac:dyDescent="0.3">
      <c r="A2188" s="7" t="s">
        <v>2555</v>
      </c>
      <c r="B2188" s="7" t="s">
        <v>44</v>
      </c>
      <c r="C2188" s="7" t="s">
        <v>353</v>
      </c>
      <c r="D2188" s="9">
        <v>46070</v>
      </c>
      <c r="E2188" s="9">
        <v>46100</v>
      </c>
      <c r="F2188" s="3">
        <v>2334.9899999999998</v>
      </c>
      <c r="G2188" s="7" t="s">
        <v>367</v>
      </c>
    </row>
    <row r="2189" spans="1:7" x14ac:dyDescent="0.3">
      <c r="A2189" s="7" t="s">
        <v>2556</v>
      </c>
      <c r="B2189" s="7" t="s">
        <v>26</v>
      </c>
      <c r="C2189" s="7" t="s">
        <v>357</v>
      </c>
      <c r="D2189" s="9">
        <v>46081</v>
      </c>
      <c r="E2189" s="9">
        <v>46111</v>
      </c>
      <c r="F2189" s="3">
        <v>2843.62</v>
      </c>
      <c r="G2189" s="7" t="s">
        <v>367</v>
      </c>
    </row>
    <row r="2190" spans="1:7" x14ac:dyDescent="0.3">
      <c r="A2190" s="7" t="s">
        <v>2557</v>
      </c>
      <c r="B2190" s="7" t="s">
        <v>72</v>
      </c>
      <c r="C2190" s="7" t="s">
        <v>357</v>
      </c>
      <c r="D2190" s="9">
        <v>46044</v>
      </c>
      <c r="E2190" s="9">
        <v>46074</v>
      </c>
      <c r="F2190" s="3">
        <v>2835.75</v>
      </c>
      <c r="G2190" s="7" t="s">
        <v>369</v>
      </c>
    </row>
    <row r="2191" spans="1:7" x14ac:dyDescent="0.3">
      <c r="A2191" s="7" t="s">
        <v>2558</v>
      </c>
      <c r="B2191" s="7" t="s">
        <v>34</v>
      </c>
      <c r="C2191" s="7" t="s">
        <v>359</v>
      </c>
      <c r="D2191" s="9">
        <v>46056</v>
      </c>
      <c r="E2191" s="9">
        <v>46086</v>
      </c>
      <c r="F2191" s="3">
        <v>2002.23</v>
      </c>
      <c r="G2191" s="7" t="s">
        <v>367</v>
      </c>
    </row>
    <row r="2192" spans="1:7" x14ac:dyDescent="0.3">
      <c r="A2192" s="7" t="s">
        <v>2559</v>
      </c>
      <c r="B2192" s="7" t="s">
        <v>55</v>
      </c>
      <c r="C2192" s="7" t="s">
        <v>355</v>
      </c>
      <c r="D2192" s="9">
        <v>46021</v>
      </c>
      <c r="E2192" s="9">
        <v>46051</v>
      </c>
      <c r="F2192" s="3">
        <v>13587.49</v>
      </c>
      <c r="G2192" s="7" t="s">
        <v>367</v>
      </c>
    </row>
    <row r="2193" spans="1:7" x14ac:dyDescent="0.3">
      <c r="A2193" s="7" t="s">
        <v>2560</v>
      </c>
      <c r="B2193" s="7" t="s">
        <v>80</v>
      </c>
      <c r="C2193" s="7" t="s">
        <v>359</v>
      </c>
      <c r="D2193" s="9">
        <v>46032</v>
      </c>
      <c r="E2193" s="9">
        <v>46062</v>
      </c>
      <c r="F2193" s="3">
        <v>1496.48</v>
      </c>
      <c r="G2193" s="7" t="s">
        <v>367</v>
      </c>
    </row>
    <row r="2194" spans="1:7" x14ac:dyDescent="0.3">
      <c r="A2194" s="7" t="s">
        <v>2561</v>
      </c>
      <c r="B2194" s="7" t="s">
        <v>115</v>
      </c>
      <c r="C2194" s="7" t="s">
        <v>359</v>
      </c>
      <c r="D2194" s="9">
        <v>46013</v>
      </c>
      <c r="E2194" s="9">
        <v>46043</v>
      </c>
      <c r="F2194" s="3">
        <v>1834.73</v>
      </c>
      <c r="G2194" s="7" t="s">
        <v>367</v>
      </c>
    </row>
    <row r="2195" spans="1:7" x14ac:dyDescent="0.3">
      <c r="A2195" s="7" t="s">
        <v>2562</v>
      </c>
      <c r="B2195" s="7" t="s">
        <v>73</v>
      </c>
      <c r="C2195" s="7" t="s">
        <v>357</v>
      </c>
      <c r="D2195" s="9">
        <v>45986</v>
      </c>
      <c r="E2195" s="9">
        <v>46016</v>
      </c>
      <c r="F2195" s="3">
        <v>3917.49</v>
      </c>
      <c r="G2195" s="7" t="s">
        <v>367</v>
      </c>
    </row>
    <row r="2196" spans="1:7" x14ac:dyDescent="0.3">
      <c r="A2196" s="7" t="s">
        <v>2563</v>
      </c>
      <c r="B2196" s="7" t="s">
        <v>38</v>
      </c>
      <c r="C2196" s="7" t="s">
        <v>355</v>
      </c>
      <c r="D2196" s="9">
        <v>46070</v>
      </c>
      <c r="E2196" s="9">
        <v>46100</v>
      </c>
      <c r="F2196" s="3">
        <v>11121.31</v>
      </c>
      <c r="G2196" s="7" t="s">
        <v>367</v>
      </c>
    </row>
    <row r="2197" spans="1:7" x14ac:dyDescent="0.3">
      <c r="A2197" s="7" t="s">
        <v>2564</v>
      </c>
      <c r="B2197" s="7" t="s">
        <v>47</v>
      </c>
      <c r="C2197" s="7" t="s">
        <v>353</v>
      </c>
      <c r="D2197" s="9">
        <v>46028</v>
      </c>
      <c r="E2197" s="9">
        <v>46058</v>
      </c>
      <c r="F2197" s="3">
        <v>2243.0700000000002</v>
      </c>
      <c r="G2197" s="7" t="s">
        <v>367</v>
      </c>
    </row>
    <row r="2198" spans="1:7" x14ac:dyDescent="0.3">
      <c r="A2198" s="7" t="s">
        <v>2565</v>
      </c>
      <c r="B2198" s="7" t="s">
        <v>119</v>
      </c>
      <c r="C2198" s="7" t="s">
        <v>359</v>
      </c>
      <c r="D2198" s="9">
        <v>46089</v>
      </c>
      <c r="E2198" s="9">
        <v>46119</v>
      </c>
      <c r="F2198" s="3">
        <v>2140.13</v>
      </c>
      <c r="G2198" s="7" t="s">
        <v>367</v>
      </c>
    </row>
    <row r="2199" spans="1:7" x14ac:dyDescent="0.3">
      <c r="A2199" s="7" t="s">
        <v>2566</v>
      </c>
      <c r="B2199" s="7" t="s">
        <v>124</v>
      </c>
      <c r="C2199" s="7" t="s">
        <v>355</v>
      </c>
      <c r="D2199" s="9">
        <v>46098</v>
      </c>
      <c r="E2199" s="9">
        <v>46128</v>
      </c>
      <c r="F2199" s="3">
        <v>11337.03</v>
      </c>
      <c r="G2199" s="7" t="s">
        <v>367</v>
      </c>
    </row>
    <row r="2200" spans="1:7" x14ac:dyDescent="0.3">
      <c r="A2200" s="7" t="s">
        <v>2567</v>
      </c>
      <c r="B2200" s="7" t="s">
        <v>60</v>
      </c>
      <c r="C2200" s="7" t="s">
        <v>353</v>
      </c>
      <c r="D2200" s="9">
        <v>46043</v>
      </c>
      <c r="E2200" s="9">
        <v>46073</v>
      </c>
      <c r="F2200" s="3">
        <v>2653.33</v>
      </c>
      <c r="G2200" s="7" t="s">
        <v>367</v>
      </c>
    </row>
    <row r="2201" spans="1:7" x14ac:dyDescent="0.3">
      <c r="A2201" s="7" t="s">
        <v>2568</v>
      </c>
      <c r="B2201" s="7" t="s">
        <v>38</v>
      </c>
      <c r="C2201" s="7" t="s">
        <v>351</v>
      </c>
      <c r="D2201" s="9">
        <v>46082</v>
      </c>
      <c r="E2201" s="9">
        <v>46112</v>
      </c>
      <c r="F2201" s="3">
        <v>5138.68</v>
      </c>
      <c r="G2201" s="7" t="s">
        <v>369</v>
      </c>
    </row>
    <row r="2202" spans="1:7" x14ac:dyDescent="0.3">
      <c r="A2202" s="7" t="s">
        <v>2569</v>
      </c>
      <c r="B2202" s="7" t="s">
        <v>108</v>
      </c>
      <c r="C2202" s="7" t="s">
        <v>355</v>
      </c>
      <c r="D2202" s="9">
        <v>45986</v>
      </c>
      <c r="E2202" s="9">
        <v>46016</v>
      </c>
      <c r="F2202" s="3">
        <v>12835.7</v>
      </c>
      <c r="G2202" s="7" t="s">
        <v>367</v>
      </c>
    </row>
    <row r="2203" spans="1:7" x14ac:dyDescent="0.3">
      <c r="A2203" s="7" t="s">
        <v>2570</v>
      </c>
      <c r="B2203" s="7" t="s">
        <v>71</v>
      </c>
      <c r="C2203" s="7" t="s">
        <v>353</v>
      </c>
      <c r="D2203" s="9">
        <v>45969</v>
      </c>
      <c r="E2203" s="9">
        <v>45999</v>
      </c>
      <c r="F2203" s="3">
        <v>2341.5700000000002</v>
      </c>
      <c r="G2203" s="7" t="s">
        <v>367</v>
      </c>
    </row>
    <row r="2204" spans="1:7" x14ac:dyDescent="0.3">
      <c r="A2204" s="7" t="s">
        <v>2571</v>
      </c>
      <c r="B2204" s="7" t="s">
        <v>119</v>
      </c>
      <c r="C2204" s="7" t="s">
        <v>351</v>
      </c>
      <c r="D2204" s="9">
        <v>46092</v>
      </c>
      <c r="E2204" s="9">
        <v>46122</v>
      </c>
      <c r="F2204" s="3">
        <v>5152.0200000000004</v>
      </c>
      <c r="G2204" s="7" t="s">
        <v>369</v>
      </c>
    </row>
    <row r="2205" spans="1:7" x14ac:dyDescent="0.3">
      <c r="A2205" s="7" t="s">
        <v>2572</v>
      </c>
      <c r="B2205" s="7" t="s">
        <v>77</v>
      </c>
      <c r="C2205" s="7" t="s">
        <v>355</v>
      </c>
      <c r="D2205" s="9">
        <v>46013</v>
      </c>
      <c r="E2205" s="9">
        <v>46043</v>
      </c>
      <c r="F2205" s="3">
        <v>9674.4599999999991</v>
      </c>
      <c r="G2205" s="7" t="s">
        <v>367</v>
      </c>
    </row>
    <row r="2206" spans="1:7" x14ac:dyDescent="0.3">
      <c r="A2206" s="7" t="s">
        <v>2573</v>
      </c>
      <c r="B2206" s="7" t="s">
        <v>11</v>
      </c>
      <c r="C2206" s="7" t="s">
        <v>359</v>
      </c>
      <c r="D2206" s="9">
        <v>46070</v>
      </c>
      <c r="E2206" s="9">
        <v>46100</v>
      </c>
      <c r="F2206" s="3">
        <v>2109.69</v>
      </c>
      <c r="G2206" s="7" t="s">
        <v>367</v>
      </c>
    </row>
    <row r="2207" spans="1:7" x14ac:dyDescent="0.3">
      <c r="A2207" s="7" t="s">
        <v>2574</v>
      </c>
      <c r="B2207" s="7" t="s">
        <v>117</v>
      </c>
      <c r="C2207" s="7" t="s">
        <v>355</v>
      </c>
      <c r="D2207" s="9">
        <v>46013</v>
      </c>
      <c r="E2207" s="9">
        <v>46043</v>
      </c>
      <c r="F2207" s="3">
        <v>9714.8700000000008</v>
      </c>
      <c r="G2207" s="7" t="s">
        <v>367</v>
      </c>
    </row>
    <row r="2208" spans="1:7" x14ac:dyDescent="0.3">
      <c r="A2208" s="7" t="s">
        <v>2575</v>
      </c>
      <c r="B2208" s="7" t="s">
        <v>96</v>
      </c>
      <c r="C2208" s="7" t="s">
        <v>357</v>
      </c>
      <c r="D2208" s="9">
        <v>46005</v>
      </c>
      <c r="E2208" s="9">
        <v>46035</v>
      </c>
      <c r="F2208" s="3">
        <v>4086.07</v>
      </c>
      <c r="G2208" s="7" t="s">
        <v>367</v>
      </c>
    </row>
    <row r="2209" spans="1:7" x14ac:dyDescent="0.3">
      <c r="A2209" s="7" t="s">
        <v>2576</v>
      </c>
      <c r="B2209" s="7" t="s">
        <v>112</v>
      </c>
      <c r="C2209" s="7" t="s">
        <v>357</v>
      </c>
      <c r="D2209" s="9">
        <v>45973</v>
      </c>
      <c r="E2209" s="9">
        <v>46003</v>
      </c>
      <c r="F2209" s="3">
        <v>3138.01</v>
      </c>
      <c r="G2209" s="7" t="s">
        <v>367</v>
      </c>
    </row>
    <row r="2210" spans="1:7" x14ac:dyDescent="0.3">
      <c r="A2210" s="7" t="s">
        <v>2577</v>
      </c>
      <c r="B2210" s="7" t="s">
        <v>12</v>
      </c>
      <c r="C2210" s="7" t="s">
        <v>353</v>
      </c>
      <c r="D2210" s="9">
        <v>45965</v>
      </c>
      <c r="E2210" s="9">
        <v>45995</v>
      </c>
      <c r="F2210" s="3">
        <v>2591.48</v>
      </c>
      <c r="G2210" s="7" t="s">
        <v>387</v>
      </c>
    </row>
    <row r="2211" spans="1:7" x14ac:dyDescent="0.3">
      <c r="A2211" s="7" t="s">
        <v>2578</v>
      </c>
      <c r="B2211" s="7" t="s">
        <v>87</v>
      </c>
      <c r="C2211" s="7" t="s">
        <v>349</v>
      </c>
      <c r="D2211" s="9">
        <v>45979</v>
      </c>
      <c r="E2211" s="9">
        <v>46009</v>
      </c>
      <c r="F2211" s="3">
        <v>3286.5</v>
      </c>
      <c r="G2211" s="7" t="s">
        <v>369</v>
      </c>
    </row>
    <row r="2212" spans="1:7" x14ac:dyDescent="0.3">
      <c r="A2212" s="7" t="s">
        <v>2579</v>
      </c>
      <c r="B2212" s="7" t="s">
        <v>96</v>
      </c>
      <c r="C2212" s="7" t="s">
        <v>355</v>
      </c>
      <c r="D2212" s="9">
        <v>45982</v>
      </c>
      <c r="E2212" s="9">
        <v>46012</v>
      </c>
      <c r="F2212" s="3">
        <v>13155.35</v>
      </c>
      <c r="G2212" s="7" t="s">
        <v>369</v>
      </c>
    </row>
    <row r="2213" spans="1:7" x14ac:dyDescent="0.3">
      <c r="A2213" s="7" t="s">
        <v>2580</v>
      </c>
      <c r="B2213" s="7" t="s">
        <v>72</v>
      </c>
      <c r="C2213" s="7" t="s">
        <v>351</v>
      </c>
      <c r="D2213" s="9">
        <v>46032</v>
      </c>
      <c r="E2213" s="9">
        <v>46062</v>
      </c>
      <c r="F2213" s="3">
        <v>5466.89</v>
      </c>
      <c r="G2213" s="7" t="s">
        <v>369</v>
      </c>
    </row>
    <row r="2214" spans="1:7" x14ac:dyDescent="0.3">
      <c r="A2214" s="7" t="s">
        <v>2581</v>
      </c>
      <c r="B2214" s="7" t="s">
        <v>93</v>
      </c>
      <c r="C2214" s="7" t="s">
        <v>349</v>
      </c>
      <c r="D2214" s="9">
        <v>46039</v>
      </c>
      <c r="E2214" s="9">
        <v>46069</v>
      </c>
      <c r="F2214" s="3">
        <v>2582.71</v>
      </c>
      <c r="G2214" s="7" t="s">
        <v>367</v>
      </c>
    </row>
    <row r="2215" spans="1:7" x14ac:dyDescent="0.3">
      <c r="A2215" s="7" t="s">
        <v>2582</v>
      </c>
      <c r="B2215" s="7" t="s">
        <v>99</v>
      </c>
      <c r="C2215" s="7" t="s">
        <v>359</v>
      </c>
      <c r="D2215" s="9">
        <v>46053</v>
      </c>
      <c r="E2215" s="9">
        <v>46083</v>
      </c>
      <c r="F2215" s="3">
        <v>1766.54</v>
      </c>
      <c r="G2215" s="7" t="s">
        <v>367</v>
      </c>
    </row>
    <row r="2216" spans="1:7" x14ac:dyDescent="0.3">
      <c r="A2216" s="7" t="s">
        <v>2583</v>
      </c>
      <c r="B2216" s="7" t="s">
        <v>70</v>
      </c>
      <c r="C2216" s="7" t="s">
        <v>357</v>
      </c>
      <c r="D2216" s="9">
        <v>46075</v>
      </c>
      <c r="E2216" s="9">
        <v>46105</v>
      </c>
      <c r="F2216" s="3">
        <v>3191.02</v>
      </c>
      <c r="G2216" s="7" t="s">
        <v>367</v>
      </c>
    </row>
    <row r="2217" spans="1:7" x14ac:dyDescent="0.3">
      <c r="A2217" s="7" t="s">
        <v>2584</v>
      </c>
      <c r="B2217" s="7" t="s">
        <v>115</v>
      </c>
      <c r="C2217" s="7" t="s">
        <v>353</v>
      </c>
      <c r="D2217" s="9">
        <v>46003</v>
      </c>
      <c r="E2217" s="9">
        <v>46033</v>
      </c>
      <c r="F2217" s="3">
        <v>2048.29</v>
      </c>
      <c r="G2217" s="7" t="s">
        <v>367</v>
      </c>
    </row>
    <row r="2218" spans="1:7" x14ac:dyDescent="0.3">
      <c r="A2218" s="7" t="s">
        <v>2585</v>
      </c>
      <c r="B2218" s="7" t="s">
        <v>25</v>
      </c>
      <c r="C2218" s="7" t="s">
        <v>355</v>
      </c>
      <c r="D2218" s="9">
        <v>46040</v>
      </c>
      <c r="E2218" s="9">
        <v>46070</v>
      </c>
      <c r="F2218" s="3">
        <v>10969.23</v>
      </c>
      <c r="G2218" s="7" t="s">
        <v>369</v>
      </c>
    </row>
    <row r="2219" spans="1:7" x14ac:dyDescent="0.3">
      <c r="A2219" s="7" t="s">
        <v>2586</v>
      </c>
      <c r="B2219" s="7" t="s">
        <v>73</v>
      </c>
      <c r="C2219" s="7" t="s">
        <v>349</v>
      </c>
      <c r="D2219" s="9">
        <v>46024</v>
      </c>
      <c r="E2219" s="9">
        <v>46054</v>
      </c>
      <c r="F2219" s="3">
        <v>3376.78</v>
      </c>
      <c r="G2219" s="7" t="s">
        <v>367</v>
      </c>
    </row>
    <row r="2220" spans="1:7" x14ac:dyDescent="0.3">
      <c r="A2220" s="7" t="s">
        <v>2587</v>
      </c>
      <c r="B2220" s="7" t="s">
        <v>43</v>
      </c>
      <c r="C2220" s="7" t="s">
        <v>353</v>
      </c>
      <c r="D2220" s="9">
        <v>46078</v>
      </c>
      <c r="E2220" s="9">
        <v>46108</v>
      </c>
      <c r="F2220" s="3">
        <v>2575.14</v>
      </c>
      <c r="G2220" s="7" t="s">
        <v>367</v>
      </c>
    </row>
    <row r="2221" spans="1:7" x14ac:dyDescent="0.3">
      <c r="A2221" s="7" t="s">
        <v>2588</v>
      </c>
      <c r="B2221" s="7" t="s">
        <v>120</v>
      </c>
      <c r="C2221" s="7" t="s">
        <v>351</v>
      </c>
      <c r="D2221" s="9">
        <v>46110</v>
      </c>
      <c r="E2221" s="9">
        <v>46140</v>
      </c>
      <c r="F2221" s="3">
        <v>4237.1000000000004</v>
      </c>
      <c r="G2221" s="7" t="s">
        <v>367</v>
      </c>
    </row>
    <row r="2222" spans="1:7" x14ac:dyDescent="0.3">
      <c r="A2222" s="7" t="s">
        <v>2589</v>
      </c>
      <c r="B2222" s="7" t="s">
        <v>36</v>
      </c>
      <c r="C2222" s="7" t="s">
        <v>351</v>
      </c>
      <c r="D2222" s="9">
        <v>45965</v>
      </c>
      <c r="E2222" s="9">
        <v>45995</v>
      </c>
      <c r="F2222" s="3">
        <v>4576.96</v>
      </c>
      <c r="G2222" s="7" t="s">
        <v>369</v>
      </c>
    </row>
    <row r="2223" spans="1:7" x14ac:dyDescent="0.3">
      <c r="A2223" s="7" t="s">
        <v>2590</v>
      </c>
      <c r="B2223" s="7" t="s">
        <v>72</v>
      </c>
      <c r="C2223" s="7" t="s">
        <v>359</v>
      </c>
      <c r="D2223" s="9">
        <v>45974</v>
      </c>
      <c r="E2223" s="9">
        <v>46004</v>
      </c>
      <c r="F2223" s="3">
        <v>1640.61</v>
      </c>
      <c r="G2223" s="7" t="s">
        <v>367</v>
      </c>
    </row>
    <row r="2224" spans="1:7" x14ac:dyDescent="0.3">
      <c r="A2224" s="7" t="s">
        <v>2591</v>
      </c>
      <c r="B2224" s="7" t="s">
        <v>31</v>
      </c>
      <c r="C2224" s="7" t="s">
        <v>351</v>
      </c>
      <c r="D2224" s="9">
        <v>46037</v>
      </c>
      <c r="E2224" s="9">
        <v>46067</v>
      </c>
      <c r="F2224" s="3">
        <v>4054.7</v>
      </c>
      <c r="G2224" s="7" t="s">
        <v>367</v>
      </c>
    </row>
    <row r="2225" spans="1:7" x14ac:dyDescent="0.3">
      <c r="A2225" s="7" t="s">
        <v>2592</v>
      </c>
      <c r="B2225" s="7" t="s">
        <v>43</v>
      </c>
      <c r="C2225" s="7" t="s">
        <v>349</v>
      </c>
      <c r="D2225" s="9">
        <v>46047</v>
      </c>
      <c r="E2225" s="9">
        <v>46077</v>
      </c>
      <c r="F2225" s="3">
        <v>2986.04</v>
      </c>
      <c r="G2225" s="7" t="s">
        <v>367</v>
      </c>
    </row>
    <row r="2226" spans="1:7" x14ac:dyDescent="0.3">
      <c r="A2226" s="7" t="s">
        <v>2593</v>
      </c>
      <c r="B2226" s="7" t="s">
        <v>65</v>
      </c>
      <c r="C2226" s="7" t="s">
        <v>357</v>
      </c>
      <c r="D2226" s="9">
        <v>46038</v>
      </c>
      <c r="E2226" s="9">
        <v>46068</v>
      </c>
      <c r="F2226" s="3">
        <v>3397.1</v>
      </c>
      <c r="G2226" s="7" t="s">
        <v>367</v>
      </c>
    </row>
    <row r="2227" spans="1:7" x14ac:dyDescent="0.3">
      <c r="A2227" s="7" t="s">
        <v>2594</v>
      </c>
      <c r="B2227" s="7" t="s">
        <v>22</v>
      </c>
      <c r="C2227" s="7" t="s">
        <v>353</v>
      </c>
      <c r="D2227" s="9">
        <v>46032</v>
      </c>
      <c r="E2227" s="9">
        <v>46062</v>
      </c>
      <c r="F2227" s="3">
        <v>2918</v>
      </c>
      <c r="G2227" s="7" t="s">
        <v>369</v>
      </c>
    </row>
    <row r="2228" spans="1:7" x14ac:dyDescent="0.3">
      <c r="A2228" s="7" t="s">
        <v>2595</v>
      </c>
      <c r="B2228" s="7" t="s">
        <v>24</v>
      </c>
      <c r="C2228" s="7" t="s">
        <v>355</v>
      </c>
      <c r="D2228" s="9">
        <v>46020</v>
      </c>
      <c r="E2228" s="9">
        <v>46050</v>
      </c>
      <c r="F2228" s="3">
        <v>13866.62</v>
      </c>
      <c r="G2228" s="7" t="s">
        <v>367</v>
      </c>
    </row>
    <row r="2229" spans="1:7" x14ac:dyDescent="0.3">
      <c r="A2229" s="7" t="s">
        <v>2596</v>
      </c>
      <c r="B2229" s="7" t="s">
        <v>102</v>
      </c>
      <c r="C2229" s="7" t="s">
        <v>353</v>
      </c>
      <c r="D2229" s="9">
        <v>45964</v>
      </c>
      <c r="E2229" s="9">
        <v>45994</v>
      </c>
      <c r="F2229" s="3">
        <v>2731.63</v>
      </c>
      <c r="G2229" s="7" t="s">
        <v>369</v>
      </c>
    </row>
    <row r="2230" spans="1:7" x14ac:dyDescent="0.3">
      <c r="A2230" s="7" t="s">
        <v>2597</v>
      </c>
      <c r="B2230" s="7" t="s">
        <v>42</v>
      </c>
      <c r="C2230" s="7" t="s">
        <v>351</v>
      </c>
      <c r="D2230" s="9">
        <v>46052</v>
      </c>
      <c r="E2230" s="9">
        <v>46082</v>
      </c>
      <c r="F2230" s="3">
        <v>5454.72</v>
      </c>
      <c r="G2230" s="7" t="s">
        <v>367</v>
      </c>
    </row>
    <row r="2231" spans="1:7" x14ac:dyDescent="0.3">
      <c r="A2231" s="7" t="s">
        <v>2598</v>
      </c>
      <c r="B2231" s="7" t="s">
        <v>97</v>
      </c>
      <c r="C2231" s="7" t="s">
        <v>355</v>
      </c>
      <c r="D2231" s="9">
        <v>46087</v>
      </c>
      <c r="E2231" s="9">
        <v>46117</v>
      </c>
      <c r="F2231" s="3">
        <v>12626.99</v>
      </c>
      <c r="G2231" s="7" t="s">
        <v>369</v>
      </c>
    </row>
    <row r="2232" spans="1:7" x14ac:dyDescent="0.3">
      <c r="A2232" s="7" t="s">
        <v>2599</v>
      </c>
      <c r="B2232" s="7" t="s">
        <v>97</v>
      </c>
      <c r="C2232" s="7" t="s">
        <v>359</v>
      </c>
      <c r="D2232" s="9">
        <v>46102</v>
      </c>
      <c r="E2232" s="9">
        <v>46132</v>
      </c>
      <c r="F2232" s="3">
        <v>1666.66</v>
      </c>
      <c r="G2232" s="7" t="s">
        <v>367</v>
      </c>
    </row>
    <row r="2233" spans="1:7" x14ac:dyDescent="0.3">
      <c r="A2233" s="7" t="s">
        <v>2600</v>
      </c>
      <c r="B2233" s="7" t="s">
        <v>119</v>
      </c>
      <c r="C2233" s="7" t="s">
        <v>357</v>
      </c>
      <c r="D2233" s="9">
        <v>46053</v>
      </c>
      <c r="E2233" s="9">
        <v>46083</v>
      </c>
      <c r="F2233" s="3">
        <v>3244.54</v>
      </c>
      <c r="G2233" s="7" t="s">
        <v>367</v>
      </c>
    </row>
    <row r="2234" spans="1:7" x14ac:dyDescent="0.3">
      <c r="A2234" s="7" t="s">
        <v>2601</v>
      </c>
      <c r="B2234" s="7" t="s">
        <v>24</v>
      </c>
      <c r="C2234" s="7" t="s">
        <v>359</v>
      </c>
      <c r="D2234" s="9">
        <v>46089</v>
      </c>
      <c r="E2234" s="9">
        <v>46119</v>
      </c>
      <c r="F2234" s="3">
        <v>1465.66</v>
      </c>
      <c r="G2234" s="7" t="s">
        <v>367</v>
      </c>
    </row>
    <row r="2235" spans="1:7" x14ac:dyDescent="0.3">
      <c r="A2235" s="7" t="s">
        <v>2602</v>
      </c>
      <c r="B2235" s="7" t="s">
        <v>67</v>
      </c>
      <c r="C2235" s="7" t="s">
        <v>357</v>
      </c>
      <c r="D2235" s="9">
        <v>46074</v>
      </c>
      <c r="E2235" s="9">
        <v>46104</v>
      </c>
      <c r="F2235" s="3">
        <v>3326.69</v>
      </c>
      <c r="G2235" s="7" t="s">
        <v>367</v>
      </c>
    </row>
    <row r="2236" spans="1:7" x14ac:dyDescent="0.3">
      <c r="A2236" s="7" t="s">
        <v>2603</v>
      </c>
      <c r="B2236" s="7" t="s">
        <v>23</v>
      </c>
      <c r="C2236" s="7" t="s">
        <v>351</v>
      </c>
      <c r="D2236" s="9">
        <v>46037</v>
      </c>
      <c r="E2236" s="9">
        <v>46067</v>
      </c>
      <c r="F2236" s="3">
        <v>4969.01</v>
      </c>
      <c r="G2236" s="7" t="s">
        <v>367</v>
      </c>
    </row>
    <row r="2237" spans="1:7" x14ac:dyDescent="0.3">
      <c r="A2237" s="7" t="s">
        <v>2604</v>
      </c>
      <c r="B2237" s="7" t="s">
        <v>102</v>
      </c>
      <c r="C2237" s="7" t="s">
        <v>351</v>
      </c>
      <c r="D2237" s="9">
        <v>46022</v>
      </c>
      <c r="E2237" s="9">
        <v>46052</v>
      </c>
      <c r="F2237" s="3">
        <v>5269.55</v>
      </c>
      <c r="G2237" s="7" t="s">
        <v>369</v>
      </c>
    </row>
    <row r="2238" spans="1:7" x14ac:dyDescent="0.3">
      <c r="A2238" s="7" t="s">
        <v>2605</v>
      </c>
      <c r="B2238" s="7" t="s">
        <v>33</v>
      </c>
      <c r="C2238" s="7" t="s">
        <v>351</v>
      </c>
      <c r="D2238" s="9">
        <v>45973</v>
      </c>
      <c r="E2238" s="9">
        <v>46003</v>
      </c>
      <c r="F2238" s="3">
        <v>4006.4</v>
      </c>
      <c r="G2238" s="7" t="s">
        <v>367</v>
      </c>
    </row>
    <row r="2239" spans="1:7" x14ac:dyDescent="0.3">
      <c r="A2239" s="7" t="s">
        <v>2606</v>
      </c>
      <c r="B2239" s="7" t="s">
        <v>55</v>
      </c>
      <c r="C2239" s="7" t="s">
        <v>359</v>
      </c>
      <c r="D2239" s="9">
        <v>46084</v>
      </c>
      <c r="E2239" s="9">
        <v>46114</v>
      </c>
      <c r="F2239" s="3">
        <v>1568.24</v>
      </c>
      <c r="G2239" s="7" t="s">
        <v>367</v>
      </c>
    </row>
    <row r="2240" spans="1:7" x14ac:dyDescent="0.3">
      <c r="A2240" s="7" t="s">
        <v>2607</v>
      </c>
      <c r="B2240" s="7" t="s">
        <v>91</v>
      </c>
      <c r="C2240" s="7" t="s">
        <v>359</v>
      </c>
      <c r="D2240" s="9">
        <v>46063</v>
      </c>
      <c r="E2240" s="9">
        <v>46093</v>
      </c>
      <c r="F2240" s="3">
        <v>1860.41</v>
      </c>
      <c r="G2240" s="7" t="s">
        <v>367</v>
      </c>
    </row>
    <row r="2241" spans="1:7" x14ac:dyDescent="0.3">
      <c r="A2241" s="7" t="s">
        <v>2608</v>
      </c>
      <c r="B2241" s="7" t="s">
        <v>92</v>
      </c>
      <c r="C2241" s="7" t="s">
        <v>351</v>
      </c>
      <c r="D2241" s="9">
        <v>46035</v>
      </c>
      <c r="E2241" s="9">
        <v>46065</v>
      </c>
      <c r="F2241" s="3">
        <v>5755.78</v>
      </c>
      <c r="G2241" s="7" t="s">
        <v>369</v>
      </c>
    </row>
    <row r="2242" spans="1:7" x14ac:dyDescent="0.3">
      <c r="A2242" s="7" t="s">
        <v>2609</v>
      </c>
      <c r="B2242" s="7" t="s">
        <v>76</v>
      </c>
      <c r="C2242" s="7" t="s">
        <v>355</v>
      </c>
      <c r="D2242" s="9">
        <v>46050</v>
      </c>
      <c r="E2242" s="9">
        <v>46080</v>
      </c>
      <c r="F2242" s="3">
        <v>11953.07</v>
      </c>
      <c r="G2242" s="7" t="s">
        <v>367</v>
      </c>
    </row>
    <row r="2243" spans="1:7" x14ac:dyDescent="0.3">
      <c r="A2243" s="7" t="s">
        <v>2610</v>
      </c>
      <c r="B2243" s="7" t="s">
        <v>121</v>
      </c>
      <c r="C2243" s="7" t="s">
        <v>355</v>
      </c>
      <c r="D2243" s="9">
        <v>46004</v>
      </c>
      <c r="E2243" s="9">
        <v>46034</v>
      </c>
      <c r="F2243" s="3">
        <v>11018</v>
      </c>
      <c r="G2243" s="7" t="s">
        <v>387</v>
      </c>
    </row>
    <row r="2244" spans="1:7" x14ac:dyDescent="0.3">
      <c r="A2244" s="7" t="s">
        <v>2611</v>
      </c>
      <c r="B2244" s="7" t="s">
        <v>61</v>
      </c>
      <c r="C2244" s="7" t="s">
        <v>353</v>
      </c>
      <c r="D2244" s="9">
        <v>46097</v>
      </c>
      <c r="E2244" s="9">
        <v>46127</v>
      </c>
      <c r="F2244" s="3">
        <v>2419.59</v>
      </c>
      <c r="G2244" s="7" t="s">
        <v>367</v>
      </c>
    </row>
    <row r="2245" spans="1:7" x14ac:dyDescent="0.3">
      <c r="A2245" s="7" t="s">
        <v>2612</v>
      </c>
      <c r="B2245" s="7" t="s">
        <v>96</v>
      </c>
      <c r="C2245" s="7" t="s">
        <v>349</v>
      </c>
      <c r="D2245" s="9">
        <v>46037</v>
      </c>
      <c r="E2245" s="9">
        <v>46067</v>
      </c>
      <c r="F2245" s="3">
        <v>2611.4299999999998</v>
      </c>
      <c r="G2245" s="7" t="s">
        <v>367</v>
      </c>
    </row>
    <row r="2246" spans="1:7" x14ac:dyDescent="0.3">
      <c r="A2246" s="7" t="s">
        <v>2613</v>
      </c>
      <c r="B2246" s="7" t="s">
        <v>117</v>
      </c>
      <c r="C2246" s="7" t="s">
        <v>355</v>
      </c>
      <c r="D2246" s="9">
        <v>46000</v>
      </c>
      <c r="E2246" s="9">
        <v>46030</v>
      </c>
      <c r="F2246" s="3">
        <v>12983.13</v>
      </c>
      <c r="G2246" s="7" t="s">
        <v>369</v>
      </c>
    </row>
    <row r="2247" spans="1:7" x14ac:dyDescent="0.3">
      <c r="A2247" s="7" t="s">
        <v>2614</v>
      </c>
      <c r="B2247" s="7" t="s">
        <v>41</v>
      </c>
      <c r="C2247" s="7" t="s">
        <v>355</v>
      </c>
      <c r="D2247" s="9">
        <v>46100</v>
      </c>
      <c r="E2247" s="9">
        <v>46130</v>
      </c>
      <c r="F2247" s="3">
        <v>12485.08</v>
      </c>
      <c r="G2247" s="7" t="s">
        <v>367</v>
      </c>
    </row>
    <row r="2248" spans="1:7" x14ac:dyDescent="0.3">
      <c r="A2248" s="7" t="s">
        <v>2615</v>
      </c>
      <c r="B2248" s="7" t="s">
        <v>105</v>
      </c>
      <c r="C2248" s="7" t="s">
        <v>357</v>
      </c>
      <c r="D2248" s="9">
        <v>46063</v>
      </c>
      <c r="E2248" s="9">
        <v>46093</v>
      </c>
      <c r="F2248" s="3">
        <v>3101.15</v>
      </c>
      <c r="G2248" s="7" t="s">
        <v>367</v>
      </c>
    </row>
    <row r="2249" spans="1:7" x14ac:dyDescent="0.3">
      <c r="A2249" s="7" t="s">
        <v>2616</v>
      </c>
      <c r="B2249" s="7" t="s">
        <v>63</v>
      </c>
      <c r="C2249" s="7" t="s">
        <v>353</v>
      </c>
      <c r="D2249" s="9">
        <v>46083</v>
      </c>
      <c r="E2249" s="9">
        <v>46113</v>
      </c>
      <c r="F2249" s="3">
        <v>2261.61</v>
      </c>
      <c r="G2249" s="7" t="s">
        <v>367</v>
      </c>
    </row>
    <row r="2250" spans="1:7" x14ac:dyDescent="0.3">
      <c r="A2250" s="7" t="s">
        <v>2617</v>
      </c>
      <c r="B2250" s="7" t="s">
        <v>35</v>
      </c>
      <c r="C2250" s="7" t="s">
        <v>355</v>
      </c>
      <c r="D2250" s="9">
        <v>46036</v>
      </c>
      <c r="E2250" s="9">
        <v>46066</v>
      </c>
      <c r="F2250" s="3">
        <v>11513.66</v>
      </c>
      <c r="G2250" s="7" t="s">
        <v>367</v>
      </c>
    </row>
    <row r="2251" spans="1:7" x14ac:dyDescent="0.3">
      <c r="A2251" s="7" t="s">
        <v>2618</v>
      </c>
      <c r="B2251" s="7" t="s">
        <v>35</v>
      </c>
      <c r="C2251" s="7" t="s">
        <v>353</v>
      </c>
      <c r="D2251" s="9">
        <v>46007</v>
      </c>
      <c r="E2251" s="9">
        <v>46037</v>
      </c>
      <c r="F2251" s="3">
        <v>2636.27</v>
      </c>
      <c r="G2251" s="7" t="s">
        <v>367</v>
      </c>
    </row>
    <row r="2252" spans="1:7" x14ac:dyDescent="0.3">
      <c r="A2252" s="7" t="s">
        <v>2619</v>
      </c>
      <c r="B2252" s="7" t="s">
        <v>21</v>
      </c>
      <c r="C2252" s="7" t="s">
        <v>357</v>
      </c>
      <c r="D2252" s="9">
        <v>46016</v>
      </c>
      <c r="E2252" s="9">
        <v>46046</v>
      </c>
      <c r="F2252" s="3">
        <v>4025.87</v>
      </c>
      <c r="G2252" s="7" t="s">
        <v>369</v>
      </c>
    </row>
    <row r="2253" spans="1:7" x14ac:dyDescent="0.3">
      <c r="A2253" s="7" t="s">
        <v>2620</v>
      </c>
      <c r="B2253" s="7" t="s">
        <v>99</v>
      </c>
      <c r="C2253" s="7" t="s">
        <v>357</v>
      </c>
      <c r="D2253" s="9">
        <v>46052</v>
      </c>
      <c r="E2253" s="9">
        <v>46082</v>
      </c>
      <c r="F2253" s="3">
        <v>3655.05</v>
      </c>
      <c r="G2253" s="7" t="s">
        <v>367</v>
      </c>
    </row>
    <row r="2254" spans="1:7" x14ac:dyDescent="0.3">
      <c r="A2254" s="7" t="s">
        <v>2621</v>
      </c>
      <c r="B2254" s="7" t="s">
        <v>52</v>
      </c>
      <c r="C2254" s="7" t="s">
        <v>349</v>
      </c>
      <c r="D2254" s="9">
        <v>46110</v>
      </c>
      <c r="E2254" s="9">
        <v>46140</v>
      </c>
      <c r="F2254" s="3">
        <v>3362.9</v>
      </c>
      <c r="G2254" s="7" t="s">
        <v>367</v>
      </c>
    </row>
    <row r="2255" spans="1:7" x14ac:dyDescent="0.3">
      <c r="A2255" s="7" t="s">
        <v>2622</v>
      </c>
      <c r="B2255" s="7" t="s">
        <v>75</v>
      </c>
      <c r="C2255" s="7" t="s">
        <v>357</v>
      </c>
      <c r="D2255" s="9">
        <v>46090</v>
      </c>
      <c r="E2255" s="9">
        <v>46120</v>
      </c>
      <c r="F2255" s="3">
        <v>2888.85</v>
      </c>
      <c r="G2255" s="7" t="s">
        <v>367</v>
      </c>
    </row>
    <row r="2256" spans="1:7" x14ac:dyDescent="0.3">
      <c r="A2256" s="7" t="s">
        <v>2623</v>
      </c>
      <c r="B2256" s="7" t="s">
        <v>98</v>
      </c>
      <c r="C2256" s="7" t="s">
        <v>351</v>
      </c>
      <c r="D2256" s="9">
        <v>46064</v>
      </c>
      <c r="E2256" s="9">
        <v>46094</v>
      </c>
      <c r="F2256" s="3">
        <v>5970.43</v>
      </c>
      <c r="G2256" s="7" t="s">
        <v>367</v>
      </c>
    </row>
    <row r="2257" spans="1:7" x14ac:dyDescent="0.3">
      <c r="A2257" s="7" t="s">
        <v>2624</v>
      </c>
      <c r="B2257" s="7" t="s">
        <v>34</v>
      </c>
      <c r="C2257" s="7" t="s">
        <v>351</v>
      </c>
      <c r="D2257" s="9">
        <v>46085</v>
      </c>
      <c r="E2257" s="9">
        <v>46115</v>
      </c>
      <c r="F2257" s="3">
        <v>4580.37</v>
      </c>
      <c r="G2257" s="7" t="s">
        <v>367</v>
      </c>
    </row>
    <row r="2258" spans="1:7" x14ac:dyDescent="0.3">
      <c r="A2258" s="7" t="s">
        <v>2625</v>
      </c>
      <c r="B2258" s="7" t="s">
        <v>103</v>
      </c>
      <c r="C2258" s="7" t="s">
        <v>357</v>
      </c>
      <c r="D2258" s="9">
        <v>46014</v>
      </c>
      <c r="E2258" s="9">
        <v>46044</v>
      </c>
      <c r="F2258" s="3">
        <v>3826.67</v>
      </c>
      <c r="G2258" s="7" t="s">
        <v>369</v>
      </c>
    </row>
    <row r="2259" spans="1:7" x14ac:dyDescent="0.3">
      <c r="A2259" s="7" t="s">
        <v>2626</v>
      </c>
      <c r="B2259" s="7" t="s">
        <v>43</v>
      </c>
      <c r="C2259" s="7" t="s">
        <v>357</v>
      </c>
      <c r="D2259" s="9">
        <v>46104</v>
      </c>
      <c r="E2259" s="9">
        <v>46134</v>
      </c>
      <c r="F2259" s="3">
        <v>2943.53</v>
      </c>
      <c r="G2259" s="7" t="s">
        <v>367</v>
      </c>
    </row>
    <row r="2260" spans="1:7" x14ac:dyDescent="0.3">
      <c r="A2260" s="7" t="s">
        <v>2627</v>
      </c>
      <c r="B2260" s="7" t="s">
        <v>41</v>
      </c>
      <c r="C2260" s="7" t="s">
        <v>353</v>
      </c>
      <c r="D2260" s="9">
        <v>46083</v>
      </c>
      <c r="E2260" s="9">
        <v>46113</v>
      </c>
      <c r="F2260" s="3">
        <v>2024.24</v>
      </c>
      <c r="G2260" s="7" t="s">
        <v>367</v>
      </c>
    </row>
    <row r="2261" spans="1:7" x14ac:dyDescent="0.3">
      <c r="A2261" s="7" t="s">
        <v>2628</v>
      </c>
      <c r="B2261" s="7" t="s">
        <v>23</v>
      </c>
      <c r="C2261" s="7" t="s">
        <v>359</v>
      </c>
      <c r="D2261" s="9">
        <v>46048</v>
      </c>
      <c r="E2261" s="9">
        <v>46078</v>
      </c>
      <c r="F2261" s="3">
        <v>1529.02</v>
      </c>
      <c r="G2261" s="7" t="s">
        <v>367</v>
      </c>
    </row>
    <row r="2262" spans="1:7" x14ac:dyDescent="0.3">
      <c r="A2262" s="7" t="s">
        <v>2629</v>
      </c>
      <c r="B2262" s="7" t="s">
        <v>71</v>
      </c>
      <c r="C2262" s="7" t="s">
        <v>359</v>
      </c>
      <c r="D2262" s="9">
        <v>46032</v>
      </c>
      <c r="E2262" s="9">
        <v>46062</v>
      </c>
      <c r="F2262" s="3">
        <v>2071.17</v>
      </c>
      <c r="G2262" s="7" t="s">
        <v>367</v>
      </c>
    </row>
    <row r="2263" spans="1:7" x14ac:dyDescent="0.3">
      <c r="A2263" s="7" t="s">
        <v>2630</v>
      </c>
      <c r="B2263" s="7" t="s">
        <v>102</v>
      </c>
      <c r="C2263" s="7" t="s">
        <v>359</v>
      </c>
      <c r="D2263" s="9">
        <v>46058</v>
      </c>
      <c r="E2263" s="9">
        <v>46088</v>
      </c>
      <c r="F2263" s="3">
        <v>1946.51</v>
      </c>
      <c r="G2263" s="7" t="s">
        <v>367</v>
      </c>
    </row>
    <row r="2264" spans="1:7" x14ac:dyDescent="0.3">
      <c r="A2264" s="7" t="s">
        <v>2631</v>
      </c>
      <c r="B2264" s="7" t="s">
        <v>108</v>
      </c>
      <c r="C2264" s="7" t="s">
        <v>357</v>
      </c>
      <c r="D2264" s="9">
        <v>45979</v>
      </c>
      <c r="E2264" s="9">
        <v>46009</v>
      </c>
      <c r="F2264" s="3">
        <v>3646.82</v>
      </c>
      <c r="G2264" s="7" t="s">
        <v>367</v>
      </c>
    </row>
    <row r="2265" spans="1:7" x14ac:dyDescent="0.3">
      <c r="A2265" s="7" t="s">
        <v>2632</v>
      </c>
      <c r="B2265" s="7" t="s">
        <v>61</v>
      </c>
      <c r="C2265" s="7" t="s">
        <v>355</v>
      </c>
      <c r="D2265" s="9">
        <v>45973</v>
      </c>
      <c r="E2265" s="9">
        <v>46003</v>
      </c>
      <c r="F2265" s="3">
        <v>10532.56</v>
      </c>
      <c r="G2265" s="7" t="s">
        <v>369</v>
      </c>
    </row>
    <row r="2266" spans="1:7" x14ac:dyDescent="0.3">
      <c r="A2266" s="7" t="s">
        <v>2633</v>
      </c>
      <c r="B2266" s="7" t="s">
        <v>19</v>
      </c>
      <c r="C2266" s="7" t="s">
        <v>357</v>
      </c>
      <c r="D2266" s="9">
        <v>46014</v>
      </c>
      <c r="E2266" s="9">
        <v>46044</v>
      </c>
      <c r="F2266" s="3">
        <v>3840.88</v>
      </c>
      <c r="G2266" s="7" t="s">
        <v>367</v>
      </c>
    </row>
    <row r="2267" spans="1:7" x14ac:dyDescent="0.3">
      <c r="A2267" s="7" t="s">
        <v>2634</v>
      </c>
      <c r="B2267" s="7" t="s">
        <v>61</v>
      </c>
      <c r="C2267" s="7" t="s">
        <v>353</v>
      </c>
      <c r="D2267" s="9">
        <v>45972</v>
      </c>
      <c r="E2267" s="9">
        <v>46002</v>
      </c>
      <c r="F2267" s="3">
        <v>2969.26</v>
      </c>
      <c r="G2267" s="7" t="s">
        <v>367</v>
      </c>
    </row>
    <row r="2268" spans="1:7" x14ac:dyDescent="0.3">
      <c r="A2268" s="7" t="s">
        <v>2635</v>
      </c>
      <c r="B2268" s="7" t="s">
        <v>43</v>
      </c>
      <c r="C2268" s="7" t="s">
        <v>349</v>
      </c>
      <c r="D2268" s="9">
        <v>46055</v>
      </c>
      <c r="E2268" s="9">
        <v>46085</v>
      </c>
      <c r="F2268" s="3">
        <v>2666.7</v>
      </c>
      <c r="G2268" s="7" t="s">
        <v>367</v>
      </c>
    </row>
    <row r="2269" spans="1:7" x14ac:dyDescent="0.3">
      <c r="A2269" s="7" t="s">
        <v>2636</v>
      </c>
      <c r="B2269" s="7" t="s">
        <v>70</v>
      </c>
      <c r="C2269" s="7" t="s">
        <v>359</v>
      </c>
      <c r="D2269" s="9">
        <v>45986</v>
      </c>
      <c r="E2269" s="9">
        <v>46016</v>
      </c>
      <c r="F2269" s="3">
        <v>1823.91</v>
      </c>
      <c r="G2269" s="7" t="s">
        <v>367</v>
      </c>
    </row>
    <row r="2270" spans="1:7" x14ac:dyDescent="0.3">
      <c r="A2270" s="7" t="s">
        <v>2637</v>
      </c>
      <c r="B2270" s="7" t="s">
        <v>64</v>
      </c>
      <c r="C2270" s="7" t="s">
        <v>359</v>
      </c>
      <c r="D2270" s="9">
        <v>45989</v>
      </c>
      <c r="E2270" s="9">
        <v>46019</v>
      </c>
      <c r="F2270" s="3">
        <v>1723.42</v>
      </c>
      <c r="G2270" s="7" t="s">
        <v>367</v>
      </c>
    </row>
    <row r="2271" spans="1:7" x14ac:dyDescent="0.3">
      <c r="A2271" s="7" t="s">
        <v>2638</v>
      </c>
      <c r="B2271" s="7" t="s">
        <v>64</v>
      </c>
      <c r="C2271" s="7" t="s">
        <v>351</v>
      </c>
      <c r="D2271" s="9">
        <v>46057</v>
      </c>
      <c r="E2271" s="9">
        <v>46087</v>
      </c>
      <c r="F2271" s="3">
        <v>5155.76</v>
      </c>
      <c r="G2271" s="7" t="s">
        <v>369</v>
      </c>
    </row>
    <row r="2272" spans="1:7" x14ac:dyDescent="0.3">
      <c r="A2272" s="7" t="s">
        <v>2639</v>
      </c>
      <c r="B2272" s="7" t="s">
        <v>25</v>
      </c>
      <c r="C2272" s="7" t="s">
        <v>353</v>
      </c>
      <c r="D2272" s="9">
        <v>45982</v>
      </c>
      <c r="E2272" s="9">
        <v>46012</v>
      </c>
      <c r="F2272" s="3">
        <v>2476.81</v>
      </c>
      <c r="G2272" s="7" t="s">
        <v>367</v>
      </c>
    </row>
    <row r="2273" spans="1:7" x14ac:dyDescent="0.3">
      <c r="A2273" s="7" t="s">
        <v>2640</v>
      </c>
      <c r="B2273" s="7" t="s">
        <v>117</v>
      </c>
      <c r="C2273" s="7" t="s">
        <v>359</v>
      </c>
      <c r="D2273" s="9">
        <v>46070</v>
      </c>
      <c r="E2273" s="9">
        <v>46100</v>
      </c>
      <c r="F2273" s="3">
        <v>2142.59</v>
      </c>
      <c r="G2273" s="7" t="s">
        <v>367</v>
      </c>
    </row>
    <row r="2274" spans="1:7" x14ac:dyDescent="0.3">
      <c r="A2274" s="7" t="s">
        <v>2641</v>
      </c>
      <c r="B2274" s="7" t="s">
        <v>114</v>
      </c>
      <c r="C2274" s="7" t="s">
        <v>355</v>
      </c>
      <c r="D2274" s="9">
        <v>46074</v>
      </c>
      <c r="E2274" s="9">
        <v>46104</v>
      </c>
      <c r="F2274" s="3">
        <v>12448.37</v>
      </c>
      <c r="G2274" s="7" t="s">
        <v>367</v>
      </c>
    </row>
    <row r="2275" spans="1:7" x14ac:dyDescent="0.3">
      <c r="A2275" s="7" t="s">
        <v>2642</v>
      </c>
      <c r="B2275" s="7" t="s">
        <v>14</v>
      </c>
      <c r="C2275" s="7" t="s">
        <v>355</v>
      </c>
      <c r="D2275" s="9">
        <v>46061</v>
      </c>
      <c r="E2275" s="9">
        <v>46091</v>
      </c>
      <c r="F2275" s="3">
        <v>12112.35</v>
      </c>
      <c r="G2275" s="7" t="s">
        <v>369</v>
      </c>
    </row>
    <row r="2276" spans="1:7" x14ac:dyDescent="0.3">
      <c r="A2276" s="7" t="s">
        <v>2643</v>
      </c>
      <c r="B2276" s="7" t="s">
        <v>26</v>
      </c>
      <c r="C2276" s="7" t="s">
        <v>355</v>
      </c>
      <c r="D2276" s="9">
        <v>46112</v>
      </c>
      <c r="E2276" s="9">
        <v>46142</v>
      </c>
      <c r="F2276" s="3">
        <v>10809.71</v>
      </c>
      <c r="G2276" s="7" t="s">
        <v>367</v>
      </c>
    </row>
    <row r="2277" spans="1:7" x14ac:dyDescent="0.3">
      <c r="A2277" s="7" t="s">
        <v>2644</v>
      </c>
      <c r="B2277" s="7" t="s">
        <v>7</v>
      </c>
      <c r="C2277" s="7" t="s">
        <v>349</v>
      </c>
      <c r="D2277" s="9">
        <v>46001</v>
      </c>
      <c r="E2277" s="9">
        <v>46031</v>
      </c>
      <c r="F2277" s="3">
        <v>2785.73</v>
      </c>
      <c r="G2277" s="7" t="s">
        <v>367</v>
      </c>
    </row>
    <row r="2278" spans="1:7" x14ac:dyDescent="0.3">
      <c r="A2278" s="7" t="s">
        <v>2645</v>
      </c>
      <c r="B2278" s="7" t="s">
        <v>76</v>
      </c>
      <c r="C2278" s="7" t="s">
        <v>353</v>
      </c>
      <c r="D2278" s="9">
        <v>46022</v>
      </c>
      <c r="E2278" s="9">
        <v>46052</v>
      </c>
      <c r="F2278" s="3">
        <v>2690.4</v>
      </c>
      <c r="G2278" s="7" t="s">
        <v>369</v>
      </c>
    </row>
    <row r="2279" spans="1:7" x14ac:dyDescent="0.3">
      <c r="A2279" s="7" t="s">
        <v>2646</v>
      </c>
      <c r="B2279" s="7" t="s">
        <v>97</v>
      </c>
      <c r="C2279" s="7" t="s">
        <v>355</v>
      </c>
      <c r="D2279" s="9">
        <v>45993</v>
      </c>
      <c r="E2279" s="9">
        <v>46023</v>
      </c>
      <c r="F2279" s="3">
        <v>11102.48</v>
      </c>
      <c r="G2279" s="7" t="s">
        <v>367</v>
      </c>
    </row>
    <row r="2280" spans="1:7" x14ac:dyDescent="0.3">
      <c r="A2280" s="7" t="s">
        <v>2647</v>
      </c>
      <c r="B2280" s="7" t="s">
        <v>17</v>
      </c>
      <c r="C2280" s="7" t="s">
        <v>355</v>
      </c>
      <c r="D2280" s="9">
        <v>46037</v>
      </c>
      <c r="E2280" s="9">
        <v>46067</v>
      </c>
      <c r="F2280" s="3">
        <v>12069.27</v>
      </c>
      <c r="G2280" s="7" t="s">
        <v>387</v>
      </c>
    </row>
    <row r="2281" spans="1:7" x14ac:dyDescent="0.3">
      <c r="A2281" s="7" t="s">
        <v>2648</v>
      </c>
      <c r="B2281" s="7" t="s">
        <v>8</v>
      </c>
      <c r="C2281" s="7" t="s">
        <v>349</v>
      </c>
      <c r="D2281" s="9">
        <v>46079</v>
      </c>
      <c r="E2281" s="9">
        <v>46109</v>
      </c>
      <c r="F2281" s="3">
        <v>2910.84</v>
      </c>
      <c r="G2281" s="7" t="s">
        <v>367</v>
      </c>
    </row>
    <row r="2282" spans="1:7" x14ac:dyDescent="0.3">
      <c r="A2282" s="7" t="s">
        <v>2649</v>
      </c>
      <c r="B2282" s="7" t="s">
        <v>118</v>
      </c>
      <c r="C2282" s="7" t="s">
        <v>351</v>
      </c>
      <c r="D2282" s="9">
        <v>46004</v>
      </c>
      <c r="E2282" s="9">
        <v>46034</v>
      </c>
      <c r="F2282" s="3">
        <v>5039.88</v>
      </c>
      <c r="G2282" s="7" t="s">
        <v>367</v>
      </c>
    </row>
    <row r="2283" spans="1:7" x14ac:dyDescent="0.3">
      <c r="A2283" s="7" t="s">
        <v>2650</v>
      </c>
      <c r="B2283" s="7" t="s">
        <v>109</v>
      </c>
      <c r="C2283" s="7" t="s">
        <v>349</v>
      </c>
      <c r="D2283" s="9">
        <v>46095</v>
      </c>
      <c r="E2283" s="9">
        <v>46125</v>
      </c>
      <c r="F2283" s="3">
        <v>2446.87</v>
      </c>
      <c r="G2283" s="7" t="s">
        <v>367</v>
      </c>
    </row>
    <row r="2284" spans="1:7" x14ac:dyDescent="0.3">
      <c r="A2284" s="7" t="s">
        <v>2651</v>
      </c>
      <c r="B2284" s="7" t="s">
        <v>8</v>
      </c>
      <c r="C2284" s="7" t="s">
        <v>357</v>
      </c>
      <c r="D2284" s="9">
        <v>46033</v>
      </c>
      <c r="E2284" s="9">
        <v>46063</v>
      </c>
      <c r="F2284" s="3">
        <v>3482.07</v>
      </c>
      <c r="G2284" s="7" t="s">
        <v>367</v>
      </c>
    </row>
    <row r="2285" spans="1:7" x14ac:dyDescent="0.3">
      <c r="A2285" s="7" t="s">
        <v>2652</v>
      </c>
      <c r="B2285" s="7" t="s">
        <v>93</v>
      </c>
      <c r="C2285" s="7" t="s">
        <v>353</v>
      </c>
      <c r="D2285" s="9">
        <v>46081</v>
      </c>
      <c r="E2285" s="9">
        <v>46111</v>
      </c>
      <c r="F2285" s="3">
        <v>2117.58</v>
      </c>
      <c r="G2285" s="7" t="s">
        <v>369</v>
      </c>
    </row>
    <row r="2286" spans="1:7" x14ac:dyDescent="0.3">
      <c r="A2286" s="7" t="s">
        <v>2653</v>
      </c>
      <c r="B2286" s="7" t="s">
        <v>28</v>
      </c>
      <c r="C2286" s="7" t="s">
        <v>353</v>
      </c>
      <c r="D2286" s="9">
        <v>46069</v>
      </c>
      <c r="E2286" s="9">
        <v>46099</v>
      </c>
      <c r="F2286" s="3">
        <v>2522.48</v>
      </c>
      <c r="G2286" s="7" t="s">
        <v>367</v>
      </c>
    </row>
    <row r="2287" spans="1:7" x14ac:dyDescent="0.3">
      <c r="A2287" s="7" t="s">
        <v>2654</v>
      </c>
      <c r="B2287" s="7" t="s">
        <v>98</v>
      </c>
      <c r="C2287" s="7" t="s">
        <v>351</v>
      </c>
      <c r="D2287" s="9">
        <v>46044</v>
      </c>
      <c r="E2287" s="9">
        <v>46074</v>
      </c>
      <c r="F2287" s="3">
        <v>4580.3900000000003</v>
      </c>
      <c r="G2287" s="7" t="s">
        <v>369</v>
      </c>
    </row>
    <row r="2288" spans="1:7" x14ac:dyDescent="0.3">
      <c r="A2288" s="7" t="s">
        <v>2655</v>
      </c>
      <c r="B2288" s="7" t="s">
        <v>49</v>
      </c>
      <c r="C2288" s="7" t="s">
        <v>353</v>
      </c>
      <c r="D2288" s="9">
        <v>46015</v>
      </c>
      <c r="E2288" s="9">
        <v>46045</v>
      </c>
      <c r="F2288" s="3">
        <v>2519.38</v>
      </c>
      <c r="G2288" s="7" t="s">
        <v>367</v>
      </c>
    </row>
    <row r="2289" spans="1:7" x14ac:dyDescent="0.3">
      <c r="A2289" s="7" t="s">
        <v>2656</v>
      </c>
      <c r="B2289" s="7" t="s">
        <v>98</v>
      </c>
      <c r="C2289" s="7" t="s">
        <v>359</v>
      </c>
      <c r="D2289" s="9">
        <v>45995</v>
      </c>
      <c r="E2289" s="9">
        <v>46025</v>
      </c>
      <c r="F2289" s="3">
        <v>1958.49</v>
      </c>
      <c r="G2289" s="7" t="s">
        <v>367</v>
      </c>
    </row>
    <row r="2290" spans="1:7" x14ac:dyDescent="0.3">
      <c r="A2290" s="7" t="s">
        <v>2657</v>
      </c>
      <c r="B2290" s="7" t="s">
        <v>15</v>
      </c>
      <c r="C2290" s="7" t="s">
        <v>355</v>
      </c>
      <c r="D2290" s="9">
        <v>46037</v>
      </c>
      <c r="E2290" s="9">
        <v>46067</v>
      </c>
      <c r="F2290" s="3">
        <v>9647.14</v>
      </c>
      <c r="G2290" s="7" t="s">
        <v>367</v>
      </c>
    </row>
    <row r="2291" spans="1:7" x14ac:dyDescent="0.3">
      <c r="A2291" s="7" t="s">
        <v>2658</v>
      </c>
      <c r="B2291" s="7" t="s">
        <v>75</v>
      </c>
      <c r="C2291" s="7" t="s">
        <v>349</v>
      </c>
      <c r="D2291" s="9">
        <v>46040</v>
      </c>
      <c r="E2291" s="9">
        <v>46070</v>
      </c>
      <c r="F2291" s="3">
        <v>2774.21</v>
      </c>
      <c r="G2291" s="7" t="s">
        <v>367</v>
      </c>
    </row>
    <row r="2292" spans="1:7" x14ac:dyDescent="0.3">
      <c r="A2292" s="7" t="s">
        <v>2659</v>
      </c>
      <c r="B2292" s="7" t="s">
        <v>27</v>
      </c>
      <c r="C2292" s="7" t="s">
        <v>355</v>
      </c>
      <c r="D2292" s="9">
        <v>45986</v>
      </c>
      <c r="E2292" s="9">
        <v>46016</v>
      </c>
      <c r="F2292" s="3">
        <v>11188.97</v>
      </c>
      <c r="G2292" s="7" t="s">
        <v>367</v>
      </c>
    </row>
    <row r="2293" spans="1:7" x14ac:dyDescent="0.3">
      <c r="A2293" s="7" t="s">
        <v>2660</v>
      </c>
      <c r="B2293" s="7" t="s">
        <v>8</v>
      </c>
      <c r="C2293" s="7" t="s">
        <v>349</v>
      </c>
      <c r="D2293" s="9">
        <v>45990</v>
      </c>
      <c r="E2293" s="9">
        <v>46020</v>
      </c>
      <c r="F2293" s="3">
        <v>2820.54</v>
      </c>
      <c r="G2293" s="7" t="s">
        <v>367</v>
      </c>
    </row>
    <row r="2294" spans="1:7" x14ac:dyDescent="0.3">
      <c r="A2294" s="7" t="s">
        <v>2661</v>
      </c>
      <c r="B2294" s="7" t="s">
        <v>46</v>
      </c>
      <c r="C2294" s="7" t="s">
        <v>351</v>
      </c>
      <c r="D2294" s="9">
        <v>45992</v>
      </c>
      <c r="E2294" s="9">
        <v>46022</v>
      </c>
      <c r="F2294" s="3">
        <v>4549.16</v>
      </c>
      <c r="G2294" s="7" t="s">
        <v>367</v>
      </c>
    </row>
    <row r="2295" spans="1:7" x14ac:dyDescent="0.3">
      <c r="A2295" s="7" t="s">
        <v>2662</v>
      </c>
      <c r="B2295" s="7" t="s">
        <v>89</v>
      </c>
      <c r="C2295" s="7" t="s">
        <v>353</v>
      </c>
      <c r="D2295" s="9">
        <v>46042</v>
      </c>
      <c r="E2295" s="9">
        <v>46072</v>
      </c>
      <c r="F2295" s="3">
        <v>2624.5</v>
      </c>
      <c r="G2295" s="7" t="s">
        <v>367</v>
      </c>
    </row>
    <row r="2296" spans="1:7" x14ac:dyDescent="0.3">
      <c r="A2296" s="7" t="s">
        <v>2663</v>
      </c>
      <c r="B2296" s="7" t="s">
        <v>34</v>
      </c>
      <c r="C2296" s="7" t="s">
        <v>359</v>
      </c>
      <c r="D2296" s="9">
        <v>46095</v>
      </c>
      <c r="E2296" s="9">
        <v>46125</v>
      </c>
      <c r="F2296" s="3">
        <v>1585.86</v>
      </c>
      <c r="G2296" s="7" t="s">
        <v>367</v>
      </c>
    </row>
    <row r="2297" spans="1:7" x14ac:dyDescent="0.3">
      <c r="A2297" s="7" t="s">
        <v>2664</v>
      </c>
      <c r="B2297" s="7" t="s">
        <v>73</v>
      </c>
      <c r="C2297" s="7" t="s">
        <v>353</v>
      </c>
      <c r="D2297" s="9">
        <v>45974</v>
      </c>
      <c r="E2297" s="9">
        <v>46004</v>
      </c>
      <c r="F2297" s="3">
        <v>2178.33</v>
      </c>
      <c r="G2297" s="7" t="s">
        <v>367</v>
      </c>
    </row>
    <row r="2298" spans="1:7" x14ac:dyDescent="0.3">
      <c r="A2298" s="7" t="s">
        <v>2665</v>
      </c>
      <c r="B2298" s="7" t="s">
        <v>116</v>
      </c>
      <c r="C2298" s="7" t="s">
        <v>357</v>
      </c>
      <c r="D2298" s="9">
        <v>46079</v>
      </c>
      <c r="E2298" s="9">
        <v>46109</v>
      </c>
      <c r="F2298" s="3">
        <v>3702.76</v>
      </c>
      <c r="G2298" s="7" t="s">
        <v>367</v>
      </c>
    </row>
    <row r="2299" spans="1:7" x14ac:dyDescent="0.3">
      <c r="A2299" s="7" t="s">
        <v>2666</v>
      </c>
      <c r="B2299" s="7" t="s">
        <v>92</v>
      </c>
      <c r="C2299" s="7" t="s">
        <v>357</v>
      </c>
      <c r="D2299" s="9">
        <v>46030</v>
      </c>
      <c r="E2299" s="9">
        <v>46060</v>
      </c>
      <c r="F2299" s="3">
        <v>3646.69</v>
      </c>
      <c r="G2299" s="7" t="s">
        <v>369</v>
      </c>
    </row>
    <row r="2300" spans="1:7" x14ac:dyDescent="0.3">
      <c r="A2300" s="7" t="s">
        <v>2667</v>
      </c>
      <c r="B2300" s="7" t="s">
        <v>18</v>
      </c>
      <c r="C2300" s="7" t="s">
        <v>355</v>
      </c>
      <c r="D2300" s="9">
        <v>46070</v>
      </c>
      <c r="E2300" s="9">
        <v>46100</v>
      </c>
      <c r="F2300" s="3">
        <v>10604.67</v>
      </c>
      <c r="G2300" s="7" t="s">
        <v>387</v>
      </c>
    </row>
    <row r="2301" spans="1:7" x14ac:dyDescent="0.3">
      <c r="A2301" s="7" t="s">
        <v>2668</v>
      </c>
      <c r="B2301" s="7" t="s">
        <v>48</v>
      </c>
      <c r="C2301" s="7" t="s">
        <v>357</v>
      </c>
      <c r="D2301" s="9">
        <v>46030</v>
      </c>
      <c r="E2301" s="9">
        <v>46060</v>
      </c>
      <c r="F2301" s="3">
        <v>3005.09</v>
      </c>
      <c r="G2301" s="7" t="s">
        <v>369</v>
      </c>
    </row>
    <row r="2302" spans="1:7" x14ac:dyDescent="0.3">
      <c r="A2302" s="7" t="s">
        <v>2669</v>
      </c>
      <c r="B2302" s="7" t="s">
        <v>63</v>
      </c>
      <c r="C2302" s="7" t="s">
        <v>349</v>
      </c>
      <c r="D2302" s="9">
        <v>45998</v>
      </c>
      <c r="E2302" s="9">
        <v>46028</v>
      </c>
      <c r="F2302" s="3">
        <v>3475.14</v>
      </c>
      <c r="G2302" s="7" t="s">
        <v>367</v>
      </c>
    </row>
    <row r="2303" spans="1:7" x14ac:dyDescent="0.3">
      <c r="A2303" s="7" t="s">
        <v>2670</v>
      </c>
      <c r="B2303" s="7" t="s">
        <v>22</v>
      </c>
      <c r="C2303" s="7" t="s">
        <v>355</v>
      </c>
      <c r="D2303" s="9">
        <v>46002</v>
      </c>
      <c r="E2303" s="9">
        <v>46032</v>
      </c>
      <c r="F2303" s="3">
        <v>12791.24</v>
      </c>
      <c r="G2303" s="7" t="s">
        <v>367</v>
      </c>
    </row>
    <row r="2304" spans="1:7" x14ac:dyDescent="0.3">
      <c r="A2304" s="7" t="s">
        <v>2671</v>
      </c>
      <c r="B2304" s="7" t="s">
        <v>52</v>
      </c>
      <c r="C2304" s="7" t="s">
        <v>351</v>
      </c>
      <c r="D2304" s="9">
        <v>46112</v>
      </c>
      <c r="E2304" s="9">
        <v>46142</v>
      </c>
      <c r="F2304" s="3">
        <v>5120.29</v>
      </c>
      <c r="G2304" s="7" t="s">
        <v>367</v>
      </c>
    </row>
    <row r="2305" spans="1:7" x14ac:dyDescent="0.3">
      <c r="A2305" s="7" t="s">
        <v>2672</v>
      </c>
      <c r="B2305" s="7" t="s">
        <v>84</v>
      </c>
      <c r="C2305" s="7" t="s">
        <v>353</v>
      </c>
      <c r="D2305" s="9">
        <v>46046</v>
      </c>
      <c r="E2305" s="9">
        <v>46076</v>
      </c>
      <c r="F2305" s="3">
        <v>2838.65</v>
      </c>
      <c r="G2305" s="7" t="s">
        <v>367</v>
      </c>
    </row>
    <row r="2306" spans="1:7" x14ac:dyDescent="0.3">
      <c r="A2306" s="7" t="s">
        <v>2673</v>
      </c>
      <c r="B2306" s="7" t="s">
        <v>114</v>
      </c>
      <c r="C2306" s="7" t="s">
        <v>351</v>
      </c>
      <c r="D2306" s="9">
        <v>46088</v>
      </c>
      <c r="E2306" s="9">
        <v>46118</v>
      </c>
      <c r="F2306" s="3">
        <v>5910.72</v>
      </c>
      <c r="G2306" s="7" t="s">
        <v>367</v>
      </c>
    </row>
    <row r="2307" spans="1:7" x14ac:dyDescent="0.3">
      <c r="A2307" s="7" t="s">
        <v>2674</v>
      </c>
      <c r="B2307" s="7" t="s">
        <v>94</v>
      </c>
      <c r="C2307" s="7" t="s">
        <v>355</v>
      </c>
      <c r="D2307" s="9">
        <v>46066</v>
      </c>
      <c r="E2307" s="9">
        <v>46096</v>
      </c>
      <c r="F2307" s="3">
        <v>12290.33</v>
      </c>
      <c r="G2307" s="7" t="s">
        <v>369</v>
      </c>
    </row>
    <row r="2308" spans="1:7" x14ac:dyDescent="0.3">
      <c r="A2308" s="7" t="s">
        <v>2675</v>
      </c>
      <c r="B2308" s="7" t="s">
        <v>10</v>
      </c>
      <c r="C2308" s="7" t="s">
        <v>349</v>
      </c>
      <c r="D2308" s="9">
        <v>45990</v>
      </c>
      <c r="E2308" s="9">
        <v>46020</v>
      </c>
      <c r="F2308" s="3">
        <v>3069.49</v>
      </c>
      <c r="G2308" s="7" t="s">
        <v>367</v>
      </c>
    </row>
    <row r="2309" spans="1:7" x14ac:dyDescent="0.3">
      <c r="A2309" s="7" t="s">
        <v>2676</v>
      </c>
      <c r="B2309" s="7" t="s">
        <v>61</v>
      </c>
      <c r="C2309" s="7" t="s">
        <v>353</v>
      </c>
      <c r="D2309" s="9">
        <v>45997</v>
      </c>
      <c r="E2309" s="9">
        <v>46027</v>
      </c>
      <c r="F2309" s="3">
        <v>2855.37</v>
      </c>
      <c r="G2309" s="7" t="s">
        <v>367</v>
      </c>
    </row>
    <row r="2310" spans="1:7" x14ac:dyDescent="0.3">
      <c r="A2310" s="7" t="s">
        <v>2677</v>
      </c>
      <c r="B2310" s="7" t="s">
        <v>29</v>
      </c>
      <c r="C2310" s="7" t="s">
        <v>351</v>
      </c>
      <c r="D2310" s="9">
        <v>46101</v>
      </c>
      <c r="E2310" s="9">
        <v>46131</v>
      </c>
      <c r="F2310" s="3">
        <v>5233.95</v>
      </c>
      <c r="G2310" s="7" t="s">
        <v>367</v>
      </c>
    </row>
    <row r="2311" spans="1:7" x14ac:dyDescent="0.3">
      <c r="A2311" s="7" t="s">
        <v>2678</v>
      </c>
      <c r="B2311" s="7" t="s">
        <v>31</v>
      </c>
      <c r="C2311" s="7" t="s">
        <v>359</v>
      </c>
      <c r="D2311" s="9">
        <v>46002</v>
      </c>
      <c r="E2311" s="9">
        <v>46032</v>
      </c>
      <c r="F2311" s="3">
        <v>2156.7199999999998</v>
      </c>
      <c r="G2311" s="7" t="s">
        <v>367</v>
      </c>
    </row>
    <row r="2312" spans="1:7" x14ac:dyDescent="0.3">
      <c r="A2312" s="7" t="s">
        <v>2679</v>
      </c>
      <c r="B2312" s="7" t="s">
        <v>124</v>
      </c>
      <c r="C2312" s="7" t="s">
        <v>349</v>
      </c>
      <c r="D2312" s="9">
        <v>45992</v>
      </c>
      <c r="E2312" s="9">
        <v>46022</v>
      </c>
      <c r="F2312" s="3">
        <v>3103.43</v>
      </c>
      <c r="G2312" s="7" t="s">
        <v>369</v>
      </c>
    </row>
    <row r="2313" spans="1:7" x14ac:dyDescent="0.3">
      <c r="A2313" s="7" t="s">
        <v>2680</v>
      </c>
      <c r="B2313" s="7" t="s">
        <v>89</v>
      </c>
      <c r="C2313" s="7" t="s">
        <v>353</v>
      </c>
      <c r="D2313" s="9">
        <v>46099</v>
      </c>
      <c r="E2313" s="9">
        <v>46129</v>
      </c>
      <c r="F2313" s="3">
        <v>2502.79</v>
      </c>
      <c r="G2313" s="7" t="s">
        <v>367</v>
      </c>
    </row>
    <row r="2314" spans="1:7" x14ac:dyDescent="0.3">
      <c r="A2314" s="7" t="s">
        <v>2681</v>
      </c>
      <c r="B2314" s="7" t="s">
        <v>97</v>
      </c>
      <c r="C2314" s="7" t="s">
        <v>353</v>
      </c>
      <c r="D2314" s="9">
        <v>46030</v>
      </c>
      <c r="E2314" s="9">
        <v>46060</v>
      </c>
      <c r="F2314" s="3">
        <v>2641.67</v>
      </c>
      <c r="G2314" s="7" t="s">
        <v>387</v>
      </c>
    </row>
    <row r="2315" spans="1:7" x14ac:dyDescent="0.3">
      <c r="A2315" s="7" t="s">
        <v>2682</v>
      </c>
      <c r="B2315" s="7" t="s">
        <v>117</v>
      </c>
      <c r="C2315" s="7" t="s">
        <v>353</v>
      </c>
      <c r="D2315" s="9">
        <v>46077</v>
      </c>
      <c r="E2315" s="9">
        <v>46107</v>
      </c>
      <c r="F2315" s="3">
        <v>2274.17</v>
      </c>
      <c r="G2315" s="7" t="s">
        <v>369</v>
      </c>
    </row>
    <row r="2316" spans="1:7" x14ac:dyDescent="0.3">
      <c r="A2316" s="7" t="s">
        <v>2683</v>
      </c>
      <c r="B2316" s="7" t="s">
        <v>29</v>
      </c>
      <c r="C2316" s="7" t="s">
        <v>359</v>
      </c>
      <c r="D2316" s="9">
        <v>46101</v>
      </c>
      <c r="E2316" s="9">
        <v>46131</v>
      </c>
      <c r="F2316" s="3">
        <v>2107.85</v>
      </c>
      <c r="G2316" s="7" t="s">
        <v>367</v>
      </c>
    </row>
    <row r="2317" spans="1:7" x14ac:dyDescent="0.3">
      <c r="A2317" s="7" t="s">
        <v>2684</v>
      </c>
      <c r="B2317" s="7" t="s">
        <v>11</v>
      </c>
      <c r="C2317" s="7" t="s">
        <v>355</v>
      </c>
      <c r="D2317" s="9">
        <v>46026</v>
      </c>
      <c r="E2317" s="9">
        <v>46056</v>
      </c>
      <c r="F2317" s="3">
        <v>13199.69</v>
      </c>
      <c r="G2317" s="7" t="s">
        <v>369</v>
      </c>
    </row>
    <row r="2318" spans="1:7" x14ac:dyDescent="0.3">
      <c r="A2318" s="7" t="s">
        <v>2685</v>
      </c>
      <c r="B2318" s="7" t="s">
        <v>29</v>
      </c>
      <c r="C2318" s="7" t="s">
        <v>353</v>
      </c>
      <c r="D2318" s="9">
        <v>45997</v>
      </c>
      <c r="E2318" s="9">
        <v>46027</v>
      </c>
      <c r="F2318" s="3">
        <v>2028.84</v>
      </c>
      <c r="G2318" s="7" t="s">
        <v>367</v>
      </c>
    </row>
    <row r="2319" spans="1:7" x14ac:dyDescent="0.3">
      <c r="A2319" s="7" t="s">
        <v>2686</v>
      </c>
      <c r="B2319" s="7" t="s">
        <v>88</v>
      </c>
      <c r="C2319" s="7" t="s">
        <v>351</v>
      </c>
      <c r="D2319" s="9">
        <v>46074</v>
      </c>
      <c r="E2319" s="9">
        <v>46104</v>
      </c>
      <c r="F2319" s="3">
        <v>4165.6499999999996</v>
      </c>
      <c r="G2319" s="7" t="s">
        <v>367</v>
      </c>
    </row>
    <row r="2320" spans="1:7" x14ac:dyDescent="0.3">
      <c r="A2320" s="7" t="s">
        <v>2687</v>
      </c>
      <c r="B2320" s="7" t="s">
        <v>116</v>
      </c>
      <c r="C2320" s="7" t="s">
        <v>359</v>
      </c>
      <c r="D2320" s="9">
        <v>45992</v>
      </c>
      <c r="E2320" s="9">
        <v>46022</v>
      </c>
      <c r="F2320" s="3">
        <v>1484.87</v>
      </c>
      <c r="G2320" s="7" t="s">
        <v>367</v>
      </c>
    </row>
    <row r="2321" spans="1:7" x14ac:dyDescent="0.3">
      <c r="A2321" s="7" t="s">
        <v>2688</v>
      </c>
      <c r="B2321" s="7" t="s">
        <v>93</v>
      </c>
      <c r="C2321" s="7" t="s">
        <v>351</v>
      </c>
      <c r="D2321" s="9">
        <v>46061</v>
      </c>
      <c r="E2321" s="9">
        <v>46091</v>
      </c>
      <c r="F2321" s="3">
        <v>5310.21</v>
      </c>
      <c r="G2321" s="7" t="s">
        <v>367</v>
      </c>
    </row>
    <row r="2322" spans="1:7" x14ac:dyDescent="0.3">
      <c r="A2322" s="7" t="s">
        <v>2689</v>
      </c>
      <c r="B2322" s="7" t="s">
        <v>53</v>
      </c>
      <c r="C2322" s="7" t="s">
        <v>353</v>
      </c>
      <c r="D2322" s="9">
        <v>46011</v>
      </c>
      <c r="E2322" s="9">
        <v>46041</v>
      </c>
      <c r="F2322" s="3">
        <v>2897.74</v>
      </c>
      <c r="G2322" s="7" t="s">
        <v>367</v>
      </c>
    </row>
    <row r="2323" spans="1:7" x14ac:dyDescent="0.3">
      <c r="A2323" s="7" t="s">
        <v>2690</v>
      </c>
      <c r="B2323" s="7" t="s">
        <v>92</v>
      </c>
      <c r="C2323" s="7" t="s">
        <v>357</v>
      </c>
      <c r="D2323" s="9">
        <v>45987</v>
      </c>
      <c r="E2323" s="9">
        <v>46017</v>
      </c>
      <c r="F2323" s="3">
        <v>2819.84</v>
      </c>
      <c r="G2323" s="7" t="s">
        <v>367</v>
      </c>
    </row>
    <row r="2324" spans="1:7" x14ac:dyDescent="0.3">
      <c r="A2324" s="7" t="s">
        <v>2691</v>
      </c>
      <c r="B2324" s="7" t="s">
        <v>41</v>
      </c>
      <c r="C2324" s="7" t="s">
        <v>359</v>
      </c>
      <c r="D2324" s="9">
        <v>46055</v>
      </c>
      <c r="E2324" s="9">
        <v>46085</v>
      </c>
      <c r="F2324" s="3">
        <v>1484.27</v>
      </c>
      <c r="G2324" s="7" t="s">
        <v>367</v>
      </c>
    </row>
    <row r="2325" spans="1:7" x14ac:dyDescent="0.3">
      <c r="A2325" s="7" t="s">
        <v>2692</v>
      </c>
      <c r="B2325" s="7" t="s">
        <v>95</v>
      </c>
      <c r="C2325" s="7" t="s">
        <v>349</v>
      </c>
      <c r="D2325" s="9">
        <v>46046</v>
      </c>
      <c r="E2325" s="9">
        <v>46076</v>
      </c>
      <c r="F2325" s="3">
        <v>2607.1</v>
      </c>
      <c r="G2325" s="7" t="s">
        <v>367</v>
      </c>
    </row>
    <row r="2326" spans="1:7" x14ac:dyDescent="0.3">
      <c r="A2326" s="7" t="s">
        <v>2693</v>
      </c>
      <c r="B2326" s="7" t="s">
        <v>7</v>
      </c>
      <c r="C2326" s="7" t="s">
        <v>357</v>
      </c>
      <c r="D2326" s="9">
        <v>46075</v>
      </c>
      <c r="E2326" s="9">
        <v>46105</v>
      </c>
      <c r="F2326" s="3">
        <v>3372.95</v>
      </c>
      <c r="G2326" s="7" t="s">
        <v>369</v>
      </c>
    </row>
    <row r="2327" spans="1:7" x14ac:dyDescent="0.3">
      <c r="A2327" s="7" t="s">
        <v>2694</v>
      </c>
      <c r="B2327" s="7" t="s">
        <v>79</v>
      </c>
      <c r="C2327" s="7" t="s">
        <v>353</v>
      </c>
      <c r="D2327" s="9">
        <v>46083</v>
      </c>
      <c r="E2327" s="9">
        <v>46113</v>
      </c>
      <c r="F2327" s="3">
        <v>2273.7600000000002</v>
      </c>
      <c r="G2327" s="7" t="s">
        <v>367</v>
      </c>
    </row>
    <row r="2328" spans="1:7" x14ac:dyDescent="0.3">
      <c r="A2328" s="7" t="s">
        <v>2695</v>
      </c>
      <c r="B2328" s="7" t="s">
        <v>18</v>
      </c>
      <c r="C2328" s="7" t="s">
        <v>359</v>
      </c>
      <c r="D2328" s="9">
        <v>45991</v>
      </c>
      <c r="E2328" s="9">
        <v>46021</v>
      </c>
      <c r="F2328" s="3">
        <v>1501.99</v>
      </c>
      <c r="G2328" s="7" t="s">
        <v>367</v>
      </c>
    </row>
    <row r="2329" spans="1:7" x14ac:dyDescent="0.3">
      <c r="A2329" s="7" t="s">
        <v>2696</v>
      </c>
      <c r="B2329" s="7" t="s">
        <v>9</v>
      </c>
      <c r="C2329" s="7" t="s">
        <v>351</v>
      </c>
      <c r="D2329" s="9">
        <v>46001</v>
      </c>
      <c r="E2329" s="9">
        <v>46031</v>
      </c>
      <c r="F2329" s="3">
        <v>5459.1</v>
      </c>
      <c r="G2329" s="7" t="s">
        <v>367</v>
      </c>
    </row>
    <row r="2330" spans="1:7" x14ac:dyDescent="0.3">
      <c r="A2330" s="7" t="s">
        <v>2697</v>
      </c>
      <c r="B2330" s="7" t="s">
        <v>17</v>
      </c>
      <c r="C2330" s="7" t="s">
        <v>351</v>
      </c>
      <c r="D2330" s="9">
        <v>45971</v>
      </c>
      <c r="E2330" s="9">
        <v>46001</v>
      </c>
      <c r="F2330" s="3">
        <v>5577.47</v>
      </c>
      <c r="G2330" s="7" t="s">
        <v>367</v>
      </c>
    </row>
    <row r="2331" spans="1:7" x14ac:dyDescent="0.3">
      <c r="A2331" s="7" t="s">
        <v>2698</v>
      </c>
      <c r="B2331" s="7" t="s">
        <v>122</v>
      </c>
      <c r="C2331" s="7" t="s">
        <v>359</v>
      </c>
      <c r="D2331" s="9">
        <v>45993</v>
      </c>
      <c r="E2331" s="9">
        <v>46023</v>
      </c>
      <c r="F2331" s="3">
        <v>2119.13</v>
      </c>
      <c r="G2331" s="7" t="s">
        <v>367</v>
      </c>
    </row>
    <row r="2332" spans="1:7" x14ac:dyDescent="0.3">
      <c r="A2332" s="7" t="s">
        <v>2699</v>
      </c>
      <c r="B2332" s="7" t="s">
        <v>55</v>
      </c>
      <c r="C2332" s="7" t="s">
        <v>351</v>
      </c>
      <c r="D2332" s="9">
        <v>46080</v>
      </c>
      <c r="E2332" s="9">
        <v>46110</v>
      </c>
      <c r="F2332" s="3">
        <v>5494.82</v>
      </c>
      <c r="G2332" s="7" t="s">
        <v>367</v>
      </c>
    </row>
    <row r="2333" spans="1:7" x14ac:dyDescent="0.3">
      <c r="A2333" s="7" t="s">
        <v>2700</v>
      </c>
      <c r="B2333" s="7" t="s">
        <v>59</v>
      </c>
      <c r="C2333" s="7" t="s">
        <v>359</v>
      </c>
      <c r="D2333" s="9">
        <v>46083</v>
      </c>
      <c r="E2333" s="9">
        <v>46113</v>
      </c>
      <c r="F2333" s="3">
        <v>1646.7</v>
      </c>
      <c r="G2333" s="7" t="s">
        <v>367</v>
      </c>
    </row>
    <row r="2334" spans="1:7" x14ac:dyDescent="0.3">
      <c r="A2334" s="7" t="s">
        <v>2701</v>
      </c>
      <c r="B2334" s="7" t="s">
        <v>44</v>
      </c>
      <c r="C2334" s="7" t="s">
        <v>351</v>
      </c>
      <c r="D2334" s="9">
        <v>46068</v>
      </c>
      <c r="E2334" s="9">
        <v>46098</v>
      </c>
      <c r="F2334" s="3">
        <v>5670.55</v>
      </c>
      <c r="G2334" s="7" t="s">
        <v>367</v>
      </c>
    </row>
    <row r="2335" spans="1:7" x14ac:dyDescent="0.3">
      <c r="A2335" s="7" t="s">
        <v>2702</v>
      </c>
      <c r="B2335" s="7" t="s">
        <v>81</v>
      </c>
      <c r="C2335" s="7" t="s">
        <v>353</v>
      </c>
      <c r="D2335" s="9">
        <v>46086</v>
      </c>
      <c r="E2335" s="9">
        <v>46116</v>
      </c>
      <c r="F2335" s="3">
        <v>2697.56</v>
      </c>
      <c r="G2335" s="7" t="s">
        <v>367</v>
      </c>
    </row>
    <row r="2336" spans="1:7" x14ac:dyDescent="0.3">
      <c r="A2336" s="7" t="s">
        <v>2703</v>
      </c>
      <c r="B2336" s="7" t="s">
        <v>87</v>
      </c>
      <c r="C2336" s="7" t="s">
        <v>353</v>
      </c>
      <c r="D2336" s="9">
        <v>46078</v>
      </c>
      <c r="E2336" s="9">
        <v>46108</v>
      </c>
      <c r="F2336" s="3">
        <v>2348.86</v>
      </c>
      <c r="G2336" s="7" t="s">
        <v>367</v>
      </c>
    </row>
    <row r="2337" spans="1:7" x14ac:dyDescent="0.3">
      <c r="A2337" s="7" t="s">
        <v>2704</v>
      </c>
      <c r="B2337" s="7" t="s">
        <v>75</v>
      </c>
      <c r="C2337" s="7" t="s">
        <v>359</v>
      </c>
      <c r="D2337" s="9">
        <v>46090</v>
      </c>
      <c r="E2337" s="9">
        <v>46120</v>
      </c>
      <c r="F2337" s="3">
        <v>2038.85</v>
      </c>
      <c r="G2337" s="7" t="s">
        <v>367</v>
      </c>
    </row>
    <row r="2338" spans="1:7" x14ac:dyDescent="0.3">
      <c r="A2338" s="7" t="s">
        <v>2705</v>
      </c>
      <c r="B2338" s="7" t="s">
        <v>110</v>
      </c>
      <c r="C2338" s="7" t="s">
        <v>357</v>
      </c>
      <c r="D2338" s="9">
        <v>46090</v>
      </c>
      <c r="E2338" s="9">
        <v>46120</v>
      </c>
      <c r="F2338" s="3">
        <v>3094.93</v>
      </c>
      <c r="G2338" s="7" t="s">
        <v>367</v>
      </c>
    </row>
    <row r="2339" spans="1:7" x14ac:dyDescent="0.3">
      <c r="A2339" s="7" t="s">
        <v>2706</v>
      </c>
      <c r="B2339" s="7" t="s">
        <v>71</v>
      </c>
      <c r="C2339" s="7" t="s">
        <v>359</v>
      </c>
      <c r="D2339" s="9">
        <v>46016</v>
      </c>
      <c r="E2339" s="9">
        <v>46046</v>
      </c>
      <c r="F2339" s="3">
        <v>2013.32</v>
      </c>
      <c r="G2339" s="7" t="s">
        <v>367</v>
      </c>
    </row>
    <row r="2340" spans="1:7" x14ac:dyDescent="0.3">
      <c r="A2340" s="7" t="s">
        <v>2707</v>
      </c>
      <c r="B2340" s="7" t="s">
        <v>105</v>
      </c>
      <c r="C2340" s="7" t="s">
        <v>357</v>
      </c>
      <c r="D2340" s="9">
        <v>46000</v>
      </c>
      <c r="E2340" s="9">
        <v>46030</v>
      </c>
      <c r="F2340" s="3">
        <v>3961.8</v>
      </c>
      <c r="G2340" s="7" t="s">
        <v>367</v>
      </c>
    </row>
    <row r="2341" spans="1:7" x14ac:dyDescent="0.3">
      <c r="A2341" s="7" t="s">
        <v>2708</v>
      </c>
      <c r="B2341" s="7" t="s">
        <v>21</v>
      </c>
      <c r="C2341" s="7" t="s">
        <v>351</v>
      </c>
      <c r="D2341" s="9">
        <v>46085</v>
      </c>
      <c r="E2341" s="9">
        <v>46115</v>
      </c>
      <c r="F2341" s="3">
        <v>4516.43</v>
      </c>
      <c r="G2341" s="7" t="s">
        <v>367</v>
      </c>
    </row>
    <row r="2342" spans="1:7" x14ac:dyDescent="0.3">
      <c r="A2342" s="7" t="s">
        <v>2709</v>
      </c>
      <c r="B2342" s="7" t="s">
        <v>82</v>
      </c>
      <c r="C2342" s="7" t="s">
        <v>357</v>
      </c>
      <c r="D2342" s="9">
        <v>45975</v>
      </c>
      <c r="E2342" s="9">
        <v>46005</v>
      </c>
      <c r="F2342" s="3">
        <v>3721.67</v>
      </c>
      <c r="G2342" s="7" t="s">
        <v>367</v>
      </c>
    </row>
    <row r="2343" spans="1:7" x14ac:dyDescent="0.3">
      <c r="A2343" s="7" t="s">
        <v>2710</v>
      </c>
      <c r="B2343" s="7" t="s">
        <v>11</v>
      </c>
      <c r="C2343" s="7" t="s">
        <v>353</v>
      </c>
      <c r="D2343" s="9">
        <v>46111</v>
      </c>
      <c r="E2343" s="9">
        <v>46141</v>
      </c>
      <c r="F2343" s="3">
        <v>2372.2800000000002</v>
      </c>
      <c r="G2343" s="7" t="s">
        <v>367</v>
      </c>
    </row>
    <row r="2344" spans="1:7" x14ac:dyDescent="0.3">
      <c r="A2344" s="7" t="s">
        <v>2711</v>
      </c>
      <c r="B2344" s="7" t="s">
        <v>8</v>
      </c>
      <c r="C2344" s="7" t="s">
        <v>353</v>
      </c>
      <c r="D2344" s="9">
        <v>45998</v>
      </c>
      <c r="E2344" s="9">
        <v>46028</v>
      </c>
      <c r="F2344" s="3">
        <v>2701.29</v>
      </c>
      <c r="G2344" s="7" t="s">
        <v>369</v>
      </c>
    </row>
    <row r="2345" spans="1:7" x14ac:dyDescent="0.3">
      <c r="A2345" s="7" t="s">
        <v>2712</v>
      </c>
      <c r="B2345" s="7" t="s">
        <v>19</v>
      </c>
      <c r="C2345" s="7" t="s">
        <v>351</v>
      </c>
      <c r="D2345" s="9">
        <v>46037</v>
      </c>
      <c r="E2345" s="9">
        <v>46067</v>
      </c>
      <c r="F2345" s="3">
        <v>4842.82</v>
      </c>
      <c r="G2345" s="7" t="s">
        <v>367</v>
      </c>
    </row>
    <row r="2346" spans="1:7" x14ac:dyDescent="0.3">
      <c r="A2346" s="7" t="s">
        <v>2713</v>
      </c>
      <c r="B2346" s="7" t="s">
        <v>30</v>
      </c>
      <c r="C2346" s="7" t="s">
        <v>351</v>
      </c>
      <c r="D2346" s="9">
        <v>46013</v>
      </c>
      <c r="E2346" s="9">
        <v>46043</v>
      </c>
      <c r="F2346" s="3">
        <v>5826.3</v>
      </c>
      <c r="G2346" s="7" t="s">
        <v>367</v>
      </c>
    </row>
    <row r="2347" spans="1:7" x14ac:dyDescent="0.3">
      <c r="A2347" s="7" t="s">
        <v>2714</v>
      </c>
      <c r="B2347" s="7" t="s">
        <v>95</v>
      </c>
      <c r="C2347" s="7" t="s">
        <v>349</v>
      </c>
      <c r="D2347" s="9">
        <v>46110</v>
      </c>
      <c r="E2347" s="9">
        <v>46140</v>
      </c>
      <c r="F2347" s="3">
        <v>2926.81</v>
      </c>
      <c r="G2347" s="7" t="s">
        <v>367</v>
      </c>
    </row>
    <row r="2348" spans="1:7" x14ac:dyDescent="0.3">
      <c r="A2348" s="7" t="s">
        <v>2715</v>
      </c>
      <c r="B2348" s="7" t="s">
        <v>54</v>
      </c>
      <c r="C2348" s="7" t="s">
        <v>355</v>
      </c>
      <c r="D2348" s="9">
        <v>46108</v>
      </c>
      <c r="E2348" s="9">
        <v>46138</v>
      </c>
      <c r="F2348" s="3">
        <v>13108.58</v>
      </c>
      <c r="G2348" s="7" t="s">
        <v>367</v>
      </c>
    </row>
    <row r="2349" spans="1:7" x14ac:dyDescent="0.3">
      <c r="A2349" s="7" t="s">
        <v>2716</v>
      </c>
      <c r="B2349" s="7" t="s">
        <v>119</v>
      </c>
      <c r="C2349" s="7" t="s">
        <v>357</v>
      </c>
      <c r="D2349" s="9">
        <v>46085</v>
      </c>
      <c r="E2349" s="9">
        <v>46115</v>
      </c>
      <c r="F2349" s="3">
        <v>3273.03</v>
      </c>
      <c r="G2349" s="7" t="s">
        <v>367</v>
      </c>
    </row>
    <row r="2350" spans="1:7" x14ac:dyDescent="0.3">
      <c r="A2350" s="7" t="s">
        <v>2717</v>
      </c>
      <c r="B2350" s="7" t="s">
        <v>106</v>
      </c>
      <c r="C2350" s="7" t="s">
        <v>351</v>
      </c>
      <c r="D2350" s="9">
        <v>45966</v>
      </c>
      <c r="E2350" s="9">
        <v>45996</v>
      </c>
      <c r="F2350" s="3">
        <v>5526.35</v>
      </c>
      <c r="G2350" s="7" t="s">
        <v>367</v>
      </c>
    </row>
    <row r="2351" spans="1:7" x14ac:dyDescent="0.3">
      <c r="A2351" s="7" t="s">
        <v>2718</v>
      </c>
      <c r="B2351" s="7" t="s">
        <v>72</v>
      </c>
      <c r="C2351" s="7" t="s">
        <v>353</v>
      </c>
      <c r="D2351" s="9">
        <v>46078</v>
      </c>
      <c r="E2351" s="9">
        <v>46108</v>
      </c>
      <c r="F2351" s="3">
        <v>2953.98</v>
      </c>
      <c r="G2351" s="7" t="s">
        <v>367</v>
      </c>
    </row>
    <row r="2352" spans="1:7" x14ac:dyDescent="0.3">
      <c r="A2352" s="7" t="s">
        <v>2719</v>
      </c>
      <c r="B2352" s="7" t="s">
        <v>74</v>
      </c>
      <c r="C2352" s="7" t="s">
        <v>351</v>
      </c>
      <c r="D2352" s="9">
        <v>46042</v>
      </c>
      <c r="E2352" s="9">
        <v>46072</v>
      </c>
      <c r="F2352" s="3">
        <v>5844.71</v>
      </c>
      <c r="G2352" s="7" t="s">
        <v>387</v>
      </c>
    </row>
    <row r="2353" spans="1:7" x14ac:dyDescent="0.3">
      <c r="A2353" s="7" t="s">
        <v>2720</v>
      </c>
      <c r="B2353" s="7" t="s">
        <v>49</v>
      </c>
      <c r="C2353" s="7" t="s">
        <v>351</v>
      </c>
      <c r="D2353" s="9">
        <v>45978</v>
      </c>
      <c r="E2353" s="9">
        <v>46008</v>
      </c>
      <c r="F2353" s="3">
        <v>5902.99</v>
      </c>
      <c r="G2353" s="7" t="s">
        <v>367</v>
      </c>
    </row>
    <row r="2354" spans="1:7" x14ac:dyDescent="0.3">
      <c r="A2354" s="7" t="s">
        <v>2721</v>
      </c>
      <c r="B2354" s="7" t="s">
        <v>65</v>
      </c>
      <c r="C2354" s="7" t="s">
        <v>349</v>
      </c>
      <c r="D2354" s="9">
        <v>46098</v>
      </c>
      <c r="E2354" s="9">
        <v>46128</v>
      </c>
      <c r="F2354" s="3">
        <v>3564.39</v>
      </c>
      <c r="G2354" s="7" t="s">
        <v>369</v>
      </c>
    </row>
    <row r="2355" spans="1:7" x14ac:dyDescent="0.3">
      <c r="A2355" s="7" t="s">
        <v>2722</v>
      </c>
      <c r="B2355" s="7" t="s">
        <v>120</v>
      </c>
      <c r="C2355" s="7" t="s">
        <v>355</v>
      </c>
      <c r="D2355" s="9">
        <v>46013</v>
      </c>
      <c r="E2355" s="9">
        <v>46043</v>
      </c>
      <c r="F2355" s="3">
        <v>10393.64</v>
      </c>
      <c r="G2355" s="7" t="s">
        <v>367</v>
      </c>
    </row>
    <row r="2356" spans="1:7" x14ac:dyDescent="0.3">
      <c r="A2356" s="7" t="s">
        <v>2723</v>
      </c>
      <c r="B2356" s="7" t="s">
        <v>33</v>
      </c>
      <c r="C2356" s="7" t="s">
        <v>351</v>
      </c>
      <c r="D2356" s="9">
        <v>46029</v>
      </c>
      <c r="E2356" s="9">
        <v>46059</v>
      </c>
      <c r="F2356" s="3">
        <v>4602.5600000000004</v>
      </c>
      <c r="G2356" s="7" t="s">
        <v>367</v>
      </c>
    </row>
    <row r="2357" spans="1:7" x14ac:dyDescent="0.3">
      <c r="A2357" s="7" t="s">
        <v>2724</v>
      </c>
      <c r="B2357" s="7" t="s">
        <v>115</v>
      </c>
      <c r="C2357" s="7" t="s">
        <v>355</v>
      </c>
      <c r="D2357" s="9">
        <v>46014</v>
      </c>
      <c r="E2357" s="9">
        <v>46044</v>
      </c>
      <c r="F2357" s="3">
        <v>10032.799999999999</v>
      </c>
      <c r="G2357" s="7" t="s">
        <v>367</v>
      </c>
    </row>
    <row r="2358" spans="1:7" x14ac:dyDescent="0.3">
      <c r="A2358" s="7" t="s">
        <v>2725</v>
      </c>
      <c r="B2358" s="7" t="s">
        <v>77</v>
      </c>
      <c r="C2358" s="7" t="s">
        <v>353</v>
      </c>
      <c r="D2358" s="9">
        <v>45963</v>
      </c>
      <c r="E2358" s="9">
        <v>45993</v>
      </c>
      <c r="F2358" s="3">
        <v>2004.94</v>
      </c>
      <c r="G2358" s="7" t="s">
        <v>367</v>
      </c>
    </row>
    <row r="2359" spans="1:7" x14ac:dyDescent="0.3">
      <c r="A2359" s="7" t="s">
        <v>2726</v>
      </c>
      <c r="B2359" s="7" t="s">
        <v>113</v>
      </c>
      <c r="C2359" s="7" t="s">
        <v>359</v>
      </c>
      <c r="D2359" s="9">
        <v>45982</v>
      </c>
      <c r="E2359" s="9">
        <v>46012</v>
      </c>
      <c r="F2359" s="3">
        <v>1723.71</v>
      </c>
      <c r="G2359" s="7" t="s">
        <v>367</v>
      </c>
    </row>
    <row r="2360" spans="1:7" x14ac:dyDescent="0.3">
      <c r="A2360" s="7" t="s">
        <v>2727</v>
      </c>
      <c r="B2360" s="7" t="s">
        <v>47</v>
      </c>
      <c r="C2360" s="7" t="s">
        <v>355</v>
      </c>
      <c r="D2360" s="9">
        <v>46064</v>
      </c>
      <c r="E2360" s="9">
        <v>46094</v>
      </c>
      <c r="F2360" s="3">
        <v>12989.88</v>
      </c>
      <c r="G2360" s="7" t="s">
        <v>367</v>
      </c>
    </row>
    <row r="2361" spans="1:7" x14ac:dyDescent="0.3">
      <c r="A2361" s="7" t="s">
        <v>2728</v>
      </c>
      <c r="B2361" s="7" t="s">
        <v>100</v>
      </c>
      <c r="C2361" s="7" t="s">
        <v>351</v>
      </c>
      <c r="D2361" s="9">
        <v>45984</v>
      </c>
      <c r="E2361" s="9">
        <v>46014</v>
      </c>
      <c r="F2361" s="3">
        <v>4799.7700000000004</v>
      </c>
      <c r="G2361" s="7" t="s">
        <v>369</v>
      </c>
    </row>
    <row r="2362" spans="1:7" x14ac:dyDescent="0.3">
      <c r="A2362" s="7" t="s">
        <v>2729</v>
      </c>
      <c r="B2362" s="7" t="s">
        <v>92</v>
      </c>
      <c r="C2362" s="7" t="s">
        <v>355</v>
      </c>
      <c r="D2362" s="9">
        <v>45983</v>
      </c>
      <c r="E2362" s="9">
        <v>46013</v>
      </c>
      <c r="F2362" s="3">
        <v>12465.31</v>
      </c>
      <c r="G2362" s="7" t="s">
        <v>367</v>
      </c>
    </row>
    <row r="2363" spans="1:7" x14ac:dyDescent="0.3">
      <c r="A2363" s="7" t="s">
        <v>2730</v>
      </c>
      <c r="B2363" s="7" t="s">
        <v>29</v>
      </c>
      <c r="C2363" s="7" t="s">
        <v>359</v>
      </c>
      <c r="D2363" s="9">
        <v>46045</v>
      </c>
      <c r="E2363" s="9">
        <v>46075</v>
      </c>
      <c r="F2363" s="3">
        <v>2138.56</v>
      </c>
      <c r="G2363" s="7" t="s">
        <v>369</v>
      </c>
    </row>
    <row r="2364" spans="1:7" x14ac:dyDescent="0.3">
      <c r="A2364" s="7" t="s">
        <v>2731</v>
      </c>
      <c r="B2364" s="7" t="s">
        <v>85</v>
      </c>
      <c r="C2364" s="7" t="s">
        <v>351</v>
      </c>
      <c r="D2364" s="9">
        <v>46030</v>
      </c>
      <c r="E2364" s="9">
        <v>46060</v>
      </c>
      <c r="F2364" s="3">
        <v>4738.2700000000004</v>
      </c>
      <c r="G2364" s="7" t="s">
        <v>369</v>
      </c>
    </row>
    <row r="2365" spans="1:7" x14ac:dyDescent="0.3">
      <c r="A2365" s="7" t="s">
        <v>2732</v>
      </c>
      <c r="B2365" s="7" t="s">
        <v>70</v>
      </c>
      <c r="C2365" s="7" t="s">
        <v>357</v>
      </c>
      <c r="D2365" s="9">
        <v>45975</v>
      </c>
      <c r="E2365" s="9">
        <v>46005</v>
      </c>
      <c r="F2365" s="3">
        <v>3852.36</v>
      </c>
      <c r="G2365" s="7" t="s">
        <v>367</v>
      </c>
    </row>
    <row r="2366" spans="1:7" x14ac:dyDescent="0.3">
      <c r="A2366" s="7" t="s">
        <v>2733</v>
      </c>
      <c r="B2366" s="7" t="s">
        <v>56</v>
      </c>
      <c r="C2366" s="7" t="s">
        <v>351</v>
      </c>
      <c r="D2366" s="9">
        <v>45975</v>
      </c>
      <c r="E2366" s="9">
        <v>46005</v>
      </c>
      <c r="F2366" s="3">
        <v>4088.5</v>
      </c>
      <c r="G2366" s="7" t="s">
        <v>367</v>
      </c>
    </row>
    <row r="2367" spans="1:7" x14ac:dyDescent="0.3">
      <c r="A2367" s="7" t="s">
        <v>2734</v>
      </c>
      <c r="B2367" s="7" t="s">
        <v>93</v>
      </c>
      <c r="C2367" s="7" t="s">
        <v>359</v>
      </c>
      <c r="D2367" s="9">
        <v>46016</v>
      </c>
      <c r="E2367" s="9">
        <v>46046</v>
      </c>
      <c r="F2367" s="3">
        <v>1569.51</v>
      </c>
      <c r="G2367" s="7" t="s">
        <v>367</v>
      </c>
    </row>
    <row r="2368" spans="1:7" x14ac:dyDescent="0.3">
      <c r="A2368" s="7" t="s">
        <v>2735</v>
      </c>
      <c r="B2368" s="7" t="s">
        <v>94</v>
      </c>
      <c r="C2368" s="7" t="s">
        <v>355</v>
      </c>
      <c r="D2368" s="9">
        <v>46033</v>
      </c>
      <c r="E2368" s="9">
        <v>46063</v>
      </c>
      <c r="F2368" s="3">
        <v>9767.17</v>
      </c>
      <c r="G2368" s="7" t="s">
        <v>367</v>
      </c>
    </row>
    <row r="2369" spans="1:7" x14ac:dyDescent="0.3">
      <c r="A2369" s="7" t="s">
        <v>2736</v>
      </c>
      <c r="B2369" s="7" t="s">
        <v>100</v>
      </c>
      <c r="C2369" s="7" t="s">
        <v>357</v>
      </c>
      <c r="D2369" s="9">
        <v>46092</v>
      </c>
      <c r="E2369" s="9">
        <v>46122</v>
      </c>
      <c r="F2369" s="3">
        <v>3967.93</v>
      </c>
      <c r="G2369" s="7" t="s">
        <v>367</v>
      </c>
    </row>
    <row r="2370" spans="1:7" x14ac:dyDescent="0.3">
      <c r="A2370" s="7" t="s">
        <v>2737</v>
      </c>
      <c r="B2370" s="7" t="s">
        <v>23</v>
      </c>
      <c r="C2370" s="7" t="s">
        <v>349</v>
      </c>
      <c r="D2370" s="9">
        <v>45989</v>
      </c>
      <c r="E2370" s="9">
        <v>46019</v>
      </c>
      <c r="F2370" s="3">
        <v>3187.04</v>
      </c>
      <c r="G2370" s="7" t="s">
        <v>367</v>
      </c>
    </row>
    <row r="2371" spans="1:7" x14ac:dyDescent="0.3">
      <c r="A2371" s="7" t="s">
        <v>2738</v>
      </c>
      <c r="B2371" s="7" t="s">
        <v>90</v>
      </c>
      <c r="C2371" s="7" t="s">
        <v>357</v>
      </c>
      <c r="D2371" s="9">
        <v>45999</v>
      </c>
      <c r="E2371" s="9">
        <v>46029</v>
      </c>
      <c r="F2371" s="3">
        <v>3509.76</v>
      </c>
      <c r="G2371" s="7" t="s">
        <v>367</v>
      </c>
    </row>
    <row r="2372" spans="1:7" x14ac:dyDescent="0.3">
      <c r="A2372" s="7" t="s">
        <v>2739</v>
      </c>
      <c r="B2372" s="7" t="s">
        <v>40</v>
      </c>
      <c r="C2372" s="7" t="s">
        <v>359</v>
      </c>
      <c r="D2372" s="9">
        <v>46101</v>
      </c>
      <c r="E2372" s="9">
        <v>46131</v>
      </c>
      <c r="F2372" s="3">
        <v>1729.23</v>
      </c>
      <c r="G2372" s="7" t="s">
        <v>367</v>
      </c>
    </row>
    <row r="2373" spans="1:7" x14ac:dyDescent="0.3">
      <c r="A2373" s="7" t="s">
        <v>2740</v>
      </c>
      <c r="B2373" s="7" t="s">
        <v>106</v>
      </c>
      <c r="C2373" s="7" t="s">
        <v>359</v>
      </c>
      <c r="D2373" s="9">
        <v>46058</v>
      </c>
      <c r="E2373" s="9">
        <v>46088</v>
      </c>
      <c r="F2373" s="3">
        <v>1896.56</v>
      </c>
      <c r="G2373" s="7" t="s">
        <v>367</v>
      </c>
    </row>
    <row r="2374" spans="1:7" x14ac:dyDescent="0.3">
      <c r="A2374" s="7" t="s">
        <v>2741</v>
      </c>
      <c r="B2374" s="7" t="s">
        <v>21</v>
      </c>
      <c r="C2374" s="7" t="s">
        <v>355</v>
      </c>
      <c r="D2374" s="9">
        <v>46021</v>
      </c>
      <c r="E2374" s="9">
        <v>46051</v>
      </c>
      <c r="F2374" s="3">
        <v>13017.71</v>
      </c>
      <c r="G2374" s="7" t="s">
        <v>387</v>
      </c>
    </row>
    <row r="2375" spans="1:7" x14ac:dyDescent="0.3">
      <c r="A2375" s="7" t="s">
        <v>2742</v>
      </c>
      <c r="B2375" s="7" t="s">
        <v>17</v>
      </c>
      <c r="C2375" s="7" t="s">
        <v>351</v>
      </c>
      <c r="D2375" s="9">
        <v>46061</v>
      </c>
      <c r="E2375" s="9">
        <v>46091</v>
      </c>
      <c r="F2375" s="3">
        <v>5961.47</v>
      </c>
      <c r="G2375" s="7" t="s">
        <v>369</v>
      </c>
    </row>
    <row r="2376" spans="1:7" x14ac:dyDescent="0.3">
      <c r="A2376" s="7" t="s">
        <v>2743</v>
      </c>
      <c r="B2376" s="7" t="s">
        <v>72</v>
      </c>
      <c r="C2376" s="7" t="s">
        <v>351</v>
      </c>
      <c r="D2376" s="9">
        <v>45996</v>
      </c>
      <c r="E2376" s="9">
        <v>46026</v>
      </c>
      <c r="F2376" s="3">
        <v>4013.91</v>
      </c>
      <c r="G2376" s="7" t="s">
        <v>367</v>
      </c>
    </row>
    <row r="2377" spans="1:7" x14ac:dyDescent="0.3">
      <c r="A2377" s="7" t="s">
        <v>2744</v>
      </c>
      <c r="B2377" s="7" t="s">
        <v>43</v>
      </c>
      <c r="C2377" s="7" t="s">
        <v>357</v>
      </c>
      <c r="D2377" s="9">
        <v>46079</v>
      </c>
      <c r="E2377" s="9">
        <v>46109</v>
      </c>
      <c r="F2377" s="3">
        <v>3818.68</v>
      </c>
      <c r="G2377" s="7" t="s">
        <v>367</v>
      </c>
    </row>
    <row r="2378" spans="1:7" x14ac:dyDescent="0.3">
      <c r="A2378" s="7" t="s">
        <v>2745</v>
      </c>
      <c r="B2378" s="7" t="s">
        <v>120</v>
      </c>
      <c r="C2378" s="7" t="s">
        <v>349</v>
      </c>
      <c r="D2378" s="9">
        <v>46094</v>
      </c>
      <c r="E2378" s="9">
        <v>46124</v>
      </c>
      <c r="F2378" s="3">
        <v>2545.86</v>
      </c>
      <c r="G2378" s="7" t="s">
        <v>367</v>
      </c>
    </row>
    <row r="2379" spans="1:7" x14ac:dyDescent="0.3">
      <c r="A2379" s="7" t="s">
        <v>2746</v>
      </c>
      <c r="B2379" s="7" t="s">
        <v>44</v>
      </c>
      <c r="C2379" s="7" t="s">
        <v>357</v>
      </c>
      <c r="D2379" s="9">
        <v>46095</v>
      </c>
      <c r="E2379" s="9">
        <v>46125</v>
      </c>
      <c r="F2379" s="3">
        <v>3760.94</v>
      </c>
      <c r="G2379" s="7" t="s">
        <v>367</v>
      </c>
    </row>
    <row r="2380" spans="1:7" x14ac:dyDescent="0.3">
      <c r="A2380" s="7" t="s">
        <v>2747</v>
      </c>
      <c r="B2380" s="7" t="s">
        <v>9</v>
      </c>
      <c r="C2380" s="7" t="s">
        <v>349</v>
      </c>
      <c r="D2380" s="9">
        <v>46006</v>
      </c>
      <c r="E2380" s="9">
        <v>46036</v>
      </c>
      <c r="F2380" s="3">
        <v>3051.3</v>
      </c>
      <c r="G2380" s="7" t="s">
        <v>367</v>
      </c>
    </row>
    <row r="2381" spans="1:7" x14ac:dyDescent="0.3">
      <c r="A2381" s="7" t="s">
        <v>2748</v>
      </c>
      <c r="B2381" s="7" t="s">
        <v>52</v>
      </c>
      <c r="C2381" s="7" t="s">
        <v>355</v>
      </c>
      <c r="D2381" s="9">
        <v>45982</v>
      </c>
      <c r="E2381" s="9">
        <v>46012</v>
      </c>
      <c r="F2381" s="3">
        <v>11158.24</v>
      </c>
      <c r="G2381" s="7" t="s">
        <v>367</v>
      </c>
    </row>
    <row r="2382" spans="1:7" x14ac:dyDescent="0.3">
      <c r="A2382" s="7" t="s">
        <v>2749</v>
      </c>
      <c r="B2382" s="7" t="s">
        <v>17</v>
      </c>
      <c r="C2382" s="7" t="s">
        <v>359</v>
      </c>
      <c r="D2382" s="9">
        <v>46050</v>
      </c>
      <c r="E2382" s="9">
        <v>46080</v>
      </c>
      <c r="F2382" s="3">
        <v>1466.36</v>
      </c>
      <c r="G2382" s="7" t="s">
        <v>367</v>
      </c>
    </row>
    <row r="2383" spans="1:7" x14ac:dyDescent="0.3">
      <c r="A2383" s="7" t="s">
        <v>2750</v>
      </c>
      <c r="B2383" s="7" t="s">
        <v>62</v>
      </c>
      <c r="C2383" s="7" t="s">
        <v>357</v>
      </c>
      <c r="D2383" s="9">
        <v>46102</v>
      </c>
      <c r="E2383" s="9">
        <v>46132</v>
      </c>
      <c r="F2383" s="3">
        <v>2932.4</v>
      </c>
      <c r="G2383" s="7" t="s">
        <v>367</v>
      </c>
    </row>
    <row r="2384" spans="1:7" x14ac:dyDescent="0.3">
      <c r="A2384" s="7" t="s">
        <v>2751</v>
      </c>
      <c r="B2384" s="7" t="s">
        <v>124</v>
      </c>
      <c r="C2384" s="7" t="s">
        <v>353</v>
      </c>
      <c r="D2384" s="9">
        <v>45971</v>
      </c>
      <c r="E2384" s="9">
        <v>46001</v>
      </c>
      <c r="F2384" s="3">
        <v>2345.39</v>
      </c>
      <c r="G2384" s="7" t="s">
        <v>367</v>
      </c>
    </row>
    <row r="2385" spans="1:7" x14ac:dyDescent="0.3">
      <c r="A2385" s="7" t="s">
        <v>2752</v>
      </c>
      <c r="B2385" s="7" t="s">
        <v>48</v>
      </c>
      <c r="C2385" s="7" t="s">
        <v>359</v>
      </c>
      <c r="D2385" s="9">
        <v>45963</v>
      </c>
      <c r="E2385" s="9">
        <v>45993</v>
      </c>
      <c r="F2385" s="3">
        <v>2030.75</v>
      </c>
      <c r="G2385" s="7" t="s">
        <v>367</v>
      </c>
    </row>
    <row r="2386" spans="1:7" x14ac:dyDescent="0.3">
      <c r="A2386" s="7" t="s">
        <v>2753</v>
      </c>
      <c r="B2386" s="7" t="s">
        <v>119</v>
      </c>
      <c r="C2386" s="7" t="s">
        <v>353</v>
      </c>
      <c r="D2386" s="9">
        <v>46001</v>
      </c>
      <c r="E2386" s="9">
        <v>46031</v>
      </c>
      <c r="F2386" s="3">
        <v>2038.29</v>
      </c>
      <c r="G2386" s="7" t="s">
        <v>367</v>
      </c>
    </row>
    <row r="2387" spans="1:7" x14ac:dyDescent="0.3">
      <c r="A2387" s="7" t="s">
        <v>2754</v>
      </c>
      <c r="B2387" s="7" t="s">
        <v>88</v>
      </c>
      <c r="C2387" s="7" t="s">
        <v>349</v>
      </c>
      <c r="D2387" s="9">
        <v>45972</v>
      </c>
      <c r="E2387" s="9">
        <v>46002</v>
      </c>
      <c r="F2387" s="3">
        <v>2858.3</v>
      </c>
      <c r="G2387" s="7" t="s">
        <v>367</v>
      </c>
    </row>
    <row r="2388" spans="1:7" x14ac:dyDescent="0.3">
      <c r="A2388" s="7" t="s">
        <v>2755</v>
      </c>
      <c r="B2388" s="7" t="s">
        <v>102</v>
      </c>
      <c r="C2388" s="7" t="s">
        <v>359</v>
      </c>
      <c r="D2388" s="9">
        <v>46106</v>
      </c>
      <c r="E2388" s="9">
        <v>46136</v>
      </c>
      <c r="F2388" s="3">
        <v>1657.43</v>
      </c>
      <c r="G2388" s="7" t="s">
        <v>367</v>
      </c>
    </row>
    <row r="2389" spans="1:7" x14ac:dyDescent="0.3">
      <c r="A2389" s="7" t="s">
        <v>2756</v>
      </c>
      <c r="B2389" s="7" t="s">
        <v>62</v>
      </c>
      <c r="C2389" s="7" t="s">
        <v>353</v>
      </c>
      <c r="D2389" s="9">
        <v>46052</v>
      </c>
      <c r="E2389" s="9">
        <v>46082</v>
      </c>
      <c r="F2389" s="3">
        <v>2721.59</v>
      </c>
      <c r="G2389" s="7" t="s">
        <v>369</v>
      </c>
    </row>
    <row r="2390" spans="1:7" x14ac:dyDescent="0.3">
      <c r="A2390" s="7" t="s">
        <v>2757</v>
      </c>
      <c r="B2390" s="7" t="s">
        <v>85</v>
      </c>
      <c r="C2390" s="7" t="s">
        <v>349</v>
      </c>
      <c r="D2390" s="9">
        <v>46091</v>
      </c>
      <c r="E2390" s="9">
        <v>46121</v>
      </c>
      <c r="F2390" s="3">
        <v>3352.37</v>
      </c>
      <c r="G2390" s="7" t="s">
        <v>387</v>
      </c>
    </row>
    <row r="2391" spans="1:7" x14ac:dyDescent="0.3">
      <c r="A2391" s="7" t="s">
        <v>2758</v>
      </c>
      <c r="B2391" s="7" t="s">
        <v>13</v>
      </c>
      <c r="C2391" s="7" t="s">
        <v>357</v>
      </c>
      <c r="D2391" s="9">
        <v>45985</v>
      </c>
      <c r="E2391" s="9">
        <v>46015</v>
      </c>
      <c r="F2391" s="3">
        <v>3554.82</v>
      </c>
      <c r="G2391" s="7" t="s">
        <v>367</v>
      </c>
    </row>
    <row r="2392" spans="1:7" x14ac:dyDescent="0.3">
      <c r="A2392" s="7" t="s">
        <v>2759</v>
      </c>
      <c r="B2392" s="7" t="s">
        <v>95</v>
      </c>
      <c r="C2392" s="7" t="s">
        <v>353</v>
      </c>
      <c r="D2392" s="9">
        <v>46098</v>
      </c>
      <c r="E2392" s="9">
        <v>46128</v>
      </c>
      <c r="F2392" s="3">
        <v>2573.34</v>
      </c>
      <c r="G2392" s="7" t="s">
        <v>367</v>
      </c>
    </row>
    <row r="2393" spans="1:7" x14ac:dyDescent="0.3">
      <c r="A2393" s="7" t="s">
        <v>2760</v>
      </c>
      <c r="B2393" s="7" t="s">
        <v>123</v>
      </c>
      <c r="C2393" s="7" t="s">
        <v>351</v>
      </c>
      <c r="D2393" s="9">
        <v>46019</v>
      </c>
      <c r="E2393" s="9">
        <v>46049</v>
      </c>
      <c r="F2393" s="3">
        <v>4553.71</v>
      </c>
      <c r="G2393" s="7" t="s">
        <v>367</v>
      </c>
    </row>
    <row r="2394" spans="1:7" x14ac:dyDescent="0.3">
      <c r="A2394" s="7" t="s">
        <v>2761</v>
      </c>
      <c r="B2394" s="7" t="s">
        <v>9</v>
      </c>
      <c r="C2394" s="7" t="s">
        <v>351</v>
      </c>
      <c r="D2394" s="9">
        <v>46098</v>
      </c>
      <c r="E2394" s="9">
        <v>46128</v>
      </c>
      <c r="F2394" s="3">
        <v>5356.42</v>
      </c>
      <c r="G2394" s="7" t="s">
        <v>367</v>
      </c>
    </row>
    <row r="2395" spans="1:7" x14ac:dyDescent="0.3">
      <c r="A2395" s="7" t="s">
        <v>2762</v>
      </c>
      <c r="B2395" s="7" t="s">
        <v>108</v>
      </c>
      <c r="C2395" s="7" t="s">
        <v>355</v>
      </c>
      <c r="D2395" s="9">
        <v>46101</v>
      </c>
      <c r="E2395" s="9">
        <v>46131</v>
      </c>
      <c r="F2395" s="3">
        <v>12754.62</v>
      </c>
      <c r="G2395" s="7" t="s">
        <v>367</v>
      </c>
    </row>
    <row r="2396" spans="1:7" x14ac:dyDescent="0.3">
      <c r="A2396" s="7" t="s">
        <v>2763</v>
      </c>
      <c r="B2396" s="7" t="s">
        <v>48</v>
      </c>
      <c r="C2396" s="7" t="s">
        <v>359</v>
      </c>
      <c r="D2396" s="9">
        <v>46018</v>
      </c>
      <c r="E2396" s="9">
        <v>46048</v>
      </c>
      <c r="F2396" s="3">
        <v>1669.07</v>
      </c>
      <c r="G2396" s="7" t="s">
        <v>367</v>
      </c>
    </row>
    <row r="2397" spans="1:7" x14ac:dyDescent="0.3">
      <c r="A2397" s="7" t="s">
        <v>2764</v>
      </c>
      <c r="B2397" s="7" t="s">
        <v>112</v>
      </c>
      <c r="C2397" s="7" t="s">
        <v>351</v>
      </c>
      <c r="D2397" s="9">
        <v>45963</v>
      </c>
      <c r="E2397" s="9">
        <v>45993</v>
      </c>
      <c r="F2397" s="3">
        <v>4127.4399999999996</v>
      </c>
      <c r="G2397" s="7" t="s">
        <v>367</v>
      </c>
    </row>
    <row r="2398" spans="1:7" x14ac:dyDescent="0.3">
      <c r="A2398" s="7" t="s">
        <v>2765</v>
      </c>
      <c r="B2398" s="7" t="s">
        <v>56</v>
      </c>
      <c r="C2398" s="7" t="s">
        <v>355</v>
      </c>
      <c r="D2398" s="9">
        <v>46036</v>
      </c>
      <c r="E2398" s="9">
        <v>46066</v>
      </c>
      <c r="F2398" s="3">
        <v>12421.99</v>
      </c>
      <c r="G2398" s="7" t="s">
        <v>367</v>
      </c>
    </row>
    <row r="2399" spans="1:7" x14ac:dyDescent="0.3">
      <c r="A2399" s="7" t="s">
        <v>2766</v>
      </c>
      <c r="B2399" s="7" t="s">
        <v>51</v>
      </c>
      <c r="C2399" s="7" t="s">
        <v>355</v>
      </c>
      <c r="D2399" s="9">
        <v>45979</v>
      </c>
      <c r="E2399" s="9">
        <v>46009</v>
      </c>
      <c r="F2399" s="3">
        <v>14063.39</v>
      </c>
      <c r="G2399" s="7" t="s">
        <v>367</v>
      </c>
    </row>
    <row r="2400" spans="1:7" x14ac:dyDescent="0.3">
      <c r="A2400" s="7" t="s">
        <v>2767</v>
      </c>
      <c r="B2400" s="7" t="s">
        <v>75</v>
      </c>
      <c r="C2400" s="7" t="s">
        <v>355</v>
      </c>
      <c r="D2400" s="9">
        <v>46091</v>
      </c>
      <c r="E2400" s="9">
        <v>46121</v>
      </c>
      <c r="F2400" s="3">
        <v>10328.540000000001</v>
      </c>
      <c r="G2400" s="7" t="s">
        <v>367</v>
      </c>
    </row>
    <row r="2401" spans="1:7" x14ac:dyDescent="0.3">
      <c r="A2401" s="7" t="s">
        <v>2768</v>
      </c>
      <c r="B2401" s="7" t="s">
        <v>91</v>
      </c>
      <c r="C2401" s="7" t="s">
        <v>359</v>
      </c>
      <c r="D2401" s="9">
        <v>46107</v>
      </c>
      <c r="E2401" s="9">
        <v>46137</v>
      </c>
      <c r="F2401" s="3">
        <v>1562.41</v>
      </c>
      <c r="G2401" s="7" t="s">
        <v>367</v>
      </c>
    </row>
    <row r="2402" spans="1:7" x14ac:dyDescent="0.3">
      <c r="A2402" s="7" t="s">
        <v>2769</v>
      </c>
      <c r="B2402" s="7" t="s">
        <v>51</v>
      </c>
      <c r="C2402" s="7" t="s">
        <v>357</v>
      </c>
      <c r="D2402" s="9">
        <v>46079</v>
      </c>
      <c r="E2402" s="9">
        <v>46109</v>
      </c>
      <c r="F2402" s="3">
        <v>4154.8100000000004</v>
      </c>
      <c r="G2402" s="7" t="s">
        <v>367</v>
      </c>
    </row>
    <row r="2403" spans="1:7" x14ac:dyDescent="0.3">
      <c r="A2403" s="7" t="s">
        <v>2770</v>
      </c>
      <c r="B2403" s="7" t="s">
        <v>103</v>
      </c>
      <c r="C2403" s="7" t="s">
        <v>349</v>
      </c>
      <c r="D2403" s="9">
        <v>46059</v>
      </c>
      <c r="E2403" s="9">
        <v>46089</v>
      </c>
      <c r="F2403" s="3">
        <v>2649.06</v>
      </c>
      <c r="G2403" s="7" t="s">
        <v>367</v>
      </c>
    </row>
    <row r="2404" spans="1:7" x14ac:dyDescent="0.3">
      <c r="A2404" s="7" t="s">
        <v>2771</v>
      </c>
      <c r="B2404" s="7" t="s">
        <v>81</v>
      </c>
      <c r="C2404" s="7" t="s">
        <v>353</v>
      </c>
      <c r="D2404" s="9">
        <v>45980</v>
      </c>
      <c r="E2404" s="9">
        <v>46010</v>
      </c>
      <c r="F2404" s="3">
        <v>2451.5</v>
      </c>
      <c r="G2404" s="7" t="s">
        <v>367</v>
      </c>
    </row>
    <row r="2405" spans="1:7" x14ac:dyDescent="0.3">
      <c r="A2405" s="7" t="s">
        <v>2772</v>
      </c>
      <c r="B2405" s="7" t="s">
        <v>104</v>
      </c>
      <c r="C2405" s="7" t="s">
        <v>351</v>
      </c>
      <c r="D2405" s="9">
        <v>46043</v>
      </c>
      <c r="E2405" s="9">
        <v>46073</v>
      </c>
      <c r="F2405" s="3">
        <v>5248.53</v>
      </c>
      <c r="G2405" s="7" t="s">
        <v>367</v>
      </c>
    </row>
    <row r="2406" spans="1:7" x14ac:dyDescent="0.3">
      <c r="A2406" s="7" t="s">
        <v>2773</v>
      </c>
      <c r="B2406" s="7" t="s">
        <v>37</v>
      </c>
      <c r="C2406" s="7" t="s">
        <v>349</v>
      </c>
      <c r="D2406" s="9">
        <v>46083</v>
      </c>
      <c r="E2406" s="9">
        <v>46113</v>
      </c>
      <c r="F2406" s="3">
        <v>3301.67</v>
      </c>
      <c r="G2406" s="7" t="s">
        <v>367</v>
      </c>
    </row>
    <row r="2407" spans="1:7" x14ac:dyDescent="0.3">
      <c r="A2407" s="7" t="s">
        <v>2774</v>
      </c>
      <c r="B2407" s="7" t="s">
        <v>115</v>
      </c>
      <c r="C2407" s="7" t="s">
        <v>355</v>
      </c>
      <c r="D2407" s="9">
        <v>45986</v>
      </c>
      <c r="E2407" s="9">
        <v>46016</v>
      </c>
      <c r="F2407" s="3">
        <v>14021.65</v>
      </c>
      <c r="G2407" s="7" t="s">
        <v>367</v>
      </c>
    </row>
    <row r="2408" spans="1:7" x14ac:dyDescent="0.3">
      <c r="A2408" s="7" t="s">
        <v>2775</v>
      </c>
      <c r="B2408" s="7" t="s">
        <v>80</v>
      </c>
      <c r="C2408" s="7" t="s">
        <v>349</v>
      </c>
      <c r="D2408" s="9">
        <v>46029</v>
      </c>
      <c r="E2408" s="9">
        <v>46059</v>
      </c>
      <c r="F2408" s="3">
        <v>2516.38</v>
      </c>
      <c r="G2408" s="7" t="s">
        <v>387</v>
      </c>
    </row>
    <row r="2409" spans="1:7" x14ac:dyDescent="0.3">
      <c r="A2409" s="7" t="s">
        <v>2776</v>
      </c>
      <c r="B2409" s="7" t="s">
        <v>77</v>
      </c>
      <c r="C2409" s="7" t="s">
        <v>353</v>
      </c>
      <c r="D2409" s="9">
        <v>45978</v>
      </c>
      <c r="E2409" s="9">
        <v>46008</v>
      </c>
      <c r="F2409" s="3">
        <v>2178.62</v>
      </c>
      <c r="G2409" s="7" t="s">
        <v>387</v>
      </c>
    </row>
    <row r="2410" spans="1:7" x14ac:dyDescent="0.3">
      <c r="A2410" s="7" t="s">
        <v>2777</v>
      </c>
      <c r="B2410" s="7" t="s">
        <v>42</v>
      </c>
      <c r="C2410" s="7" t="s">
        <v>355</v>
      </c>
      <c r="D2410" s="9">
        <v>45982</v>
      </c>
      <c r="E2410" s="9">
        <v>46012</v>
      </c>
      <c r="F2410" s="3">
        <v>11289.72</v>
      </c>
      <c r="G2410" s="7" t="s">
        <v>369</v>
      </c>
    </row>
    <row r="2411" spans="1:7" x14ac:dyDescent="0.3">
      <c r="A2411" s="7" t="s">
        <v>2778</v>
      </c>
      <c r="B2411" s="7" t="s">
        <v>94</v>
      </c>
      <c r="C2411" s="7" t="s">
        <v>353</v>
      </c>
      <c r="D2411" s="9">
        <v>46067</v>
      </c>
      <c r="E2411" s="9">
        <v>46097</v>
      </c>
      <c r="F2411" s="3">
        <v>2770.5</v>
      </c>
      <c r="G2411" s="7" t="s">
        <v>367</v>
      </c>
    </row>
    <row r="2412" spans="1:7" x14ac:dyDescent="0.3">
      <c r="A2412" s="7" t="s">
        <v>2779</v>
      </c>
      <c r="B2412" s="7" t="s">
        <v>57</v>
      </c>
      <c r="C2412" s="7" t="s">
        <v>359</v>
      </c>
      <c r="D2412" s="9">
        <v>45981</v>
      </c>
      <c r="E2412" s="9">
        <v>46011</v>
      </c>
      <c r="F2412" s="3">
        <v>1988.46</v>
      </c>
      <c r="G2412" s="7" t="s">
        <v>367</v>
      </c>
    </row>
    <row r="2413" spans="1:7" x14ac:dyDescent="0.3">
      <c r="A2413" s="7" t="s">
        <v>2780</v>
      </c>
      <c r="B2413" s="7" t="s">
        <v>64</v>
      </c>
      <c r="C2413" s="7" t="s">
        <v>351</v>
      </c>
      <c r="D2413" s="9">
        <v>45963</v>
      </c>
      <c r="E2413" s="9">
        <v>45993</v>
      </c>
      <c r="F2413" s="3">
        <v>5718.11</v>
      </c>
      <c r="G2413" s="7" t="s">
        <v>367</v>
      </c>
    </row>
    <row r="2414" spans="1:7" x14ac:dyDescent="0.3">
      <c r="A2414" s="7" t="s">
        <v>2781</v>
      </c>
      <c r="B2414" s="7" t="s">
        <v>75</v>
      </c>
      <c r="C2414" s="7" t="s">
        <v>351</v>
      </c>
      <c r="D2414" s="9">
        <v>46072</v>
      </c>
      <c r="E2414" s="9">
        <v>46102</v>
      </c>
      <c r="F2414" s="3">
        <v>5847.82</v>
      </c>
      <c r="G2414" s="7" t="s">
        <v>367</v>
      </c>
    </row>
    <row r="2415" spans="1:7" x14ac:dyDescent="0.3">
      <c r="A2415" s="7" t="s">
        <v>2782</v>
      </c>
      <c r="B2415" s="7" t="s">
        <v>19</v>
      </c>
      <c r="C2415" s="7" t="s">
        <v>353</v>
      </c>
      <c r="D2415" s="9">
        <v>45976</v>
      </c>
      <c r="E2415" s="9">
        <v>46006</v>
      </c>
      <c r="F2415" s="3">
        <v>2762.93</v>
      </c>
      <c r="G2415" s="7" t="s">
        <v>367</v>
      </c>
    </row>
    <row r="2416" spans="1:7" x14ac:dyDescent="0.3">
      <c r="A2416" s="7" t="s">
        <v>2783</v>
      </c>
      <c r="B2416" s="7" t="s">
        <v>88</v>
      </c>
      <c r="C2416" s="7" t="s">
        <v>355</v>
      </c>
      <c r="D2416" s="9">
        <v>46069</v>
      </c>
      <c r="E2416" s="9">
        <v>46099</v>
      </c>
      <c r="F2416" s="3">
        <v>12384.76</v>
      </c>
      <c r="G2416" s="7" t="s">
        <v>367</v>
      </c>
    </row>
    <row r="2417" spans="1:7" x14ac:dyDescent="0.3">
      <c r="A2417" s="7" t="s">
        <v>2784</v>
      </c>
      <c r="B2417" s="7" t="s">
        <v>17</v>
      </c>
      <c r="C2417" s="7" t="s">
        <v>349</v>
      </c>
      <c r="D2417" s="9">
        <v>46055</v>
      </c>
      <c r="E2417" s="9">
        <v>46085</v>
      </c>
      <c r="F2417" s="3">
        <v>3142.65</v>
      </c>
      <c r="G2417" s="7" t="s">
        <v>367</v>
      </c>
    </row>
    <row r="2418" spans="1:7" x14ac:dyDescent="0.3">
      <c r="A2418" s="7" t="s">
        <v>2785</v>
      </c>
      <c r="B2418" s="7" t="s">
        <v>38</v>
      </c>
      <c r="C2418" s="7" t="s">
        <v>357</v>
      </c>
      <c r="D2418" s="9">
        <v>46102</v>
      </c>
      <c r="E2418" s="9">
        <v>46132</v>
      </c>
      <c r="F2418" s="3">
        <v>3598.82</v>
      </c>
      <c r="G2418" s="7" t="s">
        <v>367</v>
      </c>
    </row>
    <row r="2419" spans="1:7" x14ac:dyDescent="0.3">
      <c r="A2419" s="7" t="s">
        <v>2786</v>
      </c>
      <c r="B2419" s="7" t="s">
        <v>54</v>
      </c>
      <c r="C2419" s="7" t="s">
        <v>351</v>
      </c>
      <c r="D2419" s="9">
        <v>45971</v>
      </c>
      <c r="E2419" s="9">
        <v>46001</v>
      </c>
      <c r="F2419" s="3">
        <v>5138.6099999999997</v>
      </c>
      <c r="G2419" s="7" t="s">
        <v>367</v>
      </c>
    </row>
    <row r="2420" spans="1:7" x14ac:dyDescent="0.3">
      <c r="A2420" s="7" t="s">
        <v>2787</v>
      </c>
      <c r="B2420" s="7" t="s">
        <v>72</v>
      </c>
      <c r="C2420" s="7" t="s">
        <v>349</v>
      </c>
      <c r="D2420" s="9">
        <v>46083</v>
      </c>
      <c r="E2420" s="9">
        <v>46113</v>
      </c>
      <c r="F2420" s="3">
        <v>3291.56</v>
      </c>
      <c r="G2420" s="7" t="s">
        <v>367</v>
      </c>
    </row>
    <row r="2421" spans="1:7" x14ac:dyDescent="0.3">
      <c r="A2421" s="7" t="s">
        <v>2788</v>
      </c>
      <c r="B2421" s="7" t="s">
        <v>118</v>
      </c>
      <c r="C2421" s="7" t="s">
        <v>351</v>
      </c>
      <c r="D2421" s="9">
        <v>46001</v>
      </c>
      <c r="E2421" s="9">
        <v>46031</v>
      </c>
      <c r="F2421" s="3">
        <v>5700.62</v>
      </c>
      <c r="G2421" s="7" t="s">
        <v>367</v>
      </c>
    </row>
    <row r="2422" spans="1:7" x14ac:dyDescent="0.3">
      <c r="A2422" s="7" t="s">
        <v>2789</v>
      </c>
      <c r="B2422" s="7" t="s">
        <v>44</v>
      </c>
      <c r="C2422" s="7" t="s">
        <v>351</v>
      </c>
      <c r="D2422" s="9">
        <v>46005</v>
      </c>
      <c r="E2422" s="9">
        <v>46035</v>
      </c>
      <c r="F2422" s="3">
        <v>4350.42</v>
      </c>
      <c r="G2422" s="7" t="s">
        <v>367</v>
      </c>
    </row>
    <row r="2423" spans="1:7" x14ac:dyDescent="0.3">
      <c r="A2423" s="7" t="s">
        <v>2790</v>
      </c>
      <c r="B2423" s="7" t="s">
        <v>38</v>
      </c>
      <c r="C2423" s="7" t="s">
        <v>349</v>
      </c>
      <c r="D2423" s="9">
        <v>46008</v>
      </c>
      <c r="E2423" s="9">
        <v>46038</v>
      </c>
      <c r="F2423" s="3">
        <v>3473.33</v>
      </c>
      <c r="G2423" s="7" t="s">
        <v>367</v>
      </c>
    </row>
    <row r="2424" spans="1:7" x14ac:dyDescent="0.3">
      <c r="A2424" s="7" t="s">
        <v>2791</v>
      </c>
      <c r="B2424" s="7" t="s">
        <v>71</v>
      </c>
      <c r="C2424" s="7" t="s">
        <v>359</v>
      </c>
      <c r="D2424" s="9">
        <v>46104</v>
      </c>
      <c r="E2424" s="9">
        <v>46134</v>
      </c>
      <c r="F2424" s="3">
        <v>1874.34</v>
      </c>
      <c r="G2424" s="7" t="s">
        <v>387</v>
      </c>
    </row>
    <row r="2425" spans="1:7" x14ac:dyDescent="0.3">
      <c r="A2425" s="7" t="s">
        <v>2792</v>
      </c>
      <c r="B2425" s="7" t="s">
        <v>123</v>
      </c>
      <c r="C2425" s="7" t="s">
        <v>359</v>
      </c>
      <c r="D2425" s="9">
        <v>46084</v>
      </c>
      <c r="E2425" s="9">
        <v>46114</v>
      </c>
      <c r="F2425" s="3">
        <v>1520.03</v>
      </c>
      <c r="G2425" s="7" t="s">
        <v>369</v>
      </c>
    </row>
    <row r="2426" spans="1:7" x14ac:dyDescent="0.3">
      <c r="A2426" s="7" t="s">
        <v>2793</v>
      </c>
      <c r="B2426" s="7" t="s">
        <v>11</v>
      </c>
      <c r="C2426" s="7" t="s">
        <v>351</v>
      </c>
      <c r="D2426" s="9">
        <v>46034</v>
      </c>
      <c r="E2426" s="9">
        <v>46064</v>
      </c>
      <c r="F2426" s="3">
        <v>4489.7299999999996</v>
      </c>
      <c r="G2426" s="7" t="s">
        <v>367</v>
      </c>
    </row>
    <row r="2427" spans="1:7" x14ac:dyDescent="0.3">
      <c r="A2427" s="7" t="s">
        <v>2794</v>
      </c>
      <c r="B2427" s="7" t="s">
        <v>117</v>
      </c>
      <c r="C2427" s="7" t="s">
        <v>359</v>
      </c>
      <c r="D2427" s="9">
        <v>46103</v>
      </c>
      <c r="E2427" s="9">
        <v>46133</v>
      </c>
      <c r="F2427" s="3">
        <v>1927.35</v>
      </c>
      <c r="G2427" s="7" t="s">
        <v>387</v>
      </c>
    </row>
    <row r="2428" spans="1:7" x14ac:dyDescent="0.3">
      <c r="A2428" s="7" t="s">
        <v>2795</v>
      </c>
      <c r="B2428" s="7" t="s">
        <v>75</v>
      </c>
      <c r="C2428" s="7" t="s">
        <v>355</v>
      </c>
      <c r="D2428" s="9">
        <v>46002</v>
      </c>
      <c r="E2428" s="9">
        <v>46032</v>
      </c>
      <c r="F2428" s="3">
        <v>9937.75</v>
      </c>
      <c r="G2428" s="7" t="s">
        <v>369</v>
      </c>
    </row>
    <row r="2429" spans="1:7" x14ac:dyDescent="0.3">
      <c r="A2429" s="7" t="s">
        <v>2796</v>
      </c>
      <c r="B2429" s="7" t="s">
        <v>98</v>
      </c>
      <c r="C2429" s="7" t="s">
        <v>349</v>
      </c>
      <c r="D2429" s="9">
        <v>45988</v>
      </c>
      <c r="E2429" s="9">
        <v>46018</v>
      </c>
      <c r="F2429" s="3">
        <v>3258.95</v>
      </c>
      <c r="G2429" s="7" t="s">
        <v>387</v>
      </c>
    </row>
    <row r="2430" spans="1:7" x14ac:dyDescent="0.3">
      <c r="A2430" s="7" t="s">
        <v>2797</v>
      </c>
      <c r="B2430" s="7" t="s">
        <v>110</v>
      </c>
      <c r="C2430" s="7" t="s">
        <v>349</v>
      </c>
      <c r="D2430" s="9">
        <v>45966</v>
      </c>
      <c r="E2430" s="9">
        <v>45996</v>
      </c>
      <c r="F2430" s="3">
        <v>2926.23</v>
      </c>
      <c r="G2430" s="7" t="s">
        <v>367</v>
      </c>
    </row>
    <row r="2431" spans="1:7" x14ac:dyDescent="0.3">
      <c r="A2431" s="7" t="s">
        <v>2798</v>
      </c>
      <c r="B2431" s="7" t="s">
        <v>98</v>
      </c>
      <c r="C2431" s="7" t="s">
        <v>355</v>
      </c>
      <c r="D2431" s="9">
        <v>46045</v>
      </c>
      <c r="E2431" s="9">
        <v>46075</v>
      </c>
      <c r="F2431" s="3">
        <v>13575.88</v>
      </c>
      <c r="G2431" s="7" t="s">
        <v>367</v>
      </c>
    </row>
    <row r="2432" spans="1:7" x14ac:dyDescent="0.3">
      <c r="A2432" s="7" t="s">
        <v>2799</v>
      </c>
      <c r="B2432" s="7" t="s">
        <v>20</v>
      </c>
      <c r="C2432" s="7" t="s">
        <v>357</v>
      </c>
      <c r="D2432" s="9">
        <v>46093</v>
      </c>
      <c r="E2432" s="9">
        <v>46123</v>
      </c>
      <c r="F2432" s="3">
        <v>3680.98</v>
      </c>
      <c r="G2432" s="7" t="s">
        <v>369</v>
      </c>
    </row>
    <row r="2433" spans="1:7" x14ac:dyDescent="0.3">
      <c r="A2433" s="7" t="s">
        <v>2800</v>
      </c>
      <c r="B2433" s="7" t="s">
        <v>21</v>
      </c>
      <c r="C2433" s="7" t="s">
        <v>351</v>
      </c>
      <c r="D2433" s="9">
        <v>46048</v>
      </c>
      <c r="E2433" s="9">
        <v>46078</v>
      </c>
      <c r="F2433" s="3">
        <v>5694.14</v>
      </c>
      <c r="G2433" s="7" t="s">
        <v>369</v>
      </c>
    </row>
    <row r="2434" spans="1:7" x14ac:dyDescent="0.3">
      <c r="A2434" s="7" t="s">
        <v>2801</v>
      </c>
      <c r="B2434" s="7" t="s">
        <v>123</v>
      </c>
      <c r="C2434" s="7" t="s">
        <v>359</v>
      </c>
      <c r="D2434" s="9">
        <v>46058</v>
      </c>
      <c r="E2434" s="9">
        <v>46088</v>
      </c>
      <c r="F2434" s="3">
        <v>1561.65</v>
      </c>
      <c r="G2434" s="7" t="s">
        <v>367</v>
      </c>
    </row>
    <row r="2435" spans="1:7" x14ac:dyDescent="0.3">
      <c r="A2435" s="7" t="s">
        <v>2802</v>
      </c>
      <c r="B2435" s="7" t="s">
        <v>89</v>
      </c>
      <c r="C2435" s="7" t="s">
        <v>351</v>
      </c>
      <c r="D2435" s="9">
        <v>45964</v>
      </c>
      <c r="E2435" s="9">
        <v>45994</v>
      </c>
      <c r="F2435" s="3">
        <v>5591.11</v>
      </c>
      <c r="G2435" s="7" t="s">
        <v>367</v>
      </c>
    </row>
    <row r="2436" spans="1:7" x14ac:dyDescent="0.3">
      <c r="A2436" s="7" t="s">
        <v>2803</v>
      </c>
      <c r="B2436" s="7" t="s">
        <v>103</v>
      </c>
      <c r="C2436" s="7" t="s">
        <v>359</v>
      </c>
      <c r="D2436" s="9">
        <v>46049</v>
      </c>
      <c r="E2436" s="9">
        <v>46079</v>
      </c>
      <c r="F2436" s="3">
        <v>1493.33</v>
      </c>
      <c r="G2436" s="7" t="s">
        <v>369</v>
      </c>
    </row>
    <row r="2437" spans="1:7" x14ac:dyDescent="0.3">
      <c r="A2437" s="7" t="s">
        <v>2804</v>
      </c>
      <c r="B2437" s="7" t="s">
        <v>64</v>
      </c>
      <c r="C2437" s="7" t="s">
        <v>353</v>
      </c>
      <c r="D2437" s="9">
        <v>46056</v>
      </c>
      <c r="E2437" s="9">
        <v>46086</v>
      </c>
      <c r="F2437" s="3">
        <v>2342.44</v>
      </c>
      <c r="G2437" s="7" t="s">
        <v>367</v>
      </c>
    </row>
    <row r="2438" spans="1:7" x14ac:dyDescent="0.3">
      <c r="A2438" s="7" t="s">
        <v>2805</v>
      </c>
      <c r="B2438" s="7" t="s">
        <v>24</v>
      </c>
      <c r="C2438" s="7" t="s">
        <v>359</v>
      </c>
      <c r="D2438" s="9">
        <v>46011</v>
      </c>
      <c r="E2438" s="9">
        <v>46041</v>
      </c>
      <c r="F2438" s="3">
        <v>1625.7</v>
      </c>
      <c r="G2438" s="7" t="s">
        <v>367</v>
      </c>
    </row>
    <row r="2439" spans="1:7" x14ac:dyDescent="0.3">
      <c r="A2439" s="7" t="s">
        <v>2806</v>
      </c>
      <c r="B2439" s="7" t="s">
        <v>79</v>
      </c>
      <c r="C2439" s="7" t="s">
        <v>351</v>
      </c>
      <c r="D2439" s="9">
        <v>46097</v>
      </c>
      <c r="E2439" s="9">
        <v>46127</v>
      </c>
      <c r="F2439" s="3">
        <v>5043.5600000000004</v>
      </c>
      <c r="G2439" s="7" t="s">
        <v>369</v>
      </c>
    </row>
    <row r="2440" spans="1:7" x14ac:dyDescent="0.3">
      <c r="A2440" s="7" t="s">
        <v>2807</v>
      </c>
      <c r="B2440" s="7" t="s">
        <v>88</v>
      </c>
      <c r="C2440" s="7" t="s">
        <v>353</v>
      </c>
      <c r="D2440" s="9">
        <v>45979</v>
      </c>
      <c r="E2440" s="9">
        <v>46009</v>
      </c>
      <c r="F2440" s="3">
        <v>2713.8</v>
      </c>
      <c r="G2440" s="7" t="s">
        <v>367</v>
      </c>
    </row>
    <row r="2441" spans="1:7" x14ac:dyDescent="0.3">
      <c r="A2441" s="7" t="s">
        <v>2808</v>
      </c>
      <c r="B2441" s="7" t="s">
        <v>102</v>
      </c>
      <c r="C2441" s="7" t="s">
        <v>353</v>
      </c>
      <c r="D2441" s="9">
        <v>46069</v>
      </c>
      <c r="E2441" s="9">
        <v>46099</v>
      </c>
      <c r="F2441" s="3">
        <v>2475.2800000000002</v>
      </c>
      <c r="G2441" s="7" t="s">
        <v>367</v>
      </c>
    </row>
    <row r="2442" spans="1:7" x14ac:dyDescent="0.3">
      <c r="A2442" s="7" t="s">
        <v>2809</v>
      </c>
      <c r="B2442" s="7" t="s">
        <v>39</v>
      </c>
      <c r="C2442" s="7" t="s">
        <v>359</v>
      </c>
      <c r="D2442" s="9">
        <v>45968</v>
      </c>
      <c r="E2442" s="9">
        <v>45998</v>
      </c>
      <c r="F2442" s="3">
        <v>1532.56</v>
      </c>
      <c r="G2442" s="7" t="s">
        <v>369</v>
      </c>
    </row>
    <row r="2443" spans="1:7" x14ac:dyDescent="0.3">
      <c r="A2443" s="7" t="s">
        <v>2810</v>
      </c>
      <c r="B2443" s="7" t="s">
        <v>25</v>
      </c>
      <c r="C2443" s="7" t="s">
        <v>359</v>
      </c>
      <c r="D2443" s="9">
        <v>46068</v>
      </c>
      <c r="E2443" s="9">
        <v>46098</v>
      </c>
      <c r="F2443" s="3">
        <v>1604.1</v>
      </c>
      <c r="G2443" s="7" t="s">
        <v>367</v>
      </c>
    </row>
    <row r="2444" spans="1:7" x14ac:dyDescent="0.3">
      <c r="A2444" s="7" t="s">
        <v>2811</v>
      </c>
      <c r="B2444" s="7" t="s">
        <v>118</v>
      </c>
      <c r="C2444" s="7" t="s">
        <v>357</v>
      </c>
      <c r="D2444" s="9">
        <v>46087</v>
      </c>
      <c r="E2444" s="9">
        <v>46117</v>
      </c>
      <c r="F2444" s="3">
        <v>2816.89</v>
      </c>
      <c r="G2444" s="7" t="s">
        <v>367</v>
      </c>
    </row>
    <row r="2445" spans="1:7" x14ac:dyDescent="0.3">
      <c r="A2445" s="7" t="s">
        <v>2812</v>
      </c>
      <c r="B2445" s="7" t="s">
        <v>89</v>
      </c>
      <c r="C2445" s="7" t="s">
        <v>357</v>
      </c>
      <c r="D2445" s="9">
        <v>46002</v>
      </c>
      <c r="E2445" s="9">
        <v>46032</v>
      </c>
      <c r="F2445" s="3">
        <v>3368.18</v>
      </c>
      <c r="G2445" s="7" t="s">
        <v>387</v>
      </c>
    </row>
    <row r="2446" spans="1:7" x14ac:dyDescent="0.3">
      <c r="A2446" s="7" t="s">
        <v>2813</v>
      </c>
      <c r="B2446" s="7" t="s">
        <v>55</v>
      </c>
      <c r="C2446" s="7" t="s">
        <v>351</v>
      </c>
      <c r="D2446" s="9">
        <v>46111</v>
      </c>
      <c r="E2446" s="9">
        <v>46141</v>
      </c>
      <c r="F2446" s="3">
        <v>5174.2700000000004</v>
      </c>
      <c r="G2446" s="7" t="s">
        <v>367</v>
      </c>
    </row>
    <row r="2447" spans="1:7" x14ac:dyDescent="0.3">
      <c r="A2447" s="7" t="s">
        <v>2814</v>
      </c>
      <c r="B2447" s="7" t="s">
        <v>68</v>
      </c>
      <c r="C2447" s="7" t="s">
        <v>355</v>
      </c>
      <c r="D2447" s="9">
        <v>45962</v>
      </c>
      <c r="E2447" s="9">
        <v>45992</v>
      </c>
      <c r="F2447" s="3">
        <v>12712.21</v>
      </c>
      <c r="G2447" s="7" t="s">
        <v>367</v>
      </c>
    </row>
    <row r="2448" spans="1:7" x14ac:dyDescent="0.3">
      <c r="A2448" s="7" t="s">
        <v>2815</v>
      </c>
      <c r="B2448" s="7" t="s">
        <v>33</v>
      </c>
      <c r="C2448" s="7" t="s">
        <v>355</v>
      </c>
      <c r="D2448" s="9">
        <v>46029</v>
      </c>
      <c r="E2448" s="9">
        <v>46059</v>
      </c>
      <c r="F2448" s="3">
        <v>9668.32</v>
      </c>
      <c r="G2448" s="7" t="s">
        <v>367</v>
      </c>
    </row>
    <row r="2449" spans="1:7" x14ac:dyDescent="0.3">
      <c r="A2449" s="7" t="s">
        <v>2816</v>
      </c>
      <c r="B2449" s="7" t="s">
        <v>90</v>
      </c>
      <c r="C2449" s="7" t="s">
        <v>351</v>
      </c>
      <c r="D2449" s="9">
        <v>46002</v>
      </c>
      <c r="E2449" s="9">
        <v>46032</v>
      </c>
      <c r="F2449" s="3">
        <v>4300.18</v>
      </c>
      <c r="G2449" s="7" t="s">
        <v>369</v>
      </c>
    </row>
    <row r="2450" spans="1:7" x14ac:dyDescent="0.3">
      <c r="A2450" s="7" t="s">
        <v>2817</v>
      </c>
      <c r="B2450" s="7" t="s">
        <v>123</v>
      </c>
      <c r="C2450" s="7" t="s">
        <v>351</v>
      </c>
      <c r="D2450" s="9">
        <v>46022</v>
      </c>
      <c r="E2450" s="9">
        <v>46052</v>
      </c>
      <c r="F2450" s="3">
        <v>4713</v>
      </c>
      <c r="G2450" s="7" t="s">
        <v>369</v>
      </c>
    </row>
    <row r="2451" spans="1:7" x14ac:dyDescent="0.3">
      <c r="A2451" s="7" t="s">
        <v>2818</v>
      </c>
      <c r="B2451" s="7" t="s">
        <v>101</v>
      </c>
      <c r="C2451" s="7" t="s">
        <v>349</v>
      </c>
      <c r="D2451" s="9">
        <v>46102</v>
      </c>
      <c r="E2451" s="9">
        <v>46132</v>
      </c>
      <c r="F2451" s="3">
        <v>3407.97</v>
      </c>
      <c r="G2451" s="7" t="s">
        <v>369</v>
      </c>
    </row>
    <row r="2452" spans="1:7" x14ac:dyDescent="0.3">
      <c r="A2452" s="7" t="s">
        <v>2819</v>
      </c>
      <c r="B2452" s="7" t="s">
        <v>49</v>
      </c>
      <c r="C2452" s="7" t="s">
        <v>351</v>
      </c>
      <c r="D2452" s="9">
        <v>46092</v>
      </c>
      <c r="E2452" s="9">
        <v>46122</v>
      </c>
      <c r="F2452" s="3">
        <v>4727.12</v>
      </c>
      <c r="G2452" s="7" t="s">
        <v>367</v>
      </c>
    </row>
    <row r="2453" spans="1:7" x14ac:dyDescent="0.3">
      <c r="A2453" s="7" t="s">
        <v>2820</v>
      </c>
      <c r="B2453" s="7" t="s">
        <v>75</v>
      </c>
      <c r="C2453" s="7" t="s">
        <v>357</v>
      </c>
      <c r="D2453" s="9">
        <v>45970</v>
      </c>
      <c r="E2453" s="9">
        <v>46000</v>
      </c>
      <c r="F2453" s="3">
        <v>2894.08</v>
      </c>
      <c r="G2453" s="7" t="s">
        <v>369</v>
      </c>
    </row>
    <row r="2454" spans="1:7" x14ac:dyDescent="0.3">
      <c r="A2454" s="7" t="s">
        <v>2821</v>
      </c>
      <c r="B2454" s="7" t="s">
        <v>38</v>
      </c>
      <c r="C2454" s="7" t="s">
        <v>349</v>
      </c>
      <c r="D2454" s="9">
        <v>45980</v>
      </c>
      <c r="E2454" s="9">
        <v>46010</v>
      </c>
      <c r="F2454" s="3">
        <v>3564.52</v>
      </c>
      <c r="G2454" s="7" t="s">
        <v>367</v>
      </c>
    </row>
    <row r="2455" spans="1:7" x14ac:dyDescent="0.3">
      <c r="A2455" s="7" t="s">
        <v>2822</v>
      </c>
      <c r="B2455" s="7" t="s">
        <v>90</v>
      </c>
      <c r="C2455" s="7" t="s">
        <v>351</v>
      </c>
      <c r="D2455" s="9">
        <v>46032</v>
      </c>
      <c r="E2455" s="9">
        <v>46062</v>
      </c>
      <c r="F2455" s="3">
        <v>4512.1400000000003</v>
      </c>
      <c r="G2455" s="7" t="s">
        <v>367</v>
      </c>
    </row>
    <row r="2456" spans="1:7" x14ac:dyDescent="0.3">
      <c r="A2456" s="7" t="s">
        <v>2823</v>
      </c>
      <c r="B2456" s="7" t="s">
        <v>84</v>
      </c>
      <c r="C2456" s="7" t="s">
        <v>351</v>
      </c>
      <c r="D2456" s="9">
        <v>46089</v>
      </c>
      <c r="E2456" s="9">
        <v>46119</v>
      </c>
      <c r="F2456" s="3">
        <v>4456.68</v>
      </c>
      <c r="G2456" s="7" t="s">
        <v>367</v>
      </c>
    </row>
    <row r="2457" spans="1:7" x14ac:dyDescent="0.3">
      <c r="A2457" s="7" t="s">
        <v>2824</v>
      </c>
      <c r="B2457" s="7" t="s">
        <v>113</v>
      </c>
      <c r="C2457" s="7" t="s">
        <v>353</v>
      </c>
      <c r="D2457" s="9">
        <v>46017</v>
      </c>
      <c r="E2457" s="9">
        <v>46047</v>
      </c>
      <c r="F2457" s="3">
        <v>2551.98</v>
      </c>
      <c r="G2457" s="7" t="s">
        <v>367</v>
      </c>
    </row>
    <row r="2458" spans="1:7" x14ac:dyDescent="0.3">
      <c r="A2458" s="7" t="s">
        <v>2825</v>
      </c>
      <c r="B2458" s="7" t="s">
        <v>33</v>
      </c>
      <c r="C2458" s="7" t="s">
        <v>349</v>
      </c>
      <c r="D2458" s="9">
        <v>45990</v>
      </c>
      <c r="E2458" s="9">
        <v>46020</v>
      </c>
      <c r="F2458" s="3">
        <v>3487.37</v>
      </c>
      <c r="G2458" s="7" t="s">
        <v>367</v>
      </c>
    </row>
    <row r="2459" spans="1:7" x14ac:dyDescent="0.3">
      <c r="A2459" s="7" t="s">
        <v>2826</v>
      </c>
      <c r="B2459" s="7" t="s">
        <v>19</v>
      </c>
      <c r="C2459" s="7" t="s">
        <v>351</v>
      </c>
      <c r="D2459" s="9">
        <v>46072</v>
      </c>
      <c r="E2459" s="9">
        <v>46102</v>
      </c>
      <c r="F2459" s="3">
        <v>4487.88</v>
      </c>
      <c r="G2459" s="7" t="s">
        <v>367</v>
      </c>
    </row>
    <row r="2460" spans="1:7" x14ac:dyDescent="0.3">
      <c r="A2460" s="7" t="s">
        <v>2827</v>
      </c>
      <c r="B2460" s="7" t="s">
        <v>16</v>
      </c>
      <c r="C2460" s="7" t="s">
        <v>357</v>
      </c>
      <c r="D2460" s="9">
        <v>45996</v>
      </c>
      <c r="E2460" s="9">
        <v>46026</v>
      </c>
      <c r="F2460" s="3">
        <v>4034.3</v>
      </c>
      <c r="G2460" s="7" t="s">
        <v>369</v>
      </c>
    </row>
    <row r="2461" spans="1:7" x14ac:dyDescent="0.3">
      <c r="A2461" s="7" t="s">
        <v>2828</v>
      </c>
      <c r="B2461" s="7" t="s">
        <v>19</v>
      </c>
      <c r="C2461" s="7" t="s">
        <v>351</v>
      </c>
      <c r="D2461" s="9">
        <v>46094</v>
      </c>
      <c r="E2461" s="9">
        <v>46124</v>
      </c>
      <c r="F2461" s="3">
        <v>4956.6000000000004</v>
      </c>
      <c r="G2461" s="7" t="s">
        <v>367</v>
      </c>
    </row>
    <row r="2462" spans="1:7" x14ac:dyDescent="0.3">
      <c r="A2462" s="7" t="s">
        <v>2829</v>
      </c>
      <c r="B2462" s="7" t="s">
        <v>8</v>
      </c>
      <c r="C2462" s="7" t="s">
        <v>357</v>
      </c>
      <c r="D2462" s="9">
        <v>45997</v>
      </c>
      <c r="E2462" s="9">
        <v>46027</v>
      </c>
      <c r="F2462" s="3">
        <v>3625.13</v>
      </c>
      <c r="G2462" s="7" t="s">
        <v>367</v>
      </c>
    </row>
    <row r="2463" spans="1:7" x14ac:dyDescent="0.3">
      <c r="A2463" s="7" t="s">
        <v>2830</v>
      </c>
      <c r="B2463" s="7" t="s">
        <v>106</v>
      </c>
      <c r="C2463" s="7" t="s">
        <v>357</v>
      </c>
      <c r="D2463" s="9">
        <v>46022</v>
      </c>
      <c r="E2463" s="9">
        <v>46052</v>
      </c>
      <c r="F2463" s="3">
        <v>3401.66</v>
      </c>
      <c r="G2463" s="7" t="s">
        <v>369</v>
      </c>
    </row>
    <row r="2464" spans="1:7" x14ac:dyDescent="0.3">
      <c r="A2464" s="7" t="s">
        <v>2831</v>
      </c>
      <c r="B2464" s="7" t="s">
        <v>65</v>
      </c>
      <c r="C2464" s="7" t="s">
        <v>359</v>
      </c>
      <c r="D2464" s="9">
        <v>46096</v>
      </c>
      <c r="E2464" s="9">
        <v>46126</v>
      </c>
      <c r="F2464" s="3">
        <v>1580.26</v>
      </c>
      <c r="G2464" s="7" t="s">
        <v>367</v>
      </c>
    </row>
    <row r="2465" spans="1:7" x14ac:dyDescent="0.3">
      <c r="A2465" s="7" t="s">
        <v>2832</v>
      </c>
      <c r="B2465" s="7" t="s">
        <v>87</v>
      </c>
      <c r="C2465" s="7" t="s">
        <v>349</v>
      </c>
      <c r="D2465" s="9">
        <v>46048</v>
      </c>
      <c r="E2465" s="9">
        <v>46078</v>
      </c>
      <c r="F2465" s="3">
        <v>2702.1</v>
      </c>
      <c r="G2465" s="7" t="s">
        <v>367</v>
      </c>
    </row>
    <row r="2466" spans="1:7" x14ac:dyDescent="0.3">
      <c r="A2466" s="7" t="s">
        <v>2833</v>
      </c>
      <c r="B2466" s="7" t="s">
        <v>89</v>
      </c>
      <c r="C2466" s="7" t="s">
        <v>351</v>
      </c>
      <c r="D2466" s="9">
        <v>46047</v>
      </c>
      <c r="E2466" s="9">
        <v>46077</v>
      </c>
      <c r="F2466" s="3">
        <v>4657.28</v>
      </c>
      <c r="G2466" s="7" t="s">
        <v>367</v>
      </c>
    </row>
    <row r="2467" spans="1:7" x14ac:dyDescent="0.3">
      <c r="A2467" s="7" t="s">
        <v>2834</v>
      </c>
      <c r="B2467" s="7" t="s">
        <v>93</v>
      </c>
      <c r="C2467" s="7" t="s">
        <v>353</v>
      </c>
      <c r="D2467" s="9">
        <v>46004</v>
      </c>
      <c r="E2467" s="9">
        <v>46034</v>
      </c>
      <c r="F2467" s="3">
        <v>2264.1999999999998</v>
      </c>
      <c r="G2467" s="7" t="s">
        <v>367</v>
      </c>
    </row>
    <row r="2468" spans="1:7" x14ac:dyDescent="0.3">
      <c r="A2468" s="7" t="s">
        <v>2835</v>
      </c>
      <c r="B2468" s="7" t="s">
        <v>103</v>
      </c>
      <c r="C2468" s="7" t="s">
        <v>357</v>
      </c>
      <c r="D2468" s="9">
        <v>45984</v>
      </c>
      <c r="E2468" s="9">
        <v>46014</v>
      </c>
      <c r="F2468" s="3">
        <v>3504.29</v>
      </c>
      <c r="G2468" s="7" t="s">
        <v>367</v>
      </c>
    </row>
    <row r="2469" spans="1:7" x14ac:dyDescent="0.3">
      <c r="A2469" s="7" t="s">
        <v>2836</v>
      </c>
      <c r="B2469" s="7" t="s">
        <v>27</v>
      </c>
      <c r="C2469" s="7" t="s">
        <v>351</v>
      </c>
      <c r="D2469" s="9">
        <v>46103</v>
      </c>
      <c r="E2469" s="9">
        <v>46133</v>
      </c>
      <c r="F2469" s="3">
        <v>4975.16</v>
      </c>
      <c r="G2469" s="7" t="s">
        <v>367</v>
      </c>
    </row>
    <row r="2470" spans="1:7" x14ac:dyDescent="0.3">
      <c r="A2470" s="7" t="s">
        <v>2837</v>
      </c>
      <c r="B2470" s="7" t="s">
        <v>117</v>
      </c>
      <c r="C2470" s="7" t="s">
        <v>351</v>
      </c>
      <c r="D2470" s="9">
        <v>45970</v>
      </c>
      <c r="E2470" s="9">
        <v>46000</v>
      </c>
      <c r="F2470" s="3">
        <v>4131.12</v>
      </c>
      <c r="G2470" s="7" t="s">
        <v>367</v>
      </c>
    </row>
    <row r="2471" spans="1:7" x14ac:dyDescent="0.3">
      <c r="A2471" s="7" t="s">
        <v>2838</v>
      </c>
      <c r="B2471" s="7" t="s">
        <v>31</v>
      </c>
      <c r="C2471" s="7" t="s">
        <v>355</v>
      </c>
      <c r="D2471" s="9">
        <v>46020</v>
      </c>
      <c r="E2471" s="9">
        <v>46050</v>
      </c>
      <c r="F2471" s="3">
        <v>11243.67</v>
      </c>
      <c r="G2471" s="7" t="s">
        <v>369</v>
      </c>
    </row>
    <row r="2472" spans="1:7" x14ac:dyDescent="0.3">
      <c r="A2472" s="7" t="s">
        <v>2839</v>
      </c>
      <c r="B2472" s="7" t="s">
        <v>47</v>
      </c>
      <c r="C2472" s="7" t="s">
        <v>349</v>
      </c>
      <c r="D2472" s="9">
        <v>46060</v>
      </c>
      <c r="E2472" s="9">
        <v>46090</v>
      </c>
      <c r="F2472" s="3">
        <v>3315.42</v>
      </c>
      <c r="G2472" s="7" t="s">
        <v>367</v>
      </c>
    </row>
    <row r="2473" spans="1:7" x14ac:dyDescent="0.3">
      <c r="A2473" s="7" t="s">
        <v>2840</v>
      </c>
      <c r="B2473" s="7" t="s">
        <v>33</v>
      </c>
      <c r="C2473" s="7" t="s">
        <v>357</v>
      </c>
      <c r="D2473" s="9">
        <v>46103</v>
      </c>
      <c r="E2473" s="9">
        <v>46133</v>
      </c>
      <c r="F2473" s="3">
        <v>3460.63</v>
      </c>
      <c r="G2473" s="7" t="s">
        <v>369</v>
      </c>
    </row>
    <row r="2474" spans="1:7" x14ac:dyDescent="0.3">
      <c r="A2474" s="7" t="s">
        <v>2841</v>
      </c>
      <c r="B2474" s="7" t="s">
        <v>57</v>
      </c>
      <c r="C2474" s="7" t="s">
        <v>357</v>
      </c>
      <c r="D2474" s="9">
        <v>45983</v>
      </c>
      <c r="E2474" s="9">
        <v>46013</v>
      </c>
      <c r="F2474" s="3">
        <v>3740.64</v>
      </c>
      <c r="G2474" s="7" t="s">
        <v>367</v>
      </c>
    </row>
    <row r="2475" spans="1:7" x14ac:dyDescent="0.3">
      <c r="A2475" s="7" t="s">
        <v>2842</v>
      </c>
      <c r="B2475" s="7" t="s">
        <v>73</v>
      </c>
      <c r="C2475" s="7" t="s">
        <v>351</v>
      </c>
      <c r="D2475" s="9">
        <v>46032</v>
      </c>
      <c r="E2475" s="9">
        <v>46062</v>
      </c>
      <c r="F2475" s="3">
        <v>5704.71</v>
      </c>
      <c r="G2475" s="7" t="s">
        <v>367</v>
      </c>
    </row>
    <row r="2476" spans="1:7" x14ac:dyDescent="0.3">
      <c r="A2476" s="7" t="s">
        <v>2843</v>
      </c>
      <c r="B2476" s="7" t="s">
        <v>41</v>
      </c>
      <c r="C2476" s="7" t="s">
        <v>355</v>
      </c>
      <c r="D2476" s="9">
        <v>45987</v>
      </c>
      <c r="E2476" s="9">
        <v>46017</v>
      </c>
      <c r="F2476" s="3">
        <v>12736.76</v>
      </c>
      <c r="G2476" s="7" t="s">
        <v>369</v>
      </c>
    </row>
    <row r="2477" spans="1:7" x14ac:dyDescent="0.3">
      <c r="A2477" s="7" t="s">
        <v>2844</v>
      </c>
      <c r="B2477" s="7" t="s">
        <v>46</v>
      </c>
      <c r="C2477" s="7" t="s">
        <v>351</v>
      </c>
      <c r="D2477" s="9">
        <v>46065</v>
      </c>
      <c r="E2477" s="9">
        <v>46095</v>
      </c>
      <c r="F2477" s="3">
        <v>5865.69</v>
      </c>
      <c r="G2477" s="7" t="s">
        <v>367</v>
      </c>
    </row>
    <row r="2478" spans="1:7" x14ac:dyDescent="0.3">
      <c r="A2478" s="7" t="s">
        <v>2845</v>
      </c>
      <c r="B2478" s="7" t="s">
        <v>46</v>
      </c>
      <c r="C2478" s="7" t="s">
        <v>353</v>
      </c>
      <c r="D2478" s="9">
        <v>46070</v>
      </c>
      <c r="E2478" s="9">
        <v>46100</v>
      </c>
      <c r="F2478" s="3">
        <v>2726.71</v>
      </c>
      <c r="G2478" s="7" t="s">
        <v>367</v>
      </c>
    </row>
    <row r="2479" spans="1:7" x14ac:dyDescent="0.3">
      <c r="A2479" s="7" t="s">
        <v>2846</v>
      </c>
      <c r="B2479" s="7" t="s">
        <v>58</v>
      </c>
      <c r="C2479" s="7" t="s">
        <v>355</v>
      </c>
      <c r="D2479" s="9">
        <v>46073</v>
      </c>
      <c r="E2479" s="9">
        <v>46103</v>
      </c>
      <c r="F2479" s="3">
        <v>12303.77</v>
      </c>
      <c r="G2479" s="7" t="s">
        <v>367</v>
      </c>
    </row>
    <row r="2480" spans="1:7" x14ac:dyDescent="0.3">
      <c r="A2480" s="7" t="s">
        <v>2847</v>
      </c>
      <c r="B2480" s="7" t="s">
        <v>65</v>
      </c>
      <c r="C2480" s="7" t="s">
        <v>349</v>
      </c>
      <c r="D2480" s="9">
        <v>46001</v>
      </c>
      <c r="E2480" s="9">
        <v>46031</v>
      </c>
      <c r="F2480" s="3">
        <v>3562.42</v>
      </c>
      <c r="G2480" s="7" t="s">
        <v>369</v>
      </c>
    </row>
    <row r="2481" spans="1:7" x14ac:dyDescent="0.3">
      <c r="A2481" s="7" t="s">
        <v>2848</v>
      </c>
      <c r="B2481" s="7" t="s">
        <v>98</v>
      </c>
      <c r="C2481" s="7" t="s">
        <v>353</v>
      </c>
      <c r="D2481" s="9">
        <v>46043</v>
      </c>
      <c r="E2481" s="9">
        <v>46073</v>
      </c>
      <c r="F2481" s="3">
        <v>2019.48</v>
      </c>
      <c r="G2481" s="7" t="s">
        <v>367</v>
      </c>
    </row>
    <row r="2482" spans="1:7" x14ac:dyDescent="0.3">
      <c r="A2482" s="7" t="s">
        <v>2849</v>
      </c>
      <c r="B2482" s="7" t="s">
        <v>108</v>
      </c>
      <c r="C2482" s="7" t="s">
        <v>353</v>
      </c>
      <c r="D2482" s="9">
        <v>46100</v>
      </c>
      <c r="E2482" s="9">
        <v>46130</v>
      </c>
      <c r="F2482" s="3">
        <v>2294.8000000000002</v>
      </c>
      <c r="G2482" s="7" t="s">
        <v>367</v>
      </c>
    </row>
    <row r="2483" spans="1:7" x14ac:dyDescent="0.3">
      <c r="A2483" s="7" t="s">
        <v>2850</v>
      </c>
      <c r="B2483" s="7" t="s">
        <v>34</v>
      </c>
      <c r="C2483" s="7" t="s">
        <v>355</v>
      </c>
      <c r="D2483" s="9">
        <v>46069</v>
      </c>
      <c r="E2483" s="9">
        <v>46099</v>
      </c>
      <c r="F2483" s="3">
        <v>11163.29</v>
      </c>
      <c r="G2483" s="7" t="s">
        <v>367</v>
      </c>
    </row>
    <row r="2484" spans="1:7" x14ac:dyDescent="0.3">
      <c r="A2484" s="7" t="s">
        <v>2851</v>
      </c>
      <c r="B2484" s="7" t="s">
        <v>38</v>
      </c>
      <c r="C2484" s="7" t="s">
        <v>357</v>
      </c>
      <c r="D2484" s="9">
        <v>46084</v>
      </c>
      <c r="E2484" s="9">
        <v>46114</v>
      </c>
      <c r="F2484" s="3">
        <v>3504.12</v>
      </c>
      <c r="G2484" s="7" t="s">
        <v>367</v>
      </c>
    </row>
    <row r="2485" spans="1:7" x14ac:dyDescent="0.3">
      <c r="A2485" s="7" t="s">
        <v>2852</v>
      </c>
      <c r="B2485" s="7" t="s">
        <v>12</v>
      </c>
      <c r="C2485" s="7" t="s">
        <v>351</v>
      </c>
      <c r="D2485" s="9">
        <v>45969</v>
      </c>
      <c r="E2485" s="9">
        <v>45999</v>
      </c>
      <c r="F2485" s="3">
        <v>4650.97</v>
      </c>
      <c r="G2485" s="7" t="s">
        <v>367</v>
      </c>
    </row>
    <row r="2486" spans="1:7" x14ac:dyDescent="0.3">
      <c r="A2486" s="7" t="s">
        <v>2853</v>
      </c>
      <c r="B2486" s="7" t="s">
        <v>84</v>
      </c>
      <c r="C2486" s="7" t="s">
        <v>359</v>
      </c>
      <c r="D2486" s="9">
        <v>46101</v>
      </c>
      <c r="E2486" s="9">
        <v>46131</v>
      </c>
      <c r="F2486" s="3">
        <v>1720.85</v>
      </c>
      <c r="G2486" s="7" t="s">
        <v>367</v>
      </c>
    </row>
    <row r="2487" spans="1:7" x14ac:dyDescent="0.3">
      <c r="A2487" s="7" t="s">
        <v>2854</v>
      </c>
      <c r="B2487" s="7" t="s">
        <v>42</v>
      </c>
      <c r="C2487" s="7" t="s">
        <v>357</v>
      </c>
      <c r="D2487" s="9">
        <v>45970</v>
      </c>
      <c r="E2487" s="9">
        <v>46000</v>
      </c>
      <c r="F2487" s="3">
        <v>3325.03</v>
      </c>
      <c r="G2487" s="7" t="s">
        <v>367</v>
      </c>
    </row>
    <row r="2488" spans="1:7" x14ac:dyDescent="0.3">
      <c r="A2488" s="7" t="s">
        <v>2855</v>
      </c>
      <c r="B2488" s="7" t="s">
        <v>119</v>
      </c>
      <c r="C2488" s="7" t="s">
        <v>357</v>
      </c>
      <c r="D2488" s="9">
        <v>45987</v>
      </c>
      <c r="E2488" s="9">
        <v>46017</v>
      </c>
      <c r="F2488" s="3">
        <v>3317.23</v>
      </c>
      <c r="G2488" s="7" t="s">
        <v>367</v>
      </c>
    </row>
    <row r="2489" spans="1:7" x14ac:dyDescent="0.3">
      <c r="A2489" s="7" t="s">
        <v>2856</v>
      </c>
      <c r="B2489" s="7" t="s">
        <v>26</v>
      </c>
      <c r="C2489" s="7" t="s">
        <v>359</v>
      </c>
      <c r="D2489" s="9">
        <v>46090</v>
      </c>
      <c r="E2489" s="9">
        <v>46120</v>
      </c>
      <c r="F2489" s="3">
        <v>1493.27</v>
      </c>
      <c r="G2489" s="7" t="s">
        <v>367</v>
      </c>
    </row>
    <row r="2490" spans="1:7" x14ac:dyDescent="0.3">
      <c r="A2490" s="7" t="s">
        <v>2857</v>
      </c>
      <c r="B2490" s="7" t="s">
        <v>63</v>
      </c>
      <c r="C2490" s="7" t="s">
        <v>351</v>
      </c>
      <c r="D2490" s="9">
        <v>46044</v>
      </c>
      <c r="E2490" s="9">
        <v>46074</v>
      </c>
      <c r="F2490" s="3">
        <v>5179.62</v>
      </c>
      <c r="G2490" s="7" t="s">
        <v>367</v>
      </c>
    </row>
    <row r="2491" spans="1:7" x14ac:dyDescent="0.3">
      <c r="A2491" s="7" t="s">
        <v>2858</v>
      </c>
      <c r="B2491" s="7" t="s">
        <v>74</v>
      </c>
      <c r="C2491" s="7" t="s">
        <v>351</v>
      </c>
      <c r="D2491" s="9">
        <v>46108</v>
      </c>
      <c r="E2491" s="9">
        <v>46138</v>
      </c>
      <c r="F2491" s="3">
        <v>4655.68</v>
      </c>
      <c r="G2491" s="7" t="s">
        <v>367</v>
      </c>
    </row>
    <row r="2492" spans="1:7" x14ac:dyDescent="0.3">
      <c r="A2492" s="7" t="s">
        <v>2859</v>
      </c>
      <c r="B2492" s="7" t="s">
        <v>96</v>
      </c>
      <c r="C2492" s="7" t="s">
        <v>353</v>
      </c>
      <c r="D2492" s="9">
        <v>46085</v>
      </c>
      <c r="E2492" s="9">
        <v>46115</v>
      </c>
      <c r="F2492" s="3">
        <v>2689.57</v>
      </c>
      <c r="G2492" s="7" t="s">
        <v>369</v>
      </c>
    </row>
    <row r="2493" spans="1:7" x14ac:dyDescent="0.3">
      <c r="A2493" s="7" t="s">
        <v>2860</v>
      </c>
      <c r="B2493" s="7" t="s">
        <v>64</v>
      </c>
      <c r="C2493" s="7" t="s">
        <v>359</v>
      </c>
      <c r="D2493" s="9">
        <v>46010</v>
      </c>
      <c r="E2493" s="9">
        <v>46040</v>
      </c>
      <c r="F2493" s="3">
        <v>1972.12</v>
      </c>
      <c r="G2493" s="7" t="s">
        <v>369</v>
      </c>
    </row>
    <row r="2494" spans="1:7" x14ac:dyDescent="0.3">
      <c r="A2494" s="7" t="s">
        <v>2861</v>
      </c>
      <c r="B2494" s="7" t="s">
        <v>65</v>
      </c>
      <c r="C2494" s="7" t="s">
        <v>359</v>
      </c>
      <c r="D2494" s="9">
        <v>45981</v>
      </c>
      <c r="E2494" s="9">
        <v>46011</v>
      </c>
      <c r="F2494" s="3">
        <v>2076.9</v>
      </c>
      <c r="G2494" s="7" t="s">
        <v>367</v>
      </c>
    </row>
    <row r="2495" spans="1:7" x14ac:dyDescent="0.3">
      <c r="A2495" s="7" t="s">
        <v>2862</v>
      </c>
      <c r="B2495" s="7" t="s">
        <v>84</v>
      </c>
      <c r="C2495" s="7" t="s">
        <v>353</v>
      </c>
      <c r="D2495" s="9">
        <v>46064</v>
      </c>
      <c r="E2495" s="9">
        <v>46094</v>
      </c>
      <c r="F2495" s="3">
        <v>2333.0100000000002</v>
      </c>
      <c r="G2495" s="7" t="s">
        <v>367</v>
      </c>
    </row>
    <row r="2496" spans="1:7" x14ac:dyDescent="0.3">
      <c r="A2496" s="7" t="s">
        <v>2863</v>
      </c>
      <c r="B2496" s="7" t="s">
        <v>61</v>
      </c>
      <c r="C2496" s="7" t="s">
        <v>359</v>
      </c>
      <c r="D2496" s="9">
        <v>46049</v>
      </c>
      <c r="E2496" s="9">
        <v>46079</v>
      </c>
      <c r="F2496" s="3">
        <v>2111.5300000000002</v>
      </c>
      <c r="G2496" s="7" t="s">
        <v>367</v>
      </c>
    </row>
    <row r="2497" spans="1:7" x14ac:dyDescent="0.3">
      <c r="A2497" s="7" t="s">
        <v>2864</v>
      </c>
      <c r="B2497" s="7" t="s">
        <v>14</v>
      </c>
      <c r="C2497" s="7" t="s">
        <v>355</v>
      </c>
      <c r="D2497" s="9">
        <v>46098</v>
      </c>
      <c r="E2497" s="9">
        <v>46128</v>
      </c>
      <c r="F2497" s="3">
        <v>13469.11</v>
      </c>
      <c r="G2497" s="7" t="s">
        <v>369</v>
      </c>
    </row>
    <row r="2498" spans="1:7" x14ac:dyDescent="0.3">
      <c r="A2498" s="7" t="s">
        <v>2865</v>
      </c>
      <c r="B2498" s="7" t="s">
        <v>71</v>
      </c>
      <c r="C2498" s="7" t="s">
        <v>357</v>
      </c>
      <c r="D2498" s="9">
        <v>46097</v>
      </c>
      <c r="E2498" s="9">
        <v>46127</v>
      </c>
      <c r="F2498" s="3">
        <v>3322.86</v>
      </c>
      <c r="G2498" s="7" t="s">
        <v>387</v>
      </c>
    </row>
    <row r="2499" spans="1:7" x14ac:dyDescent="0.3">
      <c r="A2499" s="7" t="s">
        <v>2866</v>
      </c>
      <c r="B2499" s="7" t="s">
        <v>88</v>
      </c>
      <c r="C2499" s="7" t="s">
        <v>353</v>
      </c>
      <c r="D2499" s="9">
        <v>45983</v>
      </c>
      <c r="E2499" s="9">
        <v>46013</v>
      </c>
      <c r="F2499" s="3">
        <v>2790.14</v>
      </c>
      <c r="G2499" s="7" t="s">
        <v>367</v>
      </c>
    </row>
    <row r="2500" spans="1:7" x14ac:dyDescent="0.3">
      <c r="A2500" s="7" t="s">
        <v>2867</v>
      </c>
      <c r="B2500" s="7" t="s">
        <v>106</v>
      </c>
      <c r="C2500" s="7" t="s">
        <v>349</v>
      </c>
      <c r="D2500" s="9">
        <v>46001</v>
      </c>
      <c r="E2500" s="9">
        <v>46031</v>
      </c>
      <c r="F2500" s="3">
        <v>3281.32</v>
      </c>
      <c r="G2500" s="7" t="s">
        <v>387</v>
      </c>
    </row>
    <row r="2501" spans="1:7" x14ac:dyDescent="0.3">
      <c r="A2501" s="7" t="s">
        <v>2868</v>
      </c>
      <c r="B2501" s="7" t="s">
        <v>18</v>
      </c>
      <c r="C2501" s="7" t="s">
        <v>349</v>
      </c>
      <c r="D2501" s="9">
        <v>46069</v>
      </c>
      <c r="E2501" s="9">
        <v>46099</v>
      </c>
      <c r="F2501" s="3">
        <v>3038.11</v>
      </c>
      <c r="G2501" s="7" t="s">
        <v>369</v>
      </c>
    </row>
    <row r="2502" spans="1:7" x14ac:dyDescent="0.3">
      <c r="A2502" s="7" t="s">
        <v>2869</v>
      </c>
      <c r="B2502" s="7" t="s">
        <v>103</v>
      </c>
      <c r="C2502" s="7" t="s">
        <v>357</v>
      </c>
      <c r="D2502" s="9">
        <v>46076</v>
      </c>
      <c r="E2502" s="9">
        <v>46106</v>
      </c>
      <c r="F2502" s="3">
        <v>4091.5</v>
      </c>
      <c r="G2502" s="7" t="s">
        <v>387</v>
      </c>
    </row>
    <row r="2503" spans="1:7" x14ac:dyDescent="0.3">
      <c r="A2503" s="7" t="s">
        <v>2870</v>
      </c>
      <c r="B2503" s="7" t="s">
        <v>120</v>
      </c>
      <c r="C2503" s="7" t="s">
        <v>349</v>
      </c>
      <c r="D2503" s="9">
        <v>46074</v>
      </c>
      <c r="E2503" s="9">
        <v>46104</v>
      </c>
      <c r="F2503" s="3">
        <v>3320.54</v>
      </c>
      <c r="G2503" s="7" t="s">
        <v>367</v>
      </c>
    </row>
    <row r="2504" spans="1:7" x14ac:dyDescent="0.3">
      <c r="A2504" s="7" t="s">
        <v>2871</v>
      </c>
      <c r="B2504" s="7" t="s">
        <v>80</v>
      </c>
      <c r="C2504" s="7" t="s">
        <v>359</v>
      </c>
      <c r="D2504" s="9">
        <v>46088</v>
      </c>
      <c r="E2504" s="9">
        <v>46118</v>
      </c>
      <c r="F2504" s="3">
        <v>1549.59</v>
      </c>
      <c r="G2504" s="7" t="s">
        <v>367</v>
      </c>
    </row>
    <row r="2505" spans="1:7" x14ac:dyDescent="0.3">
      <c r="A2505" s="7" t="s">
        <v>2872</v>
      </c>
      <c r="B2505" s="7" t="s">
        <v>62</v>
      </c>
      <c r="C2505" s="7" t="s">
        <v>353</v>
      </c>
      <c r="D2505" s="9">
        <v>45973</v>
      </c>
      <c r="E2505" s="9">
        <v>46003</v>
      </c>
      <c r="F2505" s="3">
        <v>2454.0500000000002</v>
      </c>
      <c r="G2505" s="7" t="s">
        <v>367</v>
      </c>
    </row>
    <row r="2506" spans="1:7" x14ac:dyDescent="0.3">
      <c r="A2506" s="7" t="s">
        <v>2873</v>
      </c>
      <c r="B2506" s="7" t="s">
        <v>56</v>
      </c>
      <c r="C2506" s="7" t="s">
        <v>349</v>
      </c>
      <c r="D2506" s="9">
        <v>45997</v>
      </c>
      <c r="E2506" s="9">
        <v>46027</v>
      </c>
      <c r="F2506" s="3">
        <v>2881.76</v>
      </c>
      <c r="G2506" s="7" t="s">
        <v>367</v>
      </c>
    </row>
    <row r="2507" spans="1:7" x14ac:dyDescent="0.3">
      <c r="A2507" s="7" t="s">
        <v>2874</v>
      </c>
      <c r="B2507" s="7" t="s">
        <v>116</v>
      </c>
      <c r="C2507" s="7" t="s">
        <v>349</v>
      </c>
      <c r="D2507" s="9">
        <v>45969</v>
      </c>
      <c r="E2507" s="9">
        <v>45999</v>
      </c>
      <c r="F2507" s="3">
        <v>2410.25</v>
      </c>
      <c r="G2507" s="7" t="s">
        <v>367</v>
      </c>
    </row>
    <row r="2508" spans="1:7" x14ac:dyDescent="0.3">
      <c r="A2508" s="7" t="s">
        <v>2875</v>
      </c>
      <c r="B2508" s="7" t="s">
        <v>90</v>
      </c>
      <c r="C2508" s="7" t="s">
        <v>351</v>
      </c>
      <c r="D2508" s="9">
        <v>46108</v>
      </c>
      <c r="E2508" s="9">
        <v>46138</v>
      </c>
      <c r="F2508" s="3">
        <v>5168.75</v>
      </c>
      <c r="G2508" s="7" t="s">
        <v>367</v>
      </c>
    </row>
    <row r="2509" spans="1:7" x14ac:dyDescent="0.3">
      <c r="A2509" s="7" t="s">
        <v>2876</v>
      </c>
      <c r="B2509" s="7" t="s">
        <v>121</v>
      </c>
      <c r="C2509" s="7" t="s">
        <v>359</v>
      </c>
      <c r="D2509" s="9">
        <v>46027</v>
      </c>
      <c r="E2509" s="9">
        <v>46057</v>
      </c>
      <c r="F2509" s="3">
        <v>1584.24</v>
      </c>
      <c r="G2509" s="7" t="s">
        <v>369</v>
      </c>
    </row>
    <row r="2510" spans="1:7" x14ac:dyDescent="0.3">
      <c r="A2510" s="7" t="s">
        <v>2877</v>
      </c>
      <c r="B2510" s="7" t="s">
        <v>33</v>
      </c>
      <c r="C2510" s="7" t="s">
        <v>359</v>
      </c>
      <c r="D2510" s="9">
        <v>46063</v>
      </c>
      <c r="E2510" s="9">
        <v>46093</v>
      </c>
      <c r="F2510" s="3">
        <v>2064.42</v>
      </c>
      <c r="G2510" s="7" t="s">
        <v>369</v>
      </c>
    </row>
    <row r="2511" spans="1:7" x14ac:dyDescent="0.3">
      <c r="A2511" s="7" t="s">
        <v>2878</v>
      </c>
      <c r="B2511" s="7" t="s">
        <v>115</v>
      </c>
      <c r="C2511" s="7" t="s">
        <v>353</v>
      </c>
      <c r="D2511" s="9">
        <v>46108</v>
      </c>
      <c r="E2511" s="9">
        <v>46138</v>
      </c>
      <c r="F2511" s="3">
        <v>2181.59</v>
      </c>
      <c r="G2511" s="7" t="s">
        <v>367</v>
      </c>
    </row>
    <row r="2512" spans="1:7" x14ac:dyDescent="0.3">
      <c r="A2512" s="7" t="s">
        <v>2879</v>
      </c>
      <c r="B2512" s="7" t="s">
        <v>48</v>
      </c>
      <c r="C2512" s="7" t="s">
        <v>349</v>
      </c>
      <c r="D2512" s="9">
        <v>46020</v>
      </c>
      <c r="E2512" s="9">
        <v>46050</v>
      </c>
      <c r="F2512" s="3">
        <v>3335.36</v>
      </c>
      <c r="G2512" s="7" t="s">
        <v>387</v>
      </c>
    </row>
    <row r="2513" spans="1:7" x14ac:dyDescent="0.3">
      <c r="A2513" s="7" t="s">
        <v>2880</v>
      </c>
      <c r="B2513" s="7" t="s">
        <v>27</v>
      </c>
      <c r="C2513" s="7" t="s">
        <v>353</v>
      </c>
      <c r="D2513" s="9">
        <v>46086</v>
      </c>
      <c r="E2513" s="9">
        <v>46116</v>
      </c>
      <c r="F2513" s="3">
        <v>2928.47</v>
      </c>
      <c r="G2513" s="7" t="s">
        <v>367</v>
      </c>
    </row>
    <row r="2514" spans="1:7" x14ac:dyDescent="0.3">
      <c r="A2514" s="7" t="s">
        <v>2881</v>
      </c>
      <c r="B2514" s="7" t="s">
        <v>10</v>
      </c>
      <c r="C2514" s="7" t="s">
        <v>355</v>
      </c>
      <c r="D2514" s="9">
        <v>45973</v>
      </c>
      <c r="E2514" s="9">
        <v>46003</v>
      </c>
      <c r="F2514" s="3">
        <v>14356.82</v>
      </c>
      <c r="G2514" s="7" t="s">
        <v>369</v>
      </c>
    </row>
    <row r="2515" spans="1:7" x14ac:dyDescent="0.3">
      <c r="A2515" s="7" t="s">
        <v>2882</v>
      </c>
      <c r="B2515" s="7" t="s">
        <v>55</v>
      </c>
      <c r="C2515" s="7" t="s">
        <v>351</v>
      </c>
      <c r="D2515" s="9">
        <v>46054</v>
      </c>
      <c r="E2515" s="9">
        <v>46084</v>
      </c>
      <c r="F2515" s="3">
        <v>5755.28</v>
      </c>
      <c r="G2515" s="7" t="s">
        <v>369</v>
      </c>
    </row>
    <row r="2516" spans="1:7" x14ac:dyDescent="0.3">
      <c r="A2516" s="7" t="s">
        <v>2883</v>
      </c>
      <c r="B2516" s="7" t="s">
        <v>13</v>
      </c>
      <c r="C2516" s="7" t="s">
        <v>349</v>
      </c>
      <c r="D2516" s="9">
        <v>46086</v>
      </c>
      <c r="E2516" s="9">
        <v>46116</v>
      </c>
      <c r="F2516" s="3">
        <v>2932.74</v>
      </c>
      <c r="G2516" s="7" t="s">
        <v>367</v>
      </c>
    </row>
    <row r="2517" spans="1:7" x14ac:dyDescent="0.3">
      <c r="A2517" s="7" t="s">
        <v>2884</v>
      </c>
      <c r="B2517" s="7" t="s">
        <v>82</v>
      </c>
      <c r="C2517" s="7" t="s">
        <v>355</v>
      </c>
      <c r="D2517" s="9">
        <v>46072</v>
      </c>
      <c r="E2517" s="9">
        <v>46102</v>
      </c>
      <c r="F2517" s="3">
        <v>11705.02</v>
      </c>
      <c r="G2517" s="7" t="s">
        <v>369</v>
      </c>
    </row>
    <row r="2518" spans="1:7" x14ac:dyDescent="0.3">
      <c r="A2518" s="7" t="s">
        <v>2885</v>
      </c>
      <c r="B2518" s="7" t="s">
        <v>99</v>
      </c>
      <c r="C2518" s="7" t="s">
        <v>349</v>
      </c>
      <c r="D2518" s="9">
        <v>46055</v>
      </c>
      <c r="E2518" s="9">
        <v>46085</v>
      </c>
      <c r="F2518" s="3">
        <v>2511.42</v>
      </c>
      <c r="G2518" s="7" t="s">
        <v>369</v>
      </c>
    </row>
    <row r="2519" spans="1:7" x14ac:dyDescent="0.3">
      <c r="A2519" s="7" t="s">
        <v>2886</v>
      </c>
      <c r="B2519" s="7" t="s">
        <v>69</v>
      </c>
      <c r="C2519" s="7" t="s">
        <v>357</v>
      </c>
      <c r="D2519" s="9">
        <v>46099</v>
      </c>
      <c r="E2519" s="9">
        <v>46129</v>
      </c>
      <c r="F2519" s="3">
        <v>2970.39</v>
      </c>
      <c r="G2519" s="7" t="s">
        <v>367</v>
      </c>
    </row>
    <row r="2520" spans="1:7" x14ac:dyDescent="0.3">
      <c r="A2520" s="7" t="s">
        <v>2887</v>
      </c>
      <c r="B2520" s="7" t="s">
        <v>33</v>
      </c>
      <c r="C2520" s="7" t="s">
        <v>359</v>
      </c>
      <c r="D2520" s="9">
        <v>46070</v>
      </c>
      <c r="E2520" s="9">
        <v>46100</v>
      </c>
      <c r="F2520" s="3">
        <v>1875.49</v>
      </c>
      <c r="G2520" s="7" t="s">
        <v>367</v>
      </c>
    </row>
    <row r="2521" spans="1:7" x14ac:dyDescent="0.3">
      <c r="A2521" s="7" t="s">
        <v>2888</v>
      </c>
      <c r="B2521" s="7" t="s">
        <v>21</v>
      </c>
      <c r="C2521" s="7" t="s">
        <v>349</v>
      </c>
      <c r="D2521" s="9">
        <v>46029</v>
      </c>
      <c r="E2521" s="9">
        <v>46059</v>
      </c>
      <c r="F2521" s="3">
        <v>3359.75</v>
      </c>
      <c r="G2521" s="7" t="s">
        <v>367</v>
      </c>
    </row>
    <row r="2522" spans="1:7" x14ac:dyDescent="0.3">
      <c r="A2522" s="7" t="s">
        <v>2889</v>
      </c>
      <c r="B2522" s="7" t="s">
        <v>116</v>
      </c>
      <c r="C2522" s="7" t="s">
        <v>355</v>
      </c>
      <c r="D2522" s="9">
        <v>45966</v>
      </c>
      <c r="E2522" s="9">
        <v>45996</v>
      </c>
      <c r="F2522" s="3">
        <v>9677.5</v>
      </c>
      <c r="G2522" s="7" t="s">
        <v>367</v>
      </c>
    </row>
    <row r="2523" spans="1:7" x14ac:dyDescent="0.3">
      <c r="A2523" s="7" t="s">
        <v>2890</v>
      </c>
      <c r="B2523" s="7" t="s">
        <v>115</v>
      </c>
      <c r="C2523" s="7" t="s">
        <v>349</v>
      </c>
      <c r="D2523" s="9">
        <v>45967</v>
      </c>
      <c r="E2523" s="9">
        <v>45997</v>
      </c>
      <c r="F2523" s="3">
        <v>2825.62</v>
      </c>
      <c r="G2523" s="7" t="s">
        <v>367</v>
      </c>
    </row>
    <row r="2524" spans="1:7" x14ac:dyDescent="0.3">
      <c r="A2524" s="7" t="s">
        <v>2891</v>
      </c>
      <c r="B2524" s="7" t="s">
        <v>110</v>
      </c>
      <c r="C2524" s="7" t="s">
        <v>359</v>
      </c>
      <c r="D2524" s="9">
        <v>46085</v>
      </c>
      <c r="E2524" s="9">
        <v>46115</v>
      </c>
      <c r="F2524" s="3">
        <v>1656.5</v>
      </c>
      <c r="G2524" s="7" t="s">
        <v>367</v>
      </c>
    </row>
    <row r="2525" spans="1:7" x14ac:dyDescent="0.3">
      <c r="A2525" s="7" t="s">
        <v>2892</v>
      </c>
      <c r="B2525" s="7" t="s">
        <v>121</v>
      </c>
      <c r="C2525" s="7" t="s">
        <v>355</v>
      </c>
      <c r="D2525" s="9">
        <v>46027</v>
      </c>
      <c r="E2525" s="9">
        <v>46057</v>
      </c>
      <c r="F2525" s="3">
        <v>13804.52</v>
      </c>
      <c r="G2525" s="7" t="s">
        <v>367</v>
      </c>
    </row>
    <row r="2526" spans="1:7" x14ac:dyDescent="0.3">
      <c r="A2526" s="7" t="s">
        <v>2893</v>
      </c>
      <c r="B2526" s="7" t="s">
        <v>8</v>
      </c>
      <c r="C2526" s="7" t="s">
        <v>353</v>
      </c>
      <c r="D2526" s="9">
        <v>46015</v>
      </c>
      <c r="E2526" s="9">
        <v>46045</v>
      </c>
      <c r="F2526" s="3">
        <v>2045.37</v>
      </c>
      <c r="G2526" s="7" t="s">
        <v>367</v>
      </c>
    </row>
    <row r="2527" spans="1:7" x14ac:dyDescent="0.3">
      <c r="A2527" s="7" t="s">
        <v>2894</v>
      </c>
      <c r="B2527" s="7" t="s">
        <v>11</v>
      </c>
      <c r="C2527" s="7" t="s">
        <v>351</v>
      </c>
      <c r="D2527" s="9">
        <v>46008</v>
      </c>
      <c r="E2527" s="9">
        <v>46038</v>
      </c>
      <c r="F2527" s="3">
        <v>5037.24</v>
      </c>
      <c r="G2527" s="7" t="s">
        <v>367</v>
      </c>
    </row>
    <row r="2528" spans="1:7" x14ac:dyDescent="0.3">
      <c r="A2528" s="7" t="s">
        <v>2895</v>
      </c>
      <c r="B2528" s="7" t="s">
        <v>54</v>
      </c>
      <c r="C2528" s="7" t="s">
        <v>349</v>
      </c>
      <c r="D2528" s="9">
        <v>45973</v>
      </c>
      <c r="E2528" s="9">
        <v>46003</v>
      </c>
      <c r="F2528" s="3">
        <v>3115.45</v>
      </c>
      <c r="G2528" s="7" t="s">
        <v>367</v>
      </c>
    </row>
    <row r="2529" spans="1:7" x14ac:dyDescent="0.3">
      <c r="A2529" s="7" t="s">
        <v>2896</v>
      </c>
      <c r="B2529" s="7" t="s">
        <v>73</v>
      </c>
      <c r="C2529" s="7" t="s">
        <v>357</v>
      </c>
      <c r="D2529" s="9">
        <v>45962</v>
      </c>
      <c r="E2529" s="9">
        <v>45992</v>
      </c>
      <c r="F2529" s="3">
        <v>3380.83</v>
      </c>
      <c r="G2529" s="7" t="s">
        <v>367</v>
      </c>
    </row>
    <row r="2530" spans="1:7" x14ac:dyDescent="0.3">
      <c r="A2530" s="7" t="s">
        <v>2897</v>
      </c>
      <c r="B2530" s="7" t="s">
        <v>119</v>
      </c>
      <c r="C2530" s="7" t="s">
        <v>351</v>
      </c>
      <c r="D2530" s="9">
        <v>46052</v>
      </c>
      <c r="E2530" s="9">
        <v>46082</v>
      </c>
      <c r="F2530" s="3">
        <v>5483.93</v>
      </c>
      <c r="G2530" s="7" t="s">
        <v>367</v>
      </c>
    </row>
    <row r="2531" spans="1:7" x14ac:dyDescent="0.3">
      <c r="A2531" s="7" t="s">
        <v>2898</v>
      </c>
      <c r="B2531" s="7" t="s">
        <v>58</v>
      </c>
      <c r="C2531" s="7" t="s">
        <v>349</v>
      </c>
      <c r="D2531" s="9">
        <v>46102</v>
      </c>
      <c r="E2531" s="9">
        <v>46132</v>
      </c>
      <c r="F2531" s="3">
        <v>3343.87</v>
      </c>
      <c r="G2531" s="7" t="s">
        <v>367</v>
      </c>
    </row>
    <row r="2532" spans="1:7" x14ac:dyDescent="0.3">
      <c r="A2532" s="7" t="s">
        <v>2899</v>
      </c>
      <c r="B2532" s="7" t="s">
        <v>10</v>
      </c>
      <c r="C2532" s="7" t="s">
        <v>359</v>
      </c>
      <c r="D2532" s="9">
        <v>46054</v>
      </c>
      <c r="E2532" s="9">
        <v>46084</v>
      </c>
      <c r="F2532" s="3">
        <v>1708.69</v>
      </c>
      <c r="G2532" s="7" t="s">
        <v>367</v>
      </c>
    </row>
    <row r="2533" spans="1:7" x14ac:dyDescent="0.3">
      <c r="A2533" s="7" t="s">
        <v>2900</v>
      </c>
      <c r="B2533" s="7" t="s">
        <v>25</v>
      </c>
      <c r="C2533" s="7" t="s">
        <v>349</v>
      </c>
      <c r="D2533" s="9">
        <v>45965</v>
      </c>
      <c r="E2533" s="9">
        <v>45995</v>
      </c>
      <c r="F2533" s="3">
        <v>2797.9</v>
      </c>
      <c r="G2533" s="7" t="s">
        <v>367</v>
      </c>
    </row>
    <row r="2534" spans="1:7" x14ac:dyDescent="0.3">
      <c r="A2534" s="7" t="s">
        <v>2901</v>
      </c>
      <c r="B2534" s="7" t="s">
        <v>28</v>
      </c>
      <c r="C2534" s="7" t="s">
        <v>355</v>
      </c>
      <c r="D2534" s="9">
        <v>45975</v>
      </c>
      <c r="E2534" s="9">
        <v>46005</v>
      </c>
      <c r="F2534" s="3">
        <v>9823.2000000000007</v>
      </c>
      <c r="G2534" s="7" t="s">
        <v>367</v>
      </c>
    </row>
    <row r="2535" spans="1:7" x14ac:dyDescent="0.3">
      <c r="A2535" s="7" t="s">
        <v>2902</v>
      </c>
      <c r="B2535" s="7" t="s">
        <v>15</v>
      </c>
      <c r="C2535" s="7" t="s">
        <v>351</v>
      </c>
      <c r="D2535" s="9">
        <v>46065</v>
      </c>
      <c r="E2535" s="9">
        <v>46095</v>
      </c>
      <c r="F2535" s="3">
        <v>4200.2299999999996</v>
      </c>
      <c r="G2535" s="7" t="s">
        <v>367</v>
      </c>
    </row>
    <row r="2536" spans="1:7" x14ac:dyDescent="0.3">
      <c r="A2536" s="7" t="s">
        <v>2903</v>
      </c>
      <c r="B2536" s="7" t="s">
        <v>75</v>
      </c>
      <c r="C2536" s="7" t="s">
        <v>349</v>
      </c>
      <c r="D2536" s="9">
        <v>45983</v>
      </c>
      <c r="E2536" s="9">
        <v>46013</v>
      </c>
      <c r="F2536" s="3">
        <v>3562.48</v>
      </c>
      <c r="G2536" s="7" t="s">
        <v>369</v>
      </c>
    </row>
    <row r="2537" spans="1:7" x14ac:dyDescent="0.3">
      <c r="A2537" s="7" t="s">
        <v>2904</v>
      </c>
      <c r="B2537" s="7" t="s">
        <v>67</v>
      </c>
      <c r="C2537" s="7" t="s">
        <v>355</v>
      </c>
      <c r="D2537" s="9">
        <v>45970</v>
      </c>
      <c r="E2537" s="9">
        <v>46000</v>
      </c>
      <c r="F2537" s="3">
        <v>10245.15</v>
      </c>
      <c r="G2537" s="7" t="s">
        <v>367</v>
      </c>
    </row>
    <row r="2538" spans="1:7" x14ac:dyDescent="0.3">
      <c r="A2538" s="7" t="s">
        <v>2905</v>
      </c>
      <c r="B2538" s="7" t="s">
        <v>76</v>
      </c>
      <c r="C2538" s="7" t="s">
        <v>355</v>
      </c>
      <c r="D2538" s="9">
        <v>46096</v>
      </c>
      <c r="E2538" s="9">
        <v>46126</v>
      </c>
      <c r="F2538" s="3">
        <v>13917.84</v>
      </c>
      <c r="G2538" s="7" t="s">
        <v>367</v>
      </c>
    </row>
    <row r="2539" spans="1:7" x14ac:dyDescent="0.3">
      <c r="A2539" s="7" t="s">
        <v>2906</v>
      </c>
      <c r="B2539" s="7" t="s">
        <v>70</v>
      </c>
      <c r="C2539" s="7" t="s">
        <v>353</v>
      </c>
      <c r="D2539" s="9">
        <v>46065</v>
      </c>
      <c r="E2539" s="9">
        <v>46095</v>
      </c>
      <c r="F2539" s="3">
        <v>2956.91</v>
      </c>
      <c r="G2539" s="7" t="s">
        <v>367</v>
      </c>
    </row>
    <row r="2540" spans="1:7" x14ac:dyDescent="0.3">
      <c r="A2540" s="7" t="s">
        <v>2907</v>
      </c>
      <c r="B2540" s="7" t="s">
        <v>72</v>
      </c>
      <c r="C2540" s="7" t="s">
        <v>359</v>
      </c>
      <c r="D2540" s="9">
        <v>45966</v>
      </c>
      <c r="E2540" s="9">
        <v>45996</v>
      </c>
      <c r="F2540" s="3">
        <v>2038.38</v>
      </c>
      <c r="G2540" s="7" t="s">
        <v>367</v>
      </c>
    </row>
    <row r="2541" spans="1:7" x14ac:dyDescent="0.3">
      <c r="A2541" s="7" t="s">
        <v>2908</v>
      </c>
      <c r="B2541" s="7" t="s">
        <v>102</v>
      </c>
      <c r="C2541" s="7" t="s">
        <v>351</v>
      </c>
      <c r="D2541" s="9">
        <v>45980</v>
      </c>
      <c r="E2541" s="9">
        <v>46010</v>
      </c>
      <c r="F2541" s="3">
        <v>5610.89</v>
      </c>
      <c r="G2541" s="7" t="s">
        <v>367</v>
      </c>
    </row>
    <row r="2542" spans="1:7" x14ac:dyDescent="0.3">
      <c r="A2542" s="7" t="s">
        <v>2909</v>
      </c>
      <c r="B2542" s="7" t="s">
        <v>35</v>
      </c>
      <c r="C2542" s="7" t="s">
        <v>349</v>
      </c>
      <c r="D2542" s="9">
        <v>46036</v>
      </c>
      <c r="E2542" s="9">
        <v>46066</v>
      </c>
      <c r="F2542" s="3">
        <v>3260.72</v>
      </c>
      <c r="G2542" s="7" t="s">
        <v>367</v>
      </c>
    </row>
    <row r="2543" spans="1:7" x14ac:dyDescent="0.3">
      <c r="A2543" s="7" t="s">
        <v>2910</v>
      </c>
      <c r="B2543" s="7" t="s">
        <v>66</v>
      </c>
      <c r="C2543" s="7" t="s">
        <v>353</v>
      </c>
      <c r="D2543" s="9">
        <v>46023</v>
      </c>
      <c r="E2543" s="9">
        <v>46053</v>
      </c>
      <c r="F2543" s="3">
        <v>2184.63</v>
      </c>
      <c r="G2543" s="7" t="s">
        <v>367</v>
      </c>
    </row>
    <row r="2544" spans="1:7" x14ac:dyDescent="0.3">
      <c r="A2544" s="7" t="s">
        <v>2911</v>
      </c>
      <c r="B2544" s="7" t="s">
        <v>41</v>
      </c>
      <c r="C2544" s="7" t="s">
        <v>359</v>
      </c>
      <c r="D2544" s="9">
        <v>46089</v>
      </c>
      <c r="E2544" s="9">
        <v>46119</v>
      </c>
      <c r="F2544" s="3">
        <v>1865.36</v>
      </c>
      <c r="G2544" s="7" t="s">
        <v>387</v>
      </c>
    </row>
    <row r="2545" spans="1:7" x14ac:dyDescent="0.3">
      <c r="A2545" s="7" t="s">
        <v>2912</v>
      </c>
      <c r="B2545" s="7" t="s">
        <v>101</v>
      </c>
      <c r="C2545" s="7" t="s">
        <v>351</v>
      </c>
      <c r="D2545" s="9">
        <v>46005</v>
      </c>
      <c r="E2545" s="9">
        <v>46035</v>
      </c>
      <c r="F2545" s="3">
        <v>4655.8900000000003</v>
      </c>
      <c r="G2545" s="7" t="s">
        <v>367</v>
      </c>
    </row>
    <row r="2546" spans="1:7" x14ac:dyDescent="0.3">
      <c r="A2546" s="7" t="s">
        <v>2913</v>
      </c>
      <c r="B2546" s="7" t="s">
        <v>108</v>
      </c>
      <c r="C2546" s="7" t="s">
        <v>349</v>
      </c>
      <c r="D2546" s="9">
        <v>46021</v>
      </c>
      <c r="E2546" s="9">
        <v>46051</v>
      </c>
      <c r="F2546" s="3">
        <v>3297.52</v>
      </c>
      <c r="G2546" s="7" t="s">
        <v>367</v>
      </c>
    </row>
    <row r="2547" spans="1:7" x14ac:dyDescent="0.3">
      <c r="A2547" s="7" t="s">
        <v>2914</v>
      </c>
      <c r="B2547" s="7" t="s">
        <v>113</v>
      </c>
      <c r="C2547" s="7" t="s">
        <v>351</v>
      </c>
      <c r="D2547" s="9">
        <v>46081</v>
      </c>
      <c r="E2547" s="9">
        <v>46111</v>
      </c>
      <c r="F2547" s="3">
        <v>5959.06</v>
      </c>
      <c r="G2547" s="7" t="s">
        <v>367</v>
      </c>
    </row>
    <row r="2548" spans="1:7" x14ac:dyDescent="0.3">
      <c r="A2548" s="7" t="s">
        <v>2915</v>
      </c>
      <c r="B2548" s="7" t="s">
        <v>68</v>
      </c>
      <c r="C2548" s="7" t="s">
        <v>351</v>
      </c>
      <c r="D2548" s="9">
        <v>46090</v>
      </c>
      <c r="E2548" s="9">
        <v>46120</v>
      </c>
      <c r="F2548" s="3">
        <v>4323.7700000000004</v>
      </c>
      <c r="G2548" s="7" t="s">
        <v>367</v>
      </c>
    </row>
    <row r="2549" spans="1:7" x14ac:dyDescent="0.3">
      <c r="A2549" s="7" t="s">
        <v>2916</v>
      </c>
      <c r="B2549" s="7" t="s">
        <v>34</v>
      </c>
      <c r="C2549" s="7" t="s">
        <v>353</v>
      </c>
      <c r="D2549" s="9">
        <v>46102</v>
      </c>
      <c r="E2549" s="9">
        <v>46132</v>
      </c>
      <c r="F2549" s="3">
        <v>2187.75</v>
      </c>
      <c r="G2549" s="7" t="s">
        <v>367</v>
      </c>
    </row>
    <row r="2550" spans="1:7" x14ac:dyDescent="0.3">
      <c r="A2550" s="7" t="s">
        <v>2917</v>
      </c>
      <c r="B2550" s="7" t="s">
        <v>42</v>
      </c>
      <c r="C2550" s="7" t="s">
        <v>355</v>
      </c>
      <c r="D2550" s="9">
        <v>46094</v>
      </c>
      <c r="E2550" s="9">
        <v>46124</v>
      </c>
      <c r="F2550" s="3">
        <v>12582.3</v>
      </c>
      <c r="G2550" s="7" t="s">
        <v>367</v>
      </c>
    </row>
    <row r="2551" spans="1:7" x14ac:dyDescent="0.3">
      <c r="A2551" s="7" t="s">
        <v>2918</v>
      </c>
      <c r="B2551" s="7" t="s">
        <v>30</v>
      </c>
      <c r="C2551" s="7" t="s">
        <v>359</v>
      </c>
      <c r="D2551" s="9">
        <v>46000</v>
      </c>
      <c r="E2551" s="9">
        <v>46030</v>
      </c>
      <c r="F2551" s="3">
        <v>1993.33</v>
      </c>
      <c r="G2551" s="7" t="s">
        <v>387</v>
      </c>
    </row>
    <row r="2552" spans="1:7" x14ac:dyDescent="0.3">
      <c r="A2552" s="7" t="s">
        <v>2919</v>
      </c>
      <c r="B2552" s="7" t="s">
        <v>65</v>
      </c>
      <c r="C2552" s="7" t="s">
        <v>353</v>
      </c>
      <c r="D2552" s="9">
        <v>46016</v>
      </c>
      <c r="E2552" s="9">
        <v>46046</v>
      </c>
      <c r="F2552" s="3">
        <v>2340.98</v>
      </c>
      <c r="G2552" s="7" t="s">
        <v>369</v>
      </c>
    </row>
    <row r="2553" spans="1:7" x14ac:dyDescent="0.3">
      <c r="A2553" s="7" t="s">
        <v>2920</v>
      </c>
      <c r="B2553" s="7" t="s">
        <v>40</v>
      </c>
      <c r="C2553" s="7" t="s">
        <v>359</v>
      </c>
      <c r="D2553" s="9">
        <v>45981</v>
      </c>
      <c r="E2553" s="9">
        <v>46011</v>
      </c>
      <c r="F2553" s="3">
        <v>1509.48</v>
      </c>
      <c r="G2553" s="7" t="s">
        <v>369</v>
      </c>
    </row>
    <row r="2554" spans="1:7" x14ac:dyDescent="0.3">
      <c r="A2554" s="7" t="s">
        <v>2921</v>
      </c>
      <c r="B2554" s="7" t="s">
        <v>76</v>
      </c>
      <c r="C2554" s="7" t="s">
        <v>349</v>
      </c>
      <c r="D2554" s="9">
        <v>45993</v>
      </c>
      <c r="E2554" s="9">
        <v>46023</v>
      </c>
      <c r="F2554" s="3">
        <v>3338.35</v>
      </c>
      <c r="G2554" s="7" t="s">
        <v>367</v>
      </c>
    </row>
    <row r="2555" spans="1:7" x14ac:dyDescent="0.3">
      <c r="A2555" s="7" t="s">
        <v>2922</v>
      </c>
      <c r="B2555" s="7" t="s">
        <v>98</v>
      </c>
      <c r="C2555" s="7" t="s">
        <v>351</v>
      </c>
      <c r="D2555" s="9">
        <v>46083</v>
      </c>
      <c r="E2555" s="9">
        <v>46113</v>
      </c>
      <c r="F2555" s="3">
        <v>4189.17</v>
      </c>
      <c r="G2555" s="7" t="s">
        <v>367</v>
      </c>
    </row>
    <row r="2556" spans="1:7" x14ac:dyDescent="0.3">
      <c r="A2556" s="7" t="s">
        <v>2923</v>
      </c>
      <c r="B2556" s="7" t="s">
        <v>77</v>
      </c>
      <c r="C2556" s="7" t="s">
        <v>353</v>
      </c>
      <c r="D2556" s="9">
        <v>46048</v>
      </c>
      <c r="E2556" s="9">
        <v>46078</v>
      </c>
      <c r="F2556" s="3">
        <v>2126.3000000000002</v>
      </c>
      <c r="G2556" s="7" t="s">
        <v>367</v>
      </c>
    </row>
    <row r="2557" spans="1:7" x14ac:dyDescent="0.3">
      <c r="A2557" s="7" t="s">
        <v>2924</v>
      </c>
      <c r="B2557" s="7" t="s">
        <v>120</v>
      </c>
      <c r="C2557" s="7" t="s">
        <v>349</v>
      </c>
      <c r="D2557" s="9">
        <v>46002</v>
      </c>
      <c r="E2557" s="9">
        <v>46032</v>
      </c>
      <c r="F2557" s="3">
        <v>3559.55</v>
      </c>
      <c r="G2557" s="7" t="s">
        <v>367</v>
      </c>
    </row>
    <row r="2558" spans="1:7" x14ac:dyDescent="0.3">
      <c r="A2558" s="7" t="s">
        <v>2925</v>
      </c>
      <c r="B2558" s="7" t="s">
        <v>9</v>
      </c>
      <c r="C2558" s="7" t="s">
        <v>357</v>
      </c>
      <c r="D2558" s="9">
        <v>46017</v>
      </c>
      <c r="E2558" s="9">
        <v>46047</v>
      </c>
      <c r="F2558" s="3">
        <v>3072.83</v>
      </c>
      <c r="G2558" s="7" t="s">
        <v>367</v>
      </c>
    </row>
    <row r="2559" spans="1:7" x14ac:dyDescent="0.3">
      <c r="A2559" s="7" t="s">
        <v>2926</v>
      </c>
      <c r="B2559" s="7" t="s">
        <v>26</v>
      </c>
      <c r="C2559" s="7" t="s">
        <v>351</v>
      </c>
      <c r="D2559" s="9">
        <v>45981</v>
      </c>
      <c r="E2559" s="9">
        <v>46011</v>
      </c>
      <c r="F2559" s="3">
        <v>5466.82</v>
      </c>
      <c r="G2559" s="7" t="s">
        <v>367</v>
      </c>
    </row>
    <row r="2560" spans="1:7" x14ac:dyDescent="0.3">
      <c r="A2560" s="7" t="s">
        <v>2927</v>
      </c>
      <c r="B2560" s="7" t="s">
        <v>53</v>
      </c>
      <c r="C2560" s="7" t="s">
        <v>357</v>
      </c>
      <c r="D2560" s="9">
        <v>46001</v>
      </c>
      <c r="E2560" s="9">
        <v>46031</v>
      </c>
      <c r="F2560" s="3">
        <v>4003.9</v>
      </c>
      <c r="G2560" s="7" t="s">
        <v>369</v>
      </c>
    </row>
    <row r="2561" spans="1:7" x14ac:dyDescent="0.3">
      <c r="A2561" s="7" t="s">
        <v>2928</v>
      </c>
      <c r="B2561" s="7" t="s">
        <v>19</v>
      </c>
      <c r="C2561" s="7" t="s">
        <v>357</v>
      </c>
      <c r="D2561" s="9">
        <v>46035</v>
      </c>
      <c r="E2561" s="9">
        <v>46065</v>
      </c>
      <c r="F2561" s="3">
        <v>3122.59</v>
      </c>
      <c r="G2561" s="7" t="s">
        <v>367</v>
      </c>
    </row>
    <row r="2562" spans="1:7" x14ac:dyDescent="0.3">
      <c r="A2562" s="7" t="s">
        <v>2929</v>
      </c>
      <c r="B2562" s="7" t="s">
        <v>103</v>
      </c>
      <c r="C2562" s="7" t="s">
        <v>359</v>
      </c>
      <c r="D2562" s="9">
        <v>46055</v>
      </c>
      <c r="E2562" s="9">
        <v>46085</v>
      </c>
      <c r="F2562" s="3">
        <v>1559.26</v>
      </c>
      <c r="G2562" s="7" t="s">
        <v>367</v>
      </c>
    </row>
    <row r="2563" spans="1:7" x14ac:dyDescent="0.3">
      <c r="A2563" s="7" t="s">
        <v>2930</v>
      </c>
      <c r="B2563" s="7" t="s">
        <v>42</v>
      </c>
      <c r="C2563" s="7" t="s">
        <v>359</v>
      </c>
      <c r="D2563" s="9">
        <v>45972</v>
      </c>
      <c r="E2563" s="9">
        <v>46002</v>
      </c>
      <c r="F2563" s="3">
        <v>1549.48</v>
      </c>
      <c r="G2563" s="7" t="s">
        <v>369</v>
      </c>
    </row>
    <row r="2564" spans="1:7" x14ac:dyDescent="0.3">
      <c r="A2564" s="7" t="s">
        <v>2931</v>
      </c>
      <c r="B2564" s="7" t="s">
        <v>73</v>
      </c>
      <c r="C2564" s="7" t="s">
        <v>349</v>
      </c>
      <c r="D2564" s="9">
        <v>46060</v>
      </c>
      <c r="E2564" s="9">
        <v>46090</v>
      </c>
      <c r="F2564" s="3">
        <v>3550.87</v>
      </c>
      <c r="G2564" s="7" t="s">
        <v>367</v>
      </c>
    </row>
    <row r="2565" spans="1:7" x14ac:dyDescent="0.3">
      <c r="A2565" s="7" t="s">
        <v>2932</v>
      </c>
      <c r="B2565" s="7" t="s">
        <v>45</v>
      </c>
      <c r="C2565" s="7" t="s">
        <v>355</v>
      </c>
      <c r="D2565" s="9">
        <v>46014</v>
      </c>
      <c r="E2565" s="9">
        <v>46044</v>
      </c>
      <c r="F2565" s="3">
        <v>13889.97</v>
      </c>
      <c r="G2565" s="7" t="s">
        <v>367</v>
      </c>
    </row>
    <row r="2566" spans="1:7" x14ac:dyDescent="0.3">
      <c r="A2566" s="7" t="s">
        <v>2933</v>
      </c>
      <c r="B2566" s="7" t="s">
        <v>33</v>
      </c>
      <c r="C2566" s="7" t="s">
        <v>349</v>
      </c>
      <c r="D2566" s="9">
        <v>46040</v>
      </c>
      <c r="E2566" s="9">
        <v>46070</v>
      </c>
      <c r="F2566" s="3">
        <v>2489.84</v>
      </c>
      <c r="G2566" s="7" t="s">
        <v>367</v>
      </c>
    </row>
    <row r="2567" spans="1:7" x14ac:dyDescent="0.3">
      <c r="A2567" s="7" t="s">
        <v>2934</v>
      </c>
      <c r="B2567" s="7" t="s">
        <v>24</v>
      </c>
      <c r="C2567" s="7" t="s">
        <v>359</v>
      </c>
      <c r="D2567" s="9">
        <v>46013</v>
      </c>
      <c r="E2567" s="9">
        <v>46043</v>
      </c>
      <c r="F2567" s="3">
        <v>1881.44</v>
      </c>
      <c r="G2567" s="7" t="s">
        <v>369</v>
      </c>
    </row>
    <row r="2568" spans="1:7" x14ac:dyDescent="0.3">
      <c r="A2568" s="7" t="s">
        <v>2935</v>
      </c>
      <c r="B2568" s="7" t="s">
        <v>27</v>
      </c>
      <c r="C2568" s="7" t="s">
        <v>351</v>
      </c>
      <c r="D2568" s="9">
        <v>45982</v>
      </c>
      <c r="E2568" s="9">
        <v>46012</v>
      </c>
      <c r="F2568" s="3">
        <v>4961.8599999999997</v>
      </c>
      <c r="G2568" s="7" t="s">
        <v>367</v>
      </c>
    </row>
    <row r="2569" spans="1:7" x14ac:dyDescent="0.3">
      <c r="A2569" s="7" t="s">
        <v>2936</v>
      </c>
      <c r="B2569" s="7" t="s">
        <v>51</v>
      </c>
      <c r="C2569" s="7" t="s">
        <v>359</v>
      </c>
      <c r="D2569" s="9">
        <v>46061</v>
      </c>
      <c r="E2569" s="9">
        <v>46091</v>
      </c>
      <c r="F2569" s="3">
        <v>1741.69</v>
      </c>
      <c r="G2569" s="7" t="s">
        <v>367</v>
      </c>
    </row>
    <row r="2570" spans="1:7" x14ac:dyDescent="0.3">
      <c r="A2570" s="7" t="s">
        <v>2937</v>
      </c>
      <c r="B2570" s="7" t="s">
        <v>22</v>
      </c>
      <c r="C2570" s="7" t="s">
        <v>349</v>
      </c>
      <c r="D2570" s="9">
        <v>46013</v>
      </c>
      <c r="E2570" s="9">
        <v>46043</v>
      </c>
      <c r="F2570" s="3">
        <v>2671.57</v>
      </c>
      <c r="G2570" s="7" t="s">
        <v>369</v>
      </c>
    </row>
    <row r="2571" spans="1:7" x14ac:dyDescent="0.3">
      <c r="A2571" s="7" t="s">
        <v>2938</v>
      </c>
      <c r="B2571" s="7" t="s">
        <v>25</v>
      </c>
      <c r="C2571" s="7" t="s">
        <v>359</v>
      </c>
      <c r="D2571" s="9">
        <v>45977</v>
      </c>
      <c r="E2571" s="9">
        <v>46007</v>
      </c>
      <c r="F2571" s="3">
        <v>1972.55</v>
      </c>
      <c r="G2571" s="7" t="s">
        <v>367</v>
      </c>
    </row>
    <row r="2572" spans="1:7" x14ac:dyDescent="0.3">
      <c r="A2572" s="7" t="s">
        <v>2939</v>
      </c>
      <c r="B2572" s="7" t="s">
        <v>73</v>
      </c>
      <c r="C2572" s="7" t="s">
        <v>359</v>
      </c>
      <c r="D2572" s="9">
        <v>46071</v>
      </c>
      <c r="E2572" s="9">
        <v>46101</v>
      </c>
      <c r="F2572" s="3">
        <v>1638.34</v>
      </c>
      <c r="G2572" s="7" t="s">
        <v>367</v>
      </c>
    </row>
    <row r="2573" spans="1:7" x14ac:dyDescent="0.3">
      <c r="A2573" s="7" t="s">
        <v>2940</v>
      </c>
      <c r="B2573" s="7" t="s">
        <v>36</v>
      </c>
      <c r="C2573" s="7" t="s">
        <v>353</v>
      </c>
      <c r="D2573" s="9">
        <v>46008</v>
      </c>
      <c r="E2573" s="9">
        <v>46038</v>
      </c>
      <c r="F2573" s="3">
        <v>2524.2399999999998</v>
      </c>
      <c r="G2573" s="7" t="s">
        <v>367</v>
      </c>
    </row>
    <row r="2574" spans="1:7" x14ac:dyDescent="0.3">
      <c r="A2574" s="7" t="s">
        <v>2941</v>
      </c>
      <c r="B2574" s="7" t="s">
        <v>85</v>
      </c>
      <c r="C2574" s="7" t="s">
        <v>359</v>
      </c>
      <c r="D2574" s="9">
        <v>46061</v>
      </c>
      <c r="E2574" s="9">
        <v>46091</v>
      </c>
      <c r="F2574" s="3">
        <v>1755.56</v>
      </c>
      <c r="G2574" s="7" t="s">
        <v>367</v>
      </c>
    </row>
    <row r="2575" spans="1:7" x14ac:dyDescent="0.3">
      <c r="A2575" s="7" t="s">
        <v>2942</v>
      </c>
      <c r="B2575" s="7" t="s">
        <v>41</v>
      </c>
      <c r="C2575" s="7" t="s">
        <v>355</v>
      </c>
      <c r="D2575" s="9">
        <v>46042</v>
      </c>
      <c r="E2575" s="9">
        <v>46072</v>
      </c>
      <c r="F2575" s="3">
        <v>10337.65</v>
      </c>
      <c r="G2575" s="7" t="s">
        <v>367</v>
      </c>
    </row>
    <row r="2576" spans="1:7" x14ac:dyDescent="0.3">
      <c r="A2576" s="7" t="s">
        <v>2943</v>
      </c>
      <c r="B2576" s="7" t="s">
        <v>61</v>
      </c>
      <c r="C2576" s="7" t="s">
        <v>349</v>
      </c>
      <c r="D2576" s="9">
        <v>46024</v>
      </c>
      <c r="E2576" s="9">
        <v>46054</v>
      </c>
      <c r="F2576" s="3">
        <v>2857.8</v>
      </c>
      <c r="G2576" s="7" t="s">
        <v>367</v>
      </c>
    </row>
    <row r="2577" spans="1:7" x14ac:dyDescent="0.3">
      <c r="A2577" s="7" t="s">
        <v>2944</v>
      </c>
      <c r="B2577" s="7" t="s">
        <v>69</v>
      </c>
      <c r="C2577" s="7" t="s">
        <v>357</v>
      </c>
      <c r="D2577" s="9">
        <v>45983</v>
      </c>
      <c r="E2577" s="9">
        <v>46013</v>
      </c>
      <c r="F2577" s="3">
        <v>3035.84</v>
      </c>
      <c r="G2577" s="7" t="s">
        <v>369</v>
      </c>
    </row>
    <row r="2578" spans="1:7" x14ac:dyDescent="0.3">
      <c r="A2578" s="7" t="s">
        <v>2945</v>
      </c>
      <c r="B2578" s="7" t="s">
        <v>84</v>
      </c>
      <c r="C2578" s="7" t="s">
        <v>353</v>
      </c>
      <c r="D2578" s="9">
        <v>46029</v>
      </c>
      <c r="E2578" s="9">
        <v>46059</v>
      </c>
      <c r="F2578" s="3">
        <v>2224.63</v>
      </c>
      <c r="G2578" s="7" t="s">
        <v>387</v>
      </c>
    </row>
    <row r="2579" spans="1:7" x14ac:dyDescent="0.3">
      <c r="A2579" s="7" t="s">
        <v>2946</v>
      </c>
      <c r="B2579" s="7" t="s">
        <v>96</v>
      </c>
      <c r="C2579" s="7" t="s">
        <v>357</v>
      </c>
      <c r="D2579" s="9">
        <v>46082</v>
      </c>
      <c r="E2579" s="9">
        <v>46112</v>
      </c>
      <c r="F2579" s="3">
        <v>4011.12</v>
      </c>
      <c r="G2579" s="7" t="s">
        <v>367</v>
      </c>
    </row>
    <row r="2580" spans="1:7" x14ac:dyDescent="0.3">
      <c r="A2580" s="7" t="s">
        <v>2947</v>
      </c>
      <c r="B2580" s="7" t="s">
        <v>42</v>
      </c>
      <c r="C2580" s="7" t="s">
        <v>355</v>
      </c>
      <c r="D2580" s="9">
        <v>45969</v>
      </c>
      <c r="E2580" s="9">
        <v>45999</v>
      </c>
      <c r="F2580" s="3">
        <v>11624.04</v>
      </c>
      <c r="G2580" s="7" t="s">
        <v>369</v>
      </c>
    </row>
    <row r="2581" spans="1:7" x14ac:dyDescent="0.3">
      <c r="A2581" s="7" t="s">
        <v>2948</v>
      </c>
      <c r="B2581" s="7" t="s">
        <v>60</v>
      </c>
      <c r="C2581" s="7" t="s">
        <v>359</v>
      </c>
      <c r="D2581" s="9">
        <v>46026</v>
      </c>
      <c r="E2581" s="9">
        <v>46056</v>
      </c>
      <c r="F2581" s="3">
        <v>1967.36</v>
      </c>
      <c r="G2581" s="7" t="s">
        <v>367</v>
      </c>
    </row>
    <row r="2582" spans="1:7" x14ac:dyDescent="0.3">
      <c r="A2582" s="7" t="s">
        <v>2949</v>
      </c>
      <c r="B2582" s="7" t="s">
        <v>98</v>
      </c>
      <c r="C2582" s="7" t="s">
        <v>359</v>
      </c>
      <c r="D2582" s="9">
        <v>46095</v>
      </c>
      <c r="E2582" s="9">
        <v>46125</v>
      </c>
      <c r="F2582" s="3">
        <v>2042.13</v>
      </c>
      <c r="G2582" s="7" t="s">
        <v>367</v>
      </c>
    </row>
    <row r="2583" spans="1:7" x14ac:dyDescent="0.3">
      <c r="A2583" s="7" t="s">
        <v>2950</v>
      </c>
      <c r="B2583" s="7" t="s">
        <v>92</v>
      </c>
      <c r="C2583" s="7" t="s">
        <v>355</v>
      </c>
      <c r="D2583" s="9">
        <v>46032</v>
      </c>
      <c r="E2583" s="9">
        <v>46062</v>
      </c>
      <c r="F2583" s="3">
        <v>10765.17</v>
      </c>
      <c r="G2583" s="7" t="s">
        <v>367</v>
      </c>
    </row>
    <row r="2584" spans="1:7" x14ac:dyDescent="0.3">
      <c r="A2584" s="7" t="s">
        <v>2951</v>
      </c>
      <c r="B2584" s="7" t="s">
        <v>84</v>
      </c>
      <c r="C2584" s="7" t="s">
        <v>353</v>
      </c>
      <c r="D2584" s="9">
        <v>46091</v>
      </c>
      <c r="E2584" s="9">
        <v>46121</v>
      </c>
      <c r="F2584" s="3">
        <v>2103.9699999999998</v>
      </c>
      <c r="G2584" s="7" t="s">
        <v>367</v>
      </c>
    </row>
    <row r="2585" spans="1:7" x14ac:dyDescent="0.3">
      <c r="A2585" s="7" t="s">
        <v>2952</v>
      </c>
      <c r="B2585" s="7" t="s">
        <v>84</v>
      </c>
      <c r="C2585" s="7" t="s">
        <v>357</v>
      </c>
      <c r="D2585" s="9">
        <v>46091</v>
      </c>
      <c r="E2585" s="9">
        <v>46121</v>
      </c>
      <c r="F2585" s="3">
        <v>3326.15</v>
      </c>
      <c r="G2585" s="7" t="s">
        <v>367</v>
      </c>
    </row>
    <row r="2586" spans="1:7" x14ac:dyDescent="0.3">
      <c r="A2586" s="7" t="s">
        <v>2953</v>
      </c>
      <c r="B2586" s="7" t="s">
        <v>80</v>
      </c>
      <c r="C2586" s="7" t="s">
        <v>349</v>
      </c>
      <c r="D2586" s="9">
        <v>45965</v>
      </c>
      <c r="E2586" s="9">
        <v>45995</v>
      </c>
      <c r="F2586" s="3">
        <v>3108.41</v>
      </c>
      <c r="G2586" s="7" t="s">
        <v>387</v>
      </c>
    </row>
    <row r="2587" spans="1:7" x14ac:dyDescent="0.3">
      <c r="A2587" s="7" t="s">
        <v>2954</v>
      </c>
      <c r="B2587" s="7" t="s">
        <v>93</v>
      </c>
      <c r="C2587" s="7" t="s">
        <v>349</v>
      </c>
      <c r="D2587" s="9">
        <v>46069</v>
      </c>
      <c r="E2587" s="9">
        <v>46099</v>
      </c>
      <c r="F2587" s="3">
        <v>2540.9699999999998</v>
      </c>
      <c r="G2587" s="7" t="s">
        <v>367</v>
      </c>
    </row>
    <row r="2588" spans="1:7" x14ac:dyDescent="0.3">
      <c r="A2588" s="7" t="s">
        <v>2955</v>
      </c>
      <c r="B2588" s="7" t="s">
        <v>12</v>
      </c>
      <c r="C2588" s="7" t="s">
        <v>359</v>
      </c>
      <c r="D2588" s="9">
        <v>45976</v>
      </c>
      <c r="E2588" s="9">
        <v>46006</v>
      </c>
      <c r="F2588" s="3">
        <v>2090.73</v>
      </c>
      <c r="G2588" s="7" t="s">
        <v>367</v>
      </c>
    </row>
    <row r="2589" spans="1:7" x14ac:dyDescent="0.3">
      <c r="A2589" s="7" t="s">
        <v>2956</v>
      </c>
      <c r="B2589" s="7" t="s">
        <v>73</v>
      </c>
      <c r="C2589" s="7" t="s">
        <v>353</v>
      </c>
      <c r="D2589" s="9">
        <v>46112</v>
      </c>
      <c r="E2589" s="9">
        <v>46142</v>
      </c>
      <c r="F2589" s="3">
        <v>2647.09</v>
      </c>
      <c r="G2589" s="7" t="s">
        <v>367</v>
      </c>
    </row>
    <row r="2590" spans="1:7" x14ac:dyDescent="0.3">
      <c r="A2590" s="7" t="s">
        <v>2957</v>
      </c>
      <c r="B2590" s="7" t="s">
        <v>62</v>
      </c>
      <c r="C2590" s="7" t="s">
        <v>349</v>
      </c>
      <c r="D2590" s="9">
        <v>46077</v>
      </c>
      <c r="E2590" s="9">
        <v>46107</v>
      </c>
      <c r="F2590" s="3">
        <v>3528.24</v>
      </c>
      <c r="G2590" s="7" t="s">
        <v>367</v>
      </c>
    </row>
    <row r="2591" spans="1:7" x14ac:dyDescent="0.3">
      <c r="A2591" s="7" t="s">
        <v>2958</v>
      </c>
      <c r="B2591" s="7" t="s">
        <v>87</v>
      </c>
      <c r="C2591" s="7" t="s">
        <v>359</v>
      </c>
      <c r="D2591" s="9">
        <v>45997</v>
      </c>
      <c r="E2591" s="9">
        <v>46027</v>
      </c>
      <c r="F2591" s="3">
        <v>2093.8200000000002</v>
      </c>
      <c r="G2591" s="7" t="s">
        <v>367</v>
      </c>
    </row>
    <row r="2592" spans="1:7" x14ac:dyDescent="0.3">
      <c r="A2592" s="7" t="s">
        <v>2959</v>
      </c>
      <c r="B2592" s="7" t="s">
        <v>115</v>
      </c>
      <c r="C2592" s="7" t="s">
        <v>353</v>
      </c>
      <c r="D2592" s="9">
        <v>46108</v>
      </c>
      <c r="E2592" s="9">
        <v>46138</v>
      </c>
      <c r="F2592" s="3">
        <v>2098.8000000000002</v>
      </c>
      <c r="G2592" s="7" t="s">
        <v>367</v>
      </c>
    </row>
    <row r="2593" spans="1:7" x14ac:dyDescent="0.3">
      <c r="A2593" s="7" t="s">
        <v>2960</v>
      </c>
      <c r="B2593" s="7" t="s">
        <v>38</v>
      </c>
      <c r="C2593" s="7" t="s">
        <v>353</v>
      </c>
      <c r="D2593" s="9">
        <v>45965</v>
      </c>
      <c r="E2593" s="9">
        <v>45995</v>
      </c>
      <c r="F2593" s="3">
        <v>2358.59</v>
      </c>
      <c r="G2593" s="7" t="s">
        <v>367</v>
      </c>
    </row>
    <row r="2594" spans="1:7" x14ac:dyDescent="0.3">
      <c r="A2594" s="7" t="s">
        <v>2961</v>
      </c>
      <c r="B2594" s="7" t="s">
        <v>88</v>
      </c>
      <c r="C2594" s="7" t="s">
        <v>353</v>
      </c>
      <c r="D2594" s="9">
        <v>46109</v>
      </c>
      <c r="E2594" s="9">
        <v>46139</v>
      </c>
      <c r="F2594" s="3">
        <v>2446.0100000000002</v>
      </c>
      <c r="G2594" s="7" t="s">
        <v>367</v>
      </c>
    </row>
    <row r="2595" spans="1:7" x14ac:dyDescent="0.3">
      <c r="A2595" s="7" t="s">
        <v>2962</v>
      </c>
      <c r="B2595" s="7" t="s">
        <v>117</v>
      </c>
      <c r="C2595" s="7" t="s">
        <v>353</v>
      </c>
      <c r="D2595" s="9">
        <v>46005</v>
      </c>
      <c r="E2595" s="9">
        <v>46035</v>
      </c>
      <c r="F2595" s="3">
        <v>2768.61</v>
      </c>
      <c r="G2595" s="7" t="s">
        <v>367</v>
      </c>
    </row>
    <row r="2596" spans="1:7" x14ac:dyDescent="0.3">
      <c r="A2596" s="7" t="s">
        <v>2963</v>
      </c>
      <c r="B2596" s="7" t="s">
        <v>106</v>
      </c>
      <c r="C2596" s="7" t="s">
        <v>357</v>
      </c>
      <c r="D2596" s="9">
        <v>46106</v>
      </c>
      <c r="E2596" s="9">
        <v>46136</v>
      </c>
      <c r="F2596" s="3">
        <v>3707.6</v>
      </c>
      <c r="G2596" s="7" t="s">
        <v>369</v>
      </c>
    </row>
    <row r="2597" spans="1:7" x14ac:dyDescent="0.3">
      <c r="A2597" s="7" t="s">
        <v>2964</v>
      </c>
      <c r="B2597" s="7" t="s">
        <v>85</v>
      </c>
      <c r="C2597" s="7" t="s">
        <v>351</v>
      </c>
      <c r="D2597" s="9">
        <v>46091</v>
      </c>
      <c r="E2597" s="9">
        <v>46121</v>
      </c>
      <c r="F2597" s="3">
        <v>5689.44</v>
      </c>
      <c r="G2597" s="7" t="s">
        <v>367</v>
      </c>
    </row>
    <row r="2598" spans="1:7" x14ac:dyDescent="0.3">
      <c r="A2598" s="7" t="s">
        <v>2965</v>
      </c>
      <c r="B2598" s="7" t="s">
        <v>46</v>
      </c>
      <c r="C2598" s="7" t="s">
        <v>357</v>
      </c>
      <c r="D2598" s="9">
        <v>46058</v>
      </c>
      <c r="E2598" s="9">
        <v>46088</v>
      </c>
      <c r="F2598" s="3">
        <v>3835.8</v>
      </c>
      <c r="G2598" s="7" t="s">
        <v>367</v>
      </c>
    </row>
    <row r="2599" spans="1:7" x14ac:dyDescent="0.3">
      <c r="A2599" s="7" t="s">
        <v>2966</v>
      </c>
      <c r="B2599" s="7" t="s">
        <v>86</v>
      </c>
      <c r="C2599" s="7" t="s">
        <v>349</v>
      </c>
      <c r="D2599" s="9">
        <v>46024</v>
      </c>
      <c r="E2599" s="9">
        <v>46054</v>
      </c>
      <c r="F2599" s="3">
        <v>3497.01</v>
      </c>
      <c r="G2599" s="7" t="s">
        <v>367</v>
      </c>
    </row>
    <row r="2600" spans="1:7" x14ac:dyDescent="0.3">
      <c r="A2600" s="7" t="s">
        <v>2967</v>
      </c>
      <c r="B2600" s="7" t="s">
        <v>116</v>
      </c>
      <c r="C2600" s="7" t="s">
        <v>355</v>
      </c>
      <c r="D2600" s="9">
        <v>45993</v>
      </c>
      <c r="E2600" s="9">
        <v>46023</v>
      </c>
      <c r="F2600" s="3">
        <v>12669.48</v>
      </c>
      <c r="G2600" s="7" t="s">
        <v>367</v>
      </c>
    </row>
    <row r="2601" spans="1:7" x14ac:dyDescent="0.3">
      <c r="A2601" s="7" t="s">
        <v>2968</v>
      </c>
      <c r="B2601" s="7" t="s">
        <v>103</v>
      </c>
      <c r="C2601" s="7" t="s">
        <v>359</v>
      </c>
      <c r="D2601" s="9">
        <v>45985</v>
      </c>
      <c r="E2601" s="9">
        <v>46015</v>
      </c>
      <c r="F2601" s="3">
        <v>1789.52</v>
      </c>
      <c r="G2601" s="7" t="s">
        <v>369</v>
      </c>
    </row>
    <row r="2602" spans="1:7" x14ac:dyDescent="0.3">
      <c r="A2602" s="7" t="s">
        <v>2969</v>
      </c>
      <c r="B2602" s="7" t="s">
        <v>81</v>
      </c>
      <c r="C2602" s="7" t="s">
        <v>351</v>
      </c>
      <c r="D2602" s="9">
        <v>46021</v>
      </c>
      <c r="E2602" s="9">
        <v>46051</v>
      </c>
      <c r="F2602" s="3">
        <v>5918.62</v>
      </c>
      <c r="G2602" s="7" t="s">
        <v>367</v>
      </c>
    </row>
    <row r="2603" spans="1:7" x14ac:dyDescent="0.3">
      <c r="A2603" s="7" t="s">
        <v>2970</v>
      </c>
      <c r="B2603" s="7" t="s">
        <v>103</v>
      </c>
      <c r="C2603" s="7" t="s">
        <v>353</v>
      </c>
      <c r="D2603" s="9">
        <v>45997</v>
      </c>
      <c r="E2603" s="9">
        <v>46027</v>
      </c>
      <c r="F2603" s="3">
        <v>2908.83</v>
      </c>
      <c r="G2603" s="7" t="s">
        <v>367</v>
      </c>
    </row>
    <row r="2604" spans="1:7" x14ac:dyDescent="0.3">
      <c r="A2604" s="7" t="s">
        <v>2971</v>
      </c>
      <c r="B2604" s="7" t="s">
        <v>32</v>
      </c>
      <c r="C2604" s="7" t="s">
        <v>357</v>
      </c>
      <c r="D2604" s="9">
        <v>46107</v>
      </c>
      <c r="E2604" s="9">
        <v>46137</v>
      </c>
      <c r="F2604" s="3">
        <v>3553.56</v>
      </c>
      <c r="G2604" s="7" t="s">
        <v>367</v>
      </c>
    </row>
    <row r="2605" spans="1:7" x14ac:dyDescent="0.3">
      <c r="A2605" s="7" t="s">
        <v>2972</v>
      </c>
      <c r="B2605" s="7" t="s">
        <v>40</v>
      </c>
      <c r="C2605" s="7" t="s">
        <v>349</v>
      </c>
      <c r="D2605" s="9">
        <v>46052</v>
      </c>
      <c r="E2605" s="9">
        <v>46082</v>
      </c>
      <c r="F2605" s="3">
        <v>2508.65</v>
      </c>
      <c r="G2605" s="7" t="s">
        <v>367</v>
      </c>
    </row>
    <row r="2606" spans="1:7" x14ac:dyDescent="0.3">
      <c r="A2606" s="7" t="s">
        <v>2973</v>
      </c>
      <c r="B2606" s="7" t="s">
        <v>124</v>
      </c>
      <c r="C2606" s="7" t="s">
        <v>351</v>
      </c>
      <c r="D2606" s="9">
        <v>45990</v>
      </c>
      <c r="E2606" s="9">
        <v>46020</v>
      </c>
      <c r="F2606" s="3">
        <v>5431.78</v>
      </c>
      <c r="G2606" s="7" t="s">
        <v>367</v>
      </c>
    </row>
    <row r="2607" spans="1:7" x14ac:dyDescent="0.3">
      <c r="A2607" s="7" t="s">
        <v>2974</v>
      </c>
      <c r="B2607" s="7" t="s">
        <v>17</v>
      </c>
      <c r="C2607" s="7" t="s">
        <v>355</v>
      </c>
      <c r="D2607" s="9">
        <v>46082</v>
      </c>
      <c r="E2607" s="9">
        <v>46112</v>
      </c>
      <c r="F2607" s="3">
        <v>10097.4</v>
      </c>
      <c r="G2607" s="7" t="s">
        <v>367</v>
      </c>
    </row>
    <row r="2608" spans="1:7" x14ac:dyDescent="0.3">
      <c r="A2608" s="7" t="s">
        <v>2975</v>
      </c>
      <c r="B2608" s="7" t="s">
        <v>26</v>
      </c>
      <c r="C2608" s="7" t="s">
        <v>353</v>
      </c>
      <c r="D2608" s="9">
        <v>46031</v>
      </c>
      <c r="E2608" s="9">
        <v>46061</v>
      </c>
      <c r="F2608" s="3">
        <v>2999.44</v>
      </c>
      <c r="G2608" s="7" t="s">
        <v>367</v>
      </c>
    </row>
    <row r="2609" spans="1:7" x14ac:dyDescent="0.3">
      <c r="A2609" s="7" t="s">
        <v>2976</v>
      </c>
      <c r="B2609" s="7" t="s">
        <v>95</v>
      </c>
      <c r="C2609" s="7" t="s">
        <v>359</v>
      </c>
      <c r="D2609" s="9">
        <v>46095</v>
      </c>
      <c r="E2609" s="9">
        <v>46125</v>
      </c>
      <c r="F2609" s="3">
        <v>2154.73</v>
      </c>
      <c r="G2609" s="7" t="s">
        <v>367</v>
      </c>
    </row>
    <row r="2610" spans="1:7" x14ac:dyDescent="0.3">
      <c r="A2610" s="7" t="s">
        <v>2977</v>
      </c>
      <c r="B2610" s="7" t="s">
        <v>34</v>
      </c>
      <c r="C2610" s="7" t="s">
        <v>351</v>
      </c>
      <c r="D2610" s="9">
        <v>46035</v>
      </c>
      <c r="E2610" s="9">
        <v>46065</v>
      </c>
      <c r="F2610" s="3">
        <v>4490.7</v>
      </c>
      <c r="G2610" s="7" t="s">
        <v>367</v>
      </c>
    </row>
    <row r="2611" spans="1:7" x14ac:dyDescent="0.3">
      <c r="A2611" s="7" t="s">
        <v>2978</v>
      </c>
      <c r="B2611" s="7" t="s">
        <v>68</v>
      </c>
      <c r="C2611" s="7" t="s">
        <v>351</v>
      </c>
      <c r="D2611" s="9">
        <v>45976</v>
      </c>
      <c r="E2611" s="9">
        <v>46006</v>
      </c>
      <c r="F2611" s="3">
        <v>4024.84</v>
      </c>
      <c r="G2611" s="7" t="s">
        <v>369</v>
      </c>
    </row>
    <row r="2612" spans="1:7" x14ac:dyDescent="0.3">
      <c r="A2612" s="7" t="s">
        <v>2979</v>
      </c>
      <c r="B2612" s="7" t="s">
        <v>30</v>
      </c>
      <c r="C2612" s="7" t="s">
        <v>355</v>
      </c>
      <c r="D2612" s="9">
        <v>45997</v>
      </c>
      <c r="E2612" s="9">
        <v>46027</v>
      </c>
      <c r="F2612" s="3">
        <v>11589.72</v>
      </c>
      <c r="G2612" s="7" t="s">
        <v>367</v>
      </c>
    </row>
    <row r="2613" spans="1:7" x14ac:dyDescent="0.3">
      <c r="A2613" s="7" t="s">
        <v>2980</v>
      </c>
      <c r="B2613" s="7" t="s">
        <v>56</v>
      </c>
      <c r="C2613" s="7" t="s">
        <v>357</v>
      </c>
      <c r="D2613" s="9">
        <v>46041</v>
      </c>
      <c r="E2613" s="9">
        <v>46071</v>
      </c>
      <c r="F2613" s="3">
        <v>3613.25</v>
      </c>
      <c r="G2613" s="7" t="s">
        <v>369</v>
      </c>
    </row>
    <row r="2614" spans="1:7" x14ac:dyDescent="0.3">
      <c r="A2614" s="7" t="s">
        <v>2981</v>
      </c>
      <c r="B2614" s="7" t="s">
        <v>40</v>
      </c>
      <c r="C2614" s="7" t="s">
        <v>359</v>
      </c>
      <c r="D2614" s="9">
        <v>46054</v>
      </c>
      <c r="E2614" s="9">
        <v>46084</v>
      </c>
      <c r="F2614" s="3">
        <v>1628.27</v>
      </c>
      <c r="G2614" s="7" t="s">
        <v>369</v>
      </c>
    </row>
    <row r="2615" spans="1:7" x14ac:dyDescent="0.3">
      <c r="A2615" s="7" t="s">
        <v>2982</v>
      </c>
      <c r="B2615" s="7" t="s">
        <v>16</v>
      </c>
      <c r="C2615" s="7" t="s">
        <v>355</v>
      </c>
      <c r="D2615" s="9">
        <v>45996</v>
      </c>
      <c r="E2615" s="9">
        <v>46026</v>
      </c>
      <c r="F2615" s="3">
        <v>11377.1</v>
      </c>
      <c r="G2615" s="7" t="s">
        <v>367</v>
      </c>
    </row>
    <row r="2616" spans="1:7" x14ac:dyDescent="0.3">
      <c r="A2616" s="7" t="s">
        <v>2983</v>
      </c>
      <c r="B2616" s="7" t="s">
        <v>75</v>
      </c>
      <c r="C2616" s="7" t="s">
        <v>359</v>
      </c>
      <c r="D2616" s="9">
        <v>46082</v>
      </c>
      <c r="E2616" s="9">
        <v>46112</v>
      </c>
      <c r="F2616" s="3">
        <v>1536.83</v>
      </c>
      <c r="G2616" s="7" t="s">
        <v>367</v>
      </c>
    </row>
    <row r="2617" spans="1:7" x14ac:dyDescent="0.3">
      <c r="A2617" s="7" t="s">
        <v>2984</v>
      </c>
      <c r="B2617" s="7" t="s">
        <v>75</v>
      </c>
      <c r="C2617" s="7" t="s">
        <v>357</v>
      </c>
      <c r="D2617" s="9">
        <v>46086</v>
      </c>
      <c r="E2617" s="9">
        <v>46116</v>
      </c>
      <c r="F2617" s="3">
        <v>2980.27</v>
      </c>
      <c r="G2617" s="7" t="s">
        <v>367</v>
      </c>
    </row>
    <row r="2618" spans="1:7" x14ac:dyDescent="0.3">
      <c r="A2618" s="7" t="s">
        <v>2985</v>
      </c>
      <c r="B2618" s="7" t="s">
        <v>51</v>
      </c>
      <c r="C2618" s="7" t="s">
        <v>353</v>
      </c>
      <c r="D2618" s="9">
        <v>46098</v>
      </c>
      <c r="E2618" s="9">
        <v>46128</v>
      </c>
      <c r="F2618" s="3">
        <v>2104.81</v>
      </c>
      <c r="G2618" s="7" t="s">
        <v>367</v>
      </c>
    </row>
    <row r="2619" spans="1:7" x14ac:dyDescent="0.3">
      <c r="A2619" s="7" t="s">
        <v>2986</v>
      </c>
      <c r="B2619" s="7" t="s">
        <v>80</v>
      </c>
      <c r="C2619" s="7" t="s">
        <v>359</v>
      </c>
      <c r="D2619" s="9">
        <v>46110</v>
      </c>
      <c r="E2619" s="9">
        <v>46140</v>
      </c>
      <c r="F2619" s="3">
        <v>1945.54</v>
      </c>
      <c r="G2619" s="7" t="s">
        <v>367</v>
      </c>
    </row>
    <row r="2620" spans="1:7" x14ac:dyDescent="0.3">
      <c r="A2620" s="7" t="s">
        <v>2987</v>
      </c>
      <c r="B2620" s="7" t="s">
        <v>15</v>
      </c>
      <c r="C2620" s="7" t="s">
        <v>349</v>
      </c>
      <c r="D2620" s="9">
        <v>46044</v>
      </c>
      <c r="E2620" s="9">
        <v>46074</v>
      </c>
      <c r="F2620" s="3">
        <v>2952.29</v>
      </c>
      <c r="G2620" s="7" t="s">
        <v>367</v>
      </c>
    </row>
    <row r="2621" spans="1:7" x14ac:dyDescent="0.3">
      <c r="A2621" s="7" t="s">
        <v>2988</v>
      </c>
      <c r="B2621" s="7" t="s">
        <v>121</v>
      </c>
      <c r="C2621" s="7" t="s">
        <v>351</v>
      </c>
      <c r="D2621" s="9">
        <v>45998</v>
      </c>
      <c r="E2621" s="9">
        <v>46028</v>
      </c>
      <c r="F2621" s="3">
        <v>4044.23</v>
      </c>
      <c r="G2621" s="7" t="s">
        <v>367</v>
      </c>
    </row>
    <row r="2622" spans="1:7" x14ac:dyDescent="0.3">
      <c r="A2622" s="7" t="s">
        <v>2989</v>
      </c>
      <c r="B2622" s="7" t="s">
        <v>52</v>
      </c>
      <c r="C2622" s="7" t="s">
        <v>353</v>
      </c>
      <c r="D2622" s="9">
        <v>46024</v>
      </c>
      <c r="E2622" s="9">
        <v>46054</v>
      </c>
      <c r="F2622" s="3">
        <v>2476.63</v>
      </c>
      <c r="G2622" s="7" t="s">
        <v>367</v>
      </c>
    </row>
    <row r="2623" spans="1:7" x14ac:dyDescent="0.3">
      <c r="A2623" s="7" t="s">
        <v>2990</v>
      </c>
      <c r="B2623" s="7" t="s">
        <v>121</v>
      </c>
      <c r="C2623" s="7" t="s">
        <v>349</v>
      </c>
      <c r="D2623" s="9">
        <v>46084</v>
      </c>
      <c r="E2623" s="9">
        <v>46114</v>
      </c>
      <c r="F2623" s="3">
        <v>3545.68</v>
      </c>
      <c r="G2623" s="7" t="s">
        <v>367</v>
      </c>
    </row>
    <row r="2624" spans="1:7" x14ac:dyDescent="0.3">
      <c r="A2624" s="7" t="s">
        <v>2991</v>
      </c>
      <c r="B2624" s="7" t="s">
        <v>104</v>
      </c>
      <c r="C2624" s="7" t="s">
        <v>359</v>
      </c>
      <c r="D2624" s="9">
        <v>45975</v>
      </c>
      <c r="E2624" s="9">
        <v>46005</v>
      </c>
      <c r="F2624" s="3">
        <v>1459.86</v>
      </c>
      <c r="G2624" s="7" t="s">
        <v>367</v>
      </c>
    </row>
    <row r="2625" spans="1:7" x14ac:dyDescent="0.3">
      <c r="A2625" s="7" t="s">
        <v>2992</v>
      </c>
      <c r="B2625" s="7" t="s">
        <v>75</v>
      </c>
      <c r="C2625" s="7" t="s">
        <v>351</v>
      </c>
      <c r="D2625" s="9">
        <v>46022</v>
      </c>
      <c r="E2625" s="9">
        <v>46052</v>
      </c>
      <c r="F2625" s="3">
        <v>5972.41</v>
      </c>
      <c r="G2625" s="7" t="s">
        <v>367</v>
      </c>
    </row>
    <row r="2626" spans="1:7" x14ac:dyDescent="0.3">
      <c r="A2626" s="7" t="s">
        <v>2993</v>
      </c>
      <c r="B2626" s="7" t="s">
        <v>119</v>
      </c>
      <c r="C2626" s="7" t="s">
        <v>359</v>
      </c>
      <c r="D2626" s="9">
        <v>46038</v>
      </c>
      <c r="E2626" s="9">
        <v>46068</v>
      </c>
      <c r="F2626" s="3">
        <v>1925.76</v>
      </c>
      <c r="G2626" s="7" t="s">
        <v>367</v>
      </c>
    </row>
    <row r="2627" spans="1:7" x14ac:dyDescent="0.3">
      <c r="A2627" s="7" t="s">
        <v>2994</v>
      </c>
      <c r="B2627" s="7" t="s">
        <v>82</v>
      </c>
      <c r="C2627" s="7" t="s">
        <v>357</v>
      </c>
      <c r="D2627" s="9">
        <v>46021</v>
      </c>
      <c r="E2627" s="9">
        <v>46051</v>
      </c>
      <c r="F2627" s="3">
        <v>4124.7700000000004</v>
      </c>
      <c r="G2627" s="7" t="s">
        <v>387</v>
      </c>
    </row>
    <row r="2628" spans="1:7" x14ac:dyDescent="0.3">
      <c r="A2628" s="7" t="s">
        <v>2995</v>
      </c>
      <c r="B2628" s="7" t="s">
        <v>52</v>
      </c>
      <c r="C2628" s="7" t="s">
        <v>353</v>
      </c>
      <c r="D2628" s="9">
        <v>46053</v>
      </c>
      <c r="E2628" s="9">
        <v>46083</v>
      </c>
      <c r="F2628" s="3">
        <v>2862.73</v>
      </c>
      <c r="G2628" s="7" t="s">
        <v>367</v>
      </c>
    </row>
    <row r="2629" spans="1:7" x14ac:dyDescent="0.3">
      <c r="A2629" s="7" t="s">
        <v>2996</v>
      </c>
      <c r="B2629" s="7" t="s">
        <v>59</v>
      </c>
      <c r="C2629" s="7" t="s">
        <v>357</v>
      </c>
      <c r="D2629" s="9">
        <v>46067</v>
      </c>
      <c r="E2629" s="9">
        <v>46097</v>
      </c>
      <c r="F2629" s="3">
        <v>2967.56</v>
      </c>
      <c r="G2629" s="7" t="s">
        <v>367</v>
      </c>
    </row>
    <row r="2630" spans="1:7" x14ac:dyDescent="0.3">
      <c r="A2630" s="7" t="s">
        <v>2997</v>
      </c>
      <c r="B2630" s="7" t="s">
        <v>106</v>
      </c>
      <c r="C2630" s="7" t="s">
        <v>359</v>
      </c>
      <c r="D2630" s="9">
        <v>46007</v>
      </c>
      <c r="E2630" s="9">
        <v>46037</v>
      </c>
      <c r="F2630" s="3">
        <v>1556.07</v>
      </c>
      <c r="G2630" s="7" t="s">
        <v>387</v>
      </c>
    </row>
    <row r="2631" spans="1:7" x14ac:dyDescent="0.3">
      <c r="A2631" s="7" t="s">
        <v>2998</v>
      </c>
      <c r="B2631" s="7" t="s">
        <v>100</v>
      </c>
      <c r="C2631" s="7" t="s">
        <v>351</v>
      </c>
      <c r="D2631" s="9">
        <v>46105</v>
      </c>
      <c r="E2631" s="9">
        <v>46135</v>
      </c>
      <c r="F2631" s="3">
        <v>5671.48</v>
      </c>
      <c r="G2631" s="7" t="s">
        <v>369</v>
      </c>
    </row>
    <row r="2632" spans="1:7" x14ac:dyDescent="0.3">
      <c r="A2632" s="7" t="s">
        <v>2999</v>
      </c>
      <c r="B2632" s="7" t="s">
        <v>94</v>
      </c>
      <c r="C2632" s="7" t="s">
        <v>349</v>
      </c>
      <c r="D2632" s="9">
        <v>45993</v>
      </c>
      <c r="E2632" s="9">
        <v>46023</v>
      </c>
      <c r="F2632" s="3">
        <v>2798.15</v>
      </c>
      <c r="G2632" s="7" t="s">
        <v>367</v>
      </c>
    </row>
    <row r="2633" spans="1:7" x14ac:dyDescent="0.3">
      <c r="A2633" s="7" t="s">
        <v>3000</v>
      </c>
      <c r="B2633" s="7" t="s">
        <v>115</v>
      </c>
      <c r="C2633" s="7" t="s">
        <v>355</v>
      </c>
      <c r="D2633" s="9">
        <v>46065</v>
      </c>
      <c r="E2633" s="9">
        <v>46095</v>
      </c>
      <c r="F2633" s="3">
        <v>13463.59</v>
      </c>
      <c r="G2633" s="7" t="s">
        <v>367</v>
      </c>
    </row>
    <row r="2634" spans="1:7" x14ac:dyDescent="0.3">
      <c r="A2634" s="7" t="s">
        <v>3001</v>
      </c>
      <c r="B2634" s="7" t="s">
        <v>62</v>
      </c>
      <c r="C2634" s="7" t="s">
        <v>353</v>
      </c>
      <c r="D2634" s="9">
        <v>46065</v>
      </c>
      <c r="E2634" s="9">
        <v>46095</v>
      </c>
      <c r="F2634" s="3">
        <v>2182.9899999999998</v>
      </c>
      <c r="G2634" s="7" t="s">
        <v>367</v>
      </c>
    </row>
    <row r="2635" spans="1:7" x14ac:dyDescent="0.3">
      <c r="A2635" s="7" t="s">
        <v>3002</v>
      </c>
      <c r="B2635" s="7" t="s">
        <v>36</v>
      </c>
      <c r="C2635" s="7" t="s">
        <v>353</v>
      </c>
      <c r="D2635" s="9">
        <v>46076</v>
      </c>
      <c r="E2635" s="9">
        <v>46106</v>
      </c>
      <c r="F2635" s="3">
        <v>2499.6799999999998</v>
      </c>
      <c r="G2635" s="7" t="s">
        <v>367</v>
      </c>
    </row>
    <row r="2636" spans="1:7" x14ac:dyDescent="0.3">
      <c r="A2636" s="7" t="s">
        <v>3003</v>
      </c>
      <c r="B2636" s="7" t="s">
        <v>103</v>
      </c>
      <c r="C2636" s="7" t="s">
        <v>353</v>
      </c>
      <c r="D2636" s="9">
        <v>45995</v>
      </c>
      <c r="E2636" s="9">
        <v>46025</v>
      </c>
      <c r="F2636" s="3">
        <v>2985.64</v>
      </c>
      <c r="G2636" s="7" t="s">
        <v>367</v>
      </c>
    </row>
    <row r="2637" spans="1:7" x14ac:dyDescent="0.3">
      <c r="A2637" s="7" t="s">
        <v>3004</v>
      </c>
      <c r="B2637" s="7" t="s">
        <v>78</v>
      </c>
      <c r="C2637" s="7" t="s">
        <v>349</v>
      </c>
      <c r="D2637" s="9">
        <v>46021</v>
      </c>
      <c r="E2637" s="9">
        <v>46051</v>
      </c>
      <c r="F2637" s="3">
        <v>3028.64</v>
      </c>
      <c r="G2637" s="7" t="s">
        <v>367</v>
      </c>
    </row>
    <row r="2638" spans="1:7" x14ac:dyDescent="0.3">
      <c r="A2638" s="7" t="s">
        <v>3005</v>
      </c>
      <c r="B2638" s="7" t="s">
        <v>74</v>
      </c>
      <c r="C2638" s="7" t="s">
        <v>349</v>
      </c>
      <c r="D2638" s="9">
        <v>46104</v>
      </c>
      <c r="E2638" s="9">
        <v>46134</v>
      </c>
      <c r="F2638" s="3">
        <v>3219.25</v>
      </c>
      <c r="G2638" s="7" t="s">
        <v>367</v>
      </c>
    </row>
    <row r="2639" spans="1:7" x14ac:dyDescent="0.3">
      <c r="A2639" s="7" t="s">
        <v>3006</v>
      </c>
      <c r="B2639" s="7" t="s">
        <v>122</v>
      </c>
      <c r="C2639" s="7" t="s">
        <v>349</v>
      </c>
      <c r="D2639" s="9">
        <v>46068</v>
      </c>
      <c r="E2639" s="9">
        <v>46098</v>
      </c>
      <c r="F2639" s="3">
        <v>2405.59</v>
      </c>
      <c r="G2639" s="7" t="s">
        <v>367</v>
      </c>
    </row>
    <row r="2640" spans="1:7" x14ac:dyDescent="0.3">
      <c r="A2640" s="7" t="s">
        <v>3007</v>
      </c>
      <c r="B2640" s="7" t="s">
        <v>31</v>
      </c>
      <c r="C2640" s="7" t="s">
        <v>357</v>
      </c>
      <c r="D2640" s="9">
        <v>45975</v>
      </c>
      <c r="E2640" s="9">
        <v>46005</v>
      </c>
      <c r="F2640" s="3">
        <v>3588.71</v>
      </c>
      <c r="G2640" s="7" t="s">
        <v>387</v>
      </c>
    </row>
    <row r="2641" spans="1:7" x14ac:dyDescent="0.3">
      <c r="A2641" s="7" t="s">
        <v>3008</v>
      </c>
      <c r="B2641" s="7" t="s">
        <v>51</v>
      </c>
      <c r="C2641" s="7" t="s">
        <v>359</v>
      </c>
      <c r="D2641" s="9">
        <v>46083</v>
      </c>
      <c r="E2641" s="9">
        <v>46113</v>
      </c>
      <c r="F2641" s="3">
        <v>1887.03</v>
      </c>
      <c r="G2641" s="7" t="s">
        <v>367</v>
      </c>
    </row>
    <row r="2642" spans="1:7" x14ac:dyDescent="0.3">
      <c r="A2642" s="7" t="s">
        <v>3009</v>
      </c>
      <c r="B2642" s="7" t="s">
        <v>29</v>
      </c>
      <c r="C2642" s="7" t="s">
        <v>349</v>
      </c>
      <c r="D2642" s="9">
        <v>46094</v>
      </c>
      <c r="E2642" s="9">
        <v>46124</v>
      </c>
      <c r="F2642" s="3">
        <v>3446.52</v>
      </c>
      <c r="G2642" s="7" t="s">
        <v>367</v>
      </c>
    </row>
    <row r="2643" spans="1:7" x14ac:dyDescent="0.3">
      <c r="A2643" s="7" t="s">
        <v>3010</v>
      </c>
      <c r="B2643" s="7" t="s">
        <v>111</v>
      </c>
      <c r="C2643" s="7" t="s">
        <v>355</v>
      </c>
      <c r="D2643" s="9">
        <v>46001</v>
      </c>
      <c r="E2643" s="9">
        <v>46031</v>
      </c>
      <c r="F2643" s="3">
        <v>12990.56</v>
      </c>
      <c r="G2643" s="7" t="s">
        <v>367</v>
      </c>
    </row>
    <row r="2644" spans="1:7" x14ac:dyDescent="0.3">
      <c r="A2644" s="7" t="s">
        <v>3011</v>
      </c>
      <c r="B2644" s="7" t="s">
        <v>108</v>
      </c>
      <c r="C2644" s="7" t="s">
        <v>355</v>
      </c>
      <c r="D2644" s="9">
        <v>45994</v>
      </c>
      <c r="E2644" s="9">
        <v>46024</v>
      </c>
      <c r="F2644" s="3">
        <v>9745.64</v>
      </c>
      <c r="G2644" s="7" t="s">
        <v>369</v>
      </c>
    </row>
    <row r="2645" spans="1:7" x14ac:dyDescent="0.3">
      <c r="A2645" s="7" t="s">
        <v>3012</v>
      </c>
      <c r="B2645" s="7" t="s">
        <v>94</v>
      </c>
      <c r="C2645" s="7" t="s">
        <v>349</v>
      </c>
      <c r="D2645" s="9">
        <v>45971</v>
      </c>
      <c r="E2645" s="9">
        <v>46001</v>
      </c>
      <c r="F2645" s="3">
        <v>3368.65</v>
      </c>
      <c r="G2645" s="7" t="s">
        <v>367</v>
      </c>
    </row>
    <row r="2646" spans="1:7" x14ac:dyDescent="0.3">
      <c r="A2646" s="7" t="s">
        <v>3013</v>
      </c>
      <c r="B2646" s="7" t="s">
        <v>84</v>
      </c>
      <c r="C2646" s="7" t="s">
        <v>351</v>
      </c>
      <c r="D2646" s="9">
        <v>46088</v>
      </c>
      <c r="E2646" s="9">
        <v>46118</v>
      </c>
      <c r="F2646" s="3">
        <v>5180.21</v>
      </c>
      <c r="G2646" s="7" t="s">
        <v>367</v>
      </c>
    </row>
    <row r="2647" spans="1:7" x14ac:dyDescent="0.3">
      <c r="A2647" s="7" t="s">
        <v>3014</v>
      </c>
      <c r="B2647" s="7" t="s">
        <v>77</v>
      </c>
      <c r="C2647" s="7" t="s">
        <v>351</v>
      </c>
      <c r="D2647" s="9">
        <v>46062</v>
      </c>
      <c r="E2647" s="9">
        <v>46092</v>
      </c>
      <c r="F2647" s="3">
        <v>5994.68</v>
      </c>
      <c r="G2647" s="7" t="s">
        <v>369</v>
      </c>
    </row>
    <row r="2648" spans="1:7" x14ac:dyDescent="0.3">
      <c r="A2648" s="7" t="s">
        <v>3015</v>
      </c>
      <c r="B2648" s="7" t="s">
        <v>50</v>
      </c>
      <c r="C2648" s="7" t="s">
        <v>355</v>
      </c>
      <c r="D2648" s="9">
        <v>45996</v>
      </c>
      <c r="E2648" s="9">
        <v>46026</v>
      </c>
      <c r="F2648" s="3">
        <v>13363.5</v>
      </c>
      <c r="G2648" s="7" t="s">
        <v>367</v>
      </c>
    </row>
    <row r="2649" spans="1:7" x14ac:dyDescent="0.3">
      <c r="A2649" s="7" t="s">
        <v>3016</v>
      </c>
      <c r="B2649" s="7" t="s">
        <v>58</v>
      </c>
      <c r="C2649" s="7" t="s">
        <v>351</v>
      </c>
      <c r="D2649" s="9">
        <v>46098</v>
      </c>
      <c r="E2649" s="9">
        <v>46128</v>
      </c>
      <c r="F2649" s="3">
        <v>4731.3900000000003</v>
      </c>
      <c r="G2649" s="7" t="s">
        <v>367</v>
      </c>
    </row>
    <row r="2650" spans="1:7" x14ac:dyDescent="0.3">
      <c r="A2650" s="7" t="s">
        <v>3017</v>
      </c>
      <c r="B2650" s="7" t="s">
        <v>114</v>
      </c>
      <c r="C2650" s="7" t="s">
        <v>349</v>
      </c>
      <c r="D2650" s="9">
        <v>46076</v>
      </c>
      <c r="E2650" s="9">
        <v>46106</v>
      </c>
      <c r="F2650" s="3">
        <v>2829.99</v>
      </c>
      <c r="G2650" s="7" t="s">
        <v>367</v>
      </c>
    </row>
    <row r="2651" spans="1:7" x14ac:dyDescent="0.3">
      <c r="A2651" s="7" t="s">
        <v>3018</v>
      </c>
      <c r="B2651" s="7" t="s">
        <v>48</v>
      </c>
      <c r="C2651" s="7" t="s">
        <v>357</v>
      </c>
      <c r="D2651" s="9">
        <v>45971</v>
      </c>
      <c r="E2651" s="9">
        <v>46001</v>
      </c>
      <c r="F2651" s="3">
        <v>2938.29</v>
      </c>
      <c r="G2651" s="7" t="s">
        <v>367</v>
      </c>
    </row>
    <row r="2652" spans="1:7" x14ac:dyDescent="0.3">
      <c r="A2652" s="7" t="s">
        <v>3019</v>
      </c>
      <c r="B2652" s="7" t="s">
        <v>103</v>
      </c>
      <c r="C2652" s="7" t="s">
        <v>357</v>
      </c>
      <c r="D2652" s="9">
        <v>46018</v>
      </c>
      <c r="E2652" s="9">
        <v>46048</v>
      </c>
      <c r="F2652" s="3">
        <v>3588.2</v>
      </c>
      <c r="G2652" s="7" t="s">
        <v>367</v>
      </c>
    </row>
    <row r="2653" spans="1:7" x14ac:dyDescent="0.3">
      <c r="A2653" s="7" t="s">
        <v>3020</v>
      </c>
      <c r="B2653" s="7" t="s">
        <v>104</v>
      </c>
      <c r="C2653" s="7" t="s">
        <v>357</v>
      </c>
      <c r="D2653" s="9">
        <v>46071</v>
      </c>
      <c r="E2653" s="9">
        <v>46101</v>
      </c>
      <c r="F2653" s="3">
        <v>3700.48</v>
      </c>
      <c r="G2653" s="7" t="s">
        <v>367</v>
      </c>
    </row>
    <row r="2654" spans="1:7" x14ac:dyDescent="0.3">
      <c r="A2654" s="7" t="s">
        <v>3021</v>
      </c>
      <c r="B2654" s="7" t="s">
        <v>55</v>
      </c>
      <c r="C2654" s="7" t="s">
        <v>351</v>
      </c>
      <c r="D2654" s="9">
        <v>45998</v>
      </c>
      <c r="E2654" s="9">
        <v>46028</v>
      </c>
      <c r="F2654" s="3">
        <v>4585.92</v>
      </c>
      <c r="G2654" s="7" t="s">
        <v>367</v>
      </c>
    </row>
    <row r="2655" spans="1:7" x14ac:dyDescent="0.3">
      <c r="A2655" s="7" t="s">
        <v>3022</v>
      </c>
      <c r="B2655" s="7" t="s">
        <v>68</v>
      </c>
      <c r="C2655" s="7" t="s">
        <v>349</v>
      </c>
      <c r="D2655" s="9">
        <v>46095</v>
      </c>
      <c r="E2655" s="9">
        <v>46125</v>
      </c>
      <c r="F2655" s="3">
        <v>2988.56</v>
      </c>
      <c r="G2655" s="7" t="s">
        <v>367</v>
      </c>
    </row>
    <row r="2656" spans="1:7" x14ac:dyDescent="0.3">
      <c r="A2656" s="7" t="s">
        <v>3023</v>
      </c>
      <c r="B2656" s="7" t="s">
        <v>96</v>
      </c>
      <c r="C2656" s="7" t="s">
        <v>357</v>
      </c>
      <c r="D2656" s="9">
        <v>46020</v>
      </c>
      <c r="E2656" s="9">
        <v>46050</v>
      </c>
      <c r="F2656" s="3">
        <v>3344.33</v>
      </c>
      <c r="G2656" s="7" t="s">
        <v>369</v>
      </c>
    </row>
    <row r="2657" spans="1:7" x14ac:dyDescent="0.3">
      <c r="A2657" s="7" t="s">
        <v>3024</v>
      </c>
      <c r="B2657" s="7" t="s">
        <v>46</v>
      </c>
      <c r="C2657" s="7" t="s">
        <v>349</v>
      </c>
      <c r="D2657" s="9">
        <v>46062</v>
      </c>
      <c r="E2657" s="9">
        <v>46092</v>
      </c>
      <c r="F2657" s="3">
        <v>3033.06</v>
      </c>
      <c r="G2657" s="7" t="s">
        <v>369</v>
      </c>
    </row>
    <row r="2658" spans="1:7" x14ac:dyDescent="0.3">
      <c r="A2658" s="7" t="s">
        <v>3025</v>
      </c>
      <c r="B2658" s="7" t="s">
        <v>47</v>
      </c>
      <c r="C2658" s="7" t="s">
        <v>357</v>
      </c>
      <c r="D2658" s="9">
        <v>46046</v>
      </c>
      <c r="E2658" s="9">
        <v>46076</v>
      </c>
      <c r="F2658" s="3">
        <v>3846.99</v>
      </c>
      <c r="G2658" s="7" t="s">
        <v>367</v>
      </c>
    </row>
    <row r="2659" spans="1:7" x14ac:dyDescent="0.3">
      <c r="A2659" s="7" t="s">
        <v>3026</v>
      </c>
      <c r="B2659" s="7" t="s">
        <v>56</v>
      </c>
      <c r="C2659" s="7" t="s">
        <v>359</v>
      </c>
      <c r="D2659" s="9">
        <v>46086</v>
      </c>
      <c r="E2659" s="9">
        <v>46116</v>
      </c>
      <c r="F2659" s="3">
        <v>1474.53</v>
      </c>
      <c r="G2659" s="7" t="s">
        <v>387</v>
      </c>
    </row>
    <row r="2660" spans="1:7" x14ac:dyDescent="0.3">
      <c r="A2660" s="7" t="s">
        <v>3027</v>
      </c>
      <c r="B2660" s="7" t="s">
        <v>94</v>
      </c>
      <c r="C2660" s="7" t="s">
        <v>351</v>
      </c>
      <c r="D2660" s="9">
        <v>46045</v>
      </c>
      <c r="E2660" s="9">
        <v>46075</v>
      </c>
      <c r="F2660" s="3">
        <v>4703.53</v>
      </c>
      <c r="G2660" s="7" t="s">
        <v>369</v>
      </c>
    </row>
    <row r="2661" spans="1:7" x14ac:dyDescent="0.3">
      <c r="A2661" s="7" t="s">
        <v>3028</v>
      </c>
      <c r="B2661" s="7" t="s">
        <v>94</v>
      </c>
      <c r="C2661" s="7" t="s">
        <v>355</v>
      </c>
      <c r="D2661" s="9">
        <v>46025</v>
      </c>
      <c r="E2661" s="9">
        <v>46055</v>
      </c>
      <c r="F2661" s="3">
        <v>13144.99</v>
      </c>
      <c r="G2661" s="7" t="s">
        <v>367</v>
      </c>
    </row>
    <row r="2662" spans="1:7" x14ac:dyDescent="0.3">
      <c r="A2662" s="7" t="s">
        <v>3029</v>
      </c>
      <c r="B2662" s="7" t="s">
        <v>30</v>
      </c>
      <c r="C2662" s="7" t="s">
        <v>359</v>
      </c>
      <c r="D2662" s="9">
        <v>45999</v>
      </c>
      <c r="E2662" s="9">
        <v>46029</v>
      </c>
      <c r="F2662" s="3">
        <v>1472.2</v>
      </c>
      <c r="G2662" s="7" t="s">
        <v>367</v>
      </c>
    </row>
    <row r="2663" spans="1:7" x14ac:dyDescent="0.3">
      <c r="A2663" s="7" t="s">
        <v>3030</v>
      </c>
      <c r="B2663" s="7" t="s">
        <v>33</v>
      </c>
      <c r="C2663" s="7" t="s">
        <v>351</v>
      </c>
      <c r="D2663" s="9">
        <v>46095</v>
      </c>
      <c r="E2663" s="9">
        <v>46125</v>
      </c>
      <c r="F2663" s="3">
        <v>5424.82</v>
      </c>
      <c r="G2663" s="7" t="s">
        <v>367</v>
      </c>
    </row>
    <row r="2664" spans="1:7" x14ac:dyDescent="0.3">
      <c r="A2664" s="7" t="s">
        <v>3031</v>
      </c>
      <c r="B2664" s="7" t="s">
        <v>33</v>
      </c>
      <c r="C2664" s="7" t="s">
        <v>357</v>
      </c>
      <c r="D2664" s="9">
        <v>46013</v>
      </c>
      <c r="E2664" s="9">
        <v>46043</v>
      </c>
      <c r="F2664" s="3">
        <v>3696.59</v>
      </c>
      <c r="G2664" s="7" t="s">
        <v>369</v>
      </c>
    </row>
    <row r="2665" spans="1:7" x14ac:dyDescent="0.3">
      <c r="A2665" s="7" t="s">
        <v>3032</v>
      </c>
      <c r="B2665" s="7" t="s">
        <v>91</v>
      </c>
      <c r="C2665" s="7" t="s">
        <v>359</v>
      </c>
      <c r="D2665" s="9">
        <v>46018</v>
      </c>
      <c r="E2665" s="9">
        <v>46048</v>
      </c>
      <c r="F2665" s="3">
        <v>1523.76</v>
      </c>
      <c r="G2665" s="7" t="s">
        <v>369</v>
      </c>
    </row>
    <row r="2666" spans="1:7" x14ac:dyDescent="0.3">
      <c r="A2666" s="7" t="s">
        <v>3033</v>
      </c>
      <c r="B2666" s="7" t="s">
        <v>114</v>
      </c>
      <c r="C2666" s="7" t="s">
        <v>353</v>
      </c>
      <c r="D2666" s="9">
        <v>45982</v>
      </c>
      <c r="E2666" s="9">
        <v>46012</v>
      </c>
      <c r="F2666" s="3">
        <v>2984.4</v>
      </c>
      <c r="G2666" s="7" t="s">
        <v>367</v>
      </c>
    </row>
    <row r="2667" spans="1:7" x14ac:dyDescent="0.3">
      <c r="A2667" s="7" t="s">
        <v>3034</v>
      </c>
      <c r="B2667" s="7" t="s">
        <v>92</v>
      </c>
      <c r="C2667" s="7" t="s">
        <v>355</v>
      </c>
      <c r="D2667" s="9">
        <v>46055</v>
      </c>
      <c r="E2667" s="9">
        <v>46085</v>
      </c>
      <c r="F2667" s="3">
        <v>9814.83</v>
      </c>
      <c r="G2667" s="7" t="s">
        <v>367</v>
      </c>
    </row>
    <row r="2668" spans="1:7" x14ac:dyDescent="0.3">
      <c r="A2668" s="7" t="s">
        <v>3035</v>
      </c>
      <c r="B2668" s="7" t="s">
        <v>117</v>
      </c>
      <c r="C2668" s="7" t="s">
        <v>353</v>
      </c>
      <c r="D2668" s="9">
        <v>46013</v>
      </c>
      <c r="E2668" s="9">
        <v>46043</v>
      </c>
      <c r="F2668" s="3">
        <v>2881.94</v>
      </c>
      <c r="G2668" s="7" t="s">
        <v>367</v>
      </c>
    </row>
    <row r="2669" spans="1:7" x14ac:dyDescent="0.3">
      <c r="A2669" s="7" t="s">
        <v>3036</v>
      </c>
      <c r="B2669" s="7" t="s">
        <v>41</v>
      </c>
      <c r="C2669" s="7" t="s">
        <v>359</v>
      </c>
      <c r="D2669" s="9">
        <v>46032</v>
      </c>
      <c r="E2669" s="9">
        <v>46062</v>
      </c>
      <c r="F2669" s="3">
        <v>1663.01</v>
      </c>
      <c r="G2669" s="7" t="s">
        <v>367</v>
      </c>
    </row>
    <row r="2670" spans="1:7" x14ac:dyDescent="0.3">
      <c r="A2670" s="7" t="s">
        <v>3037</v>
      </c>
      <c r="B2670" s="7" t="s">
        <v>114</v>
      </c>
      <c r="C2670" s="7" t="s">
        <v>355</v>
      </c>
      <c r="D2670" s="9">
        <v>46006</v>
      </c>
      <c r="E2670" s="9">
        <v>46036</v>
      </c>
      <c r="F2670" s="3">
        <v>12913.35</v>
      </c>
      <c r="G2670" s="7" t="s">
        <v>367</v>
      </c>
    </row>
    <row r="2671" spans="1:7" x14ac:dyDescent="0.3">
      <c r="A2671" s="7" t="s">
        <v>3038</v>
      </c>
      <c r="B2671" s="7" t="s">
        <v>87</v>
      </c>
      <c r="C2671" s="7" t="s">
        <v>351</v>
      </c>
      <c r="D2671" s="9">
        <v>46099</v>
      </c>
      <c r="E2671" s="9">
        <v>46129</v>
      </c>
      <c r="F2671" s="3">
        <v>5633.45</v>
      </c>
      <c r="G2671" s="7" t="s">
        <v>367</v>
      </c>
    </row>
    <row r="2672" spans="1:7" x14ac:dyDescent="0.3">
      <c r="A2672" s="7" t="s">
        <v>3039</v>
      </c>
      <c r="B2672" s="7" t="s">
        <v>95</v>
      </c>
      <c r="C2672" s="7" t="s">
        <v>359</v>
      </c>
      <c r="D2672" s="9">
        <v>45980</v>
      </c>
      <c r="E2672" s="9">
        <v>46010</v>
      </c>
      <c r="F2672" s="3">
        <v>1724.74</v>
      </c>
      <c r="G2672" s="7" t="s">
        <v>367</v>
      </c>
    </row>
    <row r="2673" spans="1:7" x14ac:dyDescent="0.3">
      <c r="A2673" s="7" t="s">
        <v>3040</v>
      </c>
      <c r="B2673" s="7" t="s">
        <v>108</v>
      </c>
      <c r="C2673" s="7" t="s">
        <v>351</v>
      </c>
      <c r="D2673" s="9">
        <v>45989</v>
      </c>
      <c r="E2673" s="9">
        <v>46019</v>
      </c>
      <c r="F2673" s="3">
        <v>4141.05</v>
      </c>
      <c r="G2673" s="7" t="s">
        <v>367</v>
      </c>
    </row>
    <row r="2674" spans="1:7" x14ac:dyDescent="0.3">
      <c r="A2674" s="7" t="s">
        <v>3041</v>
      </c>
      <c r="B2674" s="7" t="s">
        <v>101</v>
      </c>
      <c r="C2674" s="7" t="s">
        <v>355</v>
      </c>
      <c r="D2674" s="9">
        <v>46011</v>
      </c>
      <c r="E2674" s="9">
        <v>46041</v>
      </c>
      <c r="F2674" s="3">
        <v>9919.2000000000007</v>
      </c>
      <c r="G2674" s="7" t="s">
        <v>367</v>
      </c>
    </row>
    <row r="2675" spans="1:7" x14ac:dyDescent="0.3">
      <c r="A2675" s="7" t="s">
        <v>3042</v>
      </c>
      <c r="B2675" s="7" t="s">
        <v>75</v>
      </c>
      <c r="C2675" s="7" t="s">
        <v>353</v>
      </c>
      <c r="D2675" s="9">
        <v>46106</v>
      </c>
      <c r="E2675" s="9">
        <v>46136</v>
      </c>
      <c r="F2675" s="3">
        <v>2955.32</v>
      </c>
      <c r="G2675" s="7" t="s">
        <v>367</v>
      </c>
    </row>
    <row r="2676" spans="1:7" x14ac:dyDescent="0.3">
      <c r="A2676" s="7" t="s">
        <v>3043</v>
      </c>
      <c r="B2676" s="7" t="s">
        <v>22</v>
      </c>
      <c r="C2676" s="7" t="s">
        <v>353</v>
      </c>
      <c r="D2676" s="9">
        <v>46018</v>
      </c>
      <c r="E2676" s="9">
        <v>46048</v>
      </c>
      <c r="F2676" s="3">
        <v>2284.6999999999998</v>
      </c>
      <c r="G2676" s="7" t="s">
        <v>367</v>
      </c>
    </row>
    <row r="2677" spans="1:7" x14ac:dyDescent="0.3">
      <c r="A2677" s="7" t="s">
        <v>3044</v>
      </c>
      <c r="B2677" s="7" t="s">
        <v>78</v>
      </c>
      <c r="C2677" s="7" t="s">
        <v>355</v>
      </c>
      <c r="D2677" s="9">
        <v>46032</v>
      </c>
      <c r="E2677" s="9">
        <v>46062</v>
      </c>
      <c r="F2677" s="3">
        <v>13549.81</v>
      </c>
      <c r="G2677" s="7" t="s">
        <v>387</v>
      </c>
    </row>
    <row r="2678" spans="1:7" x14ac:dyDescent="0.3">
      <c r="A2678" s="7" t="s">
        <v>3045</v>
      </c>
      <c r="B2678" s="7" t="s">
        <v>20</v>
      </c>
      <c r="C2678" s="7" t="s">
        <v>355</v>
      </c>
      <c r="D2678" s="9">
        <v>46087</v>
      </c>
      <c r="E2678" s="9">
        <v>46117</v>
      </c>
      <c r="F2678" s="3">
        <v>10563.78</v>
      </c>
      <c r="G2678" s="7" t="s">
        <v>367</v>
      </c>
    </row>
    <row r="2679" spans="1:7" x14ac:dyDescent="0.3">
      <c r="A2679" s="7" t="s">
        <v>3046</v>
      </c>
      <c r="B2679" s="7" t="s">
        <v>104</v>
      </c>
      <c r="C2679" s="7" t="s">
        <v>349</v>
      </c>
      <c r="D2679" s="9">
        <v>46054</v>
      </c>
      <c r="E2679" s="9">
        <v>46084</v>
      </c>
      <c r="F2679" s="3">
        <v>2674.37</v>
      </c>
      <c r="G2679" s="7" t="s">
        <v>367</v>
      </c>
    </row>
    <row r="2680" spans="1:7" x14ac:dyDescent="0.3">
      <c r="A2680" s="7" t="s">
        <v>3047</v>
      </c>
      <c r="B2680" s="7" t="s">
        <v>63</v>
      </c>
      <c r="C2680" s="7" t="s">
        <v>359</v>
      </c>
      <c r="D2680" s="9">
        <v>46010</v>
      </c>
      <c r="E2680" s="9">
        <v>46040</v>
      </c>
      <c r="F2680" s="3">
        <v>2020.61</v>
      </c>
      <c r="G2680" s="7" t="s">
        <v>367</v>
      </c>
    </row>
    <row r="2681" spans="1:7" x14ac:dyDescent="0.3">
      <c r="A2681" s="7" t="s">
        <v>3048</v>
      </c>
      <c r="B2681" s="7" t="s">
        <v>71</v>
      </c>
      <c r="C2681" s="7" t="s">
        <v>359</v>
      </c>
      <c r="D2681" s="9">
        <v>46091</v>
      </c>
      <c r="E2681" s="9">
        <v>46121</v>
      </c>
      <c r="F2681" s="3">
        <v>1542.79</v>
      </c>
      <c r="G2681" s="7" t="s">
        <v>367</v>
      </c>
    </row>
    <row r="2682" spans="1:7" x14ac:dyDescent="0.3">
      <c r="A2682" s="7" t="s">
        <v>3049</v>
      </c>
      <c r="B2682" s="7" t="s">
        <v>8</v>
      </c>
      <c r="C2682" s="7" t="s">
        <v>351</v>
      </c>
      <c r="D2682" s="9">
        <v>46020</v>
      </c>
      <c r="E2682" s="9">
        <v>46050</v>
      </c>
      <c r="F2682" s="3">
        <v>5537.1</v>
      </c>
      <c r="G2682" s="7" t="s">
        <v>367</v>
      </c>
    </row>
    <row r="2683" spans="1:7" x14ac:dyDescent="0.3">
      <c r="A2683" s="7" t="s">
        <v>3050</v>
      </c>
      <c r="B2683" s="7" t="s">
        <v>32</v>
      </c>
      <c r="C2683" s="7" t="s">
        <v>351</v>
      </c>
      <c r="D2683" s="9">
        <v>46020</v>
      </c>
      <c r="E2683" s="9">
        <v>46050</v>
      </c>
      <c r="F2683" s="3">
        <v>4682.6899999999996</v>
      </c>
      <c r="G2683" s="7" t="s">
        <v>367</v>
      </c>
    </row>
    <row r="2684" spans="1:7" x14ac:dyDescent="0.3">
      <c r="A2684" s="7" t="s">
        <v>3051</v>
      </c>
      <c r="B2684" s="7" t="s">
        <v>71</v>
      </c>
      <c r="C2684" s="7" t="s">
        <v>359</v>
      </c>
      <c r="D2684" s="9">
        <v>46032</v>
      </c>
      <c r="E2684" s="9">
        <v>46062</v>
      </c>
      <c r="F2684" s="3">
        <v>1480.63</v>
      </c>
      <c r="G2684" s="7" t="s">
        <v>369</v>
      </c>
    </row>
    <row r="2685" spans="1:7" x14ac:dyDescent="0.3">
      <c r="A2685" s="7" t="s">
        <v>3052</v>
      </c>
      <c r="B2685" s="7" t="s">
        <v>99</v>
      </c>
      <c r="C2685" s="7" t="s">
        <v>349</v>
      </c>
      <c r="D2685" s="9">
        <v>46074</v>
      </c>
      <c r="E2685" s="9">
        <v>46104</v>
      </c>
      <c r="F2685" s="3">
        <v>2670.28</v>
      </c>
      <c r="G2685" s="7" t="s">
        <v>367</v>
      </c>
    </row>
    <row r="2686" spans="1:7" x14ac:dyDescent="0.3">
      <c r="A2686" s="7" t="s">
        <v>3053</v>
      </c>
      <c r="B2686" s="7" t="s">
        <v>84</v>
      </c>
      <c r="C2686" s="7" t="s">
        <v>355</v>
      </c>
      <c r="D2686" s="9">
        <v>46032</v>
      </c>
      <c r="E2686" s="9">
        <v>46062</v>
      </c>
      <c r="F2686" s="3">
        <v>9721.49</v>
      </c>
      <c r="G2686" s="7" t="s">
        <v>369</v>
      </c>
    </row>
    <row r="2687" spans="1:7" x14ac:dyDescent="0.3">
      <c r="A2687" s="7" t="s">
        <v>3054</v>
      </c>
      <c r="B2687" s="7" t="s">
        <v>47</v>
      </c>
      <c r="C2687" s="7" t="s">
        <v>357</v>
      </c>
      <c r="D2687" s="9">
        <v>46028</v>
      </c>
      <c r="E2687" s="9">
        <v>46058</v>
      </c>
      <c r="F2687" s="3">
        <v>3202.93</v>
      </c>
      <c r="G2687" s="7" t="s">
        <v>367</v>
      </c>
    </row>
    <row r="2688" spans="1:7" x14ac:dyDescent="0.3">
      <c r="A2688" s="7" t="s">
        <v>3055</v>
      </c>
      <c r="B2688" s="7" t="s">
        <v>9</v>
      </c>
      <c r="C2688" s="7" t="s">
        <v>349</v>
      </c>
      <c r="D2688" s="9">
        <v>45964</v>
      </c>
      <c r="E2688" s="9">
        <v>45994</v>
      </c>
      <c r="F2688" s="3">
        <v>2533.64</v>
      </c>
      <c r="G2688" s="7" t="s">
        <v>367</v>
      </c>
    </row>
    <row r="2689" spans="1:7" x14ac:dyDescent="0.3">
      <c r="A2689" s="7" t="s">
        <v>3056</v>
      </c>
      <c r="B2689" s="7" t="s">
        <v>25</v>
      </c>
      <c r="C2689" s="7" t="s">
        <v>357</v>
      </c>
      <c r="D2689" s="9">
        <v>46040</v>
      </c>
      <c r="E2689" s="9">
        <v>46070</v>
      </c>
      <c r="F2689" s="3">
        <v>3808.68</v>
      </c>
      <c r="G2689" s="7" t="s">
        <v>367</v>
      </c>
    </row>
    <row r="2690" spans="1:7" x14ac:dyDescent="0.3">
      <c r="A2690" s="7" t="s">
        <v>3057</v>
      </c>
      <c r="B2690" s="7" t="s">
        <v>14</v>
      </c>
      <c r="C2690" s="7" t="s">
        <v>349</v>
      </c>
      <c r="D2690" s="9">
        <v>46022</v>
      </c>
      <c r="E2690" s="9">
        <v>46052</v>
      </c>
      <c r="F2690" s="3">
        <v>3221.18</v>
      </c>
      <c r="G2690" s="7" t="s">
        <v>367</v>
      </c>
    </row>
    <row r="2691" spans="1:7" x14ac:dyDescent="0.3">
      <c r="A2691" s="7" t="s">
        <v>3058</v>
      </c>
      <c r="B2691" s="7" t="s">
        <v>11</v>
      </c>
      <c r="C2691" s="7" t="s">
        <v>355</v>
      </c>
      <c r="D2691" s="9">
        <v>46083</v>
      </c>
      <c r="E2691" s="9">
        <v>46113</v>
      </c>
      <c r="F2691" s="3">
        <v>13289.74</v>
      </c>
      <c r="G2691" s="7" t="s">
        <v>369</v>
      </c>
    </row>
    <row r="2692" spans="1:7" x14ac:dyDescent="0.3">
      <c r="A2692" s="7" t="s">
        <v>3059</v>
      </c>
      <c r="B2692" s="7" t="s">
        <v>67</v>
      </c>
      <c r="C2692" s="7" t="s">
        <v>357</v>
      </c>
      <c r="D2692" s="9">
        <v>46031</v>
      </c>
      <c r="E2692" s="9">
        <v>46061</v>
      </c>
      <c r="F2692" s="3">
        <v>3563.82</v>
      </c>
      <c r="G2692" s="7" t="s">
        <v>369</v>
      </c>
    </row>
    <row r="2693" spans="1:7" x14ac:dyDescent="0.3">
      <c r="A2693" s="7" t="s">
        <v>3060</v>
      </c>
      <c r="B2693" s="7" t="s">
        <v>64</v>
      </c>
      <c r="C2693" s="7" t="s">
        <v>357</v>
      </c>
      <c r="D2693" s="9">
        <v>46111</v>
      </c>
      <c r="E2693" s="9">
        <v>46141</v>
      </c>
      <c r="F2693" s="3">
        <v>3702.71</v>
      </c>
      <c r="G2693" s="7" t="s">
        <v>367</v>
      </c>
    </row>
    <row r="2694" spans="1:7" x14ac:dyDescent="0.3">
      <c r="A2694" s="7" t="s">
        <v>3061</v>
      </c>
      <c r="B2694" s="7" t="s">
        <v>88</v>
      </c>
      <c r="C2694" s="7" t="s">
        <v>359</v>
      </c>
      <c r="D2694" s="9">
        <v>46102</v>
      </c>
      <c r="E2694" s="9">
        <v>46132</v>
      </c>
      <c r="F2694" s="3">
        <v>1611.12</v>
      </c>
      <c r="G2694" s="7" t="s">
        <v>367</v>
      </c>
    </row>
    <row r="2695" spans="1:7" x14ac:dyDescent="0.3">
      <c r="A2695" s="7" t="s">
        <v>3062</v>
      </c>
      <c r="B2695" s="7" t="s">
        <v>53</v>
      </c>
      <c r="C2695" s="7" t="s">
        <v>355</v>
      </c>
      <c r="D2695" s="9">
        <v>45986</v>
      </c>
      <c r="E2695" s="9">
        <v>46016</v>
      </c>
      <c r="F2695" s="3">
        <v>11899.82</v>
      </c>
      <c r="G2695" s="7" t="s">
        <v>367</v>
      </c>
    </row>
    <row r="2696" spans="1:7" x14ac:dyDescent="0.3">
      <c r="A2696" s="7" t="s">
        <v>3063</v>
      </c>
      <c r="B2696" s="7" t="s">
        <v>56</v>
      </c>
      <c r="C2696" s="7" t="s">
        <v>351</v>
      </c>
      <c r="D2696" s="9">
        <v>46006</v>
      </c>
      <c r="E2696" s="9">
        <v>46036</v>
      </c>
      <c r="F2696" s="3">
        <v>4288.8100000000004</v>
      </c>
      <c r="G2696" s="7" t="s">
        <v>367</v>
      </c>
    </row>
    <row r="2697" spans="1:7" x14ac:dyDescent="0.3">
      <c r="A2697" s="7" t="s">
        <v>3064</v>
      </c>
      <c r="B2697" s="7" t="s">
        <v>110</v>
      </c>
      <c r="C2697" s="7" t="s">
        <v>353</v>
      </c>
      <c r="D2697" s="9">
        <v>45994</v>
      </c>
      <c r="E2697" s="9">
        <v>46024</v>
      </c>
      <c r="F2697" s="3">
        <v>2881.94</v>
      </c>
      <c r="G2697" s="7" t="s">
        <v>367</v>
      </c>
    </row>
    <row r="2698" spans="1:7" x14ac:dyDescent="0.3">
      <c r="A2698" s="7" t="s">
        <v>3065</v>
      </c>
      <c r="B2698" s="7" t="s">
        <v>76</v>
      </c>
      <c r="C2698" s="7" t="s">
        <v>353</v>
      </c>
      <c r="D2698" s="9">
        <v>46032</v>
      </c>
      <c r="E2698" s="9">
        <v>46062</v>
      </c>
      <c r="F2698" s="3">
        <v>2143.98</v>
      </c>
      <c r="G2698" s="7" t="s">
        <v>367</v>
      </c>
    </row>
    <row r="2699" spans="1:7" x14ac:dyDescent="0.3">
      <c r="A2699" s="7" t="s">
        <v>3066</v>
      </c>
      <c r="B2699" s="7" t="s">
        <v>58</v>
      </c>
      <c r="C2699" s="7" t="s">
        <v>351</v>
      </c>
      <c r="D2699" s="9">
        <v>45962</v>
      </c>
      <c r="E2699" s="9">
        <v>45992</v>
      </c>
      <c r="F2699" s="3">
        <v>5974.98</v>
      </c>
      <c r="G2699" s="7" t="s">
        <v>367</v>
      </c>
    </row>
    <row r="2700" spans="1:7" x14ac:dyDescent="0.3">
      <c r="A2700" s="7" t="s">
        <v>3067</v>
      </c>
      <c r="B2700" s="7" t="s">
        <v>56</v>
      </c>
      <c r="C2700" s="7" t="s">
        <v>355</v>
      </c>
      <c r="D2700" s="9">
        <v>46016</v>
      </c>
      <c r="E2700" s="9">
        <v>46046</v>
      </c>
      <c r="F2700" s="3">
        <v>13841.38</v>
      </c>
      <c r="G2700" s="7" t="s">
        <v>367</v>
      </c>
    </row>
    <row r="2701" spans="1:7" x14ac:dyDescent="0.3">
      <c r="A2701" s="7" t="s">
        <v>3068</v>
      </c>
      <c r="B2701" s="7" t="s">
        <v>99</v>
      </c>
      <c r="C2701" s="7" t="s">
        <v>355</v>
      </c>
      <c r="D2701" s="9">
        <v>46028</v>
      </c>
      <c r="E2701" s="9">
        <v>46058</v>
      </c>
      <c r="F2701" s="3">
        <v>11345.09</v>
      </c>
      <c r="G2701" s="7" t="s">
        <v>367</v>
      </c>
    </row>
    <row r="2702" spans="1:7" x14ac:dyDescent="0.3">
      <c r="A2702" s="7" t="s">
        <v>3069</v>
      </c>
      <c r="B2702" s="7" t="s">
        <v>31</v>
      </c>
      <c r="C2702" s="7" t="s">
        <v>357</v>
      </c>
      <c r="D2702" s="9">
        <v>45990</v>
      </c>
      <c r="E2702" s="9">
        <v>46020</v>
      </c>
      <c r="F2702" s="3">
        <v>3088.28</v>
      </c>
      <c r="G2702" s="7" t="s">
        <v>367</v>
      </c>
    </row>
    <row r="2703" spans="1:7" x14ac:dyDescent="0.3">
      <c r="A2703" s="7" t="s">
        <v>3070</v>
      </c>
      <c r="B2703" s="7" t="s">
        <v>77</v>
      </c>
      <c r="C2703" s="7" t="s">
        <v>359</v>
      </c>
      <c r="D2703" s="9">
        <v>46096</v>
      </c>
      <c r="E2703" s="9">
        <v>46126</v>
      </c>
      <c r="F2703" s="3">
        <v>1914.71</v>
      </c>
      <c r="G2703" s="7" t="s">
        <v>369</v>
      </c>
    </row>
    <row r="2704" spans="1:7" x14ac:dyDescent="0.3">
      <c r="A2704" s="7" t="s">
        <v>3071</v>
      </c>
      <c r="B2704" s="7" t="s">
        <v>67</v>
      </c>
      <c r="C2704" s="7" t="s">
        <v>355</v>
      </c>
      <c r="D2704" s="9">
        <v>45998</v>
      </c>
      <c r="E2704" s="9">
        <v>46028</v>
      </c>
      <c r="F2704" s="3">
        <v>11399.12</v>
      </c>
      <c r="G2704" s="7" t="s">
        <v>367</v>
      </c>
    </row>
    <row r="2705" spans="1:7" x14ac:dyDescent="0.3">
      <c r="A2705" s="7" t="s">
        <v>3072</v>
      </c>
      <c r="B2705" s="7" t="s">
        <v>106</v>
      </c>
      <c r="C2705" s="7" t="s">
        <v>349</v>
      </c>
      <c r="D2705" s="9">
        <v>46020</v>
      </c>
      <c r="E2705" s="9">
        <v>46050</v>
      </c>
      <c r="F2705" s="3">
        <v>3051.39</v>
      </c>
      <c r="G2705" s="7" t="s">
        <v>369</v>
      </c>
    </row>
    <row r="2706" spans="1:7" x14ac:dyDescent="0.3">
      <c r="A2706" s="7" t="s">
        <v>3073</v>
      </c>
      <c r="B2706" s="7" t="s">
        <v>120</v>
      </c>
      <c r="C2706" s="7" t="s">
        <v>357</v>
      </c>
      <c r="D2706" s="9">
        <v>46053</v>
      </c>
      <c r="E2706" s="9">
        <v>46083</v>
      </c>
      <c r="F2706" s="3">
        <v>3376.96</v>
      </c>
      <c r="G2706" s="7" t="s">
        <v>367</v>
      </c>
    </row>
    <row r="2707" spans="1:7" x14ac:dyDescent="0.3">
      <c r="A2707" s="7" t="s">
        <v>3074</v>
      </c>
      <c r="B2707" s="7" t="s">
        <v>63</v>
      </c>
      <c r="C2707" s="7" t="s">
        <v>351</v>
      </c>
      <c r="D2707" s="9">
        <v>45999</v>
      </c>
      <c r="E2707" s="9">
        <v>46029</v>
      </c>
      <c r="F2707" s="3">
        <v>5319.3</v>
      </c>
      <c r="G2707" s="7" t="s">
        <v>367</v>
      </c>
    </row>
    <row r="2708" spans="1:7" x14ac:dyDescent="0.3">
      <c r="A2708" s="7" t="s">
        <v>3075</v>
      </c>
      <c r="B2708" s="7" t="s">
        <v>41</v>
      </c>
      <c r="C2708" s="7" t="s">
        <v>349</v>
      </c>
      <c r="D2708" s="9">
        <v>46018</v>
      </c>
      <c r="E2708" s="9">
        <v>46048</v>
      </c>
      <c r="F2708" s="3">
        <v>3232.76</v>
      </c>
      <c r="G2708" s="7" t="s">
        <v>367</v>
      </c>
    </row>
    <row r="2709" spans="1:7" x14ac:dyDescent="0.3">
      <c r="A2709" s="7" t="s">
        <v>3076</v>
      </c>
      <c r="B2709" s="7" t="s">
        <v>80</v>
      </c>
      <c r="C2709" s="7" t="s">
        <v>359</v>
      </c>
      <c r="D2709" s="9">
        <v>46048</v>
      </c>
      <c r="E2709" s="9">
        <v>46078</v>
      </c>
      <c r="F2709" s="3">
        <v>1930.05</v>
      </c>
      <c r="G2709" s="7" t="s">
        <v>367</v>
      </c>
    </row>
    <row r="2710" spans="1:7" x14ac:dyDescent="0.3">
      <c r="A2710" s="7" t="s">
        <v>3077</v>
      </c>
      <c r="B2710" s="7" t="s">
        <v>101</v>
      </c>
      <c r="C2710" s="7" t="s">
        <v>351</v>
      </c>
      <c r="D2710" s="9">
        <v>46109</v>
      </c>
      <c r="E2710" s="9">
        <v>46139</v>
      </c>
      <c r="F2710" s="3">
        <v>4301.37</v>
      </c>
      <c r="G2710" s="7" t="s">
        <v>367</v>
      </c>
    </row>
    <row r="2711" spans="1:7" x14ac:dyDescent="0.3">
      <c r="A2711" s="7" t="s">
        <v>3078</v>
      </c>
      <c r="B2711" s="7" t="s">
        <v>104</v>
      </c>
      <c r="C2711" s="7" t="s">
        <v>351</v>
      </c>
      <c r="D2711" s="9">
        <v>46050</v>
      </c>
      <c r="E2711" s="9">
        <v>46080</v>
      </c>
      <c r="F2711" s="3">
        <v>5525.24</v>
      </c>
      <c r="G2711" s="7" t="s">
        <v>367</v>
      </c>
    </row>
    <row r="2712" spans="1:7" x14ac:dyDescent="0.3">
      <c r="A2712" s="7" t="s">
        <v>3079</v>
      </c>
      <c r="B2712" s="7" t="s">
        <v>107</v>
      </c>
      <c r="C2712" s="7" t="s">
        <v>357</v>
      </c>
      <c r="D2712" s="9">
        <v>45979</v>
      </c>
      <c r="E2712" s="9">
        <v>46009</v>
      </c>
      <c r="F2712" s="3">
        <v>3542.82</v>
      </c>
      <c r="G2712" s="7" t="s">
        <v>367</v>
      </c>
    </row>
    <row r="2713" spans="1:7" x14ac:dyDescent="0.3">
      <c r="A2713" s="7" t="s">
        <v>3080</v>
      </c>
      <c r="B2713" s="7" t="s">
        <v>18</v>
      </c>
      <c r="C2713" s="7" t="s">
        <v>349</v>
      </c>
      <c r="D2713" s="9">
        <v>45998</v>
      </c>
      <c r="E2713" s="9">
        <v>46028</v>
      </c>
      <c r="F2713" s="3">
        <v>2502.9</v>
      </c>
      <c r="G2713" s="7" t="s">
        <v>367</v>
      </c>
    </row>
    <row r="2714" spans="1:7" x14ac:dyDescent="0.3">
      <c r="A2714" s="7" t="s">
        <v>3081</v>
      </c>
      <c r="B2714" s="7" t="s">
        <v>34</v>
      </c>
      <c r="C2714" s="7" t="s">
        <v>353</v>
      </c>
      <c r="D2714" s="9">
        <v>46089</v>
      </c>
      <c r="E2714" s="9">
        <v>46119</v>
      </c>
      <c r="F2714" s="3">
        <v>2931.56</v>
      </c>
      <c r="G2714" s="7" t="s">
        <v>367</v>
      </c>
    </row>
    <row r="2715" spans="1:7" x14ac:dyDescent="0.3">
      <c r="A2715" s="7" t="s">
        <v>3082</v>
      </c>
      <c r="B2715" s="7" t="s">
        <v>81</v>
      </c>
      <c r="C2715" s="7" t="s">
        <v>353</v>
      </c>
      <c r="D2715" s="9">
        <v>45963</v>
      </c>
      <c r="E2715" s="9">
        <v>45993</v>
      </c>
      <c r="F2715" s="3">
        <v>2840.68</v>
      </c>
      <c r="G2715" s="7" t="s">
        <v>369</v>
      </c>
    </row>
    <row r="2716" spans="1:7" x14ac:dyDescent="0.3">
      <c r="A2716" s="7" t="s">
        <v>3083</v>
      </c>
      <c r="B2716" s="7" t="s">
        <v>19</v>
      </c>
      <c r="C2716" s="7" t="s">
        <v>355</v>
      </c>
      <c r="D2716" s="9">
        <v>46051</v>
      </c>
      <c r="E2716" s="9">
        <v>46081</v>
      </c>
      <c r="F2716" s="3">
        <v>11880.42</v>
      </c>
      <c r="G2716" s="7" t="s">
        <v>367</v>
      </c>
    </row>
    <row r="2717" spans="1:7" x14ac:dyDescent="0.3">
      <c r="A2717" s="7" t="s">
        <v>3084</v>
      </c>
      <c r="B2717" s="7" t="s">
        <v>22</v>
      </c>
      <c r="C2717" s="7" t="s">
        <v>357</v>
      </c>
      <c r="D2717" s="9">
        <v>46030</v>
      </c>
      <c r="E2717" s="9">
        <v>46060</v>
      </c>
      <c r="F2717" s="3">
        <v>3023.74</v>
      </c>
      <c r="G2717" s="7" t="s">
        <v>367</v>
      </c>
    </row>
    <row r="2718" spans="1:7" x14ac:dyDescent="0.3">
      <c r="A2718" s="7" t="s">
        <v>3085</v>
      </c>
      <c r="B2718" s="7" t="s">
        <v>87</v>
      </c>
      <c r="C2718" s="7" t="s">
        <v>357</v>
      </c>
      <c r="D2718" s="9">
        <v>46103</v>
      </c>
      <c r="E2718" s="9">
        <v>46133</v>
      </c>
      <c r="F2718" s="3">
        <v>4074.32</v>
      </c>
      <c r="G2718" s="7" t="s">
        <v>367</v>
      </c>
    </row>
    <row r="2719" spans="1:7" x14ac:dyDescent="0.3">
      <c r="A2719" s="7" t="s">
        <v>3086</v>
      </c>
      <c r="B2719" s="7" t="s">
        <v>38</v>
      </c>
      <c r="C2719" s="7" t="s">
        <v>355</v>
      </c>
      <c r="D2719" s="9">
        <v>46077</v>
      </c>
      <c r="E2719" s="9">
        <v>46107</v>
      </c>
      <c r="F2719" s="3">
        <v>12959.34</v>
      </c>
      <c r="G2719" s="7" t="s">
        <v>369</v>
      </c>
    </row>
    <row r="2720" spans="1:7" x14ac:dyDescent="0.3">
      <c r="A2720" s="7" t="s">
        <v>3087</v>
      </c>
      <c r="B2720" s="7" t="s">
        <v>12</v>
      </c>
      <c r="C2720" s="7" t="s">
        <v>349</v>
      </c>
      <c r="D2720" s="9">
        <v>46041</v>
      </c>
      <c r="E2720" s="9">
        <v>46071</v>
      </c>
      <c r="F2720" s="3">
        <v>3196.64</v>
      </c>
      <c r="G2720" s="7" t="s">
        <v>367</v>
      </c>
    </row>
    <row r="2721" spans="1:7" x14ac:dyDescent="0.3">
      <c r="A2721" s="7" t="s">
        <v>3088</v>
      </c>
      <c r="B2721" s="7" t="s">
        <v>105</v>
      </c>
      <c r="C2721" s="7" t="s">
        <v>351</v>
      </c>
      <c r="D2721" s="9">
        <v>45980</v>
      </c>
      <c r="E2721" s="9">
        <v>46010</v>
      </c>
      <c r="F2721" s="3">
        <v>5760.46</v>
      </c>
      <c r="G2721" s="7" t="s">
        <v>367</v>
      </c>
    </row>
    <row r="2722" spans="1:7" x14ac:dyDescent="0.3">
      <c r="A2722" s="7" t="s">
        <v>3089</v>
      </c>
      <c r="B2722" s="7" t="s">
        <v>81</v>
      </c>
      <c r="C2722" s="7" t="s">
        <v>349</v>
      </c>
      <c r="D2722" s="9">
        <v>45993</v>
      </c>
      <c r="E2722" s="9">
        <v>46023</v>
      </c>
      <c r="F2722" s="3">
        <v>3103.41</v>
      </c>
      <c r="G2722" s="7" t="s">
        <v>369</v>
      </c>
    </row>
    <row r="2723" spans="1:7" x14ac:dyDescent="0.3">
      <c r="A2723" s="7" t="s">
        <v>3090</v>
      </c>
      <c r="B2723" s="7" t="s">
        <v>79</v>
      </c>
      <c r="C2723" s="7" t="s">
        <v>357</v>
      </c>
      <c r="D2723" s="9">
        <v>46037</v>
      </c>
      <c r="E2723" s="9">
        <v>46067</v>
      </c>
      <c r="F2723" s="3">
        <v>3054.57</v>
      </c>
      <c r="G2723" s="7" t="s">
        <v>369</v>
      </c>
    </row>
    <row r="2724" spans="1:7" x14ac:dyDescent="0.3">
      <c r="A2724" s="7" t="s">
        <v>3091</v>
      </c>
      <c r="B2724" s="7" t="s">
        <v>24</v>
      </c>
      <c r="C2724" s="7" t="s">
        <v>353</v>
      </c>
      <c r="D2724" s="9">
        <v>45989</v>
      </c>
      <c r="E2724" s="9">
        <v>46019</v>
      </c>
      <c r="F2724" s="3">
        <v>2885.6</v>
      </c>
      <c r="G2724" s="7" t="s">
        <v>367</v>
      </c>
    </row>
    <row r="2725" spans="1:7" x14ac:dyDescent="0.3">
      <c r="A2725" s="7" t="s">
        <v>3092</v>
      </c>
      <c r="B2725" s="7" t="s">
        <v>108</v>
      </c>
      <c r="C2725" s="7" t="s">
        <v>357</v>
      </c>
      <c r="D2725" s="9">
        <v>46034</v>
      </c>
      <c r="E2725" s="9">
        <v>46064</v>
      </c>
      <c r="F2725" s="3">
        <v>3220.15</v>
      </c>
      <c r="G2725" s="7" t="s">
        <v>367</v>
      </c>
    </row>
    <row r="2726" spans="1:7" x14ac:dyDescent="0.3">
      <c r="A2726" s="7" t="s">
        <v>3093</v>
      </c>
      <c r="B2726" s="7" t="s">
        <v>108</v>
      </c>
      <c r="C2726" s="7" t="s">
        <v>359</v>
      </c>
      <c r="D2726" s="9">
        <v>46018</v>
      </c>
      <c r="E2726" s="9">
        <v>46048</v>
      </c>
      <c r="F2726" s="3">
        <v>1581.93</v>
      </c>
      <c r="G2726" s="7" t="s">
        <v>367</v>
      </c>
    </row>
    <row r="2727" spans="1:7" x14ac:dyDescent="0.3">
      <c r="A2727" s="7" t="s">
        <v>3094</v>
      </c>
      <c r="B2727" s="7" t="s">
        <v>121</v>
      </c>
      <c r="C2727" s="7" t="s">
        <v>349</v>
      </c>
      <c r="D2727" s="9">
        <v>45977</v>
      </c>
      <c r="E2727" s="9">
        <v>46007</v>
      </c>
      <c r="F2727" s="3">
        <v>2825.65</v>
      </c>
      <c r="G2727" s="7" t="s">
        <v>367</v>
      </c>
    </row>
    <row r="2728" spans="1:7" x14ac:dyDescent="0.3">
      <c r="A2728" s="7" t="s">
        <v>3095</v>
      </c>
      <c r="B2728" s="7" t="s">
        <v>31</v>
      </c>
      <c r="C2728" s="7" t="s">
        <v>357</v>
      </c>
      <c r="D2728" s="9">
        <v>45963</v>
      </c>
      <c r="E2728" s="9">
        <v>45993</v>
      </c>
      <c r="F2728" s="3">
        <v>3384.83</v>
      </c>
      <c r="G2728" s="7" t="s">
        <v>369</v>
      </c>
    </row>
    <row r="2729" spans="1:7" x14ac:dyDescent="0.3">
      <c r="A2729" s="7" t="s">
        <v>3096</v>
      </c>
      <c r="B2729" s="7" t="s">
        <v>122</v>
      </c>
      <c r="C2729" s="7" t="s">
        <v>357</v>
      </c>
      <c r="D2729" s="9">
        <v>46023</v>
      </c>
      <c r="E2729" s="9">
        <v>46053</v>
      </c>
      <c r="F2729" s="3">
        <v>3192.34</v>
      </c>
      <c r="G2729" s="7" t="s">
        <v>367</v>
      </c>
    </row>
    <row r="2730" spans="1:7" x14ac:dyDescent="0.3">
      <c r="A2730" s="7" t="s">
        <v>3097</v>
      </c>
      <c r="B2730" s="7" t="s">
        <v>64</v>
      </c>
      <c r="C2730" s="7" t="s">
        <v>351</v>
      </c>
      <c r="D2730" s="9">
        <v>46109</v>
      </c>
      <c r="E2730" s="9">
        <v>46139</v>
      </c>
      <c r="F2730" s="3">
        <v>4104.0200000000004</v>
      </c>
      <c r="G2730" s="7" t="s">
        <v>367</v>
      </c>
    </row>
    <row r="2731" spans="1:7" x14ac:dyDescent="0.3">
      <c r="A2731" s="7" t="s">
        <v>3098</v>
      </c>
      <c r="B2731" s="7" t="s">
        <v>91</v>
      </c>
      <c r="C2731" s="7" t="s">
        <v>355</v>
      </c>
      <c r="D2731" s="9">
        <v>45965</v>
      </c>
      <c r="E2731" s="9">
        <v>45995</v>
      </c>
      <c r="F2731" s="3">
        <v>11220.09</v>
      </c>
      <c r="G2731" s="7" t="s">
        <v>387</v>
      </c>
    </row>
    <row r="2732" spans="1:7" x14ac:dyDescent="0.3">
      <c r="A2732" s="7" t="s">
        <v>3099</v>
      </c>
      <c r="B2732" s="7" t="s">
        <v>118</v>
      </c>
      <c r="C2732" s="7" t="s">
        <v>355</v>
      </c>
      <c r="D2732" s="9">
        <v>46024</v>
      </c>
      <c r="E2732" s="9">
        <v>46054</v>
      </c>
      <c r="F2732" s="3">
        <v>12765.17</v>
      </c>
      <c r="G2732" s="7" t="s">
        <v>367</v>
      </c>
    </row>
    <row r="2733" spans="1:7" x14ac:dyDescent="0.3">
      <c r="A2733" s="7" t="s">
        <v>3100</v>
      </c>
      <c r="B2733" s="7" t="s">
        <v>32</v>
      </c>
      <c r="C2733" s="7" t="s">
        <v>357</v>
      </c>
      <c r="D2733" s="9">
        <v>46096</v>
      </c>
      <c r="E2733" s="9">
        <v>46126</v>
      </c>
      <c r="F2733" s="3">
        <v>2814.95</v>
      </c>
      <c r="G2733" s="7" t="s">
        <v>367</v>
      </c>
    </row>
    <row r="2734" spans="1:7" x14ac:dyDescent="0.3">
      <c r="A2734" s="7" t="s">
        <v>3101</v>
      </c>
      <c r="B2734" s="7" t="s">
        <v>96</v>
      </c>
      <c r="C2734" s="7" t="s">
        <v>355</v>
      </c>
      <c r="D2734" s="9">
        <v>45987</v>
      </c>
      <c r="E2734" s="9">
        <v>46017</v>
      </c>
      <c r="F2734" s="3">
        <v>11424.08</v>
      </c>
      <c r="G2734" s="7" t="s">
        <v>367</v>
      </c>
    </row>
    <row r="2735" spans="1:7" x14ac:dyDescent="0.3">
      <c r="A2735" s="7" t="s">
        <v>3102</v>
      </c>
      <c r="B2735" s="7" t="s">
        <v>107</v>
      </c>
      <c r="C2735" s="7" t="s">
        <v>355</v>
      </c>
      <c r="D2735" s="9">
        <v>45986</v>
      </c>
      <c r="E2735" s="9">
        <v>46016</v>
      </c>
      <c r="F2735" s="3">
        <v>11211.05</v>
      </c>
      <c r="G2735" s="7" t="s">
        <v>369</v>
      </c>
    </row>
    <row r="2736" spans="1:7" x14ac:dyDescent="0.3">
      <c r="A2736" s="7" t="s">
        <v>3103</v>
      </c>
      <c r="B2736" s="7" t="s">
        <v>99</v>
      </c>
      <c r="C2736" s="7" t="s">
        <v>355</v>
      </c>
      <c r="D2736" s="9">
        <v>46046</v>
      </c>
      <c r="E2736" s="9">
        <v>46076</v>
      </c>
      <c r="F2736" s="3">
        <v>11554.54</v>
      </c>
      <c r="G2736" s="7" t="s">
        <v>369</v>
      </c>
    </row>
    <row r="2737" spans="1:7" x14ac:dyDescent="0.3">
      <c r="A2737" s="7" t="s">
        <v>3104</v>
      </c>
      <c r="B2737" s="7" t="s">
        <v>123</v>
      </c>
      <c r="C2737" s="7" t="s">
        <v>353</v>
      </c>
      <c r="D2737" s="9">
        <v>46078</v>
      </c>
      <c r="E2737" s="9">
        <v>46108</v>
      </c>
      <c r="F2737" s="3">
        <v>2552.38</v>
      </c>
      <c r="G2737" s="7" t="s">
        <v>367</v>
      </c>
    </row>
    <row r="2738" spans="1:7" x14ac:dyDescent="0.3">
      <c r="A2738" s="7" t="s">
        <v>3105</v>
      </c>
      <c r="B2738" s="7" t="s">
        <v>117</v>
      </c>
      <c r="C2738" s="7" t="s">
        <v>355</v>
      </c>
      <c r="D2738" s="9">
        <v>46030</v>
      </c>
      <c r="E2738" s="9">
        <v>46060</v>
      </c>
      <c r="F2738" s="3">
        <v>14010.13</v>
      </c>
      <c r="G2738" s="7" t="s">
        <v>369</v>
      </c>
    </row>
    <row r="2739" spans="1:7" x14ac:dyDescent="0.3">
      <c r="A2739" s="7" t="s">
        <v>3106</v>
      </c>
      <c r="B2739" s="7" t="s">
        <v>20</v>
      </c>
      <c r="C2739" s="7" t="s">
        <v>357</v>
      </c>
      <c r="D2739" s="9">
        <v>45991</v>
      </c>
      <c r="E2739" s="9">
        <v>46021</v>
      </c>
      <c r="F2739" s="3">
        <v>4054.15</v>
      </c>
      <c r="G2739" s="7" t="s">
        <v>369</v>
      </c>
    </row>
    <row r="2740" spans="1:7" x14ac:dyDescent="0.3">
      <c r="A2740" s="7" t="s">
        <v>3107</v>
      </c>
      <c r="B2740" s="7" t="s">
        <v>109</v>
      </c>
      <c r="C2740" s="7" t="s">
        <v>351</v>
      </c>
      <c r="D2740" s="9">
        <v>45970</v>
      </c>
      <c r="E2740" s="9">
        <v>46000</v>
      </c>
      <c r="F2740" s="3">
        <v>4148.83</v>
      </c>
      <c r="G2740" s="7" t="s">
        <v>367</v>
      </c>
    </row>
    <row r="2741" spans="1:7" x14ac:dyDescent="0.3">
      <c r="A2741" s="7" t="s">
        <v>3108</v>
      </c>
      <c r="B2741" s="7" t="s">
        <v>8</v>
      </c>
      <c r="C2741" s="7" t="s">
        <v>351</v>
      </c>
      <c r="D2741" s="9">
        <v>46110</v>
      </c>
      <c r="E2741" s="9">
        <v>46140</v>
      </c>
      <c r="F2741" s="3">
        <v>5557.75</v>
      </c>
      <c r="G2741" s="7" t="s">
        <v>367</v>
      </c>
    </row>
    <row r="2742" spans="1:7" x14ac:dyDescent="0.3">
      <c r="A2742" s="7" t="s">
        <v>3109</v>
      </c>
      <c r="B2742" s="7" t="s">
        <v>81</v>
      </c>
      <c r="C2742" s="7" t="s">
        <v>359</v>
      </c>
      <c r="D2742" s="9">
        <v>46079</v>
      </c>
      <c r="E2742" s="9">
        <v>46109</v>
      </c>
      <c r="F2742" s="3">
        <v>2021.03</v>
      </c>
      <c r="G2742" s="7" t="s">
        <v>367</v>
      </c>
    </row>
    <row r="2743" spans="1:7" x14ac:dyDescent="0.3">
      <c r="A2743" s="7" t="s">
        <v>3110</v>
      </c>
      <c r="B2743" s="7" t="s">
        <v>107</v>
      </c>
      <c r="C2743" s="7" t="s">
        <v>359</v>
      </c>
      <c r="D2743" s="9">
        <v>45977</v>
      </c>
      <c r="E2743" s="9">
        <v>46007</v>
      </c>
      <c r="F2743" s="3">
        <v>2135.2600000000002</v>
      </c>
      <c r="G2743" s="7" t="s">
        <v>369</v>
      </c>
    </row>
    <row r="2744" spans="1:7" x14ac:dyDescent="0.3">
      <c r="A2744" s="7" t="s">
        <v>3111</v>
      </c>
      <c r="B2744" s="7" t="s">
        <v>32</v>
      </c>
      <c r="C2744" s="7" t="s">
        <v>359</v>
      </c>
      <c r="D2744" s="9">
        <v>46111</v>
      </c>
      <c r="E2744" s="9">
        <v>46141</v>
      </c>
      <c r="F2744" s="3">
        <v>1516.2</v>
      </c>
      <c r="G2744" s="7" t="s">
        <v>367</v>
      </c>
    </row>
    <row r="2745" spans="1:7" x14ac:dyDescent="0.3">
      <c r="A2745" s="7" t="s">
        <v>3112</v>
      </c>
      <c r="B2745" s="7" t="s">
        <v>18</v>
      </c>
      <c r="C2745" s="7" t="s">
        <v>359</v>
      </c>
      <c r="D2745" s="9">
        <v>45991</v>
      </c>
      <c r="E2745" s="9">
        <v>46021</v>
      </c>
      <c r="F2745" s="3">
        <v>2107.12</v>
      </c>
      <c r="G2745" s="7" t="s">
        <v>367</v>
      </c>
    </row>
    <row r="2746" spans="1:7" x14ac:dyDescent="0.3">
      <c r="A2746" s="7" t="s">
        <v>3113</v>
      </c>
      <c r="B2746" s="7" t="s">
        <v>98</v>
      </c>
      <c r="C2746" s="7" t="s">
        <v>349</v>
      </c>
      <c r="D2746" s="9">
        <v>46021</v>
      </c>
      <c r="E2746" s="9">
        <v>46051</v>
      </c>
      <c r="F2746" s="3">
        <v>2919.56</v>
      </c>
      <c r="G2746" s="7" t="s">
        <v>367</v>
      </c>
    </row>
    <row r="2747" spans="1:7" x14ac:dyDescent="0.3">
      <c r="A2747" s="7" t="s">
        <v>3114</v>
      </c>
      <c r="B2747" s="7" t="s">
        <v>111</v>
      </c>
      <c r="C2747" s="7" t="s">
        <v>349</v>
      </c>
      <c r="D2747" s="9">
        <v>46033</v>
      </c>
      <c r="E2747" s="9">
        <v>46063</v>
      </c>
      <c r="F2747" s="3">
        <v>2864.28</v>
      </c>
      <c r="G2747" s="7" t="s">
        <v>367</v>
      </c>
    </row>
    <row r="2748" spans="1:7" x14ac:dyDescent="0.3">
      <c r="A2748" s="7" t="s">
        <v>3115</v>
      </c>
      <c r="B2748" s="7" t="s">
        <v>67</v>
      </c>
      <c r="C2748" s="7" t="s">
        <v>351</v>
      </c>
      <c r="D2748" s="9">
        <v>45987</v>
      </c>
      <c r="E2748" s="9">
        <v>46017</v>
      </c>
      <c r="F2748" s="3">
        <v>5416.48</v>
      </c>
      <c r="G2748" s="7" t="s">
        <v>367</v>
      </c>
    </row>
    <row r="2749" spans="1:7" x14ac:dyDescent="0.3">
      <c r="A2749" s="7" t="s">
        <v>3116</v>
      </c>
      <c r="B2749" s="7" t="s">
        <v>71</v>
      </c>
      <c r="C2749" s="7" t="s">
        <v>353</v>
      </c>
      <c r="D2749" s="9">
        <v>46019</v>
      </c>
      <c r="E2749" s="9">
        <v>46049</v>
      </c>
      <c r="F2749" s="3">
        <v>2731.56</v>
      </c>
      <c r="G2749" s="7" t="s">
        <v>367</v>
      </c>
    </row>
    <row r="2750" spans="1:7" x14ac:dyDescent="0.3">
      <c r="A2750" s="7" t="s">
        <v>3117</v>
      </c>
      <c r="B2750" s="7" t="s">
        <v>76</v>
      </c>
      <c r="C2750" s="7" t="s">
        <v>349</v>
      </c>
      <c r="D2750" s="9">
        <v>46020</v>
      </c>
      <c r="E2750" s="9">
        <v>46050</v>
      </c>
      <c r="F2750" s="3">
        <v>2495.4699999999998</v>
      </c>
      <c r="G2750" s="7" t="s">
        <v>367</v>
      </c>
    </row>
    <row r="2751" spans="1:7" x14ac:dyDescent="0.3">
      <c r="A2751" s="7" t="s">
        <v>3118</v>
      </c>
      <c r="B2751" s="7" t="s">
        <v>16</v>
      </c>
      <c r="C2751" s="7" t="s">
        <v>357</v>
      </c>
      <c r="D2751" s="9">
        <v>46034</v>
      </c>
      <c r="E2751" s="9">
        <v>46064</v>
      </c>
      <c r="F2751" s="3">
        <v>4161.8100000000004</v>
      </c>
      <c r="G2751" s="7" t="s">
        <v>367</v>
      </c>
    </row>
    <row r="2752" spans="1:7" x14ac:dyDescent="0.3">
      <c r="A2752" s="7" t="s">
        <v>3119</v>
      </c>
      <c r="B2752" s="7" t="s">
        <v>88</v>
      </c>
      <c r="C2752" s="7" t="s">
        <v>351</v>
      </c>
      <c r="D2752" s="9">
        <v>45998</v>
      </c>
      <c r="E2752" s="9">
        <v>46028</v>
      </c>
      <c r="F2752" s="3">
        <v>4374.1000000000004</v>
      </c>
      <c r="G2752" s="7" t="s">
        <v>367</v>
      </c>
    </row>
    <row r="2753" spans="1:7" x14ac:dyDescent="0.3">
      <c r="A2753" s="7" t="s">
        <v>3120</v>
      </c>
      <c r="B2753" s="7" t="s">
        <v>34</v>
      </c>
      <c r="C2753" s="7" t="s">
        <v>357</v>
      </c>
      <c r="D2753" s="9">
        <v>46048</v>
      </c>
      <c r="E2753" s="9">
        <v>46078</v>
      </c>
      <c r="F2753" s="3">
        <v>3215.41</v>
      </c>
      <c r="G2753" s="7" t="s">
        <v>367</v>
      </c>
    </row>
    <row r="2754" spans="1:7" x14ac:dyDescent="0.3">
      <c r="A2754" s="7" t="s">
        <v>3121</v>
      </c>
      <c r="B2754" s="7" t="s">
        <v>7</v>
      </c>
      <c r="C2754" s="7" t="s">
        <v>355</v>
      </c>
      <c r="D2754" s="9">
        <v>46078</v>
      </c>
      <c r="E2754" s="9">
        <v>46108</v>
      </c>
      <c r="F2754" s="3">
        <v>10804.56</v>
      </c>
      <c r="G2754" s="7" t="s">
        <v>367</v>
      </c>
    </row>
    <row r="2755" spans="1:7" x14ac:dyDescent="0.3">
      <c r="A2755" s="7" t="s">
        <v>3122</v>
      </c>
      <c r="B2755" s="7" t="s">
        <v>27</v>
      </c>
      <c r="C2755" s="7" t="s">
        <v>359</v>
      </c>
      <c r="D2755" s="9">
        <v>46016</v>
      </c>
      <c r="E2755" s="9">
        <v>46046</v>
      </c>
      <c r="F2755" s="3">
        <v>2081.1999999999998</v>
      </c>
      <c r="G2755" s="7" t="s">
        <v>367</v>
      </c>
    </row>
    <row r="2756" spans="1:7" x14ac:dyDescent="0.3">
      <c r="A2756" s="7" t="s">
        <v>3123</v>
      </c>
      <c r="B2756" s="7" t="s">
        <v>14</v>
      </c>
      <c r="C2756" s="7" t="s">
        <v>349</v>
      </c>
      <c r="D2756" s="9">
        <v>46097</v>
      </c>
      <c r="E2756" s="9">
        <v>46127</v>
      </c>
      <c r="F2756" s="3">
        <v>2473.94</v>
      </c>
      <c r="G2756" s="7" t="s">
        <v>369</v>
      </c>
    </row>
    <row r="2757" spans="1:7" x14ac:dyDescent="0.3">
      <c r="A2757" s="7" t="s">
        <v>3124</v>
      </c>
      <c r="B2757" s="7" t="s">
        <v>122</v>
      </c>
      <c r="C2757" s="7" t="s">
        <v>357</v>
      </c>
      <c r="D2757" s="9">
        <v>46081</v>
      </c>
      <c r="E2757" s="9">
        <v>46111</v>
      </c>
      <c r="F2757" s="3">
        <v>3857.91</v>
      </c>
      <c r="G2757" s="7" t="s">
        <v>367</v>
      </c>
    </row>
    <row r="2758" spans="1:7" x14ac:dyDescent="0.3">
      <c r="A2758" s="7" t="s">
        <v>3125</v>
      </c>
      <c r="B2758" s="7" t="s">
        <v>82</v>
      </c>
      <c r="C2758" s="7" t="s">
        <v>359</v>
      </c>
      <c r="D2758" s="9">
        <v>46097</v>
      </c>
      <c r="E2758" s="9">
        <v>46127</v>
      </c>
      <c r="F2758" s="3">
        <v>1761.07</v>
      </c>
      <c r="G2758" s="7" t="s">
        <v>367</v>
      </c>
    </row>
    <row r="2759" spans="1:7" x14ac:dyDescent="0.3">
      <c r="A2759" s="7" t="s">
        <v>3126</v>
      </c>
      <c r="B2759" s="7" t="s">
        <v>79</v>
      </c>
      <c r="C2759" s="7" t="s">
        <v>353</v>
      </c>
      <c r="D2759" s="9">
        <v>46001</v>
      </c>
      <c r="E2759" s="9">
        <v>46031</v>
      </c>
      <c r="F2759" s="3">
        <v>2698.08</v>
      </c>
      <c r="G2759" s="7" t="s">
        <v>387</v>
      </c>
    </row>
    <row r="2760" spans="1:7" x14ac:dyDescent="0.3">
      <c r="A2760" s="7" t="s">
        <v>3127</v>
      </c>
      <c r="B2760" s="7" t="s">
        <v>110</v>
      </c>
      <c r="C2760" s="7" t="s">
        <v>353</v>
      </c>
      <c r="D2760" s="9">
        <v>46075</v>
      </c>
      <c r="E2760" s="9">
        <v>46105</v>
      </c>
      <c r="F2760" s="3">
        <v>2727.15</v>
      </c>
      <c r="G2760" s="7" t="s">
        <v>367</v>
      </c>
    </row>
    <row r="2761" spans="1:7" x14ac:dyDescent="0.3">
      <c r="A2761" s="7" t="s">
        <v>3128</v>
      </c>
      <c r="B2761" s="7" t="s">
        <v>102</v>
      </c>
      <c r="C2761" s="7" t="s">
        <v>355</v>
      </c>
      <c r="D2761" s="9">
        <v>46106</v>
      </c>
      <c r="E2761" s="9">
        <v>46136</v>
      </c>
      <c r="F2761" s="3">
        <v>11378.13</v>
      </c>
      <c r="G2761" s="7" t="s">
        <v>367</v>
      </c>
    </row>
    <row r="2762" spans="1:7" x14ac:dyDescent="0.3">
      <c r="A2762" s="7" t="s">
        <v>3129</v>
      </c>
      <c r="B2762" s="7" t="s">
        <v>59</v>
      </c>
      <c r="C2762" s="7" t="s">
        <v>351</v>
      </c>
      <c r="D2762" s="9">
        <v>45963</v>
      </c>
      <c r="E2762" s="9">
        <v>45993</v>
      </c>
      <c r="F2762" s="3">
        <v>4456.22</v>
      </c>
      <c r="G2762" s="7" t="s">
        <v>367</v>
      </c>
    </row>
    <row r="2763" spans="1:7" x14ac:dyDescent="0.3">
      <c r="A2763" s="7" t="s">
        <v>3130</v>
      </c>
      <c r="B2763" s="7" t="s">
        <v>122</v>
      </c>
      <c r="C2763" s="7" t="s">
        <v>355</v>
      </c>
      <c r="D2763" s="9">
        <v>46111</v>
      </c>
      <c r="E2763" s="9">
        <v>46141</v>
      </c>
      <c r="F2763" s="3">
        <v>13823.88</v>
      </c>
      <c r="G2763" s="7" t="s">
        <v>367</v>
      </c>
    </row>
    <row r="2764" spans="1:7" x14ac:dyDescent="0.3">
      <c r="A2764" s="7" t="s">
        <v>3131</v>
      </c>
      <c r="B2764" s="7" t="s">
        <v>60</v>
      </c>
      <c r="C2764" s="7" t="s">
        <v>355</v>
      </c>
      <c r="D2764" s="9">
        <v>46048</v>
      </c>
      <c r="E2764" s="9">
        <v>46078</v>
      </c>
      <c r="F2764" s="3">
        <v>11770.45</v>
      </c>
      <c r="G2764" s="7" t="s">
        <v>369</v>
      </c>
    </row>
    <row r="2765" spans="1:7" x14ac:dyDescent="0.3">
      <c r="A2765" s="7" t="s">
        <v>3132</v>
      </c>
      <c r="B2765" s="7" t="s">
        <v>118</v>
      </c>
      <c r="C2765" s="7" t="s">
        <v>349</v>
      </c>
      <c r="D2765" s="9">
        <v>45999</v>
      </c>
      <c r="E2765" s="9">
        <v>46029</v>
      </c>
      <c r="F2765" s="3">
        <v>3448.03</v>
      </c>
      <c r="G2765" s="7" t="s">
        <v>367</v>
      </c>
    </row>
    <row r="2766" spans="1:7" x14ac:dyDescent="0.3">
      <c r="A2766" s="7" t="s">
        <v>3133</v>
      </c>
      <c r="B2766" s="7" t="s">
        <v>111</v>
      </c>
      <c r="C2766" s="7" t="s">
        <v>359</v>
      </c>
      <c r="D2766" s="9">
        <v>46052</v>
      </c>
      <c r="E2766" s="9">
        <v>46082</v>
      </c>
      <c r="F2766" s="3">
        <v>1547.56</v>
      </c>
      <c r="G2766" s="7" t="s">
        <v>367</v>
      </c>
    </row>
    <row r="2767" spans="1:7" x14ac:dyDescent="0.3">
      <c r="A2767" s="7" t="s">
        <v>3134</v>
      </c>
      <c r="B2767" s="7" t="s">
        <v>34</v>
      </c>
      <c r="C2767" s="7" t="s">
        <v>359</v>
      </c>
      <c r="D2767" s="9">
        <v>46062</v>
      </c>
      <c r="E2767" s="9">
        <v>46092</v>
      </c>
      <c r="F2767" s="3">
        <v>2091.86</v>
      </c>
      <c r="G2767" s="7" t="s">
        <v>369</v>
      </c>
    </row>
    <row r="2768" spans="1:7" x14ac:dyDescent="0.3">
      <c r="A2768" s="7" t="s">
        <v>3135</v>
      </c>
      <c r="B2768" s="7" t="s">
        <v>32</v>
      </c>
      <c r="C2768" s="7" t="s">
        <v>349</v>
      </c>
      <c r="D2768" s="9">
        <v>45999</v>
      </c>
      <c r="E2768" s="9">
        <v>46029</v>
      </c>
      <c r="F2768" s="3">
        <v>2419.67</v>
      </c>
      <c r="G2768" s="7" t="s">
        <v>367</v>
      </c>
    </row>
    <row r="2769" spans="1:7" x14ac:dyDescent="0.3">
      <c r="A2769" s="7" t="s">
        <v>3136</v>
      </c>
      <c r="B2769" s="7" t="s">
        <v>116</v>
      </c>
      <c r="C2769" s="7" t="s">
        <v>349</v>
      </c>
      <c r="D2769" s="9">
        <v>46043</v>
      </c>
      <c r="E2769" s="9">
        <v>46073</v>
      </c>
      <c r="F2769" s="3">
        <v>2996.79</v>
      </c>
      <c r="G2769" s="7" t="s">
        <v>369</v>
      </c>
    </row>
    <row r="2770" spans="1:7" x14ac:dyDescent="0.3">
      <c r="A2770" s="7" t="s">
        <v>3137</v>
      </c>
      <c r="B2770" s="7" t="s">
        <v>70</v>
      </c>
      <c r="C2770" s="7" t="s">
        <v>357</v>
      </c>
      <c r="D2770" s="9">
        <v>46093</v>
      </c>
      <c r="E2770" s="9">
        <v>46123</v>
      </c>
      <c r="F2770" s="3">
        <v>3188.74</v>
      </c>
      <c r="G2770" s="7" t="s">
        <v>367</v>
      </c>
    </row>
    <row r="2771" spans="1:7" x14ac:dyDescent="0.3">
      <c r="A2771" s="7" t="s">
        <v>3138</v>
      </c>
      <c r="B2771" s="7" t="s">
        <v>92</v>
      </c>
      <c r="C2771" s="7" t="s">
        <v>355</v>
      </c>
      <c r="D2771" s="9">
        <v>46037</v>
      </c>
      <c r="E2771" s="9">
        <v>46067</v>
      </c>
      <c r="F2771" s="3">
        <v>11688.52</v>
      </c>
      <c r="G2771" s="7" t="s">
        <v>367</v>
      </c>
    </row>
    <row r="2772" spans="1:7" x14ac:dyDescent="0.3">
      <c r="A2772" s="7" t="s">
        <v>3139</v>
      </c>
      <c r="B2772" s="7" t="s">
        <v>97</v>
      </c>
      <c r="C2772" s="7" t="s">
        <v>349</v>
      </c>
      <c r="D2772" s="9">
        <v>45979</v>
      </c>
      <c r="E2772" s="9">
        <v>46009</v>
      </c>
      <c r="F2772" s="3">
        <v>2824.04</v>
      </c>
      <c r="G2772" s="7" t="s">
        <v>387</v>
      </c>
    </row>
    <row r="2773" spans="1:7" x14ac:dyDescent="0.3">
      <c r="A2773" s="7" t="s">
        <v>3140</v>
      </c>
      <c r="B2773" s="7" t="s">
        <v>70</v>
      </c>
      <c r="C2773" s="7" t="s">
        <v>355</v>
      </c>
      <c r="D2773" s="9">
        <v>46019</v>
      </c>
      <c r="E2773" s="9">
        <v>46049</v>
      </c>
      <c r="F2773" s="3">
        <v>12517.52</v>
      </c>
      <c r="G2773" s="7" t="s">
        <v>367</v>
      </c>
    </row>
    <row r="2774" spans="1:7" x14ac:dyDescent="0.3">
      <c r="A2774" s="7" t="s">
        <v>3141</v>
      </c>
      <c r="B2774" s="7" t="s">
        <v>50</v>
      </c>
      <c r="C2774" s="7" t="s">
        <v>351</v>
      </c>
      <c r="D2774" s="9">
        <v>46077</v>
      </c>
      <c r="E2774" s="9">
        <v>46107</v>
      </c>
      <c r="F2774" s="3">
        <v>4832.6899999999996</v>
      </c>
      <c r="G2774" s="7" t="s">
        <v>367</v>
      </c>
    </row>
    <row r="2775" spans="1:7" x14ac:dyDescent="0.3">
      <c r="A2775" s="7" t="s">
        <v>3142</v>
      </c>
      <c r="B2775" s="7" t="s">
        <v>83</v>
      </c>
      <c r="C2775" s="7" t="s">
        <v>359</v>
      </c>
      <c r="D2775" s="9">
        <v>45965</v>
      </c>
      <c r="E2775" s="9">
        <v>45995</v>
      </c>
      <c r="F2775" s="3">
        <v>1663.64</v>
      </c>
      <c r="G2775" s="7" t="s">
        <v>367</v>
      </c>
    </row>
    <row r="2776" spans="1:7" x14ac:dyDescent="0.3">
      <c r="A2776" s="7" t="s">
        <v>3143</v>
      </c>
      <c r="B2776" s="7" t="s">
        <v>95</v>
      </c>
      <c r="C2776" s="7" t="s">
        <v>351</v>
      </c>
      <c r="D2776" s="9">
        <v>45991</v>
      </c>
      <c r="E2776" s="9">
        <v>46021</v>
      </c>
      <c r="F2776" s="3">
        <v>5059.2700000000004</v>
      </c>
      <c r="G2776" s="7" t="s">
        <v>367</v>
      </c>
    </row>
    <row r="2777" spans="1:7" x14ac:dyDescent="0.3">
      <c r="A2777" s="7" t="s">
        <v>3144</v>
      </c>
      <c r="B2777" s="7" t="s">
        <v>54</v>
      </c>
      <c r="C2777" s="7" t="s">
        <v>351</v>
      </c>
      <c r="D2777" s="9">
        <v>46062</v>
      </c>
      <c r="E2777" s="9">
        <v>46092</v>
      </c>
      <c r="F2777" s="3">
        <v>4739.1400000000003</v>
      </c>
      <c r="G2777" s="7" t="s">
        <v>367</v>
      </c>
    </row>
    <row r="2778" spans="1:7" x14ac:dyDescent="0.3">
      <c r="A2778" s="7" t="s">
        <v>3145</v>
      </c>
      <c r="B2778" s="7" t="s">
        <v>118</v>
      </c>
      <c r="C2778" s="7" t="s">
        <v>355</v>
      </c>
      <c r="D2778" s="9">
        <v>46015</v>
      </c>
      <c r="E2778" s="9">
        <v>46045</v>
      </c>
      <c r="F2778" s="3">
        <v>10781.33</v>
      </c>
      <c r="G2778" s="7" t="s">
        <v>367</v>
      </c>
    </row>
    <row r="2779" spans="1:7" x14ac:dyDescent="0.3">
      <c r="A2779" s="7" t="s">
        <v>3146</v>
      </c>
      <c r="B2779" s="7" t="s">
        <v>80</v>
      </c>
      <c r="C2779" s="7" t="s">
        <v>353</v>
      </c>
      <c r="D2779" s="9">
        <v>45976</v>
      </c>
      <c r="E2779" s="9">
        <v>46006</v>
      </c>
      <c r="F2779" s="3">
        <v>2633.87</v>
      </c>
      <c r="G2779" s="7" t="s">
        <v>367</v>
      </c>
    </row>
    <row r="2780" spans="1:7" x14ac:dyDescent="0.3">
      <c r="A2780" s="7" t="s">
        <v>3147</v>
      </c>
      <c r="B2780" s="7" t="s">
        <v>80</v>
      </c>
      <c r="C2780" s="7" t="s">
        <v>353</v>
      </c>
      <c r="D2780" s="9">
        <v>46078</v>
      </c>
      <c r="E2780" s="9">
        <v>46108</v>
      </c>
      <c r="F2780" s="3">
        <v>2698.33</v>
      </c>
      <c r="G2780" s="7" t="s">
        <v>369</v>
      </c>
    </row>
    <row r="2781" spans="1:7" x14ac:dyDescent="0.3">
      <c r="A2781" s="7" t="s">
        <v>3148</v>
      </c>
      <c r="B2781" s="7" t="s">
        <v>38</v>
      </c>
      <c r="C2781" s="7" t="s">
        <v>351</v>
      </c>
      <c r="D2781" s="9">
        <v>46056</v>
      </c>
      <c r="E2781" s="9">
        <v>46086</v>
      </c>
      <c r="F2781" s="3">
        <v>5416.21</v>
      </c>
      <c r="G2781" s="7" t="s">
        <v>369</v>
      </c>
    </row>
    <row r="2782" spans="1:7" x14ac:dyDescent="0.3">
      <c r="A2782" s="7" t="s">
        <v>3149</v>
      </c>
      <c r="B2782" s="7" t="s">
        <v>19</v>
      </c>
      <c r="C2782" s="7" t="s">
        <v>355</v>
      </c>
      <c r="D2782" s="9">
        <v>45995</v>
      </c>
      <c r="E2782" s="9">
        <v>46025</v>
      </c>
      <c r="F2782" s="3">
        <v>12303.83</v>
      </c>
      <c r="G2782" s="7" t="s">
        <v>367</v>
      </c>
    </row>
    <row r="2783" spans="1:7" x14ac:dyDescent="0.3">
      <c r="A2783" s="7" t="s">
        <v>3150</v>
      </c>
      <c r="B2783" s="7" t="s">
        <v>69</v>
      </c>
      <c r="C2783" s="7" t="s">
        <v>355</v>
      </c>
      <c r="D2783" s="9">
        <v>46087</v>
      </c>
      <c r="E2783" s="9">
        <v>46117</v>
      </c>
      <c r="F2783" s="3">
        <v>13200.92</v>
      </c>
      <c r="G2783" s="7" t="s">
        <v>367</v>
      </c>
    </row>
    <row r="2784" spans="1:7" x14ac:dyDescent="0.3">
      <c r="A2784" s="7" t="s">
        <v>3151</v>
      </c>
      <c r="B2784" s="7" t="s">
        <v>56</v>
      </c>
      <c r="C2784" s="7" t="s">
        <v>355</v>
      </c>
      <c r="D2784" s="9">
        <v>46004</v>
      </c>
      <c r="E2784" s="9">
        <v>46034</v>
      </c>
      <c r="F2784" s="3">
        <v>12492.48</v>
      </c>
      <c r="G2784" s="7" t="s">
        <v>367</v>
      </c>
    </row>
    <row r="2785" spans="1:7" x14ac:dyDescent="0.3">
      <c r="A2785" s="7" t="s">
        <v>3152</v>
      </c>
      <c r="B2785" s="7" t="s">
        <v>115</v>
      </c>
      <c r="C2785" s="7" t="s">
        <v>351</v>
      </c>
      <c r="D2785" s="9">
        <v>46079</v>
      </c>
      <c r="E2785" s="9">
        <v>46109</v>
      </c>
      <c r="F2785" s="3">
        <v>5582.56</v>
      </c>
      <c r="G2785" s="7" t="s">
        <v>367</v>
      </c>
    </row>
    <row r="2786" spans="1:7" x14ac:dyDescent="0.3">
      <c r="A2786" s="7" t="s">
        <v>3153</v>
      </c>
      <c r="B2786" s="7" t="s">
        <v>52</v>
      </c>
      <c r="C2786" s="7" t="s">
        <v>349</v>
      </c>
      <c r="D2786" s="9">
        <v>46006</v>
      </c>
      <c r="E2786" s="9">
        <v>46036</v>
      </c>
      <c r="F2786" s="3">
        <v>2968.5</v>
      </c>
      <c r="G2786" s="7" t="s">
        <v>367</v>
      </c>
    </row>
    <row r="2787" spans="1:7" x14ac:dyDescent="0.3">
      <c r="A2787" s="7" t="s">
        <v>3154</v>
      </c>
      <c r="B2787" s="7" t="s">
        <v>69</v>
      </c>
      <c r="C2787" s="7" t="s">
        <v>357</v>
      </c>
      <c r="D2787" s="9">
        <v>45969</v>
      </c>
      <c r="E2787" s="9">
        <v>45999</v>
      </c>
      <c r="F2787" s="3">
        <v>3475.57</v>
      </c>
      <c r="G2787" s="7" t="s">
        <v>387</v>
      </c>
    </row>
    <row r="2788" spans="1:7" x14ac:dyDescent="0.3">
      <c r="A2788" s="7" t="s">
        <v>3155</v>
      </c>
      <c r="B2788" s="7" t="s">
        <v>89</v>
      </c>
      <c r="C2788" s="7" t="s">
        <v>353</v>
      </c>
      <c r="D2788" s="9">
        <v>46097</v>
      </c>
      <c r="E2788" s="9">
        <v>46127</v>
      </c>
      <c r="F2788" s="3">
        <v>2604.77</v>
      </c>
      <c r="G2788" s="7" t="s">
        <v>369</v>
      </c>
    </row>
    <row r="2789" spans="1:7" x14ac:dyDescent="0.3">
      <c r="A2789" s="7" t="s">
        <v>3156</v>
      </c>
      <c r="B2789" s="7" t="s">
        <v>100</v>
      </c>
      <c r="C2789" s="7" t="s">
        <v>351</v>
      </c>
      <c r="D2789" s="9">
        <v>46091</v>
      </c>
      <c r="E2789" s="9">
        <v>46121</v>
      </c>
      <c r="F2789" s="3">
        <v>5915.45</v>
      </c>
      <c r="G2789" s="7" t="s">
        <v>367</v>
      </c>
    </row>
    <row r="2790" spans="1:7" x14ac:dyDescent="0.3">
      <c r="A2790" s="7" t="s">
        <v>3157</v>
      </c>
      <c r="B2790" s="7" t="s">
        <v>43</v>
      </c>
      <c r="C2790" s="7" t="s">
        <v>349</v>
      </c>
      <c r="D2790" s="9">
        <v>46044</v>
      </c>
      <c r="E2790" s="9">
        <v>46074</v>
      </c>
      <c r="F2790" s="3">
        <v>3282.59</v>
      </c>
      <c r="G2790" s="7" t="s">
        <v>369</v>
      </c>
    </row>
    <row r="2791" spans="1:7" x14ac:dyDescent="0.3">
      <c r="A2791" s="7" t="s">
        <v>3158</v>
      </c>
      <c r="B2791" s="7" t="s">
        <v>8</v>
      </c>
      <c r="C2791" s="7" t="s">
        <v>351</v>
      </c>
      <c r="D2791" s="9">
        <v>45974</v>
      </c>
      <c r="E2791" s="9">
        <v>46004</v>
      </c>
      <c r="F2791" s="3">
        <v>5581.42</v>
      </c>
      <c r="G2791" s="7" t="s">
        <v>369</v>
      </c>
    </row>
    <row r="2792" spans="1:7" x14ac:dyDescent="0.3">
      <c r="A2792" s="7" t="s">
        <v>3159</v>
      </c>
      <c r="B2792" s="7" t="s">
        <v>90</v>
      </c>
      <c r="C2792" s="7" t="s">
        <v>353</v>
      </c>
      <c r="D2792" s="9">
        <v>46076</v>
      </c>
      <c r="E2792" s="9">
        <v>46106</v>
      </c>
      <c r="F2792" s="3">
        <v>2260.9899999999998</v>
      </c>
      <c r="G2792" s="7" t="s">
        <v>367</v>
      </c>
    </row>
    <row r="2793" spans="1:7" x14ac:dyDescent="0.3">
      <c r="A2793" s="7" t="s">
        <v>3160</v>
      </c>
      <c r="B2793" s="7" t="s">
        <v>123</v>
      </c>
      <c r="C2793" s="7" t="s">
        <v>359</v>
      </c>
      <c r="D2793" s="9">
        <v>46014</v>
      </c>
      <c r="E2793" s="9">
        <v>46044</v>
      </c>
      <c r="F2793" s="3">
        <v>1988.91</v>
      </c>
      <c r="G2793" s="7" t="s">
        <v>367</v>
      </c>
    </row>
    <row r="2794" spans="1:7" x14ac:dyDescent="0.3">
      <c r="A2794" s="7" t="s">
        <v>3161</v>
      </c>
      <c r="B2794" s="7" t="s">
        <v>63</v>
      </c>
      <c r="C2794" s="7" t="s">
        <v>351</v>
      </c>
      <c r="D2794" s="9">
        <v>46061</v>
      </c>
      <c r="E2794" s="9">
        <v>46091</v>
      </c>
      <c r="F2794" s="3">
        <v>4893.37</v>
      </c>
      <c r="G2794" s="7" t="s">
        <v>367</v>
      </c>
    </row>
    <row r="2795" spans="1:7" x14ac:dyDescent="0.3">
      <c r="A2795" s="7" t="s">
        <v>3162</v>
      </c>
      <c r="B2795" s="7" t="s">
        <v>97</v>
      </c>
      <c r="C2795" s="7" t="s">
        <v>353</v>
      </c>
      <c r="D2795" s="9">
        <v>46078</v>
      </c>
      <c r="E2795" s="9">
        <v>46108</v>
      </c>
      <c r="F2795" s="3">
        <v>2107.7399999999998</v>
      </c>
      <c r="G2795" s="7" t="s">
        <v>367</v>
      </c>
    </row>
    <row r="2796" spans="1:7" x14ac:dyDescent="0.3">
      <c r="A2796" s="7" t="s">
        <v>3163</v>
      </c>
      <c r="B2796" s="7" t="s">
        <v>9</v>
      </c>
      <c r="C2796" s="7" t="s">
        <v>357</v>
      </c>
      <c r="D2796" s="9">
        <v>46014</v>
      </c>
      <c r="E2796" s="9">
        <v>46044</v>
      </c>
      <c r="F2796" s="3">
        <v>3434.67</v>
      </c>
      <c r="G2796" s="7" t="s">
        <v>367</v>
      </c>
    </row>
    <row r="2797" spans="1:7" x14ac:dyDescent="0.3">
      <c r="A2797" s="7" t="s">
        <v>3164</v>
      </c>
      <c r="B2797" s="7" t="s">
        <v>25</v>
      </c>
      <c r="C2797" s="7" t="s">
        <v>349</v>
      </c>
      <c r="D2797" s="9">
        <v>46101</v>
      </c>
      <c r="E2797" s="9">
        <v>46131</v>
      </c>
      <c r="F2797" s="3">
        <v>2462.91</v>
      </c>
      <c r="G2797" s="7" t="s">
        <v>367</v>
      </c>
    </row>
    <row r="2798" spans="1:7" x14ac:dyDescent="0.3">
      <c r="A2798" s="7" t="s">
        <v>3165</v>
      </c>
      <c r="B2798" s="7" t="s">
        <v>62</v>
      </c>
      <c r="C2798" s="7" t="s">
        <v>353</v>
      </c>
      <c r="D2798" s="9">
        <v>45967</v>
      </c>
      <c r="E2798" s="9">
        <v>45997</v>
      </c>
      <c r="F2798" s="3">
        <v>2831.8</v>
      </c>
      <c r="G2798" s="7" t="s">
        <v>367</v>
      </c>
    </row>
    <row r="2799" spans="1:7" x14ac:dyDescent="0.3">
      <c r="A2799" s="7" t="s">
        <v>3166</v>
      </c>
      <c r="B2799" s="7" t="s">
        <v>104</v>
      </c>
      <c r="C2799" s="7" t="s">
        <v>359</v>
      </c>
      <c r="D2799" s="9">
        <v>46046</v>
      </c>
      <c r="E2799" s="9">
        <v>46076</v>
      </c>
      <c r="F2799" s="3">
        <v>1673.2</v>
      </c>
      <c r="G2799" s="7" t="s">
        <v>367</v>
      </c>
    </row>
    <row r="2800" spans="1:7" x14ac:dyDescent="0.3">
      <c r="A2800" s="7" t="s">
        <v>3167</v>
      </c>
      <c r="B2800" s="7" t="s">
        <v>12</v>
      </c>
      <c r="C2800" s="7" t="s">
        <v>349</v>
      </c>
      <c r="D2800" s="9">
        <v>45988</v>
      </c>
      <c r="E2800" s="9">
        <v>46018</v>
      </c>
      <c r="F2800" s="3">
        <v>3172.35</v>
      </c>
      <c r="G2800" s="7" t="s">
        <v>369</v>
      </c>
    </row>
    <row r="2801" spans="1:7" x14ac:dyDescent="0.3">
      <c r="A2801" s="7" t="s">
        <v>3168</v>
      </c>
      <c r="B2801" s="7" t="s">
        <v>15</v>
      </c>
      <c r="C2801" s="7" t="s">
        <v>357</v>
      </c>
      <c r="D2801" s="9">
        <v>46083</v>
      </c>
      <c r="E2801" s="9">
        <v>46113</v>
      </c>
      <c r="F2801" s="3">
        <v>2878.2</v>
      </c>
      <c r="G2801" s="7" t="s">
        <v>367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4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.77734375" style="7" bestFit="1" customWidth="1"/>
    <col min="2" max="2" width="13.33203125" style="7" bestFit="1" customWidth="1"/>
    <col min="3" max="3" width="15.33203125" style="7" bestFit="1" customWidth="1"/>
    <col min="4" max="4" width="16.88671875" style="9" bestFit="1" customWidth="1"/>
    <col min="5" max="5" width="21.33203125" style="3" bestFit="1" customWidth="1"/>
    <col min="6" max="6" width="12.21875" style="7" bestFit="1" customWidth="1"/>
  </cols>
  <sheetData>
    <row r="1" spans="1:6" x14ac:dyDescent="0.3">
      <c r="A1" s="12" t="s">
        <v>3169</v>
      </c>
      <c r="B1" s="12" t="s">
        <v>361</v>
      </c>
      <c r="C1" s="12" t="s">
        <v>0</v>
      </c>
      <c r="D1" s="13" t="s">
        <v>3170</v>
      </c>
      <c r="E1" s="14" t="s">
        <v>3171</v>
      </c>
      <c r="F1" s="12" t="s">
        <v>3172</v>
      </c>
    </row>
    <row r="2" spans="1:6" x14ac:dyDescent="0.3">
      <c r="A2" s="7" t="s">
        <v>3173</v>
      </c>
      <c r="B2" s="7" t="s">
        <v>366</v>
      </c>
      <c r="C2" s="7" t="s">
        <v>96</v>
      </c>
      <c r="D2" s="9">
        <v>46091</v>
      </c>
      <c r="E2" s="3">
        <v>3110.52</v>
      </c>
      <c r="F2" s="7" t="s">
        <v>3174</v>
      </c>
    </row>
    <row r="3" spans="1:6" x14ac:dyDescent="0.3">
      <c r="A3" s="7" t="s">
        <v>3175</v>
      </c>
      <c r="B3" s="7" t="s">
        <v>370</v>
      </c>
      <c r="C3" s="7" t="s">
        <v>71</v>
      </c>
      <c r="D3" s="9">
        <v>45887</v>
      </c>
      <c r="E3" s="3">
        <v>2816.64</v>
      </c>
      <c r="F3" s="7" t="s">
        <v>3174</v>
      </c>
    </row>
    <row r="4" spans="1:6" x14ac:dyDescent="0.3">
      <c r="A4" s="7" t="s">
        <v>3176</v>
      </c>
      <c r="B4" s="7" t="s">
        <v>372</v>
      </c>
      <c r="C4" s="7" t="s">
        <v>62</v>
      </c>
      <c r="D4" s="9">
        <v>46006</v>
      </c>
      <c r="E4" s="3">
        <v>14211.78</v>
      </c>
      <c r="F4" s="7" t="s">
        <v>296</v>
      </c>
    </row>
    <row r="5" spans="1:6" x14ac:dyDescent="0.3">
      <c r="A5" s="7" t="s">
        <v>3177</v>
      </c>
      <c r="B5" s="7" t="s">
        <v>373</v>
      </c>
      <c r="C5" s="7" t="s">
        <v>124</v>
      </c>
      <c r="D5" s="9">
        <v>46017</v>
      </c>
      <c r="E5" s="3">
        <v>5467.59</v>
      </c>
      <c r="F5" s="7" t="s">
        <v>296</v>
      </c>
    </row>
    <row r="6" spans="1:6" x14ac:dyDescent="0.3">
      <c r="A6" s="7" t="s">
        <v>3178</v>
      </c>
      <c r="B6" s="7" t="s">
        <v>375</v>
      </c>
      <c r="C6" s="7" t="s">
        <v>64</v>
      </c>
      <c r="D6" s="9">
        <v>45798</v>
      </c>
      <c r="E6" s="3">
        <v>2322.3000000000002</v>
      </c>
      <c r="F6" s="7" t="s">
        <v>298</v>
      </c>
    </row>
    <row r="7" spans="1:6" x14ac:dyDescent="0.3">
      <c r="A7" s="7" t="s">
        <v>3179</v>
      </c>
      <c r="B7" s="7" t="s">
        <v>376</v>
      </c>
      <c r="C7" s="7" t="s">
        <v>50</v>
      </c>
      <c r="D7" s="9">
        <v>45982</v>
      </c>
      <c r="E7" s="3">
        <v>5500.95</v>
      </c>
      <c r="F7" s="7" t="s">
        <v>298</v>
      </c>
    </row>
    <row r="8" spans="1:6" x14ac:dyDescent="0.3">
      <c r="A8" s="7" t="s">
        <v>3180</v>
      </c>
      <c r="B8" s="7" t="s">
        <v>377</v>
      </c>
      <c r="C8" s="7" t="s">
        <v>52</v>
      </c>
      <c r="D8" s="9">
        <v>45836</v>
      </c>
      <c r="E8" s="3">
        <v>2993.17</v>
      </c>
      <c r="F8" s="7" t="s">
        <v>3174</v>
      </c>
    </row>
    <row r="9" spans="1:6" x14ac:dyDescent="0.3">
      <c r="A9" s="7" t="s">
        <v>3181</v>
      </c>
      <c r="B9" s="7" t="s">
        <v>378</v>
      </c>
      <c r="C9" s="7" t="s">
        <v>42</v>
      </c>
      <c r="D9" s="9">
        <v>46113</v>
      </c>
      <c r="E9" s="3">
        <v>2340.34</v>
      </c>
      <c r="F9" s="7" t="s">
        <v>3174</v>
      </c>
    </row>
    <row r="10" spans="1:6" x14ac:dyDescent="0.3">
      <c r="A10" s="7" t="s">
        <v>3182</v>
      </c>
      <c r="B10" s="7" t="s">
        <v>379</v>
      </c>
      <c r="C10" s="7" t="s">
        <v>59</v>
      </c>
      <c r="D10" s="9">
        <v>45758</v>
      </c>
      <c r="E10" s="3">
        <v>2814.21</v>
      </c>
      <c r="F10" s="7" t="s">
        <v>296</v>
      </c>
    </row>
    <row r="11" spans="1:6" x14ac:dyDescent="0.3">
      <c r="A11" s="7" t="s">
        <v>3183</v>
      </c>
      <c r="B11" s="7" t="s">
        <v>380</v>
      </c>
      <c r="C11" s="7" t="s">
        <v>98</v>
      </c>
      <c r="D11" s="9">
        <v>45784</v>
      </c>
      <c r="E11" s="3">
        <v>12264.85</v>
      </c>
      <c r="F11" s="7" t="s">
        <v>3184</v>
      </c>
    </row>
    <row r="12" spans="1:6" x14ac:dyDescent="0.3">
      <c r="A12" s="7" t="s">
        <v>3185</v>
      </c>
      <c r="B12" s="7" t="s">
        <v>381</v>
      </c>
      <c r="C12" s="7" t="s">
        <v>58</v>
      </c>
      <c r="D12" s="9">
        <v>45673</v>
      </c>
      <c r="E12" s="3">
        <v>7672.01</v>
      </c>
      <c r="F12" s="7" t="s">
        <v>298</v>
      </c>
    </row>
    <row r="13" spans="1:6" x14ac:dyDescent="0.3">
      <c r="A13" s="7" t="s">
        <v>3186</v>
      </c>
      <c r="B13" s="7" t="s">
        <v>381</v>
      </c>
      <c r="C13" s="7" t="s">
        <v>58</v>
      </c>
      <c r="D13" s="9">
        <v>45674</v>
      </c>
      <c r="E13" s="3">
        <v>4079.23</v>
      </c>
      <c r="F13" s="7" t="s">
        <v>3184</v>
      </c>
    </row>
    <row r="14" spans="1:6" x14ac:dyDescent="0.3">
      <c r="A14" s="7" t="s">
        <v>3187</v>
      </c>
      <c r="B14" s="7" t="s">
        <v>382</v>
      </c>
      <c r="C14" s="7" t="s">
        <v>77</v>
      </c>
      <c r="D14" s="9">
        <v>46011</v>
      </c>
      <c r="E14" s="3">
        <v>1615.18</v>
      </c>
      <c r="F14" s="7" t="s">
        <v>3174</v>
      </c>
    </row>
    <row r="15" spans="1:6" x14ac:dyDescent="0.3">
      <c r="A15" s="7" t="s">
        <v>3188</v>
      </c>
      <c r="B15" s="7" t="s">
        <v>383</v>
      </c>
      <c r="C15" s="7" t="s">
        <v>96</v>
      </c>
      <c r="D15" s="9">
        <v>46047</v>
      </c>
      <c r="E15" s="3">
        <v>3281.26</v>
      </c>
      <c r="F15" s="7" t="s">
        <v>296</v>
      </c>
    </row>
    <row r="16" spans="1:6" x14ac:dyDescent="0.3">
      <c r="A16" s="7" t="s">
        <v>3189</v>
      </c>
      <c r="B16" s="7" t="s">
        <v>384</v>
      </c>
      <c r="C16" s="7" t="s">
        <v>31</v>
      </c>
      <c r="D16" s="9">
        <v>45810</v>
      </c>
      <c r="E16" s="3">
        <v>10900.4</v>
      </c>
      <c r="F16" s="7" t="s">
        <v>298</v>
      </c>
    </row>
    <row r="17" spans="1:6" x14ac:dyDescent="0.3">
      <c r="A17" s="7" t="s">
        <v>3190</v>
      </c>
      <c r="B17" s="7" t="s">
        <v>385</v>
      </c>
      <c r="C17" s="7" t="s">
        <v>34</v>
      </c>
      <c r="D17" s="9">
        <v>45963</v>
      </c>
      <c r="E17" s="3">
        <v>1334.6</v>
      </c>
      <c r="F17" s="7" t="s">
        <v>3184</v>
      </c>
    </row>
    <row r="18" spans="1:6" x14ac:dyDescent="0.3">
      <c r="A18" s="7" t="s">
        <v>3191</v>
      </c>
      <c r="B18" s="7" t="s">
        <v>385</v>
      </c>
      <c r="C18" s="7" t="s">
        <v>34</v>
      </c>
      <c r="D18" s="9">
        <v>45974</v>
      </c>
      <c r="E18" s="3">
        <v>784.95</v>
      </c>
      <c r="F18" s="7" t="s">
        <v>298</v>
      </c>
    </row>
    <row r="19" spans="1:6" x14ac:dyDescent="0.3">
      <c r="A19" s="7" t="s">
        <v>3192</v>
      </c>
      <c r="B19" s="7" t="s">
        <v>388</v>
      </c>
      <c r="C19" s="7" t="s">
        <v>53</v>
      </c>
      <c r="D19" s="9">
        <v>45710</v>
      </c>
      <c r="E19" s="3">
        <v>3196.2</v>
      </c>
      <c r="F19" s="7" t="s">
        <v>3174</v>
      </c>
    </row>
    <row r="20" spans="1:6" x14ac:dyDescent="0.3">
      <c r="A20" s="7" t="s">
        <v>3193</v>
      </c>
      <c r="B20" s="7" t="s">
        <v>389</v>
      </c>
      <c r="C20" s="7" t="s">
        <v>12</v>
      </c>
      <c r="D20" s="9">
        <v>46033</v>
      </c>
      <c r="E20" s="3">
        <v>4604.54</v>
      </c>
      <c r="F20" s="7" t="s">
        <v>3174</v>
      </c>
    </row>
    <row r="21" spans="1:6" x14ac:dyDescent="0.3">
      <c r="A21" s="7" t="s">
        <v>3194</v>
      </c>
      <c r="B21" s="7" t="s">
        <v>390</v>
      </c>
      <c r="C21" s="7" t="s">
        <v>103</v>
      </c>
      <c r="D21" s="9">
        <v>46015</v>
      </c>
      <c r="E21" s="3">
        <v>3064.03</v>
      </c>
      <c r="F21" s="7" t="s">
        <v>296</v>
      </c>
    </row>
    <row r="22" spans="1:6" x14ac:dyDescent="0.3">
      <c r="A22" s="7" t="s">
        <v>3195</v>
      </c>
      <c r="B22" s="7" t="s">
        <v>391</v>
      </c>
      <c r="C22" s="7" t="s">
        <v>68</v>
      </c>
      <c r="D22" s="9">
        <v>45701</v>
      </c>
      <c r="E22" s="3">
        <v>10092.42</v>
      </c>
      <c r="F22" s="7" t="s">
        <v>296</v>
      </c>
    </row>
    <row r="23" spans="1:6" x14ac:dyDescent="0.3">
      <c r="A23" s="7" t="s">
        <v>3196</v>
      </c>
      <c r="B23" s="7" t="s">
        <v>393</v>
      </c>
      <c r="C23" s="7" t="s">
        <v>87</v>
      </c>
      <c r="D23" s="9">
        <v>45873</v>
      </c>
      <c r="E23" s="3">
        <v>3386.54</v>
      </c>
      <c r="F23" s="7" t="s">
        <v>298</v>
      </c>
    </row>
    <row r="24" spans="1:6" x14ac:dyDescent="0.3">
      <c r="A24" s="7" t="s">
        <v>3197</v>
      </c>
      <c r="B24" s="7" t="s">
        <v>395</v>
      </c>
      <c r="C24" s="7" t="s">
        <v>108</v>
      </c>
      <c r="D24" s="9">
        <v>46083</v>
      </c>
      <c r="E24" s="3">
        <v>4236.8999999999996</v>
      </c>
      <c r="F24" s="7" t="s">
        <v>3184</v>
      </c>
    </row>
    <row r="25" spans="1:6" x14ac:dyDescent="0.3">
      <c r="A25" s="7" t="s">
        <v>3198</v>
      </c>
      <c r="B25" s="7" t="s">
        <v>396</v>
      </c>
      <c r="C25" s="7" t="s">
        <v>63</v>
      </c>
      <c r="D25" s="9">
        <v>45964</v>
      </c>
      <c r="E25" s="3">
        <v>3115.96</v>
      </c>
      <c r="F25" s="7" t="s">
        <v>296</v>
      </c>
    </row>
    <row r="26" spans="1:6" x14ac:dyDescent="0.3">
      <c r="A26" s="7" t="s">
        <v>3199</v>
      </c>
      <c r="B26" s="7" t="s">
        <v>397</v>
      </c>
      <c r="C26" s="7" t="s">
        <v>14</v>
      </c>
      <c r="D26" s="9">
        <v>45900</v>
      </c>
      <c r="E26" s="3">
        <v>2860.17</v>
      </c>
      <c r="F26" s="7" t="s">
        <v>298</v>
      </c>
    </row>
    <row r="27" spans="1:6" x14ac:dyDescent="0.3">
      <c r="A27" s="7" t="s">
        <v>3200</v>
      </c>
      <c r="B27" s="7" t="s">
        <v>398</v>
      </c>
      <c r="C27" s="7" t="s">
        <v>40</v>
      </c>
      <c r="D27" s="9">
        <v>45714</v>
      </c>
      <c r="E27" s="3">
        <v>4144.1499999999996</v>
      </c>
      <c r="F27" s="7" t="s">
        <v>296</v>
      </c>
    </row>
    <row r="28" spans="1:6" x14ac:dyDescent="0.3">
      <c r="A28" s="7" t="s">
        <v>3201</v>
      </c>
      <c r="B28" s="7" t="s">
        <v>399</v>
      </c>
      <c r="C28" s="7" t="s">
        <v>27</v>
      </c>
      <c r="D28" s="9">
        <v>45790</v>
      </c>
      <c r="E28" s="3">
        <v>1498.45</v>
      </c>
      <c r="F28" s="7" t="s">
        <v>296</v>
      </c>
    </row>
    <row r="29" spans="1:6" x14ac:dyDescent="0.3">
      <c r="A29" s="7" t="s">
        <v>3202</v>
      </c>
      <c r="B29" s="7" t="s">
        <v>400</v>
      </c>
      <c r="C29" s="7" t="s">
        <v>11</v>
      </c>
      <c r="D29" s="9">
        <v>46051</v>
      </c>
      <c r="E29" s="3">
        <v>2890.22</v>
      </c>
      <c r="F29" s="7" t="s">
        <v>296</v>
      </c>
    </row>
    <row r="30" spans="1:6" x14ac:dyDescent="0.3">
      <c r="A30" s="7" t="s">
        <v>3203</v>
      </c>
      <c r="B30" s="7" t="s">
        <v>402</v>
      </c>
      <c r="C30" s="7" t="s">
        <v>109</v>
      </c>
      <c r="D30" s="9">
        <v>45821</v>
      </c>
      <c r="E30" s="3">
        <v>1608.07</v>
      </c>
      <c r="F30" s="7" t="s">
        <v>298</v>
      </c>
    </row>
    <row r="31" spans="1:6" x14ac:dyDescent="0.3">
      <c r="A31" s="7" t="s">
        <v>3204</v>
      </c>
      <c r="B31" s="7" t="s">
        <v>403</v>
      </c>
      <c r="C31" s="7" t="s">
        <v>123</v>
      </c>
      <c r="D31" s="9">
        <v>45939</v>
      </c>
      <c r="E31" s="3">
        <v>4850.28</v>
      </c>
      <c r="F31" s="7" t="s">
        <v>3184</v>
      </c>
    </row>
    <row r="32" spans="1:6" x14ac:dyDescent="0.3">
      <c r="A32" s="7" t="s">
        <v>3205</v>
      </c>
      <c r="B32" s="7" t="s">
        <v>404</v>
      </c>
      <c r="C32" s="7" t="s">
        <v>46</v>
      </c>
      <c r="D32" s="9">
        <v>45697</v>
      </c>
      <c r="E32" s="3">
        <v>2826.63</v>
      </c>
      <c r="F32" s="7" t="s">
        <v>3174</v>
      </c>
    </row>
    <row r="33" spans="1:6" x14ac:dyDescent="0.3">
      <c r="A33" s="7" t="s">
        <v>3206</v>
      </c>
      <c r="B33" s="7" t="s">
        <v>405</v>
      </c>
      <c r="C33" s="7" t="s">
        <v>66</v>
      </c>
      <c r="D33" s="9">
        <v>45985</v>
      </c>
      <c r="E33" s="3">
        <v>3848.54</v>
      </c>
      <c r="F33" s="7" t="s">
        <v>296</v>
      </c>
    </row>
    <row r="34" spans="1:6" x14ac:dyDescent="0.3">
      <c r="A34" s="7" t="s">
        <v>3207</v>
      </c>
      <c r="B34" s="7" t="s">
        <v>406</v>
      </c>
      <c r="C34" s="7" t="s">
        <v>70</v>
      </c>
      <c r="D34" s="9">
        <v>45907</v>
      </c>
      <c r="E34" s="3">
        <v>1658.95</v>
      </c>
      <c r="F34" s="7" t="s">
        <v>3174</v>
      </c>
    </row>
    <row r="35" spans="1:6" x14ac:dyDescent="0.3">
      <c r="A35" s="7" t="s">
        <v>3208</v>
      </c>
      <c r="B35" s="7" t="s">
        <v>407</v>
      </c>
      <c r="C35" s="7" t="s">
        <v>84</v>
      </c>
      <c r="D35" s="9">
        <v>45697</v>
      </c>
      <c r="E35" s="3">
        <v>9986.1200000000008</v>
      </c>
      <c r="F35" s="7" t="s">
        <v>296</v>
      </c>
    </row>
    <row r="36" spans="1:6" x14ac:dyDescent="0.3">
      <c r="A36" s="7" t="s">
        <v>3209</v>
      </c>
      <c r="B36" s="7" t="s">
        <v>410</v>
      </c>
      <c r="C36" s="7" t="s">
        <v>63</v>
      </c>
      <c r="D36" s="9">
        <v>45788</v>
      </c>
      <c r="E36" s="3">
        <v>3315.73</v>
      </c>
      <c r="F36" s="7" t="s">
        <v>3174</v>
      </c>
    </row>
    <row r="37" spans="1:6" x14ac:dyDescent="0.3">
      <c r="A37" s="7" t="s">
        <v>3210</v>
      </c>
      <c r="B37" s="7" t="s">
        <v>411</v>
      </c>
      <c r="C37" s="7" t="s">
        <v>69</v>
      </c>
      <c r="D37" s="9">
        <v>45973</v>
      </c>
      <c r="E37" s="3">
        <v>2181.4899999999998</v>
      </c>
      <c r="F37" s="7" t="s">
        <v>3174</v>
      </c>
    </row>
    <row r="38" spans="1:6" x14ac:dyDescent="0.3">
      <c r="A38" s="7" t="s">
        <v>3211</v>
      </c>
      <c r="B38" s="7" t="s">
        <v>412</v>
      </c>
      <c r="C38" s="7" t="s">
        <v>20</v>
      </c>
      <c r="D38" s="9">
        <v>45886</v>
      </c>
      <c r="E38" s="3">
        <v>2964.01</v>
      </c>
      <c r="F38" s="7" t="s">
        <v>3184</v>
      </c>
    </row>
    <row r="39" spans="1:6" x14ac:dyDescent="0.3">
      <c r="A39" s="7" t="s">
        <v>3212</v>
      </c>
      <c r="B39" s="7" t="s">
        <v>413</v>
      </c>
      <c r="C39" s="7" t="s">
        <v>58</v>
      </c>
      <c r="D39" s="9">
        <v>46024</v>
      </c>
      <c r="E39" s="3">
        <v>4659.6099999999997</v>
      </c>
      <c r="F39" s="7" t="s">
        <v>296</v>
      </c>
    </row>
    <row r="40" spans="1:6" x14ac:dyDescent="0.3">
      <c r="A40" s="7" t="s">
        <v>3213</v>
      </c>
      <c r="B40" s="7" t="s">
        <v>414</v>
      </c>
      <c r="C40" s="7" t="s">
        <v>21</v>
      </c>
      <c r="D40" s="9">
        <v>45727</v>
      </c>
      <c r="E40" s="3">
        <v>2851.38</v>
      </c>
      <c r="F40" s="7" t="s">
        <v>296</v>
      </c>
    </row>
    <row r="41" spans="1:6" x14ac:dyDescent="0.3">
      <c r="A41" s="7" t="s">
        <v>3214</v>
      </c>
      <c r="B41" s="7" t="s">
        <v>415</v>
      </c>
      <c r="C41" s="7" t="s">
        <v>76</v>
      </c>
      <c r="D41" s="9">
        <v>46092</v>
      </c>
      <c r="E41" s="3">
        <v>13751.57</v>
      </c>
      <c r="F41" s="7" t="s">
        <v>3174</v>
      </c>
    </row>
    <row r="42" spans="1:6" x14ac:dyDescent="0.3">
      <c r="A42" s="7" t="s">
        <v>3215</v>
      </c>
      <c r="B42" s="7" t="s">
        <v>416</v>
      </c>
      <c r="C42" s="7" t="s">
        <v>103</v>
      </c>
      <c r="D42" s="9">
        <v>45784</v>
      </c>
      <c r="E42" s="3">
        <v>11583.59</v>
      </c>
      <c r="F42" s="7" t="s">
        <v>296</v>
      </c>
    </row>
    <row r="43" spans="1:6" x14ac:dyDescent="0.3">
      <c r="A43" s="7" t="s">
        <v>3216</v>
      </c>
      <c r="B43" s="7" t="s">
        <v>417</v>
      </c>
      <c r="C43" s="7" t="s">
        <v>77</v>
      </c>
      <c r="D43" s="9">
        <v>46068</v>
      </c>
      <c r="E43" s="3">
        <v>12601.96</v>
      </c>
      <c r="F43" s="7" t="s">
        <v>3174</v>
      </c>
    </row>
    <row r="44" spans="1:6" x14ac:dyDescent="0.3">
      <c r="A44" s="7" t="s">
        <v>3217</v>
      </c>
      <c r="B44" s="7" t="s">
        <v>418</v>
      </c>
      <c r="C44" s="7" t="s">
        <v>10</v>
      </c>
      <c r="D44" s="9">
        <v>45888</v>
      </c>
      <c r="E44" s="3">
        <v>5855.35</v>
      </c>
      <c r="F44" s="7" t="s">
        <v>3184</v>
      </c>
    </row>
    <row r="45" spans="1:6" x14ac:dyDescent="0.3">
      <c r="A45" s="7" t="s">
        <v>3218</v>
      </c>
      <c r="B45" s="7" t="s">
        <v>419</v>
      </c>
      <c r="C45" s="7" t="s">
        <v>77</v>
      </c>
      <c r="D45" s="9">
        <v>45819</v>
      </c>
      <c r="E45" s="3">
        <v>1878.39</v>
      </c>
      <c r="F45" s="7" t="s">
        <v>3184</v>
      </c>
    </row>
    <row r="46" spans="1:6" x14ac:dyDescent="0.3">
      <c r="A46" s="7" t="s">
        <v>3219</v>
      </c>
      <c r="B46" s="7" t="s">
        <v>422</v>
      </c>
      <c r="C46" s="7" t="s">
        <v>68</v>
      </c>
      <c r="D46" s="9">
        <v>46036</v>
      </c>
      <c r="E46" s="3">
        <v>1650.14</v>
      </c>
      <c r="F46" s="7" t="s">
        <v>3184</v>
      </c>
    </row>
    <row r="47" spans="1:6" x14ac:dyDescent="0.3">
      <c r="A47" s="7" t="s">
        <v>3220</v>
      </c>
      <c r="B47" s="7" t="s">
        <v>423</v>
      </c>
      <c r="C47" s="7" t="s">
        <v>124</v>
      </c>
      <c r="D47" s="9">
        <v>45952</v>
      </c>
      <c r="E47" s="3">
        <v>10769.91</v>
      </c>
      <c r="F47" s="7" t="s">
        <v>3174</v>
      </c>
    </row>
    <row r="48" spans="1:6" x14ac:dyDescent="0.3">
      <c r="A48" s="7" t="s">
        <v>3221</v>
      </c>
      <c r="B48" s="7" t="s">
        <v>425</v>
      </c>
      <c r="C48" s="7" t="s">
        <v>7</v>
      </c>
      <c r="D48" s="9">
        <v>46084</v>
      </c>
      <c r="E48" s="3">
        <v>11231.4</v>
      </c>
      <c r="F48" s="7" t="s">
        <v>3174</v>
      </c>
    </row>
    <row r="49" spans="1:6" x14ac:dyDescent="0.3">
      <c r="A49" s="7" t="s">
        <v>3222</v>
      </c>
      <c r="B49" s="7" t="s">
        <v>426</v>
      </c>
      <c r="C49" s="7" t="s">
        <v>91</v>
      </c>
      <c r="D49" s="9">
        <v>46113</v>
      </c>
      <c r="E49" s="3">
        <v>2726.05</v>
      </c>
      <c r="F49" s="7" t="s">
        <v>296</v>
      </c>
    </row>
    <row r="50" spans="1:6" x14ac:dyDescent="0.3">
      <c r="A50" s="7" t="s">
        <v>3223</v>
      </c>
      <c r="B50" s="7" t="s">
        <v>427</v>
      </c>
      <c r="C50" s="7" t="s">
        <v>49</v>
      </c>
      <c r="D50" s="9">
        <v>45912</v>
      </c>
      <c r="E50" s="3">
        <v>13753.25</v>
      </c>
      <c r="F50" s="7" t="s">
        <v>3184</v>
      </c>
    </row>
    <row r="51" spans="1:6" x14ac:dyDescent="0.3">
      <c r="A51" s="7" t="s">
        <v>3224</v>
      </c>
      <c r="B51" s="7" t="s">
        <v>429</v>
      </c>
      <c r="C51" s="7" t="s">
        <v>116</v>
      </c>
      <c r="D51" s="9">
        <v>45782</v>
      </c>
      <c r="E51" s="3">
        <v>5961.55</v>
      </c>
      <c r="F51" s="7" t="s">
        <v>3184</v>
      </c>
    </row>
    <row r="52" spans="1:6" x14ac:dyDescent="0.3">
      <c r="A52" s="7" t="s">
        <v>3225</v>
      </c>
      <c r="B52" s="7" t="s">
        <v>430</v>
      </c>
      <c r="C52" s="7" t="s">
        <v>110</v>
      </c>
      <c r="D52" s="9">
        <v>46055</v>
      </c>
      <c r="E52" s="3">
        <v>9809.51</v>
      </c>
      <c r="F52" s="7" t="s">
        <v>298</v>
      </c>
    </row>
    <row r="53" spans="1:6" x14ac:dyDescent="0.3">
      <c r="A53" s="7" t="s">
        <v>3226</v>
      </c>
      <c r="B53" s="7" t="s">
        <v>433</v>
      </c>
      <c r="C53" s="7" t="s">
        <v>59</v>
      </c>
      <c r="D53" s="9">
        <v>45919</v>
      </c>
      <c r="E53" s="3">
        <v>10078.620000000001</v>
      </c>
      <c r="F53" s="7" t="s">
        <v>3174</v>
      </c>
    </row>
    <row r="54" spans="1:6" x14ac:dyDescent="0.3">
      <c r="A54" s="7" t="s">
        <v>3227</v>
      </c>
      <c r="B54" s="7" t="s">
        <v>435</v>
      </c>
      <c r="C54" s="7" t="s">
        <v>49</v>
      </c>
      <c r="D54" s="9">
        <v>45901</v>
      </c>
      <c r="E54" s="3">
        <v>2623.26</v>
      </c>
      <c r="F54" s="7" t="s">
        <v>3184</v>
      </c>
    </row>
    <row r="55" spans="1:6" x14ac:dyDescent="0.3">
      <c r="A55" s="7" t="s">
        <v>3228</v>
      </c>
      <c r="B55" s="7" t="s">
        <v>436</v>
      </c>
      <c r="C55" s="7" t="s">
        <v>120</v>
      </c>
      <c r="D55" s="9">
        <v>45882</v>
      </c>
      <c r="E55" s="3">
        <v>2058.73</v>
      </c>
      <c r="F55" s="7" t="s">
        <v>3174</v>
      </c>
    </row>
    <row r="56" spans="1:6" x14ac:dyDescent="0.3">
      <c r="A56" s="7" t="s">
        <v>3229</v>
      </c>
      <c r="B56" s="7" t="s">
        <v>437</v>
      </c>
      <c r="C56" s="7" t="s">
        <v>87</v>
      </c>
      <c r="D56" s="9">
        <v>45691</v>
      </c>
      <c r="E56" s="3">
        <v>5871.09</v>
      </c>
      <c r="F56" s="7" t="s">
        <v>298</v>
      </c>
    </row>
    <row r="57" spans="1:6" x14ac:dyDescent="0.3">
      <c r="A57" s="7" t="s">
        <v>3230</v>
      </c>
      <c r="B57" s="7" t="s">
        <v>437</v>
      </c>
      <c r="C57" s="7" t="s">
        <v>87</v>
      </c>
      <c r="D57" s="9">
        <v>45705</v>
      </c>
      <c r="E57" s="3">
        <v>7916.35</v>
      </c>
      <c r="F57" s="7" t="s">
        <v>296</v>
      </c>
    </row>
    <row r="58" spans="1:6" x14ac:dyDescent="0.3">
      <c r="A58" s="7" t="s">
        <v>3231</v>
      </c>
      <c r="B58" s="7" t="s">
        <v>438</v>
      </c>
      <c r="C58" s="7" t="s">
        <v>19</v>
      </c>
      <c r="D58" s="9">
        <v>45818</v>
      </c>
      <c r="E58" s="3">
        <v>2103.0700000000002</v>
      </c>
      <c r="F58" s="7" t="s">
        <v>298</v>
      </c>
    </row>
    <row r="59" spans="1:6" x14ac:dyDescent="0.3">
      <c r="A59" s="7" t="s">
        <v>3232</v>
      </c>
      <c r="B59" s="7" t="s">
        <v>439</v>
      </c>
      <c r="C59" s="7" t="s">
        <v>45</v>
      </c>
      <c r="D59" s="9">
        <v>45722</v>
      </c>
      <c r="E59" s="3">
        <v>1182.76</v>
      </c>
      <c r="F59" s="7" t="s">
        <v>3184</v>
      </c>
    </row>
    <row r="60" spans="1:6" x14ac:dyDescent="0.3">
      <c r="A60" s="7" t="s">
        <v>3233</v>
      </c>
      <c r="B60" s="7" t="s">
        <v>439</v>
      </c>
      <c r="C60" s="7" t="s">
        <v>45</v>
      </c>
      <c r="D60" s="9">
        <v>45729</v>
      </c>
      <c r="E60" s="3">
        <v>764.04</v>
      </c>
      <c r="F60" s="7" t="s">
        <v>298</v>
      </c>
    </row>
    <row r="61" spans="1:6" x14ac:dyDescent="0.3">
      <c r="A61" s="7" t="s">
        <v>3234</v>
      </c>
      <c r="B61" s="7" t="s">
        <v>440</v>
      </c>
      <c r="C61" s="7" t="s">
        <v>54</v>
      </c>
      <c r="D61" s="9">
        <v>46091</v>
      </c>
      <c r="E61" s="3">
        <v>1348.46</v>
      </c>
      <c r="F61" s="7" t="s">
        <v>298</v>
      </c>
    </row>
    <row r="62" spans="1:6" x14ac:dyDescent="0.3">
      <c r="A62" s="7" t="s">
        <v>3235</v>
      </c>
      <c r="B62" s="7" t="s">
        <v>440</v>
      </c>
      <c r="C62" s="7" t="s">
        <v>54</v>
      </c>
      <c r="D62" s="9">
        <v>46098</v>
      </c>
      <c r="E62" s="3">
        <v>1106.73</v>
      </c>
      <c r="F62" s="7" t="s">
        <v>3174</v>
      </c>
    </row>
    <row r="63" spans="1:6" x14ac:dyDescent="0.3">
      <c r="A63" s="7" t="s">
        <v>3236</v>
      </c>
      <c r="B63" s="7" t="s">
        <v>441</v>
      </c>
      <c r="C63" s="7" t="s">
        <v>108</v>
      </c>
      <c r="D63" s="9">
        <v>45965</v>
      </c>
      <c r="E63" s="3">
        <v>10298.74</v>
      </c>
      <c r="F63" s="7" t="s">
        <v>3184</v>
      </c>
    </row>
    <row r="64" spans="1:6" x14ac:dyDescent="0.3">
      <c r="A64" s="7" t="s">
        <v>3237</v>
      </c>
      <c r="B64" s="7" t="s">
        <v>443</v>
      </c>
      <c r="C64" s="7" t="s">
        <v>88</v>
      </c>
      <c r="D64" s="9">
        <v>45986</v>
      </c>
      <c r="E64" s="3">
        <v>1613.4</v>
      </c>
      <c r="F64" s="7" t="s">
        <v>296</v>
      </c>
    </row>
    <row r="65" spans="1:6" x14ac:dyDescent="0.3">
      <c r="A65" s="7" t="s">
        <v>3238</v>
      </c>
      <c r="B65" s="7" t="s">
        <v>445</v>
      </c>
      <c r="C65" s="7" t="s">
        <v>51</v>
      </c>
      <c r="D65" s="9">
        <v>45761</v>
      </c>
      <c r="E65" s="3">
        <v>2677.61</v>
      </c>
      <c r="F65" s="7" t="s">
        <v>298</v>
      </c>
    </row>
    <row r="66" spans="1:6" x14ac:dyDescent="0.3">
      <c r="A66" s="7" t="s">
        <v>3239</v>
      </c>
      <c r="B66" s="7" t="s">
        <v>446</v>
      </c>
      <c r="C66" s="7" t="s">
        <v>115</v>
      </c>
      <c r="D66" s="9">
        <v>45892</v>
      </c>
      <c r="E66" s="3">
        <v>3218.82</v>
      </c>
      <c r="F66" s="7" t="s">
        <v>3184</v>
      </c>
    </row>
    <row r="67" spans="1:6" x14ac:dyDescent="0.3">
      <c r="A67" s="7" t="s">
        <v>3240</v>
      </c>
      <c r="B67" s="7" t="s">
        <v>447</v>
      </c>
      <c r="C67" s="7" t="s">
        <v>55</v>
      </c>
      <c r="D67" s="9">
        <v>45866</v>
      </c>
      <c r="E67" s="3">
        <v>2199.2199999999998</v>
      </c>
      <c r="F67" s="7" t="s">
        <v>3174</v>
      </c>
    </row>
    <row r="68" spans="1:6" x14ac:dyDescent="0.3">
      <c r="A68" s="7" t="s">
        <v>3241</v>
      </c>
      <c r="B68" s="7" t="s">
        <v>448</v>
      </c>
      <c r="C68" s="7" t="s">
        <v>113</v>
      </c>
      <c r="D68" s="9">
        <v>45860</v>
      </c>
      <c r="E68" s="3">
        <v>3302.54</v>
      </c>
      <c r="F68" s="7" t="s">
        <v>3184</v>
      </c>
    </row>
    <row r="69" spans="1:6" x14ac:dyDescent="0.3">
      <c r="A69" s="7" t="s">
        <v>3242</v>
      </c>
      <c r="B69" s="7" t="s">
        <v>450</v>
      </c>
      <c r="C69" s="7" t="s">
        <v>122</v>
      </c>
      <c r="D69" s="9">
        <v>45970</v>
      </c>
      <c r="E69" s="3">
        <v>2140.9899999999998</v>
      </c>
      <c r="F69" s="7" t="s">
        <v>298</v>
      </c>
    </row>
    <row r="70" spans="1:6" x14ac:dyDescent="0.3">
      <c r="A70" s="7" t="s">
        <v>3243</v>
      </c>
      <c r="B70" s="7" t="s">
        <v>453</v>
      </c>
      <c r="C70" s="7" t="s">
        <v>87</v>
      </c>
      <c r="D70" s="9">
        <v>45772</v>
      </c>
      <c r="E70" s="3">
        <v>1930.22</v>
      </c>
      <c r="F70" s="7" t="s">
        <v>298</v>
      </c>
    </row>
    <row r="71" spans="1:6" x14ac:dyDescent="0.3">
      <c r="A71" s="7" t="s">
        <v>3244</v>
      </c>
      <c r="B71" s="7" t="s">
        <v>454</v>
      </c>
      <c r="C71" s="7" t="s">
        <v>53</v>
      </c>
      <c r="D71" s="9">
        <v>46106</v>
      </c>
      <c r="E71" s="3">
        <v>1468.38</v>
      </c>
      <c r="F71" s="7" t="s">
        <v>3184</v>
      </c>
    </row>
    <row r="72" spans="1:6" x14ac:dyDescent="0.3">
      <c r="A72" s="7" t="s">
        <v>3245</v>
      </c>
      <c r="B72" s="7" t="s">
        <v>455</v>
      </c>
      <c r="C72" s="7" t="s">
        <v>29</v>
      </c>
      <c r="D72" s="9">
        <v>45814</v>
      </c>
      <c r="E72" s="3">
        <v>1534.62</v>
      </c>
      <c r="F72" s="7" t="s">
        <v>296</v>
      </c>
    </row>
    <row r="73" spans="1:6" x14ac:dyDescent="0.3">
      <c r="A73" s="7" t="s">
        <v>3246</v>
      </c>
      <c r="B73" s="7" t="s">
        <v>456</v>
      </c>
      <c r="C73" s="7" t="s">
        <v>123</v>
      </c>
      <c r="D73" s="9">
        <v>45964</v>
      </c>
      <c r="E73" s="3">
        <v>4264.32</v>
      </c>
      <c r="F73" s="7" t="s">
        <v>3174</v>
      </c>
    </row>
    <row r="74" spans="1:6" x14ac:dyDescent="0.3">
      <c r="A74" s="7" t="s">
        <v>3247</v>
      </c>
      <c r="B74" s="7" t="s">
        <v>458</v>
      </c>
      <c r="C74" s="7" t="s">
        <v>16</v>
      </c>
      <c r="D74" s="9">
        <v>46097</v>
      </c>
      <c r="E74" s="3">
        <v>2066.69</v>
      </c>
      <c r="F74" s="7" t="s">
        <v>296</v>
      </c>
    </row>
    <row r="75" spans="1:6" x14ac:dyDescent="0.3">
      <c r="A75" s="7" t="s">
        <v>3248</v>
      </c>
      <c r="B75" s="7" t="s">
        <v>459</v>
      </c>
      <c r="C75" s="7" t="s">
        <v>57</v>
      </c>
      <c r="D75" s="9">
        <v>45807</v>
      </c>
      <c r="E75" s="3">
        <v>5508.3</v>
      </c>
      <c r="F75" s="7" t="s">
        <v>3174</v>
      </c>
    </row>
    <row r="76" spans="1:6" x14ac:dyDescent="0.3">
      <c r="A76" s="7" t="s">
        <v>3249</v>
      </c>
      <c r="B76" s="7" t="s">
        <v>460</v>
      </c>
      <c r="C76" s="7" t="s">
        <v>75</v>
      </c>
      <c r="D76" s="9">
        <v>46102</v>
      </c>
      <c r="E76" s="3">
        <v>3312.09</v>
      </c>
      <c r="F76" s="7" t="s">
        <v>296</v>
      </c>
    </row>
    <row r="77" spans="1:6" x14ac:dyDescent="0.3">
      <c r="A77" s="7" t="s">
        <v>3250</v>
      </c>
      <c r="B77" s="7" t="s">
        <v>461</v>
      </c>
      <c r="C77" s="7" t="s">
        <v>81</v>
      </c>
      <c r="D77" s="9">
        <v>46039</v>
      </c>
      <c r="E77" s="3">
        <v>2945.74</v>
      </c>
      <c r="F77" s="7" t="s">
        <v>298</v>
      </c>
    </row>
    <row r="78" spans="1:6" x14ac:dyDescent="0.3">
      <c r="A78" s="7" t="s">
        <v>3251</v>
      </c>
      <c r="B78" s="7" t="s">
        <v>462</v>
      </c>
      <c r="C78" s="7" t="s">
        <v>67</v>
      </c>
      <c r="D78" s="9">
        <v>45859</v>
      </c>
      <c r="E78" s="3">
        <v>13547.6</v>
      </c>
      <c r="F78" s="7" t="s">
        <v>296</v>
      </c>
    </row>
    <row r="79" spans="1:6" x14ac:dyDescent="0.3">
      <c r="A79" s="7" t="s">
        <v>3252</v>
      </c>
      <c r="B79" s="7" t="s">
        <v>466</v>
      </c>
      <c r="C79" s="7" t="s">
        <v>65</v>
      </c>
      <c r="D79" s="9">
        <v>45821</v>
      </c>
      <c r="E79" s="3">
        <v>10157.379999999999</v>
      </c>
      <c r="F79" s="7" t="s">
        <v>298</v>
      </c>
    </row>
    <row r="80" spans="1:6" x14ac:dyDescent="0.3">
      <c r="A80" s="7" t="s">
        <v>3253</v>
      </c>
      <c r="B80" s="7" t="s">
        <v>468</v>
      </c>
      <c r="C80" s="7" t="s">
        <v>113</v>
      </c>
      <c r="D80" s="9">
        <v>45763</v>
      </c>
      <c r="E80" s="3">
        <v>3839.18</v>
      </c>
      <c r="F80" s="7" t="s">
        <v>296</v>
      </c>
    </row>
    <row r="81" spans="1:6" x14ac:dyDescent="0.3">
      <c r="A81" s="7" t="s">
        <v>3254</v>
      </c>
      <c r="B81" s="7" t="s">
        <v>469</v>
      </c>
      <c r="C81" s="7" t="s">
        <v>34</v>
      </c>
      <c r="D81" s="9">
        <v>45803</v>
      </c>
      <c r="E81" s="3">
        <v>12555.13</v>
      </c>
      <c r="F81" s="7" t="s">
        <v>296</v>
      </c>
    </row>
    <row r="82" spans="1:6" x14ac:dyDescent="0.3">
      <c r="A82" s="7" t="s">
        <v>3255</v>
      </c>
      <c r="B82" s="7" t="s">
        <v>470</v>
      </c>
      <c r="C82" s="7" t="s">
        <v>94</v>
      </c>
      <c r="D82" s="9">
        <v>45799</v>
      </c>
      <c r="E82" s="3">
        <v>11734.54</v>
      </c>
      <c r="F82" s="7" t="s">
        <v>296</v>
      </c>
    </row>
    <row r="83" spans="1:6" x14ac:dyDescent="0.3">
      <c r="A83" s="7" t="s">
        <v>3256</v>
      </c>
      <c r="B83" s="7" t="s">
        <v>471</v>
      </c>
      <c r="C83" s="7" t="s">
        <v>42</v>
      </c>
      <c r="D83" s="9">
        <v>46016</v>
      </c>
      <c r="E83" s="3">
        <v>2544.4699999999998</v>
      </c>
      <c r="F83" s="7" t="s">
        <v>3174</v>
      </c>
    </row>
    <row r="84" spans="1:6" x14ac:dyDescent="0.3">
      <c r="A84" s="7" t="s">
        <v>3257</v>
      </c>
      <c r="B84" s="7" t="s">
        <v>472</v>
      </c>
      <c r="C84" s="7" t="s">
        <v>34</v>
      </c>
      <c r="D84" s="9">
        <v>46113</v>
      </c>
      <c r="E84" s="3">
        <v>5936.41</v>
      </c>
      <c r="F84" s="7" t="s">
        <v>3174</v>
      </c>
    </row>
    <row r="85" spans="1:6" x14ac:dyDescent="0.3">
      <c r="A85" s="7" t="s">
        <v>3258</v>
      </c>
      <c r="B85" s="7" t="s">
        <v>475</v>
      </c>
      <c r="C85" s="7" t="s">
        <v>25</v>
      </c>
      <c r="D85" s="9">
        <v>46091</v>
      </c>
      <c r="E85" s="3">
        <v>5172.7700000000004</v>
      </c>
      <c r="F85" s="7" t="s">
        <v>3174</v>
      </c>
    </row>
    <row r="86" spans="1:6" x14ac:dyDescent="0.3">
      <c r="A86" s="7" t="s">
        <v>3259</v>
      </c>
      <c r="B86" s="7" t="s">
        <v>478</v>
      </c>
      <c r="C86" s="7" t="s">
        <v>9</v>
      </c>
      <c r="D86" s="9">
        <v>46079</v>
      </c>
      <c r="E86" s="3">
        <v>2829.89</v>
      </c>
      <c r="F86" s="7" t="s">
        <v>3174</v>
      </c>
    </row>
    <row r="87" spans="1:6" x14ac:dyDescent="0.3">
      <c r="A87" s="7" t="s">
        <v>3260</v>
      </c>
      <c r="B87" s="7" t="s">
        <v>479</v>
      </c>
      <c r="C87" s="7" t="s">
        <v>21</v>
      </c>
      <c r="D87" s="9">
        <v>45772</v>
      </c>
      <c r="E87" s="3">
        <v>4530.74</v>
      </c>
      <c r="F87" s="7" t="s">
        <v>3174</v>
      </c>
    </row>
    <row r="88" spans="1:6" x14ac:dyDescent="0.3">
      <c r="A88" s="7" t="s">
        <v>3261</v>
      </c>
      <c r="B88" s="7" t="s">
        <v>480</v>
      </c>
      <c r="C88" s="7" t="s">
        <v>20</v>
      </c>
      <c r="D88" s="9">
        <v>45912</v>
      </c>
      <c r="E88" s="3">
        <v>1485.76</v>
      </c>
      <c r="F88" s="7" t="s">
        <v>3184</v>
      </c>
    </row>
    <row r="89" spans="1:6" x14ac:dyDescent="0.3">
      <c r="A89" s="7" t="s">
        <v>3262</v>
      </c>
      <c r="B89" s="7" t="s">
        <v>481</v>
      </c>
      <c r="C89" s="7" t="s">
        <v>123</v>
      </c>
      <c r="D89" s="9">
        <v>46000</v>
      </c>
      <c r="E89" s="3">
        <v>12018.43</v>
      </c>
      <c r="F89" s="7" t="s">
        <v>3184</v>
      </c>
    </row>
    <row r="90" spans="1:6" x14ac:dyDescent="0.3">
      <c r="A90" s="7" t="s">
        <v>3263</v>
      </c>
      <c r="B90" s="7" t="s">
        <v>483</v>
      </c>
      <c r="C90" s="7" t="s">
        <v>98</v>
      </c>
      <c r="D90" s="9">
        <v>45910</v>
      </c>
      <c r="E90" s="3">
        <v>13667.03</v>
      </c>
      <c r="F90" s="7" t="s">
        <v>3184</v>
      </c>
    </row>
    <row r="91" spans="1:6" x14ac:dyDescent="0.3">
      <c r="A91" s="7" t="s">
        <v>3264</v>
      </c>
      <c r="B91" s="7" t="s">
        <v>484</v>
      </c>
      <c r="C91" s="7" t="s">
        <v>15</v>
      </c>
      <c r="D91" s="9">
        <v>45735</v>
      </c>
      <c r="E91" s="3">
        <v>9952.76</v>
      </c>
      <c r="F91" s="7" t="s">
        <v>3184</v>
      </c>
    </row>
    <row r="92" spans="1:6" x14ac:dyDescent="0.3">
      <c r="A92" s="7" t="s">
        <v>3265</v>
      </c>
      <c r="B92" s="7" t="s">
        <v>485</v>
      </c>
      <c r="C92" s="7" t="s">
        <v>48</v>
      </c>
      <c r="D92" s="9">
        <v>46017</v>
      </c>
      <c r="E92" s="3">
        <v>4550.03</v>
      </c>
      <c r="F92" s="7" t="s">
        <v>3174</v>
      </c>
    </row>
    <row r="93" spans="1:6" x14ac:dyDescent="0.3">
      <c r="A93" s="7" t="s">
        <v>3266</v>
      </c>
      <c r="B93" s="7" t="s">
        <v>486</v>
      </c>
      <c r="C93" s="7" t="s">
        <v>84</v>
      </c>
      <c r="D93" s="9">
        <v>45972</v>
      </c>
      <c r="E93" s="3">
        <v>14374.21</v>
      </c>
      <c r="F93" s="7" t="s">
        <v>296</v>
      </c>
    </row>
    <row r="94" spans="1:6" x14ac:dyDescent="0.3">
      <c r="A94" s="7" t="s">
        <v>3267</v>
      </c>
      <c r="B94" s="7" t="s">
        <v>488</v>
      </c>
      <c r="C94" s="7" t="s">
        <v>36</v>
      </c>
      <c r="D94" s="9">
        <v>45788</v>
      </c>
      <c r="E94" s="3">
        <v>3809.18</v>
      </c>
      <c r="F94" s="7" t="s">
        <v>296</v>
      </c>
    </row>
    <row r="95" spans="1:6" x14ac:dyDescent="0.3">
      <c r="A95" s="7" t="s">
        <v>3268</v>
      </c>
      <c r="B95" s="7" t="s">
        <v>489</v>
      </c>
      <c r="C95" s="7" t="s">
        <v>19</v>
      </c>
      <c r="D95" s="9">
        <v>45915</v>
      </c>
      <c r="E95" s="3">
        <v>11226.87</v>
      </c>
      <c r="F95" s="7" t="s">
        <v>298</v>
      </c>
    </row>
    <row r="96" spans="1:6" x14ac:dyDescent="0.3">
      <c r="A96" s="7" t="s">
        <v>3269</v>
      </c>
      <c r="B96" s="7" t="s">
        <v>490</v>
      </c>
      <c r="C96" s="7" t="s">
        <v>26</v>
      </c>
      <c r="D96" s="9">
        <v>46020</v>
      </c>
      <c r="E96" s="3">
        <v>2426.7600000000002</v>
      </c>
      <c r="F96" s="7" t="s">
        <v>298</v>
      </c>
    </row>
    <row r="97" spans="1:6" x14ac:dyDescent="0.3">
      <c r="A97" s="7" t="s">
        <v>3270</v>
      </c>
      <c r="B97" s="7" t="s">
        <v>493</v>
      </c>
      <c r="C97" s="7" t="s">
        <v>22</v>
      </c>
      <c r="D97" s="9">
        <v>45951</v>
      </c>
      <c r="E97" s="3">
        <v>3103.76</v>
      </c>
      <c r="F97" s="7" t="s">
        <v>3174</v>
      </c>
    </row>
    <row r="98" spans="1:6" x14ac:dyDescent="0.3">
      <c r="A98" s="7" t="s">
        <v>3271</v>
      </c>
      <c r="B98" s="7" t="s">
        <v>495</v>
      </c>
      <c r="C98" s="7" t="s">
        <v>80</v>
      </c>
      <c r="D98" s="9">
        <v>45994</v>
      </c>
      <c r="E98" s="3">
        <v>3562.08</v>
      </c>
      <c r="F98" s="7" t="s">
        <v>3174</v>
      </c>
    </row>
    <row r="99" spans="1:6" x14ac:dyDescent="0.3">
      <c r="A99" s="7" t="s">
        <v>3272</v>
      </c>
      <c r="B99" s="7" t="s">
        <v>496</v>
      </c>
      <c r="C99" s="7" t="s">
        <v>20</v>
      </c>
      <c r="D99" s="9">
        <v>46006</v>
      </c>
      <c r="E99" s="3">
        <v>3097.83</v>
      </c>
      <c r="F99" s="7" t="s">
        <v>3184</v>
      </c>
    </row>
    <row r="100" spans="1:6" x14ac:dyDescent="0.3">
      <c r="A100" s="7" t="s">
        <v>3273</v>
      </c>
      <c r="B100" s="7" t="s">
        <v>499</v>
      </c>
      <c r="C100" s="7" t="s">
        <v>91</v>
      </c>
      <c r="D100" s="9">
        <v>46019</v>
      </c>
      <c r="E100" s="3">
        <v>3659</v>
      </c>
      <c r="F100" s="7" t="s">
        <v>3184</v>
      </c>
    </row>
    <row r="101" spans="1:6" x14ac:dyDescent="0.3">
      <c r="A101" s="7" t="s">
        <v>3274</v>
      </c>
      <c r="B101" s="7" t="s">
        <v>500</v>
      </c>
      <c r="C101" s="7" t="s">
        <v>46</v>
      </c>
      <c r="D101" s="9">
        <v>45754</v>
      </c>
      <c r="E101" s="3">
        <v>1632.56</v>
      </c>
      <c r="F101" s="7" t="s">
        <v>296</v>
      </c>
    </row>
    <row r="102" spans="1:6" x14ac:dyDescent="0.3">
      <c r="A102" s="7" t="s">
        <v>3275</v>
      </c>
      <c r="B102" s="7" t="s">
        <v>501</v>
      </c>
      <c r="C102" s="7" t="s">
        <v>58</v>
      </c>
      <c r="D102" s="9">
        <v>45762</v>
      </c>
      <c r="E102" s="3">
        <v>2351.02</v>
      </c>
      <c r="F102" s="7" t="s">
        <v>296</v>
      </c>
    </row>
    <row r="103" spans="1:6" x14ac:dyDescent="0.3">
      <c r="A103" s="7" t="s">
        <v>3276</v>
      </c>
      <c r="B103" s="7" t="s">
        <v>502</v>
      </c>
      <c r="C103" s="7" t="s">
        <v>74</v>
      </c>
      <c r="D103" s="9">
        <v>45999</v>
      </c>
      <c r="E103" s="3">
        <v>2570.25</v>
      </c>
      <c r="F103" s="7" t="s">
        <v>3184</v>
      </c>
    </row>
    <row r="104" spans="1:6" x14ac:dyDescent="0.3">
      <c r="A104" s="7" t="s">
        <v>3277</v>
      </c>
      <c r="B104" s="7" t="s">
        <v>503</v>
      </c>
      <c r="C104" s="7" t="s">
        <v>46</v>
      </c>
      <c r="D104" s="9">
        <v>45902</v>
      </c>
      <c r="E104" s="3">
        <v>4752.3900000000003</v>
      </c>
      <c r="F104" s="7" t="s">
        <v>3184</v>
      </c>
    </row>
    <row r="105" spans="1:6" x14ac:dyDescent="0.3">
      <c r="A105" s="7" t="s">
        <v>3278</v>
      </c>
      <c r="B105" s="7" t="s">
        <v>504</v>
      </c>
      <c r="C105" s="7" t="s">
        <v>13</v>
      </c>
      <c r="D105" s="9">
        <v>45961</v>
      </c>
      <c r="E105" s="3">
        <v>817.93</v>
      </c>
      <c r="F105" s="7" t="s">
        <v>3174</v>
      </c>
    </row>
    <row r="106" spans="1:6" x14ac:dyDescent="0.3">
      <c r="A106" s="7" t="s">
        <v>3279</v>
      </c>
      <c r="B106" s="7" t="s">
        <v>504</v>
      </c>
      <c r="C106" s="7" t="s">
        <v>13</v>
      </c>
      <c r="D106" s="9">
        <v>45975</v>
      </c>
      <c r="E106" s="3">
        <v>855.63</v>
      </c>
      <c r="F106" s="7" t="s">
        <v>3184</v>
      </c>
    </row>
    <row r="107" spans="1:6" x14ac:dyDescent="0.3">
      <c r="A107" s="7" t="s">
        <v>3280</v>
      </c>
      <c r="B107" s="7" t="s">
        <v>505</v>
      </c>
      <c r="C107" s="7" t="s">
        <v>41</v>
      </c>
      <c r="D107" s="9">
        <v>45977</v>
      </c>
      <c r="E107" s="3">
        <v>2311.79</v>
      </c>
      <c r="F107" s="7" t="s">
        <v>298</v>
      </c>
    </row>
    <row r="108" spans="1:6" x14ac:dyDescent="0.3">
      <c r="A108" s="7" t="s">
        <v>3281</v>
      </c>
      <c r="B108" s="7" t="s">
        <v>505</v>
      </c>
      <c r="C108" s="7" t="s">
        <v>41</v>
      </c>
      <c r="D108" s="9">
        <v>45983</v>
      </c>
      <c r="E108" s="3">
        <v>2003.03</v>
      </c>
      <c r="F108" s="7" t="s">
        <v>298</v>
      </c>
    </row>
    <row r="109" spans="1:6" x14ac:dyDescent="0.3">
      <c r="A109" s="7" t="s">
        <v>3282</v>
      </c>
      <c r="B109" s="7" t="s">
        <v>506</v>
      </c>
      <c r="C109" s="7" t="s">
        <v>41</v>
      </c>
      <c r="D109" s="9">
        <v>45927</v>
      </c>
      <c r="E109" s="3">
        <v>7401.49</v>
      </c>
      <c r="F109" s="7" t="s">
        <v>298</v>
      </c>
    </row>
    <row r="110" spans="1:6" x14ac:dyDescent="0.3">
      <c r="A110" s="7" t="s">
        <v>3283</v>
      </c>
      <c r="B110" s="7" t="s">
        <v>506</v>
      </c>
      <c r="C110" s="7" t="s">
        <v>41</v>
      </c>
      <c r="D110" s="9">
        <v>45933</v>
      </c>
      <c r="E110" s="3">
        <v>5375.82</v>
      </c>
      <c r="F110" s="7" t="s">
        <v>3174</v>
      </c>
    </row>
    <row r="111" spans="1:6" x14ac:dyDescent="0.3">
      <c r="A111" s="7" t="s">
        <v>3284</v>
      </c>
      <c r="B111" s="7" t="s">
        <v>507</v>
      </c>
      <c r="C111" s="7" t="s">
        <v>43</v>
      </c>
      <c r="D111" s="9">
        <v>45755</v>
      </c>
      <c r="E111" s="3">
        <v>5509.89</v>
      </c>
      <c r="F111" s="7" t="s">
        <v>298</v>
      </c>
    </row>
    <row r="112" spans="1:6" x14ac:dyDescent="0.3">
      <c r="A112" s="7" t="s">
        <v>3285</v>
      </c>
      <c r="B112" s="7" t="s">
        <v>508</v>
      </c>
      <c r="C112" s="7" t="s">
        <v>12</v>
      </c>
      <c r="D112" s="9">
        <v>45944</v>
      </c>
      <c r="E112" s="3">
        <v>1928.51</v>
      </c>
      <c r="F112" s="7" t="s">
        <v>3184</v>
      </c>
    </row>
    <row r="113" spans="1:6" x14ac:dyDescent="0.3">
      <c r="A113" s="7" t="s">
        <v>3286</v>
      </c>
      <c r="B113" s="7" t="s">
        <v>509</v>
      </c>
      <c r="C113" s="7" t="s">
        <v>45</v>
      </c>
      <c r="D113" s="9">
        <v>45965</v>
      </c>
      <c r="E113" s="3">
        <v>4790.53</v>
      </c>
      <c r="F113" s="7" t="s">
        <v>298</v>
      </c>
    </row>
    <row r="114" spans="1:6" x14ac:dyDescent="0.3">
      <c r="A114" s="7" t="s">
        <v>3287</v>
      </c>
      <c r="B114" s="7" t="s">
        <v>510</v>
      </c>
      <c r="C114" s="7" t="s">
        <v>22</v>
      </c>
      <c r="D114" s="9">
        <v>46050</v>
      </c>
      <c r="E114" s="3">
        <v>5534.7</v>
      </c>
      <c r="F114" s="7" t="s">
        <v>296</v>
      </c>
    </row>
    <row r="115" spans="1:6" x14ac:dyDescent="0.3">
      <c r="A115" s="7" t="s">
        <v>3288</v>
      </c>
      <c r="B115" s="7" t="s">
        <v>511</v>
      </c>
      <c r="C115" s="7" t="s">
        <v>75</v>
      </c>
      <c r="D115" s="9">
        <v>45905</v>
      </c>
      <c r="E115" s="3">
        <v>2996.86</v>
      </c>
      <c r="F115" s="7" t="s">
        <v>298</v>
      </c>
    </row>
    <row r="116" spans="1:6" x14ac:dyDescent="0.3">
      <c r="A116" s="7" t="s">
        <v>3289</v>
      </c>
      <c r="B116" s="7" t="s">
        <v>513</v>
      </c>
      <c r="C116" s="7" t="s">
        <v>124</v>
      </c>
      <c r="D116" s="9">
        <v>45685</v>
      </c>
      <c r="E116" s="3">
        <v>13736.47</v>
      </c>
      <c r="F116" s="7" t="s">
        <v>298</v>
      </c>
    </row>
    <row r="117" spans="1:6" x14ac:dyDescent="0.3">
      <c r="A117" s="7" t="s">
        <v>3290</v>
      </c>
      <c r="B117" s="7" t="s">
        <v>514</v>
      </c>
      <c r="C117" s="7" t="s">
        <v>97</v>
      </c>
      <c r="D117" s="9">
        <v>45991</v>
      </c>
      <c r="E117" s="3">
        <v>3434.53</v>
      </c>
      <c r="F117" s="7" t="s">
        <v>296</v>
      </c>
    </row>
    <row r="118" spans="1:6" x14ac:dyDescent="0.3">
      <c r="A118" s="7" t="s">
        <v>3291</v>
      </c>
      <c r="B118" s="7" t="s">
        <v>515</v>
      </c>
      <c r="C118" s="7" t="s">
        <v>48</v>
      </c>
      <c r="D118" s="9">
        <v>45759</v>
      </c>
      <c r="E118" s="3">
        <v>1740.74</v>
      </c>
      <c r="F118" s="7" t="s">
        <v>298</v>
      </c>
    </row>
    <row r="119" spans="1:6" x14ac:dyDescent="0.3">
      <c r="A119" s="7" t="s">
        <v>3292</v>
      </c>
      <c r="B119" s="7" t="s">
        <v>517</v>
      </c>
      <c r="C119" s="7" t="s">
        <v>82</v>
      </c>
      <c r="D119" s="9">
        <v>46102</v>
      </c>
      <c r="E119" s="3">
        <v>2088.13</v>
      </c>
      <c r="F119" s="7" t="s">
        <v>3184</v>
      </c>
    </row>
    <row r="120" spans="1:6" x14ac:dyDescent="0.3">
      <c r="A120" s="7" t="s">
        <v>3293</v>
      </c>
      <c r="B120" s="7" t="s">
        <v>518</v>
      </c>
      <c r="C120" s="7" t="s">
        <v>35</v>
      </c>
      <c r="D120" s="9">
        <v>45865</v>
      </c>
      <c r="E120" s="3">
        <v>12115.02</v>
      </c>
      <c r="F120" s="7" t="s">
        <v>298</v>
      </c>
    </row>
    <row r="121" spans="1:6" x14ac:dyDescent="0.3">
      <c r="A121" s="7" t="s">
        <v>3294</v>
      </c>
      <c r="B121" s="7" t="s">
        <v>519</v>
      </c>
      <c r="C121" s="7" t="s">
        <v>74</v>
      </c>
      <c r="D121" s="9">
        <v>45702</v>
      </c>
      <c r="E121" s="3">
        <v>2779.12</v>
      </c>
      <c r="F121" s="7" t="s">
        <v>3184</v>
      </c>
    </row>
    <row r="122" spans="1:6" x14ac:dyDescent="0.3">
      <c r="A122" s="7" t="s">
        <v>3295</v>
      </c>
      <c r="B122" s="7" t="s">
        <v>520</v>
      </c>
      <c r="C122" s="7" t="s">
        <v>111</v>
      </c>
      <c r="D122" s="9">
        <v>46100</v>
      </c>
      <c r="E122" s="3">
        <v>3071.47</v>
      </c>
      <c r="F122" s="7" t="s">
        <v>3184</v>
      </c>
    </row>
    <row r="123" spans="1:6" x14ac:dyDescent="0.3">
      <c r="A123" s="7" t="s">
        <v>3296</v>
      </c>
      <c r="B123" s="7" t="s">
        <v>521</v>
      </c>
      <c r="C123" s="7" t="s">
        <v>32</v>
      </c>
      <c r="D123" s="9">
        <v>45801</v>
      </c>
      <c r="E123" s="3">
        <v>2026.83</v>
      </c>
      <c r="F123" s="7" t="s">
        <v>296</v>
      </c>
    </row>
    <row r="124" spans="1:6" x14ac:dyDescent="0.3">
      <c r="A124" s="7" t="s">
        <v>3297</v>
      </c>
      <c r="B124" s="7" t="s">
        <v>522</v>
      </c>
      <c r="C124" s="7" t="s">
        <v>105</v>
      </c>
      <c r="D124" s="9">
        <v>46077</v>
      </c>
      <c r="E124" s="3">
        <v>5204.8</v>
      </c>
      <c r="F124" s="7" t="s">
        <v>3184</v>
      </c>
    </row>
    <row r="125" spans="1:6" x14ac:dyDescent="0.3">
      <c r="A125" s="7" t="s">
        <v>3298</v>
      </c>
      <c r="B125" s="7" t="s">
        <v>524</v>
      </c>
      <c r="C125" s="7" t="s">
        <v>86</v>
      </c>
      <c r="D125" s="9">
        <v>45982</v>
      </c>
      <c r="E125" s="3">
        <v>2105.39</v>
      </c>
      <c r="F125" s="7" t="s">
        <v>298</v>
      </c>
    </row>
    <row r="126" spans="1:6" x14ac:dyDescent="0.3">
      <c r="A126" s="7" t="s">
        <v>3299</v>
      </c>
      <c r="B126" s="7" t="s">
        <v>525</v>
      </c>
      <c r="C126" s="7" t="s">
        <v>15</v>
      </c>
      <c r="D126" s="9">
        <v>46005</v>
      </c>
      <c r="E126" s="3">
        <v>2864.25</v>
      </c>
      <c r="F126" s="7" t="s">
        <v>3184</v>
      </c>
    </row>
    <row r="127" spans="1:6" x14ac:dyDescent="0.3">
      <c r="A127" s="7" t="s">
        <v>3300</v>
      </c>
      <c r="B127" s="7" t="s">
        <v>526</v>
      </c>
      <c r="C127" s="7" t="s">
        <v>52</v>
      </c>
      <c r="D127" s="9">
        <v>45856</v>
      </c>
      <c r="E127" s="3">
        <v>5140.54</v>
      </c>
      <c r="F127" s="7" t="s">
        <v>3184</v>
      </c>
    </row>
    <row r="128" spans="1:6" x14ac:dyDescent="0.3">
      <c r="A128" s="7" t="s">
        <v>3301</v>
      </c>
      <c r="B128" s="7" t="s">
        <v>526</v>
      </c>
      <c r="C128" s="7" t="s">
        <v>52</v>
      </c>
      <c r="D128" s="9">
        <v>45871</v>
      </c>
      <c r="E128" s="3">
        <v>6582.06</v>
      </c>
      <c r="F128" s="7" t="s">
        <v>298</v>
      </c>
    </row>
    <row r="129" spans="1:6" x14ac:dyDescent="0.3">
      <c r="A129" s="7" t="s">
        <v>3302</v>
      </c>
      <c r="B129" s="7" t="s">
        <v>527</v>
      </c>
      <c r="C129" s="7" t="s">
        <v>54</v>
      </c>
      <c r="D129" s="9">
        <v>45911</v>
      </c>
      <c r="E129" s="3">
        <v>1319.43</v>
      </c>
      <c r="F129" s="7" t="s">
        <v>298</v>
      </c>
    </row>
    <row r="130" spans="1:6" x14ac:dyDescent="0.3">
      <c r="A130" s="7" t="s">
        <v>3303</v>
      </c>
      <c r="B130" s="7" t="s">
        <v>527</v>
      </c>
      <c r="C130" s="7" t="s">
        <v>54</v>
      </c>
      <c r="D130" s="9">
        <v>45924</v>
      </c>
      <c r="E130" s="3">
        <v>1584.44</v>
      </c>
      <c r="F130" s="7" t="s">
        <v>3184</v>
      </c>
    </row>
    <row r="131" spans="1:6" x14ac:dyDescent="0.3">
      <c r="A131" s="7" t="s">
        <v>3304</v>
      </c>
      <c r="B131" s="7" t="s">
        <v>528</v>
      </c>
      <c r="C131" s="7" t="s">
        <v>71</v>
      </c>
      <c r="D131" s="9">
        <v>46103</v>
      </c>
      <c r="E131" s="3">
        <v>2076.73</v>
      </c>
      <c r="F131" s="7" t="s">
        <v>298</v>
      </c>
    </row>
    <row r="132" spans="1:6" x14ac:dyDescent="0.3">
      <c r="A132" s="7" t="s">
        <v>3305</v>
      </c>
      <c r="B132" s="7" t="s">
        <v>530</v>
      </c>
      <c r="C132" s="7" t="s">
        <v>26</v>
      </c>
      <c r="D132" s="9">
        <v>45850</v>
      </c>
      <c r="E132" s="3">
        <v>3712.57</v>
      </c>
      <c r="F132" s="7" t="s">
        <v>296</v>
      </c>
    </row>
    <row r="133" spans="1:6" x14ac:dyDescent="0.3">
      <c r="A133" s="7" t="s">
        <v>3306</v>
      </c>
      <c r="B133" s="7" t="s">
        <v>532</v>
      </c>
      <c r="C133" s="7" t="s">
        <v>63</v>
      </c>
      <c r="D133" s="9">
        <v>45679</v>
      </c>
      <c r="E133" s="3">
        <v>3704.58</v>
      </c>
      <c r="F133" s="7" t="s">
        <v>296</v>
      </c>
    </row>
    <row r="134" spans="1:6" x14ac:dyDescent="0.3">
      <c r="A134" s="7" t="s">
        <v>3307</v>
      </c>
      <c r="B134" s="7" t="s">
        <v>533</v>
      </c>
      <c r="C134" s="7" t="s">
        <v>43</v>
      </c>
      <c r="D134" s="9">
        <v>45766</v>
      </c>
      <c r="E134" s="3">
        <v>3531.85</v>
      </c>
      <c r="F134" s="7" t="s">
        <v>3184</v>
      </c>
    </row>
    <row r="135" spans="1:6" x14ac:dyDescent="0.3">
      <c r="A135" s="7" t="s">
        <v>3308</v>
      </c>
      <c r="B135" s="7" t="s">
        <v>534</v>
      </c>
      <c r="C135" s="7" t="s">
        <v>108</v>
      </c>
      <c r="D135" s="9">
        <v>45884</v>
      </c>
      <c r="E135" s="3">
        <v>11562.09</v>
      </c>
      <c r="F135" s="7" t="s">
        <v>3184</v>
      </c>
    </row>
    <row r="136" spans="1:6" x14ac:dyDescent="0.3">
      <c r="A136" s="7" t="s">
        <v>3309</v>
      </c>
      <c r="B136" s="7" t="s">
        <v>535</v>
      </c>
      <c r="C136" s="7" t="s">
        <v>93</v>
      </c>
      <c r="D136" s="9">
        <v>45722</v>
      </c>
      <c r="E136" s="3">
        <v>1906.06</v>
      </c>
      <c r="F136" s="7" t="s">
        <v>3174</v>
      </c>
    </row>
    <row r="137" spans="1:6" x14ac:dyDescent="0.3">
      <c r="A137" s="7" t="s">
        <v>3310</v>
      </c>
      <c r="B137" s="7" t="s">
        <v>537</v>
      </c>
      <c r="C137" s="7" t="s">
        <v>51</v>
      </c>
      <c r="D137" s="9">
        <v>46007</v>
      </c>
      <c r="E137" s="3">
        <v>2952.74</v>
      </c>
      <c r="F137" s="7" t="s">
        <v>3174</v>
      </c>
    </row>
    <row r="138" spans="1:6" x14ac:dyDescent="0.3">
      <c r="A138" s="7" t="s">
        <v>3311</v>
      </c>
      <c r="B138" s="7" t="s">
        <v>537</v>
      </c>
      <c r="C138" s="7" t="s">
        <v>51</v>
      </c>
      <c r="D138" s="9">
        <v>46020</v>
      </c>
      <c r="E138" s="3">
        <v>1713.98</v>
      </c>
      <c r="F138" s="7" t="s">
        <v>298</v>
      </c>
    </row>
    <row r="139" spans="1:6" x14ac:dyDescent="0.3">
      <c r="A139" s="7" t="s">
        <v>3312</v>
      </c>
      <c r="B139" s="7" t="s">
        <v>538</v>
      </c>
      <c r="C139" s="7" t="s">
        <v>83</v>
      </c>
      <c r="D139" s="9">
        <v>46036</v>
      </c>
      <c r="E139" s="3">
        <v>1349.72</v>
      </c>
      <c r="F139" s="7" t="s">
        <v>298</v>
      </c>
    </row>
    <row r="140" spans="1:6" x14ac:dyDescent="0.3">
      <c r="A140" s="7" t="s">
        <v>3313</v>
      </c>
      <c r="B140" s="7" t="s">
        <v>538</v>
      </c>
      <c r="C140" s="7" t="s">
        <v>83</v>
      </c>
      <c r="D140" s="9">
        <v>46040</v>
      </c>
      <c r="E140" s="3">
        <v>1617.98</v>
      </c>
      <c r="F140" s="7" t="s">
        <v>298</v>
      </c>
    </row>
    <row r="141" spans="1:6" x14ac:dyDescent="0.3">
      <c r="A141" s="7" t="s">
        <v>3314</v>
      </c>
      <c r="B141" s="7" t="s">
        <v>539</v>
      </c>
      <c r="C141" s="7" t="s">
        <v>108</v>
      </c>
      <c r="D141" s="9">
        <v>45876</v>
      </c>
      <c r="E141" s="3">
        <v>2115.36</v>
      </c>
      <c r="F141" s="7" t="s">
        <v>3184</v>
      </c>
    </row>
    <row r="142" spans="1:6" x14ac:dyDescent="0.3">
      <c r="A142" s="7" t="s">
        <v>3315</v>
      </c>
      <c r="B142" s="7" t="s">
        <v>541</v>
      </c>
      <c r="C142" s="7" t="s">
        <v>72</v>
      </c>
      <c r="D142" s="9">
        <v>45713</v>
      </c>
      <c r="E142" s="3">
        <v>2096.96</v>
      </c>
      <c r="F142" s="7" t="s">
        <v>3174</v>
      </c>
    </row>
    <row r="143" spans="1:6" x14ac:dyDescent="0.3">
      <c r="A143" s="7" t="s">
        <v>3316</v>
      </c>
      <c r="B143" s="7" t="s">
        <v>543</v>
      </c>
      <c r="C143" s="7" t="s">
        <v>115</v>
      </c>
      <c r="D143" s="9">
        <v>45758</v>
      </c>
      <c r="E143" s="3">
        <v>10521.63</v>
      </c>
      <c r="F143" s="7" t="s">
        <v>3184</v>
      </c>
    </row>
    <row r="144" spans="1:6" x14ac:dyDescent="0.3">
      <c r="A144" s="7" t="s">
        <v>3317</v>
      </c>
      <c r="B144" s="7" t="s">
        <v>545</v>
      </c>
      <c r="C144" s="7" t="s">
        <v>55</v>
      </c>
      <c r="D144" s="9">
        <v>46073</v>
      </c>
      <c r="E144" s="3">
        <v>1682.47</v>
      </c>
      <c r="F144" s="7" t="s">
        <v>298</v>
      </c>
    </row>
    <row r="145" spans="1:6" x14ac:dyDescent="0.3">
      <c r="A145" s="7" t="s">
        <v>3318</v>
      </c>
      <c r="B145" s="7" t="s">
        <v>547</v>
      </c>
      <c r="C145" s="7" t="s">
        <v>99</v>
      </c>
      <c r="D145" s="9">
        <v>45724</v>
      </c>
      <c r="E145" s="3">
        <v>3034.41</v>
      </c>
      <c r="F145" s="7" t="s">
        <v>296</v>
      </c>
    </row>
    <row r="146" spans="1:6" x14ac:dyDescent="0.3">
      <c r="A146" s="7" t="s">
        <v>3319</v>
      </c>
      <c r="B146" s="7" t="s">
        <v>547</v>
      </c>
      <c r="C146" s="7" t="s">
        <v>99</v>
      </c>
      <c r="D146" s="9">
        <v>45735</v>
      </c>
      <c r="E146" s="3">
        <v>2407.96</v>
      </c>
      <c r="F146" s="7" t="s">
        <v>3184</v>
      </c>
    </row>
    <row r="147" spans="1:6" x14ac:dyDescent="0.3">
      <c r="A147" s="7" t="s">
        <v>3320</v>
      </c>
      <c r="B147" s="7" t="s">
        <v>550</v>
      </c>
      <c r="C147" s="7" t="s">
        <v>80</v>
      </c>
      <c r="D147" s="9">
        <v>45759</v>
      </c>
      <c r="E147" s="3">
        <v>13939.08</v>
      </c>
      <c r="F147" s="7" t="s">
        <v>296</v>
      </c>
    </row>
    <row r="148" spans="1:6" x14ac:dyDescent="0.3">
      <c r="A148" s="7" t="s">
        <v>3321</v>
      </c>
      <c r="B148" s="7" t="s">
        <v>551</v>
      </c>
      <c r="C148" s="7" t="s">
        <v>60</v>
      </c>
      <c r="D148" s="9">
        <v>45846</v>
      </c>
      <c r="E148" s="3">
        <v>11816.06</v>
      </c>
      <c r="F148" s="7" t="s">
        <v>298</v>
      </c>
    </row>
    <row r="149" spans="1:6" x14ac:dyDescent="0.3">
      <c r="A149" s="7" t="s">
        <v>3322</v>
      </c>
      <c r="B149" s="7" t="s">
        <v>552</v>
      </c>
      <c r="C149" s="7" t="s">
        <v>39</v>
      </c>
      <c r="D149" s="9">
        <v>46124</v>
      </c>
      <c r="E149" s="3">
        <v>2400.96</v>
      </c>
      <c r="F149" s="7" t="s">
        <v>296</v>
      </c>
    </row>
    <row r="150" spans="1:6" x14ac:dyDescent="0.3">
      <c r="A150" s="7" t="s">
        <v>3323</v>
      </c>
      <c r="B150" s="7" t="s">
        <v>552</v>
      </c>
      <c r="C150" s="7" t="s">
        <v>39</v>
      </c>
      <c r="D150" s="9">
        <v>46132</v>
      </c>
      <c r="E150" s="3">
        <v>3232.82</v>
      </c>
      <c r="F150" s="7" t="s">
        <v>298</v>
      </c>
    </row>
    <row r="151" spans="1:6" x14ac:dyDescent="0.3">
      <c r="A151" s="7" t="s">
        <v>3324</v>
      </c>
      <c r="B151" s="7" t="s">
        <v>553</v>
      </c>
      <c r="C151" s="7" t="s">
        <v>20</v>
      </c>
      <c r="D151" s="9">
        <v>46120</v>
      </c>
      <c r="E151" s="3">
        <v>3169.41</v>
      </c>
      <c r="F151" s="7" t="s">
        <v>3174</v>
      </c>
    </row>
    <row r="152" spans="1:6" x14ac:dyDescent="0.3">
      <c r="A152" s="7" t="s">
        <v>3325</v>
      </c>
      <c r="B152" s="7" t="s">
        <v>554</v>
      </c>
      <c r="C152" s="7" t="s">
        <v>104</v>
      </c>
      <c r="D152" s="9">
        <v>46098</v>
      </c>
      <c r="E152" s="3">
        <v>2049.04</v>
      </c>
      <c r="F152" s="7" t="s">
        <v>3184</v>
      </c>
    </row>
    <row r="153" spans="1:6" x14ac:dyDescent="0.3">
      <c r="A153" s="7" t="s">
        <v>3326</v>
      </c>
      <c r="B153" s="7" t="s">
        <v>557</v>
      </c>
      <c r="C153" s="7" t="s">
        <v>17</v>
      </c>
      <c r="D153" s="9">
        <v>45870</v>
      </c>
      <c r="E153" s="3">
        <v>2875.74</v>
      </c>
      <c r="F153" s="7" t="s">
        <v>3174</v>
      </c>
    </row>
    <row r="154" spans="1:6" x14ac:dyDescent="0.3">
      <c r="A154" s="7" t="s">
        <v>3327</v>
      </c>
      <c r="B154" s="7" t="s">
        <v>559</v>
      </c>
      <c r="C154" s="7" t="s">
        <v>113</v>
      </c>
      <c r="D154" s="9">
        <v>45745</v>
      </c>
      <c r="E154" s="3">
        <v>2791.38</v>
      </c>
      <c r="F154" s="7" t="s">
        <v>296</v>
      </c>
    </row>
    <row r="155" spans="1:6" x14ac:dyDescent="0.3">
      <c r="A155" s="7" t="s">
        <v>3328</v>
      </c>
      <c r="B155" s="7" t="s">
        <v>560</v>
      </c>
      <c r="C155" s="7" t="s">
        <v>85</v>
      </c>
      <c r="D155" s="9">
        <v>45759</v>
      </c>
      <c r="E155" s="3">
        <v>12941.15</v>
      </c>
      <c r="F155" s="7" t="s">
        <v>3184</v>
      </c>
    </row>
    <row r="156" spans="1:6" x14ac:dyDescent="0.3">
      <c r="A156" s="7" t="s">
        <v>3329</v>
      </c>
      <c r="B156" s="7" t="s">
        <v>561</v>
      </c>
      <c r="C156" s="7" t="s">
        <v>26</v>
      </c>
      <c r="D156" s="9">
        <v>45709</v>
      </c>
      <c r="E156" s="3">
        <v>3487.03</v>
      </c>
      <c r="F156" s="7" t="s">
        <v>3174</v>
      </c>
    </row>
    <row r="157" spans="1:6" x14ac:dyDescent="0.3">
      <c r="A157" s="7" t="s">
        <v>3330</v>
      </c>
      <c r="B157" s="7" t="s">
        <v>562</v>
      </c>
      <c r="C157" s="7" t="s">
        <v>106</v>
      </c>
      <c r="D157" s="9">
        <v>45976</v>
      </c>
      <c r="E157" s="3">
        <v>4116.32</v>
      </c>
      <c r="F157" s="7" t="s">
        <v>3184</v>
      </c>
    </row>
    <row r="158" spans="1:6" x14ac:dyDescent="0.3">
      <c r="A158" s="7" t="s">
        <v>3331</v>
      </c>
      <c r="B158" s="7" t="s">
        <v>563</v>
      </c>
      <c r="C158" s="7" t="s">
        <v>88</v>
      </c>
      <c r="D158" s="9">
        <v>45724</v>
      </c>
      <c r="E158" s="3">
        <v>2237.64</v>
      </c>
      <c r="F158" s="7" t="s">
        <v>296</v>
      </c>
    </row>
    <row r="159" spans="1:6" x14ac:dyDescent="0.3">
      <c r="A159" s="7" t="s">
        <v>3332</v>
      </c>
      <c r="B159" s="7" t="s">
        <v>564</v>
      </c>
      <c r="C159" s="7" t="s">
        <v>9</v>
      </c>
      <c r="D159" s="9">
        <v>45758</v>
      </c>
      <c r="E159" s="3">
        <v>3439.96</v>
      </c>
      <c r="F159" s="7" t="s">
        <v>298</v>
      </c>
    </row>
    <row r="160" spans="1:6" x14ac:dyDescent="0.3">
      <c r="A160" s="7" t="s">
        <v>3333</v>
      </c>
      <c r="B160" s="7" t="s">
        <v>565</v>
      </c>
      <c r="C160" s="7" t="s">
        <v>61</v>
      </c>
      <c r="D160" s="9">
        <v>45831</v>
      </c>
      <c r="E160" s="3">
        <v>757.02</v>
      </c>
      <c r="F160" s="7" t="s">
        <v>3184</v>
      </c>
    </row>
    <row r="161" spans="1:6" x14ac:dyDescent="0.3">
      <c r="A161" s="7" t="s">
        <v>3334</v>
      </c>
      <c r="B161" s="7" t="s">
        <v>565</v>
      </c>
      <c r="C161" s="7" t="s">
        <v>61</v>
      </c>
      <c r="D161" s="9">
        <v>45833</v>
      </c>
      <c r="E161" s="3">
        <v>1054.05</v>
      </c>
      <c r="F161" s="7" t="s">
        <v>296</v>
      </c>
    </row>
    <row r="162" spans="1:6" x14ac:dyDescent="0.3">
      <c r="A162" s="7" t="s">
        <v>3335</v>
      </c>
      <c r="B162" s="7" t="s">
        <v>566</v>
      </c>
      <c r="C162" s="7" t="s">
        <v>92</v>
      </c>
      <c r="D162" s="9">
        <v>45781</v>
      </c>
      <c r="E162" s="3">
        <v>3137.77</v>
      </c>
      <c r="F162" s="7" t="s">
        <v>296</v>
      </c>
    </row>
    <row r="163" spans="1:6" x14ac:dyDescent="0.3">
      <c r="A163" s="7" t="s">
        <v>3336</v>
      </c>
      <c r="B163" s="7" t="s">
        <v>568</v>
      </c>
      <c r="C163" s="7" t="s">
        <v>118</v>
      </c>
      <c r="D163" s="9">
        <v>45925</v>
      </c>
      <c r="E163" s="3">
        <v>3900.98</v>
      </c>
      <c r="F163" s="7" t="s">
        <v>296</v>
      </c>
    </row>
    <row r="164" spans="1:6" x14ac:dyDescent="0.3">
      <c r="A164" s="7" t="s">
        <v>3337</v>
      </c>
      <c r="B164" s="7" t="s">
        <v>569</v>
      </c>
      <c r="C164" s="7" t="s">
        <v>9</v>
      </c>
      <c r="D164" s="9">
        <v>45886</v>
      </c>
      <c r="E164" s="3">
        <v>9808.9699999999993</v>
      </c>
      <c r="F164" s="7" t="s">
        <v>3174</v>
      </c>
    </row>
    <row r="165" spans="1:6" x14ac:dyDescent="0.3">
      <c r="A165" s="7" t="s">
        <v>3338</v>
      </c>
      <c r="B165" s="7" t="s">
        <v>570</v>
      </c>
      <c r="C165" s="7" t="s">
        <v>87</v>
      </c>
      <c r="D165" s="9">
        <v>45849</v>
      </c>
      <c r="E165" s="3">
        <v>2788.52</v>
      </c>
      <c r="F165" s="7" t="s">
        <v>298</v>
      </c>
    </row>
    <row r="166" spans="1:6" x14ac:dyDescent="0.3">
      <c r="A166" s="7" t="s">
        <v>3339</v>
      </c>
      <c r="B166" s="7" t="s">
        <v>571</v>
      </c>
      <c r="C166" s="7" t="s">
        <v>52</v>
      </c>
      <c r="D166" s="9">
        <v>46040</v>
      </c>
      <c r="E166" s="3">
        <v>3325.8</v>
      </c>
      <c r="F166" s="7" t="s">
        <v>3174</v>
      </c>
    </row>
    <row r="167" spans="1:6" x14ac:dyDescent="0.3">
      <c r="A167" s="7" t="s">
        <v>3340</v>
      </c>
      <c r="B167" s="7" t="s">
        <v>573</v>
      </c>
      <c r="C167" s="7" t="s">
        <v>24</v>
      </c>
      <c r="D167" s="9">
        <v>45943</v>
      </c>
      <c r="E167" s="3">
        <v>14307.93</v>
      </c>
      <c r="F167" s="7" t="s">
        <v>3184</v>
      </c>
    </row>
    <row r="168" spans="1:6" x14ac:dyDescent="0.3">
      <c r="A168" s="7" t="s">
        <v>3341</v>
      </c>
      <c r="B168" s="7" t="s">
        <v>574</v>
      </c>
      <c r="C168" s="7" t="s">
        <v>12</v>
      </c>
      <c r="D168" s="9">
        <v>45896</v>
      </c>
      <c r="E168" s="3">
        <v>3259.25</v>
      </c>
      <c r="F168" s="7" t="s">
        <v>3174</v>
      </c>
    </row>
    <row r="169" spans="1:6" x14ac:dyDescent="0.3">
      <c r="A169" s="7" t="s">
        <v>3342</v>
      </c>
      <c r="B169" s="7" t="s">
        <v>575</v>
      </c>
      <c r="C169" s="7" t="s">
        <v>111</v>
      </c>
      <c r="D169" s="9">
        <v>45823</v>
      </c>
      <c r="E169" s="3">
        <v>5771.58</v>
      </c>
      <c r="F169" s="7" t="s">
        <v>298</v>
      </c>
    </row>
    <row r="170" spans="1:6" x14ac:dyDescent="0.3">
      <c r="A170" s="7" t="s">
        <v>3343</v>
      </c>
      <c r="B170" s="7" t="s">
        <v>576</v>
      </c>
      <c r="C170" s="7" t="s">
        <v>52</v>
      </c>
      <c r="D170" s="9">
        <v>45680</v>
      </c>
      <c r="E170" s="3">
        <v>3462.76</v>
      </c>
      <c r="F170" s="7" t="s">
        <v>3174</v>
      </c>
    </row>
    <row r="171" spans="1:6" x14ac:dyDescent="0.3">
      <c r="A171" s="7" t="s">
        <v>3344</v>
      </c>
      <c r="B171" s="7" t="s">
        <v>577</v>
      </c>
      <c r="C171" s="7" t="s">
        <v>54</v>
      </c>
      <c r="D171" s="9">
        <v>45853</v>
      </c>
      <c r="E171" s="3">
        <v>3438.96</v>
      </c>
      <c r="F171" s="7" t="s">
        <v>296</v>
      </c>
    </row>
    <row r="172" spans="1:6" x14ac:dyDescent="0.3">
      <c r="A172" s="7" t="s">
        <v>3345</v>
      </c>
      <c r="B172" s="7" t="s">
        <v>579</v>
      </c>
      <c r="C172" s="7" t="s">
        <v>109</v>
      </c>
      <c r="D172" s="9">
        <v>45964</v>
      </c>
      <c r="E172" s="3">
        <v>2973.72</v>
      </c>
      <c r="F172" s="7" t="s">
        <v>296</v>
      </c>
    </row>
    <row r="173" spans="1:6" x14ac:dyDescent="0.3">
      <c r="A173" s="7" t="s">
        <v>3346</v>
      </c>
      <c r="B173" s="7" t="s">
        <v>580</v>
      </c>
      <c r="C173" s="7" t="s">
        <v>62</v>
      </c>
      <c r="D173" s="9">
        <v>45748</v>
      </c>
      <c r="E173" s="3">
        <v>3173.41</v>
      </c>
      <c r="F173" s="7" t="s">
        <v>298</v>
      </c>
    </row>
    <row r="174" spans="1:6" x14ac:dyDescent="0.3">
      <c r="A174" s="7" t="s">
        <v>3347</v>
      </c>
      <c r="B174" s="7" t="s">
        <v>581</v>
      </c>
      <c r="C174" s="7" t="s">
        <v>20</v>
      </c>
      <c r="D174" s="9">
        <v>45775</v>
      </c>
      <c r="E174" s="3">
        <v>2080.41</v>
      </c>
      <c r="F174" s="7" t="s">
        <v>3184</v>
      </c>
    </row>
    <row r="175" spans="1:6" x14ac:dyDescent="0.3">
      <c r="A175" s="7" t="s">
        <v>3348</v>
      </c>
      <c r="B175" s="7" t="s">
        <v>581</v>
      </c>
      <c r="C175" s="7" t="s">
        <v>20</v>
      </c>
      <c r="D175" s="9">
        <v>45779</v>
      </c>
      <c r="E175" s="3">
        <v>2112.73</v>
      </c>
      <c r="F175" s="7" t="s">
        <v>296</v>
      </c>
    </row>
    <row r="176" spans="1:6" x14ac:dyDescent="0.3">
      <c r="A176" s="7" t="s">
        <v>3349</v>
      </c>
      <c r="B176" s="7" t="s">
        <v>582</v>
      </c>
      <c r="C176" s="7" t="s">
        <v>98</v>
      </c>
      <c r="D176" s="9">
        <v>45847</v>
      </c>
      <c r="E176" s="3">
        <v>2793.5</v>
      </c>
      <c r="F176" s="7" t="s">
        <v>3174</v>
      </c>
    </row>
    <row r="177" spans="1:6" x14ac:dyDescent="0.3">
      <c r="A177" s="7" t="s">
        <v>3350</v>
      </c>
      <c r="B177" s="7" t="s">
        <v>583</v>
      </c>
      <c r="C177" s="7" t="s">
        <v>100</v>
      </c>
      <c r="D177" s="9">
        <v>45893</v>
      </c>
      <c r="E177" s="3">
        <v>10399.89</v>
      </c>
      <c r="F177" s="7" t="s">
        <v>298</v>
      </c>
    </row>
    <row r="178" spans="1:6" x14ac:dyDescent="0.3">
      <c r="A178" s="7" t="s">
        <v>3351</v>
      </c>
      <c r="B178" s="7" t="s">
        <v>584</v>
      </c>
      <c r="C178" s="7" t="s">
        <v>108</v>
      </c>
      <c r="D178" s="9">
        <v>45912</v>
      </c>
      <c r="E178" s="3">
        <v>2614.85</v>
      </c>
      <c r="F178" s="7" t="s">
        <v>298</v>
      </c>
    </row>
    <row r="179" spans="1:6" x14ac:dyDescent="0.3">
      <c r="A179" s="7" t="s">
        <v>3352</v>
      </c>
      <c r="B179" s="7" t="s">
        <v>585</v>
      </c>
      <c r="C179" s="7" t="s">
        <v>109</v>
      </c>
      <c r="D179" s="9">
        <v>46024</v>
      </c>
      <c r="E179" s="3">
        <v>2490.0500000000002</v>
      </c>
      <c r="F179" s="7" t="s">
        <v>3174</v>
      </c>
    </row>
    <row r="180" spans="1:6" x14ac:dyDescent="0.3">
      <c r="A180" s="7" t="s">
        <v>3353</v>
      </c>
      <c r="B180" s="7" t="s">
        <v>588</v>
      </c>
      <c r="C180" s="7" t="s">
        <v>93</v>
      </c>
      <c r="D180" s="9">
        <v>45964</v>
      </c>
      <c r="E180" s="3">
        <v>2382.85</v>
      </c>
      <c r="F180" s="7" t="s">
        <v>296</v>
      </c>
    </row>
    <row r="181" spans="1:6" x14ac:dyDescent="0.3">
      <c r="A181" s="7" t="s">
        <v>3354</v>
      </c>
      <c r="B181" s="7" t="s">
        <v>590</v>
      </c>
      <c r="C181" s="7" t="s">
        <v>38</v>
      </c>
      <c r="D181" s="9">
        <v>45865</v>
      </c>
      <c r="E181" s="3">
        <v>5058.92</v>
      </c>
      <c r="F181" s="7" t="s">
        <v>298</v>
      </c>
    </row>
    <row r="182" spans="1:6" x14ac:dyDescent="0.3">
      <c r="A182" s="7" t="s">
        <v>3355</v>
      </c>
      <c r="B182" s="7" t="s">
        <v>591</v>
      </c>
      <c r="C182" s="7" t="s">
        <v>123</v>
      </c>
      <c r="D182" s="9">
        <v>45779</v>
      </c>
      <c r="E182" s="3">
        <v>2431.1</v>
      </c>
      <c r="F182" s="7" t="s">
        <v>3184</v>
      </c>
    </row>
    <row r="183" spans="1:6" x14ac:dyDescent="0.3">
      <c r="A183" s="7" t="s">
        <v>3356</v>
      </c>
      <c r="B183" s="7" t="s">
        <v>592</v>
      </c>
      <c r="C183" s="7" t="s">
        <v>34</v>
      </c>
      <c r="D183" s="9">
        <v>46099</v>
      </c>
      <c r="E183" s="3">
        <v>2964.87</v>
      </c>
      <c r="F183" s="7" t="s">
        <v>3174</v>
      </c>
    </row>
    <row r="184" spans="1:6" x14ac:dyDescent="0.3">
      <c r="A184" s="7" t="s">
        <v>3357</v>
      </c>
      <c r="B184" s="7" t="s">
        <v>593</v>
      </c>
      <c r="C184" s="7" t="s">
        <v>116</v>
      </c>
      <c r="D184" s="9">
        <v>45910</v>
      </c>
      <c r="E184" s="3">
        <v>3199.81</v>
      </c>
      <c r="F184" s="7" t="s">
        <v>296</v>
      </c>
    </row>
    <row r="185" spans="1:6" x14ac:dyDescent="0.3">
      <c r="A185" s="7" t="s">
        <v>3358</v>
      </c>
      <c r="B185" s="7" t="s">
        <v>595</v>
      </c>
      <c r="C185" s="7" t="s">
        <v>15</v>
      </c>
      <c r="D185" s="9">
        <v>45838</v>
      </c>
      <c r="E185" s="3">
        <v>2136.64</v>
      </c>
      <c r="F185" s="7" t="s">
        <v>298</v>
      </c>
    </row>
    <row r="186" spans="1:6" x14ac:dyDescent="0.3">
      <c r="A186" s="7" t="s">
        <v>3359</v>
      </c>
      <c r="B186" s="7" t="s">
        <v>596</v>
      </c>
      <c r="C186" s="7" t="s">
        <v>96</v>
      </c>
      <c r="D186" s="9">
        <v>45840</v>
      </c>
      <c r="E186" s="3">
        <v>3559.04</v>
      </c>
      <c r="F186" s="7" t="s">
        <v>296</v>
      </c>
    </row>
    <row r="187" spans="1:6" x14ac:dyDescent="0.3">
      <c r="A187" s="7" t="s">
        <v>3360</v>
      </c>
      <c r="B187" s="7" t="s">
        <v>597</v>
      </c>
      <c r="C187" s="7" t="s">
        <v>32</v>
      </c>
      <c r="D187" s="9">
        <v>45877</v>
      </c>
      <c r="E187" s="3">
        <v>1565.35</v>
      </c>
      <c r="F187" s="7" t="s">
        <v>296</v>
      </c>
    </row>
    <row r="188" spans="1:6" x14ac:dyDescent="0.3">
      <c r="A188" s="7" t="s">
        <v>3361</v>
      </c>
      <c r="B188" s="7" t="s">
        <v>598</v>
      </c>
      <c r="C188" s="7" t="s">
        <v>80</v>
      </c>
      <c r="D188" s="9">
        <v>45937</v>
      </c>
      <c r="E188" s="3">
        <v>4473.47</v>
      </c>
      <c r="F188" s="7" t="s">
        <v>298</v>
      </c>
    </row>
    <row r="189" spans="1:6" x14ac:dyDescent="0.3">
      <c r="A189" s="7" t="s">
        <v>3362</v>
      </c>
      <c r="B189" s="7" t="s">
        <v>599</v>
      </c>
      <c r="C189" s="7" t="s">
        <v>18</v>
      </c>
      <c r="D189" s="9">
        <v>45952</v>
      </c>
      <c r="E189" s="3">
        <v>2467.41</v>
      </c>
      <c r="F189" s="7" t="s">
        <v>3174</v>
      </c>
    </row>
    <row r="190" spans="1:6" x14ac:dyDescent="0.3">
      <c r="A190" s="7" t="s">
        <v>3363</v>
      </c>
      <c r="B190" s="7" t="s">
        <v>600</v>
      </c>
      <c r="C190" s="7" t="s">
        <v>59</v>
      </c>
      <c r="D190" s="9">
        <v>46030</v>
      </c>
      <c r="E190" s="3">
        <v>2771.15</v>
      </c>
      <c r="F190" s="7" t="s">
        <v>298</v>
      </c>
    </row>
    <row r="191" spans="1:6" x14ac:dyDescent="0.3">
      <c r="A191" s="7" t="s">
        <v>3364</v>
      </c>
      <c r="B191" s="7" t="s">
        <v>602</v>
      </c>
      <c r="C191" s="7" t="s">
        <v>119</v>
      </c>
      <c r="D191" s="9">
        <v>46040</v>
      </c>
      <c r="E191" s="3">
        <v>2939.97</v>
      </c>
      <c r="F191" s="7" t="s">
        <v>3184</v>
      </c>
    </row>
    <row r="192" spans="1:6" x14ac:dyDescent="0.3">
      <c r="A192" s="7" t="s">
        <v>3365</v>
      </c>
      <c r="B192" s="7" t="s">
        <v>603</v>
      </c>
      <c r="C192" s="7" t="s">
        <v>123</v>
      </c>
      <c r="D192" s="9">
        <v>45759</v>
      </c>
      <c r="E192" s="3">
        <v>3695.71</v>
      </c>
      <c r="F192" s="7" t="s">
        <v>296</v>
      </c>
    </row>
    <row r="193" spans="1:6" x14ac:dyDescent="0.3">
      <c r="A193" s="7" t="s">
        <v>3366</v>
      </c>
      <c r="B193" s="7" t="s">
        <v>604</v>
      </c>
      <c r="C193" s="7" t="s">
        <v>27</v>
      </c>
      <c r="D193" s="9">
        <v>45942</v>
      </c>
      <c r="E193" s="3">
        <v>3397.67</v>
      </c>
      <c r="F193" s="7" t="s">
        <v>3174</v>
      </c>
    </row>
    <row r="194" spans="1:6" x14ac:dyDescent="0.3">
      <c r="A194" s="7" t="s">
        <v>3367</v>
      </c>
      <c r="B194" s="7" t="s">
        <v>606</v>
      </c>
      <c r="C194" s="7" t="s">
        <v>77</v>
      </c>
      <c r="D194" s="9">
        <v>45814</v>
      </c>
      <c r="E194" s="3">
        <v>2845.93</v>
      </c>
      <c r="F194" s="7" t="s">
        <v>296</v>
      </c>
    </row>
    <row r="195" spans="1:6" x14ac:dyDescent="0.3">
      <c r="A195" s="7" t="s">
        <v>3368</v>
      </c>
      <c r="B195" s="7" t="s">
        <v>607</v>
      </c>
      <c r="C195" s="7" t="s">
        <v>71</v>
      </c>
      <c r="D195" s="9">
        <v>45849</v>
      </c>
      <c r="E195" s="3">
        <v>2125.17</v>
      </c>
      <c r="F195" s="7" t="s">
        <v>3174</v>
      </c>
    </row>
    <row r="196" spans="1:6" x14ac:dyDescent="0.3">
      <c r="A196" s="7" t="s">
        <v>3369</v>
      </c>
      <c r="B196" s="7" t="s">
        <v>608</v>
      </c>
      <c r="C196" s="7" t="s">
        <v>86</v>
      </c>
      <c r="D196" s="9">
        <v>45964</v>
      </c>
      <c r="E196" s="3">
        <v>1561.42</v>
      </c>
      <c r="F196" s="7" t="s">
        <v>3174</v>
      </c>
    </row>
    <row r="197" spans="1:6" x14ac:dyDescent="0.3">
      <c r="A197" s="7" t="s">
        <v>3370</v>
      </c>
      <c r="B197" s="7" t="s">
        <v>609</v>
      </c>
      <c r="C197" s="7" t="s">
        <v>117</v>
      </c>
      <c r="D197" s="9">
        <v>45863</v>
      </c>
      <c r="E197" s="3">
        <v>2089.44</v>
      </c>
      <c r="F197" s="7" t="s">
        <v>298</v>
      </c>
    </row>
    <row r="198" spans="1:6" x14ac:dyDescent="0.3">
      <c r="A198" s="7" t="s">
        <v>3371</v>
      </c>
      <c r="B198" s="7" t="s">
        <v>610</v>
      </c>
      <c r="C198" s="7" t="s">
        <v>33</v>
      </c>
      <c r="D198" s="9">
        <v>46024</v>
      </c>
      <c r="E198" s="3">
        <v>2497.4699999999998</v>
      </c>
      <c r="F198" s="7" t="s">
        <v>298</v>
      </c>
    </row>
    <row r="199" spans="1:6" x14ac:dyDescent="0.3">
      <c r="A199" s="7" t="s">
        <v>3372</v>
      </c>
      <c r="B199" s="7" t="s">
        <v>611</v>
      </c>
      <c r="C199" s="7" t="s">
        <v>87</v>
      </c>
      <c r="D199" s="9">
        <v>45991</v>
      </c>
      <c r="E199" s="3">
        <v>3383.22</v>
      </c>
      <c r="F199" s="7" t="s">
        <v>3174</v>
      </c>
    </row>
    <row r="200" spans="1:6" x14ac:dyDescent="0.3">
      <c r="A200" s="7" t="s">
        <v>3373</v>
      </c>
      <c r="B200" s="7" t="s">
        <v>612</v>
      </c>
      <c r="C200" s="7" t="s">
        <v>110</v>
      </c>
      <c r="D200" s="9">
        <v>45856</v>
      </c>
      <c r="E200" s="3">
        <v>3205.54</v>
      </c>
      <c r="F200" s="7" t="s">
        <v>296</v>
      </c>
    </row>
    <row r="201" spans="1:6" x14ac:dyDescent="0.3">
      <c r="A201" s="7" t="s">
        <v>3374</v>
      </c>
      <c r="B201" s="7" t="s">
        <v>613</v>
      </c>
      <c r="C201" s="7" t="s">
        <v>27</v>
      </c>
      <c r="D201" s="9">
        <v>45911</v>
      </c>
      <c r="E201" s="3">
        <v>1732.39</v>
      </c>
      <c r="F201" s="7" t="s">
        <v>296</v>
      </c>
    </row>
    <row r="202" spans="1:6" x14ac:dyDescent="0.3">
      <c r="A202" s="7" t="s">
        <v>3375</v>
      </c>
      <c r="B202" s="7" t="s">
        <v>614</v>
      </c>
      <c r="C202" s="7" t="s">
        <v>25</v>
      </c>
      <c r="D202" s="9">
        <v>45912</v>
      </c>
      <c r="E202" s="3">
        <v>11594.98</v>
      </c>
      <c r="F202" s="7" t="s">
        <v>296</v>
      </c>
    </row>
    <row r="203" spans="1:6" x14ac:dyDescent="0.3">
      <c r="A203" s="7" t="s">
        <v>3376</v>
      </c>
      <c r="B203" s="7" t="s">
        <v>616</v>
      </c>
      <c r="C203" s="7" t="s">
        <v>47</v>
      </c>
      <c r="D203" s="9">
        <v>45876</v>
      </c>
      <c r="E203" s="3">
        <v>10227.68</v>
      </c>
      <c r="F203" s="7" t="s">
        <v>3174</v>
      </c>
    </row>
    <row r="204" spans="1:6" x14ac:dyDescent="0.3">
      <c r="A204" s="7" t="s">
        <v>3377</v>
      </c>
      <c r="B204" s="7" t="s">
        <v>617</v>
      </c>
      <c r="C204" s="7" t="s">
        <v>19</v>
      </c>
      <c r="D204" s="9">
        <v>45812</v>
      </c>
      <c r="E204" s="3">
        <v>4932.95</v>
      </c>
      <c r="F204" s="7" t="s">
        <v>3174</v>
      </c>
    </row>
    <row r="205" spans="1:6" x14ac:dyDescent="0.3">
      <c r="A205" s="7" t="s">
        <v>3378</v>
      </c>
      <c r="B205" s="7" t="s">
        <v>618</v>
      </c>
      <c r="C205" s="7" t="s">
        <v>117</v>
      </c>
      <c r="D205" s="9">
        <v>45904</v>
      </c>
      <c r="E205" s="3">
        <v>2748.25</v>
      </c>
      <c r="F205" s="7" t="s">
        <v>296</v>
      </c>
    </row>
    <row r="206" spans="1:6" x14ac:dyDescent="0.3">
      <c r="A206" s="7" t="s">
        <v>3379</v>
      </c>
      <c r="B206" s="7" t="s">
        <v>619</v>
      </c>
      <c r="C206" s="7" t="s">
        <v>104</v>
      </c>
      <c r="D206" s="9">
        <v>45994</v>
      </c>
      <c r="E206" s="3">
        <v>5626.96</v>
      </c>
      <c r="F206" s="7" t="s">
        <v>298</v>
      </c>
    </row>
    <row r="207" spans="1:6" x14ac:dyDescent="0.3">
      <c r="A207" s="7" t="s">
        <v>3380</v>
      </c>
      <c r="B207" s="7" t="s">
        <v>620</v>
      </c>
      <c r="C207" s="7" t="s">
        <v>46</v>
      </c>
      <c r="D207" s="9">
        <v>45946</v>
      </c>
      <c r="E207" s="3">
        <v>4996.53</v>
      </c>
      <c r="F207" s="7" t="s">
        <v>298</v>
      </c>
    </row>
    <row r="208" spans="1:6" x14ac:dyDescent="0.3">
      <c r="A208" s="7" t="s">
        <v>3381</v>
      </c>
      <c r="B208" s="7" t="s">
        <v>621</v>
      </c>
      <c r="C208" s="7" t="s">
        <v>37</v>
      </c>
      <c r="D208" s="9">
        <v>45918</v>
      </c>
      <c r="E208" s="3">
        <v>9711.25</v>
      </c>
      <c r="F208" s="7" t="s">
        <v>298</v>
      </c>
    </row>
    <row r="209" spans="1:6" x14ac:dyDescent="0.3">
      <c r="A209" s="7" t="s">
        <v>3382</v>
      </c>
      <c r="B209" s="7" t="s">
        <v>622</v>
      </c>
      <c r="C209" s="7" t="s">
        <v>83</v>
      </c>
      <c r="D209" s="9">
        <v>45686</v>
      </c>
      <c r="E209" s="3">
        <v>5166.6899999999996</v>
      </c>
      <c r="F209" s="7" t="s">
        <v>296</v>
      </c>
    </row>
    <row r="210" spans="1:6" x14ac:dyDescent="0.3">
      <c r="A210" s="7" t="s">
        <v>3383</v>
      </c>
      <c r="B210" s="7" t="s">
        <v>623</v>
      </c>
      <c r="C210" s="7" t="s">
        <v>20</v>
      </c>
      <c r="D210" s="9">
        <v>45820</v>
      </c>
      <c r="E210" s="3">
        <v>1924.21</v>
      </c>
      <c r="F210" s="7" t="s">
        <v>3184</v>
      </c>
    </row>
    <row r="211" spans="1:6" x14ac:dyDescent="0.3">
      <c r="A211" s="7" t="s">
        <v>3384</v>
      </c>
      <c r="B211" s="7" t="s">
        <v>624</v>
      </c>
      <c r="C211" s="7" t="s">
        <v>58</v>
      </c>
      <c r="D211" s="9">
        <v>45845</v>
      </c>
      <c r="E211" s="3">
        <v>10242.89</v>
      </c>
      <c r="F211" s="7" t="s">
        <v>298</v>
      </c>
    </row>
    <row r="212" spans="1:6" x14ac:dyDescent="0.3">
      <c r="A212" s="7" t="s">
        <v>3385</v>
      </c>
      <c r="B212" s="7" t="s">
        <v>625</v>
      </c>
      <c r="C212" s="7" t="s">
        <v>53</v>
      </c>
      <c r="D212" s="9">
        <v>45743</v>
      </c>
      <c r="E212" s="3">
        <v>934.02</v>
      </c>
      <c r="F212" s="7" t="s">
        <v>296</v>
      </c>
    </row>
    <row r="213" spans="1:6" x14ac:dyDescent="0.3">
      <c r="A213" s="7" t="s">
        <v>3386</v>
      </c>
      <c r="B213" s="7" t="s">
        <v>625</v>
      </c>
      <c r="C213" s="7" t="s">
        <v>53</v>
      </c>
      <c r="D213" s="9">
        <v>45758</v>
      </c>
      <c r="E213" s="3">
        <v>1111.22</v>
      </c>
      <c r="F213" s="7" t="s">
        <v>298</v>
      </c>
    </row>
    <row r="214" spans="1:6" x14ac:dyDescent="0.3">
      <c r="A214" s="7" t="s">
        <v>3387</v>
      </c>
      <c r="B214" s="7" t="s">
        <v>626</v>
      </c>
      <c r="C214" s="7" t="s">
        <v>77</v>
      </c>
      <c r="D214" s="9">
        <v>45890</v>
      </c>
      <c r="E214" s="3">
        <v>3204.04</v>
      </c>
      <c r="F214" s="7" t="s">
        <v>296</v>
      </c>
    </row>
    <row r="215" spans="1:6" x14ac:dyDescent="0.3">
      <c r="A215" s="7" t="s">
        <v>3388</v>
      </c>
      <c r="B215" s="7" t="s">
        <v>627</v>
      </c>
      <c r="C215" s="7" t="s">
        <v>23</v>
      </c>
      <c r="D215" s="9">
        <v>46003</v>
      </c>
      <c r="E215" s="3">
        <v>2825.31</v>
      </c>
      <c r="F215" s="7" t="s">
        <v>3174</v>
      </c>
    </row>
    <row r="216" spans="1:6" x14ac:dyDescent="0.3">
      <c r="A216" s="7" t="s">
        <v>3389</v>
      </c>
      <c r="B216" s="7" t="s">
        <v>628</v>
      </c>
      <c r="C216" s="7" t="s">
        <v>53</v>
      </c>
      <c r="D216" s="9">
        <v>46091</v>
      </c>
      <c r="E216" s="3">
        <v>2872.68</v>
      </c>
      <c r="F216" s="7" t="s">
        <v>298</v>
      </c>
    </row>
    <row r="217" spans="1:6" x14ac:dyDescent="0.3">
      <c r="A217" s="7" t="s">
        <v>3390</v>
      </c>
      <c r="B217" s="7" t="s">
        <v>629</v>
      </c>
      <c r="C217" s="7" t="s">
        <v>12</v>
      </c>
      <c r="D217" s="9">
        <v>45948</v>
      </c>
      <c r="E217" s="3">
        <v>4398.12</v>
      </c>
      <c r="F217" s="7" t="s">
        <v>298</v>
      </c>
    </row>
    <row r="218" spans="1:6" x14ac:dyDescent="0.3">
      <c r="A218" s="7" t="s">
        <v>3391</v>
      </c>
      <c r="B218" s="7" t="s">
        <v>630</v>
      </c>
      <c r="C218" s="7" t="s">
        <v>26</v>
      </c>
      <c r="D218" s="9">
        <v>45835</v>
      </c>
      <c r="E218" s="3">
        <v>2564.44</v>
      </c>
      <c r="F218" s="7" t="s">
        <v>3174</v>
      </c>
    </row>
    <row r="219" spans="1:6" x14ac:dyDescent="0.3">
      <c r="A219" s="7" t="s">
        <v>3392</v>
      </c>
      <c r="B219" s="7" t="s">
        <v>633</v>
      </c>
      <c r="C219" s="7" t="s">
        <v>79</v>
      </c>
      <c r="D219" s="9">
        <v>45941</v>
      </c>
      <c r="E219" s="3">
        <v>2507.31</v>
      </c>
      <c r="F219" s="7" t="s">
        <v>3184</v>
      </c>
    </row>
    <row r="220" spans="1:6" x14ac:dyDescent="0.3">
      <c r="A220" s="7" t="s">
        <v>3393</v>
      </c>
      <c r="B220" s="7" t="s">
        <v>634</v>
      </c>
      <c r="C220" s="7" t="s">
        <v>21</v>
      </c>
      <c r="D220" s="9">
        <v>45672</v>
      </c>
      <c r="E220" s="3">
        <v>1042.1400000000001</v>
      </c>
      <c r="F220" s="7" t="s">
        <v>296</v>
      </c>
    </row>
    <row r="221" spans="1:6" x14ac:dyDescent="0.3">
      <c r="A221" s="7" t="s">
        <v>3394</v>
      </c>
      <c r="B221" s="7" t="s">
        <v>634</v>
      </c>
      <c r="C221" s="7" t="s">
        <v>21</v>
      </c>
      <c r="D221" s="9">
        <v>45675</v>
      </c>
      <c r="E221" s="3">
        <v>1432.75</v>
      </c>
      <c r="F221" s="7" t="s">
        <v>3184</v>
      </c>
    </row>
    <row r="222" spans="1:6" x14ac:dyDescent="0.3">
      <c r="A222" s="7" t="s">
        <v>3395</v>
      </c>
      <c r="B222" s="7" t="s">
        <v>637</v>
      </c>
      <c r="C222" s="7" t="s">
        <v>28</v>
      </c>
      <c r="D222" s="9">
        <v>46048</v>
      </c>
      <c r="E222" s="3">
        <v>3608.69</v>
      </c>
      <c r="F222" s="7" t="s">
        <v>298</v>
      </c>
    </row>
    <row r="223" spans="1:6" x14ac:dyDescent="0.3">
      <c r="A223" s="7" t="s">
        <v>3396</v>
      </c>
      <c r="B223" s="7" t="s">
        <v>638</v>
      </c>
      <c r="C223" s="7" t="s">
        <v>94</v>
      </c>
      <c r="D223" s="9">
        <v>46017</v>
      </c>
      <c r="E223" s="3">
        <v>3680.64</v>
      </c>
      <c r="F223" s="7" t="s">
        <v>3184</v>
      </c>
    </row>
    <row r="224" spans="1:6" x14ac:dyDescent="0.3">
      <c r="A224" s="7" t="s">
        <v>3397</v>
      </c>
      <c r="B224" s="7" t="s">
        <v>639</v>
      </c>
      <c r="C224" s="7" t="s">
        <v>63</v>
      </c>
      <c r="D224" s="9">
        <v>46035</v>
      </c>
      <c r="E224" s="3">
        <v>2036.78</v>
      </c>
      <c r="F224" s="7" t="s">
        <v>296</v>
      </c>
    </row>
    <row r="225" spans="1:6" x14ac:dyDescent="0.3">
      <c r="A225" s="7" t="s">
        <v>3398</v>
      </c>
      <c r="B225" s="7" t="s">
        <v>639</v>
      </c>
      <c r="C225" s="7" t="s">
        <v>63</v>
      </c>
      <c r="D225" s="9">
        <v>46040</v>
      </c>
      <c r="E225" s="3">
        <v>2026.36</v>
      </c>
      <c r="F225" s="7" t="s">
        <v>298</v>
      </c>
    </row>
    <row r="226" spans="1:6" x14ac:dyDescent="0.3">
      <c r="A226" s="7" t="s">
        <v>3399</v>
      </c>
      <c r="B226" s="7" t="s">
        <v>640</v>
      </c>
      <c r="C226" s="7" t="s">
        <v>71</v>
      </c>
      <c r="D226" s="9">
        <v>45883</v>
      </c>
      <c r="E226" s="3">
        <v>2418.7800000000002</v>
      </c>
      <c r="F226" s="7" t="s">
        <v>296</v>
      </c>
    </row>
    <row r="227" spans="1:6" x14ac:dyDescent="0.3">
      <c r="A227" s="7" t="s">
        <v>3400</v>
      </c>
      <c r="B227" s="7" t="s">
        <v>641</v>
      </c>
      <c r="C227" s="7" t="s">
        <v>97</v>
      </c>
      <c r="D227" s="9">
        <v>46126</v>
      </c>
      <c r="E227" s="3">
        <v>4088.73</v>
      </c>
      <c r="F227" s="7" t="s">
        <v>3174</v>
      </c>
    </row>
    <row r="228" spans="1:6" x14ac:dyDescent="0.3">
      <c r="A228" s="7" t="s">
        <v>3401</v>
      </c>
      <c r="B228" s="7" t="s">
        <v>644</v>
      </c>
      <c r="C228" s="7" t="s">
        <v>109</v>
      </c>
      <c r="D228" s="9">
        <v>46088</v>
      </c>
      <c r="E228" s="3">
        <v>3296</v>
      </c>
      <c r="F228" s="7" t="s">
        <v>296</v>
      </c>
    </row>
    <row r="229" spans="1:6" x14ac:dyDescent="0.3">
      <c r="A229" s="7" t="s">
        <v>3402</v>
      </c>
      <c r="B229" s="7" t="s">
        <v>646</v>
      </c>
      <c r="C229" s="7" t="s">
        <v>95</v>
      </c>
      <c r="D229" s="9">
        <v>45820</v>
      </c>
      <c r="E229" s="3">
        <v>3217.9</v>
      </c>
      <c r="F229" s="7" t="s">
        <v>298</v>
      </c>
    </row>
    <row r="230" spans="1:6" x14ac:dyDescent="0.3">
      <c r="A230" s="7" t="s">
        <v>3403</v>
      </c>
      <c r="B230" s="7" t="s">
        <v>647</v>
      </c>
      <c r="C230" s="7" t="s">
        <v>108</v>
      </c>
      <c r="D230" s="9">
        <v>45942</v>
      </c>
      <c r="E230" s="3">
        <v>1792.08</v>
      </c>
      <c r="F230" s="7" t="s">
        <v>3184</v>
      </c>
    </row>
    <row r="231" spans="1:6" x14ac:dyDescent="0.3">
      <c r="A231" s="7" t="s">
        <v>3404</v>
      </c>
      <c r="B231" s="7" t="s">
        <v>648</v>
      </c>
      <c r="C231" s="7" t="s">
        <v>55</v>
      </c>
      <c r="D231" s="9">
        <v>45725</v>
      </c>
      <c r="E231" s="3">
        <v>1636.89</v>
      </c>
      <c r="F231" s="7" t="s">
        <v>296</v>
      </c>
    </row>
    <row r="232" spans="1:6" x14ac:dyDescent="0.3">
      <c r="A232" s="7" t="s">
        <v>3405</v>
      </c>
      <c r="B232" s="7" t="s">
        <v>649</v>
      </c>
      <c r="C232" s="7" t="s">
        <v>43</v>
      </c>
      <c r="D232" s="9">
        <v>46056</v>
      </c>
      <c r="E232" s="3">
        <v>13528.21</v>
      </c>
      <c r="F232" s="7" t="s">
        <v>3184</v>
      </c>
    </row>
    <row r="233" spans="1:6" x14ac:dyDescent="0.3">
      <c r="A233" s="7" t="s">
        <v>3406</v>
      </c>
      <c r="B233" s="7" t="s">
        <v>650</v>
      </c>
      <c r="C233" s="7" t="s">
        <v>68</v>
      </c>
      <c r="D233" s="9">
        <v>45910</v>
      </c>
      <c r="E233" s="3">
        <v>1496.9</v>
      </c>
      <c r="F233" s="7" t="s">
        <v>3174</v>
      </c>
    </row>
    <row r="234" spans="1:6" x14ac:dyDescent="0.3">
      <c r="A234" s="7" t="s">
        <v>3407</v>
      </c>
      <c r="B234" s="7" t="s">
        <v>652</v>
      </c>
      <c r="C234" s="7" t="s">
        <v>38</v>
      </c>
      <c r="D234" s="9">
        <v>46012</v>
      </c>
      <c r="E234" s="3">
        <v>2137.27</v>
      </c>
      <c r="F234" s="7" t="s">
        <v>3174</v>
      </c>
    </row>
    <row r="235" spans="1:6" x14ac:dyDescent="0.3">
      <c r="A235" s="7" t="s">
        <v>3408</v>
      </c>
      <c r="B235" s="7" t="s">
        <v>653</v>
      </c>
      <c r="C235" s="7" t="s">
        <v>13</v>
      </c>
      <c r="D235" s="9">
        <v>45958</v>
      </c>
      <c r="E235" s="3">
        <v>3203.8</v>
      </c>
      <c r="F235" s="7" t="s">
        <v>3174</v>
      </c>
    </row>
    <row r="236" spans="1:6" x14ac:dyDescent="0.3">
      <c r="A236" s="7" t="s">
        <v>3409</v>
      </c>
      <c r="B236" s="7" t="s">
        <v>654</v>
      </c>
      <c r="C236" s="7" t="s">
        <v>105</v>
      </c>
      <c r="D236" s="9">
        <v>46025</v>
      </c>
      <c r="E236" s="3">
        <v>2895.96</v>
      </c>
      <c r="F236" s="7" t="s">
        <v>3174</v>
      </c>
    </row>
    <row r="237" spans="1:6" x14ac:dyDescent="0.3">
      <c r="A237" s="7" t="s">
        <v>3410</v>
      </c>
      <c r="B237" s="7" t="s">
        <v>655</v>
      </c>
      <c r="C237" s="7" t="s">
        <v>119</v>
      </c>
      <c r="D237" s="9">
        <v>45952</v>
      </c>
      <c r="E237" s="3">
        <v>4010.36</v>
      </c>
      <c r="F237" s="7" t="s">
        <v>298</v>
      </c>
    </row>
    <row r="238" spans="1:6" x14ac:dyDescent="0.3">
      <c r="A238" s="7" t="s">
        <v>3411</v>
      </c>
      <c r="B238" s="7" t="s">
        <v>656</v>
      </c>
      <c r="C238" s="7" t="s">
        <v>89</v>
      </c>
      <c r="D238" s="9">
        <v>45774</v>
      </c>
      <c r="E238" s="3">
        <v>11891.75</v>
      </c>
      <c r="F238" s="7" t="s">
        <v>3184</v>
      </c>
    </row>
    <row r="239" spans="1:6" x14ac:dyDescent="0.3">
      <c r="A239" s="7" t="s">
        <v>3412</v>
      </c>
      <c r="B239" s="7" t="s">
        <v>657</v>
      </c>
      <c r="C239" s="7" t="s">
        <v>75</v>
      </c>
      <c r="D239" s="9">
        <v>45729</v>
      </c>
      <c r="E239" s="3">
        <v>3489.52</v>
      </c>
      <c r="F239" s="7" t="s">
        <v>298</v>
      </c>
    </row>
    <row r="240" spans="1:6" x14ac:dyDescent="0.3">
      <c r="A240" s="7" t="s">
        <v>3413</v>
      </c>
      <c r="B240" s="7" t="s">
        <v>658</v>
      </c>
      <c r="C240" s="7" t="s">
        <v>114</v>
      </c>
      <c r="D240" s="9">
        <v>45700</v>
      </c>
      <c r="E240" s="3">
        <v>1960.64</v>
      </c>
      <c r="F240" s="7" t="s">
        <v>298</v>
      </c>
    </row>
    <row r="241" spans="1:6" x14ac:dyDescent="0.3">
      <c r="A241" s="7" t="s">
        <v>3414</v>
      </c>
      <c r="B241" s="7" t="s">
        <v>660</v>
      </c>
      <c r="C241" s="7" t="s">
        <v>79</v>
      </c>
      <c r="D241" s="9">
        <v>45830</v>
      </c>
      <c r="E241" s="3">
        <v>2132.73</v>
      </c>
      <c r="F241" s="7" t="s">
        <v>298</v>
      </c>
    </row>
    <row r="242" spans="1:6" x14ac:dyDescent="0.3">
      <c r="A242" s="7" t="s">
        <v>3415</v>
      </c>
      <c r="B242" s="7" t="s">
        <v>661</v>
      </c>
      <c r="C242" s="7" t="s">
        <v>89</v>
      </c>
      <c r="D242" s="9">
        <v>45842</v>
      </c>
      <c r="E242" s="3">
        <v>1857.21</v>
      </c>
      <c r="F242" s="7" t="s">
        <v>298</v>
      </c>
    </row>
    <row r="243" spans="1:6" x14ac:dyDescent="0.3">
      <c r="A243" s="7" t="s">
        <v>3416</v>
      </c>
      <c r="B243" s="7" t="s">
        <v>661</v>
      </c>
      <c r="C243" s="7" t="s">
        <v>89</v>
      </c>
      <c r="D243" s="9">
        <v>45849</v>
      </c>
      <c r="E243" s="3">
        <v>1093.01</v>
      </c>
      <c r="F243" s="7" t="s">
        <v>296</v>
      </c>
    </row>
    <row r="244" spans="1:6" x14ac:dyDescent="0.3">
      <c r="A244" s="7" t="s">
        <v>3417</v>
      </c>
      <c r="B244" s="7" t="s">
        <v>662</v>
      </c>
      <c r="C244" s="7" t="s">
        <v>31</v>
      </c>
      <c r="D244" s="9">
        <v>45757</v>
      </c>
      <c r="E244" s="3">
        <v>3534.05</v>
      </c>
      <c r="F244" s="7" t="s">
        <v>298</v>
      </c>
    </row>
    <row r="245" spans="1:6" x14ac:dyDescent="0.3">
      <c r="A245" s="7" t="s">
        <v>3418</v>
      </c>
      <c r="B245" s="7" t="s">
        <v>663</v>
      </c>
      <c r="C245" s="7" t="s">
        <v>98</v>
      </c>
      <c r="D245" s="9">
        <v>46070</v>
      </c>
      <c r="E245" s="3">
        <v>2796.82</v>
      </c>
      <c r="F245" s="7" t="s">
        <v>3174</v>
      </c>
    </row>
    <row r="246" spans="1:6" x14ac:dyDescent="0.3">
      <c r="A246" s="7" t="s">
        <v>3419</v>
      </c>
      <c r="B246" s="7" t="s">
        <v>664</v>
      </c>
      <c r="C246" s="7" t="s">
        <v>103</v>
      </c>
      <c r="D246" s="9">
        <v>45875</v>
      </c>
      <c r="E246" s="3">
        <v>4028.17</v>
      </c>
      <c r="F246" s="7" t="s">
        <v>3184</v>
      </c>
    </row>
    <row r="247" spans="1:6" x14ac:dyDescent="0.3">
      <c r="A247" s="7" t="s">
        <v>3420</v>
      </c>
      <c r="B247" s="7" t="s">
        <v>666</v>
      </c>
      <c r="C247" s="7" t="s">
        <v>30</v>
      </c>
      <c r="D247" s="9">
        <v>45746</v>
      </c>
      <c r="E247" s="3">
        <v>12073.35</v>
      </c>
      <c r="F247" s="7" t="s">
        <v>298</v>
      </c>
    </row>
    <row r="248" spans="1:6" x14ac:dyDescent="0.3">
      <c r="A248" s="7" t="s">
        <v>3421</v>
      </c>
      <c r="B248" s="7" t="s">
        <v>667</v>
      </c>
      <c r="C248" s="7" t="s">
        <v>37</v>
      </c>
      <c r="D248" s="9">
        <v>45797</v>
      </c>
      <c r="E248" s="3">
        <v>4954.91</v>
      </c>
      <c r="F248" s="7" t="s">
        <v>3174</v>
      </c>
    </row>
    <row r="249" spans="1:6" x14ac:dyDescent="0.3">
      <c r="A249" s="7" t="s">
        <v>3422</v>
      </c>
      <c r="B249" s="7" t="s">
        <v>668</v>
      </c>
      <c r="C249" s="7" t="s">
        <v>80</v>
      </c>
      <c r="D249" s="9">
        <v>45848</v>
      </c>
      <c r="E249" s="3">
        <v>13218.03</v>
      </c>
      <c r="F249" s="7" t="s">
        <v>298</v>
      </c>
    </row>
    <row r="250" spans="1:6" x14ac:dyDescent="0.3">
      <c r="A250" s="7" t="s">
        <v>3423</v>
      </c>
      <c r="B250" s="7" t="s">
        <v>669</v>
      </c>
      <c r="C250" s="7" t="s">
        <v>92</v>
      </c>
      <c r="D250" s="9">
        <v>45887</v>
      </c>
      <c r="E250" s="3">
        <v>2713.86</v>
      </c>
      <c r="F250" s="7" t="s">
        <v>296</v>
      </c>
    </row>
    <row r="251" spans="1:6" x14ac:dyDescent="0.3">
      <c r="A251" s="7" t="s">
        <v>3424</v>
      </c>
      <c r="B251" s="7" t="s">
        <v>670</v>
      </c>
      <c r="C251" s="7" t="s">
        <v>121</v>
      </c>
      <c r="D251" s="9">
        <v>45763</v>
      </c>
      <c r="E251" s="3">
        <v>2958.47</v>
      </c>
      <c r="F251" s="7" t="s">
        <v>298</v>
      </c>
    </row>
    <row r="252" spans="1:6" x14ac:dyDescent="0.3">
      <c r="A252" s="7" t="s">
        <v>3425</v>
      </c>
      <c r="B252" s="7" t="s">
        <v>671</v>
      </c>
      <c r="C252" s="7" t="s">
        <v>44</v>
      </c>
      <c r="D252" s="9">
        <v>46032</v>
      </c>
      <c r="E252" s="3">
        <v>1994.29</v>
      </c>
      <c r="F252" s="7" t="s">
        <v>3174</v>
      </c>
    </row>
    <row r="253" spans="1:6" x14ac:dyDescent="0.3">
      <c r="A253" s="7" t="s">
        <v>3426</v>
      </c>
      <c r="B253" s="7" t="s">
        <v>672</v>
      </c>
      <c r="C253" s="7" t="s">
        <v>65</v>
      </c>
      <c r="D253" s="9">
        <v>45772</v>
      </c>
      <c r="E253" s="3">
        <v>2614.63</v>
      </c>
      <c r="F253" s="7" t="s">
        <v>298</v>
      </c>
    </row>
    <row r="254" spans="1:6" x14ac:dyDescent="0.3">
      <c r="A254" s="7" t="s">
        <v>3427</v>
      </c>
      <c r="B254" s="7" t="s">
        <v>673</v>
      </c>
      <c r="C254" s="7" t="s">
        <v>123</v>
      </c>
      <c r="D254" s="9">
        <v>45850</v>
      </c>
      <c r="E254" s="3">
        <v>2151.96</v>
      </c>
      <c r="F254" s="7" t="s">
        <v>298</v>
      </c>
    </row>
    <row r="255" spans="1:6" x14ac:dyDescent="0.3">
      <c r="A255" s="7" t="s">
        <v>3428</v>
      </c>
      <c r="B255" s="7" t="s">
        <v>675</v>
      </c>
      <c r="C255" s="7" t="s">
        <v>74</v>
      </c>
      <c r="D255" s="9">
        <v>45974</v>
      </c>
      <c r="E255" s="3">
        <v>5360.68</v>
      </c>
      <c r="F255" s="7" t="s">
        <v>298</v>
      </c>
    </row>
    <row r="256" spans="1:6" x14ac:dyDescent="0.3">
      <c r="A256" s="7" t="s">
        <v>3429</v>
      </c>
      <c r="B256" s="7" t="s">
        <v>676</v>
      </c>
      <c r="C256" s="7" t="s">
        <v>77</v>
      </c>
      <c r="D256" s="9">
        <v>45960</v>
      </c>
      <c r="E256" s="3">
        <v>902.77</v>
      </c>
      <c r="F256" s="7" t="s">
        <v>298</v>
      </c>
    </row>
    <row r="257" spans="1:6" x14ac:dyDescent="0.3">
      <c r="A257" s="7" t="s">
        <v>3430</v>
      </c>
      <c r="B257" s="7" t="s">
        <v>676</v>
      </c>
      <c r="C257" s="7" t="s">
        <v>77</v>
      </c>
      <c r="D257" s="9">
        <v>45962</v>
      </c>
      <c r="E257" s="3">
        <v>797.72</v>
      </c>
      <c r="F257" s="7" t="s">
        <v>298</v>
      </c>
    </row>
    <row r="258" spans="1:6" x14ac:dyDescent="0.3">
      <c r="A258" s="7" t="s">
        <v>3431</v>
      </c>
      <c r="B258" s="7" t="s">
        <v>677</v>
      </c>
      <c r="C258" s="7" t="s">
        <v>116</v>
      </c>
      <c r="D258" s="9">
        <v>45939</v>
      </c>
      <c r="E258" s="3">
        <v>3083.02</v>
      </c>
      <c r="F258" s="7" t="s">
        <v>296</v>
      </c>
    </row>
    <row r="259" spans="1:6" x14ac:dyDescent="0.3">
      <c r="A259" s="7" t="s">
        <v>3432</v>
      </c>
      <c r="B259" s="7" t="s">
        <v>678</v>
      </c>
      <c r="C259" s="7" t="s">
        <v>69</v>
      </c>
      <c r="D259" s="9">
        <v>46014</v>
      </c>
      <c r="E259" s="3">
        <v>3418.58</v>
      </c>
      <c r="F259" s="7" t="s">
        <v>298</v>
      </c>
    </row>
    <row r="260" spans="1:6" x14ac:dyDescent="0.3">
      <c r="A260" s="7" t="s">
        <v>3433</v>
      </c>
      <c r="B260" s="7" t="s">
        <v>679</v>
      </c>
      <c r="C260" s="7" t="s">
        <v>72</v>
      </c>
      <c r="D260" s="9">
        <v>45893</v>
      </c>
      <c r="E260" s="3">
        <v>3478.67</v>
      </c>
      <c r="F260" s="7" t="s">
        <v>3174</v>
      </c>
    </row>
    <row r="261" spans="1:6" x14ac:dyDescent="0.3">
      <c r="A261" s="7" t="s">
        <v>3434</v>
      </c>
      <c r="B261" s="7" t="s">
        <v>680</v>
      </c>
      <c r="C261" s="7" t="s">
        <v>110</v>
      </c>
      <c r="D261" s="9">
        <v>45711</v>
      </c>
      <c r="E261" s="3">
        <v>11792.63</v>
      </c>
      <c r="F261" s="7" t="s">
        <v>296</v>
      </c>
    </row>
    <row r="262" spans="1:6" x14ac:dyDescent="0.3">
      <c r="A262" s="7" t="s">
        <v>3435</v>
      </c>
      <c r="B262" s="7" t="s">
        <v>682</v>
      </c>
      <c r="C262" s="7" t="s">
        <v>15</v>
      </c>
      <c r="D262" s="9">
        <v>45726</v>
      </c>
      <c r="E262" s="3">
        <v>2416.2600000000002</v>
      </c>
      <c r="F262" s="7" t="s">
        <v>3174</v>
      </c>
    </row>
    <row r="263" spans="1:6" x14ac:dyDescent="0.3">
      <c r="A263" s="7" t="s">
        <v>3436</v>
      </c>
      <c r="B263" s="7" t="s">
        <v>682</v>
      </c>
      <c r="C263" s="7" t="s">
        <v>15</v>
      </c>
      <c r="D263" s="9">
        <v>45728</v>
      </c>
      <c r="E263" s="3">
        <v>2740.36</v>
      </c>
      <c r="F263" s="7" t="s">
        <v>3184</v>
      </c>
    </row>
    <row r="264" spans="1:6" x14ac:dyDescent="0.3">
      <c r="A264" s="7" t="s">
        <v>3437</v>
      </c>
      <c r="B264" s="7" t="s">
        <v>683</v>
      </c>
      <c r="C264" s="7" t="s">
        <v>59</v>
      </c>
      <c r="D264" s="9">
        <v>45726</v>
      </c>
      <c r="E264" s="3">
        <v>4191.7700000000004</v>
      </c>
      <c r="F264" s="7" t="s">
        <v>296</v>
      </c>
    </row>
    <row r="265" spans="1:6" x14ac:dyDescent="0.3">
      <c r="A265" s="7" t="s">
        <v>3438</v>
      </c>
      <c r="B265" s="7" t="s">
        <v>689</v>
      </c>
      <c r="C265" s="7" t="s">
        <v>112</v>
      </c>
      <c r="D265" s="9">
        <v>45954</v>
      </c>
      <c r="E265" s="3">
        <v>12832.8</v>
      </c>
      <c r="F265" s="7" t="s">
        <v>3174</v>
      </c>
    </row>
    <row r="266" spans="1:6" x14ac:dyDescent="0.3">
      <c r="A266" s="7" t="s">
        <v>3439</v>
      </c>
      <c r="B266" s="7" t="s">
        <v>690</v>
      </c>
      <c r="C266" s="7" t="s">
        <v>119</v>
      </c>
      <c r="D266" s="9">
        <v>45843</v>
      </c>
      <c r="E266" s="3">
        <v>4495.0200000000004</v>
      </c>
      <c r="F266" s="7" t="s">
        <v>3174</v>
      </c>
    </row>
    <row r="267" spans="1:6" x14ac:dyDescent="0.3">
      <c r="A267" s="7" t="s">
        <v>3440</v>
      </c>
      <c r="B267" s="7" t="s">
        <v>691</v>
      </c>
      <c r="C267" s="7" t="s">
        <v>105</v>
      </c>
      <c r="D267" s="9">
        <v>45693</v>
      </c>
      <c r="E267" s="3">
        <v>1991.15</v>
      </c>
      <c r="F267" s="7" t="s">
        <v>3174</v>
      </c>
    </row>
    <row r="268" spans="1:6" x14ac:dyDescent="0.3">
      <c r="A268" s="7" t="s">
        <v>3441</v>
      </c>
      <c r="B268" s="7" t="s">
        <v>692</v>
      </c>
      <c r="C268" s="7" t="s">
        <v>64</v>
      </c>
      <c r="D268" s="9">
        <v>45699</v>
      </c>
      <c r="E268" s="3">
        <v>2688.8</v>
      </c>
      <c r="F268" s="7" t="s">
        <v>3184</v>
      </c>
    </row>
    <row r="269" spans="1:6" x14ac:dyDescent="0.3">
      <c r="A269" s="7" t="s">
        <v>3442</v>
      </c>
      <c r="B269" s="7" t="s">
        <v>693</v>
      </c>
      <c r="C269" s="7" t="s">
        <v>12</v>
      </c>
      <c r="D269" s="9">
        <v>46122</v>
      </c>
      <c r="E269" s="3">
        <v>3740.83</v>
      </c>
      <c r="F269" s="7" t="s">
        <v>3174</v>
      </c>
    </row>
    <row r="270" spans="1:6" x14ac:dyDescent="0.3">
      <c r="A270" s="7" t="s">
        <v>3443</v>
      </c>
      <c r="B270" s="7" t="s">
        <v>697</v>
      </c>
      <c r="C270" s="7" t="s">
        <v>45</v>
      </c>
      <c r="D270" s="9">
        <v>46026</v>
      </c>
      <c r="E270" s="3">
        <v>2876.26</v>
      </c>
      <c r="F270" s="7" t="s">
        <v>298</v>
      </c>
    </row>
    <row r="271" spans="1:6" x14ac:dyDescent="0.3">
      <c r="A271" s="7" t="s">
        <v>3444</v>
      </c>
      <c r="B271" s="7" t="s">
        <v>700</v>
      </c>
      <c r="C271" s="7" t="s">
        <v>59</v>
      </c>
      <c r="D271" s="9">
        <v>45941</v>
      </c>
      <c r="E271" s="3">
        <v>1714.43</v>
      </c>
      <c r="F271" s="7" t="s">
        <v>3184</v>
      </c>
    </row>
    <row r="272" spans="1:6" x14ac:dyDescent="0.3">
      <c r="A272" s="7" t="s">
        <v>3445</v>
      </c>
      <c r="B272" s="7" t="s">
        <v>701</v>
      </c>
      <c r="C272" s="7" t="s">
        <v>115</v>
      </c>
      <c r="D272" s="9">
        <v>45764</v>
      </c>
      <c r="E272" s="3">
        <v>4599.78</v>
      </c>
      <c r="F272" s="7" t="s">
        <v>3184</v>
      </c>
    </row>
    <row r="273" spans="1:6" x14ac:dyDescent="0.3">
      <c r="A273" s="7" t="s">
        <v>3446</v>
      </c>
      <c r="B273" s="7" t="s">
        <v>703</v>
      </c>
      <c r="C273" s="7" t="s">
        <v>56</v>
      </c>
      <c r="D273" s="9">
        <v>45923</v>
      </c>
      <c r="E273" s="3">
        <v>1323.58</v>
      </c>
      <c r="F273" s="7" t="s">
        <v>3174</v>
      </c>
    </row>
    <row r="274" spans="1:6" x14ac:dyDescent="0.3">
      <c r="A274" s="7" t="s">
        <v>3447</v>
      </c>
      <c r="B274" s="7" t="s">
        <v>703</v>
      </c>
      <c r="C274" s="7" t="s">
        <v>56</v>
      </c>
      <c r="D274" s="9">
        <v>45932</v>
      </c>
      <c r="E274" s="3">
        <v>1751.28</v>
      </c>
      <c r="F274" s="7" t="s">
        <v>3184</v>
      </c>
    </row>
    <row r="275" spans="1:6" x14ac:dyDescent="0.3">
      <c r="A275" s="7" t="s">
        <v>3448</v>
      </c>
      <c r="B275" s="7" t="s">
        <v>704</v>
      </c>
      <c r="C275" s="7" t="s">
        <v>64</v>
      </c>
      <c r="D275" s="9">
        <v>45862</v>
      </c>
      <c r="E275" s="3">
        <v>4509.99</v>
      </c>
      <c r="F275" s="7" t="s">
        <v>296</v>
      </c>
    </row>
    <row r="276" spans="1:6" x14ac:dyDescent="0.3">
      <c r="A276" s="7" t="s">
        <v>3449</v>
      </c>
      <c r="B276" s="7" t="s">
        <v>705</v>
      </c>
      <c r="C276" s="7" t="s">
        <v>55</v>
      </c>
      <c r="D276" s="9">
        <v>46032</v>
      </c>
      <c r="E276" s="3">
        <v>2092.46</v>
      </c>
      <c r="F276" s="7" t="s">
        <v>3174</v>
      </c>
    </row>
    <row r="277" spans="1:6" x14ac:dyDescent="0.3">
      <c r="A277" s="7" t="s">
        <v>3450</v>
      </c>
      <c r="B277" s="7" t="s">
        <v>706</v>
      </c>
      <c r="C277" s="7" t="s">
        <v>104</v>
      </c>
      <c r="D277" s="9">
        <v>45678</v>
      </c>
      <c r="E277" s="3">
        <v>1875.58</v>
      </c>
      <c r="F277" s="7" t="s">
        <v>296</v>
      </c>
    </row>
    <row r="278" spans="1:6" x14ac:dyDescent="0.3">
      <c r="A278" s="7" t="s">
        <v>3451</v>
      </c>
      <c r="B278" s="7" t="s">
        <v>707</v>
      </c>
      <c r="C278" s="7" t="s">
        <v>118</v>
      </c>
      <c r="D278" s="9">
        <v>45968</v>
      </c>
      <c r="E278" s="3">
        <v>3814.03</v>
      </c>
      <c r="F278" s="7" t="s">
        <v>296</v>
      </c>
    </row>
    <row r="279" spans="1:6" x14ac:dyDescent="0.3">
      <c r="A279" s="7" t="s">
        <v>3452</v>
      </c>
      <c r="B279" s="7" t="s">
        <v>710</v>
      </c>
      <c r="C279" s="7" t="s">
        <v>106</v>
      </c>
      <c r="D279" s="9">
        <v>45861</v>
      </c>
      <c r="E279" s="3">
        <v>3785.28</v>
      </c>
      <c r="F279" s="7" t="s">
        <v>3184</v>
      </c>
    </row>
    <row r="280" spans="1:6" x14ac:dyDescent="0.3">
      <c r="A280" s="7" t="s">
        <v>3453</v>
      </c>
      <c r="B280" s="7" t="s">
        <v>711</v>
      </c>
      <c r="C280" s="7" t="s">
        <v>40</v>
      </c>
      <c r="D280" s="9">
        <v>45941</v>
      </c>
      <c r="E280" s="3">
        <v>2380.66</v>
      </c>
      <c r="F280" s="7" t="s">
        <v>3184</v>
      </c>
    </row>
    <row r="281" spans="1:6" x14ac:dyDescent="0.3">
      <c r="A281" s="7" t="s">
        <v>3454</v>
      </c>
      <c r="B281" s="7" t="s">
        <v>712</v>
      </c>
      <c r="C281" s="7" t="s">
        <v>99</v>
      </c>
      <c r="D281" s="9">
        <v>45920</v>
      </c>
      <c r="E281" s="3">
        <v>2512.8200000000002</v>
      </c>
      <c r="F281" s="7" t="s">
        <v>3174</v>
      </c>
    </row>
    <row r="282" spans="1:6" x14ac:dyDescent="0.3">
      <c r="A282" s="7" t="s">
        <v>3455</v>
      </c>
      <c r="B282" s="7" t="s">
        <v>713</v>
      </c>
      <c r="C282" s="7" t="s">
        <v>59</v>
      </c>
      <c r="D282" s="9">
        <v>45847</v>
      </c>
      <c r="E282" s="3">
        <v>13255.82</v>
      </c>
      <c r="F282" s="7" t="s">
        <v>296</v>
      </c>
    </row>
    <row r="283" spans="1:6" x14ac:dyDescent="0.3">
      <c r="A283" s="7" t="s">
        <v>3456</v>
      </c>
      <c r="B283" s="7" t="s">
        <v>714</v>
      </c>
      <c r="C283" s="7" t="s">
        <v>40</v>
      </c>
      <c r="D283" s="9">
        <v>45788</v>
      </c>
      <c r="E283" s="3">
        <v>3075.03</v>
      </c>
      <c r="F283" s="7" t="s">
        <v>298</v>
      </c>
    </row>
    <row r="284" spans="1:6" x14ac:dyDescent="0.3">
      <c r="A284" s="7" t="s">
        <v>3457</v>
      </c>
      <c r="B284" s="7" t="s">
        <v>715</v>
      </c>
      <c r="C284" s="7" t="s">
        <v>26</v>
      </c>
      <c r="D284" s="9">
        <v>45965</v>
      </c>
      <c r="E284" s="3">
        <v>4108.66</v>
      </c>
      <c r="F284" s="7" t="s">
        <v>3184</v>
      </c>
    </row>
    <row r="285" spans="1:6" x14ac:dyDescent="0.3">
      <c r="A285" s="7" t="s">
        <v>3458</v>
      </c>
      <c r="B285" s="7" t="s">
        <v>717</v>
      </c>
      <c r="C285" s="7" t="s">
        <v>112</v>
      </c>
      <c r="D285" s="9">
        <v>46018</v>
      </c>
      <c r="E285" s="3">
        <v>3716.45</v>
      </c>
      <c r="F285" s="7" t="s">
        <v>3184</v>
      </c>
    </row>
    <row r="286" spans="1:6" x14ac:dyDescent="0.3">
      <c r="A286" s="7" t="s">
        <v>3459</v>
      </c>
      <c r="B286" s="7" t="s">
        <v>718</v>
      </c>
      <c r="C286" s="7" t="s">
        <v>28</v>
      </c>
      <c r="D286" s="9">
        <v>45986</v>
      </c>
      <c r="E286" s="3">
        <v>7307.97</v>
      </c>
      <c r="F286" s="7" t="s">
        <v>296</v>
      </c>
    </row>
    <row r="287" spans="1:6" x14ac:dyDescent="0.3">
      <c r="A287" s="7" t="s">
        <v>3460</v>
      </c>
      <c r="B287" s="7" t="s">
        <v>718</v>
      </c>
      <c r="C287" s="7" t="s">
        <v>28</v>
      </c>
      <c r="D287" s="9">
        <v>45994</v>
      </c>
      <c r="E287" s="3">
        <v>6931.27</v>
      </c>
      <c r="F287" s="7" t="s">
        <v>298</v>
      </c>
    </row>
    <row r="288" spans="1:6" x14ac:dyDescent="0.3">
      <c r="A288" s="7" t="s">
        <v>3461</v>
      </c>
      <c r="B288" s="7" t="s">
        <v>719</v>
      </c>
      <c r="C288" s="7" t="s">
        <v>69</v>
      </c>
      <c r="D288" s="9">
        <v>45756</v>
      </c>
      <c r="E288" s="3">
        <v>2012.38</v>
      </c>
      <c r="F288" s="7" t="s">
        <v>298</v>
      </c>
    </row>
    <row r="289" spans="1:6" x14ac:dyDescent="0.3">
      <c r="A289" s="7" t="s">
        <v>3462</v>
      </c>
      <c r="B289" s="7" t="s">
        <v>721</v>
      </c>
      <c r="C289" s="7" t="s">
        <v>7</v>
      </c>
      <c r="D289" s="9">
        <v>45725</v>
      </c>
      <c r="E289" s="3">
        <v>3406.88</v>
      </c>
      <c r="F289" s="7" t="s">
        <v>296</v>
      </c>
    </row>
    <row r="290" spans="1:6" x14ac:dyDescent="0.3">
      <c r="A290" s="7" t="s">
        <v>3463</v>
      </c>
      <c r="B290" s="7" t="s">
        <v>722</v>
      </c>
      <c r="C290" s="7" t="s">
        <v>26</v>
      </c>
      <c r="D290" s="9">
        <v>45998</v>
      </c>
      <c r="E290" s="3">
        <v>10259.959999999999</v>
      </c>
      <c r="F290" s="7" t="s">
        <v>298</v>
      </c>
    </row>
    <row r="291" spans="1:6" x14ac:dyDescent="0.3">
      <c r="A291" s="7" t="s">
        <v>3464</v>
      </c>
      <c r="B291" s="7" t="s">
        <v>723</v>
      </c>
      <c r="C291" s="7" t="s">
        <v>88</v>
      </c>
      <c r="D291" s="9">
        <v>45924</v>
      </c>
      <c r="E291" s="3">
        <v>2662.46</v>
      </c>
      <c r="F291" s="7" t="s">
        <v>298</v>
      </c>
    </row>
    <row r="292" spans="1:6" x14ac:dyDescent="0.3">
      <c r="A292" s="7" t="s">
        <v>3465</v>
      </c>
      <c r="B292" s="7" t="s">
        <v>724</v>
      </c>
      <c r="C292" s="7" t="s">
        <v>7</v>
      </c>
      <c r="D292" s="9">
        <v>45959</v>
      </c>
      <c r="E292" s="3">
        <v>2112.41</v>
      </c>
      <c r="F292" s="7" t="s">
        <v>298</v>
      </c>
    </row>
    <row r="293" spans="1:6" x14ac:dyDescent="0.3">
      <c r="A293" s="7" t="s">
        <v>3466</v>
      </c>
      <c r="B293" s="7" t="s">
        <v>725</v>
      </c>
      <c r="C293" s="7" t="s">
        <v>42</v>
      </c>
      <c r="D293" s="9">
        <v>45665</v>
      </c>
      <c r="E293" s="3">
        <v>3572.3</v>
      </c>
      <c r="F293" s="7" t="s">
        <v>3174</v>
      </c>
    </row>
    <row r="294" spans="1:6" x14ac:dyDescent="0.3">
      <c r="A294" s="7" t="s">
        <v>3467</v>
      </c>
      <c r="B294" s="7" t="s">
        <v>728</v>
      </c>
      <c r="C294" s="7" t="s">
        <v>52</v>
      </c>
      <c r="D294" s="9">
        <v>45998</v>
      </c>
      <c r="E294" s="3">
        <v>4481.9399999999996</v>
      </c>
      <c r="F294" s="7" t="s">
        <v>296</v>
      </c>
    </row>
    <row r="295" spans="1:6" x14ac:dyDescent="0.3">
      <c r="A295" s="7" t="s">
        <v>3468</v>
      </c>
      <c r="B295" s="7" t="s">
        <v>730</v>
      </c>
      <c r="C295" s="7" t="s">
        <v>112</v>
      </c>
      <c r="D295" s="9">
        <v>46042</v>
      </c>
      <c r="E295" s="3">
        <v>3140.49</v>
      </c>
      <c r="F295" s="7" t="s">
        <v>298</v>
      </c>
    </row>
    <row r="296" spans="1:6" x14ac:dyDescent="0.3">
      <c r="A296" s="7" t="s">
        <v>3469</v>
      </c>
      <c r="B296" s="7" t="s">
        <v>732</v>
      </c>
      <c r="C296" s="7" t="s">
        <v>8</v>
      </c>
      <c r="D296" s="9">
        <v>45959</v>
      </c>
      <c r="E296" s="3">
        <v>11420.47</v>
      </c>
      <c r="F296" s="7" t="s">
        <v>296</v>
      </c>
    </row>
    <row r="297" spans="1:6" x14ac:dyDescent="0.3">
      <c r="A297" s="7" t="s">
        <v>3470</v>
      </c>
      <c r="B297" s="7" t="s">
        <v>733</v>
      </c>
      <c r="C297" s="7" t="s">
        <v>49</v>
      </c>
      <c r="D297" s="9">
        <v>45914</v>
      </c>
      <c r="E297" s="3">
        <v>853.88</v>
      </c>
      <c r="F297" s="7" t="s">
        <v>3174</v>
      </c>
    </row>
    <row r="298" spans="1:6" x14ac:dyDescent="0.3">
      <c r="A298" s="7" t="s">
        <v>3471</v>
      </c>
      <c r="B298" s="7" t="s">
        <v>733</v>
      </c>
      <c r="C298" s="7" t="s">
        <v>49</v>
      </c>
      <c r="D298" s="9">
        <v>45921</v>
      </c>
      <c r="E298" s="3">
        <v>709.52</v>
      </c>
      <c r="F298" s="7" t="s">
        <v>3174</v>
      </c>
    </row>
    <row r="299" spans="1:6" x14ac:dyDescent="0.3">
      <c r="A299" s="7" t="s">
        <v>3472</v>
      </c>
      <c r="B299" s="7" t="s">
        <v>735</v>
      </c>
      <c r="C299" s="7" t="s">
        <v>12</v>
      </c>
      <c r="D299" s="9">
        <v>46049</v>
      </c>
      <c r="E299" s="3">
        <v>5802.55</v>
      </c>
      <c r="F299" s="7" t="s">
        <v>3174</v>
      </c>
    </row>
    <row r="300" spans="1:6" x14ac:dyDescent="0.3">
      <c r="A300" s="7" t="s">
        <v>3473</v>
      </c>
      <c r="B300" s="7" t="s">
        <v>736</v>
      </c>
      <c r="C300" s="7" t="s">
        <v>11</v>
      </c>
      <c r="D300" s="9">
        <v>45820</v>
      </c>
      <c r="E300" s="3">
        <v>3221.31</v>
      </c>
      <c r="F300" s="7" t="s">
        <v>298</v>
      </c>
    </row>
    <row r="301" spans="1:6" x14ac:dyDescent="0.3">
      <c r="A301" s="7" t="s">
        <v>3474</v>
      </c>
      <c r="B301" s="7" t="s">
        <v>739</v>
      </c>
      <c r="C301" s="7" t="s">
        <v>76</v>
      </c>
      <c r="D301" s="9">
        <v>45949</v>
      </c>
      <c r="E301" s="3">
        <v>5127.92</v>
      </c>
      <c r="F301" s="7" t="s">
        <v>3174</v>
      </c>
    </row>
    <row r="302" spans="1:6" x14ac:dyDescent="0.3">
      <c r="A302" s="7" t="s">
        <v>3475</v>
      </c>
      <c r="B302" s="7" t="s">
        <v>741</v>
      </c>
      <c r="C302" s="7" t="s">
        <v>62</v>
      </c>
      <c r="D302" s="9">
        <v>46055</v>
      </c>
      <c r="E302" s="3">
        <v>1496.47</v>
      </c>
      <c r="F302" s="7" t="s">
        <v>298</v>
      </c>
    </row>
    <row r="303" spans="1:6" x14ac:dyDescent="0.3">
      <c r="A303" s="7" t="s">
        <v>3476</v>
      </c>
      <c r="B303" s="7" t="s">
        <v>743</v>
      </c>
      <c r="C303" s="7" t="s">
        <v>107</v>
      </c>
      <c r="D303" s="9">
        <v>45847</v>
      </c>
      <c r="E303" s="3">
        <v>14250.82</v>
      </c>
      <c r="F303" s="7" t="s">
        <v>298</v>
      </c>
    </row>
    <row r="304" spans="1:6" x14ac:dyDescent="0.3">
      <c r="A304" s="7" t="s">
        <v>3477</v>
      </c>
      <c r="B304" s="7" t="s">
        <v>745</v>
      </c>
      <c r="C304" s="7" t="s">
        <v>86</v>
      </c>
      <c r="D304" s="9">
        <v>46009</v>
      </c>
      <c r="E304" s="3">
        <v>5359.39</v>
      </c>
      <c r="F304" s="7" t="s">
        <v>298</v>
      </c>
    </row>
    <row r="305" spans="1:6" x14ac:dyDescent="0.3">
      <c r="A305" s="7" t="s">
        <v>3478</v>
      </c>
      <c r="B305" s="7" t="s">
        <v>746</v>
      </c>
      <c r="C305" s="7" t="s">
        <v>26</v>
      </c>
      <c r="D305" s="9">
        <v>46053</v>
      </c>
      <c r="E305" s="3">
        <v>2798.06</v>
      </c>
      <c r="F305" s="7" t="s">
        <v>3184</v>
      </c>
    </row>
    <row r="306" spans="1:6" x14ac:dyDescent="0.3">
      <c r="A306" s="7" t="s">
        <v>3479</v>
      </c>
      <c r="B306" s="7" t="s">
        <v>747</v>
      </c>
      <c r="C306" s="7" t="s">
        <v>47</v>
      </c>
      <c r="D306" s="9">
        <v>45986</v>
      </c>
      <c r="E306" s="3">
        <v>13016.05</v>
      </c>
      <c r="F306" s="7" t="s">
        <v>3184</v>
      </c>
    </row>
    <row r="307" spans="1:6" x14ac:dyDescent="0.3">
      <c r="A307" s="7" t="s">
        <v>3480</v>
      </c>
      <c r="B307" s="7" t="s">
        <v>748</v>
      </c>
      <c r="C307" s="7" t="s">
        <v>104</v>
      </c>
      <c r="D307" s="9">
        <v>45663</v>
      </c>
      <c r="E307" s="3">
        <v>2106.5500000000002</v>
      </c>
      <c r="F307" s="7" t="s">
        <v>296</v>
      </c>
    </row>
    <row r="308" spans="1:6" x14ac:dyDescent="0.3">
      <c r="A308" s="7" t="s">
        <v>3481</v>
      </c>
      <c r="B308" s="7" t="s">
        <v>749</v>
      </c>
      <c r="C308" s="7" t="s">
        <v>78</v>
      </c>
      <c r="D308" s="9">
        <v>45714</v>
      </c>
      <c r="E308" s="3">
        <v>2102.23</v>
      </c>
      <c r="F308" s="7" t="s">
        <v>298</v>
      </c>
    </row>
    <row r="309" spans="1:6" x14ac:dyDescent="0.3">
      <c r="A309" s="7" t="s">
        <v>3482</v>
      </c>
      <c r="B309" s="7" t="s">
        <v>750</v>
      </c>
      <c r="C309" s="7" t="s">
        <v>77</v>
      </c>
      <c r="D309" s="9">
        <v>45719</v>
      </c>
      <c r="E309" s="3">
        <v>3517.42</v>
      </c>
      <c r="F309" s="7" t="s">
        <v>296</v>
      </c>
    </row>
    <row r="310" spans="1:6" x14ac:dyDescent="0.3">
      <c r="A310" s="7" t="s">
        <v>3483</v>
      </c>
      <c r="B310" s="7" t="s">
        <v>752</v>
      </c>
      <c r="C310" s="7" t="s">
        <v>78</v>
      </c>
      <c r="D310" s="9">
        <v>46073</v>
      </c>
      <c r="E310" s="3">
        <v>2413.81</v>
      </c>
      <c r="F310" s="7" t="s">
        <v>298</v>
      </c>
    </row>
    <row r="311" spans="1:6" x14ac:dyDescent="0.3">
      <c r="A311" s="7" t="s">
        <v>3484</v>
      </c>
      <c r="B311" s="7" t="s">
        <v>753</v>
      </c>
      <c r="C311" s="7" t="s">
        <v>24</v>
      </c>
      <c r="D311" s="9">
        <v>45798</v>
      </c>
      <c r="E311" s="3">
        <v>3571.98</v>
      </c>
      <c r="F311" s="7" t="s">
        <v>298</v>
      </c>
    </row>
    <row r="312" spans="1:6" x14ac:dyDescent="0.3">
      <c r="A312" s="7" t="s">
        <v>3485</v>
      </c>
      <c r="B312" s="7" t="s">
        <v>753</v>
      </c>
      <c r="C312" s="7" t="s">
        <v>24</v>
      </c>
      <c r="D312" s="9">
        <v>45800</v>
      </c>
      <c r="E312" s="3">
        <v>1571.94</v>
      </c>
      <c r="F312" s="7" t="s">
        <v>296</v>
      </c>
    </row>
    <row r="313" spans="1:6" x14ac:dyDescent="0.3">
      <c r="A313" s="7" t="s">
        <v>3486</v>
      </c>
      <c r="B313" s="7" t="s">
        <v>754</v>
      </c>
      <c r="C313" s="7" t="s">
        <v>62</v>
      </c>
      <c r="D313" s="9">
        <v>45919</v>
      </c>
      <c r="E313" s="3">
        <v>2301.13</v>
      </c>
      <c r="F313" s="7" t="s">
        <v>3174</v>
      </c>
    </row>
    <row r="314" spans="1:6" x14ac:dyDescent="0.3">
      <c r="A314" s="7" t="s">
        <v>3487</v>
      </c>
      <c r="B314" s="7" t="s">
        <v>755</v>
      </c>
      <c r="C314" s="7" t="s">
        <v>38</v>
      </c>
      <c r="D314" s="9">
        <v>45928</v>
      </c>
      <c r="E314" s="3">
        <v>1042.02</v>
      </c>
      <c r="F314" s="7" t="s">
        <v>296</v>
      </c>
    </row>
    <row r="315" spans="1:6" x14ac:dyDescent="0.3">
      <c r="A315" s="7" t="s">
        <v>3488</v>
      </c>
      <c r="B315" s="7" t="s">
        <v>755</v>
      </c>
      <c r="C315" s="7" t="s">
        <v>38</v>
      </c>
      <c r="D315" s="9">
        <v>45929</v>
      </c>
      <c r="E315" s="3">
        <v>1379.08</v>
      </c>
      <c r="F315" s="7" t="s">
        <v>3184</v>
      </c>
    </row>
    <row r="316" spans="1:6" x14ac:dyDescent="0.3">
      <c r="A316" s="7" t="s">
        <v>3489</v>
      </c>
      <c r="B316" s="7" t="s">
        <v>756</v>
      </c>
      <c r="C316" s="7" t="s">
        <v>20</v>
      </c>
      <c r="D316" s="9">
        <v>46002</v>
      </c>
      <c r="E316" s="3">
        <v>1890.02</v>
      </c>
      <c r="F316" s="7" t="s">
        <v>296</v>
      </c>
    </row>
    <row r="317" spans="1:6" x14ac:dyDescent="0.3">
      <c r="A317" s="7" t="s">
        <v>3490</v>
      </c>
      <c r="B317" s="7" t="s">
        <v>759</v>
      </c>
      <c r="C317" s="7" t="s">
        <v>29</v>
      </c>
      <c r="D317" s="9">
        <v>46038</v>
      </c>
      <c r="E317" s="3">
        <v>1209.1199999999999</v>
      </c>
      <c r="F317" s="7" t="s">
        <v>298</v>
      </c>
    </row>
    <row r="318" spans="1:6" x14ac:dyDescent="0.3">
      <c r="A318" s="7" t="s">
        <v>3491</v>
      </c>
      <c r="B318" s="7" t="s">
        <v>759</v>
      </c>
      <c r="C318" s="7" t="s">
        <v>29</v>
      </c>
      <c r="D318" s="9">
        <v>46044</v>
      </c>
      <c r="E318" s="3">
        <v>1111.55</v>
      </c>
      <c r="F318" s="7" t="s">
        <v>296</v>
      </c>
    </row>
    <row r="319" spans="1:6" x14ac:dyDescent="0.3">
      <c r="A319" s="7" t="s">
        <v>3492</v>
      </c>
      <c r="B319" s="7" t="s">
        <v>760</v>
      </c>
      <c r="C319" s="7" t="s">
        <v>69</v>
      </c>
      <c r="D319" s="9">
        <v>45810</v>
      </c>
      <c r="E319" s="3">
        <v>14249.88</v>
      </c>
      <c r="F319" s="7" t="s">
        <v>3184</v>
      </c>
    </row>
    <row r="320" spans="1:6" x14ac:dyDescent="0.3">
      <c r="A320" s="7" t="s">
        <v>3493</v>
      </c>
      <c r="B320" s="7" t="s">
        <v>761</v>
      </c>
      <c r="C320" s="7" t="s">
        <v>107</v>
      </c>
      <c r="D320" s="9">
        <v>45855</v>
      </c>
      <c r="E320" s="3">
        <v>3894.76</v>
      </c>
      <c r="F320" s="7" t="s">
        <v>298</v>
      </c>
    </row>
    <row r="321" spans="1:6" x14ac:dyDescent="0.3">
      <c r="A321" s="7" t="s">
        <v>3494</v>
      </c>
      <c r="B321" s="7" t="s">
        <v>762</v>
      </c>
      <c r="C321" s="7" t="s">
        <v>76</v>
      </c>
      <c r="D321" s="9">
        <v>45947</v>
      </c>
      <c r="E321" s="3">
        <v>11352.07</v>
      </c>
      <c r="F321" s="7" t="s">
        <v>3184</v>
      </c>
    </row>
    <row r="322" spans="1:6" x14ac:dyDescent="0.3">
      <c r="A322" s="7" t="s">
        <v>3495</v>
      </c>
      <c r="B322" s="7" t="s">
        <v>765</v>
      </c>
      <c r="C322" s="7" t="s">
        <v>39</v>
      </c>
      <c r="D322" s="9">
        <v>45738</v>
      </c>
      <c r="E322" s="3">
        <v>12830.29</v>
      </c>
      <c r="F322" s="7" t="s">
        <v>298</v>
      </c>
    </row>
    <row r="323" spans="1:6" x14ac:dyDescent="0.3">
      <c r="A323" s="7" t="s">
        <v>3496</v>
      </c>
      <c r="B323" s="7" t="s">
        <v>766</v>
      </c>
      <c r="C323" s="7" t="s">
        <v>83</v>
      </c>
      <c r="D323" s="9">
        <v>45919</v>
      </c>
      <c r="E323" s="3">
        <v>1550.98</v>
      </c>
      <c r="F323" s="7" t="s">
        <v>298</v>
      </c>
    </row>
    <row r="324" spans="1:6" x14ac:dyDescent="0.3">
      <c r="A324" s="7" t="s">
        <v>3497</v>
      </c>
      <c r="B324" s="7" t="s">
        <v>768</v>
      </c>
      <c r="C324" s="7" t="s">
        <v>110</v>
      </c>
      <c r="D324" s="9">
        <v>45716</v>
      </c>
      <c r="E324" s="3">
        <v>1741.18</v>
      </c>
      <c r="F324" s="7" t="s">
        <v>296</v>
      </c>
    </row>
    <row r="325" spans="1:6" x14ac:dyDescent="0.3">
      <c r="A325" s="7" t="s">
        <v>3498</v>
      </c>
      <c r="B325" s="7" t="s">
        <v>770</v>
      </c>
      <c r="C325" s="7" t="s">
        <v>89</v>
      </c>
      <c r="D325" s="9">
        <v>46037</v>
      </c>
      <c r="E325" s="3">
        <v>1695.61</v>
      </c>
      <c r="F325" s="7" t="s">
        <v>3174</v>
      </c>
    </row>
    <row r="326" spans="1:6" x14ac:dyDescent="0.3">
      <c r="A326" s="7" t="s">
        <v>3499</v>
      </c>
      <c r="B326" s="7" t="s">
        <v>772</v>
      </c>
      <c r="C326" s="7" t="s">
        <v>73</v>
      </c>
      <c r="D326" s="9">
        <v>45802</v>
      </c>
      <c r="E326" s="3">
        <v>2412.66</v>
      </c>
      <c r="F326" s="7" t="s">
        <v>296</v>
      </c>
    </row>
    <row r="327" spans="1:6" x14ac:dyDescent="0.3">
      <c r="A327" s="7" t="s">
        <v>3500</v>
      </c>
      <c r="B327" s="7" t="s">
        <v>773</v>
      </c>
      <c r="C327" s="7" t="s">
        <v>57</v>
      </c>
      <c r="D327" s="9">
        <v>45953</v>
      </c>
      <c r="E327" s="3">
        <v>3612.73</v>
      </c>
      <c r="F327" s="7" t="s">
        <v>3184</v>
      </c>
    </row>
    <row r="328" spans="1:6" x14ac:dyDescent="0.3">
      <c r="A328" s="7" t="s">
        <v>3501</v>
      </c>
      <c r="B328" s="7" t="s">
        <v>774</v>
      </c>
      <c r="C328" s="7" t="s">
        <v>51</v>
      </c>
      <c r="D328" s="9">
        <v>45967</v>
      </c>
      <c r="E328" s="3">
        <v>13307.24</v>
      </c>
      <c r="F328" s="7" t="s">
        <v>3174</v>
      </c>
    </row>
    <row r="329" spans="1:6" x14ac:dyDescent="0.3">
      <c r="A329" s="7" t="s">
        <v>3502</v>
      </c>
      <c r="B329" s="7" t="s">
        <v>776</v>
      </c>
      <c r="C329" s="7" t="s">
        <v>50</v>
      </c>
      <c r="D329" s="9">
        <v>46037</v>
      </c>
      <c r="E329" s="3">
        <v>3397.58</v>
      </c>
      <c r="F329" s="7" t="s">
        <v>298</v>
      </c>
    </row>
    <row r="330" spans="1:6" x14ac:dyDescent="0.3">
      <c r="A330" s="7" t="s">
        <v>3503</v>
      </c>
      <c r="B330" s="7" t="s">
        <v>777</v>
      </c>
      <c r="C330" s="7" t="s">
        <v>19</v>
      </c>
      <c r="D330" s="9">
        <v>45933</v>
      </c>
      <c r="E330" s="3">
        <v>13364.5</v>
      </c>
      <c r="F330" s="7" t="s">
        <v>298</v>
      </c>
    </row>
    <row r="331" spans="1:6" x14ac:dyDescent="0.3">
      <c r="A331" s="7" t="s">
        <v>3504</v>
      </c>
      <c r="B331" s="7" t="s">
        <v>778</v>
      </c>
      <c r="C331" s="7" t="s">
        <v>12</v>
      </c>
      <c r="D331" s="9">
        <v>45905</v>
      </c>
      <c r="E331" s="3">
        <v>13065.57</v>
      </c>
      <c r="F331" s="7" t="s">
        <v>3174</v>
      </c>
    </row>
    <row r="332" spans="1:6" x14ac:dyDescent="0.3">
      <c r="A332" s="7" t="s">
        <v>3505</v>
      </c>
      <c r="B332" s="7" t="s">
        <v>779</v>
      </c>
      <c r="C332" s="7" t="s">
        <v>93</v>
      </c>
      <c r="D332" s="9">
        <v>46094</v>
      </c>
      <c r="E332" s="3">
        <v>639.4</v>
      </c>
      <c r="F332" s="7" t="s">
        <v>296</v>
      </c>
    </row>
    <row r="333" spans="1:6" x14ac:dyDescent="0.3">
      <c r="A333" s="7" t="s">
        <v>3506</v>
      </c>
      <c r="B333" s="7" t="s">
        <v>779</v>
      </c>
      <c r="C333" s="7" t="s">
        <v>93</v>
      </c>
      <c r="D333" s="9">
        <v>46106</v>
      </c>
      <c r="E333" s="3">
        <v>883.46</v>
      </c>
      <c r="F333" s="7" t="s">
        <v>298</v>
      </c>
    </row>
    <row r="334" spans="1:6" x14ac:dyDescent="0.3">
      <c r="A334" s="7" t="s">
        <v>3507</v>
      </c>
      <c r="B334" s="7" t="s">
        <v>780</v>
      </c>
      <c r="C334" s="7" t="s">
        <v>77</v>
      </c>
      <c r="D334" s="9">
        <v>46044</v>
      </c>
      <c r="E334" s="3">
        <v>5859.84</v>
      </c>
      <c r="F334" s="7" t="s">
        <v>298</v>
      </c>
    </row>
    <row r="335" spans="1:6" x14ac:dyDescent="0.3">
      <c r="A335" s="7" t="s">
        <v>3508</v>
      </c>
      <c r="B335" s="7" t="s">
        <v>781</v>
      </c>
      <c r="C335" s="7" t="s">
        <v>58</v>
      </c>
      <c r="D335" s="9">
        <v>45886</v>
      </c>
      <c r="E335" s="3">
        <v>4661.9799999999996</v>
      </c>
      <c r="F335" s="7" t="s">
        <v>298</v>
      </c>
    </row>
    <row r="336" spans="1:6" x14ac:dyDescent="0.3">
      <c r="A336" s="7" t="s">
        <v>3509</v>
      </c>
      <c r="B336" s="7" t="s">
        <v>782</v>
      </c>
      <c r="C336" s="7" t="s">
        <v>10</v>
      </c>
      <c r="D336" s="9">
        <v>46027</v>
      </c>
      <c r="E336" s="3">
        <v>1572.81</v>
      </c>
      <c r="F336" s="7" t="s">
        <v>298</v>
      </c>
    </row>
    <row r="337" spans="1:6" x14ac:dyDescent="0.3">
      <c r="A337" s="7" t="s">
        <v>3510</v>
      </c>
      <c r="B337" s="7" t="s">
        <v>783</v>
      </c>
      <c r="C337" s="7" t="s">
        <v>56</v>
      </c>
      <c r="D337" s="9">
        <v>45780</v>
      </c>
      <c r="E337" s="3">
        <v>1882.16</v>
      </c>
      <c r="F337" s="7" t="s">
        <v>296</v>
      </c>
    </row>
    <row r="338" spans="1:6" x14ac:dyDescent="0.3">
      <c r="A338" s="7" t="s">
        <v>3511</v>
      </c>
      <c r="B338" s="7" t="s">
        <v>785</v>
      </c>
      <c r="C338" s="7" t="s">
        <v>48</v>
      </c>
      <c r="D338" s="9">
        <v>46083</v>
      </c>
      <c r="E338" s="3">
        <v>3092.82</v>
      </c>
      <c r="F338" s="7" t="s">
        <v>296</v>
      </c>
    </row>
    <row r="339" spans="1:6" x14ac:dyDescent="0.3">
      <c r="A339" s="7" t="s">
        <v>3512</v>
      </c>
      <c r="B339" s="7" t="s">
        <v>787</v>
      </c>
      <c r="C339" s="7" t="s">
        <v>21</v>
      </c>
      <c r="D339" s="9">
        <v>45876</v>
      </c>
      <c r="E339" s="3">
        <v>1665.65</v>
      </c>
      <c r="F339" s="7" t="s">
        <v>3174</v>
      </c>
    </row>
    <row r="340" spans="1:6" x14ac:dyDescent="0.3">
      <c r="A340" s="7" t="s">
        <v>3513</v>
      </c>
      <c r="B340" s="7" t="s">
        <v>788</v>
      </c>
      <c r="C340" s="7" t="s">
        <v>93</v>
      </c>
      <c r="D340" s="9">
        <v>45945</v>
      </c>
      <c r="E340" s="3">
        <v>2351.98</v>
      </c>
      <c r="F340" s="7" t="s">
        <v>296</v>
      </c>
    </row>
    <row r="341" spans="1:6" x14ac:dyDescent="0.3">
      <c r="A341" s="7" t="s">
        <v>3514</v>
      </c>
      <c r="B341" s="7" t="s">
        <v>789</v>
      </c>
      <c r="C341" s="7" t="s">
        <v>24</v>
      </c>
      <c r="D341" s="9">
        <v>46021</v>
      </c>
      <c r="E341" s="3">
        <v>2016.44</v>
      </c>
      <c r="F341" s="7" t="s">
        <v>3174</v>
      </c>
    </row>
    <row r="342" spans="1:6" x14ac:dyDescent="0.3">
      <c r="A342" s="7" t="s">
        <v>3515</v>
      </c>
      <c r="B342" s="7" t="s">
        <v>790</v>
      </c>
      <c r="C342" s="7" t="s">
        <v>95</v>
      </c>
      <c r="D342" s="9">
        <v>45814</v>
      </c>
      <c r="E342" s="3">
        <v>2117.86</v>
      </c>
      <c r="F342" s="7" t="s">
        <v>298</v>
      </c>
    </row>
    <row r="343" spans="1:6" x14ac:dyDescent="0.3">
      <c r="A343" s="7" t="s">
        <v>3516</v>
      </c>
      <c r="B343" s="7" t="s">
        <v>791</v>
      </c>
      <c r="C343" s="7" t="s">
        <v>56</v>
      </c>
      <c r="D343" s="9">
        <v>45893</v>
      </c>
      <c r="E343" s="3">
        <v>5021.6499999999996</v>
      </c>
      <c r="F343" s="7" t="s">
        <v>296</v>
      </c>
    </row>
    <row r="344" spans="1:6" x14ac:dyDescent="0.3">
      <c r="A344" s="7" t="s">
        <v>3517</v>
      </c>
      <c r="B344" s="7" t="s">
        <v>792</v>
      </c>
      <c r="C344" s="7" t="s">
        <v>89</v>
      </c>
      <c r="D344" s="9">
        <v>46029</v>
      </c>
      <c r="E344" s="3">
        <v>10491.62</v>
      </c>
      <c r="F344" s="7" t="s">
        <v>298</v>
      </c>
    </row>
    <row r="345" spans="1:6" x14ac:dyDescent="0.3">
      <c r="A345" s="7" t="s">
        <v>3518</v>
      </c>
      <c r="B345" s="7" t="s">
        <v>793</v>
      </c>
      <c r="C345" s="7" t="s">
        <v>47</v>
      </c>
      <c r="D345" s="9">
        <v>45924</v>
      </c>
      <c r="E345" s="3">
        <v>2950.97</v>
      </c>
      <c r="F345" s="7" t="s">
        <v>3184</v>
      </c>
    </row>
    <row r="346" spans="1:6" x14ac:dyDescent="0.3">
      <c r="A346" s="7" t="s">
        <v>3519</v>
      </c>
      <c r="B346" s="7" t="s">
        <v>793</v>
      </c>
      <c r="C346" s="7" t="s">
        <v>47</v>
      </c>
      <c r="D346" s="9">
        <v>45938</v>
      </c>
      <c r="E346" s="3">
        <v>2158.86</v>
      </c>
      <c r="F346" s="7" t="s">
        <v>3174</v>
      </c>
    </row>
    <row r="347" spans="1:6" x14ac:dyDescent="0.3">
      <c r="A347" s="7" t="s">
        <v>3520</v>
      </c>
      <c r="B347" s="7" t="s">
        <v>795</v>
      </c>
      <c r="C347" s="7" t="s">
        <v>70</v>
      </c>
      <c r="D347" s="9">
        <v>45908</v>
      </c>
      <c r="E347" s="3">
        <v>4390.26</v>
      </c>
      <c r="F347" s="7" t="s">
        <v>3174</v>
      </c>
    </row>
    <row r="348" spans="1:6" x14ac:dyDescent="0.3">
      <c r="A348" s="7" t="s">
        <v>3521</v>
      </c>
      <c r="B348" s="7" t="s">
        <v>797</v>
      </c>
      <c r="C348" s="7" t="s">
        <v>42</v>
      </c>
      <c r="D348" s="9">
        <v>45680</v>
      </c>
      <c r="E348" s="3">
        <v>4165.34</v>
      </c>
      <c r="F348" s="7" t="s">
        <v>298</v>
      </c>
    </row>
    <row r="349" spans="1:6" x14ac:dyDescent="0.3">
      <c r="A349" s="7" t="s">
        <v>3522</v>
      </c>
      <c r="B349" s="7" t="s">
        <v>798</v>
      </c>
      <c r="C349" s="7" t="s">
        <v>105</v>
      </c>
      <c r="D349" s="9">
        <v>45750</v>
      </c>
      <c r="E349" s="3">
        <v>5075.22</v>
      </c>
      <c r="F349" s="7" t="s">
        <v>296</v>
      </c>
    </row>
    <row r="350" spans="1:6" x14ac:dyDescent="0.3">
      <c r="A350" s="7" t="s">
        <v>3523</v>
      </c>
      <c r="B350" s="7" t="s">
        <v>799</v>
      </c>
      <c r="C350" s="7" t="s">
        <v>106</v>
      </c>
      <c r="D350" s="9">
        <v>45740</v>
      </c>
      <c r="E350" s="3">
        <v>12238.69</v>
      </c>
      <c r="F350" s="7" t="s">
        <v>298</v>
      </c>
    </row>
    <row r="351" spans="1:6" x14ac:dyDescent="0.3">
      <c r="A351" s="7" t="s">
        <v>3524</v>
      </c>
      <c r="B351" s="7" t="s">
        <v>801</v>
      </c>
      <c r="C351" s="7" t="s">
        <v>113</v>
      </c>
      <c r="D351" s="9">
        <v>45788</v>
      </c>
      <c r="E351" s="3">
        <v>1757.78</v>
      </c>
      <c r="F351" s="7" t="s">
        <v>3184</v>
      </c>
    </row>
    <row r="352" spans="1:6" x14ac:dyDescent="0.3">
      <c r="A352" s="7" t="s">
        <v>3525</v>
      </c>
      <c r="B352" s="7" t="s">
        <v>802</v>
      </c>
      <c r="C352" s="7" t="s">
        <v>51</v>
      </c>
      <c r="D352" s="9">
        <v>45829</v>
      </c>
      <c r="E352" s="3">
        <v>1980.97</v>
      </c>
      <c r="F352" s="7" t="s">
        <v>298</v>
      </c>
    </row>
    <row r="353" spans="1:6" x14ac:dyDescent="0.3">
      <c r="A353" s="7" t="s">
        <v>3526</v>
      </c>
      <c r="B353" s="7" t="s">
        <v>803</v>
      </c>
      <c r="C353" s="7" t="s">
        <v>101</v>
      </c>
      <c r="D353" s="9">
        <v>45739</v>
      </c>
      <c r="E353" s="3">
        <v>2926.88</v>
      </c>
      <c r="F353" s="7" t="s">
        <v>3184</v>
      </c>
    </row>
    <row r="354" spans="1:6" x14ac:dyDescent="0.3">
      <c r="A354" s="7" t="s">
        <v>3527</v>
      </c>
      <c r="B354" s="7" t="s">
        <v>804</v>
      </c>
      <c r="C354" s="7" t="s">
        <v>61</v>
      </c>
      <c r="D354" s="9">
        <v>46157</v>
      </c>
      <c r="E354" s="3">
        <v>3764.79</v>
      </c>
      <c r="F354" s="7" t="s">
        <v>3184</v>
      </c>
    </row>
    <row r="355" spans="1:6" x14ac:dyDescent="0.3">
      <c r="A355" s="7" t="s">
        <v>3528</v>
      </c>
      <c r="B355" s="7" t="s">
        <v>806</v>
      </c>
      <c r="C355" s="7" t="s">
        <v>28</v>
      </c>
      <c r="D355" s="9">
        <v>45957</v>
      </c>
      <c r="E355" s="3">
        <v>3084.09</v>
      </c>
      <c r="F355" s="7" t="s">
        <v>3174</v>
      </c>
    </row>
    <row r="356" spans="1:6" x14ac:dyDescent="0.3">
      <c r="A356" s="7" t="s">
        <v>3529</v>
      </c>
      <c r="B356" s="7" t="s">
        <v>807</v>
      </c>
      <c r="C356" s="7" t="s">
        <v>116</v>
      </c>
      <c r="D356" s="9">
        <v>45808</v>
      </c>
      <c r="E356" s="3">
        <v>2979</v>
      </c>
      <c r="F356" s="7" t="s">
        <v>296</v>
      </c>
    </row>
    <row r="357" spans="1:6" x14ac:dyDescent="0.3">
      <c r="A357" s="7" t="s">
        <v>3530</v>
      </c>
      <c r="B357" s="7" t="s">
        <v>808</v>
      </c>
      <c r="C357" s="7" t="s">
        <v>103</v>
      </c>
      <c r="D357" s="9">
        <v>46008</v>
      </c>
      <c r="E357" s="3">
        <v>4179.68</v>
      </c>
      <c r="F357" s="7" t="s">
        <v>296</v>
      </c>
    </row>
    <row r="358" spans="1:6" x14ac:dyDescent="0.3">
      <c r="A358" s="7" t="s">
        <v>3531</v>
      </c>
      <c r="B358" s="7" t="s">
        <v>809</v>
      </c>
      <c r="C358" s="7" t="s">
        <v>117</v>
      </c>
      <c r="D358" s="9">
        <v>45855</v>
      </c>
      <c r="E358" s="3">
        <v>14010.09</v>
      </c>
      <c r="F358" s="7" t="s">
        <v>298</v>
      </c>
    </row>
    <row r="359" spans="1:6" x14ac:dyDescent="0.3">
      <c r="A359" s="7" t="s">
        <v>3532</v>
      </c>
      <c r="B359" s="7" t="s">
        <v>811</v>
      </c>
      <c r="C359" s="7" t="s">
        <v>87</v>
      </c>
      <c r="D359" s="9">
        <v>45755</v>
      </c>
      <c r="E359" s="3">
        <v>1722.74</v>
      </c>
      <c r="F359" s="7" t="s">
        <v>3174</v>
      </c>
    </row>
    <row r="360" spans="1:6" x14ac:dyDescent="0.3">
      <c r="A360" s="7" t="s">
        <v>3533</v>
      </c>
      <c r="B360" s="7" t="s">
        <v>813</v>
      </c>
      <c r="C360" s="7" t="s">
        <v>119</v>
      </c>
      <c r="D360" s="9">
        <v>46056</v>
      </c>
      <c r="E360" s="3">
        <v>2883.42</v>
      </c>
      <c r="F360" s="7" t="s">
        <v>296</v>
      </c>
    </row>
    <row r="361" spans="1:6" x14ac:dyDescent="0.3">
      <c r="A361" s="7" t="s">
        <v>3534</v>
      </c>
      <c r="B361" s="7" t="s">
        <v>814</v>
      </c>
      <c r="C361" s="7" t="s">
        <v>118</v>
      </c>
      <c r="D361" s="9">
        <v>45917</v>
      </c>
      <c r="E361" s="3">
        <v>2454.6999999999998</v>
      </c>
      <c r="F361" s="7" t="s">
        <v>296</v>
      </c>
    </row>
    <row r="362" spans="1:6" x14ac:dyDescent="0.3">
      <c r="A362" s="7" t="s">
        <v>3535</v>
      </c>
      <c r="B362" s="7" t="s">
        <v>815</v>
      </c>
      <c r="C362" s="7" t="s">
        <v>52</v>
      </c>
      <c r="D362" s="9">
        <v>45912</v>
      </c>
      <c r="E362" s="3">
        <v>1507.06</v>
      </c>
      <c r="F362" s="7" t="s">
        <v>298</v>
      </c>
    </row>
    <row r="363" spans="1:6" x14ac:dyDescent="0.3">
      <c r="A363" s="7" t="s">
        <v>3536</v>
      </c>
      <c r="B363" s="7" t="s">
        <v>817</v>
      </c>
      <c r="C363" s="7" t="s">
        <v>80</v>
      </c>
      <c r="D363" s="9">
        <v>45829</v>
      </c>
      <c r="E363" s="3">
        <v>4989.43</v>
      </c>
      <c r="F363" s="7" t="s">
        <v>3184</v>
      </c>
    </row>
    <row r="364" spans="1:6" x14ac:dyDescent="0.3">
      <c r="A364" s="7" t="s">
        <v>3537</v>
      </c>
      <c r="B364" s="7" t="s">
        <v>819</v>
      </c>
      <c r="C364" s="7" t="s">
        <v>116</v>
      </c>
      <c r="D364" s="9">
        <v>45978</v>
      </c>
      <c r="E364" s="3">
        <v>2455.13</v>
      </c>
      <c r="F364" s="7" t="s">
        <v>3174</v>
      </c>
    </row>
    <row r="365" spans="1:6" x14ac:dyDescent="0.3">
      <c r="A365" s="7" t="s">
        <v>3538</v>
      </c>
      <c r="B365" s="7" t="s">
        <v>820</v>
      </c>
      <c r="C365" s="7" t="s">
        <v>95</v>
      </c>
      <c r="D365" s="9">
        <v>45689</v>
      </c>
      <c r="E365" s="3">
        <v>4882.57</v>
      </c>
      <c r="F365" s="7" t="s">
        <v>3184</v>
      </c>
    </row>
    <row r="366" spans="1:6" x14ac:dyDescent="0.3">
      <c r="A366" s="7" t="s">
        <v>3539</v>
      </c>
      <c r="B366" s="7" t="s">
        <v>822</v>
      </c>
      <c r="C366" s="7" t="s">
        <v>92</v>
      </c>
      <c r="D366" s="9">
        <v>45886</v>
      </c>
      <c r="E366" s="3">
        <v>2093.34</v>
      </c>
      <c r="F366" s="7" t="s">
        <v>3174</v>
      </c>
    </row>
    <row r="367" spans="1:6" x14ac:dyDescent="0.3">
      <c r="A367" s="7" t="s">
        <v>3540</v>
      </c>
      <c r="B367" s="7" t="s">
        <v>823</v>
      </c>
      <c r="C367" s="7" t="s">
        <v>96</v>
      </c>
      <c r="D367" s="9">
        <v>45860</v>
      </c>
      <c r="E367" s="3">
        <v>1559.18</v>
      </c>
      <c r="F367" s="7" t="s">
        <v>298</v>
      </c>
    </row>
    <row r="368" spans="1:6" x14ac:dyDescent="0.3">
      <c r="A368" s="7" t="s">
        <v>3541</v>
      </c>
      <c r="B368" s="7" t="s">
        <v>824</v>
      </c>
      <c r="C368" s="7" t="s">
        <v>34</v>
      </c>
      <c r="D368" s="9">
        <v>45712</v>
      </c>
      <c r="E368" s="3">
        <v>4858.46</v>
      </c>
      <c r="F368" s="7" t="s">
        <v>296</v>
      </c>
    </row>
    <row r="369" spans="1:6" x14ac:dyDescent="0.3">
      <c r="A369" s="7" t="s">
        <v>3542</v>
      </c>
      <c r="B369" s="7" t="s">
        <v>825</v>
      </c>
      <c r="C369" s="7" t="s">
        <v>63</v>
      </c>
      <c r="D369" s="9">
        <v>45972</v>
      </c>
      <c r="E369" s="3">
        <v>9974.11</v>
      </c>
      <c r="F369" s="7" t="s">
        <v>296</v>
      </c>
    </row>
    <row r="370" spans="1:6" x14ac:dyDescent="0.3">
      <c r="A370" s="7" t="s">
        <v>3543</v>
      </c>
      <c r="B370" s="7" t="s">
        <v>827</v>
      </c>
      <c r="C370" s="7" t="s">
        <v>100</v>
      </c>
      <c r="D370" s="9">
        <v>45696</v>
      </c>
      <c r="E370" s="3">
        <v>1535.17</v>
      </c>
      <c r="F370" s="7" t="s">
        <v>3184</v>
      </c>
    </row>
    <row r="371" spans="1:6" x14ac:dyDescent="0.3">
      <c r="A371" s="7" t="s">
        <v>3544</v>
      </c>
      <c r="B371" s="7" t="s">
        <v>828</v>
      </c>
      <c r="C371" s="7" t="s">
        <v>106</v>
      </c>
      <c r="D371" s="9">
        <v>45865</v>
      </c>
      <c r="E371" s="3">
        <v>2523.84</v>
      </c>
      <c r="F371" s="7" t="s">
        <v>296</v>
      </c>
    </row>
    <row r="372" spans="1:6" x14ac:dyDescent="0.3">
      <c r="A372" s="7" t="s">
        <v>3545</v>
      </c>
      <c r="B372" s="7" t="s">
        <v>829</v>
      </c>
      <c r="C372" s="7" t="s">
        <v>79</v>
      </c>
      <c r="D372" s="9">
        <v>46022</v>
      </c>
      <c r="E372" s="3">
        <v>5283.15</v>
      </c>
      <c r="F372" s="7" t="s">
        <v>3184</v>
      </c>
    </row>
    <row r="373" spans="1:6" x14ac:dyDescent="0.3">
      <c r="A373" s="7" t="s">
        <v>3546</v>
      </c>
      <c r="B373" s="7" t="s">
        <v>830</v>
      </c>
      <c r="C373" s="7" t="s">
        <v>34</v>
      </c>
      <c r="D373" s="9">
        <v>45781</v>
      </c>
      <c r="E373" s="3">
        <v>3132.38</v>
      </c>
      <c r="F373" s="7" t="s">
        <v>3184</v>
      </c>
    </row>
    <row r="374" spans="1:6" x14ac:dyDescent="0.3">
      <c r="A374" s="7" t="s">
        <v>3547</v>
      </c>
      <c r="B374" s="7" t="s">
        <v>831</v>
      </c>
      <c r="C374" s="7" t="s">
        <v>117</v>
      </c>
      <c r="D374" s="9">
        <v>45880</v>
      </c>
      <c r="E374" s="3">
        <v>1978.75</v>
      </c>
      <c r="F374" s="7" t="s">
        <v>3174</v>
      </c>
    </row>
    <row r="375" spans="1:6" x14ac:dyDescent="0.3">
      <c r="A375" s="7" t="s">
        <v>3548</v>
      </c>
      <c r="B375" s="7" t="s">
        <v>834</v>
      </c>
      <c r="C375" s="7" t="s">
        <v>99</v>
      </c>
      <c r="D375" s="9">
        <v>45837</v>
      </c>
      <c r="E375" s="3">
        <v>2644.62</v>
      </c>
      <c r="F375" s="7" t="s">
        <v>298</v>
      </c>
    </row>
    <row r="376" spans="1:6" x14ac:dyDescent="0.3">
      <c r="A376" s="7" t="s">
        <v>3549</v>
      </c>
      <c r="B376" s="7" t="s">
        <v>836</v>
      </c>
      <c r="C376" s="7" t="s">
        <v>57</v>
      </c>
      <c r="D376" s="9">
        <v>46005</v>
      </c>
      <c r="E376" s="3">
        <v>2205.4499999999998</v>
      </c>
      <c r="F376" s="7" t="s">
        <v>296</v>
      </c>
    </row>
    <row r="377" spans="1:6" x14ac:dyDescent="0.3">
      <c r="A377" s="7" t="s">
        <v>3550</v>
      </c>
      <c r="B377" s="7" t="s">
        <v>837</v>
      </c>
      <c r="C377" s="7" t="s">
        <v>21</v>
      </c>
      <c r="D377" s="9">
        <v>46075</v>
      </c>
      <c r="E377" s="3">
        <v>2646.17</v>
      </c>
      <c r="F377" s="7" t="s">
        <v>3184</v>
      </c>
    </row>
    <row r="378" spans="1:6" x14ac:dyDescent="0.3">
      <c r="A378" s="7" t="s">
        <v>3551</v>
      </c>
      <c r="B378" s="7" t="s">
        <v>838</v>
      </c>
      <c r="C378" s="7" t="s">
        <v>8</v>
      </c>
      <c r="D378" s="9">
        <v>45971</v>
      </c>
      <c r="E378" s="3">
        <v>4999.17</v>
      </c>
      <c r="F378" s="7" t="s">
        <v>3174</v>
      </c>
    </row>
    <row r="379" spans="1:6" x14ac:dyDescent="0.3">
      <c r="A379" s="7" t="s">
        <v>3552</v>
      </c>
      <c r="B379" s="7" t="s">
        <v>841</v>
      </c>
      <c r="C379" s="7" t="s">
        <v>12</v>
      </c>
      <c r="D379" s="9">
        <v>45700</v>
      </c>
      <c r="E379" s="3">
        <v>1408.1</v>
      </c>
      <c r="F379" s="7" t="s">
        <v>3174</v>
      </c>
    </row>
    <row r="380" spans="1:6" x14ac:dyDescent="0.3">
      <c r="A380" s="7" t="s">
        <v>3553</v>
      </c>
      <c r="B380" s="7" t="s">
        <v>841</v>
      </c>
      <c r="C380" s="7" t="s">
        <v>12</v>
      </c>
      <c r="D380" s="9">
        <v>45711</v>
      </c>
      <c r="E380" s="3">
        <v>1011.93</v>
      </c>
      <c r="F380" s="7" t="s">
        <v>3184</v>
      </c>
    </row>
    <row r="381" spans="1:6" x14ac:dyDescent="0.3">
      <c r="A381" s="7" t="s">
        <v>3554</v>
      </c>
      <c r="B381" s="7" t="s">
        <v>842</v>
      </c>
      <c r="C381" s="7" t="s">
        <v>98</v>
      </c>
      <c r="D381" s="9">
        <v>45875</v>
      </c>
      <c r="E381" s="3">
        <v>3538.42</v>
      </c>
      <c r="F381" s="7" t="s">
        <v>296</v>
      </c>
    </row>
    <row r="382" spans="1:6" x14ac:dyDescent="0.3">
      <c r="A382" s="7" t="s">
        <v>3555</v>
      </c>
      <c r="B382" s="7" t="s">
        <v>843</v>
      </c>
      <c r="C382" s="7" t="s">
        <v>88</v>
      </c>
      <c r="D382" s="9">
        <v>45916</v>
      </c>
      <c r="E382" s="3">
        <v>2539.94</v>
      </c>
      <c r="F382" s="7" t="s">
        <v>3174</v>
      </c>
    </row>
    <row r="383" spans="1:6" x14ac:dyDescent="0.3">
      <c r="A383" s="7" t="s">
        <v>3556</v>
      </c>
      <c r="B383" s="7" t="s">
        <v>843</v>
      </c>
      <c r="C383" s="7" t="s">
        <v>88</v>
      </c>
      <c r="D383" s="9">
        <v>45928</v>
      </c>
      <c r="E383" s="3">
        <v>1334.01</v>
      </c>
      <c r="F383" s="7" t="s">
        <v>298</v>
      </c>
    </row>
    <row r="384" spans="1:6" x14ac:dyDescent="0.3">
      <c r="A384" s="7" t="s">
        <v>3557</v>
      </c>
      <c r="B384" s="7" t="s">
        <v>844</v>
      </c>
      <c r="C384" s="7" t="s">
        <v>17</v>
      </c>
      <c r="D384" s="9">
        <v>45758</v>
      </c>
      <c r="E384" s="3">
        <v>3552.72</v>
      </c>
      <c r="F384" s="7" t="s">
        <v>296</v>
      </c>
    </row>
    <row r="385" spans="1:6" x14ac:dyDescent="0.3">
      <c r="A385" s="7" t="s">
        <v>3558</v>
      </c>
      <c r="B385" s="7" t="s">
        <v>845</v>
      </c>
      <c r="C385" s="7" t="s">
        <v>57</v>
      </c>
      <c r="D385" s="9">
        <v>46093</v>
      </c>
      <c r="E385" s="3">
        <v>4089.29</v>
      </c>
      <c r="F385" s="7" t="s">
        <v>298</v>
      </c>
    </row>
    <row r="386" spans="1:6" x14ac:dyDescent="0.3">
      <c r="A386" s="7" t="s">
        <v>3559</v>
      </c>
      <c r="B386" s="7" t="s">
        <v>846</v>
      </c>
      <c r="C386" s="7" t="s">
        <v>15</v>
      </c>
      <c r="D386" s="9">
        <v>46144</v>
      </c>
      <c r="E386" s="3">
        <v>3688.01</v>
      </c>
      <c r="F386" s="7" t="s">
        <v>3174</v>
      </c>
    </row>
    <row r="387" spans="1:6" x14ac:dyDescent="0.3">
      <c r="A387" s="7" t="s">
        <v>3560</v>
      </c>
      <c r="B387" s="7" t="s">
        <v>847</v>
      </c>
      <c r="C387" s="7" t="s">
        <v>18</v>
      </c>
      <c r="D387" s="9">
        <v>46058</v>
      </c>
      <c r="E387" s="3">
        <v>2698.68</v>
      </c>
      <c r="F387" s="7" t="s">
        <v>296</v>
      </c>
    </row>
    <row r="388" spans="1:6" x14ac:dyDescent="0.3">
      <c r="A388" s="7" t="s">
        <v>3561</v>
      </c>
      <c r="B388" s="7" t="s">
        <v>848</v>
      </c>
      <c r="C388" s="7" t="s">
        <v>92</v>
      </c>
      <c r="D388" s="9">
        <v>45984</v>
      </c>
      <c r="E388" s="3">
        <v>10156.74</v>
      </c>
      <c r="F388" s="7" t="s">
        <v>3174</v>
      </c>
    </row>
    <row r="389" spans="1:6" x14ac:dyDescent="0.3">
      <c r="A389" s="7" t="s">
        <v>3562</v>
      </c>
      <c r="B389" s="7" t="s">
        <v>849</v>
      </c>
      <c r="C389" s="7" t="s">
        <v>24</v>
      </c>
      <c r="D389" s="9">
        <v>45769</v>
      </c>
      <c r="E389" s="3">
        <v>1913.8</v>
      </c>
      <c r="F389" s="7" t="s">
        <v>3174</v>
      </c>
    </row>
    <row r="390" spans="1:6" x14ac:dyDescent="0.3">
      <c r="A390" s="7" t="s">
        <v>3563</v>
      </c>
      <c r="B390" s="7" t="s">
        <v>850</v>
      </c>
      <c r="C390" s="7" t="s">
        <v>107</v>
      </c>
      <c r="D390" s="9">
        <v>45919</v>
      </c>
      <c r="E390" s="3">
        <v>604.79</v>
      </c>
      <c r="F390" s="7" t="s">
        <v>3174</v>
      </c>
    </row>
    <row r="391" spans="1:6" x14ac:dyDescent="0.3">
      <c r="A391" s="7" t="s">
        <v>3564</v>
      </c>
      <c r="B391" s="7" t="s">
        <v>850</v>
      </c>
      <c r="C391" s="7" t="s">
        <v>107</v>
      </c>
      <c r="D391" s="9">
        <v>45921</v>
      </c>
      <c r="E391" s="3">
        <v>843.38</v>
      </c>
      <c r="F391" s="7" t="s">
        <v>298</v>
      </c>
    </row>
    <row r="392" spans="1:6" x14ac:dyDescent="0.3">
      <c r="A392" s="7" t="s">
        <v>3565</v>
      </c>
      <c r="B392" s="7" t="s">
        <v>851</v>
      </c>
      <c r="C392" s="7" t="s">
        <v>118</v>
      </c>
      <c r="D392" s="9">
        <v>45871</v>
      </c>
      <c r="E392" s="3">
        <v>1626.66</v>
      </c>
      <c r="F392" s="7" t="s">
        <v>3184</v>
      </c>
    </row>
    <row r="393" spans="1:6" x14ac:dyDescent="0.3">
      <c r="A393" s="7" t="s">
        <v>3566</v>
      </c>
      <c r="B393" s="7" t="s">
        <v>852</v>
      </c>
      <c r="C393" s="7" t="s">
        <v>61</v>
      </c>
      <c r="D393" s="9">
        <v>45728</v>
      </c>
      <c r="E393" s="3">
        <v>2732.94</v>
      </c>
      <c r="F393" s="7" t="s">
        <v>296</v>
      </c>
    </row>
    <row r="394" spans="1:6" x14ac:dyDescent="0.3">
      <c r="A394" s="7" t="s">
        <v>3567</v>
      </c>
      <c r="B394" s="7" t="s">
        <v>854</v>
      </c>
      <c r="C394" s="7" t="s">
        <v>116</v>
      </c>
      <c r="D394" s="9">
        <v>45964</v>
      </c>
      <c r="E394" s="3">
        <v>2995.38</v>
      </c>
      <c r="F394" s="7" t="s">
        <v>298</v>
      </c>
    </row>
    <row r="395" spans="1:6" x14ac:dyDescent="0.3">
      <c r="A395" s="7" t="s">
        <v>3568</v>
      </c>
      <c r="B395" s="7" t="s">
        <v>856</v>
      </c>
      <c r="C395" s="7" t="s">
        <v>7</v>
      </c>
      <c r="D395" s="9">
        <v>45720</v>
      </c>
      <c r="E395" s="3">
        <v>3743.77</v>
      </c>
      <c r="F395" s="7" t="s">
        <v>296</v>
      </c>
    </row>
    <row r="396" spans="1:6" x14ac:dyDescent="0.3">
      <c r="A396" s="7" t="s">
        <v>3569</v>
      </c>
      <c r="B396" s="7" t="s">
        <v>857</v>
      </c>
      <c r="C396" s="7" t="s">
        <v>53</v>
      </c>
      <c r="D396" s="9">
        <v>45670</v>
      </c>
      <c r="E396" s="3">
        <v>3430.43</v>
      </c>
      <c r="F396" s="7" t="s">
        <v>298</v>
      </c>
    </row>
    <row r="397" spans="1:6" x14ac:dyDescent="0.3">
      <c r="A397" s="7" t="s">
        <v>3570</v>
      </c>
      <c r="B397" s="7" t="s">
        <v>858</v>
      </c>
      <c r="C397" s="7" t="s">
        <v>123</v>
      </c>
      <c r="D397" s="9">
        <v>45760</v>
      </c>
      <c r="E397" s="3">
        <v>14017.09</v>
      </c>
      <c r="F397" s="7" t="s">
        <v>3174</v>
      </c>
    </row>
    <row r="398" spans="1:6" x14ac:dyDescent="0.3">
      <c r="A398" s="7" t="s">
        <v>3571</v>
      </c>
      <c r="B398" s="7" t="s">
        <v>859</v>
      </c>
      <c r="C398" s="7" t="s">
        <v>60</v>
      </c>
      <c r="D398" s="9">
        <v>45883</v>
      </c>
      <c r="E398" s="3">
        <v>1973.28</v>
      </c>
      <c r="F398" s="7" t="s">
        <v>3184</v>
      </c>
    </row>
    <row r="399" spans="1:6" x14ac:dyDescent="0.3">
      <c r="A399" s="7" t="s">
        <v>3572</v>
      </c>
      <c r="B399" s="7" t="s">
        <v>860</v>
      </c>
      <c r="C399" s="7" t="s">
        <v>22</v>
      </c>
      <c r="D399" s="9">
        <v>46105</v>
      </c>
      <c r="E399" s="3">
        <v>1089.6300000000001</v>
      </c>
      <c r="F399" s="7" t="s">
        <v>296</v>
      </c>
    </row>
    <row r="400" spans="1:6" x14ac:dyDescent="0.3">
      <c r="A400" s="7" t="s">
        <v>3573</v>
      </c>
      <c r="B400" s="7" t="s">
        <v>860</v>
      </c>
      <c r="C400" s="7" t="s">
        <v>22</v>
      </c>
      <c r="D400" s="9">
        <v>46112</v>
      </c>
      <c r="E400" s="3">
        <v>580.72</v>
      </c>
      <c r="F400" s="7" t="s">
        <v>3174</v>
      </c>
    </row>
    <row r="401" spans="1:6" x14ac:dyDescent="0.3">
      <c r="A401" s="7" t="s">
        <v>3574</v>
      </c>
      <c r="B401" s="7" t="s">
        <v>861</v>
      </c>
      <c r="C401" s="7" t="s">
        <v>73</v>
      </c>
      <c r="D401" s="9">
        <v>45698</v>
      </c>
      <c r="E401" s="3">
        <v>3742.66</v>
      </c>
      <c r="F401" s="7" t="s">
        <v>298</v>
      </c>
    </row>
    <row r="402" spans="1:6" x14ac:dyDescent="0.3">
      <c r="A402" s="7" t="s">
        <v>3575</v>
      </c>
      <c r="B402" s="7" t="s">
        <v>863</v>
      </c>
      <c r="C402" s="7" t="s">
        <v>32</v>
      </c>
      <c r="D402" s="9">
        <v>45961</v>
      </c>
      <c r="E402" s="3">
        <v>2327.3000000000002</v>
      </c>
      <c r="F402" s="7" t="s">
        <v>298</v>
      </c>
    </row>
    <row r="403" spans="1:6" x14ac:dyDescent="0.3">
      <c r="A403" s="7" t="s">
        <v>3576</v>
      </c>
      <c r="B403" s="7" t="s">
        <v>864</v>
      </c>
      <c r="C403" s="7" t="s">
        <v>66</v>
      </c>
      <c r="D403" s="9">
        <v>45833</v>
      </c>
      <c r="E403" s="3">
        <v>2563.81</v>
      </c>
      <c r="F403" s="7" t="s">
        <v>298</v>
      </c>
    </row>
    <row r="404" spans="1:6" x14ac:dyDescent="0.3">
      <c r="A404" s="7" t="s">
        <v>3577</v>
      </c>
      <c r="B404" s="7" t="s">
        <v>865</v>
      </c>
      <c r="C404" s="7" t="s">
        <v>76</v>
      </c>
      <c r="D404" s="9">
        <v>45940</v>
      </c>
      <c r="E404" s="3">
        <v>2591.69</v>
      </c>
      <c r="F404" s="7" t="s">
        <v>3174</v>
      </c>
    </row>
    <row r="405" spans="1:6" x14ac:dyDescent="0.3">
      <c r="A405" s="7" t="s">
        <v>3578</v>
      </c>
      <c r="B405" s="7" t="s">
        <v>866</v>
      </c>
      <c r="C405" s="7" t="s">
        <v>51</v>
      </c>
      <c r="D405" s="9">
        <v>45897</v>
      </c>
      <c r="E405" s="3">
        <v>2731.05</v>
      </c>
      <c r="F405" s="7" t="s">
        <v>296</v>
      </c>
    </row>
    <row r="406" spans="1:6" x14ac:dyDescent="0.3">
      <c r="A406" s="7" t="s">
        <v>3579</v>
      </c>
      <c r="B406" s="7" t="s">
        <v>866</v>
      </c>
      <c r="C406" s="7" t="s">
        <v>51</v>
      </c>
      <c r="D406" s="9">
        <v>45904</v>
      </c>
      <c r="E406" s="3">
        <v>1570.08</v>
      </c>
      <c r="F406" s="7" t="s">
        <v>3184</v>
      </c>
    </row>
    <row r="407" spans="1:6" x14ac:dyDescent="0.3">
      <c r="A407" s="7" t="s">
        <v>3580</v>
      </c>
      <c r="B407" s="7" t="s">
        <v>868</v>
      </c>
      <c r="C407" s="7" t="s">
        <v>33</v>
      </c>
      <c r="D407" s="9">
        <v>46056</v>
      </c>
      <c r="E407" s="3">
        <v>1710.92</v>
      </c>
      <c r="F407" s="7" t="s">
        <v>3174</v>
      </c>
    </row>
    <row r="408" spans="1:6" x14ac:dyDescent="0.3">
      <c r="A408" s="7" t="s">
        <v>3581</v>
      </c>
      <c r="B408" s="7" t="s">
        <v>874</v>
      </c>
      <c r="C408" s="7" t="s">
        <v>101</v>
      </c>
      <c r="D408" s="9">
        <v>45851</v>
      </c>
      <c r="E408" s="3">
        <v>999.59</v>
      </c>
      <c r="F408" s="7" t="s">
        <v>298</v>
      </c>
    </row>
    <row r="409" spans="1:6" x14ac:dyDescent="0.3">
      <c r="A409" s="7" t="s">
        <v>3582</v>
      </c>
      <c r="B409" s="7" t="s">
        <v>874</v>
      </c>
      <c r="C409" s="7" t="s">
        <v>101</v>
      </c>
      <c r="D409" s="9">
        <v>45856</v>
      </c>
      <c r="E409" s="3">
        <v>1261.4000000000001</v>
      </c>
      <c r="F409" s="7" t="s">
        <v>3174</v>
      </c>
    </row>
    <row r="410" spans="1:6" x14ac:dyDescent="0.3">
      <c r="A410" s="7" t="s">
        <v>3583</v>
      </c>
      <c r="B410" s="7" t="s">
        <v>875</v>
      </c>
      <c r="C410" s="7" t="s">
        <v>32</v>
      </c>
      <c r="D410" s="9">
        <v>45810</v>
      </c>
      <c r="E410" s="3">
        <v>2318.06</v>
      </c>
      <c r="F410" s="7" t="s">
        <v>3184</v>
      </c>
    </row>
    <row r="411" spans="1:6" x14ac:dyDescent="0.3">
      <c r="A411" s="7" t="s">
        <v>3584</v>
      </c>
      <c r="B411" s="7" t="s">
        <v>876</v>
      </c>
      <c r="C411" s="7" t="s">
        <v>28</v>
      </c>
      <c r="D411" s="9">
        <v>45977</v>
      </c>
      <c r="E411" s="3">
        <v>5559.87</v>
      </c>
      <c r="F411" s="7" t="s">
        <v>296</v>
      </c>
    </row>
    <row r="412" spans="1:6" x14ac:dyDescent="0.3">
      <c r="A412" s="7" t="s">
        <v>3585</v>
      </c>
      <c r="B412" s="7" t="s">
        <v>877</v>
      </c>
      <c r="C412" s="7" t="s">
        <v>105</v>
      </c>
      <c r="D412" s="9">
        <v>45891</v>
      </c>
      <c r="E412" s="3">
        <v>11837.06</v>
      </c>
      <c r="F412" s="7" t="s">
        <v>296</v>
      </c>
    </row>
    <row r="413" spans="1:6" x14ac:dyDescent="0.3">
      <c r="A413" s="7" t="s">
        <v>3586</v>
      </c>
      <c r="B413" s="7" t="s">
        <v>879</v>
      </c>
      <c r="C413" s="7" t="s">
        <v>12</v>
      </c>
      <c r="D413" s="9">
        <v>45819</v>
      </c>
      <c r="E413" s="3">
        <v>5615.19</v>
      </c>
      <c r="F413" s="7" t="s">
        <v>298</v>
      </c>
    </row>
    <row r="414" spans="1:6" x14ac:dyDescent="0.3">
      <c r="A414" s="7" t="s">
        <v>3587</v>
      </c>
      <c r="B414" s="7" t="s">
        <v>880</v>
      </c>
      <c r="C414" s="7" t="s">
        <v>38</v>
      </c>
      <c r="D414" s="9">
        <v>45841</v>
      </c>
      <c r="E414" s="3">
        <v>5671.85</v>
      </c>
      <c r="F414" s="7" t="s">
        <v>3174</v>
      </c>
    </row>
    <row r="415" spans="1:6" x14ac:dyDescent="0.3">
      <c r="A415" s="7" t="s">
        <v>3588</v>
      </c>
      <c r="B415" s="7" t="s">
        <v>881</v>
      </c>
      <c r="C415" s="7" t="s">
        <v>111</v>
      </c>
      <c r="D415" s="9">
        <v>45704</v>
      </c>
      <c r="E415" s="3">
        <v>2396.2399999999998</v>
      </c>
      <c r="F415" s="7" t="s">
        <v>296</v>
      </c>
    </row>
    <row r="416" spans="1:6" x14ac:dyDescent="0.3">
      <c r="A416" s="7" t="s">
        <v>3589</v>
      </c>
      <c r="B416" s="7" t="s">
        <v>882</v>
      </c>
      <c r="C416" s="7" t="s">
        <v>77</v>
      </c>
      <c r="D416" s="9">
        <v>45898</v>
      </c>
      <c r="E416" s="3">
        <v>4062.16</v>
      </c>
      <c r="F416" s="7" t="s">
        <v>3174</v>
      </c>
    </row>
    <row r="417" spans="1:6" x14ac:dyDescent="0.3">
      <c r="A417" s="7" t="s">
        <v>3590</v>
      </c>
      <c r="B417" s="7" t="s">
        <v>883</v>
      </c>
      <c r="C417" s="7" t="s">
        <v>14</v>
      </c>
      <c r="D417" s="9">
        <v>45740</v>
      </c>
      <c r="E417" s="3">
        <v>4189.45</v>
      </c>
      <c r="F417" s="7" t="s">
        <v>3184</v>
      </c>
    </row>
    <row r="418" spans="1:6" x14ac:dyDescent="0.3">
      <c r="A418" s="7" t="s">
        <v>3591</v>
      </c>
      <c r="B418" s="7" t="s">
        <v>884</v>
      </c>
      <c r="C418" s="7" t="s">
        <v>87</v>
      </c>
      <c r="D418" s="9">
        <v>46116</v>
      </c>
      <c r="E418" s="3">
        <v>4261.43</v>
      </c>
      <c r="F418" s="7" t="s">
        <v>296</v>
      </c>
    </row>
    <row r="419" spans="1:6" x14ac:dyDescent="0.3">
      <c r="A419" s="7" t="s">
        <v>3592</v>
      </c>
      <c r="B419" s="7" t="s">
        <v>886</v>
      </c>
      <c r="C419" s="7" t="s">
        <v>23</v>
      </c>
      <c r="D419" s="9">
        <v>45807</v>
      </c>
      <c r="E419" s="3">
        <v>3596.59</v>
      </c>
      <c r="F419" s="7" t="s">
        <v>298</v>
      </c>
    </row>
    <row r="420" spans="1:6" x14ac:dyDescent="0.3">
      <c r="A420" s="7" t="s">
        <v>3593</v>
      </c>
      <c r="B420" s="7" t="s">
        <v>887</v>
      </c>
      <c r="C420" s="7" t="s">
        <v>66</v>
      </c>
      <c r="D420" s="9">
        <v>46108</v>
      </c>
      <c r="E420" s="3">
        <v>1742.28</v>
      </c>
      <c r="F420" s="7" t="s">
        <v>3184</v>
      </c>
    </row>
    <row r="421" spans="1:6" x14ac:dyDescent="0.3">
      <c r="A421" s="7" t="s">
        <v>3594</v>
      </c>
      <c r="B421" s="7" t="s">
        <v>887</v>
      </c>
      <c r="C421" s="7" t="s">
        <v>66</v>
      </c>
      <c r="D421" s="9">
        <v>46116</v>
      </c>
      <c r="E421" s="3">
        <v>1743.81</v>
      </c>
      <c r="F421" s="7" t="s">
        <v>298</v>
      </c>
    </row>
    <row r="422" spans="1:6" x14ac:dyDescent="0.3">
      <c r="A422" s="7" t="s">
        <v>3595</v>
      </c>
      <c r="B422" s="7" t="s">
        <v>889</v>
      </c>
      <c r="C422" s="7" t="s">
        <v>34</v>
      </c>
      <c r="D422" s="9">
        <v>46045</v>
      </c>
      <c r="E422" s="3">
        <v>9741.52</v>
      </c>
      <c r="F422" s="7" t="s">
        <v>3174</v>
      </c>
    </row>
    <row r="423" spans="1:6" x14ac:dyDescent="0.3">
      <c r="A423" s="7" t="s">
        <v>3596</v>
      </c>
      <c r="B423" s="7" t="s">
        <v>890</v>
      </c>
      <c r="C423" s="7" t="s">
        <v>86</v>
      </c>
      <c r="D423" s="9">
        <v>45912</v>
      </c>
      <c r="E423" s="3">
        <v>4549.96</v>
      </c>
      <c r="F423" s="7" t="s">
        <v>3174</v>
      </c>
    </row>
    <row r="424" spans="1:6" x14ac:dyDescent="0.3">
      <c r="A424" s="7" t="s">
        <v>3597</v>
      </c>
      <c r="B424" s="7" t="s">
        <v>891</v>
      </c>
      <c r="C424" s="7" t="s">
        <v>77</v>
      </c>
      <c r="D424" s="9">
        <v>45828</v>
      </c>
      <c r="E424" s="3">
        <v>3144.1</v>
      </c>
      <c r="F424" s="7" t="s">
        <v>3184</v>
      </c>
    </row>
    <row r="425" spans="1:6" x14ac:dyDescent="0.3">
      <c r="A425" s="7" t="s">
        <v>3598</v>
      </c>
      <c r="B425" s="7" t="s">
        <v>892</v>
      </c>
      <c r="C425" s="7" t="s">
        <v>32</v>
      </c>
      <c r="D425" s="9">
        <v>45843</v>
      </c>
      <c r="E425" s="3">
        <v>9892.7000000000007</v>
      </c>
      <c r="F425" s="7" t="s">
        <v>296</v>
      </c>
    </row>
    <row r="426" spans="1:6" x14ac:dyDescent="0.3">
      <c r="A426" s="7" t="s">
        <v>3599</v>
      </c>
      <c r="B426" s="7" t="s">
        <v>893</v>
      </c>
      <c r="C426" s="7" t="s">
        <v>109</v>
      </c>
      <c r="D426" s="9">
        <v>45927</v>
      </c>
      <c r="E426" s="3">
        <v>2076.9499999999998</v>
      </c>
      <c r="F426" s="7" t="s">
        <v>3174</v>
      </c>
    </row>
    <row r="427" spans="1:6" x14ac:dyDescent="0.3">
      <c r="A427" s="7" t="s">
        <v>3600</v>
      </c>
      <c r="B427" s="7" t="s">
        <v>894</v>
      </c>
      <c r="C427" s="7" t="s">
        <v>76</v>
      </c>
      <c r="D427" s="9">
        <v>45881</v>
      </c>
      <c r="E427" s="3">
        <v>2682.61</v>
      </c>
      <c r="F427" s="7" t="s">
        <v>3174</v>
      </c>
    </row>
    <row r="428" spans="1:6" x14ac:dyDescent="0.3">
      <c r="A428" s="7" t="s">
        <v>3601</v>
      </c>
      <c r="B428" s="7" t="s">
        <v>894</v>
      </c>
      <c r="C428" s="7" t="s">
        <v>76</v>
      </c>
      <c r="D428" s="9">
        <v>45888</v>
      </c>
      <c r="E428" s="3">
        <v>1230.17</v>
      </c>
      <c r="F428" s="7" t="s">
        <v>3184</v>
      </c>
    </row>
    <row r="429" spans="1:6" x14ac:dyDescent="0.3">
      <c r="A429" s="7" t="s">
        <v>3602</v>
      </c>
      <c r="B429" s="7" t="s">
        <v>895</v>
      </c>
      <c r="C429" s="7" t="s">
        <v>41</v>
      </c>
      <c r="D429" s="9">
        <v>45951</v>
      </c>
      <c r="E429" s="3">
        <v>11251.36</v>
      </c>
      <c r="F429" s="7" t="s">
        <v>296</v>
      </c>
    </row>
    <row r="430" spans="1:6" x14ac:dyDescent="0.3">
      <c r="A430" s="7" t="s">
        <v>3603</v>
      </c>
      <c r="B430" s="7" t="s">
        <v>896</v>
      </c>
      <c r="C430" s="7" t="s">
        <v>110</v>
      </c>
      <c r="D430" s="9">
        <v>45991</v>
      </c>
      <c r="E430" s="3">
        <v>4052.13</v>
      </c>
      <c r="F430" s="7" t="s">
        <v>298</v>
      </c>
    </row>
    <row r="431" spans="1:6" x14ac:dyDescent="0.3">
      <c r="A431" s="7" t="s">
        <v>3604</v>
      </c>
      <c r="B431" s="7" t="s">
        <v>897</v>
      </c>
      <c r="C431" s="7" t="s">
        <v>81</v>
      </c>
      <c r="D431" s="9">
        <v>45945</v>
      </c>
      <c r="E431" s="3">
        <v>1359.83</v>
      </c>
      <c r="F431" s="7" t="s">
        <v>296</v>
      </c>
    </row>
    <row r="432" spans="1:6" x14ac:dyDescent="0.3">
      <c r="A432" s="7" t="s">
        <v>3605</v>
      </c>
      <c r="B432" s="7" t="s">
        <v>897</v>
      </c>
      <c r="C432" s="7" t="s">
        <v>81</v>
      </c>
      <c r="D432" s="9">
        <v>45958</v>
      </c>
      <c r="E432" s="3">
        <v>698.76</v>
      </c>
      <c r="F432" s="7" t="s">
        <v>3184</v>
      </c>
    </row>
    <row r="433" spans="1:6" x14ac:dyDescent="0.3">
      <c r="A433" s="7" t="s">
        <v>3606</v>
      </c>
      <c r="B433" s="7" t="s">
        <v>898</v>
      </c>
      <c r="C433" s="7" t="s">
        <v>41</v>
      </c>
      <c r="D433" s="9">
        <v>45727</v>
      </c>
      <c r="E433" s="3">
        <v>5947.96</v>
      </c>
      <c r="F433" s="7" t="s">
        <v>3174</v>
      </c>
    </row>
    <row r="434" spans="1:6" x14ac:dyDescent="0.3">
      <c r="A434" s="7" t="s">
        <v>3607</v>
      </c>
      <c r="B434" s="7" t="s">
        <v>900</v>
      </c>
      <c r="C434" s="7" t="s">
        <v>114</v>
      </c>
      <c r="D434" s="9">
        <v>46101</v>
      </c>
      <c r="E434" s="3">
        <v>3985.11</v>
      </c>
      <c r="F434" s="7" t="s">
        <v>296</v>
      </c>
    </row>
    <row r="435" spans="1:6" x14ac:dyDescent="0.3">
      <c r="A435" s="7" t="s">
        <v>3608</v>
      </c>
      <c r="B435" s="7" t="s">
        <v>902</v>
      </c>
      <c r="C435" s="7" t="s">
        <v>79</v>
      </c>
      <c r="D435" s="9">
        <v>45726</v>
      </c>
      <c r="E435" s="3">
        <v>2913.98</v>
      </c>
      <c r="F435" s="7" t="s">
        <v>3174</v>
      </c>
    </row>
    <row r="436" spans="1:6" x14ac:dyDescent="0.3">
      <c r="A436" s="7" t="s">
        <v>3609</v>
      </c>
      <c r="B436" s="7" t="s">
        <v>903</v>
      </c>
      <c r="C436" s="7" t="s">
        <v>29</v>
      </c>
      <c r="D436" s="9">
        <v>45778</v>
      </c>
      <c r="E436" s="3">
        <v>2998.94</v>
      </c>
      <c r="F436" s="7" t="s">
        <v>296</v>
      </c>
    </row>
    <row r="437" spans="1:6" x14ac:dyDescent="0.3">
      <c r="A437" s="7" t="s">
        <v>3610</v>
      </c>
      <c r="B437" s="7" t="s">
        <v>904</v>
      </c>
      <c r="C437" s="7" t="s">
        <v>9</v>
      </c>
      <c r="D437" s="9">
        <v>45706</v>
      </c>
      <c r="E437" s="3">
        <v>9782.23</v>
      </c>
      <c r="F437" s="7" t="s">
        <v>3174</v>
      </c>
    </row>
    <row r="438" spans="1:6" x14ac:dyDescent="0.3">
      <c r="A438" s="7" t="s">
        <v>3611</v>
      </c>
      <c r="B438" s="7" t="s">
        <v>905</v>
      </c>
      <c r="C438" s="7" t="s">
        <v>23</v>
      </c>
      <c r="D438" s="9">
        <v>45848</v>
      </c>
      <c r="E438" s="3">
        <v>1834.68</v>
      </c>
      <c r="F438" s="7" t="s">
        <v>3174</v>
      </c>
    </row>
    <row r="439" spans="1:6" x14ac:dyDescent="0.3">
      <c r="A439" s="7" t="s">
        <v>3612</v>
      </c>
      <c r="B439" s="7" t="s">
        <v>905</v>
      </c>
      <c r="C439" s="7" t="s">
        <v>23</v>
      </c>
      <c r="D439" s="9">
        <v>45856</v>
      </c>
      <c r="E439" s="3">
        <v>1634.5</v>
      </c>
      <c r="F439" s="7" t="s">
        <v>3184</v>
      </c>
    </row>
    <row r="440" spans="1:6" x14ac:dyDescent="0.3">
      <c r="A440" s="7" t="s">
        <v>3613</v>
      </c>
      <c r="B440" s="7" t="s">
        <v>906</v>
      </c>
      <c r="C440" s="7" t="s">
        <v>25</v>
      </c>
      <c r="D440" s="9">
        <v>46084</v>
      </c>
      <c r="E440" s="3">
        <v>2716.94</v>
      </c>
      <c r="F440" s="7" t="s">
        <v>3174</v>
      </c>
    </row>
    <row r="441" spans="1:6" x14ac:dyDescent="0.3">
      <c r="A441" s="7" t="s">
        <v>3614</v>
      </c>
      <c r="B441" s="7" t="s">
        <v>909</v>
      </c>
      <c r="C441" s="7" t="s">
        <v>27</v>
      </c>
      <c r="D441" s="9">
        <v>45854</v>
      </c>
      <c r="E441" s="3">
        <v>2941.45</v>
      </c>
      <c r="F441" s="7" t="s">
        <v>296</v>
      </c>
    </row>
    <row r="442" spans="1:6" x14ac:dyDescent="0.3">
      <c r="A442" s="7" t="s">
        <v>3615</v>
      </c>
      <c r="B442" s="7" t="s">
        <v>912</v>
      </c>
      <c r="C442" s="7" t="s">
        <v>100</v>
      </c>
      <c r="D442" s="9">
        <v>45987</v>
      </c>
      <c r="E442" s="3">
        <v>2223.2399999999998</v>
      </c>
      <c r="F442" s="7" t="s">
        <v>298</v>
      </c>
    </row>
    <row r="443" spans="1:6" x14ac:dyDescent="0.3">
      <c r="A443" s="7" t="s">
        <v>3616</v>
      </c>
      <c r="B443" s="7" t="s">
        <v>913</v>
      </c>
      <c r="C443" s="7" t="s">
        <v>96</v>
      </c>
      <c r="D443" s="9">
        <v>45758</v>
      </c>
      <c r="E443" s="3">
        <v>1652.05</v>
      </c>
      <c r="F443" s="7" t="s">
        <v>296</v>
      </c>
    </row>
    <row r="444" spans="1:6" x14ac:dyDescent="0.3">
      <c r="A444" s="7" t="s">
        <v>3617</v>
      </c>
      <c r="B444" s="7" t="s">
        <v>914</v>
      </c>
      <c r="C444" s="7" t="s">
        <v>84</v>
      </c>
      <c r="D444" s="9">
        <v>46111</v>
      </c>
      <c r="E444" s="3">
        <v>3348.24</v>
      </c>
      <c r="F444" s="7" t="s">
        <v>296</v>
      </c>
    </row>
    <row r="445" spans="1:6" x14ac:dyDescent="0.3">
      <c r="A445" s="7" t="s">
        <v>3618</v>
      </c>
      <c r="B445" s="7" t="s">
        <v>915</v>
      </c>
      <c r="C445" s="7" t="s">
        <v>20</v>
      </c>
      <c r="D445" s="9">
        <v>45988</v>
      </c>
      <c r="E445" s="3">
        <v>2921.04</v>
      </c>
      <c r="F445" s="7" t="s">
        <v>3184</v>
      </c>
    </row>
    <row r="446" spans="1:6" x14ac:dyDescent="0.3">
      <c r="A446" s="7" t="s">
        <v>3619</v>
      </c>
      <c r="B446" s="7" t="s">
        <v>916</v>
      </c>
      <c r="C446" s="7" t="s">
        <v>47</v>
      </c>
      <c r="D446" s="9">
        <v>46043</v>
      </c>
      <c r="E446" s="3">
        <v>10275.09</v>
      </c>
      <c r="F446" s="7" t="s">
        <v>3184</v>
      </c>
    </row>
    <row r="447" spans="1:6" x14ac:dyDescent="0.3">
      <c r="A447" s="7" t="s">
        <v>3620</v>
      </c>
      <c r="B447" s="7" t="s">
        <v>917</v>
      </c>
      <c r="C447" s="7" t="s">
        <v>100</v>
      </c>
      <c r="D447" s="9">
        <v>45703</v>
      </c>
      <c r="E447" s="3">
        <v>5272.37</v>
      </c>
      <c r="F447" s="7" t="s">
        <v>3174</v>
      </c>
    </row>
    <row r="448" spans="1:6" x14ac:dyDescent="0.3">
      <c r="A448" s="7" t="s">
        <v>3621</v>
      </c>
      <c r="B448" s="7" t="s">
        <v>918</v>
      </c>
      <c r="C448" s="7" t="s">
        <v>15</v>
      </c>
      <c r="D448" s="9">
        <v>45817</v>
      </c>
      <c r="E448" s="3">
        <v>1544.07</v>
      </c>
      <c r="F448" s="7" t="s">
        <v>296</v>
      </c>
    </row>
    <row r="449" spans="1:6" x14ac:dyDescent="0.3">
      <c r="A449" s="7" t="s">
        <v>3622</v>
      </c>
      <c r="B449" s="7" t="s">
        <v>918</v>
      </c>
      <c r="C449" s="7" t="s">
        <v>15</v>
      </c>
      <c r="D449" s="9">
        <v>45820</v>
      </c>
      <c r="E449" s="3">
        <v>902.56</v>
      </c>
      <c r="F449" s="7" t="s">
        <v>3184</v>
      </c>
    </row>
    <row r="450" spans="1:6" x14ac:dyDescent="0.3">
      <c r="A450" s="7" t="s">
        <v>3623</v>
      </c>
      <c r="B450" s="7" t="s">
        <v>919</v>
      </c>
      <c r="C450" s="7" t="s">
        <v>56</v>
      </c>
      <c r="D450" s="9">
        <v>45734</v>
      </c>
      <c r="E450" s="3">
        <v>2256.66</v>
      </c>
      <c r="F450" s="7" t="s">
        <v>3184</v>
      </c>
    </row>
    <row r="451" spans="1:6" x14ac:dyDescent="0.3">
      <c r="A451" s="7" t="s">
        <v>3624</v>
      </c>
      <c r="B451" s="7" t="s">
        <v>920</v>
      </c>
      <c r="C451" s="7" t="s">
        <v>55</v>
      </c>
      <c r="D451" s="9">
        <v>45777</v>
      </c>
      <c r="E451" s="3">
        <v>13116.41</v>
      </c>
      <c r="F451" s="7" t="s">
        <v>298</v>
      </c>
    </row>
    <row r="452" spans="1:6" x14ac:dyDescent="0.3">
      <c r="A452" s="7" t="s">
        <v>3625</v>
      </c>
      <c r="B452" s="7" t="s">
        <v>922</v>
      </c>
      <c r="C452" s="7" t="s">
        <v>109</v>
      </c>
      <c r="D452" s="9">
        <v>45788</v>
      </c>
      <c r="E452" s="3">
        <v>1985.94</v>
      </c>
      <c r="F452" s="7" t="s">
        <v>296</v>
      </c>
    </row>
    <row r="453" spans="1:6" x14ac:dyDescent="0.3">
      <c r="A453" s="7" t="s">
        <v>3626</v>
      </c>
      <c r="B453" s="7" t="s">
        <v>924</v>
      </c>
      <c r="C453" s="7" t="s">
        <v>77</v>
      </c>
      <c r="D453" s="9">
        <v>45861</v>
      </c>
      <c r="E453" s="3">
        <v>2170.11</v>
      </c>
      <c r="F453" s="7" t="s">
        <v>3184</v>
      </c>
    </row>
    <row r="454" spans="1:6" x14ac:dyDescent="0.3">
      <c r="A454" s="7" t="s">
        <v>3627</v>
      </c>
      <c r="B454" s="7" t="s">
        <v>925</v>
      </c>
      <c r="C454" s="7" t="s">
        <v>62</v>
      </c>
      <c r="D454" s="9">
        <v>45996</v>
      </c>
      <c r="E454" s="3">
        <v>2805.54</v>
      </c>
      <c r="F454" s="7" t="s">
        <v>3174</v>
      </c>
    </row>
    <row r="455" spans="1:6" x14ac:dyDescent="0.3">
      <c r="A455" s="7" t="s">
        <v>3628</v>
      </c>
      <c r="B455" s="7" t="s">
        <v>926</v>
      </c>
      <c r="C455" s="7" t="s">
        <v>49</v>
      </c>
      <c r="D455" s="9">
        <v>45888</v>
      </c>
      <c r="E455" s="3">
        <v>1558.8</v>
      </c>
      <c r="F455" s="7" t="s">
        <v>3184</v>
      </c>
    </row>
    <row r="456" spans="1:6" x14ac:dyDescent="0.3">
      <c r="A456" s="7" t="s">
        <v>3629</v>
      </c>
      <c r="B456" s="7" t="s">
        <v>927</v>
      </c>
      <c r="C456" s="7" t="s">
        <v>100</v>
      </c>
      <c r="D456" s="9">
        <v>45906</v>
      </c>
      <c r="E456" s="3">
        <v>5948.8</v>
      </c>
      <c r="F456" s="7" t="s">
        <v>3184</v>
      </c>
    </row>
    <row r="457" spans="1:6" x14ac:dyDescent="0.3">
      <c r="A457" s="7" t="s">
        <v>3630</v>
      </c>
      <c r="B457" s="7" t="s">
        <v>928</v>
      </c>
      <c r="C457" s="7" t="s">
        <v>13</v>
      </c>
      <c r="D457" s="9">
        <v>45812</v>
      </c>
      <c r="E457" s="3">
        <v>3171.37</v>
      </c>
      <c r="F457" s="7" t="s">
        <v>3174</v>
      </c>
    </row>
    <row r="458" spans="1:6" x14ac:dyDescent="0.3">
      <c r="A458" s="7" t="s">
        <v>3631</v>
      </c>
      <c r="B458" s="7" t="s">
        <v>929</v>
      </c>
      <c r="C458" s="7" t="s">
        <v>53</v>
      </c>
      <c r="D458" s="9">
        <v>46121</v>
      </c>
      <c r="E458" s="3">
        <v>12344.5</v>
      </c>
      <c r="F458" s="7" t="s">
        <v>3174</v>
      </c>
    </row>
    <row r="459" spans="1:6" x14ac:dyDescent="0.3">
      <c r="A459" s="7" t="s">
        <v>3632</v>
      </c>
      <c r="B459" s="7" t="s">
        <v>930</v>
      </c>
      <c r="C459" s="7" t="s">
        <v>68</v>
      </c>
      <c r="D459" s="9">
        <v>45867</v>
      </c>
      <c r="E459" s="3">
        <v>2913.13</v>
      </c>
      <c r="F459" s="7" t="s">
        <v>296</v>
      </c>
    </row>
    <row r="460" spans="1:6" x14ac:dyDescent="0.3">
      <c r="A460" s="7" t="s">
        <v>3633</v>
      </c>
      <c r="B460" s="7" t="s">
        <v>931</v>
      </c>
      <c r="C460" s="7" t="s">
        <v>17</v>
      </c>
      <c r="D460" s="9">
        <v>45788</v>
      </c>
      <c r="E460" s="3">
        <v>2751.46</v>
      </c>
      <c r="F460" s="7" t="s">
        <v>298</v>
      </c>
    </row>
    <row r="461" spans="1:6" x14ac:dyDescent="0.3">
      <c r="A461" s="7" t="s">
        <v>3634</v>
      </c>
      <c r="B461" s="7" t="s">
        <v>931</v>
      </c>
      <c r="C461" s="7" t="s">
        <v>17</v>
      </c>
      <c r="D461" s="9">
        <v>45790</v>
      </c>
      <c r="E461" s="3">
        <v>1442.51</v>
      </c>
      <c r="F461" s="7" t="s">
        <v>298</v>
      </c>
    </row>
    <row r="462" spans="1:6" x14ac:dyDescent="0.3">
      <c r="A462" s="7" t="s">
        <v>3635</v>
      </c>
      <c r="B462" s="7" t="s">
        <v>932</v>
      </c>
      <c r="C462" s="7" t="s">
        <v>121</v>
      </c>
      <c r="D462" s="9">
        <v>45827</v>
      </c>
      <c r="E462" s="3">
        <v>13650.09</v>
      </c>
      <c r="F462" s="7" t="s">
        <v>298</v>
      </c>
    </row>
    <row r="463" spans="1:6" x14ac:dyDescent="0.3">
      <c r="A463" s="7" t="s">
        <v>3636</v>
      </c>
      <c r="B463" s="7" t="s">
        <v>933</v>
      </c>
      <c r="C463" s="7" t="s">
        <v>54</v>
      </c>
      <c r="D463" s="9">
        <v>46033</v>
      </c>
      <c r="E463" s="3">
        <v>1630.8</v>
      </c>
      <c r="F463" s="7" t="s">
        <v>3184</v>
      </c>
    </row>
    <row r="464" spans="1:6" x14ac:dyDescent="0.3">
      <c r="A464" s="7" t="s">
        <v>3637</v>
      </c>
      <c r="B464" s="7" t="s">
        <v>934</v>
      </c>
      <c r="C464" s="7" t="s">
        <v>66</v>
      </c>
      <c r="D464" s="9">
        <v>45909</v>
      </c>
      <c r="E464" s="3">
        <v>11373.13</v>
      </c>
      <c r="F464" s="7" t="s">
        <v>3174</v>
      </c>
    </row>
    <row r="465" spans="1:6" x14ac:dyDescent="0.3">
      <c r="A465" s="7" t="s">
        <v>3638</v>
      </c>
      <c r="B465" s="7" t="s">
        <v>935</v>
      </c>
      <c r="C465" s="7" t="s">
        <v>103</v>
      </c>
      <c r="D465" s="9">
        <v>45854</v>
      </c>
      <c r="E465" s="3">
        <v>2226.2399999999998</v>
      </c>
      <c r="F465" s="7" t="s">
        <v>298</v>
      </c>
    </row>
    <row r="466" spans="1:6" x14ac:dyDescent="0.3">
      <c r="A466" s="7" t="s">
        <v>3639</v>
      </c>
      <c r="B466" s="7" t="s">
        <v>936</v>
      </c>
      <c r="C466" s="7" t="s">
        <v>76</v>
      </c>
      <c r="D466" s="9">
        <v>45730</v>
      </c>
      <c r="E466" s="3">
        <v>1920.58</v>
      </c>
      <c r="F466" s="7" t="s">
        <v>298</v>
      </c>
    </row>
    <row r="467" spans="1:6" x14ac:dyDescent="0.3">
      <c r="A467" s="7" t="s">
        <v>3640</v>
      </c>
      <c r="B467" s="7" t="s">
        <v>937</v>
      </c>
      <c r="C467" s="7" t="s">
        <v>114</v>
      </c>
      <c r="D467" s="9">
        <v>45970</v>
      </c>
      <c r="E467" s="3">
        <v>14259.39</v>
      </c>
      <c r="F467" s="7" t="s">
        <v>3174</v>
      </c>
    </row>
    <row r="468" spans="1:6" x14ac:dyDescent="0.3">
      <c r="A468" s="7" t="s">
        <v>3641</v>
      </c>
      <c r="B468" s="7" t="s">
        <v>938</v>
      </c>
      <c r="C468" s="7" t="s">
        <v>67</v>
      </c>
      <c r="D468" s="9">
        <v>45874</v>
      </c>
      <c r="E468" s="3">
        <v>13528.35</v>
      </c>
      <c r="F468" s="7" t="s">
        <v>298</v>
      </c>
    </row>
    <row r="469" spans="1:6" x14ac:dyDescent="0.3">
      <c r="A469" s="7" t="s">
        <v>3642</v>
      </c>
      <c r="B469" s="7" t="s">
        <v>939</v>
      </c>
      <c r="C469" s="7" t="s">
        <v>122</v>
      </c>
      <c r="D469" s="9">
        <v>45937</v>
      </c>
      <c r="E469" s="3">
        <v>4034.32</v>
      </c>
      <c r="F469" s="7" t="s">
        <v>296</v>
      </c>
    </row>
    <row r="470" spans="1:6" x14ac:dyDescent="0.3">
      <c r="A470" s="7" t="s">
        <v>3643</v>
      </c>
      <c r="B470" s="7" t="s">
        <v>941</v>
      </c>
      <c r="C470" s="7" t="s">
        <v>28</v>
      </c>
      <c r="D470" s="9">
        <v>46068</v>
      </c>
      <c r="E470" s="3">
        <v>1801.98</v>
      </c>
      <c r="F470" s="7" t="s">
        <v>296</v>
      </c>
    </row>
    <row r="471" spans="1:6" x14ac:dyDescent="0.3">
      <c r="A471" s="7" t="s">
        <v>3644</v>
      </c>
      <c r="B471" s="7" t="s">
        <v>941</v>
      </c>
      <c r="C471" s="7" t="s">
        <v>28</v>
      </c>
      <c r="D471" s="9">
        <v>46075</v>
      </c>
      <c r="E471" s="3">
        <v>1204.45</v>
      </c>
      <c r="F471" s="7" t="s">
        <v>3184</v>
      </c>
    </row>
    <row r="472" spans="1:6" x14ac:dyDescent="0.3">
      <c r="A472" s="7" t="s">
        <v>3645</v>
      </c>
      <c r="B472" s="7" t="s">
        <v>942</v>
      </c>
      <c r="C472" s="7" t="s">
        <v>94</v>
      </c>
      <c r="D472" s="9">
        <v>45749</v>
      </c>
      <c r="E472" s="3">
        <v>5616.92</v>
      </c>
      <c r="F472" s="7" t="s">
        <v>298</v>
      </c>
    </row>
    <row r="473" spans="1:6" x14ac:dyDescent="0.3">
      <c r="A473" s="7" t="s">
        <v>3646</v>
      </c>
      <c r="B473" s="7" t="s">
        <v>943</v>
      </c>
      <c r="C473" s="7" t="s">
        <v>83</v>
      </c>
      <c r="D473" s="9">
        <v>46132</v>
      </c>
      <c r="E473" s="3">
        <v>10569.21</v>
      </c>
      <c r="F473" s="7" t="s">
        <v>3184</v>
      </c>
    </row>
    <row r="474" spans="1:6" x14ac:dyDescent="0.3">
      <c r="A474" s="7" t="s">
        <v>3647</v>
      </c>
      <c r="B474" s="7" t="s">
        <v>944</v>
      </c>
      <c r="C474" s="7" t="s">
        <v>78</v>
      </c>
      <c r="D474" s="9">
        <v>46047</v>
      </c>
      <c r="E474" s="3">
        <v>2319.75</v>
      </c>
      <c r="F474" s="7" t="s">
        <v>3184</v>
      </c>
    </row>
    <row r="475" spans="1:6" x14ac:dyDescent="0.3">
      <c r="A475" s="7" t="s">
        <v>3648</v>
      </c>
      <c r="B475" s="7" t="s">
        <v>945</v>
      </c>
      <c r="C475" s="7" t="s">
        <v>124</v>
      </c>
      <c r="D475" s="9">
        <v>46126</v>
      </c>
      <c r="E475" s="3">
        <v>12249.86</v>
      </c>
      <c r="F475" s="7" t="s">
        <v>298</v>
      </c>
    </row>
    <row r="476" spans="1:6" x14ac:dyDescent="0.3">
      <c r="A476" s="7" t="s">
        <v>3649</v>
      </c>
      <c r="B476" s="7" t="s">
        <v>946</v>
      </c>
      <c r="C476" s="7" t="s">
        <v>60</v>
      </c>
      <c r="D476" s="9">
        <v>46012</v>
      </c>
      <c r="E476" s="3">
        <v>3343.86</v>
      </c>
      <c r="F476" s="7" t="s">
        <v>296</v>
      </c>
    </row>
    <row r="477" spans="1:6" x14ac:dyDescent="0.3">
      <c r="A477" s="7" t="s">
        <v>3650</v>
      </c>
      <c r="B477" s="7" t="s">
        <v>947</v>
      </c>
      <c r="C477" s="7" t="s">
        <v>104</v>
      </c>
      <c r="D477" s="9">
        <v>45784</v>
      </c>
      <c r="E477" s="3">
        <v>2897.33</v>
      </c>
      <c r="F477" s="7" t="s">
        <v>3184</v>
      </c>
    </row>
    <row r="478" spans="1:6" x14ac:dyDescent="0.3">
      <c r="A478" s="7" t="s">
        <v>3651</v>
      </c>
      <c r="B478" s="7" t="s">
        <v>949</v>
      </c>
      <c r="C478" s="7" t="s">
        <v>90</v>
      </c>
      <c r="D478" s="9">
        <v>46147</v>
      </c>
      <c r="E478" s="3">
        <v>4032.19</v>
      </c>
      <c r="F478" s="7" t="s">
        <v>296</v>
      </c>
    </row>
    <row r="479" spans="1:6" x14ac:dyDescent="0.3">
      <c r="A479" s="7" t="s">
        <v>3652</v>
      </c>
      <c r="B479" s="7" t="s">
        <v>950</v>
      </c>
      <c r="C479" s="7" t="s">
        <v>58</v>
      </c>
      <c r="D479" s="9">
        <v>45917</v>
      </c>
      <c r="E479" s="3">
        <v>12345.71</v>
      </c>
      <c r="F479" s="7" t="s">
        <v>298</v>
      </c>
    </row>
    <row r="480" spans="1:6" x14ac:dyDescent="0.3">
      <c r="A480" s="7" t="s">
        <v>3653</v>
      </c>
      <c r="B480" s="7" t="s">
        <v>951</v>
      </c>
      <c r="C480" s="7" t="s">
        <v>57</v>
      </c>
      <c r="D480" s="9">
        <v>46060</v>
      </c>
      <c r="E480" s="3">
        <v>5236.49</v>
      </c>
      <c r="F480" s="7" t="s">
        <v>3184</v>
      </c>
    </row>
    <row r="481" spans="1:6" x14ac:dyDescent="0.3">
      <c r="A481" s="7" t="s">
        <v>3654</v>
      </c>
      <c r="B481" s="7" t="s">
        <v>952</v>
      </c>
      <c r="C481" s="7" t="s">
        <v>41</v>
      </c>
      <c r="D481" s="9">
        <v>45691</v>
      </c>
      <c r="E481" s="3">
        <v>1318.52</v>
      </c>
      <c r="F481" s="7" t="s">
        <v>296</v>
      </c>
    </row>
    <row r="482" spans="1:6" x14ac:dyDescent="0.3">
      <c r="A482" s="7" t="s">
        <v>3655</v>
      </c>
      <c r="B482" s="7" t="s">
        <v>952</v>
      </c>
      <c r="C482" s="7" t="s">
        <v>41</v>
      </c>
      <c r="D482" s="9">
        <v>45705</v>
      </c>
      <c r="E482" s="3">
        <v>1371.99</v>
      </c>
      <c r="F482" s="7" t="s">
        <v>298</v>
      </c>
    </row>
    <row r="483" spans="1:6" x14ac:dyDescent="0.3">
      <c r="A483" s="7" t="s">
        <v>3656</v>
      </c>
      <c r="B483" s="7" t="s">
        <v>953</v>
      </c>
      <c r="C483" s="7" t="s">
        <v>114</v>
      </c>
      <c r="D483" s="9">
        <v>46093</v>
      </c>
      <c r="E483" s="3">
        <v>2020.23</v>
      </c>
      <c r="F483" s="7" t="s">
        <v>296</v>
      </c>
    </row>
    <row r="484" spans="1:6" x14ac:dyDescent="0.3">
      <c r="A484" s="7" t="s">
        <v>3657</v>
      </c>
      <c r="B484" s="7" t="s">
        <v>956</v>
      </c>
      <c r="C484" s="7" t="s">
        <v>63</v>
      </c>
      <c r="D484" s="9">
        <v>45971</v>
      </c>
      <c r="E484" s="3">
        <v>2728.8</v>
      </c>
      <c r="F484" s="7" t="s">
        <v>296</v>
      </c>
    </row>
    <row r="485" spans="1:6" x14ac:dyDescent="0.3">
      <c r="A485" s="7" t="s">
        <v>3658</v>
      </c>
      <c r="B485" s="7" t="s">
        <v>957</v>
      </c>
      <c r="C485" s="7" t="s">
        <v>73</v>
      </c>
      <c r="D485" s="9">
        <v>45885</v>
      </c>
      <c r="E485" s="3">
        <v>5826.87</v>
      </c>
      <c r="F485" s="7" t="s">
        <v>296</v>
      </c>
    </row>
    <row r="486" spans="1:6" x14ac:dyDescent="0.3">
      <c r="A486" s="7" t="s">
        <v>3659</v>
      </c>
      <c r="B486" s="7" t="s">
        <v>958</v>
      </c>
      <c r="C486" s="7" t="s">
        <v>97</v>
      </c>
      <c r="D486" s="9">
        <v>45921</v>
      </c>
      <c r="E486" s="3">
        <v>2821.02</v>
      </c>
      <c r="F486" s="7" t="s">
        <v>296</v>
      </c>
    </row>
    <row r="487" spans="1:6" x14ac:dyDescent="0.3">
      <c r="A487" s="7" t="s">
        <v>3660</v>
      </c>
      <c r="B487" s="7" t="s">
        <v>961</v>
      </c>
      <c r="C487" s="7" t="s">
        <v>54</v>
      </c>
      <c r="D487" s="9">
        <v>45887</v>
      </c>
      <c r="E487" s="3">
        <v>2947.74</v>
      </c>
      <c r="F487" s="7" t="s">
        <v>3184</v>
      </c>
    </row>
    <row r="488" spans="1:6" x14ac:dyDescent="0.3">
      <c r="A488" s="7" t="s">
        <v>3661</v>
      </c>
      <c r="B488" s="7" t="s">
        <v>962</v>
      </c>
      <c r="C488" s="7" t="s">
        <v>37</v>
      </c>
      <c r="D488" s="9">
        <v>46012</v>
      </c>
      <c r="E488" s="3">
        <v>12024.61</v>
      </c>
      <c r="F488" s="7" t="s">
        <v>3184</v>
      </c>
    </row>
    <row r="489" spans="1:6" x14ac:dyDescent="0.3">
      <c r="A489" s="7" t="s">
        <v>3662</v>
      </c>
      <c r="B489" s="7" t="s">
        <v>965</v>
      </c>
      <c r="C489" s="7" t="s">
        <v>13</v>
      </c>
      <c r="D489" s="9">
        <v>45710</v>
      </c>
      <c r="E489" s="3">
        <v>2038.23</v>
      </c>
      <c r="F489" s="7" t="s">
        <v>296</v>
      </c>
    </row>
    <row r="490" spans="1:6" x14ac:dyDescent="0.3">
      <c r="A490" s="7" t="s">
        <v>3663</v>
      </c>
      <c r="B490" s="7" t="s">
        <v>967</v>
      </c>
      <c r="C490" s="7" t="s">
        <v>9</v>
      </c>
      <c r="D490" s="9">
        <v>45815</v>
      </c>
      <c r="E490" s="3">
        <v>5355.39</v>
      </c>
      <c r="F490" s="7" t="s">
        <v>3184</v>
      </c>
    </row>
    <row r="491" spans="1:6" x14ac:dyDescent="0.3">
      <c r="A491" s="7" t="s">
        <v>3664</v>
      </c>
      <c r="B491" s="7" t="s">
        <v>968</v>
      </c>
      <c r="C491" s="7" t="s">
        <v>109</v>
      </c>
      <c r="D491" s="9">
        <v>45738</v>
      </c>
      <c r="E491" s="3">
        <v>1446.41</v>
      </c>
      <c r="F491" s="7" t="s">
        <v>3184</v>
      </c>
    </row>
    <row r="492" spans="1:6" x14ac:dyDescent="0.3">
      <c r="A492" s="7" t="s">
        <v>3665</v>
      </c>
      <c r="B492" s="7" t="s">
        <v>969</v>
      </c>
      <c r="C492" s="7" t="s">
        <v>97</v>
      </c>
      <c r="D492" s="9">
        <v>45986</v>
      </c>
      <c r="E492" s="3">
        <v>2668.52</v>
      </c>
      <c r="F492" s="7" t="s">
        <v>296</v>
      </c>
    </row>
    <row r="493" spans="1:6" x14ac:dyDescent="0.3">
      <c r="A493" s="7" t="s">
        <v>3666</v>
      </c>
      <c r="B493" s="7" t="s">
        <v>970</v>
      </c>
      <c r="C493" s="7" t="s">
        <v>34</v>
      </c>
      <c r="D493" s="9">
        <v>45885</v>
      </c>
      <c r="E493" s="3">
        <v>1638.27</v>
      </c>
      <c r="F493" s="7" t="s">
        <v>3184</v>
      </c>
    </row>
    <row r="494" spans="1:6" x14ac:dyDescent="0.3">
      <c r="A494" s="7" t="s">
        <v>3667</v>
      </c>
      <c r="B494" s="7" t="s">
        <v>971</v>
      </c>
      <c r="C494" s="7" t="s">
        <v>20</v>
      </c>
      <c r="D494" s="9">
        <v>45959</v>
      </c>
      <c r="E494" s="3">
        <v>11050.3</v>
      </c>
      <c r="F494" s="7" t="s">
        <v>296</v>
      </c>
    </row>
    <row r="495" spans="1:6" x14ac:dyDescent="0.3">
      <c r="A495" s="7" t="s">
        <v>3668</v>
      </c>
      <c r="B495" s="7" t="s">
        <v>972</v>
      </c>
      <c r="C495" s="7" t="s">
        <v>83</v>
      </c>
      <c r="D495" s="9">
        <v>46039</v>
      </c>
      <c r="E495" s="3">
        <v>3013.82</v>
      </c>
      <c r="F495" s="7" t="s">
        <v>296</v>
      </c>
    </row>
    <row r="496" spans="1:6" x14ac:dyDescent="0.3">
      <c r="A496" s="7" t="s">
        <v>3669</v>
      </c>
      <c r="B496" s="7" t="s">
        <v>973</v>
      </c>
      <c r="C496" s="7" t="s">
        <v>50</v>
      </c>
      <c r="D496" s="9">
        <v>46020</v>
      </c>
      <c r="E496" s="3">
        <v>3195.75</v>
      </c>
      <c r="F496" s="7" t="s">
        <v>3184</v>
      </c>
    </row>
    <row r="497" spans="1:6" x14ac:dyDescent="0.3">
      <c r="A497" s="7" t="s">
        <v>3670</v>
      </c>
      <c r="B497" s="7" t="s">
        <v>974</v>
      </c>
      <c r="C497" s="7" t="s">
        <v>98</v>
      </c>
      <c r="D497" s="9">
        <v>46125</v>
      </c>
      <c r="E497" s="3">
        <v>2640.59</v>
      </c>
      <c r="F497" s="7" t="s">
        <v>3184</v>
      </c>
    </row>
    <row r="498" spans="1:6" x14ac:dyDescent="0.3">
      <c r="A498" s="7" t="s">
        <v>3671</v>
      </c>
      <c r="B498" s="7" t="s">
        <v>976</v>
      </c>
      <c r="C498" s="7" t="s">
        <v>47</v>
      </c>
      <c r="D498" s="9">
        <v>46085</v>
      </c>
      <c r="E498" s="3">
        <v>3366.52</v>
      </c>
      <c r="F498" s="7" t="s">
        <v>3184</v>
      </c>
    </row>
    <row r="499" spans="1:6" x14ac:dyDescent="0.3">
      <c r="A499" s="7" t="s">
        <v>3672</v>
      </c>
      <c r="B499" s="7" t="s">
        <v>977</v>
      </c>
      <c r="C499" s="7" t="s">
        <v>44</v>
      </c>
      <c r="D499" s="9">
        <v>45677</v>
      </c>
      <c r="E499" s="3">
        <v>1540.75</v>
      </c>
      <c r="F499" s="7" t="s">
        <v>3184</v>
      </c>
    </row>
    <row r="500" spans="1:6" x14ac:dyDescent="0.3">
      <c r="A500" s="7" t="s">
        <v>3673</v>
      </c>
      <c r="B500" s="7" t="s">
        <v>978</v>
      </c>
      <c r="C500" s="7" t="s">
        <v>81</v>
      </c>
      <c r="D500" s="9">
        <v>45895</v>
      </c>
      <c r="E500" s="3">
        <v>2906.91</v>
      </c>
      <c r="F500" s="7" t="s">
        <v>3184</v>
      </c>
    </row>
    <row r="501" spans="1:6" x14ac:dyDescent="0.3">
      <c r="A501" s="7" t="s">
        <v>3674</v>
      </c>
      <c r="B501" s="7" t="s">
        <v>979</v>
      </c>
      <c r="C501" s="7" t="s">
        <v>98</v>
      </c>
      <c r="D501" s="9">
        <v>46086</v>
      </c>
      <c r="E501" s="3">
        <v>2156.2199999999998</v>
      </c>
      <c r="F501" s="7" t="s">
        <v>298</v>
      </c>
    </row>
    <row r="502" spans="1:6" x14ac:dyDescent="0.3">
      <c r="A502" s="7" t="s">
        <v>3675</v>
      </c>
      <c r="B502" s="7" t="s">
        <v>982</v>
      </c>
      <c r="C502" s="7" t="s">
        <v>40</v>
      </c>
      <c r="D502" s="9">
        <v>45723</v>
      </c>
      <c r="E502" s="3">
        <v>3053.59</v>
      </c>
      <c r="F502" s="7" t="s">
        <v>3174</v>
      </c>
    </row>
    <row r="503" spans="1:6" x14ac:dyDescent="0.3">
      <c r="A503" s="7" t="s">
        <v>3676</v>
      </c>
      <c r="B503" s="7" t="s">
        <v>984</v>
      </c>
      <c r="C503" s="7" t="s">
        <v>118</v>
      </c>
      <c r="D503" s="9">
        <v>45806</v>
      </c>
      <c r="E503" s="3">
        <v>2654.43</v>
      </c>
      <c r="F503" s="7" t="s">
        <v>3174</v>
      </c>
    </row>
    <row r="504" spans="1:6" x14ac:dyDescent="0.3">
      <c r="A504" s="7" t="s">
        <v>3677</v>
      </c>
      <c r="B504" s="7" t="s">
        <v>985</v>
      </c>
      <c r="C504" s="7" t="s">
        <v>81</v>
      </c>
      <c r="D504" s="9">
        <v>46122</v>
      </c>
      <c r="E504" s="3">
        <v>2420.4699999999998</v>
      </c>
      <c r="F504" s="7" t="s">
        <v>3174</v>
      </c>
    </row>
    <row r="505" spans="1:6" x14ac:dyDescent="0.3">
      <c r="A505" s="7" t="s">
        <v>3678</v>
      </c>
      <c r="B505" s="7" t="s">
        <v>986</v>
      </c>
      <c r="C505" s="7" t="s">
        <v>88</v>
      </c>
      <c r="D505" s="9">
        <v>45754</v>
      </c>
      <c r="E505" s="3">
        <v>2463.7600000000002</v>
      </c>
      <c r="F505" s="7" t="s">
        <v>3184</v>
      </c>
    </row>
    <row r="506" spans="1:6" x14ac:dyDescent="0.3">
      <c r="A506" s="7" t="s">
        <v>3679</v>
      </c>
      <c r="B506" s="7" t="s">
        <v>987</v>
      </c>
      <c r="C506" s="7" t="s">
        <v>31</v>
      </c>
      <c r="D506" s="9">
        <v>45975</v>
      </c>
      <c r="E506" s="3">
        <v>3612.44</v>
      </c>
      <c r="F506" s="7" t="s">
        <v>298</v>
      </c>
    </row>
    <row r="507" spans="1:6" x14ac:dyDescent="0.3">
      <c r="A507" s="7" t="s">
        <v>3680</v>
      </c>
      <c r="B507" s="7" t="s">
        <v>988</v>
      </c>
      <c r="C507" s="7" t="s">
        <v>59</v>
      </c>
      <c r="D507" s="9">
        <v>46051</v>
      </c>
      <c r="E507" s="3">
        <v>2967.74</v>
      </c>
      <c r="F507" s="7" t="s">
        <v>3174</v>
      </c>
    </row>
    <row r="508" spans="1:6" x14ac:dyDescent="0.3">
      <c r="A508" s="7" t="s">
        <v>3681</v>
      </c>
      <c r="B508" s="7" t="s">
        <v>990</v>
      </c>
      <c r="C508" s="7" t="s">
        <v>98</v>
      </c>
      <c r="D508" s="9">
        <v>45922</v>
      </c>
      <c r="E508" s="3">
        <v>14338.52</v>
      </c>
      <c r="F508" s="7" t="s">
        <v>3174</v>
      </c>
    </row>
    <row r="509" spans="1:6" x14ac:dyDescent="0.3">
      <c r="A509" s="7" t="s">
        <v>3682</v>
      </c>
      <c r="B509" s="7" t="s">
        <v>991</v>
      </c>
      <c r="C509" s="7" t="s">
        <v>29</v>
      </c>
      <c r="D509" s="9">
        <v>45907</v>
      </c>
      <c r="E509" s="3">
        <v>5557.88</v>
      </c>
      <c r="F509" s="7" t="s">
        <v>296</v>
      </c>
    </row>
    <row r="510" spans="1:6" x14ac:dyDescent="0.3">
      <c r="A510" s="7" t="s">
        <v>3683</v>
      </c>
      <c r="B510" s="7" t="s">
        <v>992</v>
      </c>
      <c r="C510" s="7" t="s">
        <v>104</v>
      </c>
      <c r="D510" s="9">
        <v>45672</v>
      </c>
      <c r="E510" s="3">
        <v>2634.5</v>
      </c>
      <c r="F510" s="7" t="s">
        <v>298</v>
      </c>
    </row>
    <row r="511" spans="1:6" x14ac:dyDescent="0.3">
      <c r="A511" s="7" t="s">
        <v>3684</v>
      </c>
      <c r="B511" s="7" t="s">
        <v>994</v>
      </c>
      <c r="C511" s="7" t="s">
        <v>61</v>
      </c>
      <c r="D511" s="9">
        <v>45883</v>
      </c>
      <c r="E511" s="3">
        <v>2555.29</v>
      </c>
      <c r="F511" s="7" t="s">
        <v>298</v>
      </c>
    </row>
    <row r="512" spans="1:6" x14ac:dyDescent="0.3">
      <c r="A512" s="7" t="s">
        <v>3685</v>
      </c>
      <c r="B512" s="7" t="s">
        <v>995</v>
      </c>
      <c r="C512" s="7" t="s">
        <v>54</v>
      </c>
      <c r="D512" s="9">
        <v>45719</v>
      </c>
      <c r="E512" s="3">
        <v>11439.92</v>
      </c>
      <c r="F512" s="7" t="s">
        <v>298</v>
      </c>
    </row>
    <row r="513" spans="1:6" x14ac:dyDescent="0.3">
      <c r="A513" s="7" t="s">
        <v>3686</v>
      </c>
      <c r="B513" s="7" t="s">
        <v>996</v>
      </c>
      <c r="C513" s="7" t="s">
        <v>93</v>
      </c>
      <c r="D513" s="9">
        <v>46078</v>
      </c>
      <c r="E513" s="3">
        <v>3470.41</v>
      </c>
      <c r="F513" s="7" t="s">
        <v>296</v>
      </c>
    </row>
    <row r="514" spans="1:6" x14ac:dyDescent="0.3">
      <c r="A514" s="7" t="s">
        <v>3687</v>
      </c>
      <c r="B514" s="7" t="s">
        <v>997</v>
      </c>
      <c r="C514" s="7" t="s">
        <v>51</v>
      </c>
      <c r="D514" s="9">
        <v>45797</v>
      </c>
      <c r="E514" s="3">
        <v>3152.02</v>
      </c>
      <c r="F514" s="7" t="s">
        <v>298</v>
      </c>
    </row>
    <row r="515" spans="1:6" x14ac:dyDescent="0.3">
      <c r="A515" s="7" t="s">
        <v>3688</v>
      </c>
      <c r="B515" s="7" t="s">
        <v>998</v>
      </c>
      <c r="C515" s="7" t="s">
        <v>28</v>
      </c>
      <c r="D515" s="9">
        <v>45872</v>
      </c>
      <c r="E515" s="3">
        <v>2128.9299999999998</v>
      </c>
      <c r="F515" s="7" t="s">
        <v>296</v>
      </c>
    </row>
    <row r="516" spans="1:6" x14ac:dyDescent="0.3">
      <c r="A516" s="7" t="s">
        <v>3689</v>
      </c>
      <c r="B516" s="7" t="s">
        <v>999</v>
      </c>
      <c r="C516" s="7" t="s">
        <v>73</v>
      </c>
      <c r="D516" s="9">
        <v>45817</v>
      </c>
      <c r="E516" s="3">
        <v>3388.61</v>
      </c>
      <c r="F516" s="7" t="s">
        <v>298</v>
      </c>
    </row>
    <row r="517" spans="1:6" x14ac:dyDescent="0.3">
      <c r="A517" s="7" t="s">
        <v>3690</v>
      </c>
      <c r="B517" s="7" t="s">
        <v>1003</v>
      </c>
      <c r="C517" s="7" t="s">
        <v>98</v>
      </c>
      <c r="D517" s="9">
        <v>45935</v>
      </c>
      <c r="E517" s="3">
        <v>1455.78</v>
      </c>
      <c r="F517" s="7" t="s">
        <v>298</v>
      </c>
    </row>
    <row r="518" spans="1:6" x14ac:dyDescent="0.3">
      <c r="A518" s="7" t="s">
        <v>3691</v>
      </c>
      <c r="B518" s="7" t="s">
        <v>1004</v>
      </c>
      <c r="C518" s="7" t="s">
        <v>75</v>
      </c>
      <c r="D518" s="9">
        <v>45887</v>
      </c>
      <c r="E518" s="3">
        <v>873.25</v>
      </c>
      <c r="F518" s="7" t="s">
        <v>3174</v>
      </c>
    </row>
    <row r="519" spans="1:6" x14ac:dyDescent="0.3">
      <c r="A519" s="7" t="s">
        <v>3692</v>
      </c>
      <c r="B519" s="7" t="s">
        <v>1004</v>
      </c>
      <c r="C519" s="7" t="s">
        <v>75</v>
      </c>
      <c r="D519" s="9">
        <v>45899</v>
      </c>
      <c r="E519" s="3">
        <v>1137.08</v>
      </c>
      <c r="F519" s="7" t="s">
        <v>296</v>
      </c>
    </row>
    <row r="520" spans="1:6" x14ac:dyDescent="0.3">
      <c r="A520" s="7" t="s">
        <v>3693</v>
      </c>
      <c r="B520" s="7" t="s">
        <v>1005</v>
      </c>
      <c r="C520" s="7" t="s">
        <v>114</v>
      </c>
      <c r="D520" s="9">
        <v>45718</v>
      </c>
      <c r="E520" s="3">
        <v>2868.02</v>
      </c>
      <c r="F520" s="7" t="s">
        <v>3174</v>
      </c>
    </row>
    <row r="521" spans="1:6" x14ac:dyDescent="0.3">
      <c r="A521" s="7" t="s">
        <v>3694</v>
      </c>
      <c r="B521" s="7" t="s">
        <v>1006</v>
      </c>
      <c r="C521" s="7" t="s">
        <v>22</v>
      </c>
      <c r="D521" s="9">
        <v>45754</v>
      </c>
      <c r="E521" s="3">
        <v>2457.88</v>
      </c>
      <c r="F521" s="7" t="s">
        <v>3184</v>
      </c>
    </row>
    <row r="522" spans="1:6" x14ac:dyDescent="0.3">
      <c r="A522" s="7" t="s">
        <v>3695</v>
      </c>
      <c r="B522" s="7" t="s">
        <v>1007</v>
      </c>
      <c r="C522" s="7" t="s">
        <v>94</v>
      </c>
      <c r="D522" s="9">
        <v>46024</v>
      </c>
      <c r="E522" s="3">
        <v>3153.83</v>
      </c>
      <c r="F522" s="7" t="s">
        <v>3174</v>
      </c>
    </row>
    <row r="523" spans="1:6" x14ac:dyDescent="0.3">
      <c r="A523" s="7" t="s">
        <v>3696</v>
      </c>
      <c r="B523" s="7" t="s">
        <v>1008</v>
      </c>
      <c r="C523" s="7" t="s">
        <v>73</v>
      </c>
      <c r="D523" s="9">
        <v>45887</v>
      </c>
      <c r="E523" s="3">
        <v>1446.7</v>
      </c>
      <c r="F523" s="7" t="s">
        <v>3174</v>
      </c>
    </row>
    <row r="524" spans="1:6" x14ac:dyDescent="0.3">
      <c r="A524" s="7" t="s">
        <v>3697</v>
      </c>
      <c r="B524" s="7" t="s">
        <v>1009</v>
      </c>
      <c r="C524" s="7" t="s">
        <v>122</v>
      </c>
      <c r="D524" s="9">
        <v>46039</v>
      </c>
      <c r="E524" s="3">
        <v>2622.8</v>
      </c>
      <c r="F524" s="7" t="s">
        <v>3184</v>
      </c>
    </row>
    <row r="525" spans="1:6" x14ac:dyDescent="0.3">
      <c r="A525" s="7" t="s">
        <v>3698</v>
      </c>
      <c r="B525" s="7" t="s">
        <v>1010</v>
      </c>
      <c r="C525" s="7" t="s">
        <v>107</v>
      </c>
      <c r="D525" s="9">
        <v>45978</v>
      </c>
      <c r="E525" s="3">
        <v>3013.9</v>
      </c>
      <c r="F525" s="7" t="s">
        <v>3174</v>
      </c>
    </row>
    <row r="526" spans="1:6" x14ac:dyDescent="0.3">
      <c r="A526" s="7" t="s">
        <v>3699</v>
      </c>
      <c r="B526" s="7" t="s">
        <v>1012</v>
      </c>
      <c r="C526" s="7" t="s">
        <v>27</v>
      </c>
      <c r="D526" s="9">
        <v>45848</v>
      </c>
      <c r="E526" s="3">
        <v>4162.37</v>
      </c>
      <c r="F526" s="7" t="s">
        <v>3184</v>
      </c>
    </row>
    <row r="527" spans="1:6" x14ac:dyDescent="0.3">
      <c r="A527" s="7" t="s">
        <v>3700</v>
      </c>
      <c r="B527" s="7" t="s">
        <v>1016</v>
      </c>
      <c r="C527" s="7" t="s">
        <v>44</v>
      </c>
      <c r="D527" s="9">
        <v>45834</v>
      </c>
      <c r="E527" s="3">
        <v>1960.97</v>
      </c>
      <c r="F527" s="7" t="s">
        <v>3184</v>
      </c>
    </row>
    <row r="528" spans="1:6" x14ac:dyDescent="0.3">
      <c r="A528" s="7" t="s">
        <v>3701</v>
      </c>
      <c r="B528" s="7" t="s">
        <v>1018</v>
      </c>
      <c r="C528" s="7" t="s">
        <v>21</v>
      </c>
      <c r="D528" s="9">
        <v>46004</v>
      </c>
      <c r="E528" s="3">
        <v>2360.21</v>
      </c>
      <c r="F528" s="7" t="s">
        <v>298</v>
      </c>
    </row>
    <row r="529" spans="1:6" x14ac:dyDescent="0.3">
      <c r="A529" s="7" t="s">
        <v>3702</v>
      </c>
      <c r="B529" s="7" t="s">
        <v>1021</v>
      </c>
      <c r="C529" s="7" t="s">
        <v>58</v>
      </c>
      <c r="D529" s="9">
        <v>46088</v>
      </c>
      <c r="E529" s="3">
        <v>1506.92</v>
      </c>
      <c r="F529" s="7" t="s">
        <v>298</v>
      </c>
    </row>
    <row r="530" spans="1:6" x14ac:dyDescent="0.3">
      <c r="A530" s="7" t="s">
        <v>3703</v>
      </c>
      <c r="B530" s="7" t="s">
        <v>1022</v>
      </c>
      <c r="C530" s="7" t="s">
        <v>68</v>
      </c>
      <c r="D530" s="9">
        <v>45838</v>
      </c>
      <c r="E530" s="3">
        <v>14219.09</v>
      </c>
      <c r="F530" s="7" t="s">
        <v>3184</v>
      </c>
    </row>
    <row r="531" spans="1:6" x14ac:dyDescent="0.3">
      <c r="A531" s="7" t="s">
        <v>3704</v>
      </c>
      <c r="B531" s="7" t="s">
        <v>1023</v>
      </c>
      <c r="C531" s="7" t="s">
        <v>96</v>
      </c>
      <c r="D531" s="9">
        <v>46076</v>
      </c>
      <c r="E531" s="3">
        <v>12714.46</v>
      </c>
      <c r="F531" s="7" t="s">
        <v>298</v>
      </c>
    </row>
    <row r="532" spans="1:6" x14ac:dyDescent="0.3">
      <c r="A532" s="7" t="s">
        <v>3705</v>
      </c>
      <c r="B532" s="7" t="s">
        <v>1024</v>
      </c>
      <c r="C532" s="7" t="s">
        <v>123</v>
      </c>
      <c r="D532" s="9">
        <v>46106</v>
      </c>
      <c r="E532" s="3">
        <v>1482.23</v>
      </c>
      <c r="F532" s="7" t="s">
        <v>296</v>
      </c>
    </row>
    <row r="533" spans="1:6" x14ac:dyDescent="0.3">
      <c r="A533" s="7" t="s">
        <v>3706</v>
      </c>
      <c r="B533" s="7" t="s">
        <v>1025</v>
      </c>
      <c r="C533" s="7" t="s">
        <v>85</v>
      </c>
      <c r="D533" s="9">
        <v>45961</v>
      </c>
      <c r="E533" s="3">
        <v>3475.74</v>
      </c>
      <c r="F533" s="7" t="s">
        <v>3174</v>
      </c>
    </row>
    <row r="534" spans="1:6" x14ac:dyDescent="0.3">
      <c r="A534" s="7" t="s">
        <v>3707</v>
      </c>
      <c r="B534" s="7" t="s">
        <v>1028</v>
      </c>
      <c r="C534" s="7" t="s">
        <v>8</v>
      </c>
      <c r="D534" s="9">
        <v>45712</v>
      </c>
      <c r="E534" s="3">
        <v>11715.3</v>
      </c>
      <c r="F534" s="7" t="s">
        <v>3174</v>
      </c>
    </row>
    <row r="535" spans="1:6" x14ac:dyDescent="0.3">
      <c r="A535" s="7" t="s">
        <v>3708</v>
      </c>
      <c r="B535" s="7" t="s">
        <v>1029</v>
      </c>
      <c r="C535" s="7" t="s">
        <v>79</v>
      </c>
      <c r="D535" s="9">
        <v>45980</v>
      </c>
      <c r="E535" s="3">
        <v>2065.1999999999998</v>
      </c>
      <c r="F535" s="7" t="s">
        <v>3174</v>
      </c>
    </row>
    <row r="536" spans="1:6" x14ac:dyDescent="0.3">
      <c r="A536" s="7" t="s">
        <v>3709</v>
      </c>
      <c r="B536" s="7" t="s">
        <v>1030</v>
      </c>
      <c r="C536" s="7" t="s">
        <v>95</v>
      </c>
      <c r="D536" s="9">
        <v>46017</v>
      </c>
      <c r="E536" s="3">
        <v>5955.79</v>
      </c>
      <c r="F536" s="7" t="s">
        <v>298</v>
      </c>
    </row>
    <row r="537" spans="1:6" x14ac:dyDescent="0.3">
      <c r="A537" s="7" t="s">
        <v>3710</v>
      </c>
      <c r="B537" s="7" t="s">
        <v>1031</v>
      </c>
      <c r="C537" s="7" t="s">
        <v>68</v>
      </c>
      <c r="D537" s="9">
        <v>45908</v>
      </c>
      <c r="E537" s="3">
        <v>755.78</v>
      </c>
      <c r="F537" s="7" t="s">
        <v>3174</v>
      </c>
    </row>
    <row r="538" spans="1:6" x14ac:dyDescent="0.3">
      <c r="A538" s="7" t="s">
        <v>3711</v>
      </c>
      <c r="B538" s="7" t="s">
        <v>1031</v>
      </c>
      <c r="C538" s="7" t="s">
        <v>68</v>
      </c>
      <c r="D538" s="9">
        <v>45909</v>
      </c>
      <c r="E538" s="3">
        <v>1129.3499999999999</v>
      </c>
      <c r="F538" s="7" t="s">
        <v>3184</v>
      </c>
    </row>
    <row r="539" spans="1:6" x14ac:dyDescent="0.3">
      <c r="A539" s="7" t="s">
        <v>3712</v>
      </c>
      <c r="B539" s="7" t="s">
        <v>1032</v>
      </c>
      <c r="C539" s="7" t="s">
        <v>112</v>
      </c>
      <c r="D539" s="9">
        <v>46019</v>
      </c>
      <c r="E539" s="3">
        <v>2663.71</v>
      </c>
      <c r="F539" s="7" t="s">
        <v>296</v>
      </c>
    </row>
    <row r="540" spans="1:6" x14ac:dyDescent="0.3">
      <c r="A540" s="7" t="s">
        <v>3713</v>
      </c>
      <c r="B540" s="7" t="s">
        <v>1033</v>
      </c>
      <c r="C540" s="7" t="s">
        <v>27</v>
      </c>
      <c r="D540" s="9">
        <v>45974</v>
      </c>
      <c r="E540" s="3">
        <v>4048.89</v>
      </c>
      <c r="F540" s="7" t="s">
        <v>296</v>
      </c>
    </row>
    <row r="541" spans="1:6" x14ac:dyDescent="0.3">
      <c r="A541" s="7" t="s">
        <v>3714</v>
      </c>
      <c r="B541" s="7" t="s">
        <v>1035</v>
      </c>
      <c r="C541" s="7" t="s">
        <v>35</v>
      </c>
      <c r="D541" s="9">
        <v>45844</v>
      </c>
      <c r="E541" s="3">
        <v>11139.04</v>
      </c>
      <c r="F541" s="7" t="s">
        <v>3174</v>
      </c>
    </row>
    <row r="542" spans="1:6" x14ac:dyDescent="0.3">
      <c r="A542" s="7" t="s">
        <v>3715</v>
      </c>
      <c r="B542" s="7" t="s">
        <v>1036</v>
      </c>
      <c r="C542" s="7" t="s">
        <v>63</v>
      </c>
      <c r="D542" s="9">
        <v>45864</v>
      </c>
      <c r="E542" s="3">
        <v>3700.64</v>
      </c>
      <c r="F542" s="7" t="s">
        <v>298</v>
      </c>
    </row>
    <row r="543" spans="1:6" x14ac:dyDescent="0.3">
      <c r="A543" s="7" t="s">
        <v>3716</v>
      </c>
      <c r="B543" s="7" t="s">
        <v>1037</v>
      </c>
      <c r="C543" s="7" t="s">
        <v>22</v>
      </c>
      <c r="D543" s="9">
        <v>46129</v>
      </c>
      <c r="E543" s="3">
        <v>3427.34</v>
      </c>
      <c r="F543" s="7" t="s">
        <v>3184</v>
      </c>
    </row>
    <row r="544" spans="1:6" x14ac:dyDescent="0.3">
      <c r="A544" s="7" t="s">
        <v>3717</v>
      </c>
      <c r="B544" s="7" t="s">
        <v>1038</v>
      </c>
      <c r="C544" s="7" t="s">
        <v>11</v>
      </c>
      <c r="D544" s="9">
        <v>45678</v>
      </c>
      <c r="E544" s="3">
        <v>13177.15</v>
      </c>
      <c r="F544" s="7" t="s">
        <v>296</v>
      </c>
    </row>
    <row r="545" spans="1:6" x14ac:dyDescent="0.3">
      <c r="A545" s="7" t="s">
        <v>3718</v>
      </c>
      <c r="B545" s="7" t="s">
        <v>1040</v>
      </c>
      <c r="C545" s="7" t="s">
        <v>92</v>
      </c>
      <c r="D545" s="9">
        <v>45946</v>
      </c>
      <c r="E545" s="3">
        <v>1659.31</v>
      </c>
      <c r="F545" s="7" t="s">
        <v>3174</v>
      </c>
    </row>
    <row r="546" spans="1:6" x14ac:dyDescent="0.3">
      <c r="A546" s="7" t="s">
        <v>3719</v>
      </c>
      <c r="B546" s="7" t="s">
        <v>1042</v>
      </c>
      <c r="C546" s="7" t="s">
        <v>98</v>
      </c>
      <c r="D546" s="9">
        <v>46067</v>
      </c>
      <c r="E546" s="3">
        <v>11193.47</v>
      </c>
      <c r="F546" s="7" t="s">
        <v>298</v>
      </c>
    </row>
    <row r="547" spans="1:6" x14ac:dyDescent="0.3">
      <c r="A547" s="7" t="s">
        <v>3720</v>
      </c>
      <c r="B547" s="7" t="s">
        <v>1043</v>
      </c>
      <c r="C547" s="7" t="s">
        <v>91</v>
      </c>
      <c r="D547" s="9">
        <v>45897</v>
      </c>
      <c r="E547" s="3">
        <v>1701.57</v>
      </c>
      <c r="F547" s="7" t="s">
        <v>3174</v>
      </c>
    </row>
    <row r="548" spans="1:6" x14ac:dyDescent="0.3">
      <c r="A548" s="7" t="s">
        <v>3721</v>
      </c>
      <c r="B548" s="7" t="s">
        <v>1045</v>
      </c>
      <c r="C548" s="7" t="s">
        <v>28</v>
      </c>
      <c r="D548" s="9">
        <v>46031</v>
      </c>
      <c r="E548" s="3">
        <v>3530.78</v>
      </c>
      <c r="F548" s="7" t="s">
        <v>3174</v>
      </c>
    </row>
    <row r="549" spans="1:6" x14ac:dyDescent="0.3">
      <c r="A549" s="7" t="s">
        <v>3722</v>
      </c>
      <c r="B549" s="7" t="s">
        <v>1046</v>
      </c>
      <c r="C549" s="7" t="s">
        <v>20</v>
      </c>
      <c r="D549" s="9">
        <v>46056</v>
      </c>
      <c r="E549" s="3">
        <v>4832.21</v>
      </c>
      <c r="F549" s="7" t="s">
        <v>298</v>
      </c>
    </row>
    <row r="550" spans="1:6" x14ac:dyDescent="0.3">
      <c r="A550" s="7" t="s">
        <v>3723</v>
      </c>
      <c r="B550" s="7" t="s">
        <v>1046</v>
      </c>
      <c r="C550" s="7" t="s">
        <v>20</v>
      </c>
      <c r="D550" s="9">
        <v>46060</v>
      </c>
      <c r="E550" s="3">
        <v>5441.95</v>
      </c>
      <c r="F550" s="7" t="s">
        <v>3174</v>
      </c>
    </row>
    <row r="551" spans="1:6" x14ac:dyDescent="0.3">
      <c r="A551" s="7" t="s">
        <v>3724</v>
      </c>
      <c r="B551" s="7" t="s">
        <v>1048</v>
      </c>
      <c r="C551" s="7" t="s">
        <v>20</v>
      </c>
      <c r="D551" s="9">
        <v>46081</v>
      </c>
      <c r="E551" s="3">
        <v>4914.09</v>
      </c>
      <c r="F551" s="7" t="s">
        <v>296</v>
      </c>
    </row>
    <row r="552" spans="1:6" x14ac:dyDescent="0.3">
      <c r="A552" s="7" t="s">
        <v>3725</v>
      </c>
      <c r="B552" s="7" t="s">
        <v>1049</v>
      </c>
      <c r="C552" s="7" t="s">
        <v>105</v>
      </c>
      <c r="D552" s="9">
        <v>46026</v>
      </c>
      <c r="E552" s="3">
        <v>9823.2000000000007</v>
      </c>
      <c r="F552" s="7" t="s">
        <v>3184</v>
      </c>
    </row>
    <row r="553" spans="1:6" x14ac:dyDescent="0.3">
      <c r="A553" s="7" t="s">
        <v>3726</v>
      </c>
      <c r="B553" s="7" t="s">
        <v>1050</v>
      </c>
      <c r="C553" s="7" t="s">
        <v>70</v>
      </c>
      <c r="D553" s="9">
        <v>46001</v>
      </c>
      <c r="E553" s="3">
        <v>11795.46</v>
      </c>
      <c r="F553" s="7" t="s">
        <v>296</v>
      </c>
    </row>
    <row r="554" spans="1:6" x14ac:dyDescent="0.3">
      <c r="A554" s="7" t="s">
        <v>3727</v>
      </c>
      <c r="B554" s="7" t="s">
        <v>1052</v>
      </c>
      <c r="C554" s="7" t="s">
        <v>29</v>
      </c>
      <c r="D554" s="9">
        <v>45918</v>
      </c>
      <c r="E554" s="3">
        <v>3476.1</v>
      </c>
      <c r="F554" s="7" t="s">
        <v>3184</v>
      </c>
    </row>
    <row r="555" spans="1:6" x14ac:dyDescent="0.3">
      <c r="A555" s="7" t="s">
        <v>3728</v>
      </c>
      <c r="B555" s="7" t="s">
        <v>1053</v>
      </c>
      <c r="C555" s="7" t="s">
        <v>84</v>
      </c>
      <c r="D555" s="9">
        <v>45717</v>
      </c>
      <c r="E555" s="3">
        <v>2026.98</v>
      </c>
      <c r="F555" s="7" t="s">
        <v>3174</v>
      </c>
    </row>
    <row r="556" spans="1:6" x14ac:dyDescent="0.3">
      <c r="A556" s="7" t="s">
        <v>3729</v>
      </c>
      <c r="B556" s="7" t="s">
        <v>1056</v>
      </c>
      <c r="C556" s="7" t="s">
        <v>120</v>
      </c>
      <c r="D556" s="9">
        <v>45744</v>
      </c>
      <c r="E556" s="3">
        <v>13463.02</v>
      </c>
      <c r="F556" s="7" t="s">
        <v>3174</v>
      </c>
    </row>
    <row r="557" spans="1:6" x14ac:dyDescent="0.3">
      <c r="A557" s="7" t="s">
        <v>3730</v>
      </c>
      <c r="B557" s="7" t="s">
        <v>1057</v>
      </c>
      <c r="C557" s="7" t="s">
        <v>47</v>
      </c>
      <c r="D557" s="9">
        <v>46131</v>
      </c>
      <c r="E557" s="3">
        <v>1808.85</v>
      </c>
      <c r="F557" s="7" t="s">
        <v>3174</v>
      </c>
    </row>
    <row r="558" spans="1:6" x14ac:dyDescent="0.3">
      <c r="A558" s="7" t="s">
        <v>3731</v>
      </c>
      <c r="B558" s="7" t="s">
        <v>1058</v>
      </c>
      <c r="C558" s="7" t="s">
        <v>33</v>
      </c>
      <c r="D558" s="9">
        <v>45974</v>
      </c>
      <c r="E558" s="3">
        <v>1970.51</v>
      </c>
      <c r="F558" s="7" t="s">
        <v>3184</v>
      </c>
    </row>
    <row r="559" spans="1:6" x14ac:dyDescent="0.3">
      <c r="A559" s="7" t="s">
        <v>3732</v>
      </c>
      <c r="B559" s="7" t="s">
        <v>1060</v>
      </c>
      <c r="C559" s="7" t="s">
        <v>88</v>
      </c>
      <c r="D559" s="9">
        <v>45750</v>
      </c>
      <c r="E559" s="3">
        <v>1908.06</v>
      </c>
      <c r="F559" s="7" t="s">
        <v>296</v>
      </c>
    </row>
    <row r="560" spans="1:6" x14ac:dyDescent="0.3">
      <c r="A560" s="7" t="s">
        <v>3733</v>
      </c>
      <c r="B560" s="7" t="s">
        <v>1061</v>
      </c>
      <c r="C560" s="7" t="s">
        <v>81</v>
      </c>
      <c r="D560" s="9">
        <v>46082</v>
      </c>
      <c r="E560" s="3">
        <v>2710.35</v>
      </c>
      <c r="F560" s="7" t="s">
        <v>298</v>
      </c>
    </row>
    <row r="561" spans="1:6" x14ac:dyDescent="0.3">
      <c r="A561" s="7" t="s">
        <v>3734</v>
      </c>
      <c r="B561" s="7" t="s">
        <v>1062</v>
      </c>
      <c r="C561" s="7" t="s">
        <v>121</v>
      </c>
      <c r="D561" s="9">
        <v>46021</v>
      </c>
      <c r="E561" s="3">
        <v>4119.74</v>
      </c>
      <c r="F561" s="7" t="s">
        <v>298</v>
      </c>
    </row>
    <row r="562" spans="1:6" x14ac:dyDescent="0.3">
      <c r="A562" s="7" t="s">
        <v>3735</v>
      </c>
      <c r="B562" s="7" t="s">
        <v>1064</v>
      </c>
      <c r="C562" s="7" t="s">
        <v>32</v>
      </c>
      <c r="D562" s="9">
        <v>45735</v>
      </c>
      <c r="E562" s="3">
        <v>2430.33</v>
      </c>
      <c r="F562" s="7" t="s">
        <v>296</v>
      </c>
    </row>
    <row r="563" spans="1:6" x14ac:dyDescent="0.3">
      <c r="A563" s="7" t="s">
        <v>3736</v>
      </c>
      <c r="B563" s="7" t="s">
        <v>1065</v>
      </c>
      <c r="C563" s="7" t="s">
        <v>25</v>
      </c>
      <c r="D563" s="9">
        <v>45767</v>
      </c>
      <c r="E563" s="3">
        <v>2750.19</v>
      </c>
      <c r="F563" s="7" t="s">
        <v>296</v>
      </c>
    </row>
    <row r="564" spans="1:6" x14ac:dyDescent="0.3">
      <c r="A564" s="7" t="s">
        <v>3737</v>
      </c>
      <c r="B564" s="7" t="s">
        <v>1068</v>
      </c>
      <c r="C564" s="7" t="s">
        <v>37</v>
      </c>
      <c r="D564" s="9">
        <v>46055</v>
      </c>
      <c r="E564" s="3">
        <v>4010.78</v>
      </c>
      <c r="F564" s="7" t="s">
        <v>3174</v>
      </c>
    </row>
    <row r="565" spans="1:6" x14ac:dyDescent="0.3">
      <c r="A565" s="7" t="s">
        <v>3738</v>
      </c>
      <c r="B565" s="7" t="s">
        <v>1069</v>
      </c>
      <c r="C565" s="7" t="s">
        <v>92</v>
      </c>
      <c r="D565" s="9">
        <v>46108</v>
      </c>
      <c r="E565" s="3">
        <v>3898.03</v>
      </c>
      <c r="F565" s="7" t="s">
        <v>296</v>
      </c>
    </row>
    <row r="566" spans="1:6" x14ac:dyDescent="0.3">
      <c r="A566" s="7" t="s">
        <v>3739</v>
      </c>
      <c r="B566" s="7" t="s">
        <v>1071</v>
      </c>
      <c r="C566" s="7" t="s">
        <v>32</v>
      </c>
      <c r="D566" s="9">
        <v>45700</v>
      </c>
      <c r="E566" s="3">
        <v>2965.83</v>
      </c>
      <c r="F566" s="7" t="s">
        <v>3174</v>
      </c>
    </row>
    <row r="567" spans="1:6" x14ac:dyDescent="0.3">
      <c r="A567" s="7" t="s">
        <v>3740</v>
      </c>
      <c r="B567" s="7" t="s">
        <v>1075</v>
      </c>
      <c r="C567" s="7" t="s">
        <v>29</v>
      </c>
      <c r="D567" s="9">
        <v>46017</v>
      </c>
      <c r="E567" s="3">
        <v>10451.64</v>
      </c>
      <c r="F567" s="7" t="s">
        <v>3184</v>
      </c>
    </row>
    <row r="568" spans="1:6" x14ac:dyDescent="0.3">
      <c r="A568" s="7" t="s">
        <v>3741</v>
      </c>
      <c r="B568" s="7" t="s">
        <v>1076</v>
      </c>
      <c r="C568" s="7" t="s">
        <v>78</v>
      </c>
      <c r="D568" s="9">
        <v>45862</v>
      </c>
      <c r="E568" s="3">
        <v>1809.97</v>
      </c>
      <c r="F568" s="7" t="s">
        <v>298</v>
      </c>
    </row>
    <row r="569" spans="1:6" x14ac:dyDescent="0.3">
      <c r="A569" s="7" t="s">
        <v>3742</v>
      </c>
      <c r="B569" s="7" t="s">
        <v>1077</v>
      </c>
      <c r="C569" s="7" t="s">
        <v>66</v>
      </c>
      <c r="D569" s="9">
        <v>45991</v>
      </c>
      <c r="E569" s="3">
        <v>2130.0700000000002</v>
      </c>
      <c r="F569" s="7" t="s">
        <v>296</v>
      </c>
    </row>
    <row r="570" spans="1:6" x14ac:dyDescent="0.3">
      <c r="A570" s="7" t="s">
        <v>3743</v>
      </c>
      <c r="B570" s="7" t="s">
        <v>1080</v>
      </c>
      <c r="C570" s="7" t="s">
        <v>97</v>
      </c>
      <c r="D570" s="9">
        <v>45966</v>
      </c>
      <c r="E570" s="3">
        <v>13391.56</v>
      </c>
      <c r="F570" s="7" t="s">
        <v>3184</v>
      </c>
    </row>
    <row r="571" spans="1:6" x14ac:dyDescent="0.3">
      <c r="A571" s="7" t="s">
        <v>3744</v>
      </c>
      <c r="B571" s="7" t="s">
        <v>1081</v>
      </c>
      <c r="C571" s="7" t="s">
        <v>71</v>
      </c>
      <c r="D571" s="9">
        <v>45758</v>
      </c>
      <c r="E571" s="3">
        <v>2525.4</v>
      </c>
      <c r="F571" s="7" t="s">
        <v>3174</v>
      </c>
    </row>
    <row r="572" spans="1:6" x14ac:dyDescent="0.3">
      <c r="A572" s="7" t="s">
        <v>3745</v>
      </c>
      <c r="B572" s="7" t="s">
        <v>1082</v>
      </c>
      <c r="C572" s="7" t="s">
        <v>35</v>
      </c>
      <c r="D572" s="9">
        <v>45934</v>
      </c>
      <c r="E572" s="3">
        <v>4831.8599999999997</v>
      </c>
      <c r="F572" s="7" t="s">
        <v>3174</v>
      </c>
    </row>
    <row r="573" spans="1:6" x14ac:dyDescent="0.3">
      <c r="A573" s="7" t="s">
        <v>3746</v>
      </c>
      <c r="B573" s="7" t="s">
        <v>1083</v>
      </c>
      <c r="C573" s="7" t="s">
        <v>103</v>
      </c>
      <c r="D573" s="9">
        <v>45861</v>
      </c>
      <c r="E573" s="3">
        <v>5326.67</v>
      </c>
      <c r="F573" s="7" t="s">
        <v>3184</v>
      </c>
    </row>
    <row r="574" spans="1:6" x14ac:dyDescent="0.3">
      <c r="A574" s="7" t="s">
        <v>3747</v>
      </c>
      <c r="B574" s="7" t="s">
        <v>1084</v>
      </c>
      <c r="C574" s="7" t="s">
        <v>92</v>
      </c>
      <c r="D574" s="9">
        <v>45980</v>
      </c>
      <c r="E574" s="3">
        <v>3542.7</v>
      </c>
      <c r="F574" s="7" t="s">
        <v>298</v>
      </c>
    </row>
    <row r="575" spans="1:6" x14ac:dyDescent="0.3">
      <c r="A575" s="7" t="s">
        <v>3748</v>
      </c>
      <c r="B575" s="7" t="s">
        <v>1087</v>
      </c>
      <c r="C575" s="7" t="s">
        <v>73</v>
      </c>
      <c r="D575" s="9">
        <v>46042</v>
      </c>
      <c r="E575" s="3">
        <v>10831.63</v>
      </c>
      <c r="F575" s="7" t="s">
        <v>3174</v>
      </c>
    </row>
    <row r="576" spans="1:6" x14ac:dyDescent="0.3">
      <c r="A576" s="7" t="s">
        <v>3749</v>
      </c>
      <c r="B576" s="7" t="s">
        <v>1088</v>
      </c>
      <c r="C576" s="7" t="s">
        <v>44</v>
      </c>
      <c r="D576" s="9">
        <v>45924</v>
      </c>
      <c r="E576" s="3">
        <v>2514.31</v>
      </c>
      <c r="F576" s="7" t="s">
        <v>3184</v>
      </c>
    </row>
    <row r="577" spans="1:6" x14ac:dyDescent="0.3">
      <c r="A577" s="7" t="s">
        <v>3750</v>
      </c>
      <c r="B577" s="7" t="s">
        <v>1090</v>
      </c>
      <c r="C577" s="7" t="s">
        <v>87</v>
      </c>
      <c r="D577" s="9">
        <v>46007</v>
      </c>
      <c r="E577" s="3">
        <v>3546.49</v>
      </c>
      <c r="F577" s="7" t="s">
        <v>298</v>
      </c>
    </row>
    <row r="578" spans="1:6" x14ac:dyDescent="0.3">
      <c r="A578" s="7" t="s">
        <v>3751</v>
      </c>
      <c r="B578" s="7" t="s">
        <v>1091</v>
      </c>
      <c r="C578" s="7" t="s">
        <v>113</v>
      </c>
      <c r="D578" s="9">
        <v>45883</v>
      </c>
      <c r="E578" s="3">
        <v>5729.9</v>
      </c>
      <c r="F578" s="7" t="s">
        <v>298</v>
      </c>
    </row>
    <row r="579" spans="1:6" x14ac:dyDescent="0.3">
      <c r="A579" s="7" t="s">
        <v>3752</v>
      </c>
      <c r="B579" s="7" t="s">
        <v>1092</v>
      </c>
      <c r="C579" s="7" t="s">
        <v>16</v>
      </c>
      <c r="D579" s="9">
        <v>46042</v>
      </c>
      <c r="E579" s="3">
        <v>2072.62</v>
      </c>
      <c r="F579" s="7" t="s">
        <v>296</v>
      </c>
    </row>
    <row r="580" spans="1:6" x14ac:dyDescent="0.3">
      <c r="A580" s="7" t="s">
        <v>3753</v>
      </c>
      <c r="B580" s="7" t="s">
        <v>1093</v>
      </c>
      <c r="C580" s="7" t="s">
        <v>11</v>
      </c>
      <c r="D580" s="9">
        <v>45709</v>
      </c>
      <c r="E580" s="3">
        <v>1933.95</v>
      </c>
      <c r="F580" s="7" t="s">
        <v>3184</v>
      </c>
    </row>
    <row r="581" spans="1:6" x14ac:dyDescent="0.3">
      <c r="A581" s="7" t="s">
        <v>3754</v>
      </c>
      <c r="B581" s="7" t="s">
        <v>1094</v>
      </c>
      <c r="C581" s="7" t="s">
        <v>80</v>
      </c>
      <c r="D581" s="9">
        <v>45765</v>
      </c>
      <c r="E581" s="3">
        <v>2487.9</v>
      </c>
      <c r="F581" s="7" t="s">
        <v>3174</v>
      </c>
    </row>
    <row r="582" spans="1:6" x14ac:dyDescent="0.3">
      <c r="A582" s="7" t="s">
        <v>3755</v>
      </c>
      <c r="B582" s="7" t="s">
        <v>1095</v>
      </c>
      <c r="C582" s="7" t="s">
        <v>58</v>
      </c>
      <c r="D582" s="9">
        <v>45900</v>
      </c>
      <c r="E582" s="3">
        <v>3532.18</v>
      </c>
      <c r="F582" s="7" t="s">
        <v>3174</v>
      </c>
    </row>
    <row r="583" spans="1:6" x14ac:dyDescent="0.3">
      <c r="A583" s="7" t="s">
        <v>3756</v>
      </c>
      <c r="B583" s="7" t="s">
        <v>1095</v>
      </c>
      <c r="C583" s="7" t="s">
        <v>58</v>
      </c>
      <c r="D583" s="9">
        <v>45911</v>
      </c>
      <c r="E583" s="3">
        <v>2289.79</v>
      </c>
      <c r="F583" s="7" t="s">
        <v>3184</v>
      </c>
    </row>
    <row r="584" spans="1:6" x14ac:dyDescent="0.3">
      <c r="A584" s="7" t="s">
        <v>3757</v>
      </c>
      <c r="B584" s="7" t="s">
        <v>1096</v>
      </c>
      <c r="C584" s="7" t="s">
        <v>7</v>
      </c>
      <c r="D584" s="9">
        <v>45888</v>
      </c>
      <c r="E584" s="3">
        <v>11118.74</v>
      </c>
      <c r="F584" s="7" t="s">
        <v>3174</v>
      </c>
    </row>
    <row r="585" spans="1:6" x14ac:dyDescent="0.3">
      <c r="A585" s="7" t="s">
        <v>3758</v>
      </c>
      <c r="B585" s="7" t="s">
        <v>1097</v>
      </c>
      <c r="C585" s="7" t="s">
        <v>96</v>
      </c>
      <c r="D585" s="9">
        <v>45746</v>
      </c>
      <c r="E585" s="3">
        <v>1958.61</v>
      </c>
      <c r="F585" s="7" t="s">
        <v>296</v>
      </c>
    </row>
    <row r="586" spans="1:6" x14ac:dyDescent="0.3">
      <c r="A586" s="7" t="s">
        <v>3759</v>
      </c>
      <c r="B586" s="7" t="s">
        <v>1098</v>
      </c>
      <c r="C586" s="7" t="s">
        <v>94</v>
      </c>
      <c r="D586" s="9">
        <v>45931</v>
      </c>
      <c r="E586" s="3">
        <v>2829.24</v>
      </c>
      <c r="F586" s="7" t="s">
        <v>3174</v>
      </c>
    </row>
    <row r="587" spans="1:6" x14ac:dyDescent="0.3">
      <c r="A587" s="7" t="s">
        <v>3760</v>
      </c>
      <c r="B587" s="7" t="s">
        <v>1099</v>
      </c>
      <c r="C587" s="7" t="s">
        <v>112</v>
      </c>
      <c r="D587" s="9">
        <v>45819</v>
      </c>
      <c r="E587" s="3">
        <v>2606.5700000000002</v>
      </c>
      <c r="F587" s="7" t="s">
        <v>3184</v>
      </c>
    </row>
    <row r="588" spans="1:6" x14ac:dyDescent="0.3">
      <c r="A588" s="7" t="s">
        <v>3761</v>
      </c>
      <c r="B588" s="7" t="s">
        <v>1100</v>
      </c>
      <c r="C588" s="7" t="s">
        <v>102</v>
      </c>
      <c r="D588" s="9">
        <v>45760</v>
      </c>
      <c r="E588" s="3">
        <v>1462.19</v>
      </c>
      <c r="F588" s="7" t="s">
        <v>296</v>
      </c>
    </row>
    <row r="589" spans="1:6" x14ac:dyDescent="0.3">
      <c r="A589" s="7" t="s">
        <v>3762</v>
      </c>
      <c r="B589" s="7" t="s">
        <v>1101</v>
      </c>
      <c r="C589" s="7" t="s">
        <v>88</v>
      </c>
      <c r="D589" s="9">
        <v>46127</v>
      </c>
      <c r="E589" s="3">
        <v>13424.5</v>
      </c>
      <c r="F589" s="7" t="s">
        <v>3174</v>
      </c>
    </row>
    <row r="590" spans="1:6" x14ac:dyDescent="0.3">
      <c r="A590" s="7" t="s">
        <v>3763</v>
      </c>
      <c r="B590" s="7" t="s">
        <v>1102</v>
      </c>
      <c r="C590" s="7" t="s">
        <v>8</v>
      </c>
      <c r="D590" s="9">
        <v>46152</v>
      </c>
      <c r="E590" s="3">
        <v>1972.9</v>
      </c>
      <c r="F590" s="7" t="s">
        <v>3184</v>
      </c>
    </row>
    <row r="591" spans="1:6" x14ac:dyDescent="0.3">
      <c r="A591" s="7" t="s">
        <v>3764</v>
      </c>
      <c r="B591" s="7" t="s">
        <v>1102</v>
      </c>
      <c r="C591" s="7" t="s">
        <v>8</v>
      </c>
      <c r="D591" s="9">
        <v>46163</v>
      </c>
      <c r="E591" s="3">
        <v>2623.21</v>
      </c>
      <c r="F591" s="7" t="s">
        <v>296</v>
      </c>
    </row>
    <row r="592" spans="1:6" x14ac:dyDescent="0.3">
      <c r="A592" s="7" t="s">
        <v>3765</v>
      </c>
      <c r="B592" s="7" t="s">
        <v>1103</v>
      </c>
      <c r="C592" s="7" t="s">
        <v>80</v>
      </c>
      <c r="D592" s="9">
        <v>45756</v>
      </c>
      <c r="E592" s="3">
        <v>4024.67</v>
      </c>
      <c r="F592" s="7" t="s">
        <v>3174</v>
      </c>
    </row>
    <row r="593" spans="1:6" x14ac:dyDescent="0.3">
      <c r="A593" s="7" t="s">
        <v>3766</v>
      </c>
      <c r="B593" s="7" t="s">
        <v>1104</v>
      </c>
      <c r="C593" s="7" t="s">
        <v>102</v>
      </c>
      <c r="D593" s="9">
        <v>45939</v>
      </c>
      <c r="E593" s="3">
        <v>3351.71</v>
      </c>
      <c r="F593" s="7" t="s">
        <v>3174</v>
      </c>
    </row>
    <row r="594" spans="1:6" x14ac:dyDescent="0.3">
      <c r="A594" s="7" t="s">
        <v>3767</v>
      </c>
      <c r="B594" s="7" t="s">
        <v>1105</v>
      </c>
      <c r="C594" s="7" t="s">
        <v>89</v>
      </c>
      <c r="D594" s="9">
        <v>45840</v>
      </c>
      <c r="E594" s="3">
        <v>2090.5500000000002</v>
      </c>
      <c r="F594" s="7" t="s">
        <v>3174</v>
      </c>
    </row>
    <row r="595" spans="1:6" x14ac:dyDescent="0.3">
      <c r="A595" s="7" t="s">
        <v>3768</v>
      </c>
      <c r="B595" s="7" t="s">
        <v>1106</v>
      </c>
      <c r="C595" s="7" t="s">
        <v>39</v>
      </c>
      <c r="D595" s="9">
        <v>45766</v>
      </c>
      <c r="E595" s="3">
        <v>2999.44</v>
      </c>
      <c r="F595" s="7" t="s">
        <v>3184</v>
      </c>
    </row>
    <row r="596" spans="1:6" x14ac:dyDescent="0.3">
      <c r="A596" s="7" t="s">
        <v>3769</v>
      </c>
      <c r="B596" s="7" t="s">
        <v>1108</v>
      </c>
      <c r="C596" s="7" t="s">
        <v>15</v>
      </c>
      <c r="D596" s="9">
        <v>45946</v>
      </c>
      <c r="E596" s="3">
        <v>3445.77</v>
      </c>
      <c r="F596" s="7" t="s">
        <v>3174</v>
      </c>
    </row>
    <row r="597" spans="1:6" x14ac:dyDescent="0.3">
      <c r="A597" s="7" t="s">
        <v>3770</v>
      </c>
      <c r="B597" s="7" t="s">
        <v>1109</v>
      </c>
      <c r="C597" s="7" t="s">
        <v>49</v>
      </c>
      <c r="D597" s="9">
        <v>46075</v>
      </c>
      <c r="E597" s="3">
        <v>1296.1099999999999</v>
      </c>
      <c r="F597" s="7" t="s">
        <v>3174</v>
      </c>
    </row>
    <row r="598" spans="1:6" x14ac:dyDescent="0.3">
      <c r="A598" s="7" t="s">
        <v>3771</v>
      </c>
      <c r="B598" s="7" t="s">
        <v>1109</v>
      </c>
      <c r="C598" s="7" t="s">
        <v>49</v>
      </c>
      <c r="D598" s="9">
        <v>46081</v>
      </c>
      <c r="E598" s="3">
        <v>802.09</v>
      </c>
      <c r="F598" s="7" t="s">
        <v>296</v>
      </c>
    </row>
    <row r="599" spans="1:6" x14ac:dyDescent="0.3">
      <c r="A599" s="7" t="s">
        <v>3772</v>
      </c>
      <c r="B599" s="7" t="s">
        <v>1110</v>
      </c>
      <c r="C599" s="7" t="s">
        <v>86</v>
      </c>
      <c r="D599" s="9">
        <v>46006</v>
      </c>
      <c r="E599" s="3">
        <v>2128.2199999999998</v>
      </c>
      <c r="F599" s="7" t="s">
        <v>3174</v>
      </c>
    </row>
    <row r="600" spans="1:6" x14ac:dyDescent="0.3">
      <c r="A600" s="7" t="s">
        <v>3773</v>
      </c>
      <c r="B600" s="7" t="s">
        <v>1111</v>
      </c>
      <c r="C600" s="7" t="s">
        <v>85</v>
      </c>
      <c r="D600" s="9">
        <v>45830</v>
      </c>
      <c r="E600" s="3">
        <v>3480.14</v>
      </c>
      <c r="F600" s="7" t="s">
        <v>298</v>
      </c>
    </row>
    <row r="601" spans="1:6" x14ac:dyDescent="0.3">
      <c r="A601" s="7" t="s">
        <v>3774</v>
      </c>
      <c r="B601" s="7" t="s">
        <v>1112</v>
      </c>
      <c r="C601" s="7" t="s">
        <v>53</v>
      </c>
      <c r="D601" s="9">
        <v>45962</v>
      </c>
      <c r="E601" s="3">
        <v>1660.09</v>
      </c>
      <c r="F601" s="7" t="s">
        <v>296</v>
      </c>
    </row>
    <row r="602" spans="1:6" x14ac:dyDescent="0.3">
      <c r="A602" s="7" t="s">
        <v>3775</v>
      </c>
      <c r="B602" s="7" t="s">
        <v>1113</v>
      </c>
      <c r="C602" s="7" t="s">
        <v>107</v>
      </c>
      <c r="D602" s="9">
        <v>45770</v>
      </c>
      <c r="E602" s="3">
        <v>1338.88</v>
      </c>
      <c r="F602" s="7" t="s">
        <v>298</v>
      </c>
    </row>
    <row r="603" spans="1:6" x14ac:dyDescent="0.3">
      <c r="A603" s="7" t="s">
        <v>3776</v>
      </c>
      <c r="B603" s="7" t="s">
        <v>1113</v>
      </c>
      <c r="C603" s="7" t="s">
        <v>107</v>
      </c>
      <c r="D603" s="9">
        <v>45772</v>
      </c>
      <c r="E603" s="3">
        <v>1619.78</v>
      </c>
      <c r="F603" s="7" t="s">
        <v>3184</v>
      </c>
    </row>
    <row r="604" spans="1:6" x14ac:dyDescent="0.3">
      <c r="A604" s="7" t="s">
        <v>3777</v>
      </c>
      <c r="B604" s="7" t="s">
        <v>1114</v>
      </c>
      <c r="C604" s="7" t="s">
        <v>53</v>
      </c>
      <c r="D604" s="9">
        <v>45999</v>
      </c>
      <c r="E604" s="3">
        <v>5424.4</v>
      </c>
      <c r="F604" s="7" t="s">
        <v>3184</v>
      </c>
    </row>
    <row r="605" spans="1:6" x14ac:dyDescent="0.3">
      <c r="A605" s="7" t="s">
        <v>3778</v>
      </c>
      <c r="B605" s="7" t="s">
        <v>1115</v>
      </c>
      <c r="C605" s="7" t="s">
        <v>52</v>
      </c>
      <c r="D605" s="9">
        <v>45833</v>
      </c>
      <c r="E605" s="3">
        <v>5359.16</v>
      </c>
      <c r="F605" s="7" t="s">
        <v>298</v>
      </c>
    </row>
    <row r="606" spans="1:6" x14ac:dyDescent="0.3">
      <c r="A606" s="7" t="s">
        <v>3779</v>
      </c>
      <c r="B606" s="7" t="s">
        <v>1116</v>
      </c>
      <c r="C606" s="7" t="s">
        <v>17</v>
      </c>
      <c r="D606" s="9">
        <v>45739</v>
      </c>
      <c r="E606" s="3">
        <v>2486.9699999999998</v>
      </c>
      <c r="F606" s="7" t="s">
        <v>3174</v>
      </c>
    </row>
    <row r="607" spans="1:6" x14ac:dyDescent="0.3">
      <c r="A607" s="7" t="s">
        <v>3780</v>
      </c>
      <c r="B607" s="7" t="s">
        <v>1117</v>
      </c>
      <c r="C607" s="7" t="s">
        <v>100</v>
      </c>
      <c r="D607" s="9">
        <v>45762</v>
      </c>
      <c r="E607" s="3">
        <v>2858.71</v>
      </c>
      <c r="F607" s="7" t="s">
        <v>296</v>
      </c>
    </row>
    <row r="608" spans="1:6" x14ac:dyDescent="0.3">
      <c r="A608" s="7" t="s">
        <v>3781</v>
      </c>
      <c r="B608" s="7" t="s">
        <v>1120</v>
      </c>
      <c r="C608" s="7" t="s">
        <v>106</v>
      </c>
      <c r="D608" s="9">
        <v>45946</v>
      </c>
      <c r="E608" s="3">
        <v>3061.91</v>
      </c>
      <c r="F608" s="7" t="s">
        <v>3174</v>
      </c>
    </row>
    <row r="609" spans="1:6" x14ac:dyDescent="0.3">
      <c r="A609" s="7" t="s">
        <v>3782</v>
      </c>
      <c r="B609" s="7" t="s">
        <v>1121</v>
      </c>
      <c r="C609" s="7" t="s">
        <v>44</v>
      </c>
      <c r="D609" s="9">
        <v>45799</v>
      </c>
      <c r="E609" s="3">
        <v>4731.6400000000003</v>
      </c>
      <c r="F609" s="7" t="s">
        <v>3174</v>
      </c>
    </row>
    <row r="610" spans="1:6" x14ac:dyDescent="0.3">
      <c r="A610" s="7" t="s">
        <v>3783</v>
      </c>
      <c r="B610" s="7" t="s">
        <v>1122</v>
      </c>
      <c r="C610" s="7" t="s">
        <v>71</v>
      </c>
      <c r="D610" s="9">
        <v>45944</v>
      </c>
      <c r="E610" s="3">
        <v>4929.3999999999996</v>
      </c>
      <c r="F610" s="7" t="s">
        <v>298</v>
      </c>
    </row>
    <row r="611" spans="1:6" x14ac:dyDescent="0.3">
      <c r="A611" s="7" t="s">
        <v>3784</v>
      </c>
      <c r="B611" s="7" t="s">
        <v>1123</v>
      </c>
      <c r="C611" s="7" t="s">
        <v>103</v>
      </c>
      <c r="D611" s="9">
        <v>46108</v>
      </c>
      <c r="E611" s="3">
        <v>3195.21</v>
      </c>
      <c r="F611" s="7" t="s">
        <v>3174</v>
      </c>
    </row>
    <row r="612" spans="1:6" x14ac:dyDescent="0.3">
      <c r="A612" s="7" t="s">
        <v>3785</v>
      </c>
      <c r="B612" s="7" t="s">
        <v>1124</v>
      </c>
      <c r="C612" s="7" t="s">
        <v>79</v>
      </c>
      <c r="D612" s="9">
        <v>45764</v>
      </c>
      <c r="E612" s="3">
        <v>2996.52</v>
      </c>
      <c r="F612" s="7" t="s">
        <v>3184</v>
      </c>
    </row>
    <row r="613" spans="1:6" x14ac:dyDescent="0.3">
      <c r="A613" s="7" t="s">
        <v>3786</v>
      </c>
      <c r="B613" s="7" t="s">
        <v>1125</v>
      </c>
      <c r="C613" s="7" t="s">
        <v>52</v>
      </c>
      <c r="D613" s="9">
        <v>45750</v>
      </c>
      <c r="E613" s="3">
        <v>2067.98</v>
      </c>
      <c r="F613" s="7" t="s">
        <v>298</v>
      </c>
    </row>
    <row r="614" spans="1:6" x14ac:dyDescent="0.3">
      <c r="A614" s="7" t="s">
        <v>3787</v>
      </c>
      <c r="B614" s="7" t="s">
        <v>1126</v>
      </c>
      <c r="C614" s="7" t="s">
        <v>54</v>
      </c>
      <c r="D614" s="9">
        <v>45921</v>
      </c>
      <c r="E614" s="3">
        <v>2662.58</v>
      </c>
      <c r="F614" s="7" t="s">
        <v>3184</v>
      </c>
    </row>
    <row r="615" spans="1:6" x14ac:dyDescent="0.3">
      <c r="A615" s="7" t="s">
        <v>3788</v>
      </c>
      <c r="B615" s="7" t="s">
        <v>1128</v>
      </c>
      <c r="C615" s="7" t="s">
        <v>90</v>
      </c>
      <c r="D615" s="9">
        <v>45893</v>
      </c>
      <c r="E615" s="3">
        <v>11854.44</v>
      </c>
      <c r="F615" s="7" t="s">
        <v>3174</v>
      </c>
    </row>
    <row r="616" spans="1:6" x14ac:dyDescent="0.3">
      <c r="A616" s="7" t="s">
        <v>3789</v>
      </c>
      <c r="B616" s="7" t="s">
        <v>1130</v>
      </c>
      <c r="C616" s="7" t="s">
        <v>90</v>
      </c>
      <c r="D616" s="9">
        <v>45950</v>
      </c>
      <c r="E616" s="3">
        <v>1629.59</v>
      </c>
      <c r="F616" s="7" t="s">
        <v>3184</v>
      </c>
    </row>
    <row r="617" spans="1:6" x14ac:dyDescent="0.3">
      <c r="A617" s="7" t="s">
        <v>3790</v>
      </c>
      <c r="B617" s="7" t="s">
        <v>1131</v>
      </c>
      <c r="C617" s="7" t="s">
        <v>55</v>
      </c>
      <c r="D617" s="9">
        <v>46004</v>
      </c>
      <c r="E617" s="3">
        <v>11353.42</v>
      </c>
      <c r="F617" s="7" t="s">
        <v>3174</v>
      </c>
    </row>
    <row r="618" spans="1:6" x14ac:dyDescent="0.3">
      <c r="A618" s="7" t="s">
        <v>3791</v>
      </c>
      <c r="B618" s="7" t="s">
        <v>1132</v>
      </c>
      <c r="C618" s="7" t="s">
        <v>68</v>
      </c>
      <c r="D618" s="9">
        <v>45852</v>
      </c>
      <c r="E618" s="3">
        <v>2284.5500000000002</v>
      </c>
      <c r="F618" s="7" t="s">
        <v>3174</v>
      </c>
    </row>
    <row r="619" spans="1:6" x14ac:dyDescent="0.3">
      <c r="A619" s="7" t="s">
        <v>3792</v>
      </c>
      <c r="B619" s="7" t="s">
        <v>1132</v>
      </c>
      <c r="C619" s="7" t="s">
        <v>68</v>
      </c>
      <c r="D619" s="9">
        <v>45856</v>
      </c>
      <c r="E619" s="3">
        <v>2748.19</v>
      </c>
      <c r="F619" s="7" t="s">
        <v>3184</v>
      </c>
    </row>
    <row r="620" spans="1:6" x14ac:dyDescent="0.3">
      <c r="A620" s="7" t="s">
        <v>3793</v>
      </c>
      <c r="B620" s="7" t="s">
        <v>1133</v>
      </c>
      <c r="C620" s="7" t="s">
        <v>36</v>
      </c>
      <c r="D620" s="9">
        <v>46128</v>
      </c>
      <c r="E620" s="3">
        <v>2809.24</v>
      </c>
      <c r="F620" s="7" t="s">
        <v>3184</v>
      </c>
    </row>
    <row r="621" spans="1:6" x14ac:dyDescent="0.3">
      <c r="A621" s="7" t="s">
        <v>3794</v>
      </c>
      <c r="B621" s="7" t="s">
        <v>1134</v>
      </c>
      <c r="C621" s="7" t="s">
        <v>27</v>
      </c>
      <c r="D621" s="9">
        <v>45818</v>
      </c>
      <c r="E621" s="3">
        <v>3017.45</v>
      </c>
      <c r="F621" s="7" t="s">
        <v>3184</v>
      </c>
    </row>
    <row r="622" spans="1:6" x14ac:dyDescent="0.3">
      <c r="A622" s="7" t="s">
        <v>3795</v>
      </c>
      <c r="B622" s="7" t="s">
        <v>1135</v>
      </c>
      <c r="C622" s="7" t="s">
        <v>60</v>
      </c>
      <c r="D622" s="9">
        <v>46093</v>
      </c>
      <c r="E622" s="3">
        <v>2602.02</v>
      </c>
      <c r="F622" s="7" t="s">
        <v>3184</v>
      </c>
    </row>
    <row r="623" spans="1:6" x14ac:dyDescent="0.3">
      <c r="A623" s="7" t="s">
        <v>3796</v>
      </c>
      <c r="B623" s="7" t="s">
        <v>1136</v>
      </c>
      <c r="C623" s="7" t="s">
        <v>33</v>
      </c>
      <c r="D623" s="9">
        <v>45925</v>
      </c>
      <c r="E623" s="3">
        <v>2720.26</v>
      </c>
      <c r="F623" s="7" t="s">
        <v>3174</v>
      </c>
    </row>
    <row r="624" spans="1:6" x14ac:dyDescent="0.3">
      <c r="A624" s="7" t="s">
        <v>3797</v>
      </c>
      <c r="B624" s="7" t="s">
        <v>1137</v>
      </c>
      <c r="C624" s="7" t="s">
        <v>12</v>
      </c>
      <c r="D624" s="9">
        <v>46086</v>
      </c>
      <c r="E624" s="3">
        <v>3025.74</v>
      </c>
      <c r="F624" s="7" t="s">
        <v>298</v>
      </c>
    </row>
    <row r="625" spans="1:6" x14ac:dyDescent="0.3">
      <c r="A625" s="7" t="s">
        <v>3798</v>
      </c>
      <c r="B625" s="7" t="s">
        <v>1138</v>
      </c>
      <c r="C625" s="7" t="s">
        <v>12</v>
      </c>
      <c r="D625" s="9">
        <v>45766</v>
      </c>
      <c r="E625" s="3">
        <v>5146.97</v>
      </c>
      <c r="F625" s="7" t="s">
        <v>3174</v>
      </c>
    </row>
    <row r="626" spans="1:6" x14ac:dyDescent="0.3">
      <c r="A626" s="7" t="s">
        <v>3799</v>
      </c>
      <c r="B626" s="7" t="s">
        <v>1140</v>
      </c>
      <c r="C626" s="7" t="s">
        <v>99</v>
      </c>
      <c r="D626" s="9">
        <v>45996</v>
      </c>
      <c r="E626" s="3">
        <v>12476.92</v>
      </c>
      <c r="F626" s="7" t="s">
        <v>3174</v>
      </c>
    </row>
    <row r="627" spans="1:6" x14ac:dyDescent="0.3">
      <c r="A627" s="7" t="s">
        <v>3800</v>
      </c>
      <c r="B627" s="7" t="s">
        <v>1141</v>
      </c>
      <c r="C627" s="7" t="s">
        <v>84</v>
      </c>
      <c r="D627" s="9">
        <v>45805</v>
      </c>
      <c r="E627" s="3">
        <v>1916.46</v>
      </c>
      <c r="F627" s="7" t="s">
        <v>3174</v>
      </c>
    </row>
    <row r="628" spans="1:6" x14ac:dyDescent="0.3">
      <c r="A628" s="7" t="s">
        <v>3801</v>
      </c>
      <c r="B628" s="7" t="s">
        <v>1143</v>
      </c>
      <c r="C628" s="7" t="s">
        <v>72</v>
      </c>
      <c r="D628" s="9">
        <v>46080</v>
      </c>
      <c r="E628" s="3">
        <v>5589.23</v>
      </c>
      <c r="F628" s="7" t="s">
        <v>298</v>
      </c>
    </row>
    <row r="629" spans="1:6" x14ac:dyDescent="0.3">
      <c r="A629" s="7" t="s">
        <v>3802</v>
      </c>
      <c r="B629" s="7" t="s">
        <v>1145</v>
      </c>
      <c r="C629" s="7" t="s">
        <v>9</v>
      </c>
      <c r="D629" s="9">
        <v>45885</v>
      </c>
      <c r="E629" s="3">
        <v>2896.38</v>
      </c>
      <c r="F629" s="7" t="s">
        <v>3184</v>
      </c>
    </row>
    <row r="630" spans="1:6" x14ac:dyDescent="0.3">
      <c r="A630" s="7" t="s">
        <v>3803</v>
      </c>
      <c r="B630" s="7" t="s">
        <v>1146</v>
      </c>
      <c r="C630" s="7" t="s">
        <v>26</v>
      </c>
      <c r="D630" s="9">
        <v>45936</v>
      </c>
      <c r="E630" s="3">
        <v>5045.42</v>
      </c>
      <c r="F630" s="7" t="s">
        <v>298</v>
      </c>
    </row>
    <row r="631" spans="1:6" x14ac:dyDescent="0.3">
      <c r="A631" s="7" t="s">
        <v>3804</v>
      </c>
      <c r="B631" s="7" t="s">
        <v>1147</v>
      </c>
      <c r="C631" s="7" t="s">
        <v>119</v>
      </c>
      <c r="D631" s="9">
        <v>45918</v>
      </c>
      <c r="E631" s="3">
        <v>2934.82</v>
      </c>
      <c r="F631" s="7" t="s">
        <v>296</v>
      </c>
    </row>
    <row r="632" spans="1:6" x14ac:dyDescent="0.3">
      <c r="A632" s="7" t="s">
        <v>3805</v>
      </c>
      <c r="B632" s="7" t="s">
        <v>1148</v>
      </c>
      <c r="C632" s="7" t="s">
        <v>23</v>
      </c>
      <c r="D632" s="9">
        <v>45742</v>
      </c>
      <c r="E632" s="3">
        <v>2206.69</v>
      </c>
      <c r="F632" s="7" t="s">
        <v>3184</v>
      </c>
    </row>
    <row r="633" spans="1:6" x14ac:dyDescent="0.3">
      <c r="A633" s="7" t="s">
        <v>3806</v>
      </c>
      <c r="B633" s="7" t="s">
        <v>1148</v>
      </c>
      <c r="C633" s="7" t="s">
        <v>23</v>
      </c>
      <c r="D633" s="9">
        <v>45755</v>
      </c>
      <c r="E633" s="3">
        <v>1297.97</v>
      </c>
      <c r="F633" s="7" t="s">
        <v>3184</v>
      </c>
    </row>
    <row r="634" spans="1:6" x14ac:dyDescent="0.3">
      <c r="A634" s="7" t="s">
        <v>3807</v>
      </c>
      <c r="B634" s="7" t="s">
        <v>1149</v>
      </c>
      <c r="C634" s="7" t="s">
        <v>73</v>
      </c>
      <c r="D634" s="9">
        <v>45704</v>
      </c>
      <c r="E634" s="3">
        <v>3555</v>
      </c>
      <c r="F634" s="7" t="s">
        <v>3184</v>
      </c>
    </row>
    <row r="635" spans="1:6" x14ac:dyDescent="0.3">
      <c r="A635" s="7" t="s">
        <v>3808</v>
      </c>
      <c r="B635" s="7" t="s">
        <v>1150</v>
      </c>
      <c r="C635" s="7" t="s">
        <v>36</v>
      </c>
      <c r="D635" s="9">
        <v>45690</v>
      </c>
      <c r="E635" s="3">
        <v>11377.81</v>
      </c>
      <c r="F635" s="7" t="s">
        <v>3184</v>
      </c>
    </row>
    <row r="636" spans="1:6" x14ac:dyDescent="0.3">
      <c r="A636" s="7" t="s">
        <v>3809</v>
      </c>
      <c r="B636" s="7" t="s">
        <v>1151</v>
      </c>
      <c r="C636" s="7" t="s">
        <v>101</v>
      </c>
      <c r="D636" s="9">
        <v>45865</v>
      </c>
      <c r="E636" s="3">
        <v>13389.87</v>
      </c>
      <c r="F636" s="7" t="s">
        <v>298</v>
      </c>
    </row>
    <row r="637" spans="1:6" x14ac:dyDescent="0.3">
      <c r="A637" s="7" t="s">
        <v>3810</v>
      </c>
      <c r="B637" s="7" t="s">
        <v>1152</v>
      </c>
      <c r="C637" s="7" t="s">
        <v>105</v>
      </c>
      <c r="D637" s="9">
        <v>45878</v>
      </c>
      <c r="E637" s="3">
        <v>1854.81</v>
      </c>
      <c r="F637" s="7" t="s">
        <v>298</v>
      </c>
    </row>
    <row r="638" spans="1:6" x14ac:dyDescent="0.3">
      <c r="A638" s="7" t="s">
        <v>3811</v>
      </c>
      <c r="B638" s="7" t="s">
        <v>1153</v>
      </c>
      <c r="C638" s="7" t="s">
        <v>76</v>
      </c>
      <c r="D638" s="9">
        <v>45734</v>
      </c>
      <c r="E638" s="3">
        <v>5820.17</v>
      </c>
      <c r="F638" s="7" t="s">
        <v>296</v>
      </c>
    </row>
    <row r="639" spans="1:6" x14ac:dyDescent="0.3">
      <c r="A639" s="7" t="s">
        <v>3812</v>
      </c>
      <c r="B639" s="7" t="s">
        <v>1154</v>
      </c>
      <c r="C639" s="7" t="s">
        <v>7</v>
      </c>
      <c r="D639" s="9">
        <v>45698</v>
      </c>
      <c r="E639" s="3">
        <v>6386.01</v>
      </c>
      <c r="F639" s="7" t="s">
        <v>3184</v>
      </c>
    </row>
    <row r="640" spans="1:6" x14ac:dyDescent="0.3">
      <c r="A640" s="7" t="s">
        <v>3813</v>
      </c>
      <c r="B640" s="7" t="s">
        <v>1154</v>
      </c>
      <c r="C640" s="7" t="s">
        <v>7</v>
      </c>
      <c r="D640" s="9">
        <v>45710</v>
      </c>
      <c r="E640" s="3">
        <v>4451.45</v>
      </c>
      <c r="F640" s="7" t="s">
        <v>3174</v>
      </c>
    </row>
    <row r="641" spans="1:6" x14ac:dyDescent="0.3">
      <c r="A641" s="7" t="s">
        <v>3814</v>
      </c>
      <c r="B641" s="7" t="s">
        <v>1155</v>
      </c>
      <c r="C641" s="7" t="s">
        <v>33</v>
      </c>
      <c r="D641" s="9">
        <v>45934</v>
      </c>
      <c r="E641" s="3">
        <v>3531.56</v>
      </c>
      <c r="F641" s="7" t="s">
        <v>298</v>
      </c>
    </row>
    <row r="642" spans="1:6" x14ac:dyDescent="0.3">
      <c r="A642" s="7" t="s">
        <v>3815</v>
      </c>
      <c r="B642" s="7" t="s">
        <v>1156</v>
      </c>
      <c r="C642" s="7" t="s">
        <v>61</v>
      </c>
      <c r="D642" s="9">
        <v>45899</v>
      </c>
      <c r="E642" s="3">
        <v>2019.09</v>
      </c>
      <c r="F642" s="7" t="s">
        <v>296</v>
      </c>
    </row>
    <row r="643" spans="1:6" x14ac:dyDescent="0.3">
      <c r="A643" s="7" t="s">
        <v>3816</v>
      </c>
      <c r="B643" s="7" t="s">
        <v>1157</v>
      </c>
      <c r="C643" s="7" t="s">
        <v>53</v>
      </c>
      <c r="D643" s="9">
        <v>45807</v>
      </c>
      <c r="E643" s="3">
        <v>1861.47</v>
      </c>
      <c r="F643" s="7" t="s">
        <v>3174</v>
      </c>
    </row>
    <row r="644" spans="1:6" x14ac:dyDescent="0.3">
      <c r="A644" s="7" t="s">
        <v>3817</v>
      </c>
      <c r="B644" s="7" t="s">
        <v>1159</v>
      </c>
      <c r="C644" s="7" t="s">
        <v>78</v>
      </c>
      <c r="D644" s="9">
        <v>45931</v>
      </c>
      <c r="E644" s="3">
        <v>3897.3</v>
      </c>
      <c r="F644" s="7" t="s">
        <v>3174</v>
      </c>
    </row>
    <row r="645" spans="1:6" x14ac:dyDescent="0.3">
      <c r="A645" s="7" t="s">
        <v>3818</v>
      </c>
      <c r="B645" s="7" t="s">
        <v>1160</v>
      </c>
      <c r="C645" s="7" t="s">
        <v>97</v>
      </c>
      <c r="D645" s="9">
        <v>45851</v>
      </c>
      <c r="E645" s="3">
        <v>10818.13</v>
      </c>
      <c r="F645" s="7" t="s">
        <v>298</v>
      </c>
    </row>
    <row r="646" spans="1:6" x14ac:dyDescent="0.3">
      <c r="A646" s="7" t="s">
        <v>3819</v>
      </c>
      <c r="B646" s="7" t="s">
        <v>1161</v>
      </c>
      <c r="C646" s="7" t="s">
        <v>36</v>
      </c>
      <c r="D646" s="9">
        <v>46128</v>
      </c>
      <c r="E646" s="3">
        <v>13131.76</v>
      </c>
      <c r="F646" s="7" t="s">
        <v>3184</v>
      </c>
    </row>
    <row r="647" spans="1:6" x14ac:dyDescent="0.3">
      <c r="A647" s="7" t="s">
        <v>3820</v>
      </c>
      <c r="B647" s="7" t="s">
        <v>1162</v>
      </c>
      <c r="C647" s="7" t="s">
        <v>58</v>
      </c>
      <c r="D647" s="9">
        <v>45766</v>
      </c>
      <c r="E647" s="3">
        <v>13358.92</v>
      </c>
      <c r="F647" s="7" t="s">
        <v>296</v>
      </c>
    </row>
    <row r="648" spans="1:6" x14ac:dyDescent="0.3">
      <c r="A648" s="7" t="s">
        <v>3821</v>
      </c>
      <c r="B648" s="7" t="s">
        <v>1163</v>
      </c>
      <c r="C648" s="7" t="s">
        <v>13</v>
      </c>
      <c r="D648" s="9">
        <v>46022</v>
      </c>
      <c r="E648" s="3">
        <v>2800.85</v>
      </c>
      <c r="F648" s="7" t="s">
        <v>3184</v>
      </c>
    </row>
    <row r="649" spans="1:6" x14ac:dyDescent="0.3">
      <c r="A649" s="7" t="s">
        <v>3822</v>
      </c>
      <c r="B649" s="7" t="s">
        <v>1165</v>
      </c>
      <c r="C649" s="7" t="s">
        <v>40</v>
      </c>
      <c r="D649" s="9">
        <v>45995</v>
      </c>
      <c r="E649" s="3">
        <v>4943.34</v>
      </c>
      <c r="F649" s="7" t="s">
        <v>3184</v>
      </c>
    </row>
    <row r="650" spans="1:6" x14ac:dyDescent="0.3">
      <c r="A650" s="7" t="s">
        <v>3823</v>
      </c>
      <c r="B650" s="7" t="s">
        <v>1166</v>
      </c>
      <c r="C650" s="7" t="s">
        <v>58</v>
      </c>
      <c r="D650" s="9">
        <v>45983</v>
      </c>
      <c r="E650" s="3">
        <v>4741.67</v>
      </c>
      <c r="F650" s="7" t="s">
        <v>3184</v>
      </c>
    </row>
    <row r="651" spans="1:6" x14ac:dyDescent="0.3">
      <c r="A651" s="7" t="s">
        <v>3824</v>
      </c>
      <c r="B651" s="7" t="s">
        <v>1168</v>
      </c>
      <c r="C651" s="7" t="s">
        <v>91</v>
      </c>
      <c r="D651" s="9">
        <v>45903</v>
      </c>
      <c r="E651" s="3">
        <v>2189.62</v>
      </c>
      <c r="F651" s="7" t="s">
        <v>296</v>
      </c>
    </row>
    <row r="652" spans="1:6" x14ac:dyDescent="0.3">
      <c r="A652" s="7" t="s">
        <v>3825</v>
      </c>
      <c r="B652" s="7" t="s">
        <v>1168</v>
      </c>
      <c r="C652" s="7" t="s">
        <v>91</v>
      </c>
      <c r="D652" s="9">
        <v>45918</v>
      </c>
      <c r="E652" s="3">
        <v>3090.96</v>
      </c>
      <c r="F652" s="7" t="s">
        <v>3174</v>
      </c>
    </row>
    <row r="653" spans="1:6" x14ac:dyDescent="0.3">
      <c r="A653" s="7" t="s">
        <v>3826</v>
      </c>
      <c r="B653" s="7" t="s">
        <v>1169</v>
      </c>
      <c r="C653" s="7" t="s">
        <v>96</v>
      </c>
      <c r="D653" s="9">
        <v>45715</v>
      </c>
      <c r="E653" s="3">
        <v>3200.41</v>
      </c>
      <c r="F653" s="7" t="s">
        <v>296</v>
      </c>
    </row>
    <row r="654" spans="1:6" x14ac:dyDescent="0.3">
      <c r="A654" s="7" t="s">
        <v>3827</v>
      </c>
      <c r="B654" s="7" t="s">
        <v>1170</v>
      </c>
      <c r="C654" s="7" t="s">
        <v>90</v>
      </c>
      <c r="D654" s="9">
        <v>46026</v>
      </c>
      <c r="E654" s="3">
        <v>5230.38</v>
      </c>
      <c r="F654" s="7" t="s">
        <v>296</v>
      </c>
    </row>
    <row r="655" spans="1:6" x14ac:dyDescent="0.3">
      <c r="A655" s="7" t="s">
        <v>3828</v>
      </c>
      <c r="B655" s="7" t="s">
        <v>1172</v>
      </c>
      <c r="C655" s="7" t="s">
        <v>101</v>
      </c>
      <c r="D655" s="9">
        <v>45970</v>
      </c>
      <c r="E655" s="3">
        <v>1724.5</v>
      </c>
      <c r="F655" s="7" t="s">
        <v>298</v>
      </c>
    </row>
    <row r="656" spans="1:6" x14ac:dyDescent="0.3">
      <c r="A656" s="7" t="s">
        <v>3829</v>
      </c>
      <c r="B656" s="7" t="s">
        <v>1173</v>
      </c>
      <c r="C656" s="7" t="s">
        <v>113</v>
      </c>
      <c r="D656" s="9">
        <v>45719</v>
      </c>
      <c r="E656" s="3">
        <v>1489.4</v>
      </c>
      <c r="F656" s="7" t="s">
        <v>298</v>
      </c>
    </row>
    <row r="657" spans="1:6" x14ac:dyDescent="0.3">
      <c r="A657" s="7" t="s">
        <v>3830</v>
      </c>
      <c r="B657" s="7" t="s">
        <v>1176</v>
      </c>
      <c r="C657" s="7" t="s">
        <v>16</v>
      </c>
      <c r="D657" s="9">
        <v>45883</v>
      </c>
      <c r="E657" s="3">
        <v>2713.33</v>
      </c>
      <c r="F657" s="7" t="s">
        <v>3174</v>
      </c>
    </row>
    <row r="658" spans="1:6" x14ac:dyDescent="0.3">
      <c r="A658" s="7" t="s">
        <v>3831</v>
      </c>
      <c r="B658" s="7" t="s">
        <v>1178</v>
      </c>
      <c r="C658" s="7" t="s">
        <v>55</v>
      </c>
      <c r="D658" s="9">
        <v>45975</v>
      </c>
      <c r="E658" s="3">
        <v>3938.41</v>
      </c>
      <c r="F658" s="7" t="s">
        <v>3184</v>
      </c>
    </row>
    <row r="659" spans="1:6" x14ac:dyDescent="0.3">
      <c r="A659" s="7" t="s">
        <v>3832</v>
      </c>
      <c r="B659" s="7" t="s">
        <v>1180</v>
      </c>
      <c r="C659" s="7" t="s">
        <v>40</v>
      </c>
      <c r="D659" s="9">
        <v>45984</v>
      </c>
      <c r="E659" s="3">
        <v>1771.72</v>
      </c>
      <c r="F659" s="7" t="s">
        <v>3174</v>
      </c>
    </row>
    <row r="660" spans="1:6" x14ac:dyDescent="0.3">
      <c r="A660" s="7" t="s">
        <v>3833</v>
      </c>
      <c r="B660" s="7" t="s">
        <v>1181</v>
      </c>
      <c r="C660" s="7" t="s">
        <v>36</v>
      </c>
      <c r="D660" s="9">
        <v>46073</v>
      </c>
      <c r="E660" s="3">
        <v>2859.21</v>
      </c>
      <c r="F660" s="7" t="s">
        <v>3184</v>
      </c>
    </row>
    <row r="661" spans="1:6" x14ac:dyDescent="0.3">
      <c r="A661" s="7" t="s">
        <v>3834</v>
      </c>
      <c r="B661" s="7" t="s">
        <v>1182</v>
      </c>
      <c r="C661" s="7" t="s">
        <v>96</v>
      </c>
      <c r="D661" s="9">
        <v>45840</v>
      </c>
      <c r="E661" s="3">
        <v>2412.4299999999998</v>
      </c>
      <c r="F661" s="7" t="s">
        <v>298</v>
      </c>
    </row>
    <row r="662" spans="1:6" x14ac:dyDescent="0.3">
      <c r="A662" s="7" t="s">
        <v>3835</v>
      </c>
      <c r="B662" s="7" t="s">
        <v>1183</v>
      </c>
      <c r="C662" s="7" t="s">
        <v>112</v>
      </c>
      <c r="D662" s="9">
        <v>45731</v>
      </c>
      <c r="E662" s="3">
        <v>1039.54</v>
      </c>
      <c r="F662" s="7" t="s">
        <v>298</v>
      </c>
    </row>
    <row r="663" spans="1:6" x14ac:dyDescent="0.3">
      <c r="A663" s="7" t="s">
        <v>3836</v>
      </c>
      <c r="B663" s="7" t="s">
        <v>1183</v>
      </c>
      <c r="C663" s="7" t="s">
        <v>112</v>
      </c>
      <c r="D663" s="9">
        <v>45741</v>
      </c>
      <c r="E663" s="3">
        <v>1208.72</v>
      </c>
      <c r="F663" s="7" t="s">
        <v>296</v>
      </c>
    </row>
    <row r="664" spans="1:6" x14ac:dyDescent="0.3">
      <c r="A664" s="7" t="s">
        <v>3837</v>
      </c>
      <c r="B664" s="7" t="s">
        <v>1184</v>
      </c>
      <c r="C664" s="7" t="s">
        <v>34</v>
      </c>
      <c r="D664" s="9">
        <v>45750</v>
      </c>
      <c r="E664" s="3">
        <v>2076.0300000000002</v>
      </c>
      <c r="F664" s="7" t="s">
        <v>3174</v>
      </c>
    </row>
    <row r="665" spans="1:6" x14ac:dyDescent="0.3">
      <c r="A665" s="7" t="s">
        <v>3838</v>
      </c>
      <c r="B665" s="7" t="s">
        <v>1186</v>
      </c>
      <c r="C665" s="7" t="s">
        <v>40</v>
      </c>
      <c r="D665" s="9">
        <v>45781</v>
      </c>
      <c r="E665" s="3">
        <v>13138.14</v>
      </c>
      <c r="F665" s="7" t="s">
        <v>296</v>
      </c>
    </row>
    <row r="666" spans="1:6" x14ac:dyDescent="0.3">
      <c r="A666" s="7" t="s">
        <v>3839</v>
      </c>
      <c r="B666" s="7" t="s">
        <v>1188</v>
      </c>
      <c r="C666" s="7" t="s">
        <v>91</v>
      </c>
      <c r="D666" s="9">
        <v>45748</v>
      </c>
      <c r="E666" s="3">
        <v>5557.88</v>
      </c>
      <c r="F666" s="7" t="s">
        <v>3184</v>
      </c>
    </row>
    <row r="667" spans="1:6" x14ac:dyDescent="0.3">
      <c r="A667" s="7" t="s">
        <v>3840</v>
      </c>
      <c r="B667" s="7" t="s">
        <v>1192</v>
      </c>
      <c r="C667" s="7" t="s">
        <v>74</v>
      </c>
      <c r="D667" s="9">
        <v>45787</v>
      </c>
      <c r="E667" s="3">
        <v>3192.37</v>
      </c>
      <c r="F667" s="7" t="s">
        <v>3184</v>
      </c>
    </row>
    <row r="668" spans="1:6" x14ac:dyDescent="0.3">
      <c r="A668" s="7" t="s">
        <v>3841</v>
      </c>
      <c r="B668" s="7" t="s">
        <v>1193</v>
      </c>
      <c r="C668" s="7" t="s">
        <v>57</v>
      </c>
      <c r="D668" s="9">
        <v>45963</v>
      </c>
      <c r="E668" s="3">
        <v>11895.94</v>
      </c>
      <c r="F668" s="7" t="s">
        <v>3184</v>
      </c>
    </row>
    <row r="669" spans="1:6" x14ac:dyDescent="0.3">
      <c r="A669" s="7" t="s">
        <v>3842</v>
      </c>
      <c r="B669" s="7" t="s">
        <v>1194</v>
      </c>
      <c r="C669" s="7" t="s">
        <v>65</v>
      </c>
      <c r="D669" s="9">
        <v>45915</v>
      </c>
      <c r="E669" s="3">
        <v>1998.65</v>
      </c>
      <c r="F669" s="7" t="s">
        <v>296</v>
      </c>
    </row>
    <row r="670" spans="1:6" x14ac:dyDescent="0.3">
      <c r="A670" s="7" t="s">
        <v>3843</v>
      </c>
      <c r="B670" s="7" t="s">
        <v>1195</v>
      </c>
      <c r="C670" s="7" t="s">
        <v>81</v>
      </c>
      <c r="D670" s="9">
        <v>45705</v>
      </c>
      <c r="E670" s="3">
        <v>2689.21</v>
      </c>
      <c r="F670" s="7" t="s">
        <v>3174</v>
      </c>
    </row>
    <row r="671" spans="1:6" x14ac:dyDescent="0.3">
      <c r="A671" s="7" t="s">
        <v>3844</v>
      </c>
      <c r="B671" s="7" t="s">
        <v>1196</v>
      </c>
      <c r="C671" s="7" t="s">
        <v>40</v>
      </c>
      <c r="D671" s="9">
        <v>46001</v>
      </c>
      <c r="E671" s="3">
        <v>2790.52</v>
      </c>
      <c r="F671" s="7" t="s">
        <v>298</v>
      </c>
    </row>
    <row r="672" spans="1:6" x14ac:dyDescent="0.3">
      <c r="A672" s="7" t="s">
        <v>3845</v>
      </c>
      <c r="B672" s="7" t="s">
        <v>1197</v>
      </c>
      <c r="C672" s="7" t="s">
        <v>70</v>
      </c>
      <c r="D672" s="9">
        <v>45986</v>
      </c>
      <c r="E672" s="3">
        <v>4538.82</v>
      </c>
      <c r="F672" s="7" t="s">
        <v>3174</v>
      </c>
    </row>
    <row r="673" spans="1:6" x14ac:dyDescent="0.3">
      <c r="A673" s="7" t="s">
        <v>3846</v>
      </c>
      <c r="B673" s="7" t="s">
        <v>1198</v>
      </c>
      <c r="C673" s="7" t="s">
        <v>58</v>
      </c>
      <c r="D673" s="9">
        <v>46028</v>
      </c>
      <c r="E673" s="3">
        <v>10610.56</v>
      </c>
      <c r="F673" s="7" t="s">
        <v>3184</v>
      </c>
    </row>
    <row r="674" spans="1:6" x14ac:dyDescent="0.3">
      <c r="A674" s="7" t="s">
        <v>3847</v>
      </c>
      <c r="B674" s="7" t="s">
        <v>1202</v>
      </c>
      <c r="C674" s="7" t="s">
        <v>24</v>
      </c>
      <c r="D674" s="9">
        <v>45669</v>
      </c>
      <c r="E674" s="3">
        <v>4945.97</v>
      </c>
      <c r="F674" s="7" t="s">
        <v>3174</v>
      </c>
    </row>
    <row r="675" spans="1:6" x14ac:dyDescent="0.3">
      <c r="A675" s="7" t="s">
        <v>3848</v>
      </c>
      <c r="B675" s="7" t="s">
        <v>1204</v>
      </c>
      <c r="C675" s="7" t="s">
        <v>95</v>
      </c>
      <c r="D675" s="9">
        <v>45952</v>
      </c>
      <c r="E675" s="3">
        <v>2562.14</v>
      </c>
      <c r="F675" s="7" t="s">
        <v>298</v>
      </c>
    </row>
    <row r="676" spans="1:6" x14ac:dyDescent="0.3">
      <c r="A676" s="7" t="s">
        <v>3849</v>
      </c>
      <c r="B676" s="7" t="s">
        <v>1205</v>
      </c>
      <c r="C676" s="7" t="s">
        <v>87</v>
      </c>
      <c r="D676" s="9">
        <v>46092</v>
      </c>
      <c r="E676" s="3">
        <v>4120.07</v>
      </c>
      <c r="F676" s="7" t="s">
        <v>3174</v>
      </c>
    </row>
    <row r="677" spans="1:6" x14ac:dyDescent="0.3">
      <c r="A677" s="7" t="s">
        <v>3850</v>
      </c>
      <c r="B677" s="7" t="s">
        <v>1206</v>
      </c>
      <c r="C677" s="7" t="s">
        <v>78</v>
      </c>
      <c r="D677" s="9">
        <v>45870</v>
      </c>
      <c r="E677" s="3">
        <v>2939.83</v>
      </c>
      <c r="F677" s="7" t="s">
        <v>296</v>
      </c>
    </row>
    <row r="678" spans="1:6" x14ac:dyDescent="0.3">
      <c r="A678" s="7" t="s">
        <v>3851</v>
      </c>
      <c r="B678" s="7" t="s">
        <v>1207</v>
      </c>
      <c r="C678" s="7" t="s">
        <v>22</v>
      </c>
      <c r="D678" s="9">
        <v>45799</v>
      </c>
      <c r="E678" s="3">
        <v>4104.58</v>
      </c>
      <c r="F678" s="7" t="s">
        <v>3184</v>
      </c>
    </row>
    <row r="679" spans="1:6" x14ac:dyDescent="0.3">
      <c r="A679" s="7" t="s">
        <v>3852</v>
      </c>
      <c r="B679" s="7" t="s">
        <v>1208</v>
      </c>
      <c r="C679" s="7" t="s">
        <v>90</v>
      </c>
      <c r="D679" s="9">
        <v>45981</v>
      </c>
      <c r="E679" s="3">
        <v>2867.37</v>
      </c>
      <c r="F679" s="7" t="s">
        <v>3174</v>
      </c>
    </row>
    <row r="680" spans="1:6" x14ac:dyDescent="0.3">
      <c r="A680" s="7" t="s">
        <v>3853</v>
      </c>
      <c r="B680" s="7" t="s">
        <v>1209</v>
      </c>
      <c r="C680" s="7" t="s">
        <v>93</v>
      </c>
      <c r="D680" s="9">
        <v>46090</v>
      </c>
      <c r="E680" s="3">
        <v>1827.68</v>
      </c>
      <c r="F680" s="7" t="s">
        <v>298</v>
      </c>
    </row>
    <row r="681" spans="1:6" x14ac:dyDescent="0.3">
      <c r="A681" s="7" t="s">
        <v>3854</v>
      </c>
      <c r="B681" s="7" t="s">
        <v>1212</v>
      </c>
      <c r="C681" s="7" t="s">
        <v>123</v>
      </c>
      <c r="D681" s="9">
        <v>45990</v>
      </c>
      <c r="E681" s="3">
        <v>2421.8200000000002</v>
      </c>
      <c r="F681" s="7" t="s">
        <v>296</v>
      </c>
    </row>
    <row r="682" spans="1:6" x14ac:dyDescent="0.3">
      <c r="A682" s="7" t="s">
        <v>3855</v>
      </c>
      <c r="B682" s="7" t="s">
        <v>1213</v>
      </c>
      <c r="C682" s="7" t="s">
        <v>90</v>
      </c>
      <c r="D682" s="9">
        <v>45860</v>
      </c>
      <c r="E682" s="3">
        <v>2494.9299999999998</v>
      </c>
      <c r="F682" s="7" t="s">
        <v>3184</v>
      </c>
    </row>
    <row r="683" spans="1:6" x14ac:dyDescent="0.3">
      <c r="A683" s="7" t="s">
        <v>3856</v>
      </c>
      <c r="B683" s="7" t="s">
        <v>1214</v>
      </c>
      <c r="C683" s="7" t="s">
        <v>120</v>
      </c>
      <c r="D683" s="9">
        <v>45985</v>
      </c>
      <c r="E683" s="3">
        <v>2710.43</v>
      </c>
      <c r="F683" s="7" t="s">
        <v>298</v>
      </c>
    </row>
    <row r="684" spans="1:6" x14ac:dyDescent="0.3">
      <c r="A684" s="7" t="s">
        <v>3857</v>
      </c>
      <c r="B684" s="7" t="s">
        <v>1215</v>
      </c>
      <c r="C684" s="7" t="s">
        <v>64</v>
      </c>
      <c r="D684" s="9">
        <v>45903</v>
      </c>
      <c r="E684" s="3">
        <v>13348.68</v>
      </c>
      <c r="F684" s="7" t="s">
        <v>296</v>
      </c>
    </row>
    <row r="685" spans="1:6" x14ac:dyDescent="0.3">
      <c r="A685" s="7" t="s">
        <v>3858</v>
      </c>
      <c r="B685" s="7" t="s">
        <v>1216</v>
      </c>
      <c r="C685" s="7" t="s">
        <v>37</v>
      </c>
      <c r="D685" s="9">
        <v>46122</v>
      </c>
      <c r="E685" s="3">
        <v>10403.129999999999</v>
      </c>
      <c r="F685" s="7" t="s">
        <v>3184</v>
      </c>
    </row>
    <row r="686" spans="1:6" x14ac:dyDescent="0.3">
      <c r="A686" s="7" t="s">
        <v>3859</v>
      </c>
      <c r="B686" s="7" t="s">
        <v>1217</v>
      </c>
      <c r="C686" s="7" t="s">
        <v>33</v>
      </c>
      <c r="D686" s="9">
        <v>46088</v>
      </c>
      <c r="E686" s="3">
        <v>1621.19</v>
      </c>
      <c r="F686" s="7" t="s">
        <v>3174</v>
      </c>
    </row>
    <row r="687" spans="1:6" x14ac:dyDescent="0.3">
      <c r="A687" s="7" t="s">
        <v>3860</v>
      </c>
      <c r="B687" s="7" t="s">
        <v>1219</v>
      </c>
      <c r="C687" s="7" t="s">
        <v>17</v>
      </c>
      <c r="D687" s="9">
        <v>46075</v>
      </c>
      <c r="E687" s="3">
        <v>2875.36</v>
      </c>
      <c r="F687" s="7" t="s">
        <v>296</v>
      </c>
    </row>
    <row r="688" spans="1:6" x14ac:dyDescent="0.3">
      <c r="A688" s="7" t="s">
        <v>3861</v>
      </c>
      <c r="B688" s="7" t="s">
        <v>1220</v>
      </c>
      <c r="C688" s="7" t="s">
        <v>120</v>
      </c>
      <c r="D688" s="9">
        <v>45742</v>
      </c>
      <c r="E688" s="3">
        <v>2714.94</v>
      </c>
      <c r="F688" s="7" t="s">
        <v>296</v>
      </c>
    </row>
    <row r="689" spans="1:6" x14ac:dyDescent="0.3">
      <c r="A689" s="7" t="s">
        <v>3862</v>
      </c>
      <c r="B689" s="7" t="s">
        <v>1221</v>
      </c>
      <c r="C689" s="7" t="s">
        <v>87</v>
      </c>
      <c r="D689" s="9">
        <v>45839</v>
      </c>
      <c r="E689" s="3">
        <v>11084.98</v>
      </c>
      <c r="F689" s="7" t="s">
        <v>3184</v>
      </c>
    </row>
    <row r="690" spans="1:6" x14ac:dyDescent="0.3">
      <c r="A690" s="7" t="s">
        <v>3863</v>
      </c>
      <c r="B690" s="7" t="s">
        <v>1222</v>
      </c>
      <c r="C690" s="7" t="s">
        <v>91</v>
      </c>
      <c r="D690" s="9">
        <v>46102</v>
      </c>
      <c r="E690" s="3">
        <v>4262.55</v>
      </c>
      <c r="F690" s="7" t="s">
        <v>298</v>
      </c>
    </row>
    <row r="691" spans="1:6" x14ac:dyDescent="0.3">
      <c r="A691" s="7" t="s">
        <v>3864</v>
      </c>
      <c r="B691" s="7" t="s">
        <v>1223</v>
      </c>
      <c r="C691" s="7" t="s">
        <v>118</v>
      </c>
      <c r="D691" s="9">
        <v>45841</v>
      </c>
      <c r="E691" s="3">
        <v>2860.37</v>
      </c>
      <c r="F691" s="7" t="s">
        <v>296</v>
      </c>
    </row>
    <row r="692" spans="1:6" x14ac:dyDescent="0.3">
      <c r="A692" s="7" t="s">
        <v>3865</v>
      </c>
      <c r="B692" s="7" t="s">
        <v>1224</v>
      </c>
      <c r="C692" s="7" t="s">
        <v>96</v>
      </c>
      <c r="D692" s="9">
        <v>45971</v>
      </c>
      <c r="E692" s="3">
        <v>4108.8</v>
      </c>
      <c r="F692" s="7" t="s">
        <v>3184</v>
      </c>
    </row>
    <row r="693" spans="1:6" x14ac:dyDescent="0.3">
      <c r="A693" s="7" t="s">
        <v>3866</v>
      </c>
      <c r="B693" s="7" t="s">
        <v>1225</v>
      </c>
      <c r="C693" s="7" t="s">
        <v>88</v>
      </c>
      <c r="D693" s="9">
        <v>45969</v>
      </c>
      <c r="E693" s="3">
        <v>3047.85</v>
      </c>
      <c r="F693" s="7" t="s">
        <v>296</v>
      </c>
    </row>
    <row r="694" spans="1:6" x14ac:dyDescent="0.3">
      <c r="A694" s="7" t="s">
        <v>3867</v>
      </c>
      <c r="B694" s="7" t="s">
        <v>1226</v>
      </c>
      <c r="C694" s="7" t="s">
        <v>123</v>
      </c>
      <c r="D694" s="9">
        <v>46029</v>
      </c>
      <c r="E694" s="3">
        <v>3408.97</v>
      </c>
      <c r="F694" s="7" t="s">
        <v>3174</v>
      </c>
    </row>
    <row r="695" spans="1:6" x14ac:dyDescent="0.3">
      <c r="A695" s="7" t="s">
        <v>3868</v>
      </c>
      <c r="B695" s="7" t="s">
        <v>1227</v>
      </c>
      <c r="C695" s="7" t="s">
        <v>53</v>
      </c>
      <c r="D695" s="9">
        <v>45782</v>
      </c>
      <c r="E695" s="3">
        <v>2481.65</v>
      </c>
      <c r="F695" s="7" t="s">
        <v>296</v>
      </c>
    </row>
    <row r="696" spans="1:6" x14ac:dyDescent="0.3">
      <c r="A696" s="7" t="s">
        <v>3869</v>
      </c>
      <c r="B696" s="7" t="s">
        <v>1228</v>
      </c>
      <c r="C696" s="7" t="s">
        <v>111</v>
      </c>
      <c r="D696" s="9">
        <v>45817</v>
      </c>
      <c r="E696" s="3">
        <v>10847.07</v>
      </c>
      <c r="F696" s="7" t="s">
        <v>298</v>
      </c>
    </row>
    <row r="697" spans="1:6" x14ac:dyDescent="0.3">
      <c r="A697" s="7" t="s">
        <v>3870</v>
      </c>
      <c r="B697" s="7" t="s">
        <v>1229</v>
      </c>
      <c r="C697" s="7" t="s">
        <v>69</v>
      </c>
      <c r="D697" s="9">
        <v>45942</v>
      </c>
      <c r="E697" s="3">
        <v>4687.7700000000004</v>
      </c>
      <c r="F697" s="7" t="s">
        <v>3184</v>
      </c>
    </row>
    <row r="698" spans="1:6" x14ac:dyDescent="0.3">
      <c r="A698" s="7" t="s">
        <v>3871</v>
      </c>
      <c r="B698" s="7" t="s">
        <v>1231</v>
      </c>
      <c r="C698" s="7" t="s">
        <v>119</v>
      </c>
      <c r="D698" s="9">
        <v>45959</v>
      </c>
      <c r="E698" s="3">
        <v>5593.53</v>
      </c>
      <c r="F698" s="7" t="s">
        <v>3184</v>
      </c>
    </row>
    <row r="699" spans="1:6" x14ac:dyDescent="0.3">
      <c r="A699" s="7" t="s">
        <v>3872</v>
      </c>
      <c r="B699" s="7" t="s">
        <v>1232</v>
      </c>
      <c r="C699" s="7" t="s">
        <v>89</v>
      </c>
      <c r="D699" s="9">
        <v>45805</v>
      </c>
      <c r="E699" s="3">
        <v>3411.95</v>
      </c>
      <c r="F699" s="7" t="s">
        <v>3184</v>
      </c>
    </row>
    <row r="700" spans="1:6" x14ac:dyDescent="0.3">
      <c r="A700" s="7" t="s">
        <v>3873</v>
      </c>
      <c r="B700" s="7" t="s">
        <v>1233</v>
      </c>
      <c r="C700" s="7" t="s">
        <v>87</v>
      </c>
      <c r="D700" s="9">
        <v>45788</v>
      </c>
      <c r="E700" s="3">
        <v>13576.45</v>
      </c>
      <c r="F700" s="7" t="s">
        <v>3174</v>
      </c>
    </row>
    <row r="701" spans="1:6" x14ac:dyDescent="0.3">
      <c r="A701" s="7" t="s">
        <v>3874</v>
      </c>
      <c r="B701" s="7" t="s">
        <v>1236</v>
      </c>
      <c r="C701" s="7" t="s">
        <v>88</v>
      </c>
      <c r="D701" s="9">
        <v>45757</v>
      </c>
      <c r="E701" s="3">
        <v>5706.96</v>
      </c>
      <c r="F701" s="7" t="s">
        <v>3174</v>
      </c>
    </row>
    <row r="702" spans="1:6" x14ac:dyDescent="0.3">
      <c r="A702" s="7" t="s">
        <v>3875</v>
      </c>
      <c r="B702" s="7" t="s">
        <v>1237</v>
      </c>
      <c r="C702" s="7" t="s">
        <v>31</v>
      </c>
      <c r="D702" s="9">
        <v>45849</v>
      </c>
      <c r="E702" s="3">
        <v>12565.1</v>
      </c>
      <c r="F702" s="7" t="s">
        <v>296</v>
      </c>
    </row>
    <row r="703" spans="1:6" x14ac:dyDescent="0.3">
      <c r="A703" s="7" t="s">
        <v>3876</v>
      </c>
      <c r="B703" s="7" t="s">
        <v>1238</v>
      </c>
      <c r="C703" s="7" t="s">
        <v>20</v>
      </c>
      <c r="D703" s="9">
        <v>45716</v>
      </c>
      <c r="E703" s="3">
        <v>2019.4</v>
      </c>
      <c r="F703" s="7" t="s">
        <v>296</v>
      </c>
    </row>
    <row r="704" spans="1:6" x14ac:dyDescent="0.3">
      <c r="A704" s="7" t="s">
        <v>3877</v>
      </c>
      <c r="B704" s="7" t="s">
        <v>1239</v>
      </c>
      <c r="C704" s="7" t="s">
        <v>36</v>
      </c>
      <c r="D704" s="9">
        <v>46069</v>
      </c>
      <c r="E704" s="3">
        <v>2269.1999999999998</v>
      </c>
      <c r="F704" s="7" t="s">
        <v>3184</v>
      </c>
    </row>
    <row r="705" spans="1:6" x14ac:dyDescent="0.3">
      <c r="A705" s="7" t="s">
        <v>3878</v>
      </c>
      <c r="B705" s="7" t="s">
        <v>1240</v>
      </c>
      <c r="C705" s="7" t="s">
        <v>46</v>
      </c>
      <c r="D705" s="9">
        <v>45917</v>
      </c>
      <c r="E705" s="3">
        <v>2580.8200000000002</v>
      </c>
      <c r="F705" s="7" t="s">
        <v>3174</v>
      </c>
    </row>
    <row r="706" spans="1:6" x14ac:dyDescent="0.3">
      <c r="A706" s="7" t="s">
        <v>3879</v>
      </c>
      <c r="B706" s="7" t="s">
        <v>1242</v>
      </c>
      <c r="C706" s="7" t="s">
        <v>57</v>
      </c>
      <c r="D706" s="9">
        <v>45734</v>
      </c>
      <c r="E706" s="3">
        <v>3412.26</v>
      </c>
      <c r="F706" s="7" t="s">
        <v>3184</v>
      </c>
    </row>
    <row r="707" spans="1:6" x14ac:dyDescent="0.3">
      <c r="A707" s="7" t="s">
        <v>3880</v>
      </c>
      <c r="B707" s="7" t="s">
        <v>1244</v>
      </c>
      <c r="C707" s="7" t="s">
        <v>105</v>
      </c>
      <c r="D707" s="9">
        <v>45749</v>
      </c>
      <c r="E707" s="3">
        <v>13575.61</v>
      </c>
      <c r="F707" s="7" t="s">
        <v>298</v>
      </c>
    </row>
    <row r="708" spans="1:6" x14ac:dyDescent="0.3">
      <c r="A708" s="7" t="s">
        <v>3881</v>
      </c>
      <c r="B708" s="7" t="s">
        <v>1245</v>
      </c>
      <c r="C708" s="7" t="s">
        <v>105</v>
      </c>
      <c r="D708" s="9">
        <v>45700</v>
      </c>
      <c r="E708" s="3">
        <v>10786.38</v>
      </c>
      <c r="F708" s="7" t="s">
        <v>3184</v>
      </c>
    </row>
    <row r="709" spans="1:6" x14ac:dyDescent="0.3">
      <c r="A709" s="7" t="s">
        <v>3882</v>
      </c>
      <c r="B709" s="7" t="s">
        <v>1246</v>
      </c>
      <c r="C709" s="7" t="s">
        <v>46</v>
      </c>
      <c r="D709" s="9">
        <v>45802</v>
      </c>
      <c r="E709" s="3">
        <v>3025.37</v>
      </c>
      <c r="F709" s="7" t="s">
        <v>3174</v>
      </c>
    </row>
    <row r="710" spans="1:6" x14ac:dyDescent="0.3">
      <c r="A710" s="7" t="s">
        <v>3883</v>
      </c>
      <c r="B710" s="7" t="s">
        <v>1247</v>
      </c>
      <c r="C710" s="7" t="s">
        <v>77</v>
      </c>
      <c r="D710" s="9">
        <v>46032</v>
      </c>
      <c r="E710" s="3">
        <v>2158.61</v>
      </c>
      <c r="F710" s="7" t="s">
        <v>3174</v>
      </c>
    </row>
    <row r="711" spans="1:6" x14ac:dyDescent="0.3">
      <c r="A711" s="7" t="s">
        <v>3884</v>
      </c>
      <c r="B711" s="7" t="s">
        <v>1248</v>
      </c>
      <c r="C711" s="7" t="s">
        <v>53</v>
      </c>
      <c r="D711" s="9">
        <v>45912</v>
      </c>
      <c r="E711" s="3">
        <v>2971</v>
      </c>
      <c r="F711" s="7" t="s">
        <v>298</v>
      </c>
    </row>
    <row r="712" spans="1:6" x14ac:dyDescent="0.3">
      <c r="A712" s="7" t="s">
        <v>3885</v>
      </c>
      <c r="B712" s="7" t="s">
        <v>1249</v>
      </c>
      <c r="C712" s="7" t="s">
        <v>62</v>
      </c>
      <c r="D712" s="9">
        <v>45776</v>
      </c>
      <c r="E712" s="3">
        <v>3436.39</v>
      </c>
      <c r="F712" s="7" t="s">
        <v>3184</v>
      </c>
    </row>
    <row r="713" spans="1:6" x14ac:dyDescent="0.3">
      <c r="A713" s="7" t="s">
        <v>3886</v>
      </c>
      <c r="B713" s="7" t="s">
        <v>1250</v>
      </c>
      <c r="C713" s="7" t="s">
        <v>57</v>
      </c>
      <c r="D713" s="9">
        <v>46066</v>
      </c>
      <c r="E713" s="3">
        <v>2015.07</v>
      </c>
      <c r="F713" s="7" t="s">
        <v>3184</v>
      </c>
    </row>
    <row r="714" spans="1:6" x14ac:dyDescent="0.3">
      <c r="A714" s="7" t="s">
        <v>3887</v>
      </c>
      <c r="B714" s="7" t="s">
        <v>1252</v>
      </c>
      <c r="C714" s="7" t="s">
        <v>70</v>
      </c>
      <c r="D714" s="9">
        <v>45877</v>
      </c>
      <c r="E714" s="3">
        <v>1869.27</v>
      </c>
      <c r="F714" s="7" t="s">
        <v>298</v>
      </c>
    </row>
    <row r="715" spans="1:6" x14ac:dyDescent="0.3">
      <c r="A715" s="7" t="s">
        <v>3888</v>
      </c>
      <c r="B715" s="7" t="s">
        <v>1253</v>
      </c>
      <c r="C715" s="7" t="s">
        <v>52</v>
      </c>
      <c r="D715" s="9">
        <v>45851</v>
      </c>
      <c r="E715" s="3">
        <v>3223.13</v>
      </c>
      <c r="F715" s="7" t="s">
        <v>298</v>
      </c>
    </row>
    <row r="716" spans="1:6" x14ac:dyDescent="0.3">
      <c r="A716" s="7" t="s">
        <v>3889</v>
      </c>
      <c r="B716" s="7" t="s">
        <v>1254</v>
      </c>
      <c r="C716" s="7" t="s">
        <v>36</v>
      </c>
      <c r="D716" s="9">
        <v>45962</v>
      </c>
      <c r="E716" s="3">
        <v>1550.82</v>
      </c>
      <c r="F716" s="7" t="s">
        <v>298</v>
      </c>
    </row>
    <row r="717" spans="1:6" x14ac:dyDescent="0.3">
      <c r="A717" s="7" t="s">
        <v>3890</v>
      </c>
      <c r="B717" s="7" t="s">
        <v>1256</v>
      </c>
      <c r="C717" s="7" t="s">
        <v>99</v>
      </c>
      <c r="D717" s="9">
        <v>45714</v>
      </c>
      <c r="E717" s="3">
        <v>13119.31</v>
      </c>
      <c r="F717" s="7" t="s">
        <v>3184</v>
      </c>
    </row>
    <row r="718" spans="1:6" x14ac:dyDescent="0.3">
      <c r="A718" s="7" t="s">
        <v>3891</v>
      </c>
      <c r="B718" s="7" t="s">
        <v>1257</v>
      </c>
      <c r="C718" s="7" t="s">
        <v>78</v>
      </c>
      <c r="D718" s="9">
        <v>45679</v>
      </c>
      <c r="E718" s="3">
        <v>2050.15</v>
      </c>
      <c r="F718" s="7" t="s">
        <v>3184</v>
      </c>
    </row>
    <row r="719" spans="1:6" x14ac:dyDescent="0.3">
      <c r="A719" s="7" t="s">
        <v>3892</v>
      </c>
      <c r="B719" s="7" t="s">
        <v>1257</v>
      </c>
      <c r="C719" s="7" t="s">
        <v>78</v>
      </c>
      <c r="D719" s="9">
        <v>45689</v>
      </c>
      <c r="E719" s="3">
        <v>2451.2399999999998</v>
      </c>
      <c r="F719" s="7" t="s">
        <v>3184</v>
      </c>
    </row>
    <row r="720" spans="1:6" x14ac:dyDescent="0.3">
      <c r="A720" s="7" t="s">
        <v>3893</v>
      </c>
      <c r="B720" s="7" t="s">
        <v>1258</v>
      </c>
      <c r="C720" s="7" t="s">
        <v>76</v>
      </c>
      <c r="D720" s="9">
        <v>45921</v>
      </c>
      <c r="E720" s="3">
        <v>2542.73</v>
      </c>
      <c r="F720" s="7" t="s">
        <v>3184</v>
      </c>
    </row>
    <row r="721" spans="1:6" x14ac:dyDescent="0.3">
      <c r="A721" s="7" t="s">
        <v>3894</v>
      </c>
      <c r="B721" s="7" t="s">
        <v>1260</v>
      </c>
      <c r="C721" s="7" t="s">
        <v>111</v>
      </c>
      <c r="D721" s="9">
        <v>45955</v>
      </c>
      <c r="E721" s="3">
        <v>3024.48</v>
      </c>
      <c r="F721" s="7" t="s">
        <v>3184</v>
      </c>
    </row>
    <row r="722" spans="1:6" x14ac:dyDescent="0.3">
      <c r="A722" s="7" t="s">
        <v>3895</v>
      </c>
      <c r="B722" s="7" t="s">
        <v>1262</v>
      </c>
      <c r="C722" s="7" t="s">
        <v>53</v>
      </c>
      <c r="D722" s="9">
        <v>46122</v>
      </c>
      <c r="E722" s="3">
        <v>13121.56</v>
      </c>
      <c r="F722" s="7" t="s">
        <v>296</v>
      </c>
    </row>
    <row r="723" spans="1:6" x14ac:dyDescent="0.3">
      <c r="A723" s="7" t="s">
        <v>3896</v>
      </c>
      <c r="B723" s="7" t="s">
        <v>1263</v>
      </c>
      <c r="C723" s="7" t="s">
        <v>75</v>
      </c>
      <c r="D723" s="9">
        <v>46049</v>
      </c>
      <c r="E723" s="3">
        <v>3134.3</v>
      </c>
      <c r="F723" s="7" t="s">
        <v>298</v>
      </c>
    </row>
    <row r="724" spans="1:6" x14ac:dyDescent="0.3">
      <c r="A724" s="7" t="s">
        <v>3897</v>
      </c>
      <c r="B724" s="7" t="s">
        <v>1265</v>
      </c>
      <c r="C724" s="7" t="s">
        <v>19</v>
      </c>
      <c r="D724" s="9">
        <v>45885</v>
      </c>
      <c r="E724" s="3">
        <v>3196.38</v>
      </c>
      <c r="F724" s="7" t="s">
        <v>3184</v>
      </c>
    </row>
    <row r="725" spans="1:6" x14ac:dyDescent="0.3">
      <c r="A725" s="7" t="s">
        <v>3898</v>
      </c>
      <c r="B725" s="7" t="s">
        <v>1266</v>
      </c>
      <c r="C725" s="7" t="s">
        <v>11</v>
      </c>
      <c r="D725" s="9">
        <v>45709</v>
      </c>
      <c r="E725" s="3">
        <v>3722.45</v>
      </c>
      <c r="F725" s="7" t="s">
        <v>298</v>
      </c>
    </row>
    <row r="726" spans="1:6" x14ac:dyDescent="0.3">
      <c r="A726" s="7" t="s">
        <v>3899</v>
      </c>
      <c r="B726" s="7" t="s">
        <v>1267</v>
      </c>
      <c r="C726" s="7" t="s">
        <v>89</v>
      </c>
      <c r="D726" s="9">
        <v>45784</v>
      </c>
      <c r="E726" s="3">
        <v>4214.1099999999997</v>
      </c>
      <c r="F726" s="7" t="s">
        <v>3174</v>
      </c>
    </row>
    <row r="727" spans="1:6" x14ac:dyDescent="0.3">
      <c r="A727" s="7" t="s">
        <v>3900</v>
      </c>
      <c r="B727" s="7" t="s">
        <v>1268</v>
      </c>
      <c r="C727" s="7" t="s">
        <v>39</v>
      </c>
      <c r="D727" s="9">
        <v>45966</v>
      </c>
      <c r="E727" s="3">
        <v>12758.02</v>
      </c>
      <c r="F727" s="7" t="s">
        <v>296</v>
      </c>
    </row>
    <row r="728" spans="1:6" x14ac:dyDescent="0.3">
      <c r="A728" s="7" t="s">
        <v>3901</v>
      </c>
      <c r="B728" s="7" t="s">
        <v>1269</v>
      </c>
      <c r="C728" s="7" t="s">
        <v>124</v>
      </c>
      <c r="D728" s="9">
        <v>45971</v>
      </c>
      <c r="E728" s="3">
        <v>2839.62</v>
      </c>
      <c r="F728" s="7" t="s">
        <v>3184</v>
      </c>
    </row>
    <row r="729" spans="1:6" x14ac:dyDescent="0.3">
      <c r="A729" s="7" t="s">
        <v>3902</v>
      </c>
      <c r="B729" s="7" t="s">
        <v>1270</v>
      </c>
      <c r="C729" s="7" t="s">
        <v>88</v>
      </c>
      <c r="D729" s="9">
        <v>46086</v>
      </c>
      <c r="E729" s="3">
        <v>5311.5</v>
      </c>
      <c r="F729" s="7" t="s">
        <v>3184</v>
      </c>
    </row>
    <row r="730" spans="1:6" x14ac:dyDescent="0.3">
      <c r="A730" s="7" t="s">
        <v>3903</v>
      </c>
      <c r="B730" s="7" t="s">
        <v>1272</v>
      </c>
      <c r="C730" s="7" t="s">
        <v>100</v>
      </c>
      <c r="D730" s="9">
        <v>46013</v>
      </c>
      <c r="E730" s="3">
        <v>1481.98</v>
      </c>
      <c r="F730" s="7" t="s">
        <v>296</v>
      </c>
    </row>
    <row r="731" spans="1:6" x14ac:dyDescent="0.3">
      <c r="A731" s="7" t="s">
        <v>3904</v>
      </c>
      <c r="B731" s="7" t="s">
        <v>1274</v>
      </c>
      <c r="C731" s="7" t="s">
        <v>74</v>
      </c>
      <c r="D731" s="9">
        <v>45948</v>
      </c>
      <c r="E731" s="3">
        <v>3270.21</v>
      </c>
      <c r="F731" s="7" t="s">
        <v>3174</v>
      </c>
    </row>
    <row r="732" spans="1:6" x14ac:dyDescent="0.3">
      <c r="A732" s="7" t="s">
        <v>3905</v>
      </c>
      <c r="B732" s="7" t="s">
        <v>1275</v>
      </c>
      <c r="C732" s="7" t="s">
        <v>78</v>
      </c>
      <c r="D732" s="9">
        <v>45994</v>
      </c>
      <c r="E732" s="3">
        <v>1619.11</v>
      </c>
      <c r="F732" s="7" t="s">
        <v>298</v>
      </c>
    </row>
    <row r="733" spans="1:6" x14ac:dyDescent="0.3">
      <c r="A733" s="7" t="s">
        <v>3906</v>
      </c>
      <c r="B733" s="7" t="s">
        <v>1276</v>
      </c>
      <c r="C733" s="7" t="s">
        <v>93</v>
      </c>
      <c r="D733" s="9">
        <v>46051</v>
      </c>
      <c r="E733" s="3">
        <v>13181.32</v>
      </c>
      <c r="F733" s="7" t="s">
        <v>3174</v>
      </c>
    </row>
    <row r="734" spans="1:6" x14ac:dyDescent="0.3">
      <c r="A734" s="7" t="s">
        <v>3907</v>
      </c>
      <c r="B734" s="7" t="s">
        <v>1277</v>
      </c>
      <c r="C734" s="7" t="s">
        <v>30</v>
      </c>
      <c r="D734" s="9">
        <v>45889</v>
      </c>
      <c r="E734" s="3">
        <v>12972.24</v>
      </c>
      <c r="F734" s="7" t="s">
        <v>3174</v>
      </c>
    </row>
    <row r="735" spans="1:6" x14ac:dyDescent="0.3">
      <c r="A735" s="7" t="s">
        <v>3908</v>
      </c>
      <c r="B735" s="7" t="s">
        <v>1278</v>
      </c>
      <c r="C735" s="7" t="s">
        <v>83</v>
      </c>
      <c r="D735" s="9">
        <v>45876</v>
      </c>
      <c r="E735" s="3">
        <v>3362.18</v>
      </c>
      <c r="F735" s="7" t="s">
        <v>3174</v>
      </c>
    </row>
    <row r="736" spans="1:6" x14ac:dyDescent="0.3">
      <c r="A736" s="7" t="s">
        <v>3909</v>
      </c>
      <c r="B736" s="7" t="s">
        <v>1281</v>
      </c>
      <c r="C736" s="7" t="s">
        <v>77</v>
      </c>
      <c r="D736" s="9">
        <v>45956</v>
      </c>
      <c r="E736" s="3">
        <v>3137.01</v>
      </c>
      <c r="F736" s="7" t="s">
        <v>3174</v>
      </c>
    </row>
    <row r="737" spans="1:6" x14ac:dyDescent="0.3">
      <c r="A737" s="7" t="s">
        <v>3910</v>
      </c>
      <c r="B737" s="7" t="s">
        <v>1283</v>
      </c>
      <c r="C737" s="7" t="s">
        <v>24</v>
      </c>
      <c r="D737" s="9">
        <v>45831</v>
      </c>
      <c r="E737" s="3">
        <v>1464.96</v>
      </c>
      <c r="F737" s="7" t="s">
        <v>296</v>
      </c>
    </row>
    <row r="738" spans="1:6" x14ac:dyDescent="0.3">
      <c r="A738" s="7" t="s">
        <v>3911</v>
      </c>
      <c r="B738" s="7" t="s">
        <v>1285</v>
      </c>
      <c r="C738" s="7" t="s">
        <v>80</v>
      </c>
      <c r="D738" s="9">
        <v>45967</v>
      </c>
      <c r="E738" s="3">
        <v>2032.08</v>
      </c>
      <c r="F738" s="7" t="s">
        <v>3184</v>
      </c>
    </row>
    <row r="739" spans="1:6" x14ac:dyDescent="0.3">
      <c r="A739" s="7" t="s">
        <v>3912</v>
      </c>
      <c r="B739" s="7" t="s">
        <v>1286</v>
      </c>
      <c r="C739" s="7" t="s">
        <v>40</v>
      </c>
      <c r="D739" s="9">
        <v>45895</v>
      </c>
      <c r="E739" s="3">
        <v>4188.57</v>
      </c>
      <c r="F739" s="7" t="s">
        <v>296</v>
      </c>
    </row>
    <row r="740" spans="1:6" x14ac:dyDescent="0.3">
      <c r="A740" s="7" t="s">
        <v>3913</v>
      </c>
      <c r="B740" s="7" t="s">
        <v>1287</v>
      </c>
      <c r="C740" s="7" t="s">
        <v>45</v>
      </c>
      <c r="D740" s="9">
        <v>45802</v>
      </c>
      <c r="E740" s="3">
        <v>2889.63</v>
      </c>
      <c r="F740" s="7" t="s">
        <v>298</v>
      </c>
    </row>
    <row r="741" spans="1:6" x14ac:dyDescent="0.3">
      <c r="A741" s="7" t="s">
        <v>3914</v>
      </c>
      <c r="B741" s="7" t="s">
        <v>1288</v>
      </c>
      <c r="C741" s="7" t="s">
        <v>99</v>
      </c>
      <c r="D741" s="9">
        <v>45950</v>
      </c>
      <c r="E741" s="3">
        <v>3084.58</v>
      </c>
      <c r="F741" s="7" t="s">
        <v>296</v>
      </c>
    </row>
    <row r="742" spans="1:6" x14ac:dyDescent="0.3">
      <c r="A742" s="7" t="s">
        <v>3915</v>
      </c>
      <c r="B742" s="7" t="s">
        <v>1290</v>
      </c>
      <c r="C742" s="7" t="s">
        <v>11</v>
      </c>
      <c r="D742" s="9">
        <v>45755</v>
      </c>
      <c r="E742" s="3">
        <v>1854.89</v>
      </c>
      <c r="F742" s="7" t="s">
        <v>296</v>
      </c>
    </row>
    <row r="743" spans="1:6" x14ac:dyDescent="0.3">
      <c r="A743" s="7" t="s">
        <v>3916</v>
      </c>
      <c r="B743" s="7" t="s">
        <v>1292</v>
      </c>
      <c r="C743" s="7" t="s">
        <v>118</v>
      </c>
      <c r="D743" s="9">
        <v>46101</v>
      </c>
      <c r="E743" s="3">
        <v>2347.9299999999998</v>
      </c>
      <c r="F743" s="7" t="s">
        <v>298</v>
      </c>
    </row>
    <row r="744" spans="1:6" x14ac:dyDescent="0.3">
      <c r="A744" s="7" t="s">
        <v>3917</v>
      </c>
      <c r="B744" s="7" t="s">
        <v>1293</v>
      </c>
      <c r="C744" s="7" t="s">
        <v>84</v>
      </c>
      <c r="D744" s="9">
        <v>45824</v>
      </c>
      <c r="E744" s="3">
        <v>3443.74</v>
      </c>
      <c r="F744" s="7" t="s">
        <v>3184</v>
      </c>
    </row>
    <row r="745" spans="1:6" x14ac:dyDescent="0.3">
      <c r="A745" s="7" t="s">
        <v>3918</v>
      </c>
      <c r="B745" s="7" t="s">
        <v>1294</v>
      </c>
      <c r="C745" s="7" t="s">
        <v>74</v>
      </c>
      <c r="D745" s="9">
        <v>45987</v>
      </c>
      <c r="E745" s="3">
        <v>3160.66</v>
      </c>
      <c r="F745" s="7" t="s">
        <v>3184</v>
      </c>
    </row>
    <row r="746" spans="1:6" x14ac:dyDescent="0.3">
      <c r="A746" s="7" t="s">
        <v>3919</v>
      </c>
      <c r="B746" s="7" t="s">
        <v>1295</v>
      </c>
      <c r="C746" s="7" t="s">
        <v>96</v>
      </c>
      <c r="D746" s="9">
        <v>45960</v>
      </c>
      <c r="E746" s="3">
        <v>2783.18</v>
      </c>
      <c r="F746" s="7" t="s">
        <v>3184</v>
      </c>
    </row>
    <row r="747" spans="1:6" x14ac:dyDescent="0.3">
      <c r="A747" s="7" t="s">
        <v>3920</v>
      </c>
      <c r="B747" s="7" t="s">
        <v>1297</v>
      </c>
      <c r="C747" s="7" t="s">
        <v>107</v>
      </c>
      <c r="D747" s="9">
        <v>45734</v>
      </c>
      <c r="E747" s="3">
        <v>3605.36</v>
      </c>
      <c r="F747" s="7" t="s">
        <v>3174</v>
      </c>
    </row>
    <row r="748" spans="1:6" x14ac:dyDescent="0.3">
      <c r="A748" s="7" t="s">
        <v>3921</v>
      </c>
      <c r="B748" s="7" t="s">
        <v>1298</v>
      </c>
      <c r="C748" s="7" t="s">
        <v>102</v>
      </c>
      <c r="D748" s="9">
        <v>45831</v>
      </c>
      <c r="E748" s="3">
        <v>10310.459999999999</v>
      </c>
      <c r="F748" s="7" t="s">
        <v>3174</v>
      </c>
    </row>
    <row r="749" spans="1:6" x14ac:dyDescent="0.3">
      <c r="A749" s="7" t="s">
        <v>3922</v>
      </c>
      <c r="B749" s="7" t="s">
        <v>1299</v>
      </c>
      <c r="C749" s="7" t="s">
        <v>62</v>
      </c>
      <c r="D749" s="9">
        <v>45804</v>
      </c>
      <c r="E749" s="3">
        <v>3057.78</v>
      </c>
      <c r="F749" s="7" t="s">
        <v>3184</v>
      </c>
    </row>
    <row r="750" spans="1:6" x14ac:dyDescent="0.3">
      <c r="A750" s="7" t="s">
        <v>3923</v>
      </c>
      <c r="B750" s="7" t="s">
        <v>1300</v>
      </c>
      <c r="C750" s="7" t="s">
        <v>69</v>
      </c>
      <c r="D750" s="9">
        <v>45728</v>
      </c>
      <c r="E750" s="3">
        <v>1533.87</v>
      </c>
      <c r="F750" s="7" t="s">
        <v>298</v>
      </c>
    </row>
    <row r="751" spans="1:6" x14ac:dyDescent="0.3">
      <c r="A751" s="7" t="s">
        <v>3924</v>
      </c>
      <c r="B751" s="7" t="s">
        <v>1301</v>
      </c>
      <c r="C751" s="7" t="s">
        <v>101</v>
      </c>
      <c r="D751" s="9">
        <v>45787</v>
      </c>
      <c r="E751" s="3">
        <v>12730.79</v>
      </c>
      <c r="F751" s="7" t="s">
        <v>3184</v>
      </c>
    </row>
    <row r="752" spans="1:6" x14ac:dyDescent="0.3">
      <c r="A752" s="7" t="s">
        <v>3925</v>
      </c>
      <c r="B752" s="7" t="s">
        <v>1303</v>
      </c>
      <c r="C752" s="7" t="s">
        <v>61</v>
      </c>
      <c r="D752" s="9">
        <v>45726</v>
      </c>
      <c r="E752" s="3">
        <v>2105.38</v>
      </c>
      <c r="F752" s="7" t="s">
        <v>3174</v>
      </c>
    </row>
    <row r="753" spans="1:6" x14ac:dyDescent="0.3">
      <c r="A753" s="7" t="s">
        <v>3926</v>
      </c>
      <c r="B753" s="7" t="s">
        <v>1304</v>
      </c>
      <c r="C753" s="7" t="s">
        <v>10</v>
      </c>
      <c r="D753" s="9">
        <v>45833</v>
      </c>
      <c r="E753" s="3">
        <v>2348.31</v>
      </c>
      <c r="F753" s="7" t="s">
        <v>3174</v>
      </c>
    </row>
    <row r="754" spans="1:6" x14ac:dyDescent="0.3">
      <c r="A754" s="7" t="s">
        <v>3927</v>
      </c>
      <c r="B754" s="7" t="s">
        <v>1309</v>
      </c>
      <c r="C754" s="7" t="s">
        <v>67</v>
      </c>
      <c r="D754" s="9">
        <v>46023</v>
      </c>
      <c r="E754" s="3">
        <v>2013.73</v>
      </c>
      <c r="F754" s="7" t="s">
        <v>296</v>
      </c>
    </row>
    <row r="755" spans="1:6" x14ac:dyDescent="0.3">
      <c r="A755" s="7" t="s">
        <v>3928</v>
      </c>
      <c r="B755" s="7" t="s">
        <v>1310</v>
      </c>
      <c r="C755" s="7" t="s">
        <v>76</v>
      </c>
      <c r="D755" s="9">
        <v>46071</v>
      </c>
      <c r="E755" s="3">
        <v>1480.1</v>
      </c>
      <c r="F755" s="7" t="s">
        <v>3174</v>
      </c>
    </row>
    <row r="756" spans="1:6" x14ac:dyDescent="0.3">
      <c r="A756" s="7" t="s">
        <v>3929</v>
      </c>
      <c r="B756" s="7" t="s">
        <v>1310</v>
      </c>
      <c r="C756" s="7" t="s">
        <v>76</v>
      </c>
      <c r="D756" s="9">
        <v>46078</v>
      </c>
      <c r="E756" s="3">
        <v>1318.15</v>
      </c>
      <c r="F756" s="7" t="s">
        <v>3184</v>
      </c>
    </row>
    <row r="757" spans="1:6" x14ac:dyDescent="0.3">
      <c r="A757" s="7" t="s">
        <v>3930</v>
      </c>
      <c r="B757" s="7" t="s">
        <v>1311</v>
      </c>
      <c r="C757" s="7" t="s">
        <v>25</v>
      </c>
      <c r="D757" s="9">
        <v>45969</v>
      </c>
      <c r="E757" s="3">
        <v>3850.5</v>
      </c>
      <c r="F757" s="7" t="s">
        <v>298</v>
      </c>
    </row>
    <row r="758" spans="1:6" x14ac:dyDescent="0.3">
      <c r="A758" s="7" t="s">
        <v>3931</v>
      </c>
      <c r="B758" s="7" t="s">
        <v>1312</v>
      </c>
      <c r="C758" s="7" t="s">
        <v>91</v>
      </c>
      <c r="D758" s="9">
        <v>45708</v>
      </c>
      <c r="E758" s="3">
        <v>1943.1</v>
      </c>
      <c r="F758" s="7" t="s">
        <v>3174</v>
      </c>
    </row>
    <row r="759" spans="1:6" x14ac:dyDescent="0.3">
      <c r="A759" s="7" t="s">
        <v>3932</v>
      </c>
      <c r="B759" s="7" t="s">
        <v>1313</v>
      </c>
      <c r="C759" s="7" t="s">
        <v>108</v>
      </c>
      <c r="D759" s="9">
        <v>45761</v>
      </c>
      <c r="E759" s="3">
        <v>2860.87</v>
      </c>
      <c r="F759" s="7" t="s">
        <v>296</v>
      </c>
    </row>
    <row r="760" spans="1:6" x14ac:dyDescent="0.3">
      <c r="A760" s="7" t="s">
        <v>3933</v>
      </c>
      <c r="B760" s="7" t="s">
        <v>1314</v>
      </c>
      <c r="C760" s="7" t="s">
        <v>8</v>
      </c>
      <c r="D760" s="9">
        <v>45687</v>
      </c>
      <c r="E760" s="3">
        <v>1884.93</v>
      </c>
      <c r="F760" s="7" t="s">
        <v>3184</v>
      </c>
    </row>
    <row r="761" spans="1:6" x14ac:dyDescent="0.3">
      <c r="A761" s="7" t="s">
        <v>3934</v>
      </c>
      <c r="B761" s="7" t="s">
        <v>1318</v>
      </c>
      <c r="C761" s="7" t="s">
        <v>32</v>
      </c>
      <c r="D761" s="9">
        <v>46020</v>
      </c>
      <c r="E761" s="3">
        <v>2484.66</v>
      </c>
      <c r="F761" s="7" t="s">
        <v>3184</v>
      </c>
    </row>
    <row r="762" spans="1:6" x14ac:dyDescent="0.3">
      <c r="A762" s="7" t="s">
        <v>3935</v>
      </c>
      <c r="B762" s="7" t="s">
        <v>1319</v>
      </c>
      <c r="C762" s="7" t="s">
        <v>38</v>
      </c>
      <c r="D762" s="9">
        <v>45973</v>
      </c>
      <c r="E762" s="3">
        <v>4153.51</v>
      </c>
      <c r="F762" s="7" t="s">
        <v>3174</v>
      </c>
    </row>
    <row r="763" spans="1:6" x14ac:dyDescent="0.3">
      <c r="A763" s="7" t="s">
        <v>3936</v>
      </c>
      <c r="B763" s="7" t="s">
        <v>1320</v>
      </c>
      <c r="C763" s="7" t="s">
        <v>9</v>
      </c>
      <c r="D763" s="9">
        <v>45923</v>
      </c>
      <c r="E763" s="3">
        <v>3226.9</v>
      </c>
      <c r="F763" s="7" t="s">
        <v>298</v>
      </c>
    </row>
    <row r="764" spans="1:6" x14ac:dyDescent="0.3">
      <c r="A764" s="7" t="s">
        <v>3937</v>
      </c>
      <c r="B764" s="7" t="s">
        <v>1321</v>
      </c>
      <c r="C764" s="7" t="s">
        <v>71</v>
      </c>
      <c r="D764" s="9">
        <v>45897</v>
      </c>
      <c r="E764" s="3">
        <v>2684.31</v>
      </c>
      <c r="F764" s="7" t="s">
        <v>3174</v>
      </c>
    </row>
    <row r="765" spans="1:6" x14ac:dyDescent="0.3">
      <c r="A765" s="7" t="s">
        <v>3938</v>
      </c>
      <c r="B765" s="7" t="s">
        <v>1323</v>
      </c>
      <c r="C765" s="7" t="s">
        <v>121</v>
      </c>
      <c r="D765" s="9">
        <v>45807</v>
      </c>
      <c r="E765" s="3">
        <v>3532.96</v>
      </c>
      <c r="F765" s="7" t="s">
        <v>3174</v>
      </c>
    </row>
    <row r="766" spans="1:6" x14ac:dyDescent="0.3">
      <c r="A766" s="7" t="s">
        <v>3939</v>
      </c>
      <c r="B766" s="7" t="s">
        <v>1324</v>
      </c>
      <c r="C766" s="7" t="s">
        <v>93</v>
      </c>
      <c r="D766" s="9">
        <v>45741</v>
      </c>
      <c r="E766" s="3">
        <v>12753.27</v>
      </c>
      <c r="F766" s="7" t="s">
        <v>3184</v>
      </c>
    </row>
    <row r="767" spans="1:6" x14ac:dyDescent="0.3">
      <c r="A767" s="7" t="s">
        <v>3940</v>
      </c>
      <c r="B767" s="7" t="s">
        <v>1325</v>
      </c>
      <c r="C767" s="7" t="s">
        <v>80</v>
      </c>
      <c r="D767" s="9">
        <v>46023</v>
      </c>
      <c r="E767" s="3">
        <v>2413.5</v>
      </c>
      <c r="F767" s="7" t="s">
        <v>3184</v>
      </c>
    </row>
    <row r="768" spans="1:6" x14ac:dyDescent="0.3">
      <c r="A768" s="7" t="s">
        <v>3941</v>
      </c>
      <c r="B768" s="7" t="s">
        <v>1325</v>
      </c>
      <c r="C768" s="7" t="s">
        <v>80</v>
      </c>
      <c r="D768" s="9">
        <v>46033</v>
      </c>
      <c r="E768" s="3">
        <v>1608.28</v>
      </c>
      <c r="F768" s="7" t="s">
        <v>3184</v>
      </c>
    </row>
    <row r="769" spans="1:6" x14ac:dyDescent="0.3">
      <c r="A769" s="7" t="s">
        <v>3942</v>
      </c>
      <c r="B769" s="7" t="s">
        <v>1326</v>
      </c>
      <c r="C769" s="7" t="s">
        <v>76</v>
      </c>
      <c r="D769" s="9">
        <v>45853</v>
      </c>
      <c r="E769" s="3">
        <v>4852.93</v>
      </c>
      <c r="F769" s="7" t="s">
        <v>3184</v>
      </c>
    </row>
    <row r="770" spans="1:6" x14ac:dyDescent="0.3">
      <c r="A770" s="7" t="s">
        <v>3943</v>
      </c>
      <c r="B770" s="7" t="s">
        <v>1327</v>
      </c>
      <c r="C770" s="7" t="s">
        <v>109</v>
      </c>
      <c r="D770" s="9">
        <v>45746</v>
      </c>
      <c r="E770" s="3">
        <v>4413.51</v>
      </c>
      <c r="F770" s="7" t="s">
        <v>3174</v>
      </c>
    </row>
    <row r="771" spans="1:6" x14ac:dyDescent="0.3">
      <c r="A771" s="7" t="s">
        <v>3944</v>
      </c>
      <c r="B771" s="7" t="s">
        <v>1328</v>
      </c>
      <c r="C771" s="7" t="s">
        <v>74</v>
      </c>
      <c r="D771" s="9">
        <v>45861</v>
      </c>
      <c r="E771" s="3">
        <v>5725.18</v>
      </c>
      <c r="F771" s="7" t="s">
        <v>298</v>
      </c>
    </row>
    <row r="772" spans="1:6" x14ac:dyDescent="0.3">
      <c r="A772" s="7" t="s">
        <v>3945</v>
      </c>
      <c r="B772" s="7" t="s">
        <v>1329</v>
      </c>
      <c r="C772" s="7" t="s">
        <v>79</v>
      </c>
      <c r="D772" s="9">
        <v>46070</v>
      </c>
      <c r="E772" s="3">
        <v>4860.13</v>
      </c>
      <c r="F772" s="7" t="s">
        <v>3174</v>
      </c>
    </row>
    <row r="773" spans="1:6" x14ac:dyDescent="0.3">
      <c r="A773" s="7" t="s">
        <v>3946</v>
      </c>
      <c r="B773" s="7" t="s">
        <v>1331</v>
      </c>
      <c r="C773" s="7" t="s">
        <v>104</v>
      </c>
      <c r="D773" s="9">
        <v>46127</v>
      </c>
      <c r="E773" s="3">
        <v>4635.2</v>
      </c>
      <c r="F773" s="7" t="s">
        <v>298</v>
      </c>
    </row>
    <row r="774" spans="1:6" x14ac:dyDescent="0.3">
      <c r="A774" s="7" t="s">
        <v>3947</v>
      </c>
      <c r="B774" s="7" t="s">
        <v>1332</v>
      </c>
      <c r="C774" s="7" t="s">
        <v>102</v>
      </c>
      <c r="D774" s="9">
        <v>45905</v>
      </c>
      <c r="E774" s="3">
        <v>2880.13</v>
      </c>
      <c r="F774" s="7" t="s">
        <v>298</v>
      </c>
    </row>
    <row r="775" spans="1:6" x14ac:dyDescent="0.3">
      <c r="A775" s="7" t="s">
        <v>3948</v>
      </c>
      <c r="B775" s="7" t="s">
        <v>1334</v>
      </c>
      <c r="C775" s="7" t="s">
        <v>84</v>
      </c>
      <c r="D775" s="9">
        <v>46090</v>
      </c>
      <c r="E775" s="3">
        <v>4369.49</v>
      </c>
      <c r="F775" s="7" t="s">
        <v>296</v>
      </c>
    </row>
    <row r="776" spans="1:6" x14ac:dyDescent="0.3">
      <c r="A776" s="7" t="s">
        <v>3949</v>
      </c>
      <c r="B776" s="7" t="s">
        <v>1335</v>
      </c>
      <c r="C776" s="7" t="s">
        <v>10</v>
      </c>
      <c r="D776" s="9">
        <v>45983</v>
      </c>
      <c r="E776" s="3">
        <v>3657.31</v>
      </c>
      <c r="F776" s="7" t="s">
        <v>298</v>
      </c>
    </row>
    <row r="777" spans="1:6" x14ac:dyDescent="0.3">
      <c r="A777" s="7" t="s">
        <v>3950</v>
      </c>
      <c r="B777" s="7" t="s">
        <v>1336</v>
      </c>
      <c r="C777" s="7" t="s">
        <v>115</v>
      </c>
      <c r="D777" s="9">
        <v>46090</v>
      </c>
      <c r="E777" s="3">
        <v>2079.48</v>
      </c>
      <c r="F777" s="7" t="s">
        <v>296</v>
      </c>
    </row>
    <row r="778" spans="1:6" x14ac:dyDescent="0.3">
      <c r="A778" s="7" t="s">
        <v>3951</v>
      </c>
      <c r="B778" s="7" t="s">
        <v>1337</v>
      </c>
      <c r="C778" s="7" t="s">
        <v>56</v>
      </c>
      <c r="D778" s="9">
        <v>46013</v>
      </c>
      <c r="E778" s="3">
        <v>3456.27</v>
      </c>
      <c r="F778" s="7" t="s">
        <v>298</v>
      </c>
    </row>
    <row r="779" spans="1:6" x14ac:dyDescent="0.3">
      <c r="A779" s="7" t="s">
        <v>3952</v>
      </c>
      <c r="B779" s="7" t="s">
        <v>1338</v>
      </c>
      <c r="C779" s="7" t="s">
        <v>59</v>
      </c>
      <c r="D779" s="9">
        <v>45759</v>
      </c>
      <c r="E779" s="3">
        <v>11874.47</v>
      </c>
      <c r="F779" s="7" t="s">
        <v>3174</v>
      </c>
    </row>
    <row r="780" spans="1:6" x14ac:dyDescent="0.3">
      <c r="A780" s="7" t="s">
        <v>3953</v>
      </c>
      <c r="B780" s="7" t="s">
        <v>1339</v>
      </c>
      <c r="C780" s="7" t="s">
        <v>32</v>
      </c>
      <c r="D780" s="9">
        <v>45887</v>
      </c>
      <c r="E780" s="3">
        <v>3510.52</v>
      </c>
      <c r="F780" s="7" t="s">
        <v>3184</v>
      </c>
    </row>
    <row r="781" spans="1:6" x14ac:dyDescent="0.3">
      <c r="A781" s="7" t="s">
        <v>3954</v>
      </c>
      <c r="B781" s="7" t="s">
        <v>1340</v>
      </c>
      <c r="C781" s="7" t="s">
        <v>48</v>
      </c>
      <c r="D781" s="9">
        <v>45931</v>
      </c>
      <c r="E781" s="3">
        <v>4132.2700000000004</v>
      </c>
      <c r="F781" s="7" t="s">
        <v>296</v>
      </c>
    </row>
    <row r="782" spans="1:6" x14ac:dyDescent="0.3">
      <c r="A782" s="7" t="s">
        <v>3955</v>
      </c>
      <c r="B782" s="7" t="s">
        <v>1342</v>
      </c>
      <c r="C782" s="7" t="s">
        <v>102</v>
      </c>
      <c r="D782" s="9">
        <v>46038</v>
      </c>
      <c r="E782" s="3">
        <v>2033.52</v>
      </c>
      <c r="F782" s="7" t="s">
        <v>3174</v>
      </c>
    </row>
    <row r="783" spans="1:6" x14ac:dyDescent="0.3">
      <c r="A783" s="7" t="s">
        <v>3956</v>
      </c>
      <c r="B783" s="7" t="s">
        <v>1345</v>
      </c>
      <c r="C783" s="7" t="s">
        <v>56</v>
      </c>
      <c r="D783" s="9">
        <v>45866</v>
      </c>
      <c r="E783" s="3">
        <v>5037.41</v>
      </c>
      <c r="F783" s="7" t="s">
        <v>3174</v>
      </c>
    </row>
    <row r="784" spans="1:6" x14ac:dyDescent="0.3">
      <c r="A784" s="7" t="s">
        <v>3957</v>
      </c>
      <c r="B784" s="7" t="s">
        <v>1346</v>
      </c>
      <c r="C784" s="7" t="s">
        <v>57</v>
      </c>
      <c r="D784" s="9">
        <v>45708</v>
      </c>
      <c r="E784" s="3">
        <v>3871.22</v>
      </c>
      <c r="F784" s="7" t="s">
        <v>3174</v>
      </c>
    </row>
    <row r="785" spans="1:6" x14ac:dyDescent="0.3">
      <c r="A785" s="7" t="s">
        <v>3958</v>
      </c>
      <c r="B785" s="7" t="s">
        <v>1347</v>
      </c>
      <c r="C785" s="7" t="s">
        <v>44</v>
      </c>
      <c r="D785" s="9">
        <v>45813</v>
      </c>
      <c r="E785" s="3">
        <v>2773.68</v>
      </c>
      <c r="F785" s="7" t="s">
        <v>298</v>
      </c>
    </row>
    <row r="786" spans="1:6" x14ac:dyDescent="0.3">
      <c r="A786" s="7" t="s">
        <v>3959</v>
      </c>
      <c r="B786" s="7" t="s">
        <v>1349</v>
      </c>
      <c r="C786" s="7" t="s">
        <v>106</v>
      </c>
      <c r="D786" s="9">
        <v>46062</v>
      </c>
      <c r="E786" s="3">
        <v>1765.22</v>
      </c>
      <c r="F786" s="7" t="s">
        <v>3184</v>
      </c>
    </row>
    <row r="787" spans="1:6" x14ac:dyDescent="0.3">
      <c r="A787" s="7" t="s">
        <v>3960</v>
      </c>
      <c r="B787" s="7" t="s">
        <v>1350</v>
      </c>
      <c r="C787" s="7" t="s">
        <v>59</v>
      </c>
      <c r="D787" s="9">
        <v>46058</v>
      </c>
      <c r="E787" s="3">
        <v>4112.9799999999996</v>
      </c>
      <c r="F787" s="7" t="s">
        <v>3184</v>
      </c>
    </row>
    <row r="788" spans="1:6" x14ac:dyDescent="0.3">
      <c r="A788" s="7" t="s">
        <v>3961</v>
      </c>
      <c r="B788" s="7" t="s">
        <v>1351</v>
      </c>
      <c r="C788" s="7" t="s">
        <v>98</v>
      </c>
      <c r="D788" s="9">
        <v>45779</v>
      </c>
      <c r="E788" s="3">
        <v>2450.89</v>
      </c>
      <c r="F788" s="7" t="s">
        <v>3174</v>
      </c>
    </row>
    <row r="789" spans="1:6" x14ac:dyDescent="0.3">
      <c r="A789" s="7" t="s">
        <v>3962</v>
      </c>
      <c r="B789" s="7" t="s">
        <v>1352</v>
      </c>
      <c r="C789" s="7" t="s">
        <v>90</v>
      </c>
      <c r="D789" s="9">
        <v>45711</v>
      </c>
      <c r="E789" s="3">
        <v>5765.1</v>
      </c>
      <c r="F789" s="7" t="s">
        <v>298</v>
      </c>
    </row>
    <row r="790" spans="1:6" x14ac:dyDescent="0.3">
      <c r="A790" s="7" t="s">
        <v>3963</v>
      </c>
      <c r="B790" s="7" t="s">
        <v>1353</v>
      </c>
      <c r="C790" s="7" t="s">
        <v>21</v>
      </c>
      <c r="D790" s="9">
        <v>46082</v>
      </c>
      <c r="E790" s="3">
        <v>2013.47</v>
      </c>
      <c r="F790" s="7" t="s">
        <v>3184</v>
      </c>
    </row>
    <row r="791" spans="1:6" x14ac:dyDescent="0.3">
      <c r="A791" s="7" t="s">
        <v>3964</v>
      </c>
      <c r="B791" s="7" t="s">
        <v>1354</v>
      </c>
      <c r="C791" s="7" t="s">
        <v>56</v>
      </c>
      <c r="D791" s="9">
        <v>45848</v>
      </c>
      <c r="E791" s="3">
        <v>1763.57</v>
      </c>
      <c r="F791" s="7" t="s">
        <v>3174</v>
      </c>
    </row>
    <row r="792" spans="1:6" x14ac:dyDescent="0.3">
      <c r="A792" s="7" t="s">
        <v>3965</v>
      </c>
      <c r="B792" s="7" t="s">
        <v>1357</v>
      </c>
      <c r="C792" s="7" t="s">
        <v>98</v>
      </c>
      <c r="D792" s="9">
        <v>45771</v>
      </c>
      <c r="E792" s="3">
        <v>2061.12</v>
      </c>
      <c r="F792" s="7" t="s">
        <v>3174</v>
      </c>
    </row>
    <row r="793" spans="1:6" x14ac:dyDescent="0.3">
      <c r="A793" s="7" t="s">
        <v>3966</v>
      </c>
      <c r="B793" s="7" t="s">
        <v>1360</v>
      </c>
      <c r="C793" s="7" t="s">
        <v>70</v>
      </c>
      <c r="D793" s="9">
        <v>45678</v>
      </c>
      <c r="E793" s="3">
        <v>3871.55</v>
      </c>
      <c r="F793" s="7" t="s">
        <v>296</v>
      </c>
    </row>
    <row r="794" spans="1:6" x14ac:dyDescent="0.3">
      <c r="A794" s="7" t="s">
        <v>3967</v>
      </c>
      <c r="B794" s="7" t="s">
        <v>1361</v>
      </c>
      <c r="C794" s="7" t="s">
        <v>82</v>
      </c>
      <c r="D794" s="9">
        <v>46007</v>
      </c>
      <c r="E794" s="3">
        <v>3930.44</v>
      </c>
      <c r="F794" s="7" t="s">
        <v>296</v>
      </c>
    </row>
    <row r="795" spans="1:6" x14ac:dyDescent="0.3">
      <c r="A795" s="7" t="s">
        <v>3968</v>
      </c>
      <c r="B795" s="7" t="s">
        <v>1362</v>
      </c>
      <c r="C795" s="7" t="s">
        <v>83</v>
      </c>
      <c r="D795" s="9">
        <v>45900</v>
      </c>
      <c r="E795" s="3">
        <v>1782.51</v>
      </c>
      <c r="F795" s="7" t="s">
        <v>3174</v>
      </c>
    </row>
    <row r="796" spans="1:6" x14ac:dyDescent="0.3">
      <c r="A796" s="7" t="s">
        <v>3969</v>
      </c>
      <c r="B796" s="7" t="s">
        <v>1363</v>
      </c>
      <c r="C796" s="7" t="s">
        <v>78</v>
      </c>
      <c r="D796" s="9">
        <v>45973</v>
      </c>
      <c r="E796" s="3">
        <v>2693.66</v>
      </c>
      <c r="F796" s="7" t="s">
        <v>3184</v>
      </c>
    </row>
    <row r="797" spans="1:6" x14ac:dyDescent="0.3">
      <c r="A797" s="7" t="s">
        <v>3970</v>
      </c>
      <c r="B797" s="7" t="s">
        <v>1364</v>
      </c>
      <c r="C797" s="7" t="s">
        <v>11</v>
      </c>
      <c r="D797" s="9">
        <v>45742</v>
      </c>
      <c r="E797" s="3">
        <v>4097.84</v>
      </c>
      <c r="F797" s="7" t="s">
        <v>3184</v>
      </c>
    </row>
    <row r="798" spans="1:6" x14ac:dyDescent="0.3">
      <c r="A798" s="7" t="s">
        <v>3971</v>
      </c>
      <c r="B798" s="7" t="s">
        <v>1366</v>
      </c>
      <c r="C798" s="7" t="s">
        <v>29</v>
      </c>
      <c r="D798" s="9">
        <v>45713</v>
      </c>
      <c r="E798" s="3">
        <v>2920.38</v>
      </c>
      <c r="F798" s="7" t="s">
        <v>298</v>
      </c>
    </row>
    <row r="799" spans="1:6" x14ac:dyDescent="0.3">
      <c r="A799" s="7" t="s">
        <v>3972</v>
      </c>
      <c r="B799" s="7" t="s">
        <v>1367</v>
      </c>
      <c r="C799" s="7" t="s">
        <v>83</v>
      </c>
      <c r="D799" s="9">
        <v>45977</v>
      </c>
      <c r="E799" s="3">
        <v>5344.18</v>
      </c>
      <c r="F799" s="7" t="s">
        <v>3174</v>
      </c>
    </row>
    <row r="800" spans="1:6" x14ac:dyDescent="0.3">
      <c r="A800" s="7" t="s">
        <v>3973</v>
      </c>
      <c r="B800" s="7" t="s">
        <v>1368</v>
      </c>
      <c r="C800" s="7" t="s">
        <v>53</v>
      </c>
      <c r="D800" s="9">
        <v>45784</v>
      </c>
      <c r="E800" s="3">
        <v>3902.23</v>
      </c>
      <c r="F800" s="7" t="s">
        <v>298</v>
      </c>
    </row>
    <row r="801" spans="1:6" x14ac:dyDescent="0.3">
      <c r="A801" s="7" t="s">
        <v>3974</v>
      </c>
      <c r="B801" s="7" t="s">
        <v>1369</v>
      </c>
      <c r="C801" s="7" t="s">
        <v>55</v>
      </c>
      <c r="D801" s="9">
        <v>45846</v>
      </c>
      <c r="E801" s="3">
        <v>2511.75</v>
      </c>
      <c r="F801" s="7" t="s">
        <v>3174</v>
      </c>
    </row>
    <row r="802" spans="1:6" x14ac:dyDescent="0.3">
      <c r="A802" s="7" t="s">
        <v>3975</v>
      </c>
      <c r="B802" s="7" t="s">
        <v>1370</v>
      </c>
      <c r="C802" s="7" t="s">
        <v>67</v>
      </c>
      <c r="D802" s="9">
        <v>46137</v>
      </c>
      <c r="E802" s="3">
        <v>3310.13</v>
      </c>
      <c r="F802" s="7" t="s">
        <v>296</v>
      </c>
    </row>
    <row r="803" spans="1:6" x14ac:dyDescent="0.3">
      <c r="A803" s="7" t="s">
        <v>3976</v>
      </c>
      <c r="B803" s="7" t="s">
        <v>1371</v>
      </c>
      <c r="C803" s="7" t="s">
        <v>59</v>
      </c>
      <c r="D803" s="9">
        <v>46107</v>
      </c>
      <c r="E803" s="3">
        <v>4244.05</v>
      </c>
      <c r="F803" s="7" t="s">
        <v>298</v>
      </c>
    </row>
    <row r="804" spans="1:6" x14ac:dyDescent="0.3">
      <c r="A804" s="7" t="s">
        <v>3977</v>
      </c>
      <c r="B804" s="7" t="s">
        <v>1372</v>
      </c>
      <c r="C804" s="7" t="s">
        <v>80</v>
      </c>
      <c r="D804" s="9">
        <v>45770</v>
      </c>
      <c r="E804" s="3">
        <v>3093.78</v>
      </c>
      <c r="F804" s="7" t="s">
        <v>298</v>
      </c>
    </row>
    <row r="805" spans="1:6" x14ac:dyDescent="0.3">
      <c r="A805" s="7" t="s">
        <v>3978</v>
      </c>
      <c r="B805" s="7" t="s">
        <v>1373</v>
      </c>
      <c r="C805" s="7" t="s">
        <v>95</v>
      </c>
      <c r="D805" s="9">
        <v>45939</v>
      </c>
      <c r="E805" s="3">
        <v>2145.13</v>
      </c>
      <c r="F805" s="7" t="s">
        <v>298</v>
      </c>
    </row>
    <row r="806" spans="1:6" x14ac:dyDescent="0.3">
      <c r="A806" s="7" t="s">
        <v>3979</v>
      </c>
      <c r="B806" s="7" t="s">
        <v>1374</v>
      </c>
      <c r="C806" s="7" t="s">
        <v>115</v>
      </c>
      <c r="D806" s="9">
        <v>46032</v>
      </c>
      <c r="E806" s="3">
        <v>4107.45</v>
      </c>
      <c r="F806" s="7" t="s">
        <v>3184</v>
      </c>
    </row>
    <row r="807" spans="1:6" x14ac:dyDescent="0.3">
      <c r="A807" s="7" t="s">
        <v>3980</v>
      </c>
      <c r="B807" s="7" t="s">
        <v>1375</v>
      </c>
      <c r="C807" s="7" t="s">
        <v>23</v>
      </c>
      <c r="D807" s="9">
        <v>46003</v>
      </c>
      <c r="E807" s="3">
        <v>2259.66</v>
      </c>
      <c r="F807" s="7" t="s">
        <v>298</v>
      </c>
    </row>
    <row r="808" spans="1:6" x14ac:dyDescent="0.3">
      <c r="A808" s="7" t="s">
        <v>3981</v>
      </c>
      <c r="B808" s="7" t="s">
        <v>1376</v>
      </c>
      <c r="C808" s="7" t="s">
        <v>70</v>
      </c>
      <c r="D808" s="9">
        <v>45977</v>
      </c>
      <c r="E808" s="3">
        <v>3587.69</v>
      </c>
      <c r="F808" s="7" t="s">
        <v>3174</v>
      </c>
    </row>
    <row r="809" spans="1:6" x14ac:dyDescent="0.3">
      <c r="A809" s="7" t="s">
        <v>3982</v>
      </c>
      <c r="B809" s="7" t="s">
        <v>1377</v>
      </c>
      <c r="C809" s="7" t="s">
        <v>31</v>
      </c>
      <c r="D809" s="9">
        <v>45828</v>
      </c>
      <c r="E809" s="3">
        <v>5767.33</v>
      </c>
      <c r="F809" s="7" t="s">
        <v>296</v>
      </c>
    </row>
    <row r="810" spans="1:6" x14ac:dyDescent="0.3">
      <c r="A810" s="7" t="s">
        <v>3983</v>
      </c>
      <c r="B810" s="7" t="s">
        <v>1379</v>
      </c>
      <c r="C810" s="7" t="s">
        <v>51</v>
      </c>
      <c r="D810" s="9">
        <v>45877</v>
      </c>
      <c r="E810" s="3">
        <v>5599.13</v>
      </c>
      <c r="F810" s="7" t="s">
        <v>296</v>
      </c>
    </row>
    <row r="811" spans="1:6" x14ac:dyDescent="0.3">
      <c r="A811" s="7" t="s">
        <v>3984</v>
      </c>
      <c r="B811" s="7" t="s">
        <v>1380</v>
      </c>
      <c r="C811" s="7" t="s">
        <v>95</v>
      </c>
      <c r="D811" s="9">
        <v>45790</v>
      </c>
      <c r="E811" s="3">
        <v>3928.46</v>
      </c>
      <c r="F811" s="7" t="s">
        <v>296</v>
      </c>
    </row>
    <row r="812" spans="1:6" x14ac:dyDescent="0.3">
      <c r="A812" s="7" t="s">
        <v>3985</v>
      </c>
      <c r="B812" s="7" t="s">
        <v>1381</v>
      </c>
      <c r="C812" s="7" t="s">
        <v>77</v>
      </c>
      <c r="D812" s="9">
        <v>45701</v>
      </c>
      <c r="E812" s="3">
        <v>2254.42</v>
      </c>
      <c r="F812" s="7" t="s">
        <v>3174</v>
      </c>
    </row>
    <row r="813" spans="1:6" x14ac:dyDescent="0.3">
      <c r="A813" s="7" t="s">
        <v>3986</v>
      </c>
      <c r="B813" s="7" t="s">
        <v>1382</v>
      </c>
      <c r="C813" s="7" t="s">
        <v>57</v>
      </c>
      <c r="D813" s="9">
        <v>45765</v>
      </c>
      <c r="E813" s="3">
        <v>2767.03</v>
      </c>
      <c r="F813" s="7" t="s">
        <v>296</v>
      </c>
    </row>
    <row r="814" spans="1:6" x14ac:dyDescent="0.3">
      <c r="A814" s="7" t="s">
        <v>3987</v>
      </c>
      <c r="B814" s="7" t="s">
        <v>1383</v>
      </c>
      <c r="C814" s="7" t="s">
        <v>113</v>
      </c>
      <c r="D814" s="9">
        <v>45680</v>
      </c>
      <c r="E814" s="3">
        <v>1849.62</v>
      </c>
      <c r="F814" s="7" t="s">
        <v>3184</v>
      </c>
    </row>
    <row r="815" spans="1:6" x14ac:dyDescent="0.3">
      <c r="A815" s="7" t="s">
        <v>3988</v>
      </c>
      <c r="B815" s="7" t="s">
        <v>1387</v>
      </c>
      <c r="C815" s="7" t="s">
        <v>75</v>
      </c>
      <c r="D815" s="9">
        <v>46082</v>
      </c>
      <c r="E815" s="3">
        <v>3219.08</v>
      </c>
      <c r="F815" s="7" t="s">
        <v>3174</v>
      </c>
    </row>
    <row r="816" spans="1:6" x14ac:dyDescent="0.3">
      <c r="A816" s="7" t="s">
        <v>3989</v>
      </c>
      <c r="B816" s="7" t="s">
        <v>1390</v>
      </c>
      <c r="C816" s="7" t="s">
        <v>56</v>
      </c>
      <c r="D816" s="9">
        <v>46096</v>
      </c>
      <c r="E816" s="3">
        <v>12607.25</v>
      </c>
      <c r="F816" s="7" t="s">
        <v>3184</v>
      </c>
    </row>
    <row r="817" spans="1:6" x14ac:dyDescent="0.3">
      <c r="A817" s="7" t="s">
        <v>3990</v>
      </c>
      <c r="B817" s="7" t="s">
        <v>1391</v>
      </c>
      <c r="C817" s="7" t="s">
        <v>47</v>
      </c>
      <c r="D817" s="9">
        <v>46127</v>
      </c>
      <c r="E817" s="3">
        <v>3403.14</v>
      </c>
      <c r="F817" s="7" t="s">
        <v>298</v>
      </c>
    </row>
    <row r="818" spans="1:6" x14ac:dyDescent="0.3">
      <c r="A818" s="7" t="s">
        <v>3991</v>
      </c>
      <c r="B818" s="7" t="s">
        <v>1391</v>
      </c>
      <c r="C818" s="7" t="s">
        <v>47</v>
      </c>
      <c r="D818" s="9">
        <v>46142</v>
      </c>
      <c r="E818" s="3">
        <v>1787.24</v>
      </c>
      <c r="F818" s="7" t="s">
        <v>298</v>
      </c>
    </row>
    <row r="819" spans="1:6" x14ac:dyDescent="0.3">
      <c r="A819" s="7" t="s">
        <v>3992</v>
      </c>
      <c r="B819" s="7" t="s">
        <v>1392</v>
      </c>
      <c r="C819" s="7" t="s">
        <v>37</v>
      </c>
      <c r="D819" s="9">
        <v>45895</v>
      </c>
      <c r="E819" s="3">
        <v>609.30999999999995</v>
      </c>
      <c r="F819" s="7" t="s">
        <v>298</v>
      </c>
    </row>
    <row r="820" spans="1:6" x14ac:dyDescent="0.3">
      <c r="A820" s="7" t="s">
        <v>3993</v>
      </c>
      <c r="B820" s="7" t="s">
        <v>1392</v>
      </c>
      <c r="C820" s="7" t="s">
        <v>37</v>
      </c>
      <c r="D820" s="9">
        <v>45904</v>
      </c>
      <c r="E820" s="3">
        <v>853.46</v>
      </c>
      <c r="F820" s="7" t="s">
        <v>3174</v>
      </c>
    </row>
    <row r="821" spans="1:6" x14ac:dyDescent="0.3">
      <c r="A821" s="7" t="s">
        <v>3994</v>
      </c>
      <c r="B821" s="7" t="s">
        <v>1393</v>
      </c>
      <c r="C821" s="7" t="s">
        <v>29</v>
      </c>
      <c r="D821" s="9">
        <v>45833</v>
      </c>
      <c r="E821" s="3">
        <v>2451.91</v>
      </c>
      <c r="F821" s="7" t="s">
        <v>3174</v>
      </c>
    </row>
    <row r="822" spans="1:6" x14ac:dyDescent="0.3">
      <c r="A822" s="7" t="s">
        <v>3995</v>
      </c>
      <c r="B822" s="7" t="s">
        <v>1395</v>
      </c>
      <c r="C822" s="7" t="s">
        <v>50</v>
      </c>
      <c r="D822" s="9">
        <v>45926</v>
      </c>
      <c r="E822" s="3">
        <v>2834.91</v>
      </c>
      <c r="F822" s="7" t="s">
        <v>3184</v>
      </c>
    </row>
    <row r="823" spans="1:6" x14ac:dyDescent="0.3">
      <c r="A823" s="7" t="s">
        <v>3996</v>
      </c>
      <c r="B823" s="7" t="s">
        <v>1400</v>
      </c>
      <c r="C823" s="7" t="s">
        <v>91</v>
      </c>
      <c r="D823" s="9">
        <v>45697</v>
      </c>
      <c r="E823" s="3">
        <v>1175.6099999999999</v>
      </c>
      <c r="F823" s="7" t="s">
        <v>3184</v>
      </c>
    </row>
    <row r="824" spans="1:6" x14ac:dyDescent="0.3">
      <c r="A824" s="7" t="s">
        <v>3997</v>
      </c>
      <c r="B824" s="7" t="s">
        <v>1400</v>
      </c>
      <c r="C824" s="7" t="s">
        <v>91</v>
      </c>
      <c r="D824" s="9">
        <v>45707</v>
      </c>
      <c r="E824" s="3">
        <v>1624.34</v>
      </c>
      <c r="F824" s="7" t="s">
        <v>296</v>
      </c>
    </row>
    <row r="825" spans="1:6" x14ac:dyDescent="0.3">
      <c r="A825" s="7" t="s">
        <v>3998</v>
      </c>
      <c r="B825" s="7" t="s">
        <v>1401</v>
      </c>
      <c r="C825" s="7" t="s">
        <v>33</v>
      </c>
      <c r="D825" s="9">
        <v>45993</v>
      </c>
      <c r="E825" s="3">
        <v>1664.99</v>
      </c>
      <c r="F825" s="7" t="s">
        <v>3184</v>
      </c>
    </row>
    <row r="826" spans="1:6" x14ac:dyDescent="0.3">
      <c r="A826" s="7" t="s">
        <v>3999</v>
      </c>
      <c r="B826" s="7" t="s">
        <v>1402</v>
      </c>
      <c r="C826" s="7" t="s">
        <v>105</v>
      </c>
      <c r="D826" s="9">
        <v>45824</v>
      </c>
      <c r="E826" s="3">
        <v>2200.56</v>
      </c>
      <c r="F826" s="7" t="s">
        <v>3184</v>
      </c>
    </row>
    <row r="827" spans="1:6" x14ac:dyDescent="0.3">
      <c r="A827" s="7" t="s">
        <v>4000</v>
      </c>
      <c r="B827" s="7" t="s">
        <v>1403</v>
      </c>
      <c r="C827" s="7" t="s">
        <v>21</v>
      </c>
      <c r="D827" s="9">
        <v>45821</v>
      </c>
      <c r="E827" s="3">
        <v>12821.4</v>
      </c>
      <c r="F827" s="7" t="s">
        <v>3174</v>
      </c>
    </row>
    <row r="828" spans="1:6" x14ac:dyDescent="0.3">
      <c r="A828" s="7" t="s">
        <v>4001</v>
      </c>
      <c r="B828" s="7" t="s">
        <v>1404</v>
      </c>
      <c r="C828" s="7" t="s">
        <v>76</v>
      </c>
      <c r="D828" s="9">
        <v>45977</v>
      </c>
      <c r="E828" s="3">
        <v>3549.96</v>
      </c>
      <c r="F828" s="7" t="s">
        <v>3174</v>
      </c>
    </row>
    <row r="829" spans="1:6" x14ac:dyDescent="0.3">
      <c r="A829" s="7" t="s">
        <v>4002</v>
      </c>
      <c r="B829" s="7" t="s">
        <v>1406</v>
      </c>
      <c r="C829" s="7" t="s">
        <v>121</v>
      </c>
      <c r="D829" s="9">
        <v>45775</v>
      </c>
      <c r="E829" s="3">
        <v>2574.08</v>
      </c>
      <c r="F829" s="7" t="s">
        <v>298</v>
      </c>
    </row>
    <row r="830" spans="1:6" x14ac:dyDescent="0.3">
      <c r="A830" s="7" t="s">
        <v>4003</v>
      </c>
      <c r="B830" s="7" t="s">
        <v>1407</v>
      </c>
      <c r="C830" s="7" t="s">
        <v>122</v>
      </c>
      <c r="D830" s="9">
        <v>45703</v>
      </c>
      <c r="E830" s="3">
        <v>2540.58</v>
      </c>
      <c r="F830" s="7" t="s">
        <v>3174</v>
      </c>
    </row>
    <row r="831" spans="1:6" x14ac:dyDescent="0.3">
      <c r="A831" s="7" t="s">
        <v>4004</v>
      </c>
      <c r="B831" s="7" t="s">
        <v>1408</v>
      </c>
      <c r="C831" s="7" t="s">
        <v>57</v>
      </c>
      <c r="D831" s="9">
        <v>45874</v>
      </c>
      <c r="E831" s="3">
        <v>753.68</v>
      </c>
      <c r="F831" s="7" t="s">
        <v>296</v>
      </c>
    </row>
    <row r="832" spans="1:6" x14ac:dyDescent="0.3">
      <c r="A832" s="7" t="s">
        <v>4005</v>
      </c>
      <c r="B832" s="7" t="s">
        <v>1408</v>
      </c>
      <c r="C832" s="7" t="s">
        <v>57</v>
      </c>
      <c r="D832" s="9">
        <v>45879</v>
      </c>
      <c r="E832" s="3">
        <v>722.65</v>
      </c>
      <c r="F832" s="7" t="s">
        <v>3184</v>
      </c>
    </row>
    <row r="833" spans="1:6" x14ac:dyDescent="0.3">
      <c r="A833" s="7" t="s">
        <v>4006</v>
      </c>
      <c r="B833" s="7" t="s">
        <v>1411</v>
      </c>
      <c r="C833" s="7" t="s">
        <v>18</v>
      </c>
      <c r="D833" s="9">
        <v>45726</v>
      </c>
      <c r="E833" s="3">
        <v>2022.7</v>
      </c>
      <c r="F833" s="7" t="s">
        <v>298</v>
      </c>
    </row>
    <row r="834" spans="1:6" x14ac:dyDescent="0.3">
      <c r="A834" s="7" t="s">
        <v>4007</v>
      </c>
      <c r="B834" s="7" t="s">
        <v>1412</v>
      </c>
      <c r="C834" s="7" t="s">
        <v>97</v>
      </c>
      <c r="D834" s="9">
        <v>45916</v>
      </c>
      <c r="E834" s="3">
        <v>1777.16</v>
      </c>
      <c r="F834" s="7" t="s">
        <v>3174</v>
      </c>
    </row>
    <row r="835" spans="1:6" x14ac:dyDescent="0.3">
      <c r="A835" s="7" t="s">
        <v>4008</v>
      </c>
      <c r="B835" s="7" t="s">
        <v>1414</v>
      </c>
      <c r="C835" s="7" t="s">
        <v>92</v>
      </c>
      <c r="D835" s="9">
        <v>45886</v>
      </c>
      <c r="E835" s="3">
        <v>1989.13</v>
      </c>
      <c r="F835" s="7" t="s">
        <v>3174</v>
      </c>
    </row>
    <row r="836" spans="1:6" x14ac:dyDescent="0.3">
      <c r="A836" s="7" t="s">
        <v>4009</v>
      </c>
      <c r="B836" s="7" t="s">
        <v>1414</v>
      </c>
      <c r="C836" s="7" t="s">
        <v>92</v>
      </c>
      <c r="D836" s="9">
        <v>45898</v>
      </c>
      <c r="E836" s="3">
        <v>923.73</v>
      </c>
      <c r="F836" s="7" t="s">
        <v>298</v>
      </c>
    </row>
    <row r="837" spans="1:6" x14ac:dyDescent="0.3">
      <c r="A837" s="7" t="s">
        <v>4010</v>
      </c>
      <c r="B837" s="7" t="s">
        <v>1415</v>
      </c>
      <c r="C837" s="7" t="s">
        <v>10</v>
      </c>
      <c r="D837" s="9">
        <v>46135</v>
      </c>
      <c r="E837" s="3">
        <v>2788.78</v>
      </c>
      <c r="F837" s="7" t="s">
        <v>3174</v>
      </c>
    </row>
    <row r="838" spans="1:6" x14ac:dyDescent="0.3">
      <c r="A838" s="7" t="s">
        <v>4011</v>
      </c>
      <c r="B838" s="7" t="s">
        <v>1416</v>
      </c>
      <c r="C838" s="7" t="s">
        <v>28</v>
      </c>
      <c r="D838" s="9">
        <v>45859</v>
      </c>
      <c r="E838" s="3">
        <v>2970.4</v>
      </c>
      <c r="F838" s="7" t="s">
        <v>3184</v>
      </c>
    </row>
    <row r="839" spans="1:6" x14ac:dyDescent="0.3">
      <c r="A839" s="7" t="s">
        <v>4012</v>
      </c>
      <c r="B839" s="7" t="s">
        <v>1417</v>
      </c>
      <c r="C839" s="7" t="s">
        <v>20</v>
      </c>
      <c r="D839" s="9">
        <v>45972</v>
      </c>
      <c r="E839" s="3">
        <v>2767.94</v>
      </c>
      <c r="F839" s="7" t="s">
        <v>298</v>
      </c>
    </row>
    <row r="840" spans="1:6" x14ac:dyDescent="0.3">
      <c r="A840" s="7" t="s">
        <v>4013</v>
      </c>
      <c r="B840" s="7" t="s">
        <v>1418</v>
      </c>
      <c r="C840" s="7" t="s">
        <v>90</v>
      </c>
      <c r="D840" s="9">
        <v>46091</v>
      </c>
      <c r="E840" s="3">
        <v>13524.25</v>
      </c>
      <c r="F840" s="7" t="s">
        <v>298</v>
      </c>
    </row>
    <row r="841" spans="1:6" x14ac:dyDescent="0.3">
      <c r="A841" s="7" t="s">
        <v>4014</v>
      </c>
      <c r="B841" s="7" t="s">
        <v>1419</v>
      </c>
      <c r="C841" s="7" t="s">
        <v>59</v>
      </c>
      <c r="D841" s="9">
        <v>45933</v>
      </c>
      <c r="E841" s="3">
        <v>3350.92</v>
      </c>
      <c r="F841" s="7" t="s">
        <v>3174</v>
      </c>
    </row>
    <row r="842" spans="1:6" x14ac:dyDescent="0.3">
      <c r="A842" s="7" t="s">
        <v>4015</v>
      </c>
      <c r="B842" s="7" t="s">
        <v>1421</v>
      </c>
      <c r="C842" s="7" t="s">
        <v>107</v>
      </c>
      <c r="D842" s="9">
        <v>46133</v>
      </c>
      <c r="E842" s="3">
        <v>2808.86</v>
      </c>
      <c r="F842" s="7" t="s">
        <v>3184</v>
      </c>
    </row>
    <row r="843" spans="1:6" x14ac:dyDescent="0.3">
      <c r="A843" s="7" t="s">
        <v>4016</v>
      </c>
      <c r="B843" s="7" t="s">
        <v>1422</v>
      </c>
      <c r="C843" s="7" t="s">
        <v>29</v>
      </c>
      <c r="D843" s="9">
        <v>45849</v>
      </c>
      <c r="E843" s="3">
        <v>12322.61</v>
      </c>
      <c r="F843" s="7" t="s">
        <v>3184</v>
      </c>
    </row>
    <row r="844" spans="1:6" x14ac:dyDescent="0.3">
      <c r="A844" s="7" t="s">
        <v>4017</v>
      </c>
      <c r="B844" s="7" t="s">
        <v>1423</v>
      </c>
      <c r="C844" s="7" t="s">
        <v>69</v>
      </c>
      <c r="D844" s="9">
        <v>46069</v>
      </c>
      <c r="E844" s="3">
        <v>1922.12</v>
      </c>
      <c r="F844" s="7" t="s">
        <v>296</v>
      </c>
    </row>
    <row r="845" spans="1:6" x14ac:dyDescent="0.3">
      <c r="A845" s="7" t="s">
        <v>4018</v>
      </c>
      <c r="B845" s="7" t="s">
        <v>1424</v>
      </c>
      <c r="C845" s="7" t="s">
        <v>112</v>
      </c>
      <c r="D845" s="9">
        <v>45907</v>
      </c>
      <c r="E845" s="3">
        <v>1426.46</v>
      </c>
      <c r="F845" s="7" t="s">
        <v>298</v>
      </c>
    </row>
    <row r="846" spans="1:6" x14ac:dyDescent="0.3">
      <c r="A846" s="7" t="s">
        <v>4019</v>
      </c>
      <c r="B846" s="7" t="s">
        <v>1424</v>
      </c>
      <c r="C846" s="7" t="s">
        <v>112</v>
      </c>
      <c r="D846" s="9">
        <v>45911</v>
      </c>
      <c r="E846" s="3">
        <v>1684.14</v>
      </c>
      <c r="F846" s="7" t="s">
        <v>3184</v>
      </c>
    </row>
    <row r="847" spans="1:6" x14ac:dyDescent="0.3">
      <c r="A847" s="7" t="s">
        <v>4020</v>
      </c>
      <c r="B847" s="7" t="s">
        <v>1425</v>
      </c>
      <c r="C847" s="7" t="s">
        <v>94</v>
      </c>
      <c r="D847" s="9">
        <v>45895</v>
      </c>
      <c r="E847" s="3">
        <v>10445.64</v>
      </c>
      <c r="F847" s="7" t="s">
        <v>296</v>
      </c>
    </row>
    <row r="848" spans="1:6" x14ac:dyDescent="0.3">
      <c r="A848" s="7" t="s">
        <v>4021</v>
      </c>
      <c r="B848" s="7" t="s">
        <v>1426</v>
      </c>
      <c r="C848" s="7" t="s">
        <v>91</v>
      </c>
      <c r="D848" s="9">
        <v>45862</v>
      </c>
      <c r="E848" s="3">
        <v>3879.88</v>
      </c>
      <c r="F848" s="7" t="s">
        <v>3174</v>
      </c>
    </row>
    <row r="849" spans="1:6" x14ac:dyDescent="0.3">
      <c r="A849" s="7" t="s">
        <v>4022</v>
      </c>
      <c r="B849" s="7" t="s">
        <v>1428</v>
      </c>
      <c r="C849" s="7" t="s">
        <v>64</v>
      </c>
      <c r="D849" s="9">
        <v>46075</v>
      </c>
      <c r="E849" s="3">
        <v>2023.08</v>
      </c>
      <c r="F849" s="7" t="s">
        <v>298</v>
      </c>
    </row>
    <row r="850" spans="1:6" x14ac:dyDescent="0.3">
      <c r="A850" s="7" t="s">
        <v>4023</v>
      </c>
      <c r="B850" s="7" t="s">
        <v>1429</v>
      </c>
      <c r="C850" s="7" t="s">
        <v>33</v>
      </c>
      <c r="D850" s="9">
        <v>46007</v>
      </c>
      <c r="E850" s="3">
        <v>3208.1</v>
      </c>
      <c r="F850" s="7" t="s">
        <v>3184</v>
      </c>
    </row>
    <row r="851" spans="1:6" x14ac:dyDescent="0.3">
      <c r="A851" s="7" t="s">
        <v>4024</v>
      </c>
      <c r="B851" s="7" t="s">
        <v>1432</v>
      </c>
      <c r="C851" s="7" t="s">
        <v>23</v>
      </c>
      <c r="D851" s="9">
        <v>45984</v>
      </c>
      <c r="E851" s="3">
        <v>3099.27</v>
      </c>
      <c r="F851" s="7" t="s">
        <v>3174</v>
      </c>
    </row>
    <row r="852" spans="1:6" x14ac:dyDescent="0.3">
      <c r="A852" s="7" t="s">
        <v>4025</v>
      </c>
      <c r="B852" s="7" t="s">
        <v>1433</v>
      </c>
      <c r="C852" s="7" t="s">
        <v>78</v>
      </c>
      <c r="D852" s="9">
        <v>45941</v>
      </c>
      <c r="E852" s="3">
        <v>2062.41</v>
      </c>
      <c r="F852" s="7" t="s">
        <v>3174</v>
      </c>
    </row>
    <row r="853" spans="1:6" x14ac:dyDescent="0.3">
      <c r="A853" s="7" t="s">
        <v>4026</v>
      </c>
      <c r="B853" s="7" t="s">
        <v>1434</v>
      </c>
      <c r="C853" s="7" t="s">
        <v>96</v>
      </c>
      <c r="D853" s="9">
        <v>45826</v>
      </c>
      <c r="E853" s="3">
        <v>915.16</v>
      </c>
      <c r="F853" s="7" t="s">
        <v>298</v>
      </c>
    </row>
    <row r="854" spans="1:6" x14ac:dyDescent="0.3">
      <c r="A854" s="7" t="s">
        <v>4027</v>
      </c>
      <c r="B854" s="7" t="s">
        <v>1434</v>
      </c>
      <c r="C854" s="7" t="s">
        <v>96</v>
      </c>
      <c r="D854" s="9">
        <v>45830</v>
      </c>
      <c r="E854" s="3">
        <v>1194.54</v>
      </c>
      <c r="F854" s="7" t="s">
        <v>296</v>
      </c>
    </row>
    <row r="855" spans="1:6" x14ac:dyDescent="0.3">
      <c r="A855" s="7" t="s">
        <v>4028</v>
      </c>
      <c r="B855" s="7" t="s">
        <v>1435</v>
      </c>
      <c r="C855" s="7" t="s">
        <v>55</v>
      </c>
      <c r="D855" s="9">
        <v>45851</v>
      </c>
      <c r="E855" s="3">
        <v>3351.98</v>
      </c>
      <c r="F855" s="7" t="s">
        <v>296</v>
      </c>
    </row>
    <row r="856" spans="1:6" x14ac:dyDescent="0.3">
      <c r="A856" s="7" t="s">
        <v>4029</v>
      </c>
      <c r="B856" s="7" t="s">
        <v>1436</v>
      </c>
      <c r="C856" s="7" t="s">
        <v>31</v>
      </c>
      <c r="D856" s="9">
        <v>46003</v>
      </c>
      <c r="E856" s="3">
        <v>12216.57</v>
      </c>
      <c r="F856" s="7" t="s">
        <v>3174</v>
      </c>
    </row>
    <row r="857" spans="1:6" x14ac:dyDescent="0.3">
      <c r="A857" s="7" t="s">
        <v>4030</v>
      </c>
      <c r="B857" s="7" t="s">
        <v>1437</v>
      </c>
      <c r="C857" s="7" t="s">
        <v>118</v>
      </c>
      <c r="D857" s="9">
        <v>45884</v>
      </c>
      <c r="E857" s="3">
        <v>3338.43</v>
      </c>
      <c r="F857" s="7" t="s">
        <v>296</v>
      </c>
    </row>
    <row r="858" spans="1:6" x14ac:dyDescent="0.3">
      <c r="A858" s="7" t="s">
        <v>4031</v>
      </c>
      <c r="B858" s="7" t="s">
        <v>1438</v>
      </c>
      <c r="C858" s="7" t="s">
        <v>25</v>
      </c>
      <c r="D858" s="9">
        <v>45681</v>
      </c>
      <c r="E858" s="3">
        <v>1530.4</v>
      </c>
      <c r="F858" s="7" t="s">
        <v>3184</v>
      </c>
    </row>
    <row r="859" spans="1:6" x14ac:dyDescent="0.3">
      <c r="A859" s="7" t="s">
        <v>4032</v>
      </c>
      <c r="B859" s="7" t="s">
        <v>1441</v>
      </c>
      <c r="C859" s="7" t="s">
        <v>72</v>
      </c>
      <c r="D859" s="9">
        <v>45885</v>
      </c>
      <c r="E859" s="3">
        <v>1875.19</v>
      </c>
      <c r="F859" s="7" t="s">
        <v>296</v>
      </c>
    </row>
    <row r="860" spans="1:6" x14ac:dyDescent="0.3">
      <c r="A860" s="7" t="s">
        <v>4033</v>
      </c>
      <c r="B860" s="7" t="s">
        <v>1442</v>
      </c>
      <c r="C860" s="7" t="s">
        <v>30</v>
      </c>
      <c r="D860" s="9">
        <v>45906</v>
      </c>
      <c r="E860" s="3">
        <v>8075.55</v>
      </c>
      <c r="F860" s="7" t="s">
        <v>3184</v>
      </c>
    </row>
    <row r="861" spans="1:6" x14ac:dyDescent="0.3">
      <c r="A861" s="7" t="s">
        <v>4034</v>
      </c>
      <c r="B861" s="7" t="s">
        <v>1442</v>
      </c>
      <c r="C861" s="7" t="s">
        <v>30</v>
      </c>
      <c r="D861" s="9">
        <v>45920</v>
      </c>
      <c r="E861" s="3">
        <v>4174.29</v>
      </c>
      <c r="F861" s="7" t="s">
        <v>3184</v>
      </c>
    </row>
    <row r="862" spans="1:6" x14ac:dyDescent="0.3">
      <c r="A862" s="7" t="s">
        <v>4035</v>
      </c>
      <c r="B862" s="7" t="s">
        <v>1444</v>
      </c>
      <c r="C862" s="7" t="s">
        <v>11</v>
      </c>
      <c r="D862" s="9">
        <v>45886</v>
      </c>
      <c r="E862" s="3">
        <v>1801.24</v>
      </c>
      <c r="F862" s="7" t="s">
        <v>3184</v>
      </c>
    </row>
    <row r="863" spans="1:6" x14ac:dyDescent="0.3">
      <c r="A863" s="7" t="s">
        <v>4036</v>
      </c>
      <c r="B863" s="7" t="s">
        <v>1445</v>
      </c>
      <c r="C863" s="7" t="s">
        <v>68</v>
      </c>
      <c r="D863" s="9">
        <v>46031</v>
      </c>
      <c r="E863" s="3">
        <v>3081.78</v>
      </c>
      <c r="F863" s="7" t="s">
        <v>296</v>
      </c>
    </row>
    <row r="864" spans="1:6" x14ac:dyDescent="0.3">
      <c r="A864" s="7" t="s">
        <v>4037</v>
      </c>
      <c r="B864" s="7" t="s">
        <v>1446</v>
      </c>
      <c r="C864" s="7" t="s">
        <v>116</v>
      </c>
      <c r="D864" s="9">
        <v>46056</v>
      </c>
      <c r="E864" s="3">
        <v>1497.65</v>
      </c>
      <c r="F864" s="7" t="s">
        <v>298</v>
      </c>
    </row>
    <row r="865" spans="1:6" x14ac:dyDescent="0.3">
      <c r="A865" s="7" t="s">
        <v>4038</v>
      </c>
      <c r="B865" s="7" t="s">
        <v>1449</v>
      </c>
      <c r="C865" s="7" t="s">
        <v>13</v>
      </c>
      <c r="D865" s="9">
        <v>46125</v>
      </c>
      <c r="E865" s="3">
        <v>1896.26</v>
      </c>
      <c r="F865" s="7" t="s">
        <v>3174</v>
      </c>
    </row>
    <row r="866" spans="1:6" x14ac:dyDescent="0.3">
      <c r="A866" s="7" t="s">
        <v>4039</v>
      </c>
      <c r="B866" s="7" t="s">
        <v>1450</v>
      </c>
      <c r="C866" s="7" t="s">
        <v>122</v>
      </c>
      <c r="D866" s="9">
        <v>45694</v>
      </c>
      <c r="E866" s="3">
        <v>2535.0300000000002</v>
      </c>
      <c r="F866" s="7" t="s">
        <v>3174</v>
      </c>
    </row>
    <row r="867" spans="1:6" x14ac:dyDescent="0.3">
      <c r="A867" s="7" t="s">
        <v>4040</v>
      </c>
      <c r="B867" s="7" t="s">
        <v>1451</v>
      </c>
      <c r="C867" s="7" t="s">
        <v>109</v>
      </c>
      <c r="D867" s="9">
        <v>45831</v>
      </c>
      <c r="E867" s="3">
        <v>12355.03</v>
      </c>
      <c r="F867" s="7" t="s">
        <v>3184</v>
      </c>
    </row>
    <row r="868" spans="1:6" x14ac:dyDescent="0.3">
      <c r="A868" s="7" t="s">
        <v>4041</v>
      </c>
      <c r="B868" s="7" t="s">
        <v>1453</v>
      </c>
      <c r="C868" s="7" t="s">
        <v>67</v>
      </c>
      <c r="D868" s="9">
        <v>45986</v>
      </c>
      <c r="E868" s="3">
        <v>2726.97</v>
      </c>
      <c r="F868" s="7" t="s">
        <v>3184</v>
      </c>
    </row>
    <row r="869" spans="1:6" x14ac:dyDescent="0.3">
      <c r="A869" s="7" t="s">
        <v>4042</v>
      </c>
      <c r="B869" s="7" t="s">
        <v>1455</v>
      </c>
      <c r="C869" s="7" t="s">
        <v>71</v>
      </c>
      <c r="D869" s="9">
        <v>45841</v>
      </c>
      <c r="E869" s="3">
        <v>1889.51</v>
      </c>
      <c r="F869" s="7" t="s">
        <v>3174</v>
      </c>
    </row>
    <row r="870" spans="1:6" x14ac:dyDescent="0.3">
      <c r="A870" s="7" t="s">
        <v>4043</v>
      </c>
      <c r="B870" s="7" t="s">
        <v>1456</v>
      </c>
      <c r="C870" s="7" t="s">
        <v>42</v>
      </c>
      <c r="D870" s="9">
        <v>45812</v>
      </c>
      <c r="E870" s="3">
        <v>3421.73</v>
      </c>
      <c r="F870" s="7" t="s">
        <v>296</v>
      </c>
    </row>
    <row r="871" spans="1:6" x14ac:dyDescent="0.3">
      <c r="A871" s="7" t="s">
        <v>4044</v>
      </c>
      <c r="B871" s="7" t="s">
        <v>1457</v>
      </c>
      <c r="C871" s="7" t="s">
        <v>29</v>
      </c>
      <c r="D871" s="9">
        <v>45691</v>
      </c>
      <c r="E871" s="3">
        <v>2857.86</v>
      </c>
      <c r="F871" s="7" t="s">
        <v>3174</v>
      </c>
    </row>
    <row r="872" spans="1:6" x14ac:dyDescent="0.3">
      <c r="A872" s="7" t="s">
        <v>4045</v>
      </c>
      <c r="B872" s="7" t="s">
        <v>1458</v>
      </c>
      <c r="C872" s="7" t="s">
        <v>29</v>
      </c>
      <c r="D872" s="9">
        <v>46016</v>
      </c>
      <c r="E872" s="3">
        <v>3834.55</v>
      </c>
      <c r="F872" s="7" t="s">
        <v>298</v>
      </c>
    </row>
    <row r="873" spans="1:6" x14ac:dyDescent="0.3">
      <c r="A873" s="7" t="s">
        <v>4046</v>
      </c>
      <c r="B873" s="7" t="s">
        <v>1459</v>
      </c>
      <c r="C873" s="7" t="s">
        <v>74</v>
      </c>
      <c r="D873" s="9">
        <v>45821</v>
      </c>
      <c r="E873" s="3">
        <v>2782.53</v>
      </c>
      <c r="F873" s="7" t="s">
        <v>298</v>
      </c>
    </row>
    <row r="874" spans="1:6" x14ac:dyDescent="0.3">
      <c r="A874" s="7" t="s">
        <v>4047</v>
      </c>
      <c r="B874" s="7" t="s">
        <v>1460</v>
      </c>
      <c r="C874" s="7" t="s">
        <v>112</v>
      </c>
      <c r="D874" s="9">
        <v>45714</v>
      </c>
      <c r="E874" s="3">
        <v>2811.42</v>
      </c>
      <c r="F874" s="7" t="s">
        <v>3174</v>
      </c>
    </row>
    <row r="875" spans="1:6" x14ac:dyDescent="0.3">
      <c r="A875" s="7" t="s">
        <v>4048</v>
      </c>
      <c r="B875" s="7" t="s">
        <v>1462</v>
      </c>
      <c r="C875" s="7" t="s">
        <v>100</v>
      </c>
      <c r="D875" s="9">
        <v>46001</v>
      </c>
      <c r="E875" s="3">
        <v>1756.93</v>
      </c>
      <c r="F875" s="7" t="s">
        <v>3174</v>
      </c>
    </row>
    <row r="876" spans="1:6" x14ac:dyDescent="0.3">
      <c r="A876" s="7" t="s">
        <v>4049</v>
      </c>
      <c r="B876" s="7" t="s">
        <v>1463</v>
      </c>
      <c r="C876" s="7" t="s">
        <v>66</v>
      </c>
      <c r="D876" s="9">
        <v>45820</v>
      </c>
      <c r="E876" s="3">
        <v>2054.33</v>
      </c>
      <c r="F876" s="7" t="s">
        <v>3174</v>
      </c>
    </row>
    <row r="877" spans="1:6" x14ac:dyDescent="0.3">
      <c r="A877" s="7" t="s">
        <v>4050</v>
      </c>
      <c r="B877" s="7" t="s">
        <v>1465</v>
      </c>
      <c r="C877" s="7" t="s">
        <v>25</v>
      </c>
      <c r="D877" s="9">
        <v>46039</v>
      </c>
      <c r="E877" s="3">
        <v>4759.6000000000004</v>
      </c>
      <c r="F877" s="7" t="s">
        <v>298</v>
      </c>
    </row>
    <row r="878" spans="1:6" x14ac:dyDescent="0.3">
      <c r="A878" s="7" t="s">
        <v>4051</v>
      </c>
      <c r="B878" s="7" t="s">
        <v>1468</v>
      </c>
      <c r="C878" s="7" t="s">
        <v>90</v>
      </c>
      <c r="D878" s="9">
        <v>46118</v>
      </c>
      <c r="E878" s="3">
        <v>1730.52</v>
      </c>
      <c r="F878" s="7" t="s">
        <v>3184</v>
      </c>
    </row>
    <row r="879" spans="1:6" x14ac:dyDescent="0.3">
      <c r="A879" s="7" t="s">
        <v>4052</v>
      </c>
      <c r="B879" s="7" t="s">
        <v>1468</v>
      </c>
      <c r="C879" s="7" t="s">
        <v>90</v>
      </c>
      <c r="D879" s="9">
        <v>46126</v>
      </c>
      <c r="E879" s="3">
        <v>1961.87</v>
      </c>
      <c r="F879" s="7" t="s">
        <v>298</v>
      </c>
    </row>
    <row r="880" spans="1:6" x14ac:dyDescent="0.3">
      <c r="A880" s="7" t="s">
        <v>4053</v>
      </c>
      <c r="B880" s="7" t="s">
        <v>1469</v>
      </c>
      <c r="C880" s="7" t="s">
        <v>81</v>
      </c>
      <c r="D880" s="9">
        <v>45823</v>
      </c>
      <c r="E880" s="3">
        <v>2334.9699999999998</v>
      </c>
      <c r="F880" s="7" t="s">
        <v>3184</v>
      </c>
    </row>
    <row r="881" spans="1:6" x14ac:dyDescent="0.3">
      <c r="A881" s="7" t="s">
        <v>4054</v>
      </c>
      <c r="B881" s="7" t="s">
        <v>1470</v>
      </c>
      <c r="C881" s="7" t="s">
        <v>93</v>
      </c>
      <c r="D881" s="9">
        <v>46047</v>
      </c>
      <c r="E881" s="3">
        <v>11813.32</v>
      </c>
      <c r="F881" s="7" t="s">
        <v>3184</v>
      </c>
    </row>
    <row r="882" spans="1:6" x14ac:dyDescent="0.3">
      <c r="A882" s="7" t="s">
        <v>4055</v>
      </c>
      <c r="B882" s="7" t="s">
        <v>1471</v>
      </c>
      <c r="C882" s="7" t="s">
        <v>30</v>
      </c>
      <c r="D882" s="9">
        <v>45955</v>
      </c>
      <c r="E882" s="3">
        <v>3878.7</v>
      </c>
      <c r="F882" s="7" t="s">
        <v>3174</v>
      </c>
    </row>
    <row r="883" spans="1:6" x14ac:dyDescent="0.3">
      <c r="A883" s="7" t="s">
        <v>4056</v>
      </c>
      <c r="B883" s="7" t="s">
        <v>1473</v>
      </c>
      <c r="C883" s="7" t="s">
        <v>35</v>
      </c>
      <c r="D883" s="9">
        <v>45744</v>
      </c>
      <c r="E883" s="3">
        <v>10068.950000000001</v>
      </c>
      <c r="F883" s="7" t="s">
        <v>3174</v>
      </c>
    </row>
    <row r="884" spans="1:6" x14ac:dyDescent="0.3">
      <c r="A884" s="7" t="s">
        <v>4057</v>
      </c>
      <c r="B884" s="7" t="s">
        <v>1474</v>
      </c>
      <c r="C884" s="7" t="s">
        <v>18</v>
      </c>
      <c r="D884" s="9">
        <v>45756</v>
      </c>
      <c r="E884" s="3">
        <v>1643.97</v>
      </c>
      <c r="F884" s="7" t="s">
        <v>296</v>
      </c>
    </row>
    <row r="885" spans="1:6" x14ac:dyDescent="0.3">
      <c r="A885" s="7" t="s">
        <v>4058</v>
      </c>
      <c r="B885" s="7" t="s">
        <v>1478</v>
      </c>
      <c r="C885" s="7" t="s">
        <v>16</v>
      </c>
      <c r="D885" s="9">
        <v>45811</v>
      </c>
      <c r="E885" s="3">
        <v>3234.78</v>
      </c>
      <c r="F885" s="7" t="s">
        <v>3174</v>
      </c>
    </row>
    <row r="886" spans="1:6" x14ac:dyDescent="0.3">
      <c r="A886" s="7" t="s">
        <v>4059</v>
      </c>
      <c r="B886" s="7" t="s">
        <v>1479</v>
      </c>
      <c r="C886" s="7" t="s">
        <v>92</v>
      </c>
      <c r="D886" s="9">
        <v>45809</v>
      </c>
      <c r="E886" s="3">
        <v>1766.48</v>
      </c>
      <c r="F886" s="7" t="s">
        <v>3174</v>
      </c>
    </row>
    <row r="887" spans="1:6" x14ac:dyDescent="0.3">
      <c r="A887" s="7" t="s">
        <v>4060</v>
      </c>
      <c r="B887" s="7" t="s">
        <v>1480</v>
      </c>
      <c r="C887" s="7" t="s">
        <v>14</v>
      </c>
      <c r="D887" s="9">
        <v>46068</v>
      </c>
      <c r="E887" s="3">
        <v>2257.34</v>
      </c>
      <c r="F887" s="7" t="s">
        <v>296</v>
      </c>
    </row>
    <row r="888" spans="1:6" x14ac:dyDescent="0.3">
      <c r="A888" s="7" t="s">
        <v>4061</v>
      </c>
      <c r="B888" s="7" t="s">
        <v>1482</v>
      </c>
      <c r="C888" s="7" t="s">
        <v>29</v>
      </c>
      <c r="D888" s="9">
        <v>45911</v>
      </c>
      <c r="E888" s="3">
        <v>4881.1499999999996</v>
      </c>
      <c r="F888" s="7" t="s">
        <v>298</v>
      </c>
    </row>
    <row r="889" spans="1:6" x14ac:dyDescent="0.3">
      <c r="A889" s="7" t="s">
        <v>4062</v>
      </c>
      <c r="B889" s="7" t="s">
        <v>1484</v>
      </c>
      <c r="C889" s="7" t="s">
        <v>11</v>
      </c>
      <c r="D889" s="9">
        <v>45926</v>
      </c>
      <c r="E889" s="3">
        <v>3700.67</v>
      </c>
      <c r="F889" s="7" t="s">
        <v>296</v>
      </c>
    </row>
    <row r="890" spans="1:6" x14ac:dyDescent="0.3">
      <c r="A890" s="7" t="s">
        <v>4063</v>
      </c>
      <c r="B890" s="7" t="s">
        <v>1488</v>
      </c>
      <c r="C890" s="7" t="s">
        <v>58</v>
      </c>
      <c r="D890" s="9">
        <v>46080</v>
      </c>
      <c r="E890" s="3">
        <v>1510.79</v>
      </c>
      <c r="F890" s="7" t="s">
        <v>3184</v>
      </c>
    </row>
    <row r="891" spans="1:6" x14ac:dyDescent="0.3">
      <c r="A891" s="7" t="s">
        <v>4064</v>
      </c>
      <c r="B891" s="7" t="s">
        <v>1488</v>
      </c>
      <c r="C891" s="7" t="s">
        <v>58</v>
      </c>
      <c r="D891" s="9">
        <v>46091</v>
      </c>
      <c r="E891" s="3">
        <v>1507.67</v>
      </c>
      <c r="F891" s="7" t="s">
        <v>296</v>
      </c>
    </row>
    <row r="892" spans="1:6" x14ac:dyDescent="0.3">
      <c r="A892" s="7" t="s">
        <v>4065</v>
      </c>
      <c r="B892" s="7" t="s">
        <v>1489</v>
      </c>
      <c r="C892" s="7" t="s">
        <v>7</v>
      </c>
      <c r="D892" s="9">
        <v>46064</v>
      </c>
      <c r="E892" s="3">
        <v>2002.27</v>
      </c>
      <c r="F892" s="7" t="s">
        <v>3184</v>
      </c>
    </row>
    <row r="893" spans="1:6" x14ac:dyDescent="0.3">
      <c r="A893" s="7" t="s">
        <v>4066</v>
      </c>
      <c r="B893" s="7" t="s">
        <v>1490</v>
      </c>
      <c r="C893" s="7" t="s">
        <v>75</v>
      </c>
      <c r="D893" s="9">
        <v>46087</v>
      </c>
      <c r="E893" s="3">
        <v>14179.95</v>
      </c>
      <c r="F893" s="7" t="s">
        <v>3184</v>
      </c>
    </row>
    <row r="894" spans="1:6" x14ac:dyDescent="0.3">
      <c r="A894" s="7" t="s">
        <v>4067</v>
      </c>
      <c r="B894" s="7" t="s">
        <v>1491</v>
      </c>
      <c r="C894" s="7" t="s">
        <v>89</v>
      </c>
      <c r="D894" s="9">
        <v>45821</v>
      </c>
      <c r="E894" s="3">
        <v>2333.44</v>
      </c>
      <c r="F894" s="7" t="s">
        <v>296</v>
      </c>
    </row>
    <row r="895" spans="1:6" x14ac:dyDescent="0.3">
      <c r="A895" s="7" t="s">
        <v>4068</v>
      </c>
      <c r="B895" s="7" t="s">
        <v>1492</v>
      </c>
      <c r="C895" s="7" t="s">
        <v>65</v>
      </c>
      <c r="D895" s="9">
        <v>46123</v>
      </c>
      <c r="E895" s="3">
        <v>2838.43</v>
      </c>
      <c r="F895" s="7" t="s">
        <v>3184</v>
      </c>
    </row>
    <row r="896" spans="1:6" x14ac:dyDescent="0.3">
      <c r="A896" s="7" t="s">
        <v>4069</v>
      </c>
      <c r="B896" s="7" t="s">
        <v>1493</v>
      </c>
      <c r="C896" s="7" t="s">
        <v>56</v>
      </c>
      <c r="D896" s="9">
        <v>45782</v>
      </c>
      <c r="E896" s="3">
        <v>2647.79</v>
      </c>
      <c r="F896" s="7" t="s">
        <v>296</v>
      </c>
    </row>
    <row r="897" spans="1:6" x14ac:dyDescent="0.3">
      <c r="A897" s="7" t="s">
        <v>4070</v>
      </c>
      <c r="B897" s="7" t="s">
        <v>1495</v>
      </c>
      <c r="C897" s="7" t="s">
        <v>31</v>
      </c>
      <c r="D897" s="9">
        <v>45740</v>
      </c>
      <c r="E897" s="3">
        <v>1698.67</v>
      </c>
      <c r="F897" s="7" t="s">
        <v>296</v>
      </c>
    </row>
    <row r="898" spans="1:6" x14ac:dyDescent="0.3">
      <c r="A898" s="7" t="s">
        <v>4071</v>
      </c>
      <c r="B898" s="7" t="s">
        <v>1497</v>
      </c>
      <c r="C898" s="7" t="s">
        <v>70</v>
      </c>
      <c r="D898" s="9">
        <v>46118</v>
      </c>
      <c r="E898" s="3">
        <v>11466.08</v>
      </c>
      <c r="F898" s="7" t="s">
        <v>3184</v>
      </c>
    </row>
    <row r="899" spans="1:6" x14ac:dyDescent="0.3">
      <c r="A899" s="7" t="s">
        <v>4072</v>
      </c>
      <c r="B899" s="7" t="s">
        <v>1499</v>
      </c>
      <c r="C899" s="7" t="s">
        <v>22</v>
      </c>
      <c r="D899" s="9">
        <v>45838</v>
      </c>
      <c r="E899" s="3">
        <v>2807.14</v>
      </c>
      <c r="F899" s="7" t="s">
        <v>3184</v>
      </c>
    </row>
    <row r="900" spans="1:6" x14ac:dyDescent="0.3">
      <c r="A900" s="7" t="s">
        <v>4073</v>
      </c>
      <c r="B900" s="7" t="s">
        <v>1500</v>
      </c>
      <c r="C900" s="7" t="s">
        <v>93</v>
      </c>
      <c r="D900" s="9">
        <v>46050</v>
      </c>
      <c r="E900" s="3">
        <v>5614.21</v>
      </c>
      <c r="F900" s="7" t="s">
        <v>3184</v>
      </c>
    </row>
    <row r="901" spans="1:6" x14ac:dyDescent="0.3">
      <c r="A901" s="7" t="s">
        <v>4074</v>
      </c>
      <c r="B901" s="7" t="s">
        <v>1502</v>
      </c>
      <c r="C901" s="7" t="s">
        <v>124</v>
      </c>
      <c r="D901" s="9">
        <v>46014</v>
      </c>
      <c r="E901" s="3">
        <v>1541.95</v>
      </c>
      <c r="F901" s="7" t="s">
        <v>3174</v>
      </c>
    </row>
    <row r="902" spans="1:6" x14ac:dyDescent="0.3">
      <c r="A902" s="7" t="s">
        <v>4075</v>
      </c>
      <c r="B902" s="7" t="s">
        <v>1503</v>
      </c>
      <c r="C902" s="7" t="s">
        <v>29</v>
      </c>
      <c r="D902" s="9">
        <v>46051</v>
      </c>
      <c r="E902" s="3">
        <v>2864.12</v>
      </c>
      <c r="F902" s="7" t="s">
        <v>298</v>
      </c>
    </row>
    <row r="903" spans="1:6" x14ac:dyDescent="0.3">
      <c r="A903" s="7" t="s">
        <v>4076</v>
      </c>
      <c r="B903" s="7" t="s">
        <v>1504</v>
      </c>
      <c r="C903" s="7" t="s">
        <v>28</v>
      </c>
      <c r="D903" s="9">
        <v>45834</v>
      </c>
      <c r="E903" s="3">
        <v>1475.97</v>
      </c>
      <c r="F903" s="7" t="s">
        <v>296</v>
      </c>
    </row>
    <row r="904" spans="1:6" x14ac:dyDescent="0.3">
      <c r="A904" s="7" t="s">
        <v>4077</v>
      </c>
      <c r="B904" s="7" t="s">
        <v>1505</v>
      </c>
      <c r="C904" s="7" t="s">
        <v>83</v>
      </c>
      <c r="D904" s="9">
        <v>46085</v>
      </c>
      <c r="E904" s="3">
        <v>2889.54</v>
      </c>
      <c r="F904" s="7" t="s">
        <v>3174</v>
      </c>
    </row>
    <row r="905" spans="1:6" x14ac:dyDescent="0.3">
      <c r="A905" s="7" t="s">
        <v>4078</v>
      </c>
      <c r="B905" s="7" t="s">
        <v>1506</v>
      </c>
      <c r="C905" s="7" t="s">
        <v>110</v>
      </c>
      <c r="D905" s="9">
        <v>46088</v>
      </c>
      <c r="E905" s="3">
        <v>3108.8</v>
      </c>
      <c r="F905" s="7" t="s">
        <v>296</v>
      </c>
    </row>
    <row r="906" spans="1:6" x14ac:dyDescent="0.3">
      <c r="A906" s="7" t="s">
        <v>4079</v>
      </c>
      <c r="B906" s="7" t="s">
        <v>1509</v>
      </c>
      <c r="C906" s="7" t="s">
        <v>60</v>
      </c>
      <c r="D906" s="9">
        <v>45758</v>
      </c>
      <c r="E906" s="3">
        <v>4671.01</v>
      </c>
      <c r="F906" s="7" t="s">
        <v>3184</v>
      </c>
    </row>
    <row r="907" spans="1:6" x14ac:dyDescent="0.3">
      <c r="A907" s="7" t="s">
        <v>4080</v>
      </c>
      <c r="B907" s="7" t="s">
        <v>1510</v>
      </c>
      <c r="C907" s="7" t="s">
        <v>81</v>
      </c>
      <c r="D907" s="9">
        <v>45950</v>
      </c>
      <c r="E907" s="3">
        <v>5392.59</v>
      </c>
      <c r="F907" s="7" t="s">
        <v>296</v>
      </c>
    </row>
    <row r="908" spans="1:6" x14ac:dyDescent="0.3">
      <c r="A908" s="7" t="s">
        <v>4081</v>
      </c>
      <c r="B908" s="7" t="s">
        <v>1511</v>
      </c>
      <c r="C908" s="7" t="s">
        <v>106</v>
      </c>
      <c r="D908" s="9">
        <v>46097</v>
      </c>
      <c r="E908" s="3">
        <v>2560.0500000000002</v>
      </c>
      <c r="F908" s="7" t="s">
        <v>298</v>
      </c>
    </row>
    <row r="909" spans="1:6" x14ac:dyDescent="0.3">
      <c r="A909" s="7" t="s">
        <v>4082</v>
      </c>
      <c r="B909" s="7" t="s">
        <v>1512</v>
      </c>
      <c r="C909" s="7" t="s">
        <v>29</v>
      </c>
      <c r="D909" s="9">
        <v>45931</v>
      </c>
      <c r="E909" s="3">
        <v>4031.26</v>
      </c>
      <c r="F909" s="7" t="s">
        <v>3184</v>
      </c>
    </row>
    <row r="910" spans="1:6" x14ac:dyDescent="0.3">
      <c r="A910" s="7" t="s">
        <v>4083</v>
      </c>
      <c r="B910" s="7" t="s">
        <v>1513</v>
      </c>
      <c r="C910" s="7" t="s">
        <v>110</v>
      </c>
      <c r="D910" s="9">
        <v>45989</v>
      </c>
      <c r="E910" s="3">
        <v>3248.09</v>
      </c>
      <c r="F910" s="7" t="s">
        <v>3184</v>
      </c>
    </row>
    <row r="911" spans="1:6" x14ac:dyDescent="0.3">
      <c r="A911" s="7" t="s">
        <v>4084</v>
      </c>
      <c r="B911" s="7" t="s">
        <v>1514</v>
      </c>
      <c r="C911" s="7" t="s">
        <v>73</v>
      </c>
      <c r="D911" s="9">
        <v>45768</v>
      </c>
      <c r="E911" s="3">
        <v>12923.32</v>
      </c>
      <c r="F911" s="7" t="s">
        <v>3174</v>
      </c>
    </row>
    <row r="912" spans="1:6" x14ac:dyDescent="0.3">
      <c r="A912" s="7" t="s">
        <v>4085</v>
      </c>
      <c r="B912" s="7" t="s">
        <v>1515</v>
      </c>
      <c r="C912" s="7" t="s">
        <v>83</v>
      </c>
      <c r="D912" s="9">
        <v>45772</v>
      </c>
      <c r="E912" s="3">
        <v>11577.75</v>
      </c>
      <c r="F912" s="7" t="s">
        <v>298</v>
      </c>
    </row>
    <row r="913" spans="1:6" x14ac:dyDescent="0.3">
      <c r="A913" s="7" t="s">
        <v>4086</v>
      </c>
      <c r="B913" s="7" t="s">
        <v>1516</v>
      </c>
      <c r="C913" s="7" t="s">
        <v>107</v>
      </c>
      <c r="D913" s="9">
        <v>45977</v>
      </c>
      <c r="E913" s="3">
        <v>5434.4</v>
      </c>
      <c r="F913" s="7" t="s">
        <v>3174</v>
      </c>
    </row>
    <row r="914" spans="1:6" x14ac:dyDescent="0.3">
      <c r="A914" s="7" t="s">
        <v>4087</v>
      </c>
      <c r="B914" s="7" t="s">
        <v>1517</v>
      </c>
      <c r="C914" s="7" t="s">
        <v>22</v>
      </c>
      <c r="D914" s="9">
        <v>45677</v>
      </c>
      <c r="E914" s="3">
        <v>1372.73</v>
      </c>
      <c r="F914" s="7" t="s">
        <v>298</v>
      </c>
    </row>
    <row r="915" spans="1:6" x14ac:dyDescent="0.3">
      <c r="A915" s="7" t="s">
        <v>4088</v>
      </c>
      <c r="B915" s="7" t="s">
        <v>1517</v>
      </c>
      <c r="C915" s="7" t="s">
        <v>22</v>
      </c>
      <c r="D915" s="9">
        <v>45690</v>
      </c>
      <c r="E915" s="3">
        <v>975.12</v>
      </c>
      <c r="F915" s="7" t="s">
        <v>3184</v>
      </c>
    </row>
    <row r="916" spans="1:6" x14ac:dyDescent="0.3">
      <c r="A916" s="7" t="s">
        <v>4089</v>
      </c>
      <c r="B916" s="7" t="s">
        <v>1519</v>
      </c>
      <c r="C916" s="7" t="s">
        <v>42</v>
      </c>
      <c r="D916" s="9">
        <v>46056</v>
      </c>
      <c r="E916" s="3">
        <v>3106.99</v>
      </c>
      <c r="F916" s="7" t="s">
        <v>298</v>
      </c>
    </row>
    <row r="917" spans="1:6" x14ac:dyDescent="0.3">
      <c r="A917" s="7" t="s">
        <v>4090</v>
      </c>
      <c r="B917" s="7" t="s">
        <v>1520</v>
      </c>
      <c r="C917" s="7" t="s">
        <v>123</v>
      </c>
      <c r="D917" s="9">
        <v>46082</v>
      </c>
      <c r="E917" s="3">
        <v>2632.46</v>
      </c>
      <c r="F917" s="7" t="s">
        <v>298</v>
      </c>
    </row>
    <row r="918" spans="1:6" x14ac:dyDescent="0.3">
      <c r="A918" s="7" t="s">
        <v>4091</v>
      </c>
      <c r="B918" s="7" t="s">
        <v>1522</v>
      </c>
      <c r="C918" s="7" t="s">
        <v>85</v>
      </c>
      <c r="D918" s="9">
        <v>45774</v>
      </c>
      <c r="E918" s="3">
        <v>1702.22</v>
      </c>
      <c r="F918" s="7" t="s">
        <v>298</v>
      </c>
    </row>
    <row r="919" spans="1:6" x14ac:dyDescent="0.3">
      <c r="A919" s="7" t="s">
        <v>4092</v>
      </c>
      <c r="B919" s="7" t="s">
        <v>1524</v>
      </c>
      <c r="C919" s="7" t="s">
        <v>121</v>
      </c>
      <c r="D919" s="9">
        <v>45951</v>
      </c>
      <c r="E919" s="3">
        <v>5570.98</v>
      </c>
      <c r="F919" s="7" t="s">
        <v>3174</v>
      </c>
    </row>
    <row r="920" spans="1:6" x14ac:dyDescent="0.3">
      <c r="A920" s="7" t="s">
        <v>4093</v>
      </c>
      <c r="B920" s="7" t="s">
        <v>1525</v>
      </c>
      <c r="C920" s="7" t="s">
        <v>32</v>
      </c>
      <c r="D920" s="9">
        <v>45969</v>
      </c>
      <c r="E920" s="3">
        <v>5442.81</v>
      </c>
      <c r="F920" s="7" t="s">
        <v>296</v>
      </c>
    </row>
    <row r="921" spans="1:6" x14ac:dyDescent="0.3">
      <c r="A921" s="7" t="s">
        <v>4094</v>
      </c>
      <c r="B921" s="7" t="s">
        <v>1528</v>
      </c>
      <c r="C921" s="7" t="s">
        <v>62</v>
      </c>
      <c r="D921" s="9">
        <v>45969</v>
      </c>
      <c r="E921" s="3">
        <v>4147.0600000000004</v>
      </c>
      <c r="F921" s="7" t="s">
        <v>298</v>
      </c>
    </row>
    <row r="922" spans="1:6" x14ac:dyDescent="0.3">
      <c r="A922" s="7" t="s">
        <v>4095</v>
      </c>
      <c r="B922" s="7" t="s">
        <v>1529</v>
      </c>
      <c r="C922" s="7" t="s">
        <v>54</v>
      </c>
      <c r="D922" s="9">
        <v>45972</v>
      </c>
      <c r="E922" s="3">
        <v>4432.33</v>
      </c>
      <c r="F922" s="7" t="s">
        <v>296</v>
      </c>
    </row>
    <row r="923" spans="1:6" x14ac:dyDescent="0.3">
      <c r="A923" s="7" t="s">
        <v>4096</v>
      </c>
      <c r="B923" s="7" t="s">
        <v>1530</v>
      </c>
      <c r="C923" s="7" t="s">
        <v>41</v>
      </c>
      <c r="D923" s="9">
        <v>45757</v>
      </c>
      <c r="E923" s="3">
        <v>4915.4799999999996</v>
      </c>
      <c r="F923" s="7" t="s">
        <v>298</v>
      </c>
    </row>
    <row r="924" spans="1:6" x14ac:dyDescent="0.3">
      <c r="A924" s="7" t="s">
        <v>4097</v>
      </c>
      <c r="B924" s="7" t="s">
        <v>1531</v>
      </c>
      <c r="C924" s="7" t="s">
        <v>42</v>
      </c>
      <c r="D924" s="9">
        <v>45717</v>
      </c>
      <c r="E924" s="3">
        <v>4671.78</v>
      </c>
      <c r="F924" s="7" t="s">
        <v>3174</v>
      </c>
    </row>
    <row r="925" spans="1:6" x14ac:dyDescent="0.3">
      <c r="A925" s="7" t="s">
        <v>4098</v>
      </c>
      <c r="B925" s="7" t="s">
        <v>1532</v>
      </c>
      <c r="C925" s="7" t="s">
        <v>104</v>
      </c>
      <c r="D925" s="9">
        <v>45940</v>
      </c>
      <c r="E925" s="3">
        <v>4222.22</v>
      </c>
      <c r="F925" s="7" t="s">
        <v>296</v>
      </c>
    </row>
    <row r="926" spans="1:6" x14ac:dyDescent="0.3">
      <c r="A926" s="7" t="s">
        <v>4099</v>
      </c>
      <c r="B926" s="7" t="s">
        <v>1533</v>
      </c>
      <c r="C926" s="7" t="s">
        <v>108</v>
      </c>
      <c r="D926" s="9">
        <v>45851</v>
      </c>
      <c r="E926" s="3">
        <v>2219.85</v>
      </c>
      <c r="F926" s="7" t="s">
        <v>296</v>
      </c>
    </row>
    <row r="927" spans="1:6" x14ac:dyDescent="0.3">
      <c r="A927" s="7" t="s">
        <v>4100</v>
      </c>
      <c r="B927" s="7" t="s">
        <v>1535</v>
      </c>
      <c r="C927" s="7" t="s">
        <v>34</v>
      </c>
      <c r="D927" s="9">
        <v>46120</v>
      </c>
      <c r="E927" s="3">
        <v>4172.95</v>
      </c>
      <c r="F927" s="7" t="s">
        <v>298</v>
      </c>
    </row>
    <row r="928" spans="1:6" x14ac:dyDescent="0.3">
      <c r="A928" s="7" t="s">
        <v>4101</v>
      </c>
      <c r="B928" s="7" t="s">
        <v>1536</v>
      </c>
      <c r="C928" s="7" t="s">
        <v>61</v>
      </c>
      <c r="D928" s="9">
        <v>45915</v>
      </c>
      <c r="E928" s="3">
        <v>3462.88</v>
      </c>
      <c r="F928" s="7" t="s">
        <v>298</v>
      </c>
    </row>
    <row r="929" spans="1:6" x14ac:dyDescent="0.3">
      <c r="A929" s="7" t="s">
        <v>4102</v>
      </c>
      <c r="B929" s="7" t="s">
        <v>1537</v>
      </c>
      <c r="C929" s="7" t="s">
        <v>35</v>
      </c>
      <c r="D929" s="9">
        <v>45785</v>
      </c>
      <c r="E929" s="3">
        <v>2068.27</v>
      </c>
      <c r="F929" s="7" t="s">
        <v>3184</v>
      </c>
    </row>
    <row r="930" spans="1:6" x14ac:dyDescent="0.3">
      <c r="A930" s="7" t="s">
        <v>4103</v>
      </c>
      <c r="B930" s="7" t="s">
        <v>1538</v>
      </c>
      <c r="C930" s="7" t="s">
        <v>12</v>
      </c>
      <c r="D930" s="9">
        <v>45979</v>
      </c>
      <c r="E930" s="3">
        <v>4124.75</v>
      </c>
      <c r="F930" s="7" t="s">
        <v>3174</v>
      </c>
    </row>
    <row r="931" spans="1:6" x14ac:dyDescent="0.3">
      <c r="A931" s="7" t="s">
        <v>4104</v>
      </c>
      <c r="B931" s="7" t="s">
        <v>1539</v>
      </c>
      <c r="C931" s="7" t="s">
        <v>74</v>
      </c>
      <c r="D931" s="9">
        <v>46054</v>
      </c>
      <c r="E931" s="3">
        <v>3589.53</v>
      </c>
      <c r="F931" s="7" t="s">
        <v>296</v>
      </c>
    </row>
    <row r="932" spans="1:6" x14ac:dyDescent="0.3">
      <c r="A932" s="7" t="s">
        <v>4105</v>
      </c>
      <c r="B932" s="7" t="s">
        <v>1541</v>
      </c>
      <c r="C932" s="7" t="s">
        <v>59</v>
      </c>
      <c r="D932" s="9">
        <v>45948</v>
      </c>
      <c r="E932" s="3">
        <v>10754.46</v>
      </c>
      <c r="F932" s="7" t="s">
        <v>298</v>
      </c>
    </row>
    <row r="933" spans="1:6" x14ac:dyDescent="0.3">
      <c r="A933" s="7" t="s">
        <v>4106</v>
      </c>
      <c r="B933" s="7" t="s">
        <v>1542</v>
      </c>
      <c r="C933" s="7" t="s">
        <v>18</v>
      </c>
      <c r="D933" s="9">
        <v>45821</v>
      </c>
      <c r="E933" s="3">
        <v>4265.42</v>
      </c>
      <c r="F933" s="7" t="s">
        <v>3174</v>
      </c>
    </row>
    <row r="934" spans="1:6" x14ac:dyDescent="0.3">
      <c r="A934" s="7" t="s">
        <v>4107</v>
      </c>
      <c r="B934" s="7" t="s">
        <v>1543</v>
      </c>
      <c r="C934" s="7" t="s">
        <v>116</v>
      </c>
      <c r="D934" s="9">
        <v>45840</v>
      </c>
      <c r="E934" s="3">
        <v>2975.74</v>
      </c>
      <c r="F934" s="7" t="s">
        <v>296</v>
      </c>
    </row>
    <row r="935" spans="1:6" x14ac:dyDescent="0.3">
      <c r="A935" s="7" t="s">
        <v>4108</v>
      </c>
      <c r="B935" s="7" t="s">
        <v>1544</v>
      </c>
      <c r="C935" s="7" t="s">
        <v>24</v>
      </c>
      <c r="D935" s="9">
        <v>45685</v>
      </c>
      <c r="E935" s="3">
        <v>3846.2</v>
      </c>
      <c r="F935" s="7" t="s">
        <v>3174</v>
      </c>
    </row>
    <row r="936" spans="1:6" x14ac:dyDescent="0.3">
      <c r="A936" s="7" t="s">
        <v>4109</v>
      </c>
      <c r="B936" s="7" t="s">
        <v>1545</v>
      </c>
      <c r="C936" s="7" t="s">
        <v>97</v>
      </c>
      <c r="D936" s="9">
        <v>46098</v>
      </c>
      <c r="E936" s="3">
        <v>1731.86</v>
      </c>
      <c r="F936" s="7" t="s">
        <v>296</v>
      </c>
    </row>
    <row r="937" spans="1:6" x14ac:dyDescent="0.3">
      <c r="A937" s="7" t="s">
        <v>4110</v>
      </c>
      <c r="B937" s="7" t="s">
        <v>1546</v>
      </c>
      <c r="C937" s="7" t="s">
        <v>95</v>
      </c>
      <c r="D937" s="9">
        <v>46005</v>
      </c>
      <c r="E937" s="3">
        <v>1440.98</v>
      </c>
      <c r="F937" s="7" t="s">
        <v>3174</v>
      </c>
    </row>
    <row r="938" spans="1:6" x14ac:dyDescent="0.3">
      <c r="A938" s="7" t="s">
        <v>4111</v>
      </c>
      <c r="B938" s="7" t="s">
        <v>1549</v>
      </c>
      <c r="C938" s="7" t="s">
        <v>123</v>
      </c>
      <c r="D938" s="9">
        <v>46040</v>
      </c>
      <c r="E938" s="3">
        <v>4033.19</v>
      </c>
      <c r="F938" s="7" t="s">
        <v>3184</v>
      </c>
    </row>
    <row r="939" spans="1:6" x14ac:dyDescent="0.3">
      <c r="A939" s="7" t="s">
        <v>4112</v>
      </c>
      <c r="B939" s="7" t="s">
        <v>1550</v>
      </c>
      <c r="C939" s="7" t="s">
        <v>66</v>
      </c>
      <c r="D939" s="9">
        <v>45689</v>
      </c>
      <c r="E939" s="3">
        <v>1702.07</v>
      </c>
      <c r="F939" s="7" t="s">
        <v>296</v>
      </c>
    </row>
    <row r="940" spans="1:6" x14ac:dyDescent="0.3">
      <c r="A940" s="7" t="s">
        <v>4113</v>
      </c>
      <c r="B940" s="7" t="s">
        <v>1551</v>
      </c>
      <c r="C940" s="7" t="s">
        <v>97</v>
      </c>
      <c r="D940" s="9">
        <v>45866</v>
      </c>
      <c r="E940" s="3">
        <v>2857.22</v>
      </c>
      <c r="F940" s="7" t="s">
        <v>296</v>
      </c>
    </row>
    <row r="941" spans="1:6" x14ac:dyDescent="0.3">
      <c r="A941" s="7" t="s">
        <v>4114</v>
      </c>
      <c r="B941" s="7" t="s">
        <v>1552</v>
      </c>
      <c r="C941" s="7" t="s">
        <v>49</v>
      </c>
      <c r="D941" s="9">
        <v>46078</v>
      </c>
      <c r="E941" s="3">
        <v>3072.91</v>
      </c>
      <c r="F941" s="7" t="s">
        <v>296</v>
      </c>
    </row>
    <row r="942" spans="1:6" x14ac:dyDescent="0.3">
      <c r="A942" s="7" t="s">
        <v>4115</v>
      </c>
      <c r="B942" s="7" t="s">
        <v>1553</v>
      </c>
      <c r="C942" s="7" t="s">
        <v>103</v>
      </c>
      <c r="D942" s="9">
        <v>46020</v>
      </c>
      <c r="E942" s="3">
        <v>5079.2700000000004</v>
      </c>
      <c r="F942" s="7" t="s">
        <v>3174</v>
      </c>
    </row>
    <row r="943" spans="1:6" x14ac:dyDescent="0.3">
      <c r="A943" s="7" t="s">
        <v>4116</v>
      </c>
      <c r="B943" s="7" t="s">
        <v>1555</v>
      </c>
      <c r="C943" s="7" t="s">
        <v>42</v>
      </c>
      <c r="D943" s="9">
        <v>45815</v>
      </c>
      <c r="E943" s="3">
        <v>4640.93</v>
      </c>
      <c r="F943" s="7" t="s">
        <v>298</v>
      </c>
    </row>
    <row r="944" spans="1:6" x14ac:dyDescent="0.3">
      <c r="A944" s="7" t="s">
        <v>4117</v>
      </c>
      <c r="B944" s="7" t="s">
        <v>1556</v>
      </c>
      <c r="C944" s="7" t="s">
        <v>74</v>
      </c>
      <c r="D944" s="9">
        <v>45870</v>
      </c>
      <c r="E944" s="3">
        <v>2476.04</v>
      </c>
      <c r="F944" s="7" t="s">
        <v>3174</v>
      </c>
    </row>
    <row r="945" spans="1:6" x14ac:dyDescent="0.3">
      <c r="A945" s="7" t="s">
        <v>4118</v>
      </c>
      <c r="B945" s="7" t="s">
        <v>1559</v>
      </c>
      <c r="C945" s="7" t="s">
        <v>57</v>
      </c>
      <c r="D945" s="9">
        <v>46147</v>
      </c>
      <c r="E945" s="3">
        <v>2626.02</v>
      </c>
      <c r="F945" s="7" t="s">
        <v>3174</v>
      </c>
    </row>
    <row r="946" spans="1:6" x14ac:dyDescent="0.3">
      <c r="A946" s="7" t="s">
        <v>4119</v>
      </c>
      <c r="B946" s="7" t="s">
        <v>1560</v>
      </c>
      <c r="C946" s="7" t="s">
        <v>21</v>
      </c>
      <c r="D946" s="9">
        <v>45704</v>
      </c>
      <c r="E946" s="3">
        <v>4576.75</v>
      </c>
      <c r="F946" s="7" t="s">
        <v>296</v>
      </c>
    </row>
    <row r="947" spans="1:6" x14ac:dyDescent="0.3">
      <c r="A947" s="7" t="s">
        <v>4120</v>
      </c>
      <c r="B947" s="7" t="s">
        <v>1561</v>
      </c>
      <c r="C947" s="7" t="s">
        <v>87</v>
      </c>
      <c r="D947" s="9">
        <v>45760</v>
      </c>
      <c r="E947" s="3">
        <v>1546.53</v>
      </c>
      <c r="F947" s="7" t="s">
        <v>296</v>
      </c>
    </row>
    <row r="948" spans="1:6" x14ac:dyDescent="0.3">
      <c r="A948" s="7" t="s">
        <v>4121</v>
      </c>
      <c r="B948" s="7" t="s">
        <v>1563</v>
      </c>
      <c r="C948" s="7" t="s">
        <v>31</v>
      </c>
      <c r="D948" s="9">
        <v>46090</v>
      </c>
      <c r="E948" s="3">
        <v>2420.13</v>
      </c>
      <c r="F948" s="7" t="s">
        <v>3184</v>
      </c>
    </row>
    <row r="949" spans="1:6" x14ac:dyDescent="0.3">
      <c r="A949" s="7" t="s">
        <v>4122</v>
      </c>
      <c r="B949" s="7" t="s">
        <v>1565</v>
      </c>
      <c r="C949" s="7" t="s">
        <v>107</v>
      </c>
      <c r="D949" s="9">
        <v>45979</v>
      </c>
      <c r="E949" s="3">
        <v>1681.83</v>
      </c>
      <c r="F949" s="7" t="s">
        <v>296</v>
      </c>
    </row>
    <row r="950" spans="1:6" x14ac:dyDescent="0.3">
      <c r="A950" s="7" t="s">
        <v>4123</v>
      </c>
      <c r="B950" s="7" t="s">
        <v>1566</v>
      </c>
      <c r="C950" s="7" t="s">
        <v>77</v>
      </c>
      <c r="D950" s="9">
        <v>46058</v>
      </c>
      <c r="E950" s="3">
        <v>2486.15</v>
      </c>
      <c r="F950" s="7" t="s">
        <v>298</v>
      </c>
    </row>
    <row r="951" spans="1:6" x14ac:dyDescent="0.3">
      <c r="A951" s="7" t="s">
        <v>4124</v>
      </c>
      <c r="B951" s="7" t="s">
        <v>1568</v>
      </c>
      <c r="C951" s="7" t="s">
        <v>43</v>
      </c>
      <c r="D951" s="9">
        <v>45798</v>
      </c>
      <c r="E951" s="3">
        <v>5578.54</v>
      </c>
      <c r="F951" s="7" t="s">
        <v>296</v>
      </c>
    </row>
    <row r="952" spans="1:6" x14ac:dyDescent="0.3">
      <c r="A952" s="7" t="s">
        <v>4125</v>
      </c>
      <c r="B952" s="7" t="s">
        <v>1571</v>
      </c>
      <c r="C952" s="7" t="s">
        <v>21</v>
      </c>
      <c r="D952" s="9">
        <v>46014</v>
      </c>
      <c r="E952" s="3">
        <v>961.93</v>
      </c>
      <c r="F952" s="7" t="s">
        <v>296</v>
      </c>
    </row>
    <row r="953" spans="1:6" x14ac:dyDescent="0.3">
      <c r="A953" s="7" t="s">
        <v>4126</v>
      </c>
      <c r="B953" s="7" t="s">
        <v>1571</v>
      </c>
      <c r="C953" s="7" t="s">
        <v>21</v>
      </c>
      <c r="D953" s="9">
        <v>46028</v>
      </c>
      <c r="E953" s="3">
        <v>976.93</v>
      </c>
      <c r="F953" s="7" t="s">
        <v>296</v>
      </c>
    </row>
    <row r="954" spans="1:6" x14ac:dyDescent="0.3">
      <c r="A954" s="7" t="s">
        <v>4127</v>
      </c>
      <c r="B954" s="7" t="s">
        <v>1572</v>
      </c>
      <c r="C954" s="7" t="s">
        <v>54</v>
      </c>
      <c r="D954" s="9">
        <v>45958</v>
      </c>
      <c r="E954" s="3">
        <v>3592.53</v>
      </c>
      <c r="F954" s="7" t="s">
        <v>296</v>
      </c>
    </row>
    <row r="955" spans="1:6" x14ac:dyDescent="0.3">
      <c r="A955" s="7" t="s">
        <v>4128</v>
      </c>
      <c r="B955" s="7" t="s">
        <v>1573</v>
      </c>
      <c r="C955" s="7" t="s">
        <v>51</v>
      </c>
      <c r="D955" s="9">
        <v>46023</v>
      </c>
      <c r="E955" s="3">
        <v>4410.3100000000004</v>
      </c>
      <c r="F955" s="7" t="s">
        <v>3184</v>
      </c>
    </row>
    <row r="956" spans="1:6" x14ac:dyDescent="0.3">
      <c r="A956" s="7" t="s">
        <v>4129</v>
      </c>
      <c r="B956" s="7" t="s">
        <v>1574</v>
      </c>
      <c r="C956" s="7" t="s">
        <v>22</v>
      </c>
      <c r="D956" s="9">
        <v>45937</v>
      </c>
      <c r="E956" s="3">
        <v>4745.83</v>
      </c>
      <c r="F956" s="7" t="s">
        <v>298</v>
      </c>
    </row>
    <row r="957" spans="1:6" x14ac:dyDescent="0.3">
      <c r="A957" s="7" t="s">
        <v>4130</v>
      </c>
      <c r="B957" s="7" t="s">
        <v>1578</v>
      </c>
      <c r="C957" s="7" t="s">
        <v>63</v>
      </c>
      <c r="D957" s="9">
        <v>46077</v>
      </c>
      <c r="E957" s="3">
        <v>3733.64</v>
      </c>
      <c r="F957" s="7" t="s">
        <v>3184</v>
      </c>
    </row>
    <row r="958" spans="1:6" x14ac:dyDescent="0.3">
      <c r="A958" s="7" t="s">
        <v>4131</v>
      </c>
      <c r="B958" s="7" t="s">
        <v>1580</v>
      </c>
      <c r="C958" s="7" t="s">
        <v>114</v>
      </c>
      <c r="D958" s="9">
        <v>45841</v>
      </c>
      <c r="E958" s="3">
        <v>1836.69</v>
      </c>
      <c r="F958" s="7" t="s">
        <v>296</v>
      </c>
    </row>
    <row r="959" spans="1:6" x14ac:dyDescent="0.3">
      <c r="A959" s="7" t="s">
        <v>4132</v>
      </c>
      <c r="B959" s="7" t="s">
        <v>1581</v>
      </c>
      <c r="C959" s="7" t="s">
        <v>89</v>
      </c>
      <c r="D959" s="9">
        <v>45722</v>
      </c>
      <c r="E959" s="3">
        <v>4891.95</v>
      </c>
      <c r="F959" s="7" t="s">
        <v>3184</v>
      </c>
    </row>
    <row r="960" spans="1:6" x14ac:dyDescent="0.3">
      <c r="A960" s="7" t="s">
        <v>4133</v>
      </c>
      <c r="B960" s="7" t="s">
        <v>1582</v>
      </c>
      <c r="C960" s="7" t="s">
        <v>17</v>
      </c>
      <c r="D960" s="9">
        <v>45794</v>
      </c>
      <c r="E960" s="3">
        <v>5166.8599999999997</v>
      </c>
      <c r="F960" s="7" t="s">
        <v>3174</v>
      </c>
    </row>
    <row r="961" spans="1:6" x14ac:dyDescent="0.3">
      <c r="A961" s="7" t="s">
        <v>4134</v>
      </c>
      <c r="B961" s="7" t="s">
        <v>1584</v>
      </c>
      <c r="C961" s="7" t="s">
        <v>14</v>
      </c>
      <c r="D961" s="9">
        <v>45825</v>
      </c>
      <c r="E961" s="3">
        <v>10533.36</v>
      </c>
      <c r="F961" s="7" t="s">
        <v>296</v>
      </c>
    </row>
    <row r="962" spans="1:6" x14ac:dyDescent="0.3">
      <c r="A962" s="7" t="s">
        <v>4135</v>
      </c>
      <c r="B962" s="7" t="s">
        <v>1586</v>
      </c>
      <c r="C962" s="7" t="s">
        <v>64</v>
      </c>
      <c r="D962" s="9">
        <v>45809</v>
      </c>
      <c r="E962" s="3">
        <v>11389.59</v>
      </c>
      <c r="F962" s="7" t="s">
        <v>296</v>
      </c>
    </row>
    <row r="963" spans="1:6" x14ac:dyDescent="0.3">
      <c r="A963" s="7" t="s">
        <v>4136</v>
      </c>
      <c r="B963" s="7" t="s">
        <v>1587</v>
      </c>
      <c r="C963" s="7" t="s">
        <v>60</v>
      </c>
      <c r="D963" s="9">
        <v>46042</v>
      </c>
      <c r="E963" s="3">
        <v>2922.64</v>
      </c>
      <c r="F963" s="7" t="s">
        <v>3184</v>
      </c>
    </row>
    <row r="964" spans="1:6" x14ac:dyDescent="0.3">
      <c r="A964" s="7" t="s">
        <v>4137</v>
      </c>
      <c r="B964" s="7" t="s">
        <v>1589</v>
      </c>
      <c r="C964" s="7" t="s">
        <v>25</v>
      </c>
      <c r="D964" s="9">
        <v>45740</v>
      </c>
      <c r="E964" s="3">
        <v>2085.4299999999998</v>
      </c>
      <c r="F964" s="7" t="s">
        <v>296</v>
      </c>
    </row>
    <row r="965" spans="1:6" x14ac:dyDescent="0.3">
      <c r="A965" s="7" t="s">
        <v>4138</v>
      </c>
      <c r="B965" s="7" t="s">
        <v>1591</v>
      </c>
      <c r="C965" s="7" t="s">
        <v>124</v>
      </c>
      <c r="D965" s="9">
        <v>45709</v>
      </c>
      <c r="E965" s="3">
        <v>3858.56</v>
      </c>
      <c r="F965" s="7" t="s">
        <v>298</v>
      </c>
    </row>
    <row r="966" spans="1:6" x14ac:dyDescent="0.3">
      <c r="A966" s="7" t="s">
        <v>4139</v>
      </c>
      <c r="B966" s="7" t="s">
        <v>1592</v>
      </c>
      <c r="C966" s="7" t="s">
        <v>103</v>
      </c>
      <c r="D966" s="9">
        <v>45975</v>
      </c>
      <c r="E966" s="3">
        <v>2414.5100000000002</v>
      </c>
      <c r="F966" s="7" t="s">
        <v>3184</v>
      </c>
    </row>
    <row r="967" spans="1:6" x14ac:dyDescent="0.3">
      <c r="A967" s="7" t="s">
        <v>4140</v>
      </c>
      <c r="B967" s="7" t="s">
        <v>1593</v>
      </c>
      <c r="C967" s="7" t="s">
        <v>69</v>
      </c>
      <c r="D967" s="9">
        <v>46111</v>
      </c>
      <c r="E967" s="3">
        <v>4398.5200000000004</v>
      </c>
      <c r="F967" s="7" t="s">
        <v>298</v>
      </c>
    </row>
    <row r="968" spans="1:6" x14ac:dyDescent="0.3">
      <c r="A968" s="7" t="s">
        <v>4141</v>
      </c>
      <c r="B968" s="7" t="s">
        <v>1594</v>
      </c>
      <c r="C968" s="7" t="s">
        <v>78</v>
      </c>
      <c r="D968" s="9">
        <v>45814</v>
      </c>
      <c r="E968" s="3">
        <v>3387.36</v>
      </c>
      <c r="F968" s="7" t="s">
        <v>3184</v>
      </c>
    </row>
    <row r="969" spans="1:6" x14ac:dyDescent="0.3">
      <c r="A969" s="7" t="s">
        <v>4142</v>
      </c>
      <c r="B969" s="7" t="s">
        <v>1595</v>
      </c>
      <c r="C969" s="7" t="s">
        <v>45</v>
      </c>
      <c r="D969" s="9">
        <v>45679</v>
      </c>
      <c r="E969" s="3">
        <v>1773.69</v>
      </c>
      <c r="F969" s="7" t="s">
        <v>3174</v>
      </c>
    </row>
    <row r="970" spans="1:6" x14ac:dyDescent="0.3">
      <c r="A970" s="7" t="s">
        <v>4143</v>
      </c>
      <c r="B970" s="7" t="s">
        <v>1596</v>
      </c>
      <c r="C970" s="7" t="s">
        <v>121</v>
      </c>
      <c r="D970" s="9">
        <v>45919</v>
      </c>
      <c r="E970" s="3">
        <v>2040.66</v>
      </c>
      <c r="F970" s="7" t="s">
        <v>3184</v>
      </c>
    </row>
    <row r="971" spans="1:6" x14ac:dyDescent="0.3">
      <c r="A971" s="7" t="s">
        <v>4144</v>
      </c>
      <c r="B971" s="7" t="s">
        <v>1597</v>
      </c>
      <c r="C971" s="7" t="s">
        <v>10</v>
      </c>
      <c r="D971" s="9">
        <v>45958</v>
      </c>
      <c r="E971" s="3">
        <v>2417.16</v>
      </c>
      <c r="F971" s="7" t="s">
        <v>3184</v>
      </c>
    </row>
    <row r="972" spans="1:6" x14ac:dyDescent="0.3">
      <c r="A972" s="7" t="s">
        <v>4145</v>
      </c>
      <c r="B972" s="7" t="s">
        <v>1598</v>
      </c>
      <c r="C972" s="7" t="s">
        <v>53</v>
      </c>
      <c r="D972" s="9">
        <v>45924</v>
      </c>
      <c r="E972" s="3">
        <v>1679.26</v>
      </c>
      <c r="F972" s="7" t="s">
        <v>298</v>
      </c>
    </row>
    <row r="973" spans="1:6" x14ac:dyDescent="0.3">
      <c r="A973" s="7" t="s">
        <v>4146</v>
      </c>
      <c r="B973" s="7" t="s">
        <v>1598</v>
      </c>
      <c r="C973" s="7" t="s">
        <v>53</v>
      </c>
      <c r="D973" s="9">
        <v>45934</v>
      </c>
      <c r="E973" s="3">
        <v>1638.4</v>
      </c>
      <c r="F973" s="7" t="s">
        <v>3184</v>
      </c>
    </row>
    <row r="974" spans="1:6" x14ac:dyDescent="0.3">
      <c r="A974" s="7" t="s">
        <v>4147</v>
      </c>
      <c r="B974" s="7" t="s">
        <v>1599</v>
      </c>
      <c r="C974" s="7" t="s">
        <v>67</v>
      </c>
      <c r="D974" s="9">
        <v>45914</v>
      </c>
      <c r="E974" s="3">
        <v>3472.68</v>
      </c>
      <c r="F974" s="7" t="s">
        <v>298</v>
      </c>
    </row>
    <row r="975" spans="1:6" x14ac:dyDescent="0.3">
      <c r="A975" s="7" t="s">
        <v>4148</v>
      </c>
      <c r="B975" s="7" t="s">
        <v>1600</v>
      </c>
      <c r="C975" s="7" t="s">
        <v>9</v>
      </c>
      <c r="D975" s="9">
        <v>45887</v>
      </c>
      <c r="E975" s="3">
        <v>2029.16</v>
      </c>
      <c r="F975" s="7" t="s">
        <v>3174</v>
      </c>
    </row>
    <row r="976" spans="1:6" x14ac:dyDescent="0.3">
      <c r="A976" s="7" t="s">
        <v>4149</v>
      </c>
      <c r="B976" s="7" t="s">
        <v>1601</v>
      </c>
      <c r="C976" s="7" t="s">
        <v>119</v>
      </c>
      <c r="D976" s="9">
        <v>45687</v>
      </c>
      <c r="E976" s="3">
        <v>2162.85</v>
      </c>
      <c r="F976" s="7" t="s">
        <v>296</v>
      </c>
    </row>
    <row r="977" spans="1:6" x14ac:dyDescent="0.3">
      <c r="A977" s="7" t="s">
        <v>4150</v>
      </c>
      <c r="B977" s="7" t="s">
        <v>1602</v>
      </c>
      <c r="C977" s="7" t="s">
        <v>60</v>
      </c>
      <c r="D977" s="9">
        <v>45748</v>
      </c>
      <c r="E977" s="3">
        <v>1537.56</v>
      </c>
      <c r="F977" s="7" t="s">
        <v>296</v>
      </c>
    </row>
    <row r="978" spans="1:6" x14ac:dyDescent="0.3">
      <c r="A978" s="7" t="s">
        <v>4151</v>
      </c>
      <c r="B978" s="7" t="s">
        <v>1603</v>
      </c>
      <c r="C978" s="7" t="s">
        <v>74</v>
      </c>
      <c r="D978" s="9">
        <v>45868</v>
      </c>
      <c r="E978" s="3">
        <v>2096.7199999999998</v>
      </c>
      <c r="F978" s="7" t="s">
        <v>3174</v>
      </c>
    </row>
    <row r="979" spans="1:6" x14ac:dyDescent="0.3">
      <c r="A979" s="7" t="s">
        <v>4152</v>
      </c>
      <c r="B979" s="7" t="s">
        <v>1605</v>
      </c>
      <c r="C979" s="7" t="s">
        <v>47</v>
      </c>
      <c r="D979" s="9">
        <v>45778</v>
      </c>
      <c r="E979" s="3">
        <v>3118.51</v>
      </c>
      <c r="F979" s="7" t="s">
        <v>298</v>
      </c>
    </row>
    <row r="980" spans="1:6" x14ac:dyDescent="0.3">
      <c r="A980" s="7" t="s">
        <v>4153</v>
      </c>
      <c r="B980" s="7" t="s">
        <v>1606</v>
      </c>
      <c r="C980" s="7" t="s">
        <v>53</v>
      </c>
      <c r="D980" s="9">
        <v>45816</v>
      </c>
      <c r="E980" s="3">
        <v>2015.91</v>
      </c>
      <c r="F980" s="7" t="s">
        <v>298</v>
      </c>
    </row>
    <row r="981" spans="1:6" x14ac:dyDescent="0.3">
      <c r="A981" s="7" t="s">
        <v>4154</v>
      </c>
      <c r="B981" s="7" t="s">
        <v>1607</v>
      </c>
      <c r="C981" s="7" t="s">
        <v>73</v>
      </c>
      <c r="D981" s="9">
        <v>45852</v>
      </c>
      <c r="E981" s="3">
        <v>3041.3</v>
      </c>
      <c r="F981" s="7" t="s">
        <v>298</v>
      </c>
    </row>
    <row r="982" spans="1:6" x14ac:dyDescent="0.3">
      <c r="A982" s="7" t="s">
        <v>4155</v>
      </c>
      <c r="B982" s="7" t="s">
        <v>1608</v>
      </c>
      <c r="C982" s="7" t="s">
        <v>123</v>
      </c>
      <c r="D982" s="9">
        <v>45916</v>
      </c>
      <c r="E982" s="3">
        <v>2373.0100000000002</v>
      </c>
      <c r="F982" s="7" t="s">
        <v>3174</v>
      </c>
    </row>
    <row r="983" spans="1:6" x14ac:dyDescent="0.3">
      <c r="A983" s="7" t="s">
        <v>4156</v>
      </c>
      <c r="B983" s="7" t="s">
        <v>1609</v>
      </c>
      <c r="C983" s="7" t="s">
        <v>31</v>
      </c>
      <c r="D983" s="9">
        <v>45758</v>
      </c>
      <c r="E983" s="3">
        <v>4204.84</v>
      </c>
      <c r="F983" s="7" t="s">
        <v>296</v>
      </c>
    </row>
    <row r="984" spans="1:6" x14ac:dyDescent="0.3">
      <c r="A984" s="7" t="s">
        <v>4157</v>
      </c>
      <c r="B984" s="7" t="s">
        <v>1611</v>
      </c>
      <c r="C984" s="7" t="s">
        <v>124</v>
      </c>
      <c r="D984" s="9">
        <v>46096</v>
      </c>
      <c r="E984" s="3">
        <v>3783.17</v>
      </c>
      <c r="F984" s="7" t="s">
        <v>296</v>
      </c>
    </row>
    <row r="985" spans="1:6" x14ac:dyDescent="0.3">
      <c r="A985" s="7" t="s">
        <v>4158</v>
      </c>
      <c r="B985" s="7" t="s">
        <v>1612</v>
      </c>
      <c r="C985" s="7" t="s">
        <v>46</v>
      </c>
      <c r="D985" s="9">
        <v>45735</v>
      </c>
      <c r="E985" s="3">
        <v>2539.88</v>
      </c>
      <c r="F985" s="7" t="s">
        <v>298</v>
      </c>
    </row>
    <row r="986" spans="1:6" x14ac:dyDescent="0.3">
      <c r="A986" s="7" t="s">
        <v>4159</v>
      </c>
      <c r="B986" s="7" t="s">
        <v>1614</v>
      </c>
      <c r="C986" s="7" t="s">
        <v>10</v>
      </c>
      <c r="D986" s="9">
        <v>45858</v>
      </c>
      <c r="E986" s="3">
        <v>3869.03</v>
      </c>
      <c r="F986" s="7" t="s">
        <v>296</v>
      </c>
    </row>
    <row r="987" spans="1:6" x14ac:dyDescent="0.3">
      <c r="A987" s="7" t="s">
        <v>4160</v>
      </c>
      <c r="B987" s="7" t="s">
        <v>1616</v>
      </c>
      <c r="C987" s="7" t="s">
        <v>17</v>
      </c>
      <c r="D987" s="9">
        <v>45748</v>
      </c>
      <c r="E987" s="3">
        <v>1603.13</v>
      </c>
      <c r="F987" s="7" t="s">
        <v>296</v>
      </c>
    </row>
    <row r="988" spans="1:6" x14ac:dyDescent="0.3">
      <c r="A988" s="7" t="s">
        <v>4161</v>
      </c>
      <c r="B988" s="7" t="s">
        <v>1617</v>
      </c>
      <c r="C988" s="7" t="s">
        <v>106</v>
      </c>
      <c r="D988" s="9">
        <v>46063</v>
      </c>
      <c r="E988" s="3">
        <v>12915.93</v>
      </c>
      <c r="F988" s="7" t="s">
        <v>296</v>
      </c>
    </row>
    <row r="989" spans="1:6" x14ac:dyDescent="0.3">
      <c r="A989" s="7" t="s">
        <v>4162</v>
      </c>
      <c r="B989" s="7" t="s">
        <v>1618</v>
      </c>
      <c r="C989" s="7" t="s">
        <v>108</v>
      </c>
      <c r="D989" s="9">
        <v>45708</v>
      </c>
      <c r="E989" s="3">
        <v>13235.2</v>
      </c>
      <c r="F989" s="7" t="s">
        <v>3184</v>
      </c>
    </row>
    <row r="990" spans="1:6" x14ac:dyDescent="0.3">
      <c r="A990" s="7" t="s">
        <v>4163</v>
      </c>
      <c r="B990" s="7" t="s">
        <v>1619</v>
      </c>
      <c r="C990" s="7" t="s">
        <v>39</v>
      </c>
      <c r="D990" s="9">
        <v>45732</v>
      </c>
      <c r="E990" s="3">
        <v>1809.71</v>
      </c>
      <c r="F990" s="7" t="s">
        <v>298</v>
      </c>
    </row>
    <row r="991" spans="1:6" x14ac:dyDescent="0.3">
      <c r="A991" s="7" t="s">
        <v>4164</v>
      </c>
      <c r="B991" s="7" t="s">
        <v>1627</v>
      </c>
      <c r="C991" s="7" t="s">
        <v>30</v>
      </c>
      <c r="D991" s="9">
        <v>45902</v>
      </c>
      <c r="E991" s="3">
        <v>3991.82</v>
      </c>
      <c r="F991" s="7" t="s">
        <v>3174</v>
      </c>
    </row>
    <row r="992" spans="1:6" x14ac:dyDescent="0.3">
      <c r="A992" s="7" t="s">
        <v>4165</v>
      </c>
      <c r="B992" s="7" t="s">
        <v>1629</v>
      </c>
      <c r="C992" s="7" t="s">
        <v>47</v>
      </c>
      <c r="D992" s="9">
        <v>45774</v>
      </c>
      <c r="E992" s="3">
        <v>10628.52</v>
      </c>
      <c r="F992" s="7" t="s">
        <v>3184</v>
      </c>
    </row>
    <row r="993" spans="1:6" x14ac:dyDescent="0.3">
      <c r="A993" s="7" t="s">
        <v>4166</v>
      </c>
      <c r="B993" s="7" t="s">
        <v>1630</v>
      </c>
      <c r="C993" s="7" t="s">
        <v>53</v>
      </c>
      <c r="D993" s="9">
        <v>45935</v>
      </c>
      <c r="E993" s="3">
        <v>1895.25</v>
      </c>
      <c r="F993" s="7" t="s">
        <v>3174</v>
      </c>
    </row>
    <row r="994" spans="1:6" x14ac:dyDescent="0.3">
      <c r="A994" s="7" t="s">
        <v>4167</v>
      </c>
      <c r="B994" s="7" t="s">
        <v>1630</v>
      </c>
      <c r="C994" s="7" t="s">
        <v>53</v>
      </c>
      <c r="D994" s="9">
        <v>45945</v>
      </c>
      <c r="E994" s="3">
        <v>1063.83</v>
      </c>
      <c r="F994" s="7" t="s">
        <v>3174</v>
      </c>
    </row>
    <row r="995" spans="1:6" x14ac:dyDescent="0.3">
      <c r="A995" s="7" t="s">
        <v>4168</v>
      </c>
      <c r="B995" s="7" t="s">
        <v>1631</v>
      </c>
      <c r="C995" s="7" t="s">
        <v>70</v>
      </c>
      <c r="D995" s="9">
        <v>46034</v>
      </c>
      <c r="E995" s="3">
        <v>1647.56</v>
      </c>
      <c r="F995" s="7" t="s">
        <v>3174</v>
      </c>
    </row>
    <row r="996" spans="1:6" x14ac:dyDescent="0.3">
      <c r="A996" s="7" t="s">
        <v>4169</v>
      </c>
      <c r="B996" s="7" t="s">
        <v>1632</v>
      </c>
      <c r="C996" s="7" t="s">
        <v>94</v>
      </c>
      <c r="D996" s="9">
        <v>45943</v>
      </c>
      <c r="E996" s="3">
        <v>2861.74</v>
      </c>
      <c r="F996" s="7" t="s">
        <v>3184</v>
      </c>
    </row>
    <row r="997" spans="1:6" x14ac:dyDescent="0.3">
      <c r="A997" s="7" t="s">
        <v>4170</v>
      </c>
      <c r="B997" s="7" t="s">
        <v>1635</v>
      </c>
      <c r="C997" s="7" t="s">
        <v>57</v>
      </c>
      <c r="D997" s="9">
        <v>46023</v>
      </c>
      <c r="E997" s="3">
        <v>4025.57</v>
      </c>
      <c r="F997" s="7" t="s">
        <v>3184</v>
      </c>
    </row>
    <row r="998" spans="1:6" x14ac:dyDescent="0.3">
      <c r="A998" s="7" t="s">
        <v>4171</v>
      </c>
      <c r="B998" s="7" t="s">
        <v>1636</v>
      </c>
      <c r="C998" s="7" t="s">
        <v>57</v>
      </c>
      <c r="D998" s="9">
        <v>46014</v>
      </c>
      <c r="E998" s="3">
        <v>12108.78</v>
      </c>
      <c r="F998" s="7" t="s">
        <v>296</v>
      </c>
    </row>
    <row r="999" spans="1:6" x14ac:dyDescent="0.3">
      <c r="A999" s="7" t="s">
        <v>4172</v>
      </c>
      <c r="B999" s="7" t="s">
        <v>1638</v>
      </c>
      <c r="C999" s="7" t="s">
        <v>115</v>
      </c>
      <c r="D999" s="9">
        <v>45792</v>
      </c>
      <c r="E999" s="3">
        <v>2836.45</v>
      </c>
      <c r="F999" s="7" t="s">
        <v>3174</v>
      </c>
    </row>
    <row r="1000" spans="1:6" x14ac:dyDescent="0.3">
      <c r="A1000" s="7" t="s">
        <v>4173</v>
      </c>
      <c r="B1000" s="7" t="s">
        <v>1639</v>
      </c>
      <c r="C1000" s="7" t="s">
        <v>42</v>
      </c>
      <c r="D1000" s="9">
        <v>46114</v>
      </c>
      <c r="E1000" s="3">
        <v>10189.26</v>
      </c>
      <c r="F1000" s="7" t="s">
        <v>3174</v>
      </c>
    </row>
    <row r="1001" spans="1:6" x14ac:dyDescent="0.3">
      <c r="A1001" s="7" t="s">
        <v>4174</v>
      </c>
      <c r="B1001" s="7" t="s">
        <v>1641</v>
      </c>
      <c r="C1001" s="7" t="s">
        <v>58</v>
      </c>
      <c r="D1001" s="9">
        <v>45858</v>
      </c>
      <c r="E1001" s="3">
        <v>2119.12</v>
      </c>
      <c r="F1001" s="7" t="s">
        <v>296</v>
      </c>
    </row>
    <row r="1002" spans="1:6" x14ac:dyDescent="0.3">
      <c r="A1002" s="7" t="s">
        <v>4175</v>
      </c>
      <c r="B1002" s="7" t="s">
        <v>1642</v>
      </c>
      <c r="C1002" s="7" t="s">
        <v>39</v>
      </c>
      <c r="D1002" s="9">
        <v>45766</v>
      </c>
      <c r="E1002" s="3">
        <v>12054.79</v>
      </c>
      <c r="F1002" s="7" t="s">
        <v>298</v>
      </c>
    </row>
    <row r="1003" spans="1:6" x14ac:dyDescent="0.3">
      <c r="A1003" s="7" t="s">
        <v>4176</v>
      </c>
      <c r="B1003" s="7" t="s">
        <v>1643</v>
      </c>
      <c r="C1003" s="7" t="s">
        <v>101</v>
      </c>
      <c r="D1003" s="9">
        <v>45998</v>
      </c>
      <c r="E1003" s="3">
        <v>11986.91</v>
      </c>
      <c r="F1003" s="7" t="s">
        <v>298</v>
      </c>
    </row>
    <row r="1004" spans="1:6" x14ac:dyDescent="0.3">
      <c r="A1004" s="7" t="s">
        <v>4177</v>
      </c>
      <c r="B1004" s="7" t="s">
        <v>1644</v>
      </c>
      <c r="C1004" s="7" t="s">
        <v>29</v>
      </c>
      <c r="D1004" s="9">
        <v>45967</v>
      </c>
      <c r="E1004" s="3">
        <v>3396.37</v>
      </c>
      <c r="F1004" s="7" t="s">
        <v>3174</v>
      </c>
    </row>
    <row r="1005" spans="1:6" x14ac:dyDescent="0.3">
      <c r="A1005" s="7" t="s">
        <v>4178</v>
      </c>
      <c r="B1005" s="7" t="s">
        <v>1645</v>
      </c>
      <c r="C1005" s="7" t="s">
        <v>86</v>
      </c>
      <c r="D1005" s="9">
        <v>45853</v>
      </c>
      <c r="E1005" s="3">
        <v>12502</v>
      </c>
      <c r="F1005" s="7" t="s">
        <v>298</v>
      </c>
    </row>
    <row r="1006" spans="1:6" x14ac:dyDescent="0.3">
      <c r="A1006" s="7" t="s">
        <v>4179</v>
      </c>
      <c r="B1006" s="7" t="s">
        <v>1647</v>
      </c>
      <c r="C1006" s="7" t="s">
        <v>40</v>
      </c>
      <c r="D1006" s="9">
        <v>46014</v>
      </c>
      <c r="E1006" s="3">
        <v>10569.27</v>
      </c>
      <c r="F1006" s="7" t="s">
        <v>298</v>
      </c>
    </row>
    <row r="1007" spans="1:6" x14ac:dyDescent="0.3">
      <c r="A1007" s="7" t="s">
        <v>4180</v>
      </c>
      <c r="B1007" s="7" t="s">
        <v>1648</v>
      </c>
      <c r="C1007" s="7" t="s">
        <v>104</v>
      </c>
      <c r="D1007" s="9">
        <v>46098</v>
      </c>
      <c r="E1007" s="3">
        <v>3281.06</v>
      </c>
      <c r="F1007" s="7" t="s">
        <v>3174</v>
      </c>
    </row>
    <row r="1008" spans="1:6" x14ac:dyDescent="0.3">
      <c r="A1008" s="7" t="s">
        <v>4181</v>
      </c>
      <c r="B1008" s="7" t="s">
        <v>1649</v>
      </c>
      <c r="C1008" s="7" t="s">
        <v>47</v>
      </c>
      <c r="D1008" s="9">
        <v>46124</v>
      </c>
      <c r="E1008" s="3">
        <v>3588.85</v>
      </c>
      <c r="F1008" s="7" t="s">
        <v>3174</v>
      </c>
    </row>
    <row r="1009" spans="1:6" x14ac:dyDescent="0.3">
      <c r="A1009" s="7" t="s">
        <v>4182</v>
      </c>
      <c r="B1009" s="7" t="s">
        <v>1650</v>
      </c>
      <c r="C1009" s="7" t="s">
        <v>91</v>
      </c>
      <c r="D1009" s="9">
        <v>45685</v>
      </c>
      <c r="E1009" s="3">
        <v>11724.27</v>
      </c>
      <c r="F1009" s="7" t="s">
        <v>3174</v>
      </c>
    </row>
    <row r="1010" spans="1:6" x14ac:dyDescent="0.3">
      <c r="A1010" s="7" t="s">
        <v>4183</v>
      </c>
      <c r="B1010" s="7" t="s">
        <v>1651</v>
      </c>
      <c r="C1010" s="7" t="s">
        <v>46</v>
      </c>
      <c r="D1010" s="9">
        <v>45746</v>
      </c>
      <c r="E1010" s="3">
        <v>2884.7</v>
      </c>
      <c r="F1010" s="7" t="s">
        <v>3174</v>
      </c>
    </row>
    <row r="1011" spans="1:6" x14ac:dyDescent="0.3">
      <c r="A1011" s="7" t="s">
        <v>4184</v>
      </c>
      <c r="B1011" s="7" t="s">
        <v>1652</v>
      </c>
      <c r="C1011" s="7" t="s">
        <v>69</v>
      </c>
      <c r="D1011" s="9">
        <v>46054</v>
      </c>
      <c r="E1011" s="3">
        <v>1720.14</v>
      </c>
      <c r="F1011" s="7" t="s">
        <v>3184</v>
      </c>
    </row>
    <row r="1012" spans="1:6" x14ac:dyDescent="0.3">
      <c r="A1012" s="7" t="s">
        <v>4185</v>
      </c>
      <c r="B1012" s="7" t="s">
        <v>1653</v>
      </c>
      <c r="C1012" s="7" t="s">
        <v>78</v>
      </c>
      <c r="D1012" s="9">
        <v>45946</v>
      </c>
      <c r="E1012" s="3">
        <v>1838.72</v>
      </c>
      <c r="F1012" s="7" t="s">
        <v>3184</v>
      </c>
    </row>
    <row r="1013" spans="1:6" x14ac:dyDescent="0.3">
      <c r="A1013" s="7" t="s">
        <v>4186</v>
      </c>
      <c r="B1013" s="7" t="s">
        <v>1654</v>
      </c>
      <c r="C1013" s="7" t="s">
        <v>55</v>
      </c>
      <c r="D1013" s="9">
        <v>45896</v>
      </c>
      <c r="E1013" s="3">
        <v>5013.37</v>
      </c>
      <c r="F1013" s="7" t="s">
        <v>3174</v>
      </c>
    </row>
    <row r="1014" spans="1:6" x14ac:dyDescent="0.3">
      <c r="A1014" s="7" t="s">
        <v>4187</v>
      </c>
      <c r="B1014" s="7" t="s">
        <v>1655</v>
      </c>
      <c r="C1014" s="7" t="s">
        <v>10</v>
      </c>
      <c r="D1014" s="9">
        <v>46091</v>
      </c>
      <c r="E1014" s="3">
        <v>3747.08</v>
      </c>
      <c r="F1014" s="7" t="s">
        <v>3184</v>
      </c>
    </row>
    <row r="1015" spans="1:6" x14ac:dyDescent="0.3">
      <c r="A1015" s="7" t="s">
        <v>4188</v>
      </c>
      <c r="B1015" s="7" t="s">
        <v>1656</v>
      </c>
      <c r="C1015" s="7" t="s">
        <v>101</v>
      </c>
      <c r="D1015" s="9">
        <v>46125</v>
      </c>
      <c r="E1015" s="3">
        <v>2863.17</v>
      </c>
      <c r="F1015" s="7" t="s">
        <v>3184</v>
      </c>
    </row>
    <row r="1016" spans="1:6" x14ac:dyDescent="0.3">
      <c r="A1016" s="7" t="s">
        <v>4189</v>
      </c>
      <c r="B1016" s="7" t="s">
        <v>1657</v>
      </c>
      <c r="C1016" s="7" t="s">
        <v>61</v>
      </c>
      <c r="D1016" s="9">
        <v>45983</v>
      </c>
      <c r="E1016" s="3">
        <v>1763.57</v>
      </c>
      <c r="F1016" s="7" t="s">
        <v>3174</v>
      </c>
    </row>
    <row r="1017" spans="1:6" x14ac:dyDescent="0.3">
      <c r="A1017" s="7" t="s">
        <v>4190</v>
      </c>
      <c r="B1017" s="7" t="s">
        <v>1657</v>
      </c>
      <c r="C1017" s="7" t="s">
        <v>61</v>
      </c>
      <c r="D1017" s="9">
        <v>45990</v>
      </c>
      <c r="E1017" s="3">
        <v>1074.0899999999999</v>
      </c>
      <c r="F1017" s="7" t="s">
        <v>296</v>
      </c>
    </row>
    <row r="1018" spans="1:6" x14ac:dyDescent="0.3">
      <c r="A1018" s="7" t="s">
        <v>4191</v>
      </c>
      <c r="B1018" s="7" t="s">
        <v>1658</v>
      </c>
      <c r="C1018" s="7" t="s">
        <v>38</v>
      </c>
      <c r="D1018" s="9">
        <v>45881</v>
      </c>
      <c r="E1018" s="3">
        <v>2991.95</v>
      </c>
      <c r="F1018" s="7" t="s">
        <v>298</v>
      </c>
    </row>
    <row r="1019" spans="1:6" x14ac:dyDescent="0.3">
      <c r="A1019" s="7" t="s">
        <v>4192</v>
      </c>
      <c r="B1019" s="7" t="s">
        <v>1659</v>
      </c>
      <c r="C1019" s="7" t="s">
        <v>95</v>
      </c>
      <c r="D1019" s="9">
        <v>45851</v>
      </c>
      <c r="E1019" s="3">
        <v>4469.24</v>
      </c>
      <c r="F1019" s="7" t="s">
        <v>3174</v>
      </c>
    </row>
    <row r="1020" spans="1:6" x14ac:dyDescent="0.3">
      <c r="A1020" s="7" t="s">
        <v>4193</v>
      </c>
      <c r="B1020" s="7" t="s">
        <v>1660</v>
      </c>
      <c r="C1020" s="7" t="s">
        <v>75</v>
      </c>
      <c r="D1020" s="9">
        <v>45741</v>
      </c>
      <c r="E1020" s="3">
        <v>3442.73</v>
      </c>
      <c r="F1020" s="7" t="s">
        <v>3184</v>
      </c>
    </row>
    <row r="1021" spans="1:6" x14ac:dyDescent="0.3">
      <c r="A1021" s="7" t="s">
        <v>4194</v>
      </c>
      <c r="B1021" s="7" t="s">
        <v>1661</v>
      </c>
      <c r="C1021" s="7" t="s">
        <v>122</v>
      </c>
      <c r="D1021" s="9">
        <v>46005</v>
      </c>
      <c r="E1021" s="3">
        <v>2037.38</v>
      </c>
      <c r="F1021" s="7" t="s">
        <v>3174</v>
      </c>
    </row>
    <row r="1022" spans="1:6" x14ac:dyDescent="0.3">
      <c r="A1022" s="7" t="s">
        <v>4195</v>
      </c>
      <c r="B1022" s="7" t="s">
        <v>1662</v>
      </c>
      <c r="C1022" s="7" t="s">
        <v>47</v>
      </c>
      <c r="D1022" s="9">
        <v>46044</v>
      </c>
      <c r="E1022" s="3">
        <v>10879.77</v>
      </c>
      <c r="F1022" s="7" t="s">
        <v>298</v>
      </c>
    </row>
    <row r="1023" spans="1:6" x14ac:dyDescent="0.3">
      <c r="A1023" s="7" t="s">
        <v>4196</v>
      </c>
      <c r="B1023" s="7" t="s">
        <v>1663</v>
      </c>
      <c r="C1023" s="7" t="s">
        <v>69</v>
      </c>
      <c r="D1023" s="9">
        <v>45870</v>
      </c>
      <c r="E1023" s="3">
        <v>12337.7</v>
      </c>
      <c r="F1023" s="7" t="s">
        <v>296</v>
      </c>
    </row>
    <row r="1024" spans="1:6" x14ac:dyDescent="0.3">
      <c r="A1024" s="7" t="s">
        <v>4197</v>
      </c>
      <c r="B1024" s="7" t="s">
        <v>1664</v>
      </c>
      <c r="C1024" s="7" t="s">
        <v>110</v>
      </c>
      <c r="D1024" s="9">
        <v>45780</v>
      </c>
      <c r="E1024" s="3">
        <v>3229.04</v>
      </c>
      <c r="F1024" s="7" t="s">
        <v>298</v>
      </c>
    </row>
    <row r="1025" spans="1:6" x14ac:dyDescent="0.3">
      <c r="A1025" s="7" t="s">
        <v>4198</v>
      </c>
      <c r="B1025" s="7" t="s">
        <v>1665</v>
      </c>
      <c r="C1025" s="7" t="s">
        <v>62</v>
      </c>
      <c r="D1025" s="9">
        <v>45981</v>
      </c>
      <c r="E1025" s="3">
        <v>1684.47</v>
      </c>
      <c r="F1025" s="7" t="s">
        <v>3184</v>
      </c>
    </row>
    <row r="1026" spans="1:6" x14ac:dyDescent="0.3">
      <c r="A1026" s="7" t="s">
        <v>4199</v>
      </c>
      <c r="B1026" s="7" t="s">
        <v>1670</v>
      </c>
      <c r="C1026" s="7" t="s">
        <v>45</v>
      </c>
      <c r="D1026" s="9">
        <v>46084</v>
      </c>
      <c r="E1026" s="3">
        <v>10606.75</v>
      </c>
      <c r="F1026" s="7" t="s">
        <v>3184</v>
      </c>
    </row>
    <row r="1027" spans="1:6" x14ac:dyDescent="0.3">
      <c r="A1027" s="7" t="s">
        <v>4200</v>
      </c>
      <c r="B1027" s="7" t="s">
        <v>1671</v>
      </c>
      <c r="C1027" s="7" t="s">
        <v>32</v>
      </c>
      <c r="D1027" s="9">
        <v>45928</v>
      </c>
      <c r="E1027" s="3">
        <v>3925.78</v>
      </c>
      <c r="F1027" s="7" t="s">
        <v>298</v>
      </c>
    </row>
    <row r="1028" spans="1:6" x14ac:dyDescent="0.3">
      <c r="A1028" s="7" t="s">
        <v>4201</v>
      </c>
      <c r="B1028" s="7" t="s">
        <v>1672</v>
      </c>
      <c r="C1028" s="7" t="s">
        <v>104</v>
      </c>
      <c r="D1028" s="9">
        <v>46019</v>
      </c>
      <c r="E1028" s="3">
        <v>11531.04</v>
      </c>
      <c r="F1028" s="7" t="s">
        <v>3174</v>
      </c>
    </row>
    <row r="1029" spans="1:6" x14ac:dyDescent="0.3">
      <c r="A1029" s="7" t="s">
        <v>4202</v>
      </c>
      <c r="B1029" s="7" t="s">
        <v>1673</v>
      </c>
      <c r="C1029" s="7" t="s">
        <v>117</v>
      </c>
      <c r="D1029" s="9">
        <v>45692</v>
      </c>
      <c r="E1029" s="3">
        <v>3052.84</v>
      </c>
      <c r="F1029" s="7" t="s">
        <v>3184</v>
      </c>
    </row>
    <row r="1030" spans="1:6" x14ac:dyDescent="0.3">
      <c r="A1030" s="7" t="s">
        <v>4203</v>
      </c>
      <c r="B1030" s="7" t="s">
        <v>1676</v>
      </c>
      <c r="C1030" s="7" t="s">
        <v>32</v>
      </c>
      <c r="D1030" s="9">
        <v>46041</v>
      </c>
      <c r="E1030" s="3">
        <v>14086.25</v>
      </c>
      <c r="F1030" s="7" t="s">
        <v>298</v>
      </c>
    </row>
    <row r="1031" spans="1:6" x14ac:dyDescent="0.3">
      <c r="A1031" s="7" t="s">
        <v>4204</v>
      </c>
      <c r="B1031" s="7" t="s">
        <v>1677</v>
      </c>
      <c r="C1031" s="7" t="s">
        <v>104</v>
      </c>
      <c r="D1031" s="9">
        <v>45801</v>
      </c>
      <c r="E1031" s="3">
        <v>2462.4899999999998</v>
      </c>
      <c r="F1031" s="7" t="s">
        <v>298</v>
      </c>
    </row>
    <row r="1032" spans="1:6" x14ac:dyDescent="0.3">
      <c r="A1032" s="7" t="s">
        <v>4205</v>
      </c>
      <c r="B1032" s="7" t="s">
        <v>1679</v>
      </c>
      <c r="C1032" s="7" t="s">
        <v>43</v>
      </c>
      <c r="D1032" s="9">
        <v>46120</v>
      </c>
      <c r="E1032" s="3">
        <v>3160.71</v>
      </c>
      <c r="F1032" s="7" t="s">
        <v>3174</v>
      </c>
    </row>
    <row r="1033" spans="1:6" x14ac:dyDescent="0.3">
      <c r="A1033" s="7" t="s">
        <v>4206</v>
      </c>
      <c r="B1033" s="7" t="s">
        <v>1680</v>
      </c>
      <c r="C1033" s="7" t="s">
        <v>37</v>
      </c>
      <c r="D1033" s="9">
        <v>46059</v>
      </c>
      <c r="E1033" s="3">
        <v>1555.62</v>
      </c>
      <c r="F1033" s="7" t="s">
        <v>3174</v>
      </c>
    </row>
    <row r="1034" spans="1:6" x14ac:dyDescent="0.3">
      <c r="A1034" s="7" t="s">
        <v>4207</v>
      </c>
      <c r="B1034" s="7" t="s">
        <v>1682</v>
      </c>
      <c r="C1034" s="7" t="s">
        <v>11</v>
      </c>
      <c r="D1034" s="9">
        <v>45922</v>
      </c>
      <c r="E1034" s="3">
        <v>11929.84</v>
      </c>
      <c r="F1034" s="7" t="s">
        <v>3174</v>
      </c>
    </row>
    <row r="1035" spans="1:6" x14ac:dyDescent="0.3">
      <c r="A1035" s="7" t="s">
        <v>4208</v>
      </c>
      <c r="B1035" s="7" t="s">
        <v>1683</v>
      </c>
      <c r="C1035" s="7" t="s">
        <v>109</v>
      </c>
      <c r="D1035" s="9">
        <v>45756</v>
      </c>
      <c r="E1035" s="3">
        <v>4318.72</v>
      </c>
      <c r="F1035" s="7" t="s">
        <v>3184</v>
      </c>
    </row>
    <row r="1036" spans="1:6" x14ac:dyDescent="0.3">
      <c r="A1036" s="7" t="s">
        <v>4209</v>
      </c>
      <c r="B1036" s="7" t="s">
        <v>1685</v>
      </c>
      <c r="C1036" s="7" t="s">
        <v>45</v>
      </c>
      <c r="D1036" s="9">
        <v>45691</v>
      </c>
      <c r="E1036" s="3">
        <v>13354.72</v>
      </c>
      <c r="F1036" s="7" t="s">
        <v>3174</v>
      </c>
    </row>
    <row r="1037" spans="1:6" x14ac:dyDescent="0.3">
      <c r="A1037" s="7" t="s">
        <v>4210</v>
      </c>
      <c r="B1037" s="7" t="s">
        <v>1686</v>
      </c>
      <c r="C1037" s="7" t="s">
        <v>120</v>
      </c>
      <c r="D1037" s="9">
        <v>45902</v>
      </c>
      <c r="E1037" s="3">
        <v>3480.69</v>
      </c>
      <c r="F1037" s="7" t="s">
        <v>3174</v>
      </c>
    </row>
    <row r="1038" spans="1:6" x14ac:dyDescent="0.3">
      <c r="A1038" s="7" t="s">
        <v>4211</v>
      </c>
      <c r="B1038" s="7" t="s">
        <v>1688</v>
      </c>
      <c r="C1038" s="7" t="s">
        <v>113</v>
      </c>
      <c r="D1038" s="9">
        <v>45942</v>
      </c>
      <c r="E1038" s="3">
        <v>3085.17</v>
      </c>
      <c r="F1038" s="7" t="s">
        <v>3174</v>
      </c>
    </row>
    <row r="1039" spans="1:6" x14ac:dyDescent="0.3">
      <c r="A1039" s="7" t="s">
        <v>4212</v>
      </c>
      <c r="B1039" s="7" t="s">
        <v>1689</v>
      </c>
      <c r="C1039" s="7" t="s">
        <v>18</v>
      </c>
      <c r="D1039" s="9">
        <v>45953</v>
      </c>
      <c r="E1039" s="3">
        <v>4129.54</v>
      </c>
      <c r="F1039" s="7" t="s">
        <v>296</v>
      </c>
    </row>
    <row r="1040" spans="1:6" x14ac:dyDescent="0.3">
      <c r="A1040" s="7" t="s">
        <v>4213</v>
      </c>
      <c r="B1040" s="7" t="s">
        <v>1690</v>
      </c>
      <c r="C1040" s="7" t="s">
        <v>81</v>
      </c>
      <c r="D1040" s="9">
        <v>46090</v>
      </c>
      <c r="E1040" s="3">
        <v>5199.6400000000003</v>
      </c>
      <c r="F1040" s="7" t="s">
        <v>3184</v>
      </c>
    </row>
    <row r="1041" spans="1:6" x14ac:dyDescent="0.3">
      <c r="A1041" s="7" t="s">
        <v>4214</v>
      </c>
      <c r="B1041" s="7" t="s">
        <v>1691</v>
      </c>
      <c r="C1041" s="7" t="s">
        <v>61</v>
      </c>
      <c r="D1041" s="9">
        <v>46056</v>
      </c>
      <c r="E1041" s="3">
        <v>1720.76</v>
      </c>
      <c r="F1041" s="7" t="s">
        <v>3174</v>
      </c>
    </row>
    <row r="1042" spans="1:6" x14ac:dyDescent="0.3">
      <c r="A1042" s="7" t="s">
        <v>4215</v>
      </c>
      <c r="B1042" s="7" t="s">
        <v>1693</v>
      </c>
      <c r="C1042" s="7" t="s">
        <v>54</v>
      </c>
      <c r="D1042" s="9">
        <v>45964</v>
      </c>
      <c r="E1042" s="3">
        <v>10820.67</v>
      </c>
      <c r="F1042" s="7" t="s">
        <v>296</v>
      </c>
    </row>
    <row r="1043" spans="1:6" x14ac:dyDescent="0.3">
      <c r="A1043" s="7" t="s">
        <v>4216</v>
      </c>
      <c r="B1043" s="7" t="s">
        <v>1694</v>
      </c>
      <c r="C1043" s="7" t="s">
        <v>94</v>
      </c>
      <c r="D1043" s="9">
        <v>45864</v>
      </c>
      <c r="E1043" s="3">
        <v>2123.0700000000002</v>
      </c>
      <c r="F1043" s="7" t="s">
        <v>3174</v>
      </c>
    </row>
    <row r="1044" spans="1:6" x14ac:dyDescent="0.3">
      <c r="A1044" s="7" t="s">
        <v>4217</v>
      </c>
      <c r="B1044" s="7" t="s">
        <v>1695</v>
      </c>
      <c r="C1044" s="7" t="s">
        <v>98</v>
      </c>
      <c r="D1044" s="9">
        <v>46135</v>
      </c>
      <c r="E1044" s="3">
        <v>5926.63</v>
      </c>
      <c r="F1044" s="7" t="s">
        <v>3174</v>
      </c>
    </row>
    <row r="1045" spans="1:6" x14ac:dyDescent="0.3">
      <c r="A1045" s="7" t="s">
        <v>4218</v>
      </c>
      <c r="B1045" s="7" t="s">
        <v>1697</v>
      </c>
      <c r="C1045" s="7" t="s">
        <v>107</v>
      </c>
      <c r="D1045" s="9">
        <v>46027</v>
      </c>
      <c r="E1045" s="3">
        <v>3409.77</v>
      </c>
      <c r="F1045" s="7" t="s">
        <v>296</v>
      </c>
    </row>
    <row r="1046" spans="1:6" x14ac:dyDescent="0.3">
      <c r="A1046" s="7" t="s">
        <v>4219</v>
      </c>
      <c r="B1046" s="7" t="s">
        <v>1698</v>
      </c>
      <c r="C1046" s="7" t="s">
        <v>96</v>
      </c>
      <c r="D1046" s="9">
        <v>45947</v>
      </c>
      <c r="E1046" s="3">
        <v>1612.57</v>
      </c>
      <c r="F1046" s="7" t="s">
        <v>298</v>
      </c>
    </row>
    <row r="1047" spans="1:6" x14ac:dyDescent="0.3">
      <c r="A1047" s="7" t="s">
        <v>4220</v>
      </c>
      <c r="B1047" s="7" t="s">
        <v>1699</v>
      </c>
      <c r="C1047" s="7" t="s">
        <v>37</v>
      </c>
      <c r="D1047" s="9">
        <v>46022</v>
      </c>
      <c r="E1047" s="3">
        <v>2903.16</v>
      </c>
      <c r="F1047" s="7" t="s">
        <v>298</v>
      </c>
    </row>
    <row r="1048" spans="1:6" x14ac:dyDescent="0.3">
      <c r="A1048" s="7" t="s">
        <v>4221</v>
      </c>
      <c r="B1048" s="7" t="s">
        <v>1700</v>
      </c>
      <c r="C1048" s="7" t="s">
        <v>112</v>
      </c>
      <c r="D1048" s="9">
        <v>45884</v>
      </c>
      <c r="E1048" s="3">
        <v>11464.66</v>
      </c>
      <c r="F1048" s="7" t="s">
        <v>296</v>
      </c>
    </row>
    <row r="1049" spans="1:6" x14ac:dyDescent="0.3">
      <c r="A1049" s="7" t="s">
        <v>4222</v>
      </c>
      <c r="B1049" s="7" t="s">
        <v>1702</v>
      </c>
      <c r="C1049" s="7" t="s">
        <v>11</v>
      </c>
      <c r="D1049" s="9">
        <v>46051</v>
      </c>
      <c r="E1049" s="3">
        <v>2879.47</v>
      </c>
      <c r="F1049" s="7" t="s">
        <v>296</v>
      </c>
    </row>
    <row r="1050" spans="1:6" x14ac:dyDescent="0.3">
      <c r="A1050" s="7" t="s">
        <v>4223</v>
      </c>
      <c r="B1050" s="7" t="s">
        <v>1703</v>
      </c>
      <c r="C1050" s="7" t="s">
        <v>59</v>
      </c>
      <c r="D1050" s="9">
        <v>46095</v>
      </c>
      <c r="E1050" s="3">
        <v>2866.44</v>
      </c>
      <c r="F1050" s="7" t="s">
        <v>298</v>
      </c>
    </row>
    <row r="1051" spans="1:6" x14ac:dyDescent="0.3">
      <c r="A1051" s="7" t="s">
        <v>4224</v>
      </c>
      <c r="B1051" s="7" t="s">
        <v>1705</v>
      </c>
      <c r="C1051" s="7" t="s">
        <v>111</v>
      </c>
      <c r="D1051" s="9">
        <v>45845</v>
      </c>
      <c r="E1051" s="3">
        <v>2506.33</v>
      </c>
      <c r="F1051" s="7" t="s">
        <v>3174</v>
      </c>
    </row>
    <row r="1052" spans="1:6" x14ac:dyDescent="0.3">
      <c r="A1052" s="7" t="s">
        <v>4225</v>
      </c>
      <c r="B1052" s="7" t="s">
        <v>1706</v>
      </c>
      <c r="C1052" s="7" t="s">
        <v>13</v>
      </c>
      <c r="D1052" s="9">
        <v>45928</v>
      </c>
      <c r="E1052" s="3">
        <v>3832.9</v>
      </c>
      <c r="F1052" s="7" t="s">
        <v>298</v>
      </c>
    </row>
    <row r="1053" spans="1:6" x14ac:dyDescent="0.3">
      <c r="A1053" s="7" t="s">
        <v>4226</v>
      </c>
      <c r="B1053" s="7" t="s">
        <v>1708</v>
      </c>
      <c r="C1053" s="7" t="s">
        <v>17</v>
      </c>
      <c r="D1053" s="9">
        <v>46007</v>
      </c>
      <c r="E1053" s="3">
        <v>1645.83</v>
      </c>
      <c r="F1053" s="7" t="s">
        <v>3184</v>
      </c>
    </row>
    <row r="1054" spans="1:6" x14ac:dyDescent="0.3">
      <c r="A1054" s="7" t="s">
        <v>4227</v>
      </c>
      <c r="B1054" s="7" t="s">
        <v>1708</v>
      </c>
      <c r="C1054" s="7" t="s">
        <v>17</v>
      </c>
      <c r="D1054" s="9">
        <v>46010</v>
      </c>
      <c r="E1054" s="3">
        <v>1234.96</v>
      </c>
      <c r="F1054" s="7" t="s">
        <v>3184</v>
      </c>
    </row>
    <row r="1055" spans="1:6" x14ac:dyDescent="0.3">
      <c r="A1055" s="7" t="s">
        <v>4228</v>
      </c>
      <c r="B1055" s="7" t="s">
        <v>1710</v>
      </c>
      <c r="C1055" s="7" t="s">
        <v>108</v>
      </c>
      <c r="D1055" s="9">
        <v>46133</v>
      </c>
      <c r="E1055" s="3">
        <v>1989.48</v>
      </c>
      <c r="F1055" s="7" t="s">
        <v>298</v>
      </c>
    </row>
    <row r="1056" spans="1:6" x14ac:dyDescent="0.3">
      <c r="A1056" s="7" t="s">
        <v>4229</v>
      </c>
      <c r="B1056" s="7" t="s">
        <v>1711</v>
      </c>
      <c r="C1056" s="7" t="s">
        <v>29</v>
      </c>
      <c r="D1056" s="9">
        <v>46163</v>
      </c>
      <c r="E1056" s="3">
        <v>2451.4899999999998</v>
      </c>
      <c r="F1056" s="7" t="s">
        <v>298</v>
      </c>
    </row>
    <row r="1057" spans="1:6" x14ac:dyDescent="0.3">
      <c r="A1057" s="7" t="s">
        <v>4230</v>
      </c>
      <c r="B1057" s="7" t="s">
        <v>1712</v>
      </c>
      <c r="C1057" s="7" t="s">
        <v>60</v>
      </c>
      <c r="D1057" s="9">
        <v>45838</v>
      </c>
      <c r="E1057" s="3">
        <v>1866.97</v>
      </c>
      <c r="F1057" s="7" t="s">
        <v>298</v>
      </c>
    </row>
    <row r="1058" spans="1:6" x14ac:dyDescent="0.3">
      <c r="A1058" s="7" t="s">
        <v>4231</v>
      </c>
      <c r="B1058" s="7" t="s">
        <v>1714</v>
      </c>
      <c r="C1058" s="7" t="s">
        <v>87</v>
      </c>
      <c r="D1058" s="9">
        <v>45721</v>
      </c>
      <c r="E1058" s="3">
        <v>3114.28</v>
      </c>
      <c r="F1058" s="7" t="s">
        <v>296</v>
      </c>
    </row>
    <row r="1059" spans="1:6" x14ac:dyDescent="0.3">
      <c r="A1059" s="7" t="s">
        <v>4232</v>
      </c>
      <c r="B1059" s="7" t="s">
        <v>1715</v>
      </c>
      <c r="C1059" s="7" t="s">
        <v>116</v>
      </c>
      <c r="D1059" s="9">
        <v>45924</v>
      </c>
      <c r="E1059" s="3">
        <v>5813.69</v>
      </c>
      <c r="F1059" s="7" t="s">
        <v>3174</v>
      </c>
    </row>
    <row r="1060" spans="1:6" x14ac:dyDescent="0.3">
      <c r="A1060" s="7" t="s">
        <v>4233</v>
      </c>
      <c r="B1060" s="7" t="s">
        <v>1716</v>
      </c>
      <c r="C1060" s="7" t="s">
        <v>26</v>
      </c>
      <c r="D1060" s="9">
        <v>45975</v>
      </c>
      <c r="E1060" s="3">
        <v>4099.57</v>
      </c>
      <c r="F1060" s="7" t="s">
        <v>3184</v>
      </c>
    </row>
    <row r="1061" spans="1:6" x14ac:dyDescent="0.3">
      <c r="A1061" s="7" t="s">
        <v>4234</v>
      </c>
      <c r="B1061" s="7" t="s">
        <v>1717</v>
      </c>
      <c r="C1061" s="7" t="s">
        <v>98</v>
      </c>
      <c r="D1061" s="9">
        <v>45768</v>
      </c>
      <c r="E1061" s="3">
        <v>3549.64</v>
      </c>
      <c r="F1061" s="7" t="s">
        <v>298</v>
      </c>
    </row>
    <row r="1062" spans="1:6" x14ac:dyDescent="0.3">
      <c r="A1062" s="7" t="s">
        <v>4235</v>
      </c>
      <c r="B1062" s="7" t="s">
        <v>1718</v>
      </c>
      <c r="C1062" s="7" t="s">
        <v>35</v>
      </c>
      <c r="D1062" s="9">
        <v>45936</v>
      </c>
      <c r="E1062" s="3">
        <v>3409.22</v>
      </c>
      <c r="F1062" s="7" t="s">
        <v>3184</v>
      </c>
    </row>
    <row r="1063" spans="1:6" x14ac:dyDescent="0.3">
      <c r="A1063" s="7" t="s">
        <v>4236</v>
      </c>
      <c r="B1063" s="7" t="s">
        <v>1719</v>
      </c>
      <c r="C1063" s="7" t="s">
        <v>70</v>
      </c>
      <c r="D1063" s="9">
        <v>46110</v>
      </c>
      <c r="E1063" s="3">
        <v>1586.26</v>
      </c>
      <c r="F1063" s="7" t="s">
        <v>3184</v>
      </c>
    </row>
    <row r="1064" spans="1:6" x14ac:dyDescent="0.3">
      <c r="A1064" s="7" t="s">
        <v>4237</v>
      </c>
      <c r="B1064" s="7" t="s">
        <v>1720</v>
      </c>
      <c r="C1064" s="7" t="s">
        <v>112</v>
      </c>
      <c r="D1064" s="9">
        <v>46104</v>
      </c>
      <c r="E1064" s="3">
        <v>10224.959999999999</v>
      </c>
      <c r="F1064" s="7" t="s">
        <v>298</v>
      </c>
    </row>
    <row r="1065" spans="1:6" x14ac:dyDescent="0.3">
      <c r="A1065" s="7" t="s">
        <v>4238</v>
      </c>
      <c r="B1065" s="7" t="s">
        <v>1721</v>
      </c>
      <c r="C1065" s="7" t="s">
        <v>108</v>
      </c>
      <c r="D1065" s="9">
        <v>45797</v>
      </c>
      <c r="E1065" s="3">
        <v>2726.71</v>
      </c>
      <c r="F1065" s="7" t="s">
        <v>298</v>
      </c>
    </row>
    <row r="1066" spans="1:6" x14ac:dyDescent="0.3">
      <c r="A1066" s="7" t="s">
        <v>4239</v>
      </c>
      <c r="B1066" s="7" t="s">
        <v>1722</v>
      </c>
      <c r="C1066" s="7" t="s">
        <v>123</v>
      </c>
      <c r="D1066" s="9">
        <v>45808</v>
      </c>
      <c r="E1066" s="3">
        <v>4057.55</v>
      </c>
      <c r="F1066" s="7" t="s">
        <v>298</v>
      </c>
    </row>
    <row r="1067" spans="1:6" x14ac:dyDescent="0.3">
      <c r="A1067" s="7" t="s">
        <v>4240</v>
      </c>
      <c r="B1067" s="7" t="s">
        <v>1723</v>
      </c>
      <c r="C1067" s="7" t="s">
        <v>8</v>
      </c>
      <c r="D1067" s="9">
        <v>46021</v>
      </c>
      <c r="E1067" s="3">
        <v>4739.28</v>
      </c>
      <c r="F1067" s="7" t="s">
        <v>296</v>
      </c>
    </row>
    <row r="1068" spans="1:6" x14ac:dyDescent="0.3">
      <c r="A1068" s="7" t="s">
        <v>4241</v>
      </c>
      <c r="B1068" s="7" t="s">
        <v>1724</v>
      </c>
      <c r="C1068" s="7" t="s">
        <v>34</v>
      </c>
      <c r="D1068" s="9">
        <v>45845</v>
      </c>
      <c r="E1068" s="3">
        <v>10239.379999999999</v>
      </c>
      <c r="F1068" s="7" t="s">
        <v>3174</v>
      </c>
    </row>
    <row r="1069" spans="1:6" x14ac:dyDescent="0.3">
      <c r="A1069" s="7" t="s">
        <v>4242</v>
      </c>
      <c r="B1069" s="7" t="s">
        <v>1725</v>
      </c>
      <c r="C1069" s="7" t="s">
        <v>16</v>
      </c>
      <c r="D1069" s="9">
        <v>45908</v>
      </c>
      <c r="E1069" s="3">
        <v>1716.12</v>
      </c>
      <c r="F1069" s="7" t="s">
        <v>298</v>
      </c>
    </row>
    <row r="1070" spans="1:6" x14ac:dyDescent="0.3">
      <c r="A1070" s="7" t="s">
        <v>4243</v>
      </c>
      <c r="B1070" s="7" t="s">
        <v>1727</v>
      </c>
      <c r="C1070" s="7" t="s">
        <v>110</v>
      </c>
      <c r="D1070" s="9">
        <v>46052</v>
      </c>
      <c r="E1070" s="3">
        <v>2996.74</v>
      </c>
      <c r="F1070" s="7" t="s">
        <v>3184</v>
      </c>
    </row>
    <row r="1071" spans="1:6" x14ac:dyDescent="0.3">
      <c r="A1071" s="7" t="s">
        <v>4244</v>
      </c>
      <c r="B1071" s="7" t="s">
        <v>1728</v>
      </c>
      <c r="C1071" s="7" t="s">
        <v>57</v>
      </c>
      <c r="D1071" s="9">
        <v>45933</v>
      </c>
      <c r="E1071" s="3">
        <v>2406.4299999999998</v>
      </c>
      <c r="F1071" s="7" t="s">
        <v>296</v>
      </c>
    </row>
    <row r="1072" spans="1:6" x14ac:dyDescent="0.3">
      <c r="A1072" s="7" t="s">
        <v>4245</v>
      </c>
      <c r="B1072" s="7" t="s">
        <v>1729</v>
      </c>
      <c r="C1072" s="7" t="s">
        <v>40</v>
      </c>
      <c r="D1072" s="9">
        <v>45956</v>
      </c>
      <c r="E1072" s="3">
        <v>1707.05</v>
      </c>
      <c r="F1072" s="7" t="s">
        <v>3184</v>
      </c>
    </row>
    <row r="1073" spans="1:6" x14ac:dyDescent="0.3">
      <c r="A1073" s="7" t="s">
        <v>4246</v>
      </c>
      <c r="B1073" s="7" t="s">
        <v>1730</v>
      </c>
      <c r="C1073" s="7" t="s">
        <v>47</v>
      </c>
      <c r="D1073" s="9">
        <v>45867</v>
      </c>
      <c r="E1073" s="3">
        <v>5007.49</v>
      </c>
      <c r="F1073" s="7" t="s">
        <v>296</v>
      </c>
    </row>
    <row r="1074" spans="1:6" x14ac:dyDescent="0.3">
      <c r="A1074" s="7" t="s">
        <v>4247</v>
      </c>
      <c r="B1074" s="7" t="s">
        <v>1731</v>
      </c>
      <c r="C1074" s="7" t="s">
        <v>12</v>
      </c>
      <c r="D1074" s="9">
        <v>45734</v>
      </c>
      <c r="E1074" s="3">
        <v>1821.91</v>
      </c>
      <c r="F1074" s="7" t="s">
        <v>296</v>
      </c>
    </row>
    <row r="1075" spans="1:6" x14ac:dyDescent="0.3">
      <c r="A1075" s="7" t="s">
        <v>4248</v>
      </c>
      <c r="B1075" s="7" t="s">
        <v>1732</v>
      </c>
      <c r="C1075" s="7" t="s">
        <v>62</v>
      </c>
      <c r="D1075" s="9">
        <v>46095</v>
      </c>
      <c r="E1075" s="3">
        <v>4998.42</v>
      </c>
      <c r="F1075" s="7" t="s">
        <v>3174</v>
      </c>
    </row>
    <row r="1076" spans="1:6" x14ac:dyDescent="0.3">
      <c r="A1076" s="7" t="s">
        <v>4249</v>
      </c>
      <c r="B1076" s="7" t="s">
        <v>1734</v>
      </c>
      <c r="C1076" s="7" t="s">
        <v>69</v>
      </c>
      <c r="D1076" s="9">
        <v>45778</v>
      </c>
      <c r="E1076" s="3">
        <v>3238.21</v>
      </c>
      <c r="F1076" s="7" t="s">
        <v>3184</v>
      </c>
    </row>
    <row r="1077" spans="1:6" x14ac:dyDescent="0.3">
      <c r="A1077" s="7" t="s">
        <v>4250</v>
      </c>
      <c r="B1077" s="7" t="s">
        <v>1736</v>
      </c>
      <c r="C1077" s="7" t="s">
        <v>40</v>
      </c>
      <c r="D1077" s="9">
        <v>45793</v>
      </c>
      <c r="E1077" s="3">
        <v>1911.26</v>
      </c>
      <c r="F1077" s="7" t="s">
        <v>3174</v>
      </c>
    </row>
    <row r="1078" spans="1:6" x14ac:dyDescent="0.3">
      <c r="A1078" s="7" t="s">
        <v>4251</v>
      </c>
      <c r="B1078" s="7" t="s">
        <v>1736</v>
      </c>
      <c r="C1078" s="7" t="s">
        <v>40</v>
      </c>
      <c r="D1078" s="9">
        <v>45806</v>
      </c>
      <c r="E1078" s="3">
        <v>2385.98</v>
      </c>
      <c r="F1078" s="7" t="s">
        <v>296</v>
      </c>
    </row>
    <row r="1079" spans="1:6" x14ac:dyDescent="0.3">
      <c r="A1079" s="7" t="s">
        <v>4252</v>
      </c>
      <c r="B1079" s="7" t="s">
        <v>1738</v>
      </c>
      <c r="C1079" s="7" t="s">
        <v>70</v>
      </c>
      <c r="D1079" s="9">
        <v>46026</v>
      </c>
      <c r="E1079" s="3">
        <v>2929.82</v>
      </c>
      <c r="F1079" s="7" t="s">
        <v>296</v>
      </c>
    </row>
    <row r="1080" spans="1:6" x14ac:dyDescent="0.3">
      <c r="A1080" s="7" t="s">
        <v>4253</v>
      </c>
      <c r="B1080" s="7" t="s">
        <v>1739</v>
      </c>
      <c r="C1080" s="7" t="s">
        <v>18</v>
      </c>
      <c r="D1080" s="9">
        <v>46109</v>
      </c>
      <c r="E1080" s="3">
        <v>3415.01</v>
      </c>
      <c r="F1080" s="7" t="s">
        <v>3174</v>
      </c>
    </row>
    <row r="1081" spans="1:6" x14ac:dyDescent="0.3">
      <c r="A1081" s="7" t="s">
        <v>4254</v>
      </c>
      <c r="B1081" s="7" t="s">
        <v>1740</v>
      </c>
      <c r="C1081" s="7" t="s">
        <v>112</v>
      </c>
      <c r="D1081" s="9">
        <v>45779</v>
      </c>
      <c r="E1081" s="3">
        <v>3711.27</v>
      </c>
      <c r="F1081" s="7" t="s">
        <v>3184</v>
      </c>
    </row>
    <row r="1082" spans="1:6" x14ac:dyDescent="0.3">
      <c r="A1082" s="7" t="s">
        <v>4255</v>
      </c>
      <c r="B1082" s="7" t="s">
        <v>1740</v>
      </c>
      <c r="C1082" s="7" t="s">
        <v>112</v>
      </c>
      <c r="D1082" s="9">
        <v>45789</v>
      </c>
      <c r="E1082" s="3">
        <v>2025.08</v>
      </c>
      <c r="F1082" s="7" t="s">
        <v>298</v>
      </c>
    </row>
    <row r="1083" spans="1:6" x14ac:dyDescent="0.3">
      <c r="A1083" s="7" t="s">
        <v>4256</v>
      </c>
      <c r="B1083" s="7" t="s">
        <v>1741</v>
      </c>
      <c r="C1083" s="7" t="s">
        <v>7</v>
      </c>
      <c r="D1083" s="9">
        <v>46002</v>
      </c>
      <c r="E1083" s="3">
        <v>2563.25</v>
      </c>
      <c r="F1083" s="7" t="s">
        <v>3174</v>
      </c>
    </row>
    <row r="1084" spans="1:6" x14ac:dyDescent="0.3">
      <c r="A1084" s="7" t="s">
        <v>4257</v>
      </c>
      <c r="B1084" s="7" t="s">
        <v>1743</v>
      </c>
      <c r="C1084" s="7" t="s">
        <v>94</v>
      </c>
      <c r="D1084" s="9">
        <v>46143</v>
      </c>
      <c r="E1084" s="3">
        <v>12849.16</v>
      </c>
      <c r="F1084" s="7" t="s">
        <v>3184</v>
      </c>
    </row>
    <row r="1085" spans="1:6" x14ac:dyDescent="0.3">
      <c r="A1085" s="7" t="s">
        <v>4258</v>
      </c>
      <c r="B1085" s="7" t="s">
        <v>1746</v>
      </c>
      <c r="C1085" s="7" t="s">
        <v>49</v>
      </c>
      <c r="D1085" s="9">
        <v>45802</v>
      </c>
      <c r="E1085" s="3">
        <v>11779.47</v>
      </c>
      <c r="F1085" s="7" t="s">
        <v>3174</v>
      </c>
    </row>
    <row r="1086" spans="1:6" x14ac:dyDescent="0.3">
      <c r="A1086" s="7" t="s">
        <v>4259</v>
      </c>
      <c r="B1086" s="7" t="s">
        <v>1749</v>
      </c>
      <c r="C1086" s="7" t="s">
        <v>84</v>
      </c>
      <c r="D1086" s="9">
        <v>46058</v>
      </c>
      <c r="E1086" s="3">
        <v>2798.15</v>
      </c>
      <c r="F1086" s="7" t="s">
        <v>3174</v>
      </c>
    </row>
    <row r="1087" spans="1:6" x14ac:dyDescent="0.3">
      <c r="A1087" s="7" t="s">
        <v>4260</v>
      </c>
      <c r="B1087" s="7" t="s">
        <v>1750</v>
      </c>
      <c r="C1087" s="7" t="s">
        <v>105</v>
      </c>
      <c r="D1087" s="9">
        <v>45791</v>
      </c>
      <c r="E1087" s="3">
        <v>10044.24</v>
      </c>
      <c r="F1087" s="7" t="s">
        <v>3174</v>
      </c>
    </row>
    <row r="1088" spans="1:6" x14ac:dyDescent="0.3">
      <c r="A1088" s="7" t="s">
        <v>4261</v>
      </c>
      <c r="B1088" s="7" t="s">
        <v>1751</v>
      </c>
      <c r="C1088" s="7" t="s">
        <v>106</v>
      </c>
      <c r="D1088" s="9">
        <v>46121</v>
      </c>
      <c r="E1088" s="3">
        <v>10028.1</v>
      </c>
      <c r="F1088" s="7" t="s">
        <v>298</v>
      </c>
    </row>
    <row r="1089" spans="1:6" x14ac:dyDescent="0.3">
      <c r="A1089" s="7" t="s">
        <v>4262</v>
      </c>
      <c r="B1089" s="7" t="s">
        <v>1752</v>
      </c>
      <c r="C1089" s="7" t="s">
        <v>45</v>
      </c>
      <c r="D1089" s="9">
        <v>46091</v>
      </c>
      <c r="E1089" s="3">
        <v>10967.69</v>
      </c>
      <c r="F1089" s="7" t="s">
        <v>3174</v>
      </c>
    </row>
    <row r="1090" spans="1:6" x14ac:dyDescent="0.3">
      <c r="A1090" s="7" t="s">
        <v>4263</v>
      </c>
      <c r="B1090" s="7" t="s">
        <v>1754</v>
      </c>
      <c r="C1090" s="7" t="s">
        <v>69</v>
      </c>
      <c r="D1090" s="9">
        <v>45750</v>
      </c>
      <c r="E1090" s="3">
        <v>2744.75</v>
      </c>
      <c r="F1090" s="7" t="s">
        <v>3184</v>
      </c>
    </row>
    <row r="1091" spans="1:6" x14ac:dyDescent="0.3">
      <c r="A1091" s="7" t="s">
        <v>4264</v>
      </c>
      <c r="B1091" s="7" t="s">
        <v>1754</v>
      </c>
      <c r="C1091" s="7" t="s">
        <v>69</v>
      </c>
      <c r="D1091" s="9">
        <v>45752</v>
      </c>
      <c r="E1091" s="3">
        <v>1973.34</v>
      </c>
      <c r="F1091" s="7" t="s">
        <v>3184</v>
      </c>
    </row>
    <row r="1092" spans="1:6" x14ac:dyDescent="0.3">
      <c r="A1092" s="7" t="s">
        <v>4265</v>
      </c>
      <c r="B1092" s="7" t="s">
        <v>1755</v>
      </c>
      <c r="C1092" s="7" t="s">
        <v>61</v>
      </c>
      <c r="D1092" s="9">
        <v>45907</v>
      </c>
      <c r="E1092" s="3">
        <v>13849.98</v>
      </c>
      <c r="F1092" s="7" t="s">
        <v>3174</v>
      </c>
    </row>
    <row r="1093" spans="1:6" x14ac:dyDescent="0.3">
      <c r="A1093" s="7" t="s">
        <v>4266</v>
      </c>
      <c r="B1093" s="7" t="s">
        <v>1756</v>
      </c>
      <c r="C1093" s="7" t="s">
        <v>62</v>
      </c>
      <c r="D1093" s="9">
        <v>46075</v>
      </c>
      <c r="E1093" s="3">
        <v>3307.79</v>
      </c>
      <c r="F1093" s="7" t="s">
        <v>3184</v>
      </c>
    </row>
    <row r="1094" spans="1:6" x14ac:dyDescent="0.3">
      <c r="A1094" s="7" t="s">
        <v>4267</v>
      </c>
      <c r="B1094" s="7" t="s">
        <v>1757</v>
      </c>
      <c r="C1094" s="7" t="s">
        <v>66</v>
      </c>
      <c r="D1094" s="9">
        <v>45680</v>
      </c>
      <c r="E1094" s="3">
        <v>1746.73</v>
      </c>
      <c r="F1094" s="7" t="s">
        <v>298</v>
      </c>
    </row>
    <row r="1095" spans="1:6" x14ac:dyDescent="0.3">
      <c r="A1095" s="7" t="s">
        <v>4268</v>
      </c>
      <c r="B1095" s="7" t="s">
        <v>1758</v>
      </c>
      <c r="C1095" s="7" t="s">
        <v>70</v>
      </c>
      <c r="D1095" s="9">
        <v>46030</v>
      </c>
      <c r="E1095" s="3">
        <v>1601.45</v>
      </c>
      <c r="F1095" s="7" t="s">
        <v>298</v>
      </c>
    </row>
    <row r="1096" spans="1:6" x14ac:dyDescent="0.3">
      <c r="A1096" s="7" t="s">
        <v>4269</v>
      </c>
      <c r="B1096" s="7" t="s">
        <v>1759</v>
      </c>
      <c r="C1096" s="7" t="s">
        <v>62</v>
      </c>
      <c r="D1096" s="9">
        <v>45932</v>
      </c>
      <c r="E1096" s="3">
        <v>3681.38</v>
      </c>
      <c r="F1096" s="7" t="s">
        <v>3174</v>
      </c>
    </row>
    <row r="1097" spans="1:6" x14ac:dyDescent="0.3">
      <c r="A1097" s="7" t="s">
        <v>4270</v>
      </c>
      <c r="B1097" s="7" t="s">
        <v>1760</v>
      </c>
      <c r="C1097" s="7" t="s">
        <v>23</v>
      </c>
      <c r="D1097" s="9">
        <v>45929</v>
      </c>
      <c r="E1097" s="3">
        <v>1993.99</v>
      </c>
      <c r="F1097" s="7" t="s">
        <v>298</v>
      </c>
    </row>
    <row r="1098" spans="1:6" x14ac:dyDescent="0.3">
      <c r="A1098" s="7" t="s">
        <v>4271</v>
      </c>
      <c r="B1098" s="7" t="s">
        <v>1760</v>
      </c>
      <c r="C1098" s="7" t="s">
        <v>23</v>
      </c>
      <c r="D1098" s="9">
        <v>45935</v>
      </c>
      <c r="E1098" s="3">
        <v>1494.66</v>
      </c>
      <c r="F1098" s="7" t="s">
        <v>3174</v>
      </c>
    </row>
    <row r="1099" spans="1:6" x14ac:dyDescent="0.3">
      <c r="A1099" s="7" t="s">
        <v>4272</v>
      </c>
      <c r="B1099" s="7" t="s">
        <v>1761</v>
      </c>
      <c r="C1099" s="7" t="s">
        <v>44</v>
      </c>
      <c r="D1099" s="9">
        <v>46109</v>
      </c>
      <c r="E1099" s="3">
        <v>2090.09</v>
      </c>
      <c r="F1099" s="7" t="s">
        <v>3174</v>
      </c>
    </row>
    <row r="1100" spans="1:6" x14ac:dyDescent="0.3">
      <c r="A1100" s="7" t="s">
        <v>4273</v>
      </c>
      <c r="B1100" s="7" t="s">
        <v>1762</v>
      </c>
      <c r="C1100" s="7" t="s">
        <v>72</v>
      </c>
      <c r="D1100" s="9">
        <v>45725</v>
      </c>
      <c r="E1100" s="3">
        <v>2866.82</v>
      </c>
      <c r="F1100" s="7" t="s">
        <v>296</v>
      </c>
    </row>
    <row r="1101" spans="1:6" x14ac:dyDescent="0.3">
      <c r="A1101" s="7" t="s">
        <v>4274</v>
      </c>
      <c r="B1101" s="7" t="s">
        <v>1763</v>
      </c>
      <c r="C1101" s="7" t="s">
        <v>111</v>
      </c>
      <c r="D1101" s="9">
        <v>45901</v>
      </c>
      <c r="E1101" s="3">
        <v>11582.49</v>
      </c>
      <c r="F1101" s="7" t="s">
        <v>3174</v>
      </c>
    </row>
    <row r="1102" spans="1:6" x14ac:dyDescent="0.3">
      <c r="A1102" s="7" t="s">
        <v>4275</v>
      </c>
      <c r="B1102" s="7" t="s">
        <v>1766</v>
      </c>
      <c r="C1102" s="7" t="s">
        <v>82</v>
      </c>
      <c r="D1102" s="9">
        <v>45889</v>
      </c>
      <c r="E1102" s="3">
        <v>9817.24</v>
      </c>
      <c r="F1102" s="7" t="s">
        <v>3174</v>
      </c>
    </row>
    <row r="1103" spans="1:6" x14ac:dyDescent="0.3">
      <c r="A1103" s="7" t="s">
        <v>4276</v>
      </c>
      <c r="B1103" s="7" t="s">
        <v>1767</v>
      </c>
      <c r="C1103" s="7" t="s">
        <v>40</v>
      </c>
      <c r="D1103" s="9">
        <v>46019</v>
      </c>
      <c r="E1103" s="3">
        <v>1767.6</v>
      </c>
      <c r="F1103" s="7" t="s">
        <v>3184</v>
      </c>
    </row>
    <row r="1104" spans="1:6" x14ac:dyDescent="0.3">
      <c r="A1104" s="7" t="s">
        <v>4277</v>
      </c>
      <c r="B1104" s="7" t="s">
        <v>1768</v>
      </c>
      <c r="C1104" s="7" t="s">
        <v>17</v>
      </c>
      <c r="D1104" s="9">
        <v>46125</v>
      </c>
      <c r="E1104" s="3">
        <v>2966.72</v>
      </c>
      <c r="F1104" s="7" t="s">
        <v>298</v>
      </c>
    </row>
    <row r="1105" spans="1:6" x14ac:dyDescent="0.3">
      <c r="A1105" s="7" t="s">
        <v>4278</v>
      </c>
      <c r="B1105" s="7" t="s">
        <v>1769</v>
      </c>
      <c r="C1105" s="7" t="s">
        <v>75</v>
      </c>
      <c r="D1105" s="9">
        <v>45798</v>
      </c>
      <c r="E1105" s="3">
        <v>2147.17</v>
      </c>
      <c r="F1105" s="7" t="s">
        <v>296</v>
      </c>
    </row>
    <row r="1106" spans="1:6" x14ac:dyDescent="0.3">
      <c r="A1106" s="7" t="s">
        <v>4279</v>
      </c>
      <c r="B1106" s="7" t="s">
        <v>1770</v>
      </c>
      <c r="C1106" s="7" t="s">
        <v>68</v>
      </c>
      <c r="D1106" s="9">
        <v>45735</v>
      </c>
      <c r="E1106" s="3">
        <v>2407.02</v>
      </c>
      <c r="F1106" s="7" t="s">
        <v>296</v>
      </c>
    </row>
    <row r="1107" spans="1:6" x14ac:dyDescent="0.3">
      <c r="A1107" s="7" t="s">
        <v>4280</v>
      </c>
      <c r="B1107" s="7" t="s">
        <v>1772</v>
      </c>
      <c r="C1107" s="7" t="s">
        <v>93</v>
      </c>
      <c r="D1107" s="9">
        <v>45983</v>
      </c>
      <c r="E1107" s="3">
        <v>1790.44</v>
      </c>
      <c r="F1107" s="7" t="s">
        <v>296</v>
      </c>
    </row>
    <row r="1108" spans="1:6" x14ac:dyDescent="0.3">
      <c r="A1108" s="7" t="s">
        <v>4281</v>
      </c>
      <c r="B1108" s="7" t="s">
        <v>1773</v>
      </c>
      <c r="C1108" s="7" t="s">
        <v>24</v>
      </c>
      <c r="D1108" s="9">
        <v>46070</v>
      </c>
      <c r="E1108" s="3">
        <v>1926.07</v>
      </c>
      <c r="F1108" s="7" t="s">
        <v>3174</v>
      </c>
    </row>
    <row r="1109" spans="1:6" x14ac:dyDescent="0.3">
      <c r="A1109" s="7" t="s">
        <v>4282</v>
      </c>
      <c r="B1109" s="7" t="s">
        <v>1774</v>
      </c>
      <c r="C1109" s="7" t="s">
        <v>31</v>
      </c>
      <c r="D1109" s="9">
        <v>46086</v>
      </c>
      <c r="E1109" s="3">
        <v>2628.96</v>
      </c>
      <c r="F1109" s="7" t="s">
        <v>296</v>
      </c>
    </row>
    <row r="1110" spans="1:6" x14ac:dyDescent="0.3">
      <c r="A1110" s="7" t="s">
        <v>4283</v>
      </c>
      <c r="B1110" s="7" t="s">
        <v>1775</v>
      </c>
      <c r="C1110" s="7" t="s">
        <v>62</v>
      </c>
      <c r="D1110" s="9">
        <v>46016</v>
      </c>
      <c r="E1110" s="3">
        <v>2651.08</v>
      </c>
      <c r="F1110" s="7" t="s">
        <v>3184</v>
      </c>
    </row>
    <row r="1111" spans="1:6" x14ac:dyDescent="0.3">
      <c r="A1111" s="7" t="s">
        <v>4284</v>
      </c>
      <c r="B1111" s="7" t="s">
        <v>1776</v>
      </c>
      <c r="C1111" s="7" t="s">
        <v>105</v>
      </c>
      <c r="D1111" s="9">
        <v>45956</v>
      </c>
      <c r="E1111" s="3">
        <v>2057.9</v>
      </c>
      <c r="F1111" s="7" t="s">
        <v>3184</v>
      </c>
    </row>
    <row r="1112" spans="1:6" x14ac:dyDescent="0.3">
      <c r="A1112" s="7" t="s">
        <v>4285</v>
      </c>
      <c r="B1112" s="7" t="s">
        <v>1777</v>
      </c>
      <c r="C1112" s="7" t="s">
        <v>122</v>
      </c>
      <c r="D1112" s="9">
        <v>45880</v>
      </c>
      <c r="E1112" s="3">
        <v>10311.200000000001</v>
      </c>
      <c r="F1112" s="7" t="s">
        <v>296</v>
      </c>
    </row>
    <row r="1113" spans="1:6" x14ac:dyDescent="0.3">
      <c r="A1113" s="7" t="s">
        <v>4286</v>
      </c>
      <c r="B1113" s="7" t="s">
        <v>1778</v>
      </c>
      <c r="C1113" s="7" t="s">
        <v>117</v>
      </c>
      <c r="D1113" s="9">
        <v>45929</v>
      </c>
      <c r="E1113" s="3">
        <v>5477.56</v>
      </c>
      <c r="F1113" s="7" t="s">
        <v>298</v>
      </c>
    </row>
    <row r="1114" spans="1:6" x14ac:dyDescent="0.3">
      <c r="A1114" s="7" t="s">
        <v>4287</v>
      </c>
      <c r="B1114" s="7" t="s">
        <v>1779</v>
      </c>
      <c r="C1114" s="7" t="s">
        <v>113</v>
      </c>
      <c r="D1114" s="9">
        <v>45767</v>
      </c>
      <c r="E1114" s="3">
        <v>12409.09</v>
      </c>
      <c r="F1114" s="7" t="s">
        <v>3174</v>
      </c>
    </row>
    <row r="1115" spans="1:6" x14ac:dyDescent="0.3">
      <c r="A1115" s="7" t="s">
        <v>4288</v>
      </c>
      <c r="B1115" s="7" t="s">
        <v>1780</v>
      </c>
      <c r="C1115" s="7" t="s">
        <v>98</v>
      </c>
      <c r="D1115" s="9">
        <v>45665</v>
      </c>
      <c r="E1115" s="3">
        <v>9844.43</v>
      </c>
      <c r="F1115" s="7" t="s">
        <v>3174</v>
      </c>
    </row>
    <row r="1116" spans="1:6" x14ac:dyDescent="0.3">
      <c r="A1116" s="7" t="s">
        <v>4289</v>
      </c>
      <c r="B1116" s="7" t="s">
        <v>1781</v>
      </c>
      <c r="C1116" s="7" t="s">
        <v>83</v>
      </c>
      <c r="D1116" s="9">
        <v>46119</v>
      </c>
      <c r="E1116" s="3">
        <v>14301.54</v>
      </c>
      <c r="F1116" s="7" t="s">
        <v>296</v>
      </c>
    </row>
    <row r="1117" spans="1:6" x14ac:dyDescent="0.3">
      <c r="A1117" s="7" t="s">
        <v>4290</v>
      </c>
      <c r="B1117" s="7" t="s">
        <v>1782</v>
      </c>
      <c r="C1117" s="7" t="s">
        <v>69</v>
      </c>
      <c r="D1117" s="9">
        <v>45823</v>
      </c>
      <c r="E1117" s="3">
        <v>1839.1</v>
      </c>
      <c r="F1117" s="7" t="s">
        <v>296</v>
      </c>
    </row>
    <row r="1118" spans="1:6" x14ac:dyDescent="0.3">
      <c r="A1118" s="7" t="s">
        <v>4291</v>
      </c>
      <c r="B1118" s="7" t="s">
        <v>1784</v>
      </c>
      <c r="C1118" s="7" t="s">
        <v>80</v>
      </c>
      <c r="D1118" s="9">
        <v>45737</v>
      </c>
      <c r="E1118" s="3">
        <v>10713.15</v>
      </c>
      <c r="F1118" s="7" t="s">
        <v>3174</v>
      </c>
    </row>
    <row r="1119" spans="1:6" x14ac:dyDescent="0.3">
      <c r="A1119" s="7" t="s">
        <v>4292</v>
      </c>
      <c r="B1119" s="7" t="s">
        <v>1785</v>
      </c>
      <c r="C1119" s="7" t="s">
        <v>67</v>
      </c>
      <c r="D1119" s="9">
        <v>45796</v>
      </c>
      <c r="E1119" s="3">
        <v>2553.2600000000002</v>
      </c>
      <c r="F1119" s="7" t="s">
        <v>296</v>
      </c>
    </row>
    <row r="1120" spans="1:6" x14ac:dyDescent="0.3">
      <c r="A1120" s="7" t="s">
        <v>4293</v>
      </c>
      <c r="B1120" s="7" t="s">
        <v>1786</v>
      </c>
      <c r="C1120" s="7" t="s">
        <v>62</v>
      </c>
      <c r="D1120" s="9">
        <v>45997</v>
      </c>
      <c r="E1120" s="3">
        <v>2993.75</v>
      </c>
      <c r="F1120" s="7" t="s">
        <v>3184</v>
      </c>
    </row>
    <row r="1121" spans="1:6" x14ac:dyDescent="0.3">
      <c r="A1121" s="7" t="s">
        <v>4294</v>
      </c>
      <c r="B1121" s="7" t="s">
        <v>1787</v>
      </c>
      <c r="C1121" s="7" t="s">
        <v>63</v>
      </c>
      <c r="D1121" s="9">
        <v>46044</v>
      </c>
      <c r="E1121" s="3">
        <v>2593.6</v>
      </c>
      <c r="F1121" s="7" t="s">
        <v>3184</v>
      </c>
    </row>
    <row r="1122" spans="1:6" x14ac:dyDescent="0.3">
      <c r="A1122" s="7" t="s">
        <v>4295</v>
      </c>
      <c r="B1122" s="7" t="s">
        <v>1788</v>
      </c>
      <c r="C1122" s="7" t="s">
        <v>84</v>
      </c>
      <c r="D1122" s="9">
        <v>45981</v>
      </c>
      <c r="E1122" s="3">
        <v>5015.2700000000004</v>
      </c>
      <c r="F1122" s="7" t="s">
        <v>3174</v>
      </c>
    </row>
    <row r="1123" spans="1:6" x14ac:dyDescent="0.3">
      <c r="A1123" s="7" t="s">
        <v>4296</v>
      </c>
      <c r="B1123" s="7" t="s">
        <v>1789</v>
      </c>
      <c r="C1123" s="7" t="s">
        <v>56</v>
      </c>
      <c r="D1123" s="9">
        <v>45760</v>
      </c>
      <c r="E1123" s="3">
        <v>1913.01</v>
      </c>
      <c r="F1123" s="7" t="s">
        <v>298</v>
      </c>
    </row>
    <row r="1124" spans="1:6" x14ac:dyDescent="0.3">
      <c r="A1124" s="7" t="s">
        <v>4297</v>
      </c>
      <c r="B1124" s="7" t="s">
        <v>1790</v>
      </c>
      <c r="C1124" s="7" t="s">
        <v>108</v>
      </c>
      <c r="D1124" s="9">
        <v>46012</v>
      </c>
      <c r="E1124" s="3">
        <v>13598.79</v>
      </c>
      <c r="F1124" s="7" t="s">
        <v>3184</v>
      </c>
    </row>
    <row r="1125" spans="1:6" x14ac:dyDescent="0.3">
      <c r="A1125" s="7" t="s">
        <v>4298</v>
      </c>
      <c r="B1125" s="7" t="s">
        <v>1791</v>
      </c>
      <c r="C1125" s="7" t="s">
        <v>43</v>
      </c>
      <c r="D1125" s="9">
        <v>46113</v>
      </c>
      <c r="E1125" s="3">
        <v>13438.82</v>
      </c>
      <c r="F1125" s="7" t="s">
        <v>3184</v>
      </c>
    </row>
    <row r="1126" spans="1:6" x14ac:dyDescent="0.3">
      <c r="A1126" s="7" t="s">
        <v>4299</v>
      </c>
      <c r="B1126" s="7" t="s">
        <v>1792</v>
      </c>
      <c r="C1126" s="7" t="s">
        <v>32</v>
      </c>
      <c r="D1126" s="9">
        <v>46036</v>
      </c>
      <c r="E1126" s="3">
        <v>1979.46</v>
      </c>
      <c r="F1126" s="7" t="s">
        <v>3184</v>
      </c>
    </row>
    <row r="1127" spans="1:6" x14ac:dyDescent="0.3">
      <c r="A1127" s="7" t="s">
        <v>4300</v>
      </c>
      <c r="B1127" s="7" t="s">
        <v>1796</v>
      </c>
      <c r="C1127" s="7" t="s">
        <v>86</v>
      </c>
      <c r="D1127" s="9">
        <v>45698</v>
      </c>
      <c r="E1127" s="3">
        <v>2844.76</v>
      </c>
      <c r="F1127" s="7" t="s">
        <v>3174</v>
      </c>
    </row>
    <row r="1128" spans="1:6" x14ac:dyDescent="0.3">
      <c r="A1128" s="7" t="s">
        <v>4301</v>
      </c>
      <c r="B1128" s="7" t="s">
        <v>1797</v>
      </c>
      <c r="C1128" s="7" t="s">
        <v>50</v>
      </c>
      <c r="D1128" s="9">
        <v>45805</v>
      </c>
      <c r="E1128" s="3">
        <v>4241.38</v>
      </c>
      <c r="F1128" s="7" t="s">
        <v>3184</v>
      </c>
    </row>
    <row r="1129" spans="1:6" x14ac:dyDescent="0.3">
      <c r="A1129" s="7" t="s">
        <v>4302</v>
      </c>
      <c r="B1129" s="7" t="s">
        <v>1798</v>
      </c>
      <c r="C1129" s="7" t="s">
        <v>26</v>
      </c>
      <c r="D1129" s="9">
        <v>46068</v>
      </c>
      <c r="E1129" s="3">
        <v>2769.37</v>
      </c>
      <c r="F1129" s="7" t="s">
        <v>3174</v>
      </c>
    </row>
    <row r="1130" spans="1:6" x14ac:dyDescent="0.3">
      <c r="A1130" s="7" t="s">
        <v>4303</v>
      </c>
      <c r="B1130" s="7" t="s">
        <v>1799</v>
      </c>
      <c r="C1130" s="7" t="s">
        <v>13</v>
      </c>
      <c r="D1130" s="9">
        <v>46010</v>
      </c>
      <c r="E1130" s="3">
        <v>2069.06</v>
      </c>
      <c r="F1130" s="7" t="s">
        <v>3184</v>
      </c>
    </row>
    <row r="1131" spans="1:6" x14ac:dyDescent="0.3">
      <c r="A1131" s="7" t="s">
        <v>4304</v>
      </c>
      <c r="B1131" s="7" t="s">
        <v>1803</v>
      </c>
      <c r="C1131" s="7" t="s">
        <v>71</v>
      </c>
      <c r="D1131" s="9">
        <v>45852</v>
      </c>
      <c r="E1131" s="3">
        <v>2157.0300000000002</v>
      </c>
      <c r="F1131" s="7" t="s">
        <v>296</v>
      </c>
    </row>
    <row r="1132" spans="1:6" x14ac:dyDescent="0.3">
      <c r="A1132" s="7" t="s">
        <v>4305</v>
      </c>
      <c r="B1132" s="7" t="s">
        <v>1804</v>
      </c>
      <c r="C1132" s="7" t="s">
        <v>49</v>
      </c>
      <c r="D1132" s="9">
        <v>45708</v>
      </c>
      <c r="E1132" s="3">
        <v>5477.27</v>
      </c>
      <c r="F1132" s="7" t="s">
        <v>296</v>
      </c>
    </row>
    <row r="1133" spans="1:6" x14ac:dyDescent="0.3">
      <c r="A1133" s="7" t="s">
        <v>4306</v>
      </c>
      <c r="B1133" s="7" t="s">
        <v>1804</v>
      </c>
      <c r="C1133" s="7" t="s">
        <v>49</v>
      </c>
      <c r="D1133" s="9">
        <v>45723</v>
      </c>
      <c r="E1133" s="3">
        <v>7638.98</v>
      </c>
      <c r="F1133" s="7" t="s">
        <v>298</v>
      </c>
    </row>
    <row r="1134" spans="1:6" x14ac:dyDescent="0.3">
      <c r="A1134" s="7" t="s">
        <v>4307</v>
      </c>
      <c r="B1134" s="7" t="s">
        <v>1806</v>
      </c>
      <c r="C1134" s="7" t="s">
        <v>71</v>
      </c>
      <c r="D1134" s="9">
        <v>46108</v>
      </c>
      <c r="E1134" s="3">
        <v>2694.38</v>
      </c>
      <c r="F1134" s="7" t="s">
        <v>298</v>
      </c>
    </row>
    <row r="1135" spans="1:6" x14ac:dyDescent="0.3">
      <c r="A1135" s="7" t="s">
        <v>4308</v>
      </c>
      <c r="B1135" s="7" t="s">
        <v>1808</v>
      </c>
      <c r="C1135" s="7" t="s">
        <v>36</v>
      </c>
      <c r="D1135" s="9">
        <v>45792</v>
      </c>
      <c r="E1135" s="3">
        <v>1918.8</v>
      </c>
      <c r="F1135" s="7" t="s">
        <v>296</v>
      </c>
    </row>
    <row r="1136" spans="1:6" x14ac:dyDescent="0.3">
      <c r="A1136" s="7" t="s">
        <v>4309</v>
      </c>
      <c r="B1136" s="7" t="s">
        <v>1810</v>
      </c>
      <c r="C1136" s="7" t="s">
        <v>105</v>
      </c>
      <c r="D1136" s="9">
        <v>45854</v>
      </c>
      <c r="E1136" s="3">
        <v>3912.45</v>
      </c>
      <c r="F1136" s="7" t="s">
        <v>298</v>
      </c>
    </row>
    <row r="1137" spans="1:6" x14ac:dyDescent="0.3">
      <c r="A1137" s="7" t="s">
        <v>4310</v>
      </c>
      <c r="B1137" s="7" t="s">
        <v>1811</v>
      </c>
      <c r="C1137" s="7" t="s">
        <v>47</v>
      </c>
      <c r="D1137" s="9">
        <v>45946</v>
      </c>
      <c r="E1137" s="3">
        <v>3261.15</v>
      </c>
      <c r="F1137" s="7" t="s">
        <v>296</v>
      </c>
    </row>
    <row r="1138" spans="1:6" x14ac:dyDescent="0.3">
      <c r="A1138" s="7" t="s">
        <v>4311</v>
      </c>
      <c r="B1138" s="7" t="s">
        <v>1812</v>
      </c>
      <c r="C1138" s="7" t="s">
        <v>104</v>
      </c>
      <c r="D1138" s="9">
        <v>45769</v>
      </c>
      <c r="E1138" s="3">
        <v>14313.34</v>
      </c>
      <c r="F1138" s="7" t="s">
        <v>3174</v>
      </c>
    </row>
    <row r="1139" spans="1:6" x14ac:dyDescent="0.3">
      <c r="A1139" s="7" t="s">
        <v>4312</v>
      </c>
      <c r="B1139" s="7" t="s">
        <v>1815</v>
      </c>
      <c r="C1139" s="7" t="s">
        <v>45</v>
      </c>
      <c r="D1139" s="9">
        <v>46022</v>
      </c>
      <c r="E1139" s="3">
        <v>11529.61</v>
      </c>
      <c r="F1139" s="7" t="s">
        <v>298</v>
      </c>
    </row>
    <row r="1140" spans="1:6" x14ac:dyDescent="0.3">
      <c r="A1140" s="7" t="s">
        <v>4313</v>
      </c>
      <c r="B1140" s="7" t="s">
        <v>1817</v>
      </c>
      <c r="C1140" s="7" t="s">
        <v>89</v>
      </c>
      <c r="D1140" s="9">
        <v>45741</v>
      </c>
      <c r="E1140" s="3">
        <v>3654.56</v>
      </c>
      <c r="F1140" s="7" t="s">
        <v>296</v>
      </c>
    </row>
    <row r="1141" spans="1:6" x14ac:dyDescent="0.3">
      <c r="A1141" s="7" t="s">
        <v>4314</v>
      </c>
      <c r="B1141" s="7" t="s">
        <v>1818</v>
      </c>
      <c r="C1141" s="7" t="s">
        <v>96</v>
      </c>
      <c r="D1141" s="9">
        <v>45977</v>
      </c>
      <c r="E1141" s="3">
        <v>5775.16</v>
      </c>
      <c r="F1141" s="7" t="s">
        <v>3184</v>
      </c>
    </row>
    <row r="1142" spans="1:6" x14ac:dyDescent="0.3">
      <c r="A1142" s="7" t="s">
        <v>4315</v>
      </c>
      <c r="B1142" s="7" t="s">
        <v>1819</v>
      </c>
      <c r="C1142" s="7" t="s">
        <v>32</v>
      </c>
      <c r="D1142" s="9">
        <v>46065</v>
      </c>
      <c r="E1142" s="3">
        <v>1206.52</v>
      </c>
      <c r="F1142" s="7" t="s">
        <v>3184</v>
      </c>
    </row>
    <row r="1143" spans="1:6" x14ac:dyDescent="0.3">
      <c r="A1143" s="7" t="s">
        <v>4316</v>
      </c>
      <c r="B1143" s="7" t="s">
        <v>1819</v>
      </c>
      <c r="C1143" s="7" t="s">
        <v>32</v>
      </c>
      <c r="D1143" s="9">
        <v>46066</v>
      </c>
      <c r="E1143" s="3">
        <v>1681.15</v>
      </c>
      <c r="F1143" s="7" t="s">
        <v>3174</v>
      </c>
    </row>
    <row r="1144" spans="1:6" x14ac:dyDescent="0.3">
      <c r="A1144" s="7" t="s">
        <v>4317</v>
      </c>
      <c r="B1144" s="7" t="s">
        <v>1820</v>
      </c>
      <c r="C1144" s="7" t="s">
        <v>99</v>
      </c>
      <c r="D1144" s="9">
        <v>45959</v>
      </c>
      <c r="E1144" s="3">
        <v>1403.64</v>
      </c>
      <c r="F1144" s="7" t="s">
        <v>3174</v>
      </c>
    </row>
    <row r="1145" spans="1:6" x14ac:dyDescent="0.3">
      <c r="A1145" s="7" t="s">
        <v>4318</v>
      </c>
      <c r="B1145" s="7" t="s">
        <v>1820</v>
      </c>
      <c r="C1145" s="7" t="s">
        <v>99</v>
      </c>
      <c r="D1145" s="9">
        <v>45961</v>
      </c>
      <c r="E1145" s="3">
        <v>680.64</v>
      </c>
      <c r="F1145" s="7" t="s">
        <v>298</v>
      </c>
    </row>
    <row r="1146" spans="1:6" x14ac:dyDescent="0.3">
      <c r="A1146" s="7" t="s">
        <v>4319</v>
      </c>
      <c r="B1146" s="7" t="s">
        <v>1821</v>
      </c>
      <c r="C1146" s="7" t="s">
        <v>18</v>
      </c>
      <c r="D1146" s="9">
        <v>45972</v>
      </c>
      <c r="E1146" s="3">
        <v>2073.5100000000002</v>
      </c>
      <c r="F1146" s="7" t="s">
        <v>3184</v>
      </c>
    </row>
    <row r="1147" spans="1:6" x14ac:dyDescent="0.3">
      <c r="A1147" s="7" t="s">
        <v>4320</v>
      </c>
      <c r="B1147" s="7" t="s">
        <v>1823</v>
      </c>
      <c r="C1147" s="7" t="s">
        <v>37</v>
      </c>
      <c r="D1147" s="9">
        <v>46092</v>
      </c>
      <c r="E1147" s="3">
        <v>2433.4699999999998</v>
      </c>
      <c r="F1147" s="7" t="s">
        <v>3184</v>
      </c>
    </row>
    <row r="1148" spans="1:6" x14ac:dyDescent="0.3">
      <c r="A1148" s="7" t="s">
        <v>4321</v>
      </c>
      <c r="B1148" s="7" t="s">
        <v>1824</v>
      </c>
      <c r="C1148" s="7" t="s">
        <v>114</v>
      </c>
      <c r="D1148" s="9">
        <v>45932</v>
      </c>
      <c r="E1148" s="3">
        <v>2726.51</v>
      </c>
      <c r="F1148" s="7" t="s">
        <v>3184</v>
      </c>
    </row>
    <row r="1149" spans="1:6" x14ac:dyDescent="0.3">
      <c r="A1149" s="7" t="s">
        <v>4322</v>
      </c>
      <c r="B1149" s="7" t="s">
        <v>1825</v>
      </c>
      <c r="C1149" s="7" t="s">
        <v>103</v>
      </c>
      <c r="D1149" s="9">
        <v>45959</v>
      </c>
      <c r="E1149" s="3">
        <v>2259.7600000000002</v>
      </c>
      <c r="F1149" s="7" t="s">
        <v>296</v>
      </c>
    </row>
    <row r="1150" spans="1:6" x14ac:dyDescent="0.3">
      <c r="A1150" s="7" t="s">
        <v>4323</v>
      </c>
      <c r="B1150" s="7" t="s">
        <v>1826</v>
      </c>
      <c r="C1150" s="7" t="s">
        <v>7</v>
      </c>
      <c r="D1150" s="9">
        <v>45896</v>
      </c>
      <c r="E1150" s="3">
        <v>2117.77</v>
      </c>
      <c r="F1150" s="7" t="s">
        <v>3184</v>
      </c>
    </row>
    <row r="1151" spans="1:6" x14ac:dyDescent="0.3">
      <c r="A1151" s="7" t="s">
        <v>4324</v>
      </c>
      <c r="B1151" s="7" t="s">
        <v>1828</v>
      </c>
      <c r="C1151" s="7" t="s">
        <v>83</v>
      </c>
      <c r="D1151" s="9">
        <v>45985</v>
      </c>
      <c r="E1151" s="3">
        <v>2083.92</v>
      </c>
      <c r="F1151" s="7" t="s">
        <v>296</v>
      </c>
    </row>
    <row r="1152" spans="1:6" x14ac:dyDescent="0.3">
      <c r="A1152" s="7" t="s">
        <v>4325</v>
      </c>
      <c r="B1152" s="7" t="s">
        <v>1830</v>
      </c>
      <c r="C1152" s="7" t="s">
        <v>38</v>
      </c>
      <c r="D1152" s="9">
        <v>46052</v>
      </c>
      <c r="E1152" s="3">
        <v>3741.41</v>
      </c>
      <c r="F1152" s="7" t="s">
        <v>3184</v>
      </c>
    </row>
    <row r="1153" spans="1:6" x14ac:dyDescent="0.3">
      <c r="A1153" s="7" t="s">
        <v>4326</v>
      </c>
      <c r="B1153" s="7" t="s">
        <v>1833</v>
      </c>
      <c r="C1153" s="7" t="s">
        <v>64</v>
      </c>
      <c r="D1153" s="9">
        <v>46113</v>
      </c>
      <c r="E1153" s="3">
        <v>2474.63</v>
      </c>
      <c r="F1153" s="7" t="s">
        <v>298</v>
      </c>
    </row>
    <row r="1154" spans="1:6" x14ac:dyDescent="0.3">
      <c r="A1154" s="7" t="s">
        <v>4327</v>
      </c>
      <c r="B1154" s="7" t="s">
        <v>1834</v>
      </c>
      <c r="C1154" s="7" t="s">
        <v>73</v>
      </c>
      <c r="D1154" s="9">
        <v>45942</v>
      </c>
      <c r="E1154" s="3">
        <v>2843.15</v>
      </c>
      <c r="F1154" s="7" t="s">
        <v>3184</v>
      </c>
    </row>
    <row r="1155" spans="1:6" x14ac:dyDescent="0.3">
      <c r="A1155" s="7" t="s">
        <v>4328</v>
      </c>
      <c r="B1155" s="7" t="s">
        <v>1835</v>
      </c>
      <c r="C1155" s="7" t="s">
        <v>63</v>
      </c>
      <c r="D1155" s="9">
        <v>45971</v>
      </c>
      <c r="E1155" s="3">
        <v>13785.67</v>
      </c>
      <c r="F1155" s="7" t="s">
        <v>296</v>
      </c>
    </row>
    <row r="1156" spans="1:6" x14ac:dyDescent="0.3">
      <c r="A1156" s="7" t="s">
        <v>4329</v>
      </c>
      <c r="B1156" s="7" t="s">
        <v>1837</v>
      </c>
      <c r="C1156" s="7" t="s">
        <v>23</v>
      </c>
      <c r="D1156" s="9">
        <v>45726</v>
      </c>
      <c r="E1156" s="3">
        <v>4288.6899999999996</v>
      </c>
      <c r="F1156" s="7" t="s">
        <v>296</v>
      </c>
    </row>
    <row r="1157" spans="1:6" x14ac:dyDescent="0.3">
      <c r="A1157" s="7" t="s">
        <v>4330</v>
      </c>
      <c r="B1157" s="7" t="s">
        <v>1838</v>
      </c>
      <c r="C1157" s="7" t="s">
        <v>65</v>
      </c>
      <c r="D1157" s="9">
        <v>45944</v>
      </c>
      <c r="E1157" s="3">
        <v>1809.49</v>
      </c>
      <c r="F1157" s="7" t="s">
        <v>296</v>
      </c>
    </row>
    <row r="1158" spans="1:6" x14ac:dyDescent="0.3">
      <c r="A1158" s="7" t="s">
        <v>4331</v>
      </c>
      <c r="B1158" s="7" t="s">
        <v>1839</v>
      </c>
      <c r="C1158" s="7" t="s">
        <v>22</v>
      </c>
      <c r="D1158" s="9">
        <v>45750</v>
      </c>
      <c r="E1158" s="3">
        <v>9756.52</v>
      </c>
      <c r="F1158" s="7" t="s">
        <v>298</v>
      </c>
    </row>
    <row r="1159" spans="1:6" x14ac:dyDescent="0.3">
      <c r="A1159" s="7" t="s">
        <v>4332</v>
      </c>
      <c r="B1159" s="7" t="s">
        <v>1840</v>
      </c>
      <c r="C1159" s="7" t="s">
        <v>44</v>
      </c>
      <c r="D1159" s="9">
        <v>45736</v>
      </c>
      <c r="E1159" s="3">
        <v>3993.24</v>
      </c>
      <c r="F1159" s="7" t="s">
        <v>3174</v>
      </c>
    </row>
    <row r="1160" spans="1:6" x14ac:dyDescent="0.3">
      <c r="A1160" s="7" t="s">
        <v>4333</v>
      </c>
      <c r="B1160" s="7" t="s">
        <v>1841</v>
      </c>
      <c r="C1160" s="7" t="s">
        <v>54</v>
      </c>
      <c r="D1160" s="9">
        <v>45729</v>
      </c>
      <c r="E1160" s="3">
        <v>1724.18</v>
      </c>
      <c r="F1160" s="7" t="s">
        <v>296</v>
      </c>
    </row>
    <row r="1161" spans="1:6" x14ac:dyDescent="0.3">
      <c r="A1161" s="7" t="s">
        <v>4334</v>
      </c>
      <c r="B1161" s="7" t="s">
        <v>1841</v>
      </c>
      <c r="C1161" s="7" t="s">
        <v>54</v>
      </c>
      <c r="D1161" s="9">
        <v>45738</v>
      </c>
      <c r="E1161" s="3">
        <v>1303.1500000000001</v>
      </c>
      <c r="F1161" s="7" t="s">
        <v>296</v>
      </c>
    </row>
    <row r="1162" spans="1:6" x14ac:dyDescent="0.3">
      <c r="A1162" s="7" t="s">
        <v>4335</v>
      </c>
      <c r="B1162" s="7" t="s">
        <v>1842</v>
      </c>
      <c r="C1162" s="7" t="s">
        <v>82</v>
      </c>
      <c r="D1162" s="9">
        <v>45694</v>
      </c>
      <c r="E1162" s="3">
        <v>2293.98</v>
      </c>
      <c r="F1162" s="7" t="s">
        <v>298</v>
      </c>
    </row>
    <row r="1163" spans="1:6" x14ac:dyDescent="0.3">
      <c r="A1163" s="7" t="s">
        <v>4336</v>
      </c>
      <c r="B1163" s="7" t="s">
        <v>1843</v>
      </c>
      <c r="C1163" s="7" t="s">
        <v>111</v>
      </c>
      <c r="D1163" s="9">
        <v>45845</v>
      </c>
      <c r="E1163" s="3">
        <v>9833.5300000000007</v>
      </c>
      <c r="F1163" s="7" t="s">
        <v>3184</v>
      </c>
    </row>
    <row r="1164" spans="1:6" x14ac:dyDescent="0.3">
      <c r="A1164" s="7" t="s">
        <v>4337</v>
      </c>
      <c r="B1164" s="7" t="s">
        <v>1844</v>
      </c>
      <c r="C1164" s="7" t="s">
        <v>118</v>
      </c>
      <c r="D1164" s="9">
        <v>45755</v>
      </c>
      <c r="E1164" s="3">
        <v>1791.93</v>
      </c>
      <c r="F1164" s="7" t="s">
        <v>3184</v>
      </c>
    </row>
    <row r="1165" spans="1:6" x14ac:dyDescent="0.3">
      <c r="A1165" s="7" t="s">
        <v>4338</v>
      </c>
      <c r="B1165" s="7" t="s">
        <v>1845</v>
      </c>
      <c r="C1165" s="7" t="s">
        <v>122</v>
      </c>
      <c r="D1165" s="9">
        <v>45993</v>
      </c>
      <c r="E1165" s="3">
        <v>2901.09</v>
      </c>
      <c r="F1165" s="7" t="s">
        <v>3174</v>
      </c>
    </row>
    <row r="1166" spans="1:6" x14ac:dyDescent="0.3">
      <c r="A1166" s="7" t="s">
        <v>4339</v>
      </c>
      <c r="B1166" s="7" t="s">
        <v>1847</v>
      </c>
      <c r="C1166" s="7" t="s">
        <v>26</v>
      </c>
      <c r="D1166" s="9">
        <v>45903</v>
      </c>
      <c r="E1166" s="3">
        <v>5009.53</v>
      </c>
      <c r="F1166" s="7" t="s">
        <v>298</v>
      </c>
    </row>
    <row r="1167" spans="1:6" x14ac:dyDescent="0.3">
      <c r="A1167" s="7" t="s">
        <v>4340</v>
      </c>
      <c r="B1167" s="7" t="s">
        <v>1848</v>
      </c>
      <c r="C1167" s="7" t="s">
        <v>59</v>
      </c>
      <c r="D1167" s="9">
        <v>46120</v>
      </c>
      <c r="E1167" s="3">
        <v>1674.16</v>
      </c>
      <c r="F1167" s="7" t="s">
        <v>298</v>
      </c>
    </row>
    <row r="1168" spans="1:6" x14ac:dyDescent="0.3">
      <c r="A1168" s="7" t="s">
        <v>4341</v>
      </c>
      <c r="B1168" s="7" t="s">
        <v>1849</v>
      </c>
      <c r="C1168" s="7" t="s">
        <v>92</v>
      </c>
      <c r="D1168" s="9">
        <v>45887</v>
      </c>
      <c r="E1168" s="3">
        <v>10717.55</v>
      </c>
      <c r="F1168" s="7" t="s">
        <v>3174</v>
      </c>
    </row>
    <row r="1169" spans="1:6" x14ac:dyDescent="0.3">
      <c r="A1169" s="7" t="s">
        <v>4342</v>
      </c>
      <c r="B1169" s="7" t="s">
        <v>1851</v>
      </c>
      <c r="C1169" s="7" t="s">
        <v>89</v>
      </c>
      <c r="D1169" s="9">
        <v>46102</v>
      </c>
      <c r="E1169" s="3">
        <v>3086.39</v>
      </c>
      <c r="F1169" s="7" t="s">
        <v>3184</v>
      </c>
    </row>
    <row r="1170" spans="1:6" x14ac:dyDescent="0.3">
      <c r="A1170" s="7" t="s">
        <v>4343</v>
      </c>
      <c r="B1170" s="7" t="s">
        <v>1853</v>
      </c>
      <c r="C1170" s="7" t="s">
        <v>67</v>
      </c>
      <c r="D1170" s="9">
        <v>46002</v>
      </c>
      <c r="E1170" s="3">
        <v>3860.66</v>
      </c>
      <c r="F1170" s="7" t="s">
        <v>3174</v>
      </c>
    </row>
    <row r="1171" spans="1:6" x14ac:dyDescent="0.3">
      <c r="A1171" s="7" t="s">
        <v>4344</v>
      </c>
      <c r="B1171" s="7" t="s">
        <v>1856</v>
      </c>
      <c r="C1171" s="7" t="s">
        <v>58</v>
      </c>
      <c r="D1171" s="9">
        <v>46101</v>
      </c>
      <c r="E1171" s="3">
        <v>3421.92</v>
      </c>
      <c r="F1171" s="7" t="s">
        <v>3184</v>
      </c>
    </row>
    <row r="1172" spans="1:6" x14ac:dyDescent="0.3">
      <c r="A1172" s="7" t="s">
        <v>4345</v>
      </c>
      <c r="B1172" s="7" t="s">
        <v>1857</v>
      </c>
      <c r="C1172" s="7" t="s">
        <v>30</v>
      </c>
      <c r="D1172" s="9">
        <v>46111</v>
      </c>
      <c r="E1172" s="3">
        <v>1986.76</v>
      </c>
      <c r="F1172" s="7" t="s">
        <v>298</v>
      </c>
    </row>
    <row r="1173" spans="1:6" x14ac:dyDescent="0.3">
      <c r="A1173" s="7" t="s">
        <v>4346</v>
      </c>
      <c r="B1173" s="7" t="s">
        <v>1857</v>
      </c>
      <c r="C1173" s="7" t="s">
        <v>30</v>
      </c>
      <c r="D1173" s="9">
        <v>46118</v>
      </c>
      <c r="E1173" s="3">
        <v>876.22</v>
      </c>
      <c r="F1173" s="7" t="s">
        <v>3184</v>
      </c>
    </row>
    <row r="1174" spans="1:6" x14ac:dyDescent="0.3">
      <c r="A1174" s="7" t="s">
        <v>4347</v>
      </c>
      <c r="B1174" s="7" t="s">
        <v>1858</v>
      </c>
      <c r="C1174" s="7" t="s">
        <v>18</v>
      </c>
      <c r="D1174" s="9">
        <v>45949</v>
      </c>
      <c r="E1174" s="3">
        <v>9715.4699999999993</v>
      </c>
      <c r="F1174" s="7" t="s">
        <v>3184</v>
      </c>
    </row>
    <row r="1175" spans="1:6" x14ac:dyDescent="0.3">
      <c r="A1175" s="7" t="s">
        <v>4348</v>
      </c>
      <c r="B1175" s="7" t="s">
        <v>1859</v>
      </c>
      <c r="C1175" s="7" t="s">
        <v>30</v>
      </c>
      <c r="D1175" s="9">
        <v>45960</v>
      </c>
      <c r="E1175" s="3">
        <v>3575.74</v>
      </c>
      <c r="F1175" s="7" t="s">
        <v>3184</v>
      </c>
    </row>
    <row r="1176" spans="1:6" x14ac:dyDescent="0.3">
      <c r="A1176" s="7" t="s">
        <v>4349</v>
      </c>
      <c r="B1176" s="7" t="s">
        <v>1861</v>
      </c>
      <c r="C1176" s="7" t="s">
        <v>14</v>
      </c>
      <c r="D1176" s="9">
        <v>45845</v>
      </c>
      <c r="E1176" s="3">
        <v>2374.15</v>
      </c>
      <c r="F1176" s="7" t="s">
        <v>298</v>
      </c>
    </row>
    <row r="1177" spans="1:6" x14ac:dyDescent="0.3">
      <c r="A1177" s="7" t="s">
        <v>4350</v>
      </c>
      <c r="B1177" s="7" t="s">
        <v>1861</v>
      </c>
      <c r="C1177" s="7" t="s">
        <v>14</v>
      </c>
      <c r="D1177" s="9">
        <v>45847</v>
      </c>
      <c r="E1177" s="3">
        <v>1743.68</v>
      </c>
      <c r="F1177" s="7" t="s">
        <v>296</v>
      </c>
    </row>
    <row r="1178" spans="1:6" x14ac:dyDescent="0.3">
      <c r="A1178" s="7" t="s">
        <v>4351</v>
      </c>
      <c r="B1178" s="7" t="s">
        <v>1862</v>
      </c>
      <c r="C1178" s="7" t="s">
        <v>48</v>
      </c>
      <c r="D1178" s="9">
        <v>45829</v>
      </c>
      <c r="E1178" s="3">
        <v>1493.01</v>
      </c>
      <c r="F1178" s="7" t="s">
        <v>3174</v>
      </c>
    </row>
    <row r="1179" spans="1:6" x14ac:dyDescent="0.3">
      <c r="A1179" s="7" t="s">
        <v>4352</v>
      </c>
      <c r="B1179" s="7" t="s">
        <v>1862</v>
      </c>
      <c r="C1179" s="7" t="s">
        <v>48</v>
      </c>
      <c r="D1179" s="9">
        <v>45838</v>
      </c>
      <c r="E1179" s="3">
        <v>896.93</v>
      </c>
      <c r="F1179" s="7" t="s">
        <v>3184</v>
      </c>
    </row>
    <row r="1180" spans="1:6" x14ac:dyDescent="0.3">
      <c r="A1180" s="7" t="s">
        <v>4353</v>
      </c>
      <c r="B1180" s="7" t="s">
        <v>1863</v>
      </c>
      <c r="C1180" s="7" t="s">
        <v>37</v>
      </c>
      <c r="D1180" s="9">
        <v>46099</v>
      </c>
      <c r="E1180" s="3">
        <v>2375.5100000000002</v>
      </c>
      <c r="F1180" s="7" t="s">
        <v>296</v>
      </c>
    </row>
    <row r="1181" spans="1:6" x14ac:dyDescent="0.3">
      <c r="A1181" s="7" t="s">
        <v>4354</v>
      </c>
      <c r="B1181" s="7" t="s">
        <v>1865</v>
      </c>
      <c r="C1181" s="7" t="s">
        <v>15</v>
      </c>
      <c r="D1181" s="9">
        <v>45840</v>
      </c>
      <c r="E1181" s="3">
        <v>2723.15</v>
      </c>
      <c r="F1181" s="7" t="s">
        <v>3174</v>
      </c>
    </row>
    <row r="1182" spans="1:6" x14ac:dyDescent="0.3">
      <c r="A1182" s="7" t="s">
        <v>4355</v>
      </c>
      <c r="B1182" s="7" t="s">
        <v>1867</v>
      </c>
      <c r="C1182" s="7" t="s">
        <v>104</v>
      </c>
      <c r="D1182" s="9">
        <v>46003</v>
      </c>
      <c r="E1182" s="3">
        <v>2554.08</v>
      </c>
      <c r="F1182" s="7" t="s">
        <v>3184</v>
      </c>
    </row>
    <row r="1183" spans="1:6" x14ac:dyDescent="0.3">
      <c r="A1183" s="7" t="s">
        <v>4356</v>
      </c>
      <c r="B1183" s="7" t="s">
        <v>1868</v>
      </c>
      <c r="C1183" s="7" t="s">
        <v>64</v>
      </c>
      <c r="D1183" s="9">
        <v>45733</v>
      </c>
      <c r="E1183" s="3">
        <v>3712.17</v>
      </c>
      <c r="F1183" s="7" t="s">
        <v>3184</v>
      </c>
    </row>
    <row r="1184" spans="1:6" x14ac:dyDescent="0.3">
      <c r="A1184" s="7" t="s">
        <v>4357</v>
      </c>
      <c r="B1184" s="7" t="s">
        <v>1870</v>
      </c>
      <c r="C1184" s="7" t="s">
        <v>61</v>
      </c>
      <c r="D1184" s="9">
        <v>45763</v>
      </c>
      <c r="E1184" s="3">
        <v>2540.44</v>
      </c>
      <c r="F1184" s="7" t="s">
        <v>3184</v>
      </c>
    </row>
    <row r="1185" spans="1:6" x14ac:dyDescent="0.3">
      <c r="A1185" s="7" t="s">
        <v>4358</v>
      </c>
      <c r="B1185" s="7" t="s">
        <v>1872</v>
      </c>
      <c r="C1185" s="7" t="s">
        <v>124</v>
      </c>
      <c r="D1185" s="9">
        <v>45752</v>
      </c>
      <c r="E1185" s="3">
        <v>2653.06</v>
      </c>
      <c r="F1185" s="7" t="s">
        <v>298</v>
      </c>
    </row>
    <row r="1186" spans="1:6" x14ac:dyDescent="0.3">
      <c r="A1186" s="7" t="s">
        <v>4359</v>
      </c>
      <c r="B1186" s="7" t="s">
        <v>1873</v>
      </c>
      <c r="C1186" s="7" t="s">
        <v>51</v>
      </c>
      <c r="D1186" s="9">
        <v>45811</v>
      </c>
      <c r="E1186" s="3">
        <v>10911.85</v>
      </c>
      <c r="F1186" s="7" t="s">
        <v>298</v>
      </c>
    </row>
    <row r="1187" spans="1:6" x14ac:dyDescent="0.3">
      <c r="A1187" s="7" t="s">
        <v>4360</v>
      </c>
      <c r="B1187" s="7" t="s">
        <v>1874</v>
      </c>
      <c r="C1187" s="7" t="s">
        <v>27</v>
      </c>
      <c r="D1187" s="9">
        <v>46129</v>
      </c>
      <c r="E1187" s="3">
        <v>1593.18</v>
      </c>
      <c r="F1187" s="7" t="s">
        <v>3184</v>
      </c>
    </row>
    <row r="1188" spans="1:6" x14ac:dyDescent="0.3">
      <c r="A1188" s="7" t="s">
        <v>4361</v>
      </c>
      <c r="B1188" s="7" t="s">
        <v>1875</v>
      </c>
      <c r="C1188" s="7" t="s">
        <v>96</v>
      </c>
      <c r="D1188" s="9">
        <v>45730</v>
      </c>
      <c r="E1188" s="3">
        <v>1824.54</v>
      </c>
      <c r="F1188" s="7" t="s">
        <v>298</v>
      </c>
    </row>
    <row r="1189" spans="1:6" x14ac:dyDescent="0.3">
      <c r="A1189" s="7" t="s">
        <v>4362</v>
      </c>
      <c r="B1189" s="7" t="s">
        <v>1878</v>
      </c>
      <c r="C1189" s="7" t="s">
        <v>38</v>
      </c>
      <c r="D1189" s="9">
        <v>46095</v>
      </c>
      <c r="E1189" s="3">
        <v>1628.18</v>
      </c>
      <c r="F1189" s="7" t="s">
        <v>298</v>
      </c>
    </row>
    <row r="1190" spans="1:6" x14ac:dyDescent="0.3">
      <c r="A1190" s="7" t="s">
        <v>4363</v>
      </c>
      <c r="B1190" s="7" t="s">
        <v>1879</v>
      </c>
      <c r="C1190" s="7" t="s">
        <v>83</v>
      </c>
      <c r="D1190" s="9">
        <v>45849</v>
      </c>
      <c r="E1190" s="3">
        <v>2147.7800000000002</v>
      </c>
      <c r="F1190" s="7" t="s">
        <v>296</v>
      </c>
    </row>
    <row r="1191" spans="1:6" x14ac:dyDescent="0.3">
      <c r="A1191" s="7" t="s">
        <v>4364</v>
      </c>
      <c r="B1191" s="7" t="s">
        <v>1880</v>
      </c>
      <c r="C1191" s="7" t="s">
        <v>7</v>
      </c>
      <c r="D1191" s="9">
        <v>46041</v>
      </c>
      <c r="E1191" s="3">
        <v>2015.87</v>
      </c>
      <c r="F1191" s="7" t="s">
        <v>298</v>
      </c>
    </row>
    <row r="1192" spans="1:6" x14ac:dyDescent="0.3">
      <c r="A1192" s="7" t="s">
        <v>4365</v>
      </c>
      <c r="B1192" s="7" t="s">
        <v>1881</v>
      </c>
      <c r="C1192" s="7" t="s">
        <v>78</v>
      </c>
      <c r="D1192" s="9">
        <v>45671</v>
      </c>
      <c r="E1192" s="3">
        <v>3467.14</v>
      </c>
      <c r="F1192" s="7" t="s">
        <v>3174</v>
      </c>
    </row>
    <row r="1193" spans="1:6" x14ac:dyDescent="0.3">
      <c r="A1193" s="7" t="s">
        <v>4366</v>
      </c>
      <c r="B1193" s="7" t="s">
        <v>1882</v>
      </c>
      <c r="C1193" s="7" t="s">
        <v>107</v>
      </c>
      <c r="D1193" s="9">
        <v>46051</v>
      </c>
      <c r="E1193" s="3">
        <v>1946.38</v>
      </c>
      <c r="F1193" s="7" t="s">
        <v>298</v>
      </c>
    </row>
    <row r="1194" spans="1:6" x14ac:dyDescent="0.3">
      <c r="A1194" s="7" t="s">
        <v>4367</v>
      </c>
      <c r="B1194" s="7" t="s">
        <v>1886</v>
      </c>
      <c r="C1194" s="7" t="s">
        <v>102</v>
      </c>
      <c r="D1194" s="9">
        <v>45773</v>
      </c>
      <c r="E1194" s="3">
        <v>11378.31</v>
      </c>
      <c r="F1194" s="7" t="s">
        <v>3174</v>
      </c>
    </row>
    <row r="1195" spans="1:6" x14ac:dyDescent="0.3">
      <c r="A1195" s="7" t="s">
        <v>4368</v>
      </c>
      <c r="B1195" s="7" t="s">
        <v>1887</v>
      </c>
      <c r="C1195" s="7" t="s">
        <v>18</v>
      </c>
      <c r="D1195" s="9">
        <v>46017</v>
      </c>
      <c r="E1195" s="3">
        <v>3310.11</v>
      </c>
      <c r="F1195" s="7" t="s">
        <v>296</v>
      </c>
    </row>
    <row r="1196" spans="1:6" x14ac:dyDescent="0.3">
      <c r="A1196" s="7" t="s">
        <v>4369</v>
      </c>
      <c r="B1196" s="7" t="s">
        <v>1888</v>
      </c>
      <c r="C1196" s="7" t="s">
        <v>70</v>
      </c>
      <c r="D1196" s="9">
        <v>46084</v>
      </c>
      <c r="E1196" s="3">
        <v>3675.33</v>
      </c>
      <c r="F1196" s="7" t="s">
        <v>296</v>
      </c>
    </row>
    <row r="1197" spans="1:6" x14ac:dyDescent="0.3">
      <c r="A1197" s="7" t="s">
        <v>4370</v>
      </c>
      <c r="B1197" s="7" t="s">
        <v>1889</v>
      </c>
      <c r="C1197" s="7" t="s">
        <v>33</v>
      </c>
      <c r="D1197" s="9">
        <v>45968</v>
      </c>
      <c r="E1197" s="3">
        <v>2036.8</v>
      </c>
      <c r="F1197" s="7" t="s">
        <v>3184</v>
      </c>
    </row>
    <row r="1198" spans="1:6" x14ac:dyDescent="0.3">
      <c r="A1198" s="7" t="s">
        <v>4371</v>
      </c>
      <c r="B1198" s="7" t="s">
        <v>1890</v>
      </c>
      <c r="C1198" s="7" t="s">
        <v>118</v>
      </c>
      <c r="D1198" s="9">
        <v>46106</v>
      </c>
      <c r="E1198" s="3">
        <v>2635.3</v>
      </c>
      <c r="F1198" s="7" t="s">
        <v>3184</v>
      </c>
    </row>
    <row r="1199" spans="1:6" x14ac:dyDescent="0.3">
      <c r="A1199" s="7" t="s">
        <v>4372</v>
      </c>
      <c r="B1199" s="7" t="s">
        <v>1891</v>
      </c>
      <c r="C1199" s="7" t="s">
        <v>91</v>
      </c>
      <c r="D1199" s="9">
        <v>45918</v>
      </c>
      <c r="E1199" s="3">
        <v>1661.6</v>
      </c>
      <c r="F1199" s="7" t="s">
        <v>3174</v>
      </c>
    </row>
    <row r="1200" spans="1:6" x14ac:dyDescent="0.3">
      <c r="A1200" s="7" t="s">
        <v>4373</v>
      </c>
      <c r="B1200" s="7" t="s">
        <v>1891</v>
      </c>
      <c r="C1200" s="7" t="s">
        <v>91</v>
      </c>
      <c r="D1200" s="9">
        <v>45933</v>
      </c>
      <c r="E1200" s="3">
        <v>907.5</v>
      </c>
      <c r="F1200" s="7" t="s">
        <v>298</v>
      </c>
    </row>
    <row r="1201" spans="1:6" x14ac:dyDescent="0.3">
      <c r="A1201" s="7" t="s">
        <v>4374</v>
      </c>
      <c r="B1201" s="7" t="s">
        <v>1892</v>
      </c>
      <c r="C1201" s="7" t="s">
        <v>15</v>
      </c>
      <c r="D1201" s="9">
        <v>46049</v>
      </c>
      <c r="E1201" s="3">
        <v>1847.31</v>
      </c>
      <c r="F1201" s="7" t="s">
        <v>3174</v>
      </c>
    </row>
    <row r="1202" spans="1:6" x14ac:dyDescent="0.3">
      <c r="A1202" s="7" t="s">
        <v>4375</v>
      </c>
      <c r="B1202" s="7" t="s">
        <v>1893</v>
      </c>
      <c r="C1202" s="7" t="s">
        <v>79</v>
      </c>
      <c r="D1202" s="9">
        <v>45707</v>
      </c>
      <c r="E1202" s="3">
        <v>1609.49</v>
      </c>
      <c r="F1202" s="7" t="s">
        <v>298</v>
      </c>
    </row>
    <row r="1203" spans="1:6" x14ac:dyDescent="0.3">
      <c r="A1203" s="7" t="s">
        <v>4376</v>
      </c>
      <c r="B1203" s="7" t="s">
        <v>1893</v>
      </c>
      <c r="C1203" s="7" t="s">
        <v>79</v>
      </c>
      <c r="D1203" s="9">
        <v>45721</v>
      </c>
      <c r="E1203" s="3">
        <v>1370.05</v>
      </c>
      <c r="F1203" s="7" t="s">
        <v>3174</v>
      </c>
    </row>
    <row r="1204" spans="1:6" x14ac:dyDescent="0.3">
      <c r="A1204" s="7" t="s">
        <v>4377</v>
      </c>
      <c r="B1204" s="7" t="s">
        <v>1894</v>
      </c>
      <c r="C1204" s="7" t="s">
        <v>93</v>
      </c>
      <c r="D1204" s="9">
        <v>46057</v>
      </c>
      <c r="E1204" s="3">
        <v>5762.01</v>
      </c>
      <c r="F1204" s="7" t="s">
        <v>3184</v>
      </c>
    </row>
    <row r="1205" spans="1:6" x14ac:dyDescent="0.3">
      <c r="A1205" s="7" t="s">
        <v>4378</v>
      </c>
      <c r="B1205" s="7" t="s">
        <v>1895</v>
      </c>
      <c r="C1205" s="7" t="s">
        <v>39</v>
      </c>
      <c r="D1205" s="9">
        <v>46054</v>
      </c>
      <c r="E1205" s="3">
        <v>3590.34</v>
      </c>
      <c r="F1205" s="7" t="s">
        <v>3184</v>
      </c>
    </row>
    <row r="1206" spans="1:6" x14ac:dyDescent="0.3">
      <c r="A1206" s="7" t="s">
        <v>4379</v>
      </c>
      <c r="B1206" s="7" t="s">
        <v>1897</v>
      </c>
      <c r="C1206" s="7" t="s">
        <v>59</v>
      </c>
      <c r="D1206" s="9">
        <v>45726</v>
      </c>
      <c r="E1206" s="3">
        <v>2119.0100000000002</v>
      </c>
      <c r="F1206" s="7" t="s">
        <v>296</v>
      </c>
    </row>
    <row r="1207" spans="1:6" x14ac:dyDescent="0.3">
      <c r="A1207" s="7" t="s">
        <v>4380</v>
      </c>
      <c r="B1207" s="7" t="s">
        <v>1898</v>
      </c>
      <c r="C1207" s="7" t="s">
        <v>73</v>
      </c>
      <c r="D1207" s="9">
        <v>45957</v>
      </c>
      <c r="E1207" s="3">
        <v>2121.7199999999998</v>
      </c>
      <c r="F1207" s="7" t="s">
        <v>3184</v>
      </c>
    </row>
    <row r="1208" spans="1:6" x14ac:dyDescent="0.3">
      <c r="A1208" s="7" t="s">
        <v>4381</v>
      </c>
      <c r="B1208" s="7" t="s">
        <v>1899</v>
      </c>
      <c r="C1208" s="7" t="s">
        <v>60</v>
      </c>
      <c r="D1208" s="9">
        <v>45793</v>
      </c>
      <c r="E1208" s="3">
        <v>3460.56</v>
      </c>
      <c r="F1208" s="7" t="s">
        <v>298</v>
      </c>
    </row>
    <row r="1209" spans="1:6" x14ac:dyDescent="0.3">
      <c r="A1209" s="7" t="s">
        <v>4382</v>
      </c>
      <c r="B1209" s="7" t="s">
        <v>1900</v>
      </c>
      <c r="C1209" s="7" t="s">
        <v>17</v>
      </c>
      <c r="D1209" s="9">
        <v>45667</v>
      </c>
      <c r="E1209" s="3">
        <v>3428.41</v>
      </c>
      <c r="F1209" s="7" t="s">
        <v>3184</v>
      </c>
    </row>
    <row r="1210" spans="1:6" x14ac:dyDescent="0.3">
      <c r="A1210" s="7" t="s">
        <v>4383</v>
      </c>
      <c r="B1210" s="7" t="s">
        <v>1902</v>
      </c>
      <c r="C1210" s="7" t="s">
        <v>15</v>
      </c>
      <c r="D1210" s="9">
        <v>45788</v>
      </c>
      <c r="E1210" s="3">
        <v>3500.39</v>
      </c>
      <c r="F1210" s="7" t="s">
        <v>3184</v>
      </c>
    </row>
    <row r="1211" spans="1:6" x14ac:dyDescent="0.3">
      <c r="A1211" s="7" t="s">
        <v>4384</v>
      </c>
      <c r="B1211" s="7" t="s">
        <v>1903</v>
      </c>
      <c r="C1211" s="7" t="s">
        <v>10</v>
      </c>
      <c r="D1211" s="9">
        <v>45706</v>
      </c>
      <c r="E1211" s="3">
        <v>1890.21</v>
      </c>
      <c r="F1211" s="7" t="s">
        <v>296</v>
      </c>
    </row>
    <row r="1212" spans="1:6" x14ac:dyDescent="0.3">
      <c r="A1212" s="7" t="s">
        <v>4385</v>
      </c>
      <c r="B1212" s="7" t="s">
        <v>1904</v>
      </c>
      <c r="C1212" s="7" t="s">
        <v>67</v>
      </c>
      <c r="D1212" s="9">
        <v>45861</v>
      </c>
      <c r="E1212" s="3">
        <v>3916.11</v>
      </c>
      <c r="F1212" s="7" t="s">
        <v>3184</v>
      </c>
    </row>
    <row r="1213" spans="1:6" x14ac:dyDescent="0.3">
      <c r="A1213" s="7" t="s">
        <v>4386</v>
      </c>
      <c r="B1213" s="7" t="s">
        <v>1906</v>
      </c>
      <c r="C1213" s="7" t="s">
        <v>104</v>
      </c>
      <c r="D1213" s="9">
        <v>46109</v>
      </c>
      <c r="E1213" s="3">
        <v>5887.1</v>
      </c>
      <c r="F1213" s="7" t="s">
        <v>3184</v>
      </c>
    </row>
    <row r="1214" spans="1:6" x14ac:dyDescent="0.3">
      <c r="A1214" s="7" t="s">
        <v>4387</v>
      </c>
      <c r="B1214" s="7" t="s">
        <v>1907</v>
      </c>
      <c r="C1214" s="7" t="s">
        <v>14</v>
      </c>
      <c r="D1214" s="9">
        <v>45983</v>
      </c>
      <c r="E1214" s="3">
        <v>3150.42</v>
      </c>
      <c r="F1214" s="7" t="s">
        <v>298</v>
      </c>
    </row>
    <row r="1215" spans="1:6" x14ac:dyDescent="0.3">
      <c r="A1215" s="7" t="s">
        <v>4388</v>
      </c>
      <c r="B1215" s="7" t="s">
        <v>1908</v>
      </c>
      <c r="C1215" s="7" t="s">
        <v>23</v>
      </c>
      <c r="D1215" s="9">
        <v>46111</v>
      </c>
      <c r="E1215" s="3">
        <v>2852.87</v>
      </c>
      <c r="F1215" s="7" t="s">
        <v>3174</v>
      </c>
    </row>
    <row r="1216" spans="1:6" x14ac:dyDescent="0.3">
      <c r="A1216" s="7" t="s">
        <v>4389</v>
      </c>
      <c r="B1216" s="7" t="s">
        <v>1909</v>
      </c>
      <c r="C1216" s="7" t="s">
        <v>87</v>
      </c>
      <c r="D1216" s="9">
        <v>45887</v>
      </c>
      <c r="E1216" s="3">
        <v>3502.94</v>
      </c>
      <c r="F1216" s="7" t="s">
        <v>298</v>
      </c>
    </row>
    <row r="1217" spans="1:6" x14ac:dyDescent="0.3">
      <c r="A1217" s="7" t="s">
        <v>4390</v>
      </c>
      <c r="B1217" s="7" t="s">
        <v>1910</v>
      </c>
      <c r="C1217" s="7" t="s">
        <v>44</v>
      </c>
      <c r="D1217" s="9">
        <v>46032</v>
      </c>
      <c r="E1217" s="3">
        <v>9915.7900000000009</v>
      </c>
      <c r="F1217" s="7" t="s">
        <v>296</v>
      </c>
    </row>
    <row r="1218" spans="1:6" x14ac:dyDescent="0.3">
      <c r="A1218" s="7" t="s">
        <v>4391</v>
      </c>
      <c r="B1218" s="7" t="s">
        <v>1911</v>
      </c>
      <c r="C1218" s="7" t="s">
        <v>83</v>
      </c>
      <c r="D1218" s="9">
        <v>45988</v>
      </c>
      <c r="E1218" s="3">
        <v>11528.08</v>
      </c>
      <c r="F1218" s="7" t="s">
        <v>298</v>
      </c>
    </row>
    <row r="1219" spans="1:6" x14ac:dyDescent="0.3">
      <c r="A1219" s="7" t="s">
        <v>4392</v>
      </c>
      <c r="B1219" s="7" t="s">
        <v>1912</v>
      </c>
      <c r="C1219" s="7" t="s">
        <v>61</v>
      </c>
      <c r="D1219" s="9">
        <v>45913</v>
      </c>
      <c r="E1219" s="3">
        <v>1889.29</v>
      </c>
      <c r="F1219" s="7" t="s">
        <v>298</v>
      </c>
    </row>
    <row r="1220" spans="1:6" x14ac:dyDescent="0.3">
      <c r="A1220" s="7" t="s">
        <v>4393</v>
      </c>
      <c r="B1220" s="7" t="s">
        <v>1914</v>
      </c>
      <c r="C1220" s="7" t="s">
        <v>20</v>
      </c>
      <c r="D1220" s="9">
        <v>45860</v>
      </c>
      <c r="E1220" s="3">
        <v>2944.89</v>
      </c>
      <c r="F1220" s="7" t="s">
        <v>3174</v>
      </c>
    </row>
    <row r="1221" spans="1:6" x14ac:dyDescent="0.3">
      <c r="A1221" s="7" t="s">
        <v>4394</v>
      </c>
      <c r="B1221" s="7" t="s">
        <v>1916</v>
      </c>
      <c r="C1221" s="7" t="s">
        <v>68</v>
      </c>
      <c r="D1221" s="9">
        <v>45952</v>
      </c>
      <c r="E1221" s="3">
        <v>1213.49</v>
      </c>
      <c r="F1221" s="7" t="s">
        <v>3184</v>
      </c>
    </row>
    <row r="1222" spans="1:6" x14ac:dyDescent="0.3">
      <c r="A1222" s="7" t="s">
        <v>4395</v>
      </c>
      <c r="B1222" s="7" t="s">
        <v>1916</v>
      </c>
      <c r="C1222" s="7" t="s">
        <v>68</v>
      </c>
      <c r="D1222" s="9">
        <v>45959</v>
      </c>
      <c r="E1222" s="3">
        <v>1762.88</v>
      </c>
      <c r="F1222" s="7" t="s">
        <v>298</v>
      </c>
    </row>
    <row r="1223" spans="1:6" x14ac:dyDescent="0.3">
      <c r="A1223" s="7" t="s">
        <v>4396</v>
      </c>
      <c r="B1223" s="7" t="s">
        <v>1917</v>
      </c>
      <c r="C1223" s="7" t="s">
        <v>12</v>
      </c>
      <c r="D1223" s="9">
        <v>45774</v>
      </c>
      <c r="E1223" s="3">
        <v>1887.01</v>
      </c>
      <c r="F1223" s="7" t="s">
        <v>3184</v>
      </c>
    </row>
    <row r="1224" spans="1:6" x14ac:dyDescent="0.3">
      <c r="A1224" s="7" t="s">
        <v>4397</v>
      </c>
      <c r="B1224" s="7" t="s">
        <v>1918</v>
      </c>
      <c r="C1224" s="7" t="s">
        <v>90</v>
      </c>
      <c r="D1224" s="9">
        <v>45968</v>
      </c>
      <c r="E1224" s="3">
        <v>2553.2199999999998</v>
      </c>
      <c r="F1224" s="7" t="s">
        <v>3174</v>
      </c>
    </row>
    <row r="1225" spans="1:6" x14ac:dyDescent="0.3">
      <c r="A1225" s="7" t="s">
        <v>4398</v>
      </c>
      <c r="B1225" s="7" t="s">
        <v>1920</v>
      </c>
      <c r="C1225" s="7" t="s">
        <v>8</v>
      </c>
      <c r="D1225" s="9">
        <v>45838</v>
      </c>
      <c r="E1225" s="3">
        <v>11081.64</v>
      </c>
      <c r="F1225" s="7" t="s">
        <v>296</v>
      </c>
    </row>
    <row r="1226" spans="1:6" x14ac:dyDescent="0.3">
      <c r="A1226" s="7" t="s">
        <v>4399</v>
      </c>
      <c r="B1226" s="7" t="s">
        <v>1921</v>
      </c>
      <c r="C1226" s="7" t="s">
        <v>71</v>
      </c>
      <c r="D1226" s="9">
        <v>46007</v>
      </c>
      <c r="E1226" s="3">
        <v>3621.02</v>
      </c>
      <c r="F1226" s="7" t="s">
        <v>3184</v>
      </c>
    </row>
    <row r="1227" spans="1:6" x14ac:dyDescent="0.3">
      <c r="A1227" s="7" t="s">
        <v>4400</v>
      </c>
      <c r="B1227" s="7" t="s">
        <v>1922</v>
      </c>
      <c r="C1227" s="7" t="s">
        <v>32</v>
      </c>
      <c r="D1227" s="9">
        <v>45906</v>
      </c>
      <c r="E1227" s="3">
        <v>4002.18</v>
      </c>
      <c r="F1227" s="7" t="s">
        <v>298</v>
      </c>
    </row>
    <row r="1228" spans="1:6" x14ac:dyDescent="0.3">
      <c r="A1228" s="7" t="s">
        <v>4401</v>
      </c>
      <c r="B1228" s="7" t="s">
        <v>1923</v>
      </c>
      <c r="C1228" s="7" t="s">
        <v>92</v>
      </c>
      <c r="D1228" s="9">
        <v>46078</v>
      </c>
      <c r="E1228" s="3">
        <v>2094.12</v>
      </c>
      <c r="F1228" s="7" t="s">
        <v>296</v>
      </c>
    </row>
    <row r="1229" spans="1:6" x14ac:dyDescent="0.3">
      <c r="A1229" s="7" t="s">
        <v>4402</v>
      </c>
      <c r="B1229" s="7" t="s">
        <v>1924</v>
      </c>
      <c r="C1229" s="7" t="s">
        <v>116</v>
      </c>
      <c r="D1229" s="9">
        <v>45935</v>
      </c>
      <c r="E1229" s="3">
        <v>12934.95</v>
      </c>
      <c r="F1229" s="7" t="s">
        <v>298</v>
      </c>
    </row>
    <row r="1230" spans="1:6" x14ac:dyDescent="0.3">
      <c r="A1230" s="7" t="s">
        <v>4403</v>
      </c>
      <c r="B1230" s="7" t="s">
        <v>1925</v>
      </c>
      <c r="C1230" s="7" t="s">
        <v>49</v>
      </c>
      <c r="D1230" s="9">
        <v>45861</v>
      </c>
      <c r="E1230" s="3">
        <v>3592.54</v>
      </c>
      <c r="F1230" s="7" t="s">
        <v>3174</v>
      </c>
    </row>
    <row r="1231" spans="1:6" x14ac:dyDescent="0.3">
      <c r="A1231" s="7" t="s">
        <v>4404</v>
      </c>
      <c r="B1231" s="7" t="s">
        <v>1926</v>
      </c>
      <c r="C1231" s="7" t="s">
        <v>124</v>
      </c>
      <c r="D1231" s="9">
        <v>46130</v>
      </c>
      <c r="E1231" s="3">
        <v>4209.7</v>
      </c>
      <c r="F1231" s="7" t="s">
        <v>298</v>
      </c>
    </row>
    <row r="1232" spans="1:6" x14ac:dyDescent="0.3">
      <c r="A1232" s="7" t="s">
        <v>4405</v>
      </c>
      <c r="B1232" s="7" t="s">
        <v>1927</v>
      </c>
      <c r="C1232" s="7" t="s">
        <v>34</v>
      </c>
      <c r="D1232" s="9">
        <v>46033</v>
      </c>
      <c r="E1232" s="3">
        <v>3166.52</v>
      </c>
      <c r="F1232" s="7" t="s">
        <v>298</v>
      </c>
    </row>
    <row r="1233" spans="1:6" x14ac:dyDescent="0.3">
      <c r="A1233" s="7" t="s">
        <v>4406</v>
      </c>
      <c r="B1233" s="7" t="s">
        <v>1929</v>
      </c>
      <c r="C1233" s="7" t="s">
        <v>16</v>
      </c>
      <c r="D1233" s="9">
        <v>46081</v>
      </c>
      <c r="E1233" s="3">
        <v>4800.63</v>
      </c>
      <c r="F1233" s="7" t="s">
        <v>296</v>
      </c>
    </row>
    <row r="1234" spans="1:6" x14ac:dyDescent="0.3">
      <c r="A1234" s="7" t="s">
        <v>4407</v>
      </c>
      <c r="B1234" s="7" t="s">
        <v>1930</v>
      </c>
      <c r="C1234" s="7" t="s">
        <v>31</v>
      </c>
      <c r="D1234" s="9">
        <v>45738</v>
      </c>
      <c r="E1234" s="3">
        <v>1027.99</v>
      </c>
      <c r="F1234" s="7" t="s">
        <v>3184</v>
      </c>
    </row>
    <row r="1235" spans="1:6" x14ac:dyDescent="0.3">
      <c r="A1235" s="7" t="s">
        <v>4408</v>
      </c>
      <c r="B1235" s="7" t="s">
        <v>1930</v>
      </c>
      <c r="C1235" s="7" t="s">
        <v>31</v>
      </c>
      <c r="D1235" s="9">
        <v>45743</v>
      </c>
      <c r="E1235" s="3">
        <v>1002.03</v>
      </c>
      <c r="F1235" s="7" t="s">
        <v>3184</v>
      </c>
    </row>
    <row r="1236" spans="1:6" x14ac:dyDescent="0.3">
      <c r="A1236" s="7" t="s">
        <v>4409</v>
      </c>
      <c r="B1236" s="7" t="s">
        <v>1931</v>
      </c>
      <c r="C1236" s="7" t="s">
        <v>10</v>
      </c>
      <c r="D1236" s="9">
        <v>46076</v>
      </c>
      <c r="E1236" s="3">
        <v>1861.69</v>
      </c>
      <c r="F1236" s="7" t="s">
        <v>3184</v>
      </c>
    </row>
    <row r="1237" spans="1:6" x14ac:dyDescent="0.3">
      <c r="A1237" s="7" t="s">
        <v>4410</v>
      </c>
      <c r="B1237" s="7" t="s">
        <v>1933</v>
      </c>
      <c r="C1237" s="7" t="s">
        <v>9</v>
      </c>
      <c r="D1237" s="9">
        <v>45942</v>
      </c>
      <c r="E1237" s="3">
        <v>4679.63</v>
      </c>
      <c r="F1237" s="7" t="s">
        <v>298</v>
      </c>
    </row>
    <row r="1238" spans="1:6" x14ac:dyDescent="0.3">
      <c r="A1238" s="7" t="s">
        <v>4411</v>
      </c>
      <c r="B1238" s="7" t="s">
        <v>1935</v>
      </c>
      <c r="C1238" s="7" t="s">
        <v>33</v>
      </c>
      <c r="D1238" s="9">
        <v>46131</v>
      </c>
      <c r="E1238" s="3">
        <v>12743.37</v>
      </c>
      <c r="F1238" s="7" t="s">
        <v>3174</v>
      </c>
    </row>
    <row r="1239" spans="1:6" x14ac:dyDescent="0.3">
      <c r="A1239" s="7" t="s">
        <v>4412</v>
      </c>
      <c r="B1239" s="7" t="s">
        <v>1936</v>
      </c>
      <c r="C1239" s="7" t="s">
        <v>74</v>
      </c>
      <c r="D1239" s="9">
        <v>45865</v>
      </c>
      <c r="E1239" s="3">
        <v>2456.1999999999998</v>
      </c>
      <c r="F1239" s="7" t="s">
        <v>3174</v>
      </c>
    </row>
    <row r="1240" spans="1:6" x14ac:dyDescent="0.3">
      <c r="A1240" s="7" t="s">
        <v>4413</v>
      </c>
      <c r="B1240" s="7" t="s">
        <v>1937</v>
      </c>
      <c r="C1240" s="7" t="s">
        <v>25</v>
      </c>
      <c r="D1240" s="9">
        <v>46131</v>
      </c>
      <c r="E1240" s="3">
        <v>4034.33</v>
      </c>
      <c r="F1240" s="7" t="s">
        <v>296</v>
      </c>
    </row>
    <row r="1241" spans="1:6" x14ac:dyDescent="0.3">
      <c r="A1241" s="7" t="s">
        <v>4414</v>
      </c>
      <c r="B1241" s="7" t="s">
        <v>1938</v>
      </c>
      <c r="C1241" s="7" t="s">
        <v>54</v>
      </c>
      <c r="D1241" s="9">
        <v>45815</v>
      </c>
      <c r="E1241" s="3">
        <v>5589.8</v>
      </c>
      <c r="F1241" s="7" t="s">
        <v>298</v>
      </c>
    </row>
    <row r="1242" spans="1:6" x14ac:dyDescent="0.3">
      <c r="A1242" s="7" t="s">
        <v>4415</v>
      </c>
      <c r="B1242" s="7" t="s">
        <v>1940</v>
      </c>
      <c r="C1242" s="7" t="s">
        <v>26</v>
      </c>
      <c r="D1242" s="9">
        <v>46149</v>
      </c>
      <c r="E1242" s="3">
        <v>3622.26</v>
      </c>
      <c r="F1242" s="7" t="s">
        <v>298</v>
      </c>
    </row>
    <row r="1243" spans="1:6" x14ac:dyDescent="0.3">
      <c r="A1243" s="7" t="s">
        <v>4416</v>
      </c>
      <c r="B1243" s="7" t="s">
        <v>1942</v>
      </c>
      <c r="C1243" s="7" t="s">
        <v>17</v>
      </c>
      <c r="D1243" s="9">
        <v>46151</v>
      </c>
      <c r="E1243" s="3">
        <v>4155.74</v>
      </c>
      <c r="F1243" s="7" t="s">
        <v>3184</v>
      </c>
    </row>
    <row r="1244" spans="1:6" x14ac:dyDescent="0.3">
      <c r="A1244" s="7" t="s">
        <v>4417</v>
      </c>
      <c r="B1244" s="7" t="s">
        <v>1943</v>
      </c>
      <c r="C1244" s="7" t="s">
        <v>56</v>
      </c>
      <c r="D1244" s="9">
        <v>46001</v>
      </c>
      <c r="E1244" s="3">
        <v>13396.79</v>
      </c>
      <c r="F1244" s="7" t="s">
        <v>298</v>
      </c>
    </row>
    <row r="1245" spans="1:6" x14ac:dyDescent="0.3">
      <c r="A1245" s="7" t="s">
        <v>4418</v>
      </c>
      <c r="B1245" s="7" t="s">
        <v>1944</v>
      </c>
      <c r="C1245" s="7" t="s">
        <v>29</v>
      </c>
      <c r="D1245" s="9">
        <v>45867</v>
      </c>
      <c r="E1245" s="3">
        <v>1980.82</v>
      </c>
      <c r="F1245" s="7" t="s">
        <v>298</v>
      </c>
    </row>
    <row r="1246" spans="1:6" x14ac:dyDescent="0.3">
      <c r="A1246" s="7" t="s">
        <v>4419</v>
      </c>
      <c r="B1246" s="7" t="s">
        <v>1945</v>
      </c>
      <c r="C1246" s="7" t="s">
        <v>70</v>
      </c>
      <c r="D1246" s="9">
        <v>45942</v>
      </c>
      <c r="E1246" s="3">
        <v>2712.49</v>
      </c>
      <c r="F1246" s="7" t="s">
        <v>296</v>
      </c>
    </row>
    <row r="1247" spans="1:6" x14ac:dyDescent="0.3">
      <c r="A1247" s="7" t="s">
        <v>4420</v>
      </c>
      <c r="B1247" s="7" t="s">
        <v>1947</v>
      </c>
      <c r="C1247" s="7" t="s">
        <v>37</v>
      </c>
      <c r="D1247" s="9">
        <v>45783</v>
      </c>
      <c r="E1247" s="3">
        <v>1466.36</v>
      </c>
      <c r="F1247" s="7" t="s">
        <v>3184</v>
      </c>
    </row>
    <row r="1248" spans="1:6" x14ac:dyDescent="0.3">
      <c r="A1248" s="7" t="s">
        <v>4421</v>
      </c>
      <c r="B1248" s="7" t="s">
        <v>1948</v>
      </c>
      <c r="C1248" s="7" t="s">
        <v>114</v>
      </c>
      <c r="D1248" s="9">
        <v>45907</v>
      </c>
      <c r="E1248" s="3">
        <v>10649.25</v>
      </c>
      <c r="F1248" s="7" t="s">
        <v>296</v>
      </c>
    </row>
    <row r="1249" spans="1:6" x14ac:dyDescent="0.3">
      <c r="A1249" s="7" t="s">
        <v>4422</v>
      </c>
      <c r="B1249" s="7" t="s">
        <v>1950</v>
      </c>
      <c r="C1249" s="7" t="s">
        <v>72</v>
      </c>
      <c r="D1249" s="9">
        <v>45803</v>
      </c>
      <c r="E1249" s="3">
        <v>12090.34</v>
      </c>
      <c r="F1249" s="7" t="s">
        <v>3184</v>
      </c>
    </row>
    <row r="1250" spans="1:6" x14ac:dyDescent="0.3">
      <c r="A1250" s="7" t="s">
        <v>4423</v>
      </c>
      <c r="B1250" s="7" t="s">
        <v>1951</v>
      </c>
      <c r="C1250" s="7" t="s">
        <v>54</v>
      </c>
      <c r="D1250" s="9">
        <v>45909</v>
      </c>
      <c r="E1250" s="3">
        <v>3270.92</v>
      </c>
      <c r="F1250" s="7" t="s">
        <v>3184</v>
      </c>
    </row>
    <row r="1251" spans="1:6" x14ac:dyDescent="0.3">
      <c r="A1251" s="7" t="s">
        <v>4424</v>
      </c>
      <c r="B1251" s="7" t="s">
        <v>1952</v>
      </c>
      <c r="C1251" s="7" t="s">
        <v>36</v>
      </c>
      <c r="D1251" s="9">
        <v>45858</v>
      </c>
      <c r="E1251" s="3">
        <v>11121.7</v>
      </c>
      <c r="F1251" s="7" t="s">
        <v>296</v>
      </c>
    </row>
    <row r="1252" spans="1:6" x14ac:dyDescent="0.3">
      <c r="A1252" s="7" t="s">
        <v>4425</v>
      </c>
      <c r="B1252" s="7" t="s">
        <v>1953</v>
      </c>
      <c r="C1252" s="7" t="s">
        <v>71</v>
      </c>
      <c r="D1252" s="9">
        <v>45848</v>
      </c>
      <c r="E1252" s="3">
        <v>2645.35</v>
      </c>
      <c r="F1252" s="7" t="s">
        <v>298</v>
      </c>
    </row>
    <row r="1253" spans="1:6" x14ac:dyDescent="0.3">
      <c r="A1253" s="7" t="s">
        <v>4426</v>
      </c>
      <c r="B1253" s="7" t="s">
        <v>1955</v>
      </c>
      <c r="C1253" s="7" t="s">
        <v>32</v>
      </c>
      <c r="D1253" s="9">
        <v>45711</v>
      </c>
      <c r="E1253" s="3">
        <v>2485.62</v>
      </c>
      <c r="F1253" s="7" t="s">
        <v>3174</v>
      </c>
    </row>
    <row r="1254" spans="1:6" x14ac:dyDescent="0.3">
      <c r="A1254" s="7" t="s">
        <v>4427</v>
      </c>
      <c r="B1254" s="7" t="s">
        <v>1961</v>
      </c>
      <c r="C1254" s="7" t="s">
        <v>36</v>
      </c>
      <c r="D1254" s="9">
        <v>46078</v>
      </c>
      <c r="E1254" s="3">
        <v>7380.93</v>
      </c>
      <c r="F1254" s="7" t="s">
        <v>3174</v>
      </c>
    </row>
    <row r="1255" spans="1:6" x14ac:dyDescent="0.3">
      <c r="A1255" s="7" t="s">
        <v>4428</v>
      </c>
      <c r="B1255" s="7" t="s">
        <v>1961</v>
      </c>
      <c r="C1255" s="7" t="s">
        <v>36</v>
      </c>
      <c r="D1255" s="9">
        <v>46083</v>
      </c>
      <c r="E1255" s="3">
        <v>3311.45</v>
      </c>
      <c r="F1255" s="7" t="s">
        <v>298</v>
      </c>
    </row>
    <row r="1256" spans="1:6" x14ac:dyDescent="0.3">
      <c r="A1256" s="7" t="s">
        <v>4429</v>
      </c>
      <c r="B1256" s="7" t="s">
        <v>1962</v>
      </c>
      <c r="C1256" s="7" t="s">
        <v>66</v>
      </c>
      <c r="D1256" s="9">
        <v>45972</v>
      </c>
      <c r="E1256" s="3">
        <v>3621.81</v>
      </c>
      <c r="F1256" s="7" t="s">
        <v>3174</v>
      </c>
    </row>
    <row r="1257" spans="1:6" x14ac:dyDescent="0.3">
      <c r="A1257" s="7" t="s">
        <v>4430</v>
      </c>
      <c r="B1257" s="7" t="s">
        <v>1963</v>
      </c>
      <c r="C1257" s="7" t="s">
        <v>96</v>
      </c>
      <c r="D1257" s="9">
        <v>45846</v>
      </c>
      <c r="E1257" s="3">
        <v>2791.91</v>
      </c>
      <c r="F1257" s="7" t="s">
        <v>298</v>
      </c>
    </row>
    <row r="1258" spans="1:6" x14ac:dyDescent="0.3">
      <c r="A1258" s="7" t="s">
        <v>4431</v>
      </c>
      <c r="B1258" s="7" t="s">
        <v>1964</v>
      </c>
      <c r="C1258" s="7" t="s">
        <v>24</v>
      </c>
      <c r="D1258" s="9">
        <v>45904</v>
      </c>
      <c r="E1258" s="3">
        <v>10606.01</v>
      </c>
      <c r="F1258" s="7" t="s">
        <v>298</v>
      </c>
    </row>
    <row r="1259" spans="1:6" x14ac:dyDescent="0.3">
      <c r="A1259" s="7" t="s">
        <v>4432</v>
      </c>
      <c r="B1259" s="7" t="s">
        <v>1965</v>
      </c>
      <c r="C1259" s="7" t="s">
        <v>110</v>
      </c>
      <c r="D1259" s="9">
        <v>45862</v>
      </c>
      <c r="E1259" s="3">
        <v>4023.25</v>
      </c>
      <c r="F1259" s="7" t="s">
        <v>298</v>
      </c>
    </row>
    <row r="1260" spans="1:6" x14ac:dyDescent="0.3">
      <c r="A1260" s="7" t="s">
        <v>4433</v>
      </c>
      <c r="B1260" s="7" t="s">
        <v>1966</v>
      </c>
      <c r="C1260" s="7" t="s">
        <v>94</v>
      </c>
      <c r="D1260" s="9">
        <v>45833</v>
      </c>
      <c r="E1260" s="3">
        <v>2040.7</v>
      </c>
      <c r="F1260" s="7" t="s">
        <v>298</v>
      </c>
    </row>
    <row r="1261" spans="1:6" x14ac:dyDescent="0.3">
      <c r="A1261" s="7" t="s">
        <v>4434</v>
      </c>
      <c r="B1261" s="7" t="s">
        <v>1967</v>
      </c>
      <c r="C1261" s="7" t="s">
        <v>82</v>
      </c>
      <c r="D1261" s="9">
        <v>46016</v>
      </c>
      <c r="E1261" s="3">
        <v>8618.82</v>
      </c>
      <c r="F1261" s="7" t="s">
        <v>296</v>
      </c>
    </row>
    <row r="1262" spans="1:6" x14ac:dyDescent="0.3">
      <c r="A1262" s="7" t="s">
        <v>4435</v>
      </c>
      <c r="B1262" s="7" t="s">
        <v>1967</v>
      </c>
      <c r="C1262" s="7" t="s">
        <v>82</v>
      </c>
      <c r="D1262" s="9">
        <v>46018</v>
      </c>
      <c r="E1262" s="3">
        <v>4642.82</v>
      </c>
      <c r="F1262" s="7" t="s">
        <v>3174</v>
      </c>
    </row>
    <row r="1263" spans="1:6" x14ac:dyDescent="0.3">
      <c r="A1263" s="7" t="s">
        <v>4436</v>
      </c>
      <c r="B1263" s="7" t="s">
        <v>1968</v>
      </c>
      <c r="C1263" s="7" t="s">
        <v>49</v>
      </c>
      <c r="D1263" s="9">
        <v>45677</v>
      </c>
      <c r="E1263" s="3">
        <v>3081.09</v>
      </c>
      <c r="F1263" s="7" t="s">
        <v>3174</v>
      </c>
    </row>
    <row r="1264" spans="1:6" x14ac:dyDescent="0.3">
      <c r="A1264" s="7" t="s">
        <v>4437</v>
      </c>
      <c r="B1264" s="7" t="s">
        <v>1969</v>
      </c>
      <c r="C1264" s="7" t="s">
        <v>57</v>
      </c>
      <c r="D1264" s="9">
        <v>46014</v>
      </c>
      <c r="E1264" s="3">
        <v>3681.78</v>
      </c>
      <c r="F1264" s="7" t="s">
        <v>3174</v>
      </c>
    </row>
    <row r="1265" spans="1:6" x14ac:dyDescent="0.3">
      <c r="A1265" s="7" t="s">
        <v>4438</v>
      </c>
      <c r="B1265" s="7" t="s">
        <v>1970</v>
      </c>
      <c r="C1265" s="7" t="s">
        <v>31</v>
      </c>
      <c r="D1265" s="9">
        <v>45885</v>
      </c>
      <c r="E1265" s="3">
        <v>10580.18</v>
      </c>
      <c r="F1265" s="7" t="s">
        <v>3174</v>
      </c>
    </row>
    <row r="1266" spans="1:6" x14ac:dyDescent="0.3">
      <c r="A1266" s="7" t="s">
        <v>4439</v>
      </c>
      <c r="B1266" s="7" t="s">
        <v>1971</v>
      </c>
      <c r="C1266" s="7" t="s">
        <v>45</v>
      </c>
      <c r="D1266" s="9">
        <v>45955</v>
      </c>
      <c r="E1266" s="3">
        <v>10121.459999999999</v>
      </c>
      <c r="F1266" s="7" t="s">
        <v>3174</v>
      </c>
    </row>
    <row r="1267" spans="1:6" x14ac:dyDescent="0.3">
      <c r="A1267" s="7" t="s">
        <v>4440</v>
      </c>
      <c r="B1267" s="7" t="s">
        <v>1972</v>
      </c>
      <c r="C1267" s="7" t="s">
        <v>112</v>
      </c>
      <c r="D1267" s="9">
        <v>46049</v>
      </c>
      <c r="E1267" s="3">
        <v>2605.71</v>
      </c>
      <c r="F1267" s="7" t="s">
        <v>298</v>
      </c>
    </row>
    <row r="1268" spans="1:6" x14ac:dyDescent="0.3">
      <c r="A1268" s="7" t="s">
        <v>4441</v>
      </c>
      <c r="B1268" s="7" t="s">
        <v>1973</v>
      </c>
      <c r="C1268" s="7" t="s">
        <v>123</v>
      </c>
      <c r="D1268" s="9">
        <v>45681</v>
      </c>
      <c r="E1268" s="3">
        <v>1874.42</v>
      </c>
      <c r="F1268" s="7" t="s">
        <v>3174</v>
      </c>
    </row>
    <row r="1269" spans="1:6" x14ac:dyDescent="0.3">
      <c r="A1269" s="7" t="s">
        <v>4442</v>
      </c>
      <c r="B1269" s="7" t="s">
        <v>1974</v>
      </c>
      <c r="C1269" s="7" t="s">
        <v>15</v>
      </c>
      <c r="D1269" s="9">
        <v>45779</v>
      </c>
      <c r="E1269" s="3">
        <v>10962.32</v>
      </c>
      <c r="F1269" s="7" t="s">
        <v>296</v>
      </c>
    </row>
    <row r="1270" spans="1:6" x14ac:dyDescent="0.3">
      <c r="A1270" s="7" t="s">
        <v>4443</v>
      </c>
      <c r="B1270" s="7" t="s">
        <v>1975</v>
      </c>
      <c r="C1270" s="7" t="s">
        <v>117</v>
      </c>
      <c r="D1270" s="9">
        <v>45939</v>
      </c>
      <c r="E1270" s="3">
        <v>9875.7800000000007</v>
      </c>
      <c r="F1270" s="7" t="s">
        <v>3184</v>
      </c>
    </row>
    <row r="1271" spans="1:6" x14ac:dyDescent="0.3">
      <c r="A1271" s="7" t="s">
        <v>4444</v>
      </c>
      <c r="B1271" s="7" t="s">
        <v>1976</v>
      </c>
      <c r="C1271" s="7" t="s">
        <v>68</v>
      </c>
      <c r="D1271" s="9">
        <v>45738</v>
      </c>
      <c r="E1271" s="3">
        <v>11477.31</v>
      </c>
      <c r="F1271" s="7" t="s">
        <v>3184</v>
      </c>
    </row>
    <row r="1272" spans="1:6" x14ac:dyDescent="0.3">
      <c r="A1272" s="7" t="s">
        <v>4445</v>
      </c>
      <c r="B1272" s="7" t="s">
        <v>1977</v>
      </c>
      <c r="C1272" s="7" t="s">
        <v>33</v>
      </c>
      <c r="D1272" s="9">
        <v>46112</v>
      </c>
      <c r="E1272" s="3">
        <v>1489.51</v>
      </c>
      <c r="F1272" s="7" t="s">
        <v>296</v>
      </c>
    </row>
    <row r="1273" spans="1:6" x14ac:dyDescent="0.3">
      <c r="A1273" s="7" t="s">
        <v>4446</v>
      </c>
      <c r="B1273" s="7" t="s">
        <v>1978</v>
      </c>
      <c r="C1273" s="7" t="s">
        <v>84</v>
      </c>
      <c r="D1273" s="9">
        <v>46052</v>
      </c>
      <c r="E1273" s="3">
        <v>2432.1999999999998</v>
      </c>
      <c r="F1273" s="7" t="s">
        <v>3174</v>
      </c>
    </row>
    <row r="1274" spans="1:6" x14ac:dyDescent="0.3">
      <c r="A1274" s="7" t="s">
        <v>4447</v>
      </c>
      <c r="B1274" s="7" t="s">
        <v>1979</v>
      </c>
      <c r="C1274" s="7" t="s">
        <v>94</v>
      </c>
      <c r="D1274" s="9">
        <v>45977</v>
      </c>
      <c r="E1274" s="3">
        <v>4114.82</v>
      </c>
      <c r="F1274" s="7" t="s">
        <v>3184</v>
      </c>
    </row>
    <row r="1275" spans="1:6" x14ac:dyDescent="0.3">
      <c r="A1275" s="7" t="s">
        <v>4448</v>
      </c>
      <c r="B1275" s="7" t="s">
        <v>1980</v>
      </c>
      <c r="C1275" s="7" t="s">
        <v>112</v>
      </c>
      <c r="D1275" s="9">
        <v>45681</v>
      </c>
      <c r="E1275" s="3">
        <v>10922.12</v>
      </c>
      <c r="F1275" s="7" t="s">
        <v>3184</v>
      </c>
    </row>
    <row r="1276" spans="1:6" x14ac:dyDescent="0.3">
      <c r="A1276" s="7" t="s">
        <v>4449</v>
      </c>
      <c r="B1276" s="7" t="s">
        <v>1981</v>
      </c>
      <c r="C1276" s="7" t="s">
        <v>79</v>
      </c>
      <c r="D1276" s="9">
        <v>45828</v>
      </c>
      <c r="E1276" s="3">
        <v>12503.27</v>
      </c>
      <c r="F1276" s="7" t="s">
        <v>296</v>
      </c>
    </row>
    <row r="1277" spans="1:6" x14ac:dyDescent="0.3">
      <c r="A1277" s="7" t="s">
        <v>4450</v>
      </c>
      <c r="B1277" s="7" t="s">
        <v>1982</v>
      </c>
      <c r="C1277" s="7" t="s">
        <v>43</v>
      </c>
      <c r="D1277" s="9">
        <v>45977</v>
      </c>
      <c r="E1277" s="3">
        <v>11808.98</v>
      </c>
      <c r="F1277" s="7" t="s">
        <v>298</v>
      </c>
    </row>
    <row r="1278" spans="1:6" x14ac:dyDescent="0.3">
      <c r="A1278" s="7" t="s">
        <v>4451</v>
      </c>
      <c r="B1278" s="7" t="s">
        <v>1983</v>
      </c>
      <c r="C1278" s="7" t="s">
        <v>98</v>
      </c>
      <c r="D1278" s="9">
        <v>45895</v>
      </c>
      <c r="E1278" s="3">
        <v>2074.3200000000002</v>
      </c>
      <c r="F1278" s="7" t="s">
        <v>298</v>
      </c>
    </row>
    <row r="1279" spans="1:6" x14ac:dyDescent="0.3">
      <c r="A1279" s="7" t="s">
        <v>4452</v>
      </c>
      <c r="B1279" s="7" t="s">
        <v>1984</v>
      </c>
      <c r="C1279" s="7" t="s">
        <v>29</v>
      </c>
      <c r="D1279" s="9">
        <v>46094</v>
      </c>
      <c r="E1279" s="3">
        <v>2391.09</v>
      </c>
      <c r="F1279" s="7" t="s">
        <v>3184</v>
      </c>
    </row>
    <row r="1280" spans="1:6" x14ac:dyDescent="0.3">
      <c r="A1280" s="7" t="s">
        <v>4453</v>
      </c>
      <c r="B1280" s="7" t="s">
        <v>1987</v>
      </c>
      <c r="C1280" s="7" t="s">
        <v>124</v>
      </c>
      <c r="D1280" s="9">
        <v>45987</v>
      </c>
      <c r="E1280" s="3">
        <v>4547.55</v>
      </c>
      <c r="F1280" s="7" t="s">
        <v>296</v>
      </c>
    </row>
    <row r="1281" spans="1:6" x14ac:dyDescent="0.3">
      <c r="A1281" s="7" t="s">
        <v>4454</v>
      </c>
      <c r="B1281" s="7" t="s">
        <v>1990</v>
      </c>
      <c r="C1281" s="7" t="s">
        <v>12</v>
      </c>
      <c r="D1281" s="9">
        <v>45778</v>
      </c>
      <c r="E1281" s="3">
        <v>2410.1</v>
      </c>
      <c r="F1281" s="7" t="s">
        <v>3184</v>
      </c>
    </row>
    <row r="1282" spans="1:6" x14ac:dyDescent="0.3">
      <c r="A1282" s="7" t="s">
        <v>4455</v>
      </c>
      <c r="B1282" s="7" t="s">
        <v>1991</v>
      </c>
      <c r="C1282" s="7" t="s">
        <v>66</v>
      </c>
      <c r="D1282" s="9">
        <v>46043</v>
      </c>
      <c r="E1282" s="3">
        <v>9728.25</v>
      </c>
      <c r="F1282" s="7" t="s">
        <v>3184</v>
      </c>
    </row>
    <row r="1283" spans="1:6" x14ac:dyDescent="0.3">
      <c r="A1283" s="7" t="s">
        <v>4456</v>
      </c>
      <c r="B1283" s="7" t="s">
        <v>1992</v>
      </c>
      <c r="C1283" s="7" t="s">
        <v>8</v>
      </c>
      <c r="D1283" s="9">
        <v>45876</v>
      </c>
      <c r="E1283" s="3">
        <v>11249.56</v>
      </c>
      <c r="F1283" s="7" t="s">
        <v>3174</v>
      </c>
    </row>
    <row r="1284" spans="1:6" x14ac:dyDescent="0.3">
      <c r="A1284" s="7" t="s">
        <v>4457</v>
      </c>
      <c r="B1284" s="7" t="s">
        <v>1993</v>
      </c>
      <c r="C1284" s="7" t="s">
        <v>66</v>
      </c>
      <c r="D1284" s="9">
        <v>45732</v>
      </c>
      <c r="E1284" s="3">
        <v>2114.6799999999998</v>
      </c>
      <c r="F1284" s="7" t="s">
        <v>298</v>
      </c>
    </row>
    <row r="1285" spans="1:6" x14ac:dyDescent="0.3">
      <c r="A1285" s="7" t="s">
        <v>4458</v>
      </c>
      <c r="B1285" s="7" t="s">
        <v>1994</v>
      </c>
      <c r="C1285" s="7" t="s">
        <v>98</v>
      </c>
      <c r="D1285" s="9">
        <v>45733</v>
      </c>
      <c r="E1285" s="3">
        <v>11814.51</v>
      </c>
      <c r="F1285" s="7" t="s">
        <v>3184</v>
      </c>
    </row>
    <row r="1286" spans="1:6" x14ac:dyDescent="0.3">
      <c r="A1286" s="7" t="s">
        <v>4459</v>
      </c>
      <c r="B1286" s="7" t="s">
        <v>1996</v>
      </c>
      <c r="C1286" s="7" t="s">
        <v>101</v>
      </c>
      <c r="D1286" s="9">
        <v>45768</v>
      </c>
      <c r="E1286" s="3">
        <v>3128.39</v>
      </c>
      <c r="F1286" s="7" t="s">
        <v>3174</v>
      </c>
    </row>
    <row r="1287" spans="1:6" x14ac:dyDescent="0.3">
      <c r="A1287" s="7" t="s">
        <v>4460</v>
      </c>
      <c r="B1287" s="7" t="s">
        <v>1997</v>
      </c>
      <c r="C1287" s="7" t="s">
        <v>26</v>
      </c>
      <c r="D1287" s="9">
        <v>46021</v>
      </c>
      <c r="E1287" s="3">
        <v>10408.58</v>
      </c>
      <c r="F1287" s="7" t="s">
        <v>298</v>
      </c>
    </row>
    <row r="1288" spans="1:6" x14ac:dyDescent="0.3">
      <c r="A1288" s="7" t="s">
        <v>4461</v>
      </c>
      <c r="B1288" s="7" t="s">
        <v>1998</v>
      </c>
      <c r="C1288" s="7" t="s">
        <v>93</v>
      </c>
      <c r="D1288" s="9">
        <v>45802</v>
      </c>
      <c r="E1288" s="3">
        <v>11318.82</v>
      </c>
      <c r="F1288" s="7" t="s">
        <v>298</v>
      </c>
    </row>
    <row r="1289" spans="1:6" x14ac:dyDescent="0.3">
      <c r="A1289" s="7" t="s">
        <v>4462</v>
      </c>
      <c r="B1289" s="7" t="s">
        <v>2001</v>
      </c>
      <c r="C1289" s="7" t="s">
        <v>105</v>
      </c>
      <c r="D1289" s="9">
        <v>45718</v>
      </c>
      <c r="E1289" s="3">
        <v>1661.99</v>
      </c>
      <c r="F1289" s="7" t="s">
        <v>3174</v>
      </c>
    </row>
    <row r="1290" spans="1:6" x14ac:dyDescent="0.3">
      <c r="A1290" s="7" t="s">
        <v>4463</v>
      </c>
      <c r="B1290" s="7" t="s">
        <v>2003</v>
      </c>
      <c r="C1290" s="7" t="s">
        <v>31</v>
      </c>
      <c r="D1290" s="9">
        <v>45690</v>
      </c>
      <c r="E1290" s="3">
        <v>2419.25</v>
      </c>
      <c r="F1290" s="7" t="s">
        <v>298</v>
      </c>
    </row>
    <row r="1291" spans="1:6" x14ac:dyDescent="0.3">
      <c r="A1291" s="7" t="s">
        <v>4464</v>
      </c>
      <c r="B1291" s="7" t="s">
        <v>2005</v>
      </c>
      <c r="C1291" s="7" t="s">
        <v>20</v>
      </c>
      <c r="D1291" s="9">
        <v>45760</v>
      </c>
      <c r="E1291" s="3">
        <v>1560.88</v>
      </c>
      <c r="F1291" s="7" t="s">
        <v>298</v>
      </c>
    </row>
    <row r="1292" spans="1:6" x14ac:dyDescent="0.3">
      <c r="A1292" s="7" t="s">
        <v>4465</v>
      </c>
      <c r="B1292" s="7" t="s">
        <v>2006</v>
      </c>
      <c r="C1292" s="7" t="s">
        <v>76</v>
      </c>
      <c r="D1292" s="9">
        <v>45994</v>
      </c>
      <c r="E1292" s="3">
        <v>2322.6799999999998</v>
      </c>
      <c r="F1292" s="7" t="s">
        <v>298</v>
      </c>
    </row>
    <row r="1293" spans="1:6" x14ac:dyDescent="0.3">
      <c r="A1293" s="7" t="s">
        <v>4466</v>
      </c>
      <c r="B1293" s="7" t="s">
        <v>2007</v>
      </c>
      <c r="C1293" s="7" t="s">
        <v>52</v>
      </c>
      <c r="D1293" s="9">
        <v>45741</v>
      </c>
      <c r="E1293" s="3">
        <v>14106.83</v>
      </c>
      <c r="F1293" s="7" t="s">
        <v>3184</v>
      </c>
    </row>
    <row r="1294" spans="1:6" x14ac:dyDescent="0.3">
      <c r="A1294" s="7" t="s">
        <v>4467</v>
      </c>
      <c r="B1294" s="7" t="s">
        <v>2008</v>
      </c>
      <c r="C1294" s="7" t="s">
        <v>56</v>
      </c>
      <c r="D1294" s="9">
        <v>45900</v>
      </c>
      <c r="E1294" s="3">
        <v>2173.62</v>
      </c>
      <c r="F1294" s="7" t="s">
        <v>296</v>
      </c>
    </row>
    <row r="1295" spans="1:6" x14ac:dyDescent="0.3">
      <c r="A1295" s="7" t="s">
        <v>4468</v>
      </c>
      <c r="B1295" s="7" t="s">
        <v>2010</v>
      </c>
      <c r="C1295" s="7" t="s">
        <v>105</v>
      </c>
      <c r="D1295" s="9">
        <v>45717</v>
      </c>
      <c r="E1295" s="3">
        <v>3316.57</v>
      </c>
      <c r="F1295" s="7" t="s">
        <v>3184</v>
      </c>
    </row>
    <row r="1296" spans="1:6" x14ac:dyDescent="0.3">
      <c r="A1296" s="7" t="s">
        <v>4469</v>
      </c>
      <c r="B1296" s="7" t="s">
        <v>2011</v>
      </c>
      <c r="C1296" s="7" t="s">
        <v>115</v>
      </c>
      <c r="D1296" s="9">
        <v>45749</v>
      </c>
      <c r="E1296" s="3">
        <v>3499.41</v>
      </c>
      <c r="F1296" s="7" t="s">
        <v>3174</v>
      </c>
    </row>
    <row r="1297" spans="1:6" x14ac:dyDescent="0.3">
      <c r="A1297" s="7" t="s">
        <v>4470</v>
      </c>
      <c r="B1297" s="7" t="s">
        <v>2012</v>
      </c>
      <c r="C1297" s="7" t="s">
        <v>87</v>
      </c>
      <c r="D1297" s="9">
        <v>45749</v>
      </c>
      <c r="E1297" s="3">
        <v>3040.04</v>
      </c>
      <c r="F1297" s="7" t="s">
        <v>3174</v>
      </c>
    </row>
    <row r="1298" spans="1:6" x14ac:dyDescent="0.3">
      <c r="A1298" s="7" t="s">
        <v>4471</v>
      </c>
      <c r="B1298" s="7" t="s">
        <v>2013</v>
      </c>
      <c r="C1298" s="7" t="s">
        <v>29</v>
      </c>
      <c r="D1298" s="9">
        <v>46082</v>
      </c>
      <c r="E1298" s="3">
        <v>1042.5899999999999</v>
      </c>
      <c r="F1298" s="7" t="s">
        <v>296</v>
      </c>
    </row>
    <row r="1299" spans="1:6" x14ac:dyDescent="0.3">
      <c r="A1299" s="7" t="s">
        <v>4472</v>
      </c>
      <c r="B1299" s="7" t="s">
        <v>2013</v>
      </c>
      <c r="C1299" s="7" t="s">
        <v>29</v>
      </c>
      <c r="D1299" s="9">
        <v>46086</v>
      </c>
      <c r="E1299" s="3">
        <v>677.18</v>
      </c>
      <c r="F1299" s="7" t="s">
        <v>298</v>
      </c>
    </row>
    <row r="1300" spans="1:6" x14ac:dyDescent="0.3">
      <c r="A1300" s="7" t="s">
        <v>4473</v>
      </c>
      <c r="B1300" s="7" t="s">
        <v>2016</v>
      </c>
      <c r="C1300" s="7" t="s">
        <v>97</v>
      </c>
      <c r="D1300" s="9">
        <v>46038</v>
      </c>
      <c r="E1300" s="3">
        <v>12052.93</v>
      </c>
      <c r="F1300" s="7" t="s">
        <v>296</v>
      </c>
    </row>
    <row r="1301" spans="1:6" x14ac:dyDescent="0.3">
      <c r="A1301" s="7" t="s">
        <v>4474</v>
      </c>
      <c r="B1301" s="7" t="s">
        <v>2017</v>
      </c>
      <c r="C1301" s="7" t="s">
        <v>101</v>
      </c>
      <c r="D1301" s="9">
        <v>45988</v>
      </c>
      <c r="E1301" s="3">
        <v>2679.13</v>
      </c>
      <c r="F1301" s="7" t="s">
        <v>3184</v>
      </c>
    </row>
    <row r="1302" spans="1:6" x14ac:dyDescent="0.3">
      <c r="A1302" s="7" t="s">
        <v>4475</v>
      </c>
      <c r="B1302" s="7" t="s">
        <v>2018</v>
      </c>
      <c r="C1302" s="7" t="s">
        <v>54</v>
      </c>
      <c r="D1302" s="9">
        <v>45998</v>
      </c>
      <c r="E1302" s="3">
        <v>13234.78</v>
      </c>
      <c r="F1302" s="7" t="s">
        <v>3184</v>
      </c>
    </row>
    <row r="1303" spans="1:6" x14ac:dyDescent="0.3">
      <c r="A1303" s="7" t="s">
        <v>4476</v>
      </c>
      <c r="B1303" s="7" t="s">
        <v>2019</v>
      </c>
      <c r="C1303" s="7" t="s">
        <v>11</v>
      </c>
      <c r="D1303" s="9">
        <v>45773</v>
      </c>
      <c r="E1303" s="3">
        <v>11023.75</v>
      </c>
      <c r="F1303" s="7" t="s">
        <v>298</v>
      </c>
    </row>
    <row r="1304" spans="1:6" x14ac:dyDescent="0.3">
      <c r="A1304" s="7" t="s">
        <v>4477</v>
      </c>
      <c r="B1304" s="7" t="s">
        <v>2020</v>
      </c>
      <c r="C1304" s="7" t="s">
        <v>49</v>
      </c>
      <c r="D1304" s="9">
        <v>45984</v>
      </c>
      <c r="E1304" s="3">
        <v>5846.82</v>
      </c>
      <c r="F1304" s="7" t="s">
        <v>3174</v>
      </c>
    </row>
    <row r="1305" spans="1:6" x14ac:dyDescent="0.3">
      <c r="A1305" s="7" t="s">
        <v>4478</v>
      </c>
      <c r="B1305" s="7" t="s">
        <v>2021</v>
      </c>
      <c r="C1305" s="7" t="s">
        <v>60</v>
      </c>
      <c r="D1305" s="9">
        <v>46009</v>
      </c>
      <c r="E1305" s="3">
        <v>4556.25</v>
      </c>
      <c r="F1305" s="7" t="s">
        <v>3174</v>
      </c>
    </row>
    <row r="1306" spans="1:6" x14ac:dyDescent="0.3">
      <c r="A1306" s="7" t="s">
        <v>4479</v>
      </c>
      <c r="B1306" s="7" t="s">
        <v>2022</v>
      </c>
      <c r="C1306" s="7" t="s">
        <v>100</v>
      </c>
      <c r="D1306" s="9">
        <v>46060</v>
      </c>
      <c r="E1306" s="3">
        <v>2025.15</v>
      </c>
      <c r="F1306" s="7" t="s">
        <v>296</v>
      </c>
    </row>
    <row r="1307" spans="1:6" x14ac:dyDescent="0.3">
      <c r="A1307" s="7" t="s">
        <v>4480</v>
      </c>
      <c r="B1307" s="7" t="s">
        <v>2023</v>
      </c>
      <c r="C1307" s="7" t="s">
        <v>124</v>
      </c>
      <c r="D1307" s="9">
        <v>45801</v>
      </c>
      <c r="E1307" s="3">
        <v>2342.73</v>
      </c>
      <c r="F1307" s="7" t="s">
        <v>3184</v>
      </c>
    </row>
    <row r="1308" spans="1:6" x14ac:dyDescent="0.3">
      <c r="A1308" s="7" t="s">
        <v>4481</v>
      </c>
      <c r="B1308" s="7" t="s">
        <v>2024</v>
      </c>
      <c r="C1308" s="7" t="s">
        <v>35</v>
      </c>
      <c r="D1308" s="9">
        <v>46068</v>
      </c>
      <c r="E1308" s="3">
        <v>2151.63</v>
      </c>
      <c r="F1308" s="7" t="s">
        <v>3184</v>
      </c>
    </row>
    <row r="1309" spans="1:6" x14ac:dyDescent="0.3">
      <c r="A1309" s="7" t="s">
        <v>4482</v>
      </c>
      <c r="B1309" s="7" t="s">
        <v>2025</v>
      </c>
      <c r="C1309" s="7" t="s">
        <v>87</v>
      </c>
      <c r="D1309" s="9">
        <v>45960</v>
      </c>
      <c r="E1309" s="3">
        <v>2400.2800000000002</v>
      </c>
      <c r="F1309" s="7" t="s">
        <v>296</v>
      </c>
    </row>
    <row r="1310" spans="1:6" x14ac:dyDescent="0.3">
      <c r="A1310" s="7" t="s">
        <v>4483</v>
      </c>
      <c r="B1310" s="7" t="s">
        <v>2025</v>
      </c>
      <c r="C1310" s="7" t="s">
        <v>87</v>
      </c>
      <c r="D1310" s="9">
        <v>45973</v>
      </c>
      <c r="E1310" s="3">
        <v>1621.51</v>
      </c>
      <c r="F1310" s="7" t="s">
        <v>3174</v>
      </c>
    </row>
    <row r="1311" spans="1:6" x14ac:dyDescent="0.3">
      <c r="A1311" s="7" t="s">
        <v>4484</v>
      </c>
      <c r="B1311" s="7" t="s">
        <v>2027</v>
      </c>
      <c r="C1311" s="7" t="s">
        <v>82</v>
      </c>
      <c r="D1311" s="9">
        <v>45780</v>
      </c>
      <c r="E1311" s="3">
        <v>2154.25</v>
      </c>
      <c r="F1311" s="7" t="s">
        <v>296</v>
      </c>
    </row>
    <row r="1312" spans="1:6" x14ac:dyDescent="0.3">
      <c r="A1312" s="7" t="s">
        <v>4485</v>
      </c>
      <c r="B1312" s="7" t="s">
        <v>2028</v>
      </c>
      <c r="C1312" s="7" t="s">
        <v>61</v>
      </c>
      <c r="D1312" s="9">
        <v>45771</v>
      </c>
      <c r="E1312" s="3">
        <v>3963.71</v>
      </c>
      <c r="F1312" s="7" t="s">
        <v>298</v>
      </c>
    </row>
    <row r="1313" spans="1:6" x14ac:dyDescent="0.3">
      <c r="A1313" s="7" t="s">
        <v>4486</v>
      </c>
      <c r="B1313" s="7" t="s">
        <v>2029</v>
      </c>
      <c r="C1313" s="7" t="s">
        <v>61</v>
      </c>
      <c r="D1313" s="9">
        <v>45785</v>
      </c>
      <c r="E1313" s="3">
        <v>1776.29</v>
      </c>
      <c r="F1313" s="7" t="s">
        <v>296</v>
      </c>
    </row>
    <row r="1314" spans="1:6" x14ac:dyDescent="0.3">
      <c r="A1314" s="7" t="s">
        <v>4487</v>
      </c>
      <c r="B1314" s="7" t="s">
        <v>2030</v>
      </c>
      <c r="C1314" s="7" t="s">
        <v>88</v>
      </c>
      <c r="D1314" s="9">
        <v>45848</v>
      </c>
      <c r="E1314" s="3">
        <v>5211.7</v>
      </c>
      <c r="F1314" s="7" t="s">
        <v>298</v>
      </c>
    </row>
    <row r="1315" spans="1:6" x14ac:dyDescent="0.3">
      <c r="A1315" s="7" t="s">
        <v>4488</v>
      </c>
      <c r="B1315" s="7" t="s">
        <v>2031</v>
      </c>
      <c r="C1315" s="7" t="s">
        <v>53</v>
      </c>
      <c r="D1315" s="9">
        <v>46084</v>
      </c>
      <c r="E1315" s="3">
        <v>4543.72</v>
      </c>
      <c r="F1315" s="7" t="s">
        <v>3184</v>
      </c>
    </row>
    <row r="1316" spans="1:6" x14ac:dyDescent="0.3">
      <c r="A1316" s="7" t="s">
        <v>4489</v>
      </c>
      <c r="B1316" s="7" t="s">
        <v>2032</v>
      </c>
      <c r="C1316" s="7" t="s">
        <v>85</v>
      </c>
      <c r="D1316" s="9">
        <v>45926</v>
      </c>
      <c r="E1316" s="3">
        <v>11413.04</v>
      </c>
      <c r="F1316" s="7" t="s">
        <v>296</v>
      </c>
    </row>
    <row r="1317" spans="1:6" x14ac:dyDescent="0.3">
      <c r="A1317" s="7" t="s">
        <v>4490</v>
      </c>
      <c r="B1317" s="7" t="s">
        <v>2033</v>
      </c>
      <c r="C1317" s="7" t="s">
        <v>55</v>
      </c>
      <c r="D1317" s="9">
        <v>45756</v>
      </c>
      <c r="E1317" s="3">
        <v>1752.07</v>
      </c>
      <c r="F1317" s="7" t="s">
        <v>296</v>
      </c>
    </row>
    <row r="1318" spans="1:6" x14ac:dyDescent="0.3">
      <c r="A1318" s="7" t="s">
        <v>4491</v>
      </c>
      <c r="B1318" s="7" t="s">
        <v>2034</v>
      </c>
      <c r="C1318" s="7" t="s">
        <v>26</v>
      </c>
      <c r="D1318" s="9">
        <v>46069</v>
      </c>
      <c r="E1318" s="3">
        <v>13699.4</v>
      </c>
      <c r="F1318" s="7" t="s">
        <v>298</v>
      </c>
    </row>
    <row r="1319" spans="1:6" x14ac:dyDescent="0.3">
      <c r="A1319" s="7" t="s">
        <v>4492</v>
      </c>
      <c r="B1319" s="7" t="s">
        <v>2035</v>
      </c>
      <c r="C1319" s="7" t="s">
        <v>65</v>
      </c>
      <c r="D1319" s="9">
        <v>45810</v>
      </c>
      <c r="E1319" s="3">
        <v>3817.31</v>
      </c>
      <c r="F1319" s="7" t="s">
        <v>3184</v>
      </c>
    </row>
    <row r="1320" spans="1:6" x14ac:dyDescent="0.3">
      <c r="A1320" s="7" t="s">
        <v>4493</v>
      </c>
      <c r="B1320" s="7" t="s">
        <v>2036</v>
      </c>
      <c r="C1320" s="7" t="s">
        <v>24</v>
      </c>
      <c r="D1320" s="9">
        <v>45987</v>
      </c>
      <c r="E1320" s="3">
        <v>2375.15</v>
      </c>
      <c r="F1320" s="7" t="s">
        <v>296</v>
      </c>
    </row>
    <row r="1321" spans="1:6" x14ac:dyDescent="0.3">
      <c r="A1321" s="7" t="s">
        <v>4494</v>
      </c>
      <c r="B1321" s="7" t="s">
        <v>2037</v>
      </c>
      <c r="C1321" s="7" t="s">
        <v>117</v>
      </c>
      <c r="D1321" s="9">
        <v>45743</v>
      </c>
      <c r="E1321" s="3">
        <v>1777.87</v>
      </c>
      <c r="F1321" s="7" t="s">
        <v>3184</v>
      </c>
    </row>
    <row r="1322" spans="1:6" x14ac:dyDescent="0.3">
      <c r="A1322" s="7" t="s">
        <v>4495</v>
      </c>
      <c r="B1322" s="7" t="s">
        <v>2038</v>
      </c>
      <c r="C1322" s="7" t="s">
        <v>60</v>
      </c>
      <c r="D1322" s="9">
        <v>45864</v>
      </c>
      <c r="E1322" s="3">
        <v>3822.52</v>
      </c>
      <c r="F1322" s="7" t="s">
        <v>296</v>
      </c>
    </row>
    <row r="1323" spans="1:6" x14ac:dyDescent="0.3">
      <c r="A1323" s="7" t="s">
        <v>4496</v>
      </c>
      <c r="B1323" s="7" t="s">
        <v>2039</v>
      </c>
      <c r="C1323" s="7" t="s">
        <v>89</v>
      </c>
      <c r="D1323" s="9">
        <v>45874</v>
      </c>
      <c r="E1323" s="3">
        <v>14258.36</v>
      </c>
      <c r="F1323" s="7" t="s">
        <v>298</v>
      </c>
    </row>
    <row r="1324" spans="1:6" x14ac:dyDescent="0.3">
      <c r="A1324" s="7" t="s">
        <v>4497</v>
      </c>
      <c r="B1324" s="7" t="s">
        <v>2042</v>
      </c>
      <c r="C1324" s="7" t="s">
        <v>54</v>
      </c>
      <c r="D1324" s="9">
        <v>46061</v>
      </c>
      <c r="E1324" s="3">
        <v>1690.98</v>
      </c>
      <c r="F1324" s="7" t="s">
        <v>3174</v>
      </c>
    </row>
    <row r="1325" spans="1:6" x14ac:dyDescent="0.3">
      <c r="A1325" s="7" t="s">
        <v>4498</v>
      </c>
      <c r="B1325" s="7" t="s">
        <v>2043</v>
      </c>
      <c r="C1325" s="7" t="s">
        <v>38</v>
      </c>
      <c r="D1325" s="9">
        <v>45876</v>
      </c>
      <c r="E1325" s="3">
        <v>1481.55</v>
      </c>
      <c r="F1325" s="7" t="s">
        <v>296</v>
      </c>
    </row>
    <row r="1326" spans="1:6" x14ac:dyDescent="0.3">
      <c r="A1326" s="7" t="s">
        <v>4499</v>
      </c>
      <c r="B1326" s="7" t="s">
        <v>2044</v>
      </c>
      <c r="C1326" s="7" t="s">
        <v>93</v>
      </c>
      <c r="D1326" s="9">
        <v>46095</v>
      </c>
      <c r="E1326" s="3">
        <v>5067.8500000000004</v>
      </c>
      <c r="F1326" s="7" t="s">
        <v>296</v>
      </c>
    </row>
    <row r="1327" spans="1:6" x14ac:dyDescent="0.3">
      <c r="A1327" s="7" t="s">
        <v>4500</v>
      </c>
      <c r="B1327" s="7" t="s">
        <v>2044</v>
      </c>
      <c r="C1327" s="7" t="s">
        <v>93</v>
      </c>
      <c r="D1327" s="9">
        <v>46099</v>
      </c>
      <c r="E1327" s="3">
        <v>4697.79</v>
      </c>
      <c r="F1327" s="7" t="s">
        <v>3184</v>
      </c>
    </row>
    <row r="1328" spans="1:6" x14ac:dyDescent="0.3">
      <c r="A1328" s="7" t="s">
        <v>4501</v>
      </c>
      <c r="B1328" s="7" t="s">
        <v>2045</v>
      </c>
      <c r="C1328" s="7" t="s">
        <v>65</v>
      </c>
      <c r="D1328" s="9">
        <v>46001</v>
      </c>
      <c r="E1328" s="3">
        <v>2199.7600000000002</v>
      </c>
      <c r="F1328" s="7" t="s">
        <v>3174</v>
      </c>
    </row>
    <row r="1329" spans="1:6" x14ac:dyDescent="0.3">
      <c r="A1329" s="7" t="s">
        <v>4502</v>
      </c>
      <c r="B1329" s="7" t="s">
        <v>2045</v>
      </c>
      <c r="C1329" s="7" t="s">
        <v>65</v>
      </c>
      <c r="D1329" s="9">
        <v>46015</v>
      </c>
      <c r="E1329" s="3">
        <v>1037.21</v>
      </c>
      <c r="F1329" s="7" t="s">
        <v>3174</v>
      </c>
    </row>
    <row r="1330" spans="1:6" x14ac:dyDescent="0.3">
      <c r="A1330" s="7" t="s">
        <v>4503</v>
      </c>
      <c r="B1330" s="7" t="s">
        <v>2046</v>
      </c>
      <c r="C1330" s="7" t="s">
        <v>91</v>
      </c>
      <c r="D1330" s="9">
        <v>45793</v>
      </c>
      <c r="E1330" s="3">
        <v>1546.1</v>
      </c>
      <c r="F1330" s="7" t="s">
        <v>296</v>
      </c>
    </row>
    <row r="1331" spans="1:6" x14ac:dyDescent="0.3">
      <c r="A1331" s="7" t="s">
        <v>4504</v>
      </c>
      <c r="B1331" s="7" t="s">
        <v>2047</v>
      </c>
      <c r="C1331" s="7" t="s">
        <v>124</v>
      </c>
      <c r="D1331" s="9">
        <v>46076</v>
      </c>
      <c r="E1331" s="3">
        <v>4024.67</v>
      </c>
      <c r="F1331" s="7" t="s">
        <v>298</v>
      </c>
    </row>
    <row r="1332" spans="1:6" x14ac:dyDescent="0.3">
      <c r="A1332" s="7" t="s">
        <v>4505</v>
      </c>
      <c r="B1332" s="7" t="s">
        <v>2048</v>
      </c>
      <c r="C1332" s="7" t="s">
        <v>31</v>
      </c>
      <c r="D1332" s="9">
        <v>45986</v>
      </c>
      <c r="E1332" s="3">
        <v>11508.8</v>
      </c>
      <c r="F1332" s="7" t="s">
        <v>298</v>
      </c>
    </row>
    <row r="1333" spans="1:6" x14ac:dyDescent="0.3">
      <c r="A1333" s="7" t="s">
        <v>4506</v>
      </c>
      <c r="B1333" s="7" t="s">
        <v>2049</v>
      </c>
      <c r="C1333" s="7" t="s">
        <v>71</v>
      </c>
      <c r="D1333" s="9">
        <v>45906</v>
      </c>
      <c r="E1333" s="3">
        <v>10395.950000000001</v>
      </c>
      <c r="F1333" s="7" t="s">
        <v>296</v>
      </c>
    </row>
    <row r="1334" spans="1:6" x14ac:dyDescent="0.3">
      <c r="A1334" s="7" t="s">
        <v>4507</v>
      </c>
      <c r="B1334" s="7" t="s">
        <v>2050</v>
      </c>
      <c r="C1334" s="7" t="s">
        <v>59</v>
      </c>
      <c r="D1334" s="9">
        <v>45901</v>
      </c>
      <c r="E1334" s="3">
        <v>3721.88</v>
      </c>
      <c r="F1334" s="7" t="s">
        <v>296</v>
      </c>
    </row>
    <row r="1335" spans="1:6" x14ac:dyDescent="0.3">
      <c r="A1335" s="7" t="s">
        <v>4508</v>
      </c>
      <c r="B1335" s="7" t="s">
        <v>2051</v>
      </c>
      <c r="C1335" s="7" t="s">
        <v>109</v>
      </c>
      <c r="D1335" s="9">
        <v>45737</v>
      </c>
      <c r="E1335" s="3">
        <v>2065.98</v>
      </c>
      <c r="F1335" s="7" t="s">
        <v>3184</v>
      </c>
    </row>
    <row r="1336" spans="1:6" x14ac:dyDescent="0.3">
      <c r="A1336" s="7" t="s">
        <v>4509</v>
      </c>
      <c r="B1336" s="7" t="s">
        <v>2052</v>
      </c>
      <c r="C1336" s="7" t="s">
        <v>102</v>
      </c>
      <c r="D1336" s="9">
        <v>45806</v>
      </c>
      <c r="E1336" s="3">
        <v>2814.23</v>
      </c>
      <c r="F1336" s="7" t="s">
        <v>296</v>
      </c>
    </row>
    <row r="1337" spans="1:6" x14ac:dyDescent="0.3">
      <c r="A1337" s="7" t="s">
        <v>4510</v>
      </c>
      <c r="B1337" s="7" t="s">
        <v>2054</v>
      </c>
      <c r="C1337" s="7" t="s">
        <v>90</v>
      </c>
      <c r="D1337" s="9">
        <v>46020</v>
      </c>
      <c r="E1337" s="3">
        <v>2483.81</v>
      </c>
      <c r="F1337" s="7" t="s">
        <v>3184</v>
      </c>
    </row>
    <row r="1338" spans="1:6" x14ac:dyDescent="0.3">
      <c r="A1338" s="7" t="s">
        <v>4511</v>
      </c>
      <c r="B1338" s="7" t="s">
        <v>2055</v>
      </c>
      <c r="C1338" s="7" t="s">
        <v>97</v>
      </c>
      <c r="D1338" s="9">
        <v>45772</v>
      </c>
      <c r="E1338" s="3">
        <v>2733.04</v>
      </c>
      <c r="F1338" s="7" t="s">
        <v>296</v>
      </c>
    </row>
    <row r="1339" spans="1:6" x14ac:dyDescent="0.3">
      <c r="A1339" s="7" t="s">
        <v>4512</v>
      </c>
      <c r="B1339" s="7" t="s">
        <v>2057</v>
      </c>
      <c r="C1339" s="7" t="s">
        <v>30</v>
      </c>
      <c r="D1339" s="9">
        <v>45769</v>
      </c>
      <c r="E1339" s="3">
        <v>3940.12</v>
      </c>
      <c r="F1339" s="7" t="s">
        <v>298</v>
      </c>
    </row>
    <row r="1340" spans="1:6" x14ac:dyDescent="0.3">
      <c r="A1340" s="7" t="s">
        <v>4513</v>
      </c>
      <c r="B1340" s="7" t="s">
        <v>2058</v>
      </c>
      <c r="C1340" s="7" t="s">
        <v>123</v>
      </c>
      <c r="D1340" s="9">
        <v>46104</v>
      </c>
      <c r="E1340" s="3">
        <v>4518.7</v>
      </c>
      <c r="F1340" s="7" t="s">
        <v>3184</v>
      </c>
    </row>
    <row r="1341" spans="1:6" x14ac:dyDescent="0.3">
      <c r="A1341" s="7" t="s">
        <v>4514</v>
      </c>
      <c r="B1341" s="7" t="s">
        <v>2059</v>
      </c>
      <c r="C1341" s="7" t="s">
        <v>17</v>
      </c>
      <c r="D1341" s="9">
        <v>46001</v>
      </c>
      <c r="E1341" s="3">
        <v>2952.87</v>
      </c>
      <c r="F1341" s="7" t="s">
        <v>298</v>
      </c>
    </row>
    <row r="1342" spans="1:6" x14ac:dyDescent="0.3">
      <c r="A1342" s="7" t="s">
        <v>4515</v>
      </c>
      <c r="B1342" s="7" t="s">
        <v>2060</v>
      </c>
      <c r="C1342" s="7" t="s">
        <v>37</v>
      </c>
      <c r="D1342" s="9">
        <v>45721</v>
      </c>
      <c r="E1342" s="3">
        <v>10198.469999999999</v>
      </c>
      <c r="F1342" s="7" t="s">
        <v>3174</v>
      </c>
    </row>
    <row r="1343" spans="1:6" x14ac:dyDescent="0.3">
      <c r="A1343" s="7" t="s">
        <v>4516</v>
      </c>
      <c r="B1343" s="7" t="s">
        <v>2061</v>
      </c>
      <c r="C1343" s="7" t="s">
        <v>41</v>
      </c>
      <c r="D1343" s="9">
        <v>46049</v>
      </c>
      <c r="E1343" s="3">
        <v>11928.93</v>
      </c>
      <c r="F1343" s="7" t="s">
        <v>3174</v>
      </c>
    </row>
    <row r="1344" spans="1:6" x14ac:dyDescent="0.3">
      <c r="A1344" s="7" t="s">
        <v>4517</v>
      </c>
      <c r="B1344" s="7" t="s">
        <v>2062</v>
      </c>
      <c r="C1344" s="7" t="s">
        <v>73</v>
      </c>
      <c r="D1344" s="9">
        <v>46090</v>
      </c>
      <c r="E1344" s="3">
        <v>3198.39</v>
      </c>
      <c r="F1344" s="7" t="s">
        <v>296</v>
      </c>
    </row>
    <row r="1345" spans="1:6" x14ac:dyDescent="0.3">
      <c r="A1345" s="7" t="s">
        <v>4518</v>
      </c>
      <c r="B1345" s="7" t="s">
        <v>2064</v>
      </c>
      <c r="C1345" s="7" t="s">
        <v>50</v>
      </c>
      <c r="D1345" s="9">
        <v>45830</v>
      </c>
      <c r="E1345" s="3">
        <v>2604.37</v>
      </c>
      <c r="F1345" s="7" t="s">
        <v>296</v>
      </c>
    </row>
    <row r="1346" spans="1:6" x14ac:dyDescent="0.3">
      <c r="A1346" s="7" t="s">
        <v>4519</v>
      </c>
      <c r="B1346" s="7" t="s">
        <v>2065</v>
      </c>
      <c r="C1346" s="7" t="s">
        <v>85</v>
      </c>
      <c r="D1346" s="9">
        <v>45887</v>
      </c>
      <c r="E1346" s="3">
        <v>2816.85</v>
      </c>
      <c r="F1346" s="7" t="s">
        <v>298</v>
      </c>
    </row>
    <row r="1347" spans="1:6" x14ac:dyDescent="0.3">
      <c r="A1347" s="7" t="s">
        <v>4520</v>
      </c>
      <c r="B1347" s="7" t="s">
        <v>2068</v>
      </c>
      <c r="C1347" s="7" t="s">
        <v>96</v>
      </c>
      <c r="D1347" s="9">
        <v>46156</v>
      </c>
      <c r="E1347" s="3">
        <v>3122.29</v>
      </c>
      <c r="F1347" s="7" t="s">
        <v>3174</v>
      </c>
    </row>
    <row r="1348" spans="1:6" x14ac:dyDescent="0.3">
      <c r="A1348" s="7" t="s">
        <v>4521</v>
      </c>
      <c r="B1348" s="7" t="s">
        <v>2069</v>
      </c>
      <c r="C1348" s="7" t="s">
        <v>67</v>
      </c>
      <c r="D1348" s="9">
        <v>46001</v>
      </c>
      <c r="E1348" s="3">
        <v>4736.8599999999997</v>
      </c>
      <c r="F1348" s="7" t="s">
        <v>3184</v>
      </c>
    </row>
    <row r="1349" spans="1:6" x14ac:dyDescent="0.3">
      <c r="A1349" s="7" t="s">
        <v>4522</v>
      </c>
      <c r="B1349" s="7" t="s">
        <v>2072</v>
      </c>
      <c r="C1349" s="7" t="s">
        <v>101</v>
      </c>
      <c r="D1349" s="9">
        <v>45784</v>
      </c>
      <c r="E1349" s="3">
        <v>2677.93</v>
      </c>
      <c r="F1349" s="7" t="s">
        <v>3174</v>
      </c>
    </row>
    <row r="1350" spans="1:6" x14ac:dyDescent="0.3">
      <c r="A1350" s="7" t="s">
        <v>4523</v>
      </c>
      <c r="B1350" s="7" t="s">
        <v>2074</v>
      </c>
      <c r="C1350" s="7" t="s">
        <v>84</v>
      </c>
      <c r="D1350" s="9">
        <v>45723</v>
      </c>
      <c r="E1350" s="3">
        <v>1149.1600000000001</v>
      </c>
      <c r="F1350" s="7" t="s">
        <v>298</v>
      </c>
    </row>
    <row r="1351" spans="1:6" x14ac:dyDescent="0.3">
      <c r="A1351" s="7" t="s">
        <v>4524</v>
      </c>
      <c r="B1351" s="7" t="s">
        <v>2074</v>
      </c>
      <c r="C1351" s="7" t="s">
        <v>84</v>
      </c>
      <c r="D1351" s="9">
        <v>45729</v>
      </c>
      <c r="E1351" s="3">
        <v>907.95</v>
      </c>
      <c r="F1351" s="7" t="s">
        <v>3174</v>
      </c>
    </row>
    <row r="1352" spans="1:6" x14ac:dyDescent="0.3">
      <c r="A1352" s="7" t="s">
        <v>4525</v>
      </c>
      <c r="B1352" s="7" t="s">
        <v>2077</v>
      </c>
      <c r="C1352" s="7" t="s">
        <v>64</v>
      </c>
      <c r="D1352" s="9">
        <v>46149</v>
      </c>
      <c r="E1352" s="3">
        <v>2157.34</v>
      </c>
      <c r="F1352" s="7" t="s">
        <v>298</v>
      </c>
    </row>
    <row r="1353" spans="1:6" x14ac:dyDescent="0.3">
      <c r="A1353" s="7" t="s">
        <v>4526</v>
      </c>
      <c r="B1353" s="7" t="s">
        <v>2078</v>
      </c>
      <c r="C1353" s="7" t="s">
        <v>28</v>
      </c>
      <c r="D1353" s="9">
        <v>45951</v>
      </c>
      <c r="E1353" s="3">
        <v>2978.6</v>
      </c>
      <c r="F1353" s="7" t="s">
        <v>3184</v>
      </c>
    </row>
    <row r="1354" spans="1:6" x14ac:dyDescent="0.3">
      <c r="A1354" s="7" t="s">
        <v>4527</v>
      </c>
      <c r="B1354" s="7" t="s">
        <v>2081</v>
      </c>
      <c r="C1354" s="7" t="s">
        <v>24</v>
      </c>
      <c r="D1354" s="9">
        <v>45923</v>
      </c>
      <c r="E1354" s="3">
        <v>1625.49</v>
      </c>
      <c r="F1354" s="7" t="s">
        <v>3174</v>
      </c>
    </row>
    <row r="1355" spans="1:6" x14ac:dyDescent="0.3">
      <c r="A1355" s="7" t="s">
        <v>4528</v>
      </c>
      <c r="B1355" s="7" t="s">
        <v>2083</v>
      </c>
      <c r="C1355" s="7" t="s">
        <v>50</v>
      </c>
      <c r="D1355" s="9">
        <v>46066</v>
      </c>
      <c r="E1355" s="3">
        <v>5863.56</v>
      </c>
      <c r="F1355" s="7" t="s">
        <v>3174</v>
      </c>
    </row>
    <row r="1356" spans="1:6" x14ac:dyDescent="0.3">
      <c r="A1356" s="7" t="s">
        <v>4529</v>
      </c>
      <c r="B1356" s="7" t="s">
        <v>2084</v>
      </c>
      <c r="C1356" s="7" t="s">
        <v>90</v>
      </c>
      <c r="D1356" s="9">
        <v>46045</v>
      </c>
      <c r="E1356" s="3">
        <v>13968.8</v>
      </c>
      <c r="F1356" s="7" t="s">
        <v>3174</v>
      </c>
    </row>
    <row r="1357" spans="1:6" x14ac:dyDescent="0.3">
      <c r="A1357" s="7" t="s">
        <v>4530</v>
      </c>
      <c r="B1357" s="7" t="s">
        <v>2086</v>
      </c>
      <c r="C1357" s="7" t="s">
        <v>101</v>
      </c>
      <c r="D1357" s="9">
        <v>45730</v>
      </c>
      <c r="E1357" s="3">
        <v>2115.69</v>
      </c>
      <c r="F1357" s="7" t="s">
        <v>296</v>
      </c>
    </row>
    <row r="1358" spans="1:6" x14ac:dyDescent="0.3">
      <c r="A1358" s="7" t="s">
        <v>4531</v>
      </c>
      <c r="B1358" s="7" t="s">
        <v>2087</v>
      </c>
      <c r="C1358" s="7" t="s">
        <v>23</v>
      </c>
      <c r="D1358" s="9">
        <v>46063</v>
      </c>
      <c r="E1358" s="3">
        <v>4112.09</v>
      </c>
      <c r="F1358" s="7" t="s">
        <v>296</v>
      </c>
    </row>
    <row r="1359" spans="1:6" x14ac:dyDescent="0.3">
      <c r="A1359" s="7" t="s">
        <v>4532</v>
      </c>
      <c r="B1359" s="7" t="s">
        <v>2088</v>
      </c>
      <c r="C1359" s="7" t="s">
        <v>14</v>
      </c>
      <c r="D1359" s="9">
        <v>45980</v>
      </c>
      <c r="E1359" s="3">
        <v>1780.55</v>
      </c>
      <c r="F1359" s="7" t="s">
        <v>296</v>
      </c>
    </row>
    <row r="1360" spans="1:6" x14ac:dyDescent="0.3">
      <c r="A1360" s="7" t="s">
        <v>4533</v>
      </c>
      <c r="B1360" s="7" t="s">
        <v>2088</v>
      </c>
      <c r="C1360" s="7" t="s">
        <v>14</v>
      </c>
      <c r="D1360" s="9">
        <v>45985</v>
      </c>
      <c r="E1360" s="3">
        <v>1173.52</v>
      </c>
      <c r="F1360" s="7" t="s">
        <v>296</v>
      </c>
    </row>
    <row r="1361" spans="1:6" x14ac:dyDescent="0.3">
      <c r="A1361" s="7" t="s">
        <v>4534</v>
      </c>
      <c r="B1361" s="7" t="s">
        <v>2090</v>
      </c>
      <c r="C1361" s="7" t="s">
        <v>84</v>
      </c>
      <c r="D1361" s="9">
        <v>46079</v>
      </c>
      <c r="E1361" s="3">
        <v>2797.52</v>
      </c>
      <c r="F1361" s="7" t="s">
        <v>296</v>
      </c>
    </row>
    <row r="1362" spans="1:6" x14ac:dyDescent="0.3">
      <c r="A1362" s="7" t="s">
        <v>4535</v>
      </c>
      <c r="B1362" s="7" t="s">
        <v>2091</v>
      </c>
      <c r="C1362" s="7" t="s">
        <v>65</v>
      </c>
      <c r="D1362" s="9">
        <v>45887</v>
      </c>
      <c r="E1362" s="3">
        <v>3111</v>
      </c>
      <c r="F1362" s="7" t="s">
        <v>3174</v>
      </c>
    </row>
    <row r="1363" spans="1:6" x14ac:dyDescent="0.3">
      <c r="A1363" s="7" t="s">
        <v>4536</v>
      </c>
      <c r="B1363" s="7" t="s">
        <v>2092</v>
      </c>
      <c r="C1363" s="7" t="s">
        <v>65</v>
      </c>
      <c r="D1363" s="9">
        <v>45811</v>
      </c>
      <c r="E1363" s="3">
        <v>2144.6999999999998</v>
      </c>
      <c r="F1363" s="7" t="s">
        <v>3184</v>
      </c>
    </row>
    <row r="1364" spans="1:6" x14ac:dyDescent="0.3">
      <c r="A1364" s="7" t="s">
        <v>4537</v>
      </c>
      <c r="B1364" s="7" t="s">
        <v>2093</v>
      </c>
      <c r="C1364" s="7" t="s">
        <v>109</v>
      </c>
      <c r="D1364" s="9">
        <v>45744</v>
      </c>
      <c r="E1364" s="3">
        <v>5202.93</v>
      </c>
      <c r="F1364" s="7" t="s">
        <v>3174</v>
      </c>
    </row>
    <row r="1365" spans="1:6" x14ac:dyDescent="0.3">
      <c r="A1365" s="7" t="s">
        <v>4538</v>
      </c>
      <c r="B1365" s="7" t="s">
        <v>2094</v>
      </c>
      <c r="C1365" s="7" t="s">
        <v>95</v>
      </c>
      <c r="D1365" s="9">
        <v>45849</v>
      </c>
      <c r="E1365" s="3">
        <v>1464.73</v>
      </c>
      <c r="F1365" s="7" t="s">
        <v>296</v>
      </c>
    </row>
    <row r="1366" spans="1:6" x14ac:dyDescent="0.3">
      <c r="A1366" s="7" t="s">
        <v>4539</v>
      </c>
      <c r="B1366" s="7" t="s">
        <v>2095</v>
      </c>
      <c r="C1366" s="7" t="s">
        <v>87</v>
      </c>
      <c r="D1366" s="9">
        <v>46131</v>
      </c>
      <c r="E1366" s="3">
        <v>2728.14</v>
      </c>
      <c r="F1366" s="7" t="s">
        <v>298</v>
      </c>
    </row>
    <row r="1367" spans="1:6" x14ac:dyDescent="0.3">
      <c r="A1367" s="7" t="s">
        <v>4540</v>
      </c>
      <c r="B1367" s="7" t="s">
        <v>2096</v>
      </c>
      <c r="C1367" s="7" t="s">
        <v>110</v>
      </c>
      <c r="D1367" s="9">
        <v>46057</v>
      </c>
      <c r="E1367" s="3">
        <v>4990.05</v>
      </c>
      <c r="F1367" s="7" t="s">
        <v>3184</v>
      </c>
    </row>
    <row r="1368" spans="1:6" x14ac:dyDescent="0.3">
      <c r="A1368" s="7" t="s">
        <v>4541</v>
      </c>
      <c r="B1368" s="7" t="s">
        <v>2100</v>
      </c>
      <c r="C1368" s="7" t="s">
        <v>51</v>
      </c>
      <c r="D1368" s="9">
        <v>45855</v>
      </c>
      <c r="E1368" s="3">
        <v>3057.53</v>
      </c>
      <c r="F1368" s="7" t="s">
        <v>3174</v>
      </c>
    </row>
    <row r="1369" spans="1:6" x14ac:dyDescent="0.3">
      <c r="A1369" s="7" t="s">
        <v>4542</v>
      </c>
      <c r="B1369" s="7" t="s">
        <v>2101</v>
      </c>
      <c r="C1369" s="7" t="s">
        <v>96</v>
      </c>
      <c r="D1369" s="9">
        <v>45946</v>
      </c>
      <c r="E1369" s="3">
        <v>11477.1</v>
      </c>
      <c r="F1369" s="7" t="s">
        <v>3174</v>
      </c>
    </row>
    <row r="1370" spans="1:6" x14ac:dyDescent="0.3">
      <c r="A1370" s="7" t="s">
        <v>4543</v>
      </c>
      <c r="B1370" s="7" t="s">
        <v>2102</v>
      </c>
      <c r="C1370" s="7" t="s">
        <v>48</v>
      </c>
      <c r="D1370" s="9">
        <v>45939</v>
      </c>
      <c r="E1370" s="3">
        <v>5402.22</v>
      </c>
      <c r="F1370" s="7" t="s">
        <v>3174</v>
      </c>
    </row>
    <row r="1371" spans="1:6" x14ac:dyDescent="0.3">
      <c r="A1371" s="7" t="s">
        <v>4544</v>
      </c>
      <c r="B1371" s="7" t="s">
        <v>2103</v>
      </c>
      <c r="C1371" s="7" t="s">
        <v>90</v>
      </c>
      <c r="D1371" s="9">
        <v>45720</v>
      </c>
      <c r="E1371" s="3">
        <v>4012.2</v>
      </c>
      <c r="F1371" s="7" t="s">
        <v>298</v>
      </c>
    </row>
    <row r="1372" spans="1:6" x14ac:dyDescent="0.3">
      <c r="A1372" s="7" t="s">
        <v>4545</v>
      </c>
      <c r="B1372" s="7" t="s">
        <v>2104</v>
      </c>
      <c r="C1372" s="7" t="s">
        <v>121</v>
      </c>
      <c r="D1372" s="9">
        <v>45936</v>
      </c>
      <c r="E1372" s="3">
        <v>5154.3100000000004</v>
      </c>
      <c r="F1372" s="7" t="s">
        <v>3184</v>
      </c>
    </row>
    <row r="1373" spans="1:6" x14ac:dyDescent="0.3">
      <c r="A1373" s="7" t="s">
        <v>4546</v>
      </c>
      <c r="B1373" s="7" t="s">
        <v>2105</v>
      </c>
      <c r="C1373" s="7" t="s">
        <v>90</v>
      </c>
      <c r="D1373" s="9">
        <v>46091</v>
      </c>
      <c r="E1373" s="3">
        <v>4419.53</v>
      </c>
      <c r="F1373" s="7" t="s">
        <v>3184</v>
      </c>
    </row>
    <row r="1374" spans="1:6" x14ac:dyDescent="0.3">
      <c r="A1374" s="7" t="s">
        <v>4547</v>
      </c>
      <c r="B1374" s="7" t="s">
        <v>2106</v>
      </c>
      <c r="C1374" s="7" t="s">
        <v>107</v>
      </c>
      <c r="D1374" s="9">
        <v>46099</v>
      </c>
      <c r="E1374" s="3">
        <v>2834.67</v>
      </c>
      <c r="F1374" s="7" t="s">
        <v>3184</v>
      </c>
    </row>
    <row r="1375" spans="1:6" x14ac:dyDescent="0.3">
      <c r="A1375" s="7" t="s">
        <v>4548</v>
      </c>
      <c r="B1375" s="7" t="s">
        <v>2110</v>
      </c>
      <c r="C1375" s="7" t="s">
        <v>69</v>
      </c>
      <c r="D1375" s="9">
        <v>45687</v>
      </c>
      <c r="E1375" s="3">
        <v>1730.88</v>
      </c>
      <c r="F1375" s="7" t="s">
        <v>3174</v>
      </c>
    </row>
    <row r="1376" spans="1:6" x14ac:dyDescent="0.3">
      <c r="A1376" s="7" t="s">
        <v>4549</v>
      </c>
      <c r="B1376" s="7" t="s">
        <v>2111</v>
      </c>
      <c r="C1376" s="7" t="s">
        <v>106</v>
      </c>
      <c r="D1376" s="9">
        <v>45762</v>
      </c>
      <c r="E1376" s="3">
        <v>2687.98</v>
      </c>
      <c r="F1376" s="7" t="s">
        <v>296</v>
      </c>
    </row>
    <row r="1377" spans="1:6" x14ac:dyDescent="0.3">
      <c r="A1377" s="7" t="s">
        <v>4550</v>
      </c>
      <c r="B1377" s="7" t="s">
        <v>2112</v>
      </c>
      <c r="C1377" s="7" t="s">
        <v>66</v>
      </c>
      <c r="D1377" s="9">
        <v>46013</v>
      </c>
      <c r="E1377" s="3">
        <v>2153.64</v>
      </c>
      <c r="F1377" s="7" t="s">
        <v>3184</v>
      </c>
    </row>
    <row r="1378" spans="1:6" x14ac:dyDescent="0.3">
      <c r="A1378" s="7" t="s">
        <v>4551</v>
      </c>
      <c r="B1378" s="7" t="s">
        <v>2113</v>
      </c>
      <c r="C1378" s="7" t="s">
        <v>8</v>
      </c>
      <c r="D1378" s="9">
        <v>46031</v>
      </c>
      <c r="E1378" s="3">
        <v>1715.11</v>
      </c>
      <c r="F1378" s="7" t="s">
        <v>3174</v>
      </c>
    </row>
    <row r="1379" spans="1:6" x14ac:dyDescent="0.3">
      <c r="A1379" s="7" t="s">
        <v>4552</v>
      </c>
      <c r="B1379" s="7" t="s">
        <v>2114</v>
      </c>
      <c r="C1379" s="7" t="s">
        <v>123</v>
      </c>
      <c r="D1379" s="9">
        <v>45754</v>
      </c>
      <c r="E1379" s="3">
        <v>2539.9499999999998</v>
      </c>
      <c r="F1379" s="7" t="s">
        <v>3174</v>
      </c>
    </row>
    <row r="1380" spans="1:6" x14ac:dyDescent="0.3">
      <c r="A1380" s="7" t="s">
        <v>4553</v>
      </c>
      <c r="B1380" s="7" t="s">
        <v>2116</v>
      </c>
      <c r="C1380" s="7" t="s">
        <v>68</v>
      </c>
      <c r="D1380" s="9">
        <v>45763</v>
      </c>
      <c r="E1380" s="3">
        <v>2693.73</v>
      </c>
      <c r="F1380" s="7" t="s">
        <v>3174</v>
      </c>
    </row>
    <row r="1381" spans="1:6" x14ac:dyDescent="0.3">
      <c r="A1381" s="7" t="s">
        <v>4554</v>
      </c>
      <c r="B1381" s="7" t="s">
        <v>2117</v>
      </c>
      <c r="C1381" s="7" t="s">
        <v>48</v>
      </c>
      <c r="D1381" s="9">
        <v>45824</v>
      </c>
      <c r="E1381" s="3">
        <v>1945.97</v>
      </c>
      <c r="F1381" s="7" t="s">
        <v>296</v>
      </c>
    </row>
    <row r="1382" spans="1:6" x14ac:dyDescent="0.3">
      <c r="A1382" s="7" t="s">
        <v>4555</v>
      </c>
      <c r="B1382" s="7" t="s">
        <v>2118</v>
      </c>
      <c r="C1382" s="7" t="s">
        <v>111</v>
      </c>
      <c r="D1382" s="9">
        <v>46154</v>
      </c>
      <c r="E1382" s="3">
        <v>2140.6799999999998</v>
      </c>
      <c r="F1382" s="7" t="s">
        <v>3184</v>
      </c>
    </row>
    <row r="1383" spans="1:6" x14ac:dyDescent="0.3">
      <c r="A1383" s="7" t="s">
        <v>4556</v>
      </c>
      <c r="B1383" s="7" t="s">
        <v>2118</v>
      </c>
      <c r="C1383" s="7" t="s">
        <v>111</v>
      </c>
      <c r="D1383" s="9">
        <v>46163</v>
      </c>
      <c r="E1383" s="3">
        <v>1115.8399999999999</v>
      </c>
      <c r="F1383" s="7" t="s">
        <v>3184</v>
      </c>
    </row>
    <row r="1384" spans="1:6" x14ac:dyDescent="0.3">
      <c r="A1384" s="7" t="s">
        <v>4557</v>
      </c>
      <c r="B1384" s="7" t="s">
        <v>2120</v>
      </c>
      <c r="C1384" s="7" t="s">
        <v>111</v>
      </c>
      <c r="D1384" s="9">
        <v>46111</v>
      </c>
      <c r="E1384" s="3">
        <v>9906.8700000000008</v>
      </c>
      <c r="F1384" s="7" t="s">
        <v>298</v>
      </c>
    </row>
    <row r="1385" spans="1:6" x14ac:dyDescent="0.3">
      <c r="A1385" s="7" t="s">
        <v>4558</v>
      </c>
      <c r="B1385" s="7" t="s">
        <v>2122</v>
      </c>
      <c r="C1385" s="7" t="s">
        <v>78</v>
      </c>
      <c r="D1385" s="9">
        <v>45982</v>
      </c>
      <c r="E1385" s="3">
        <v>2616.8000000000002</v>
      </c>
      <c r="F1385" s="7" t="s">
        <v>3184</v>
      </c>
    </row>
    <row r="1386" spans="1:6" x14ac:dyDescent="0.3">
      <c r="A1386" s="7" t="s">
        <v>4559</v>
      </c>
      <c r="B1386" s="7" t="s">
        <v>2123</v>
      </c>
      <c r="C1386" s="7" t="s">
        <v>33</v>
      </c>
      <c r="D1386" s="9">
        <v>45731</v>
      </c>
      <c r="E1386" s="3">
        <v>13442.46</v>
      </c>
      <c r="F1386" s="7" t="s">
        <v>3174</v>
      </c>
    </row>
    <row r="1387" spans="1:6" x14ac:dyDescent="0.3">
      <c r="A1387" s="7" t="s">
        <v>4560</v>
      </c>
      <c r="B1387" s="7" t="s">
        <v>2125</v>
      </c>
      <c r="C1387" s="7" t="s">
        <v>76</v>
      </c>
      <c r="D1387" s="9">
        <v>45933</v>
      </c>
      <c r="E1387" s="3">
        <v>3575.91</v>
      </c>
      <c r="F1387" s="7" t="s">
        <v>296</v>
      </c>
    </row>
    <row r="1388" spans="1:6" x14ac:dyDescent="0.3">
      <c r="A1388" s="7" t="s">
        <v>4561</v>
      </c>
      <c r="B1388" s="7" t="s">
        <v>2126</v>
      </c>
      <c r="C1388" s="7" t="s">
        <v>12</v>
      </c>
      <c r="D1388" s="9">
        <v>46007</v>
      </c>
      <c r="E1388" s="3">
        <v>4846.1000000000004</v>
      </c>
      <c r="F1388" s="7" t="s">
        <v>3184</v>
      </c>
    </row>
    <row r="1389" spans="1:6" x14ac:dyDescent="0.3">
      <c r="A1389" s="7" t="s">
        <v>4562</v>
      </c>
      <c r="B1389" s="7" t="s">
        <v>2127</v>
      </c>
      <c r="C1389" s="7" t="s">
        <v>24</v>
      </c>
      <c r="D1389" s="9">
        <v>45821</v>
      </c>
      <c r="E1389" s="3">
        <v>4066.47</v>
      </c>
      <c r="F1389" s="7" t="s">
        <v>296</v>
      </c>
    </row>
    <row r="1390" spans="1:6" x14ac:dyDescent="0.3">
      <c r="A1390" s="7" t="s">
        <v>4563</v>
      </c>
      <c r="B1390" s="7" t="s">
        <v>2129</v>
      </c>
      <c r="C1390" s="7" t="s">
        <v>111</v>
      </c>
      <c r="D1390" s="9">
        <v>45795</v>
      </c>
      <c r="E1390" s="3">
        <v>3553.49</v>
      </c>
      <c r="F1390" s="7" t="s">
        <v>3174</v>
      </c>
    </row>
    <row r="1391" spans="1:6" x14ac:dyDescent="0.3">
      <c r="A1391" s="7" t="s">
        <v>4564</v>
      </c>
      <c r="B1391" s="7" t="s">
        <v>2130</v>
      </c>
      <c r="C1391" s="7" t="s">
        <v>113</v>
      </c>
      <c r="D1391" s="9">
        <v>45779</v>
      </c>
      <c r="E1391" s="3">
        <v>2684.52</v>
      </c>
      <c r="F1391" s="7" t="s">
        <v>3184</v>
      </c>
    </row>
    <row r="1392" spans="1:6" x14ac:dyDescent="0.3">
      <c r="A1392" s="7" t="s">
        <v>4565</v>
      </c>
      <c r="B1392" s="7" t="s">
        <v>2131</v>
      </c>
      <c r="C1392" s="7" t="s">
        <v>52</v>
      </c>
      <c r="D1392" s="9">
        <v>46014</v>
      </c>
      <c r="E1392" s="3">
        <v>3583.64</v>
      </c>
      <c r="F1392" s="7" t="s">
        <v>296</v>
      </c>
    </row>
    <row r="1393" spans="1:6" x14ac:dyDescent="0.3">
      <c r="A1393" s="7" t="s">
        <v>4566</v>
      </c>
      <c r="B1393" s="7" t="s">
        <v>2131</v>
      </c>
      <c r="C1393" s="7" t="s">
        <v>52</v>
      </c>
      <c r="D1393" s="9">
        <v>46018</v>
      </c>
      <c r="E1393" s="3">
        <v>2331.21</v>
      </c>
      <c r="F1393" s="7" t="s">
        <v>3184</v>
      </c>
    </row>
    <row r="1394" spans="1:6" x14ac:dyDescent="0.3">
      <c r="A1394" s="7" t="s">
        <v>4567</v>
      </c>
      <c r="B1394" s="7" t="s">
        <v>2132</v>
      </c>
      <c r="C1394" s="7" t="s">
        <v>39</v>
      </c>
      <c r="D1394" s="9">
        <v>46005</v>
      </c>
      <c r="E1394" s="3">
        <v>2128.4899999999998</v>
      </c>
      <c r="F1394" s="7" t="s">
        <v>296</v>
      </c>
    </row>
    <row r="1395" spans="1:6" x14ac:dyDescent="0.3">
      <c r="A1395" s="7" t="s">
        <v>4568</v>
      </c>
      <c r="B1395" s="7" t="s">
        <v>2133</v>
      </c>
      <c r="C1395" s="7" t="s">
        <v>39</v>
      </c>
      <c r="D1395" s="9">
        <v>45765</v>
      </c>
      <c r="E1395" s="3">
        <v>2381.7800000000002</v>
      </c>
      <c r="F1395" s="7" t="s">
        <v>298</v>
      </c>
    </row>
    <row r="1396" spans="1:6" x14ac:dyDescent="0.3">
      <c r="A1396" s="7" t="s">
        <v>4569</v>
      </c>
      <c r="B1396" s="7" t="s">
        <v>2134</v>
      </c>
      <c r="C1396" s="7" t="s">
        <v>16</v>
      </c>
      <c r="D1396" s="9">
        <v>46029</v>
      </c>
      <c r="E1396" s="3">
        <v>1746.25</v>
      </c>
      <c r="F1396" s="7" t="s">
        <v>3174</v>
      </c>
    </row>
    <row r="1397" spans="1:6" x14ac:dyDescent="0.3">
      <c r="A1397" s="7" t="s">
        <v>4570</v>
      </c>
      <c r="B1397" s="7" t="s">
        <v>2135</v>
      </c>
      <c r="C1397" s="7" t="s">
        <v>98</v>
      </c>
      <c r="D1397" s="9">
        <v>46030</v>
      </c>
      <c r="E1397" s="3">
        <v>1967.53</v>
      </c>
      <c r="F1397" s="7" t="s">
        <v>3184</v>
      </c>
    </row>
    <row r="1398" spans="1:6" x14ac:dyDescent="0.3">
      <c r="A1398" s="7" t="s">
        <v>4571</v>
      </c>
      <c r="B1398" s="7" t="s">
        <v>2136</v>
      </c>
      <c r="C1398" s="7" t="s">
        <v>60</v>
      </c>
      <c r="D1398" s="9">
        <v>46009</v>
      </c>
      <c r="E1398" s="3">
        <v>2563.64</v>
      </c>
      <c r="F1398" s="7" t="s">
        <v>298</v>
      </c>
    </row>
    <row r="1399" spans="1:6" x14ac:dyDescent="0.3">
      <c r="A1399" s="7" t="s">
        <v>4572</v>
      </c>
      <c r="B1399" s="7" t="s">
        <v>2137</v>
      </c>
      <c r="C1399" s="7" t="s">
        <v>84</v>
      </c>
      <c r="D1399" s="9">
        <v>46069</v>
      </c>
      <c r="E1399" s="3">
        <v>4632.72</v>
      </c>
      <c r="F1399" s="7" t="s">
        <v>298</v>
      </c>
    </row>
    <row r="1400" spans="1:6" x14ac:dyDescent="0.3">
      <c r="A1400" s="7" t="s">
        <v>4573</v>
      </c>
      <c r="B1400" s="7" t="s">
        <v>2138</v>
      </c>
      <c r="C1400" s="7" t="s">
        <v>77</v>
      </c>
      <c r="D1400" s="9">
        <v>45774</v>
      </c>
      <c r="E1400" s="3">
        <v>4155.05</v>
      </c>
      <c r="F1400" s="7" t="s">
        <v>298</v>
      </c>
    </row>
    <row r="1401" spans="1:6" x14ac:dyDescent="0.3">
      <c r="A1401" s="7" t="s">
        <v>4574</v>
      </c>
      <c r="B1401" s="7" t="s">
        <v>2139</v>
      </c>
      <c r="C1401" s="7" t="s">
        <v>49</v>
      </c>
      <c r="D1401" s="9">
        <v>45993</v>
      </c>
      <c r="E1401" s="3">
        <v>9916.6</v>
      </c>
      <c r="F1401" s="7" t="s">
        <v>298</v>
      </c>
    </row>
    <row r="1402" spans="1:6" x14ac:dyDescent="0.3">
      <c r="A1402" s="7" t="s">
        <v>4575</v>
      </c>
      <c r="B1402" s="7" t="s">
        <v>2140</v>
      </c>
      <c r="C1402" s="7" t="s">
        <v>19</v>
      </c>
      <c r="D1402" s="9">
        <v>46091</v>
      </c>
      <c r="E1402" s="3">
        <v>2146.33</v>
      </c>
      <c r="F1402" s="7" t="s">
        <v>3184</v>
      </c>
    </row>
    <row r="1403" spans="1:6" x14ac:dyDescent="0.3">
      <c r="A1403" s="7" t="s">
        <v>4576</v>
      </c>
      <c r="B1403" s="7" t="s">
        <v>2142</v>
      </c>
      <c r="C1403" s="7" t="s">
        <v>110</v>
      </c>
      <c r="D1403" s="9">
        <v>46068</v>
      </c>
      <c r="E1403" s="3">
        <v>2610.88</v>
      </c>
      <c r="F1403" s="7" t="s">
        <v>298</v>
      </c>
    </row>
    <row r="1404" spans="1:6" x14ac:dyDescent="0.3">
      <c r="A1404" s="7" t="s">
        <v>4577</v>
      </c>
      <c r="B1404" s="7" t="s">
        <v>2143</v>
      </c>
      <c r="C1404" s="7" t="s">
        <v>43</v>
      </c>
      <c r="D1404" s="9">
        <v>45847</v>
      </c>
      <c r="E1404" s="3">
        <v>10058.59</v>
      </c>
      <c r="F1404" s="7" t="s">
        <v>296</v>
      </c>
    </row>
    <row r="1405" spans="1:6" x14ac:dyDescent="0.3">
      <c r="A1405" s="7" t="s">
        <v>4578</v>
      </c>
      <c r="B1405" s="7" t="s">
        <v>2144</v>
      </c>
      <c r="C1405" s="7" t="s">
        <v>103</v>
      </c>
      <c r="D1405" s="9">
        <v>45714</v>
      </c>
      <c r="E1405" s="3">
        <v>3179.48</v>
      </c>
      <c r="F1405" s="7" t="s">
        <v>3174</v>
      </c>
    </row>
    <row r="1406" spans="1:6" x14ac:dyDescent="0.3">
      <c r="A1406" s="7" t="s">
        <v>4579</v>
      </c>
      <c r="B1406" s="7" t="s">
        <v>2145</v>
      </c>
      <c r="C1406" s="7" t="s">
        <v>107</v>
      </c>
      <c r="D1406" s="9">
        <v>46080</v>
      </c>
      <c r="E1406" s="3">
        <v>10467.23</v>
      </c>
      <c r="F1406" s="7" t="s">
        <v>3174</v>
      </c>
    </row>
    <row r="1407" spans="1:6" x14ac:dyDescent="0.3">
      <c r="A1407" s="7" t="s">
        <v>4580</v>
      </c>
      <c r="B1407" s="7" t="s">
        <v>2146</v>
      </c>
      <c r="C1407" s="7" t="s">
        <v>23</v>
      </c>
      <c r="D1407" s="9">
        <v>46115</v>
      </c>
      <c r="E1407" s="3">
        <v>3572.34</v>
      </c>
      <c r="F1407" s="7" t="s">
        <v>3174</v>
      </c>
    </row>
    <row r="1408" spans="1:6" x14ac:dyDescent="0.3">
      <c r="A1408" s="7" t="s">
        <v>4581</v>
      </c>
      <c r="B1408" s="7" t="s">
        <v>2147</v>
      </c>
      <c r="C1408" s="7" t="s">
        <v>23</v>
      </c>
      <c r="D1408" s="9">
        <v>45961</v>
      </c>
      <c r="E1408" s="3">
        <v>2009.5</v>
      </c>
      <c r="F1408" s="7" t="s">
        <v>298</v>
      </c>
    </row>
    <row r="1409" spans="1:6" x14ac:dyDescent="0.3">
      <c r="A1409" s="7" t="s">
        <v>4582</v>
      </c>
      <c r="B1409" s="7" t="s">
        <v>2148</v>
      </c>
      <c r="C1409" s="7" t="s">
        <v>99</v>
      </c>
      <c r="D1409" s="9">
        <v>46044</v>
      </c>
      <c r="E1409" s="3">
        <v>3216.07</v>
      </c>
      <c r="F1409" s="7" t="s">
        <v>3174</v>
      </c>
    </row>
    <row r="1410" spans="1:6" x14ac:dyDescent="0.3">
      <c r="A1410" s="7" t="s">
        <v>4583</v>
      </c>
      <c r="B1410" s="7" t="s">
        <v>2148</v>
      </c>
      <c r="C1410" s="7" t="s">
        <v>99</v>
      </c>
      <c r="D1410" s="9">
        <v>46047</v>
      </c>
      <c r="E1410" s="3">
        <v>1541.53</v>
      </c>
      <c r="F1410" s="7" t="s">
        <v>3184</v>
      </c>
    </row>
    <row r="1411" spans="1:6" x14ac:dyDescent="0.3">
      <c r="A1411" s="7" t="s">
        <v>4584</v>
      </c>
      <c r="B1411" s="7" t="s">
        <v>2149</v>
      </c>
      <c r="C1411" s="7" t="s">
        <v>60</v>
      </c>
      <c r="D1411" s="9">
        <v>46037</v>
      </c>
      <c r="E1411" s="3">
        <v>2141.64</v>
      </c>
      <c r="F1411" s="7" t="s">
        <v>3174</v>
      </c>
    </row>
    <row r="1412" spans="1:6" x14ac:dyDescent="0.3">
      <c r="A1412" s="7" t="s">
        <v>4585</v>
      </c>
      <c r="B1412" s="7" t="s">
        <v>2153</v>
      </c>
      <c r="C1412" s="7" t="s">
        <v>37</v>
      </c>
      <c r="D1412" s="9">
        <v>45985</v>
      </c>
      <c r="E1412" s="3">
        <v>2845.25</v>
      </c>
      <c r="F1412" s="7" t="s">
        <v>3184</v>
      </c>
    </row>
    <row r="1413" spans="1:6" x14ac:dyDescent="0.3">
      <c r="A1413" s="7" t="s">
        <v>4586</v>
      </c>
      <c r="B1413" s="7" t="s">
        <v>2154</v>
      </c>
      <c r="C1413" s="7" t="s">
        <v>77</v>
      </c>
      <c r="D1413" s="9">
        <v>45687</v>
      </c>
      <c r="E1413" s="3">
        <v>2598.14</v>
      </c>
      <c r="F1413" s="7" t="s">
        <v>3174</v>
      </c>
    </row>
    <row r="1414" spans="1:6" x14ac:dyDescent="0.3">
      <c r="A1414" s="7" t="s">
        <v>4587</v>
      </c>
      <c r="B1414" s="7" t="s">
        <v>2155</v>
      </c>
      <c r="C1414" s="7" t="s">
        <v>100</v>
      </c>
      <c r="D1414" s="9">
        <v>45663</v>
      </c>
      <c r="E1414" s="3">
        <v>13480.07</v>
      </c>
      <c r="F1414" s="7" t="s">
        <v>3184</v>
      </c>
    </row>
    <row r="1415" spans="1:6" x14ac:dyDescent="0.3">
      <c r="A1415" s="7" t="s">
        <v>4588</v>
      </c>
      <c r="B1415" s="7" t="s">
        <v>2157</v>
      </c>
      <c r="C1415" s="7" t="s">
        <v>123</v>
      </c>
      <c r="D1415" s="9">
        <v>45879</v>
      </c>
      <c r="E1415" s="3">
        <v>2102.3200000000002</v>
      </c>
      <c r="F1415" s="7" t="s">
        <v>298</v>
      </c>
    </row>
    <row r="1416" spans="1:6" x14ac:dyDescent="0.3">
      <c r="A1416" s="7" t="s">
        <v>4589</v>
      </c>
      <c r="B1416" s="7" t="s">
        <v>2157</v>
      </c>
      <c r="C1416" s="7" t="s">
        <v>123</v>
      </c>
      <c r="D1416" s="9">
        <v>45886</v>
      </c>
      <c r="E1416" s="3">
        <v>1674.71</v>
      </c>
      <c r="F1416" s="7" t="s">
        <v>3184</v>
      </c>
    </row>
    <row r="1417" spans="1:6" x14ac:dyDescent="0.3">
      <c r="A1417" s="7" t="s">
        <v>4590</v>
      </c>
      <c r="B1417" s="7" t="s">
        <v>2158</v>
      </c>
      <c r="C1417" s="7" t="s">
        <v>51</v>
      </c>
      <c r="D1417" s="9">
        <v>45928</v>
      </c>
      <c r="E1417" s="3">
        <v>591.02</v>
      </c>
      <c r="F1417" s="7" t="s">
        <v>298</v>
      </c>
    </row>
    <row r="1418" spans="1:6" x14ac:dyDescent="0.3">
      <c r="A1418" s="7" t="s">
        <v>4591</v>
      </c>
      <c r="B1418" s="7" t="s">
        <v>2158</v>
      </c>
      <c r="C1418" s="7" t="s">
        <v>51</v>
      </c>
      <c r="D1418" s="9">
        <v>45940</v>
      </c>
      <c r="E1418" s="3">
        <v>854.23</v>
      </c>
      <c r="F1418" s="7" t="s">
        <v>298</v>
      </c>
    </row>
    <row r="1419" spans="1:6" x14ac:dyDescent="0.3">
      <c r="A1419" s="7" t="s">
        <v>4592</v>
      </c>
      <c r="B1419" s="7" t="s">
        <v>2159</v>
      </c>
      <c r="C1419" s="7" t="s">
        <v>12</v>
      </c>
      <c r="D1419" s="9">
        <v>46031</v>
      </c>
      <c r="E1419" s="3">
        <v>5988.44</v>
      </c>
      <c r="F1419" s="7" t="s">
        <v>3184</v>
      </c>
    </row>
    <row r="1420" spans="1:6" x14ac:dyDescent="0.3">
      <c r="A1420" s="7" t="s">
        <v>4593</v>
      </c>
      <c r="B1420" s="7" t="s">
        <v>2161</v>
      </c>
      <c r="C1420" s="7" t="s">
        <v>24</v>
      </c>
      <c r="D1420" s="9">
        <v>45753</v>
      </c>
      <c r="E1420" s="3">
        <v>4065.32</v>
      </c>
      <c r="F1420" s="7" t="s">
        <v>296</v>
      </c>
    </row>
    <row r="1421" spans="1:6" x14ac:dyDescent="0.3">
      <c r="A1421" s="7" t="s">
        <v>4594</v>
      </c>
      <c r="B1421" s="7" t="s">
        <v>2162</v>
      </c>
      <c r="C1421" s="7" t="s">
        <v>28</v>
      </c>
      <c r="D1421" s="9">
        <v>45689</v>
      </c>
      <c r="E1421" s="3">
        <v>3294.61</v>
      </c>
      <c r="F1421" s="7" t="s">
        <v>296</v>
      </c>
    </row>
    <row r="1422" spans="1:6" x14ac:dyDescent="0.3">
      <c r="A1422" s="7" t="s">
        <v>4595</v>
      </c>
      <c r="B1422" s="7" t="s">
        <v>2163</v>
      </c>
      <c r="C1422" s="7" t="s">
        <v>76</v>
      </c>
      <c r="D1422" s="9">
        <v>45888</v>
      </c>
      <c r="E1422" s="3">
        <v>1833.37</v>
      </c>
      <c r="F1422" s="7" t="s">
        <v>296</v>
      </c>
    </row>
    <row r="1423" spans="1:6" x14ac:dyDescent="0.3">
      <c r="A1423" s="7" t="s">
        <v>4596</v>
      </c>
      <c r="B1423" s="7" t="s">
        <v>2163</v>
      </c>
      <c r="C1423" s="7" t="s">
        <v>76</v>
      </c>
      <c r="D1423" s="9">
        <v>45903</v>
      </c>
      <c r="E1423" s="3">
        <v>1136.3599999999999</v>
      </c>
      <c r="F1423" s="7" t="s">
        <v>296</v>
      </c>
    </row>
    <row r="1424" spans="1:6" x14ac:dyDescent="0.3">
      <c r="A1424" s="7" t="s">
        <v>4597</v>
      </c>
      <c r="B1424" s="7" t="s">
        <v>2164</v>
      </c>
      <c r="C1424" s="7" t="s">
        <v>7</v>
      </c>
      <c r="D1424" s="9">
        <v>45946</v>
      </c>
      <c r="E1424" s="3">
        <v>2748.08</v>
      </c>
      <c r="F1424" s="7" t="s">
        <v>3184</v>
      </c>
    </row>
    <row r="1425" spans="1:6" x14ac:dyDescent="0.3">
      <c r="A1425" s="7" t="s">
        <v>4598</v>
      </c>
      <c r="B1425" s="7" t="s">
        <v>2167</v>
      </c>
      <c r="C1425" s="7" t="s">
        <v>45</v>
      </c>
      <c r="D1425" s="9">
        <v>45709</v>
      </c>
      <c r="E1425" s="3">
        <v>9875.98</v>
      </c>
      <c r="F1425" s="7" t="s">
        <v>3184</v>
      </c>
    </row>
    <row r="1426" spans="1:6" x14ac:dyDescent="0.3">
      <c r="A1426" s="7" t="s">
        <v>4599</v>
      </c>
      <c r="B1426" s="7" t="s">
        <v>2168</v>
      </c>
      <c r="C1426" s="7" t="s">
        <v>52</v>
      </c>
      <c r="D1426" s="9">
        <v>45854</v>
      </c>
      <c r="E1426" s="3">
        <v>2107.16</v>
      </c>
      <c r="F1426" s="7" t="s">
        <v>298</v>
      </c>
    </row>
    <row r="1427" spans="1:6" x14ac:dyDescent="0.3">
      <c r="A1427" s="7" t="s">
        <v>4600</v>
      </c>
      <c r="B1427" s="7" t="s">
        <v>2169</v>
      </c>
      <c r="C1427" s="7" t="s">
        <v>72</v>
      </c>
      <c r="D1427" s="9">
        <v>45933</v>
      </c>
      <c r="E1427" s="3">
        <v>2521.61</v>
      </c>
      <c r="F1427" s="7" t="s">
        <v>3174</v>
      </c>
    </row>
    <row r="1428" spans="1:6" x14ac:dyDescent="0.3">
      <c r="A1428" s="7" t="s">
        <v>4601</v>
      </c>
      <c r="B1428" s="7" t="s">
        <v>2170</v>
      </c>
      <c r="C1428" s="7" t="s">
        <v>91</v>
      </c>
      <c r="D1428" s="9">
        <v>45916</v>
      </c>
      <c r="E1428" s="3">
        <v>4821.4399999999996</v>
      </c>
      <c r="F1428" s="7" t="s">
        <v>298</v>
      </c>
    </row>
    <row r="1429" spans="1:6" x14ac:dyDescent="0.3">
      <c r="A1429" s="7" t="s">
        <v>4602</v>
      </c>
      <c r="B1429" s="7" t="s">
        <v>2171</v>
      </c>
      <c r="C1429" s="7" t="s">
        <v>61</v>
      </c>
      <c r="D1429" s="9">
        <v>45897</v>
      </c>
      <c r="E1429" s="3">
        <v>2226.1</v>
      </c>
      <c r="F1429" s="7" t="s">
        <v>296</v>
      </c>
    </row>
    <row r="1430" spans="1:6" x14ac:dyDescent="0.3">
      <c r="A1430" s="7" t="s">
        <v>4603</v>
      </c>
      <c r="B1430" s="7" t="s">
        <v>2173</v>
      </c>
      <c r="C1430" s="7" t="s">
        <v>52</v>
      </c>
      <c r="D1430" s="9">
        <v>45889</v>
      </c>
      <c r="E1430" s="3">
        <v>10376.799999999999</v>
      </c>
      <c r="F1430" s="7" t="s">
        <v>3184</v>
      </c>
    </row>
    <row r="1431" spans="1:6" x14ac:dyDescent="0.3">
      <c r="A1431" s="7" t="s">
        <v>4604</v>
      </c>
      <c r="B1431" s="7" t="s">
        <v>2174</v>
      </c>
      <c r="C1431" s="7" t="s">
        <v>57</v>
      </c>
      <c r="D1431" s="9">
        <v>45756</v>
      </c>
      <c r="E1431" s="3">
        <v>727.44</v>
      </c>
      <c r="F1431" s="7" t="s">
        <v>298</v>
      </c>
    </row>
    <row r="1432" spans="1:6" x14ac:dyDescent="0.3">
      <c r="A1432" s="7" t="s">
        <v>4605</v>
      </c>
      <c r="B1432" s="7" t="s">
        <v>2174</v>
      </c>
      <c r="C1432" s="7" t="s">
        <v>57</v>
      </c>
      <c r="D1432" s="9">
        <v>45770</v>
      </c>
      <c r="E1432" s="3">
        <v>855.45</v>
      </c>
      <c r="F1432" s="7" t="s">
        <v>298</v>
      </c>
    </row>
    <row r="1433" spans="1:6" x14ac:dyDescent="0.3">
      <c r="A1433" s="7" t="s">
        <v>4606</v>
      </c>
      <c r="B1433" s="7" t="s">
        <v>2175</v>
      </c>
      <c r="C1433" s="7" t="s">
        <v>68</v>
      </c>
      <c r="D1433" s="9">
        <v>45674</v>
      </c>
      <c r="E1433" s="3">
        <v>13170.84</v>
      </c>
      <c r="F1433" s="7" t="s">
        <v>296</v>
      </c>
    </row>
    <row r="1434" spans="1:6" x14ac:dyDescent="0.3">
      <c r="A1434" s="7" t="s">
        <v>4607</v>
      </c>
      <c r="B1434" s="7" t="s">
        <v>2176</v>
      </c>
      <c r="C1434" s="7" t="s">
        <v>70</v>
      </c>
      <c r="D1434" s="9">
        <v>45735</v>
      </c>
      <c r="E1434" s="3">
        <v>2147.71</v>
      </c>
      <c r="F1434" s="7" t="s">
        <v>296</v>
      </c>
    </row>
    <row r="1435" spans="1:6" x14ac:dyDescent="0.3">
      <c r="A1435" s="7" t="s">
        <v>4608</v>
      </c>
      <c r="B1435" s="7" t="s">
        <v>2177</v>
      </c>
      <c r="C1435" s="7" t="s">
        <v>101</v>
      </c>
      <c r="D1435" s="9">
        <v>45861</v>
      </c>
      <c r="E1435" s="3">
        <v>1954.31</v>
      </c>
      <c r="F1435" s="7" t="s">
        <v>298</v>
      </c>
    </row>
    <row r="1436" spans="1:6" x14ac:dyDescent="0.3">
      <c r="A1436" s="7" t="s">
        <v>4609</v>
      </c>
      <c r="B1436" s="7" t="s">
        <v>2178</v>
      </c>
      <c r="C1436" s="7" t="s">
        <v>51</v>
      </c>
      <c r="D1436" s="9">
        <v>45715</v>
      </c>
      <c r="E1436" s="3">
        <v>10230.799999999999</v>
      </c>
      <c r="F1436" s="7" t="s">
        <v>296</v>
      </c>
    </row>
    <row r="1437" spans="1:6" x14ac:dyDescent="0.3">
      <c r="A1437" s="7" t="s">
        <v>4610</v>
      </c>
      <c r="B1437" s="7" t="s">
        <v>2179</v>
      </c>
      <c r="C1437" s="7" t="s">
        <v>113</v>
      </c>
      <c r="D1437" s="9">
        <v>46021</v>
      </c>
      <c r="E1437" s="3">
        <v>1710.38</v>
      </c>
      <c r="F1437" s="7" t="s">
        <v>298</v>
      </c>
    </row>
    <row r="1438" spans="1:6" x14ac:dyDescent="0.3">
      <c r="A1438" s="7" t="s">
        <v>4611</v>
      </c>
      <c r="B1438" s="7" t="s">
        <v>2179</v>
      </c>
      <c r="C1438" s="7" t="s">
        <v>113</v>
      </c>
      <c r="D1438" s="9">
        <v>46036</v>
      </c>
      <c r="E1438" s="3">
        <v>1108.73</v>
      </c>
      <c r="F1438" s="7" t="s">
        <v>298</v>
      </c>
    </row>
    <row r="1439" spans="1:6" x14ac:dyDescent="0.3">
      <c r="A1439" s="7" t="s">
        <v>4612</v>
      </c>
      <c r="B1439" s="7" t="s">
        <v>2180</v>
      </c>
      <c r="C1439" s="7" t="s">
        <v>68</v>
      </c>
      <c r="D1439" s="9">
        <v>45968</v>
      </c>
      <c r="E1439" s="3">
        <v>2429.67</v>
      </c>
      <c r="F1439" s="7" t="s">
        <v>3184</v>
      </c>
    </row>
    <row r="1440" spans="1:6" x14ac:dyDescent="0.3">
      <c r="A1440" s="7" t="s">
        <v>4613</v>
      </c>
      <c r="B1440" s="7" t="s">
        <v>2181</v>
      </c>
      <c r="C1440" s="7" t="s">
        <v>26</v>
      </c>
      <c r="D1440" s="9">
        <v>45723</v>
      </c>
      <c r="E1440" s="3">
        <v>1356.08</v>
      </c>
      <c r="F1440" s="7" t="s">
        <v>296</v>
      </c>
    </row>
    <row r="1441" spans="1:6" x14ac:dyDescent="0.3">
      <c r="A1441" s="7" t="s">
        <v>4614</v>
      </c>
      <c r="B1441" s="7" t="s">
        <v>2181</v>
      </c>
      <c r="C1441" s="7" t="s">
        <v>26</v>
      </c>
      <c r="D1441" s="9">
        <v>45737</v>
      </c>
      <c r="E1441" s="3">
        <v>926.14</v>
      </c>
      <c r="F1441" s="7" t="s">
        <v>3184</v>
      </c>
    </row>
    <row r="1442" spans="1:6" x14ac:dyDescent="0.3">
      <c r="A1442" s="7" t="s">
        <v>4615</v>
      </c>
      <c r="B1442" s="7" t="s">
        <v>2184</v>
      </c>
      <c r="C1442" s="7" t="s">
        <v>71</v>
      </c>
      <c r="D1442" s="9">
        <v>46094</v>
      </c>
      <c r="E1442" s="3">
        <v>12991.01</v>
      </c>
      <c r="F1442" s="7" t="s">
        <v>3174</v>
      </c>
    </row>
    <row r="1443" spans="1:6" x14ac:dyDescent="0.3">
      <c r="A1443" s="7" t="s">
        <v>4616</v>
      </c>
      <c r="B1443" s="7" t="s">
        <v>2185</v>
      </c>
      <c r="C1443" s="7" t="s">
        <v>26</v>
      </c>
      <c r="D1443" s="9">
        <v>46095</v>
      </c>
      <c r="E1443" s="3">
        <v>3053.66</v>
      </c>
      <c r="F1443" s="7" t="s">
        <v>298</v>
      </c>
    </row>
    <row r="1444" spans="1:6" x14ac:dyDescent="0.3">
      <c r="A1444" s="7" t="s">
        <v>4617</v>
      </c>
      <c r="B1444" s="7" t="s">
        <v>2186</v>
      </c>
      <c r="C1444" s="7" t="s">
        <v>31</v>
      </c>
      <c r="D1444" s="9">
        <v>45866</v>
      </c>
      <c r="E1444" s="3">
        <v>4240.92</v>
      </c>
      <c r="F1444" s="7" t="s">
        <v>298</v>
      </c>
    </row>
    <row r="1445" spans="1:6" x14ac:dyDescent="0.3">
      <c r="A1445" s="7" t="s">
        <v>4618</v>
      </c>
      <c r="B1445" s="7" t="s">
        <v>2187</v>
      </c>
      <c r="C1445" s="7" t="s">
        <v>13</v>
      </c>
      <c r="D1445" s="9">
        <v>46002</v>
      </c>
      <c r="E1445" s="3">
        <v>4852.6099999999997</v>
      </c>
      <c r="F1445" s="7" t="s">
        <v>296</v>
      </c>
    </row>
    <row r="1446" spans="1:6" x14ac:dyDescent="0.3">
      <c r="A1446" s="7" t="s">
        <v>4619</v>
      </c>
      <c r="B1446" s="7" t="s">
        <v>2188</v>
      </c>
      <c r="C1446" s="7" t="s">
        <v>36</v>
      </c>
      <c r="D1446" s="9">
        <v>45844</v>
      </c>
      <c r="E1446" s="3">
        <v>11555.03</v>
      </c>
      <c r="F1446" s="7" t="s">
        <v>3184</v>
      </c>
    </row>
    <row r="1447" spans="1:6" x14ac:dyDescent="0.3">
      <c r="A1447" s="7" t="s">
        <v>4620</v>
      </c>
      <c r="B1447" s="7" t="s">
        <v>2189</v>
      </c>
      <c r="C1447" s="7" t="s">
        <v>89</v>
      </c>
      <c r="D1447" s="9">
        <v>45903</v>
      </c>
      <c r="E1447" s="3">
        <v>4672.3599999999997</v>
      </c>
      <c r="F1447" s="7" t="s">
        <v>296</v>
      </c>
    </row>
    <row r="1448" spans="1:6" x14ac:dyDescent="0.3">
      <c r="A1448" s="7" t="s">
        <v>4621</v>
      </c>
      <c r="B1448" s="7" t="s">
        <v>2190</v>
      </c>
      <c r="C1448" s="7" t="s">
        <v>51</v>
      </c>
      <c r="D1448" s="9">
        <v>45807</v>
      </c>
      <c r="E1448" s="3">
        <v>2765.15</v>
      </c>
      <c r="F1448" s="7" t="s">
        <v>298</v>
      </c>
    </row>
    <row r="1449" spans="1:6" x14ac:dyDescent="0.3">
      <c r="A1449" s="7" t="s">
        <v>4622</v>
      </c>
      <c r="B1449" s="7" t="s">
        <v>2191</v>
      </c>
      <c r="C1449" s="7" t="s">
        <v>7</v>
      </c>
      <c r="D1449" s="9">
        <v>45827</v>
      </c>
      <c r="E1449" s="3">
        <v>1741.01</v>
      </c>
      <c r="F1449" s="7" t="s">
        <v>296</v>
      </c>
    </row>
    <row r="1450" spans="1:6" x14ac:dyDescent="0.3">
      <c r="A1450" s="7" t="s">
        <v>4623</v>
      </c>
      <c r="B1450" s="7" t="s">
        <v>2192</v>
      </c>
      <c r="C1450" s="7" t="s">
        <v>42</v>
      </c>
      <c r="D1450" s="9">
        <v>45834</v>
      </c>
      <c r="E1450" s="3">
        <v>3192.52</v>
      </c>
      <c r="F1450" s="7" t="s">
        <v>298</v>
      </c>
    </row>
    <row r="1451" spans="1:6" x14ac:dyDescent="0.3">
      <c r="A1451" s="7" t="s">
        <v>4624</v>
      </c>
      <c r="B1451" s="7" t="s">
        <v>2194</v>
      </c>
      <c r="C1451" s="7" t="s">
        <v>77</v>
      </c>
      <c r="D1451" s="9">
        <v>45745</v>
      </c>
      <c r="E1451" s="3">
        <v>2304.36</v>
      </c>
      <c r="F1451" s="7" t="s">
        <v>298</v>
      </c>
    </row>
    <row r="1452" spans="1:6" x14ac:dyDescent="0.3">
      <c r="A1452" s="7" t="s">
        <v>4625</v>
      </c>
      <c r="B1452" s="7" t="s">
        <v>2195</v>
      </c>
      <c r="C1452" s="7" t="s">
        <v>82</v>
      </c>
      <c r="D1452" s="9">
        <v>46070</v>
      </c>
      <c r="E1452" s="3">
        <v>4662.42</v>
      </c>
      <c r="F1452" s="7" t="s">
        <v>3174</v>
      </c>
    </row>
    <row r="1453" spans="1:6" x14ac:dyDescent="0.3">
      <c r="A1453" s="7" t="s">
        <v>4626</v>
      </c>
      <c r="B1453" s="7" t="s">
        <v>2196</v>
      </c>
      <c r="C1453" s="7" t="s">
        <v>81</v>
      </c>
      <c r="D1453" s="9">
        <v>45814</v>
      </c>
      <c r="E1453" s="3">
        <v>3646.6</v>
      </c>
      <c r="F1453" s="7" t="s">
        <v>3184</v>
      </c>
    </row>
    <row r="1454" spans="1:6" x14ac:dyDescent="0.3">
      <c r="A1454" s="7" t="s">
        <v>4627</v>
      </c>
      <c r="B1454" s="7" t="s">
        <v>2197</v>
      </c>
      <c r="C1454" s="7" t="s">
        <v>84</v>
      </c>
      <c r="D1454" s="9">
        <v>45733</v>
      </c>
      <c r="E1454" s="3">
        <v>10018.709999999999</v>
      </c>
      <c r="F1454" s="7" t="s">
        <v>298</v>
      </c>
    </row>
    <row r="1455" spans="1:6" x14ac:dyDescent="0.3">
      <c r="A1455" s="7" t="s">
        <v>4628</v>
      </c>
      <c r="B1455" s="7" t="s">
        <v>2200</v>
      </c>
      <c r="C1455" s="7" t="s">
        <v>26</v>
      </c>
      <c r="D1455" s="9">
        <v>45902</v>
      </c>
      <c r="E1455" s="3">
        <v>2301.48</v>
      </c>
      <c r="F1455" s="7" t="s">
        <v>296</v>
      </c>
    </row>
    <row r="1456" spans="1:6" x14ac:dyDescent="0.3">
      <c r="A1456" s="7" t="s">
        <v>4629</v>
      </c>
      <c r="B1456" s="7" t="s">
        <v>2201</v>
      </c>
      <c r="C1456" s="7" t="s">
        <v>121</v>
      </c>
      <c r="D1456" s="9">
        <v>45899</v>
      </c>
      <c r="E1456" s="3">
        <v>1636.36</v>
      </c>
      <c r="F1456" s="7" t="s">
        <v>3174</v>
      </c>
    </row>
    <row r="1457" spans="1:6" x14ac:dyDescent="0.3">
      <c r="A1457" s="7" t="s">
        <v>4630</v>
      </c>
      <c r="B1457" s="7" t="s">
        <v>2201</v>
      </c>
      <c r="C1457" s="7" t="s">
        <v>121</v>
      </c>
      <c r="D1457" s="9">
        <v>45905</v>
      </c>
      <c r="E1457" s="3">
        <v>917.04</v>
      </c>
      <c r="F1457" s="7" t="s">
        <v>298</v>
      </c>
    </row>
    <row r="1458" spans="1:6" x14ac:dyDescent="0.3">
      <c r="A1458" s="7" t="s">
        <v>4631</v>
      </c>
      <c r="B1458" s="7" t="s">
        <v>2202</v>
      </c>
      <c r="C1458" s="7" t="s">
        <v>22</v>
      </c>
      <c r="D1458" s="9">
        <v>45881</v>
      </c>
      <c r="E1458" s="3">
        <v>4165.18</v>
      </c>
      <c r="F1458" s="7" t="s">
        <v>298</v>
      </c>
    </row>
    <row r="1459" spans="1:6" x14ac:dyDescent="0.3">
      <c r="A1459" s="7" t="s">
        <v>4632</v>
      </c>
      <c r="B1459" s="7" t="s">
        <v>2205</v>
      </c>
      <c r="C1459" s="7" t="s">
        <v>111</v>
      </c>
      <c r="D1459" s="9">
        <v>45690</v>
      </c>
      <c r="E1459" s="3">
        <v>3546.96</v>
      </c>
      <c r="F1459" s="7" t="s">
        <v>3174</v>
      </c>
    </row>
    <row r="1460" spans="1:6" x14ac:dyDescent="0.3">
      <c r="A1460" s="7" t="s">
        <v>4633</v>
      </c>
      <c r="B1460" s="7" t="s">
        <v>2208</v>
      </c>
      <c r="C1460" s="7" t="s">
        <v>34</v>
      </c>
      <c r="D1460" s="9">
        <v>45782</v>
      </c>
      <c r="E1460" s="3">
        <v>3180.09</v>
      </c>
      <c r="F1460" s="7" t="s">
        <v>3184</v>
      </c>
    </row>
    <row r="1461" spans="1:6" x14ac:dyDescent="0.3">
      <c r="A1461" s="7" t="s">
        <v>4634</v>
      </c>
      <c r="B1461" s="7" t="s">
        <v>2209</v>
      </c>
      <c r="C1461" s="7" t="s">
        <v>97</v>
      </c>
      <c r="D1461" s="9">
        <v>46164</v>
      </c>
      <c r="E1461" s="3">
        <v>3775.41</v>
      </c>
      <c r="F1461" s="7" t="s">
        <v>296</v>
      </c>
    </row>
    <row r="1462" spans="1:6" x14ac:dyDescent="0.3">
      <c r="A1462" s="7" t="s">
        <v>4635</v>
      </c>
      <c r="B1462" s="7" t="s">
        <v>2210</v>
      </c>
      <c r="C1462" s="7" t="s">
        <v>41</v>
      </c>
      <c r="D1462" s="9">
        <v>45843</v>
      </c>
      <c r="E1462" s="3">
        <v>1818.05</v>
      </c>
      <c r="F1462" s="7" t="s">
        <v>3174</v>
      </c>
    </row>
    <row r="1463" spans="1:6" x14ac:dyDescent="0.3">
      <c r="A1463" s="7" t="s">
        <v>4636</v>
      </c>
      <c r="B1463" s="7" t="s">
        <v>2211</v>
      </c>
      <c r="C1463" s="7" t="s">
        <v>44</v>
      </c>
      <c r="D1463" s="9">
        <v>45781</v>
      </c>
      <c r="E1463" s="3">
        <v>2966.74</v>
      </c>
      <c r="F1463" s="7" t="s">
        <v>3184</v>
      </c>
    </row>
    <row r="1464" spans="1:6" x14ac:dyDescent="0.3">
      <c r="A1464" s="7" t="s">
        <v>4637</v>
      </c>
      <c r="B1464" s="7" t="s">
        <v>2213</v>
      </c>
      <c r="C1464" s="7" t="s">
        <v>7</v>
      </c>
      <c r="D1464" s="9">
        <v>45785</v>
      </c>
      <c r="E1464" s="3">
        <v>3170.9</v>
      </c>
      <c r="F1464" s="7" t="s">
        <v>296</v>
      </c>
    </row>
    <row r="1465" spans="1:6" x14ac:dyDescent="0.3">
      <c r="A1465" s="7" t="s">
        <v>4638</v>
      </c>
      <c r="B1465" s="7" t="s">
        <v>2214</v>
      </c>
      <c r="C1465" s="7" t="s">
        <v>97</v>
      </c>
      <c r="D1465" s="9">
        <v>45971</v>
      </c>
      <c r="E1465" s="3">
        <v>1690.17</v>
      </c>
      <c r="F1465" s="7" t="s">
        <v>298</v>
      </c>
    </row>
    <row r="1466" spans="1:6" x14ac:dyDescent="0.3">
      <c r="A1466" s="7" t="s">
        <v>4639</v>
      </c>
      <c r="B1466" s="7" t="s">
        <v>2218</v>
      </c>
      <c r="C1466" s="7" t="s">
        <v>102</v>
      </c>
      <c r="D1466" s="9">
        <v>46088</v>
      </c>
      <c r="E1466" s="3">
        <v>2144.71</v>
      </c>
      <c r="F1466" s="7" t="s">
        <v>296</v>
      </c>
    </row>
    <row r="1467" spans="1:6" x14ac:dyDescent="0.3">
      <c r="A1467" s="7" t="s">
        <v>4640</v>
      </c>
      <c r="B1467" s="7" t="s">
        <v>2220</v>
      </c>
      <c r="C1467" s="7" t="s">
        <v>41</v>
      </c>
      <c r="D1467" s="9">
        <v>46083</v>
      </c>
      <c r="E1467" s="3">
        <v>3571.23</v>
      </c>
      <c r="F1467" s="7" t="s">
        <v>298</v>
      </c>
    </row>
    <row r="1468" spans="1:6" x14ac:dyDescent="0.3">
      <c r="A1468" s="7" t="s">
        <v>4641</v>
      </c>
      <c r="B1468" s="7" t="s">
        <v>2221</v>
      </c>
      <c r="C1468" s="7" t="s">
        <v>36</v>
      </c>
      <c r="D1468" s="9">
        <v>46089</v>
      </c>
      <c r="E1468" s="3">
        <v>5163.33</v>
      </c>
      <c r="F1468" s="7" t="s">
        <v>3184</v>
      </c>
    </row>
    <row r="1469" spans="1:6" x14ac:dyDescent="0.3">
      <c r="A1469" s="7" t="s">
        <v>4642</v>
      </c>
      <c r="B1469" s="7" t="s">
        <v>2223</v>
      </c>
      <c r="C1469" s="7" t="s">
        <v>69</v>
      </c>
      <c r="D1469" s="9">
        <v>45756</v>
      </c>
      <c r="E1469" s="3">
        <v>10471.27</v>
      </c>
      <c r="F1469" s="7" t="s">
        <v>298</v>
      </c>
    </row>
    <row r="1470" spans="1:6" x14ac:dyDescent="0.3">
      <c r="A1470" s="7" t="s">
        <v>4643</v>
      </c>
      <c r="B1470" s="7" t="s">
        <v>2224</v>
      </c>
      <c r="C1470" s="7" t="s">
        <v>120</v>
      </c>
      <c r="D1470" s="9">
        <v>45821</v>
      </c>
      <c r="E1470" s="3">
        <v>1569.89</v>
      </c>
      <c r="F1470" s="7" t="s">
        <v>3174</v>
      </c>
    </row>
    <row r="1471" spans="1:6" x14ac:dyDescent="0.3">
      <c r="A1471" s="7" t="s">
        <v>4644</v>
      </c>
      <c r="B1471" s="7" t="s">
        <v>2225</v>
      </c>
      <c r="C1471" s="7" t="s">
        <v>25</v>
      </c>
      <c r="D1471" s="9">
        <v>46015</v>
      </c>
      <c r="E1471" s="3">
        <v>5635</v>
      </c>
      <c r="F1471" s="7" t="s">
        <v>3174</v>
      </c>
    </row>
    <row r="1472" spans="1:6" x14ac:dyDescent="0.3">
      <c r="A1472" s="7" t="s">
        <v>4645</v>
      </c>
      <c r="B1472" s="7" t="s">
        <v>2227</v>
      </c>
      <c r="C1472" s="7" t="s">
        <v>55</v>
      </c>
      <c r="D1472" s="9">
        <v>46049</v>
      </c>
      <c r="E1472" s="3">
        <v>1819.28</v>
      </c>
      <c r="F1472" s="7" t="s">
        <v>298</v>
      </c>
    </row>
    <row r="1473" spans="1:6" x14ac:dyDescent="0.3">
      <c r="A1473" s="7" t="s">
        <v>4646</v>
      </c>
      <c r="B1473" s="7" t="s">
        <v>2229</v>
      </c>
      <c r="C1473" s="7" t="s">
        <v>87</v>
      </c>
      <c r="D1473" s="9">
        <v>46065</v>
      </c>
      <c r="E1473" s="3">
        <v>2558.61</v>
      </c>
      <c r="F1473" s="7" t="s">
        <v>296</v>
      </c>
    </row>
    <row r="1474" spans="1:6" x14ac:dyDescent="0.3">
      <c r="A1474" s="7" t="s">
        <v>4647</v>
      </c>
      <c r="B1474" s="7" t="s">
        <v>2230</v>
      </c>
      <c r="C1474" s="7" t="s">
        <v>111</v>
      </c>
      <c r="D1474" s="9">
        <v>45666</v>
      </c>
      <c r="E1474" s="3">
        <v>2818.9</v>
      </c>
      <c r="F1474" s="7" t="s">
        <v>298</v>
      </c>
    </row>
    <row r="1475" spans="1:6" x14ac:dyDescent="0.3">
      <c r="A1475" s="7" t="s">
        <v>4648</v>
      </c>
      <c r="B1475" s="7" t="s">
        <v>2231</v>
      </c>
      <c r="C1475" s="7" t="s">
        <v>104</v>
      </c>
      <c r="D1475" s="9">
        <v>45719</v>
      </c>
      <c r="E1475" s="3">
        <v>2852.72</v>
      </c>
      <c r="F1475" s="7" t="s">
        <v>3184</v>
      </c>
    </row>
    <row r="1476" spans="1:6" x14ac:dyDescent="0.3">
      <c r="A1476" s="7" t="s">
        <v>4649</v>
      </c>
      <c r="B1476" s="7" t="s">
        <v>2232</v>
      </c>
      <c r="C1476" s="7" t="s">
        <v>68</v>
      </c>
      <c r="D1476" s="9">
        <v>46100</v>
      </c>
      <c r="E1476" s="3">
        <v>4049.35</v>
      </c>
      <c r="F1476" s="7" t="s">
        <v>296</v>
      </c>
    </row>
    <row r="1477" spans="1:6" x14ac:dyDescent="0.3">
      <c r="A1477" s="7" t="s">
        <v>4650</v>
      </c>
      <c r="B1477" s="7" t="s">
        <v>2233</v>
      </c>
      <c r="C1477" s="7" t="s">
        <v>76</v>
      </c>
      <c r="D1477" s="9">
        <v>45959</v>
      </c>
      <c r="E1477" s="3">
        <v>4487.62</v>
      </c>
      <c r="F1477" s="7" t="s">
        <v>296</v>
      </c>
    </row>
    <row r="1478" spans="1:6" x14ac:dyDescent="0.3">
      <c r="A1478" s="7" t="s">
        <v>4651</v>
      </c>
      <c r="B1478" s="7" t="s">
        <v>2234</v>
      </c>
      <c r="C1478" s="7" t="s">
        <v>20</v>
      </c>
      <c r="D1478" s="9">
        <v>45683</v>
      </c>
      <c r="E1478" s="3">
        <v>2425.4499999999998</v>
      </c>
      <c r="F1478" s="7" t="s">
        <v>296</v>
      </c>
    </row>
    <row r="1479" spans="1:6" x14ac:dyDescent="0.3">
      <c r="A1479" s="7" t="s">
        <v>4652</v>
      </c>
      <c r="B1479" s="7" t="s">
        <v>2235</v>
      </c>
      <c r="C1479" s="7" t="s">
        <v>35</v>
      </c>
      <c r="D1479" s="9">
        <v>45881</v>
      </c>
      <c r="E1479" s="3">
        <v>4041.04</v>
      </c>
      <c r="F1479" s="7" t="s">
        <v>298</v>
      </c>
    </row>
    <row r="1480" spans="1:6" x14ac:dyDescent="0.3">
      <c r="A1480" s="7" t="s">
        <v>4653</v>
      </c>
      <c r="B1480" s="7" t="s">
        <v>2236</v>
      </c>
      <c r="C1480" s="7" t="s">
        <v>43</v>
      </c>
      <c r="D1480" s="9">
        <v>45856</v>
      </c>
      <c r="E1480" s="3">
        <v>2672.01</v>
      </c>
      <c r="F1480" s="7" t="s">
        <v>296</v>
      </c>
    </row>
    <row r="1481" spans="1:6" x14ac:dyDescent="0.3">
      <c r="A1481" s="7" t="s">
        <v>4654</v>
      </c>
      <c r="B1481" s="7" t="s">
        <v>2237</v>
      </c>
      <c r="C1481" s="7" t="s">
        <v>98</v>
      </c>
      <c r="D1481" s="9">
        <v>46040</v>
      </c>
      <c r="E1481" s="3">
        <v>5843.38</v>
      </c>
      <c r="F1481" s="7" t="s">
        <v>3174</v>
      </c>
    </row>
    <row r="1482" spans="1:6" x14ac:dyDescent="0.3">
      <c r="A1482" s="7" t="s">
        <v>4655</v>
      </c>
      <c r="B1482" s="7" t="s">
        <v>2238</v>
      </c>
      <c r="C1482" s="7" t="s">
        <v>43</v>
      </c>
      <c r="D1482" s="9">
        <v>45718</v>
      </c>
      <c r="E1482" s="3">
        <v>1714.55</v>
      </c>
      <c r="F1482" s="7" t="s">
        <v>296</v>
      </c>
    </row>
    <row r="1483" spans="1:6" x14ac:dyDescent="0.3">
      <c r="A1483" s="7" t="s">
        <v>4656</v>
      </c>
      <c r="B1483" s="7" t="s">
        <v>2238</v>
      </c>
      <c r="C1483" s="7" t="s">
        <v>43</v>
      </c>
      <c r="D1483" s="9">
        <v>45726</v>
      </c>
      <c r="E1483" s="3">
        <v>1275.6300000000001</v>
      </c>
      <c r="F1483" s="7" t="s">
        <v>3184</v>
      </c>
    </row>
    <row r="1484" spans="1:6" x14ac:dyDescent="0.3">
      <c r="A1484" s="7" t="s">
        <v>4657</v>
      </c>
      <c r="B1484" s="7" t="s">
        <v>2239</v>
      </c>
      <c r="C1484" s="7" t="s">
        <v>124</v>
      </c>
      <c r="D1484" s="9">
        <v>45828</v>
      </c>
      <c r="E1484" s="3">
        <v>2076.29</v>
      </c>
      <c r="F1484" s="7" t="s">
        <v>3184</v>
      </c>
    </row>
    <row r="1485" spans="1:6" x14ac:dyDescent="0.3">
      <c r="A1485" s="7" t="s">
        <v>4658</v>
      </c>
      <c r="B1485" s="7" t="s">
        <v>2240</v>
      </c>
      <c r="C1485" s="7" t="s">
        <v>74</v>
      </c>
      <c r="D1485" s="9">
        <v>45996</v>
      </c>
      <c r="E1485" s="3">
        <v>1806.11</v>
      </c>
      <c r="F1485" s="7" t="s">
        <v>296</v>
      </c>
    </row>
    <row r="1486" spans="1:6" x14ac:dyDescent="0.3">
      <c r="A1486" s="7" t="s">
        <v>4659</v>
      </c>
      <c r="B1486" s="7" t="s">
        <v>2240</v>
      </c>
      <c r="C1486" s="7" t="s">
        <v>74</v>
      </c>
      <c r="D1486" s="9">
        <v>46003</v>
      </c>
      <c r="E1486" s="3">
        <v>1668.59</v>
      </c>
      <c r="F1486" s="7" t="s">
        <v>296</v>
      </c>
    </row>
    <row r="1487" spans="1:6" x14ac:dyDescent="0.3">
      <c r="A1487" s="7" t="s">
        <v>4660</v>
      </c>
      <c r="B1487" s="7" t="s">
        <v>2241</v>
      </c>
      <c r="C1487" s="7" t="s">
        <v>92</v>
      </c>
      <c r="D1487" s="9">
        <v>46034</v>
      </c>
      <c r="E1487" s="3">
        <v>2599.61</v>
      </c>
      <c r="F1487" s="7" t="s">
        <v>3174</v>
      </c>
    </row>
    <row r="1488" spans="1:6" x14ac:dyDescent="0.3">
      <c r="A1488" s="7" t="s">
        <v>4661</v>
      </c>
      <c r="B1488" s="7" t="s">
        <v>2242</v>
      </c>
      <c r="C1488" s="7" t="s">
        <v>20</v>
      </c>
      <c r="D1488" s="9">
        <v>46084</v>
      </c>
      <c r="E1488" s="3">
        <v>1657.13</v>
      </c>
      <c r="F1488" s="7" t="s">
        <v>296</v>
      </c>
    </row>
    <row r="1489" spans="1:6" x14ac:dyDescent="0.3">
      <c r="A1489" s="7" t="s">
        <v>4662</v>
      </c>
      <c r="B1489" s="7" t="s">
        <v>2245</v>
      </c>
      <c r="C1489" s="7" t="s">
        <v>108</v>
      </c>
      <c r="D1489" s="9">
        <v>45763</v>
      </c>
      <c r="E1489" s="3">
        <v>1545.54</v>
      </c>
      <c r="F1489" s="7" t="s">
        <v>3174</v>
      </c>
    </row>
    <row r="1490" spans="1:6" x14ac:dyDescent="0.3">
      <c r="A1490" s="7" t="s">
        <v>4663</v>
      </c>
      <c r="B1490" s="7" t="s">
        <v>2246</v>
      </c>
      <c r="C1490" s="7" t="s">
        <v>100</v>
      </c>
      <c r="D1490" s="9">
        <v>45773</v>
      </c>
      <c r="E1490" s="3">
        <v>13510.32</v>
      </c>
      <c r="F1490" s="7" t="s">
        <v>296</v>
      </c>
    </row>
    <row r="1491" spans="1:6" x14ac:dyDescent="0.3">
      <c r="A1491" s="7" t="s">
        <v>4664</v>
      </c>
      <c r="B1491" s="7" t="s">
        <v>2247</v>
      </c>
      <c r="C1491" s="7" t="s">
        <v>56</v>
      </c>
      <c r="D1491" s="9">
        <v>45851</v>
      </c>
      <c r="E1491" s="3">
        <v>2144.67</v>
      </c>
      <c r="F1491" s="7" t="s">
        <v>296</v>
      </c>
    </row>
    <row r="1492" spans="1:6" x14ac:dyDescent="0.3">
      <c r="A1492" s="7" t="s">
        <v>4665</v>
      </c>
      <c r="B1492" s="7" t="s">
        <v>2248</v>
      </c>
      <c r="C1492" s="7" t="s">
        <v>59</v>
      </c>
      <c r="D1492" s="9">
        <v>45908</v>
      </c>
      <c r="E1492" s="3">
        <v>989.63</v>
      </c>
      <c r="F1492" s="7" t="s">
        <v>3174</v>
      </c>
    </row>
    <row r="1493" spans="1:6" x14ac:dyDescent="0.3">
      <c r="A1493" s="7" t="s">
        <v>4666</v>
      </c>
      <c r="B1493" s="7" t="s">
        <v>2248</v>
      </c>
      <c r="C1493" s="7" t="s">
        <v>59</v>
      </c>
      <c r="D1493" s="9">
        <v>45911</v>
      </c>
      <c r="E1493" s="3">
        <v>1329.69</v>
      </c>
      <c r="F1493" s="7" t="s">
        <v>296</v>
      </c>
    </row>
    <row r="1494" spans="1:6" x14ac:dyDescent="0.3">
      <c r="A1494" s="7" t="s">
        <v>4667</v>
      </c>
      <c r="B1494" s="7" t="s">
        <v>2250</v>
      </c>
      <c r="C1494" s="7" t="s">
        <v>70</v>
      </c>
      <c r="D1494" s="9">
        <v>45954</v>
      </c>
      <c r="E1494" s="3">
        <v>4766.37</v>
      </c>
      <c r="F1494" s="7" t="s">
        <v>3184</v>
      </c>
    </row>
    <row r="1495" spans="1:6" x14ac:dyDescent="0.3">
      <c r="A1495" s="7" t="s">
        <v>4668</v>
      </c>
      <c r="B1495" s="7" t="s">
        <v>2251</v>
      </c>
      <c r="C1495" s="7" t="s">
        <v>98</v>
      </c>
      <c r="D1495" s="9">
        <v>45801</v>
      </c>
      <c r="E1495" s="3">
        <v>3550.7</v>
      </c>
      <c r="F1495" s="7" t="s">
        <v>3184</v>
      </c>
    </row>
    <row r="1496" spans="1:6" x14ac:dyDescent="0.3">
      <c r="A1496" s="7" t="s">
        <v>4669</v>
      </c>
      <c r="B1496" s="7" t="s">
        <v>2253</v>
      </c>
      <c r="C1496" s="7" t="s">
        <v>115</v>
      </c>
      <c r="D1496" s="9">
        <v>45872</v>
      </c>
      <c r="E1496" s="3">
        <v>1502.82</v>
      </c>
      <c r="F1496" s="7" t="s">
        <v>296</v>
      </c>
    </row>
    <row r="1497" spans="1:6" x14ac:dyDescent="0.3">
      <c r="A1497" s="7" t="s">
        <v>4670</v>
      </c>
      <c r="B1497" s="7" t="s">
        <v>2255</v>
      </c>
      <c r="C1497" s="7" t="s">
        <v>25</v>
      </c>
      <c r="D1497" s="9">
        <v>46117</v>
      </c>
      <c r="E1497" s="3">
        <v>991.03</v>
      </c>
      <c r="F1497" s="7" t="s">
        <v>296</v>
      </c>
    </row>
    <row r="1498" spans="1:6" x14ac:dyDescent="0.3">
      <c r="A1498" s="7" t="s">
        <v>4671</v>
      </c>
      <c r="B1498" s="7" t="s">
        <v>2255</v>
      </c>
      <c r="C1498" s="7" t="s">
        <v>25</v>
      </c>
      <c r="D1498" s="9">
        <v>46126</v>
      </c>
      <c r="E1498" s="3">
        <v>1369.83</v>
      </c>
      <c r="F1498" s="7" t="s">
        <v>3184</v>
      </c>
    </row>
    <row r="1499" spans="1:6" x14ac:dyDescent="0.3">
      <c r="A1499" s="7" t="s">
        <v>4672</v>
      </c>
      <c r="B1499" s="7" t="s">
        <v>2256</v>
      </c>
      <c r="C1499" s="7" t="s">
        <v>35</v>
      </c>
      <c r="D1499" s="9">
        <v>45891</v>
      </c>
      <c r="E1499" s="3">
        <v>4160.55</v>
      </c>
      <c r="F1499" s="7" t="s">
        <v>296</v>
      </c>
    </row>
    <row r="1500" spans="1:6" x14ac:dyDescent="0.3">
      <c r="A1500" s="7" t="s">
        <v>4673</v>
      </c>
      <c r="B1500" s="7" t="s">
        <v>2257</v>
      </c>
      <c r="C1500" s="7" t="s">
        <v>55</v>
      </c>
      <c r="D1500" s="9">
        <v>45757</v>
      </c>
      <c r="E1500" s="3">
        <v>3296.39</v>
      </c>
      <c r="F1500" s="7" t="s">
        <v>3174</v>
      </c>
    </row>
    <row r="1501" spans="1:6" x14ac:dyDescent="0.3">
      <c r="A1501" s="7" t="s">
        <v>4674</v>
      </c>
      <c r="B1501" s="7" t="s">
        <v>2258</v>
      </c>
      <c r="C1501" s="7" t="s">
        <v>20</v>
      </c>
      <c r="D1501" s="9">
        <v>45881</v>
      </c>
      <c r="E1501" s="3">
        <v>1458.97</v>
      </c>
      <c r="F1501" s="7" t="s">
        <v>3184</v>
      </c>
    </row>
    <row r="1502" spans="1:6" x14ac:dyDescent="0.3">
      <c r="A1502" s="7" t="s">
        <v>4675</v>
      </c>
      <c r="B1502" s="7" t="s">
        <v>2260</v>
      </c>
      <c r="C1502" s="7" t="s">
        <v>79</v>
      </c>
      <c r="D1502" s="9">
        <v>45711</v>
      </c>
      <c r="E1502" s="3">
        <v>4730.49</v>
      </c>
      <c r="F1502" s="7" t="s">
        <v>3184</v>
      </c>
    </row>
    <row r="1503" spans="1:6" x14ac:dyDescent="0.3">
      <c r="A1503" s="7" t="s">
        <v>4676</v>
      </c>
      <c r="B1503" s="7" t="s">
        <v>2261</v>
      </c>
      <c r="C1503" s="7" t="s">
        <v>102</v>
      </c>
      <c r="D1503" s="9">
        <v>45753</v>
      </c>
      <c r="E1503" s="3">
        <v>10318.64</v>
      </c>
      <c r="F1503" s="7" t="s">
        <v>296</v>
      </c>
    </row>
    <row r="1504" spans="1:6" x14ac:dyDescent="0.3">
      <c r="A1504" s="7" t="s">
        <v>4677</v>
      </c>
      <c r="B1504" s="7" t="s">
        <v>2262</v>
      </c>
      <c r="C1504" s="7" t="s">
        <v>50</v>
      </c>
      <c r="D1504" s="9">
        <v>45839</v>
      </c>
      <c r="E1504" s="3">
        <v>3777.99</v>
      </c>
      <c r="F1504" s="7" t="s">
        <v>3184</v>
      </c>
    </row>
    <row r="1505" spans="1:6" x14ac:dyDescent="0.3">
      <c r="A1505" s="7" t="s">
        <v>4678</v>
      </c>
      <c r="B1505" s="7" t="s">
        <v>2263</v>
      </c>
      <c r="C1505" s="7" t="s">
        <v>26</v>
      </c>
      <c r="D1505" s="9">
        <v>46017</v>
      </c>
      <c r="E1505" s="3">
        <v>13350.71</v>
      </c>
      <c r="F1505" s="7" t="s">
        <v>3174</v>
      </c>
    </row>
    <row r="1506" spans="1:6" x14ac:dyDescent="0.3">
      <c r="A1506" s="7" t="s">
        <v>4679</v>
      </c>
      <c r="B1506" s="7" t="s">
        <v>2265</v>
      </c>
      <c r="C1506" s="7" t="s">
        <v>119</v>
      </c>
      <c r="D1506" s="9">
        <v>46111</v>
      </c>
      <c r="E1506" s="3">
        <v>2166.56</v>
      </c>
      <c r="F1506" s="7" t="s">
        <v>296</v>
      </c>
    </row>
    <row r="1507" spans="1:6" x14ac:dyDescent="0.3">
      <c r="A1507" s="7" t="s">
        <v>4680</v>
      </c>
      <c r="B1507" s="7" t="s">
        <v>2265</v>
      </c>
      <c r="C1507" s="7" t="s">
        <v>119</v>
      </c>
      <c r="D1507" s="9">
        <v>46122</v>
      </c>
      <c r="E1507" s="3">
        <v>1855.18</v>
      </c>
      <c r="F1507" s="7" t="s">
        <v>3184</v>
      </c>
    </row>
    <row r="1508" spans="1:6" x14ac:dyDescent="0.3">
      <c r="A1508" s="7" t="s">
        <v>4681</v>
      </c>
      <c r="B1508" s="7" t="s">
        <v>2267</v>
      </c>
      <c r="C1508" s="7" t="s">
        <v>18</v>
      </c>
      <c r="D1508" s="9">
        <v>45902</v>
      </c>
      <c r="E1508" s="3">
        <v>1477.03</v>
      </c>
      <c r="F1508" s="7" t="s">
        <v>3184</v>
      </c>
    </row>
    <row r="1509" spans="1:6" x14ac:dyDescent="0.3">
      <c r="A1509" s="7" t="s">
        <v>4682</v>
      </c>
      <c r="B1509" s="7" t="s">
        <v>2267</v>
      </c>
      <c r="C1509" s="7" t="s">
        <v>18</v>
      </c>
      <c r="D1509" s="9">
        <v>45917</v>
      </c>
      <c r="E1509" s="3">
        <v>1232.32</v>
      </c>
      <c r="F1509" s="7" t="s">
        <v>296</v>
      </c>
    </row>
    <row r="1510" spans="1:6" x14ac:dyDescent="0.3">
      <c r="A1510" s="7" t="s">
        <v>4683</v>
      </c>
      <c r="B1510" s="7" t="s">
        <v>2268</v>
      </c>
      <c r="C1510" s="7" t="s">
        <v>86</v>
      </c>
      <c r="D1510" s="9">
        <v>45742</v>
      </c>
      <c r="E1510" s="3">
        <v>3328.58</v>
      </c>
      <c r="F1510" s="7" t="s">
        <v>296</v>
      </c>
    </row>
    <row r="1511" spans="1:6" x14ac:dyDescent="0.3">
      <c r="A1511" s="7" t="s">
        <v>4684</v>
      </c>
      <c r="B1511" s="7" t="s">
        <v>2270</v>
      </c>
      <c r="C1511" s="7" t="s">
        <v>89</v>
      </c>
      <c r="D1511" s="9">
        <v>45938</v>
      </c>
      <c r="E1511" s="3">
        <v>3379.87</v>
      </c>
      <c r="F1511" s="7" t="s">
        <v>3174</v>
      </c>
    </row>
    <row r="1512" spans="1:6" x14ac:dyDescent="0.3">
      <c r="A1512" s="7" t="s">
        <v>4685</v>
      </c>
      <c r="B1512" s="7" t="s">
        <v>2272</v>
      </c>
      <c r="C1512" s="7" t="s">
        <v>84</v>
      </c>
      <c r="D1512" s="9">
        <v>45729</v>
      </c>
      <c r="E1512" s="3">
        <v>10534.71</v>
      </c>
      <c r="F1512" s="7" t="s">
        <v>298</v>
      </c>
    </row>
    <row r="1513" spans="1:6" x14ac:dyDescent="0.3">
      <c r="A1513" s="7" t="s">
        <v>4686</v>
      </c>
      <c r="B1513" s="7" t="s">
        <v>2273</v>
      </c>
      <c r="C1513" s="7" t="s">
        <v>15</v>
      </c>
      <c r="D1513" s="9">
        <v>45819</v>
      </c>
      <c r="E1513" s="3">
        <v>2028.05</v>
      </c>
      <c r="F1513" s="7" t="s">
        <v>3174</v>
      </c>
    </row>
    <row r="1514" spans="1:6" x14ac:dyDescent="0.3">
      <c r="A1514" s="7" t="s">
        <v>4687</v>
      </c>
      <c r="B1514" s="7" t="s">
        <v>2274</v>
      </c>
      <c r="C1514" s="7" t="s">
        <v>32</v>
      </c>
      <c r="D1514" s="9">
        <v>46071</v>
      </c>
      <c r="E1514" s="3">
        <v>5194.22</v>
      </c>
      <c r="F1514" s="7" t="s">
        <v>296</v>
      </c>
    </row>
    <row r="1515" spans="1:6" x14ac:dyDescent="0.3">
      <c r="A1515" s="7" t="s">
        <v>4688</v>
      </c>
      <c r="B1515" s="7" t="s">
        <v>2275</v>
      </c>
      <c r="C1515" s="7" t="s">
        <v>79</v>
      </c>
      <c r="D1515" s="9">
        <v>45797</v>
      </c>
      <c r="E1515" s="3">
        <v>2109.0300000000002</v>
      </c>
      <c r="F1515" s="7" t="s">
        <v>296</v>
      </c>
    </row>
    <row r="1516" spans="1:6" x14ac:dyDescent="0.3">
      <c r="A1516" s="7" t="s">
        <v>4689</v>
      </c>
      <c r="B1516" s="7" t="s">
        <v>2276</v>
      </c>
      <c r="C1516" s="7" t="s">
        <v>47</v>
      </c>
      <c r="D1516" s="9">
        <v>46069</v>
      </c>
      <c r="E1516" s="3">
        <v>2862.82</v>
      </c>
      <c r="F1516" s="7" t="s">
        <v>298</v>
      </c>
    </row>
    <row r="1517" spans="1:6" x14ac:dyDescent="0.3">
      <c r="A1517" s="7" t="s">
        <v>4690</v>
      </c>
      <c r="B1517" s="7" t="s">
        <v>2278</v>
      </c>
      <c r="C1517" s="7" t="s">
        <v>23</v>
      </c>
      <c r="D1517" s="9">
        <v>46047</v>
      </c>
      <c r="E1517" s="3">
        <v>3072.84</v>
      </c>
      <c r="F1517" s="7" t="s">
        <v>3174</v>
      </c>
    </row>
    <row r="1518" spans="1:6" x14ac:dyDescent="0.3">
      <c r="A1518" s="7" t="s">
        <v>4691</v>
      </c>
      <c r="B1518" s="7" t="s">
        <v>2280</v>
      </c>
      <c r="C1518" s="7" t="s">
        <v>108</v>
      </c>
      <c r="D1518" s="9">
        <v>46060</v>
      </c>
      <c r="E1518" s="3">
        <v>3002.61</v>
      </c>
      <c r="F1518" s="7" t="s">
        <v>296</v>
      </c>
    </row>
    <row r="1519" spans="1:6" x14ac:dyDescent="0.3">
      <c r="A1519" s="7" t="s">
        <v>4692</v>
      </c>
      <c r="B1519" s="7" t="s">
        <v>2281</v>
      </c>
      <c r="C1519" s="7" t="s">
        <v>26</v>
      </c>
      <c r="D1519" s="9">
        <v>46104</v>
      </c>
      <c r="E1519" s="3">
        <v>11889.37</v>
      </c>
      <c r="F1519" s="7" t="s">
        <v>3174</v>
      </c>
    </row>
    <row r="1520" spans="1:6" x14ac:dyDescent="0.3">
      <c r="A1520" s="7" t="s">
        <v>4693</v>
      </c>
      <c r="B1520" s="7" t="s">
        <v>2282</v>
      </c>
      <c r="C1520" s="7" t="s">
        <v>98</v>
      </c>
      <c r="D1520" s="9">
        <v>46157</v>
      </c>
      <c r="E1520" s="3">
        <v>1773.44</v>
      </c>
      <c r="F1520" s="7" t="s">
        <v>3184</v>
      </c>
    </row>
    <row r="1521" spans="1:6" x14ac:dyDescent="0.3">
      <c r="A1521" s="7" t="s">
        <v>4694</v>
      </c>
      <c r="B1521" s="7" t="s">
        <v>2283</v>
      </c>
      <c r="C1521" s="7" t="s">
        <v>105</v>
      </c>
      <c r="D1521" s="9">
        <v>46080</v>
      </c>
      <c r="E1521" s="3">
        <v>2882.59</v>
      </c>
      <c r="F1521" s="7" t="s">
        <v>296</v>
      </c>
    </row>
    <row r="1522" spans="1:6" x14ac:dyDescent="0.3">
      <c r="A1522" s="7" t="s">
        <v>4695</v>
      </c>
      <c r="B1522" s="7" t="s">
        <v>2283</v>
      </c>
      <c r="C1522" s="7" t="s">
        <v>105</v>
      </c>
      <c r="D1522" s="9">
        <v>46093</v>
      </c>
      <c r="E1522" s="3">
        <v>2886.21</v>
      </c>
      <c r="F1522" s="7" t="s">
        <v>298</v>
      </c>
    </row>
    <row r="1523" spans="1:6" x14ac:dyDescent="0.3">
      <c r="A1523" s="7" t="s">
        <v>4696</v>
      </c>
      <c r="B1523" s="7" t="s">
        <v>2285</v>
      </c>
      <c r="C1523" s="7" t="s">
        <v>23</v>
      </c>
      <c r="D1523" s="9">
        <v>46062</v>
      </c>
      <c r="E1523" s="3">
        <v>1816.77</v>
      </c>
      <c r="F1523" s="7" t="s">
        <v>3184</v>
      </c>
    </row>
    <row r="1524" spans="1:6" x14ac:dyDescent="0.3">
      <c r="A1524" s="7" t="s">
        <v>4697</v>
      </c>
      <c r="B1524" s="7" t="s">
        <v>2286</v>
      </c>
      <c r="C1524" s="7" t="s">
        <v>98</v>
      </c>
      <c r="D1524" s="9">
        <v>45995</v>
      </c>
      <c r="E1524" s="3">
        <v>2290.84</v>
      </c>
      <c r="F1524" s="7" t="s">
        <v>3174</v>
      </c>
    </row>
    <row r="1525" spans="1:6" x14ac:dyDescent="0.3">
      <c r="A1525" s="7" t="s">
        <v>4698</v>
      </c>
      <c r="B1525" s="7" t="s">
        <v>2287</v>
      </c>
      <c r="C1525" s="7" t="s">
        <v>26</v>
      </c>
      <c r="D1525" s="9">
        <v>45814</v>
      </c>
      <c r="E1525" s="3">
        <v>1719.1</v>
      </c>
      <c r="F1525" s="7" t="s">
        <v>296</v>
      </c>
    </row>
    <row r="1526" spans="1:6" x14ac:dyDescent="0.3">
      <c r="A1526" s="7" t="s">
        <v>4699</v>
      </c>
      <c r="B1526" s="7" t="s">
        <v>2289</v>
      </c>
      <c r="C1526" s="7" t="s">
        <v>65</v>
      </c>
      <c r="D1526" s="9">
        <v>46082</v>
      </c>
      <c r="E1526" s="3">
        <v>2547.14</v>
      </c>
      <c r="F1526" s="7" t="s">
        <v>3174</v>
      </c>
    </row>
    <row r="1527" spans="1:6" x14ac:dyDescent="0.3">
      <c r="A1527" s="7" t="s">
        <v>4700</v>
      </c>
      <c r="B1527" s="7" t="s">
        <v>2290</v>
      </c>
      <c r="C1527" s="7" t="s">
        <v>80</v>
      </c>
      <c r="D1527" s="9">
        <v>45838</v>
      </c>
      <c r="E1527" s="3">
        <v>2169.7199999999998</v>
      </c>
      <c r="F1527" s="7" t="s">
        <v>3174</v>
      </c>
    </row>
    <row r="1528" spans="1:6" x14ac:dyDescent="0.3">
      <c r="A1528" s="7" t="s">
        <v>4701</v>
      </c>
      <c r="B1528" s="7" t="s">
        <v>2291</v>
      </c>
      <c r="C1528" s="7" t="s">
        <v>65</v>
      </c>
      <c r="D1528" s="9">
        <v>45695</v>
      </c>
      <c r="E1528" s="3">
        <v>2353.37</v>
      </c>
      <c r="F1528" s="7" t="s">
        <v>298</v>
      </c>
    </row>
    <row r="1529" spans="1:6" x14ac:dyDescent="0.3">
      <c r="A1529" s="7" t="s">
        <v>4702</v>
      </c>
      <c r="B1529" s="7" t="s">
        <v>2292</v>
      </c>
      <c r="C1529" s="7" t="s">
        <v>24</v>
      </c>
      <c r="D1529" s="9">
        <v>45823</v>
      </c>
      <c r="E1529" s="3">
        <v>2986.14</v>
      </c>
      <c r="F1529" s="7" t="s">
        <v>298</v>
      </c>
    </row>
    <row r="1530" spans="1:6" x14ac:dyDescent="0.3">
      <c r="A1530" s="7" t="s">
        <v>4703</v>
      </c>
      <c r="B1530" s="7" t="s">
        <v>2293</v>
      </c>
      <c r="C1530" s="7" t="s">
        <v>43</v>
      </c>
      <c r="D1530" s="9">
        <v>45913</v>
      </c>
      <c r="E1530" s="3">
        <v>1885.64</v>
      </c>
      <c r="F1530" s="7" t="s">
        <v>3174</v>
      </c>
    </row>
    <row r="1531" spans="1:6" x14ac:dyDescent="0.3">
      <c r="A1531" s="7" t="s">
        <v>4704</v>
      </c>
      <c r="B1531" s="7" t="s">
        <v>2293</v>
      </c>
      <c r="C1531" s="7" t="s">
        <v>43</v>
      </c>
      <c r="D1531" s="9">
        <v>45925</v>
      </c>
      <c r="E1531" s="3">
        <v>1680.38</v>
      </c>
      <c r="F1531" s="7" t="s">
        <v>296</v>
      </c>
    </row>
    <row r="1532" spans="1:6" x14ac:dyDescent="0.3">
      <c r="A1532" s="7" t="s">
        <v>4705</v>
      </c>
      <c r="B1532" s="7" t="s">
        <v>2294</v>
      </c>
      <c r="C1532" s="7" t="s">
        <v>53</v>
      </c>
      <c r="D1532" s="9">
        <v>46034</v>
      </c>
      <c r="E1532" s="3">
        <v>11563.36</v>
      </c>
      <c r="F1532" s="7" t="s">
        <v>3174</v>
      </c>
    </row>
    <row r="1533" spans="1:6" x14ac:dyDescent="0.3">
      <c r="A1533" s="7" t="s">
        <v>4706</v>
      </c>
      <c r="B1533" s="7" t="s">
        <v>2295</v>
      </c>
      <c r="C1533" s="7" t="s">
        <v>59</v>
      </c>
      <c r="D1533" s="9">
        <v>45829</v>
      </c>
      <c r="E1533" s="3">
        <v>3982.77</v>
      </c>
      <c r="F1533" s="7" t="s">
        <v>296</v>
      </c>
    </row>
    <row r="1534" spans="1:6" x14ac:dyDescent="0.3">
      <c r="A1534" s="7" t="s">
        <v>4707</v>
      </c>
      <c r="B1534" s="7" t="s">
        <v>2296</v>
      </c>
      <c r="C1534" s="7" t="s">
        <v>89</v>
      </c>
      <c r="D1534" s="9">
        <v>46131</v>
      </c>
      <c r="E1534" s="3">
        <v>3430.13</v>
      </c>
      <c r="F1534" s="7" t="s">
        <v>296</v>
      </c>
    </row>
    <row r="1535" spans="1:6" x14ac:dyDescent="0.3">
      <c r="A1535" s="7" t="s">
        <v>4708</v>
      </c>
      <c r="B1535" s="7" t="s">
        <v>2298</v>
      </c>
      <c r="C1535" s="7" t="s">
        <v>58</v>
      </c>
      <c r="D1535" s="9">
        <v>45814</v>
      </c>
      <c r="E1535" s="3">
        <v>5706.12</v>
      </c>
      <c r="F1535" s="7" t="s">
        <v>3184</v>
      </c>
    </row>
    <row r="1536" spans="1:6" x14ac:dyDescent="0.3">
      <c r="A1536" s="7" t="s">
        <v>4709</v>
      </c>
      <c r="B1536" s="7" t="s">
        <v>2299</v>
      </c>
      <c r="C1536" s="7" t="s">
        <v>51</v>
      </c>
      <c r="D1536" s="9">
        <v>46108</v>
      </c>
      <c r="E1536" s="3">
        <v>2667.66</v>
      </c>
      <c r="F1536" s="7" t="s">
        <v>298</v>
      </c>
    </row>
    <row r="1537" spans="1:6" x14ac:dyDescent="0.3">
      <c r="A1537" s="7" t="s">
        <v>4710</v>
      </c>
      <c r="B1537" s="7" t="s">
        <v>2300</v>
      </c>
      <c r="C1537" s="7" t="s">
        <v>30</v>
      </c>
      <c r="D1537" s="9">
        <v>45948</v>
      </c>
      <c r="E1537" s="3">
        <v>11848.75</v>
      </c>
      <c r="F1537" s="7" t="s">
        <v>3184</v>
      </c>
    </row>
    <row r="1538" spans="1:6" x14ac:dyDescent="0.3">
      <c r="A1538" s="7" t="s">
        <v>4711</v>
      </c>
      <c r="B1538" s="7" t="s">
        <v>2301</v>
      </c>
      <c r="C1538" s="7" t="s">
        <v>49</v>
      </c>
      <c r="D1538" s="9">
        <v>45889</v>
      </c>
      <c r="E1538" s="3">
        <v>1518.01</v>
      </c>
      <c r="F1538" s="7" t="s">
        <v>296</v>
      </c>
    </row>
    <row r="1539" spans="1:6" x14ac:dyDescent="0.3">
      <c r="A1539" s="7" t="s">
        <v>4712</v>
      </c>
      <c r="B1539" s="7" t="s">
        <v>2302</v>
      </c>
      <c r="C1539" s="7" t="s">
        <v>101</v>
      </c>
      <c r="D1539" s="9">
        <v>45990</v>
      </c>
      <c r="E1539" s="3">
        <v>2780.74</v>
      </c>
      <c r="F1539" s="7" t="s">
        <v>298</v>
      </c>
    </row>
    <row r="1540" spans="1:6" x14ac:dyDescent="0.3">
      <c r="A1540" s="7" t="s">
        <v>4713</v>
      </c>
      <c r="B1540" s="7" t="s">
        <v>2303</v>
      </c>
      <c r="C1540" s="7" t="s">
        <v>67</v>
      </c>
      <c r="D1540" s="9">
        <v>45908</v>
      </c>
      <c r="E1540" s="3">
        <v>10148.77</v>
      </c>
      <c r="F1540" s="7" t="s">
        <v>3174</v>
      </c>
    </row>
    <row r="1541" spans="1:6" x14ac:dyDescent="0.3">
      <c r="A1541" s="7" t="s">
        <v>4714</v>
      </c>
      <c r="B1541" s="7" t="s">
        <v>2304</v>
      </c>
      <c r="C1541" s="7" t="s">
        <v>83</v>
      </c>
      <c r="D1541" s="9">
        <v>45821</v>
      </c>
      <c r="E1541" s="3">
        <v>5280.43</v>
      </c>
      <c r="F1541" s="7" t="s">
        <v>3184</v>
      </c>
    </row>
    <row r="1542" spans="1:6" x14ac:dyDescent="0.3">
      <c r="A1542" s="7" t="s">
        <v>4715</v>
      </c>
      <c r="B1542" s="7" t="s">
        <v>2307</v>
      </c>
      <c r="C1542" s="7" t="s">
        <v>15</v>
      </c>
      <c r="D1542" s="9">
        <v>45993</v>
      </c>
      <c r="E1542" s="3">
        <v>10895.27</v>
      </c>
      <c r="F1542" s="7" t="s">
        <v>296</v>
      </c>
    </row>
    <row r="1543" spans="1:6" x14ac:dyDescent="0.3">
      <c r="A1543" s="7" t="s">
        <v>4716</v>
      </c>
      <c r="B1543" s="7" t="s">
        <v>2308</v>
      </c>
      <c r="C1543" s="7" t="s">
        <v>60</v>
      </c>
      <c r="D1543" s="9">
        <v>45841</v>
      </c>
      <c r="E1543" s="3">
        <v>2405.0700000000002</v>
      </c>
      <c r="F1543" s="7" t="s">
        <v>296</v>
      </c>
    </row>
    <row r="1544" spans="1:6" x14ac:dyDescent="0.3">
      <c r="A1544" s="7" t="s">
        <v>4717</v>
      </c>
      <c r="B1544" s="7" t="s">
        <v>2310</v>
      </c>
      <c r="C1544" s="7" t="s">
        <v>51</v>
      </c>
      <c r="D1544" s="9">
        <v>46085</v>
      </c>
      <c r="E1544" s="3">
        <v>11241.69</v>
      </c>
      <c r="F1544" s="7" t="s">
        <v>3184</v>
      </c>
    </row>
    <row r="1545" spans="1:6" x14ac:dyDescent="0.3">
      <c r="A1545" s="7" t="s">
        <v>4718</v>
      </c>
      <c r="B1545" s="7" t="s">
        <v>2312</v>
      </c>
      <c r="C1545" s="7" t="s">
        <v>8</v>
      </c>
      <c r="D1545" s="9">
        <v>46018</v>
      </c>
      <c r="E1545" s="3">
        <v>11302.52</v>
      </c>
      <c r="F1545" s="7" t="s">
        <v>3184</v>
      </c>
    </row>
    <row r="1546" spans="1:6" x14ac:dyDescent="0.3">
      <c r="A1546" s="7" t="s">
        <v>4719</v>
      </c>
      <c r="B1546" s="7" t="s">
        <v>2313</v>
      </c>
      <c r="C1546" s="7" t="s">
        <v>92</v>
      </c>
      <c r="D1546" s="9">
        <v>45977</v>
      </c>
      <c r="E1546" s="3">
        <v>3896.3</v>
      </c>
      <c r="F1546" s="7" t="s">
        <v>298</v>
      </c>
    </row>
    <row r="1547" spans="1:6" x14ac:dyDescent="0.3">
      <c r="A1547" s="7" t="s">
        <v>4720</v>
      </c>
      <c r="B1547" s="7" t="s">
        <v>2315</v>
      </c>
      <c r="C1547" s="7" t="s">
        <v>121</v>
      </c>
      <c r="D1547" s="9">
        <v>46076</v>
      </c>
      <c r="E1547" s="3">
        <v>2034.17</v>
      </c>
      <c r="F1547" s="7" t="s">
        <v>3184</v>
      </c>
    </row>
    <row r="1548" spans="1:6" x14ac:dyDescent="0.3">
      <c r="A1548" s="7" t="s">
        <v>4721</v>
      </c>
      <c r="B1548" s="7" t="s">
        <v>2316</v>
      </c>
      <c r="C1548" s="7" t="s">
        <v>93</v>
      </c>
      <c r="D1548" s="9">
        <v>45931</v>
      </c>
      <c r="E1548" s="3">
        <v>14082.33</v>
      </c>
      <c r="F1548" s="7" t="s">
        <v>298</v>
      </c>
    </row>
    <row r="1549" spans="1:6" x14ac:dyDescent="0.3">
      <c r="A1549" s="7" t="s">
        <v>4722</v>
      </c>
      <c r="B1549" s="7" t="s">
        <v>2318</v>
      </c>
      <c r="C1549" s="7" t="s">
        <v>34</v>
      </c>
      <c r="D1549" s="9">
        <v>45988</v>
      </c>
      <c r="E1549" s="3">
        <v>5268.59</v>
      </c>
      <c r="F1549" s="7" t="s">
        <v>3174</v>
      </c>
    </row>
    <row r="1550" spans="1:6" x14ac:dyDescent="0.3">
      <c r="A1550" s="7" t="s">
        <v>4723</v>
      </c>
      <c r="B1550" s="7" t="s">
        <v>2319</v>
      </c>
      <c r="C1550" s="7" t="s">
        <v>28</v>
      </c>
      <c r="D1550" s="9">
        <v>45874</v>
      </c>
      <c r="E1550" s="3">
        <v>2144.9</v>
      </c>
      <c r="F1550" s="7" t="s">
        <v>298</v>
      </c>
    </row>
    <row r="1551" spans="1:6" x14ac:dyDescent="0.3">
      <c r="A1551" s="7" t="s">
        <v>4724</v>
      </c>
      <c r="B1551" s="7" t="s">
        <v>2321</v>
      </c>
      <c r="C1551" s="7" t="s">
        <v>121</v>
      </c>
      <c r="D1551" s="9">
        <v>45870</v>
      </c>
      <c r="E1551" s="3">
        <v>4137.1499999999996</v>
      </c>
      <c r="F1551" s="7" t="s">
        <v>3174</v>
      </c>
    </row>
    <row r="1552" spans="1:6" x14ac:dyDescent="0.3">
      <c r="A1552" s="7" t="s">
        <v>4725</v>
      </c>
      <c r="B1552" s="7" t="s">
        <v>2322</v>
      </c>
      <c r="C1552" s="7" t="s">
        <v>90</v>
      </c>
      <c r="D1552" s="9">
        <v>46131</v>
      </c>
      <c r="E1552" s="3">
        <v>2502.09</v>
      </c>
      <c r="F1552" s="7" t="s">
        <v>296</v>
      </c>
    </row>
    <row r="1553" spans="1:6" x14ac:dyDescent="0.3">
      <c r="A1553" s="7" t="s">
        <v>4726</v>
      </c>
      <c r="B1553" s="7" t="s">
        <v>2325</v>
      </c>
      <c r="C1553" s="7" t="s">
        <v>62</v>
      </c>
      <c r="D1553" s="9">
        <v>45946</v>
      </c>
      <c r="E1553" s="3">
        <v>11390.98</v>
      </c>
      <c r="F1553" s="7" t="s">
        <v>3174</v>
      </c>
    </row>
    <row r="1554" spans="1:6" x14ac:dyDescent="0.3">
      <c r="A1554" s="7" t="s">
        <v>4727</v>
      </c>
      <c r="B1554" s="7" t="s">
        <v>2326</v>
      </c>
      <c r="C1554" s="7" t="s">
        <v>88</v>
      </c>
      <c r="D1554" s="9">
        <v>46052</v>
      </c>
      <c r="E1554" s="3">
        <v>10968.13</v>
      </c>
      <c r="F1554" s="7" t="s">
        <v>3184</v>
      </c>
    </row>
    <row r="1555" spans="1:6" x14ac:dyDescent="0.3">
      <c r="A1555" s="7" t="s">
        <v>4728</v>
      </c>
      <c r="B1555" s="7" t="s">
        <v>2329</v>
      </c>
      <c r="C1555" s="7" t="s">
        <v>63</v>
      </c>
      <c r="D1555" s="9">
        <v>45988</v>
      </c>
      <c r="E1555" s="3">
        <v>13199.73</v>
      </c>
      <c r="F1555" s="7" t="s">
        <v>298</v>
      </c>
    </row>
    <row r="1556" spans="1:6" x14ac:dyDescent="0.3">
      <c r="A1556" s="7" t="s">
        <v>4729</v>
      </c>
      <c r="B1556" s="7" t="s">
        <v>2330</v>
      </c>
      <c r="C1556" s="7" t="s">
        <v>60</v>
      </c>
      <c r="D1556" s="9">
        <v>45724</v>
      </c>
      <c r="E1556" s="3">
        <v>3613.73</v>
      </c>
      <c r="F1556" s="7" t="s">
        <v>296</v>
      </c>
    </row>
    <row r="1557" spans="1:6" x14ac:dyDescent="0.3">
      <c r="A1557" s="7" t="s">
        <v>4730</v>
      </c>
      <c r="B1557" s="7" t="s">
        <v>2331</v>
      </c>
      <c r="C1557" s="7" t="s">
        <v>32</v>
      </c>
      <c r="D1557" s="9">
        <v>45893</v>
      </c>
      <c r="E1557" s="3">
        <v>4445.76</v>
      </c>
      <c r="F1557" s="7" t="s">
        <v>3184</v>
      </c>
    </row>
    <row r="1558" spans="1:6" x14ac:dyDescent="0.3">
      <c r="A1558" s="7" t="s">
        <v>4731</v>
      </c>
      <c r="B1558" s="7" t="s">
        <v>2332</v>
      </c>
      <c r="C1558" s="7" t="s">
        <v>112</v>
      </c>
      <c r="D1558" s="9">
        <v>45863</v>
      </c>
      <c r="E1558" s="3">
        <v>14162.65</v>
      </c>
      <c r="F1558" s="7" t="s">
        <v>3184</v>
      </c>
    </row>
    <row r="1559" spans="1:6" x14ac:dyDescent="0.3">
      <c r="A1559" s="7" t="s">
        <v>4732</v>
      </c>
      <c r="B1559" s="7" t="s">
        <v>2333</v>
      </c>
      <c r="C1559" s="7" t="s">
        <v>54</v>
      </c>
      <c r="D1559" s="9">
        <v>46044</v>
      </c>
      <c r="E1559" s="3">
        <v>1946.76</v>
      </c>
      <c r="F1559" s="7" t="s">
        <v>296</v>
      </c>
    </row>
    <row r="1560" spans="1:6" x14ac:dyDescent="0.3">
      <c r="A1560" s="7" t="s">
        <v>4733</v>
      </c>
      <c r="B1560" s="7" t="s">
        <v>2334</v>
      </c>
      <c r="C1560" s="7" t="s">
        <v>114</v>
      </c>
      <c r="D1560" s="9">
        <v>45841</v>
      </c>
      <c r="E1560" s="3">
        <v>5015.12</v>
      </c>
      <c r="F1560" s="7" t="s">
        <v>3174</v>
      </c>
    </row>
    <row r="1561" spans="1:6" x14ac:dyDescent="0.3">
      <c r="A1561" s="7" t="s">
        <v>4734</v>
      </c>
      <c r="B1561" s="7" t="s">
        <v>2335</v>
      </c>
      <c r="C1561" s="7" t="s">
        <v>10</v>
      </c>
      <c r="D1561" s="9">
        <v>45682</v>
      </c>
      <c r="E1561" s="3">
        <v>12831.84</v>
      </c>
      <c r="F1561" s="7" t="s">
        <v>296</v>
      </c>
    </row>
    <row r="1562" spans="1:6" x14ac:dyDescent="0.3">
      <c r="A1562" s="7" t="s">
        <v>4735</v>
      </c>
      <c r="B1562" s="7" t="s">
        <v>2337</v>
      </c>
      <c r="C1562" s="7" t="s">
        <v>57</v>
      </c>
      <c r="D1562" s="9">
        <v>45989</v>
      </c>
      <c r="E1562" s="3">
        <v>2335.09</v>
      </c>
      <c r="F1562" s="7" t="s">
        <v>296</v>
      </c>
    </row>
    <row r="1563" spans="1:6" x14ac:dyDescent="0.3">
      <c r="A1563" s="7" t="s">
        <v>4736</v>
      </c>
      <c r="B1563" s="7" t="s">
        <v>2340</v>
      </c>
      <c r="C1563" s="7" t="s">
        <v>19</v>
      </c>
      <c r="D1563" s="9">
        <v>45952</v>
      </c>
      <c r="E1563" s="3">
        <v>6757.51</v>
      </c>
      <c r="F1563" s="7" t="s">
        <v>298</v>
      </c>
    </row>
    <row r="1564" spans="1:6" x14ac:dyDescent="0.3">
      <c r="A1564" s="7" t="s">
        <v>4737</v>
      </c>
      <c r="B1564" s="7" t="s">
        <v>2340</v>
      </c>
      <c r="C1564" s="7" t="s">
        <v>19</v>
      </c>
      <c r="D1564" s="9">
        <v>45954</v>
      </c>
      <c r="E1564" s="3">
        <v>7182.51</v>
      </c>
      <c r="F1564" s="7" t="s">
        <v>298</v>
      </c>
    </row>
    <row r="1565" spans="1:6" x14ac:dyDescent="0.3">
      <c r="A1565" s="7" t="s">
        <v>4738</v>
      </c>
      <c r="B1565" s="7" t="s">
        <v>2341</v>
      </c>
      <c r="C1565" s="7" t="s">
        <v>107</v>
      </c>
      <c r="D1565" s="9">
        <v>45943</v>
      </c>
      <c r="E1565" s="3">
        <v>2016.84</v>
      </c>
      <c r="F1565" s="7" t="s">
        <v>3174</v>
      </c>
    </row>
    <row r="1566" spans="1:6" x14ac:dyDescent="0.3">
      <c r="A1566" s="7" t="s">
        <v>4739</v>
      </c>
      <c r="B1566" s="7" t="s">
        <v>2343</v>
      </c>
      <c r="C1566" s="7" t="s">
        <v>87</v>
      </c>
      <c r="D1566" s="9">
        <v>45722</v>
      </c>
      <c r="E1566" s="3">
        <v>2203.7600000000002</v>
      </c>
      <c r="F1566" s="7" t="s">
        <v>3184</v>
      </c>
    </row>
    <row r="1567" spans="1:6" x14ac:dyDescent="0.3">
      <c r="A1567" s="7" t="s">
        <v>4740</v>
      </c>
      <c r="B1567" s="7" t="s">
        <v>2344</v>
      </c>
      <c r="C1567" s="7" t="s">
        <v>17</v>
      </c>
      <c r="D1567" s="9">
        <v>46019</v>
      </c>
      <c r="E1567" s="3">
        <v>3014.27</v>
      </c>
      <c r="F1567" s="7" t="s">
        <v>296</v>
      </c>
    </row>
    <row r="1568" spans="1:6" x14ac:dyDescent="0.3">
      <c r="A1568" s="7" t="s">
        <v>4741</v>
      </c>
      <c r="B1568" s="7" t="s">
        <v>2345</v>
      </c>
      <c r="C1568" s="7" t="s">
        <v>65</v>
      </c>
      <c r="D1568" s="9">
        <v>46096</v>
      </c>
      <c r="E1568" s="3">
        <v>3335.37</v>
      </c>
      <c r="F1568" s="7" t="s">
        <v>3174</v>
      </c>
    </row>
    <row r="1569" spans="1:6" x14ac:dyDescent="0.3">
      <c r="A1569" s="7" t="s">
        <v>4742</v>
      </c>
      <c r="B1569" s="7" t="s">
        <v>2346</v>
      </c>
      <c r="C1569" s="7" t="s">
        <v>121</v>
      </c>
      <c r="D1569" s="9">
        <v>45867</v>
      </c>
      <c r="E1569" s="3">
        <v>1894.68</v>
      </c>
      <c r="F1569" s="7" t="s">
        <v>3184</v>
      </c>
    </row>
    <row r="1570" spans="1:6" x14ac:dyDescent="0.3">
      <c r="A1570" s="7" t="s">
        <v>4743</v>
      </c>
      <c r="B1570" s="7" t="s">
        <v>2347</v>
      </c>
      <c r="C1570" s="7" t="s">
        <v>110</v>
      </c>
      <c r="D1570" s="9">
        <v>45941</v>
      </c>
      <c r="E1570" s="3">
        <v>3191.67</v>
      </c>
      <c r="F1570" s="7" t="s">
        <v>3174</v>
      </c>
    </row>
    <row r="1571" spans="1:6" x14ac:dyDescent="0.3">
      <c r="A1571" s="7" t="s">
        <v>4744</v>
      </c>
      <c r="B1571" s="7" t="s">
        <v>2347</v>
      </c>
      <c r="C1571" s="7" t="s">
        <v>110</v>
      </c>
      <c r="D1571" s="9">
        <v>45946</v>
      </c>
      <c r="E1571" s="3">
        <v>1402.18</v>
      </c>
      <c r="F1571" s="7" t="s">
        <v>3184</v>
      </c>
    </row>
    <row r="1572" spans="1:6" x14ac:dyDescent="0.3">
      <c r="A1572" s="7" t="s">
        <v>4745</v>
      </c>
      <c r="B1572" s="7" t="s">
        <v>2348</v>
      </c>
      <c r="C1572" s="7" t="s">
        <v>25</v>
      </c>
      <c r="D1572" s="9">
        <v>46023</v>
      </c>
      <c r="E1572" s="3">
        <v>13297.88</v>
      </c>
      <c r="F1572" s="7" t="s">
        <v>3184</v>
      </c>
    </row>
    <row r="1573" spans="1:6" x14ac:dyDescent="0.3">
      <c r="A1573" s="7" t="s">
        <v>4746</v>
      </c>
      <c r="B1573" s="7" t="s">
        <v>2349</v>
      </c>
      <c r="C1573" s="7" t="s">
        <v>83</v>
      </c>
      <c r="D1573" s="9">
        <v>45984</v>
      </c>
      <c r="E1573" s="3">
        <v>734.83</v>
      </c>
      <c r="F1573" s="7" t="s">
        <v>3184</v>
      </c>
    </row>
    <row r="1574" spans="1:6" x14ac:dyDescent="0.3">
      <c r="A1574" s="7" t="s">
        <v>4747</v>
      </c>
      <c r="B1574" s="7" t="s">
        <v>2349</v>
      </c>
      <c r="C1574" s="7" t="s">
        <v>83</v>
      </c>
      <c r="D1574" s="9">
        <v>45999</v>
      </c>
      <c r="E1574" s="3">
        <v>721.83</v>
      </c>
      <c r="F1574" s="7" t="s">
        <v>3174</v>
      </c>
    </row>
    <row r="1575" spans="1:6" x14ac:dyDescent="0.3">
      <c r="A1575" s="7" t="s">
        <v>4748</v>
      </c>
      <c r="B1575" s="7" t="s">
        <v>2351</v>
      </c>
      <c r="C1575" s="7" t="s">
        <v>69</v>
      </c>
      <c r="D1575" s="9">
        <v>45859</v>
      </c>
      <c r="E1575" s="3">
        <v>2993.09</v>
      </c>
      <c r="F1575" s="7" t="s">
        <v>296</v>
      </c>
    </row>
    <row r="1576" spans="1:6" x14ac:dyDescent="0.3">
      <c r="A1576" s="7" t="s">
        <v>4749</v>
      </c>
      <c r="B1576" s="7" t="s">
        <v>2352</v>
      </c>
      <c r="C1576" s="7" t="s">
        <v>94</v>
      </c>
      <c r="D1576" s="9">
        <v>45947</v>
      </c>
      <c r="E1576" s="3">
        <v>1630.23</v>
      </c>
      <c r="F1576" s="7" t="s">
        <v>3184</v>
      </c>
    </row>
    <row r="1577" spans="1:6" x14ac:dyDescent="0.3">
      <c r="A1577" s="7" t="s">
        <v>4750</v>
      </c>
      <c r="B1577" s="7" t="s">
        <v>2352</v>
      </c>
      <c r="C1577" s="7" t="s">
        <v>94</v>
      </c>
      <c r="D1577" s="9">
        <v>45951</v>
      </c>
      <c r="E1577" s="3">
        <v>1266.26</v>
      </c>
      <c r="F1577" s="7" t="s">
        <v>296</v>
      </c>
    </row>
    <row r="1578" spans="1:6" x14ac:dyDescent="0.3">
      <c r="A1578" s="7" t="s">
        <v>4751</v>
      </c>
      <c r="B1578" s="7" t="s">
        <v>2354</v>
      </c>
      <c r="C1578" s="7" t="s">
        <v>87</v>
      </c>
      <c r="D1578" s="9">
        <v>45682</v>
      </c>
      <c r="E1578" s="3">
        <v>4359.6099999999997</v>
      </c>
      <c r="F1578" s="7" t="s">
        <v>3174</v>
      </c>
    </row>
    <row r="1579" spans="1:6" x14ac:dyDescent="0.3">
      <c r="A1579" s="7" t="s">
        <v>4752</v>
      </c>
      <c r="B1579" s="7" t="s">
        <v>2356</v>
      </c>
      <c r="C1579" s="7" t="s">
        <v>39</v>
      </c>
      <c r="D1579" s="9">
        <v>45671</v>
      </c>
      <c r="E1579" s="3">
        <v>3639.99</v>
      </c>
      <c r="F1579" s="7" t="s">
        <v>296</v>
      </c>
    </row>
    <row r="1580" spans="1:6" x14ac:dyDescent="0.3">
      <c r="A1580" s="7" t="s">
        <v>4753</v>
      </c>
      <c r="B1580" s="7" t="s">
        <v>2357</v>
      </c>
      <c r="C1580" s="7" t="s">
        <v>72</v>
      </c>
      <c r="D1580" s="9">
        <v>45688</v>
      </c>
      <c r="E1580" s="3">
        <v>2631.41</v>
      </c>
      <c r="F1580" s="7" t="s">
        <v>296</v>
      </c>
    </row>
    <row r="1581" spans="1:6" x14ac:dyDescent="0.3">
      <c r="A1581" s="7" t="s">
        <v>4754</v>
      </c>
      <c r="B1581" s="7" t="s">
        <v>2359</v>
      </c>
      <c r="C1581" s="7" t="s">
        <v>23</v>
      </c>
      <c r="D1581" s="9">
        <v>45721</v>
      </c>
      <c r="E1581" s="3">
        <v>2138.5700000000002</v>
      </c>
      <c r="F1581" s="7" t="s">
        <v>3174</v>
      </c>
    </row>
    <row r="1582" spans="1:6" x14ac:dyDescent="0.3">
      <c r="A1582" s="7" t="s">
        <v>4755</v>
      </c>
      <c r="B1582" s="7" t="s">
        <v>2360</v>
      </c>
      <c r="C1582" s="7" t="s">
        <v>77</v>
      </c>
      <c r="D1582" s="9">
        <v>45761</v>
      </c>
      <c r="E1582" s="3">
        <v>1174.07</v>
      </c>
      <c r="F1582" s="7" t="s">
        <v>3184</v>
      </c>
    </row>
    <row r="1583" spans="1:6" x14ac:dyDescent="0.3">
      <c r="A1583" s="7" t="s">
        <v>4756</v>
      </c>
      <c r="B1583" s="7" t="s">
        <v>2360</v>
      </c>
      <c r="C1583" s="7" t="s">
        <v>77</v>
      </c>
      <c r="D1583" s="9">
        <v>45768</v>
      </c>
      <c r="E1583" s="3">
        <v>1099.5999999999999</v>
      </c>
      <c r="F1583" s="7" t="s">
        <v>298</v>
      </c>
    </row>
    <row r="1584" spans="1:6" x14ac:dyDescent="0.3">
      <c r="A1584" s="7" t="s">
        <v>4757</v>
      </c>
      <c r="B1584" s="7" t="s">
        <v>2361</v>
      </c>
      <c r="C1584" s="7" t="s">
        <v>58</v>
      </c>
      <c r="D1584" s="9">
        <v>46075</v>
      </c>
      <c r="E1584" s="3">
        <v>1651.91</v>
      </c>
      <c r="F1584" s="7" t="s">
        <v>3184</v>
      </c>
    </row>
    <row r="1585" spans="1:6" x14ac:dyDescent="0.3">
      <c r="A1585" s="7" t="s">
        <v>4758</v>
      </c>
      <c r="B1585" s="7" t="s">
        <v>2364</v>
      </c>
      <c r="C1585" s="7" t="s">
        <v>120</v>
      </c>
      <c r="D1585" s="9">
        <v>45788</v>
      </c>
      <c r="E1585" s="3">
        <v>2165.65</v>
      </c>
      <c r="F1585" s="7" t="s">
        <v>298</v>
      </c>
    </row>
    <row r="1586" spans="1:6" x14ac:dyDescent="0.3">
      <c r="A1586" s="7" t="s">
        <v>4759</v>
      </c>
      <c r="B1586" s="7" t="s">
        <v>2366</v>
      </c>
      <c r="C1586" s="7" t="s">
        <v>54</v>
      </c>
      <c r="D1586" s="9">
        <v>45906</v>
      </c>
      <c r="E1586" s="3">
        <v>3128.75</v>
      </c>
      <c r="F1586" s="7" t="s">
        <v>3184</v>
      </c>
    </row>
    <row r="1587" spans="1:6" x14ac:dyDescent="0.3">
      <c r="A1587" s="7" t="s">
        <v>4760</v>
      </c>
      <c r="B1587" s="7" t="s">
        <v>2369</v>
      </c>
      <c r="C1587" s="7" t="s">
        <v>48</v>
      </c>
      <c r="D1587" s="9">
        <v>45685</v>
      </c>
      <c r="E1587" s="3">
        <v>3293.15</v>
      </c>
      <c r="F1587" s="7" t="s">
        <v>298</v>
      </c>
    </row>
    <row r="1588" spans="1:6" x14ac:dyDescent="0.3">
      <c r="A1588" s="7" t="s">
        <v>4761</v>
      </c>
      <c r="B1588" s="7" t="s">
        <v>2370</v>
      </c>
      <c r="C1588" s="7" t="s">
        <v>91</v>
      </c>
      <c r="D1588" s="9">
        <v>45842</v>
      </c>
      <c r="E1588" s="3">
        <v>13396.3</v>
      </c>
      <c r="F1588" s="7" t="s">
        <v>3174</v>
      </c>
    </row>
    <row r="1589" spans="1:6" x14ac:dyDescent="0.3">
      <c r="A1589" s="7" t="s">
        <v>4762</v>
      </c>
      <c r="B1589" s="7" t="s">
        <v>2371</v>
      </c>
      <c r="C1589" s="7" t="s">
        <v>47</v>
      </c>
      <c r="D1589" s="9">
        <v>46089</v>
      </c>
      <c r="E1589" s="3">
        <v>2371.96</v>
      </c>
      <c r="F1589" s="7" t="s">
        <v>296</v>
      </c>
    </row>
    <row r="1590" spans="1:6" x14ac:dyDescent="0.3">
      <c r="A1590" s="7" t="s">
        <v>4763</v>
      </c>
      <c r="B1590" s="7" t="s">
        <v>2372</v>
      </c>
      <c r="C1590" s="7" t="s">
        <v>108</v>
      </c>
      <c r="D1590" s="9">
        <v>45830</v>
      </c>
      <c r="E1590" s="3">
        <v>1447.85</v>
      </c>
      <c r="F1590" s="7" t="s">
        <v>3174</v>
      </c>
    </row>
    <row r="1591" spans="1:6" x14ac:dyDescent="0.3">
      <c r="A1591" s="7" t="s">
        <v>4764</v>
      </c>
      <c r="B1591" s="7" t="s">
        <v>2373</v>
      </c>
      <c r="C1591" s="7" t="s">
        <v>84</v>
      </c>
      <c r="D1591" s="9">
        <v>45963</v>
      </c>
      <c r="E1591" s="3">
        <v>2898.74</v>
      </c>
      <c r="F1591" s="7" t="s">
        <v>296</v>
      </c>
    </row>
    <row r="1592" spans="1:6" x14ac:dyDescent="0.3">
      <c r="A1592" s="7" t="s">
        <v>4765</v>
      </c>
      <c r="B1592" s="7" t="s">
        <v>2374</v>
      </c>
      <c r="C1592" s="7" t="s">
        <v>84</v>
      </c>
      <c r="D1592" s="9">
        <v>45754</v>
      </c>
      <c r="E1592" s="3">
        <v>5054.5200000000004</v>
      </c>
      <c r="F1592" s="7" t="s">
        <v>296</v>
      </c>
    </row>
    <row r="1593" spans="1:6" x14ac:dyDescent="0.3">
      <c r="A1593" s="7" t="s">
        <v>4766</v>
      </c>
      <c r="B1593" s="7" t="s">
        <v>2375</v>
      </c>
      <c r="C1593" s="7" t="s">
        <v>62</v>
      </c>
      <c r="D1593" s="9">
        <v>45989</v>
      </c>
      <c r="E1593" s="3">
        <v>1493.87</v>
      </c>
      <c r="F1593" s="7" t="s">
        <v>3184</v>
      </c>
    </row>
    <row r="1594" spans="1:6" x14ac:dyDescent="0.3">
      <c r="A1594" s="7" t="s">
        <v>4767</v>
      </c>
      <c r="B1594" s="7" t="s">
        <v>2376</v>
      </c>
      <c r="C1594" s="7" t="s">
        <v>70</v>
      </c>
      <c r="D1594" s="9">
        <v>45773</v>
      </c>
      <c r="E1594" s="3">
        <v>2813.39</v>
      </c>
      <c r="F1594" s="7" t="s">
        <v>298</v>
      </c>
    </row>
    <row r="1595" spans="1:6" x14ac:dyDescent="0.3">
      <c r="A1595" s="7" t="s">
        <v>4768</v>
      </c>
      <c r="B1595" s="7" t="s">
        <v>2377</v>
      </c>
      <c r="C1595" s="7" t="s">
        <v>64</v>
      </c>
      <c r="D1595" s="9">
        <v>45808</v>
      </c>
      <c r="E1595" s="3">
        <v>9824.6</v>
      </c>
      <c r="F1595" s="7" t="s">
        <v>296</v>
      </c>
    </row>
    <row r="1596" spans="1:6" x14ac:dyDescent="0.3">
      <c r="A1596" s="7" t="s">
        <v>4769</v>
      </c>
      <c r="B1596" s="7" t="s">
        <v>2378</v>
      </c>
      <c r="C1596" s="7" t="s">
        <v>9</v>
      </c>
      <c r="D1596" s="9">
        <v>45973</v>
      </c>
      <c r="E1596" s="3">
        <v>5202.8599999999997</v>
      </c>
      <c r="F1596" s="7" t="s">
        <v>3174</v>
      </c>
    </row>
    <row r="1597" spans="1:6" x14ac:dyDescent="0.3">
      <c r="A1597" s="7" t="s">
        <v>4770</v>
      </c>
      <c r="B1597" s="7" t="s">
        <v>2380</v>
      </c>
      <c r="C1597" s="7" t="s">
        <v>75</v>
      </c>
      <c r="D1597" s="9">
        <v>46088</v>
      </c>
      <c r="E1597" s="3">
        <v>10964.96</v>
      </c>
      <c r="F1597" s="7" t="s">
        <v>3184</v>
      </c>
    </row>
    <row r="1598" spans="1:6" x14ac:dyDescent="0.3">
      <c r="A1598" s="7" t="s">
        <v>4771</v>
      </c>
      <c r="B1598" s="7" t="s">
        <v>2381</v>
      </c>
      <c r="C1598" s="7" t="s">
        <v>19</v>
      </c>
      <c r="D1598" s="9">
        <v>46000</v>
      </c>
      <c r="E1598" s="3">
        <v>2854.77</v>
      </c>
      <c r="F1598" s="7" t="s">
        <v>296</v>
      </c>
    </row>
    <row r="1599" spans="1:6" x14ac:dyDescent="0.3">
      <c r="A1599" s="7" t="s">
        <v>4772</v>
      </c>
      <c r="B1599" s="7" t="s">
        <v>2383</v>
      </c>
      <c r="C1599" s="7" t="s">
        <v>57</v>
      </c>
      <c r="D1599" s="9">
        <v>45843</v>
      </c>
      <c r="E1599" s="3">
        <v>3067.74</v>
      </c>
      <c r="F1599" s="7" t="s">
        <v>3174</v>
      </c>
    </row>
    <row r="1600" spans="1:6" x14ac:dyDescent="0.3">
      <c r="A1600" s="7" t="s">
        <v>4773</v>
      </c>
      <c r="B1600" s="7" t="s">
        <v>2385</v>
      </c>
      <c r="C1600" s="7" t="s">
        <v>13</v>
      </c>
      <c r="D1600" s="9">
        <v>45988</v>
      </c>
      <c r="E1600" s="3">
        <v>3411.69</v>
      </c>
      <c r="F1600" s="7" t="s">
        <v>296</v>
      </c>
    </row>
    <row r="1601" spans="1:6" x14ac:dyDescent="0.3">
      <c r="A1601" s="7" t="s">
        <v>4774</v>
      </c>
      <c r="B1601" s="7" t="s">
        <v>2386</v>
      </c>
      <c r="C1601" s="7" t="s">
        <v>35</v>
      </c>
      <c r="D1601" s="9">
        <v>45826</v>
      </c>
      <c r="E1601" s="3">
        <v>2566.48</v>
      </c>
      <c r="F1601" s="7" t="s">
        <v>3174</v>
      </c>
    </row>
    <row r="1602" spans="1:6" x14ac:dyDescent="0.3">
      <c r="A1602" s="7" t="s">
        <v>4775</v>
      </c>
      <c r="B1602" s="7" t="s">
        <v>2388</v>
      </c>
      <c r="C1602" s="7" t="s">
        <v>107</v>
      </c>
      <c r="D1602" s="9">
        <v>46120</v>
      </c>
      <c r="E1602" s="3">
        <v>3520.93</v>
      </c>
      <c r="F1602" s="7" t="s">
        <v>3174</v>
      </c>
    </row>
    <row r="1603" spans="1:6" x14ac:dyDescent="0.3">
      <c r="A1603" s="7" t="s">
        <v>4776</v>
      </c>
      <c r="B1603" s="7" t="s">
        <v>2389</v>
      </c>
      <c r="C1603" s="7" t="s">
        <v>95</v>
      </c>
      <c r="D1603" s="9">
        <v>45820</v>
      </c>
      <c r="E1603" s="3">
        <v>2532.96</v>
      </c>
      <c r="F1603" s="7" t="s">
        <v>296</v>
      </c>
    </row>
    <row r="1604" spans="1:6" x14ac:dyDescent="0.3">
      <c r="A1604" s="7" t="s">
        <v>4777</v>
      </c>
      <c r="B1604" s="7" t="s">
        <v>2390</v>
      </c>
      <c r="C1604" s="7" t="s">
        <v>24</v>
      </c>
      <c r="D1604" s="9">
        <v>45858</v>
      </c>
      <c r="E1604" s="3">
        <v>3908.28</v>
      </c>
      <c r="F1604" s="7" t="s">
        <v>3184</v>
      </c>
    </row>
    <row r="1605" spans="1:6" x14ac:dyDescent="0.3">
      <c r="A1605" s="7" t="s">
        <v>4778</v>
      </c>
      <c r="B1605" s="7" t="s">
        <v>2392</v>
      </c>
      <c r="C1605" s="7" t="s">
        <v>22</v>
      </c>
      <c r="D1605" s="9">
        <v>45905</v>
      </c>
      <c r="E1605" s="3">
        <v>2572.25</v>
      </c>
      <c r="F1605" s="7" t="s">
        <v>3184</v>
      </c>
    </row>
    <row r="1606" spans="1:6" x14ac:dyDescent="0.3">
      <c r="A1606" s="7" t="s">
        <v>4779</v>
      </c>
      <c r="B1606" s="7" t="s">
        <v>2392</v>
      </c>
      <c r="C1606" s="7" t="s">
        <v>22</v>
      </c>
      <c r="D1606" s="9">
        <v>45916</v>
      </c>
      <c r="E1606" s="3">
        <v>1470.67</v>
      </c>
      <c r="F1606" s="7" t="s">
        <v>298</v>
      </c>
    </row>
    <row r="1607" spans="1:6" x14ac:dyDescent="0.3">
      <c r="A1607" s="7" t="s">
        <v>4780</v>
      </c>
      <c r="B1607" s="7" t="s">
        <v>2393</v>
      </c>
      <c r="C1607" s="7" t="s">
        <v>42</v>
      </c>
      <c r="D1607" s="9">
        <v>45955</v>
      </c>
      <c r="E1607" s="3">
        <v>3538.62</v>
      </c>
      <c r="F1607" s="7" t="s">
        <v>296</v>
      </c>
    </row>
    <row r="1608" spans="1:6" x14ac:dyDescent="0.3">
      <c r="A1608" s="7" t="s">
        <v>4781</v>
      </c>
      <c r="B1608" s="7" t="s">
        <v>2394</v>
      </c>
      <c r="C1608" s="7" t="s">
        <v>105</v>
      </c>
      <c r="D1608" s="9">
        <v>45925</v>
      </c>
      <c r="E1608" s="3">
        <v>2772.64</v>
      </c>
      <c r="F1608" s="7" t="s">
        <v>298</v>
      </c>
    </row>
    <row r="1609" spans="1:6" x14ac:dyDescent="0.3">
      <c r="A1609" s="7" t="s">
        <v>4782</v>
      </c>
      <c r="B1609" s="7" t="s">
        <v>2396</v>
      </c>
      <c r="C1609" s="7" t="s">
        <v>16</v>
      </c>
      <c r="D1609" s="9">
        <v>46103</v>
      </c>
      <c r="E1609" s="3">
        <v>1905.94</v>
      </c>
      <c r="F1609" s="7" t="s">
        <v>3184</v>
      </c>
    </row>
    <row r="1610" spans="1:6" x14ac:dyDescent="0.3">
      <c r="A1610" s="7" t="s">
        <v>4783</v>
      </c>
      <c r="B1610" s="7" t="s">
        <v>2397</v>
      </c>
      <c r="C1610" s="7" t="s">
        <v>111</v>
      </c>
      <c r="D1610" s="9">
        <v>45721</v>
      </c>
      <c r="E1610" s="3">
        <v>9889.2800000000007</v>
      </c>
      <c r="F1610" s="7" t="s">
        <v>3184</v>
      </c>
    </row>
    <row r="1611" spans="1:6" x14ac:dyDescent="0.3">
      <c r="A1611" s="7" t="s">
        <v>4784</v>
      </c>
      <c r="B1611" s="7" t="s">
        <v>2398</v>
      </c>
      <c r="C1611" s="7" t="s">
        <v>82</v>
      </c>
      <c r="D1611" s="9">
        <v>45736</v>
      </c>
      <c r="E1611" s="3">
        <v>10502</v>
      </c>
      <c r="F1611" s="7" t="s">
        <v>298</v>
      </c>
    </row>
    <row r="1612" spans="1:6" x14ac:dyDescent="0.3">
      <c r="A1612" s="7" t="s">
        <v>4785</v>
      </c>
      <c r="B1612" s="7" t="s">
        <v>2399</v>
      </c>
      <c r="C1612" s="7" t="s">
        <v>90</v>
      </c>
      <c r="D1612" s="9">
        <v>45826</v>
      </c>
      <c r="E1612" s="3">
        <v>3519.5</v>
      </c>
      <c r="F1612" s="7" t="s">
        <v>3184</v>
      </c>
    </row>
    <row r="1613" spans="1:6" x14ac:dyDescent="0.3">
      <c r="A1613" s="7" t="s">
        <v>4786</v>
      </c>
      <c r="B1613" s="7" t="s">
        <v>2400</v>
      </c>
      <c r="C1613" s="7" t="s">
        <v>53</v>
      </c>
      <c r="D1613" s="9">
        <v>45733</v>
      </c>
      <c r="E1613" s="3">
        <v>5695.61</v>
      </c>
      <c r="F1613" s="7" t="s">
        <v>296</v>
      </c>
    </row>
    <row r="1614" spans="1:6" x14ac:dyDescent="0.3">
      <c r="A1614" s="7" t="s">
        <v>4787</v>
      </c>
      <c r="B1614" s="7" t="s">
        <v>2401</v>
      </c>
      <c r="C1614" s="7" t="s">
        <v>106</v>
      </c>
      <c r="D1614" s="9">
        <v>46161</v>
      </c>
      <c r="E1614" s="3">
        <v>14280.31</v>
      </c>
      <c r="F1614" s="7" t="s">
        <v>298</v>
      </c>
    </row>
    <row r="1615" spans="1:6" x14ac:dyDescent="0.3">
      <c r="A1615" s="7" t="s">
        <v>4788</v>
      </c>
      <c r="B1615" s="7" t="s">
        <v>2402</v>
      </c>
      <c r="C1615" s="7" t="s">
        <v>46</v>
      </c>
      <c r="D1615" s="9">
        <v>45836</v>
      </c>
      <c r="E1615" s="3">
        <v>10502.18</v>
      </c>
      <c r="F1615" s="7" t="s">
        <v>298</v>
      </c>
    </row>
    <row r="1616" spans="1:6" x14ac:dyDescent="0.3">
      <c r="A1616" s="7" t="s">
        <v>4789</v>
      </c>
      <c r="B1616" s="7" t="s">
        <v>2404</v>
      </c>
      <c r="C1616" s="7" t="s">
        <v>67</v>
      </c>
      <c r="D1616" s="9">
        <v>45911</v>
      </c>
      <c r="E1616" s="3">
        <v>2688.67</v>
      </c>
      <c r="F1616" s="7" t="s">
        <v>3174</v>
      </c>
    </row>
    <row r="1617" spans="1:6" x14ac:dyDescent="0.3">
      <c r="A1617" s="7" t="s">
        <v>4790</v>
      </c>
      <c r="B1617" s="7" t="s">
        <v>2405</v>
      </c>
      <c r="C1617" s="7" t="s">
        <v>77</v>
      </c>
      <c r="D1617" s="9">
        <v>45875</v>
      </c>
      <c r="E1617" s="3">
        <v>1822.24</v>
      </c>
      <c r="F1617" s="7" t="s">
        <v>298</v>
      </c>
    </row>
    <row r="1618" spans="1:6" x14ac:dyDescent="0.3">
      <c r="A1618" s="7" t="s">
        <v>4791</v>
      </c>
      <c r="B1618" s="7" t="s">
        <v>2406</v>
      </c>
      <c r="C1618" s="7" t="s">
        <v>62</v>
      </c>
      <c r="D1618" s="9">
        <v>45778</v>
      </c>
      <c r="E1618" s="3">
        <v>2825.31</v>
      </c>
      <c r="F1618" s="7" t="s">
        <v>3184</v>
      </c>
    </row>
    <row r="1619" spans="1:6" x14ac:dyDescent="0.3">
      <c r="A1619" s="7" t="s">
        <v>4792</v>
      </c>
      <c r="B1619" s="7" t="s">
        <v>2407</v>
      </c>
      <c r="C1619" s="7" t="s">
        <v>13</v>
      </c>
      <c r="D1619" s="9">
        <v>45898</v>
      </c>
      <c r="E1619" s="3">
        <v>3267.24</v>
      </c>
      <c r="F1619" s="7" t="s">
        <v>298</v>
      </c>
    </row>
    <row r="1620" spans="1:6" x14ac:dyDescent="0.3">
      <c r="A1620" s="7" t="s">
        <v>4793</v>
      </c>
      <c r="B1620" s="7" t="s">
        <v>2408</v>
      </c>
      <c r="C1620" s="7" t="s">
        <v>58</v>
      </c>
      <c r="D1620" s="9">
        <v>45902</v>
      </c>
      <c r="E1620" s="3">
        <v>1715.42</v>
      </c>
      <c r="F1620" s="7" t="s">
        <v>3174</v>
      </c>
    </row>
    <row r="1621" spans="1:6" x14ac:dyDescent="0.3">
      <c r="A1621" s="7" t="s">
        <v>4794</v>
      </c>
      <c r="B1621" s="7" t="s">
        <v>2409</v>
      </c>
      <c r="C1621" s="7" t="s">
        <v>62</v>
      </c>
      <c r="D1621" s="9">
        <v>45985</v>
      </c>
      <c r="E1621" s="3">
        <v>5188.1000000000004</v>
      </c>
      <c r="F1621" s="7" t="s">
        <v>3174</v>
      </c>
    </row>
    <row r="1622" spans="1:6" x14ac:dyDescent="0.3">
      <c r="A1622" s="7" t="s">
        <v>4795</v>
      </c>
      <c r="B1622" s="7" t="s">
        <v>2411</v>
      </c>
      <c r="C1622" s="7" t="s">
        <v>15</v>
      </c>
      <c r="D1622" s="9">
        <v>45698</v>
      </c>
      <c r="E1622" s="3">
        <v>2463.77</v>
      </c>
      <c r="F1622" s="7" t="s">
        <v>3174</v>
      </c>
    </row>
    <row r="1623" spans="1:6" x14ac:dyDescent="0.3">
      <c r="A1623" s="7" t="s">
        <v>4796</v>
      </c>
      <c r="B1623" s="7" t="s">
        <v>2412</v>
      </c>
      <c r="C1623" s="7" t="s">
        <v>58</v>
      </c>
      <c r="D1623" s="9">
        <v>45802</v>
      </c>
      <c r="E1623" s="3">
        <v>2941.44</v>
      </c>
      <c r="F1623" s="7" t="s">
        <v>298</v>
      </c>
    </row>
    <row r="1624" spans="1:6" x14ac:dyDescent="0.3">
      <c r="A1624" s="7" t="s">
        <v>4797</v>
      </c>
      <c r="B1624" s="7" t="s">
        <v>2414</v>
      </c>
      <c r="C1624" s="7" t="s">
        <v>43</v>
      </c>
      <c r="D1624" s="9">
        <v>45767</v>
      </c>
      <c r="E1624" s="3">
        <v>2495.17</v>
      </c>
      <c r="F1624" s="7" t="s">
        <v>3174</v>
      </c>
    </row>
    <row r="1625" spans="1:6" x14ac:dyDescent="0.3">
      <c r="A1625" s="7" t="s">
        <v>4798</v>
      </c>
      <c r="B1625" s="7" t="s">
        <v>2415</v>
      </c>
      <c r="C1625" s="7" t="s">
        <v>71</v>
      </c>
      <c r="D1625" s="9">
        <v>46035</v>
      </c>
      <c r="E1625" s="3">
        <v>997.25</v>
      </c>
      <c r="F1625" s="7" t="s">
        <v>296</v>
      </c>
    </row>
    <row r="1626" spans="1:6" x14ac:dyDescent="0.3">
      <c r="A1626" s="7" t="s">
        <v>4799</v>
      </c>
      <c r="B1626" s="7" t="s">
        <v>2415</v>
      </c>
      <c r="C1626" s="7" t="s">
        <v>71</v>
      </c>
      <c r="D1626" s="9">
        <v>46049</v>
      </c>
      <c r="E1626" s="3">
        <v>872.1</v>
      </c>
      <c r="F1626" s="7" t="s">
        <v>3174</v>
      </c>
    </row>
    <row r="1627" spans="1:6" x14ac:dyDescent="0.3">
      <c r="A1627" s="7" t="s">
        <v>4800</v>
      </c>
      <c r="B1627" s="7" t="s">
        <v>2417</v>
      </c>
      <c r="C1627" s="7" t="s">
        <v>49</v>
      </c>
      <c r="D1627" s="9">
        <v>46030</v>
      </c>
      <c r="E1627" s="3">
        <v>4340.47</v>
      </c>
      <c r="F1627" s="7" t="s">
        <v>3184</v>
      </c>
    </row>
    <row r="1628" spans="1:6" x14ac:dyDescent="0.3">
      <c r="A1628" s="7" t="s">
        <v>4801</v>
      </c>
      <c r="B1628" s="7" t="s">
        <v>2418</v>
      </c>
      <c r="C1628" s="7" t="s">
        <v>49</v>
      </c>
      <c r="D1628" s="9">
        <v>45691</v>
      </c>
      <c r="E1628" s="3">
        <v>10280.799999999999</v>
      </c>
      <c r="F1628" s="7" t="s">
        <v>3174</v>
      </c>
    </row>
    <row r="1629" spans="1:6" x14ac:dyDescent="0.3">
      <c r="A1629" s="7" t="s">
        <v>4802</v>
      </c>
      <c r="B1629" s="7" t="s">
        <v>2419</v>
      </c>
      <c r="C1629" s="7" t="s">
        <v>104</v>
      </c>
      <c r="D1629" s="9">
        <v>45818</v>
      </c>
      <c r="E1629" s="3">
        <v>2613.02</v>
      </c>
      <c r="F1629" s="7" t="s">
        <v>3174</v>
      </c>
    </row>
    <row r="1630" spans="1:6" x14ac:dyDescent="0.3">
      <c r="A1630" s="7" t="s">
        <v>4803</v>
      </c>
      <c r="B1630" s="7" t="s">
        <v>2420</v>
      </c>
      <c r="C1630" s="7" t="s">
        <v>118</v>
      </c>
      <c r="D1630" s="9">
        <v>45933</v>
      </c>
      <c r="E1630" s="3">
        <v>2092.0300000000002</v>
      </c>
      <c r="F1630" s="7" t="s">
        <v>3184</v>
      </c>
    </row>
    <row r="1631" spans="1:6" x14ac:dyDescent="0.3">
      <c r="A1631" s="7" t="s">
        <v>4804</v>
      </c>
      <c r="B1631" s="7" t="s">
        <v>2420</v>
      </c>
      <c r="C1631" s="7" t="s">
        <v>118</v>
      </c>
      <c r="D1631" s="9">
        <v>45942</v>
      </c>
      <c r="E1631" s="3">
        <v>1020.78</v>
      </c>
      <c r="F1631" s="7" t="s">
        <v>298</v>
      </c>
    </row>
    <row r="1632" spans="1:6" x14ac:dyDescent="0.3">
      <c r="A1632" s="7" t="s">
        <v>4805</v>
      </c>
      <c r="B1632" s="7" t="s">
        <v>2421</v>
      </c>
      <c r="C1632" s="7" t="s">
        <v>44</v>
      </c>
      <c r="D1632" s="9">
        <v>45702</v>
      </c>
      <c r="E1632" s="3">
        <v>4945.1400000000003</v>
      </c>
      <c r="F1632" s="7" t="s">
        <v>296</v>
      </c>
    </row>
    <row r="1633" spans="1:6" x14ac:dyDescent="0.3">
      <c r="A1633" s="7" t="s">
        <v>4806</v>
      </c>
      <c r="B1633" s="7" t="s">
        <v>2423</v>
      </c>
      <c r="C1633" s="7" t="s">
        <v>51</v>
      </c>
      <c r="D1633" s="9">
        <v>45856</v>
      </c>
      <c r="E1633" s="3">
        <v>2803.89</v>
      </c>
      <c r="F1633" s="7" t="s">
        <v>3184</v>
      </c>
    </row>
    <row r="1634" spans="1:6" x14ac:dyDescent="0.3">
      <c r="A1634" s="7" t="s">
        <v>4807</v>
      </c>
      <c r="B1634" s="7" t="s">
        <v>2424</v>
      </c>
      <c r="C1634" s="7" t="s">
        <v>8</v>
      </c>
      <c r="D1634" s="9">
        <v>45939</v>
      </c>
      <c r="E1634" s="3">
        <v>3160.28</v>
      </c>
      <c r="F1634" s="7" t="s">
        <v>298</v>
      </c>
    </row>
    <row r="1635" spans="1:6" x14ac:dyDescent="0.3">
      <c r="A1635" s="7" t="s">
        <v>4808</v>
      </c>
      <c r="B1635" s="7" t="s">
        <v>2426</v>
      </c>
      <c r="C1635" s="7" t="s">
        <v>88</v>
      </c>
      <c r="D1635" s="9">
        <v>45819</v>
      </c>
      <c r="E1635" s="3">
        <v>3478.1</v>
      </c>
      <c r="F1635" s="7" t="s">
        <v>296</v>
      </c>
    </row>
    <row r="1636" spans="1:6" x14ac:dyDescent="0.3">
      <c r="A1636" s="7" t="s">
        <v>4809</v>
      </c>
      <c r="B1636" s="7" t="s">
        <v>2427</v>
      </c>
      <c r="C1636" s="7" t="s">
        <v>25</v>
      </c>
      <c r="D1636" s="9">
        <v>45870</v>
      </c>
      <c r="E1636" s="3">
        <v>2577.48</v>
      </c>
      <c r="F1636" s="7" t="s">
        <v>296</v>
      </c>
    </row>
    <row r="1637" spans="1:6" x14ac:dyDescent="0.3">
      <c r="A1637" s="7" t="s">
        <v>4810</v>
      </c>
      <c r="B1637" s="7" t="s">
        <v>2428</v>
      </c>
      <c r="C1637" s="7" t="s">
        <v>62</v>
      </c>
      <c r="D1637" s="9">
        <v>45812</v>
      </c>
      <c r="E1637" s="3">
        <v>2497.83</v>
      </c>
      <c r="F1637" s="7" t="s">
        <v>298</v>
      </c>
    </row>
    <row r="1638" spans="1:6" x14ac:dyDescent="0.3">
      <c r="A1638" s="7" t="s">
        <v>4811</v>
      </c>
      <c r="B1638" s="7" t="s">
        <v>2430</v>
      </c>
      <c r="C1638" s="7" t="s">
        <v>122</v>
      </c>
      <c r="D1638" s="9">
        <v>45842</v>
      </c>
      <c r="E1638" s="3">
        <v>1517.71</v>
      </c>
      <c r="F1638" s="7" t="s">
        <v>3184</v>
      </c>
    </row>
    <row r="1639" spans="1:6" x14ac:dyDescent="0.3">
      <c r="A1639" s="7" t="s">
        <v>4812</v>
      </c>
      <c r="B1639" s="7" t="s">
        <v>2431</v>
      </c>
      <c r="C1639" s="7" t="s">
        <v>123</v>
      </c>
      <c r="D1639" s="9">
        <v>46139</v>
      </c>
      <c r="E1639" s="3">
        <v>14339.19</v>
      </c>
      <c r="F1639" s="7" t="s">
        <v>3184</v>
      </c>
    </row>
    <row r="1640" spans="1:6" x14ac:dyDescent="0.3">
      <c r="A1640" s="7" t="s">
        <v>4813</v>
      </c>
      <c r="B1640" s="7" t="s">
        <v>2432</v>
      </c>
      <c r="C1640" s="7" t="s">
        <v>42</v>
      </c>
      <c r="D1640" s="9">
        <v>45848</v>
      </c>
      <c r="E1640" s="3">
        <v>1691.17</v>
      </c>
      <c r="F1640" s="7" t="s">
        <v>3174</v>
      </c>
    </row>
    <row r="1641" spans="1:6" x14ac:dyDescent="0.3">
      <c r="A1641" s="7" t="s">
        <v>4814</v>
      </c>
      <c r="B1641" s="7" t="s">
        <v>2433</v>
      </c>
      <c r="C1641" s="7" t="s">
        <v>113</v>
      </c>
      <c r="D1641" s="9">
        <v>46002</v>
      </c>
      <c r="E1641" s="3">
        <v>2190.5700000000002</v>
      </c>
      <c r="F1641" s="7" t="s">
        <v>3174</v>
      </c>
    </row>
    <row r="1642" spans="1:6" x14ac:dyDescent="0.3">
      <c r="A1642" s="7" t="s">
        <v>4815</v>
      </c>
      <c r="B1642" s="7" t="s">
        <v>2434</v>
      </c>
      <c r="C1642" s="7" t="s">
        <v>108</v>
      </c>
      <c r="D1642" s="9">
        <v>46103</v>
      </c>
      <c r="E1642" s="3">
        <v>2061.86</v>
      </c>
      <c r="F1642" s="7" t="s">
        <v>3174</v>
      </c>
    </row>
    <row r="1643" spans="1:6" x14ac:dyDescent="0.3">
      <c r="A1643" s="7" t="s">
        <v>4816</v>
      </c>
      <c r="B1643" s="7" t="s">
        <v>2434</v>
      </c>
      <c r="C1643" s="7" t="s">
        <v>108</v>
      </c>
      <c r="D1643" s="9">
        <v>46112</v>
      </c>
      <c r="E1643" s="3">
        <v>910.29</v>
      </c>
      <c r="F1643" s="7" t="s">
        <v>298</v>
      </c>
    </row>
    <row r="1644" spans="1:6" x14ac:dyDescent="0.3">
      <c r="A1644" s="7" t="s">
        <v>4817</v>
      </c>
      <c r="B1644" s="7" t="s">
        <v>2436</v>
      </c>
      <c r="C1644" s="7" t="s">
        <v>92</v>
      </c>
      <c r="D1644" s="9">
        <v>45957</v>
      </c>
      <c r="E1644" s="3">
        <v>12868.43</v>
      </c>
      <c r="F1644" s="7" t="s">
        <v>296</v>
      </c>
    </row>
    <row r="1645" spans="1:6" x14ac:dyDescent="0.3">
      <c r="A1645" s="7" t="s">
        <v>4818</v>
      </c>
      <c r="B1645" s="7" t="s">
        <v>2438</v>
      </c>
      <c r="C1645" s="7" t="s">
        <v>69</v>
      </c>
      <c r="D1645" s="9">
        <v>45858</v>
      </c>
      <c r="E1645" s="3">
        <v>9796.57</v>
      </c>
      <c r="F1645" s="7" t="s">
        <v>296</v>
      </c>
    </row>
    <row r="1646" spans="1:6" x14ac:dyDescent="0.3">
      <c r="A1646" s="7" t="s">
        <v>4819</v>
      </c>
      <c r="B1646" s="7" t="s">
        <v>2442</v>
      </c>
      <c r="C1646" s="7" t="s">
        <v>124</v>
      </c>
      <c r="D1646" s="9">
        <v>46054</v>
      </c>
      <c r="E1646" s="3">
        <v>2142.64</v>
      </c>
      <c r="F1646" s="7" t="s">
        <v>3184</v>
      </c>
    </row>
    <row r="1647" spans="1:6" x14ac:dyDescent="0.3">
      <c r="A1647" s="7" t="s">
        <v>4820</v>
      </c>
      <c r="B1647" s="7" t="s">
        <v>2445</v>
      </c>
      <c r="C1647" s="7" t="s">
        <v>62</v>
      </c>
      <c r="D1647" s="9">
        <v>45971</v>
      </c>
      <c r="E1647" s="3">
        <v>2920.19</v>
      </c>
      <c r="F1647" s="7" t="s">
        <v>3174</v>
      </c>
    </row>
    <row r="1648" spans="1:6" x14ac:dyDescent="0.3">
      <c r="A1648" s="7" t="s">
        <v>4821</v>
      </c>
      <c r="B1648" s="7" t="s">
        <v>2446</v>
      </c>
      <c r="C1648" s="7" t="s">
        <v>105</v>
      </c>
      <c r="D1648" s="9">
        <v>46099</v>
      </c>
      <c r="E1648" s="3">
        <v>2070.67</v>
      </c>
      <c r="F1648" s="7" t="s">
        <v>3174</v>
      </c>
    </row>
    <row r="1649" spans="1:6" x14ac:dyDescent="0.3">
      <c r="A1649" s="7" t="s">
        <v>4822</v>
      </c>
      <c r="B1649" s="7" t="s">
        <v>2447</v>
      </c>
      <c r="C1649" s="7" t="s">
        <v>46</v>
      </c>
      <c r="D1649" s="9">
        <v>45884</v>
      </c>
      <c r="E1649" s="3">
        <v>2039.82</v>
      </c>
      <c r="F1649" s="7" t="s">
        <v>296</v>
      </c>
    </row>
    <row r="1650" spans="1:6" x14ac:dyDescent="0.3">
      <c r="A1650" s="7" t="s">
        <v>4823</v>
      </c>
      <c r="B1650" s="7" t="s">
        <v>2447</v>
      </c>
      <c r="C1650" s="7" t="s">
        <v>46</v>
      </c>
      <c r="D1650" s="9">
        <v>45893</v>
      </c>
      <c r="E1650" s="3">
        <v>2460.2199999999998</v>
      </c>
      <c r="F1650" s="7" t="s">
        <v>3174</v>
      </c>
    </row>
    <row r="1651" spans="1:6" x14ac:dyDescent="0.3">
      <c r="A1651" s="7" t="s">
        <v>4824</v>
      </c>
      <c r="B1651" s="7" t="s">
        <v>2448</v>
      </c>
      <c r="C1651" s="7" t="s">
        <v>55</v>
      </c>
      <c r="D1651" s="9">
        <v>45993</v>
      </c>
      <c r="E1651" s="3">
        <v>2756.8</v>
      </c>
      <c r="F1651" s="7" t="s">
        <v>3174</v>
      </c>
    </row>
    <row r="1652" spans="1:6" x14ac:dyDescent="0.3">
      <c r="A1652" s="7" t="s">
        <v>4825</v>
      </c>
      <c r="B1652" s="7" t="s">
        <v>2449</v>
      </c>
      <c r="C1652" s="7" t="s">
        <v>71</v>
      </c>
      <c r="D1652" s="9">
        <v>45936</v>
      </c>
      <c r="E1652" s="3">
        <v>10061</v>
      </c>
      <c r="F1652" s="7" t="s">
        <v>3184</v>
      </c>
    </row>
    <row r="1653" spans="1:6" x14ac:dyDescent="0.3">
      <c r="A1653" s="7" t="s">
        <v>4826</v>
      </c>
      <c r="B1653" s="7" t="s">
        <v>2450</v>
      </c>
      <c r="C1653" s="7" t="s">
        <v>60</v>
      </c>
      <c r="D1653" s="9">
        <v>45914</v>
      </c>
      <c r="E1653" s="3">
        <v>1953.07</v>
      </c>
      <c r="F1653" s="7" t="s">
        <v>296</v>
      </c>
    </row>
    <row r="1654" spans="1:6" x14ac:dyDescent="0.3">
      <c r="A1654" s="7" t="s">
        <v>4827</v>
      </c>
      <c r="B1654" s="7" t="s">
        <v>2454</v>
      </c>
      <c r="C1654" s="7" t="s">
        <v>92</v>
      </c>
      <c r="D1654" s="9">
        <v>46107</v>
      </c>
      <c r="E1654" s="3">
        <v>2053.54</v>
      </c>
      <c r="F1654" s="7" t="s">
        <v>3174</v>
      </c>
    </row>
    <row r="1655" spans="1:6" x14ac:dyDescent="0.3">
      <c r="A1655" s="7" t="s">
        <v>4828</v>
      </c>
      <c r="B1655" s="7" t="s">
        <v>2455</v>
      </c>
      <c r="C1655" s="7" t="s">
        <v>13</v>
      </c>
      <c r="D1655" s="9">
        <v>46107</v>
      </c>
      <c r="E1655" s="3">
        <v>2955.37</v>
      </c>
      <c r="F1655" s="7" t="s">
        <v>3184</v>
      </c>
    </row>
    <row r="1656" spans="1:6" x14ac:dyDescent="0.3">
      <c r="A1656" s="7" t="s">
        <v>4829</v>
      </c>
      <c r="B1656" s="7" t="s">
        <v>2456</v>
      </c>
      <c r="C1656" s="7" t="s">
        <v>83</v>
      </c>
      <c r="D1656" s="9">
        <v>46105</v>
      </c>
      <c r="E1656" s="3">
        <v>1706.66</v>
      </c>
      <c r="F1656" s="7" t="s">
        <v>3174</v>
      </c>
    </row>
    <row r="1657" spans="1:6" x14ac:dyDescent="0.3">
      <c r="A1657" s="7" t="s">
        <v>4830</v>
      </c>
      <c r="B1657" s="7" t="s">
        <v>2456</v>
      </c>
      <c r="C1657" s="7" t="s">
        <v>83</v>
      </c>
      <c r="D1657" s="9">
        <v>46117</v>
      </c>
      <c r="E1657" s="3">
        <v>758.97</v>
      </c>
      <c r="F1657" s="7" t="s">
        <v>3184</v>
      </c>
    </row>
    <row r="1658" spans="1:6" x14ac:dyDescent="0.3">
      <c r="A1658" s="7" t="s">
        <v>4831</v>
      </c>
      <c r="B1658" s="7" t="s">
        <v>2457</v>
      </c>
      <c r="C1658" s="7" t="s">
        <v>117</v>
      </c>
      <c r="D1658" s="9">
        <v>45987</v>
      </c>
      <c r="E1658" s="3">
        <v>3386.33</v>
      </c>
      <c r="F1658" s="7" t="s">
        <v>3184</v>
      </c>
    </row>
    <row r="1659" spans="1:6" x14ac:dyDescent="0.3">
      <c r="A1659" s="7" t="s">
        <v>4832</v>
      </c>
      <c r="B1659" s="7" t="s">
        <v>2458</v>
      </c>
      <c r="C1659" s="7" t="s">
        <v>98</v>
      </c>
      <c r="D1659" s="9">
        <v>45997</v>
      </c>
      <c r="E1659" s="3">
        <v>2545.73</v>
      </c>
      <c r="F1659" s="7" t="s">
        <v>3174</v>
      </c>
    </row>
    <row r="1660" spans="1:6" x14ac:dyDescent="0.3">
      <c r="A1660" s="7" t="s">
        <v>4833</v>
      </c>
      <c r="B1660" s="7" t="s">
        <v>2459</v>
      </c>
      <c r="C1660" s="7" t="s">
        <v>70</v>
      </c>
      <c r="D1660" s="9">
        <v>45930</v>
      </c>
      <c r="E1660" s="3">
        <v>3241.89</v>
      </c>
      <c r="F1660" s="7" t="s">
        <v>3174</v>
      </c>
    </row>
    <row r="1661" spans="1:6" x14ac:dyDescent="0.3">
      <c r="A1661" s="7" t="s">
        <v>4834</v>
      </c>
      <c r="B1661" s="7" t="s">
        <v>2461</v>
      </c>
      <c r="C1661" s="7" t="s">
        <v>32</v>
      </c>
      <c r="D1661" s="9">
        <v>45669</v>
      </c>
      <c r="E1661" s="3">
        <v>1663.84</v>
      </c>
      <c r="F1661" s="7" t="s">
        <v>3174</v>
      </c>
    </row>
    <row r="1662" spans="1:6" x14ac:dyDescent="0.3">
      <c r="A1662" s="7" t="s">
        <v>4835</v>
      </c>
      <c r="B1662" s="7" t="s">
        <v>2463</v>
      </c>
      <c r="C1662" s="7" t="s">
        <v>71</v>
      </c>
      <c r="D1662" s="9">
        <v>45742</v>
      </c>
      <c r="E1662" s="3">
        <v>2696.65</v>
      </c>
      <c r="F1662" s="7" t="s">
        <v>296</v>
      </c>
    </row>
    <row r="1663" spans="1:6" x14ac:dyDescent="0.3">
      <c r="A1663" s="7" t="s">
        <v>4836</v>
      </c>
      <c r="B1663" s="7" t="s">
        <v>2464</v>
      </c>
      <c r="C1663" s="7" t="s">
        <v>30</v>
      </c>
      <c r="D1663" s="9">
        <v>45728</v>
      </c>
      <c r="E1663" s="3">
        <v>11475.43</v>
      </c>
      <c r="F1663" s="7" t="s">
        <v>3184</v>
      </c>
    </row>
    <row r="1664" spans="1:6" x14ac:dyDescent="0.3">
      <c r="A1664" s="7" t="s">
        <v>4837</v>
      </c>
      <c r="B1664" s="7" t="s">
        <v>2466</v>
      </c>
      <c r="C1664" s="7" t="s">
        <v>88</v>
      </c>
      <c r="D1664" s="9">
        <v>45995</v>
      </c>
      <c r="E1664" s="3">
        <v>13724.71</v>
      </c>
      <c r="F1664" s="7" t="s">
        <v>3174</v>
      </c>
    </row>
    <row r="1665" spans="1:6" x14ac:dyDescent="0.3">
      <c r="A1665" s="7" t="s">
        <v>4838</v>
      </c>
      <c r="B1665" s="7" t="s">
        <v>2467</v>
      </c>
      <c r="C1665" s="7" t="s">
        <v>28</v>
      </c>
      <c r="D1665" s="9">
        <v>46085</v>
      </c>
      <c r="E1665" s="3">
        <v>1659.72</v>
      </c>
      <c r="F1665" s="7" t="s">
        <v>3184</v>
      </c>
    </row>
    <row r="1666" spans="1:6" x14ac:dyDescent="0.3">
      <c r="A1666" s="7" t="s">
        <v>4839</v>
      </c>
      <c r="B1666" s="7" t="s">
        <v>2467</v>
      </c>
      <c r="C1666" s="7" t="s">
        <v>28</v>
      </c>
      <c r="D1666" s="9">
        <v>46092</v>
      </c>
      <c r="E1666" s="3">
        <v>962.05</v>
      </c>
      <c r="F1666" s="7" t="s">
        <v>296</v>
      </c>
    </row>
    <row r="1667" spans="1:6" x14ac:dyDescent="0.3">
      <c r="A1667" s="7" t="s">
        <v>4840</v>
      </c>
      <c r="B1667" s="7" t="s">
        <v>2468</v>
      </c>
      <c r="C1667" s="7" t="s">
        <v>44</v>
      </c>
      <c r="D1667" s="9">
        <v>45950</v>
      </c>
      <c r="E1667" s="3">
        <v>3838.33</v>
      </c>
      <c r="F1667" s="7" t="s">
        <v>296</v>
      </c>
    </row>
    <row r="1668" spans="1:6" x14ac:dyDescent="0.3">
      <c r="A1668" s="7" t="s">
        <v>4841</v>
      </c>
      <c r="B1668" s="7" t="s">
        <v>2469</v>
      </c>
      <c r="C1668" s="7" t="s">
        <v>42</v>
      </c>
      <c r="D1668" s="9">
        <v>45959</v>
      </c>
      <c r="E1668" s="3">
        <v>2667.54</v>
      </c>
      <c r="F1668" s="7" t="s">
        <v>3184</v>
      </c>
    </row>
    <row r="1669" spans="1:6" x14ac:dyDescent="0.3">
      <c r="A1669" s="7" t="s">
        <v>4842</v>
      </c>
      <c r="B1669" s="7" t="s">
        <v>2470</v>
      </c>
      <c r="C1669" s="7" t="s">
        <v>111</v>
      </c>
      <c r="D1669" s="9">
        <v>46092</v>
      </c>
      <c r="E1669" s="3">
        <v>11451.94</v>
      </c>
      <c r="F1669" s="7" t="s">
        <v>3174</v>
      </c>
    </row>
    <row r="1670" spans="1:6" x14ac:dyDescent="0.3">
      <c r="A1670" s="7" t="s">
        <v>4843</v>
      </c>
      <c r="B1670" s="7" t="s">
        <v>2471</v>
      </c>
      <c r="C1670" s="7" t="s">
        <v>56</v>
      </c>
      <c r="D1670" s="9">
        <v>45831</v>
      </c>
      <c r="E1670" s="3">
        <v>10311.200000000001</v>
      </c>
      <c r="F1670" s="7" t="s">
        <v>298</v>
      </c>
    </row>
    <row r="1671" spans="1:6" x14ac:dyDescent="0.3">
      <c r="A1671" s="7" t="s">
        <v>4844</v>
      </c>
      <c r="B1671" s="7" t="s">
        <v>2472</v>
      </c>
      <c r="C1671" s="7" t="s">
        <v>91</v>
      </c>
      <c r="D1671" s="9">
        <v>45700</v>
      </c>
      <c r="E1671" s="3">
        <v>3096.65</v>
      </c>
      <c r="F1671" s="7" t="s">
        <v>3184</v>
      </c>
    </row>
    <row r="1672" spans="1:6" x14ac:dyDescent="0.3">
      <c r="A1672" s="7" t="s">
        <v>4845</v>
      </c>
      <c r="B1672" s="7" t="s">
        <v>2473</v>
      </c>
      <c r="C1672" s="7" t="s">
        <v>99</v>
      </c>
      <c r="D1672" s="9">
        <v>45846</v>
      </c>
      <c r="E1672" s="3">
        <v>3422.27</v>
      </c>
      <c r="F1672" s="7" t="s">
        <v>3174</v>
      </c>
    </row>
    <row r="1673" spans="1:6" x14ac:dyDescent="0.3">
      <c r="A1673" s="7" t="s">
        <v>4846</v>
      </c>
      <c r="B1673" s="7" t="s">
        <v>2474</v>
      </c>
      <c r="C1673" s="7" t="s">
        <v>117</v>
      </c>
      <c r="D1673" s="9">
        <v>45782</v>
      </c>
      <c r="E1673" s="3">
        <v>10929.14</v>
      </c>
      <c r="F1673" s="7" t="s">
        <v>3184</v>
      </c>
    </row>
    <row r="1674" spans="1:6" x14ac:dyDescent="0.3">
      <c r="A1674" s="7" t="s">
        <v>4847</v>
      </c>
      <c r="B1674" s="7" t="s">
        <v>2475</v>
      </c>
      <c r="C1674" s="7" t="s">
        <v>15</v>
      </c>
      <c r="D1674" s="9">
        <v>46057</v>
      </c>
      <c r="E1674" s="3">
        <v>3095.09</v>
      </c>
      <c r="F1674" s="7" t="s">
        <v>3184</v>
      </c>
    </row>
    <row r="1675" spans="1:6" x14ac:dyDescent="0.3">
      <c r="A1675" s="7" t="s">
        <v>4848</v>
      </c>
      <c r="B1675" s="7" t="s">
        <v>2476</v>
      </c>
      <c r="C1675" s="7" t="s">
        <v>50</v>
      </c>
      <c r="D1675" s="9">
        <v>45894</v>
      </c>
      <c r="E1675" s="3">
        <v>5311.84</v>
      </c>
      <c r="F1675" s="7" t="s">
        <v>3184</v>
      </c>
    </row>
    <row r="1676" spans="1:6" x14ac:dyDescent="0.3">
      <c r="A1676" s="7" t="s">
        <v>4849</v>
      </c>
      <c r="B1676" s="7" t="s">
        <v>2477</v>
      </c>
      <c r="C1676" s="7" t="s">
        <v>104</v>
      </c>
      <c r="D1676" s="9">
        <v>46072</v>
      </c>
      <c r="E1676" s="3">
        <v>13032.88</v>
      </c>
      <c r="F1676" s="7" t="s">
        <v>3184</v>
      </c>
    </row>
    <row r="1677" spans="1:6" x14ac:dyDescent="0.3">
      <c r="A1677" s="7" t="s">
        <v>4850</v>
      </c>
      <c r="B1677" s="7" t="s">
        <v>2479</v>
      </c>
      <c r="C1677" s="7" t="s">
        <v>80</v>
      </c>
      <c r="D1677" s="9">
        <v>45909</v>
      </c>
      <c r="E1677" s="3">
        <v>11407.31</v>
      </c>
      <c r="F1677" s="7" t="s">
        <v>3174</v>
      </c>
    </row>
    <row r="1678" spans="1:6" x14ac:dyDescent="0.3">
      <c r="A1678" s="7" t="s">
        <v>4851</v>
      </c>
      <c r="B1678" s="7" t="s">
        <v>2480</v>
      </c>
      <c r="C1678" s="7" t="s">
        <v>23</v>
      </c>
      <c r="D1678" s="9">
        <v>46105</v>
      </c>
      <c r="E1678" s="3">
        <v>2107.7399999999998</v>
      </c>
      <c r="F1678" s="7" t="s">
        <v>3184</v>
      </c>
    </row>
    <row r="1679" spans="1:6" x14ac:dyDescent="0.3">
      <c r="A1679" s="7" t="s">
        <v>4852</v>
      </c>
      <c r="B1679" s="7" t="s">
        <v>2481</v>
      </c>
      <c r="C1679" s="7" t="s">
        <v>113</v>
      </c>
      <c r="D1679" s="9">
        <v>45989</v>
      </c>
      <c r="E1679" s="3">
        <v>1673.34</v>
      </c>
      <c r="F1679" s="7" t="s">
        <v>296</v>
      </c>
    </row>
    <row r="1680" spans="1:6" x14ac:dyDescent="0.3">
      <c r="A1680" s="7" t="s">
        <v>4853</v>
      </c>
      <c r="B1680" s="7" t="s">
        <v>2482</v>
      </c>
      <c r="C1680" s="7" t="s">
        <v>19</v>
      </c>
      <c r="D1680" s="9">
        <v>45683</v>
      </c>
      <c r="E1680" s="3">
        <v>5122.25</v>
      </c>
      <c r="F1680" s="7" t="s">
        <v>3174</v>
      </c>
    </row>
    <row r="1681" spans="1:6" x14ac:dyDescent="0.3">
      <c r="A1681" s="7" t="s">
        <v>4854</v>
      </c>
      <c r="B1681" s="7" t="s">
        <v>2482</v>
      </c>
      <c r="C1681" s="7" t="s">
        <v>19</v>
      </c>
      <c r="D1681" s="9">
        <v>45693</v>
      </c>
      <c r="E1681" s="3">
        <v>4802.09</v>
      </c>
      <c r="F1681" s="7" t="s">
        <v>3184</v>
      </c>
    </row>
    <row r="1682" spans="1:6" x14ac:dyDescent="0.3">
      <c r="A1682" s="7" t="s">
        <v>4855</v>
      </c>
      <c r="B1682" s="7" t="s">
        <v>2483</v>
      </c>
      <c r="C1682" s="7" t="s">
        <v>36</v>
      </c>
      <c r="D1682" s="9">
        <v>46017</v>
      </c>
      <c r="E1682" s="3">
        <v>1516.48</v>
      </c>
      <c r="F1682" s="7" t="s">
        <v>3184</v>
      </c>
    </row>
    <row r="1683" spans="1:6" x14ac:dyDescent="0.3">
      <c r="A1683" s="7" t="s">
        <v>4856</v>
      </c>
      <c r="B1683" s="7" t="s">
        <v>2484</v>
      </c>
      <c r="C1683" s="7" t="s">
        <v>56</v>
      </c>
      <c r="D1683" s="9">
        <v>45711</v>
      </c>
      <c r="E1683" s="3">
        <v>2012.84</v>
      </c>
      <c r="F1683" s="7" t="s">
        <v>3184</v>
      </c>
    </row>
    <row r="1684" spans="1:6" x14ac:dyDescent="0.3">
      <c r="A1684" s="7" t="s">
        <v>4857</v>
      </c>
      <c r="B1684" s="7" t="s">
        <v>2485</v>
      </c>
      <c r="C1684" s="7" t="s">
        <v>11</v>
      </c>
      <c r="D1684" s="9">
        <v>45724</v>
      </c>
      <c r="E1684" s="3">
        <v>14027.4</v>
      </c>
      <c r="F1684" s="7" t="s">
        <v>296</v>
      </c>
    </row>
    <row r="1685" spans="1:6" x14ac:dyDescent="0.3">
      <c r="A1685" s="7" t="s">
        <v>4858</v>
      </c>
      <c r="B1685" s="7" t="s">
        <v>2486</v>
      </c>
      <c r="C1685" s="7" t="s">
        <v>114</v>
      </c>
      <c r="D1685" s="9">
        <v>46074</v>
      </c>
      <c r="E1685" s="3">
        <v>1492.47</v>
      </c>
      <c r="F1685" s="7" t="s">
        <v>298</v>
      </c>
    </row>
    <row r="1686" spans="1:6" x14ac:dyDescent="0.3">
      <c r="A1686" s="7" t="s">
        <v>4859</v>
      </c>
      <c r="B1686" s="7" t="s">
        <v>2487</v>
      </c>
      <c r="C1686" s="7" t="s">
        <v>55</v>
      </c>
      <c r="D1686" s="9">
        <v>45846</v>
      </c>
      <c r="E1686" s="3">
        <v>3508.26</v>
      </c>
      <c r="F1686" s="7" t="s">
        <v>3184</v>
      </c>
    </row>
    <row r="1687" spans="1:6" x14ac:dyDescent="0.3">
      <c r="A1687" s="7" t="s">
        <v>4860</v>
      </c>
      <c r="B1687" s="7" t="s">
        <v>2488</v>
      </c>
      <c r="C1687" s="7" t="s">
        <v>39</v>
      </c>
      <c r="D1687" s="9">
        <v>45995</v>
      </c>
      <c r="E1687" s="3">
        <v>5977.74</v>
      </c>
      <c r="F1687" s="7" t="s">
        <v>298</v>
      </c>
    </row>
    <row r="1688" spans="1:6" x14ac:dyDescent="0.3">
      <c r="A1688" s="7" t="s">
        <v>4861</v>
      </c>
      <c r="B1688" s="7" t="s">
        <v>2489</v>
      </c>
      <c r="C1688" s="7" t="s">
        <v>27</v>
      </c>
      <c r="D1688" s="9">
        <v>45806</v>
      </c>
      <c r="E1688" s="3">
        <v>11700.07</v>
      </c>
      <c r="F1688" s="7" t="s">
        <v>298</v>
      </c>
    </row>
    <row r="1689" spans="1:6" x14ac:dyDescent="0.3">
      <c r="A1689" s="7" t="s">
        <v>4862</v>
      </c>
      <c r="B1689" s="7" t="s">
        <v>2490</v>
      </c>
      <c r="C1689" s="7" t="s">
        <v>10</v>
      </c>
      <c r="D1689" s="9">
        <v>46073</v>
      </c>
      <c r="E1689" s="3">
        <v>13506.42</v>
      </c>
      <c r="F1689" s="7" t="s">
        <v>296</v>
      </c>
    </row>
    <row r="1690" spans="1:6" x14ac:dyDescent="0.3">
      <c r="A1690" s="7" t="s">
        <v>4863</v>
      </c>
      <c r="B1690" s="7" t="s">
        <v>2491</v>
      </c>
      <c r="C1690" s="7" t="s">
        <v>24</v>
      </c>
      <c r="D1690" s="9">
        <v>45731</v>
      </c>
      <c r="E1690" s="3">
        <v>2131.08</v>
      </c>
      <c r="F1690" s="7" t="s">
        <v>296</v>
      </c>
    </row>
    <row r="1691" spans="1:6" x14ac:dyDescent="0.3">
      <c r="A1691" s="7" t="s">
        <v>4864</v>
      </c>
      <c r="B1691" s="7" t="s">
        <v>2492</v>
      </c>
      <c r="C1691" s="7" t="s">
        <v>16</v>
      </c>
      <c r="D1691" s="9">
        <v>45868</v>
      </c>
      <c r="E1691" s="3">
        <v>2831.47</v>
      </c>
      <c r="F1691" s="7" t="s">
        <v>298</v>
      </c>
    </row>
    <row r="1692" spans="1:6" x14ac:dyDescent="0.3">
      <c r="A1692" s="7" t="s">
        <v>4865</v>
      </c>
      <c r="B1692" s="7" t="s">
        <v>2493</v>
      </c>
      <c r="C1692" s="7" t="s">
        <v>70</v>
      </c>
      <c r="D1692" s="9">
        <v>46056</v>
      </c>
      <c r="E1692" s="3">
        <v>2185.3000000000002</v>
      </c>
      <c r="F1692" s="7" t="s">
        <v>3174</v>
      </c>
    </row>
    <row r="1693" spans="1:6" x14ac:dyDescent="0.3">
      <c r="A1693" s="7" t="s">
        <v>4866</v>
      </c>
      <c r="B1693" s="7" t="s">
        <v>2494</v>
      </c>
      <c r="C1693" s="7" t="s">
        <v>52</v>
      </c>
      <c r="D1693" s="9">
        <v>45988</v>
      </c>
      <c r="E1693" s="3">
        <v>5664.81</v>
      </c>
      <c r="F1693" s="7" t="s">
        <v>3174</v>
      </c>
    </row>
    <row r="1694" spans="1:6" x14ac:dyDescent="0.3">
      <c r="A1694" s="7" t="s">
        <v>4867</v>
      </c>
      <c r="B1694" s="7" t="s">
        <v>2496</v>
      </c>
      <c r="C1694" s="7" t="s">
        <v>23</v>
      </c>
      <c r="D1694" s="9">
        <v>46123</v>
      </c>
      <c r="E1694" s="3">
        <v>12602.26</v>
      </c>
      <c r="F1694" s="7" t="s">
        <v>298</v>
      </c>
    </row>
    <row r="1695" spans="1:6" x14ac:dyDescent="0.3">
      <c r="A1695" s="7" t="s">
        <v>4868</v>
      </c>
      <c r="B1695" s="7" t="s">
        <v>2497</v>
      </c>
      <c r="C1695" s="7" t="s">
        <v>83</v>
      </c>
      <c r="D1695" s="9">
        <v>45737</v>
      </c>
      <c r="E1695" s="3">
        <v>3217.52</v>
      </c>
      <c r="F1695" s="7" t="s">
        <v>298</v>
      </c>
    </row>
    <row r="1696" spans="1:6" x14ac:dyDescent="0.3">
      <c r="A1696" s="7" t="s">
        <v>4869</v>
      </c>
      <c r="B1696" s="7" t="s">
        <v>2501</v>
      </c>
      <c r="C1696" s="7" t="s">
        <v>21</v>
      </c>
      <c r="D1696" s="9">
        <v>45699</v>
      </c>
      <c r="E1696" s="3">
        <v>2399.2199999999998</v>
      </c>
      <c r="F1696" s="7" t="s">
        <v>3174</v>
      </c>
    </row>
    <row r="1697" spans="1:6" x14ac:dyDescent="0.3">
      <c r="A1697" s="7" t="s">
        <v>4870</v>
      </c>
      <c r="B1697" s="7" t="s">
        <v>2502</v>
      </c>
      <c r="C1697" s="7" t="s">
        <v>50</v>
      </c>
      <c r="D1697" s="9">
        <v>45816</v>
      </c>
      <c r="E1697" s="3">
        <v>3459.37</v>
      </c>
      <c r="F1697" s="7" t="s">
        <v>3174</v>
      </c>
    </row>
    <row r="1698" spans="1:6" x14ac:dyDescent="0.3">
      <c r="A1698" s="7" t="s">
        <v>4871</v>
      </c>
      <c r="B1698" s="7" t="s">
        <v>2503</v>
      </c>
      <c r="C1698" s="7" t="s">
        <v>77</v>
      </c>
      <c r="D1698" s="9">
        <v>45855</v>
      </c>
      <c r="E1698" s="3">
        <v>10852.23</v>
      </c>
      <c r="F1698" s="7" t="s">
        <v>3184</v>
      </c>
    </row>
    <row r="1699" spans="1:6" x14ac:dyDescent="0.3">
      <c r="A1699" s="7" t="s">
        <v>4872</v>
      </c>
      <c r="B1699" s="7" t="s">
        <v>2506</v>
      </c>
      <c r="C1699" s="7" t="s">
        <v>85</v>
      </c>
      <c r="D1699" s="9">
        <v>45703</v>
      </c>
      <c r="E1699" s="3">
        <v>2815.01</v>
      </c>
      <c r="F1699" s="7" t="s">
        <v>296</v>
      </c>
    </row>
    <row r="1700" spans="1:6" x14ac:dyDescent="0.3">
      <c r="A1700" s="7" t="s">
        <v>4873</v>
      </c>
      <c r="B1700" s="7" t="s">
        <v>2507</v>
      </c>
      <c r="C1700" s="7" t="s">
        <v>12</v>
      </c>
      <c r="D1700" s="9">
        <v>45916</v>
      </c>
      <c r="E1700" s="3">
        <v>3465.02</v>
      </c>
      <c r="F1700" s="7" t="s">
        <v>3174</v>
      </c>
    </row>
    <row r="1701" spans="1:6" x14ac:dyDescent="0.3">
      <c r="A1701" s="7" t="s">
        <v>4874</v>
      </c>
      <c r="B1701" s="7" t="s">
        <v>2508</v>
      </c>
      <c r="C1701" s="7" t="s">
        <v>62</v>
      </c>
      <c r="D1701" s="9">
        <v>45940</v>
      </c>
      <c r="E1701" s="3">
        <v>2442.7199999999998</v>
      </c>
      <c r="F1701" s="7" t="s">
        <v>296</v>
      </c>
    </row>
    <row r="1702" spans="1:6" x14ac:dyDescent="0.3">
      <c r="A1702" s="7" t="s">
        <v>4875</v>
      </c>
      <c r="B1702" s="7" t="s">
        <v>2509</v>
      </c>
      <c r="C1702" s="7" t="s">
        <v>14</v>
      </c>
      <c r="D1702" s="9">
        <v>46110</v>
      </c>
      <c r="E1702" s="3">
        <v>11056.41</v>
      </c>
      <c r="F1702" s="7" t="s">
        <v>296</v>
      </c>
    </row>
    <row r="1703" spans="1:6" x14ac:dyDescent="0.3">
      <c r="A1703" s="7" t="s">
        <v>4876</v>
      </c>
      <c r="B1703" s="7" t="s">
        <v>2510</v>
      </c>
      <c r="C1703" s="7" t="s">
        <v>117</v>
      </c>
      <c r="D1703" s="9">
        <v>46077</v>
      </c>
      <c r="E1703" s="3">
        <v>3328.34</v>
      </c>
      <c r="F1703" s="7" t="s">
        <v>3184</v>
      </c>
    </row>
    <row r="1704" spans="1:6" x14ac:dyDescent="0.3">
      <c r="A1704" s="7" t="s">
        <v>4877</v>
      </c>
      <c r="B1704" s="7" t="s">
        <v>2511</v>
      </c>
      <c r="C1704" s="7" t="s">
        <v>13</v>
      </c>
      <c r="D1704" s="9">
        <v>46062</v>
      </c>
      <c r="E1704" s="3">
        <v>12873.32</v>
      </c>
      <c r="F1704" s="7" t="s">
        <v>3184</v>
      </c>
    </row>
    <row r="1705" spans="1:6" x14ac:dyDescent="0.3">
      <c r="A1705" s="7" t="s">
        <v>4878</v>
      </c>
      <c r="B1705" s="7" t="s">
        <v>2512</v>
      </c>
      <c r="C1705" s="7" t="s">
        <v>61</v>
      </c>
      <c r="D1705" s="9">
        <v>46029</v>
      </c>
      <c r="E1705" s="3">
        <v>13275.27</v>
      </c>
      <c r="F1705" s="7" t="s">
        <v>3184</v>
      </c>
    </row>
    <row r="1706" spans="1:6" x14ac:dyDescent="0.3">
      <c r="A1706" s="7" t="s">
        <v>4879</v>
      </c>
      <c r="B1706" s="7" t="s">
        <v>2515</v>
      </c>
      <c r="C1706" s="7" t="s">
        <v>103</v>
      </c>
      <c r="D1706" s="9">
        <v>45692</v>
      </c>
      <c r="E1706" s="3">
        <v>4183.9799999999996</v>
      </c>
      <c r="F1706" s="7" t="s">
        <v>298</v>
      </c>
    </row>
    <row r="1707" spans="1:6" x14ac:dyDescent="0.3">
      <c r="A1707" s="7" t="s">
        <v>4880</v>
      </c>
      <c r="B1707" s="7" t="s">
        <v>2517</v>
      </c>
      <c r="C1707" s="7" t="s">
        <v>12</v>
      </c>
      <c r="D1707" s="9">
        <v>45737</v>
      </c>
      <c r="E1707" s="3">
        <v>2491.9299999999998</v>
      </c>
      <c r="F1707" s="7" t="s">
        <v>296</v>
      </c>
    </row>
    <row r="1708" spans="1:6" x14ac:dyDescent="0.3">
      <c r="A1708" s="7" t="s">
        <v>4881</v>
      </c>
      <c r="B1708" s="7" t="s">
        <v>2519</v>
      </c>
      <c r="C1708" s="7" t="s">
        <v>16</v>
      </c>
      <c r="D1708" s="9">
        <v>46016</v>
      </c>
      <c r="E1708" s="3">
        <v>3356.95</v>
      </c>
      <c r="F1708" s="7" t="s">
        <v>3184</v>
      </c>
    </row>
    <row r="1709" spans="1:6" x14ac:dyDescent="0.3">
      <c r="A1709" s="7" t="s">
        <v>4882</v>
      </c>
      <c r="B1709" s="7" t="s">
        <v>2520</v>
      </c>
      <c r="C1709" s="7" t="s">
        <v>111</v>
      </c>
      <c r="D1709" s="9">
        <v>45799</v>
      </c>
      <c r="E1709" s="3">
        <v>2938.37</v>
      </c>
      <c r="F1709" s="7" t="s">
        <v>298</v>
      </c>
    </row>
    <row r="1710" spans="1:6" x14ac:dyDescent="0.3">
      <c r="A1710" s="7" t="s">
        <v>4883</v>
      </c>
      <c r="B1710" s="7" t="s">
        <v>2521</v>
      </c>
      <c r="C1710" s="7" t="s">
        <v>45</v>
      </c>
      <c r="D1710" s="9">
        <v>46103</v>
      </c>
      <c r="E1710" s="3">
        <v>2897.64</v>
      </c>
      <c r="F1710" s="7" t="s">
        <v>296</v>
      </c>
    </row>
    <row r="1711" spans="1:6" x14ac:dyDescent="0.3">
      <c r="A1711" s="7" t="s">
        <v>4884</v>
      </c>
      <c r="B1711" s="7" t="s">
        <v>2522</v>
      </c>
      <c r="C1711" s="7" t="s">
        <v>121</v>
      </c>
      <c r="D1711" s="9">
        <v>45863</v>
      </c>
      <c r="E1711" s="3">
        <v>2780.21</v>
      </c>
      <c r="F1711" s="7" t="s">
        <v>3174</v>
      </c>
    </row>
    <row r="1712" spans="1:6" x14ac:dyDescent="0.3">
      <c r="A1712" s="7" t="s">
        <v>4885</v>
      </c>
      <c r="B1712" s="7" t="s">
        <v>2523</v>
      </c>
      <c r="C1712" s="7" t="s">
        <v>51</v>
      </c>
      <c r="D1712" s="9">
        <v>45953</v>
      </c>
      <c r="E1712" s="3">
        <v>2318.86</v>
      </c>
      <c r="F1712" s="7" t="s">
        <v>298</v>
      </c>
    </row>
    <row r="1713" spans="1:6" x14ac:dyDescent="0.3">
      <c r="A1713" s="7" t="s">
        <v>4886</v>
      </c>
      <c r="B1713" s="7" t="s">
        <v>2524</v>
      </c>
      <c r="C1713" s="7" t="s">
        <v>33</v>
      </c>
      <c r="D1713" s="9">
        <v>45987</v>
      </c>
      <c r="E1713" s="3">
        <v>12986.41</v>
      </c>
      <c r="F1713" s="7" t="s">
        <v>296</v>
      </c>
    </row>
    <row r="1714" spans="1:6" x14ac:dyDescent="0.3">
      <c r="A1714" s="7" t="s">
        <v>4887</v>
      </c>
      <c r="B1714" s="7" t="s">
        <v>2525</v>
      </c>
      <c r="C1714" s="7" t="s">
        <v>77</v>
      </c>
      <c r="D1714" s="9">
        <v>45935</v>
      </c>
      <c r="E1714" s="3">
        <v>5682.85</v>
      </c>
      <c r="F1714" s="7" t="s">
        <v>3174</v>
      </c>
    </row>
    <row r="1715" spans="1:6" x14ac:dyDescent="0.3">
      <c r="A1715" s="7" t="s">
        <v>4888</v>
      </c>
      <c r="B1715" s="7" t="s">
        <v>2526</v>
      </c>
      <c r="C1715" s="7" t="s">
        <v>37</v>
      </c>
      <c r="D1715" s="9">
        <v>46037</v>
      </c>
      <c r="E1715" s="3">
        <v>4245.5</v>
      </c>
      <c r="F1715" s="7" t="s">
        <v>3174</v>
      </c>
    </row>
    <row r="1716" spans="1:6" x14ac:dyDescent="0.3">
      <c r="A1716" s="7" t="s">
        <v>4889</v>
      </c>
      <c r="B1716" s="7" t="s">
        <v>2528</v>
      </c>
      <c r="C1716" s="7" t="s">
        <v>45</v>
      </c>
      <c r="D1716" s="9">
        <v>45798</v>
      </c>
      <c r="E1716" s="3">
        <v>13614.36</v>
      </c>
      <c r="F1716" s="7" t="s">
        <v>3174</v>
      </c>
    </row>
    <row r="1717" spans="1:6" x14ac:dyDescent="0.3">
      <c r="A1717" s="7" t="s">
        <v>4890</v>
      </c>
      <c r="B1717" s="7" t="s">
        <v>2529</v>
      </c>
      <c r="C1717" s="7" t="s">
        <v>9</v>
      </c>
      <c r="D1717" s="9">
        <v>46140</v>
      </c>
      <c r="E1717" s="3">
        <v>2471.66</v>
      </c>
      <c r="F1717" s="7" t="s">
        <v>296</v>
      </c>
    </row>
    <row r="1718" spans="1:6" x14ac:dyDescent="0.3">
      <c r="A1718" s="7" t="s">
        <v>4891</v>
      </c>
      <c r="B1718" s="7" t="s">
        <v>2530</v>
      </c>
      <c r="C1718" s="7" t="s">
        <v>30</v>
      </c>
      <c r="D1718" s="9">
        <v>45696</v>
      </c>
      <c r="E1718" s="3">
        <v>11446.38</v>
      </c>
      <c r="F1718" s="7" t="s">
        <v>298</v>
      </c>
    </row>
    <row r="1719" spans="1:6" x14ac:dyDescent="0.3">
      <c r="A1719" s="7" t="s">
        <v>4892</v>
      </c>
      <c r="B1719" s="7" t="s">
        <v>2531</v>
      </c>
      <c r="C1719" s="7" t="s">
        <v>76</v>
      </c>
      <c r="D1719" s="9">
        <v>45707</v>
      </c>
      <c r="E1719" s="3">
        <v>1750.38</v>
      </c>
      <c r="F1719" s="7" t="s">
        <v>296</v>
      </c>
    </row>
    <row r="1720" spans="1:6" x14ac:dyDescent="0.3">
      <c r="A1720" s="7" t="s">
        <v>4893</v>
      </c>
      <c r="B1720" s="7" t="s">
        <v>2536</v>
      </c>
      <c r="C1720" s="7" t="s">
        <v>99</v>
      </c>
      <c r="D1720" s="9">
        <v>45960</v>
      </c>
      <c r="E1720" s="3">
        <v>2858.51</v>
      </c>
      <c r="F1720" s="7" t="s">
        <v>298</v>
      </c>
    </row>
    <row r="1721" spans="1:6" x14ac:dyDescent="0.3">
      <c r="A1721" s="7" t="s">
        <v>4894</v>
      </c>
      <c r="B1721" s="7" t="s">
        <v>2540</v>
      </c>
      <c r="C1721" s="7" t="s">
        <v>41</v>
      </c>
      <c r="D1721" s="9">
        <v>45713</v>
      </c>
      <c r="E1721" s="3">
        <v>2571.08</v>
      </c>
      <c r="F1721" s="7" t="s">
        <v>296</v>
      </c>
    </row>
    <row r="1722" spans="1:6" x14ac:dyDescent="0.3">
      <c r="A1722" s="7" t="s">
        <v>4895</v>
      </c>
      <c r="B1722" s="7" t="s">
        <v>2541</v>
      </c>
      <c r="C1722" s="7" t="s">
        <v>46</v>
      </c>
      <c r="D1722" s="9">
        <v>46042</v>
      </c>
      <c r="E1722" s="3">
        <v>1620.37</v>
      </c>
      <c r="F1722" s="7" t="s">
        <v>298</v>
      </c>
    </row>
    <row r="1723" spans="1:6" x14ac:dyDescent="0.3">
      <c r="A1723" s="7" t="s">
        <v>4896</v>
      </c>
      <c r="B1723" s="7" t="s">
        <v>2543</v>
      </c>
      <c r="C1723" s="7" t="s">
        <v>52</v>
      </c>
      <c r="D1723" s="9">
        <v>45707</v>
      </c>
      <c r="E1723" s="3">
        <v>9682.8799999999992</v>
      </c>
      <c r="F1723" s="7" t="s">
        <v>296</v>
      </c>
    </row>
    <row r="1724" spans="1:6" x14ac:dyDescent="0.3">
      <c r="A1724" s="7" t="s">
        <v>4897</v>
      </c>
      <c r="B1724" s="7" t="s">
        <v>2544</v>
      </c>
      <c r="C1724" s="7" t="s">
        <v>81</v>
      </c>
      <c r="D1724" s="9">
        <v>45972</v>
      </c>
      <c r="E1724" s="3">
        <v>12661.17</v>
      </c>
      <c r="F1724" s="7" t="s">
        <v>296</v>
      </c>
    </row>
    <row r="1725" spans="1:6" x14ac:dyDescent="0.3">
      <c r="A1725" s="7" t="s">
        <v>4898</v>
      </c>
      <c r="B1725" s="7" t="s">
        <v>2545</v>
      </c>
      <c r="C1725" s="7" t="s">
        <v>15</v>
      </c>
      <c r="D1725" s="9">
        <v>45993</v>
      </c>
      <c r="E1725" s="3">
        <v>2731.73</v>
      </c>
      <c r="F1725" s="7" t="s">
        <v>3174</v>
      </c>
    </row>
    <row r="1726" spans="1:6" x14ac:dyDescent="0.3">
      <c r="A1726" s="7" t="s">
        <v>4899</v>
      </c>
      <c r="B1726" s="7" t="s">
        <v>2546</v>
      </c>
      <c r="C1726" s="7" t="s">
        <v>70</v>
      </c>
      <c r="D1726" s="9">
        <v>46086</v>
      </c>
      <c r="E1726" s="3">
        <v>10463.06</v>
      </c>
      <c r="F1726" s="7" t="s">
        <v>298</v>
      </c>
    </row>
    <row r="1727" spans="1:6" x14ac:dyDescent="0.3">
      <c r="A1727" s="7" t="s">
        <v>4900</v>
      </c>
      <c r="B1727" s="7" t="s">
        <v>2548</v>
      </c>
      <c r="C1727" s="7" t="s">
        <v>71</v>
      </c>
      <c r="D1727" s="9">
        <v>46001</v>
      </c>
      <c r="E1727" s="3">
        <v>2679.21</v>
      </c>
      <c r="F1727" s="7" t="s">
        <v>298</v>
      </c>
    </row>
    <row r="1728" spans="1:6" x14ac:dyDescent="0.3">
      <c r="A1728" s="7" t="s">
        <v>4901</v>
      </c>
      <c r="B1728" s="7" t="s">
        <v>2549</v>
      </c>
      <c r="C1728" s="7" t="s">
        <v>14</v>
      </c>
      <c r="D1728" s="9">
        <v>45725</v>
      </c>
      <c r="E1728" s="3">
        <v>12383.48</v>
      </c>
      <c r="F1728" s="7" t="s">
        <v>298</v>
      </c>
    </row>
    <row r="1729" spans="1:6" x14ac:dyDescent="0.3">
      <c r="A1729" s="7" t="s">
        <v>4902</v>
      </c>
      <c r="B1729" s="7" t="s">
        <v>2550</v>
      </c>
      <c r="C1729" s="7" t="s">
        <v>116</v>
      </c>
      <c r="D1729" s="9">
        <v>45791</v>
      </c>
      <c r="E1729" s="3">
        <v>2154.2199999999998</v>
      </c>
      <c r="F1729" s="7" t="s">
        <v>298</v>
      </c>
    </row>
    <row r="1730" spans="1:6" x14ac:dyDescent="0.3">
      <c r="A1730" s="7" t="s">
        <v>4903</v>
      </c>
      <c r="B1730" s="7" t="s">
        <v>2551</v>
      </c>
      <c r="C1730" s="7" t="s">
        <v>20</v>
      </c>
      <c r="D1730" s="9">
        <v>45697</v>
      </c>
      <c r="E1730" s="3">
        <v>2540.44</v>
      </c>
      <c r="F1730" s="7" t="s">
        <v>3174</v>
      </c>
    </row>
    <row r="1731" spans="1:6" x14ac:dyDescent="0.3">
      <c r="A1731" s="7" t="s">
        <v>4904</v>
      </c>
      <c r="B1731" s="7" t="s">
        <v>2552</v>
      </c>
      <c r="C1731" s="7" t="s">
        <v>33</v>
      </c>
      <c r="D1731" s="9">
        <v>45736</v>
      </c>
      <c r="E1731" s="3">
        <v>3008.33</v>
      </c>
      <c r="F1731" s="7" t="s">
        <v>296</v>
      </c>
    </row>
    <row r="1732" spans="1:6" x14ac:dyDescent="0.3">
      <c r="A1732" s="7" t="s">
        <v>4905</v>
      </c>
      <c r="B1732" s="7" t="s">
        <v>2553</v>
      </c>
      <c r="C1732" s="7" t="s">
        <v>89</v>
      </c>
      <c r="D1732" s="9">
        <v>46116</v>
      </c>
      <c r="E1732" s="3">
        <v>2570.37</v>
      </c>
      <c r="F1732" s="7" t="s">
        <v>3184</v>
      </c>
    </row>
    <row r="1733" spans="1:6" x14ac:dyDescent="0.3">
      <c r="A1733" s="7" t="s">
        <v>4906</v>
      </c>
      <c r="B1733" s="7" t="s">
        <v>2554</v>
      </c>
      <c r="C1733" s="7" t="s">
        <v>107</v>
      </c>
      <c r="D1733" s="9">
        <v>45760</v>
      </c>
      <c r="E1733" s="3">
        <v>13804.1</v>
      </c>
      <c r="F1733" s="7" t="s">
        <v>296</v>
      </c>
    </row>
    <row r="1734" spans="1:6" x14ac:dyDescent="0.3">
      <c r="A1734" s="7" t="s">
        <v>4907</v>
      </c>
      <c r="B1734" s="7" t="s">
        <v>2555</v>
      </c>
      <c r="C1734" s="7" t="s">
        <v>44</v>
      </c>
      <c r="D1734" s="9">
        <v>45918</v>
      </c>
      <c r="E1734" s="3">
        <v>2334.9899999999998</v>
      </c>
      <c r="F1734" s="7" t="s">
        <v>296</v>
      </c>
    </row>
    <row r="1735" spans="1:6" x14ac:dyDescent="0.3">
      <c r="A1735" s="7" t="s">
        <v>4908</v>
      </c>
      <c r="B1735" s="7" t="s">
        <v>2556</v>
      </c>
      <c r="C1735" s="7" t="s">
        <v>26</v>
      </c>
      <c r="D1735" s="9">
        <v>45858</v>
      </c>
      <c r="E1735" s="3">
        <v>2843.62</v>
      </c>
      <c r="F1735" s="7" t="s">
        <v>3174</v>
      </c>
    </row>
    <row r="1736" spans="1:6" x14ac:dyDescent="0.3">
      <c r="A1736" s="7" t="s">
        <v>4909</v>
      </c>
      <c r="B1736" s="7" t="s">
        <v>2558</v>
      </c>
      <c r="C1736" s="7" t="s">
        <v>34</v>
      </c>
      <c r="D1736" s="9">
        <v>45978</v>
      </c>
      <c r="E1736" s="3">
        <v>2002.23</v>
      </c>
      <c r="F1736" s="7" t="s">
        <v>296</v>
      </c>
    </row>
    <row r="1737" spans="1:6" x14ac:dyDescent="0.3">
      <c r="A1737" s="7" t="s">
        <v>4910</v>
      </c>
      <c r="B1737" s="7" t="s">
        <v>2559</v>
      </c>
      <c r="C1737" s="7" t="s">
        <v>55</v>
      </c>
      <c r="D1737" s="9">
        <v>45699</v>
      </c>
      <c r="E1737" s="3">
        <v>13587.49</v>
      </c>
      <c r="F1737" s="7" t="s">
        <v>296</v>
      </c>
    </row>
    <row r="1738" spans="1:6" x14ac:dyDescent="0.3">
      <c r="A1738" s="7" t="s">
        <v>4911</v>
      </c>
      <c r="B1738" s="7" t="s">
        <v>2560</v>
      </c>
      <c r="C1738" s="7" t="s">
        <v>80</v>
      </c>
      <c r="D1738" s="9">
        <v>45702</v>
      </c>
      <c r="E1738" s="3">
        <v>1496.48</v>
      </c>
      <c r="F1738" s="7" t="s">
        <v>3184</v>
      </c>
    </row>
    <row r="1739" spans="1:6" x14ac:dyDescent="0.3">
      <c r="A1739" s="7" t="s">
        <v>4912</v>
      </c>
      <c r="B1739" s="7" t="s">
        <v>2561</v>
      </c>
      <c r="C1739" s="7" t="s">
        <v>115</v>
      </c>
      <c r="D1739" s="9">
        <v>45887</v>
      </c>
      <c r="E1739" s="3">
        <v>1834.73</v>
      </c>
      <c r="F1739" s="7" t="s">
        <v>3184</v>
      </c>
    </row>
    <row r="1740" spans="1:6" x14ac:dyDescent="0.3">
      <c r="A1740" s="7" t="s">
        <v>4913</v>
      </c>
      <c r="B1740" s="7" t="s">
        <v>2562</v>
      </c>
      <c r="C1740" s="7" t="s">
        <v>73</v>
      </c>
      <c r="D1740" s="9">
        <v>45985</v>
      </c>
      <c r="E1740" s="3">
        <v>3917.49</v>
      </c>
      <c r="F1740" s="7" t="s">
        <v>3174</v>
      </c>
    </row>
    <row r="1741" spans="1:6" x14ac:dyDescent="0.3">
      <c r="A1741" s="7" t="s">
        <v>4914</v>
      </c>
      <c r="B1741" s="7" t="s">
        <v>2563</v>
      </c>
      <c r="C1741" s="7" t="s">
        <v>38</v>
      </c>
      <c r="D1741" s="9">
        <v>45806</v>
      </c>
      <c r="E1741" s="3">
        <v>11121.31</v>
      </c>
      <c r="F1741" s="7" t="s">
        <v>3184</v>
      </c>
    </row>
    <row r="1742" spans="1:6" x14ac:dyDescent="0.3">
      <c r="A1742" s="7" t="s">
        <v>4915</v>
      </c>
      <c r="B1742" s="7" t="s">
        <v>2564</v>
      </c>
      <c r="C1742" s="7" t="s">
        <v>47</v>
      </c>
      <c r="D1742" s="9">
        <v>46075</v>
      </c>
      <c r="E1742" s="3">
        <v>2243.0700000000002</v>
      </c>
      <c r="F1742" s="7" t="s">
        <v>3184</v>
      </c>
    </row>
    <row r="1743" spans="1:6" x14ac:dyDescent="0.3">
      <c r="A1743" s="7" t="s">
        <v>4916</v>
      </c>
      <c r="B1743" s="7" t="s">
        <v>2565</v>
      </c>
      <c r="C1743" s="7" t="s">
        <v>119</v>
      </c>
      <c r="D1743" s="9">
        <v>46021</v>
      </c>
      <c r="E1743" s="3">
        <v>2140.13</v>
      </c>
      <c r="F1743" s="7" t="s">
        <v>3184</v>
      </c>
    </row>
    <row r="1744" spans="1:6" x14ac:dyDescent="0.3">
      <c r="A1744" s="7" t="s">
        <v>4917</v>
      </c>
      <c r="B1744" s="7" t="s">
        <v>2566</v>
      </c>
      <c r="C1744" s="7" t="s">
        <v>124</v>
      </c>
      <c r="D1744" s="9">
        <v>45854</v>
      </c>
      <c r="E1744" s="3">
        <v>11337.03</v>
      </c>
      <c r="F1744" s="7" t="s">
        <v>3174</v>
      </c>
    </row>
    <row r="1745" spans="1:6" x14ac:dyDescent="0.3">
      <c r="A1745" s="7" t="s">
        <v>4918</v>
      </c>
      <c r="B1745" s="7" t="s">
        <v>2567</v>
      </c>
      <c r="C1745" s="7" t="s">
        <v>60</v>
      </c>
      <c r="D1745" s="9">
        <v>45995</v>
      </c>
      <c r="E1745" s="3">
        <v>2653.33</v>
      </c>
      <c r="F1745" s="7" t="s">
        <v>3174</v>
      </c>
    </row>
    <row r="1746" spans="1:6" x14ac:dyDescent="0.3">
      <c r="A1746" s="7" t="s">
        <v>4919</v>
      </c>
      <c r="B1746" s="7" t="s">
        <v>2569</v>
      </c>
      <c r="C1746" s="7" t="s">
        <v>108</v>
      </c>
      <c r="D1746" s="9">
        <v>46024</v>
      </c>
      <c r="E1746" s="3">
        <v>12835.7</v>
      </c>
      <c r="F1746" s="7" t="s">
        <v>3184</v>
      </c>
    </row>
    <row r="1747" spans="1:6" x14ac:dyDescent="0.3">
      <c r="A1747" s="7" t="s">
        <v>4920</v>
      </c>
      <c r="B1747" s="7" t="s">
        <v>2570</v>
      </c>
      <c r="C1747" s="7" t="s">
        <v>71</v>
      </c>
      <c r="D1747" s="9">
        <v>45728</v>
      </c>
      <c r="E1747" s="3">
        <v>2341.5700000000002</v>
      </c>
      <c r="F1747" s="7" t="s">
        <v>296</v>
      </c>
    </row>
    <row r="1748" spans="1:6" x14ac:dyDescent="0.3">
      <c r="A1748" s="7" t="s">
        <v>4921</v>
      </c>
      <c r="B1748" s="7" t="s">
        <v>2572</v>
      </c>
      <c r="C1748" s="7" t="s">
        <v>77</v>
      </c>
      <c r="D1748" s="9">
        <v>45722</v>
      </c>
      <c r="E1748" s="3">
        <v>9674.4599999999991</v>
      </c>
      <c r="F1748" s="7" t="s">
        <v>298</v>
      </c>
    </row>
    <row r="1749" spans="1:6" x14ac:dyDescent="0.3">
      <c r="A1749" s="7" t="s">
        <v>4922</v>
      </c>
      <c r="B1749" s="7" t="s">
        <v>2573</v>
      </c>
      <c r="C1749" s="7" t="s">
        <v>11</v>
      </c>
      <c r="D1749" s="9">
        <v>46045</v>
      </c>
      <c r="E1749" s="3">
        <v>2109.69</v>
      </c>
      <c r="F1749" s="7" t="s">
        <v>298</v>
      </c>
    </row>
    <row r="1750" spans="1:6" x14ac:dyDescent="0.3">
      <c r="A1750" s="7" t="s">
        <v>4923</v>
      </c>
      <c r="B1750" s="7" t="s">
        <v>2574</v>
      </c>
      <c r="C1750" s="7" t="s">
        <v>117</v>
      </c>
      <c r="D1750" s="9">
        <v>45773</v>
      </c>
      <c r="E1750" s="3">
        <v>9714.8700000000008</v>
      </c>
      <c r="F1750" s="7" t="s">
        <v>3184</v>
      </c>
    </row>
    <row r="1751" spans="1:6" x14ac:dyDescent="0.3">
      <c r="A1751" s="7" t="s">
        <v>4924</v>
      </c>
      <c r="B1751" s="7" t="s">
        <v>2575</v>
      </c>
      <c r="C1751" s="7" t="s">
        <v>96</v>
      </c>
      <c r="D1751" s="9">
        <v>45881</v>
      </c>
      <c r="E1751" s="3">
        <v>2425.84</v>
      </c>
      <c r="F1751" s="7" t="s">
        <v>298</v>
      </c>
    </row>
    <row r="1752" spans="1:6" x14ac:dyDescent="0.3">
      <c r="A1752" s="7" t="s">
        <v>4925</v>
      </c>
      <c r="B1752" s="7" t="s">
        <v>2575</v>
      </c>
      <c r="C1752" s="7" t="s">
        <v>96</v>
      </c>
      <c r="D1752" s="9">
        <v>45890</v>
      </c>
      <c r="E1752" s="3">
        <v>1660.23</v>
      </c>
      <c r="F1752" s="7" t="s">
        <v>296</v>
      </c>
    </row>
    <row r="1753" spans="1:6" x14ac:dyDescent="0.3">
      <c r="A1753" s="7" t="s">
        <v>4926</v>
      </c>
      <c r="B1753" s="7" t="s">
        <v>2576</v>
      </c>
      <c r="C1753" s="7" t="s">
        <v>112</v>
      </c>
      <c r="D1753" s="9">
        <v>45812</v>
      </c>
      <c r="E1753" s="3">
        <v>3138.01</v>
      </c>
      <c r="F1753" s="7" t="s">
        <v>3184</v>
      </c>
    </row>
    <row r="1754" spans="1:6" x14ac:dyDescent="0.3">
      <c r="A1754" s="7" t="s">
        <v>4927</v>
      </c>
      <c r="B1754" s="7" t="s">
        <v>2581</v>
      </c>
      <c r="C1754" s="7" t="s">
        <v>93</v>
      </c>
      <c r="D1754" s="9">
        <v>45707</v>
      </c>
      <c r="E1754" s="3">
        <v>2582.71</v>
      </c>
      <c r="F1754" s="7" t="s">
        <v>298</v>
      </c>
    </row>
    <row r="1755" spans="1:6" x14ac:dyDescent="0.3">
      <c r="A1755" s="7" t="s">
        <v>4928</v>
      </c>
      <c r="B1755" s="7" t="s">
        <v>2582</v>
      </c>
      <c r="C1755" s="7" t="s">
        <v>99</v>
      </c>
      <c r="D1755" s="9">
        <v>45857</v>
      </c>
      <c r="E1755" s="3">
        <v>1766.54</v>
      </c>
      <c r="F1755" s="7" t="s">
        <v>296</v>
      </c>
    </row>
    <row r="1756" spans="1:6" x14ac:dyDescent="0.3">
      <c r="A1756" s="7" t="s">
        <v>4929</v>
      </c>
      <c r="B1756" s="7" t="s">
        <v>2583</v>
      </c>
      <c r="C1756" s="7" t="s">
        <v>70</v>
      </c>
      <c r="D1756" s="9">
        <v>46059</v>
      </c>
      <c r="E1756" s="3">
        <v>3191.02</v>
      </c>
      <c r="F1756" s="7" t="s">
        <v>296</v>
      </c>
    </row>
    <row r="1757" spans="1:6" x14ac:dyDescent="0.3">
      <c r="A1757" s="7" t="s">
        <v>4930</v>
      </c>
      <c r="B1757" s="7" t="s">
        <v>2584</v>
      </c>
      <c r="C1757" s="7" t="s">
        <v>115</v>
      </c>
      <c r="D1757" s="9">
        <v>45965</v>
      </c>
      <c r="E1757" s="3">
        <v>2048.29</v>
      </c>
      <c r="F1757" s="7" t="s">
        <v>296</v>
      </c>
    </row>
    <row r="1758" spans="1:6" x14ac:dyDescent="0.3">
      <c r="A1758" s="7" t="s">
        <v>4931</v>
      </c>
      <c r="B1758" s="7" t="s">
        <v>2586</v>
      </c>
      <c r="C1758" s="7" t="s">
        <v>73</v>
      </c>
      <c r="D1758" s="9">
        <v>46045</v>
      </c>
      <c r="E1758" s="3">
        <v>3376.78</v>
      </c>
      <c r="F1758" s="7" t="s">
        <v>298</v>
      </c>
    </row>
    <row r="1759" spans="1:6" x14ac:dyDescent="0.3">
      <c r="A1759" s="7" t="s">
        <v>4932</v>
      </c>
      <c r="B1759" s="7" t="s">
        <v>2587</v>
      </c>
      <c r="C1759" s="7" t="s">
        <v>43</v>
      </c>
      <c r="D1759" s="9">
        <v>46005</v>
      </c>
      <c r="E1759" s="3">
        <v>2575.14</v>
      </c>
      <c r="F1759" s="7" t="s">
        <v>298</v>
      </c>
    </row>
    <row r="1760" spans="1:6" x14ac:dyDescent="0.3">
      <c r="A1760" s="7" t="s">
        <v>4933</v>
      </c>
      <c r="B1760" s="7" t="s">
        <v>2588</v>
      </c>
      <c r="C1760" s="7" t="s">
        <v>120</v>
      </c>
      <c r="D1760" s="9">
        <v>45841</v>
      </c>
      <c r="E1760" s="3">
        <v>4237.1000000000004</v>
      </c>
      <c r="F1760" s="7" t="s">
        <v>298</v>
      </c>
    </row>
    <row r="1761" spans="1:6" x14ac:dyDescent="0.3">
      <c r="A1761" s="7" t="s">
        <v>4934</v>
      </c>
      <c r="B1761" s="7" t="s">
        <v>2590</v>
      </c>
      <c r="C1761" s="7" t="s">
        <v>72</v>
      </c>
      <c r="D1761" s="9">
        <v>45727</v>
      </c>
      <c r="E1761" s="3">
        <v>900.97</v>
      </c>
      <c r="F1761" s="7" t="s">
        <v>3174</v>
      </c>
    </row>
    <row r="1762" spans="1:6" x14ac:dyDescent="0.3">
      <c r="A1762" s="7" t="s">
        <v>4935</v>
      </c>
      <c r="B1762" s="7" t="s">
        <v>2590</v>
      </c>
      <c r="C1762" s="7" t="s">
        <v>72</v>
      </c>
      <c r="D1762" s="9">
        <v>45741</v>
      </c>
      <c r="E1762" s="3">
        <v>739.64</v>
      </c>
      <c r="F1762" s="7" t="s">
        <v>3184</v>
      </c>
    </row>
    <row r="1763" spans="1:6" x14ac:dyDescent="0.3">
      <c r="A1763" s="7" t="s">
        <v>4936</v>
      </c>
      <c r="B1763" s="7" t="s">
        <v>2591</v>
      </c>
      <c r="C1763" s="7" t="s">
        <v>31</v>
      </c>
      <c r="D1763" s="9">
        <v>45704</v>
      </c>
      <c r="E1763" s="3">
        <v>4054.7</v>
      </c>
      <c r="F1763" s="7" t="s">
        <v>296</v>
      </c>
    </row>
    <row r="1764" spans="1:6" x14ac:dyDescent="0.3">
      <c r="A1764" s="7" t="s">
        <v>4937</v>
      </c>
      <c r="B1764" s="7" t="s">
        <v>2592</v>
      </c>
      <c r="C1764" s="7" t="s">
        <v>43</v>
      </c>
      <c r="D1764" s="9">
        <v>46105</v>
      </c>
      <c r="E1764" s="3">
        <v>2986.04</v>
      </c>
      <c r="F1764" s="7" t="s">
        <v>3174</v>
      </c>
    </row>
    <row r="1765" spans="1:6" x14ac:dyDescent="0.3">
      <c r="A1765" s="7" t="s">
        <v>4938</v>
      </c>
      <c r="B1765" s="7" t="s">
        <v>2593</v>
      </c>
      <c r="C1765" s="7" t="s">
        <v>65</v>
      </c>
      <c r="D1765" s="9">
        <v>45913</v>
      </c>
      <c r="E1765" s="3">
        <v>3397.1</v>
      </c>
      <c r="F1765" s="7" t="s">
        <v>298</v>
      </c>
    </row>
    <row r="1766" spans="1:6" x14ac:dyDescent="0.3">
      <c r="A1766" s="7" t="s">
        <v>4939</v>
      </c>
      <c r="B1766" s="7" t="s">
        <v>2595</v>
      </c>
      <c r="C1766" s="7" t="s">
        <v>24</v>
      </c>
      <c r="D1766" s="9">
        <v>45946</v>
      </c>
      <c r="E1766" s="3">
        <v>13866.62</v>
      </c>
      <c r="F1766" s="7" t="s">
        <v>298</v>
      </c>
    </row>
    <row r="1767" spans="1:6" x14ac:dyDescent="0.3">
      <c r="A1767" s="7" t="s">
        <v>4940</v>
      </c>
      <c r="B1767" s="7" t="s">
        <v>2597</v>
      </c>
      <c r="C1767" s="7" t="s">
        <v>42</v>
      </c>
      <c r="D1767" s="9">
        <v>45835</v>
      </c>
      <c r="E1767" s="3">
        <v>5454.72</v>
      </c>
      <c r="F1767" s="7" t="s">
        <v>298</v>
      </c>
    </row>
    <row r="1768" spans="1:6" x14ac:dyDescent="0.3">
      <c r="A1768" s="7" t="s">
        <v>4941</v>
      </c>
      <c r="B1768" s="7" t="s">
        <v>2599</v>
      </c>
      <c r="C1768" s="7" t="s">
        <v>97</v>
      </c>
      <c r="D1768" s="9">
        <v>45706</v>
      </c>
      <c r="E1768" s="3">
        <v>1666.66</v>
      </c>
      <c r="F1768" s="7" t="s">
        <v>3184</v>
      </c>
    </row>
    <row r="1769" spans="1:6" x14ac:dyDescent="0.3">
      <c r="A1769" s="7" t="s">
        <v>4942</v>
      </c>
      <c r="B1769" s="7" t="s">
        <v>2600</v>
      </c>
      <c r="C1769" s="7" t="s">
        <v>119</v>
      </c>
      <c r="D1769" s="9">
        <v>46146</v>
      </c>
      <c r="E1769" s="3">
        <v>3244.54</v>
      </c>
      <c r="F1769" s="7" t="s">
        <v>3184</v>
      </c>
    </row>
    <row r="1770" spans="1:6" x14ac:dyDescent="0.3">
      <c r="A1770" s="7" t="s">
        <v>4943</v>
      </c>
      <c r="B1770" s="7" t="s">
        <v>2601</v>
      </c>
      <c r="C1770" s="7" t="s">
        <v>24</v>
      </c>
      <c r="D1770" s="9">
        <v>45984</v>
      </c>
      <c r="E1770" s="3">
        <v>1465.66</v>
      </c>
      <c r="F1770" s="7" t="s">
        <v>296</v>
      </c>
    </row>
    <row r="1771" spans="1:6" x14ac:dyDescent="0.3">
      <c r="A1771" s="7" t="s">
        <v>4944</v>
      </c>
      <c r="B1771" s="7" t="s">
        <v>2602</v>
      </c>
      <c r="C1771" s="7" t="s">
        <v>67</v>
      </c>
      <c r="D1771" s="9">
        <v>45822</v>
      </c>
      <c r="E1771" s="3">
        <v>3326.69</v>
      </c>
      <c r="F1771" s="7" t="s">
        <v>298</v>
      </c>
    </row>
    <row r="1772" spans="1:6" x14ac:dyDescent="0.3">
      <c r="A1772" s="7" t="s">
        <v>4945</v>
      </c>
      <c r="B1772" s="7" t="s">
        <v>2603</v>
      </c>
      <c r="C1772" s="7" t="s">
        <v>23</v>
      </c>
      <c r="D1772" s="9">
        <v>45757</v>
      </c>
      <c r="E1772" s="3">
        <v>4969.01</v>
      </c>
      <c r="F1772" s="7" t="s">
        <v>3184</v>
      </c>
    </row>
    <row r="1773" spans="1:6" x14ac:dyDescent="0.3">
      <c r="A1773" s="7" t="s">
        <v>4946</v>
      </c>
      <c r="B1773" s="7" t="s">
        <v>2605</v>
      </c>
      <c r="C1773" s="7" t="s">
        <v>33</v>
      </c>
      <c r="D1773" s="9">
        <v>45715</v>
      </c>
      <c r="E1773" s="3">
        <v>4006.4</v>
      </c>
      <c r="F1773" s="7" t="s">
        <v>296</v>
      </c>
    </row>
    <row r="1774" spans="1:6" x14ac:dyDescent="0.3">
      <c r="A1774" s="7" t="s">
        <v>4947</v>
      </c>
      <c r="B1774" s="7" t="s">
        <v>2606</v>
      </c>
      <c r="C1774" s="7" t="s">
        <v>55</v>
      </c>
      <c r="D1774" s="9">
        <v>45914</v>
      </c>
      <c r="E1774" s="3">
        <v>1568.24</v>
      </c>
      <c r="F1774" s="7" t="s">
        <v>3184</v>
      </c>
    </row>
    <row r="1775" spans="1:6" x14ac:dyDescent="0.3">
      <c r="A1775" s="7" t="s">
        <v>4948</v>
      </c>
      <c r="B1775" s="7" t="s">
        <v>2607</v>
      </c>
      <c r="C1775" s="7" t="s">
        <v>91</v>
      </c>
      <c r="D1775" s="9">
        <v>46014</v>
      </c>
      <c r="E1775" s="3">
        <v>1258.07</v>
      </c>
      <c r="F1775" s="7" t="s">
        <v>3174</v>
      </c>
    </row>
    <row r="1776" spans="1:6" x14ac:dyDescent="0.3">
      <c r="A1776" s="7" t="s">
        <v>4949</v>
      </c>
      <c r="B1776" s="7" t="s">
        <v>2607</v>
      </c>
      <c r="C1776" s="7" t="s">
        <v>91</v>
      </c>
      <c r="D1776" s="9">
        <v>46026</v>
      </c>
      <c r="E1776" s="3">
        <v>602.34</v>
      </c>
      <c r="F1776" s="7" t="s">
        <v>3174</v>
      </c>
    </row>
    <row r="1777" spans="1:6" x14ac:dyDescent="0.3">
      <c r="A1777" s="7" t="s">
        <v>4950</v>
      </c>
      <c r="B1777" s="7" t="s">
        <v>2609</v>
      </c>
      <c r="C1777" s="7" t="s">
        <v>76</v>
      </c>
      <c r="D1777" s="9">
        <v>46009</v>
      </c>
      <c r="E1777" s="3">
        <v>5449.32</v>
      </c>
      <c r="F1777" s="7" t="s">
        <v>3174</v>
      </c>
    </row>
    <row r="1778" spans="1:6" x14ac:dyDescent="0.3">
      <c r="A1778" s="7" t="s">
        <v>4951</v>
      </c>
      <c r="B1778" s="7" t="s">
        <v>2609</v>
      </c>
      <c r="C1778" s="7" t="s">
        <v>76</v>
      </c>
      <c r="D1778" s="9">
        <v>46011</v>
      </c>
      <c r="E1778" s="3">
        <v>6503.75</v>
      </c>
      <c r="F1778" s="7" t="s">
        <v>298</v>
      </c>
    </row>
    <row r="1779" spans="1:6" x14ac:dyDescent="0.3">
      <c r="A1779" s="7" t="s">
        <v>4952</v>
      </c>
      <c r="B1779" s="7" t="s">
        <v>2611</v>
      </c>
      <c r="C1779" s="7" t="s">
        <v>61</v>
      </c>
      <c r="D1779" s="9">
        <v>45922</v>
      </c>
      <c r="E1779" s="3">
        <v>1186.4100000000001</v>
      </c>
      <c r="F1779" s="7" t="s">
        <v>3184</v>
      </c>
    </row>
    <row r="1780" spans="1:6" x14ac:dyDescent="0.3">
      <c r="A1780" s="7" t="s">
        <v>4953</v>
      </c>
      <c r="B1780" s="7" t="s">
        <v>2611</v>
      </c>
      <c r="C1780" s="7" t="s">
        <v>61</v>
      </c>
      <c r="D1780" s="9">
        <v>45935</v>
      </c>
      <c r="E1780" s="3">
        <v>1233.18</v>
      </c>
      <c r="F1780" s="7" t="s">
        <v>3174</v>
      </c>
    </row>
    <row r="1781" spans="1:6" x14ac:dyDescent="0.3">
      <c r="A1781" s="7" t="s">
        <v>4954</v>
      </c>
      <c r="B1781" s="7" t="s">
        <v>2612</v>
      </c>
      <c r="C1781" s="7" t="s">
        <v>96</v>
      </c>
      <c r="D1781" s="9">
        <v>45854</v>
      </c>
      <c r="E1781" s="3">
        <v>2611.4299999999998</v>
      </c>
      <c r="F1781" s="7" t="s">
        <v>3184</v>
      </c>
    </row>
    <row r="1782" spans="1:6" x14ac:dyDescent="0.3">
      <c r="A1782" s="7" t="s">
        <v>4955</v>
      </c>
      <c r="B1782" s="7" t="s">
        <v>2614</v>
      </c>
      <c r="C1782" s="7" t="s">
        <v>41</v>
      </c>
      <c r="D1782" s="9">
        <v>46014</v>
      </c>
      <c r="E1782" s="3">
        <v>12485.08</v>
      </c>
      <c r="F1782" s="7" t="s">
        <v>3184</v>
      </c>
    </row>
    <row r="1783" spans="1:6" x14ac:dyDescent="0.3">
      <c r="A1783" s="7" t="s">
        <v>4956</v>
      </c>
      <c r="B1783" s="7" t="s">
        <v>2615</v>
      </c>
      <c r="C1783" s="7" t="s">
        <v>105</v>
      </c>
      <c r="D1783" s="9">
        <v>46105</v>
      </c>
      <c r="E1783" s="3">
        <v>3101.15</v>
      </c>
      <c r="F1783" s="7" t="s">
        <v>298</v>
      </c>
    </row>
    <row r="1784" spans="1:6" x14ac:dyDescent="0.3">
      <c r="A1784" s="7" t="s">
        <v>4957</v>
      </c>
      <c r="B1784" s="7" t="s">
        <v>2616</v>
      </c>
      <c r="C1784" s="7" t="s">
        <v>63</v>
      </c>
      <c r="D1784" s="9">
        <v>45842</v>
      </c>
      <c r="E1784" s="3">
        <v>2261.61</v>
      </c>
      <c r="F1784" s="7" t="s">
        <v>3174</v>
      </c>
    </row>
    <row r="1785" spans="1:6" x14ac:dyDescent="0.3">
      <c r="A1785" s="7" t="s">
        <v>4958</v>
      </c>
      <c r="B1785" s="7" t="s">
        <v>2617</v>
      </c>
      <c r="C1785" s="7" t="s">
        <v>35</v>
      </c>
      <c r="D1785" s="9">
        <v>45710</v>
      </c>
      <c r="E1785" s="3">
        <v>11513.66</v>
      </c>
      <c r="F1785" s="7" t="s">
        <v>3174</v>
      </c>
    </row>
    <row r="1786" spans="1:6" x14ac:dyDescent="0.3">
      <c r="A1786" s="7" t="s">
        <v>4959</v>
      </c>
      <c r="B1786" s="7" t="s">
        <v>2618</v>
      </c>
      <c r="C1786" s="7" t="s">
        <v>35</v>
      </c>
      <c r="D1786" s="9">
        <v>45682</v>
      </c>
      <c r="E1786" s="3">
        <v>2636.27</v>
      </c>
      <c r="F1786" s="7" t="s">
        <v>3174</v>
      </c>
    </row>
    <row r="1787" spans="1:6" x14ac:dyDescent="0.3">
      <c r="A1787" s="7" t="s">
        <v>4960</v>
      </c>
      <c r="B1787" s="7" t="s">
        <v>2620</v>
      </c>
      <c r="C1787" s="7" t="s">
        <v>99</v>
      </c>
      <c r="D1787" s="9">
        <v>45764</v>
      </c>
      <c r="E1787" s="3">
        <v>3655.05</v>
      </c>
      <c r="F1787" s="7" t="s">
        <v>298</v>
      </c>
    </row>
    <row r="1788" spans="1:6" x14ac:dyDescent="0.3">
      <c r="A1788" s="7" t="s">
        <v>4961</v>
      </c>
      <c r="B1788" s="7" t="s">
        <v>2621</v>
      </c>
      <c r="C1788" s="7" t="s">
        <v>52</v>
      </c>
      <c r="D1788" s="9">
        <v>45726</v>
      </c>
      <c r="E1788" s="3">
        <v>3362.9</v>
      </c>
      <c r="F1788" s="7" t="s">
        <v>3174</v>
      </c>
    </row>
    <row r="1789" spans="1:6" x14ac:dyDescent="0.3">
      <c r="A1789" s="7" t="s">
        <v>4962</v>
      </c>
      <c r="B1789" s="7" t="s">
        <v>2622</v>
      </c>
      <c r="C1789" s="7" t="s">
        <v>75</v>
      </c>
      <c r="D1789" s="9">
        <v>45722</v>
      </c>
      <c r="E1789" s="3">
        <v>2888.85</v>
      </c>
      <c r="F1789" s="7" t="s">
        <v>296</v>
      </c>
    </row>
    <row r="1790" spans="1:6" x14ac:dyDescent="0.3">
      <c r="A1790" s="7" t="s">
        <v>4963</v>
      </c>
      <c r="B1790" s="7" t="s">
        <v>2623</v>
      </c>
      <c r="C1790" s="7" t="s">
        <v>98</v>
      </c>
      <c r="D1790" s="9">
        <v>46142</v>
      </c>
      <c r="E1790" s="3">
        <v>5970.43</v>
      </c>
      <c r="F1790" s="7" t="s">
        <v>3174</v>
      </c>
    </row>
    <row r="1791" spans="1:6" x14ac:dyDescent="0.3">
      <c r="A1791" s="7" t="s">
        <v>4964</v>
      </c>
      <c r="B1791" s="7" t="s">
        <v>2624</v>
      </c>
      <c r="C1791" s="7" t="s">
        <v>34</v>
      </c>
      <c r="D1791" s="9">
        <v>45749</v>
      </c>
      <c r="E1791" s="3">
        <v>4580.37</v>
      </c>
      <c r="F1791" s="7" t="s">
        <v>3174</v>
      </c>
    </row>
    <row r="1792" spans="1:6" x14ac:dyDescent="0.3">
      <c r="A1792" s="7" t="s">
        <v>4965</v>
      </c>
      <c r="B1792" s="7" t="s">
        <v>2626</v>
      </c>
      <c r="C1792" s="7" t="s">
        <v>43</v>
      </c>
      <c r="D1792" s="9">
        <v>45905</v>
      </c>
      <c r="E1792" s="3">
        <v>2943.53</v>
      </c>
      <c r="F1792" s="7" t="s">
        <v>298</v>
      </c>
    </row>
    <row r="1793" spans="1:6" x14ac:dyDescent="0.3">
      <c r="A1793" s="7" t="s">
        <v>4966</v>
      </c>
      <c r="B1793" s="7" t="s">
        <v>2627</v>
      </c>
      <c r="C1793" s="7" t="s">
        <v>41</v>
      </c>
      <c r="D1793" s="9">
        <v>46020</v>
      </c>
      <c r="E1793" s="3">
        <v>2024.24</v>
      </c>
      <c r="F1793" s="7" t="s">
        <v>3174</v>
      </c>
    </row>
    <row r="1794" spans="1:6" x14ac:dyDescent="0.3">
      <c r="A1794" s="7" t="s">
        <v>4967</v>
      </c>
      <c r="B1794" s="7" t="s">
        <v>2628</v>
      </c>
      <c r="C1794" s="7" t="s">
        <v>23</v>
      </c>
      <c r="D1794" s="9">
        <v>46097</v>
      </c>
      <c r="E1794" s="3">
        <v>1529.02</v>
      </c>
      <c r="F1794" s="7" t="s">
        <v>3174</v>
      </c>
    </row>
    <row r="1795" spans="1:6" x14ac:dyDescent="0.3">
      <c r="A1795" s="7" t="s">
        <v>4968</v>
      </c>
      <c r="B1795" s="7" t="s">
        <v>2629</v>
      </c>
      <c r="C1795" s="7" t="s">
        <v>71</v>
      </c>
      <c r="D1795" s="9">
        <v>46114</v>
      </c>
      <c r="E1795" s="3">
        <v>1054.3900000000001</v>
      </c>
      <c r="F1795" s="7" t="s">
        <v>3174</v>
      </c>
    </row>
    <row r="1796" spans="1:6" x14ac:dyDescent="0.3">
      <c r="A1796" s="7" t="s">
        <v>4969</v>
      </c>
      <c r="B1796" s="7" t="s">
        <v>2629</v>
      </c>
      <c r="C1796" s="7" t="s">
        <v>71</v>
      </c>
      <c r="D1796" s="9">
        <v>46127</v>
      </c>
      <c r="E1796" s="3">
        <v>1016.78</v>
      </c>
      <c r="F1796" s="7" t="s">
        <v>296</v>
      </c>
    </row>
    <row r="1797" spans="1:6" x14ac:dyDescent="0.3">
      <c r="A1797" s="7" t="s">
        <v>4970</v>
      </c>
      <c r="B1797" s="7" t="s">
        <v>2630</v>
      </c>
      <c r="C1797" s="7" t="s">
        <v>102</v>
      </c>
      <c r="D1797" s="9">
        <v>46047</v>
      </c>
      <c r="E1797" s="3">
        <v>1946.51</v>
      </c>
      <c r="F1797" s="7" t="s">
        <v>298</v>
      </c>
    </row>
    <row r="1798" spans="1:6" x14ac:dyDescent="0.3">
      <c r="A1798" s="7" t="s">
        <v>4971</v>
      </c>
      <c r="B1798" s="7" t="s">
        <v>2631</v>
      </c>
      <c r="C1798" s="7" t="s">
        <v>108</v>
      </c>
      <c r="D1798" s="9">
        <v>45751</v>
      </c>
      <c r="E1798" s="3">
        <v>3646.82</v>
      </c>
      <c r="F1798" s="7" t="s">
        <v>296</v>
      </c>
    </row>
    <row r="1799" spans="1:6" x14ac:dyDescent="0.3">
      <c r="A1799" s="7" t="s">
        <v>4972</v>
      </c>
      <c r="B1799" s="7" t="s">
        <v>2633</v>
      </c>
      <c r="C1799" s="7" t="s">
        <v>19</v>
      </c>
      <c r="D1799" s="9">
        <v>45842</v>
      </c>
      <c r="E1799" s="3">
        <v>3840.88</v>
      </c>
      <c r="F1799" s="7" t="s">
        <v>298</v>
      </c>
    </row>
    <row r="1800" spans="1:6" x14ac:dyDescent="0.3">
      <c r="A1800" s="7" t="s">
        <v>4973</v>
      </c>
      <c r="B1800" s="7" t="s">
        <v>2634</v>
      </c>
      <c r="C1800" s="7" t="s">
        <v>61</v>
      </c>
      <c r="D1800" s="9">
        <v>45956</v>
      </c>
      <c r="E1800" s="3">
        <v>2969.26</v>
      </c>
      <c r="F1800" s="7" t="s">
        <v>298</v>
      </c>
    </row>
    <row r="1801" spans="1:6" x14ac:dyDescent="0.3">
      <c r="A1801" s="7" t="s">
        <v>4974</v>
      </c>
      <c r="B1801" s="7" t="s">
        <v>2635</v>
      </c>
      <c r="C1801" s="7" t="s">
        <v>43</v>
      </c>
      <c r="D1801" s="9">
        <v>45904</v>
      </c>
      <c r="E1801" s="3">
        <v>1216.6300000000001</v>
      </c>
      <c r="F1801" s="7" t="s">
        <v>298</v>
      </c>
    </row>
    <row r="1802" spans="1:6" x14ac:dyDescent="0.3">
      <c r="A1802" s="7" t="s">
        <v>4975</v>
      </c>
      <c r="B1802" s="7" t="s">
        <v>2635</v>
      </c>
      <c r="C1802" s="7" t="s">
        <v>43</v>
      </c>
      <c r="D1802" s="9">
        <v>45917</v>
      </c>
      <c r="E1802" s="3">
        <v>1450.07</v>
      </c>
      <c r="F1802" s="7" t="s">
        <v>3184</v>
      </c>
    </row>
    <row r="1803" spans="1:6" x14ac:dyDescent="0.3">
      <c r="A1803" s="7" t="s">
        <v>4976</v>
      </c>
      <c r="B1803" s="7" t="s">
        <v>2636</v>
      </c>
      <c r="C1803" s="7" t="s">
        <v>70</v>
      </c>
      <c r="D1803" s="9">
        <v>45793</v>
      </c>
      <c r="E1803" s="3">
        <v>1823.91</v>
      </c>
      <c r="F1803" s="7" t="s">
        <v>3174</v>
      </c>
    </row>
    <row r="1804" spans="1:6" x14ac:dyDescent="0.3">
      <c r="A1804" s="7" t="s">
        <v>4977</v>
      </c>
      <c r="B1804" s="7" t="s">
        <v>2637</v>
      </c>
      <c r="C1804" s="7" t="s">
        <v>64</v>
      </c>
      <c r="D1804" s="9">
        <v>45854</v>
      </c>
      <c r="E1804" s="3">
        <v>1723.42</v>
      </c>
      <c r="F1804" s="7" t="s">
        <v>3184</v>
      </c>
    </row>
    <row r="1805" spans="1:6" x14ac:dyDescent="0.3">
      <c r="A1805" s="7" t="s">
        <v>4978</v>
      </c>
      <c r="B1805" s="7" t="s">
        <v>2639</v>
      </c>
      <c r="C1805" s="7" t="s">
        <v>25</v>
      </c>
      <c r="D1805" s="9">
        <v>45722</v>
      </c>
      <c r="E1805" s="3">
        <v>2476.81</v>
      </c>
      <c r="F1805" s="7" t="s">
        <v>298</v>
      </c>
    </row>
    <row r="1806" spans="1:6" x14ac:dyDescent="0.3">
      <c r="A1806" s="7" t="s">
        <v>4979</v>
      </c>
      <c r="B1806" s="7" t="s">
        <v>2640</v>
      </c>
      <c r="C1806" s="7" t="s">
        <v>117</v>
      </c>
      <c r="D1806" s="9">
        <v>45747</v>
      </c>
      <c r="E1806" s="3">
        <v>2142.59</v>
      </c>
      <c r="F1806" s="7" t="s">
        <v>3174</v>
      </c>
    </row>
    <row r="1807" spans="1:6" x14ac:dyDescent="0.3">
      <c r="A1807" s="7" t="s">
        <v>4980</v>
      </c>
      <c r="B1807" s="7" t="s">
        <v>2641</v>
      </c>
      <c r="C1807" s="7" t="s">
        <v>114</v>
      </c>
      <c r="D1807" s="9">
        <v>45717</v>
      </c>
      <c r="E1807" s="3">
        <v>12448.37</v>
      </c>
      <c r="F1807" s="7" t="s">
        <v>3174</v>
      </c>
    </row>
    <row r="1808" spans="1:6" x14ac:dyDescent="0.3">
      <c r="A1808" s="7" t="s">
        <v>4981</v>
      </c>
      <c r="B1808" s="7" t="s">
        <v>2643</v>
      </c>
      <c r="C1808" s="7" t="s">
        <v>26</v>
      </c>
      <c r="D1808" s="9">
        <v>45871</v>
      </c>
      <c r="E1808" s="3">
        <v>10809.71</v>
      </c>
      <c r="F1808" s="7" t="s">
        <v>298</v>
      </c>
    </row>
    <row r="1809" spans="1:6" x14ac:dyDescent="0.3">
      <c r="A1809" s="7" t="s">
        <v>4982</v>
      </c>
      <c r="B1809" s="7" t="s">
        <v>2644</v>
      </c>
      <c r="C1809" s="7" t="s">
        <v>7</v>
      </c>
      <c r="D1809" s="9">
        <v>46000</v>
      </c>
      <c r="E1809" s="3">
        <v>2785.73</v>
      </c>
      <c r="F1809" s="7" t="s">
        <v>298</v>
      </c>
    </row>
    <row r="1810" spans="1:6" x14ac:dyDescent="0.3">
      <c r="A1810" s="7" t="s">
        <v>4983</v>
      </c>
      <c r="B1810" s="7" t="s">
        <v>2646</v>
      </c>
      <c r="C1810" s="7" t="s">
        <v>97</v>
      </c>
      <c r="D1810" s="9">
        <v>46015</v>
      </c>
      <c r="E1810" s="3">
        <v>11102.48</v>
      </c>
      <c r="F1810" s="7" t="s">
        <v>296</v>
      </c>
    </row>
    <row r="1811" spans="1:6" x14ac:dyDescent="0.3">
      <c r="A1811" s="7" t="s">
        <v>4984</v>
      </c>
      <c r="B1811" s="7" t="s">
        <v>2648</v>
      </c>
      <c r="C1811" s="7" t="s">
        <v>8</v>
      </c>
      <c r="D1811" s="9">
        <v>45713</v>
      </c>
      <c r="E1811" s="3">
        <v>2910.84</v>
      </c>
      <c r="F1811" s="7" t="s">
        <v>298</v>
      </c>
    </row>
    <row r="1812" spans="1:6" x14ac:dyDescent="0.3">
      <c r="A1812" s="7" t="s">
        <v>4985</v>
      </c>
      <c r="B1812" s="7" t="s">
        <v>2649</v>
      </c>
      <c r="C1812" s="7" t="s">
        <v>118</v>
      </c>
      <c r="D1812" s="9">
        <v>45730</v>
      </c>
      <c r="E1812" s="3">
        <v>5039.88</v>
      </c>
      <c r="F1812" s="7" t="s">
        <v>298</v>
      </c>
    </row>
    <row r="1813" spans="1:6" x14ac:dyDescent="0.3">
      <c r="A1813" s="7" t="s">
        <v>4986</v>
      </c>
      <c r="B1813" s="7" t="s">
        <v>2650</v>
      </c>
      <c r="C1813" s="7" t="s">
        <v>109</v>
      </c>
      <c r="D1813" s="9">
        <v>45883</v>
      </c>
      <c r="E1813" s="3">
        <v>2446.87</v>
      </c>
      <c r="F1813" s="7" t="s">
        <v>3174</v>
      </c>
    </row>
    <row r="1814" spans="1:6" x14ac:dyDescent="0.3">
      <c r="A1814" s="7" t="s">
        <v>4987</v>
      </c>
      <c r="B1814" s="7" t="s">
        <v>2651</v>
      </c>
      <c r="C1814" s="7" t="s">
        <v>8</v>
      </c>
      <c r="D1814" s="9">
        <v>46054</v>
      </c>
      <c r="E1814" s="3">
        <v>3482.07</v>
      </c>
      <c r="F1814" s="7" t="s">
        <v>3174</v>
      </c>
    </row>
    <row r="1815" spans="1:6" x14ac:dyDescent="0.3">
      <c r="A1815" s="7" t="s">
        <v>4988</v>
      </c>
      <c r="B1815" s="7" t="s">
        <v>2653</v>
      </c>
      <c r="C1815" s="7" t="s">
        <v>28</v>
      </c>
      <c r="D1815" s="9">
        <v>45982</v>
      </c>
      <c r="E1815" s="3">
        <v>2522.48</v>
      </c>
      <c r="F1815" s="7" t="s">
        <v>3184</v>
      </c>
    </row>
    <row r="1816" spans="1:6" x14ac:dyDescent="0.3">
      <c r="A1816" s="7" t="s">
        <v>4989</v>
      </c>
      <c r="B1816" s="7" t="s">
        <v>2655</v>
      </c>
      <c r="C1816" s="7" t="s">
        <v>49</v>
      </c>
      <c r="D1816" s="9">
        <v>45824</v>
      </c>
      <c r="E1816" s="3">
        <v>2519.38</v>
      </c>
      <c r="F1816" s="7" t="s">
        <v>296</v>
      </c>
    </row>
    <row r="1817" spans="1:6" x14ac:dyDescent="0.3">
      <c r="A1817" s="7" t="s">
        <v>4990</v>
      </c>
      <c r="B1817" s="7" t="s">
        <v>2656</v>
      </c>
      <c r="C1817" s="7" t="s">
        <v>98</v>
      </c>
      <c r="D1817" s="9">
        <v>46098</v>
      </c>
      <c r="E1817" s="3">
        <v>1958.49</v>
      </c>
      <c r="F1817" s="7" t="s">
        <v>296</v>
      </c>
    </row>
    <row r="1818" spans="1:6" x14ac:dyDescent="0.3">
      <c r="A1818" s="7" t="s">
        <v>4991</v>
      </c>
      <c r="B1818" s="7" t="s">
        <v>2657</v>
      </c>
      <c r="C1818" s="7" t="s">
        <v>15</v>
      </c>
      <c r="D1818" s="9">
        <v>45892</v>
      </c>
      <c r="E1818" s="3">
        <v>9647.14</v>
      </c>
      <c r="F1818" s="7" t="s">
        <v>3174</v>
      </c>
    </row>
    <row r="1819" spans="1:6" x14ac:dyDescent="0.3">
      <c r="A1819" s="7" t="s">
        <v>4992</v>
      </c>
      <c r="B1819" s="7" t="s">
        <v>2658</v>
      </c>
      <c r="C1819" s="7" t="s">
        <v>75</v>
      </c>
      <c r="D1819" s="9">
        <v>45775</v>
      </c>
      <c r="E1819" s="3">
        <v>2774.21</v>
      </c>
      <c r="F1819" s="7" t="s">
        <v>3174</v>
      </c>
    </row>
    <row r="1820" spans="1:6" x14ac:dyDescent="0.3">
      <c r="A1820" s="7" t="s">
        <v>4993</v>
      </c>
      <c r="B1820" s="7" t="s">
        <v>2659</v>
      </c>
      <c r="C1820" s="7" t="s">
        <v>27</v>
      </c>
      <c r="D1820" s="9">
        <v>45711</v>
      </c>
      <c r="E1820" s="3">
        <v>11188.97</v>
      </c>
      <c r="F1820" s="7" t="s">
        <v>298</v>
      </c>
    </row>
    <row r="1821" spans="1:6" x14ac:dyDescent="0.3">
      <c r="A1821" s="7" t="s">
        <v>4994</v>
      </c>
      <c r="B1821" s="7" t="s">
        <v>2660</v>
      </c>
      <c r="C1821" s="7" t="s">
        <v>8</v>
      </c>
      <c r="D1821" s="9">
        <v>45972</v>
      </c>
      <c r="E1821" s="3">
        <v>1283.0999999999999</v>
      </c>
      <c r="F1821" s="7" t="s">
        <v>296</v>
      </c>
    </row>
    <row r="1822" spans="1:6" x14ac:dyDescent="0.3">
      <c r="A1822" s="7" t="s">
        <v>4995</v>
      </c>
      <c r="B1822" s="7" t="s">
        <v>2660</v>
      </c>
      <c r="C1822" s="7" t="s">
        <v>8</v>
      </c>
      <c r="D1822" s="9">
        <v>45976</v>
      </c>
      <c r="E1822" s="3">
        <v>1537.44</v>
      </c>
      <c r="F1822" s="7" t="s">
        <v>296</v>
      </c>
    </row>
    <row r="1823" spans="1:6" x14ac:dyDescent="0.3">
      <c r="A1823" s="7" t="s">
        <v>4996</v>
      </c>
      <c r="B1823" s="7" t="s">
        <v>2661</v>
      </c>
      <c r="C1823" s="7" t="s">
        <v>46</v>
      </c>
      <c r="D1823" s="9">
        <v>46102</v>
      </c>
      <c r="E1823" s="3">
        <v>4549.16</v>
      </c>
      <c r="F1823" s="7" t="s">
        <v>3174</v>
      </c>
    </row>
    <row r="1824" spans="1:6" x14ac:dyDescent="0.3">
      <c r="A1824" s="7" t="s">
        <v>4997</v>
      </c>
      <c r="B1824" s="7" t="s">
        <v>2662</v>
      </c>
      <c r="C1824" s="7" t="s">
        <v>89</v>
      </c>
      <c r="D1824" s="9">
        <v>45904</v>
      </c>
      <c r="E1824" s="3">
        <v>2624.5</v>
      </c>
      <c r="F1824" s="7" t="s">
        <v>298</v>
      </c>
    </row>
    <row r="1825" spans="1:6" x14ac:dyDescent="0.3">
      <c r="A1825" s="7" t="s">
        <v>4998</v>
      </c>
      <c r="B1825" s="7" t="s">
        <v>2663</v>
      </c>
      <c r="C1825" s="7" t="s">
        <v>34</v>
      </c>
      <c r="D1825" s="9">
        <v>45968</v>
      </c>
      <c r="E1825" s="3">
        <v>1585.86</v>
      </c>
      <c r="F1825" s="7" t="s">
        <v>3184</v>
      </c>
    </row>
    <row r="1826" spans="1:6" x14ac:dyDescent="0.3">
      <c r="A1826" s="7" t="s">
        <v>4999</v>
      </c>
      <c r="B1826" s="7" t="s">
        <v>2664</v>
      </c>
      <c r="C1826" s="7" t="s">
        <v>73</v>
      </c>
      <c r="D1826" s="9">
        <v>45949</v>
      </c>
      <c r="E1826" s="3">
        <v>2178.33</v>
      </c>
      <c r="F1826" s="7" t="s">
        <v>3184</v>
      </c>
    </row>
    <row r="1827" spans="1:6" x14ac:dyDescent="0.3">
      <c r="A1827" s="7" t="s">
        <v>5000</v>
      </c>
      <c r="B1827" s="7" t="s">
        <v>2665</v>
      </c>
      <c r="C1827" s="7" t="s">
        <v>116</v>
      </c>
      <c r="D1827" s="9">
        <v>45897</v>
      </c>
      <c r="E1827" s="3">
        <v>3702.76</v>
      </c>
      <c r="F1827" s="7" t="s">
        <v>298</v>
      </c>
    </row>
    <row r="1828" spans="1:6" x14ac:dyDescent="0.3">
      <c r="A1828" s="7" t="s">
        <v>5001</v>
      </c>
      <c r="B1828" s="7" t="s">
        <v>2669</v>
      </c>
      <c r="C1828" s="7" t="s">
        <v>63</v>
      </c>
      <c r="D1828" s="9">
        <v>45710</v>
      </c>
      <c r="E1828" s="3">
        <v>3475.14</v>
      </c>
      <c r="F1828" s="7" t="s">
        <v>3174</v>
      </c>
    </row>
    <row r="1829" spans="1:6" x14ac:dyDescent="0.3">
      <c r="A1829" s="7" t="s">
        <v>5002</v>
      </c>
      <c r="B1829" s="7" t="s">
        <v>2670</v>
      </c>
      <c r="C1829" s="7" t="s">
        <v>22</v>
      </c>
      <c r="D1829" s="9">
        <v>45839</v>
      </c>
      <c r="E1829" s="3">
        <v>7683.71</v>
      </c>
      <c r="F1829" s="7" t="s">
        <v>296</v>
      </c>
    </row>
    <row r="1830" spans="1:6" x14ac:dyDescent="0.3">
      <c r="A1830" s="7" t="s">
        <v>5003</v>
      </c>
      <c r="B1830" s="7" t="s">
        <v>2670</v>
      </c>
      <c r="C1830" s="7" t="s">
        <v>22</v>
      </c>
      <c r="D1830" s="9">
        <v>45852</v>
      </c>
      <c r="E1830" s="3">
        <v>5107.53</v>
      </c>
      <c r="F1830" s="7" t="s">
        <v>3184</v>
      </c>
    </row>
    <row r="1831" spans="1:6" x14ac:dyDescent="0.3">
      <c r="A1831" s="7" t="s">
        <v>5004</v>
      </c>
      <c r="B1831" s="7" t="s">
        <v>2671</v>
      </c>
      <c r="C1831" s="7" t="s">
        <v>52</v>
      </c>
      <c r="D1831" s="9">
        <v>45871</v>
      </c>
      <c r="E1831" s="3">
        <v>5120.29</v>
      </c>
      <c r="F1831" s="7" t="s">
        <v>3174</v>
      </c>
    </row>
    <row r="1832" spans="1:6" x14ac:dyDescent="0.3">
      <c r="A1832" s="7" t="s">
        <v>5005</v>
      </c>
      <c r="B1832" s="7" t="s">
        <v>2672</v>
      </c>
      <c r="C1832" s="7" t="s">
        <v>84</v>
      </c>
      <c r="D1832" s="9">
        <v>45834</v>
      </c>
      <c r="E1832" s="3">
        <v>1697.51</v>
      </c>
      <c r="F1832" s="7" t="s">
        <v>298</v>
      </c>
    </row>
    <row r="1833" spans="1:6" x14ac:dyDescent="0.3">
      <c r="A1833" s="7" t="s">
        <v>5006</v>
      </c>
      <c r="B1833" s="7" t="s">
        <v>2672</v>
      </c>
      <c r="C1833" s="7" t="s">
        <v>84</v>
      </c>
      <c r="D1833" s="9">
        <v>45837</v>
      </c>
      <c r="E1833" s="3">
        <v>1141.1400000000001</v>
      </c>
      <c r="F1833" s="7" t="s">
        <v>298</v>
      </c>
    </row>
    <row r="1834" spans="1:6" x14ac:dyDescent="0.3">
      <c r="A1834" s="7" t="s">
        <v>5007</v>
      </c>
      <c r="B1834" s="7" t="s">
        <v>2673</v>
      </c>
      <c r="C1834" s="7" t="s">
        <v>114</v>
      </c>
      <c r="D1834" s="9">
        <v>46014</v>
      </c>
      <c r="E1834" s="3">
        <v>5910.72</v>
      </c>
      <c r="F1834" s="7" t="s">
        <v>296</v>
      </c>
    </row>
    <row r="1835" spans="1:6" x14ac:dyDescent="0.3">
      <c r="A1835" s="7" t="s">
        <v>5008</v>
      </c>
      <c r="B1835" s="7" t="s">
        <v>2675</v>
      </c>
      <c r="C1835" s="7" t="s">
        <v>10</v>
      </c>
      <c r="D1835" s="9">
        <v>45894</v>
      </c>
      <c r="E1835" s="3">
        <v>3069.49</v>
      </c>
      <c r="F1835" s="7" t="s">
        <v>298</v>
      </c>
    </row>
    <row r="1836" spans="1:6" x14ac:dyDescent="0.3">
      <c r="A1836" s="7" t="s">
        <v>5009</v>
      </c>
      <c r="B1836" s="7" t="s">
        <v>2676</v>
      </c>
      <c r="C1836" s="7" t="s">
        <v>61</v>
      </c>
      <c r="D1836" s="9">
        <v>46076</v>
      </c>
      <c r="E1836" s="3">
        <v>2855.37</v>
      </c>
      <c r="F1836" s="7" t="s">
        <v>3184</v>
      </c>
    </row>
    <row r="1837" spans="1:6" x14ac:dyDescent="0.3">
      <c r="A1837" s="7" t="s">
        <v>5010</v>
      </c>
      <c r="B1837" s="7" t="s">
        <v>2677</v>
      </c>
      <c r="C1837" s="7" t="s">
        <v>29</v>
      </c>
      <c r="D1837" s="9">
        <v>46114</v>
      </c>
      <c r="E1837" s="3">
        <v>5233.95</v>
      </c>
      <c r="F1837" s="7" t="s">
        <v>298</v>
      </c>
    </row>
    <row r="1838" spans="1:6" x14ac:dyDescent="0.3">
      <c r="A1838" s="7" t="s">
        <v>5011</v>
      </c>
      <c r="B1838" s="7" t="s">
        <v>2678</v>
      </c>
      <c r="C1838" s="7" t="s">
        <v>31</v>
      </c>
      <c r="D1838" s="9">
        <v>45794</v>
      </c>
      <c r="E1838" s="3">
        <v>1068.71</v>
      </c>
      <c r="F1838" s="7" t="s">
        <v>3184</v>
      </c>
    </row>
    <row r="1839" spans="1:6" x14ac:dyDescent="0.3">
      <c r="A1839" s="7" t="s">
        <v>5012</v>
      </c>
      <c r="B1839" s="7" t="s">
        <v>2678</v>
      </c>
      <c r="C1839" s="7" t="s">
        <v>31</v>
      </c>
      <c r="D1839" s="9">
        <v>45807</v>
      </c>
      <c r="E1839" s="3">
        <v>1088.01</v>
      </c>
      <c r="F1839" s="7" t="s">
        <v>3174</v>
      </c>
    </row>
    <row r="1840" spans="1:6" x14ac:dyDescent="0.3">
      <c r="A1840" s="7" t="s">
        <v>5013</v>
      </c>
      <c r="B1840" s="7" t="s">
        <v>2680</v>
      </c>
      <c r="C1840" s="7" t="s">
        <v>89</v>
      </c>
      <c r="D1840" s="9">
        <v>45706</v>
      </c>
      <c r="E1840" s="3">
        <v>2502.79</v>
      </c>
      <c r="F1840" s="7" t="s">
        <v>3184</v>
      </c>
    </row>
    <row r="1841" spans="1:6" x14ac:dyDescent="0.3">
      <c r="A1841" s="7" t="s">
        <v>5014</v>
      </c>
      <c r="B1841" s="7" t="s">
        <v>2683</v>
      </c>
      <c r="C1841" s="7" t="s">
        <v>29</v>
      </c>
      <c r="D1841" s="9">
        <v>45996</v>
      </c>
      <c r="E1841" s="3">
        <v>2107.85</v>
      </c>
      <c r="F1841" s="7" t="s">
        <v>296</v>
      </c>
    </row>
    <row r="1842" spans="1:6" x14ac:dyDescent="0.3">
      <c r="A1842" s="7" t="s">
        <v>5015</v>
      </c>
      <c r="B1842" s="7" t="s">
        <v>2685</v>
      </c>
      <c r="C1842" s="7" t="s">
        <v>29</v>
      </c>
      <c r="D1842" s="9">
        <v>46041</v>
      </c>
      <c r="E1842" s="3">
        <v>2028.84</v>
      </c>
      <c r="F1842" s="7" t="s">
        <v>296</v>
      </c>
    </row>
    <row r="1843" spans="1:6" x14ac:dyDescent="0.3">
      <c r="A1843" s="7" t="s">
        <v>5016</v>
      </c>
      <c r="B1843" s="7" t="s">
        <v>2686</v>
      </c>
      <c r="C1843" s="7" t="s">
        <v>88</v>
      </c>
      <c r="D1843" s="9">
        <v>46093</v>
      </c>
      <c r="E1843" s="3">
        <v>4165.6499999999996</v>
      </c>
      <c r="F1843" s="7" t="s">
        <v>3184</v>
      </c>
    </row>
    <row r="1844" spans="1:6" x14ac:dyDescent="0.3">
      <c r="A1844" s="7" t="s">
        <v>5017</v>
      </c>
      <c r="B1844" s="7" t="s">
        <v>2687</v>
      </c>
      <c r="C1844" s="7" t="s">
        <v>116</v>
      </c>
      <c r="D1844" s="9">
        <v>45749</v>
      </c>
      <c r="E1844" s="3">
        <v>1484.87</v>
      </c>
      <c r="F1844" s="7" t="s">
        <v>3184</v>
      </c>
    </row>
    <row r="1845" spans="1:6" x14ac:dyDescent="0.3">
      <c r="A1845" s="7" t="s">
        <v>5018</v>
      </c>
      <c r="B1845" s="7" t="s">
        <v>2688</v>
      </c>
      <c r="C1845" s="7" t="s">
        <v>93</v>
      </c>
      <c r="D1845" s="9">
        <v>46047</v>
      </c>
      <c r="E1845" s="3">
        <v>5310.21</v>
      </c>
      <c r="F1845" s="7" t="s">
        <v>3174</v>
      </c>
    </row>
    <row r="1846" spans="1:6" x14ac:dyDescent="0.3">
      <c r="A1846" s="7" t="s">
        <v>5019</v>
      </c>
      <c r="B1846" s="7" t="s">
        <v>2689</v>
      </c>
      <c r="C1846" s="7" t="s">
        <v>53</v>
      </c>
      <c r="D1846" s="9">
        <v>45772</v>
      </c>
      <c r="E1846" s="3">
        <v>2897.74</v>
      </c>
      <c r="F1846" s="7" t="s">
        <v>298</v>
      </c>
    </row>
    <row r="1847" spans="1:6" x14ac:dyDescent="0.3">
      <c r="A1847" s="7" t="s">
        <v>5020</v>
      </c>
      <c r="B1847" s="7" t="s">
        <v>2690</v>
      </c>
      <c r="C1847" s="7" t="s">
        <v>92</v>
      </c>
      <c r="D1847" s="9">
        <v>46009</v>
      </c>
      <c r="E1847" s="3">
        <v>2819.84</v>
      </c>
      <c r="F1847" s="7" t="s">
        <v>3184</v>
      </c>
    </row>
    <row r="1848" spans="1:6" x14ac:dyDescent="0.3">
      <c r="A1848" s="7" t="s">
        <v>5021</v>
      </c>
      <c r="B1848" s="7" t="s">
        <v>2691</v>
      </c>
      <c r="C1848" s="7" t="s">
        <v>41</v>
      </c>
      <c r="D1848" s="9">
        <v>45756</v>
      </c>
      <c r="E1848" s="3">
        <v>1484.27</v>
      </c>
      <c r="F1848" s="7" t="s">
        <v>3174</v>
      </c>
    </row>
    <row r="1849" spans="1:6" x14ac:dyDescent="0.3">
      <c r="A1849" s="7" t="s">
        <v>5022</v>
      </c>
      <c r="B1849" s="7" t="s">
        <v>2692</v>
      </c>
      <c r="C1849" s="7" t="s">
        <v>95</v>
      </c>
      <c r="D1849" s="9">
        <v>45690</v>
      </c>
      <c r="E1849" s="3">
        <v>1174.81</v>
      </c>
      <c r="F1849" s="7" t="s">
        <v>3184</v>
      </c>
    </row>
    <row r="1850" spans="1:6" x14ac:dyDescent="0.3">
      <c r="A1850" s="7" t="s">
        <v>5023</v>
      </c>
      <c r="B1850" s="7" t="s">
        <v>2692</v>
      </c>
      <c r="C1850" s="7" t="s">
        <v>95</v>
      </c>
      <c r="D1850" s="9">
        <v>45692</v>
      </c>
      <c r="E1850" s="3">
        <v>1432.29</v>
      </c>
      <c r="F1850" s="7" t="s">
        <v>298</v>
      </c>
    </row>
    <row r="1851" spans="1:6" x14ac:dyDescent="0.3">
      <c r="A1851" s="7" t="s">
        <v>5024</v>
      </c>
      <c r="B1851" s="7" t="s">
        <v>2694</v>
      </c>
      <c r="C1851" s="7" t="s">
        <v>79</v>
      </c>
      <c r="D1851" s="9">
        <v>45860</v>
      </c>
      <c r="E1851" s="3">
        <v>2273.7600000000002</v>
      </c>
      <c r="F1851" s="7" t="s">
        <v>3184</v>
      </c>
    </row>
    <row r="1852" spans="1:6" x14ac:dyDescent="0.3">
      <c r="A1852" s="7" t="s">
        <v>5025</v>
      </c>
      <c r="B1852" s="7" t="s">
        <v>2695</v>
      </c>
      <c r="C1852" s="7" t="s">
        <v>18</v>
      </c>
      <c r="D1852" s="9">
        <v>45897</v>
      </c>
      <c r="E1852" s="3">
        <v>1501.99</v>
      </c>
      <c r="F1852" s="7" t="s">
        <v>3174</v>
      </c>
    </row>
    <row r="1853" spans="1:6" x14ac:dyDescent="0.3">
      <c r="A1853" s="7" t="s">
        <v>5026</v>
      </c>
      <c r="B1853" s="7" t="s">
        <v>2696</v>
      </c>
      <c r="C1853" s="7" t="s">
        <v>9</v>
      </c>
      <c r="D1853" s="9">
        <v>45798</v>
      </c>
      <c r="E1853" s="3">
        <v>5459.1</v>
      </c>
      <c r="F1853" s="7" t="s">
        <v>298</v>
      </c>
    </row>
    <row r="1854" spans="1:6" x14ac:dyDescent="0.3">
      <c r="A1854" s="7" t="s">
        <v>5027</v>
      </c>
      <c r="B1854" s="7" t="s">
        <v>2697</v>
      </c>
      <c r="C1854" s="7" t="s">
        <v>17</v>
      </c>
      <c r="D1854" s="9">
        <v>45808</v>
      </c>
      <c r="E1854" s="3">
        <v>5577.47</v>
      </c>
      <c r="F1854" s="7" t="s">
        <v>298</v>
      </c>
    </row>
    <row r="1855" spans="1:6" x14ac:dyDescent="0.3">
      <c r="A1855" s="7" t="s">
        <v>5028</v>
      </c>
      <c r="B1855" s="7" t="s">
        <v>2698</v>
      </c>
      <c r="C1855" s="7" t="s">
        <v>122</v>
      </c>
      <c r="D1855" s="9">
        <v>45851</v>
      </c>
      <c r="E1855" s="3">
        <v>2119.13</v>
      </c>
      <c r="F1855" s="7" t="s">
        <v>298</v>
      </c>
    </row>
    <row r="1856" spans="1:6" x14ac:dyDescent="0.3">
      <c r="A1856" s="7" t="s">
        <v>5029</v>
      </c>
      <c r="B1856" s="7" t="s">
        <v>2699</v>
      </c>
      <c r="C1856" s="7" t="s">
        <v>55</v>
      </c>
      <c r="D1856" s="9">
        <v>46053</v>
      </c>
      <c r="E1856" s="3">
        <v>5494.82</v>
      </c>
      <c r="F1856" s="7" t="s">
        <v>298</v>
      </c>
    </row>
    <row r="1857" spans="1:6" x14ac:dyDescent="0.3">
      <c r="A1857" s="7" t="s">
        <v>5030</v>
      </c>
      <c r="B1857" s="7" t="s">
        <v>2700</v>
      </c>
      <c r="C1857" s="7" t="s">
        <v>59</v>
      </c>
      <c r="D1857" s="9">
        <v>45805</v>
      </c>
      <c r="E1857" s="3">
        <v>1646.7</v>
      </c>
      <c r="F1857" s="7" t="s">
        <v>298</v>
      </c>
    </row>
    <row r="1858" spans="1:6" x14ac:dyDescent="0.3">
      <c r="A1858" s="7" t="s">
        <v>5031</v>
      </c>
      <c r="B1858" s="7" t="s">
        <v>2701</v>
      </c>
      <c r="C1858" s="7" t="s">
        <v>44</v>
      </c>
      <c r="D1858" s="9">
        <v>45812</v>
      </c>
      <c r="E1858" s="3">
        <v>5670.55</v>
      </c>
      <c r="F1858" s="7" t="s">
        <v>3174</v>
      </c>
    </row>
    <row r="1859" spans="1:6" x14ac:dyDescent="0.3">
      <c r="A1859" s="7" t="s">
        <v>5032</v>
      </c>
      <c r="B1859" s="7" t="s">
        <v>2702</v>
      </c>
      <c r="C1859" s="7" t="s">
        <v>81</v>
      </c>
      <c r="D1859" s="9">
        <v>45812</v>
      </c>
      <c r="E1859" s="3">
        <v>2697.56</v>
      </c>
      <c r="F1859" s="7" t="s">
        <v>3174</v>
      </c>
    </row>
    <row r="1860" spans="1:6" x14ac:dyDescent="0.3">
      <c r="A1860" s="7" t="s">
        <v>5033</v>
      </c>
      <c r="B1860" s="7" t="s">
        <v>2703</v>
      </c>
      <c r="C1860" s="7" t="s">
        <v>87</v>
      </c>
      <c r="D1860" s="9">
        <v>46027</v>
      </c>
      <c r="E1860" s="3">
        <v>2348.86</v>
      </c>
      <c r="F1860" s="7" t="s">
        <v>298</v>
      </c>
    </row>
    <row r="1861" spans="1:6" x14ac:dyDescent="0.3">
      <c r="A1861" s="7" t="s">
        <v>5034</v>
      </c>
      <c r="B1861" s="7" t="s">
        <v>2704</v>
      </c>
      <c r="C1861" s="7" t="s">
        <v>75</v>
      </c>
      <c r="D1861" s="9">
        <v>45677</v>
      </c>
      <c r="E1861" s="3">
        <v>2038.85</v>
      </c>
      <c r="F1861" s="7" t="s">
        <v>298</v>
      </c>
    </row>
    <row r="1862" spans="1:6" x14ac:dyDescent="0.3">
      <c r="A1862" s="7" t="s">
        <v>5035</v>
      </c>
      <c r="B1862" s="7" t="s">
        <v>2705</v>
      </c>
      <c r="C1862" s="7" t="s">
        <v>110</v>
      </c>
      <c r="D1862" s="9">
        <v>46061</v>
      </c>
      <c r="E1862" s="3">
        <v>3094.93</v>
      </c>
      <c r="F1862" s="7" t="s">
        <v>298</v>
      </c>
    </row>
    <row r="1863" spans="1:6" x14ac:dyDescent="0.3">
      <c r="A1863" s="7" t="s">
        <v>5036</v>
      </c>
      <c r="B1863" s="7" t="s">
        <v>2706</v>
      </c>
      <c r="C1863" s="7" t="s">
        <v>71</v>
      </c>
      <c r="D1863" s="9">
        <v>45790</v>
      </c>
      <c r="E1863" s="3">
        <v>2013.32</v>
      </c>
      <c r="F1863" s="7" t="s">
        <v>296</v>
      </c>
    </row>
    <row r="1864" spans="1:6" x14ac:dyDescent="0.3">
      <c r="A1864" s="7" t="s">
        <v>5037</v>
      </c>
      <c r="B1864" s="7" t="s">
        <v>2707</v>
      </c>
      <c r="C1864" s="7" t="s">
        <v>105</v>
      </c>
      <c r="D1864" s="9">
        <v>46104</v>
      </c>
      <c r="E1864" s="3">
        <v>3961.8</v>
      </c>
      <c r="F1864" s="7" t="s">
        <v>3174</v>
      </c>
    </row>
    <row r="1865" spans="1:6" x14ac:dyDescent="0.3">
      <c r="A1865" s="7" t="s">
        <v>5038</v>
      </c>
      <c r="B1865" s="7" t="s">
        <v>2708</v>
      </c>
      <c r="C1865" s="7" t="s">
        <v>21</v>
      </c>
      <c r="D1865" s="9">
        <v>45940</v>
      </c>
      <c r="E1865" s="3">
        <v>4516.43</v>
      </c>
      <c r="F1865" s="7" t="s">
        <v>296</v>
      </c>
    </row>
    <row r="1866" spans="1:6" x14ac:dyDescent="0.3">
      <c r="A1866" s="7" t="s">
        <v>5039</v>
      </c>
      <c r="B1866" s="7" t="s">
        <v>2709</v>
      </c>
      <c r="C1866" s="7" t="s">
        <v>82</v>
      </c>
      <c r="D1866" s="9">
        <v>45791</v>
      </c>
      <c r="E1866" s="3">
        <v>3721.67</v>
      </c>
      <c r="F1866" s="7" t="s">
        <v>3184</v>
      </c>
    </row>
    <row r="1867" spans="1:6" x14ac:dyDescent="0.3">
      <c r="A1867" s="7" t="s">
        <v>5040</v>
      </c>
      <c r="B1867" s="7" t="s">
        <v>2710</v>
      </c>
      <c r="C1867" s="7" t="s">
        <v>11</v>
      </c>
      <c r="D1867" s="9">
        <v>45875</v>
      </c>
      <c r="E1867" s="3">
        <v>2372.2800000000002</v>
      </c>
      <c r="F1867" s="7" t="s">
        <v>296</v>
      </c>
    </row>
    <row r="1868" spans="1:6" x14ac:dyDescent="0.3">
      <c r="A1868" s="7" t="s">
        <v>5041</v>
      </c>
      <c r="B1868" s="7" t="s">
        <v>2712</v>
      </c>
      <c r="C1868" s="7" t="s">
        <v>19</v>
      </c>
      <c r="D1868" s="9">
        <v>45830</v>
      </c>
      <c r="E1868" s="3">
        <v>4842.82</v>
      </c>
      <c r="F1868" s="7" t="s">
        <v>296</v>
      </c>
    </row>
    <row r="1869" spans="1:6" x14ac:dyDescent="0.3">
      <c r="A1869" s="7" t="s">
        <v>5042</v>
      </c>
      <c r="B1869" s="7" t="s">
        <v>2713</v>
      </c>
      <c r="C1869" s="7" t="s">
        <v>30</v>
      </c>
      <c r="D1869" s="9">
        <v>45817</v>
      </c>
      <c r="E1869" s="3">
        <v>5826.3</v>
      </c>
      <c r="F1869" s="7" t="s">
        <v>3174</v>
      </c>
    </row>
    <row r="1870" spans="1:6" x14ac:dyDescent="0.3">
      <c r="A1870" s="7" t="s">
        <v>5043</v>
      </c>
      <c r="B1870" s="7" t="s">
        <v>2714</v>
      </c>
      <c r="C1870" s="7" t="s">
        <v>95</v>
      </c>
      <c r="D1870" s="9">
        <v>45977</v>
      </c>
      <c r="E1870" s="3">
        <v>1277.01</v>
      </c>
      <c r="F1870" s="7" t="s">
        <v>296</v>
      </c>
    </row>
    <row r="1871" spans="1:6" x14ac:dyDescent="0.3">
      <c r="A1871" s="7" t="s">
        <v>5044</v>
      </c>
      <c r="B1871" s="7" t="s">
        <v>2714</v>
      </c>
      <c r="C1871" s="7" t="s">
        <v>95</v>
      </c>
      <c r="D1871" s="9">
        <v>45991</v>
      </c>
      <c r="E1871" s="3">
        <v>1649.8</v>
      </c>
      <c r="F1871" s="7" t="s">
        <v>3184</v>
      </c>
    </row>
    <row r="1872" spans="1:6" x14ac:dyDescent="0.3">
      <c r="A1872" s="7" t="s">
        <v>5045</v>
      </c>
      <c r="B1872" s="7" t="s">
        <v>2715</v>
      </c>
      <c r="C1872" s="7" t="s">
        <v>54</v>
      </c>
      <c r="D1872" s="9">
        <v>45915</v>
      </c>
      <c r="E1872" s="3">
        <v>13108.58</v>
      </c>
      <c r="F1872" s="7" t="s">
        <v>298</v>
      </c>
    </row>
    <row r="1873" spans="1:6" x14ac:dyDescent="0.3">
      <c r="A1873" s="7" t="s">
        <v>5046</v>
      </c>
      <c r="B1873" s="7" t="s">
        <v>2716</v>
      </c>
      <c r="C1873" s="7" t="s">
        <v>119</v>
      </c>
      <c r="D1873" s="9">
        <v>46023</v>
      </c>
      <c r="E1873" s="3">
        <v>3273.03</v>
      </c>
      <c r="F1873" s="7" t="s">
        <v>298</v>
      </c>
    </row>
    <row r="1874" spans="1:6" x14ac:dyDescent="0.3">
      <c r="A1874" s="7" t="s">
        <v>5047</v>
      </c>
      <c r="B1874" s="7" t="s">
        <v>2717</v>
      </c>
      <c r="C1874" s="7" t="s">
        <v>106</v>
      </c>
      <c r="D1874" s="9">
        <v>45926</v>
      </c>
      <c r="E1874" s="3">
        <v>5526.35</v>
      </c>
      <c r="F1874" s="7" t="s">
        <v>298</v>
      </c>
    </row>
    <row r="1875" spans="1:6" x14ac:dyDescent="0.3">
      <c r="A1875" s="7" t="s">
        <v>5048</v>
      </c>
      <c r="B1875" s="7" t="s">
        <v>2718</v>
      </c>
      <c r="C1875" s="7" t="s">
        <v>72</v>
      </c>
      <c r="D1875" s="9">
        <v>45871</v>
      </c>
      <c r="E1875" s="3">
        <v>1225.8499999999999</v>
      </c>
      <c r="F1875" s="7" t="s">
        <v>298</v>
      </c>
    </row>
    <row r="1876" spans="1:6" x14ac:dyDescent="0.3">
      <c r="A1876" s="7" t="s">
        <v>5049</v>
      </c>
      <c r="B1876" s="7" t="s">
        <v>2718</v>
      </c>
      <c r="C1876" s="7" t="s">
        <v>72</v>
      </c>
      <c r="D1876" s="9">
        <v>45880</v>
      </c>
      <c r="E1876" s="3">
        <v>1728.13</v>
      </c>
      <c r="F1876" s="7" t="s">
        <v>298</v>
      </c>
    </row>
    <row r="1877" spans="1:6" x14ac:dyDescent="0.3">
      <c r="A1877" s="7" t="s">
        <v>5050</v>
      </c>
      <c r="B1877" s="7" t="s">
        <v>2720</v>
      </c>
      <c r="C1877" s="7" t="s">
        <v>49</v>
      </c>
      <c r="D1877" s="9">
        <v>45957</v>
      </c>
      <c r="E1877" s="3">
        <v>5902.99</v>
      </c>
      <c r="F1877" s="7" t="s">
        <v>298</v>
      </c>
    </row>
    <row r="1878" spans="1:6" x14ac:dyDescent="0.3">
      <c r="A1878" s="7" t="s">
        <v>5051</v>
      </c>
      <c r="B1878" s="7" t="s">
        <v>2722</v>
      </c>
      <c r="C1878" s="7" t="s">
        <v>120</v>
      </c>
      <c r="D1878" s="9">
        <v>45677</v>
      </c>
      <c r="E1878" s="3">
        <v>10393.64</v>
      </c>
      <c r="F1878" s="7" t="s">
        <v>298</v>
      </c>
    </row>
    <row r="1879" spans="1:6" x14ac:dyDescent="0.3">
      <c r="A1879" s="7" t="s">
        <v>5052</v>
      </c>
      <c r="B1879" s="7" t="s">
        <v>2723</v>
      </c>
      <c r="C1879" s="7" t="s">
        <v>33</v>
      </c>
      <c r="D1879" s="9">
        <v>45728</v>
      </c>
      <c r="E1879" s="3">
        <v>4602.5600000000004</v>
      </c>
      <c r="F1879" s="7" t="s">
        <v>296</v>
      </c>
    </row>
    <row r="1880" spans="1:6" x14ac:dyDescent="0.3">
      <c r="A1880" s="7" t="s">
        <v>5053</v>
      </c>
      <c r="B1880" s="7" t="s">
        <v>2724</v>
      </c>
      <c r="C1880" s="7" t="s">
        <v>115</v>
      </c>
      <c r="D1880" s="9">
        <v>45785</v>
      </c>
      <c r="E1880" s="3">
        <v>10032.799999999999</v>
      </c>
      <c r="F1880" s="7" t="s">
        <v>298</v>
      </c>
    </row>
    <row r="1881" spans="1:6" x14ac:dyDescent="0.3">
      <c r="A1881" s="7" t="s">
        <v>5054</v>
      </c>
      <c r="B1881" s="7" t="s">
        <v>2725</v>
      </c>
      <c r="C1881" s="7" t="s">
        <v>77</v>
      </c>
      <c r="D1881" s="9">
        <v>45763</v>
      </c>
      <c r="E1881" s="3">
        <v>2004.94</v>
      </c>
      <c r="F1881" s="7" t="s">
        <v>296</v>
      </c>
    </row>
    <row r="1882" spans="1:6" x14ac:dyDescent="0.3">
      <c r="A1882" s="7" t="s">
        <v>5055</v>
      </c>
      <c r="B1882" s="7" t="s">
        <v>2726</v>
      </c>
      <c r="C1882" s="7" t="s">
        <v>113</v>
      </c>
      <c r="D1882" s="9">
        <v>45768</v>
      </c>
      <c r="E1882" s="3">
        <v>1723.71</v>
      </c>
      <c r="F1882" s="7" t="s">
        <v>296</v>
      </c>
    </row>
    <row r="1883" spans="1:6" x14ac:dyDescent="0.3">
      <c r="A1883" s="7" t="s">
        <v>5056</v>
      </c>
      <c r="B1883" s="7" t="s">
        <v>2727</v>
      </c>
      <c r="C1883" s="7" t="s">
        <v>47</v>
      </c>
      <c r="D1883" s="9">
        <v>46049</v>
      </c>
      <c r="E1883" s="3">
        <v>12989.88</v>
      </c>
      <c r="F1883" s="7" t="s">
        <v>3184</v>
      </c>
    </row>
    <row r="1884" spans="1:6" x14ac:dyDescent="0.3">
      <c r="A1884" s="7" t="s">
        <v>5057</v>
      </c>
      <c r="B1884" s="7" t="s">
        <v>2729</v>
      </c>
      <c r="C1884" s="7" t="s">
        <v>92</v>
      </c>
      <c r="D1884" s="9">
        <v>45942</v>
      </c>
      <c r="E1884" s="3">
        <v>12465.31</v>
      </c>
      <c r="F1884" s="7" t="s">
        <v>296</v>
      </c>
    </row>
    <row r="1885" spans="1:6" x14ac:dyDescent="0.3">
      <c r="A1885" s="7" t="s">
        <v>5058</v>
      </c>
      <c r="B1885" s="7" t="s">
        <v>2732</v>
      </c>
      <c r="C1885" s="7" t="s">
        <v>70</v>
      </c>
      <c r="D1885" s="9">
        <v>45727</v>
      </c>
      <c r="E1885" s="3">
        <v>3852.36</v>
      </c>
      <c r="F1885" s="7" t="s">
        <v>3174</v>
      </c>
    </row>
    <row r="1886" spans="1:6" x14ac:dyDescent="0.3">
      <c r="A1886" s="7" t="s">
        <v>5059</v>
      </c>
      <c r="B1886" s="7" t="s">
        <v>2733</v>
      </c>
      <c r="C1886" s="7" t="s">
        <v>56</v>
      </c>
      <c r="D1886" s="9">
        <v>45829</v>
      </c>
      <c r="E1886" s="3">
        <v>2541.96</v>
      </c>
      <c r="F1886" s="7" t="s">
        <v>298</v>
      </c>
    </row>
    <row r="1887" spans="1:6" x14ac:dyDescent="0.3">
      <c r="A1887" s="7" t="s">
        <v>5060</v>
      </c>
      <c r="B1887" s="7" t="s">
        <v>2733</v>
      </c>
      <c r="C1887" s="7" t="s">
        <v>56</v>
      </c>
      <c r="D1887" s="9">
        <v>45839</v>
      </c>
      <c r="E1887" s="3">
        <v>1546.54</v>
      </c>
      <c r="F1887" s="7" t="s">
        <v>3174</v>
      </c>
    </row>
    <row r="1888" spans="1:6" x14ac:dyDescent="0.3">
      <c r="A1888" s="7" t="s">
        <v>5061</v>
      </c>
      <c r="B1888" s="7" t="s">
        <v>2734</v>
      </c>
      <c r="C1888" s="7" t="s">
        <v>93</v>
      </c>
      <c r="D1888" s="9">
        <v>45763</v>
      </c>
      <c r="E1888" s="3">
        <v>1569.51</v>
      </c>
      <c r="F1888" s="7" t="s">
        <v>3184</v>
      </c>
    </row>
    <row r="1889" spans="1:6" x14ac:dyDescent="0.3">
      <c r="A1889" s="7" t="s">
        <v>5062</v>
      </c>
      <c r="B1889" s="7" t="s">
        <v>2735</v>
      </c>
      <c r="C1889" s="7" t="s">
        <v>94</v>
      </c>
      <c r="D1889" s="9">
        <v>45893</v>
      </c>
      <c r="E1889" s="3">
        <v>9767.17</v>
      </c>
      <c r="F1889" s="7" t="s">
        <v>296</v>
      </c>
    </row>
    <row r="1890" spans="1:6" x14ac:dyDescent="0.3">
      <c r="A1890" s="7" t="s">
        <v>5063</v>
      </c>
      <c r="B1890" s="7" t="s">
        <v>2736</v>
      </c>
      <c r="C1890" s="7" t="s">
        <v>100</v>
      </c>
      <c r="D1890" s="9">
        <v>45918</v>
      </c>
      <c r="E1890" s="3">
        <v>3967.93</v>
      </c>
      <c r="F1890" s="7" t="s">
        <v>298</v>
      </c>
    </row>
    <row r="1891" spans="1:6" x14ac:dyDescent="0.3">
      <c r="A1891" s="7" t="s">
        <v>5064</v>
      </c>
      <c r="B1891" s="7" t="s">
        <v>2737</v>
      </c>
      <c r="C1891" s="7" t="s">
        <v>23</v>
      </c>
      <c r="D1891" s="9">
        <v>45871</v>
      </c>
      <c r="E1891" s="3">
        <v>3187.04</v>
      </c>
      <c r="F1891" s="7" t="s">
        <v>3184</v>
      </c>
    </row>
    <row r="1892" spans="1:6" x14ac:dyDescent="0.3">
      <c r="A1892" s="7" t="s">
        <v>5065</v>
      </c>
      <c r="B1892" s="7" t="s">
        <v>2738</v>
      </c>
      <c r="C1892" s="7" t="s">
        <v>90</v>
      </c>
      <c r="D1892" s="9">
        <v>46046</v>
      </c>
      <c r="E1892" s="3">
        <v>3509.76</v>
      </c>
      <c r="F1892" s="7" t="s">
        <v>298</v>
      </c>
    </row>
    <row r="1893" spans="1:6" x14ac:dyDescent="0.3">
      <c r="A1893" s="7" t="s">
        <v>5066</v>
      </c>
      <c r="B1893" s="7" t="s">
        <v>2739</v>
      </c>
      <c r="C1893" s="7" t="s">
        <v>40</v>
      </c>
      <c r="D1893" s="9">
        <v>46057</v>
      </c>
      <c r="E1893" s="3">
        <v>1729.23</v>
      </c>
      <c r="F1893" s="7" t="s">
        <v>296</v>
      </c>
    </row>
    <row r="1894" spans="1:6" x14ac:dyDescent="0.3">
      <c r="A1894" s="7" t="s">
        <v>5067</v>
      </c>
      <c r="B1894" s="7" t="s">
        <v>2740</v>
      </c>
      <c r="C1894" s="7" t="s">
        <v>106</v>
      </c>
      <c r="D1894" s="9">
        <v>45977</v>
      </c>
      <c r="E1894" s="3">
        <v>1896.56</v>
      </c>
      <c r="F1894" s="7" t="s">
        <v>3174</v>
      </c>
    </row>
    <row r="1895" spans="1:6" x14ac:dyDescent="0.3">
      <c r="A1895" s="7" t="s">
        <v>5068</v>
      </c>
      <c r="B1895" s="7" t="s">
        <v>2743</v>
      </c>
      <c r="C1895" s="7" t="s">
        <v>72</v>
      </c>
      <c r="D1895" s="9">
        <v>46063</v>
      </c>
      <c r="E1895" s="3">
        <v>4013.91</v>
      </c>
      <c r="F1895" s="7" t="s">
        <v>3174</v>
      </c>
    </row>
    <row r="1896" spans="1:6" x14ac:dyDescent="0.3">
      <c r="A1896" s="7" t="s">
        <v>5069</v>
      </c>
      <c r="B1896" s="7" t="s">
        <v>2744</v>
      </c>
      <c r="C1896" s="7" t="s">
        <v>43</v>
      </c>
      <c r="D1896" s="9">
        <v>45905</v>
      </c>
      <c r="E1896" s="3">
        <v>3818.68</v>
      </c>
      <c r="F1896" s="7" t="s">
        <v>3184</v>
      </c>
    </row>
    <row r="1897" spans="1:6" x14ac:dyDescent="0.3">
      <c r="A1897" s="7" t="s">
        <v>5070</v>
      </c>
      <c r="B1897" s="7" t="s">
        <v>2745</v>
      </c>
      <c r="C1897" s="7" t="s">
        <v>120</v>
      </c>
      <c r="D1897" s="9">
        <v>45947</v>
      </c>
      <c r="E1897" s="3">
        <v>2545.86</v>
      </c>
      <c r="F1897" s="7" t="s">
        <v>296</v>
      </c>
    </row>
    <row r="1898" spans="1:6" x14ac:dyDescent="0.3">
      <c r="A1898" s="7" t="s">
        <v>5071</v>
      </c>
      <c r="B1898" s="7" t="s">
        <v>2746</v>
      </c>
      <c r="C1898" s="7" t="s">
        <v>44</v>
      </c>
      <c r="D1898" s="9">
        <v>45826</v>
      </c>
      <c r="E1898" s="3">
        <v>3760.94</v>
      </c>
      <c r="F1898" s="7" t="s">
        <v>296</v>
      </c>
    </row>
    <row r="1899" spans="1:6" x14ac:dyDescent="0.3">
      <c r="A1899" s="7" t="s">
        <v>5072</v>
      </c>
      <c r="B1899" s="7" t="s">
        <v>2747</v>
      </c>
      <c r="C1899" s="7" t="s">
        <v>9</v>
      </c>
      <c r="D1899" s="9">
        <v>45771</v>
      </c>
      <c r="E1899" s="3">
        <v>3051.3</v>
      </c>
      <c r="F1899" s="7" t="s">
        <v>296</v>
      </c>
    </row>
    <row r="1900" spans="1:6" x14ac:dyDescent="0.3">
      <c r="A1900" s="7" t="s">
        <v>5073</v>
      </c>
      <c r="B1900" s="7" t="s">
        <v>2748</v>
      </c>
      <c r="C1900" s="7" t="s">
        <v>52</v>
      </c>
      <c r="D1900" s="9">
        <v>45996</v>
      </c>
      <c r="E1900" s="3">
        <v>11158.24</v>
      </c>
      <c r="F1900" s="7" t="s">
        <v>3174</v>
      </c>
    </row>
    <row r="1901" spans="1:6" x14ac:dyDescent="0.3">
      <c r="A1901" s="7" t="s">
        <v>5074</v>
      </c>
      <c r="B1901" s="7" t="s">
        <v>2749</v>
      </c>
      <c r="C1901" s="7" t="s">
        <v>17</v>
      </c>
      <c r="D1901" s="9">
        <v>46057</v>
      </c>
      <c r="E1901" s="3">
        <v>1466.36</v>
      </c>
      <c r="F1901" s="7" t="s">
        <v>296</v>
      </c>
    </row>
    <row r="1902" spans="1:6" x14ac:dyDescent="0.3">
      <c r="A1902" s="7" t="s">
        <v>5075</v>
      </c>
      <c r="B1902" s="7" t="s">
        <v>2750</v>
      </c>
      <c r="C1902" s="7" t="s">
        <v>62</v>
      </c>
      <c r="D1902" s="9">
        <v>46060</v>
      </c>
      <c r="E1902" s="3">
        <v>2932.4</v>
      </c>
      <c r="F1902" s="7" t="s">
        <v>296</v>
      </c>
    </row>
    <row r="1903" spans="1:6" x14ac:dyDescent="0.3">
      <c r="A1903" s="7" t="s">
        <v>5076</v>
      </c>
      <c r="B1903" s="7" t="s">
        <v>2751</v>
      </c>
      <c r="C1903" s="7" t="s">
        <v>124</v>
      </c>
      <c r="D1903" s="9">
        <v>45911</v>
      </c>
      <c r="E1903" s="3">
        <v>2345.39</v>
      </c>
      <c r="F1903" s="7" t="s">
        <v>296</v>
      </c>
    </row>
    <row r="1904" spans="1:6" x14ac:dyDescent="0.3">
      <c r="A1904" s="7" t="s">
        <v>5077</v>
      </c>
      <c r="B1904" s="7" t="s">
        <v>2752</v>
      </c>
      <c r="C1904" s="7" t="s">
        <v>48</v>
      </c>
      <c r="D1904" s="9">
        <v>45968</v>
      </c>
      <c r="E1904" s="3">
        <v>2030.75</v>
      </c>
      <c r="F1904" s="7" t="s">
        <v>3184</v>
      </c>
    </row>
    <row r="1905" spans="1:6" x14ac:dyDescent="0.3">
      <c r="A1905" s="7" t="s">
        <v>5078</v>
      </c>
      <c r="B1905" s="7" t="s">
        <v>2753</v>
      </c>
      <c r="C1905" s="7" t="s">
        <v>119</v>
      </c>
      <c r="D1905" s="9">
        <v>46028</v>
      </c>
      <c r="E1905" s="3">
        <v>2038.29</v>
      </c>
      <c r="F1905" s="7" t="s">
        <v>3174</v>
      </c>
    </row>
    <row r="1906" spans="1:6" x14ac:dyDescent="0.3">
      <c r="A1906" s="7" t="s">
        <v>5079</v>
      </c>
      <c r="B1906" s="7" t="s">
        <v>2754</v>
      </c>
      <c r="C1906" s="7" t="s">
        <v>88</v>
      </c>
      <c r="D1906" s="9">
        <v>46036</v>
      </c>
      <c r="E1906" s="3">
        <v>2858.3</v>
      </c>
      <c r="F1906" s="7" t="s">
        <v>296</v>
      </c>
    </row>
    <row r="1907" spans="1:6" x14ac:dyDescent="0.3">
      <c r="A1907" s="7" t="s">
        <v>5080</v>
      </c>
      <c r="B1907" s="7" t="s">
        <v>2755</v>
      </c>
      <c r="C1907" s="7" t="s">
        <v>102</v>
      </c>
      <c r="D1907" s="9">
        <v>45877</v>
      </c>
      <c r="E1907" s="3">
        <v>1657.43</v>
      </c>
      <c r="F1907" s="7" t="s">
        <v>296</v>
      </c>
    </row>
    <row r="1908" spans="1:6" x14ac:dyDescent="0.3">
      <c r="A1908" s="7" t="s">
        <v>5081</v>
      </c>
      <c r="B1908" s="7" t="s">
        <v>2758</v>
      </c>
      <c r="C1908" s="7" t="s">
        <v>13</v>
      </c>
      <c r="D1908" s="9">
        <v>46092</v>
      </c>
      <c r="E1908" s="3">
        <v>3554.82</v>
      </c>
      <c r="F1908" s="7" t="s">
        <v>296</v>
      </c>
    </row>
    <row r="1909" spans="1:6" x14ac:dyDescent="0.3">
      <c r="A1909" s="7" t="s">
        <v>5082</v>
      </c>
      <c r="B1909" s="7" t="s">
        <v>2759</v>
      </c>
      <c r="C1909" s="7" t="s">
        <v>95</v>
      </c>
      <c r="D1909" s="9">
        <v>45784</v>
      </c>
      <c r="E1909" s="3">
        <v>2573.34</v>
      </c>
      <c r="F1909" s="7" t="s">
        <v>3184</v>
      </c>
    </row>
    <row r="1910" spans="1:6" x14ac:dyDescent="0.3">
      <c r="A1910" s="7" t="s">
        <v>5083</v>
      </c>
      <c r="B1910" s="7" t="s">
        <v>2760</v>
      </c>
      <c r="C1910" s="7" t="s">
        <v>123</v>
      </c>
      <c r="D1910" s="9">
        <v>46022</v>
      </c>
      <c r="E1910" s="3">
        <v>4553.71</v>
      </c>
      <c r="F1910" s="7" t="s">
        <v>3174</v>
      </c>
    </row>
    <row r="1911" spans="1:6" x14ac:dyDescent="0.3">
      <c r="A1911" s="7" t="s">
        <v>5084</v>
      </c>
      <c r="B1911" s="7" t="s">
        <v>2761</v>
      </c>
      <c r="C1911" s="7" t="s">
        <v>9</v>
      </c>
      <c r="D1911" s="9">
        <v>45798</v>
      </c>
      <c r="E1911" s="3">
        <v>5356.42</v>
      </c>
      <c r="F1911" s="7" t="s">
        <v>296</v>
      </c>
    </row>
    <row r="1912" spans="1:6" x14ac:dyDescent="0.3">
      <c r="A1912" s="7" t="s">
        <v>5085</v>
      </c>
      <c r="B1912" s="7" t="s">
        <v>2762</v>
      </c>
      <c r="C1912" s="7" t="s">
        <v>108</v>
      </c>
      <c r="D1912" s="9">
        <v>45806</v>
      </c>
      <c r="E1912" s="3">
        <v>12754.62</v>
      </c>
      <c r="F1912" s="7" t="s">
        <v>298</v>
      </c>
    </row>
    <row r="1913" spans="1:6" x14ac:dyDescent="0.3">
      <c r="A1913" s="7" t="s">
        <v>5086</v>
      </c>
      <c r="B1913" s="7" t="s">
        <v>2763</v>
      </c>
      <c r="C1913" s="7" t="s">
        <v>48</v>
      </c>
      <c r="D1913" s="9">
        <v>45777</v>
      </c>
      <c r="E1913" s="3">
        <v>1669.07</v>
      </c>
      <c r="F1913" s="7" t="s">
        <v>296</v>
      </c>
    </row>
    <row r="1914" spans="1:6" x14ac:dyDescent="0.3">
      <c r="A1914" s="7" t="s">
        <v>5087</v>
      </c>
      <c r="B1914" s="7" t="s">
        <v>2764</v>
      </c>
      <c r="C1914" s="7" t="s">
        <v>112</v>
      </c>
      <c r="D1914" s="9">
        <v>45815</v>
      </c>
      <c r="E1914" s="3">
        <v>4127.4399999999996</v>
      </c>
      <c r="F1914" s="7" t="s">
        <v>3184</v>
      </c>
    </row>
    <row r="1915" spans="1:6" x14ac:dyDescent="0.3">
      <c r="A1915" s="7" t="s">
        <v>5088</v>
      </c>
      <c r="B1915" s="7" t="s">
        <v>2765</v>
      </c>
      <c r="C1915" s="7" t="s">
        <v>56</v>
      </c>
      <c r="D1915" s="9">
        <v>46040</v>
      </c>
      <c r="E1915" s="3">
        <v>12421.99</v>
      </c>
      <c r="F1915" s="7" t="s">
        <v>298</v>
      </c>
    </row>
    <row r="1916" spans="1:6" x14ac:dyDescent="0.3">
      <c r="A1916" s="7" t="s">
        <v>5089</v>
      </c>
      <c r="B1916" s="7" t="s">
        <v>2766</v>
      </c>
      <c r="C1916" s="7" t="s">
        <v>51</v>
      </c>
      <c r="D1916" s="9">
        <v>45708</v>
      </c>
      <c r="E1916" s="3">
        <v>14063.39</v>
      </c>
      <c r="F1916" s="7" t="s">
        <v>3174</v>
      </c>
    </row>
    <row r="1917" spans="1:6" x14ac:dyDescent="0.3">
      <c r="A1917" s="7" t="s">
        <v>5090</v>
      </c>
      <c r="B1917" s="7" t="s">
        <v>2767</v>
      </c>
      <c r="C1917" s="7" t="s">
        <v>75</v>
      </c>
      <c r="D1917" s="9">
        <v>46125</v>
      </c>
      <c r="E1917" s="3">
        <v>10328.540000000001</v>
      </c>
      <c r="F1917" s="7" t="s">
        <v>3184</v>
      </c>
    </row>
    <row r="1918" spans="1:6" x14ac:dyDescent="0.3">
      <c r="A1918" s="7" t="s">
        <v>5091</v>
      </c>
      <c r="B1918" s="7" t="s">
        <v>2768</v>
      </c>
      <c r="C1918" s="7" t="s">
        <v>91</v>
      </c>
      <c r="D1918" s="9">
        <v>45876</v>
      </c>
      <c r="E1918" s="3">
        <v>1562.41</v>
      </c>
      <c r="F1918" s="7" t="s">
        <v>296</v>
      </c>
    </row>
    <row r="1919" spans="1:6" x14ac:dyDescent="0.3">
      <c r="A1919" s="7" t="s">
        <v>5092</v>
      </c>
      <c r="B1919" s="7" t="s">
        <v>2769</v>
      </c>
      <c r="C1919" s="7" t="s">
        <v>51</v>
      </c>
      <c r="D1919" s="9">
        <v>46021</v>
      </c>
      <c r="E1919" s="3">
        <v>4154.8100000000004</v>
      </c>
      <c r="F1919" s="7" t="s">
        <v>298</v>
      </c>
    </row>
    <row r="1920" spans="1:6" x14ac:dyDescent="0.3">
      <c r="A1920" s="7" t="s">
        <v>5093</v>
      </c>
      <c r="B1920" s="7" t="s">
        <v>2770</v>
      </c>
      <c r="C1920" s="7" t="s">
        <v>103</v>
      </c>
      <c r="D1920" s="9">
        <v>45959</v>
      </c>
      <c r="E1920" s="3">
        <v>2649.06</v>
      </c>
      <c r="F1920" s="7" t="s">
        <v>3174</v>
      </c>
    </row>
    <row r="1921" spans="1:6" x14ac:dyDescent="0.3">
      <c r="A1921" s="7" t="s">
        <v>5094</v>
      </c>
      <c r="B1921" s="7" t="s">
        <v>2771</v>
      </c>
      <c r="C1921" s="7" t="s">
        <v>81</v>
      </c>
      <c r="D1921" s="9">
        <v>45901</v>
      </c>
      <c r="E1921" s="3">
        <v>2451.5</v>
      </c>
      <c r="F1921" s="7" t="s">
        <v>3184</v>
      </c>
    </row>
    <row r="1922" spans="1:6" x14ac:dyDescent="0.3">
      <c r="A1922" s="7" t="s">
        <v>5095</v>
      </c>
      <c r="B1922" s="7" t="s">
        <v>2772</v>
      </c>
      <c r="C1922" s="7" t="s">
        <v>104</v>
      </c>
      <c r="D1922" s="9">
        <v>45949</v>
      </c>
      <c r="E1922" s="3">
        <v>5248.53</v>
      </c>
      <c r="F1922" s="7" t="s">
        <v>296</v>
      </c>
    </row>
    <row r="1923" spans="1:6" x14ac:dyDescent="0.3">
      <c r="A1923" s="7" t="s">
        <v>5096</v>
      </c>
      <c r="B1923" s="7" t="s">
        <v>2773</v>
      </c>
      <c r="C1923" s="7" t="s">
        <v>37</v>
      </c>
      <c r="D1923" s="9">
        <v>45830</v>
      </c>
      <c r="E1923" s="3">
        <v>3301.67</v>
      </c>
      <c r="F1923" s="7" t="s">
        <v>296</v>
      </c>
    </row>
    <row r="1924" spans="1:6" x14ac:dyDescent="0.3">
      <c r="A1924" s="7" t="s">
        <v>5097</v>
      </c>
      <c r="B1924" s="7" t="s">
        <v>2774</v>
      </c>
      <c r="C1924" s="7" t="s">
        <v>115</v>
      </c>
      <c r="D1924" s="9">
        <v>45729</v>
      </c>
      <c r="E1924" s="3">
        <v>14021.65</v>
      </c>
      <c r="F1924" s="7" t="s">
        <v>3174</v>
      </c>
    </row>
    <row r="1925" spans="1:6" x14ac:dyDescent="0.3">
      <c r="A1925" s="7" t="s">
        <v>5098</v>
      </c>
      <c r="B1925" s="7" t="s">
        <v>2778</v>
      </c>
      <c r="C1925" s="7" t="s">
        <v>94</v>
      </c>
      <c r="D1925" s="9">
        <v>45987</v>
      </c>
      <c r="E1925" s="3">
        <v>2770.5</v>
      </c>
      <c r="F1925" s="7" t="s">
        <v>3184</v>
      </c>
    </row>
    <row r="1926" spans="1:6" x14ac:dyDescent="0.3">
      <c r="A1926" s="7" t="s">
        <v>5099</v>
      </c>
      <c r="B1926" s="7" t="s">
        <v>2779</v>
      </c>
      <c r="C1926" s="7" t="s">
        <v>57</v>
      </c>
      <c r="D1926" s="9">
        <v>45829</v>
      </c>
      <c r="E1926" s="3">
        <v>1988.46</v>
      </c>
      <c r="F1926" s="7" t="s">
        <v>296</v>
      </c>
    </row>
    <row r="1927" spans="1:6" x14ac:dyDescent="0.3">
      <c r="A1927" s="7" t="s">
        <v>5100</v>
      </c>
      <c r="B1927" s="7" t="s">
        <v>2780</v>
      </c>
      <c r="C1927" s="7" t="s">
        <v>64</v>
      </c>
      <c r="D1927" s="9">
        <v>45918</v>
      </c>
      <c r="E1927" s="3">
        <v>5718.11</v>
      </c>
      <c r="F1927" s="7" t="s">
        <v>3174</v>
      </c>
    </row>
    <row r="1928" spans="1:6" x14ac:dyDescent="0.3">
      <c r="A1928" s="7" t="s">
        <v>5101</v>
      </c>
      <c r="B1928" s="7" t="s">
        <v>2781</v>
      </c>
      <c r="C1928" s="7" t="s">
        <v>75</v>
      </c>
      <c r="D1928" s="9">
        <v>45777</v>
      </c>
      <c r="E1928" s="3">
        <v>5847.82</v>
      </c>
      <c r="F1928" s="7" t="s">
        <v>296</v>
      </c>
    </row>
    <row r="1929" spans="1:6" x14ac:dyDescent="0.3">
      <c r="A1929" s="7" t="s">
        <v>5102</v>
      </c>
      <c r="B1929" s="7" t="s">
        <v>2782</v>
      </c>
      <c r="C1929" s="7" t="s">
        <v>19</v>
      </c>
      <c r="D1929" s="9">
        <v>46020</v>
      </c>
      <c r="E1929" s="3">
        <v>2762.93</v>
      </c>
      <c r="F1929" s="7" t="s">
        <v>296</v>
      </c>
    </row>
    <row r="1930" spans="1:6" x14ac:dyDescent="0.3">
      <c r="A1930" s="7" t="s">
        <v>5103</v>
      </c>
      <c r="B1930" s="7" t="s">
        <v>2783</v>
      </c>
      <c r="C1930" s="7" t="s">
        <v>88</v>
      </c>
      <c r="D1930" s="9">
        <v>45910</v>
      </c>
      <c r="E1930" s="3">
        <v>12384.76</v>
      </c>
      <c r="F1930" s="7" t="s">
        <v>298</v>
      </c>
    </row>
    <row r="1931" spans="1:6" x14ac:dyDescent="0.3">
      <c r="A1931" s="7" t="s">
        <v>5104</v>
      </c>
      <c r="B1931" s="7" t="s">
        <v>2784</v>
      </c>
      <c r="C1931" s="7" t="s">
        <v>17</v>
      </c>
      <c r="D1931" s="9">
        <v>45765</v>
      </c>
      <c r="E1931" s="3">
        <v>3142.65</v>
      </c>
      <c r="F1931" s="7" t="s">
        <v>296</v>
      </c>
    </row>
    <row r="1932" spans="1:6" x14ac:dyDescent="0.3">
      <c r="A1932" s="7" t="s">
        <v>5105</v>
      </c>
      <c r="B1932" s="7" t="s">
        <v>2785</v>
      </c>
      <c r="C1932" s="7" t="s">
        <v>38</v>
      </c>
      <c r="D1932" s="9">
        <v>45893</v>
      </c>
      <c r="E1932" s="3">
        <v>3598.82</v>
      </c>
      <c r="F1932" s="7" t="s">
        <v>298</v>
      </c>
    </row>
    <row r="1933" spans="1:6" x14ac:dyDescent="0.3">
      <c r="A1933" s="7" t="s">
        <v>5106</v>
      </c>
      <c r="B1933" s="7" t="s">
        <v>2786</v>
      </c>
      <c r="C1933" s="7" t="s">
        <v>54</v>
      </c>
      <c r="D1933" s="9">
        <v>45934</v>
      </c>
      <c r="E1933" s="3">
        <v>5138.6099999999997</v>
      </c>
      <c r="F1933" s="7" t="s">
        <v>298</v>
      </c>
    </row>
    <row r="1934" spans="1:6" x14ac:dyDescent="0.3">
      <c r="A1934" s="7" t="s">
        <v>5107</v>
      </c>
      <c r="B1934" s="7" t="s">
        <v>2787</v>
      </c>
      <c r="C1934" s="7" t="s">
        <v>72</v>
      </c>
      <c r="D1934" s="9">
        <v>46115</v>
      </c>
      <c r="E1934" s="3">
        <v>3291.56</v>
      </c>
      <c r="F1934" s="7" t="s">
        <v>3174</v>
      </c>
    </row>
    <row r="1935" spans="1:6" x14ac:dyDescent="0.3">
      <c r="A1935" s="7" t="s">
        <v>5108</v>
      </c>
      <c r="B1935" s="7" t="s">
        <v>2788</v>
      </c>
      <c r="C1935" s="7" t="s">
        <v>118</v>
      </c>
      <c r="D1935" s="9">
        <v>45756</v>
      </c>
      <c r="E1935" s="3">
        <v>5700.62</v>
      </c>
      <c r="F1935" s="7" t="s">
        <v>296</v>
      </c>
    </row>
    <row r="1936" spans="1:6" x14ac:dyDescent="0.3">
      <c r="A1936" s="7" t="s">
        <v>5109</v>
      </c>
      <c r="B1936" s="7" t="s">
        <v>2789</v>
      </c>
      <c r="C1936" s="7" t="s">
        <v>44</v>
      </c>
      <c r="D1936" s="9">
        <v>46028</v>
      </c>
      <c r="E1936" s="3">
        <v>4350.42</v>
      </c>
      <c r="F1936" s="7" t="s">
        <v>296</v>
      </c>
    </row>
    <row r="1937" spans="1:6" x14ac:dyDescent="0.3">
      <c r="A1937" s="7" t="s">
        <v>5110</v>
      </c>
      <c r="B1937" s="7" t="s">
        <v>2790</v>
      </c>
      <c r="C1937" s="7" t="s">
        <v>38</v>
      </c>
      <c r="D1937" s="9">
        <v>45788</v>
      </c>
      <c r="E1937" s="3">
        <v>3473.33</v>
      </c>
      <c r="F1937" s="7" t="s">
        <v>298</v>
      </c>
    </row>
    <row r="1938" spans="1:6" x14ac:dyDescent="0.3">
      <c r="A1938" s="7" t="s">
        <v>5111</v>
      </c>
      <c r="B1938" s="7" t="s">
        <v>2793</v>
      </c>
      <c r="C1938" s="7" t="s">
        <v>11</v>
      </c>
      <c r="D1938" s="9">
        <v>46029</v>
      </c>
      <c r="E1938" s="3">
        <v>4489.7299999999996</v>
      </c>
      <c r="F1938" s="7" t="s">
        <v>3174</v>
      </c>
    </row>
    <row r="1939" spans="1:6" x14ac:dyDescent="0.3">
      <c r="A1939" s="7" t="s">
        <v>5112</v>
      </c>
      <c r="B1939" s="7" t="s">
        <v>2797</v>
      </c>
      <c r="C1939" s="7" t="s">
        <v>110</v>
      </c>
      <c r="D1939" s="9">
        <v>46116</v>
      </c>
      <c r="E1939" s="3">
        <v>2926.23</v>
      </c>
      <c r="F1939" s="7" t="s">
        <v>296</v>
      </c>
    </row>
    <row r="1940" spans="1:6" x14ac:dyDescent="0.3">
      <c r="A1940" s="7" t="s">
        <v>5113</v>
      </c>
      <c r="B1940" s="7" t="s">
        <v>2798</v>
      </c>
      <c r="C1940" s="7" t="s">
        <v>98</v>
      </c>
      <c r="D1940" s="9">
        <v>46057</v>
      </c>
      <c r="E1940" s="3">
        <v>6264.06</v>
      </c>
      <c r="F1940" s="7" t="s">
        <v>3174</v>
      </c>
    </row>
    <row r="1941" spans="1:6" x14ac:dyDescent="0.3">
      <c r="A1941" s="7" t="s">
        <v>5114</v>
      </c>
      <c r="B1941" s="7" t="s">
        <v>2798</v>
      </c>
      <c r="C1941" s="7" t="s">
        <v>98</v>
      </c>
      <c r="D1941" s="9">
        <v>46061</v>
      </c>
      <c r="E1941" s="3">
        <v>7311.82</v>
      </c>
      <c r="F1941" s="7" t="s">
        <v>298</v>
      </c>
    </row>
    <row r="1942" spans="1:6" x14ac:dyDescent="0.3">
      <c r="A1942" s="7" t="s">
        <v>5115</v>
      </c>
      <c r="B1942" s="7" t="s">
        <v>2801</v>
      </c>
      <c r="C1942" s="7" t="s">
        <v>123</v>
      </c>
      <c r="D1942" s="9">
        <v>45911</v>
      </c>
      <c r="E1942" s="3">
        <v>1561.65</v>
      </c>
      <c r="F1942" s="7" t="s">
        <v>3174</v>
      </c>
    </row>
    <row r="1943" spans="1:6" x14ac:dyDescent="0.3">
      <c r="A1943" s="7" t="s">
        <v>5116</v>
      </c>
      <c r="B1943" s="7" t="s">
        <v>2802</v>
      </c>
      <c r="C1943" s="7" t="s">
        <v>89</v>
      </c>
      <c r="D1943" s="9">
        <v>45784</v>
      </c>
      <c r="E1943" s="3">
        <v>2653.53</v>
      </c>
      <c r="F1943" s="7" t="s">
        <v>298</v>
      </c>
    </row>
    <row r="1944" spans="1:6" x14ac:dyDescent="0.3">
      <c r="A1944" s="7" t="s">
        <v>5117</v>
      </c>
      <c r="B1944" s="7" t="s">
        <v>2802</v>
      </c>
      <c r="C1944" s="7" t="s">
        <v>89</v>
      </c>
      <c r="D1944" s="9">
        <v>45789</v>
      </c>
      <c r="E1944" s="3">
        <v>2937.58</v>
      </c>
      <c r="F1944" s="7" t="s">
        <v>3174</v>
      </c>
    </row>
    <row r="1945" spans="1:6" x14ac:dyDescent="0.3">
      <c r="A1945" s="7" t="s">
        <v>5118</v>
      </c>
      <c r="B1945" s="7" t="s">
        <v>2804</v>
      </c>
      <c r="C1945" s="7" t="s">
        <v>64</v>
      </c>
      <c r="D1945" s="9">
        <v>46023</v>
      </c>
      <c r="E1945" s="3">
        <v>2342.44</v>
      </c>
      <c r="F1945" s="7" t="s">
        <v>3184</v>
      </c>
    </row>
    <row r="1946" spans="1:6" x14ac:dyDescent="0.3">
      <c r="A1946" s="7" t="s">
        <v>5119</v>
      </c>
      <c r="B1946" s="7" t="s">
        <v>2805</v>
      </c>
      <c r="C1946" s="7" t="s">
        <v>24</v>
      </c>
      <c r="D1946" s="9">
        <v>45826</v>
      </c>
      <c r="E1946" s="3">
        <v>763.42</v>
      </c>
      <c r="F1946" s="7" t="s">
        <v>298</v>
      </c>
    </row>
    <row r="1947" spans="1:6" x14ac:dyDescent="0.3">
      <c r="A1947" s="7" t="s">
        <v>5120</v>
      </c>
      <c r="B1947" s="7" t="s">
        <v>2805</v>
      </c>
      <c r="C1947" s="7" t="s">
        <v>24</v>
      </c>
      <c r="D1947" s="9">
        <v>45835</v>
      </c>
      <c r="E1947" s="3">
        <v>862.28</v>
      </c>
      <c r="F1947" s="7" t="s">
        <v>298</v>
      </c>
    </row>
    <row r="1948" spans="1:6" x14ac:dyDescent="0.3">
      <c r="A1948" s="7" t="s">
        <v>5121</v>
      </c>
      <c r="B1948" s="7" t="s">
        <v>2807</v>
      </c>
      <c r="C1948" s="7" t="s">
        <v>88</v>
      </c>
      <c r="D1948" s="9">
        <v>45849</v>
      </c>
      <c r="E1948" s="3">
        <v>2713.8</v>
      </c>
      <c r="F1948" s="7" t="s">
        <v>3184</v>
      </c>
    </row>
    <row r="1949" spans="1:6" x14ac:dyDescent="0.3">
      <c r="A1949" s="7" t="s">
        <v>5122</v>
      </c>
      <c r="B1949" s="7" t="s">
        <v>2808</v>
      </c>
      <c r="C1949" s="7" t="s">
        <v>102</v>
      </c>
      <c r="D1949" s="9">
        <v>45943</v>
      </c>
      <c r="E1949" s="3">
        <v>1577.84</v>
      </c>
      <c r="F1949" s="7" t="s">
        <v>296</v>
      </c>
    </row>
    <row r="1950" spans="1:6" x14ac:dyDescent="0.3">
      <c r="A1950" s="7" t="s">
        <v>5123</v>
      </c>
      <c r="B1950" s="7" t="s">
        <v>2808</v>
      </c>
      <c r="C1950" s="7" t="s">
        <v>102</v>
      </c>
      <c r="D1950" s="9">
        <v>45955</v>
      </c>
      <c r="E1950" s="3">
        <v>897.44</v>
      </c>
      <c r="F1950" s="7" t="s">
        <v>3174</v>
      </c>
    </row>
    <row r="1951" spans="1:6" x14ac:dyDescent="0.3">
      <c r="A1951" s="7" t="s">
        <v>5124</v>
      </c>
      <c r="B1951" s="7" t="s">
        <v>2810</v>
      </c>
      <c r="C1951" s="7" t="s">
        <v>25</v>
      </c>
      <c r="D1951" s="9">
        <v>46101</v>
      </c>
      <c r="E1951" s="3">
        <v>1604.1</v>
      </c>
      <c r="F1951" s="7" t="s">
        <v>298</v>
      </c>
    </row>
    <row r="1952" spans="1:6" x14ac:dyDescent="0.3">
      <c r="A1952" s="7" t="s">
        <v>5125</v>
      </c>
      <c r="B1952" s="7" t="s">
        <v>2811</v>
      </c>
      <c r="C1952" s="7" t="s">
        <v>118</v>
      </c>
      <c r="D1952" s="9">
        <v>45847</v>
      </c>
      <c r="E1952" s="3">
        <v>2816.89</v>
      </c>
      <c r="F1952" s="7" t="s">
        <v>3174</v>
      </c>
    </row>
    <row r="1953" spans="1:6" x14ac:dyDescent="0.3">
      <c r="A1953" s="7" t="s">
        <v>5126</v>
      </c>
      <c r="B1953" s="7" t="s">
        <v>2813</v>
      </c>
      <c r="C1953" s="7" t="s">
        <v>55</v>
      </c>
      <c r="D1953" s="9">
        <v>45955</v>
      </c>
      <c r="E1953" s="3">
        <v>5174.2700000000004</v>
      </c>
      <c r="F1953" s="7" t="s">
        <v>3184</v>
      </c>
    </row>
    <row r="1954" spans="1:6" x14ac:dyDescent="0.3">
      <c r="A1954" s="7" t="s">
        <v>5127</v>
      </c>
      <c r="B1954" s="7" t="s">
        <v>2814</v>
      </c>
      <c r="C1954" s="7" t="s">
        <v>68</v>
      </c>
      <c r="D1954" s="9">
        <v>46134</v>
      </c>
      <c r="E1954" s="3">
        <v>12712.21</v>
      </c>
      <c r="F1954" s="7" t="s">
        <v>298</v>
      </c>
    </row>
    <row r="1955" spans="1:6" x14ac:dyDescent="0.3">
      <c r="A1955" s="7" t="s">
        <v>5128</v>
      </c>
      <c r="B1955" s="7" t="s">
        <v>2815</v>
      </c>
      <c r="C1955" s="7" t="s">
        <v>33</v>
      </c>
      <c r="D1955" s="9">
        <v>45695</v>
      </c>
      <c r="E1955" s="3">
        <v>9668.32</v>
      </c>
      <c r="F1955" s="7" t="s">
        <v>298</v>
      </c>
    </row>
    <row r="1956" spans="1:6" x14ac:dyDescent="0.3">
      <c r="A1956" s="7" t="s">
        <v>5129</v>
      </c>
      <c r="B1956" s="7" t="s">
        <v>2819</v>
      </c>
      <c r="C1956" s="7" t="s">
        <v>49</v>
      </c>
      <c r="D1956" s="9">
        <v>45676</v>
      </c>
      <c r="E1956" s="3">
        <v>4727.12</v>
      </c>
      <c r="F1956" s="7" t="s">
        <v>296</v>
      </c>
    </row>
    <row r="1957" spans="1:6" x14ac:dyDescent="0.3">
      <c r="A1957" s="7" t="s">
        <v>5130</v>
      </c>
      <c r="B1957" s="7" t="s">
        <v>2821</v>
      </c>
      <c r="C1957" s="7" t="s">
        <v>38</v>
      </c>
      <c r="D1957" s="9">
        <v>45706</v>
      </c>
      <c r="E1957" s="3">
        <v>3564.52</v>
      </c>
      <c r="F1957" s="7" t="s">
        <v>3184</v>
      </c>
    </row>
    <row r="1958" spans="1:6" x14ac:dyDescent="0.3">
      <c r="A1958" s="7" t="s">
        <v>5131</v>
      </c>
      <c r="B1958" s="7" t="s">
        <v>2822</v>
      </c>
      <c r="C1958" s="7" t="s">
        <v>90</v>
      </c>
      <c r="D1958" s="9">
        <v>46053</v>
      </c>
      <c r="E1958" s="3">
        <v>4512.1400000000003</v>
      </c>
      <c r="F1958" s="7" t="s">
        <v>296</v>
      </c>
    </row>
    <row r="1959" spans="1:6" x14ac:dyDescent="0.3">
      <c r="A1959" s="7" t="s">
        <v>5132</v>
      </c>
      <c r="B1959" s="7" t="s">
        <v>2823</v>
      </c>
      <c r="C1959" s="7" t="s">
        <v>84</v>
      </c>
      <c r="D1959" s="9">
        <v>46035</v>
      </c>
      <c r="E1959" s="3">
        <v>4456.68</v>
      </c>
      <c r="F1959" s="7" t="s">
        <v>3174</v>
      </c>
    </row>
    <row r="1960" spans="1:6" x14ac:dyDescent="0.3">
      <c r="A1960" s="7" t="s">
        <v>5133</v>
      </c>
      <c r="B1960" s="7" t="s">
        <v>2824</v>
      </c>
      <c r="C1960" s="7" t="s">
        <v>113</v>
      </c>
      <c r="D1960" s="9">
        <v>45743</v>
      </c>
      <c r="E1960" s="3">
        <v>2551.98</v>
      </c>
      <c r="F1960" s="7" t="s">
        <v>296</v>
      </c>
    </row>
    <row r="1961" spans="1:6" x14ac:dyDescent="0.3">
      <c r="A1961" s="7" t="s">
        <v>5134</v>
      </c>
      <c r="B1961" s="7" t="s">
        <v>2825</v>
      </c>
      <c r="C1961" s="7" t="s">
        <v>33</v>
      </c>
      <c r="D1961" s="9">
        <v>45746</v>
      </c>
      <c r="E1961" s="3">
        <v>3487.37</v>
      </c>
      <c r="F1961" s="7" t="s">
        <v>3174</v>
      </c>
    </row>
    <row r="1962" spans="1:6" x14ac:dyDescent="0.3">
      <c r="A1962" s="7" t="s">
        <v>5135</v>
      </c>
      <c r="B1962" s="7" t="s">
        <v>2826</v>
      </c>
      <c r="C1962" s="7" t="s">
        <v>19</v>
      </c>
      <c r="D1962" s="9">
        <v>46068</v>
      </c>
      <c r="E1962" s="3">
        <v>4487.88</v>
      </c>
      <c r="F1962" s="7" t="s">
        <v>3174</v>
      </c>
    </row>
    <row r="1963" spans="1:6" x14ac:dyDescent="0.3">
      <c r="A1963" s="7" t="s">
        <v>5136</v>
      </c>
      <c r="B1963" s="7" t="s">
        <v>2828</v>
      </c>
      <c r="C1963" s="7" t="s">
        <v>19</v>
      </c>
      <c r="D1963" s="9">
        <v>45888</v>
      </c>
      <c r="E1963" s="3">
        <v>4956.6000000000004</v>
      </c>
      <c r="F1963" s="7" t="s">
        <v>3174</v>
      </c>
    </row>
    <row r="1964" spans="1:6" x14ac:dyDescent="0.3">
      <c r="A1964" s="7" t="s">
        <v>5137</v>
      </c>
      <c r="B1964" s="7" t="s">
        <v>2829</v>
      </c>
      <c r="C1964" s="7" t="s">
        <v>8</v>
      </c>
      <c r="D1964" s="9">
        <v>45978</v>
      </c>
      <c r="E1964" s="3">
        <v>3625.13</v>
      </c>
      <c r="F1964" s="7" t="s">
        <v>3184</v>
      </c>
    </row>
    <row r="1965" spans="1:6" x14ac:dyDescent="0.3">
      <c r="A1965" s="7" t="s">
        <v>5138</v>
      </c>
      <c r="B1965" s="7" t="s">
        <v>2831</v>
      </c>
      <c r="C1965" s="7" t="s">
        <v>65</v>
      </c>
      <c r="D1965" s="9">
        <v>46078</v>
      </c>
      <c r="E1965" s="3">
        <v>1580.26</v>
      </c>
      <c r="F1965" s="7" t="s">
        <v>296</v>
      </c>
    </row>
    <row r="1966" spans="1:6" x14ac:dyDescent="0.3">
      <c r="A1966" s="7" t="s">
        <v>5139</v>
      </c>
      <c r="B1966" s="7" t="s">
        <v>2832</v>
      </c>
      <c r="C1966" s="7" t="s">
        <v>87</v>
      </c>
      <c r="D1966" s="9">
        <v>45872</v>
      </c>
      <c r="E1966" s="3">
        <v>2702.1</v>
      </c>
      <c r="F1966" s="7" t="s">
        <v>3174</v>
      </c>
    </row>
    <row r="1967" spans="1:6" x14ac:dyDescent="0.3">
      <c r="A1967" s="7" t="s">
        <v>5140</v>
      </c>
      <c r="B1967" s="7" t="s">
        <v>2833</v>
      </c>
      <c r="C1967" s="7" t="s">
        <v>89</v>
      </c>
      <c r="D1967" s="9">
        <v>45905</v>
      </c>
      <c r="E1967" s="3">
        <v>4657.28</v>
      </c>
      <c r="F1967" s="7" t="s">
        <v>3174</v>
      </c>
    </row>
    <row r="1968" spans="1:6" x14ac:dyDescent="0.3">
      <c r="A1968" s="7" t="s">
        <v>5141</v>
      </c>
      <c r="B1968" s="7" t="s">
        <v>2834</v>
      </c>
      <c r="C1968" s="7" t="s">
        <v>93</v>
      </c>
      <c r="D1968" s="9">
        <v>45943</v>
      </c>
      <c r="E1968" s="3">
        <v>1039.68</v>
      </c>
      <c r="F1968" s="7" t="s">
        <v>298</v>
      </c>
    </row>
    <row r="1969" spans="1:6" x14ac:dyDescent="0.3">
      <c r="A1969" s="7" t="s">
        <v>5142</v>
      </c>
      <c r="B1969" s="7" t="s">
        <v>2834</v>
      </c>
      <c r="C1969" s="7" t="s">
        <v>93</v>
      </c>
      <c r="D1969" s="9">
        <v>45951</v>
      </c>
      <c r="E1969" s="3">
        <v>1224.52</v>
      </c>
      <c r="F1969" s="7" t="s">
        <v>3184</v>
      </c>
    </row>
    <row r="1970" spans="1:6" x14ac:dyDescent="0.3">
      <c r="A1970" s="7" t="s">
        <v>5143</v>
      </c>
      <c r="B1970" s="7" t="s">
        <v>2835</v>
      </c>
      <c r="C1970" s="7" t="s">
        <v>103</v>
      </c>
      <c r="D1970" s="9">
        <v>45985</v>
      </c>
      <c r="E1970" s="3">
        <v>3504.29</v>
      </c>
      <c r="F1970" s="7" t="s">
        <v>298</v>
      </c>
    </row>
    <row r="1971" spans="1:6" x14ac:dyDescent="0.3">
      <c r="A1971" s="7" t="s">
        <v>5144</v>
      </c>
      <c r="B1971" s="7" t="s">
        <v>2836</v>
      </c>
      <c r="C1971" s="7" t="s">
        <v>27</v>
      </c>
      <c r="D1971" s="9">
        <v>45844</v>
      </c>
      <c r="E1971" s="3">
        <v>4975.16</v>
      </c>
      <c r="F1971" s="7" t="s">
        <v>3184</v>
      </c>
    </row>
    <row r="1972" spans="1:6" x14ac:dyDescent="0.3">
      <c r="A1972" s="7" t="s">
        <v>5145</v>
      </c>
      <c r="B1972" s="7" t="s">
        <v>2837</v>
      </c>
      <c r="C1972" s="7" t="s">
        <v>117</v>
      </c>
      <c r="D1972" s="9">
        <v>45906</v>
      </c>
      <c r="E1972" s="3">
        <v>4131.12</v>
      </c>
      <c r="F1972" s="7" t="s">
        <v>3174</v>
      </c>
    </row>
    <row r="1973" spans="1:6" x14ac:dyDescent="0.3">
      <c r="A1973" s="7" t="s">
        <v>5146</v>
      </c>
      <c r="B1973" s="7" t="s">
        <v>2839</v>
      </c>
      <c r="C1973" s="7" t="s">
        <v>47</v>
      </c>
      <c r="D1973" s="9">
        <v>45806</v>
      </c>
      <c r="E1973" s="3">
        <v>3315.42</v>
      </c>
      <c r="F1973" s="7" t="s">
        <v>296</v>
      </c>
    </row>
    <row r="1974" spans="1:6" x14ac:dyDescent="0.3">
      <c r="A1974" s="7" t="s">
        <v>5147</v>
      </c>
      <c r="B1974" s="7" t="s">
        <v>2841</v>
      </c>
      <c r="C1974" s="7" t="s">
        <v>57</v>
      </c>
      <c r="D1974" s="9">
        <v>45833</v>
      </c>
      <c r="E1974" s="3">
        <v>3740.64</v>
      </c>
      <c r="F1974" s="7" t="s">
        <v>3174</v>
      </c>
    </row>
    <row r="1975" spans="1:6" x14ac:dyDescent="0.3">
      <c r="A1975" s="7" t="s">
        <v>5148</v>
      </c>
      <c r="B1975" s="7" t="s">
        <v>2842</v>
      </c>
      <c r="C1975" s="7" t="s">
        <v>73</v>
      </c>
      <c r="D1975" s="9">
        <v>45973</v>
      </c>
      <c r="E1975" s="3">
        <v>5704.71</v>
      </c>
      <c r="F1975" s="7" t="s">
        <v>3174</v>
      </c>
    </row>
    <row r="1976" spans="1:6" x14ac:dyDescent="0.3">
      <c r="A1976" s="7" t="s">
        <v>5149</v>
      </c>
      <c r="B1976" s="7" t="s">
        <v>2844</v>
      </c>
      <c r="C1976" s="7" t="s">
        <v>46</v>
      </c>
      <c r="D1976" s="9">
        <v>45922</v>
      </c>
      <c r="E1976" s="3">
        <v>5865.69</v>
      </c>
      <c r="F1976" s="7" t="s">
        <v>3174</v>
      </c>
    </row>
    <row r="1977" spans="1:6" x14ac:dyDescent="0.3">
      <c r="A1977" s="7" t="s">
        <v>5150</v>
      </c>
      <c r="B1977" s="7" t="s">
        <v>2845</v>
      </c>
      <c r="C1977" s="7" t="s">
        <v>46</v>
      </c>
      <c r="D1977" s="9">
        <v>46093</v>
      </c>
      <c r="E1977" s="3">
        <v>1860.89</v>
      </c>
      <c r="F1977" s="7" t="s">
        <v>3174</v>
      </c>
    </row>
    <row r="1978" spans="1:6" x14ac:dyDescent="0.3">
      <c r="A1978" s="7" t="s">
        <v>5151</v>
      </c>
      <c r="B1978" s="7" t="s">
        <v>2845</v>
      </c>
      <c r="C1978" s="7" t="s">
        <v>46</v>
      </c>
      <c r="D1978" s="9">
        <v>46105</v>
      </c>
      <c r="E1978" s="3">
        <v>865.82</v>
      </c>
      <c r="F1978" s="7" t="s">
        <v>296</v>
      </c>
    </row>
    <row r="1979" spans="1:6" x14ac:dyDescent="0.3">
      <c r="A1979" s="7" t="s">
        <v>5152</v>
      </c>
      <c r="B1979" s="7" t="s">
        <v>2846</v>
      </c>
      <c r="C1979" s="7" t="s">
        <v>58</v>
      </c>
      <c r="D1979" s="9">
        <v>46058</v>
      </c>
      <c r="E1979" s="3">
        <v>12303.77</v>
      </c>
      <c r="F1979" s="7" t="s">
        <v>3174</v>
      </c>
    </row>
    <row r="1980" spans="1:6" x14ac:dyDescent="0.3">
      <c r="A1980" s="7" t="s">
        <v>5153</v>
      </c>
      <c r="B1980" s="7" t="s">
        <v>2848</v>
      </c>
      <c r="C1980" s="7" t="s">
        <v>98</v>
      </c>
      <c r="D1980" s="9">
        <v>46047</v>
      </c>
      <c r="E1980" s="3">
        <v>971.89</v>
      </c>
      <c r="F1980" s="7" t="s">
        <v>3174</v>
      </c>
    </row>
    <row r="1981" spans="1:6" x14ac:dyDescent="0.3">
      <c r="A1981" s="7" t="s">
        <v>5154</v>
      </c>
      <c r="B1981" s="7" t="s">
        <v>2848</v>
      </c>
      <c r="C1981" s="7" t="s">
        <v>98</v>
      </c>
      <c r="D1981" s="9">
        <v>46048</v>
      </c>
      <c r="E1981" s="3">
        <v>1047.5899999999999</v>
      </c>
      <c r="F1981" s="7" t="s">
        <v>3174</v>
      </c>
    </row>
    <row r="1982" spans="1:6" x14ac:dyDescent="0.3">
      <c r="A1982" s="7" t="s">
        <v>5155</v>
      </c>
      <c r="B1982" s="7" t="s">
        <v>2849</v>
      </c>
      <c r="C1982" s="7" t="s">
        <v>108</v>
      </c>
      <c r="D1982" s="9">
        <v>45863</v>
      </c>
      <c r="E1982" s="3">
        <v>2294.8000000000002</v>
      </c>
      <c r="F1982" s="7" t="s">
        <v>3184</v>
      </c>
    </row>
    <row r="1983" spans="1:6" x14ac:dyDescent="0.3">
      <c r="A1983" s="7" t="s">
        <v>5156</v>
      </c>
      <c r="B1983" s="7" t="s">
        <v>2850</v>
      </c>
      <c r="C1983" s="7" t="s">
        <v>34</v>
      </c>
      <c r="D1983" s="9">
        <v>45995</v>
      </c>
      <c r="E1983" s="3">
        <v>11163.29</v>
      </c>
      <c r="F1983" s="7" t="s">
        <v>3184</v>
      </c>
    </row>
    <row r="1984" spans="1:6" x14ac:dyDescent="0.3">
      <c r="A1984" s="7" t="s">
        <v>5157</v>
      </c>
      <c r="B1984" s="7" t="s">
        <v>2851</v>
      </c>
      <c r="C1984" s="7" t="s">
        <v>38</v>
      </c>
      <c r="D1984" s="9">
        <v>46141</v>
      </c>
      <c r="E1984" s="3">
        <v>3504.12</v>
      </c>
      <c r="F1984" s="7" t="s">
        <v>3174</v>
      </c>
    </row>
    <row r="1985" spans="1:6" x14ac:dyDescent="0.3">
      <c r="A1985" s="7" t="s">
        <v>5158</v>
      </c>
      <c r="B1985" s="7" t="s">
        <v>2852</v>
      </c>
      <c r="C1985" s="7" t="s">
        <v>12</v>
      </c>
      <c r="D1985" s="9">
        <v>45945</v>
      </c>
      <c r="E1985" s="3">
        <v>4650.97</v>
      </c>
      <c r="F1985" s="7" t="s">
        <v>3174</v>
      </c>
    </row>
    <row r="1986" spans="1:6" x14ac:dyDescent="0.3">
      <c r="A1986" s="7" t="s">
        <v>5159</v>
      </c>
      <c r="B1986" s="7" t="s">
        <v>2853</v>
      </c>
      <c r="C1986" s="7" t="s">
        <v>84</v>
      </c>
      <c r="D1986" s="9">
        <v>46042</v>
      </c>
      <c r="E1986" s="3">
        <v>1720.85</v>
      </c>
      <c r="F1986" s="7" t="s">
        <v>3184</v>
      </c>
    </row>
    <row r="1987" spans="1:6" x14ac:dyDescent="0.3">
      <c r="A1987" s="7" t="s">
        <v>5160</v>
      </c>
      <c r="B1987" s="7" t="s">
        <v>2854</v>
      </c>
      <c r="C1987" s="7" t="s">
        <v>42</v>
      </c>
      <c r="D1987" s="9">
        <v>45737</v>
      </c>
      <c r="E1987" s="3">
        <v>3325.03</v>
      </c>
      <c r="F1987" s="7" t="s">
        <v>298</v>
      </c>
    </row>
    <row r="1988" spans="1:6" x14ac:dyDescent="0.3">
      <c r="A1988" s="7" t="s">
        <v>5161</v>
      </c>
      <c r="B1988" s="7" t="s">
        <v>2855</v>
      </c>
      <c r="C1988" s="7" t="s">
        <v>119</v>
      </c>
      <c r="D1988" s="9">
        <v>45811</v>
      </c>
      <c r="E1988" s="3">
        <v>3317.23</v>
      </c>
      <c r="F1988" s="7" t="s">
        <v>298</v>
      </c>
    </row>
    <row r="1989" spans="1:6" x14ac:dyDescent="0.3">
      <c r="A1989" s="7" t="s">
        <v>5162</v>
      </c>
      <c r="B1989" s="7" t="s">
        <v>2856</v>
      </c>
      <c r="C1989" s="7" t="s">
        <v>26</v>
      </c>
      <c r="D1989" s="9">
        <v>46060</v>
      </c>
      <c r="E1989" s="3">
        <v>1493.27</v>
      </c>
      <c r="F1989" s="7" t="s">
        <v>298</v>
      </c>
    </row>
    <row r="1990" spans="1:6" x14ac:dyDescent="0.3">
      <c r="A1990" s="7" t="s">
        <v>5163</v>
      </c>
      <c r="B1990" s="7" t="s">
        <v>2857</v>
      </c>
      <c r="C1990" s="7" t="s">
        <v>63</v>
      </c>
      <c r="D1990" s="9">
        <v>45973</v>
      </c>
      <c r="E1990" s="3">
        <v>5179.62</v>
      </c>
      <c r="F1990" s="7" t="s">
        <v>298</v>
      </c>
    </row>
    <row r="1991" spans="1:6" x14ac:dyDescent="0.3">
      <c r="A1991" s="7" t="s">
        <v>5164</v>
      </c>
      <c r="B1991" s="7" t="s">
        <v>2858</v>
      </c>
      <c r="C1991" s="7" t="s">
        <v>74</v>
      </c>
      <c r="D1991" s="9">
        <v>45953</v>
      </c>
      <c r="E1991" s="3">
        <v>4655.68</v>
      </c>
      <c r="F1991" s="7" t="s">
        <v>298</v>
      </c>
    </row>
    <row r="1992" spans="1:6" x14ac:dyDescent="0.3">
      <c r="A1992" s="7" t="s">
        <v>5165</v>
      </c>
      <c r="B1992" s="7" t="s">
        <v>2861</v>
      </c>
      <c r="C1992" s="7" t="s">
        <v>65</v>
      </c>
      <c r="D1992" s="9">
        <v>45790</v>
      </c>
      <c r="E1992" s="3">
        <v>2076.9</v>
      </c>
      <c r="F1992" s="7" t="s">
        <v>3174</v>
      </c>
    </row>
    <row r="1993" spans="1:6" x14ac:dyDescent="0.3">
      <c r="A1993" s="7" t="s">
        <v>5166</v>
      </c>
      <c r="B1993" s="7" t="s">
        <v>2862</v>
      </c>
      <c r="C1993" s="7" t="s">
        <v>84</v>
      </c>
      <c r="D1993" s="9">
        <v>46007</v>
      </c>
      <c r="E1993" s="3">
        <v>2333.0100000000002</v>
      </c>
      <c r="F1993" s="7" t="s">
        <v>298</v>
      </c>
    </row>
    <row r="1994" spans="1:6" x14ac:dyDescent="0.3">
      <c r="A1994" s="7" t="s">
        <v>5167</v>
      </c>
      <c r="B1994" s="7" t="s">
        <v>2863</v>
      </c>
      <c r="C1994" s="7" t="s">
        <v>61</v>
      </c>
      <c r="D1994" s="9">
        <v>45746</v>
      </c>
      <c r="E1994" s="3">
        <v>2111.5300000000002</v>
      </c>
      <c r="F1994" s="7" t="s">
        <v>3174</v>
      </c>
    </row>
    <row r="1995" spans="1:6" x14ac:dyDescent="0.3">
      <c r="A1995" s="7" t="s">
        <v>5168</v>
      </c>
      <c r="B1995" s="7" t="s">
        <v>2866</v>
      </c>
      <c r="C1995" s="7" t="s">
        <v>88</v>
      </c>
      <c r="D1995" s="9">
        <v>45937</v>
      </c>
      <c r="E1995" s="3">
        <v>2790.14</v>
      </c>
      <c r="F1995" s="7" t="s">
        <v>3174</v>
      </c>
    </row>
    <row r="1996" spans="1:6" x14ac:dyDescent="0.3">
      <c r="A1996" s="7" t="s">
        <v>5169</v>
      </c>
      <c r="B1996" s="7" t="s">
        <v>2870</v>
      </c>
      <c r="C1996" s="7" t="s">
        <v>120</v>
      </c>
      <c r="D1996" s="9">
        <v>45908</v>
      </c>
      <c r="E1996" s="3">
        <v>3320.54</v>
      </c>
      <c r="F1996" s="7" t="s">
        <v>3174</v>
      </c>
    </row>
    <row r="1997" spans="1:6" x14ac:dyDescent="0.3">
      <c r="A1997" s="7" t="s">
        <v>5170</v>
      </c>
      <c r="B1997" s="7" t="s">
        <v>2871</v>
      </c>
      <c r="C1997" s="7" t="s">
        <v>80</v>
      </c>
      <c r="D1997" s="9">
        <v>45854</v>
      </c>
      <c r="E1997" s="3">
        <v>1549.59</v>
      </c>
      <c r="F1997" s="7" t="s">
        <v>3184</v>
      </c>
    </row>
    <row r="1998" spans="1:6" x14ac:dyDescent="0.3">
      <c r="A1998" s="7" t="s">
        <v>5171</v>
      </c>
      <c r="B1998" s="7" t="s">
        <v>2872</v>
      </c>
      <c r="C1998" s="7" t="s">
        <v>62</v>
      </c>
      <c r="D1998" s="9">
        <v>46077</v>
      </c>
      <c r="E1998" s="3">
        <v>2454.0500000000002</v>
      </c>
      <c r="F1998" s="7" t="s">
        <v>3184</v>
      </c>
    </row>
    <row r="1999" spans="1:6" x14ac:dyDescent="0.3">
      <c r="A1999" s="7" t="s">
        <v>5172</v>
      </c>
      <c r="B1999" s="7" t="s">
        <v>2873</v>
      </c>
      <c r="C1999" s="7" t="s">
        <v>56</v>
      </c>
      <c r="D1999" s="9">
        <v>45826</v>
      </c>
      <c r="E1999" s="3">
        <v>2881.76</v>
      </c>
      <c r="F1999" s="7" t="s">
        <v>296</v>
      </c>
    </row>
    <row r="2000" spans="1:6" x14ac:dyDescent="0.3">
      <c r="A2000" s="7" t="s">
        <v>5173</v>
      </c>
      <c r="B2000" s="7" t="s">
        <v>2874</v>
      </c>
      <c r="C2000" s="7" t="s">
        <v>116</v>
      </c>
      <c r="D2000" s="9">
        <v>45857</v>
      </c>
      <c r="E2000" s="3">
        <v>2410.25</v>
      </c>
      <c r="F2000" s="7" t="s">
        <v>296</v>
      </c>
    </row>
    <row r="2001" spans="1:6" x14ac:dyDescent="0.3">
      <c r="A2001" s="7" t="s">
        <v>5174</v>
      </c>
      <c r="B2001" s="7" t="s">
        <v>2875</v>
      </c>
      <c r="C2001" s="7" t="s">
        <v>90</v>
      </c>
      <c r="D2001" s="9">
        <v>46083</v>
      </c>
      <c r="E2001" s="3">
        <v>5168.75</v>
      </c>
      <c r="F2001" s="7" t="s">
        <v>3174</v>
      </c>
    </row>
    <row r="2002" spans="1:6" x14ac:dyDescent="0.3">
      <c r="A2002" s="7" t="s">
        <v>5175</v>
      </c>
      <c r="B2002" s="7" t="s">
        <v>2878</v>
      </c>
      <c r="C2002" s="7" t="s">
        <v>115</v>
      </c>
      <c r="D2002" s="9">
        <v>45702</v>
      </c>
      <c r="E2002" s="3">
        <v>2181.59</v>
      </c>
      <c r="F2002" s="7" t="s">
        <v>3174</v>
      </c>
    </row>
    <row r="2003" spans="1:6" x14ac:dyDescent="0.3">
      <c r="A2003" s="7" t="s">
        <v>5176</v>
      </c>
      <c r="B2003" s="7" t="s">
        <v>2880</v>
      </c>
      <c r="C2003" s="7" t="s">
        <v>27</v>
      </c>
      <c r="D2003" s="9">
        <v>46008</v>
      </c>
      <c r="E2003" s="3">
        <v>2928.47</v>
      </c>
      <c r="F2003" s="7" t="s">
        <v>3184</v>
      </c>
    </row>
    <row r="2004" spans="1:6" x14ac:dyDescent="0.3">
      <c r="A2004" s="7" t="s">
        <v>5177</v>
      </c>
      <c r="B2004" s="7" t="s">
        <v>2883</v>
      </c>
      <c r="C2004" s="7" t="s">
        <v>13</v>
      </c>
      <c r="D2004" s="9">
        <v>46044</v>
      </c>
      <c r="E2004" s="3">
        <v>2932.74</v>
      </c>
      <c r="F2004" s="7" t="s">
        <v>3174</v>
      </c>
    </row>
    <row r="2005" spans="1:6" x14ac:dyDescent="0.3">
      <c r="A2005" s="7" t="s">
        <v>5178</v>
      </c>
      <c r="B2005" s="7" t="s">
        <v>2886</v>
      </c>
      <c r="C2005" s="7" t="s">
        <v>69</v>
      </c>
      <c r="D2005" s="9">
        <v>46046</v>
      </c>
      <c r="E2005" s="3">
        <v>2970.39</v>
      </c>
      <c r="F2005" s="7" t="s">
        <v>3184</v>
      </c>
    </row>
    <row r="2006" spans="1:6" x14ac:dyDescent="0.3">
      <c r="A2006" s="7" t="s">
        <v>5179</v>
      </c>
      <c r="B2006" s="7" t="s">
        <v>2887</v>
      </c>
      <c r="C2006" s="7" t="s">
        <v>33</v>
      </c>
      <c r="D2006" s="9">
        <v>46073</v>
      </c>
      <c r="E2006" s="3">
        <v>1875.49</v>
      </c>
      <c r="F2006" s="7" t="s">
        <v>3184</v>
      </c>
    </row>
    <row r="2007" spans="1:6" x14ac:dyDescent="0.3">
      <c r="A2007" s="7" t="s">
        <v>5180</v>
      </c>
      <c r="B2007" s="7" t="s">
        <v>2888</v>
      </c>
      <c r="C2007" s="7" t="s">
        <v>21</v>
      </c>
      <c r="D2007" s="9">
        <v>45864</v>
      </c>
      <c r="E2007" s="3">
        <v>3359.75</v>
      </c>
      <c r="F2007" s="7" t="s">
        <v>298</v>
      </c>
    </row>
    <row r="2008" spans="1:6" x14ac:dyDescent="0.3">
      <c r="A2008" s="7" t="s">
        <v>5181</v>
      </c>
      <c r="B2008" s="7" t="s">
        <v>2889</v>
      </c>
      <c r="C2008" s="7" t="s">
        <v>116</v>
      </c>
      <c r="D2008" s="9">
        <v>45891</v>
      </c>
      <c r="E2008" s="3">
        <v>9677.5</v>
      </c>
      <c r="F2008" s="7" t="s">
        <v>3184</v>
      </c>
    </row>
    <row r="2009" spans="1:6" x14ac:dyDescent="0.3">
      <c r="A2009" s="7" t="s">
        <v>5182</v>
      </c>
      <c r="B2009" s="7" t="s">
        <v>2890</v>
      </c>
      <c r="C2009" s="7" t="s">
        <v>115</v>
      </c>
      <c r="D2009" s="9">
        <v>45844</v>
      </c>
      <c r="E2009" s="3">
        <v>2825.62</v>
      </c>
      <c r="F2009" s="7" t="s">
        <v>3184</v>
      </c>
    </row>
    <row r="2010" spans="1:6" x14ac:dyDescent="0.3">
      <c r="A2010" s="7" t="s">
        <v>5183</v>
      </c>
      <c r="B2010" s="7" t="s">
        <v>2891</v>
      </c>
      <c r="C2010" s="7" t="s">
        <v>110</v>
      </c>
      <c r="D2010" s="9">
        <v>46018</v>
      </c>
      <c r="E2010" s="3">
        <v>1656.5</v>
      </c>
      <c r="F2010" s="7" t="s">
        <v>298</v>
      </c>
    </row>
    <row r="2011" spans="1:6" x14ac:dyDescent="0.3">
      <c r="A2011" s="7" t="s">
        <v>5184</v>
      </c>
      <c r="B2011" s="7" t="s">
        <v>2892</v>
      </c>
      <c r="C2011" s="7" t="s">
        <v>121</v>
      </c>
      <c r="D2011" s="9">
        <v>45668</v>
      </c>
      <c r="E2011" s="3">
        <v>13804.52</v>
      </c>
      <c r="F2011" s="7" t="s">
        <v>3174</v>
      </c>
    </row>
    <row r="2012" spans="1:6" x14ac:dyDescent="0.3">
      <c r="A2012" s="7" t="s">
        <v>5185</v>
      </c>
      <c r="B2012" s="7" t="s">
        <v>2893</v>
      </c>
      <c r="C2012" s="7" t="s">
        <v>8</v>
      </c>
      <c r="D2012" s="9">
        <v>46102</v>
      </c>
      <c r="E2012" s="3">
        <v>2045.37</v>
      </c>
      <c r="F2012" s="7" t="s">
        <v>3184</v>
      </c>
    </row>
    <row r="2013" spans="1:6" x14ac:dyDescent="0.3">
      <c r="A2013" s="7" t="s">
        <v>5186</v>
      </c>
      <c r="B2013" s="7" t="s">
        <v>2894</v>
      </c>
      <c r="C2013" s="7" t="s">
        <v>11</v>
      </c>
      <c r="D2013" s="9">
        <v>45768</v>
      </c>
      <c r="E2013" s="3">
        <v>5037.24</v>
      </c>
      <c r="F2013" s="7" t="s">
        <v>296</v>
      </c>
    </row>
    <row r="2014" spans="1:6" x14ac:dyDescent="0.3">
      <c r="A2014" s="7" t="s">
        <v>5187</v>
      </c>
      <c r="B2014" s="7" t="s">
        <v>2895</v>
      </c>
      <c r="C2014" s="7" t="s">
        <v>54</v>
      </c>
      <c r="D2014" s="9">
        <v>45776</v>
      </c>
      <c r="E2014" s="3">
        <v>3115.45</v>
      </c>
      <c r="F2014" s="7" t="s">
        <v>296</v>
      </c>
    </row>
    <row r="2015" spans="1:6" x14ac:dyDescent="0.3">
      <c r="A2015" s="7" t="s">
        <v>5188</v>
      </c>
      <c r="B2015" s="7" t="s">
        <v>2896</v>
      </c>
      <c r="C2015" s="7" t="s">
        <v>73</v>
      </c>
      <c r="D2015" s="9">
        <v>45745</v>
      </c>
      <c r="E2015" s="3">
        <v>3380.83</v>
      </c>
      <c r="F2015" s="7" t="s">
        <v>298</v>
      </c>
    </row>
    <row r="2016" spans="1:6" x14ac:dyDescent="0.3">
      <c r="A2016" s="7" t="s">
        <v>5189</v>
      </c>
      <c r="B2016" s="7" t="s">
        <v>2897</v>
      </c>
      <c r="C2016" s="7" t="s">
        <v>119</v>
      </c>
      <c r="D2016" s="9">
        <v>46083</v>
      </c>
      <c r="E2016" s="3">
        <v>5483.93</v>
      </c>
      <c r="F2016" s="7" t="s">
        <v>3174</v>
      </c>
    </row>
    <row r="2017" spans="1:6" x14ac:dyDescent="0.3">
      <c r="A2017" s="7" t="s">
        <v>5190</v>
      </c>
      <c r="B2017" s="7" t="s">
        <v>2898</v>
      </c>
      <c r="C2017" s="7" t="s">
        <v>58</v>
      </c>
      <c r="D2017" s="9">
        <v>45697</v>
      </c>
      <c r="E2017" s="3">
        <v>3343.87</v>
      </c>
      <c r="F2017" s="7" t="s">
        <v>296</v>
      </c>
    </row>
    <row r="2018" spans="1:6" x14ac:dyDescent="0.3">
      <c r="A2018" s="7" t="s">
        <v>5191</v>
      </c>
      <c r="B2018" s="7" t="s">
        <v>2899</v>
      </c>
      <c r="C2018" s="7" t="s">
        <v>10</v>
      </c>
      <c r="D2018" s="9">
        <v>46123</v>
      </c>
      <c r="E2018" s="3">
        <v>1708.69</v>
      </c>
      <c r="F2018" s="7" t="s">
        <v>298</v>
      </c>
    </row>
    <row r="2019" spans="1:6" x14ac:dyDescent="0.3">
      <c r="A2019" s="7" t="s">
        <v>5192</v>
      </c>
      <c r="B2019" s="7" t="s">
        <v>2900</v>
      </c>
      <c r="C2019" s="7" t="s">
        <v>25</v>
      </c>
      <c r="D2019" s="9">
        <v>45898</v>
      </c>
      <c r="E2019" s="3">
        <v>2797.9</v>
      </c>
      <c r="F2019" s="7" t="s">
        <v>296</v>
      </c>
    </row>
    <row r="2020" spans="1:6" x14ac:dyDescent="0.3">
      <c r="A2020" s="7" t="s">
        <v>5193</v>
      </c>
      <c r="B2020" s="7" t="s">
        <v>2901</v>
      </c>
      <c r="C2020" s="7" t="s">
        <v>28</v>
      </c>
      <c r="D2020" s="9">
        <v>45860</v>
      </c>
      <c r="E2020" s="3">
        <v>9823.2000000000007</v>
      </c>
      <c r="F2020" s="7" t="s">
        <v>3174</v>
      </c>
    </row>
    <row r="2021" spans="1:6" x14ac:dyDescent="0.3">
      <c r="A2021" s="7" t="s">
        <v>5194</v>
      </c>
      <c r="B2021" s="7" t="s">
        <v>2902</v>
      </c>
      <c r="C2021" s="7" t="s">
        <v>15</v>
      </c>
      <c r="D2021" s="9">
        <v>45841</v>
      </c>
      <c r="E2021" s="3">
        <v>4200.2299999999996</v>
      </c>
      <c r="F2021" s="7" t="s">
        <v>298</v>
      </c>
    </row>
    <row r="2022" spans="1:6" x14ac:dyDescent="0.3">
      <c r="A2022" s="7" t="s">
        <v>5195</v>
      </c>
      <c r="B2022" s="7" t="s">
        <v>2904</v>
      </c>
      <c r="C2022" s="7" t="s">
        <v>67</v>
      </c>
      <c r="D2022" s="9">
        <v>46009</v>
      </c>
      <c r="E2022" s="3">
        <v>10245.15</v>
      </c>
      <c r="F2022" s="7" t="s">
        <v>296</v>
      </c>
    </row>
    <row r="2023" spans="1:6" x14ac:dyDescent="0.3">
      <c r="A2023" s="7" t="s">
        <v>5196</v>
      </c>
      <c r="B2023" s="7" t="s">
        <v>2905</v>
      </c>
      <c r="C2023" s="7" t="s">
        <v>76</v>
      </c>
      <c r="D2023" s="9">
        <v>45809</v>
      </c>
      <c r="E2023" s="3">
        <v>13917.84</v>
      </c>
      <c r="F2023" s="7" t="s">
        <v>298</v>
      </c>
    </row>
    <row r="2024" spans="1:6" x14ac:dyDescent="0.3">
      <c r="A2024" s="7" t="s">
        <v>5197</v>
      </c>
      <c r="B2024" s="7" t="s">
        <v>2906</v>
      </c>
      <c r="C2024" s="7" t="s">
        <v>70</v>
      </c>
      <c r="D2024" s="9">
        <v>46012</v>
      </c>
      <c r="E2024" s="3">
        <v>2956.91</v>
      </c>
      <c r="F2024" s="7" t="s">
        <v>3174</v>
      </c>
    </row>
    <row r="2025" spans="1:6" x14ac:dyDescent="0.3">
      <c r="A2025" s="7" t="s">
        <v>5198</v>
      </c>
      <c r="B2025" s="7" t="s">
        <v>2907</v>
      </c>
      <c r="C2025" s="7" t="s">
        <v>72</v>
      </c>
      <c r="D2025" s="9">
        <v>45950</v>
      </c>
      <c r="E2025" s="3">
        <v>2038.38</v>
      </c>
      <c r="F2025" s="7" t="s">
        <v>3174</v>
      </c>
    </row>
    <row r="2026" spans="1:6" x14ac:dyDescent="0.3">
      <c r="A2026" s="7" t="s">
        <v>5199</v>
      </c>
      <c r="B2026" s="7" t="s">
        <v>2908</v>
      </c>
      <c r="C2026" s="7" t="s">
        <v>102</v>
      </c>
      <c r="D2026" s="9">
        <v>45740</v>
      </c>
      <c r="E2026" s="3">
        <v>5610.89</v>
      </c>
      <c r="F2026" s="7" t="s">
        <v>296</v>
      </c>
    </row>
    <row r="2027" spans="1:6" x14ac:dyDescent="0.3">
      <c r="A2027" s="7" t="s">
        <v>5200</v>
      </c>
      <c r="B2027" s="7" t="s">
        <v>2909</v>
      </c>
      <c r="C2027" s="7" t="s">
        <v>35</v>
      </c>
      <c r="D2027" s="9">
        <v>45858</v>
      </c>
      <c r="E2027" s="3">
        <v>3260.72</v>
      </c>
      <c r="F2027" s="7" t="s">
        <v>3184</v>
      </c>
    </row>
    <row r="2028" spans="1:6" x14ac:dyDescent="0.3">
      <c r="A2028" s="7" t="s">
        <v>5201</v>
      </c>
      <c r="B2028" s="7" t="s">
        <v>2910</v>
      </c>
      <c r="C2028" s="7" t="s">
        <v>66</v>
      </c>
      <c r="D2028" s="9">
        <v>46028</v>
      </c>
      <c r="E2028" s="3">
        <v>2184.63</v>
      </c>
      <c r="F2028" s="7" t="s">
        <v>298</v>
      </c>
    </row>
    <row r="2029" spans="1:6" x14ac:dyDescent="0.3">
      <c r="A2029" s="7" t="s">
        <v>5202</v>
      </c>
      <c r="B2029" s="7" t="s">
        <v>2912</v>
      </c>
      <c r="C2029" s="7" t="s">
        <v>101</v>
      </c>
      <c r="D2029" s="9">
        <v>45886</v>
      </c>
      <c r="E2029" s="3">
        <v>4655.8900000000003</v>
      </c>
      <c r="F2029" s="7" t="s">
        <v>296</v>
      </c>
    </row>
    <row r="2030" spans="1:6" x14ac:dyDescent="0.3">
      <c r="A2030" s="7" t="s">
        <v>5203</v>
      </c>
      <c r="B2030" s="7" t="s">
        <v>2913</v>
      </c>
      <c r="C2030" s="7" t="s">
        <v>108</v>
      </c>
      <c r="D2030" s="9">
        <v>46077</v>
      </c>
      <c r="E2030" s="3">
        <v>1778.64</v>
      </c>
      <c r="F2030" s="7" t="s">
        <v>3184</v>
      </c>
    </row>
    <row r="2031" spans="1:6" x14ac:dyDescent="0.3">
      <c r="A2031" s="7" t="s">
        <v>5204</v>
      </c>
      <c r="B2031" s="7" t="s">
        <v>2913</v>
      </c>
      <c r="C2031" s="7" t="s">
        <v>108</v>
      </c>
      <c r="D2031" s="9">
        <v>46091</v>
      </c>
      <c r="E2031" s="3">
        <v>1518.88</v>
      </c>
      <c r="F2031" s="7" t="s">
        <v>296</v>
      </c>
    </row>
    <row r="2032" spans="1:6" x14ac:dyDescent="0.3">
      <c r="A2032" s="7" t="s">
        <v>5205</v>
      </c>
      <c r="B2032" s="7" t="s">
        <v>2914</v>
      </c>
      <c r="C2032" s="7" t="s">
        <v>113</v>
      </c>
      <c r="D2032" s="9">
        <v>45677</v>
      </c>
      <c r="E2032" s="3">
        <v>5959.06</v>
      </c>
      <c r="F2032" s="7" t="s">
        <v>296</v>
      </c>
    </row>
    <row r="2033" spans="1:6" x14ac:dyDescent="0.3">
      <c r="A2033" s="7" t="s">
        <v>5206</v>
      </c>
      <c r="B2033" s="7" t="s">
        <v>2915</v>
      </c>
      <c r="C2033" s="7" t="s">
        <v>68</v>
      </c>
      <c r="D2033" s="9">
        <v>45847</v>
      </c>
      <c r="E2033" s="3">
        <v>4323.7700000000004</v>
      </c>
      <c r="F2033" s="7" t="s">
        <v>296</v>
      </c>
    </row>
    <row r="2034" spans="1:6" x14ac:dyDescent="0.3">
      <c r="A2034" s="7" t="s">
        <v>5207</v>
      </c>
      <c r="B2034" s="7" t="s">
        <v>2916</v>
      </c>
      <c r="C2034" s="7" t="s">
        <v>34</v>
      </c>
      <c r="D2034" s="9">
        <v>46146</v>
      </c>
      <c r="E2034" s="3">
        <v>2187.75</v>
      </c>
      <c r="F2034" s="7" t="s">
        <v>298</v>
      </c>
    </row>
    <row r="2035" spans="1:6" x14ac:dyDescent="0.3">
      <c r="A2035" s="7" t="s">
        <v>5208</v>
      </c>
      <c r="B2035" s="7" t="s">
        <v>2917</v>
      </c>
      <c r="C2035" s="7" t="s">
        <v>42</v>
      </c>
      <c r="D2035" s="9">
        <v>45976</v>
      </c>
      <c r="E2035" s="3">
        <v>12582.3</v>
      </c>
      <c r="F2035" s="7" t="s">
        <v>3174</v>
      </c>
    </row>
    <row r="2036" spans="1:6" x14ac:dyDescent="0.3">
      <c r="A2036" s="7" t="s">
        <v>5209</v>
      </c>
      <c r="B2036" s="7" t="s">
        <v>2921</v>
      </c>
      <c r="C2036" s="7" t="s">
        <v>76</v>
      </c>
      <c r="D2036" s="9">
        <v>45916</v>
      </c>
      <c r="E2036" s="3">
        <v>3338.35</v>
      </c>
      <c r="F2036" s="7" t="s">
        <v>3174</v>
      </c>
    </row>
    <row r="2037" spans="1:6" x14ac:dyDescent="0.3">
      <c r="A2037" s="7" t="s">
        <v>5210</v>
      </c>
      <c r="B2037" s="7" t="s">
        <v>2922</v>
      </c>
      <c r="C2037" s="7" t="s">
        <v>98</v>
      </c>
      <c r="D2037" s="9">
        <v>45920</v>
      </c>
      <c r="E2037" s="3">
        <v>4189.17</v>
      </c>
      <c r="F2037" s="7" t="s">
        <v>296</v>
      </c>
    </row>
    <row r="2038" spans="1:6" x14ac:dyDescent="0.3">
      <c r="A2038" s="7" t="s">
        <v>5211</v>
      </c>
      <c r="B2038" s="7" t="s">
        <v>2923</v>
      </c>
      <c r="C2038" s="7" t="s">
        <v>77</v>
      </c>
      <c r="D2038" s="9">
        <v>45852</v>
      </c>
      <c r="E2038" s="3">
        <v>2126.3000000000002</v>
      </c>
      <c r="F2038" s="7" t="s">
        <v>3174</v>
      </c>
    </row>
    <row r="2039" spans="1:6" x14ac:dyDescent="0.3">
      <c r="A2039" s="7" t="s">
        <v>5212</v>
      </c>
      <c r="B2039" s="7" t="s">
        <v>2924</v>
      </c>
      <c r="C2039" s="7" t="s">
        <v>120</v>
      </c>
      <c r="D2039" s="9">
        <v>45931</v>
      </c>
      <c r="E2039" s="3">
        <v>3559.55</v>
      </c>
      <c r="F2039" s="7" t="s">
        <v>298</v>
      </c>
    </row>
    <row r="2040" spans="1:6" x14ac:dyDescent="0.3">
      <c r="A2040" s="7" t="s">
        <v>5213</v>
      </c>
      <c r="B2040" s="7" t="s">
        <v>2925</v>
      </c>
      <c r="C2040" s="7" t="s">
        <v>9</v>
      </c>
      <c r="D2040" s="9">
        <v>46098</v>
      </c>
      <c r="E2040" s="3">
        <v>3072.83</v>
      </c>
      <c r="F2040" s="7" t="s">
        <v>3174</v>
      </c>
    </row>
    <row r="2041" spans="1:6" x14ac:dyDescent="0.3">
      <c r="A2041" s="7" t="s">
        <v>5214</v>
      </c>
      <c r="B2041" s="7" t="s">
        <v>2926</v>
      </c>
      <c r="C2041" s="7" t="s">
        <v>26</v>
      </c>
      <c r="D2041" s="9">
        <v>45875</v>
      </c>
      <c r="E2041" s="3">
        <v>5466.82</v>
      </c>
      <c r="F2041" s="7" t="s">
        <v>3174</v>
      </c>
    </row>
    <row r="2042" spans="1:6" x14ac:dyDescent="0.3">
      <c r="A2042" s="7" t="s">
        <v>5215</v>
      </c>
      <c r="B2042" s="7" t="s">
        <v>2928</v>
      </c>
      <c r="C2042" s="7" t="s">
        <v>19</v>
      </c>
      <c r="D2042" s="9">
        <v>45941</v>
      </c>
      <c r="E2042" s="3">
        <v>1324.5</v>
      </c>
      <c r="F2042" s="7" t="s">
        <v>296</v>
      </c>
    </row>
    <row r="2043" spans="1:6" x14ac:dyDescent="0.3">
      <c r="A2043" s="7" t="s">
        <v>5216</v>
      </c>
      <c r="B2043" s="7" t="s">
        <v>2928</v>
      </c>
      <c r="C2043" s="7" t="s">
        <v>19</v>
      </c>
      <c r="D2043" s="9">
        <v>45950</v>
      </c>
      <c r="E2043" s="3">
        <v>1798.09</v>
      </c>
      <c r="F2043" s="7" t="s">
        <v>3184</v>
      </c>
    </row>
    <row r="2044" spans="1:6" x14ac:dyDescent="0.3">
      <c r="A2044" s="7" t="s">
        <v>5217</v>
      </c>
      <c r="B2044" s="7" t="s">
        <v>2929</v>
      </c>
      <c r="C2044" s="7" t="s">
        <v>103</v>
      </c>
      <c r="D2044" s="9">
        <v>46020</v>
      </c>
      <c r="E2044" s="3">
        <v>1559.26</v>
      </c>
      <c r="F2044" s="7" t="s">
        <v>3174</v>
      </c>
    </row>
    <row r="2045" spans="1:6" x14ac:dyDescent="0.3">
      <c r="A2045" s="7" t="s">
        <v>5218</v>
      </c>
      <c r="B2045" s="7" t="s">
        <v>2931</v>
      </c>
      <c r="C2045" s="7" t="s">
        <v>73</v>
      </c>
      <c r="D2045" s="9">
        <v>45873</v>
      </c>
      <c r="E2045" s="3">
        <v>1813.31</v>
      </c>
      <c r="F2045" s="7" t="s">
        <v>3174</v>
      </c>
    </row>
    <row r="2046" spans="1:6" x14ac:dyDescent="0.3">
      <c r="A2046" s="7" t="s">
        <v>5219</v>
      </c>
      <c r="B2046" s="7" t="s">
        <v>2931</v>
      </c>
      <c r="C2046" s="7" t="s">
        <v>73</v>
      </c>
      <c r="D2046" s="9">
        <v>45883</v>
      </c>
      <c r="E2046" s="3">
        <v>1737.56</v>
      </c>
      <c r="F2046" s="7" t="s">
        <v>296</v>
      </c>
    </row>
    <row r="2047" spans="1:6" x14ac:dyDescent="0.3">
      <c r="A2047" s="7" t="s">
        <v>5220</v>
      </c>
      <c r="B2047" s="7" t="s">
        <v>2932</v>
      </c>
      <c r="C2047" s="7" t="s">
        <v>45</v>
      </c>
      <c r="D2047" s="9">
        <v>45917</v>
      </c>
      <c r="E2047" s="3">
        <v>13889.97</v>
      </c>
      <c r="F2047" s="7" t="s">
        <v>298</v>
      </c>
    </row>
    <row r="2048" spans="1:6" x14ac:dyDescent="0.3">
      <c r="A2048" s="7" t="s">
        <v>5221</v>
      </c>
      <c r="B2048" s="7" t="s">
        <v>2933</v>
      </c>
      <c r="C2048" s="7" t="s">
        <v>33</v>
      </c>
      <c r="D2048" s="9">
        <v>46029</v>
      </c>
      <c r="E2048" s="3">
        <v>2489.84</v>
      </c>
      <c r="F2048" s="7" t="s">
        <v>296</v>
      </c>
    </row>
    <row r="2049" spans="1:6" x14ac:dyDescent="0.3">
      <c r="A2049" s="7" t="s">
        <v>5222</v>
      </c>
      <c r="B2049" s="7" t="s">
        <v>2935</v>
      </c>
      <c r="C2049" s="7" t="s">
        <v>27</v>
      </c>
      <c r="D2049" s="9">
        <v>45761</v>
      </c>
      <c r="E2049" s="3">
        <v>4961.8599999999997</v>
      </c>
      <c r="F2049" s="7" t="s">
        <v>298</v>
      </c>
    </row>
    <row r="2050" spans="1:6" x14ac:dyDescent="0.3">
      <c r="A2050" s="7" t="s">
        <v>5223</v>
      </c>
      <c r="B2050" s="7" t="s">
        <v>2936</v>
      </c>
      <c r="C2050" s="7" t="s">
        <v>51</v>
      </c>
      <c r="D2050" s="9">
        <v>45967</v>
      </c>
      <c r="E2050" s="3">
        <v>1741.69</v>
      </c>
      <c r="F2050" s="7" t="s">
        <v>298</v>
      </c>
    </row>
    <row r="2051" spans="1:6" x14ac:dyDescent="0.3">
      <c r="A2051" s="7" t="s">
        <v>5224</v>
      </c>
      <c r="B2051" s="7" t="s">
        <v>2938</v>
      </c>
      <c r="C2051" s="7" t="s">
        <v>25</v>
      </c>
      <c r="D2051" s="9">
        <v>46027</v>
      </c>
      <c r="E2051" s="3">
        <v>1972.55</v>
      </c>
      <c r="F2051" s="7" t="s">
        <v>3174</v>
      </c>
    </row>
    <row r="2052" spans="1:6" x14ac:dyDescent="0.3">
      <c r="A2052" s="7" t="s">
        <v>5225</v>
      </c>
      <c r="B2052" s="7" t="s">
        <v>2939</v>
      </c>
      <c r="C2052" s="7" t="s">
        <v>73</v>
      </c>
      <c r="D2052" s="9">
        <v>45830</v>
      </c>
      <c r="E2052" s="3">
        <v>1638.34</v>
      </c>
      <c r="F2052" s="7" t="s">
        <v>296</v>
      </c>
    </row>
    <row r="2053" spans="1:6" x14ac:dyDescent="0.3">
      <c r="A2053" s="7" t="s">
        <v>5226</v>
      </c>
      <c r="B2053" s="7" t="s">
        <v>2940</v>
      </c>
      <c r="C2053" s="7" t="s">
        <v>36</v>
      </c>
      <c r="D2053" s="9">
        <v>46064</v>
      </c>
      <c r="E2053" s="3">
        <v>2524.2399999999998</v>
      </c>
      <c r="F2053" s="7" t="s">
        <v>3184</v>
      </c>
    </row>
    <row r="2054" spans="1:6" x14ac:dyDescent="0.3">
      <c r="A2054" s="7" t="s">
        <v>5227</v>
      </c>
      <c r="B2054" s="7" t="s">
        <v>2941</v>
      </c>
      <c r="C2054" s="7" t="s">
        <v>85</v>
      </c>
      <c r="D2054" s="9">
        <v>46080</v>
      </c>
      <c r="E2054" s="3">
        <v>1755.56</v>
      </c>
      <c r="F2054" s="7" t="s">
        <v>296</v>
      </c>
    </row>
    <row r="2055" spans="1:6" x14ac:dyDescent="0.3">
      <c r="A2055" s="7" t="s">
        <v>5228</v>
      </c>
      <c r="B2055" s="7" t="s">
        <v>2942</v>
      </c>
      <c r="C2055" s="7" t="s">
        <v>41</v>
      </c>
      <c r="D2055" s="9">
        <v>46147</v>
      </c>
      <c r="E2055" s="3">
        <v>10337.65</v>
      </c>
      <c r="F2055" s="7" t="s">
        <v>3184</v>
      </c>
    </row>
    <row r="2056" spans="1:6" x14ac:dyDescent="0.3">
      <c r="A2056" s="7" t="s">
        <v>5229</v>
      </c>
      <c r="B2056" s="7" t="s">
        <v>2943</v>
      </c>
      <c r="C2056" s="7" t="s">
        <v>61</v>
      </c>
      <c r="D2056" s="9">
        <v>45805</v>
      </c>
      <c r="E2056" s="3">
        <v>2857.8</v>
      </c>
      <c r="F2056" s="7" t="s">
        <v>296</v>
      </c>
    </row>
    <row r="2057" spans="1:6" x14ac:dyDescent="0.3">
      <c r="A2057" s="7" t="s">
        <v>5230</v>
      </c>
      <c r="B2057" s="7" t="s">
        <v>2946</v>
      </c>
      <c r="C2057" s="7" t="s">
        <v>96</v>
      </c>
      <c r="D2057" s="9">
        <v>45794</v>
      </c>
      <c r="E2057" s="3">
        <v>4011.12</v>
      </c>
      <c r="F2057" s="7" t="s">
        <v>3184</v>
      </c>
    </row>
    <row r="2058" spans="1:6" x14ac:dyDescent="0.3">
      <c r="A2058" s="7" t="s">
        <v>5231</v>
      </c>
      <c r="B2058" s="7" t="s">
        <v>2948</v>
      </c>
      <c r="C2058" s="7" t="s">
        <v>60</v>
      </c>
      <c r="D2058" s="9">
        <v>45820</v>
      </c>
      <c r="E2058" s="3">
        <v>1967.36</v>
      </c>
      <c r="F2058" s="7" t="s">
        <v>3184</v>
      </c>
    </row>
    <row r="2059" spans="1:6" x14ac:dyDescent="0.3">
      <c r="A2059" s="7" t="s">
        <v>5232</v>
      </c>
      <c r="B2059" s="7" t="s">
        <v>2949</v>
      </c>
      <c r="C2059" s="7" t="s">
        <v>98</v>
      </c>
      <c r="D2059" s="9">
        <v>45867</v>
      </c>
      <c r="E2059" s="3">
        <v>1168.44</v>
      </c>
      <c r="F2059" s="7" t="s">
        <v>3174</v>
      </c>
    </row>
    <row r="2060" spans="1:6" x14ac:dyDescent="0.3">
      <c r="A2060" s="7" t="s">
        <v>5233</v>
      </c>
      <c r="B2060" s="7" t="s">
        <v>2949</v>
      </c>
      <c r="C2060" s="7" t="s">
        <v>98</v>
      </c>
      <c r="D2060" s="9">
        <v>45879</v>
      </c>
      <c r="E2060" s="3">
        <v>873.69</v>
      </c>
      <c r="F2060" s="7" t="s">
        <v>3174</v>
      </c>
    </row>
    <row r="2061" spans="1:6" x14ac:dyDescent="0.3">
      <c r="A2061" s="7" t="s">
        <v>5234</v>
      </c>
      <c r="B2061" s="7" t="s">
        <v>2950</v>
      </c>
      <c r="C2061" s="7" t="s">
        <v>92</v>
      </c>
      <c r="D2061" s="9">
        <v>45916</v>
      </c>
      <c r="E2061" s="3">
        <v>6380.62</v>
      </c>
      <c r="F2061" s="7" t="s">
        <v>3174</v>
      </c>
    </row>
    <row r="2062" spans="1:6" x14ac:dyDescent="0.3">
      <c r="A2062" s="7" t="s">
        <v>5235</v>
      </c>
      <c r="B2062" s="7" t="s">
        <v>2950</v>
      </c>
      <c r="C2062" s="7" t="s">
        <v>92</v>
      </c>
      <c r="D2062" s="9">
        <v>45918</v>
      </c>
      <c r="E2062" s="3">
        <v>4384.55</v>
      </c>
      <c r="F2062" s="7" t="s">
        <v>3174</v>
      </c>
    </row>
    <row r="2063" spans="1:6" x14ac:dyDescent="0.3">
      <c r="A2063" s="7" t="s">
        <v>5236</v>
      </c>
      <c r="B2063" s="7" t="s">
        <v>2951</v>
      </c>
      <c r="C2063" s="7" t="s">
        <v>84</v>
      </c>
      <c r="D2063" s="9">
        <v>46080</v>
      </c>
      <c r="E2063" s="3">
        <v>2103.9699999999998</v>
      </c>
      <c r="F2063" s="7" t="s">
        <v>296</v>
      </c>
    </row>
    <row r="2064" spans="1:6" x14ac:dyDescent="0.3">
      <c r="A2064" s="7" t="s">
        <v>5237</v>
      </c>
      <c r="B2064" s="7" t="s">
        <v>2952</v>
      </c>
      <c r="C2064" s="7" t="s">
        <v>84</v>
      </c>
      <c r="D2064" s="9">
        <v>45981</v>
      </c>
      <c r="E2064" s="3">
        <v>3326.15</v>
      </c>
      <c r="F2064" s="7" t="s">
        <v>3184</v>
      </c>
    </row>
    <row r="2065" spans="1:6" x14ac:dyDescent="0.3">
      <c r="A2065" s="7" t="s">
        <v>5238</v>
      </c>
      <c r="B2065" s="7" t="s">
        <v>2954</v>
      </c>
      <c r="C2065" s="7" t="s">
        <v>93</v>
      </c>
      <c r="D2065" s="9">
        <v>46066</v>
      </c>
      <c r="E2065" s="3">
        <v>2540.9699999999998</v>
      </c>
      <c r="F2065" s="7" t="s">
        <v>3174</v>
      </c>
    </row>
    <row r="2066" spans="1:6" x14ac:dyDescent="0.3">
      <c r="A2066" s="7" t="s">
        <v>5239</v>
      </c>
      <c r="B2066" s="7" t="s">
        <v>2955</v>
      </c>
      <c r="C2066" s="7" t="s">
        <v>12</v>
      </c>
      <c r="D2066" s="9">
        <v>45907</v>
      </c>
      <c r="E2066" s="3">
        <v>2090.73</v>
      </c>
      <c r="F2066" s="7" t="s">
        <v>298</v>
      </c>
    </row>
    <row r="2067" spans="1:6" x14ac:dyDescent="0.3">
      <c r="A2067" s="7" t="s">
        <v>5240</v>
      </c>
      <c r="B2067" s="7" t="s">
        <v>2956</v>
      </c>
      <c r="C2067" s="7" t="s">
        <v>73</v>
      </c>
      <c r="D2067" s="9">
        <v>45908</v>
      </c>
      <c r="E2067" s="3">
        <v>2647.09</v>
      </c>
      <c r="F2067" s="7" t="s">
        <v>296</v>
      </c>
    </row>
    <row r="2068" spans="1:6" x14ac:dyDescent="0.3">
      <c r="A2068" s="7" t="s">
        <v>5241</v>
      </c>
      <c r="B2068" s="7" t="s">
        <v>2957</v>
      </c>
      <c r="C2068" s="7" t="s">
        <v>62</v>
      </c>
      <c r="D2068" s="9">
        <v>46080</v>
      </c>
      <c r="E2068" s="3">
        <v>3528.24</v>
      </c>
      <c r="F2068" s="7" t="s">
        <v>3184</v>
      </c>
    </row>
    <row r="2069" spans="1:6" x14ac:dyDescent="0.3">
      <c r="A2069" s="7" t="s">
        <v>5242</v>
      </c>
      <c r="B2069" s="7" t="s">
        <v>2958</v>
      </c>
      <c r="C2069" s="7" t="s">
        <v>87</v>
      </c>
      <c r="D2069" s="9">
        <v>45784</v>
      </c>
      <c r="E2069" s="3">
        <v>2093.8200000000002</v>
      </c>
      <c r="F2069" s="7" t="s">
        <v>3184</v>
      </c>
    </row>
    <row r="2070" spans="1:6" x14ac:dyDescent="0.3">
      <c r="A2070" s="7" t="s">
        <v>5243</v>
      </c>
      <c r="B2070" s="7" t="s">
        <v>2959</v>
      </c>
      <c r="C2070" s="7" t="s">
        <v>115</v>
      </c>
      <c r="D2070" s="9">
        <v>45878</v>
      </c>
      <c r="E2070" s="3">
        <v>2098.8000000000002</v>
      </c>
      <c r="F2070" s="7" t="s">
        <v>3174</v>
      </c>
    </row>
    <row r="2071" spans="1:6" x14ac:dyDescent="0.3">
      <c r="A2071" s="7" t="s">
        <v>5244</v>
      </c>
      <c r="B2071" s="7" t="s">
        <v>2960</v>
      </c>
      <c r="C2071" s="7" t="s">
        <v>38</v>
      </c>
      <c r="D2071" s="9">
        <v>46050</v>
      </c>
      <c r="E2071" s="3">
        <v>2358.59</v>
      </c>
      <c r="F2071" s="7" t="s">
        <v>3184</v>
      </c>
    </row>
    <row r="2072" spans="1:6" x14ac:dyDescent="0.3">
      <c r="A2072" s="7" t="s">
        <v>5245</v>
      </c>
      <c r="B2072" s="7" t="s">
        <v>2961</v>
      </c>
      <c r="C2072" s="7" t="s">
        <v>88</v>
      </c>
      <c r="D2072" s="9">
        <v>45718</v>
      </c>
      <c r="E2072" s="3">
        <v>1263.32</v>
      </c>
      <c r="F2072" s="7" t="s">
        <v>298</v>
      </c>
    </row>
    <row r="2073" spans="1:6" x14ac:dyDescent="0.3">
      <c r="A2073" s="7" t="s">
        <v>5246</v>
      </c>
      <c r="B2073" s="7" t="s">
        <v>2961</v>
      </c>
      <c r="C2073" s="7" t="s">
        <v>88</v>
      </c>
      <c r="D2073" s="9">
        <v>45726</v>
      </c>
      <c r="E2073" s="3">
        <v>1182.69</v>
      </c>
      <c r="F2073" s="7" t="s">
        <v>298</v>
      </c>
    </row>
    <row r="2074" spans="1:6" x14ac:dyDescent="0.3">
      <c r="A2074" s="7" t="s">
        <v>5247</v>
      </c>
      <c r="B2074" s="7" t="s">
        <v>2962</v>
      </c>
      <c r="C2074" s="7" t="s">
        <v>117</v>
      </c>
      <c r="D2074" s="9">
        <v>45750</v>
      </c>
      <c r="E2074" s="3">
        <v>2768.61</v>
      </c>
      <c r="F2074" s="7" t="s">
        <v>296</v>
      </c>
    </row>
    <row r="2075" spans="1:6" x14ac:dyDescent="0.3">
      <c r="A2075" s="7" t="s">
        <v>5248</v>
      </c>
      <c r="B2075" s="7" t="s">
        <v>2964</v>
      </c>
      <c r="C2075" s="7" t="s">
        <v>85</v>
      </c>
      <c r="D2075" s="9">
        <v>46126</v>
      </c>
      <c r="E2075" s="3">
        <v>5689.44</v>
      </c>
      <c r="F2075" s="7" t="s">
        <v>298</v>
      </c>
    </row>
    <row r="2076" spans="1:6" x14ac:dyDescent="0.3">
      <c r="A2076" s="7" t="s">
        <v>5249</v>
      </c>
      <c r="B2076" s="7" t="s">
        <v>2965</v>
      </c>
      <c r="C2076" s="7" t="s">
        <v>46</v>
      </c>
      <c r="D2076" s="9">
        <v>46095</v>
      </c>
      <c r="E2076" s="3">
        <v>3835.8</v>
      </c>
      <c r="F2076" s="7" t="s">
        <v>298</v>
      </c>
    </row>
    <row r="2077" spans="1:6" x14ac:dyDescent="0.3">
      <c r="A2077" s="7" t="s">
        <v>5250</v>
      </c>
      <c r="B2077" s="7" t="s">
        <v>2966</v>
      </c>
      <c r="C2077" s="7" t="s">
        <v>86</v>
      </c>
      <c r="D2077" s="9">
        <v>45753</v>
      </c>
      <c r="E2077" s="3">
        <v>3497.01</v>
      </c>
      <c r="F2077" s="7" t="s">
        <v>3184</v>
      </c>
    </row>
    <row r="2078" spans="1:6" x14ac:dyDescent="0.3">
      <c r="A2078" s="7" t="s">
        <v>5251</v>
      </c>
      <c r="B2078" s="7" t="s">
        <v>2967</v>
      </c>
      <c r="C2078" s="7" t="s">
        <v>116</v>
      </c>
      <c r="D2078" s="9">
        <v>46053</v>
      </c>
      <c r="E2078" s="3">
        <v>12669.48</v>
      </c>
      <c r="F2078" s="7" t="s">
        <v>3174</v>
      </c>
    </row>
    <row r="2079" spans="1:6" x14ac:dyDescent="0.3">
      <c r="A2079" s="7" t="s">
        <v>5252</v>
      </c>
      <c r="B2079" s="7" t="s">
        <v>2969</v>
      </c>
      <c r="C2079" s="7" t="s">
        <v>81</v>
      </c>
      <c r="D2079" s="9">
        <v>45828</v>
      </c>
      <c r="E2079" s="3">
        <v>5918.62</v>
      </c>
      <c r="F2079" s="7" t="s">
        <v>3184</v>
      </c>
    </row>
    <row r="2080" spans="1:6" x14ac:dyDescent="0.3">
      <c r="A2080" s="7" t="s">
        <v>5253</v>
      </c>
      <c r="B2080" s="7" t="s">
        <v>2970</v>
      </c>
      <c r="C2080" s="7" t="s">
        <v>103</v>
      </c>
      <c r="D2080" s="9">
        <v>46061</v>
      </c>
      <c r="E2080" s="3">
        <v>2908.83</v>
      </c>
      <c r="F2080" s="7" t="s">
        <v>298</v>
      </c>
    </row>
    <row r="2081" spans="1:6" x14ac:dyDescent="0.3">
      <c r="A2081" s="7" t="s">
        <v>5254</v>
      </c>
      <c r="B2081" s="7" t="s">
        <v>2971</v>
      </c>
      <c r="C2081" s="7" t="s">
        <v>32</v>
      </c>
      <c r="D2081" s="9">
        <v>45872</v>
      </c>
      <c r="E2081" s="3">
        <v>3553.56</v>
      </c>
      <c r="F2081" s="7" t="s">
        <v>3184</v>
      </c>
    </row>
    <row r="2082" spans="1:6" x14ac:dyDescent="0.3">
      <c r="A2082" s="7" t="s">
        <v>5255</v>
      </c>
      <c r="B2082" s="7" t="s">
        <v>2972</v>
      </c>
      <c r="C2082" s="7" t="s">
        <v>40</v>
      </c>
      <c r="D2082" s="9">
        <v>45965</v>
      </c>
      <c r="E2082" s="3">
        <v>2508.65</v>
      </c>
      <c r="F2082" s="7" t="s">
        <v>296</v>
      </c>
    </row>
    <row r="2083" spans="1:6" x14ac:dyDescent="0.3">
      <c r="A2083" s="7" t="s">
        <v>5256</v>
      </c>
      <c r="B2083" s="7" t="s">
        <v>2973</v>
      </c>
      <c r="C2083" s="7" t="s">
        <v>124</v>
      </c>
      <c r="D2083" s="9">
        <v>45932</v>
      </c>
      <c r="E2083" s="3">
        <v>5431.78</v>
      </c>
      <c r="F2083" s="7" t="s">
        <v>296</v>
      </c>
    </row>
    <row r="2084" spans="1:6" x14ac:dyDescent="0.3">
      <c r="A2084" s="7" t="s">
        <v>5257</v>
      </c>
      <c r="B2084" s="7" t="s">
        <v>2974</v>
      </c>
      <c r="C2084" s="7" t="s">
        <v>17</v>
      </c>
      <c r="D2084" s="9">
        <v>46050</v>
      </c>
      <c r="E2084" s="3">
        <v>10097.4</v>
      </c>
      <c r="F2084" s="7" t="s">
        <v>3174</v>
      </c>
    </row>
    <row r="2085" spans="1:6" x14ac:dyDescent="0.3">
      <c r="A2085" s="7" t="s">
        <v>5258</v>
      </c>
      <c r="B2085" s="7" t="s">
        <v>2975</v>
      </c>
      <c r="C2085" s="7" t="s">
        <v>26</v>
      </c>
      <c r="D2085" s="9">
        <v>45887</v>
      </c>
      <c r="E2085" s="3">
        <v>2999.44</v>
      </c>
      <c r="F2085" s="7" t="s">
        <v>296</v>
      </c>
    </row>
    <row r="2086" spans="1:6" x14ac:dyDescent="0.3">
      <c r="A2086" s="7" t="s">
        <v>5259</v>
      </c>
      <c r="B2086" s="7" t="s">
        <v>2976</v>
      </c>
      <c r="C2086" s="7" t="s">
        <v>95</v>
      </c>
      <c r="D2086" s="9">
        <v>45703</v>
      </c>
      <c r="E2086" s="3">
        <v>2154.73</v>
      </c>
      <c r="F2086" s="7" t="s">
        <v>3184</v>
      </c>
    </row>
    <row r="2087" spans="1:6" x14ac:dyDescent="0.3">
      <c r="A2087" s="7" t="s">
        <v>5260</v>
      </c>
      <c r="B2087" s="7" t="s">
        <v>2977</v>
      </c>
      <c r="C2087" s="7" t="s">
        <v>34</v>
      </c>
      <c r="D2087" s="9">
        <v>45812</v>
      </c>
      <c r="E2087" s="3">
        <v>4490.7</v>
      </c>
      <c r="F2087" s="7" t="s">
        <v>298</v>
      </c>
    </row>
    <row r="2088" spans="1:6" x14ac:dyDescent="0.3">
      <c r="A2088" s="7" t="s">
        <v>5261</v>
      </c>
      <c r="B2088" s="7" t="s">
        <v>2979</v>
      </c>
      <c r="C2088" s="7" t="s">
        <v>30</v>
      </c>
      <c r="D2088" s="9">
        <v>45988</v>
      </c>
      <c r="E2088" s="3">
        <v>11589.72</v>
      </c>
      <c r="F2088" s="7" t="s">
        <v>298</v>
      </c>
    </row>
    <row r="2089" spans="1:6" x14ac:dyDescent="0.3">
      <c r="A2089" s="7" t="s">
        <v>5262</v>
      </c>
      <c r="B2089" s="7" t="s">
        <v>2982</v>
      </c>
      <c r="C2089" s="7" t="s">
        <v>16</v>
      </c>
      <c r="D2089" s="9">
        <v>45816</v>
      </c>
      <c r="E2089" s="3">
        <v>11377.1</v>
      </c>
      <c r="F2089" s="7" t="s">
        <v>296</v>
      </c>
    </row>
    <row r="2090" spans="1:6" x14ac:dyDescent="0.3">
      <c r="A2090" s="7" t="s">
        <v>5263</v>
      </c>
      <c r="B2090" s="7" t="s">
        <v>2983</v>
      </c>
      <c r="C2090" s="7" t="s">
        <v>75</v>
      </c>
      <c r="D2090" s="9">
        <v>46131</v>
      </c>
      <c r="E2090" s="3">
        <v>1536.83</v>
      </c>
      <c r="F2090" s="7" t="s">
        <v>3184</v>
      </c>
    </row>
    <row r="2091" spans="1:6" x14ac:dyDescent="0.3">
      <c r="A2091" s="7" t="s">
        <v>5264</v>
      </c>
      <c r="B2091" s="7" t="s">
        <v>2984</v>
      </c>
      <c r="C2091" s="7" t="s">
        <v>75</v>
      </c>
      <c r="D2091" s="9">
        <v>46091</v>
      </c>
      <c r="E2091" s="3">
        <v>2980.27</v>
      </c>
      <c r="F2091" s="7" t="s">
        <v>3174</v>
      </c>
    </row>
    <row r="2092" spans="1:6" x14ac:dyDescent="0.3">
      <c r="A2092" s="7" t="s">
        <v>5265</v>
      </c>
      <c r="B2092" s="7" t="s">
        <v>2985</v>
      </c>
      <c r="C2092" s="7" t="s">
        <v>51</v>
      </c>
      <c r="D2092" s="9">
        <v>46116</v>
      </c>
      <c r="E2092" s="3">
        <v>2104.81</v>
      </c>
      <c r="F2092" s="7" t="s">
        <v>3184</v>
      </c>
    </row>
    <row r="2093" spans="1:6" x14ac:dyDescent="0.3">
      <c r="A2093" s="7" t="s">
        <v>5266</v>
      </c>
      <c r="B2093" s="7" t="s">
        <v>2986</v>
      </c>
      <c r="C2093" s="7" t="s">
        <v>80</v>
      </c>
      <c r="D2093" s="9">
        <v>45954</v>
      </c>
      <c r="E2093" s="3">
        <v>1289.03</v>
      </c>
      <c r="F2093" s="7" t="s">
        <v>298</v>
      </c>
    </row>
    <row r="2094" spans="1:6" x14ac:dyDescent="0.3">
      <c r="A2094" s="7" t="s">
        <v>5267</v>
      </c>
      <c r="B2094" s="7" t="s">
        <v>2986</v>
      </c>
      <c r="C2094" s="7" t="s">
        <v>80</v>
      </c>
      <c r="D2094" s="9">
        <v>45955</v>
      </c>
      <c r="E2094" s="3">
        <v>656.51</v>
      </c>
      <c r="F2094" s="7" t="s">
        <v>3174</v>
      </c>
    </row>
    <row r="2095" spans="1:6" x14ac:dyDescent="0.3">
      <c r="A2095" s="7" t="s">
        <v>5268</v>
      </c>
      <c r="B2095" s="7" t="s">
        <v>2987</v>
      </c>
      <c r="C2095" s="7" t="s">
        <v>15</v>
      </c>
      <c r="D2095" s="9">
        <v>45885</v>
      </c>
      <c r="E2095" s="3">
        <v>2952.29</v>
      </c>
      <c r="F2095" s="7" t="s">
        <v>3184</v>
      </c>
    </row>
    <row r="2096" spans="1:6" x14ac:dyDescent="0.3">
      <c r="A2096" s="7" t="s">
        <v>5269</v>
      </c>
      <c r="B2096" s="7" t="s">
        <v>2988</v>
      </c>
      <c r="C2096" s="7" t="s">
        <v>121</v>
      </c>
      <c r="D2096" s="9">
        <v>45899</v>
      </c>
      <c r="E2096" s="3">
        <v>4044.23</v>
      </c>
      <c r="F2096" s="7" t="s">
        <v>3174</v>
      </c>
    </row>
    <row r="2097" spans="1:6" x14ac:dyDescent="0.3">
      <c r="A2097" s="7" t="s">
        <v>5270</v>
      </c>
      <c r="B2097" s="7" t="s">
        <v>2989</v>
      </c>
      <c r="C2097" s="7" t="s">
        <v>52</v>
      </c>
      <c r="D2097" s="9">
        <v>46025</v>
      </c>
      <c r="E2097" s="3">
        <v>2476.63</v>
      </c>
      <c r="F2097" s="7" t="s">
        <v>298</v>
      </c>
    </row>
    <row r="2098" spans="1:6" x14ac:dyDescent="0.3">
      <c r="A2098" s="7" t="s">
        <v>5271</v>
      </c>
      <c r="B2098" s="7" t="s">
        <v>2990</v>
      </c>
      <c r="C2098" s="7" t="s">
        <v>121</v>
      </c>
      <c r="D2098" s="9">
        <v>45805</v>
      </c>
      <c r="E2098" s="3">
        <v>3545.68</v>
      </c>
      <c r="F2098" s="7" t="s">
        <v>3184</v>
      </c>
    </row>
    <row r="2099" spans="1:6" x14ac:dyDescent="0.3">
      <c r="A2099" s="7" t="s">
        <v>5272</v>
      </c>
      <c r="B2099" s="7" t="s">
        <v>2991</v>
      </c>
      <c r="C2099" s="7" t="s">
        <v>104</v>
      </c>
      <c r="D2099" s="9">
        <v>45966</v>
      </c>
      <c r="E2099" s="3">
        <v>1459.86</v>
      </c>
      <c r="F2099" s="7" t="s">
        <v>296</v>
      </c>
    </row>
    <row r="2100" spans="1:6" x14ac:dyDescent="0.3">
      <c r="A2100" s="7" t="s">
        <v>5273</v>
      </c>
      <c r="B2100" s="7" t="s">
        <v>2992</v>
      </c>
      <c r="C2100" s="7" t="s">
        <v>75</v>
      </c>
      <c r="D2100" s="9">
        <v>45785</v>
      </c>
      <c r="E2100" s="3">
        <v>5972.41</v>
      </c>
      <c r="F2100" s="7" t="s">
        <v>3174</v>
      </c>
    </row>
    <row r="2101" spans="1:6" x14ac:dyDescent="0.3">
      <c r="A2101" s="7" t="s">
        <v>5274</v>
      </c>
      <c r="B2101" s="7" t="s">
        <v>2993</v>
      </c>
      <c r="C2101" s="7" t="s">
        <v>119</v>
      </c>
      <c r="D2101" s="9">
        <v>45855</v>
      </c>
      <c r="E2101" s="3">
        <v>1925.76</v>
      </c>
      <c r="F2101" s="7" t="s">
        <v>3174</v>
      </c>
    </row>
    <row r="2102" spans="1:6" x14ac:dyDescent="0.3">
      <c r="A2102" s="7" t="s">
        <v>5275</v>
      </c>
      <c r="B2102" s="7" t="s">
        <v>2995</v>
      </c>
      <c r="C2102" s="7" t="s">
        <v>52</v>
      </c>
      <c r="D2102" s="9">
        <v>45970</v>
      </c>
      <c r="E2102" s="3">
        <v>2862.73</v>
      </c>
      <c r="F2102" s="7" t="s">
        <v>296</v>
      </c>
    </row>
    <row r="2103" spans="1:6" x14ac:dyDescent="0.3">
      <c r="A2103" s="7" t="s">
        <v>5276</v>
      </c>
      <c r="B2103" s="7" t="s">
        <v>2996</v>
      </c>
      <c r="C2103" s="7" t="s">
        <v>59</v>
      </c>
      <c r="D2103" s="9">
        <v>45704</v>
      </c>
      <c r="E2103" s="3">
        <v>2967.56</v>
      </c>
      <c r="F2103" s="7" t="s">
        <v>298</v>
      </c>
    </row>
    <row r="2104" spans="1:6" x14ac:dyDescent="0.3">
      <c r="A2104" s="7" t="s">
        <v>5277</v>
      </c>
      <c r="B2104" s="7" t="s">
        <v>2999</v>
      </c>
      <c r="C2104" s="7" t="s">
        <v>94</v>
      </c>
      <c r="D2104" s="9">
        <v>45745</v>
      </c>
      <c r="E2104" s="3">
        <v>2798.15</v>
      </c>
      <c r="F2104" s="7" t="s">
        <v>3174</v>
      </c>
    </row>
    <row r="2105" spans="1:6" x14ac:dyDescent="0.3">
      <c r="A2105" s="7" t="s">
        <v>5278</v>
      </c>
      <c r="B2105" s="7" t="s">
        <v>3000</v>
      </c>
      <c r="C2105" s="7" t="s">
        <v>115</v>
      </c>
      <c r="D2105" s="9">
        <v>45889</v>
      </c>
      <c r="E2105" s="3">
        <v>13463.59</v>
      </c>
      <c r="F2105" s="7" t="s">
        <v>3184</v>
      </c>
    </row>
    <row r="2106" spans="1:6" x14ac:dyDescent="0.3">
      <c r="A2106" s="7" t="s">
        <v>5279</v>
      </c>
      <c r="B2106" s="7" t="s">
        <v>3001</v>
      </c>
      <c r="C2106" s="7" t="s">
        <v>62</v>
      </c>
      <c r="D2106" s="9">
        <v>45861</v>
      </c>
      <c r="E2106" s="3">
        <v>1133.92</v>
      </c>
      <c r="F2106" s="7" t="s">
        <v>298</v>
      </c>
    </row>
    <row r="2107" spans="1:6" x14ac:dyDescent="0.3">
      <c r="A2107" s="7" t="s">
        <v>5280</v>
      </c>
      <c r="B2107" s="7" t="s">
        <v>3001</v>
      </c>
      <c r="C2107" s="7" t="s">
        <v>62</v>
      </c>
      <c r="D2107" s="9">
        <v>45864</v>
      </c>
      <c r="E2107" s="3">
        <v>1049.07</v>
      </c>
      <c r="F2107" s="7" t="s">
        <v>298</v>
      </c>
    </row>
    <row r="2108" spans="1:6" x14ac:dyDescent="0.3">
      <c r="A2108" s="7" t="s">
        <v>5281</v>
      </c>
      <c r="B2108" s="7" t="s">
        <v>3002</v>
      </c>
      <c r="C2108" s="7" t="s">
        <v>36</v>
      </c>
      <c r="D2108" s="9">
        <v>45767</v>
      </c>
      <c r="E2108" s="3">
        <v>2499.6799999999998</v>
      </c>
      <c r="F2108" s="7" t="s">
        <v>3174</v>
      </c>
    </row>
    <row r="2109" spans="1:6" x14ac:dyDescent="0.3">
      <c r="A2109" s="7" t="s">
        <v>5282</v>
      </c>
      <c r="B2109" s="7" t="s">
        <v>3003</v>
      </c>
      <c r="C2109" s="7" t="s">
        <v>103</v>
      </c>
      <c r="D2109" s="9">
        <v>45999</v>
      </c>
      <c r="E2109" s="3">
        <v>2985.64</v>
      </c>
      <c r="F2109" s="7" t="s">
        <v>3174</v>
      </c>
    </row>
    <row r="2110" spans="1:6" x14ac:dyDescent="0.3">
      <c r="A2110" s="7" t="s">
        <v>5283</v>
      </c>
      <c r="B2110" s="7" t="s">
        <v>3004</v>
      </c>
      <c r="C2110" s="7" t="s">
        <v>78</v>
      </c>
      <c r="D2110" s="9">
        <v>45700</v>
      </c>
      <c r="E2110" s="3">
        <v>3028.64</v>
      </c>
      <c r="F2110" s="7" t="s">
        <v>298</v>
      </c>
    </row>
    <row r="2111" spans="1:6" x14ac:dyDescent="0.3">
      <c r="A2111" s="7" t="s">
        <v>5284</v>
      </c>
      <c r="B2111" s="7" t="s">
        <v>3005</v>
      </c>
      <c r="C2111" s="7" t="s">
        <v>74</v>
      </c>
      <c r="D2111" s="9">
        <v>45734</v>
      </c>
      <c r="E2111" s="3">
        <v>3219.25</v>
      </c>
      <c r="F2111" s="7" t="s">
        <v>3174</v>
      </c>
    </row>
    <row r="2112" spans="1:6" x14ac:dyDescent="0.3">
      <c r="A2112" s="7" t="s">
        <v>5285</v>
      </c>
      <c r="B2112" s="7" t="s">
        <v>3006</v>
      </c>
      <c r="C2112" s="7" t="s">
        <v>122</v>
      </c>
      <c r="D2112" s="9">
        <v>45884</v>
      </c>
      <c r="E2112" s="3">
        <v>2405.59</v>
      </c>
      <c r="F2112" s="7" t="s">
        <v>298</v>
      </c>
    </row>
    <row r="2113" spans="1:6" x14ac:dyDescent="0.3">
      <c r="A2113" s="7" t="s">
        <v>5286</v>
      </c>
      <c r="B2113" s="7" t="s">
        <v>3008</v>
      </c>
      <c r="C2113" s="7" t="s">
        <v>51</v>
      </c>
      <c r="D2113" s="9">
        <v>45756</v>
      </c>
      <c r="E2113" s="3">
        <v>1887.03</v>
      </c>
      <c r="F2113" s="7" t="s">
        <v>296</v>
      </c>
    </row>
    <row r="2114" spans="1:6" x14ac:dyDescent="0.3">
      <c r="A2114" s="7" t="s">
        <v>5287</v>
      </c>
      <c r="B2114" s="7" t="s">
        <v>3009</v>
      </c>
      <c r="C2114" s="7" t="s">
        <v>29</v>
      </c>
      <c r="D2114" s="9">
        <v>45793</v>
      </c>
      <c r="E2114" s="3">
        <v>3446.52</v>
      </c>
      <c r="F2114" s="7" t="s">
        <v>298</v>
      </c>
    </row>
    <row r="2115" spans="1:6" x14ac:dyDescent="0.3">
      <c r="A2115" s="7" t="s">
        <v>5288</v>
      </c>
      <c r="B2115" s="7" t="s">
        <v>3010</v>
      </c>
      <c r="C2115" s="7" t="s">
        <v>111</v>
      </c>
      <c r="D2115" s="9">
        <v>46122</v>
      </c>
      <c r="E2115" s="3">
        <v>12990.56</v>
      </c>
      <c r="F2115" s="7" t="s">
        <v>3184</v>
      </c>
    </row>
    <row r="2116" spans="1:6" x14ac:dyDescent="0.3">
      <c r="A2116" s="7" t="s">
        <v>5289</v>
      </c>
      <c r="B2116" s="7" t="s">
        <v>3012</v>
      </c>
      <c r="C2116" s="7" t="s">
        <v>94</v>
      </c>
      <c r="D2116" s="9">
        <v>45852</v>
      </c>
      <c r="E2116" s="3">
        <v>3368.65</v>
      </c>
      <c r="F2116" s="7" t="s">
        <v>296</v>
      </c>
    </row>
    <row r="2117" spans="1:6" x14ac:dyDescent="0.3">
      <c r="A2117" s="7" t="s">
        <v>5290</v>
      </c>
      <c r="B2117" s="7" t="s">
        <v>3013</v>
      </c>
      <c r="C2117" s="7" t="s">
        <v>84</v>
      </c>
      <c r="D2117" s="9">
        <v>45746</v>
      </c>
      <c r="E2117" s="3">
        <v>5180.21</v>
      </c>
      <c r="F2117" s="7" t="s">
        <v>3184</v>
      </c>
    </row>
    <row r="2118" spans="1:6" x14ac:dyDescent="0.3">
      <c r="A2118" s="7" t="s">
        <v>5291</v>
      </c>
      <c r="B2118" s="7" t="s">
        <v>3015</v>
      </c>
      <c r="C2118" s="7" t="s">
        <v>50</v>
      </c>
      <c r="D2118" s="9">
        <v>45729</v>
      </c>
      <c r="E2118" s="3">
        <v>13363.5</v>
      </c>
      <c r="F2118" s="7" t="s">
        <v>3174</v>
      </c>
    </row>
    <row r="2119" spans="1:6" x14ac:dyDescent="0.3">
      <c r="A2119" s="7" t="s">
        <v>5292</v>
      </c>
      <c r="B2119" s="7" t="s">
        <v>3016</v>
      </c>
      <c r="C2119" s="7" t="s">
        <v>58</v>
      </c>
      <c r="D2119" s="9">
        <v>45790</v>
      </c>
      <c r="E2119" s="3">
        <v>4731.3900000000003</v>
      </c>
      <c r="F2119" s="7" t="s">
        <v>3174</v>
      </c>
    </row>
    <row r="2120" spans="1:6" x14ac:dyDescent="0.3">
      <c r="A2120" s="7" t="s">
        <v>5293</v>
      </c>
      <c r="B2120" s="7" t="s">
        <v>3017</v>
      </c>
      <c r="C2120" s="7" t="s">
        <v>114</v>
      </c>
      <c r="D2120" s="9">
        <v>45948</v>
      </c>
      <c r="E2120" s="3">
        <v>2829.99</v>
      </c>
      <c r="F2120" s="7" t="s">
        <v>3174</v>
      </c>
    </row>
    <row r="2121" spans="1:6" x14ac:dyDescent="0.3">
      <c r="A2121" s="7" t="s">
        <v>5294</v>
      </c>
      <c r="B2121" s="7" t="s">
        <v>3018</v>
      </c>
      <c r="C2121" s="7" t="s">
        <v>48</v>
      </c>
      <c r="D2121" s="9">
        <v>45941</v>
      </c>
      <c r="E2121" s="3">
        <v>2938.29</v>
      </c>
      <c r="F2121" s="7" t="s">
        <v>3174</v>
      </c>
    </row>
    <row r="2122" spans="1:6" x14ac:dyDescent="0.3">
      <c r="A2122" s="7" t="s">
        <v>5295</v>
      </c>
      <c r="B2122" s="7" t="s">
        <v>3019</v>
      </c>
      <c r="C2122" s="7" t="s">
        <v>103</v>
      </c>
      <c r="D2122" s="9">
        <v>46028</v>
      </c>
      <c r="E2122" s="3">
        <v>3588.2</v>
      </c>
      <c r="F2122" s="7" t="s">
        <v>298</v>
      </c>
    </row>
    <row r="2123" spans="1:6" x14ac:dyDescent="0.3">
      <c r="A2123" s="7" t="s">
        <v>5296</v>
      </c>
      <c r="B2123" s="7" t="s">
        <v>3020</v>
      </c>
      <c r="C2123" s="7" t="s">
        <v>104</v>
      </c>
      <c r="D2123" s="9">
        <v>45806</v>
      </c>
      <c r="E2123" s="3">
        <v>3700.48</v>
      </c>
      <c r="F2123" s="7" t="s">
        <v>298</v>
      </c>
    </row>
    <row r="2124" spans="1:6" x14ac:dyDescent="0.3">
      <c r="A2124" s="7" t="s">
        <v>5297</v>
      </c>
      <c r="B2124" s="7" t="s">
        <v>3021</v>
      </c>
      <c r="C2124" s="7" t="s">
        <v>55</v>
      </c>
      <c r="D2124" s="9">
        <v>46022</v>
      </c>
      <c r="E2124" s="3">
        <v>4585.92</v>
      </c>
      <c r="F2124" s="7" t="s">
        <v>3184</v>
      </c>
    </row>
    <row r="2125" spans="1:6" x14ac:dyDescent="0.3">
      <c r="A2125" s="7" t="s">
        <v>5298</v>
      </c>
      <c r="B2125" s="7" t="s">
        <v>3022</v>
      </c>
      <c r="C2125" s="7" t="s">
        <v>68</v>
      </c>
      <c r="D2125" s="9">
        <v>45937</v>
      </c>
      <c r="E2125" s="3">
        <v>2988.56</v>
      </c>
      <c r="F2125" s="7" t="s">
        <v>298</v>
      </c>
    </row>
    <row r="2126" spans="1:6" x14ac:dyDescent="0.3">
      <c r="A2126" s="7" t="s">
        <v>5299</v>
      </c>
      <c r="B2126" s="7" t="s">
        <v>3025</v>
      </c>
      <c r="C2126" s="7" t="s">
        <v>47</v>
      </c>
      <c r="D2126" s="9">
        <v>45956</v>
      </c>
      <c r="E2126" s="3">
        <v>3846.99</v>
      </c>
      <c r="F2126" s="7" t="s">
        <v>3184</v>
      </c>
    </row>
    <row r="2127" spans="1:6" x14ac:dyDescent="0.3">
      <c r="A2127" s="7" t="s">
        <v>5300</v>
      </c>
      <c r="B2127" s="7" t="s">
        <v>3028</v>
      </c>
      <c r="C2127" s="7" t="s">
        <v>94</v>
      </c>
      <c r="D2127" s="9">
        <v>45946</v>
      </c>
      <c r="E2127" s="3">
        <v>13144.99</v>
      </c>
      <c r="F2127" s="7" t="s">
        <v>296</v>
      </c>
    </row>
    <row r="2128" spans="1:6" x14ac:dyDescent="0.3">
      <c r="A2128" s="7" t="s">
        <v>5301</v>
      </c>
      <c r="B2128" s="7" t="s">
        <v>3029</v>
      </c>
      <c r="C2128" s="7" t="s">
        <v>30</v>
      </c>
      <c r="D2128" s="9">
        <v>45772</v>
      </c>
      <c r="E2128" s="3">
        <v>1472.2</v>
      </c>
      <c r="F2128" s="7" t="s">
        <v>3184</v>
      </c>
    </row>
    <row r="2129" spans="1:6" x14ac:dyDescent="0.3">
      <c r="A2129" s="7" t="s">
        <v>5302</v>
      </c>
      <c r="B2129" s="7" t="s">
        <v>3030</v>
      </c>
      <c r="C2129" s="7" t="s">
        <v>33</v>
      </c>
      <c r="D2129" s="9">
        <v>45754</v>
      </c>
      <c r="E2129" s="3">
        <v>5424.82</v>
      </c>
      <c r="F2129" s="7" t="s">
        <v>3184</v>
      </c>
    </row>
    <row r="2130" spans="1:6" x14ac:dyDescent="0.3">
      <c r="A2130" s="7" t="s">
        <v>5303</v>
      </c>
      <c r="B2130" s="7" t="s">
        <v>3033</v>
      </c>
      <c r="C2130" s="7" t="s">
        <v>114</v>
      </c>
      <c r="D2130" s="9">
        <v>45883</v>
      </c>
      <c r="E2130" s="3">
        <v>2984.4</v>
      </c>
      <c r="F2130" s="7" t="s">
        <v>296</v>
      </c>
    </row>
    <row r="2131" spans="1:6" x14ac:dyDescent="0.3">
      <c r="A2131" s="7" t="s">
        <v>5304</v>
      </c>
      <c r="B2131" s="7" t="s">
        <v>3034</v>
      </c>
      <c r="C2131" s="7" t="s">
        <v>92</v>
      </c>
      <c r="D2131" s="9">
        <v>45734</v>
      </c>
      <c r="E2131" s="3">
        <v>9814.83</v>
      </c>
      <c r="F2131" s="7" t="s">
        <v>3174</v>
      </c>
    </row>
    <row r="2132" spans="1:6" x14ac:dyDescent="0.3">
      <c r="A2132" s="7" t="s">
        <v>5305</v>
      </c>
      <c r="B2132" s="7" t="s">
        <v>3035</v>
      </c>
      <c r="C2132" s="7" t="s">
        <v>117</v>
      </c>
      <c r="D2132" s="9">
        <v>45902</v>
      </c>
      <c r="E2132" s="3">
        <v>2881.94</v>
      </c>
      <c r="F2132" s="7" t="s">
        <v>298</v>
      </c>
    </row>
    <row r="2133" spans="1:6" x14ac:dyDescent="0.3">
      <c r="A2133" s="7" t="s">
        <v>5306</v>
      </c>
      <c r="B2133" s="7" t="s">
        <v>3036</v>
      </c>
      <c r="C2133" s="7" t="s">
        <v>41</v>
      </c>
      <c r="D2133" s="9">
        <v>46165</v>
      </c>
      <c r="E2133" s="3">
        <v>1663.01</v>
      </c>
      <c r="F2133" s="7" t="s">
        <v>3184</v>
      </c>
    </row>
    <row r="2134" spans="1:6" x14ac:dyDescent="0.3">
      <c r="A2134" s="7" t="s">
        <v>5307</v>
      </c>
      <c r="B2134" s="7" t="s">
        <v>3037</v>
      </c>
      <c r="C2134" s="7" t="s">
        <v>114</v>
      </c>
      <c r="D2134" s="9">
        <v>45907</v>
      </c>
      <c r="E2134" s="3">
        <v>12913.35</v>
      </c>
      <c r="F2134" s="7" t="s">
        <v>298</v>
      </c>
    </row>
    <row r="2135" spans="1:6" x14ac:dyDescent="0.3">
      <c r="A2135" s="7" t="s">
        <v>5308</v>
      </c>
      <c r="B2135" s="7" t="s">
        <v>3038</v>
      </c>
      <c r="C2135" s="7" t="s">
        <v>87</v>
      </c>
      <c r="D2135" s="9">
        <v>45941</v>
      </c>
      <c r="E2135" s="3">
        <v>5633.45</v>
      </c>
      <c r="F2135" s="7" t="s">
        <v>3174</v>
      </c>
    </row>
    <row r="2136" spans="1:6" x14ac:dyDescent="0.3">
      <c r="A2136" s="7" t="s">
        <v>5309</v>
      </c>
      <c r="B2136" s="7" t="s">
        <v>3039</v>
      </c>
      <c r="C2136" s="7" t="s">
        <v>95</v>
      </c>
      <c r="D2136" s="9">
        <v>46033</v>
      </c>
      <c r="E2136" s="3">
        <v>1724.74</v>
      </c>
      <c r="F2136" s="7" t="s">
        <v>296</v>
      </c>
    </row>
    <row r="2137" spans="1:6" x14ac:dyDescent="0.3">
      <c r="A2137" s="7" t="s">
        <v>5310</v>
      </c>
      <c r="B2137" s="7" t="s">
        <v>3040</v>
      </c>
      <c r="C2137" s="7" t="s">
        <v>108</v>
      </c>
      <c r="D2137" s="9">
        <v>45721</v>
      </c>
      <c r="E2137" s="3">
        <v>4141.05</v>
      </c>
      <c r="F2137" s="7" t="s">
        <v>3184</v>
      </c>
    </row>
    <row r="2138" spans="1:6" x14ac:dyDescent="0.3">
      <c r="A2138" s="7" t="s">
        <v>5311</v>
      </c>
      <c r="B2138" s="7" t="s">
        <v>3041</v>
      </c>
      <c r="C2138" s="7" t="s">
        <v>101</v>
      </c>
      <c r="D2138" s="9">
        <v>45941</v>
      </c>
      <c r="E2138" s="3">
        <v>9919.2000000000007</v>
      </c>
      <c r="F2138" s="7" t="s">
        <v>298</v>
      </c>
    </row>
    <row r="2139" spans="1:6" x14ac:dyDescent="0.3">
      <c r="A2139" s="7" t="s">
        <v>5312</v>
      </c>
      <c r="B2139" s="7" t="s">
        <v>3042</v>
      </c>
      <c r="C2139" s="7" t="s">
        <v>75</v>
      </c>
      <c r="D2139" s="9">
        <v>46068</v>
      </c>
      <c r="E2139" s="3">
        <v>2955.32</v>
      </c>
      <c r="F2139" s="7" t="s">
        <v>298</v>
      </c>
    </row>
    <row r="2140" spans="1:6" x14ac:dyDescent="0.3">
      <c r="A2140" s="7" t="s">
        <v>5313</v>
      </c>
      <c r="B2140" s="7" t="s">
        <v>3043</v>
      </c>
      <c r="C2140" s="7" t="s">
        <v>22</v>
      </c>
      <c r="D2140" s="9">
        <v>45959</v>
      </c>
      <c r="E2140" s="3">
        <v>2284.6999999999998</v>
      </c>
      <c r="F2140" s="7" t="s">
        <v>296</v>
      </c>
    </row>
    <row r="2141" spans="1:6" x14ac:dyDescent="0.3">
      <c r="A2141" s="7" t="s">
        <v>5314</v>
      </c>
      <c r="B2141" s="7" t="s">
        <v>3045</v>
      </c>
      <c r="C2141" s="7" t="s">
        <v>20</v>
      </c>
      <c r="D2141" s="9">
        <v>45926</v>
      </c>
      <c r="E2141" s="3">
        <v>10563.78</v>
      </c>
      <c r="F2141" s="7" t="s">
        <v>3174</v>
      </c>
    </row>
    <row r="2142" spans="1:6" x14ac:dyDescent="0.3">
      <c r="A2142" s="7" t="s">
        <v>5315</v>
      </c>
      <c r="B2142" s="7" t="s">
        <v>3046</v>
      </c>
      <c r="C2142" s="7" t="s">
        <v>104</v>
      </c>
      <c r="D2142" s="9">
        <v>46097</v>
      </c>
      <c r="E2142" s="3">
        <v>2674.37</v>
      </c>
      <c r="F2142" s="7" t="s">
        <v>296</v>
      </c>
    </row>
    <row r="2143" spans="1:6" x14ac:dyDescent="0.3">
      <c r="A2143" s="7" t="s">
        <v>5316</v>
      </c>
      <c r="B2143" s="7" t="s">
        <v>3047</v>
      </c>
      <c r="C2143" s="7" t="s">
        <v>63</v>
      </c>
      <c r="D2143" s="9">
        <v>45818</v>
      </c>
      <c r="E2143" s="3">
        <v>2020.61</v>
      </c>
      <c r="F2143" s="7" t="s">
        <v>3174</v>
      </c>
    </row>
    <row r="2144" spans="1:6" x14ac:dyDescent="0.3">
      <c r="A2144" s="7" t="s">
        <v>5317</v>
      </c>
      <c r="B2144" s="7" t="s">
        <v>3048</v>
      </c>
      <c r="C2144" s="7" t="s">
        <v>71</v>
      </c>
      <c r="D2144" s="9">
        <v>45970</v>
      </c>
      <c r="E2144" s="3">
        <v>1542.79</v>
      </c>
      <c r="F2144" s="7" t="s">
        <v>296</v>
      </c>
    </row>
    <row r="2145" spans="1:6" x14ac:dyDescent="0.3">
      <c r="A2145" s="7" t="s">
        <v>5318</v>
      </c>
      <c r="B2145" s="7" t="s">
        <v>3049</v>
      </c>
      <c r="C2145" s="7" t="s">
        <v>8</v>
      </c>
      <c r="D2145" s="9">
        <v>46069</v>
      </c>
      <c r="E2145" s="3">
        <v>5537.1</v>
      </c>
      <c r="F2145" s="7" t="s">
        <v>3184</v>
      </c>
    </row>
    <row r="2146" spans="1:6" x14ac:dyDescent="0.3">
      <c r="A2146" s="7" t="s">
        <v>5319</v>
      </c>
      <c r="B2146" s="7" t="s">
        <v>3050</v>
      </c>
      <c r="C2146" s="7" t="s">
        <v>32</v>
      </c>
      <c r="D2146" s="9">
        <v>45809</v>
      </c>
      <c r="E2146" s="3">
        <v>4682.6899999999996</v>
      </c>
      <c r="F2146" s="7" t="s">
        <v>296</v>
      </c>
    </row>
    <row r="2147" spans="1:6" x14ac:dyDescent="0.3">
      <c r="A2147" s="7" t="s">
        <v>5320</v>
      </c>
      <c r="B2147" s="7" t="s">
        <v>3052</v>
      </c>
      <c r="C2147" s="7" t="s">
        <v>99</v>
      </c>
      <c r="D2147" s="9">
        <v>45997</v>
      </c>
      <c r="E2147" s="3">
        <v>2670.28</v>
      </c>
      <c r="F2147" s="7" t="s">
        <v>3184</v>
      </c>
    </row>
    <row r="2148" spans="1:6" x14ac:dyDescent="0.3">
      <c r="A2148" s="7" t="s">
        <v>5321</v>
      </c>
      <c r="B2148" s="7" t="s">
        <v>3054</v>
      </c>
      <c r="C2148" s="7" t="s">
        <v>47</v>
      </c>
      <c r="D2148" s="9">
        <v>45760</v>
      </c>
      <c r="E2148" s="3">
        <v>3202.93</v>
      </c>
      <c r="F2148" s="7" t="s">
        <v>298</v>
      </c>
    </row>
    <row r="2149" spans="1:6" x14ac:dyDescent="0.3">
      <c r="A2149" s="7" t="s">
        <v>5322</v>
      </c>
      <c r="B2149" s="7" t="s">
        <v>3055</v>
      </c>
      <c r="C2149" s="7" t="s">
        <v>9</v>
      </c>
      <c r="D2149" s="9">
        <v>45730</v>
      </c>
      <c r="E2149" s="3">
        <v>2533.64</v>
      </c>
      <c r="F2149" s="7" t="s">
        <v>298</v>
      </c>
    </row>
    <row r="2150" spans="1:6" x14ac:dyDescent="0.3">
      <c r="A2150" s="7" t="s">
        <v>5323</v>
      </c>
      <c r="B2150" s="7" t="s">
        <v>3056</v>
      </c>
      <c r="C2150" s="7" t="s">
        <v>25</v>
      </c>
      <c r="D2150" s="9">
        <v>46047</v>
      </c>
      <c r="E2150" s="3">
        <v>3808.68</v>
      </c>
      <c r="F2150" s="7" t="s">
        <v>3184</v>
      </c>
    </row>
    <row r="2151" spans="1:6" x14ac:dyDescent="0.3">
      <c r="A2151" s="7" t="s">
        <v>5324</v>
      </c>
      <c r="B2151" s="7" t="s">
        <v>3057</v>
      </c>
      <c r="C2151" s="7" t="s">
        <v>14</v>
      </c>
      <c r="D2151" s="9">
        <v>45697</v>
      </c>
      <c r="E2151" s="3">
        <v>3221.18</v>
      </c>
      <c r="F2151" s="7" t="s">
        <v>298</v>
      </c>
    </row>
    <row r="2152" spans="1:6" x14ac:dyDescent="0.3">
      <c r="A2152" s="7" t="s">
        <v>5325</v>
      </c>
      <c r="B2152" s="7" t="s">
        <v>3060</v>
      </c>
      <c r="C2152" s="7" t="s">
        <v>64</v>
      </c>
      <c r="D2152" s="9">
        <v>45837</v>
      </c>
      <c r="E2152" s="3">
        <v>3702.71</v>
      </c>
      <c r="F2152" s="7" t="s">
        <v>3184</v>
      </c>
    </row>
    <row r="2153" spans="1:6" x14ac:dyDescent="0.3">
      <c r="A2153" s="7" t="s">
        <v>5326</v>
      </c>
      <c r="B2153" s="7" t="s">
        <v>3061</v>
      </c>
      <c r="C2153" s="7" t="s">
        <v>88</v>
      </c>
      <c r="D2153" s="9">
        <v>45947</v>
      </c>
      <c r="E2153" s="3">
        <v>1611.12</v>
      </c>
      <c r="F2153" s="7" t="s">
        <v>298</v>
      </c>
    </row>
    <row r="2154" spans="1:6" x14ac:dyDescent="0.3">
      <c r="A2154" s="7" t="s">
        <v>5327</v>
      </c>
      <c r="B2154" s="7" t="s">
        <v>3062</v>
      </c>
      <c r="C2154" s="7" t="s">
        <v>53</v>
      </c>
      <c r="D2154" s="9">
        <v>45779</v>
      </c>
      <c r="E2154" s="3">
        <v>11899.82</v>
      </c>
      <c r="F2154" s="7" t="s">
        <v>298</v>
      </c>
    </row>
    <row r="2155" spans="1:6" x14ac:dyDescent="0.3">
      <c r="A2155" s="7" t="s">
        <v>5328</v>
      </c>
      <c r="B2155" s="7" t="s">
        <v>3063</v>
      </c>
      <c r="C2155" s="7" t="s">
        <v>56</v>
      </c>
      <c r="D2155" s="9">
        <v>46006</v>
      </c>
      <c r="E2155" s="3">
        <v>4288.8100000000004</v>
      </c>
      <c r="F2155" s="7" t="s">
        <v>296</v>
      </c>
    </row>
    <row r="2156" spans="1:6" x14ac:dyDescent="0.3">
      <c r="A2156" s="7" t="s">
        <v>5329</v>
      </c>
      <c r="B2156" s="7" t="s">
        <v>3064</v>
      </c>
      <c r="C2156" s="7" t="s">
        <v>110</v>
      </c>
      <c r="D2156" s="9">
        <v>45850</v>
      </c>
      <c r="E2156" s="3">
        <v>2881.94</v>
      </c>
      <c r="F2156" s="7" t="s">
        <v>3174</v>
      </c>
    </row>
    <row r="2157" spans="1:6" x14ac:dyDescent="0.3">
      <c r="A2157" s="7" t="s">
        <v>5330</v>
      </c>
      <c r="B2157" s="7" t="s">
        <v>3065</v>
      </c>
      <c r="C2157" s="7" t="s">
        <v>76</v>
      </c>
      <c r="D2157" s="9">
        <v>45925</v>
      </c>
      <c r="E2157" s="3">
        <v>2143.98</v>
      </c>
      <c r="F2157" s="7" t="s">
        <v>296</v>
      </c>
    </row>
    <row r="2158" spans="1:6" x14ac:dyDescent="0.3">
      <c r="A2158" s="7" t="s">
        <v>5331</v>
      </c>
      <c r="B2158" s="7" t="s">
        <v>3066</v>
      </c>
      <c r="C2158" s="7" t="s">
        <v>58</v>
      </c>
      <c r="D2158" s="9">
        <v>45751</v>
      </c>
      <c r="E2158" s="3">
        <v>5974.98</v>
      </c>
      <c r="F2158" s="7" t="s">
        <v>3174</v>
      </c>
    </row>
    <row r="2159" spans="1:6" x14ac:dyDescent="0.3">
      <c r="A2159" s="7" t="s">
        <v>5332</v>
      </c>
      <c r="B2159" s="7" t="s">
        <v>3067</v>
      </c>
      <c r="C2159" s="7" t="s">
        <v>56</v>
      </c>
      <c r="D2159" s="9">
        <v>45922</v>
      </c>
      <c r="E2159" s="3">
        <v>13841.38</v>
      </c>
      <c r="F2159" s="7" t="s">
        <v>296</v>
      </c>
    </row>
    <row r="2160" spans="1:6" x14ac:dyDescent="0.3">
      <c r="A2160" s="7" t="s">
        <v>5333</v>
      </c>
      <c r="B2160" s="7" t="s">
        <v>3068</v>
      </c>
      <c r="C2160" s="7" t="s">
        <v>99</v>
      </c>
      <c r="D2160" s="9">
        <v>45870</v>
      </c>
      <c r="E2160" s="3">
        <v>11345.09</v>
      </c>
      <c r="F2160" s="7" t="s">
        <v>3184</v>
      </c>
    </row>
    <row r="2161" spans="1:6" x14ac:dyDescent="0.3">
      <c r="A2161" s="7" t="s">
        <v>5334</v>
      </c>
      <c r="B2161" s="7" t="s">
        <v>3069</v>
      </c>
      <c r="C2161" s="7" t="s">
        <v>31</v>
      </c>
      <c r="D2161" s="9">
        <v>45787</v>
      </c>
      <c r="E2161" s="3">
        <v>3088.28</v>
      </c>
      <c r="F2161" s="7" t="s">
        <v>3184</v>
      </c>
    </row>
    <row r="2162" spans="1:6" x14ac:dyDescent="0.3">
      <c r="A2162" s="7" t="s">
        <v>5335</v>
      </c>
      <c r="B2162" s="7" t="s">
        <v>3071</v>
      </c>
      <c r="C2162" s="7" t="s">
        <v>67</v>
      </c>
      <c r="D2162" s="9">
        <v>45825</v>
      </c>
      <c r="E2162" s="3">
        <v>11399.12</v>
      </c>
      <c r="F2162" s="7" t="s">
        <v>3184</v>
      </c>
    </row>
    <row r="2163" spans="1:6" x14ac:dyDescent="0.3">
      <c r="A2163" s="7" t="s">
        <v>5336</v>
      </c>
      <c r="B2163" s="7" t="s">
        <v>3073</v>
      </c>
      <c r="C2163" s="7" t="s">
        <v>120</v>
      </c>
      <c r="D2163" s="9">
        <v>45765</v>
      </c>
      <c r="E2163" s="3">
        <v>3376.96</v>
      </c>
      <c r="F2163" s="7" t="s">
        <v>298</v>
      </c>
    </row>
    <row r="2164" spans="1:6" x14ac:dyDescent="0.3">
      <c r="A2164" s="7" t="s">
        <v>5337</v>
      </c>
      <c r="B2164" s="7" t="s">
        <v>3074</v>
      </c>
      <c r="C2164" s="7" t="s">
        <v>63</v>
      </c>
      <c r="D2164" s="9">
        <v>45942</v>
      </c>
      <c r="E2164" s="3">
        <v>5319.3</v>
      </c>
      <c r="F2164" s="7" t="s">
        <v>3174</v>
      </c>
    </row>
    <row r="2165" spans="1:6" x14ac:dyDescent="0.3">
      <c r="A2165" s="7" t="s">
        <v>5338</v>
      </c>
      <c r="B2165" s="7" t="s">
        <v>3075</v>
      </c>
      <c r="C2165" s="7" t="s">
        <v>41</v>
      </c>
      <c r="D2165" s="9">
        <v>45911</v>
      </c>
      <c r="E2165" s="3">
        <v>3232.76</v>
      </c>
      <c r="F2165" s="7" t="s">
        <v>3184</v>
      </c>
    </row>
    <row r="2166" spans="1:6" x14ac:dyDescent="0.3">
      <c r="A2166" s="7" t="s">
        <v>5339</v>
      </c>
      <c r="B2166" s="7" t="s">
        <v>3076</v>
      </c>
      <c r="C2166" s="7" t="s">
        <v>80</v>
      </c>
      <c r="D2166" s="9">
        <v>46055</v>
      </c>
      <c r="E2166" s="3">
        <v>1930.05</v>
      </c>
      <c r="F2166" s="7" t="s">
        <v>298</v>
      </c>
    </row>
    <row r="2167" spans="1:6" x14ac:dyDescent="0.3">
      <c r="A2167" s="7" t="s">
        <v>5340</v>
      </c>
      <c r="B2167" s="7" t="s">
        <v>3077</v>
      </c>
      <c r="C2167" s="7" t="s">
        <v>101</v>
      </c>
      <c r="D2167" s="9">
        <v>45855</v>
      </c>
      <c r="E2167" s="3">
        <v>2236.9899999999998</v>
      </c>
      <c r="F2167" s="7" t="s">
        <v>3184</v>
      </c>
    </row>
    <row r="2168" spans="1:6" x14ac:dyDescent="0.3">
      <c r="A2168" s="7" t="s">
        <v>5341</v>
      </c>
      <c r="B2168" s="7" t="s">
        <v>3077</v>
      </c>
      <c r="C2168" s="7" t="s">
        <v>101</v>
      </c>
      <c r="D2168" s="9">
        <v>45856</v>
      </c>
      <c r="E2168" s="3">
        <v>2064.38</v>
      </c>
      <c r="F2168" s="7" t="s">
        <v>3174</v>
      </c>
    </row>
    <row r="2169" spans="1:6" x14ac:dyDescent="0.3">
      <c r="A2169" s="7" t="s">
        <v>5342</v>
      </c>
      <c r="B2169" s="7" t="s">
        <v>3078</v>
      </c>
      <c r="C2169" s="7" t="s">
        <v>104</v>
      </c>
      <c r="D2169" s="9">
        <v>45923</v>
      </c>
      <c r="E2169" s="3">
        <v>5525.24</v>
      </c>
      <c r="F2169" s="7" t="s">
        <v>296</v>
      </c>
    </row>
    <row r="2170" spans="1:6" x14ac:dyDescent="0.3">
      <c r="A2170" s="7" t="s">
        <v>5343</v>
      </c>
      <c r="B2170" s="7" t="s">
        <v>3079</v>
      </c>
      <c r="C2170" s="7" t="s">
        <v>107</v>
      </c>
      <c r="D2170" s="9">
        <v>46003</v>
      </c>
      <c r="E2170" s="3">
        <v>3542.82</v>
      </c>
      <c r="F2170" s="7" t="s">
        <v>3174</v>
      </c>
    </row>
    <row r="2171" spans="1:6" x14ac:dyDescent="0.3">
      <c r="A2171" s="7" t="s">
        <v>5344</v>
      </c>
      <c r="B2171" s="7" t="s">
        <v>3080</v>
      </c>
      <c r="C2171" s="7" t="s">
        <v>18</v>
      </c>
      <c r="D2171" s="9">
        <v>45680</v>
      </c>
      <c r="E2171" s="3">
        <v>1659.87</v>
      </c>
      <c r="F2171" s="7" t="s">
        <v>3174</v>
      </c>
    </row>
    <row r="2172" spans="1:6" x14ac:dyDescent="0.3">
      <c r="A2172" s="7" t="s">
        <v>5345</v>
      </c>
      <c r="B2172" s="7" t="s">
        <v>3080</v>
      </c>
      <c r="C2172" s="7" t="s">
        <v>18</v>
      </c>
      <c r="D2172" s="9">
        <v>45694</v>
      </c>
      <c r="E2172" s="3">
        <v>843.03</v>
      </c>
      <c r="F2172" s="7" t="s">
        <v>3184</v>
      </c>
    </row>
    <row r="2173" spans="1:6" x14ac:dyDescent="0.3">
      <c r="A2173" s="7" t="s">
        <v>5346</v>
      </c>
      <c r="B2173" s="7" t="s">
        <v>3081</v>
      </c>
      <c r="C2173" s="7" t="s">
        <v>34</v>
      </c>
      <c r="D2173" s="9">
        <v>45849</v>
      </c>
      <c r="E2173" s="3">
        <v>2931.56</v>
      </c>
      <c r="F2173" s="7" t="s">
        <v>3174</v>
      </c>
    </row>
    <row r="2174" spans="1:6" x14ac:dyDescent="0.3">
      <c r="A2174" s="7" t="s">
        <v>5347</v>
      </c>
      <c r="B2174" s="7" t="s">
        <v>3083</v>
      </c>
      <c r="C2174" s="7" t="s">
        <v>19</v>
      </c>
      <c r="D2174" s="9">
        <v>46041</v>
      </c>
      <c r="E2174" s="3">
        <v>11880.42</v>
      </c>
      <c r="F2174" s="7" t="s">
        <v>298</v>
      </c>
    </row>
    <row r="2175" spans="1:6" x14ac:dyDescent="0.3">
      <c r="A2175" s="7" t="s">
        <v>5348</v>
      </c>
      <c r="B2175" s="7" t="s">
        <v>3084</v>
      </c>
      <c r="C2175" s="7" t="s">
        <v>22</v>
      </c>
      <c r="D2175" s="9">
        <v>46135</v>
      </c>
      <c r="E2175" s="3">
        <v>3023.74</v>
      </c>
      <c r="F2175" s="7" t="s">
        <v>3184</v>
      </c>
    </row>
    <row r="2176" spans="1:6" x14ac:dyDescent="0.3">
      <c r="A2176" s="7" t="s">
        <v>5349</v>
      </c>
      <c r="B2176" s="7" t="s">
        <v>3085</v>
      </c>
      <c r="C2176" s="7" t="s">
        <v>87</v>
      </c>
      <c r="D2176" s="9">
        <v>45880</v>
      </c>
      <c r="E2176" s="3">
        <v>4074.32</v>
      </c>
      <c r="F2176" s="7" t="s">
        <v>3174</v>
      </c>
    </row>
    <row r="2177" spans="1:6" x14ac:dyDescent="0.3">
      <c r="A2177" s="7" t="s">
        <v>5350</v>
      </c>
      <c r="B2177" s="7" t="s">
        <v>3087</v>
      </c>
      <c r="C2177" s="7" t="s">
        <v>12</v>
      </c>
      <c r="D2177" s="9">
        <v>45761</v>
      </c>
      <c r="E2177" s="3">
        <v>2166.16</v>
      </c>
      <c r="F2177" s="7" t="s">
        <v>296</v>
      </c>
    </row>
    <row r="2178" spans="1:6" x14ac:dyDescent="0.3">
      <c r="A2178" s="7" t="s">
        <v>5351</v>
      </c>
      <c r="B2178" s="7" t="s">
        <v>3087</v>
      </c>
      <c r="C2178" s="7" t="s">
        <v>12</v>
      </c>
      <c r="D2178" s="9">
        <v>45776</v>
      </c>
      <c r="E2178" s="3">
        <v>1030.48</v>
      </c>
      <c r="F2178" s="7" t="s">
        <v>3184</v>
      </c>
    </row>
    <row r="2179" spans="1:6" x14ac:dyDescent="0.3">
      <c r="A2179" s="7" t="s">
        <v>5352</v>
      </c>
      <c r="B2179" s="7" t="s">
        <v>3088</v>
      </c>
      <c r="C2179" s="7" t="s">
        <v>105</v>
      </c>
      <c r="D2179" s="9">
        <v>45943</v>
      </c>
      <c r="E2179" s="3">
        <v>2672.03</v>
      </c>
      <c r="F2179" s="7" t="s">
        <v>296</v>
      </c>
    </row>
    <row r="2180" spans="1:6" x14ac:dyDescent="0.3">
      <c r="A2180" s="7" t="s">
        <v>5353</v>
      </c>
      <c r="B2180" s="7" t="s">
        <v>3088</v>
      </c>
      <c r="C2180" s="7" t="s">
        <v>105</v>
      </c>
      <c r="D2180" s="9">
        <v>45955</v>
      </c>
      <c r="E2180" s="3">
        <v>3088.43</v>
      </c>
      <c r="F2180" s="7" t="s">
        <v>298</v>
      </c>
    </row>
    <row r="2181" spans="1:6" x14ac:dyDescent="0.3">
      <c r="A2181" s="7" t="s">
        <v>5354</v>
      </c>
      <c r="B2181" s="7" t="s">
        <v>3091</v>
      </c>
      <c r="C2181" s="7" t="s">
        <v>24</v>
      </c>
      <c r="D2181" s="9">
        <v>45726</v>
      </c>
      <c r="E2181" s="3">
        <v>2885.6</v>
      </c>
      <c r="F2181" s="7" t="s">
        <v>3184</v>
      </c>
    </row>
    <row r="2182" spans="1:6" x14ac:dyDescent="0.3">
      <c r="A2182" s="7" t="s">
        <v>5355</v>
      </c>
      <c r="B2182" s="7" t="s">
        <v>3092</v>
      </c>
      <c r="C2182" s="7" t="s">
        <v>108</v>
      </c>
      <c r="D2182" s="9">
        <v>45886</v>
      </c>
      <c r="E2182" s="3">
        <v>3220.15</v>
      </c>
      <c r="F2182" s="7" t="s">
        <v>296</v>
      </c>
    </row>
    <row r="2183" spans="1:6" x14ac:dyDescent="0.3">
      <c r="A2183" s="7" t="s">
        <v>5356</v>
      </c>
      <c r="B2183" s="7" t="s">
        <v>3093</v>
      </c>
      <c r="C2183" s="7" t="s">
        <v>108</v>
      </c>
      <c r="D2183" s="9">
        <v>45983</v>
      </c>
      <c r="E2183" s="3">
        <v>1581.93</v>
      </c>
      <c r="F2183" s="7" t="s">
        <v>296</v>
      </c>
    </row>
    <row r="2184" spans="1:6" x14ac:dyDescent="0.3">
      <c r="A2184" s="7" t="s">
        <v>5357</v>
      </c>
      <c r="B2184" s="7" t="s">
        <v>3094</v>
      </c>
      <c r="C2184" s="7" t="s">
        <v>121</v>
      </c>
      <c r="D2184" s="9">
        <v>46073</v>
      </c>
      <c r="E2184" s="3">
        <v>2825.65</v>
      </c>
      <c r="F2184" s="7" t="s">
        <v>296</v>
      </c>
    </row>
    <row r="2185" spans="1:6" x14ac:dyDescent="0.3">
      <c r="A2185" s="7" t="s">
        <v>5358</v>
      </c>
      <c r="B2185" s="7" t="s">
        <v>3096</v>
      </c>
      <c r="C2185" s="7" t="s">
        <v>122</v>
      </c>
      <c r="D2185" s="9">
        <v>45930</v>
      </c>
      <c r="E2185" s="3">
        <v>3192.34</v>
      </c>
      <c r="F2185" s="7" t="s">
        <v>298</v>
      </c>
    </row>
    <row r="2186" spans="1:6" x14ac:dyDescent="0.3">
      <c r="A2186" s="7" t="s">
        <v>5359</v>
      </c>
      <c r="B2186" s="7" t="s">
        <v>3097</v>
      </c>
      <c r="C2186" s="7" t="s">
        <v>64</v>
      </c>
      <c r="D2186" s="9">
        <v>45822</v>
      </c>
      <c r="E2186" s="3">
        <v>4104.0200000000004</v>
      </c>
      <c r="F2186" s="7" t="s">
        <v>296</v>
      </c>
    </row>
    <row r="2187" spans="1:6" x14ac:dyDescent="0.3">
      <c r="A2187" s="7" t="s">
        <v>5360</v>
      </c>
      <c r="B2187" s="7" t="s">
        <v>3099</v>
      </c>
      <c r="C2187" s="7" t="s">
        <v>118</v>
      </c>
      <c r="D2187" s="9">
        <v>45864</v>
      </c>
      <c r="E2187" s="3">
        <v>12765.17</v>
      </c>
      <c r="F2187" s="7" t="s">
        <v>3184</v>
      </c>
    </row>
    <row r="2188" spans="1:6" x14ac:dyDescent="0.3">
      <c r="A2188" s="7" t="s">
        <v>5361</v>
      </c>
      <c r="B2188" s="7" t="s">
        <v>3100</v>
      </c>
      <c r="C2188" s="7" t="s">
        <v>32</v>
      </c>
      <c r="D2188" s="9">
        <v>45966</v>
      </c>
      <c r="E2188" s="3">
        <v>2814.95</v>
      </c>
      <c r="F2188" s="7" t="s">
        <v>3184</v>
      </c>
    </row>
    <row r="2189" spans="1:6" x14ac:dyDescent="0.3">
      <c r="A2189" s="7" t="s">
        <v>5362</v>
      </c>
      <c r="B2189" s="7" t="s">
        <v>3101</v>
      </c>
      <c r="C2189" s="7" t="s">
        <v>96</v>
      </c>
      <c r="D2189" s="9">
        <v>45709</v>
      </c>
      <c r="E2189" s="3">
        <v>11424.08</v>
      </c>
      <c r="F2189" s="7" t="s">
        <v>298</v>
      </c>
    </row>
    <row r="2190" spans="1:6" x14ac:dyDescent="0.3">
      <c r="A2190" s="7" t="s">
        <v>5363</v>
      </c>
      <c r="B2190" s="7" t="s">
        <v>3104</v>
      </c>
      <c r="C2190" s="7" t="s">
        <v>123</v>
      </c>
      <c r="D2190" s="9">
        <v>45949</v>
      </c>
      <c r="E2190" s="3">
        <v>2552.38</v>
      </c>
      <c r="F2190" s="7" t="s">
        <v>3184</v>
      </c>
    </row>
    <row r="2191" spans="1:6" x14ac:dyDescent="0.3">
      <c r="A2191" s="7" t="s">
        <v>5364</v>
      </c>
      <c r="B2191" s="7" t="s">
        <v>3107</v>
      </c>
      <c r="C2191" s="7" t="s">
        <v>109</v>
      </c>
      <c r="D2191" s="9">
        <v>45855</v>
      </c>
      <c r="E2191" s="3">
        <v>2444.9299999999998</v>
      </c>
      <c r="F2191" s="7" t="s">
        <v>298</v>
      </c>
    </row>
    <row r="2192" spans="1:6" x14ac:dyDescent="0.3">
      <c r="A2192" s="7" t="s">
        <v>5365</v>
      </c>
      <c r="B2192" s="7" t="s">
        <v>3107</v>
      </c>
      <c r="C2192" s="7" t="s">
        <v>109</v>
      </c>
      <c r="D2192" s="9">
        <v>45861</v>
      </c>
      <c r="E2192" s="3">
        <v>1703.9</v>
      </c>
      <c r="F2192" s="7" t="s">
        <v>3184</v>
      </c>
    </row>
    <row r="2193" spans="1:6" x14ac:dyDescent="0.3">
      <c r="A2193" s="7" t="s">
        <v>5366</v>
      </c>
      <c r="B2193" s="7" t="s">
        <v>3108</v>
      </c>
      <c r="C2193" s="7" t="s">
        <v>8</v>
      </c>
      <c r="D2193" s="9">
        <v>46109</v>
      </c>
      <c r="E2193" s="3">
        <v>2675.58</v>
      </c>
      <c r="F2193" s="7" t="s">
        <v>296</v>
      </c>
    </row>
    <row r="2194" spans="1:6" x14ac:dyDescent="0.3">
      <c r="A2194" s="7" t="s">
        <v>5367</v>
      </c>
      <c r="B2194" s="7" t="s">
        <v>3108</v>
      </c>
      <c r="C2194" s="7" t="s">
        <v>8</v>
      </c>
      <c r="D2194" s="9">
        <v>46114</v>
      </c>
      <c r="E2194" s="3">
        <v>2882.17</v>
      </c>
      <c r="F2194" s="7" t="s">
        <v>3174</v>
      </c>
    </row>
    <row r="2195" spans="1:6" x14ac:dyDescent="0.3">
      <c r="A2195" s="7" t="s">
        <v>5368</v>
      </c>
      <c r="B2195" s="7" t="s">
        <v>3109</v>
      </c>
      <c r="C2195" s="7" t="s">
        <v>81</v>
      </c>
      <c r="D2195" s="9">
        <v>46163</v>
      </c>
      <c r="E2195" s="3">
        <v>2021.03</v>
      </c>
      <c r="F2195" s="7" t="s">
        <v>3184</v>
      </c>
    </row>
    <row r="2196" spans="1:6" x14ac:dyDescent="0.3">
      <c r="A2196" s="7" t="s">
        <v>5369</v>
      </c>
      <c r="B2196" s="7" t="s">
        <v>3111</v>
      </c>
      <c r="C2196" s="7" t="s">
        <v>32</v>
      </c>
      <c r="D2196" s="9">
        <v>45728</v>
      </c>
      <c r="E2196" s="3">
        <v>1516.2</v>
      </c>
      <c r="F2196" s="7" t="s">
        <v>296</v>
      </c>
    </row>
    <row r="2197" spans="1:6" x14ac:dyDescent="0.3">
      <c r="A2197" s="7" t="s">
        <v>5370</v>
      </c>
      <c r="B2197" s="7" t="s">
        <v>3112</v>
      </c>
      <c r="C2197" s="7" t="s">
        <v>18</v>
      </c>
      <c r="D2197" s="9">
        <v>45770</v>
      </c>
      <c r="E2197" s="3">
        <v>2107.12</v>
      </c>
      <c r="F2197" s="7" t="s">
        <v>298</v>
      </c>
    </row>
    <row r="2198" spans="1:6" x14ac:dyDescent="0.3">
      <c r="A2198" s="7" t="s">
        <v>5371</v>
      </c>
      <c r="B2198" s="7" t="s">
        <v>3113</v>
      </c>
      <c r="C2198" s="7" t="s">
        <v>98</v>
      </c>
      <c r="D2198" s="9">
        <v>46020</v>
      </c>
      <c r="E2198" s="3">
        <v>2919.56</v>
      </c>
      <c r="F2198" s="7" t="s">
        <v>3174</v>
      </c>
    </row>
    <row r="2199" spans="1:6" x14ac:dyDescent="0.3">
      <c r="A2199" s="7" t="s">
        <v>5372</v>
      </c>
      <c r="B2199" s="7" t="s">
        <v>3114</v>
      </c>
      <c r="C2199" s="7" t="s">
        <v>111</v>
      </c>
      <c r="D2199" s="9">
        <v>45980</v>
      </c>
      <c r="E2199" s="3">
        <v>2864.28</v>
      </c>
      <c r="F2199" s="7" t="s">
        <v>298</v>
      </c>
    </row>
    <row r="2200" spans="1:6" x14ac:dyDescent="0.3">
      <c r="A2200" s="7" t="s">
        <v>5373</v>
      </c>
      <c r="B2200" s="7" t="s">
        <v>3115</v>
      </c>
      <c r="C2200" s="7" t="s">
        <v>67</v>
      </c>
      <c r="D2200" s="9">
        <v>45960</v>
      </c>
      <c r="E2200" s="3">
        <v>5416.48</v>
      </c>
      <c r="F2200" s="7" t="s">
        <v>3174</v>
      </c>
    </row>
    <row r="2201" spans="1:6" x14ac:dyDescent="0.3">
      <c r="A2201" s="7" t="s">
        <v>5374</v>
      </c>
      <c r="B2201" s="7" t="s">
        <v>3116</v>
      </c>
      <c r="C2201" s="7" t="s">
        <v>71</v>
      </c>
      <c r="D2201" s="9">
        <v>45990</v>
      </c>
      <c r="E2201" s="3">
        <v>2731.56</v>
      </c>
      <c r="F2201" s="7" t="s">
        <v>296</v>
      </c>
    </row>
    <row r="2202" spans="1:6" x14ac:dyDescent="0.3">
      <c r="A2202" s="7" t="s">
        <v>5375</v>
      </c>
      <c r="B2202" s="7" t="s">
        <v>3117</v>
      </c>
      <c r="C2202" s="7" t="s">
        <v>76</v>
      </c>
      <c r="D2202" s="9">
        <v>45786</v>
      </c>
      <c r="E2202" s="3">
        <v>2495.4699999999998</v>
      </c>
      <c r="F2202" s="7" t="s">
        <v>298</v>
      </c>
    </row>
    <row r="2203" spans="1:6" x14ac:dyDescent="0.3">
      <c r="A2203" s="7" t="s">
        <v>5376</v>
      </c>
      <c r="B2203" s="7" t="s">
        <v>3118</v>
      </c>
      <c r="C2203" s="7" t="s">
        <v>16</v>
      </c>
      <c r="D2203" s="9">
        <v>46045</v>
      </c>
      <c r="E2203" s="3">
        <v>4161.8100000000004</v>
      </c>
      <c r="F2203" s="7" t="s">
        <v>298</v>
      </c>
    </row>
    <row r="2204" spans="1:6" x14ac:dyDescent="0.3">
      <c r="A2204" s="7" t="s">
        <v>5377</v>
      </c>
      <c r="B2204" s="7" t="s">
        <v>3119</v>
      </c>
      <c r="C2204" s="7" t="s">
        <v>88</v>
      </c>
      <c r="D2204" s="9">
        <v>45827</v>
      </c>
      <c r="E2204" s="3">
        <v>4374.1000000000004</v>
      </c>
      <c r="F2204" s="7" t="s">
        <v>3174</v>
      </c>
    </row>
    <row r="2205" spans="1:6" x14ac:dyDescent="0.3">
      <c r="A2205" s="7" t="s">
        <v>5378</v>
      </c>
      <c r="B2205" s="7" t="s">
        <v>3120</v>
      </c>
      <c r="C2205" s="7" t="s">
        <v>34</v>
      </c>
      <c r="D2205" s="9">
        <v>45869</v>
      </c>
      <c r="E2205" s="3">
        <v>3215.41</v>
      </c>
      <c r="F2205" s="7" t="s">
        <v>296</v>
      </c>
    </row>
    <row r="2206" spans="1:6" x14ac:dyDescent="0.3">
      <c r="A2206" s="7" t="s">
        <v>5379</v>
      </c>
      <c r="B2206" s="7" t="s">
        <v>3121</v>
      </c>
      <c r="C2206" s="7" t="s">
        <v>7</v>
      </c>
      <c r="D2206" s="9">
        <v>45893</v>
      </c>
      <c r="E2206" s="3">
        <v>10804.56</v>
      </c>
      <c r="F2206" s="7" t="s">
        <v>296</v>
      </c>
    </row>
    <row r="2207" spans="1:6" x14ac:dyDescent="0.3">
      <c r="A2207" s="7" t="s">
        <v>5380</v>
      </c>
      <c r="B2207" s="7" t="s">
        <v>3122</v>
      </c>
      <c r="C2207" s="7" t="s">
        <v>27</v>
      </c>
      <c r="D2207" s="9">
        <v>46008</v>
      </c>
      <c r="E2207" s="3">
        <v>2081.1999999999998</v>
      </c>
      <c r="F2207" s="7" t="s">
        <v>296</v>
      </c>
    </row>
    <row r="2208" spans="1:6" x14ac:dyDescent="0.3">
      <c r="A2208" s="7" t="s">
        <v>5381</v>
      </c>
      <c r="B2208" s="7" t="s">
        <v>3124</v>
      </c>
      <c r="C2208" s="7" t="s">
        <v>122</v>
      </c>
      <c r="D2208" s="9">
        <v>45893</v>
      </c>
      <c r="E2208" s="3">
        <v>3857.91</v>
      </c>
      <c r="F2208" s="7" t="s">
        <v>298</v>
      </c>
    </row>
    <row r="2209" spans="1:6" x14ac:dyDescent="0.3">
      <c r="A2209" s="7" t="s">
        <v>5382</v>
      </c>
      <c r="B2209" s="7" t="s">
        <v>3125</v>
      </c>
      <c r="C2209" s="7" t="s">
        <v>82</v>
      </c>
      <c r="D2209" s="9">
        <v>46057</v>
      </c>
      <c r="E2209" s="3">
        <v>1761.07</v>
      </c>
      <c r="F2209" s="7" t="s">
        <v>296</v>
      </c>
    </row>
    <row r="2210" spans="1:6" x14ac:dyDescent="0.3">
      <c r="A2210" s="7" t="s">
        <v>5383</v>
      </c>
      <c r="B2210" s="7" t="s">
        <v>3127</v>
      </c>
      <c r="C2210" s="7" t="s">
        <v>110</v>
      </c>
      <c r="D2210" s="9">
        <v>45835</v>
      </c>
      <c r="E2210" s="3">
        <v>2727.15</v>
      </c>
      <c r="F2210" s="7" t="s">
        <v>298</v>
      </c>
    </row>
    <row r="2211" spans="1:6" x14ac:dyDescent="0.3">
      <c r="A2211" s="7" t="s">
        <v>5384</v>
      </c>
      <c r="B2211" s="7" t="s">
        <v>3128</v>
      </c>
      <c r="C2211" s="7" t="s">
        <v>102</v>
      </c>
      <c r="D2211" s="9">
        <v>45817</v>
      </c>
      <c r="E2211" s="3">
        <v>11378.13</v>
      </c>
      <c r="F2211" s="7" t="s">
        <v>3174</v>
      </c>
    </row>
    <row r="2212" spans="1:6" x14ac:dyDescent="0.3">
      <c r="A2212" s="7" t="s">
        <v>5385</v>
      </c>
      <c r="B2212" s="7" t="s">
        <v>3129</v>
      </c>
      <c r="C2212" s="7" t="s">
        <v>59</v>
      </c>
      <c r="D2212" s="9">
        <v>45755</v>
      </c>
      <c r="E2212" s="3">
        <v>4456.22</v>
      </c>
      <c r="F2212" s="7" t="s">
        <v>3184</v>
      </c>
    </row>
    <row r="2213" spans="1:6" x14ac:dyDescent="0.3">
      <c r="A2213" s="7" t="s">
        <v>5386</v>
      </c>
      <c r="B2213" s="7" t="s">
        <v>3130</v>
      </c>
      <c r="C2213" s="7" t="s">
        <v>122</v>
      </c>
      <c r="D2213" s="9">
        <v>45829</v>
      </c>
      <c r="E2213" s="3">
        <v>13823.88</v>
      </c>
      <c r="F2213" s="7" t="s">
        <v>3174</v>
      </c>
    </row>
    <row r="2214" spans="1:6" x14ac:dyDescent="0.3">
      <c r="A2214" s="7" t="s">
        <v>5387</v>
      </c>
      <c r="B2214" s="7" t="s">
        <v>3132</v>
      </c>
      <c r="C2214" s="7" t="s">
        <v>118</v>
      </c>
      <c r="D2214" s="9">
        <v>46083</v>
      </c>
      <c r="E2214" s="3">
        <v>3448.03</v>
      </c>
      <c r="F2214" s="7" t="s">
        <v>3174</v>
      </c>
    </row>
    <row r="2215" spans="1:6" x14ac:dyDescent="0.3">
      <c r="A2215" s="7" t="s">
        <v>5388</v>
      </c>
      <c r="B2215" s="7" t="s">
        <v>3133</v>
      </c>
      <c r="C2215" s="7" t="s">
        <v>111</v>
      </c>
      <c r="D2215" s="9">
        <v>45867</v>
      </c>
      <c r="E2215" s="3">
        <v>1547.56</v>
      </c>
      <c r="F2215" s="7" t="s">
        <v>3184</v>
      </c>
    </row>
    <row r="2216" spans="1:6" x14ac:dyDescent="0.3">
      <c r="A2216" s="7" t="s">
        <v>5389</v>
      </c>
      <c r="B2216" s="7" t="s">
        <v>3135</v>
      </c>
      <c r="C2216" s="7" t="s">
        <v>32</v>
      </c>
      <c r="D2216" s="9">
        <v>45903</v>
      </c>
      <c r="E2216" s="3">
        <v>1148.72</v>
      </c>
      <c r="F2216" s="7" t="s">
        <v>3174</v>
      </c>
    </row>
    <row r="2217" spans="1:6" x14ac:dyDescent="0.3">
      <c r="A2217" s="7" t="s">
        <v>5390</v>
      </c>
      <c r="B2217" s="7" t="s">
        <v>3135</v>
      </c>
      <c r="C2217" s="7" t="s">
        <v>32</v>
      </c>
      <c r="D2217" s="9">
        <v>45905</v>
      </c>
      <c r="E2217" s="3">
        <v>1270.95</v>
      </c>
      <c r="F2217" s="7" t="s">
        <v>3184</v>
      </c>
    </row>
    <row r="2218" spans="1:6" x14ac:dyDescent="0.3">
      <c r="A2218" s="7" t="s">
        <v>5391</v>
      </c>
      <c r="B2218" s="7" t="s">
        <v>3137</v>
      </c>
      <c r="C2218" s="7" t="s">
        <v>70</v>
      </c>
      <c r="D2218" s="9">
        <v>45785</v>
      </c>
      <c r="E2218" s="3">
        <v>3188.74</v>
      </c>
      <c r="F2218" s="7" t="s">
        <v>3174</v>
      </c>
    </row>
    <row r="2219" spans="1:6" x14ac:dyDescent="0.3">
      <c r="A2219" s="7" t="s">
        <v>5392</v>
      </c>
      <c r="B2219" s="7" t="s">
        <v>3138</v>
      </c>
      <c r="C2219" s="7" t="s">
        <v>92</v>
      </c>
      <c r="D2219" s="9">
        <v>46114</v>
      </c>
      <c r="E2219" s="3">
        <v>11688.52</v>
      </c>
      <c r="F2219" s="7" t="s">
        <v>3174</v>
      </c>
    </row>
    <row r="2220" spans="1:6" x14ac:dyDescent="0.3">
      <c r="A2220" s="7" t="s">
        <v>5393</v>
      </c>
      <c r="B2220" s="7" t="s">
        <v>3140</v>
      </c>
      <c r="C2220" s="7" t="s">
        <v>70</v>
      </c>
      <c r="D2220" s="9">
        <v>45744</v>
      </c>
      <c r="E2220" s="3">
        <v>12517.52</v>
      </c>
      <c r="F2220" s="7" t="s">
        <v>298</v>
      </c>
    </row>
    <row r="2221" spans="1:6" x14ac:dyDescent="0.3">
      <c r="A2221" s="7" t="s">
        <v>5394</v>
      </c>
      <c r="B2221" s="7" t="s">
        <v>3141</v>
      </c>
      <c r="C2221" s="7" t="s">
        <v>50</v>
      </c>
      <c r="D2221" s="9">
        <v>45681</v>
      </c>
      <c r="E2221" s="3">
        <v>4832.6899999999996</v>
      </c>
      <c r="F2221" s="7" t="s">
        <v>3174</v>
      </c>
    </row>
    <row r="2222" spans="1:6" x14ac:dyDescent="0.3">
      <c r="A2222" s="7" t="s">
        <v>5395</v>
      </c>
      <c r="B2222" s="7" t="s">
        <v>3142</v>
      </c>
      <c r="C2222" s="7" t="s">
        <v>83</v>
      </c>
      <c r="D2222" s="9">
        <v>46009</v>
      </c>
      <c r="E2222" s="3">
        <v>1663.64</v>
      </c>
      <c r="F2222" s="7" t="s">
        <v>296</v>
      </c>
    </row>
    <row r="2223" spans="1:6" x14ac:dyDescent="0.3">
      <c r="A2223" s="7" t="s">
        <v>5396</v>
      </c>
      <c r="B2223" s="7" t="s">
        <v>3143</v>
      </c>
      <c r="C2223" s="7" t="s">
        <v>95</v>
      </c>
      <c r="D2223" s="9">
        <v>45852</v>
      </c>
      <c r="E2223" s="3">
        <v>5059.2700000000004</v>
      </c>
      <c r="F2223" s="7" t="s">
        <v>296</v>
      </c>
    </row>
    <row r="2224" spans="1:6" x14ac:dyDescent="0.3">
      <c r="A2224" s="7" t="s">
        <v>5397</v>
      </c>
      <c r="B2224" s="7" t="s">
        <v>3144</v>
      </c>
      <c r="C2224" s="7" t="s">
        <v>54</v>
      </c>
      <c r="D2224" s="9">
        <v>45918</v>
      </c>
      <c r="E2224" s="3">
        <v>4739.1400000000003</v>
      </c>
      <c r="F2224" s="7" t="s">
        <v>296</v>
      </c>
    </row>
    <row r="2225" spans="1:6" x14ac:dyDescent="0.3">
      <c r="A2225" s="7" t="s">
        <v>5398</v>
      </c>
      <c r="B2225" s="7" t="s">
        <v>3145</v>
      </c>
      <c r="C2225" s="7" t="s">
        <v>118</v>
      </c>
      <c r="D2225" s="9">
        <v>45878</v>
      </c>
      <c r="E2225" s="3">
        <v>10781.33</v>
      </c>
      <c r="F2225" s="7" t="s">
        <v>296</v>
      </c>
    </row>
    <row r="2226" spans="1:6" x14ac:dyDescent="0.3">
      <c r="A2226" s="7" t="s">
        <v>5399</v>
      </c>
      <c r="B2226" s="7" t="s">
        <v>3146</v>
      </c>
      <c r="C2226" s="7" t="s">
        <v>80</v>
      </c>
      <c r="D2226" s="9">
        <v>45921</v>
      </c>
      <c r="E2226" s="3">
        <v>2633.87</v>
      </c>
      <c r="F2226" s="7" t="s">
        <v>3184</v>
      </c>
    </row>
    <row r="2227" spans="1:6" x14ac:dyDescent="0.3">
      <c r="A2227" s="7" t="s">
        <v>5400</v>
      </c>
      <c r="B2227" s="7" t="s">
        <v>3149</v>
      </c>
      <c r="C2227" s="7" t="s">
        <v>19</v>
      </c>
      <c r="D2227" s="9">
        <v>45699</v>
      </c>
      <c r="E2227" s="3">
        <v>12303.83</v>
      </c>
      <c r="F2227" s="7" t="s">
        <v>296</v>
      </c>
    </row>
    <row r="2228" spans="1:6" x14ac:dyDescent="0.3">
      <c r="A2228" s="7" t="s">
        <v>5401</v>
      </c>
      <c r="B2228" s="7" t="s">
        <v>3150</v>
      </c>
      <c r="C2228" s="7" t="s">
        <v>69</v>
      </c>
      <c r="D2228" s="9">
        <v>46016</v>
      </c>
      <c r="E2228" s="3">
        <v>13200.92</v>
      </c>
      <c r="F2228" s="7" t="s">
        <v>3184</v>
      </c>
    </row>
    <row r="2229" spans="1:6" x14ac:dyDescent="0.3">
      <c r="A2229" s="7" t="s">
        <v>5402</v>
      </c>
      <c r="B2229" s="7" t="s">
        <v>3151</v>
      </c>
      <c r="C2229" s="7" t="s">
        <v>56</v>
      </c>
      <c r="D2229" s="9">
        <v>46033</v>
      </c>
      <c r="E2229" s="3">
        <v>12492.48</v>
      </c>
      <c r="F2229" s="7" t="s">
        <v>296</v>
      </c>
    </row>
    <row r="2230" spans="1:6" x14ac:dyDescent="0.3">
      <c r="A2230" s="7" t="s">
        <v>5403</v>
      </c>
      <c r="B2230" s="7" t="s">
        <v>3152</v>
      </c>
      <c r="C2230" s="7" t="s">
        <v>115</v>
      </c>
      <c r="D2230" s="9">
        <v>45832</v>
      </c>
      <c r="E2230" s="3">
        <v>5582.56</v>
      </c>
      <c r="F2230" s="7" t="s">
        <v>3184</v>
      </c>
    </row>
    <row r="2231" spans="1:6" x14ac:dyDescent="0.3">
      <c r="A2231" s="7" t="s">
        <v>5404</v>
      </c>
      <c r="B2231" s="7" t="s">
        <v>3153</v>
      </c>
      <c r="C2231" s="7" t="s">
        <v>52</v>
      </c>
      <c r="D2231" s="9">
        <v>45810</v>
      </c>
      <c r="E2231" s="3">
        <v>2968.5</v>
      </c>
      <c r="F2231" s="7" t="s">
        <v>3184</v>
      </c>
    </row>
    <row r="2232" spans="1:6" x14ac:dyDescent="0.3">
      <c r="A2232" s="7" t="s">
        <v>5405</v>
      </c>
      <c r="B2232" s="7" t="s">
        <v>3156</v>
      </c>
      <c r="C2232" s="7" t="s">
        <v>100</v>
      </c>
      <c r="D2232" s="9">
        <v>45992</v>
      </c>
      <c r="E2232" s="3">
        <v>5915.45</v>
      </c>
      <c r="F2232" s="7" t="s">
        <v>296</v>
      </c>
    </row>
    <row r="2233" spans="1:6" x14ac:dyDescent="0.3">
      <c r="A2233" s="7" t="s">
        <v>5406</v>
      </c>
      <c r="B2233" s="7" t="s">
        <v>3159</v>
      </c>
      <c r="C2233" s="7" t="s">
        <v>90</v>
      </c>
      <c r="D2233" s="9">
        <v>45745</v>
      </c>
      <c r="E2233" s="3">
        <v>2260.9899999999998</v>
      </c>
      <c r="F2233" s="7" t="s">
        <v>296</v>
      </c>
    </row>
    <row r="2234" spans="1:6" x14ac:dyDescent="0.3">
      <c r="A2234" s="7" t="s">
        <v>5407</v>
      </c>
      <c r="B2234" s="7" t="s">
        <v>3160</v>
      </c>
      <c r="C2234" s="7" t="s">
        <v>123</v>
      </c>
      <c r="D2234" s="9">
        <v>45720</v>
      </c>
      <c r="E2234" s="3">
        <v>1988.91</v>
      </c>
      <c r="F2234" s="7" t="s">
        <v>3174</v>
      </c>
    </row>
    <row r="2235" spans="1:6" x14ac:dyDescent="0.3">
      <c r="A2235" s="7" t="s">
        <v>5408</v>
      </c>
      <c r="B2235" s="7" t="s">
        <v>3161</v>
      </c>
      <c r="C2235" s="7" t="s">
        <v>63</v>
      </c>
      <c r="D2235" s="9">
        <v>45908</v>
      </c>
      <c r="E2235" s="3">
        <v>4893.37</v>
      </c>
      <c r="F2235" s="7" t="s">
        <v>296</v>
      </c>
    </row>
    <row r="2236" spans="1:6" x14ac:dyDescent="0.3">
      <c r="A2236" s="7" t="s">
        <v>5409</v>
      </c>
      <c r="B2236" s="7" t="s">
        <v>3162</v>
      </c>
      <c r="C2236" s="7" t="s">
        <v>97</v>
      </c>
      <c r="D2236" s="9">
        <v>45827</v>
      </c>
      <c r="E2236" s="3">
        <v>2107.7399999999998</v>
      </c>
      <c r="F2236" s="7" t="s">
        <v>3184</v>
      </c>
    </row>
    <row r="2237" spans="1:6" x14ac:dyDescent="0.3">
      <c r="A2237" s="7" t="s">
        <v>5410</v>
      </c>
      <c r="B2237" s="7" t="s">
        <v>3163</v>
      </c>
      <c r="C2237" s="7" t="s">
        <v>9</v>
      </c>
      <c r="D2237" s="9">
        <v>45760</v>
      </c>
      <c r="E2237" s="3">
        <v>3434.67</v>
      </c>
      <c r="F2237" s="7" t="s">
        <v>298</v>
      </c>
    </row>
    <row r="2238" spans="1:6" x14ac:dyDescent="0.3">
      <c r="A2238" s="7" t="s">
        <v>5411</v>
      </c>
      <c r="B2238" s="7" t="s">
        <v>3164</v>
      </c>
      <c r="C2238" s="7" t="s">
        <v>25</v>
      </c>
      <c r="D2238" s="9">
        <v>45843</v>
      </c>
      <c r="E2238" s="3">
        <v>2462.91</v>
      </c>
      <c r="F2238" s="7" t="s">
        <v>3174</v>
      </c>
    </row>
    <row r="2239" spans="1:6" x14ac:dyDescent="0.3">
      <c r="A2239" s="7" t="s">
        <v>5412</v>
      </c>
      <c r="B2239" s="7" t="s">
        <v>3165</v>
      </c>
      <c r="C2239" s="7" t="s">
        <v>62</v>
      </c>
      <c r="D2239" s="9">
        <v>45882</v>
      </c>
      <c r="E2239" s="3">
        <v>1329.28</v>
      </c>
      <c r="F2239" s="7" t="s">
        <v>3184</v>
      </c>
    </row>
    <row r="2240" spans="1:6" x14ac:dyDescent="0.3">
      <c r="A2240" s="7" t="s">
        <v>5413</v>
      </c>
      <c r="B2240" s="7" t="s">
        <v>3165</v>
      </c>
      <c r="C2240" s="7" t="s">
        <v>62</v>
      </c>
      <c r="D2240" s="9">
        <v>45886</v>
      </c>
      <c r="E2240" s="3">
        <v>1502.52</v>
      </c>
      <c r="F2240" s="7" t="s">
        <v>3174</v>
      </c>
    </row>
    <row r="2241" spans="1:6" x14ac:dyDescent="0.3">
      <c r="A2241" s="7" t="s">
        <v>5414</v>
      </c>
      <c r="B2241" s="7" t="s">
        <v>3166</v>
      </c>
      <c r="C2241" s="7" t="s">
        <v>104</v>
      </c>
      <c r="D2241" s="9">
        <v>45762</v>
      </c>
      <c r="E2241" s="3">
        <v>1673.2</v>
      </c>
      <c r="F2241" s="7" t="s">
        <v>298</v>
      </c>
    </row>
    <row r="2242" spans="1:6" x14ac:dyDescent="0.3">
      <c r="A2242" s="7" t="s">
        <v>5415</v>
      </c>
      <c r="B2242" s="7" t="s">
        <v>3168</v>
      </c>
      <c r="C2242" s="7" t="s">
        <v>15</v>
      </c>
      <c r="D2242" s="9">
        <v>46075</v>
      </c>
      <c r="E2242" s="3">
        <v>2878.2</v>
      </c>
      <c r="F2242" s="7" t="s">
        <v>3184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33203125" bestFit="1" customWidth="1"/>
    <col min="2" max="2" width="18.6640625" bestFit="1" customWidth="1"/>
    <col min="3" max="3" width="13.33203125" bestFit="1" customWidth="1"/>
    <col min="4" max="4" width="15.44140625" style="9" bestFit="1" customWidth="1"/>
    <col min="5" max="5" width="12.6640625" style="9" bestFit="1" customWidth="1"/>
    <col min="6" max="6" width="19.88671875" style="9" bestFit="1" customWidth="1"/>
    <col min="7" max="7" width="17.33203125" style="3" bestFit="1" customWidth="1"/>
    <col min="8" max="8" width="24.21875" style="3" bestFit="1" customWidth="1"/>
    <col min="9" max="9" width="19.88671875" style="3" bestFit="1" customWidth="1"/>
    <col min="10" max="10" width="16" style="29" bestFit="1" customWidth="1"/>
    <col min="11" max="11" width="13.44140625" style="32" customWidth="1"/>
    <col min="12" max="12" width="9.5546875" bestFit="1" customWidth="1"/>
  </cols>
  <sheetData>
    <row r="1" spans="1:12" x14ac:dyDescent="0.3">
      <c r="A1" s="19" t="s">
        <v>0</v>
      </c>
      <c r="B1" s="19" t="s">
        <v>1</v>
      </c>
      <c r="C1" s="23" t="s">
        <v>361</v>
      </c>
      <c r="D1" s="27" t="s">
        <v>362</v>
      </c>
      <c r="E1" s="27" t="s">
        <v>363</v>
      </c>
      <c r="F1" s="30" t="s">
        <v>7819</v>
      </c>
      <c r="G1" s="30" t="s">
        <v>7820</v>
      </c>
      <c r="H1" s="30" t="s">
        <v>7821</v>
      </c>
      <c r="I1" s="28" t="s">
        <v>7822</v>
      </c>
      <c r="J1" s="19" t="s">
        <v>7823</v>
      </c>
      <c r="K1"/>
    </row>
    <row r="2" spans="1:12" x14ac:dyDescent="0.3">
      <c r="A2" s="20" t="s">
        <v>96</v>
      </c>
      <c r="B2" t="str">
        <f>VLOOKUP(A2,Customers!A:B,2,FALSE)</f>
        <v>RetailLabs</v>
      </c>
      <c r="C2" s="24" t="s">
        <v>366</v>
      </c>
      <c r="D2" s="10">
        <v>46097</v>
      </c>
      <c r="E2" s="10">
        <v>46127</v>
      </c>
      <c r="F2" s="4">
        <v>3110.52</v>
      </c>
      <c r="G2" s="3">
        <f>SUMIF(Customer_Payments!B:B,C2,Customer_Payments!E:E)</f>
        <v>3110.52</v>
      </c>
      <c r="H2" s="3">
        <f t="shared" ref="H2:H65" si="0">MAX(F2-G2,0)</f>
        <v>0</v>
      </c>
      <c r="I2" s="29">
        <f t="shared" ref="I2:I65" si="1">$L$2-E2</f>
        <v>-36</v>
      </c>
      <c r="J2" s="31" t="str">
        <f>IF(I2&lt;=0,"Current",
IF(I2&lt;=30,"1-30",
IF(I2&lt;=60,"31-60",
IF(I2&lt;=90,"61-90","90+"))))</f>
        <v>Current</v>
      </c>
      <c r="L2" s="9">
        <v>46091</v>
      </c>
    </row>
    <row r="3" spans="1:12" x14ac:dyDescent="0.3">
      <c r="A3" s="21" t="s">
        <v>79</v>
      </c>
      <c r="B3" t="str">
        <f>VLOOKUP(A3,Customers!A:B,2,FALSE)</f>
        <v>RetailBoostX</v>
      </c>
      <c r="C3" s="25" t="s">
        <v>368</v>
      </c>
      <c r="D3" s="11">
        <v>45987</v>
      </c>
      <c r="E3" s="11">
        <v>46017</v>
      </c>
      <c r="F3" s="5">
        <v>2850.29</v>
      </c>
      <c r="G3" s="3">
        <v>2000</v>
      </c>
      <c r="H3" s="3">
        <f t="shared" si="0"/>
        <v>850.29</v>
      </c>
      <c r="I3" s="29">
        <f t="shared" si="1"/>
        <v>74</v>
      </c>
      <c r="J3" s="31" t="str">
        <f t="shared" ref="J3:J66" si="2">IF(I3&lt;=0,"Current",
IF(I3&lt;=30,"1-30",
IF(I3&lt;=60,"31-60",
IF(I3&lt;=90,"61-90","90+"))))</f>
        <v>61-90</v>
      </c>
      <c r="K3"/>
    </row>
    <row r="4" spans="1:12" x14ac:dyDescent="0.3">
      <c r="A4" s="20" t="s">
        <v>71</v>
      </c>
      <c r="B4" t="str">
        <f>VLOOKUP(A4,Customers!A:B,2,FALSE)</f>
        <v>RetailPulse</v>
      </c>
      <c r="C4" s="24" t="s">
        <v>370</v>
      </c>
      <c r="D4" s="10">
        <v>46094</v>
      </c>
      <c r="E4" s="10">
        <v>46124</v>
      </c>
      <c r="F4" s="4">
        <v>2816.64</v>
      </c>
      <c r="G4" s="3">
        <f>SUMIF(Customer_Payments!B:B,C4,Customer_Payments!E:E)</f>
        <v>2816.64</v>
      </c>
      <c r="H4" s="3">
        <f t="shared" si="0"/>
        <v>0</v>
      </c>
      <c r="I4" s="29">
        <f t="shared" si="1"/>
        <v>-33</v>
      </c>
      <c r="J4" s="31" t="str">
        <f t="shared" si="2"/>
        <v>Current</v>
      </c>
      <c r="K4"/>
    </row>
    <row r="5" spans="1:12" x14ac:dyDescent="0.3">
      <c r="A5" s="21" t="s">
        <v>20</v>
      </c>
      <c r="B5" t="str">
        <f>VLOOKUP(A5,Customers!A:B,2,FALSE)</f>
        <v>GrowthSphere</v>
      </c>
      <c r="C5" s="25" t="s">
        <v>371</v>
      </c>
      <c r="D5" s="11">
        <v>45971</v>
      </c>
      <c r="E5" s="11">
        <v>46001</v>
      </c>
      <c r="F5" s="5">
        <v>1685.69</v>
      </c>
      <c r="G5" s="3">
        <f>SUMIF(Customer_Payments!B:B,C5,Customer_Payments!E:E)</f>
        <v>0</v>
      </c>
      <c r="H5" s="3">
        <f t="shared" si="0"/>
        <v>1685.69</v>
      </c>
      <c r="I5" s="29">
        <f t="shared" si="1"/>
        <v>90</v>
      </c>
      <c r="J5" s="31" t="str">
        <f t="shared" si="2"/>
        <v>61-90</v>
      </c>
      <c r="K5"/>
    </row>
    <row r="6" spans="1:12" x14ac:dyDescent="0.3">
      <c r="A6" s="20" t="s">
        <v>62</v>
      </c>
      <c r="B6" t="str">
        <f>VLOOKUP(A6,Customers!A:B,2,FALSE)</f>
        <v>MarketNova</v>
      </c>
      <c r="C6" s="24" t="s">
        <v>372</v>
      </c>
      <c r="D6" s="10">
        <v>46099</v>
      </c>
      <c r="E6" s="10">
        <v>46129</v>
      </c>
      <c r="F6" s="4">
        <v>14211.78</v>
      </c>
      <c r="G6" s="3">
        <f>SUMIF(Customer_Payments!B:B,C6,Customer_Payments!E:E)</f>
        <v>14211.78</v>
      </c>
      <c r="H6" s="3">
        <f t="shared" si="0"/>
        <v>0</v>
      </c>
      <c r="I6" s="29">
        <f t="shared" si="1"/>
        <v>-38</v>
      </c>
      <c r="J6" s="31" t="str">
        <f t="shared" si="2"/>
        <v>Current</v>
      </c>
      <c r="K6"/>
    </row>
    <row r="7" spans="1:12" x14ac:dyDescent="0.3">
      <c r="A7" s="21" t="s">
        <v>124</v>
      </c>
      <c r="B7" t="str">
        <f>VLOOKUP(A7,Customers!A:B,2,FALSE)</f>
        <v>RetailOrbitGlobal</v>
      </c>
      <c r="C7" s="25" t="s">
        <v>373</v>
      </c>
      <c r="D7" s="11">
        <v>45982</v>
      </c>
      <c r="E7" s="11">
        <v>46012</v>
      </c>
      <c r="F7" s="5">
        <v>5467.59</v>
      </c>
      <c r="G7" s="3">
        <f>SUMIF(Customer_Payments!B:B,C7,Customer_Payments!E:E)</f>
        <v>5467.59</v>
      </c>
      <c r="H7" s="3">
        <f t="shared" si="0"/>
        <v>0</v>
      </c>
      <c r="I7" s="29">
        <f t="shared" si="1"/>
        <v>79</v>
      </c>
      <c r="J7" s="31" t="str">
        <f t="shared" si="2"/>
        <v>61-90</v>
      </c>
      <c r="K7"/>
    </row>
    <row r="8" spans="1:12" x14ac:dyDescent="0.3">
      <c r="A8" s="20" t="s">
        <v>82</v>
      </c>
      <c r="B8" t="str">
        <f>VLOOKUP(A8,Customers!A:B,2,FALSE)</f>
        <v>RetailNovaX</v>
      </c>
      <c r="C8" s="24" t="s">
        <v>374</v>
      </c>
      <c r="D8" s="10">
        <v>46074</v>
      </c>
      <c r="E8" s="10">
        <v>46104</v>
      </c>
      <c r="F8" s="4">
        <v>3884.5</v>
      </c>
      <c r="G8" s="3">
        <f>SUMIF(Customer_Payments!B:B,C8,Customer_Payments!E:E)</f>
        <v>0</v>
      </c>
      <c r="H8" s="3">
        <f t="shared" si="0"/>
        <v>3884.5</v>
      </c>
      <c r="I8" s="29">
        <f t="shared" si="1"/>
        <v>-13</v>
      </c>
      <c r="J8" s="31" t="str">
        <f t="shared" si="2"/>
        <v>Current</v>
      </c>
      <c r="K8"/>
    </row>
    <row r="9" spans="1:12" x14ac:dyDescent="0.3">
      <c r="A9" s="21" t="s">
        <v>64</v>
      </c>
      <c r="B9" t="str">
        <f>VLOOKUP(A9,Customers!A:B,2,FALSE)</f>
        <v>MarketScale</v>
      </c>
      <c r="C9" s="25" t="s">
        <v>375</v>
      </c>
      <c r="D9" s="11">
        <v>46047</v>
      </c>
      <c r="E9" s="11">
        <v>46077</v>
      </c>
      <c r="F9" s="5">
        <v>2322.3000000000002</v>
      </c>
      <c r="G9" s="3">
        <f>SUMIF(Customer_Payments!B:B,C9,Customer_Payments!E:E)</f>
        <v>2322.3000000000002</v>
      </c>
      <c r="H9" s="3">
        <f t="shared" si="0"/>
        <v>0</v>
      </c>
      <c r="I9" s="29">
        <f t="shared" si="1"/>
        <v>14</v>
      </c>
      <c r="J9" s="31" t="str">
        <f t="shared" si="2"/>
        <v>1-30</v>
      </c>
      <c r="K9"/>
    </row>
    <row r="10" spans="1:12" x14ac:dyDescent="0.3">
      <c r="A10" s="20" t="s">
        <v>50</v>
      </c>
      <c r="B10" t="str">
        <f>VLOOKUP(A10,Customers!A:B,2,FALSE)</f>
        <v>RetailNexus</v>
      </c>
      <c r="C10" s="24" t="s">
        <v>376</v>
      </c>
      <c r="D10" s="10">
        <v>46096</v>
      </c>
      <c r="E10" s="10">
        <v>46126</v>
      </c>
      <c r="F10" s="4">
        <v>5500.95</v>
      </c>
      <c r="G10" s="3">
        <f>SUMIF(Customer_Payments!B:B,C10,Customer_Payments!E:E)</f>
        <v>5500.95</v>
      </c>
      <c r="H10" s="3">
        <f t="shared" si="0"/>
        <v>0</v>
      </c>
      <c r="I10" s="29">
        <f t="shared" si="1"/>
        <v>-35</v>
      </c>
      <c r="J10" s="31" t="str">
        <f t="shared" si="2"/>
        <v>Current</v>
      </c>
      <c r="K10"/>
    </row>
    <row r="11" spans="1:12" x14ac:dyDescent="0.3">
      <c r="A11" s="21" t="s">
        <v>52</v>
      </c>
      <c r="B11" t="str">
        <f>VLOOKUP(A11,Customers!A:B,2,FALSE)</f>
        <v>RetailShift</v>
      </c>
      <c r="C11" s="25" t="s">
        <v>377</v>
      </c>
      <c r="D11" s="11">
        <v>46009</v>
      </c>
      <c r="E11" s="11">
        <v>46039</v>
      </c>
      <c r="F11" s="5">
        <v>2993.17</v>
      </c>
      <c r="G11" s="3">
        <f>SUMIF(Customer_Payments!B:B,C11,Customer_Payments!E:E)</f>
        <v>2993.17</v>
      </c>
      <c r="H11" s="3">
        <f t="shared" si="0"/>
        <v>0</v>
      </c>
      <c r="I11" s="29">
        <f t="shared" si="1"/>
        <v>52</v>
      </c>
      <c r="J11" s="31" t="str">
        <f t="shared" si="2"/>
        <v>31-60</v>
      </c>
      <c r="K11"/>
    </row>
    <row r="12" spans="1:12" x14ac:dyDescent="0.3">
      <c r="A12" s="20" t="s">
        <v>42</v>
      </c>
      <c r="B12" t="str">
        <f>VLOOKUP(A12,Customers!A:B,2,FALSE)</f>
        <v>RetailWorks</v>
      </c>
      <c r="C12" s="24" t="s">
        <v>378</v>
      </c>
      <c r="D12" s="10">
        <v>46008</v>
      </c>
      <c r="E12" s="10">
        <v>46038</v>
      </c>
      <c r="F12" s="4">
        <v>2340.34</v>
      </c>
      <c r="G12" s="3">
        <f>SUMIF(Customer_Payments!B:B,C12,Customer_Payments!E:E)</f>
        <v>2340.34</v>
      </c>
      <c r="H12" s="3">
        <f t="shared" si="0"/>
        <v>0</v>
      </c>
      <c r="I12" s="29">
        <f t="shared" si="1"/>
        <v>53</v>
      </c>
      <c r="J12" s="31" t="str">
        <f t="shared" si="2"/>
        <v>31-60</v>
      </c>
      <c r="K12"/>
    </row>
    <row r="13" spans="1:12" x14ac:dyDescent="0.3">
      <c r="A13" s="21" t="s">
        <v>59</v>
      </c>
      <c r="B13" t="str">
        <f>VLOOKUP(A13,Customers!A:B,2,FALSE)</f>
        <v>MarketBridge</v>
      </c>
      <c r="C13" s="25" t="s">
        <v>379</v>
      </c>
      <c r="D13" s="11">
        <v>46008</v>
      </c>
      <c r="E13" s="11">
        <v>46038</v>
      </c>
      <c r="F13" s="5">
        <v>2814.21</v>
      </c>
      <c r="G13" s="3">
        <f>SUMIF(Customer_Payments!B:B,C13,Customer_Payments!E:E)</f>
        <v>2814.21</v>
      </c>
      <c r="H13" s="3">
        <f t="shared" si="0"/>
        <v>0</v>
      </c>
      <c r="I13" s="29">
        <f t="shared" si="1"/>
        <v>53</v>
      </c>
      <c r="J13" s="31" t="str">
        <f t="shared" si="2"/>
        <v>31-60</v>
      </c>
      <c r="K13"/>
    </row>
    <row r="14" spans="1:12" x14ac:dyDescent="0.3">
      <c r="A14" s="20" t="s">
        <v>98</v>
      </c>
      <c r="B14" t="str">
        <f>VLOOKUP(A14,Customers!A:B,2,FALSE)</f>
        <v>RetailEdgePro</v>
      </c>
      <c r="C14" s="24" t="s">
        <v>380</v>
      </c>
      <c r="D14" s="10">
        <v>46001</v>
      </c>
      <c r="E14" s="10">
        <v>46031</v>
      </c>
      <c r="F14" s="4">
        <v>12264.85</v>
      </c>
      <c r="G14" s="3">
        <f>SUMIF(Customer_Payments!B:B,C14,Customer_Payments!E:E)</f>
        <v>12264.85</v>
      </c>
      <c r="H14" s="3">
        <f t="shared" si="0"/>
        <v>0</v>
      </c>
      <c r="I14" s="29">
        <f t="shared" si="1"/>
        <v>60</v>
      </c>
      <c r="J14" s="31" t="str">
        <f t="shared" si="2"/>
        <v>31-60</v>
      </c>
      <c r="K14"/>
    </row>
    <row r="15" spans="1:12" x14ac:dyDescent="0.3">
      <c r="A15" s="21" t="s">
        <v>58</v>
      </c>
      <c r="B15" t="str">
        <f>VLOOKUP(A15,Customers!A:B,2,FALSE)</f>
        <v>RetailAxis</v>
      </c>
      <c r="C15" s="25" t="s">
        <v>381</v>
      </c>
      <c r="D15" s="11">
        <v>46098</v>
      </c>
      <c r="E15" s="11">
        <v>46128</v>
      </c>
      <c r="F15" s="5">
        <v>11751.24</v>
      </c>
      <c r="G15" s="3">
        <f>SUMIF(Customer_Payments!B:B,C15,Customer_Payments!E:E)</f>
        <v>11751.24</v>
      </c>
      <c r="H15" s="3">
        <f t="shared" si="0"/>
        <v>0</v>
      </c>
      <c r="I15" s="29">
        <f t="shared" si="1"/>
        <v>-37</v>
      </c>
      <c r="J15" s="31" t="str">
        <f t="shared" si="2"/>
        <v>Current</v>
      </c>
      <c r="K15"/>
    </row>
    <row r="16" spans="1:12" x14ac:dyDescent="0.3">
      <c r="A16" s="20" t="s">
        <v>77</v>
      </c>
      <c r="B16" t="str">
        <f>VLOOKUP(A16,Customers!A:B,2,FALSE)</f>
        <v>RetailBridge</v>
      </c>
      <c r="C16" s="24" t="s">
        <v>382</v>
      </c>
      <c r="D16" s="10">
        <v>46063</v>
      </c>
      <c r="E16" s="10">
        <v>46093</v>
      </c>
      <c r="F16" s="4">
        <v>1615.18</v>
      </c>
      <c r="G16" s="3">
        <f>SUMIF(Customer_Payments!B:B,C16,Customer_Payments!E:E)</f>
        <v>1615.18</v>
      </c>
      <c r="H16" s="3">
        <f t="shared" si="0"/>
        <v>0</v>
      </c>
      <c r="I16" s="29">
        <f t="shared" si="1"/>
        <v>-2</v>
      </c>
      <c r="J16" s="31" t="str">
        <f t="shared" si="2"/>
        <v>Current</v>
      </c>
      <c r="K16"/>
    </row>
    <row r="17" spans="1:11" x14ac:dyDescent="0.3">
      <c r="A17" s="21" t="s">
        <v>96</v>
      </c>
      <c r="B17" t="str">
        <f>VLOOKUP(A17,Customers!A:B,2,FALSE)</f>
        <v>RetailLabs</v>
      </c>
      <c r="C17" s="25" t="s">
        <v>383</v>
      </c>
      <c r="D17" s="11">
        <v>46050</v>
      </c>
      <c r="E17" s="11">
        <v>46080</v>
      </c>
      <c r="F17" s="5">
        <v>3281.26</v>
      </c>
      <c r="G17" s="3">
        <f>SUMIF(Customer_Payments!B:B,C17,Customer_Payments!E:E)</f>
        <v>3281.26</v>
      </c>
      <c r="H17" s="3">
        <f t="shared" si="0"/>
        <v>0</v>
      </c>
      <c r="I17" s="29">
        <f t="shared" si="1"/>
        <v>11</v>
      </c>
      <c r="J17" s="31" t="str">
        <f t="shared" si="2"/>
        <v>1-30</v>
      </c>
      <c r="K17"/>
    </row>
    <row r="18" spans="1:11" x14ac:dyDescent="0.3">
      <c r="A18" s="20" t="s">
        <v>31</v>
      </c>
      <c r="B18" t="str">
        <f>VLOOKUP(A18,Customers!A:B,2,FALSE)</f>
        <v>SparkRetail</v>
      </c>
      <c r="C18" s="24" t="s">
        <v>384</v>
      </c>
      <c r="D18" s="10">
        <v>45996</v>
      </c>
      <c r="E18" s="10">
        <v>46026</v>
      </c>
      <c r="F18" s="4">
        <v>10900.4</v>
      </c>
      <c r="G18" s="3">
        <f>SUMIF(Customer_Payments!B:B,C18,Customer_Payments!E:E)</f>
        <v>10900.4</v>
      </c>
      <c r="H18" s="3">
        <f t="shared" si="0"/>
        <v>0</v>
      </c>
      <c r="I18" s="29">
        <f t="shared" si="1"/>
        <v>65</v>
      </c>
      <c r="J18" s="31" t="str">
        <f t="shared" si="2"/>
        <v>61-90</v>
      </c>
      <c r="K18"/>
    </row>
    <row r="19" spans="1:11" x14ac:dyDescent="0.3">
      <c r="A19" s="21" t="s">
        <v>34</v>
      </c>
      <c r="B19" t="str">
        <f>VLOOKUP(A19,Customers!A:B,2,FALSE)</f>
        <v>OptiCommerce</v>
      </c>
      <c r="C19" s="25" t="s">
        <v>385</v>
      </c>
      <c r="D19" s="11">
        <v>45979</v>
      </c>
      <c r="E19" s="11">
        <v>46009</v>
      </c>
      <c r="F19" s="5">
        <v>2119.5500000000002</v>
      </c>
      <c r="G19" s="3">
        <f>SUMIF(Customer_Payments!B:B,C19,Customer_Payments!E:E)</f>
        <v>2119.5500000000002</v>
      </c>
      <c r="H19" s="3">
        <f t="shared" si="0"/>
        <v>0</v>
      </c>
      <c r="I19" s="29">
        <f t="shared" si="1"/>
        <v>82</v>
      </c>
      <c r="J19" s="31" t="str">
        <f t="shared" si="2"/>
        <v>61-90</v>
      </c>
      <c r="K19"/>
    </row>
    <row r="20" spans="1:11" x14ac:dyDescent="0.3">
      <c r="A20" s="20" t="s">
        <v>74</v>
      </c>
      <c r="B20" t="str">
        <f>VLOOKUP(A20,Customers!A:B,2,FALSE)</f>
        <v>RetailPrime</v>
      </c>
      <c r="C20" s="24" t="s">
        <v>386</v>
      </c>
      <c r="D20" s="10">
        <v>45988</v>
      </c>
      <c r="E20" s="10">
        <v>46018</v>
      </c>
      <c r="F20" s="4">
        <v>1788.62</v>
      </c>
      <c r="G20" s="3">
        <v>700</v>
      </c>
      <c r="H20" s="3">
        <f t="shared" si="0"/>
        <v>1088.6199999999999</v>
      </c>
      <c r="I20" s="29">
        <f t="shared" si="1"/>
        <v>73</v>
      </c>
      <c r="J20" s="31" t="str">
        <f t="shared" si="2"/>
        <v>61-90</v>
      </c>
      <c r="K20"/>
    </row>
    <row r="21" spans="1:11" x14ac:dyDescent="0.3">
      <c r="A21" s="21" t="s">
        <v>53</v>
      </c>
      <c r="B21" t="str">
        <f>VLOOKUP(A21,Customers!A:B,2,FALSE)</f>
        <v>PrimeCart</v>
      </c>
      <c r="C21" s="25" t="s">
        <v>388</v>
      </c>
      <c r="D21" s="11">
        <v>46054</v>
      </c>
      <c r="E21" s="11">
        <v>46084</v>
      </c>
      <c r="F21" s="5">
        <v>3196.2</v>
      </c>
      <c r="G21" s="3">
        <f>SUMIF(Customer_Payments!B:B,C21,Customer_Payments!E:E)</f>
        <v>3196.2</v>
      </c>
      <c r="H21" s="3">
        <f t="shared" si="0"/>
        <v>0</v>
      </c>
      <c r="I21" s="29">
        <f t="shared" si="1"/>
        <v>7</v>
      </c>
      <c r="J21" s="31" t="str">
        <f t="shared" si="2"/>
        <v>1-30</v>
      </c>
      <c r="K21"/>
    </row>
    <row r="22" spans="1:11" x14ac:dyDescent="0.3">
      <c r="A22" s="20" t="s">
        <v>12</v>
      </c>
      <c r="B22" t="str">
        <f>VLOOKUP(A22,Customers!A:B,2,FALSE)</f>
        <v>ShopOrbit</v>
      </c>
      <c r="C22" s="24" t="s">
        <v>389</v>
      </c>
      <c r="D22" s="10">
        <v>46080</v>
      </c>
      <c r="E22" s="10">
        <v>46110</v>
      </c>
      <c r="F22" s="4">
        <v>4604.54</v>
      </c>
      <c r="G22" s="3">
        <f>SUMIF(Customer_Payments!B:B,C22,Customer_Payments!E:E)</f>
        <v>4604.54</v>
      </c>
      <c r="H22" s="3">
        <f t="shared" si="0"/>
        <v>0</v>
      </c>
      <c r="I22" s="29">
        <f t="shared" si="1"/>
        <v>-19</v>
      </c>
      <c r="J22" s="31" t="str">
        <f t="shared" si="2"/>
        <v>Current</v>
      </c>
      <c r="K22"/>
    </row>
    <row r="23" spans="1:11" x14ac:dyDescent="0.3">
      <c r="A23" s="21" t="s">
        <v>103</v>
      </c>
      <c r="B23" t="str">
        <f>VLOOKUP(A23,Customers!A:B,2,FALSE)</f>
        <v>RetailVisionPro</v>
      </c>
      <c r="C23" s="25" t="s">
        <v>390</v>
      </c>
      <c r="D23" s="11">
        <v>46082</v>
      </c>
      <c r="E23" s="11">
        <v>46112</v>
      </c>
      <c r="F23" s="5">
        <v>3064.03</v>
      </c>
      <c r="G23" s="3">
        <f>SUMIF(Customer_Payments!B:B,C23,Customer_Payments!E:E)</f>
        <v>3064.03</v>
      </c>
      <c r="H23" s="3">
        <f t="shared" si="0"/>
        <v>0</v>
      </c>
      <c r="I23" s="29">
        <f t="shared" si="1"/>
        <v>-21</v>
      </c>
      <c r="J23" s="31" t="str">
        <f t="shared" si="2"/>
        <v>Current</v>
      </c>
      <c r="K23"/>
    </row>
    <row r="24" spans="1:11" x14ac:dyDescent="0.3">
      <c r="A24" s="20" t="s">
        <v>68</v>
      </c>
      <c r="B24" t="str">
        <f>VLOOKUP(A24,Customers!A:B,2,FALSE)</f>
        <v>RetailVision</v>
      </c>
      <c r="C24" s="24" t="s">
        <v>391</v>
      </c>
      <c r="D24" s="10">
        <v>46026</v>
      </c>
      <c r="E24" s="10">
        <v>46056</v>
      </c>
      <c r="F24" s="4">
        <v>10092.42</v>
      </c>
      <c r="G24" s="3">
        <f>SUMIF(Customer_Payments!B:B,C24,Customer_Payments!E:E)</f>
        <v>10092.42</v>
      </c>
      <c r="H24" s="3">
        <f t="shared" si="0"/>
        <v>0</v>
      </c>
      <c r="I24" s="29">
        <f t="shared" si="1"/>
        <v>35</v>
      </c>
      <c r="J24" s="31" t="str">
        <f t="shared" si="2"/>
        <v>31-60</v>
      </c>
      <c r="K24"/>
    </row>
    <row r="25" spans="1:11" x14ac:dyDescent="0.3">
      <c r="A25" s="21" t="s">
        <v>68</v>
      </c>
      <c r="B25" t="str">
        <f>VLOOKUP(A25,Customers!A:B,2,FALSE)</f>
        <v>RetailVision</v>
      </c>
      <c r="C25" s="25" t="s">
        <v>392</v>
      </c>
      <c r="D25" s="11">
        <v>46022</v>
      </c>
      <c r="E25" s="9">
        <v>46052</v>
      </c>
      <c r="F25" s="5">
        <v>11235.39</v>
      </c>
      <c r="G25" s="3">
        <f>SUMIF(Customer_Payments!B:B,C25,Customer_Payments!E:E)</f>
        <v>0</v>
      </c>
      <c r="H25" s="3">
        <f t="shared" si="0"/>
        <v>11235.39</v>
      </c>
      <c r="I25" s="29">
        <f t="shared" si="1"/>
        <v>39</v>
      </c>
      <c r="J25" s="31" t="str">
        <f t="shared" si="2"/>
        <v>31-60</v>
      </c>
      <c r="K25"/>
    </row>
    <row r="26" spans="1:11" x14ac:dyDescent="0.3">
      <c r="A26" s="20" t="s">
        <v>87</v>
      </c>
      <c r="B26" t="str">
        <f>VLOOKUP(A26,Customers!A:B,2,FALSE)</f>
        <v>RetailStreamX</v>
      </c>
      <c r="C26" s="24" t="s">
        <v>393</v>
      </c>
      <c r="D26" s="10">
        <v>45968</v>
      </c>
      <c r="E26" s="10">
        <v>45998</v>
      </c>
      <c r="F26" s="4">
        <v>3386.54</v>
      </c>
      <c r="G26" s="3">
        <f>SUMIF(Customer_Payments!B:B,C26,Customer_Payments!E:E)</f>
        <v>3386.54</v>
      </c>
      <c r="H26" s="3">
        <f t="shared" si="0"/>
        <v>0</v>
      </c>
      <c r="I26" s="29">
        <f t="shared" si="1"/>
        <v>93</v>
      </c>
      <c r="J26" s="31" t="str">
        <f t="shared" si="2"/>
        <v>90+</v>
      </c>
      <c r="K26"/>
    </row>
    <row r="27" spans="1:11" x14ac:dyDescent="0.3">
      <c r="A27" s="21" t="s">
        <v>17</v>
      </c>
      <c r="B27" t="str">
        <f>VLOOKUP(A27,Customers!A:B,2,FALSE)</f>
        <v>AlphaCommerce</v>
      </c>
      <c r="C27" s="25" t="s">
        <v>394</v>
      </c>
      <c r="D27" s="11">
        <v>45997</v>
      </c>
      <c r="E27" s="11">
        <v>46027</v>
      </c>
      <c r="F27" s="5">
        <v>1478.6</v>
      </c>
      <c r="G27" s="3">
        <f>SUMIF(Customer_Payments!B:B,C27,Customer_Payments!E:E)</f>
        <v>0</v>
      </c>
      <c r="H27" s="3">
        <f t="shared" si="0"/>
        <v>1478.6</v>
      </c>
      <c r="I27" s="29">
        <f t="shared" si="1"/>
        <v>64</v>
      </c>
      <c r="J27" s="31" t="str">
        <f t="shared" si="2"/>
        <v>61-90</v>
      </c>
      <c r="K27"/>
    </row>
    <row r="28" spans="1:11" x14ac:dyDescent="0.3">
      <c r="A28" s="20" t="s">
        <v>108</v>
      </c>
      <c r="B28" t="str">
        <f>VLOOKUP(A28,Customers!A:B,2,FALSE)</f>
        <v>RetailNextPro</v>
      </c>
      <c r="C28" s="24" t="s">
        <v>395</v>
      </c>
      <c r="D28" s="10">
        <v>46022</v>
      </c>
      <c r="E28" s="10">
        <v>46052</v>
      </c>
      <c r="F28" s="4">
        <v>4236.8999999999996</v>
      </c>
      <c r="G28" s="3">
        <f>SUMIF(Customer_Payments!B:B,C28,Customer_Payments!E:E)</f>
        <v>4236.8999999999996</v>
      </c>
      <c r="H28" s="3">
        <f t="shared" si="0"/>
        <v>0</v>
      </c>
      <c r="I28" s="29">
        <f t="shared" si="1"/>
        <v>39</v>
      </c>
      <c r="J28" s="31" t="str">
        <f t="shared" si="2"/>
        <v>31-60</v>
      </c>
      <c r="K28"/>
    </row>
    <row r="29" spans="1:11" x14ac:dyDescent="0.3">
      <c r="A29" s="21" t="s">
        <v>63</v>
      </c>
      <c r="B29" t="str">
        <f>VLOOKUP(A29,Customers!A:B,2,FALSE)</f>
        <v>RetailCore</v>
      </c>
      <c r="C29" s="25" t="s">
        <v>396</v>
      </c>
      <c r="D29" s="11">
        <v>46045</v>
      </c>
      <c r="E29" s="11">
        <v>46075</v>
      </c>
      <c r="F29" s="5">
        <v>3115.96</v>
      </c>
      <c r="G29" s="3">
        <f>SUMIF(Customer_Payments!B:B,C29,Customer_Payments!E:E)</f>
        <v>3115.96</v>
      </c>
      <c r="H29" s="3">
        <f t="shared" si="0"/>
        <v>0</v>
      </c>
      <c r="I29" s="29">
        <f t="shared" si="1"/>
        <v>16</v>
      </c>
      <c r="J29" s="31" t="str">
        <f t="shared" si="2"/>
        <v>1-30</v>
      </c>
      <c r="K29"/>
    </row>
    <row r="30" spans="1:11" x14ac:dyDescent="0.3">
      <c r="A30" s="20" t="s">
        <v>14</v>
      </c>
      <c r="B30" t="str">
        <f>VLOOKUP(A30,Customers!A:B,2,FALSE)</f>
        <v>MarketPulse</v>
      </c>
      <c r="C30" s="24" t="s">
        <v>397</v>
      </c>
      <c r="D30" s="10">
        <v>46068</v>
      </c>
      <c r="E30" s="10">
        <v>46098</v>
      </c>
      <c r="F30" s="4">
        <v>2860.17</v>
      </c>
      <c r="G30" s="3">
        <f>SUMIF(Customer_Payments!B:B,C30,Customer_Payments!E:E)</f>
        <v>2860.17</v>
      </c>
      <c r="H30" s="3">
        <f t="shared" si="0"/>
        <v>0</v>
      </c>
      <c r="I30" s="29">
        <f t="shared" si="1"/>
        <v>-7</v>
      </c>
      <c r="J30" s="31" t="str">
        <f t="shared" si="2"/>
        <v>Current</v>
      </c>
      <c r="K30"/>
    </row>
    <row r="31" spans="1:11" x14ac:dyDescent="0.3">
      <c r="A31" s="21" t="s">
        <v>40</v>
      </c>
      <c r="B31" t="str">
        <f>VLOOKUP(A31,Customers!A:B,2,FALSE)</f>
        <v>GlobalCart</v>
      </c>
      <c r="C31" s="25" t="s">
        <v>398</v>
      </c>
      <c r="D31" s="11">
        <v>46066</v>
      </c>
      <c r="E31" s="11">
        <v>46096</v>
      </c>
      <c r="F31" s="5">
        <v>4144.1499999999996</v>
      </c>
      <c r="G31" s="3">
        <f>SUMIF(Customer_Payments!B:B,C31,Customer_Payments!E:E)</f>
        <v>4144.1499999999996</v>
      </c>
      <c r="H31" s="3">
        <f t="shared" si="0"/>
        <v>0</v>
      </c>
      <c r="I31" s="29">
        <f t="shared" si="1"/>
        <v>-5</v>
      </c>
      <c r="J31" s="31" t="str">
        <f t="shared" si="2"/>
        <v>Current</v>
      </c>
      <c r="K31"/>
    </row>
    <row r="32" spans="1:11" x14ac:dyDescent="0.3">
      <c r="A32" s="20" t="s">
        <v>27</v>
      </c>
      <c r="B32" t="str">
        <f>VLOOKUP(A32,Customers!A:B,2,FALSE)</f>
        <v>Skyline Commerce</v>
      </c>
      <c r="C32" s="24" t="s">
        <v>399</v>
      </c>
      <c r="D32" s="10">
        <v>45982</v>
      </c>
      <c r="E32" s="10">
        <v>46012</v>
      </c>
      <c r="F32" s="4">
        <v>1498.45</v>
      </c>
      <c r="G32" s="3">
        <f>SUMIF(Customer_Payments!B:B,C32,Customer_Payments!E:E)</f>
        <v>1498.45</v>
      </c>
      <c r="H32" s="3">
        <f t="shared" si="0"/>
        <v>0</v>
      </c>
      <c r="I32" s="29">
        <f t="shared" si="1"/>
        <v>79</v>
      </c>
      <c r="J32" s="31" t="str">
        <f t="shared" si="2"/>
        <v>61-90</v>
      </c>
      <c r="K32"/>
    </row>
    <row r="33" spans="1:11" x14ac:dyDescent="0.3">
      <c r="A33" s="21" t="s">
        <v>11</v>
      </c>
      <c r="B33" t="str">
        <f>VLOOKUP(A33,Customers!A:B,2,FALSE)</f>
        <v>DataHive</v>
      </c>
      <c r="C33" s="25" t="s">
        <v>400</v>
      </c>
      <c r="D33" s="11">
        <v>46095</v>
      </c>
      <c r="E33" s="11">
        <v>46125</v>
      </c>
      <c r="F33" s="5">
        <v>2890.22</v>
      </c>
      <c r="G33" s="3">
        <f>SUMIF(Customer_Payments!B:B,C33,Customer_Payments!E:E)</f>
        <v>2890.22</v>
      </c>
      <c r="H33" s="3">
        <f t="shared" si="0"/>
        <v>0</v>
      </c>
      <c r="I33" s="29">
        <f t="shared" si="1"/>
        <v>-34</v>
      </c>
      <c r="J33" s="31" t="str">
        <f t="shared" si="2"/>
        <v>Current</v>
      </c>
      <c r="K33"/>
    </row>
    <row r="34" spans="1:11" x14ac:dyDescent="0.3">
      <c r="A34" s="20" t="s">
        <v>16</v>
      </c>
      <c r="B34" t="str">
        <f>VLOOKUP(A34,Customers!A:B,2,FALSE)</f>
        <v>RetailHub</v>
      </c>
      <c r="C34" s="24" t="s">
        <v>401</v>
      </c>
      <c r="D34" s="10">
        <v>46054</v>
      </c>
      <c r="E34" s="10">
        <v>46084</v>
      </c>
      <c r="F34" s="4">
        <v>4576.21</v>
      </c>
      <c r="G34" s="3">
        <f>SUMIF(Customer_Payments!B:B,C34,Customer_Payments!E:E)</f>
        <v>0</v>
      </c>
      <c r="H34" s="3">
        <f t="shared" si="0"/>
        <v>4576.21</v>
      </c>
      <c r="I34" s="29">
        <f t="shared" si="1"/>
        <v>7</v>
      </c>
      <c r="J34" s="31" t="str">
        <f t="shared" si="2"/>
        <v>1-30</v>
      </c>
      <c r="K34"/>
    </row>
    <row r="35" spans="1:11" x14ac:dyDescent="0.3">
      <c r="A35" s="21" t="s">
        <v>109</v>
      </c>
      <c r="B35" t="str">
        <f>VLOOKUP(A35,Customers!A:B,2,FALSE)</f>
        <v>RetailStreamPro</v>
      </c>
      <c r="C35" s="25" t="s">
        <v>402</v>
      </c>
      <c r="D35" s="11">
        <v>46070</v>
      </c>
      <c r="E35" s="11">
        <v>46100</v>
      </c>
      <c r="F35" s="5">
        <v>1608.07</v>
      </c>
      <c r="G35" s="3">
        <f>SUMIF(Customer_Payments!B:B,C35,Customer_Payments!E:E)</f>
        <v>1608.07</v>
      </c>
      <c r="H35" s="3">
        <f t="shared" si="0"/>
        <v>0</v>
      </c>
      <c r="I35" s="29">
        <f t="shared" si="1"/>
        <v>-9</v>
      </c>
      <c r="J35" s="31" t="str">
        <f t="shared" si="2"/>
        <v>Current</v>
      </c>
      <c r="K35"/>
    </row>
    <row r="36" spans="1:11" x14ac:dyDescent="0.3">
      <c r="A36" s="20" t="s">
        <v>123</v>
      </c>
      <c r="B36" t="str">
        <f>VLOOKUP(A36,Customers!A:B,2,FALSE)</f>
        <v>RetailFlowGlobal</v>
      </c>
      <c r="C36" s="24" t="s">
        <v>403</v>
      </c>
      <c r="D36" s="10">
        <v>46039</v>
      </c>
      <c r="E36" s="10">
        <v>46069</v>
      </c>
      <c r="F36" s="4">
        <v>4850.28</v>
      </c>
      <c r="G36" s="3">
        <f>SUMIF(Customer_Payments!B:B,C36,Customer_Payments!E:E)</f>
        <v>4850.28</v>
      </c>
      <c r="H36" s="3">
        <f t="shared" si="0"/>
        <v>0</v>
      </c>
      <c r="I36" s="29">
        <f t="shared" si="1"/>
        <v>22</v>
      </c>
      <c r="J36" s="31" t="str">
        <f t="shared" si="2"/>
        <v>1-30</v>
      </c>
      <c r="K36"/>
    </row>
    <row r="37" spans="1:11" x14ac:dyDescent="0.3">
      <c r="A37" s="21" t="s">
        <v>46</v>
      </c>
      <c r="B37" t="str">
        <f>VLOOKUP(A37,Customers!A:B,2,FALSE)</f>
        <v>NovaMarket</v>
      </c>
      <c r="C37" s="25" t="s">
        <v>404</v>
      </c>
      <c r="D37" s="11">
        <v>46018</v>
      </c>
      <c r="E37" s="11">
        <v>46048</v>
      </c>
      <c r="F37" s="5">
        <v>2826.63</v>
      </c>
      <c r="G37" s="3">
        <f>SUMIF(Customer_Payments!B:B,C37,Customer_Payments!E:E)</f>
        <v>2826.63</v>
      </c>
      <c r="H37" s="3">
        <f t="shared" si="0"/>
        <v>0</v>
      </c>
      <c r="I37" s="29">
        <f t="shared" si="1"/>
        <v>43</v>
      </c>
      <c r="J37" s="31" t="str">
        <f t="shared" si="2"/>
        <v>31-60</v>
      </c>
      <c r="K37"/>
    </row>
    <row r="38" spans="1:11" x14ac:dyDescent="0.3">
      <c r="A38" s="20" t="s">
        <v>66</v>
      </c>
      <c r="B38" t="str">
        <f>VLOOKUP(A38,Customers!A:B,2,FALSE)</f>
        <v>MarketWorks</v>
      </c>
      <c r="C38" s="24" t="s">
        <v>405</v>
      </c>
      <c r="D38" s="10">
        <v>46066</v>
      </c>
      <c r="E38" s="10">
        <v>46096</v>
      </c>
      <c r="F38" s="4">
        <v>3848.54</v>
      </c>
      <c r="G38" s="3">
        <f>SUMIF(Customer_Payments!B:B,C38,Customer_Payments!E:E)</f>
        <v>3848.54</v>
      </c>
      <c r="H38" s="3">
        <f t="shared" si="0"/>
        <v>0</v>
      </c>
      <c r="I38" s="29">
        <f t="shared" si="1"/>
        <v>-5</v>
      </c>
      <c r="J38" s="31" t="str">
        <f t="shared" si="2"/>
        <v>Current</v>
      </c>
      <c r="K38"/>
    </row>
    <row r="39" spans="1:11" x14ac:dyDescent="0.3">
      <c r="A39" s="21" t="s">
        <v>70</v>
      </c>
      <c r="B39" t="str">
        <f>VLOOKUP(A39,Customers!A:B,2,FALSE)</f>
        <v>RetailPath</v>
      </c>
      <c r="C39" s="25" t="s">
        <v>406</v>
      </c>
      <c r="D39" s="11">
        <v>46015</v>
      </c>
      <c r="E39" s="11">
        <v>46045</v>
      </c>
      <c r="F39" s="5">
        <v>1658.95</v>
      </c>
      <c r="G39" s="3">
        <f>SUMIF(Customer_Payments!B:B,C39,Customer_Payments!E:E)</f>
        <v>1658.95</v>
      </c>
      <c r="H39" s="3">
        <f t="shared" si="0"/>
        <v>0</v>
      </c>
      <c r="I39" s="29">
        <f t="shared" si="1"/>
        <v>46</v>
      </c>
      <c r="J39" s="31" t="str">
        <f t="shared" si="2"/>
        <v>31-60</v>
      </c>
      <c r="K39"/>
    </row>
    <row r="40" spans="1:11" x14ac:dyDescent="0.3">
      <c r="A40" s="20" t="s">
        <v>84</v>
      </c>
      <c r="B40" t="str">
        <f>VLOOKUP(A40,Customers!A:B,2,FALSE)</f>
        <v>RetailVisionX</v>
      </c>
      <c r="C40" s="24" t="s">
        <v>407</v>
      </c>
      <c r="D40" s="10">
        <v>45987</v>
      </c>
      <c r="E40" s="10">
        <v>46017</v>
      </c>
      <c r="F40" s="4">
        <v>9986.1200000000008</v>
      </c>
      <c r="G40" s="3">
        <f>SUMIF(Customer_Payments!B:B,C40,Customer_Payments!E:E)</f>
        <v>9986.1200000000008</v>
      </c>
      <c r="H40" s="3">
        <f t="shared" si="0"/>
        <v>0</v>
      </c>
      <c r="I40" s="29">
        <f t="shared" si="1"/>
        <v>74</v>
      </c>
      <c r="J40" s="31" t="str">
        <f t="shared" si="2"/>
        <v>61-90</v>
      </c>
      <c r="K40"/>
    </row>
    <row r="41" spans="1:11" x14ac:dyDescent="0.3">
      <c r="A41" s="21" t="s">
        <v>80</v>
      </c>
      <c r="B41" t="str">
        <f>VLOOKUP(A41,Customers!A:B,2,FALSE)</f>
        <v>RetailEdgeX</v>
      </c>
      <c r="C41" s="25" t="s">
        <v>408</v>
      </c>
      <c r="D41" s="11">
        <v>46100</v>
      </c>
      <c r="E41" s="11">
        <v>46130</v>
      </c>
      <c r="F41" s="5">
        <v>2025.86</v>
      </c>
      <c r="G41" s="3">
        <f>SUMIF(Customer_Payments!B:B,C41,Customer_Payments!E:E)</f>
        <v>0</v>
      </c>
      <c r="H41" s="3">
        <f t="shared" si="0"/>
        <v>2025.86</v>
      </c>
      <c r="I41" s="29">
        <f t="shared" si="1"/>
        <v>-39</v>
      </c>
      <c r="J41" s="31" t="str">
        <f t="shared" si="2"/>
        <v>Current</v>
      </c>
      <c r="K41"/>
    </row>
    <row r="42" spans="1:11" x14ac:dyDescent="0.3">
      <c r="A42" s="20" t="s">
        <v>80</v>
      </c>
      <c r="B42" t="str">
        <f>VLOOKUP(A42,Customers!A:B,2,FALSE)</f>
        <v>RetailEdgeX</v>
      </c>
      <c r="C42" s="24" t="s">
        <v>409</v>
      </c>
      <c r="D42" s="10">
        <v>46022</v>
      </c>
      <c r="E42" s="10">
        <v>46052</v>
      </c>
      <c r="F42" s="4">
        <v>4131.1000000000004</v>
      </c>
      <c r="G42" s="3">
        <v>2500</v>
      </c>
      <c r="H42" s="3">
        <f t="shared" si="0"/>
        <v>1631.1000000000004</v>
      </c>
      <c r="I42" s="29">
        <f t="shared" si="1"/>
        <v>39</v>
      </c>
      <c r="J42" s="31" t="str">
        <f t="shared" si="2"/>
        <v>31-60</v>
      </c>
      <c r="K42"/>
    </row>
    <row r="43" spans="1:11" x14ac:dyDescent="0.3">
      <c r="A43" s="21" t="s">
        <v>63</v>
      </c>
      <c r="B43" t="str">
        <f>VLOOKUP(A43,Customers!A:B,2,FALSE)</f>
        <v>RetailCore</v>
      </c>
      <c r="C43" s="25" t="s">
        <v>410</v>
      </c>
      <c r="D43" s="11">
        <v>46101</v>
      </c>
      <c r="E43" s="11">
        <v>46131</v>
      </c>
      <c r="F43" s="5">
        <v>3315.73</v>
      </c>
      <c r="G43" s="3">
        <f>SUMIF(Customer_Payments!B:B,C43,Customer_Payments!E:E)</f>
        <v>3315.73</v>
      </c>
      <c r="H43" s="3">
        <f t="shared" si="0"/>
        <v>0</v>
      </c>
      <c r="I43" s="29">
        <f t="shared" si="1"/>
        <v>-40</v>
      </c>
      <c r="J43" s="31" t="str">
        <f t="shared" si="2"/>
        <v>Current</v>
      </c>
      <c r="K43"/>
    </row>
    <row r="44" spans="1:11" x14ac:dyDescent="0.3">
      <c r="A44" s="20" t="s">
        <v>69</v>
      </c>
      <c r="B44" t="str">
        <f>VLOOKUP(A44,Customers!A:B,2,FALSE)</f>
        <v>RetailNext</v>
      </c>
      <c r="C44" s="24" t="s">
        <v>411</v>
      </c>
      <c r="D44" s="10">
        <v>45982</v>
      </c>
      <c r="E44" s="10">
        <v>46012</v>
      </c>
      <c r="F44" s="4">
        <v>2181.4899999999998</v>
      </c>
      <c r="G44" s="3">
        <f>SUMIF(Customer_Payments!B:B,C44,Customer_Payments!E:E)</f>
        <v>2181.4899999999998</v>
      </c>
      <c r="H44" s="3">
        <f t="shared" si="0"/>
        <v>0</v>
      </c>
      <c r="I44" s="29">
        <f t="shared" si="1"/>
        <v>79</v>
      </c>
      <c r="J44" s="31" t="str">
        <f t="shared" si="2"/>
        <v>61-90</v>
      </c>
      <c r="K44"/>
    </row>
    <row r="45" spans="1:11" x14ac:dyDescent="0.3">
      <c r="A45" s="21" t="s">
        <v>20</v>
      </c>
      <c r="B45" t="str">
        <f>VLOOKUP(A45,Customers!A:B,2,FALSE)</f>
        <v>GrowthSphere</v>
      </c>
      <c r="C45" s="25" t="s">
        <v>412</v>
      </c>
      <c r="D45" s="11">
        <v>46041</v>
      </c>
      <c r="E45" s="11">
        <v>46071</v>
      </c>
      <c r="F45" s="5">
        <v>2964.01</v>
      </c>
      <c r="G45" s="3">
        <f>SUMIF(Customer_Payments!B:B,C45,Customer_Payments!E:E)</f>
        <v>2964.01</v>
      </c>
      <c r="H45" s="3">
        <f t="shared" si="0"/>
        <v>0</v>
      </c>
      <c r="I45" s="29">
        <f t="shared" si="1"/>
        <v>20</v>
      </c>
      <c r="J45" s="31" t="str">
        <f t="shared" si="2"/>
        <v>1-30</v>
      </c>
      <c r="K45"/>
    </row>
    <row r="46" spans="1:11" x14ac:dyDescent="0.3">
      <c r="A46" s="20" t="s">
        <v>58</v>
      </c>
      <c r="B46" t="str">
        <f>VLOOKUP(A46,Customers!A:B,2,FALSE)</f>
        <v>RetailAxis</v>
      </c>
      <c r="C46" s="24" t="s">
        <v>413</v>
      </c>
      <c r="D46" s="10">
        <v>46112</v>
      </c>
      <c r="E46" s="10">
        <v>46142</v>
      </c>
      <c r="F46" s="4">
        <v>4659.6099999999997</v>
      </c>
      <c r="G46" s="3">
        <f>SUMIF(Customer_Payments!B:B,C46,Customer_Payments!E:E)</f>
        <v>4659.6099999999997</v>
      </c>
      <c r="H46" s="3">
        <f t="shared" si="0"/>
        <v>0</v>
      </c>
      <c r="I46" s="29">
        <f t="shared" si="1"/>
        <v>-51</v>
      </c>
      <c r="J46" s="31" t="str">
        <f t="shared" si="2"/>
        <v>Current</v>
      </c>
      <c r="K46"/>
    </row>
    <row r="47" spans="1:11" x14ac:dyDescent="0.3">
      <c r="A47" s="21" t="s">
        <v>21</v>
      </c>
      <c r="B47" t="str">
        <f>VLOOKUP(A47,Customers!A:B,2,FALSE)</f>
        <v>InsightLoop</v>
      </c>
      <c r="C47" s="25" t="s">
        <v>414</v>
      </c>
      <c r="D47" s="11">
        <v>45970</v>
      </c>
      <c r="E47" s="11">
        <v>46000</v>
      </c>
      <c r="F47" s="5">
        <v>2851.38</v>
      </c>
      <c r="G47" s="3">
        <f>SUMIF(Customer_Payments!B:B,C47,Customer_Payments!E:E)</f>
        <v>2851.38</v>
      </c>
      <c r="H47" s="3">
        <f t="shared" si="0"/>
        <v>0</v>
      </c>
      <c r="I47" s="29">
        <f t="shared" si="1"/>
        <v>91</v>
      </c>
      <c r="J47" s="31" t="str">
        <f t="shared" si="2"/>
        <v>90+</v>
      </c>
      <c r="K47"/>
    </row>
    <row r="48" spans="1:11" x14ac:dyDescent="0.3">
      <c r="A48" s="20" t="s">
        <v>76</v>
      </c>
      <c r="B48" t="str">
        <f>VLOOKUP(A48,Customers!A:B,2,FALSE)</f>
        <v>RetailSphere</v>
      </c>
      <c r="C48" s="24" t="s">
        <v>415</v>
      </c>
      <c r="D48" s="10">
        <v>46071</v>
      </c>
      <c r="E48" s="10">
        <v>46101</v>
      </c>
      <c r="F48" s="4">
        <v>13751.57</v>
      </c>
      <c r="G48" s="3">
        <f>SUMIF(Customer_Payments!B:B,C48,Customer_Payments!E:E)</f>
        <v>13751.57</v>
      </c>
      <c r="H48" s="3">
        <f t="shared" si="0"/>
        <v>0</v>
      </c>
      <c r="I48" s="29">
        <f t="shared" si="1"/>
        <v>-10</v>
      </c>
      <c r="J48" s="31" t="str">
        <f t="shared" si="2"/>
        <v>Current</v>
      </c>
      <c r="K48"/>
    </row>
    <row r="49" spans="1:11" x14ac:dyDescent="0.3">
      <c r="A49" s="21" t="s">
        <v>103</v>
      </c>
      <c r="B49" t="str">
        <f>VLOOKUP(A49,Customers!A:B,2,FALSE)</f>
        <v>RetailVisionPro</v>
      </c>
      <c r="C49" s="25" t="s">
        <v>416</v>
      </c>
      <c r="D49" s="11">
        <v>45985</v>
      </c>
      <c r="E49" s="11">
        <v>46015</v>
      </c>
      <c r="F49" s="5">
        <v>11583.59</v>
      </c>
      <c r="G49" s="3">
        <f>SUMIF(Customer_Payments!B:B,C49,Customer_Payments!E:E)</f>
        <v>11583.59</v>
      </c>
      <c r="H49" s="3">
        <f t="shared" si="0"/>
        <v>0</v>
      </c>
      <c r="I49" s="29">
        <f t="shared" si="1"/>
        <v>76</v>
      </c>
      <c r="J49" s="31" t="str">
        <f t="shared" si="2"/>
        <v>61-90</v>
      </c>
      <c r="K49"/>
    </row>
    <row r="50" spans="1:11" x14ac:dyDescent="0.3">
      <c r="A50" s="20" t="s">
        <v>77</v>
      </c>
      <c r="B50" t="str">
        <f>VLOOKUP(A50,Customers!A:B,2,FALSE)</f>
        <v>RetailBridge</v>
      </c>
      <c r="C50" s="24" t="s">
        <v>417</v>
      </c>
      <c r="D50" s="10">
        <v>45971</v>
      </c>
      <c r="E50" s="10">
        <v>46001</v>
      </c>
      <c r="F50" s="4">
        <v>12601.96</v>
      </c>
      <c r="G50" s="3">
        <f>SUMIF(Customer_Payments!B:B,C50,Customer_Payments!E:E)</f>
        <v>12601.96</v>
      </c>
      <c r="H50" s="3">
        <f t="shared" si="0"/>
        <v>0</v>
      </c>
      <c r="I50" s="29">
        <f t="shared" si="1"/>
        <v>90</v>
      </c>
      <c r="J50" s="31" t="str">
        <f t="shared" si="2"/>
        <v>61-90</v>
      </c>
      <c r="K50"/>
    </row>
    <row r="51" spans="1:11" x14ac:dyDescent="0.3">
      <c r="A51" s="21" t="s">
        <v>10</v>
      </c>
      <c r="B51" t="str">
        <f>VLOOKUP(A51,Customers!A:B,2,FALSE)</f>
        <v>LaunchLabs</v>
      </c>
      <c r="C51" s="25" t="s">
        <v>418</v>
      </c>
      <c r="D51" s="11">
        <v>46071</v>
      </c>
      <c r="E51" s="11">
        <v>46101</v>
      </c>
      <c r="F51" s="5">
        <v>5855.35</v>
      </c>
      <c r="G51" s="3">
        <f>SUMIF(Customer_Payments!B:B,C51,Customer_Payments!E:E)</f>
        <v>5855.35</v>
      </c>
      <c r="H51" s="3">
        <f t="shared" si="0"/>
        <v>0</v>
      </c>
      <c r="I51" s="29">
        <f t="shared" si="1"/>
        <v>-10</v>
      </c>
      <c r="J51" s="31" t="str">
        <f t="shared" si="2"/>
        <v>Current</v>
      </c>
      <c r="K51"/>
    </row>
    <row r="52" spans="1:11" x14ac:dyDescent="0.3">
      <c r="A52" s="20" t="s">
        <v>77</v>
      </c>
      <c r="B52" t="str">
        <f>VLOOKUP(A52,Customers!A:B,2,FALSE)</f>
        <v>RetailBridge</v>
      </c>
      <c r="C52" s="24" t="s">
        <v>419</v>
      </c>
      <c r="D52" s="10">
        <v>46033</v>
      </c>
      <c r="E52" s="10">
        <v>46063</v>
      </c>
      <c r="F52" s="4">
        <v>1878.39</v>
      </c>
      <c r="G52" s="3">
        <f>SUMIF(Customer_Payments!B:B,C52,Customer_Payments!E:E)</f>
        <v>1878.39</v>
      </c>
      <c r="H52" s="3">
        <f t="shared" si="0"/>
        <v>0</v>
      </c>
      <c r="I52" s="29">
        <f t="shared" si="1"/>
        <v>28</v>
      </c>
      <c r="J52" s="31" t="str">
        <f t="shared" si="2"/>
        <v>1-30</v>
      </c>
      <c r="K52"/>
    </row>
    <row r="53" spans="1:11" x14ac:dyDescent="0.3">
      <c r="A53" s="21" t="s">
        <v>123</v>
      </c>
      <c r="B53" t="str">
        <f>VLOOKUP(A53,Customers!A:B,2,FALSE)</f>
        <v>RetailFlowGlobal</v>
      </c>
      <c r="C53" s="25" t="s">
        <v>420</v>
      </c>
      <c r="D53" s="11">
        <v>46014</v>
      </c>
      <c r="E53" s="11">
        <v>46044</v>
      </c>
      <c r="F53" s="5">
        <v>3062.7</v>
      </c>
      <c r="G53" s="3">
        <v>2000</v>
      </c>
      <c r="H53" s="3">
        <f t="shared" si="0"/>
        <v>1062.6999999999998</v>
      </c>
      <c r="I53" s="29">
        <f t="shared" si="1"/>
        <v>47</v>
      </c>
      <c r="J53" s="31" t="str">
        <f t="shared" si="2"/>
        <v>31-60</v>
      </c>
      <c r="K53"/>
    </row>
    <row r="54" spans="1:11" x14ac:dyDescent="0.3">
      <c r="A54" s="20" t="s">
        <v>70</v>
      </c>
      <c r="B54" t="str">
        <f>VLOOKUP(A54,Customers!A:B,2,FALSE)</f>
        <v>RetailPath</v>
      </c>
      <c r="C54" s="24" t="s">
        <v>421</v>
      </c>
      <c r="D54" s="10">
        <v>46042</v>
      </c>
      <c r="E54" s="10">
        <v>46072</v>
      </c>
      <c r="F54" s="4">
        <v>2953.74</v>
      </c>
      <c r="G54" s="3">
        <v>1500</v>
      </c>
      <c r="H54" s="3">
        <f t="shared" si="0"/>
        <v>1453.7399999999998</v>
      </c>
      <c r="I54" s="29">
        <f t="shared" si="1"/>
        <v>19</v>
      </c>
      <c r="J54" s="31" t="str">
        <f t="shared" si="2"/>
        <v>1-30</v>
      </c>
      <c r="K54"/>
    </row>
    <row r="55" spans="1:11" x14ac:dyDescent="0.3">
      <c r="A55" s="21" t="s">
        <v>68</v>
      </c>
      <c r="B55" t="str">
        <f>VLOOKUP(A55,Customers!A:B,2,FALSE)</f>
        <v>RetailVision</v>
      </c>
      <c r="C55" s="25" t="s">
        <v>422</v>
      </c>
      <c r="D55" s="11">
        <v>46005</v>
      </c>
      <c r="E55" s="11">
        <v>46035</v>
      </c>
      <c r="F55" s="5">
        <v>1650.14</v>
      </c>
      <c r="G55" s="3">
        <f>SUMIF(Customer_Payments!B:B,C55,Customer_Payments!E:E)</f>
        <v>1650.14</v>
      </c>
      <c r="H55" s="3">
        <f t="shared" si="0"/>
        <v>0</v>
      </c>
      <c r="I55" s="29">
        <f t="shared" si="1"/>
        <v>56</v>
      </c>
      <c r="J55" s="31" t="str">
        <f t="shared" si="2"/>
        <v>31-60</v>
      </c>
      <c r="K55"/>
    </row>
    <row r="56" spans="1:11" x14ac:dyDescent="0.3">
      <c r="A56" s="20" t="s">
        <v>124</v>
      </c>
      <c r="B56" t="str">
        <f>VLOOKUP(A56,Customers!A:B,2,FALSE)</f>
        <v>RetailOrbitGlobal</v>
      </c>
      <c r="C56" s="24" t="s">
        <v>423</v>
      </c>
      <c r="D56" s="10">
        <v>45986</v>
      </c>
      <c r="E56" s="10">
        <v>46016</v>
      </c>
      <c r="F56" s="4">
        <v>10769.91</v>
      </c>
      <c r="G56" s="3">
        <f>SUMIF(Customer_Payments!B:B,C56,Customer_Payments!E:E)</f>
        <v>10769.91</v>
      </c>
      <c r="H56" s="3">
        <f t="shared" si="0"/>
        <v>0</v>
      </c>
      <c r="I56" s="29">
        <f t="shared" si="1"/>
        <v>75</v>
      </c>
      <c r="J56" s="31" t="str">
        <f t="shared" si="2"/>
        <v>61-90</v>
      </c>
      <c r="K56"/>
    </row>
    <row r="57" spans="1:11" x14ac:dyDescent="0.3">
      <c r="A57" s="21" t="s">
        <v>42</v>
      </c>
      <c r="B57" t="str">
        <f>VLOOKUP(A57,Customers!A:B,2,FALSE)</f>
        <v>RetailWorks</v>
      </c>
      <c r="C57" s="25" t="s">
        <v>424</v>
      </c>
      <c r="D57" s="11">
        <v>45963</v>
      </c>
      <c r="E57" s="11">
        <v>45993</v>
      </c>
      <c r="F57" s="5">
        <v>3511.54</v>
      </c>
      <c r="G57" s="3">
        <v>1440</v>
      </c>
      <c r="H57" s="3">
        <f t="shared" si="0"/>
        <v>2071.54</v>
      </c>
      <c r="I57" s="29">
        <f t="shared" si="1"/>
        <v>98</v>
      </c>
      <c r="J57" s="31" t="str">
        <f t="shared" si="2"/>
        <v>90+</v>
      </c>
      <c r="K57"/>
    </row>
    <row r="58" spans="1:11" x14ac:dyDescent="0.3">
      <c r="A58" s="20" t="s">
        <v>7</v>
      </c>
      <c r="B58" t="str">
        <f>VLOOKUP(A58,Customers!A:B,2,FALSE)</f>
        <v>BrightCart</v>
      </c>
      <c r="C58" s="24" t="s">
        <v>425</v>
      </c>
      <c r="D58" s="10">
        <v>46037</v>
      </c>
      <c r="E58" s="10">
        <v>46067</v>
      </c>
      <c r="F58" s="4">
        <v>11231.4</v>
      </c>
      <c r="G58" s="3">
        <f>SUMIF(Customer_Payments!B:B,C58,Customer_Payments!E:E)</f>
        <v>11231.4</v>
      </c>
      <c r="H58" s="3">
        <f t="shared" si="0"/>
        <v>0</v>
      </c>
      <c r="I58" s="29">
        <f t="shared" si="1"/>
        <v>24</v>
      </c>
      <c r="J58" s="31" t="str">
        <f t="shared" si="2"/>
        <v>1-30</v>
      </c>
      <c r="K58"/>
    </row>
    <row r="59" spans="1:11" x14ac:dyDescent="0.3">
      <c r="A59" s="21" t="s">
        <v>91</v>
      </c>
      <c r="B59" t="str">
        <f>VLOOKUP(A59,Customers!A:B,2,FALSE)</f>
        <v>RetailBridgeX</v>
      </c>
      <c r="C59" s="25" t="s">
        <v>426</v>
      </c>
      <c r="D59" s="11">
        <v>46000</v>
      </c>
      <c r="E59" s="11">
        <v>46030</v>
      </c>
      <c r="F59" s="5">
        <v>2726.05</v>
      </c>
      <c r="G59" s="3">
        <f>SUMIF(Customer_Payments!B:B,C59,Customer_Payments!E:E)</f>
        <v>2726.05</v>
      </c>
      <c r="H59" s="3">
        <f t="shared" si="0"/>
        <v>0</v>
      </c>
      <c r="I59" s="29">
        <f t="shared" si="1"/>
        <v>61</v>
      </c>
      <c r="J59" s="31" t="str">
        <f t="shared" si="2"/>
        <v>61-90</v>
      </c>
      <c r="K59"/>
    </row>
    <row r="60" spans="1:11" x14ac:dyDescent="0.3">
      <c r="A60" s="20" t="s">
        <v>49</v>
      </c>
      <c r="B60" t="str">
        <f>VLOOKUP(A60,Customers!A:B,2,FALSE)</f>
        <v>CommercePilot</v>
      </c>
      <c r="C60" s="24" t="s">
        <v>427</v>
      </c>
      <c r="D60" s="10">
        <v>46015</v>
      </c>
      <c r="E60" s="10">
        <v>46045</v>
      </c>
      <c r="F60" s="4">
        <v>13753.25</v>
      </c>
      <c r="G60" s="3">
        <f>SUMIF(Customer_Payments!B:B,C60,Customer_Payments!E:E)</f>
        <v>13753.25</v>
      </c>
      <c r="H60" s="3">
        <f t="shared" si="0"/>
        <v>0</v>
      </c>
      <c r="I60" s="29">
        <f t="shared" si="1"/>
        <v>46</v>
      </c>
      <c r="J60" s="31" t="str">
        <f t="shared" si="2"/>
        <v>31-60</v>
      </c>
      <c r="K60"/>
    </row>
    <row r="61" spans="1:11" x14ac:dyDescent="0.3">
      <c r="A61" s="21" t="s">
        <v>118</v>
      </c>
      <c r="B61" t="str">
        <f>VLOOKUP(A61,Customers!A:B,2,FALSE)</f>
        <v>RetailEdgeGlobal</v>
      </c>
      <c r="C61" s="25" t="s">
        <v>428</v>
      </c>
      <c r="D61" s="11">
        <v>46047</v>
      </c>
      <c r="E61" s="11">
        <v>46077</v>
      </c>
      <c r="F61" s="5">
        <v>3868.02</v>
      </c>
      <c r="G61" s="3">
        <v>1220</v>
      </c>
      <c r="H61" s="3">
        <f t="shared" si="0"/>
        <v>2648.02</v>
      </c>
      <c r="I61" s="29">
        <f t="shared" si="1"/>
        <v>14</v>
      </c>
      <c r="J61" s="31" t="str">
        <f t="shared" si="2"/>
        <v>1-30</v>
      </c>
      <c r="K61"/>
    </row>
    <row r="62" spans="1:11" x14ac:dyDescent="0.3">
      <c r="A62" s="20" t="s">
        <v>116</v>
      </c>
      <c r="B62" t="str">
        <f>VLOOKUP(A62,Customers!A:B,2,FALSE)</f>
        <v>RetailLabsPro</v>
      </c>
      <c r="C62" s="24" t="s">
        <v>429</v>
      </c>
      <c r="D62" s="10">
        <v>46073</v>
      </c>
      <c r="E62" s="10">
        <v>46103</v>
      </c>
      <c r="F62" s="4">
        <v>5961.55</v>
      </c>
      <c r="G62" s="3">
        <f>SUMIF(Customer_Payments!B:B,C62,Customer_Payments!E:E)</f>
        <v>5961.55</v>
      </c>
      <c r="H62" s="3">
        <f t="shared" si="0"/>
        <v>0</v>
      </c>
      <c r="I62" s="29">
        <f t="shared" si="1"/>
        <v>-12</v>
      </c>
      <c r="J62" s="31" t="str">
        <f t="shared" si="2"/>
        <v>Current</v>
      </c>
      <c r="K62"/>
    </row>
    <row r="63" spans="1:11" x14ac:dyDescent="0.3">
      <c r="A63" s="21" t="s">
        <v>110</v>
      </c>
      <c r="B63" t="str">
        <f>VLOOKUP(A63,Customers!A:B,2,FALSE)</f>
        <v>RetailAxisPro</v>
      </c>
      <c r="C63" s="25" t="s">
        <v>430</v>
      </c>
      <c r="D63" s="11">
        <v>45989</v>
      </c>
      <c r="E63" s="11">
        <v>46019</v>
      </c>
      <c r="F63" s="5">
        <v>9809.51</v>
      </c>
      <c r="G63" s="3">
        <f>SUMIF(Customer_Payments!B:B,C63,Customer_Payments!E:E)</f>
        <v>9809.51</v>
      </c>
      <c r="H63" s="3">
        <f t="shared" si="0"/>
        <v>0</v>
      </c>
      <c r="I63" s="29">
        <f t="shared" si="1"/>
        <v>72</v>
      </c>
      <c r="J63" s="31" t="str">
        <f t="shared" si="2"/>
        <v>61-90</v>
      </c>
      <c r="K63"/>
    </row>
    <row r="64" spans="1:11" x14ac:dyDescent="0.3">
      <c r="A64" s="20" t="s">
        <v>70</v>
      </c>
      <c r="B64" t="str">
        <f>VLOOKUP(A64,Customers!A:B,2,FALSE)</f>
        <v>RetailPath</v>
      </c>
      <c r="C64" s="24" t="s">
        <v>431</v>
      </c>
      <c r="D64" s="10">
        <v>45975</v>
      </c>
      <c r="E64" s="10">
        <v>46005</v>
      </c>
      <c r="F64" s="4">
        <v>11453.18</v>
      </c>
      <c r="G64" s="3">
        <v>7000</v>
      </c>
      <c r="H64" s="3">
        <f t="shared" si="0"/>
        <v>4453.18</v>
      </c>
      <c r="I64" s="29">
        <f t="shared" si="1"/>
        <v>86</v>
      </c>
      <c r="J64" s="31" t="str">
        <f t="shared" si="2"/>
        <v>61-90</v>
      </c>
      <c r="K64"/>
    </row>
    <row r="65" spans="1:11" x14ac:dyDescent="0.3">
      <c r="A65" s="21" t="s">
        <v>118</v>
      </c>
      <c r="B65" t="str">
        <f>VLOOKUP(A65,Customers!A:B,2,FALSE)</f>
        <v>RetailEdgeGlobal</v>
      </c>
      <c r="C65" s="25" t="s">
        <v>432</v>
      </c>
      <c r="D65" s="11">
        <v>46032</v>
      </c>
      <c r="E65" s="11">
        <v>46062</v>
      </c>
      <c r="F65" s="5">
        <v>2551.5</v>
      </c>
      <c r="G65" s="3">
        <v>899</v>
      </c>
      <c r="H65" s="3">
        <f t="shared" si="0"/>
        <v>1652.5</v>
      </c>
      <c r="I65" s="29">
        <f t="shared" si="1"/>
        <v>29</v>
      </c>
      <c r="J65" s="31" t="str">
        <f t="shared" si="2"/>
        <v>1-30</v>
      </c>
      <c r="K65"/>
    </row>
    <row r="66" spans="1:11" x14ac:dyDescent="0.3">
      <c r="A66" s="20" t="s">
        <v>59</v>
      </c>
      <c r="B66" t="str">
        <f>VLOOKUP(A66,Customers!A:B,2,FALSE)</f>
        <v>MarketBridge</v>
      </c>
      <c r="C66" s="24" t="s">
        <v>433</v>
      </c>
      <c r="D66" s="10">
        <v>45970</v>
      </c>
      <c r="E66" s="10">
        <v>46000</v>
      </c>
      <c r="F66" s="4">
        <v>10078.620000000001</v>
      </c>
      <c r="G66" s="3">
        <f>SUMIF(Customer_Payments!B:B,C66,Customer_Payments!E:E)</f>
        <v>10078.620000000001</v>
      </c>
      <c r="H66" s="3">
        <f t="shared" ref="H66:H129" si="3">MAX(F66-G66,0)</f>
        <v>0</v>
      </c>
      <c r="I66" s="29">
        <f t="shared" ref="I66:I129" si="4">$L$2-E66</f>
        <v>91</v>
      </c>
      <c r="J66" s="31" t="str">
        <f t="shared" si="2"/>
        <v>90+</v>
      </c>
      <c r="K66"/>
    </row>
    <row r="67" spans="1:11" x14ac:dyDescent="0.3">
      <c r="A67" s="21" t="s">
        <v>40</v>
      </c>
      <c r="B67" t="str">
        <f>VLOOKUP(A67,Customers!A:B,2,FALSE)</f>
        <v>GlobalCart</v>
      </c>
      <c r="C67" s="25" t="s">
        <v>434</v>
      </c>
      <c r="D67" s="11">
        <v>46044</v>
      </c>
      <c r="E67" s="11">
        <v>46074</v>
      </c>
      <c r="F67" s="5">
        <v>2138.37</v>
      </c>
      <c r="G67" s="3">
        <f>SUMIF(Customer_Payments!B:B,C67,Customer_Payments!E:E)</f>
        <v>0</v>
      </c>
      <c r="H67" s="3">
        <f t="shared" si="3"/>
        <v>2138.37</v>
      </c>
      <c r="I67" s="29">
        <f t="shared" si="4"/>
        <v>17</v>
      </c>
      <c r="J67" s="31" t="str">
        <f t="shared" ref="J67:J130" si="5">IF(I67&lt;=0,"Current",
IF(I67&lt;=30,"1-30",
IF(I67&lt;=60,"31-60",
IF(I67&lt;=90,"61-90","90+"))))</f>
        <v>1-30</v>
      </c>
      <c r="K67"/>
    </row>
    <row r="68" spans="1:11" x14ac:dyDescent="0.3">
      <c r="A68" s="20" t="s">
        <v>49</v>
      </c>
      <c r="B68" t="str">
        <f>VLOOKUP(A68,Customers!A:B,2,FALSE)</f>
        <v>CommercePilot</v>
      </c>
      <c r="C68" s="24" t="s">
        <v>435</v>
      </c>
      <c r="D68" s="10">
        <v>46107</v>
      </c>
      <c r="E68" s="10">
        <v>46137</v>
      </c>
      <c r="F68" s="4">
        <v>2623.26</v>
      </c>
      <c r="G68" s="3">
        <f>SUMIF(Customer_Payments!B:B,C68,Customer_Payments!E:E)</f>
        <v>2623.26</v>
      </c>
      <c r="H68" s="3">
        <f t="shared" si="3"/>
        <v>0</v>
      </c>
      <c r="I68" s="29">
        <f t="shared" si="4"/>
        <v>-46</v>
      </c>
      <c r="J68" s="31" t="str">
        <f t="shared" si="5"/>
        <v>Current</v>
      </c>
      <c r="K68"/>
    </row>
    <row r="69" spans="1:11" x14ac:dyDescent="0.3">
      <c r="A69" s="21" t="s">
        <v>120</v>
      </c>
      <c r="B69" t="str">
        <f>VLOOKUP(A69,Customers!A:B,2,FALSE)</f>
        <v>RetailPrimeGlobal</v>
      </c>
      <c r="C69" s="25" t="s">
        <v>436</v>
      </c>
      <c r="D69" s="11">
        <v>46073</v>
      </c>
      <c r="E69" s="11">
        <v>46103</v>
      </c>
      <c r="F69" s="5">
        <v>2058.73</v>
      </c>
      <c r="G69" s="3">
        <f>SUMIF(Customer_Payments!B:B,C69,Customer_Payments!E:E)</f>
        <v>2058.73</v>
      </c>
      <c r="H69" s="3">
        <f t="shared" si="3"/>
        <v>0</v>
      </c>
      <c r="I69" s="29">
        <f t="shared" si="4"/>
        <v>-12</v>
      </c>
      <c r="J69" s="31" t="str">
        <f t="shared" si="5"/>
        <v>Current</v>
      </c>
      <c r="K69"/>
    </row>
    <row r="70" spans="1:11" x14ac:dyDescent="0.3">
      <c r="A70" s="20" t="s">
        <v>87</v>
      </c>
      <c r="B70" t="str">
        <f>VLOOKUP(A70,Customers!A:B,2,FALSE)</f>
        <v>RetailStreamX</v>
      </c>
      <c r="C70" s="24" t="s">
        <v>437</v>
      </c>
      <c r="D70" s="10">
        <v>46088</v>
      </c>
      <c r="E70" s="10">
        <v>46118</v>
      </c>
      <c r="F70" s="4">
        <v>13787.44</v>
      </c>
      <c r="G70" s="3">
        <f>SUMIF(Customer_Payments!B:B,C70,Customer_Payments!E:E)</f>
        <v>13787.44</v>
      </c>
      <c r="H70" s="3">
        <f t="shared" si="3"/>
        <v>0</v>
      </c>
      <c r="I70" s="29">
        <f t="shared" si="4"/>
        <v>-27</v>
      </c>
      <c r="J70" s="31" t="str">
        <f t="shared" si="5"/>
        <v>Current</v>
      </c>
      <c r="K70"/>
    </row>
    <row r="71" spans="1:11" x14ac:dyDescent="0.3">
      <c r="A71" s="21" t="s">
        <v>19</v>
      </c>
      <c r="B71" t="str">
        <f>VLOOKUP(A71,Customers!A:B,2,FALSE)</f>
        <v>NextWave Digital</v>
      </c>
      <c r="C71" s="25" t="s">
        <v>438</v>
      </c>
      <c r="D71" s="11">
        <v>46048</v>
      </c>
      <c r="E71" s="11">
        <v>46078</v>
      </c>
      <c r="F71" s="5">
        <v>2103.0700000000002</v>
      </c>
      <c r="G71" s="3">
        <f>SUMIF(Customer_Payments!B:B,C71,Customer_Payments!E:E)</f>
        <v>2103.0700000000002</v>
      </c>
      <c r="H71" s="3">
        <f t="shared" si="3"/>
        <v>0</v>
      </c>
      <c r="I71" s="29">
        <f t="shared" si="4"/>
        <v>13</v>
      </c>
      <c r="J71" s="31" t="str">
        <f t="shared" si="5"/>
        <v>1-30</v>
      </c>
      <c r="K71"/>
    </row>
    <row r="72" spans="1:11" x14ac:dyDescent="0.3">
      <c r="A72" s="20" t="s">
        <v>45</v>
      </c>
      <c r="B72" t="str">
        <f>VLOOKUP(A72,Customers!A:B,2,FALSE)</f>
        <v>EdgeRetail</v>
      </c>
      <c r="C72" s="24" t="s">
        <v>439</v>
      </c>
      <c r="D72" s="10">
        <v>45974</v>
      </c>
      <c r="E72" s="10">
        <v>46004</v>
      </c>
      <c r="F72" s="4">
        <v>1946.8</v>
      </c>
      <c r="G72" s="3">
        <f>SUMIF(Customer_Payments!B:B,C72,Customer_Payments!E:E)</f>
        <v>1946.8</v>
      </c>
      <c r="H72" s="3">
        <f t="shared" si="3"/>
        <v>0</v>
      </c>
      <c r="I72" s="29">
        <f t="shared" si="4"/>
        <v>87</v>
      </c>
      <c r="J72" s="31" t="str">
        <f t="shared" si="5"/>
        <v>61-90</v>
      </c>
      <c r="K72"/>
    </row>
    <row r="73" spans="1:11" x14ac:dyDescent="0.3">
      <c r="A73" s="21" t="s">
        <v>54</v>
      </c>
      <c r="B73" t="str">
        <f>VLOOKUP(A73,Customers!A:B,2,FALSE)</f>
        <v>RetailEdge</v>
      </c>
      <c r="C73" s="25" t="s">
        <v>440</v>
      </c>
      <c r="D73" s="11">
        <v>46049</v>
      </c>
      <c r="E73" s="11">
        <v>46079</v>
      </c>
      <c r="F73" s="5">
        <v>2455.19</v>
      </c>
      <c r="G73" s="3">
        <f>SUMIF(Customer_Payments!B:B,C73,Customer_Payments!E:E)</f>
        <v>2455.19</v>
      </c>
      <c r="H73" s="3">
        <f t="shared" si="3"/>
        <v>0</v>
      </c>
      <c r="I73" s="29">
        <f t="shared" si="4"/>
        <v>12</v>
      </c>
      <c r="J73" s="31" t="str">
        <f t="shared" si="5"/>
        <v>1-30</v>
      </c>
      <c r="K73"/>
    </row>
    <row r="74" spans="1:11" x14ac:dyDescent="0.3">
      <c r="A74" s="20" t="s">
        <v>108</v>
      </c>
      <c r="B74" t="str">
        <f>VLOOKUP(A74,Customers!A:B,2,FALSE)</f>
        <v>RetailNextPro</v>
      </c>
      <c r="C74" s="24" t="s">
        <v>441</v>
      </c>
      <c r="D74" s="10">
        <v>46099</v>
      </c>
      <c r="E74" s="10">
        <v>46129</v>
      </c>
      <c r="F74" s="4">
        <v>10298.74</v>
      </c>
      <c r="G74" s="3">
        <f>SUMIF(Customer_Payments!B:B,C74,Customer_Payments!E:E)</f>
        <v>10298.74</v>
      </c>
      <c r="H74" s="3">
        <f t="shared" si="3"/>
        <v>0</v>
      </c>
      <c r="I74" s="29">
        <f t="shared" si="4"/>
        <v>-38</v>
      </c>
      <c r="J74" s="31" t="str">
        <f t="shared" si="5"/>
        <v>Current</v>
      </c>
      <c r="K74"/>
    </row>
    <row r="75" spans="1:11" x14ac:dyDescent="0.3">
      <c r="A75" s="21" t="s">
        <v>86</v>
      </c>
      <c r="B75" t="str">
        <f>VLOOKUP(A75,Customers!A:B,2,FALSE)</f>
        <v>RetailNextX</v>
      </c>
      <c r="C75" s="25" t="s">
        <v>442</v>
      </c>
      <c r="D75" s="11">
        <v>46090</v>
      </c>
      <c r="E75" s="11">
        <v>46120</v>
      </c>
      <c r="F75" s="5">
        <v>4339.97</v>
      </c>
      <c r="G75" s="3">
        <f>SUMIF(Customer_Payments!B:B,C75,Customer_Payments!E:E)</f>
        <v>0</v>
      </c>
      <c r="H75" s="3">
        <f t="shared" si="3"/>
        <v>4339.97</v>
      </c>
      <c r="I75" s="29">
        <f t="shared" si="4"/>
        <v>-29</v>
      </c>
      <c r="J75" s="31" t="str">
        <f t="shared" si="5"/>
        <v>Current</v>
      </c>
      <c r="K75"/>
    </row>
    <row r="76" spans="1:11" x14ac:dyDescent="0.3">
      <c r="A76" s="20" t="s">
        <v>88</v>
      </c>
      <c r="B76" t="str">
        <f>VLOOKUP(A76,Customers!A:B,2,FALSE)</f>
        <v>RetailPrimeX</v>
      </c>
      <c r="C76" s="24" t="s">
        <v>443</v>
      </c>
      <c r="D76" s="10">
        <v>46102</v>
      </c>
      <c r="E76" s="10">
        <v>46132</v>
      </c>
      <c r="F76" s="4">
        <v>1613.4</v>
      </c>
      <c r="G76" s="3">
        <f>SUMIF(Customer_Payments!B:B,C76,Customer_Payments!E:E)</f>
        <v>1613.4</v>
      </c>
      <c r="H76" s="3">
        <f t="shared" si="3"/>
        <v>0</v>
      </c>
      <c r="I76" s="29">
        <f t="shared" si="4"/>
        <v>-41</v>
      </c>
      <c r="J76" s="31" t="str">
        <f t="shared" si="5"/>
        <v>Current</v>
      </c>
      <c r="K76"/>
    </row>
    <row r="77" spans="1:11" x14ac:dyDescent="0.3">
      <c r="A77" s="21" t="s">
        <v>66</v>
      </c>
      <c r="B77" t="str">
        <f>VLOOKUP(A77,Customers!A:B,2,FALSE)</f>
        <v>MarketWorks</v>
      </c>
      <c r="C77" s="25" t="s">
        <v>444</v>
      </c>
      <c r="D77" s="11">
        <v>46006</v>
      </c>
      <c r="E77" s="11">
        <v>46036</v>
      </c>
      <c r="F77" s="5">
        <v>2459.5700000000002</v>
      </c>
      <c r="G77" s="3">
        <f>SUMIF(Customer_Payments!B:B,C77,Customer_Payments!E:E)</f>
        <v>0</v>
      </c>
      <c r="H77" s="3">
        <f t="shared" si="3"/>
        <v>2459.5700000000002</v>
      </c>
      <c r="I77" s="29">
        <f t="shared" si="4"/>
        <v>55</v>
      </c>
      <c r="J77" s="31" t="str">
        <f t="shared" si="5"/>
        <v>31-60</v>
      </c>
      <c r="K77"/>
    </row>
    <row r="78" spans="1:11" x14ac:dyDescent="0.3">
      <c r="A78" s="20" t="s">
        <v>51</v>
      </c>
      <c r="B78" t="str">
        <f>VLOOKUP(A78,Customers!A:B,2,FALSE)</f>
        <v>CartMasters</v>
      </c>
      <c r="C78" s="24" t="s">
        <v>445</v>
      </c>
      <c r="D78" s="10">
        <v>46018</v>
      </c>
      <c r="E78" s="10">
        <v>46048</v>
      </c>
      <c r="F78" s="4">
        <v>2677.61</v>
      </c>
      <c r="G78" s="3">
        <f>SUMIF(Customer_Payments!B:B,C78,Customer_Payments!E:E)</f>
        <v>2677.61</v>
      </c>
      <c r="H78" s="3">
        <f t="shared" si="3"/>
        <v>0</v>
      </c>
      <c r="I78" s="29">
        <f t="shared" si="4"/>
        <v>43</v>
      </c>
      <c r="J78" s="31" t="str">
        <f t="shared" si="5"/>
        <v>31-60</v>
      </c>
      <c r="K78"/>
    </row>
    <row r="79" spans="1:11" x14ac:dyDescent="0.3">
      <c r="A79" s="21" t="s">
        <v>115</v>
      </c>
      <c r="B79" t="str">
        <f>VLOOKUP(A79,Customers!A:B,2,FALSE)</f>
        <v>RetailDynamicsPro</v>
      </c>
      <c r="C79" s="25" t="s">
        <v>446</v>
      </c>
      <c r="D79" s="11">
        <v>46081</v>
      </c>
      <c r="E79" s="11">
        <v>46111</v>
      </c>
      <c r="F79" s="5">
        <v>3218.82</v>
      </c>
      <c r="G79" s="3">
        <f>SUMIF(Customer_Payments!B:B,C79,Customer_Payments!E:E)</f>
        <v>3218.82</v>
      </c>
      <c r="H79" s="3">
        <f t="shared" si="3"/>
        <v>0</v>
      </c>
      <c r="I79" s="29">
        <f t="shared" si="4"/>
        <v>-20</v>
      </c>
      <c r="J79" s="31" t="str">
        <f t="shared" si="5"/>
        <v>Current</v>
      </c>
      <c r="K79"/>
    </row>
    <row r="80" spans="1:11" x14ac:dyDescent="0.3">
      <c r="A80" s="20" t="s">
        <v>55</v>
      </c>
      <c r="B80" t="str">
        <f>VLOOKUP(A80,Customers!A:B,2,FALSE)</f>
        <v>CommerceLabs</v>
      </c>
      <c r="C80" s="24" t="s">
        <v>447</v>
      </c>
      <c r="D80" s="10">
        <v>46011</v>
      </c>
      <c r="E80" s="10">
        <v>46041</v>
      </c>
      <c r="F80" s="4">
        <v>2199.2199999999998</v>
      </c>
      <c r="G80" s="3">
        <f>SUMIF(Customer_Payments!B:B,C80,Customer_Payments!E:E)</f>
        <v>2199.2199999999998</v>
      </c>
      <c r="H80" s="3">
        <f t="shared" si="3"/>
        <v>0</v>
      </c>
      <c r="I80" s="29">
        <f t="shared" si="4"/>
        <v>50</v>
      </c>
      <c r="J80" s="31" t="str">
        <f t="shared" si="5"/>
        <v>31-60</v>
      </c>
      <c r="K80"/>
    </row>
    <row r="81" spans="1:11" x14ac:dyDescent="0.3">
      <c r="A81" s="21" t="s">
        <v>113</v>
      </c>
      <c r="B81" t="str">
        <f>VLOOKUP(A81,Customers!A:B,2,FALSE)</f>
        <v>RetailSpherePro</v>
      </c>
      <c r="C81" s="25" t="s">
        <v>448</v>
      </c>
      <c r="D81" s="11">
        <v>46073</v>
      </c>
      <c r="E81" s="11">
        <v>46103</v>
      </c>
      <c r="F81" s="5">
        <v>3302.54</v>
      </c>
      <c r="G81" s="3">
        <f>SUMIF(Customer_Payments!B:B,C81,Customer_Payments!E:E)</f>
        <v>3302.54</v>
      </c>
      <c r="H81" s="3">
        <f t="shared" si="3"/>
        <v>0</v>
      </c>
      <c r="I81" s="29">
        <f t="shared" si="4"/>
        <v>-12</v>
      </c>
      <c r="J81" s="31" t="str">
        <f t="shared" si="5"/>
        <v>Current</v>
      </c>
      <c r="K81"/>
    </row>
    <row r="82" spans="1:11" x14ac:dyDescent="0.3">
      <c r="A82" s="20" t="s">
        <v>106</v>
      </c>
      <c r="B82" t="str">
        <f>VLOOKUP(A82,Customers!A:B,2,FALSE)</f>
        <v>RetailOrbitPro</v>
      </c>
      <c r="C82" s="24" t="s">
        <v>449</v>
      </c>
      <c r="D82" s="10">
        <v>46042</v>
      </c>
      <c r="E82" s="10">
        <v>46072</v>
      </c>
      <c r="F82" s="4">
        <v>1724.98</v>
      </c>
      <c r="G82" s="3">
        <f>SUMIF(Customer_Payments!B:B,C82,Customer_Payments!E:E)</f>
        <v>0</v>
      </c>
      <c r="H82" s="3">
        <f t="shared" si="3"/>
        <v>1724.98</v>
      </c>
      <c r="I82" s="29">
        <f t="shared" si="4"/>
        <v>19</v>
      </c>
      <c r="J82" s="31" t="str">
        <f t="shared" si="5"/>
        <v>1-30</v>
      </c>
      <c r="K82"/>
    </row>
    <row r="83" spans="1:11" x14ac:dyDescent="0.3">
      <c r="A83" s="21" t="s">
        <v>122</v>
      </c>
      <c r="B83" t="str">
        <f>VLOOKUP(A83,Customers!A:B,2,FALSE)</f>
        <v>RetailCoreGlobal</v>
      </c>
      <c r="C83" s="25" t="s">
        <v>450</v>
      </c>
      <c r="D83" s="11">
        <v>46060</v>
      </c>
      <c r="E83" s="11">
        <v>46090</v>
      </c>
      <c r="F83" s="5">
        <v>2140.9899999999998</v>
      </c>
      <c r="G83" s="3">
        <f>SUMIF(Customer_Payments!B:B,C83,Customer_Payments!E:E)</f>
        <v>2140.9899999999998</v>
      </c>
      <c r="H83" s="3">
        <f t="shared" si="3"/>
        <v>0</v>
      </c>
      <c r="I83" s="29">
        <f t="shared" si="4"/>
        <v>1</v>
      </c>
      <c r="J83" s="31" t="str">
        <f t="shared" si="5"/>
        <v>1-30</v>
      </c>
      <c r="K83"/>
    </row>
    <row r="84" spans="1:11" x14ac:dyDescent="0.3">
      <c r="A84" s="20" t="s">
        <v>35</v>
      </c>
      <c r="B84" t="str">
        <f>VLOOKUP(A84,Customers!A:B,2,FALSE)</f>
        <v>FusionRetail</v>
      </c>
      <c r="C84" s="24" t="s">
        <v>451</v>
      </c>
      <c r="D84" s="10">
        <v>46010</v>
      </c>
      <c r="E84" s="10">
        <v>46040</v>
      </c>
      <c r="F84" s="4">
        <v>2775.74</v>
      </c>
      <c r="G84" s="3">
        <v>1400</v>
      </c>
      <c r="H84" s="3">
        <f t="shared" si="3"/>
        <v>1375.7399999999998</v>
      </c>
      <c r="I84" s="29">
        <f t="shared" si="4"/>
        <v>51</v>
      </c>
      <c r="J84" s="31" t="str">
        <f t="shared" si="5"/>
        <v>31-60</v>
      </c>
      <c r="K84"/>
    </row>
    <row r="85" spans="1:11" x14ac:dyDescent="0.3">
      <c r="A85" s="21" t="s">
        <v>105</v>
      </c>
      <c r="B85" t="str">
        <f>VLOOKUP(A85,Customers!A:B,2,FALSE)</f>
        <v>RetailFlowPro</v>
      </c>
      <c r="C85" s="25" t="s">
        <v>452</v>
      </c>
      <c r="D85" s="11">
        <v>46067</v>
      </c>
      <c r="E85" s="11">
        <v>46097</v>
      </c>
      <c r="F85" s="5">
        <v>1576.9</v>
      </c>
      <c r="G85" s="3">
        <v>770</v>
      </c>
      <c r="H85" s="3">
        <f t="shared" si="3"/>
        <v>806.90000000000009</v>
      </c>
      <c r="I85" s="29">
        <f t="shared" si="4"/>
        <v>-6</v>
      </c>
      <c r="J85" s="31" t="str">
        <f t="shared" si="5"/>
        <v>Current</v>
      </c>
      <c r="K85"/>
    </row>
    <row r="86" spans="1:11" x14ac:dyDescent="0.3">
      <c r="A86" s="20" t="s">
        <v>87</v>
      </c>
      <c r="B86" t="str">
        <f>VLOOKUP(A86,Customers!A:B,2,FALSE)</f>
        <v>RetailStreamX</v>
      </c>
      <c r="C86" s="24" t="s">
        <v>453</v>
      </c>
      <c r="D86" s="10">
        <v>46104</v>
      </c>
      <c r="E86" s="10">
        <v>46134</v>
      </c>
      <c r="F86" s="4">
        <v>1930.22</v>
      </c>
      <c r="G86" s="3">
        <f>SUMIF(Customer_Payments!B:B,C86,Customer_Payments!E:E)</f>
        <v>1930.22</v>
      </c>
      <c r="H86" s="3">
        <f t="shared" si="3"/>
        <v>0</v>
      </c>
      <c r="I86" s="29">
        <f t="shared" si="4"/>
        <v>-43</v>
      </c>
      <c r="J86" s="31" t="str">
        <f t="shared" si="5"/>
        <v>Current</v>
      </c>
      <c r="K86"/>
    </row>
    <row r="87" spans="1:11" x14ac:dyDescent="0.3">
      <c r="A87" s="21" t="s">
        <v>53</v>
      </c>
      <c r="B87" t="str">
        <f>VLOOKUP(A87,Customers!A:B,2,FALSE)</f>
        <v>PrimeCart</v>
      </c>
      <c r="C87" s="25" t="s">
        <v>454</v>
      </c>
      <c r="D87" s="11">
        <v>46021</v>
      </c>
      <c r="E87" s="11">
        <v>46051</v>
      </c>
      <c r="F87" s="5">
        <v>1468.38</v>
      </c>
      <c r="G87" s="3">
        <f>SUMIF(Customer_Payments!B:B,C87,Customer_Payments!E:E)</f>
        <v>1468.38</v>
      </c>
      <c r="H87" s="3">
        <f t="shared" si="3"/>
        <v>0</v>
      </c>
      <c r="I87" s="29">
        <f t="shared" si="4"/>
        <v>40</v>
      </c>
      <c r="J87" s="31" t="str">
        <f t="shared" si="5"/>
        <v>31-60</v>
      </c>
      <c r="K87"/>
    </row>
    <row r="88" spans="1:11" x14ac:dyDescent="0.3">
      <c r="A88" s="20" t="s">
        <v>29</v>
      </c>
      <c r="B88" t="str">
        <f>VLOOKUP(A88,Customers!A:B,2,FALSE)</f>
        <v>DigitalBridge</v>
      </c>
      <c r="C88" s="24" t="s">
        <v>455</v>
      </c>
      <c r="D88" s="10">
        <v>46084</v>
      </c>
      <c r="E88" s="10">
        <v>46114</v>
      </c>
      <c r="F88" s="4">
        <v>1534.62</v>
      </c>
      <c r="G88" s="3">
        <f>SUMIF(Customer_Payments!B:B,C88,Customer_Payments!E:E)</f>
        <v>1534.62</v>
      </c>
      <c r="H88" s="3">
        <f t="shared" si="3"/>
        <v>0</v>
      </c>
      <c r="I88" s="29">
        <f t="shared" si="4"/>
        <v>-23</v>
      </c>
      <c r="J88" s="31" t="str">
        <f t="shared" si="5"/>
        <v>Current</v>
      </c>
      <c r="K88"/>
    </row>
    <row r="89" spans="1:11" x14ac:dyDescent="0.3">
      <c r="A89" s="21" t="s">
        <v>123</v>
      </c>
      <c r="B89" t="str">
        <f>VLOOKUP(A89,Customers!A:B,2,FALSE)</f>
        <v>RetailFlowGlobal</v>
      </c>
      <c r="C89" s="25" t="s">
        <v>456</v>
      </c>
      <c r="D89" s="11">
        <v>46022</v>
      </c>
      <c r="E89" s="11">
        <v>46052</v>
      </c>
      <c r="F89" s="5">
        <v>4264.32</v>
      </c>
      <c r="G89" s="3">
        <f>SUMIF(Customer_Payments!B:B,C89,Customer_Payments!E:E)</f>
        <v>4264.32</v>
      </c>
      <c r="H89" s="3">
        <f t="shared" si="3"/>
        <v>0</v>
      </c>
      <c r="I89" s="29">
        <f t="shared" si="4"/>
        <v>39</v>
      </c>
      <c r="J89" s="31" t="str">
        <f t="shared" si="5"/>
        <v>31-60</v>
      </c>
      <c r="K89"/>
    </row>
    <row r="90" spans="1:11" x14ac:dyDescent="0.3">
      <c r="A90" s="20" t="s">
        <v>44</v>
      </c>
      <c r="B90" t="str">
        <f>VLOOKUP(A90,Customers!A:B,2,FALSE)</f>
        <v>BrightMarket</v>
      </c>
      <c r="C90" s="24" t="s">
        <v>457</v>
      </c>
      <c r="D90" s="10">
        <v>45975</v>
      </c>
      <c r="E90" s="10">
        <v>46005</v>
      </c>
      <c r="F90" s="4">
        <v>2830.47</v>
      </c>
      <c r="G90" s="3">
        <v>1100</v>
      </c>
      <c r="H90" s="3">
        <f t="shared" si="3"/>
        <v>1730.4699999999998</v>
      </c>
      <c r="I90" s="29">
        <f t="shared" si="4"/>
        <v>86</v>
      </c>
      <c r="J90" s="31" t="str">
        <f t="shared" si="5"/>
        <v>61-90</v>
      </c>
      <c r="K90"/>
    </row>
    <row r="91" spans="1:11" x14ac:dyDescent="0.3">
      <c r="A91" s="21" t="s">
        <v>16</v>
      </c>
      <c r="B91" t="str">
        <f>VLOOKUP(A91,Customers!A:B,2,FALSE)</f>
        <v>RetailHub</v>
      </c>
      <c r="C91" s="25" t="s">
        <v>458</v>
      </c>
      <c r="D91" s="11">
        <v>45971</v>
      </c>
      <c r="E91" s="11">
        <v>46001</v>
      </c>
      <c r="F91" s="5">
        <v>2066.69</v>
      </c>
      <c r="G91" s="3">
        <f>SUMIF(Customer_Payments!B:B,C91,Customer_Payments!E:E)</f>
        <v>2066.69</v>
      </c>
      <c r="H91" s="3">
        <f t="shared" si="3"/>
        <v>0</v>
      </c>
      <c r="I91" s="29">
        <f t="shared" si="4"/>
        <v>90</v>
      </c>
      <c r="J91" s="31" t="str">
        <f t="shared" si="5"/>
        <v>61-90</v>
      </c>
      <c r="K91"/>
    </row>
    <row r="92" spans="1:11" x14ac:dyDescent="0.3">
      <c r="A92" s="20" t="s">
        <v>57</v>
      </c>
      <c r="B92" t="str">
        <f>VLOOKUP(A92,Customers!A:B,2,FALSE)</f>
        <v>MarketGenius</v>
      </c>
      <c r="C92" s="24" t="s">
        <v>459</v>
      </c>
      <c r="D92" s="10">
        <v>45967</v>
      </c>
      <c r="E92" s="10">
        <v>45997</v>
      </c>
      <c r="F92" s="4">
        <v>5508.3</v>
      </c>
      <c r="G92" s="3">
        <f>SUMIF(Customer_Payments!B:B,C92,Customer_Payments!E:E)</f>
        <v>5508.3</v>
      </c>
      <c r="H92" s="3">
        <f t="shared" si="3"/>
        <v>0</v>
      </c>
      <c r="I92" s="29">
        <f t="shared" si="4"/>
        <v>94</v>
      </c>
      <c r="J92" s="31" t="str">
        <f t="shared" si="5"/>
        <v>90+</v>
      </c>
      <c r="K92"/>
    </row>
    <row r="93" spans="1:11" x14ac:dyDescent="0.3">
      <c r="A93" s="21" t="s">
        <v>75</v>
      </c>
      <c r="B93" t="str">
        <f>VLOOKUP(A93,Customers!A:B,2,FALSE)</f>
        <v>RetailMatrix</v>
      </c>
      <c r="C93" s="25" t="s">
        <v>460</v>
      </c>
      <c r="D93" s="11">
        <v>45986</v>
      </c>
      <c r="E93" s="11">
        <v>46016</v>
      </c>
      <c r="F93" s="5">
        <v>3312.09</v>
      </c>
      <c r="G93" s="3">
        <f>SUMIF(Customer_Payments!B:B,C93,Customer_Payments!E:E)</f>
        <v>3312.09</v>
      </c>
      <c r="H93" s="3">
        <f t="shared" si="3"/>
        <v>0</v>
      </c>
      <c r="I93" s="29">
        <f t="shared" si="4"/>
        <v>75</v>
      </c>
      <c r="J93" s="31" t="str">
        <f t="shared" si="5"/>
        <v>61-90</v>
      </c>
      <c r="K93"/>
    </row>
    <row r="94" spans="1:11" x14ac:dyDescent="0.3">
      <c r="A94" s="20" t="s">
        <v>81</v>
      </c>
      <c r="B94" t="str">
        <f>VLOOKUP(A94,Customers!A:B,2,FALSE)</f>
        <v>RetailFlowX</v>
      </c>
      <c r="C94" s="24" t="s">
        <v>461</v>
      </c>
      <c r="D94" s="10">
        <v>45990</v>
      </c>
      <c r="E94" s="10">
        <v>46020</v>
      </c>
      <c r="F94" s="4">
        <v>2945.74</v>
      </c>
      <c r="G94" s="3">
        <f>SUMIF(Customer_Payments!B:B,C94,Customer_Payments!E:E)</f>
        <v>2945.74</v>
      </c>
      <c r="H94" s="3">
        <f t="shared" si="3"/>
        <v>0</v>
      </c>
      <c r="I94" s="29">
        <f t="shared" si="4"/>
        <v>71</v>
      </c>
      <c r="J94" s="31" t="str">
        <f t="shared" si="5"/>
        <v>61-90</v>
      </c>
      <c r="K94"/>
    </row>
    <row r="95" spans="1:11" x14ac:dyDescent="0.3">
      <c r="A95" s="21" t="s">
        <v>67</v>
      </c>
      <c r="B95" t="str">
        <f>VLOOKUP(A95,Customers!A:B,2,FALSE)</f>
        <v>RetailDynamics</v>
      </c>
      <c r="C95" s="25" t="s">
        <v>462</v>
      </c>
      <c r="D95" s="11">
        <v>46112</v>
      </c>
      <c r="E95" s="11">
        <v>46142</v>
      </c>
      <c r="F95" s="5">
        <v>13547.6</v>
      </c>
      <c r="G95" s="3">
        <f>SUMIF(Customer_Payments!B:B,C95,Customer_Payments!E:E)</f>
        <v>13547.6</v>
      </c>
      <c r="H95" s="3">
        <f t="shared" si="3"/>
        <v>0</v>
      </c>
      <c r="I95" s="29">
        <f t="shared" si="4"/>
        <v>-51</v>
      </c>
      <c r="J95" s="31" t="str">
        <f t="shared" si="5"/>
        <v>Current</v>
      </c>
      <c r="K95"/>
    </row>
    <row r="96" spans="1:11" x14ac:dyDescent="0.3">
      <c r="A96" s="20" t="s">
        <v>35</v>
      </c>
      <c r="B96" t="str">
        <f>VLOOKUP(A96,Customers!A:B,2,FALSE)</f>
        <v>FusionRetail</v>
      </c>
      <c r="C96" s="24" t="s">
        <v>463</v>
      </c>
      <c r="D96" s="10">
        <v>46052</v>
      </c>
      <c r="E96" s="10">
        <v>46082</v>
      </c>
      <c r="F96" s="4">
        <v>3143.46</v>
      </c>
      <c r="G96" s="3">
        <v>980</v>
      </c>
      <c r="H96" s="3">
        <f t="shared" si="3"/>
        <v>2163.46</v>
      </c>
      <c r="I96" s="29">
        <f t="shared" si="4"/>
        <v>9</v>
      </c>
      <c r="J96" s="31" t="str">
        <f t="shared" si="5"/>
        <v>1-30</v>
      </c>
      <c r="K96"/>
    </row>
    <row r="97" spans="1:11" x14ac:dyDescent="0.3">
      <c r="A97" s="21" t="s">
        <v>45</v>
      </c>
      <c r="B97" t="str">
        <f>VLOOKUP(A97,Customers!A:B,2,FALSE)</f>
        <v>EdgeRetail</v>
      </c>
      <c r="C97" s="25" t="s">
        <v>464</v>
      </c>
      <c r="D97" s="11">
        <v>46076</v>
      </c>
      <c r="E97" s="11">
        <v>46106</v>
      </c>
      <c r="F97" s="5">
        <v>1485.52</v>
      </c>
      <c r="G97" s="3">
        <v>300</v>
      </c>
      <c r="H97" s="3">
        <f t="shared" si="3"/>
        <v>1185.52</v>
      </c>
      <c r="I97" s="29">
        <f t="shared" si="4"/>
        <v>-15</v>
      </c>
      <c r="J97" s="31" t="str">
        <f t="shared" si="5"/>
        <v>Current</v>
      </c>
      <c r="K97"/>
    </row>
    <row r="98" spans="1:11" x14ac:dyDescent="0.3">
      <c r="A98" s="20" t="s">
        <v>45</v>
      </c>
      <c r="B98" t="str">
        <f>VLOOKUP(A98,Customers!A:B,2,FALSE)</f>
        <v>EdgeRetail</v>
      </c>
      <c r="C98" s="24" t="s">
        <v>465</v>
      </c>
      <c r="D98" s="10">
        <v>45982</v>
      </c>
      <c r="E98" s="10">
        <v>46012</v>
      </c>
      <c r="F98" s="4">
        <v>1733.97</v>
      </c>
      <c r="G98" s="3">
        <v>700</v>
      </c>
      <c r="H98" s="3">
        <f t="shared" si="3"/>
        <v>1033.97</v>
      </c>
      <c r="I98" s="29">
        <f t="shared" si="4"/>
        <v>79</v>
      </c>
      <c r="J98" s="31" t="str">
        <f t="shared" si="5"/>
        <v>61-90</v>
      </c>
      <c r="K98"/>
    </row>
    <row r="99" spans="1:11" x14ac:dyDescent="0.3">
      <c r="A99" s="21" t="s">
        <v>65</v>
      </c>
      <c r="B99" t="str">
        <f>VLOOKUP(A99,Customers!A:B,2,FALSE)</f>
        <v>RetailFlow</v>
      </c>
      <c r="C99" s="25" t="s">
        <v>466</v>
      </c>
      <c r="D99" s="11">
        <v>46079</v>
      </c>
      <c r="E99" s="11">
        <v>46109</v>
      </c>
      <c r="F99" s="5">
        <v>10157.379999999999</v>
      </c>
      <c r="G99" s="3">
        <f>SUMIF(Customer_Payments!B:B,C99,Customer_Payments!E:E)</f>
        <v>10157.379999999999</v>
      </c>
      <c r="H99" s="3">
        <f t="shared" si="3"/>
        <v>0</v>
      </c>
      <c r="I99" s="29">
        <f t="shared" si="4"/>
        <v>-18</v>
      </c>
      <c r="J99" s="31" t="str">
        <f t="shared" si="5"/>
        <v>Current</v>
      </c>
      <c r="K99"/>
    </row>
    <row r="100" spans="1:11" x14ac:dyDescent="0.3">
      <c r="A100" s="20" t="s">
        <v>60</v>
      </c>
      <c r="B100" t="str">
        <f>VLOOKUP(A100,Customers!A:B,2,FALSE)</f>
        <v>RetailSpark</v>
      </c>
      <c r="C100" s="24" t="s">
        <v>467</v>
      </c>
      <c r="D100" s="10">
        <v>46089</v>
      </c>
      <c r="E100" s="10">
        <v>46119</v>
      </c>
      <c r="F100" s="4">
        <v>2670.49</v>
      </c>
      <c r="G100" s="3">
        <v>1670</v>
      </c>
      <c r="H100" s="3">
        <f t="shared" si="3"/>
        <v>1000.4899999999998</v>
      </c>
      <c r="I100" s="29">
        <f t="shared" si="4"/>
        <v>-28</v>
      </c>
      <c r="J100" s="31" t="str">
        <f t="shared" si="5"/>
        <v>Current</v>
      </c>
      <c r="K100"/>
    </row>
    <row r="101" spans="1:11" x14ac:dyDescent="0.3">
      <c r="A101" s="21" t="s">
        <v>113</v>
      </c>
      <c r="B101" t="str">
        <f>VLOOKUP(A101,Customers!A:B,2,FALSE)</f>
        <v>RetailSpherePro</v>
      </c>
      <c r="C101" s="25" t="s">
        <v>468</v>
      </c>
      <c r="D101" s="11">
        <v>46096</v>
      </c>
      <c r="E101" s="11">
        <v>46126</v>
      </c>
      <c r="F101" s="5">
        <v>3839.18</v>
      </c>
      <c r="G101" s="3">
        <f>SUMIF(Customer_Payments!B:B,C101,Customer_Payments!E:E)</f>
        <v>3839.18</v>
      </c>
      <c r="H101" s="3">
        <f t="shared" si="3"/>
        <v>0</v>
      </c>
      <c r="I101" s="29">
        <f t="shared" si="4"/>
        <v>-35</v>
      </c>
      <c r="J101" s="31" t="str">
        <f t="shared" si="5"/>
        <v>Current</v>
      </c>
      <c r="K101"/>
    </row>
    <row r="102" spans="1:11" x14ac:dyDescent="0.3">
      <c r="A102" s="20" t="s">
        <v>34</v>
      </c>
      <c r="B102" t="str">
        <f>VLOOKUP(A102,Customers!A:B,2,FALSE)</f>
        <v>OptiCommerce</v>
      </c>
      <c r="C102" s="24" t="s">
        <v>469</v>
      </c>
      <c r="D102" s="10">
        <v>46049</v>
      </c>
      <c r="E102" s="10">
        <v>46079</v>
      </c>
      <c r="F102" s="4">
        <v>12555.13</v>
      </c>
      <c r="G102" s="3">
        <f>SUMIF(Customer_Payments!B:B,C102,Customer_Payments!E:E)</f>
        <v>12555.13</v>
      </c>
      <c r="H102" s="3">
        <f t="shared" si="3"/>
        <v>0</v>
      </c>
      <c r="I102" s="29">
        <f t="shared" si="4"/>
        <v>12</v>
      </c>
      <c r="J102" s="31" t="str">
        <f t="shared" si="5"/>
        <v>1-30</v>
      </c>
      <c r="K102"/>
    </row>
    <row r="103" spans="1:11" x14ac:dyDescent="0.3">
      <c r="A103" s="21" t="s">
        <v>94</v>
      </c>
      <c r="B103" t="str">
        <f>VLOOKUP(A103,Customers!A:B,2,FALSE)</f>
        <v>RetailDynamicsX</v>
      </c>
      <c r="C103" s="25" t="s">
        <v>470</v>
      </c>
      <c r="D103" s="11">
        <v>46052</v>
      </c>
      <c r="E103" s="11">
        <v>46082</v>
      </c>
      <c r="F103" s="5">
        <v>11734.54</v>
      </c>
      <c r="G103" s="3">
        <f>SUMIF(Customer_Payments!B:B,C103,Customer_Payments!E:E)</f>
        <v>11734.54</v>
      </c>
      <c r="H103" s="3">
        <f t="shared" si="3"/>
        <v>0</v>
      </c>
      <c r="I103" s="29">
        <f t="shared" si="4"/>
        <v>9</v>
      </c>
      <c r="J103" s="31" t="str">
        <f t="shared" si="5"/>
        <v>1-30</v>
      </c>
      <c r="K103"/>
    </row>
    <row r="104" spans="1:11" x14ac:dyDescent="0.3">
      <c r="A104" s="20" t="s">
        <v>42</v>
      </c>
      <c r="B104" t="str">
        <f>VLOOKUP(A104,Customers!A:B,2,FALSE)</f>
        <v>RetailWorks</v>
      </c>
      <c r="C104" s="24" t="s">
        <v>471</v>
      </c>
      <c r="D104" s="10">
        <v>45962</v>
      </c>
      <c r="E104" s="10">
        <v>45992</v>
      </c>
      <c r="F104" s="4">
        <v>2544.4699999999998</v>
      </c>
      <c r="G104" s="3">
        <f>SUMIF(Customer_Payments!B:B,C104,Customer_Payments!E:E)</f>
        <v>2544.4699999999998</v>
      </c>
      <c r="H104" s="3">
        <f t="shared" si="3"/>
        <v>0</v>
      </c>
      <c r="I104" s="29">
        <f t="shared" si="4"/>
        <v>99</v>
      </c>
      <c r="J104" s="31" t="str">
        <f t="shared" si="5"/>
        <v>90+</v>
      </c>
      <c r="K104"/>
    </row>
    <row r="105" spans="1:11" x14ac:dyDescent="0.3">
      <c r="A105" s="21" t="s">
        <v>34</v>
      </c>
      <c r="B105" t="str">
        <f>VLOOKUP(A105,Customers!A:B,2,FALSE)</f>
        <v>OptiCommerce</v>
      </c>
      <c r="C105" s="25" t="s">
        <v>472</v>
      </c>
      <c r="D105" s="11">
        <v>46053</v>
      </c>
      <c r="E105" s="11">
        <v>46083</v>
      </c>
      <c r="F105" s="5">
        <v>5936.41</v>
      </c>
      <c r="G105" s="3">
        <f>SUMIF(Customer_Payments!B:B,C105,Customer_Payments!E:E)</f>
        <v>5936.41</v>
      </c>
      <c r="H105" s="3">
        <f t="shared" si="3"/>
        <v>0</v>
      </c>
      <c r="I105" s="29">
        <f t="shared" si="4"/>
        <v>8</v>
      </c>
      <c r="J105" s="31" t="str">
        <f t="shared" si="5"/>
        <v>1-30</v>
      </c>
      <c r="K105"/>
    </row>
    <row r="106" spans="1:11" x14ac:dyDescent="0.3">
      <c r="A106" s="20" t="s">
        <v>38</v>
      </c>
      <c r="B106" t="str">
        <f>VLOOKUP(A106,Customers!A:B,2,FALSE)</f>
        <v>RetailForge</v>
      </c>
      <c r="C106" s="24" t="s">
        <v>473</v>
      </c>
      <c r="D106" s="10">
        <v>45969</v>
      </c>
      <c r="E106" s="10">
        <v>45999</v>
      </c>
      <c r="F106" s="4">
        <v>1900.43</v>
      </c>
      <c r="G106" s="3">
        <f>SUMIF(Customer_Payments!B:B,C106,Customer_Payments!E:E)</f>
        <v>0</v>
      </c>
      <c r="H106" s="3">
        <f t="shared" si="3"/>
        <v>1900.43</v>
      </c>
      <c r="I106" s="29">
        <f t="shared" si="4"/>
        <v>92</v>
      </c>
      <c r="J106" s="31" t="str">
        <f t="shared" si="5"/>
        <v>90+</v>
      </c>
      <c r="K106"/>
    </row>
    <row r="107" spans="1:11" x14ac:dyDescent="0.3">
      <c r="A107" s="21" t="s">
        <v>77</v>
      </c>
      <c r="B107" t="str">
        <f>VLOOKUP(A107,Customers!A:B,2,FALSE)</f>
        <v>RetailBridge</v>
      </c>
      <c r="C107" s="25" t="s">
        <v>474</v>
      </c>
      <c r="D107" s="11">
        <v>46048</v>
      </c>
      <c r="E107" s="11">
        <v>46078</v>
      </c>
      <c r="F107" s="5">
        <v>5573.96</v>
      </c>
      <c r="G107" s="3">
        <f>SUMIF(Customer_Payments!B:B,C107,Customer_Payments!E:E)</f>
        <v>0</v>
      </c>
      <c r="H107" s="3">
        <f t="shared" si="3"/>
        <v>5573.96</v>
      </c>
      <c r="I107" s="29">
        <f t="shared" si="4"/>
        <v>13</v>
      </c>
      <c r="J107" s="31" t="str">
        <f t="shared" si="5"/>
        <v>1-30</v>
      </c>
      <c r="K107"/>
    </row>
    <row r="108" spans="1:11" x14ac:dyDescent="0.3">
      <c r="A108" s="20" t="s">
        <v>25</v>
      </c>
      <c r="B108" t="str">
        <f>VLOOKUP(A108,Customers!A:B,2,FALSE)</f>
        <v>OrbitEdge</v>
      </c>
      <c r="C108" s="24" t="s">
        <v>475</v>
      </c>
      <c r="D108" s="10">
        <v>46068</v>
      </c>
      <c r="E108" s="10">
        <v>46098</v>
      </c>
      <c r="F108" s="4">
        <v>5172.7700000000004</v>
      </c>
      <c r="G108" s="3">
        <f>SUMIF(Customer_Payments!B:B,C108,Customer_Payments!E:E)</f>
        <v>5172.7700000000004</v>
      </c>
      <c r="H108" s="3">
        <f t="shared" si="3"/>
        <v>0</v>
      </c>
      <c r="I108" s="29">
        <f t="shared" si="4"/>
        <v>-7</v>
      </c>
      <c r="J108" s="31" t="str">
        <f t="shared" si="5"/>
        <v>Current</v>
      </c>
      <c r="K108"/>
    </row>
    <row r="109" spans="1:11" x14ac:dyDescent="0.3">
      <c r="A109" s="21" t="s">
        <v>76</v>
      </c>
      <c r="B109" t="str">
        <f>VLOOKUP(A109,Customers!A:B,2,FALSE)</f>
        <v>RetailSphere</v>
      </c>
      <c r="C109" s="25" t="s">
        <v>476</v>
      </c>
      <c r="D109" s="11">
        <v>46106</v>
      </c>
      <c r="E109" s="11">
        <v>46136</v>
      </c>
      <c r="F109" s="5">
        <v>2803.97</v>
      </c>
      <c r="G109" s="3">
        <f>SUMIF(Customer_Payments!B:B,C109,Customer_Payments!E:E)</f>
        <v>0</v>
      </c>
      <c r="H109" s="3">
        <f t="shared" si="3"/>
        <v>2803.97</v>
      </c>
      <c r="I109" s="29">
        <f t="shared" si="4"/>
        <v>-45</v>
      </c>
      <c r="J109" s="31" t="str">
        <f t="shared" si="5"/>
        <v>Current</v>
      </c>
      <c r="K109"/>
    </row>
    <row r="110" spans="1:11" x14ac:dyDescent="0.3">
      <c r="A110" s="20" t="s">
        <v>23</v>
      </c>
      <c r="B110" t="str">
        <f>VLOOKUP(A110,Customers!A:B,2,FALSE)</f>
        <v>VertexCommerce</v>
      </c>
      <c r="C110" s="24" t="s">
        <v>477</v>
      </c>
      <c r="D110" s="10">
        <v>45969</v>
      </c>
      <c r="E110" s="10">
        <v>45999</v>
      </c>
      <c r="F110" s="4">
        <v>2798.51</v>
      </c>
      <c r="G110" s="3">
        <f>SUMIF(Customer_Payments!B:B,C110,Customer_Payments!E:E)</f>
        <v>0</v>
      </c>
      <c r="H110" s="3">
        <f t="shared" si="3"/>
        <v>2798.51</v>
      </c>
      <c r="I110" s="29">
        <f t="shared" si="4"/>
        <v>92</v>
      </c>
      <c r="J110" s="31" t="str">
        <f t="shared" si="5"/>
        <v>90+</v>
      </c>
      <c r="K110"/>
    </row>
    <row r="111" spans="1:11" x14ac:dyDescent="0.3">
      <c r="A111" s="21" t="s">
        <v>9</v>
      </c>
      <c r="B111" t="str">
        <f>VLOOKUP(A111,Customers!A:B,2,FALSE)</f>
        <v>UrbanRetail</v>
      </c>
      <c r="C111" s="25" t="s">
        <v>478</v>
      </c>
      <c r="D111" s="11">
        <v>45962</v>
      </c>
      <c r="E111" s="11">
        <v>45992</v>
      </c>
      <c r="F111" s="5">
        <v>2829.89</v>
      </c>
      <c r="G111" s="3">
        <f>SUMIF(Customer_Payments!B:B,C111,Customer_Payments!E:E)</f>
        <v>2829.89</v>
      </c>
      <c r="H111" s="3">
        <f t="shared" si="3"/>
        <v>0</v>
      </c>
      <c r="I111" s="29">
        <f t="shared" si="4"/>
        <v>99</v>
      </c>
      <c r="J111" s="31" t="str">
        <f t="shared" si="5"/>
        <v>90+</v>
      </c>
      <c r="K111"/>
    </row>
    <row r="112" spans="1:11" x14ac:dyDescent="0.3">
      <c r="A112" s="20" t="s">
        <v>21</v>
      </c>
      <c r="B112" t="str">
        <f>VLOOKUP(A112,Customers!A:B,2,FALSE)</f>
        <v>InsightLoop</v>
      </c>
      <c r="C112" s="24" t="s">
        <v>479</v>
      </c>
      <c r="D112" s="10">
        <v>46012</v>
      </c>
      <c r="E112" s="10">
        <v>46042</v>
      </c>
      <c r="F112" s="4">
        <v>4530.74</v>
      </c>
      <c r="G112" s="3">
        <f>SUMIF(Customer_Payments!B:B,C112,Customer_Payments!E:E)</f>
        <v>4530.74</v>
      </c>
      <c r="H112" s="3">
        <f t="shared" si="3"/>
        <v>0</v>
      </c>
      <c r="I112" s="29">
        <f t="shared" si="4"/>
        <v>49</v>
      </c>
      <c r="J112" s="31" t="str">
        <f t="shared" si="5"/>
        <v>31-60</v>
      </c>
      <c r="K112"/>
    </row>
    <row r="113" spans="1:11" x14ac:dyDescent="0.3">
      <c r="A113" s="21" t="s">
        <v>20</v>
      </c>
      <c r="B113" t="str">
        <f>VLOOKUP(A113,Customers!A:B,2,FALSE)</f>
        <v>GrowthSphere</v>
      </c>
      <c r="C113" s="25" t="s">
        <v>480</v>
      </c>
      <c r="D113" s="11">
        <v>46003</v>
      </c>
      <c r="E113" s="11">
        <v>46033</v>
      </c>
      <c r="F113" s="5">
        <v>1485.76</v>
      </c>
      <c r="G113" s="3">
        <f>SUMIF(Customer_Payments!B:B,C113,Customer_Payments!E:E)</f>
        <v>1485.76</v>
      </c>
      <c r="H113" s="3">
        <f t="shared" si="3"/>
        <v>0</v>
      </c>
      <c r="I113" s="29">
        <f t="shared" si="4"/>
        <v>58</v>
      </c>
      <c r="J113" s="31" t="str">
        <f t="shared" si="5"/>
        <v>31-60</v>
      </c>
      <c r="K113"/>
    </row>
    <row r="114" spans="1:11" x14ac:dyDescent="0.3">
      <c r="A114" s="20" t="s">
        <v>123</v>
      </c>
      <c r="B114" t="str">
        <f>VLOOKUP(A114,Customers!A:B,2,FALSE)</f>
        <v>RetailFlowGlobal</v>
      </c>
      <c r="C114" s="24" t="s">
        <v>481</v>
      </c>
      <c r="D114" s="10">
        <v>46022</v>
      </c>
      <c r="E114" s="10">
        <v>46052</v>
      </c>
      <c r="F114" s="4">
        <v>12018.43</v>
      </c>
      <c r="G114" s="3">
        <f>SUMIF(Customer_Payments!B:B,C114,Customer_Payments!E:E)</f>
        <v>12018.43</v>
      </c>
      <c r="H114" s="3">
        <f t="shared" si="3"/>
        <v>0</v>
      </c>
      <c r="I114" s="29">
        <f t="shared" si="4"/>
        <v>39</v>
      </c>
      <c r="J114" s="31" t="str">
        <f t="shared" si="5"/>
        <v>31-60</v>
      </c>
      <c r="K114"/>
    </row>
    <row r="115" spans="1:11" x14ac:dyDescent="0.3">
      <c r="A115" s="21" t="s">
        <v>14</v>
      </c>
      <c r="B115" t="str">
        <f>VLOOKUP(A115,Customers!A:B,2,FALSE)</f>
        <v>MarketPulse</v>
      </c>
      <c r="C115" s="25" t="s">
        <v>482</v>
      </c>
      <c r="D115" s="11">
        <v>46002</v>
      </c>
      <c r="E115" s="11">
        <v>46032</v>
      </c>
      <c r="F115" s="5">
        <v>1815.44</v>
      </c>
      <c r="G115" s="3">
        <f>SUMIF(Customer_Payments!B:B,C115,Customer_Payments!E:E)</f>
        <v>0</v>
      </c>
      <c r="H115" s="3">
        <f t="shared" si="3"/>
        <v>1815.44</v>
      </c>
      <c r="I115" s="29">
        <f t="shared" si="4"/>
        <v>59</v>
      </c>
      <c r="J115" s="31" t="str">
        <f t="shared" si="5"/>
        <v>31-60</v>
      </c>
      <c r="K115"/>
    </row>
    <row r="116" spans="1:11" x14ac:dyDescent="0.3">
      <c r="A116" s="20" t="s">
        <v>98</v>
      </c>
      <c r="B116" t="str">
        <f>VLOOKUP(A116,Customers!A:B,2,FALSE)</f>
        <v>RetailEdgePro</v>
      </c>
      <c r="C116" s="24" t="s">
        <v>483</v>
      </c>
      <c r="D116" s="10">
        <v>45962</v>
      </c>
      <c r="E116" s="10">
        <v>45992</v>
      </c>
      <c r="F116" s="4">
        <v>13667.03</v>
      </c>
      <c r="G116" s="3">
        <f>SUMIF(Customer_Payments!B:B,C116,Customer_Payments!E:E)</f>
        <v>13667.03</v>
      </c>
      <c r="H116" s="3">
        <f t="shared" si="3"/>
        <v>0</v>
      </c>
      <c r="I116" s="29">
        <f t="shared" si="4"/>
        <v>99</v>
      </c>
      <c r="J116" s="31" t="str">
        <f t="shared" si="5"/>
        <v>90+</v>
      </c>
      <c r="K116"/>
    </row>
    <row r="117" spans="1:11" x14ac:dyDescent="0.3">
      <c r="A117" s="21" t="s">
        <v>15</v>
      </c>
      <c r="B117" t="str">
        <f>VLOOKUP(A117,Customers!A:B,2,FALSE)</f>
        <v>CloudScale</v>
      </c>
      <c r="C117" s="25" t="s">
        <v>484</v>
      </c>
      <c r="D117" s="11">
        <v>46035</v>
      </c>
      <c r="E117" s="11">
        <v>46065</v>
      </c>
      <c r="F117" s="5">
        <v>9952.76</v>
      </c>
      <c r="G117" s="3">
        <f>SUMIF(Customer_Payments!B:B,C117,Customer_Payments!E:E)</f>
        <v>9952.76</v>
      </c>
      <c r="H117" s="3">
        <f t="shared" si="3"/>
        <v>0</v>
      </c>
      <c r="I117" s="29">
        <f t="shared" si="4"/>
        <v>26</v>
      </c>
      <c r="J117" s="31" t="str">
        <f t="shared" si="5"/>
        <v>1-30</v>
      </c>
      <c r="K117"/>
    </row>
    <row r="118" spans="1:11" x14ac:dyDescent="0.3">
      <c r="A118" s="20" t="s">
        <v>48</v>
      </c>
      <c r="B118" t="str">
        <f>VLOOKUP(A118,Customers!A:B,2,FALSE)</f>
        <v>RetailGenius</v>
      </c>
      <c r="C118" s="24" t="s">
        <v>485</v>
      </c>
      <c r="D118" s="10">
        <v>46015</v>
      </c>
      <c r="E118" s="10">
        <v>46045</v>
      </c>
      <c r="F118" s="4">
        <v>4550.03</v>
      </c>
      <c r="G118" s="3">
        <f>SUMIF(Customer_Payments!B:B,C118,Customer_Payments!E:E)</f>
        <v>4550.03</v>
      </c>
      <c r="H118" s="3">
        <f t="shared" si="3"/>
        <v>0</v>
      </c>
      <c r="I118" s="29">
        <f t="shared" si="4"/>
        <v>46</v>
      </c>
      <c r="J118" s="31" t="str">
        <f t="shared" si="5"/>
        <v>31-60</v>
      </c>
      <c r="K118"/>
    </row>
    <row r="119" spans="1:11" x14ac:dyDescent="0.3">
      <c r="A119" s="21" t="s">
        <v>84</v>
      </c>
      <c r="B119" t="str">
        <f>VLOOKUP(A119,Customers!A:B,2,FALSE)</f>
        <v>RetailVisionX</v>
      </c>
      <c r="C119" s="25" t="s">
        <v>486</v>
      </c>
      <c r="D119" s="11">
        <v>46006</v>
      </c>
      <c r="E119" s="11">
        <v>46036</v>
      </c>
      <c r="F119" s="5">
        <v>14374.21</v>
      </c>
      <c r="G119" s="3">
        <f>SUMIF(Customer_Payments!B:B,C119,Customer_Payments!E:E)</f>
        <v>14374.21</v>
      </c>
      <c r="H119" s="3">
        <f t="shared" si="3"/>
        <v>0</v>
      </c>
      <c r="I119" s="29">
        <f t="shared" si="4"/>
        <v>55</v>
      </c>
      <c r="J119" s="31" t="str">
        <f t="shared" si="5"/>
        <v>31-60</v>
      </c>
      <c r="K119"/>
    </row>
    <row r="120" spans="1:11" x14ac:dyDescent="0.3">
      <c r="A120" s="20" t="s">
        <v>90</v>
      </c>
      <c r="B120" t="str">
        <f>VLOOKUP(A120,Customers!A:B,2,FALSE)</f>
        <v>RetailPulseX</v>
      </c>
      <c r="C120" s="24" t="s">
        <v>487</v>
      </c>
      <c r="D120" s="10">
        <v>46112</v>
      </c>
      <c r="E120" s="10">
        <v>46142</v>
      </c>
      <c r="F120" s="4">
        <v>10076.06</v>
      </c>
      <c r="G120" s="3">
        <f>SUMIF(Customer_Payments!B:B,C120,Customer_Payments!E:E)</f>
        <v>0</v>
      </c>
      <c r="H120" s="3">
        <f t="shared" si="3"/>
        <v>10076.06</v>
      </c>
      <c r="I120" s="29">
        <f t="shared" si="4"/>
        <v>-51</v>
      </c>
      <c r="J120" s="31" t="str">
        <f t="shared" si="5"/>
        <v>Current</v>
      </c>
      <c r="K120"/>
    </row>
    <row r="121" spans="1:11" x14ac:dyDescent="0.3">
      <c r="A121" s="21" t="s">
        <v>36</v>
      </c>
      <c r="B121" t="str">
        <f>VLOOKUP(A121,Customers!A:B,2,FALSE)</f>
        <v>RapidMarket</v>
      </c>
      <c r="C121" s="25" t="s">
        <v>488</v>
      </c>
      <c r="D121" s="11">
        <v>46091</v>
      </c>
      <c r="E121" s="11">
        <v>46121</v>
      </c>
      <c r="F121" s="5">
        <v>3809.18</v>
      </c>
      <c r="G121" s="3">
        <f>SUMIF(Customer_Payments!B:B,C121,Customer_Payments!E:E)</f>
        <v>3809.18</v>
      </c>
      <c r="H121" s="3">
        <f t="shared" si="3"/>
        <v>0</v>
      </c>
      <c r="I121" s="29">
        <f t="shared" si="4"/>
        <v>-30</v>
      </c>
      <c r="J121" s="31" t="str">
        <f t="shared" si="5"/>
        <v>Current</v>
      </c>
      <c r="K121"/>
    </row>
    <row r="122" spans="1:11" x14ac:dyDescent="0.3">
      <c r="A122" s="20" t="s">
        <v>19</v>
      </c>
      <c r="B122" t="str">
        <f>VLOOKUP(A122,Customers!A:B,2,FALSE)</f>
        <v>NextWave Digital</v>
      </c>
      <c r="C122" s="24" t="s">
        <v>489</v>
      </c>
      <c r="D122" s="10">
        <v>46062</v>
      </c>
      <c r="E122" s="10">
        <v>46092</v>
      </c>
      <c r="F122" s="4">
        <v>11226.87</v>
      </c>
      <c r="G122" s="3">
        <f>SUMIF(Customer_Payments!B:B,C122,Customer_Payments!E:E)</f>
        <v>11226.87</v>
      </c>
      <c r="H122" s="3">
        <f t="shared" si="3"/>
        <v>0</v>
      </c>
      <c r="I122" s="29">
        <f t="shared" si="4"/>
        <v>-1</v>
      </c>
      <c r="J122" s="31" t="str">
        <f t="shared" si="5"/>
        <v>Current</v>
      </c>
      <c r="K122"/>
    </row>
    <row r="123" spans="1:11" x14ac:dyDescent="0.3">
      <c r="A123" s="21" t="s">
        <v>26</v>
      </c>
      <c r="B123" t="str">
        <f>VLOOKUP(A123,Customers!A:B,2,FALSE)</f>
        <v>NovaRetail</v>
      </c>
      <c r="C123" s="25" t="s">
        <v>490</v>
      </c>
      <c r="D123" s="11">
        <v>46082</v>
      </c>
      <c r="E123" s="11">
        <v>46112</v>
      </c>
      <c r="F123" s="5">
        <v>2426.7600000000002</v>
      </c>
      <c r="G123" s="3">
        <f>SUMIF(Customer_Payments!B:B,C123,Customer_Payments!E:E)</f>
        <v>2426.7600000000002</v>
      </c>
      <c r="H123" s="3">
        <f t="shared" si="3"/>
        <v>0</v>
      </c>
      <c r="I123" s="29">
        <f t="shared" si="4"/>
        <v>-21</v>
      </c>
      <c r="J123" s="31" t="str">
        <f t="shared" si="5"/>
        <v>Current</v>
      </c>
      <c r="K123"/>
    </row>
    <row r="124" spans="1:11" x14ac:dyDescent="0.3">
      <c r="A124" s="20" t="s">
        <v>18</v>
      </c>
      <c r="B124" t="str">
        <f>VLOOKUP(A124,Customers!A:B,2,FALSE)</f>
        <v>BluePeak Systems</v>
      </c>
      <c r="C124" s="24" t="s">
        <v>491</v>
      </c>
      <c r="D124" s="10">
        <v>46067</v>
      </c>
      <c r="E124" s="10">
        <v>46097</v>
      </c>
      <c r="F124" s="4">
        <v>2104.5500000000002</v>
      </c>
      <c r="G124" s="3">
        <f>SUMIF(Customer_Payments!B:B,C124,Customer_Payments!E:E)</f>
        <v>0</v>
      </c>
      <c r="H124" s="3">
        <f t="shared" si="3"/>
        <v>2104.5500000000002</v>
      </c>
      <c r="I124" s="29">
        <f t="shared" si="4"/>
        <v>-6</v>
      </c>
      <c r="J124" s="31" t="str">
        <f t="shared" si="5"/>
        <v>Current</v>
      </c>
      <c r="K124"/>
    </row>
    <row r="125" spans="1:11" x14ac:dyDescent="0.3">
      <c r="A125" s="21" t="s">
        <v>78</v>
      </c>
      <c r="B125" t="str">
        <f>VLOOKUP(A125,Customers!A:B,2,FALSE)</f>
        <v>RetailOrbitX</v>
      </c>
      <c r="C125" s="25" t="s">
        <v>492</v>
      </c>
      <c r="D125" s="11">
        <v>46088</v>
      </c>
      <c r="E125" s="11">
        <v>46118</v>
      </c>
      <c r="F125" s="5">
        <v>10063.51</v>
      </c>
      <c r="G125" s="3">
        <v>4000</v>
      </c>
      <c r="H125" s="3">
        <f t="shared" si="3"/>
        <v>6063.51</v>
      </c>
      <c r="I125" s="29">
        <f t="shared" si="4"/>
        <v>-27</v>
      </c>
      <c r="J125" s="31" t="str">
        <f t="shared" si="5"/>
        <v>Current</v>
      </c>
      <c r="K125"/>
    </row>
    <row r="126" spans="1:11" x14ac:dyDescent="0.3">
      <c r="A126" s="20" t="s">
        <v>22</v>
      </c>
      <c r="B126" t="str">
        <f>VLOOKUP(A126,Customers!A:B,2,FALSE)</f>
        <v>QuantumRetail</v>
      </c>
      <c r="C126" s="24" t="s">
        <v>493</v>
      </c>
      <c r="D126" s="10">
        <v>46086</v>
      </c>
      <c r="E126" s="10">
        <v>46116</v>
      </c>
      <c r="F126" s="4">
        <v>3103.76</v>
      </c>
      <c r="G126" s="3">
        <f>SUMIF(Customer_Payments!B:B,C126,Customer_Payments!E:E)</f>
        <v>3103.76</v>
      </c>
      <c r="H126" s="3">
        <f t="shared" si="3"/>
        <v>0</v>
      </c>
      <c r="I126" s="29">
        <f t="shared" si="4"/>
        <v>-25</v>
      </c>
      <c r="J126" s="31" t="str">
        <f t="shared" si="5"/>
        <v>Current</v>
      </c>
      <c r="K126"/>
    </row>
    <row r="127" spans="1:11" x14ac:dyDescent="0.3">
      <c r="A127" s="21" t="s">
        <v>99</v>
      </c>
      <c r="B127" t="str">
        <f>VLOOKUP(A127,Customers!A:B,2,FALSE)</f>
        <v>RetailNovaPro</v>
      </c>
      <c r="C127" s="25" t="s">
        <v>494</v>
      </c>
      <c r="D127" s="11">
        <v>45999</v>
      </c>
      <c r="E127" s="11">
        <v>46029</v>
      </c>
      <c r="F127" s="5">
        <v>11297.27</v>
      </c>
      <c r="G127" s="3">
        <v>10000</v>
      </c>
      <c r="H127" s="3">
        <f t="shared" si="3"/>
        <v>1297.2700000000004</v>
      </c>
      <c r="I127" s="29">
        <f t="shared" si="4"/>
        <v>62</v>
      </c>
      <c r="J127" s="31" t="str">
        <f t="shared" si="5"/>
        <v>61-90</v>
      </c>
      <c r="K127"/>
    </row>
    <row r="128" spans="1:11" x14ac:dyDescent="0.3">
      <c r="A128" s="20" t="s">
        <v>80</v>
      </c>
      <c r="B128" t="str">
        <f>VLOOKUP(A128,Customers!A:B,2,FALSE)</f>
        <v>RetailEdgeX</v>
      </c>
      <c r="C128" s="24" t="s">
        <v>495</v>
      </c>
      <c r="D128" s="10">
        <v>46068</v>
      </c>
      <c r="E128" s="10">
        <v>46098</v>
      </c>
      <c r="F128" s="4">
        <v>3562.08</v>
      </c>
      <c r="G128" s="3">
        <f>SUMIF(Customer_Payments!B:B,C128,Customer_Payments!E:E)</f>
        <v>3562.08</v>
      </c>
      <c r="H128" s="3">
        <f t="shared" si="3"/>
        <v>0</v>
      </c>
      <c r="I128" s="29">
        <f t="shared" si="4"/>
        <v>-7</v>
      </c>
      <c r="J128" s="31" t="str">
        <f t="shared" si="5"/>
        <v>Current</v>
      </c>
      <c r="K128"/>
    </row>
    <row r="129" spans="1:11" x14ac:dyDescent="0.3">
      <c r="A129" s="21" t="s">
        <v>20</v>
      </c>
      <c r="B129" t="str">
        <f>VLOOKUP(A129,Customers!A:B,2,FALSE)</f>
        <v>GrowthSphere</v>
      </c>
      <c r="C129" s="25" t="s">
        <v>496</v>
      </c>
      <c r="D129" s="11">
        <v>46041</v>
      </c>
      <c r="E129" s="11">
        <v>46071</v>
      </c>
      <c r="F129" s="5">
        <v>3097.83</v>
      </c>
      <c r="G129" s="3">
        <f>SUMIF(Customer_Payments!B:B,C129,Customer_Payments!E:E)</f>
        <v>3097.83</v>
      </c>
      <c r="H129" s="3">
        <f t="shared" si="3"/>
        <v>0</v>
      </c>
      <c r="I129" s="29">
        <f t="shared" si="4"/>
        <v>20</v>
      </c>
      <c r="J129" s="31" t="str">
        <f t="shared" si="5"/>
        <v>1-30</v>
      </c>
      <c r="K129"/>
    </row>
    <row r="130" spans="1:11" x14ac:dyDescent="0.3">
      <c r="A130" s="20" t="s">
        <v>80</v>
      </c>
      <c r="B130" t="str">
        <f>VLOOKUP(A130,Customers!A:B,2,FALSE)</f>
        <v>RetailEdgeX</v>
      </c>
      <c r="C130" s="24" t="s">
        <v>497</v>
      </c>
      <c r="D130" s="10">
        <v>46074</v>
      </c>
      <c r="E130" s="10">
        <v>46104</v>
      </c>
      <c r="F130" s="4">
        <v>2845.37</v>
      </c>
      <c r="G130" s="3">
        <v>1500</v>
      </c>
      <c r="H130" s="3">
        <f t="shared" ref="H130:H193" si="6">MAX(F130-G130,0)</f>
        <v>1345.37</v>
      </c>
      <c r="I130" s="29">
        <f t="shared" ref="I130:I193" si="7">$L$2-E130</f>
        <v>-13</v>
      </c>
      <c r="J130" s="31" t="str">
        <f t="shared" si="5"/>
        <v>Current</v>
      </c>
      <c r="K130"/>
    </row>
    <row r="131" spans="1:11" x14ac:dyDescent="0.3">
      <c r="A131" s="21" t="s">
        <v>111</v>
      </c>
      <c r="B131" t="str">
        <f>VLOOKUP(A131,Customers!A:B,2,FALSE)</f>
        <v>RetailPulsePro</v>
      </c>
      <c r="C131" s="25" t="s">
        <v>498</v>
      </c>
      <c r="D131" s="11">
        <v>46074</v>
      </c>
      <c r="E131" s="11">
        <v>46104</v>
      </c>
      <c r="F131" s="5">
        <v>5614.44</v>
      </c>
      <c r="G131" s="3">
        <v>2700</v>
      </c>
      <c r="H131" s="3">
        <f t="shared" si="6"/>
        <v>2914.4399999999996</v>
      </c>
      <c r="I131" s="29">
        <f t="shared" si="7"/>
        <v>-13</v>
      </c>
      <c r="J131" s="31" t="str">
        <f t="shared" ref="J131:J194" si="8">IF(I131&lt;=0,"Current",
IF(I131&lt;=30,"1-30",
IF(I131&lt;=60,"31-60",
IF(I131&lt;=90,"61-90","90+"))))</f>
        <v>Current</v>
      </c>
      <c r="K131"/>
    </row>
    <row r="132" spans="1:11" x14ac:dyDescent="0.3">
      <c r="A132" s="20" t="s">
        <v>91</v>
      </c>
      <c r="B132" t="str">
        <f>VLOOKUP(A132,Customers!A:B,2,FALSE)</f>
        <v>RetailBridgeX</v>
      </c>
      <c r="C132" s="24" t="s">
        <v>499</v>
      </c>
      <c r="D132" s="10">
        <v>46078</v>
      </c>
      <c r="E132" s="10">
        <v>46108</v>
      </c>
      <c r="F132" s="4">
        <v>3659</v>
      </c>
      <c r="G132" s="3">
        <f>SUMIF(Customer_Payments!B:B,C132,Customer_Payments!E:E)</f>
        <v>3659</v>
      </c>
      <c r="H132" s="3">
        <f t="shared" si="6"/>
        <v>0</v>
      </c>
      <c r="I132" s="29">
        <f t="shared" si="7"/>
        <v>-17</v>
      </c>
      <c r="J132" s="31" t="str">
        <f t="shared" si="8"/>
        <v>Current</v>
      </c>
      <c r="K132"/>
    </row>
    <row r="133" spans="1:11" x14ac:dyDescent="0.3">
      <c r="A133" s="21" t="s">
        <v>46</v>
      </c>
      <c r="B133" t="str">
        <f>VLOOKUP(A133,Customers!A:B,2,FALSE)</f>
        <v>NovaMarket</v>
      </c>
      <c r="C133" s="25" t="s">
        <v>500</v>
      </c>
      <c r="D133" s="11">
        <v>46058</v>
      </c>
      <c r="E133" s="11">
        <v>46088</v>
      </c>
      <c r="F133" s="5">
        <v>1632.56</v>
      </c>
      <c r="G133" s="3">
        <f>SUMIF(Customer_Payments!B:B,C133,Customer_Payments!E:E)</f>
        <v>1632.56</v>
      </c>
      <c r="H133" s="3">
        <f t="shared" si="6"/>
        <v>0</v>
      </c>
      <c r="I133" s="29">
        <f t="shared" si="7"/>
        <v>3</v>
      </c>
      <c r="J133" s="31" t="str">
        <f t="shared" si="8"/>
        <v>1-30</v>
      </c>
      <c r="K133"/>
    </row>
    <row r="134" spans="1:11" x14ac:dyDescent="0.3">
      <c r="A134" s="20" t="s">
        <v>58</v>
      </c>
      <c r="B134" t="str">
        <f>VLOOKUP(A134,Customers!A:B,2,FALSE)</f>
        <v>RetailAxis</v>
      </c>
      <c r="C134" s="24" t="s">
        <v>501</v>
      </c>
      <c r="D134" s="10">
        <v>46068</v>
      </c>
      <c r="E134" s="10">
        <v>46098</v>
      </c>
      <c r="F134" s="4">
        <v>2351.02</v>
      </c>
      <c r="G134" s="3">
        <f>SUMIF(Customer_Payments!B:B,C134,Customer_Payments!E:E)</f>
        <v>2351.02</v>
      </c>
      <c r="H134" s="3">
        <f t="shared" si="6"/>
        <v>0</v>
      </c>
      <c r="I134" s="29">
        <f t="shared" si="7"/>
        <v>-7</v>
      </c>
      <c r="J134" s="31" t="str">
        <f t="shared" si="8"/>
        <v>Current</v>
      </c>
      <c r="K134"/>
    </row>
    <row r="135" spans="1:11" x14ac:dyDescent="0.3">
      <c r="A135" s="21" t="s">
        <v>74</v>
      </c>
      <c r="B135" t="str">
        <f>VLOOKUP(A135,Customers!A:B,2,FALSE)</f>
        <v>RetailPrime</v>
      </c>
      <c r="C135" s="25" t="s">
        <v>502</v>
      </c>
      <c r="D135" s="11">
        <v>46034</v>
      </c>
      <c r="E135" s="11">
        <v>46064</v>
      </c>
      <c r="F135" s="5">
        <v>2570.25</v>
      </c>
      <c r="G135" s="3">
        <f>SUMIF(Customer_Payments!B:B,C135,Customer_Payments!E:E)</f>
        <v>2570.25</v>
      </c>
      <c r="H135" s="3">
        <f t="shared" si="6"/>
        <v>0</v>
      </c>
      <c r="I135" s="29">
        <f t="shared" si="7"/>
        <v>27</v>
      </c>
      <c r="J135" s="31" t="str">
        <f t="shared" si="8"/>
        <v>1-30</v>
      </c>
      <c r="K135"/>
    </row>
    <row r="136" spans="1:11" x14ac:dyDescent="0.3">
      <c r="A136" s="20" t="s">
        <v>46</v>
      </c>
      <c r="B136" t="str">
        <f>VLOOKUP(A136,Customers!A:B,2,FALSE)</f>
        <v>NovaMarket</v>
      </c>
      <c r="C136" s="24" t="s">
        <v>503</v>
      </c>
      <c r="D136" s="10">
        <v>46030</v>
      </c>
      <c r="E136" s="10">
        <v>46060</v>
      </c>
      <c r="F136" s="4">
        <v>4752.3900000000003</v>
      </c>
      <c r="G136" s="3">
        <f>SUMIF(Customer_Payments!B:B,C136,Customer_Payments!E:E)</f>
        <v>4752.3900000000003</v>
      </c>
      <c r="H136" s="3">
        <f t="shared" si="6"/>
        <v>0</v>
      </c>
      <c r="I136" s="29">
        <f t="shared" si="7"/>
        <v>31</v>
      </c>
      <c r="J136" s="31" t="str">
        <f t="shared" si="8"/>
        <v>31-60</v>
      </c>
      <c r="K136"/>
    </row>
    <row r="137" spans="1:11" x14ac:dyDescent="0.3">
      <c r="A137" s="21" t="s">
        <v>13</v>
      </c>
      <c r="B137" t="str">
        <f>VLOOKUP(A137,Customers!A:B,2,FALSE)</f>
        <v>EduNova</v>
      </c>
      <c r="C137" s="25" t="s">
        <v>504</v>
      </c>
      <c r="D137" s="11">
        <v>46032</v>
      </c>
      <c r="E137" s="11">
        <v>46062</v>
      </c>
      <c r="F137" s="5">
        <v>1673.56</v>
      </c>
      <c r="G137" s="3">
        <f>SUMIF(Customer_Payments!B:B,C137,Customer_Payments!E:E)</f>
        <v>1673.56</v>
      </c>
      <c r="H137" s="3">
        <f t="shared" si="6"/>
        <v>0</v>
      </c>
      <c r="I137" s="29">
        <f t="shared" si="7"/>
        <v>29</v>
      </c>
      <c r="J137" s="31" t="str">
        <f t="shared" si="8"/>
        <v>1-30</v>
      </c>
      <c r="K137"/>
    </row>
    <row r="138" spans="1:11" x14ac:dyDescent="0.3">
      <c r="A138" s="20" t="s">
        <v>41</v>
      </c>
      <c r="B138" t="str">
        <f>VLOOKUP(A138,Customers!A:B,2,FALSE)</f>
        <v>DynamicRetail</v>
      </c>
      <c r="C138" s="24" t="s">
        <v>505</v>
      </c>
      <c r="D138" s="10">
        <v>46082</v>
      </c>
      <c r="E138" s="10">
        <v>46112</v>
      </c>
      <c r="F138" s="4">
        <v>4314.82</v>
      </c>
      <c r="G138" s="3">
        <f>SUMIF(Customer_Payments!B:B,C138,Customer_Payments!E:E)</f>
        <v>4314.82</v>
      </c>
      <c r="H138" s="3">
        <f t="shared" si="6"/>
        <v>0</v>
      </c>
      <c r="I138" s="29">
        <f t="shared" si="7"/>
        <v>-21</v>
      </c>
      <c r="J138" s="31" t="str">
        <f t="shared" si="8"/>
        <v>Current</v>
      </c>
      <c r="K138"/>
    </row>
    <row r="139" spans="1:11" x14ac:dyDescent="0.3">
      <c r="A139" s="21" t="s">
        <v>41</v>
      </c>
      <c r="B139" t="str">
        <f>VLOOKUP(A139,Customers!A:B,2,FALSE)</f>
        <v>DynamicRetail</v>
      </c>
      <c r="C139" s="25" t="s">
        <v>506</v>
      </c>
      <c r="D139" s="11">
        <v>46055</v>
      </c>
      <c r="E139" s="11">
        <v>46085</v>
      </c>
      <c r="F139" s="5">
        <v>12777.31</v>
      </c>
      <c r="G139" s="3">
        <f>SUMIF(Customer_Payments!B:B,C139,Customer_Payments!E:E)</f>
        <v>12777.31</v>
      </c>
      <c r="H139" s="3">
        <f t="shared" si="6"/>
        <v>0</v>
      </c>
      <c r="I139" s="29">
        <f t="shared" si="7"/>
        <v>6</v>
      </c>
      <c r="J139" s="31" t="str">
        <f t="shared" si="8"/>
        <v>1-30</v>
      </c>
      <c r="K139"/>
    </row>
    <row r="140" spans="1:11" x14ac:dyDescent="0.3">
      <c r="A140" s="20" t="s">
        <v>43</v>
      </c>
      <c r="B140" t="str">
        <f>VLOOKUP(A140,Customers!A:B,2,FALSE)</f>
        <v>CommerceSpark</v>
      </c>
      <c r="C140" s="24" t="s">
        <v>507</v>
      </c>
      <c r="D140" s="10">
        <v>46090</v>
      </c>
      <c r="E140" s="10">
        <v>46120</v>
      </c>
      <c r="F140" s="4">
        <v>5509.89</v>
      </c>
      <c r="G140" s="3">
        <f>SUMIF(Customer_Payments!B:B,C140,Customer_Payments!E:E)</f>
        <v>5509.89</v>
      </c>
      <c r="H140" s="3">
        <f t="shared" si="6"/>
        <v>0</v>
      </c>
      <c r="I140" s="29">
        <f t="shared" si="7"/>
        <v>-29</v>
      </c>
      <c r="J140" s="31" t="str">
        <f t="shared" si="8"/>
        <v>Current</v>
      </c>
      <c r="K140"/>
    </row>
    <row r="141" spans="1:11" x14ac:dyDescent="0.3">
      <c r="A141" s="21" t="s">
        <v>12</v>
      </c>
      <c r="B141" t="str">
        <f>VLOOKUP(A141,Customers!A:B,2,FALSE)</f>
        <v>ShopOrbit</v>
      </c>
      <c r="C141" s="25" t="s">
        <v>508</v>
      </c>
      <c r="D141" s="11">
        <v>46103</v>
      </c>
      <c r="E141" s="11">
        <v>46133</v>
      </c>
      <c r="F141" s="5">
        <v>1928.51</v>
      </c>
      <c r="G141" s="3">
        <f>SUMIF(Customer_Payments!B:B,C141,Customer_Payments!E:E)</f>
        <v>1928.51</v>
      </c>
      <c r="H141" s="3">
        <f t="shared" si="6"/>
        <v>0</v>
      </c>
      <c r="I141" s="29">
        <f t="shared" si="7"/>
        <v>-42</v>
      </c>
      <c r="J141" s="31" t="str">
        <f t="shared" si="8"/>
        <v>Current</v>
      </c>
      <c r="K141"/>
    </row>
    <row r="142" spans="1:11" x14ac:dyDescent="0.3">
      <c r="A142" s="20" t="s">
        <v>45</v>
      </c>
      <c r="B142" t="str">
        <f>VLOOKUP(A142,Customers!A:B,2,FALSE)</f>
        <v>EdgeRetail</v>
      </c>
      <c r="C142" s="24" t="s">
        <v>509</v>
      </c>
      <c r="D142" s="10">
        <v>45989</v>
      </c>
      <c r="E142" s="10">
        <v>46019</v>
      </c>
      <c r="F142" s="4">
        <v>4790.53</v>
      </c>
      <c r="G142" s="3">
        <f>SUMIF(Customer_Payments!B:B,C142,Customer_Payments!E:E)</f>
        <v>4790.53</v>
      </c>
      <c r="H142" s="3">
        <f t="shared" si="6"/>
        <v>0</v>
      </c>
      <c r="I142" s="29">
        <f t="shared" si="7"/>
        <v>72</v>
      </c>
      <c r="J142" s="31" t="str">
        <f t="shared" si="8"/>
        <v>61-90</v>
      </c>
      <c r="K142"/>
    </row>
    <row r="143" spans="1:11" x14ac:dyDescent="0.3">
      <c r="A143" s="21" t="s">
        <v>22</v>
      </c>
      <c r="B143" t="str">
        <f>VLOOKUP(A143,Customers!A:B,2,FALSE)</f>
        <v>QuantumRetail</v>
      </c>
      <c r="C143" s="25" t="s">
        <v>510</v>
      </c>
      <c r="D143" s="11">
        <v>45971</v>
      </c>
      <c r="E143" s="11">
        <v>46001</v>
      </c>
      <c r="F143" s="5">
        <v>5534.7</v>
      </c>
      <c r="G143" s="3">
        <f>SUMIF(Customer_Payments!B:B,C143,Customer_Payments!E:E)</f>
        <v>5534.7</v>
      </c>
      <c r="H143" s="3">
        <f t="shared" si="6"/>
        <v>0</v>
      </c>
      <c r="I143" s="29">
        <f t="shared" si="7"/>
        <v>90</v>
      </c>
      <c r="J143" s="31" t="str">
        <f t="shared" si="8"/>
        <v>61-90</v>
      </c>
      <c r="K143"/>
    </row>
    <row r="144" spans="1:11" x14ac:dyDescent="0.3">
      <c r="A144" s="20" t="s">
        <v>75</v>
      </c>
      <c r="B144" t="str">
        <f>VLOOKUP(A144,Customers!A:B,2,FALSE)</f>
        <v>RetailMatrix</v>
      </c>
      <c r="C144" s="24" t="s">
        <v>511</v>
      </c>
      <c r="D144" s="10">
        <v>45985</v>
      </c>
      <c r="E144" s="10">
        <v>46015</v>
      </c>
      <c r="F144" s="4">
        <v>2996.86</v>
      </c>
      <c r="G144" s="3">
        <f>SUMIF(Customer_Payments!B:B,C144,Customer_Payments!E:E)</f>
        <v>2996.86</v>
      </c>
      <c r="H144" s="3">
        <f t="shared" si="6"/>
        <v>0</v>
      </c>
      <c r="I144" s="29">
        <f t="shared" si="7"/>
        <v>76</v>
      </c>
      <c r="J144" s="31" t="str">
        <f t="shared" si="8"/>
        <v>61-90</v>
      </c>
      <c r="K144"/>
    </row>
    <row r="145" spans="1:11" x14ac:dyDescent="0.3">
      <c r="A145" s="21" t="s">
        <v>16</v>
      </c>
      <c r="B145" t="str">
        <f>VLOOKUP(A145,Customers!A:B,2,FALSE)</f>
        <v>RetailHub</v>
      </c>
      <c r="C145" s="25" t="s">
        <v>512</v>
      </c>
      <c r="D145" s="11">
        <v>46081</v>
      </c>
      <c r="E145" s="11">
        <v>46111</v>
      </c>
      <c r="F145" s="5">
        <v>1605.68</v>
      </c>
      <c r="G145" s="3">
        <v>655</v>
      </c>
      <c r="H145" s="3">
        <f t="shared" si="6"/>
        <v>950.68000000000006</v>
      </c>
      <c r="I145" s="29">
        <f t="shared" si="7"/>
        <v>-20</v>
      </c>
      <c r="J145" s="31" t="str">
        <f t="shared" si="8"/>
        <v>Current</v>
      </c>
      <c r="K145"/>
    </row>
    <row r="146" spans="1:11" x14ac:dyDescent="0.3">
      <c r="A146" s="20" t="s">
        <v>124</v>
      </c>
      <c r="B146" t="str">
        <f>VLOOKUP(A146,Customers!A:B,2,FALSE)</f>
        <v>RetailOrbitGlobal</v>
      </c>
      <c r="C146" s="24" t="s">
        <v>513</v>
      </c>
      <c r="D146" s="10">
        <v>46092</v>
      </c>
      <c r="E146" s="10">
        <v>46122</v>
      </c>
      <c r="F146" s="4">
        <v>13736.47</v>
      </c>
      <c r="G146" s="3">
        <f>SUMIF(Customer_Payments!B:B,C146,Customer_Payments!E:E)</f>
        <v>13736.47</v>
      </c>
      <c r="H146" s="3">
        <f t="shared" si="6"/>
        <v>0</v>
      </c>
      <c r="I146" s="29">
        <f t="shared" si="7"/>
        <v>-31</v>
      </c>
      <c r="J146" s="31" t="str">
        <f t="shared" si="8"/>
        <v>Current</v>
      </c>
      <c r="K146"/>
    </row>
    <row r="147" spans="1:11" x14ac:dyDescent="0.3">
      <c r="A147" s="21" t="s">
        <v>97</v>
      </c>
      <c r="B147" t="str">
        <f>VLOOKUP(A147,Customers!A:B,2,FALSE)</f>
        <v>RetailSparkX</v>
      </c>
      <c r="C147" s="25" t="s">
        <v>514</v>
      </c>
      <c r="D147" s="11">
        <v>46036</v>
      </c>
      <c r="E147" s="11">
        <v>46066</v>
      </c>
      <c r="F147" s="5">
        <v>3434.53</v>
      </c>
      <c r="G147" s="3">
        <f>SUMIF(Customer_Payments!B:B,C147,Customer_Payments!E:E)</f>
        <v>3434.53</v>
      </c>
      <c r="H147" s="3">
        <f t="shared" si="6"/>
        <v>0</v>
      </c>
      <c r="I147" s="29">
        <f t="shared" si="7"/>
        <v>25</v>
      </c>
      <c r="J147" s="31" t="str">
        <f t="shared" si="8"/>
        <v>1-30</v>
      </c>
      <c r="K147"/>
    </row>
    <row r="148" spans="1:11" x14ac:dyDescent="0.3">
      <c r="A148" s="20" t="s">
        <v>48</v>
      </c>
      <c r="B148" t="str">
        <f>VLOOKUP(A148,Customers!A:B,2,FALSE)</f>
        <v>RetailGenius</v>
      </c>
      <c r="C148" s="24" t="s">
        <v>515</v>
      </c>
      <c r="D148" s="10">
        <v>46074</v>
      </c>
      <c r="E148" s="10">
        <v>46104</v>
      </c>
      <c r="F148" s="4">
        <v>1740.74</v>
      </c>
      <c r="G148" s="3">
        <f>SUMIF(Customer_Payments!B:B,C148,Customer_Payments!E:E)</f>
        <v>1740.74</v>
      </c>
      <c r="H148" s="3">
        <f t="shared" si="6"/>
        <v>0</v>
      </c>
      <c r="I148" s="29">
        <f t="shared" si="7"/>
        <v>-13</v>
      </c>
      <c r="J148" s="31" t="str">
        <f t="shared" si="8"/>
        <v>Current</v>
      </c>
      <c r="K148"/>
    </row>
    <row r="149" spans="1:11" x14ac:dyDescent="0.3">
      <c r="A149" s="21" t="s">
        <v>124</v>
      </c>
      <c r="B149" t="str">
        <f>VLOOKUP(A149,Customers!A:B,2,FALSE)</f>
        <v>RetailOrbitGlobal</v>
      </c>
      <c r="C149" s="25" t="s">
        <v>516</v>
      </c>
      <c r="D149" s="11">
        <v>46042</v>
      </c>
      <c r="E149" s="11">
        <v>46072</v>
      </c>
      <c r="F149" s="5">
        <v>5602.64</v>
      </c>
      <c r="G149" s="3">
        <v>3150</v>
      </c>
      <c r="H149" s="3">
        <f t="shared" si="6"/>
        <v>2452.6400000000003</v>
      </c>
      <c r="I149" s="29">
        <f t="shared" si="7"/>
        <v>19</v>
      </c>
      <c r="J149" s="31" t="str">
        <f t="shared" si="8"/>
        <v>1-30</v>
      </c>
      <c r="K149"/>
    </row>
    <row r="150" spans="1:11" x14ac:dyDescent="0.3">
      <c r="A150" s="20" t="s">
        <v>82</v>
      </c>
      <c r="B150" t="str">
        <f>VLOOKUP(A150,Customers!A:B,2,FALSE)</f>
        <v>RetailNovaX</v>
      </c>
      <c r="C150" s="24" t="s">
        <v>517</v>
      </c>
      <c r="D150" s="10">
        <v>46030</v>
      </c>
      <c r="E150" s="10">
        <v>46060</v>
      </c>
      <c r="F150" s="4">
        <v>2088.13</v>
      </c>
      <c r="G150" s="3">
        <f>SUMIF(Customer_Payments!B:B,C150,Customer_Payments!E:E)</f>
        <v>2088.13</v>
      </c>
      <c r="H150" s="3">
        <f t="shared" si="6"/>
        <v>0</v>
      </c>
      <c r="I150" s="29">
        <f t="shared" si="7"/>
        <v>31</v>
      </c>
      <c r="J150" s="31" t="str">
        <f t="shared" si="8"/>
        <v>31-60</v>
      </c>
      <c r="K150"/>
    </row>
    <row r="151" spans="1:11" x14ac:dyDescent="0.3">
      <c r="A151" s="21" t="s">
        <v>35</v>
      </c>
      <c r="B151" t="str">
        <f>VLOOKUP(A151,Customers!A:B,2,FALSE)</f>
        <v>FusionRetail</v>
      </c>
      <c r="C151" s="25" t="s">
        <v>518</v>
      </c>
      <c r="D151" s="11">
        <v>46098</v>
      </c>
      <c r="E151" s="11">
        <v>46128</v>
      </c>
      <c r="F151" s="5">
        <v>12115.02</v>
      </c>
      <c r="G151" s="3">
        <f>SUMIF(Customer_Payments!B:B,C151,Customer_Payments!E:E)</f>
        <v>12115.02</v>
      </c>
      <c r="H151" s="3">
        <f t="shared" si="6"/>
        <v>0</v>
      </c>
      <c r="I151" s="29">
        <f t="shared" si="7"/>
        <v>-37</v>
      </c>
      <c r="J151" s="31" t="str">
        <f t="shared" si="8"/>
        <v>Current</v>
      </c>
      <c r="K151"/>
    </row>
    <row r="152" spans="1:11" x14ac:dyDescent="0.3">
      <c r="A152" s="20" t="s">
        <v>74</v>
      </c>
      <c r="B152" t="str">
        <f>VLOOKUP(A152,Customers!A:B,2,FALSE)</f>
        <v>RetailPrime</v>
      </c>
      <c r="C152" s="24" t="s">
        <v>519</v>
      </c>
      <c r="D152" s="10">
        <v>46057</v>
      </c>
      <c r="E152" s="10">
        <v>46087</v>
      </c>
      <c r="F152" s="4">
        <v>2779.12</v>
      </c>
      <c r="G152" s="3">
        <f>SUMIF(Customer_Payments!B:B,C152,Customer_Payments!E:E)</f>
        <v>2779.12</v>
      </c>
      <c r="H152" s="3">
        <f t="shared" si="6"/>
        <v>0</v>
      </c>
      <c r="I152" s="29">
        <f t="shared" si="7"/>
        <v>4</v>
      </c>
      <c r="J152" s="31" t="str">
        <f t="shared" si="8"/>
        <v>1-30</v>
      </c>
      <c r="K152"/>
    </row>
    <row r="153" spans="1:11" x14ac:dyDescent="0.3">
      <c r="A153" s="21" t="s">
        <v>111</v>
      </c>
      <c r="B153" t="str">
        <f>VLOOKUP(A153,Customers!A:B,2,FALSE)</f>
        <v>RetailPulsePro</v>
      </c>
      <c r="C153" s="25" t="s">
        <v>520</v>
      </c>
      <c r="D153" s="11">
        <v>46054</v>
      </c>
      <c r="E153" s="11">
        <v>46084</v>
      </c>
      <c r="F153" s="5">
        <v>3071.47</v>
      </c>
      <c r="G153" s="3">
        <f>SUMIF(Customer_Payments!B:B,C153,Customer_Payments!E:E)</f>
        <v>3071.47</v>
      </c>
      <c r="H153" s="3">
        <f t="shared" si="6"/>
        <v>0</v>
      </c>
      <c r="I153" s="29">
        <f t="shared" si="7"/>
        <v>7</v>
      </c>
      <c r="J153" s="31" t="str">
        <f t="shared" si="8"/>
        <v>1-30</v>
      </c>
      <c r="K153"/>
    </row>
    <row r="154" spans="1:11" x14ac:dyDescent="0.3">
      <c r="A154" s="20" t="s">
        <v>32</v>
      </c>
      <c r="B154" t="str">
        <f>VLOOKUP(A154,Customers!A:B,2,FALSE)</f>
        <v>RetailVista</v>
      </c>
      <c r="C154" s="24" t="s">
        <v>521</v>
      </c>
      <c r="D154" s="10">
        <v>46019</v>
      </c>
      <c r="E154" s="10">
        <v>46049</v>
      </c>
      <c r="F154" s="4">
        <v>2026.83</v>
      </c>
      <c r="G154" s="3">
        <f>SUMIF(Customer_Payments!B:B,C154,Customer_Payments!E:E)</f>
        <v>2026.83</v>
      </c>
      <c r="H154" s="3">
        <f t="shared" si="6"/>
        <v>0</v>
      </c>
      <c r="I154" s="29">
        <f t="shared" si="7"/>
        <v>42</v>
      </c>
      <c r="J154" s="31" t="str">
        <f t="shared" si="8"/>
        <v>31-60</v>
      </c>
      <c r="K154"/>
    </row>
    <row r="155" spans="1:11" x14ac:dyDescent="0.3">
      <c r="A155" s="21" t="s">
        <v>105</v>
      </c>
      <c r="B155" t="str">
        <f>VLOOKUP(A155,Customers!A:B,2,FALSE)</f>
        <v>RetailFlowPro</v>
      </c>
      <c r="C155" s="25" t="s">
        <v>522</v>
      </c>
      <c r="D155" s="11">
        <v>45967</v>
      </c>
      <c r="E155" s="11">
        <v>45997</v>
      </c>
      <c r="F155" s="5">
        <v>5204.8</v>
      </c>
      <c r="G155" s="3">
        <f>SUMIF(Customer_Payments!B:B,C155,Customer_Payments!E:E)</f>
        <v>5204.8</v>
      </c>
      <c r="H155" s="3">
        <f t="shared" si="6"/>
        <v>0</v>
      </c>
      <c r="I155" s="29">
        <f t="shared" si="7"/>
        <v>94</v>
      </c>
      <c r="J155" s="31" t="str">
        <f t="shared" si="8"/>
        <v>90+</v>
      </c>
      <c r="K155"/>
    </row>
    <row r="156" spans="1:11" x14ac:dyDescent="0.3">
      <c r="A156" s="20" t="s">
        <v>64</v>
      </c>
      <c r="B156" t="str">
        <f>VLOOKUP(A156,Customers!A:B,2,FALSE)</f>
        <v>MarketScale</v>
      </c>
      <c r="C156" s="24" t="s">
        <v>523</v>
      </c>
      <c r="D156" s="10">
        <v>46026</v>
      </c>
      <c r="E156" s="10">
        <v>46056</v>
      </c>
      <c r="F156" s="4">
        <v>1795.76</v>
      </c>
      <c r="G156" s="3">
        <v>1600</v>
      </c>
      <c r="H156" s="3">
        <f t="shared" si="6"/>
        <v>195.76</v>
      </c>
      <c r="I156" s="29">
        <f t="shared" si="7"/>
        <v>35</v>
      </c>
      <c r="J156" s="31" t="str">
        <f t="shared" si="8"/>
        <v>31-60</v>
      </c>
      <c r="K156"/>
    </row>
    <row r="157" spans="1:11" x14ac:dyDescent="0.3">
      <c r="A157" s="21" t="s">
        <v>86</v>
      </c>
      <c r="B157" t="str">
        <f>VLOOKUP(A157,Customers!A:B,2,FALSE)</f>
        <v>RetailNextX</v>
      </c>
      <c r="C157" s="25" t="s">
        <v>524</v>
      </c>
      <c r="D157" s="11">
        <v>46106</v>
      </c>
      <c r="E157" s="11">
        <v>46136</v>
      </c>
      <c r="F157" s="5">
        <v>2105.39</v>
      </c>
      <c r="G157" s="3">
        <f>SUMIF(Customer_Payments!B:B,C157,Customer_Payments!E:E)</f>
        <v>2105.39</v>
      </c>
      <c r="H157" s="3">
        <f t="shared" si="6"/>
        <v>0</v>
      </c>
      <c r="I157" s="29">
        <f t="shared" si="7"/>
        <v>-45</v>
      </c>
      <c r="J157" s="31" t="str">
        <f t="shared" si="8"/>
        <v>Current</v>
      </c>
      <c r="K157"/>
    </row>
    <row r="158" spans="1:11" x14ac:dyDescent="0.3">
      <c r="A158" s="20" t="s">
        <v>15</v>
      </c>
      <c r="B158" t="str">
        <f>VLOOKUP(A158,Customers!A:B,2,FALSE)</f>
        <v>CloudScale</v>
      </c>
      <c r="C158" s="24" t="s">
        <v>525</v>
      </c>
      <c r="D158" s="10">
        <v>45976</v>
      </c>
      <c r="E158" s="10">
        <v>46006</v>
      </c>
      <c r="F158" s="4">
        <v>2864.25</v>
      </c>
      <c r="G158" s="3">
        <f>SUMIF(Customer_Payments!B:B,C158,Customer_Payments!E:E)</f>
        <v>2864.25</v>
      </c>
      <c r="H158" s="3">
        <f t="shared" si="6"/>
        <v>0</v>
      </c>
      <c r="I158" s="29">
        <f t="shared" si="7"/>
        <v>85</v>
      </c>
      <c r="J158" s="31" t="str">
        <f t="shared" si="8"/>
        <v>61-90</v>
      </c>
      <c r="K158"/>
    </row>
    <row r="159" spans="1:11" x14ac:dyDescent="0.3">
      <c r="A159" s="21" t="s">
        <v>52</v>
      </c>
      <c r="B159" t="str">
        <f>VLOOKUP(A159,Customers!A:B,2,FALSE)</f>
        <v>RetailShift</v>
      </c>
      <c r="C159" s="25" t="s">
        <v>526</v>
      </c>
      <c r="D159" s="11">
        <v>46009</v>
      </c>
      <c r="E159" s="11">
        <v>46039</v>
      </c>
      <c r="F159" s="5">
        <v>11722.6</v>
      </c>
      <c r="G159" s="3">
        <f>SUMIF(Customer_Payments!B:B,C159,Customer_Payments!E:E)</f>
        <v>11722.6</v>
      </c>
      <c r="H159" s="3">
        <f t="shared" si="6"/>
        <v>0</v>
      </c>
      <c r="I159" s="29">
        <f t="shared" si="7"/>
        <v>52</v>
      </c>
      <c r="J159" s="31" t="str">
        <f t="shared" si="8"/>
        <v>31-60</v>
      </c>
      <c r="K159"/>
    </row>
    <row r="160" spans="1:11" x14ac:dyDescent="0.3">
      <c r="A160" s="20" t="s">
        <v>54</v>
      </c>
      <c r="B160" t="str">
        <f>VLOOKUP(A160,Customers!A:B,2,FALSE)</f>
        <v>RetailEdge</v>
      </c>
      <c r="C160" s="24" t="s">
        <v>527</v>
      </c>
      <c r="D160" s="10">
        <v>46022</v>
      </c>
      <c r="E160" s="10">
        <v>46052</v>
      </c>
      <c r="F160" s="4">
        <v>2903.87</v>
      </c>
      <c r="G160" s="3">
        <f>SUMIF(Customer_Payments!B:B,C160,Customer_Payments!E:E)</f>
        <v>2903.87</v>
      </c>
      <c r="H160" s="3">
        <f t="shared" si="6"/>
        <v>0</v>
      </c>
      <c r="I160" s="29">
        <f t="shared" si="7"/>
        <v>39</v>
      </c>
      <c r="J160" s="31" t="str">
        <f t="shared" si="8"/>
        <v>31-60</v>
      </c>
      <c r="K160"/>
    </row>
    <row r="161" spans="1:11" x14ac:dyDescent="0.3">
      <c r="A161" s="21" t="s">
        <v>71</v>
      </c>
      <c r="B161" t="str">
        <f>VLOOKUP(A161,Customers!A:B,2,FALSE)</f>
        <v>RetailPulse</v>
      </c>
      <c r="C161" s="25" t="s">
        <v>528</v>
      </c>
      <c r="D161" s="11">
        <v>46015</v>
      </c>
      <c r="E161" s="11">
        <v>46045</v>
      </c>
      <c r="F161" s="5">
        <v>2076.73</v>
      </c>
      <c r="G161" s="3">
        <f>SUMIF(Customer_Payments!B:B,C161,Customer_Payments!E:E)</f>
        <v>2076.73</v>
      </c>
      <c r="H161" s="3">
        <f t="shared" si="6"/>
        <v>0</v>
      </c>
      <c r="I161" s="29">
        <f t="shared" si="7"/>
        <v>46</v>
      </c>
      <c r="J161" s="31" t="str">
        <f t="shared" si="8"/>
        <v>31-60</v>
      </c>
      <c r="K161"/>
    </row>
    <row r="162" spans="1:11" x14ac:dyDescent="0.3">
      <c r="A162" s="20" t="s">
        <v>64</v>
      </c>
      <c r="B162" t="str">
        <f>VLOOKUP(A162,Customers!A:B,2,FALSE)</f>
        <v>MarketScale</v>
      </c>
      <c r="C162" s="24" t="s">
        <v>529</v>
      </c>
      <c r="D162" s="10">
        <v>45979</v>
      </c>
      <c r="E162" s="10">
        <v>46009</v>
      </c>
      <c r="F162" s="4">
        <v>11821.02</v>
      </c>
      <c r="G162" s="3">
        <v>7700</v>
      </c>
      <c r="H162" s="3">
        <f t="shared" si="6"/>
        <v>4121.0200000000004</v>
      </c>
      <c r="I162" s="29">
        <f t="shared" si="7"/>
        <v>82</v>
      </c>
      <c r="J162" s="31" t="str">
        <f t="shared" si="8"/>
        <v>61-90</v>
      </c>
      <c r="K162"/>
    </row>
    <row r="163" spans="1:11" x14ac:dyDescent="0.3">
      <c r="A163" s="21" t="s">
        <v>26</v>
      </c>
      <c r="B163" t="str">
        <f>VLOOKUP(A163,Customers!A:B,2,FALSE)</f>
        <v>NovaRetail</v>
      </c>
      <c r="C163" s="25" t="s">
        <v>530</v>
      </c>
      <c r="D163" s="11">
        <v>45981</v>
      </c>
      <c r="E163" s="11">
        <v>46011</v>
      </c>
      <c r="F163" s="5">
        <v>3712.57</v>
      </c>
      <c r="G163" s="3">
        <f>SUMIF(Customer_Payments!B:B,C163,Customer_Payments!E:E)</f>
        <v>3712.57</v>
      </c>
      <c r="H163" s="3">
        <f t="shared" si="6"/>
        <v>0</v>
      </c>
      <c r="I163" s="29">
        <f t="shared" si="7"/>
        <v>80</v>
      </c>
      <c r="J163" s="31" t="str">
        <f t="shared" si="8"/>
        <v>61-90</v>
      </c>
      <c r="K163"/>
    </row>
    <row r="164" spans="1:11" x14ac:dyDescent="0.3">
      <c r="A164" s="20" t="s">
        <v>17</v>
      </c>
      <c r="B164" t="str">
        <f>VLOOKUP(A164,Customers!A:B,2,FALSE)</f>
        <v>AlphaCommerce</v>
      </c>
      <c r="C164" s="24" t="s">
        <v>531</v>
      </c>
      <c r="D164" s="10">
        <v>45999</v>
      </c>
      <c r="E164" s="10">
        <v>46029</v>
      </c>
      <c r="F164" s="4">
        <v>2940.63</v>
      </c>
      <c r="G164" s="3">
        <v>400</v>
      </c>
      <c r="H164" s="3">
        <f t="shared" si="6"/>
        <v>2540.63</v>
      </c>
      <c r="I164" s="29">
        <f t="shared" si="7"/>
        <v>62</v>
      </c>
      <c r="J164" s="31" t="str">
        <f t="shared" si="8"/>
        <v>61-90</v>
      </c>
      <c r="K164"/>
    </row>
    <row r="165" spans="1:11" x14ac:dyDescent="0.3">
      <c r="A165" s="21" t="s">
        <v>63</v>
      </c>
      <c r="B165" t="str">
        <f>VLOOKUP(A165,Customers!A:B,2,FALSE)</f>
        <v>RetailCore</v>
      </c>
      <c r="C165" s="25" t="s">
        <v>532</v>
      </c>
      <c r="D165" s="11">
        <v>46108</v>
      </c>
      <c r="E165" s="11">
        <v>46138</v>
      </c>
      <c r="F165" s="5">
        <v>3704.58</v>
      </c>
      <c r="G165" s="3">
        <f>SUMIF(Customer_Payments!B:B,C165,Customer_Payments!E:E)</f>
        <v>3704.58</v>
      </c>
      <c r="H165" s="3">
        <f t="shared" si="6"/>
        <v>0</v>
      </c>
      <c r="I165" s="29">
        <f t="shared" si="7"/>
        <v>-47</v>
      </c>
      <c r="J165" s="31" t="str">
        <f t="shared" si="8"/>
        <v>Current</v>
      </c>
      <c r="K165"/>
    </row>
    <row r="166" spans="1:11" x14ac:dyDescent="0.3">
      <c r="A166" s="20" t="s">
        <v>43</v>
      </c>
      <c r="B166" t="str">
        <f>VLOOKUP(A166,Customers!A:B,2,FALSE)</f>
        <v>CommerceSpark</v>
      </c>
      <c r="C166" s="24" t="s">
        <v>533</v>
      </c>
      <c r="D166" s="10">
        <v>46005</v>
      </c>
      <c r="E166" s="10">
        <v>46035</v>
      </c>
      <c r="F166" s="4">
        <v>3531.85</v>
      </c>
      <c r="G166" s="3">
        <f>SUMIF(Customer_Payments!B:B,C166,Customer_Payments!E:E)</f>
        <v>3531.85</v>
      </c>
      <c r="H166" s="3">
        <f t="shared" si="6"/>
        <v>0</v>
      </c>
      <c r="I166" s="29">
        <f t="shared" si="7"/>
        <v>56</v>
      </c>
      <c r="J166" s="31" t="str">
        <f t="shared" si="8"/>
        <v>31-60</v>
      </c>
      <c r="K166"/>
    </row>
    <row r="167" spans="1:11" x14ac:dyDescent="0.3">
      <c r="A167" s="21" t="s">
        <v>108</v>
      </c>
      <c r="B167" t="str">
        <f>VLOOKUP(A167,Customers!A:B,2,FALSE)</f>
        <v>RetailNextPro</v>
      </c>
      <c r="C167" s="25" t="s">
        <v>534</v>
      </c>
      <c r="D167" s="11">
        <v>46028</v>
      </c>
      <c r="E167" s="11">
        <v>46058</v>
      </c>
      <c r="F167" s="5">
        <v>11562.09</v>
      </c>
      <c r="G167" s="3">
        <f>SUMIF(Customer_Payments!B:B,C167,Customer_Payments!E:E)</f>
        <v>11562.09</v>
      </c>
      <c r="H167" s="3">
        <f t="shared" si="6"/>
        <v>0</v>
      </c>
      <c r="I167" s="29">
        <f t="shared" si="7"/>
        <v>33</v>
      </c>
      <c r="J167" s="31" t="str">
        <f t="shared" si="8"/>
        <v>31-60</v>
      </c>
      <c r="K167"/>
    </row>
    <row r="168" spans="1:11" x14ac:dyDescent="0.3">
      <c r="A168" s="20" t="s">
        <v>93</v>
      </c>
      <c r="B168" t="str">
        <f>VLOOKUP(A168,Customers!A:B,2,FALSE)</f>
        <v>RetailSphereX</v>
      </c>
      <c r="C168" s="24" t="s">
        <v>535</v>
      </c>
      <c r="D168" s="10">
        <v>46028</v>
      </c>
      <c r="E168" s="10">
        <v>46058</v>
      </c>
      <c r="F168" s="4">
        <v>1906.06</v>
      </c>
      <c r="G168" s="3">
        <f>SUMIF(Customer_Payments!B:B,C168,Customer_Payments!E:E)</f>
        <v>1906.06</v>
      </c>
      <c r="H168" s="3">
        <f t="shared" si="6"/>
        <v>0</v>
      </c>
      <c r="I168" s="29">
        <f t="shared" si="7"/>
        <v>33</v>
      </c>
      <c r="J168" s="31" t="str">
        <f t="shared" si="8"/>
        <v>31-60</v>
      </c>
      <c r="K168"/>
    </row>
    <row r="169" spans="1:11" x14ac:dyDescent="0.3">
      <c r="A169" s="21" t="s">
        <v>84</v>
      </c>
      <c r="B169" t="str">
        <f>VLOOKUP(A169,Customers!A:B,2,FALSE)</f>
        <v>RetailVisionX</v>
      </c>
      <c r="C169" s="25" t="s">
        <v>536</v>
      </c>
      <c r="D169" s="11">
        <v>45990</v>
      </c>
      <c r="E169" s="11">
        <v>46020</v>
      </c>
      <c r="F169" s="5">
        <v>10963.91</v>
      </c>
      <c r="G169" s="3">
        <v>8800</v>
      </c>
      <c r="H169" s="3">
        <f t="shared" si="6"/>
        <v>2163.91</v>
      </c>
      <c r="I169" s="29">
        <f t="shared" si="7"/>
        <v>71</v>
      </c>
      <c r="J169" s="31" t="str">
        <f t="shared" si="8"/>
        <v>61-90</v>
      </c>
      <c r="K169"/>
    </row>
    <row r="170" spans="1:11" x14ac:dyDescent="0.3">
      <c r="A170" s="20" t="s">
        <v>51</v>
      </c>
      <c r="B170" t="str">
        <f>VLOOKUP(A170,Customers!A:B,2,FALSE)</f>
        <v>CartMasters</v>
      </c>
      <c r="C170" s="24" t="s">
        <v>537</v>
      </c>
      <c r="D170" s="10">
        <v>45966</v>
      </c>
      <c r="E170" s="10">
        <v>45996</v>
      </c>
      <c r="F170" s="4">
        <v>4666.72</v>
      </c>
      <c r="G170" s="3">
        <f>SUMIF(Customer_Payments!B:B,C170,Customer_Payments!E:E)</f>
        <v>4666.7199999999993</v>
      </c>
      <c r="H170" s="3">
        <f t="shared" si="6"/>
        <v>9.0949470177292824E-13</v>
      </c>
      <c r="I170" s="29">
        <f t="shared" si="7"/>
        <v>95</v>
      </c>
      <c r="J170" s="31" t="str">
        <f t="shared" si="8"/>
        <v>90+</v>
      </c>
      <c r="K170"/>
    </row>
    <row r="171" spans="1:11" x14ac:dyDescent="0.3">
      <c r="A171" s="21" t="s">
        <v>83</v>
      </c>
      <c r="B171" t="str">
        <f>VLOOKUP(A171,Customers!A:B,2,FALSE)</f>
        <v>RetailCoreX</v>
      </c>
      <c r="C171" s="25" t="s">
        <v>538</v>
      </c>
      <c r="D171" s="11">
        <v>46058</v>
      </c>
      <c r="E171" s="11">
        <v>46088</v>
      </c>
      <c r="F171" s="5">
        <v>2967.7</v>
      </c>
      <c r="G171" s="3">
        <f>SUMIF(Customer_Payments!B:B,C171,Customer_Payments!E:E)</f>
        <v>2967.7</v>
      </c>
      <c r="H171" s="3">
        <f t="shared" si="6"/>
        <v>0</v>
      </c>
      <c r="I171" s="29">
        <f t="shared" si="7"/>
        <v>3</v>
      </c>
      <c r="J171" s="31" t="str">
        <f t="shared" si="8"/>
        <v>1-30</v>
      </c>
      <c r="K171"/>
    </row>
    <row r="172" spans="1:11" x14ac:dyDescent="0.3">
      <c r="A172" s="20" t="s">
        <v>108</v>
      </c>
      <c r="B172" t="str">
        <f>VLOOKUP(A172,Customers!A:B,2,FALSE)</f>
        <v>RetailNextPro</v>
      </c>
      <c r="C172" s="24" t="s">
        <v>539</v>
      </c>
      <c r="D172" s="10">
        <v>46077</v>
      </c>
      <c r="E172" s="10">
        <v>46107</v>
      </c>
      <c r="F172" s="4">
        <v>2115.36</v>
      </c>
      <c r="G172" s="3">
        <f>SUMIF(Customer_Payments!B:B,C172,Customer_Payments!E:E)</f>
        <v>2115.36</v>
      </c>
      <c r="H172" s="3">
        <f t="shared" si="6"/>
        <v>0</v>
      </c>
      <c r="I172" s="29">
        <f t="shared" si="7"/>
        <v>-16</v>
      </c>
      <c r="J172" s="31" t="str">
        <f t="shared" si="8"/>
        <v>Current</v>
      </c>
      <c r="K172"/>
    </row>
    <row r="173" spans="1:11" x14ac:dyDescent="0.3">
      <c r="A173" s="21" t="s">
        <v>101</v>
      </c>
      <c r="B173" t="str">
        <f>VLOOKUP(A173,Customers!A:B,2,FALSE)</f>
        <v>RetailMatrixPro</v>
      </c>
      <c r="C173" s="25" t="s">
        <v>540</v>
      </c>
      <c r="D173" s="11">
        <v>45977</v>
      </c>
      <c r="E173" s="11">
        <v>46007</v>
      </c>
      <c r="F173" s="5">
        <v>2813.18</v>
      </c>
      <c r="G173" s="3">
        <v>1000</v>
      </c>
      <c r="H173" s="3">
        <f t="shared" si="6"/>
        <v>1813.1799999999998</v>
      </c>
      <c r="I173" s="29">
        <f t="shared" si="7"/>
        <v>84</v>
      </c>
      <c r="J173" s="31" t="str">
        <f t="shared" si="8"/>
        <v>61-90</v>
      </c>
      <c r="K173"/>
    </row>
    <row r="174" spans="1:11" x14ac:dyDescent="0.3">
      <c r="A174" s="20" t="s">
        <v>72</v>
      </c>
      <c r="B174" t="str">
        <f>VLOOKUP(A174,Customers!A:B,2,FALSE)</f>
        <v>RetailStream</v>
      </c>
      <c r="C174" s="24" t="s">
        <v>541</v>
      </c>
      <c r="D174" s="10">
        <v>46053</v>
      </c>
      <c r="E174" s="10">
        <v>46083</v>
      </c>
      <c r="F174" s="4">
        <v>2096.96</v>
      </c>
      <c r="G174" s="3">
        <f>SUMIF(Customer_Payments!B:B,C174,Customer_Payments!E:E)</f>
        <v>2096.96</v>
      </c>
      <c r="H174" s="3">
        <f t="shared" si="6"/>
        <v>0</v>
      </c>
      <c r="I174" s="29">
        <f t="shared" si="7"/>
        <v>8</v>
      </c>
      <c r="J174" s="31" t="str">
        <f t="shared" si="8"/>
        <v>1-30</v>
      </c>
      <c r="K174"/>
    </row>
    <row r="175" spans="1:11" x14ac:dyDescent="0.3">
      <c r="A175" s="21" t="s">
        <v>50</v>
      </c>
      <c r="B175" t="str">
        <f>VLOOKUP(A175,Customers!A:B,2,FALSE)</f>
        <v>RetailNexus</v>
      </c>
      <c r="C175" s="25" t="s">
        <v>542</v>
      </c>
      <c r="D175" s="11">
        <v>46080</v>
      </c>
      <c r="E175" s="11">
        <v>46110</v>
      </c>
      <c r="F175" s="5">
        <v>2018.23</v>
      </c>
      <c r="G175" s="3">
        <v>1800</v>
      </c>
      <c r="H175" s="3">
        <f t="shared" si="6"/>
        <v>218.23000000000002</v>
      </c>
      <c r="I175" s="29">
        <f t="shared" si="7"/>
        <v>-19</v>
      </c>
      <c r="J175" s="31" t="str">
        <f t="shared" si="8"/>
        <v>Current</v>
      </c>
      <c r="K175"/>
    </row>
    <row r="176" spans="1:11" x14ac:dyDescent="0.3">
      <c r="A176" s="20" t="s">
        <v>115</v>
      </c>
      <c r="B176" t="str">
        <f>VLOOKUP(A176,Customers!A:B,2,FALSE)</f>
        <v>RetailDynamicsPro</v>
      </c>
      <c r="C176" s="24" t="s">
        <v>543</v>
      </c>
      <c r="D176" s="10">
        <v>46007</v>
      </c>
      <c r="E176" s="10">
        <v>46037</v>
      </c>
      <c r="F176" s="4">
        <v>10521.63</v>
      </c>
      <c r="G176" s="3">
        <f>SUMIF(Customer_Payments!B:B,C176,Customer_Payments!E:E)</f>
        <v>10521.63</v>
      </c>
      <c r="H176" s="3">
        <f t="shared" si="6"/>
        <v>0</v>
      </c>
      <c r="I176" s="29">
        <f t="shared" si="7"/>
        <v>54</v>
      </c>
      <c r="J176" s="31" t="str">
        <f t="shared" si="8"/>
        <v>31-60</v>
      </c>
      <c r="K176"/>
    </row>
    <row r="177" spans="1:11" x14ac:dyDescent="0.3">
      <c r="A177" s="21" t="s">
        <v>11</v>
      </c>
      <c r="B177" t="str">
        <f>VLOOKUP(A177,Customers!A:B,2,FALSE)</f>
        <v>DataHive</v>
      </c>
      <c r="C177" s="25" t="s">
        <v>544</v>
      </c>
      <c r="D177" s="11">
        <v>46019</v>
      </c>
      <c r="E177" s="11">
        <v>46049</v>
      </c>
      <c r="F177" s="5">
        <v>3009.23</v>
      </c>
      <c r="G177" s="3">
        <v>2600</v>
      </c>
      <c r="H177" s="3">
        <f t="shared" si="6"/>
        <v>409.23</v>
      </c>
      <c r="I177" s="29">
        <f t="shared" si="7"/>
        <v>42</v>
      </c>
      <c r="J177" s="31" t="str">
        <f t="shared" si="8"/>
        <v>31-60</v>
      </c>
      <c r="K177"/>
    </row>
    <row r="178" spans="1:11" x14ac:dyDescent="0.3">
      <c r="A178" s="20" t="s">
        <v>55</v>
      </c>
      <c r="B178" t="str">
        <f>VLOOKUP(A178,Customers!A:B,2,FALSE)</f>
        <v>CommerceLabs</v>
      </c>
      <c r="C178" s="24" t="s">
        <v>545</v>
      </c>
      <c r="D178" s="10">
        <v>46049</v>
      </c>
      <c r="E178" s="10">
        <v>46079</v>
      </c>
      <c r="F178" s="4">
        <v>1682.47</v>
      </c>
      <c r="G178" s="3">
        <f>SUMIF(Customer_Payments!B:B,C178,Customer_Payments!E:E)</f>
        <v>1682.47</v>
      </c>
      <c r="H178" s="3">
        <f t="shared" si="6"/>
        <v>0</v>
      </c>
      <c r="I178" s="29">
        <f t="shared" si="7"/>
        <v>12</v>
      </c>
      <c r="J178" s="31" t="str">
        <f t="shared" si="8"/>
        <v>1-30</v>
      </c>
      <c r="K178"/>
    </row>
    <row r="179" spans="1:11" x14ac:dyDescent="0.3">
      <c r="A179" s="21" t="s">
        <v>110</v>
      </c>
      <c r="B179" t="str">
        <f>VLOOKUP(A179,Customers!A:B,2,FALSE)</f>
        <v>RetailAxisPro</v>
      </c>
      <c r="C179" s="25" t="s">
        <v>546</v>
      </c>
      <c r="D179" s="11">
        <v>46006</v>
      </c>
      <c r="E179" s="11">
        <v>46036</v>
      </c>
      <c r="F179" s="5">
        <v>4324.49</v>
      </c>
      <c r="G179" s="3">
        <v>1400</v>
      </c>
      <c r="H179" s="3">
        <f t="shared" si="6"/>
        <v>2924.49</v>
      </c>
      <c r="I179" s="29">
        <f t="shared" si="7"/>
        <v>55</v>
      </c>
      <c r="J179" s="31" t="str">
        <f t="shared" si="8"/>
        <v>31-60</v>
      </c>
      <c r="K179"/>
    </row>
    <row r="180" spans="1:11" x14ac:dyDescent="0.3">
      <c r="A180" s="20" t="s">
        <v>99</v>
      </c>
      <c r="B180" t="str">
        <f>VLOOKUP(A180,Customers!A:B,2,FALSE)</f>
        <v>RetailNovaPro</v>
      </c>
      <c r="C180" s="24" t="s">
        <v>547</v>
      </c>
      <c r="D180" s="10">
        <v>46060</v>
      </c>
      <c r="E180" s="10">
        <v>46090</v>
      </c>
      <c r="F180" s="4">
        <v>5442.37</v>
      </c>
      <c r="G180" s="3">
        <f>SUMIF(Customer_Payments!B:B,C180,Customer_Payments!E:E)</f>
        <v>5442.37</v>
      </c>
      <c r="H180" s="3">
        <f t="shared" si="6"/>
        <v>0</v>
      </c>
      <c r="I180" s="29">
        <f t="shared" si="7"/>
        <v>1</v>
      </c>
      <c r="J180" s="31" t="str">
        <f t="shared" si="8"/>
        <v>1-30</v>
      </c>
      <c r="K180"/>
    </row>
    <row r="181" spans="1:11" x14ac:dyDescent="0.3">
      <c r="A181" s="21" t="s">
        <v>107</v>
      </c>
      <c r="B181" t="str">
        <f>VLOOKUP(A181,Customers!A:B,2,FALSE)</f>
        <v>RetailWorksPro</v>
      </c>
      <c r="C181" s="25" t="s">
        <v>548</v>
      </c>
      <c r="D181" s="11">
        <v>46068</v>
      </c>
      <c r="E181" s="11">
        <v>46098</v>
      </c>
      <c r="F181" s="5">
        <v>5939.18</v>
      </c>
      <c r="G181" s="3">
        <v>3700</v>
      </c>
      <c r="H181" s="3">
        <f t="shared" si="6"/>
        <v>2239.1800000000003</v>
      </c>
      <c r="I181" s="29">
        <f t="shared" si="7"/>
        <v>-7</v>
      </c>
      <c r="J181" s="31" t="str">
        <f t="shared" si="8"/>
        <v>Current</v>
      </c>
      <c r="K181"/>
    </row>
    <row r="182" spans="1:11" x14ac:dyDescent="0.3">
      <c r="A182" s="20" t="s">
        <v>107</v>
      </c>
      <c r="B182" t="str">
        <f>VLOOKUP(A182,Customers!A:B,2,FALSE)</f>
        <v>RetailWorksPro</v>
      </c>
      <c r="C182" s="24" t="s">
        <v>549</v>
      </c>
      <c r="D182" s="10">
        <v>46086</v>
      </c>
      <c r="E182" s="10">
        <v>46116</v>
      </c>
      <c r="F182" s="4">
        <v>10723.21</v>
      </c>
      <c r="G182" s="3">
        <v>4000</v>
      </c>
      <c r="H182" s="3">
        <f t="shared" si="6"/>
        <v>6723.2099999999991</v>
      </c>
      <c r="I182" s="29">
        <f t="shared" si="7"/>
        <v>-25</v>
      </c>
      <c r="J182" s="31" t="str">
        <f t="shared" si="8"/>
        <v>Current</v>
      </c>
      <c r="K182"/>
    </row>
    <row r="183" spans="1:11" x14ac:dyDescent="0.3">
      <c r="A183" s="21" t="s">
        <v>80</v>
      </c>
      <c r="B183" t="str">
        <f>VLOOKUP(A183,Customers!A:B,2,FALSE)</f>
        <v>RetailEdgeX</v>
      </c>
      <c r="C183" s="25" t="s">
        <v>550</v>
      </c>
      <c r="D183" s="11">
        <v>46022</v>
      </c>
      <c r="E183" s="11">
        <v>46052</v>
      </c>
      <c r="F183" s="5">
        <v>13939.08</v>
      </c>
      <c r="G183" s="3">
        <f>SUMIF(Customer_Payments!B:B,C183,Customer_Payments!E:E)</f>
        <v>13939.08</v>
      </c>
      <c r="H183" s="3">
        <f t="shared" si="6"/>
        <v>0</v>
      </c>
      <c r="I183" s="29">
        <f t="shared" si="7"/>
        <v>39</v>
      </c>
      <c r="J183" s="31" t="str">
        <f t="shared" si="8"/>
        <v>31-60</v>
      </c>
      <c r="K183"/>
    </row>
    <row r="184" spans="1:11" x14ac:dyDescent="0.3">
      <c r="A184" s="20" t="s">
        <v>60</v>
      </c>
      <c r="B184" t="str">
        <f>VLOOKUP(A184,Customers!A:B,2,FALSE)</f>
        <v>RetailSpark</v>
      </c>
      <c r="C184" s="24" t="s">
        <v>551</v>
      </c>
      <c r="D184" s="10">
        <v>46064</v>
      </c>
      <c r="E184" s="10">
        <v>46094</v>
      </c>
      <c r="F184" s="4">
        <v>11816.06</v>
      </c>
      <c r="G184" s="3">
        <f>SUMIF(Customer_Payments!B:B,C184,Customer_Payments!E:E)</f>
        <v>11816.06</v>
      </c>
      <c r="H184" s="3">
        <f t="shared" si="6"/>
        <v>0</v>
      </c>
      <c r="I184" s="29">
        <f t="shared" si="7"/>
        <v>-3</v>
      </c>
      <c r="J184" s="31" t="str">
        <f t="shared" si="8"/>
        <v>Current</v>
      </c>
      <c r="K184"/>
    </row>
    <row r="185" spans="1:11" x14ac:dyDescent="0.3">
      <c r="A185" s="21" t="s">
        <v>39</v>
      </c>
      <c r="B185" t="str">
        <f>VLOOKUP(A185,Customers!A:B,2,FALSE)</f>
        <v>VisionCommerce</v>
      </c>
      <c r="C185" s="25" t="s">
        <v>552</v>
      </c>
      <c r="D185" s="11">
        <v>46068</v>
      </c>
      <c r="E185" s="11">
        <v>46098</v>
      </c>
      <c r="F185" s="5">
        <v>5633.78</v>
      </c>
      <c r="G185" s="3">
        <f>SUMIF(Customer_Payments!B:B,C185,Customer_Payments!E:E)</f>
        <v>5633.7800000000007</v>
      </c>
      <c r="H185" s="3">
        <f t="shared" si="6"/>
        <v>0</v>
      </c>
      <c r="I185" s="29">
        <f t="shared" si="7"/>
        <v>-7</v>
      </c>
      <c r="J185" s="31" t="str">
        <f t="shared" si="8"/>
        <v>Current</v>
      </c>
      <c r="K185"/>
    </row>
    <row r="186" spans="1:11" x14ac:dyDescent="0.3">
      <c r="A186" s="20" t="s">
        <v>20</v>
      </c>
      <c r="B186" t="str">
        <f>VLOOKUP(A186,Customers!A:B,2,FALSE)</f>
        <v>GrowthSphere</v>
      </c>
      <c r="C186" s="24" t="s">
        <v>553</v>
      </c>
      <c r="D186" s="10">
        <v>46042</v>
      </c>
      <c r="E186" s="10">
        <v>46072</v>
      </c>
      <c r="F186" s="4">
        <v>3169.41</v>
      </c>
      <c r="G186" s="3">
        <f>SUMIF(Customer_Payments!B:B,C186,Customer_Payments!E:E)</f>
        <v>3169.41</v>
      </c>
      <c r="H186" s="3">
        <f t="shared" si="6"/>
        <v>0</v>
      </c>
      <c r="I186" s="29">
        <f t="shared" si="7"/>
        <v>19</v>
      </c>
      <c r="J186" s="31" t="str">
        <f t="shared" si="8"/>
        <v>1-30</v>
      </c>
      <c r="K186"/>
    </row>
    <row r="187" spans="1:11" x14ac:dyDescent="0.3">
      <c r="A187" s="21" t="s">
        <v>104</v>
      </c>
      <c r="B187" t="str">
        <f>VLOOKUP(A187,Customers!A:B,2,FALSE)</f>
        <v>RetailCorePro</v>
      </c>
      <c r="C187" s="25" t="s">
        <v>554</v>
      </c>
      <c r="D187" s="11">
        <v>46068</v>
      </c>
      <c r="E187" s="11">
        <v>46098</v>
      </c>
      <c r="F187" s="5">
        <v>2049.04</v>
      </c>
      <c r="G187" s="3">
        <f>SUMIF(Customer_Payments!B:B,C187,Customer_Payments!E:E)</f>
        <v>2049.04</v>
      </c>
      <c r="H187" s="3">
        <f t="shared" si="6"/>
        <v>0</v>
      </c>
      <c r="I187" s="29">
        <f t="shared" si="7"/>
        <v>-7</v>
      </c>
      <c r="J187" s="31" t="str">
        <f t="shared" si="8"/>
        <v>Current</v>
      </c>
      <c r="K187"/>
    </row>
    <row r="188" spans="1:11" x14ac:dyDescent="0.3">
      <c r="A188" s="20" t="s">
        <v>18</v>
      </c>
      <c r="B188" t="str">
        <f>VLOOKUP(A188,Customers!A:B,2,FALSE)</f>
        <v>BluePeak Systems</v>
      </c>
      <c r="C188" s="24" t="s">
        <v>555</v>
      </c>
      <c r="D188" s="10">
        <v>46110</v>
      </c>
      <c r="E188" s="10">
        <v>46140</v>
      </c>
      <c r="F188" s="4">
        <v>4545.58</v>
      </c>
      <c r="G188" s="3">
        <v>500</v>
      </c>
      <c r="H188" s="3">
        <f t="shared" si="6"/>
        <v>4045.58</v>
      </c>
      <c r="I188" s="29">
        <f t="shared" si="7"/>
        <v>-49</v>
      </c>
      <c r="J188" s="31" t="str">
        <f t="shared" si="8"/>
        <v>Current</v>
      </c>
      <c r="K188"/>
    </row>
    <row r="189" spans="1:11" x14ac:dyDescent="0.3">
      <c r="A189" s="21" t="s">
        <v>60</v>
      </c>
      <c r="B189" t="str">
        <f>VLOOKUP(A189,Customers!A:B,2,FALSE)</f>
        <v>RetailSpark</v>
      </c>
      <c r="C189" s="25" t="s">
        <v>556</v>
      </c>
      <c r="D189" s="11">
        <v>46057</v>
      </c>
      <c r="E189" s="11">
        <v>46087</v>
      </c>
      <c r="F189" s="5">
        <v>5633.41</v>
      </c>
      <c r="G189" s="3">
        <v>4400</v>
      </c>
      <c r="H189" s="3">
        <f t="shared" si="6"/>
        <v>1233.4099999999999</v>
      </c>
      <c r="I189" s="29">
        <f t="shared" si="7"/>
        <v>4</v>
      </c>
      <c r="J189" s="31" t="str">
        <f t="shared" si="8"/>
        <v>1-30</v>
      </c>
      <c r="K189"/>
    </row>
    <row r="190" spans="1:11" x14ac:dyDescent="0.3">
      <c r="A190" s="20" t="s">
        <v>17</v>
      </c>
      <c r="B190" t="str">
        <f>VLOOKUP(A190,Customers!A:B,2,FALSE)</f>
        <v>AlphaCommerce</v>
      </c>
      <c r="C190" s="24" t="s">
        <v>557</v>
      </c>
      <c r="D190" s="10">
        <v>46110</v>
      </c>
      <c r="E190" s="10">
        <v>46140</v>
      </c>
      <c r="F190" s="4">
        <v>2875.74</v>
      </c>
      <c r="G190" s="3">
        <f>SUMIF(Customer_Payments!B:B,C190,Customer_Payments!E:E)</f>
        <v>2875.74</v>
      </c>
      <c r="H190" s="3">
        <f t="shared" si="6"/>
        <v>0</v>
      </c>
      <c r="I190" s="29">
        <f t="shared" si="7"/>
        <v>-49</v>
      </c>
      <c r="J190" s="31" t="str">
        <f t="shared" si="8"/>
        <v>Current</v>
      </c>
      <c r="K190"/>
    </row>
    <row r="191" spans="1:11" x14ac:dyDescent="0.3">
      <c r="A191" s="21" t="s">
        <v>90</v>
      </c>
      <c r="B191" t="str">
        <f>VLOOKUP(A191,Customers!A:B,2,FALSE)</f>
        <v>RetailPulseX</v>
      </c>
      <c r="C191" s="25" t="s">
        <v>558</v>
      </c>
      <c r="D191" s="11">
        <v>45998</v>
      </c>
      <c r="E191" s="11">
        <v>46028</v>
      </c>
      <c r="F191" s="5">
        <v>2224.54</v>
      </c>
      <c r="G191" s="3">
        <v>1370</v>
      </c>
      <c r="H191" s="3">
        <f t="shared" si="6"/>
        <v>854.54</v>
      </c>
      <c r="I191" s="29">
        <f t="shared" si="7"/>
        <v>63</v>
      </c>
      <c r="J191" s="31" t="str">
        <f t="shared" si="8"/>
        <v>61-90</v>
      </c>
      <c r="K191"/>
    </row>
    <row r="192" spans="1:11" x14ac:dyDescent="0.3">
      <c r="A192" s="20" t="s">
        <v>113</v>
      </c>
      <c r="B192" t="str">
        <f>VLOOKUP(A192,Customers!A:B,2,FALSE)</f>
        <v>RetailSpherePro</v>
      </c>
      <c r="C192" s="24" t="s">
        <v>559</v>
      </c>
      <c r="D192" s="10">
        <v>46038</v>
      </c>
      <c r="E192" s="10">
        <v>46068</v>
      </c>
      <c r="F192" s="4">
        <v>2791.38</v>
      </c>
      <c r="G192" s="3">
        <f>SUMIF(Customer_Payments!B:B,C192,Customer_Payments!E:E)</f>
        <v>2791.38</v>
      </c>
      <c r="H192" s="3">
        <f t="shared" si="6"/>
        <v>0</v>
      </c>
      <c r="I192" s="29">
        <f t="shared" si="7"/>
        <v>23</v>
      </c>
      <c r="J192" s="31" t="str">
        <f t="shared" si="8"/>
        <v>1-30</v>
      </c>
      <c r="K192"/>
    </row>
    <row r="193" spans="1:11" x14ac:dyDescent="0.3">
      <c r="A193" s="21" t="s">
        <v>85</v>
      </c>
      <c r="B193" t="str">
        <f>VLOOKUP(A193,Customers!A:B,2,FALSE)</f>
        <v>RetailWorksX</v>
      </c>
      <c r="C193" s="25" t="s">
        <v>560</v>
      </c>
      <c r="D193" s="11">
        <v>46020</v>
      </c>
      <c r="E193" s="11">
        <v>46050</v>
      </c>
      <c r="F193" s="5">
        <v>12941.15</v>
      </c>
      <c r="G193" s="3">
        <f>SUMIF(Customer_Payments!B:B,C193,Customer_Payments!E:E)</f>
        <v>12941.15</v>
      </c>
      <c r="H193" s="3">
        <f t="shared" si="6"/>
        <v>0</v>
      </c>
      <c r="I193" s="29">
        <f t="shared" si="7"/>
        <v>41</v>
      </c>
      <c r="J193" s="31" t="str">
        <f t="shared" si="8"/>
        <v>31-60</v>
      </c>
      <c r="K193"/>
    </row>
    <row r="194" spans="1:11" x14ac:dyDescent="0.3">
      <c r="A194" s="20" t="s">
        <v>26</v>
      </c>
      <c r="B194" t="str">
        <f>VLOOKUP(A194,Customers!A:B,2,FALSE)</f>
        <v>NovaRetail</v>
      </c>
      <c r="C194" s="24" t="s">
        <v>561</v>
      </c>
      <c r="D194" s="10">
        <v>46048</v>
      </c>
      <c r="E194" s="10">
        <v>46078</v>
      </c>
      <c r="F194" s="4">
        <v>3487.03</v>
      </c>
      <c r="G194" s="3">
        <f>SUMIF(Customer_Payments!B:B,C194,Customer_Payments!E:E)</f>
        <v>3487.03</v>
      </c>
      <c r="H194" s="3">
        <f t="shared" ref="H194:H257" si="9">MAX(F194-G194,0)</f>
        <v>0</v>
      </c>
      <c r="I194" s="29">
        <f t="shared" ref="I194:I257" si="10">$L$2-E194</f>
        <v>13</v>
      </c>
      <c r="J194" s="31" t="str">
        <f t="shared" si="8"/>
        <v>1-30</v>
      </c>
      <c r="K194"/>
    </row>
    <row r="195" spans="1:11" x14ac:dyDescent="0.3">
      <c r="A195" s="21" t="s">
        <v>106</v>
      </c>
      <c r="B195" t="str">
        <f>VLOOKUP(A195,Customers!A:B,2,FALSE)</f>
        <v>RetailOrbitPro</v>
      </c>
      <c r="C195" s="25" t="s">
        <v>562</v>
      </c>
      <c r="D195" s="11">
        <v>45976</v>
      </c>
      <c r="E195" s="11">
        <v>46006</v>
      </c>
      <c r="F195" s="5">
        <v>4116.32</v>
      </c>
      <c r="G195" s="3">
        <f>SUMIF(Customer_Payments!B:B,C195,Customer_Payments!E:E)</f>
        <v>4116.32</v>
      </c>
      <c r="H195" s="3">
        <f t="shared" si="9"/>
        <v>0</v>
      </c>
      <c r="I195" s="29">
        <f t="shared" si="10"/>
        <v>85</v>
      </c>
      <c r="J195" s="31" t="str">
        <f t="shared" ref="J195:J258" si="11">IF(I195&lt;=0,"Current",
IF(I195&lt;=30,"1-30",
IF(I195&lt;=60,"31-60",
IF(I195&lt;=90,"61-90","90+"))))</f>
        <v>61-90</v>
      </c>
      <c r="K195"/>
    </row>
    <row r="196" spans="1:11" x14ac:dyDescent="0.3">
      <c r="A196" s="20" t="s">
        <v>88</v>
      </c>
      <c r="B196" t="str">
        <f>VLOOKUP(A196,Customers!A:B,2,FALSE)</f>
        <v>RetailPrimeX</v>
      </c>
      <c r="C196" s="24" t="s">
        <v>563</v>
      </c>
      <c r="D196" s="10">
        <v>46022</v>
      </c>
      <c r="E196" s="10">
        <v>46052</v>
      </c>
      <c r="F196" s="4">
        <v>2237.64</v>
      </c>
      <c r="G196" s="3">
        <f>SUMIF(Customer_Payments!B:B,C196,Customer_Payments!E:E)</f>
        <v>2237.64</v>
      </c>
      <c r="H196" s="3">
        <f t="shared" si="9"/>
        <v>0</v>
      </c>
      <c r="I196" s="29">
        <f t="shared" si="10"/>
        <v>39</v>
      </c>
      <c r="J196" s="31" t="str">
        <f t="shared" si="11"/>
        <v>31-60</v>
      </c>
      <c r="K196"/>
    </row>
    <row r="197" spans="1:11" x14ac:dyDescent="0.3">
      <c r="A197" s="21" t="s">
        <v>9</v>
      </c>
      <c r="B197" t="str">
        <f>VLOOKUP(A197,Customers!A:B,2,FALSE)</f>
        <v>UrbanRetail</v>
      </c>
      <c r="C197" s="25" t="s">
        <v>564</v>
      </c>
      <c r="D197" s="11">
        <v>46017</v>
      </c>
      <c r="E197" s="11">
        <v>46047</v>
      </c>
      <c r="F197" s="5">
        <v>3439.96</v>
      </c>
      <c r="G197" s="3">
        <f>SUMIF(Customer_Payments!B:B,C197,Customer_Payments!E:E)</f>
        <v>3439.96</v>
      </c>
      <c r="H197" s="3">
        <f t="shared" si="9"/>
        <v>0</v>
      </c>
      <c r="I197" s="29">
        <f t="shared" si="10"/>
        <v>44</v>
      </c>
      <c r="J197" s="31" t="str">
        <f t="shared" si="11"/>
        <v>31-60</v>
      </c>
      <c r="K197"/>
    </row>
    <row r="198" spans="1:11" x14ac:dyDescent="0.3">
      <c r="A198" s="20" t="s">
        <v>61</v>
      </c>
      <c r="B198" t="str">
        <f>VLOOKUP(A198,Customers!A:B,2,FALSE)</f>
        <v>RetailOrbit</v>
      </c>
      <c r="C198" s="24" t="s">
        <v>565</v>
      </c>
      <c r="D198" s="10">
        <v>45979</v>
      </c>
      <c r="E198" s="10">
        <v>46009</v>
      </c>
      <c r="F198" s="4">
        <v>1811.07</v>
      </c>
      <c r="G198" s="3">
        <f>SUMIF(Customer_Payments!B:B,C198,Customer_Payments!E:E)</f>
        <v>1811.07</v>
      </c>
      <c r="H198" s="3">
        <f t="shared" si="9"/>
        <v>0</v>
      </c>
      <c r="I198" s="29">
        <f t="shared" si="10"/>
        <v>82</v>
      </c>
      <c r="J198" s="31" t="str">
        <f t="shared" si="11"/>
        <v>61-90</v>
      </c>
      <c r="K198"/>
    </row>
    <row r="199" spans="1:11" x14ac:dyDescent="0.3">
      <c r="A199" s="21" t="s">
        <v>92</v>
      </c>
      <c r="B199" t="str">
        <f>VLOOKUP(A199,Customers!A:B,2,FALSE)</f>
        <v>RetailMatrixX</v>
      </c>
      <c r="C199" s="25" t="s">
        <v>566</v>
      </c>
      <c r="D199" s="11">
        <v>46041</v>
      </c>
      <c r="E199" s="11">
        <v>46071</v>
      </c>
      <c r="F199" s="5">
        <v>3137.77</v>
      </c>
      <c r="G199" s="3">
        <f>SUMIF(Customer_Payments!B:B,C199,Customer_Payments!E:E)</f>
        <v>3137.77</v>
      </c>
      <c r="H199" s="3">
        <f t="shared" si="9"/>
        <v>0</v>
      </c>
      <c r="I199" s="29">
        <f t="shared" si="10"/>
        <v>20</v>
      </c>
      <c r="J199" s="31" t="str">
        <f t="shared" si="11"/>
        <v>1-30</v>
      </c>
      <c r="K199"/>
    </row>
    <row r="200" spans="1:11" x14ac:dyDescent="0.3">
      <c r="A200" s="20" t="s">
        <v>76</v>
      </c>
      <c r="B200" t="str">
        <f>VLOOKUP(A200,Customers!A:B,2,FALSE)</f>
        <v>RetailSphere</v>
      </c>
      <c r="C200" s="24" t="s">
        <v>567</v>
      </c>
      <c r="D200" s="10">
        <v>46059</v>
      </c>
      <c r="E200" s="10">
        <v>46089</v>
      </c>
      <c r="F200" s="4">
        <v>1501.64</v>
      </c>
      <c r="G200" s="3">
        <v>1400</v>
      </c>
      <c r="H200" s="3">
        <f t="shared" si="9"/>
        <v>101.6400000000001</v>
      </c>
      <c r="I200" s="29">
        <f t="shared" si="10"/>
        <v>2</v>
      </c>
      <c r="J200" s="31" t="str">
        <f t="shared" si="11"/>
        <v>1-30</v>
      </c>
      <c r="K200"/>
    </row>
    <row r="201" spans="1:11" x14ac:dyDescent="0.3">
      <c r="A201" s="21" t="s">
        <v>118</v>
      </c>
      <c r="B201" t="str">
        <f>VLOOKUP(A201,Customers!A:B,2,FALSE)</f>
        <v>RetailEdgeGlobal</v>
      </c>
      <c r="C201" s="25" t="s">
        <v>568</v>
      </c>
      <c r="D201" s="11">
        <v>46110</v>
      </c>
      <c r="E201" s="11">
        <v>46140</v>
      </c>
      <c r="F201" s="5">
        <v>3900.98</v>
      </c>
      <c r="G201" s="3">
        <f>SUMIF(Customer_Payments!B:B,C201,Customer_Payments!E:E)</f>
        <v>3900.98</v>
      </c>
      <c r="H201" s="3">
        <f t="shared" si="9"/>
        <v>0</v>
      </c>
      <c r="I201" s="29">
        <f t="shared" si="10"/>
        <v>-49</v>
      </c>
      <c r="J201" s="31" t="str">
        <f t="shared" si="11"/>
        <v>Current</v>
      </c>
      <c r="K201"/>
    </row>
    <row r="202" spans="1:11" x14ac:dyDescent="0.3">
      <c r="A202" s="20" t="s">
        <v>9</v>
      </c>
      <c r="B202" t="str">
        <f>VLOOKUP(A202,Customers!A:B,2,FALSE)</f>
        <v>UrbanRetail</v>
      </c>
      <c r="C202" s="24" t="s">
        <v>569</v>
      </c>
      <c r="D202" s="10">
        <v>46080</v>
      </c>
      <c r="E202" s="10">
        <v>46110</v>
      </c>
      <c r="F202" s="4">
        <v>9808.9699999999993</v>
      </c>
      <c r="G202" s="3">
        <f>SUMIF(Customer_Payments!B:B,C202,Customer_Payments!E:E)</f>
        <v>9808.9699999999993</v>
      </c>
      <c r="H202" s="3">
        <f t="shared" si="9"/>
        <v>0</v>
      </c>
      <c r="I202" s="29">
        <f t="shared" si="10"/>
        <v>-19</v>
      </c>
      <c r="J202" s="31" t="str">
        <f t="shared" si="11"/>
        <v>Current</v>
      </c>
      <c r="K202"/>
    </row>
    <row r="203" spans="1:11" x14ac:dyDescent="0.3">
      <c r="A203" s="21" t="s">
        <v>87</v>
      </c>
      <c r="B203" t="str">
        <f>VLOOKUP(A203,Customers!A:B,2,FALSE)</f>
        <v>RetailStreamX</v>
      </c>
      <c r="C203" s="25" t="s">
        <v>570</v>
      </c>
      <c r="D203" s="11">
        <v>46071</v>
      </c>
      <c r="E203" s="11">
        <v>46101</v>
      </c>
      <c r="F203" s="5">
        <v>2788.52</v>
      </c>
      <c r="G203" s="3">
        <f>SUMIF(Customer_Payments!B:B,C203,Customer_Payments!E:E)</f>
        <v>2788.52</v>
      </c>
      <c r="H203" s="3">
        <f t="shared" si="9"/>
        <v>0</v>
      </c>
      <c r="I203" s="29">
        <f t="shared" si="10"/>
        <v>-10</v>
      </c>
      <c r="J203" s="31" t="str">
        <f t="shared" si="11"/>
        <v>Current</v>
      </c>
      <c r="K203"/>
    </row>
    <row r="204" spans="1:11" x14ac:dyDescent="0.3">
      <c r="A204" s="20" t="s">
        <v>52</v>
      </c>
      <c r="B204" t="str">
        <f>VLOOKUP(A204,Customers!A:B,2,FALSE)</f>
        <v>RetailShift</v>
      </c>
      <c r="C204" s="24" t="s">
        <v>571</v>
      </c>
      <c r="D204" s="10">
        <v>46079</v>
      </c>
      <c r="E204" s="10">
        <v>46109</v>
      </c>
      <c r="F204" s="4">
        <v>3325.8</v>
      </c>
      <c r="G204" s="3">
        <f>SUMIF(Customer_Payments!B:B,C204,Customer_Payments!E:E)</f>
        <v>3325.8</v>
      </c>
      <c r="H204" s="3">
        <f t="shared" si="9"/>
        <v>0</v>
      </c>
      <c r="I204" s="29">
        <f t="shared" si="10"/>
        <v>-18</v>
      </c>
      <c r="J204" s="31" t="str">
        <f t="shared" si="11"/>
        <v>Current</v>
      </c>
      <c r="K204"/>
    </row>
    <row r="205" spans="1:11" x14ac:dyDescent="0.3">
      <c r="A205" s="21" t="s">
        <v>94</v>
      </c>
      <c r="B205" t="str">
        <f>VLOOKUP(A205,Customers!A:B,2,FALSE)</f>
        <v>RetailDynamicsX</v>
      </c>
      <c r="C205" s="25" t="s">
        <v>572</v>
      </c>
      <c r="D205" s="11">
        <v>45989</v>
      </c>
      <c r="E205" s="11">
        <v>46019</v>
      </c>
      <c r="F205" s="5">
        <v>3273.97</v>
      </c>
      <c r="G205" s="3">
        <v>1999</v>
      </c>
      <c r="H205" s="3">
        <f t="shared" si="9"/>
        <v>1274.9699999999998</v>
      </c>
      <c r="I205" s="29">
        <f t="shared" si="10"/>
        <v>72</v>
      </c>
      <c r="J205" s="31" t="str">
        <f t="shared" si="11"/>
        <v>61-90</v>
      </c>
      <c r="K205"/>
    </row>
    <row r="206" spans="1:11" x14ac:dyDescent="0.3">
      <c r="A206" s="20" t="s">
        <v>24</v>
      </c>
      <c r="B206" t="str">
        <f>VLOOKUP(A206,Customers!A:B,2,FALSE)</f>
        <v>OmniTrade</v>
      </c>
      <c r="C206" s="24" t="s">
        <v>573</v>
      </c>
      <c r="D206" s="10">
        <v>45962</v>
      </c>
      <c r="E206" s="10">
        <v>45992</v>
      </c>
      <c r="F206" s="4">
        <v>14307.93</v>
      </c>
      <c r="G206" s="3">
        <f>SUMIF(Customer_Payments!B:B,C206,Customer_Payments!E:E)</f>
        <v>14307.93</v>
      </c>
      <c r="H206" s="3">
        <f t="shared" si="9"/>
        <v>0</v>
      </c>
      <c r="I206" s="29">
        <f t="shared" si="10"/>
        <v>99</v>
      </c>
      <c r="J206" s="31" t="str">
        <f t="shared" si="11"/>
        <v>90+</v>
      </c>
      <c r="K206"/>
    </row>
    <row r="207" spans="1:11" x14ac:dyDescent="0.3">
      <c r="A207" s="21" t="s">
        <v>12</v>
      </c>
      <c r="B207" t="str">
        <f>VLOOKUP(A207,Customers!A:B,2,FALSE)</f>
        <v>ShopOrbit</v>
      </c>
      <c r="C207" s="25" t="s">
        <v>574</v>
      </c>
      <c r="D207" s="11">
        <v>46048</v>
      </c>
      <c r="E207" s="11">
        <v>46078</v>
      </c>
      <c r="F207" s="5">
        <v>3259.25</v>
      </c>
      <c r="G207" s="3">
        <f>SUMIF(Customer_Payments!B:B,C207,Customer_Payments!E:E)</f>
        <v>3259.25</v>
      </c>
      <c r="H207" s="3">
        <f t="shared" si="9"/>
        <v>0</v>
      </c>
      <c r="I207" s="29">
        <f t="shared" si="10"/>
        <v>13</v>
      </c>
      <c r="J207" s="31" t="str">
        <f t="shared" si="11"/>
        <v>1-30</v>
      </c>
      <c r="K207"/>
    </row>
    <row r="208" spans="1:11" x14ac:dyDescent="0.3">
      <c r="A208" s="20" t="s">
        <v>111</v>
      </c>
      <c r="B208" t="str">
        <f>VLOOKUP(A208,Customers!A:B,2,FALSE)</f>
        <v>RetailPulsePro</v>
      </c>
      <c r="C208" s="24" t="s">
        <v>575</v>
      </c>
      <c r="D208" s="10">
        <v>46035</v>
      </c>
      <c r="E208" s="10">
        <v>46065</v>
      </c>
      <c r="F208" s="4">
        <v>5771.58</v>
      </c>
      <c r="G208" s="3">
        <f>SUMIF(Customer_Payments!B:B,C208,Customer_Payments!E:E)</f>
        <v>5771.58</v>
      </c>
      <c r="H208" s="3">
        <f t="shared" si="9"/>
        <v>0</v>
      </c>
      <c r="I208" s="29">
        <f t="shared" si="10"/>
        <v>26</v>
      </c>
      <c r="J208" s="31" t="str">
        <f t="shared" si="11"/>
        <v>1-30</v>
      </c>
      <c r="K208"/>
    </row>
    <row r="209" spans="1:11" x14ac:dyDescent="0.3">
      <c r="A209" s="21" t="s">
        <v>52</v>
      </c>
      <c r="B209" t="str">
        <f>VLOOKUP(A209,Customers!A:B,2,FALSE)</f>
        <v>RetailShift</v>
      </c>
      <c r="C209" s="25" t="s">
        <v>576</v>
      </c>
      <c r="D209" s="11">
        <v>46107</v>
      </c>
      <c r="E209" s="11">
        <v>46137</v>
      </c>
      <c r="F209" s="5">
        <v>3462.76</v>
      </c>
      <c r="G209" s="3">
        <f>SUMIF(Customer_Payments!B:B,C209,Customer_Payments!E:E)</f>
        <v>3462.76</v>
      </c>
      <c r="H209" s="3">
        <f t="shared" si="9"/>
        <v>0</v>
      </c>
      <c r="I209" s="29">
        <f t="shared" si="10"/>
        <v>-46</v>
      </c>
      <c r="J209" s="31" t="str">
        <f t="shared" si="11"/>
        <v>Current</v>
      </c>
      <c r="K209"/>
    </row>
    <row r="210" spans="1:11" x14ac:dyDescent="0.3">
      <c r="A210" s="20" t="s">
        <v>54</v>
      </c>
      <c r="B210" t="str">
        <f>VLOOKUP(A210,Customers!A:B,2,FALSE)</f>
        <v>RetailEdge</v>
      </c>
      <c r="C210" s="24" t="s">
        <v>577</v>
      </c>
      <c r="D210" s="10">
        <v>45966</v>
      </c>
      <c r="E210" s="10">
        <v>45996</v>
      </c>
      <c r="F210" s="4">
        <v>3438.96</v>
      </c>
      <c r="G210" s="3">
        <f>SUMIF(Customer_Payments!B:B,C210,Customer_Payments!E:E)</f>
        <v>3438.96</v>
      </c>
      <c r="H210" s="3">
        <f t="shared" si="9"/>
        <v>0</v>
      </c>
      <c r="I210" s="29">
        <f t="shared" si="10"/>
        <v>95</v>
      </c>
      <c r="J210" s="31" t="str">
        <f t="shared" si="11"/>
        <v>90+</v>
      </c>
      <c r="K210"/>
    </row>
    <row r="211" spans="1:11" x14ac:dyDescent="0.3">
      <c r="A211" s="21" t="s">
        <v>56</v>
      </c>
      <c r="B211" t="str">
        <f>VLOOKUP(A211,Customers!A:B,2,FALSE)</f>
        <v>RetailBoost</v>
      </c>
      <c r="C211" s="25" t="s">
        <v>578</v>
      </c>
      <c r="D211" s="11">
        <v>45987</v>
      </c>
      <c r="E211" s="11">
        <v>46017</v>
      </c>
      <c r="F211" s="5">
        <v>13869.54</v>
      </c>
      <c r="G211" s="3">
        <v>10000</v>
      </c>
      <c r="H211" s="3">
        <f t="shared" si="9"/>
        <v>3869.5400000000009</v>
      </c>
      <c r="I211" s="29">
        <f t="shared" si="10"/>
        <v>74</v>
      </c>
      <c r="J211" s="31" t="str">
        <f t="shared" si="11"/>
        <v>61-90</v>
      </c>
      <c r="K211"/>
    </row>
    <row r="212" spans="1:11" x14ac:dyDescent="0.3">
      <c r="A212" s="20" t="s">
        <v>109</v>
      </c>
      <c r="B212" t="str">
        <f>VLOOKUP(A212,Customers!A:B,2,FALSE)</f>
        <v>RetailStreamPro</v>
      </c>
      <c r="C212" s="24" t="s">
        <v>579</v>
      </c>
      <c r="D212" s="10">
        <v>46000</v>
      </c>
      <c r="E212" s="10">
        <v>46030</v>
      </c>
      <c r="F212" s="4">
        <v>2973.72</v>
      </c>
      <c r="G212" s="3">
        <f>SUMIF(Customer_Payments!B:B,C212,Customer_Payments!E:E)</f>
        <v>2973.72</v>
      </c>
      <c r="H212" s="3">
        <f t="shared" si="9"/>
        <v>0</v>
      </c>
      <c r="I212" s="29">
        <f t="shared" si="10"/>
        <v>61</v>
      </c>
      <c r="J212" s="31" t="str">
        <f t="shared" si="11"/>
        <v>61-90</v>
      </c>
      <c r="K212"/>
    </row>
    <row r="213" spans="1:11" x14ac:dyDescent="0.3">
      <c r="A213" s="21" t="s">
        <v>62</v>
      </c>
      <c r="B213" t="str">
        <f>VLOOKUP(A213,Customers!A:B,2,FALSE)</f>
        <v>MarketNova</v>
      </c>
      <c r="C213" s="25" t="s">
        <v>580</v>
      </c>
      <c r="D213" s="11">
        <v>45971</v>
      </c>
      <c r="E213" s="11">
        <v>46001</v>
      </c>
      <c r="F213" s="5">
        <v>3173.41</v>
      </c>
      <c r="G213" s="3">
        <f>SUMIF(Customer_Payments!B:B,C213,Customer_Payments!E:E)</f>
        <v>3173.41</v>
      </c>
      <c r="H213" s="3">
        <f t="shared" si="9"/>
        <v>0</v>
      </c>
      <c r="I213" s="29">
        <f t="shared" si="10"/>
        <v>90</v>
      </c>
      <c r="J213" s="31" t="str">
        <f t="shared" si="11"/>
        <v>61-90</v>
      </c>
      <c r="K213"/>
    </row>
    <row r="214" spans="1:11" x14ac:dyDescent="0.3">
      <c r="A214" s="20" t="s">
        <v>20</v>
      </c>
      <c r="B214" t="str">
        <f>VLOOKUP(A214,Customers!A:B,2,FALSE)</f>
        <v>GrowthSphere</v>
      </c>
      <c r="C214" s="24" t="s">
        <v>581</v>
      </c>
      <c r="D214" s="10">
        <v>46022</v>
      </c>
      <c r="E214" s="10">
        <v>46052</v>
      </c>
      <c r="F214" s="4">
        <v>4193.1400000000003</v>
      </c>
      <c r="G214" s="3">
        <f>SUMIF(Customer_Payments!B:B,C214,Customer_Payments!E:E)</f>
        <v>4193.1399999999994</v>
      </c>
      <c r="H214" s="3">
        <f t="shared" si="9"/>
        <v>9.0949470177292824E-13</v>
      </c>
      <c r="I214" s="29">
        <f t="shared" si="10"/>
        <v>39</v>
      </c>
      <c r="J214" s="31" t="str">
        <f t="shared" si="11"/>
        <v>31-60</v>
      </c>
      <c r="K214"/>
    </row>
    <row r="215" spans="1:11" x14ac:dyDescent="0.3">
      <c r="A215" s="21" t="s">
        <v>98</v>
      </c>
      <c r="B215" t="str">
        <f>VLOOKUP(A215,Customers!A:B,2,FALSE)</f>
        <v>RetailEdgePro</v>
      </c>
      <c r="C215" s="25" t="s">
        <v>582</v>
      </c>
      <c r="D215" s="11">
        <v>46029</v>
      </c>
      <c r="E215" s="11">
        <v>46059</v>
      </c>
      <c r="F215" s="5">
        <v>2793.5</v>
      </c>
      <c r="G215" s="3">
        <f>SUMIF(Customer_Payments!B:B,C215,Customer_Payments!E:E)</f>
        <v>2793.5</v>
      </c>
      <c r="H215" s="3">
        <f t="shared" si="9"/>
        <v>0</v>
      </c>
      <c r="I215" s="29">
        <f t="shared" si="10"/>
        <v>32</v>
      </c>
      <c r="J215" s="31" t="str">
        <f t="shared" si="11"/>
        <v>31-60</v>
      </c>
      <c r="K215"/>
    </row>
    <row r="216" spans="1:11" x14ac:dyDescent="0.3">
      <c r="A216" s="20" t="s">
        <v>100</v>
      </c>
      <c r="B216" t="str">
        <f>VLOOKUP(A216,Customers!A:B,2,FALSE)</f>
        <v>RetailBoostPro</v>
      </c>
      <c r="C216" s="24" t="s">
        <v>583</v>
      </c>
      <c r="D216" s="10">
        <v>46083</v>
      </c>
      <c r="E216" s="10">
        <v>46113</v>
      </c>
      <c r="F216" s="4">
        <v>10399.89</v>
      </c>
      <c r="G216" s="3">
        <f>SUMIF(Customer_Payments!B:B,C216,Customer_Payments!E:E)</f>
        <v>10399.89</v>
      </c>
      <c r="H216" s="3">
        <f t="shared" si="9"/>
        <v>0</v>
      </c>
      <c r="I216" s="29">
        <f t="shared" si="10"/>
        <v>-22</v>
      </c>
      <c r="J216" s="31" t="str">
        <f t="shared" si="11"/>
        <v>Current</v>
      </c>
      <c r="K216"/>
    </row>
    <row r="217" spans="1:11" x14ac:dyDescent="0.3">
      <c r="A217" s="21" t="s">
        <v>108</v>
      </c>
      <c r="B217" t="str">
        <f>VLOOKUP(A217,Customers!A:B,2,FALSE)</f>
        <v>RetailNextPro</v>
      </c>
      <c r="C217" s="25" t="s">
        <v>584</v>
      </c>
      <c r="D217" s="11">
        <v>46067</v>
      </c>
      <c r="E217" s="11">
        <v>46097</v>
      </c>
      <c r="F217" s="5">
        <v>2614.85</v>
      </c>
      <c r="G217" s="3">
        <f>SUMIF(Customer_Payments!B:B,C217,Customer_Payments!E:E)</f>
        <v>2614.85</v>
      </c>
      <c r="H217" s="3">
        <f t="shared" si="9"/>
        <v>0</v>
      </c>
      <c r="I217" s="29">
        <f t="shared" si="10"/>
        <v>-6</v>
      </c>
      <c r="J217" s="31" t="str">
        <f t="shared" si="11"/>
        <v>Current</v>
      </c>
      <c r="K217"/>
    </row>
    <row r="218" spans="1:11" x14ac:dyDescent="0.3">
      <c r="A218" s="20" t="s">
        <v>109</v>
      </c>
      <c r="B218" t="str">
        <f>VLOOKUP(A218,Customers!A:B,2,FALSE)</f>
        <v>RetailStreamPro</v>
      </c>
      <c r="C218" s="24" t="s">
        <v>585</v>
      </c>
      <c r="D218" s="10">
        <v>45963</v>
      </c>
      <c r="E218" s="10">
        <v>45993</v>
      </c>
      <c r="F218" s="4">
        <v>2490.0500000000002</v>
      </c>
      <c r="G218" s="3">
        <f>SUMIF(Customer_Payments!B:B,C218,Customer_Payments!E:E)</f>
        <v>2490.0500000000002</v>
      </c>
      <c r="H218" s="3">
        <f t="shared" si="9"/>
        <v>0</v>
      </c>
      <c r="I218" s="29">
        <f t="shared" si="10"/>
        <v>98</v>
      </c>
      <c r="J218" s="31" t="str">
        <f t="shared" si="11"/>
        <v>90+</v>
      </c>
      <c r="K218"/>
    </row>
    <row r="219" spans="1:11" x14ac:dyDescent="0.3">
      <c r="A219" s="21" t="s">
        <v>93</v>
      </c>
      <c r="B219" t="str">
        <f>VLOOKUP(A219,Customers!A:B,2,FALSE)</f>
        <v>RetailSphereX</v>
      </c>
      <c r="C219" s="25" t="s">
        <v>586</v>
      </c>
      <c r="D219" s="11">
        <v>45994</v>
      </c>
      <c r="E219" s="11">
        <v>46024</v>
      </c>
      <c r="F219" s="5">
        <v>1929.18</v>
      </c>
      <c r="G219" s="3">
        <f>SUMIF(Customer_Payments!B:B,C219,Customer_Payments!E:E)</f>
        <v>0</v>
      </c>
      <c r="H219" s="3">
        <f t="shared" si="9"/>
        <v>1929.18</v>
      </c>
      <c r="I219" s="29">
        <f t="shared" si="10"/>
        <v>67</v>
      </c>
      <c r="J219" s="31" t="str">
        <f t="shared" si="11"/>
        <v>61-90</v>
      </c>
      <c r="K219"/>
    </row>
    <row r="220" spans="1:11" x14ac:dyDescent="0.3">
      <c r="A220" s="20" t="s">
        <v>53</v>
      </c>
      <c r="B220" t="str">
        <f>VLOOKUP(A220,Customers!A:B,2,FALSE)</f>
        <v>PrimeCart</v>
      </c>
      <c r="C220" s="24" t="s">
        <v>587</v>
      </c>
      <c r="D220" s="10">
        <v>45973</v>
      </c>
      <c r="E220" s="10">
        <v>46003</v>
      </c>
      <c r="F220" s="4">
        <v>9767.0400000000009</v>
      </c>
      <c r="G220" s="3">
        <f>SUMIF(Customer_Payments!B:B,C220,Customer_Payments!E:E)</f>
        <v>0</v>
      </c>
      <c r="H220" s="3">
        <f t="shared" si="9"/>
        <v>9767.0400000000009</v>
      </c>
      <c r="I220" s="29">
        <f t="shared" si="10"/>
        <v>88</v>
      </c>
      <c r="J220" s="31" t="str">
        <f t="shared" si="11"/>
        <v>61-90</v>
      </c>
      <c r="K220"/>
    </row>
    <row r="221" spans="1:11" x14ac:dyDescent="0.3">
      <c r="A221" s="21" t="s">
        <v>93</v>
      </c>
      <c r="B221" t="str">
        <f>VLOOKUP(A221,Customers!A:B,2,FALSE)</f>
        <v>RetailSphereX</v>
      </c>
      <c r="C221" s="25" t="s">
        <v>588</v>
      </c>
      <c r="D221" s="11">
        <v>46045</v>
      </c>
      <c r="E221" s="11">
        <v>46075</v>
      </c>
      <c r="F221" s="5">
        <v>2382.85</v>
      </c>
      <c r="G221" s="3">
        <f>SUMIF(Customer_Payments!B:B,C221,Customer_Payments!E:E)</f>
        <v>2382.85</v>
      </c>
      <c r="H221" s="3">
        <f t="shared" si="9"/>
        <v>0</v>
      </c>
      <c r="I221" s="29">
        <f t="shared" si="10"/>
        <v>16</v>
      </c>
      <c r="J221" s="31" t="str">
        <f t="shared" si="11"/>
        <v>1-30</v>
      </c>
      <c r="K221"/>
    </row>
    <row r="222" spans="1:11" x14ac:dyDescent="0.3">
      <c r="A222" s="20" t="s">
        <v>80</v>
      </c>
      <c r="B222" t="str">
        <f>VLOOKUP(A222,Customers!A:B,2,FALSE)</f>
        <v>RetailEdgeX</v>
      </c>
      <c r="C222" s="24" t="s">
        <v>589</v>
      </c>
      <c r="D222" s="10">
        <v>46101</v>
      </c>
      <c r="E222" s="10">
        <v>46131</v>
      </c>
      <c r="F222" s="4">
        <v>14154.35</v>
      </c>
      <c r="G222" s="3">
        <v>11500</v>
      </c>
      <c r="H222" s="3">
        <f t="shared" si="9"/>
        <v>2654.3500000000004</v>
      </c>
      <c r="I222" s="29">
        <f t="shared" si="10"/>
        <v>-40</v>
      </c>
      <c r="J222" s="31" t="str">
        <f t="shared" si="11"/>
        <v>Current</v>
      </c>
      <c r="K222"/>
    </row>
    <row r="223" spans="1:11" x14ac:dyDescent="0.3">
      <c r="A223" s="21" t="s">
        <v>38</v>
      </c>
      <c r="B223" t="str">
        <f>VLOOKUP(A223,Customers!A:B,2,FALSE)</f>
        <v>RetailForge</v>
      </c>
      <c r="C223" s="25" t="s">
        <v>590</v>
      </c>
      <c r="D223" s="11">
        <v>46080</v>
      </c>
      <c r="E223" s="11">
        <v>46110</v>
      </c>
      <c r="F223" s="5">
        <v>5058.92</v>
      </c>
      <c r="G223" s="3">
        <f>SUMIF(Customer_Payments!B:B,C223,Customer_Payments!E:E)</f>
        <v>5058.92</v>
      </c>
      <c r="H223" s="3">
        <f t="shared" si="9"/>
        <v>0</v>
      </c>
      <c r="I223" s="29">
        <f t="shared" si="10"/>
        <v>-19</v>
      </c>
      <c r="J223" s="31" t="str">
        <f t="shared" si="11"/>
        <v>Current</v>
      </c>
      <c r="K223"/>
    </row>
    <row r="224" spans="1:11" x14ac:dyDescent="0.3">
      <c r="A224" s="20" t="s">
        <v>123</v>
      </c>
      <c r="B224" t="str">
        <f>VLOOKUP(A224,Customers!A:B,2,FALSE)</f>
        <v>RetailFlowGlobal</v>
      </c>
      <c r="C224" s="24" t="s">
        <v>591</v>
      </c>
      <c r="D224" s="10">
        <v>46070</v>
      </c>
      <c r="E224" s="10">
        <v>46100</v>
      </c>
      <c r="F224" s="4">
        <v>2431.1</v>
      </c>
      <c r="G224" s="3">
        <f>SUMIF(Customer_Payments!B:B,C224,Customer_Payments!E:E)</f>
        <v>2431.1</v>
      </c>
      <c r="H224" s="3">
        <f t="shared" si="9"/>
        <v>0</v>
      </c>
      <c r="I224" s="29">
        <f t="shared" si="10"/>
        <v>-9</v>
      </c>
      <c r="J224" s="31" t="str">
        <f t="shared" si="11"/>
        <v>Current</v>
      </c>
      <c r="K224"/>
    </row>
    <row r="225" spans="1:11" x14ac:dyDescent="0.3">
      <c r="A225" s="21" t="s">
        <v>34</v>
      </c>
      <c r="B225" t="str">
        <f>VLOOKUP(A225,Customers!A:B,2,FALSE)</f>
        <v>OptiCommerce</v>
      </c>
      <c r="C225" s="25" t="s">
        <v>592</v>
      </c>
      <c r="D225" s="11">
        <v>46031</v>
      </c>
      <c r="E225" s="11">
        <v>46061</v>
      </c>
      <c r="F225" s="5">
        <v>2964.87</v>
      </c>
      <c r="G225" s="3">
        <f>SUMIF(Customer_Payments!B:B,C225,Customer_Payments!E:E)</f>
        <v>2964.87</v>
      </c>
      <c r="H225" s="3">
        <f t="shared" si="9"/>
        <v>0</v>
      </c>
      <c r="I225" s="29">
        <f t="shared" si="10"/>
        <v>30</v>
      </c>
      <c r="J225" s="31" t="str">
        <f t="shared" si="11"/>
        <v>1-30</v>
      </c>
      <c r="K225"/>
    </row>
    <row r="226" spans="1:11" x14ac:dyDescent="0.3">
      <c r="A226" s="20" t="s">
        <v>116</v>
      </c>
      <c r="B226" t="str">
        <f>VLOOKUP(A226,Customers!A:B,2,FALSE)</f>
        <v>RetailLabsPro</v>
      </c>
      <c r="C226" s="24" t="s">
        <v>593</v>
      </c>
      <c r="D226" s="10">
        <v>46002</v>
      </c>
      <c r="E226" s="10">
        <v>46032</v>
      </c>
      <c r="F226" s="4">
        <v>3199.81</v>
      </c>
      <c r="G226" s="3">
        <f>SUMIF(Customer_Payments!B:B,C226,Customer_Payments!E:E)</f>
        <v>3199.81</v>
      </c>
      <c r="H226" s="3">
        <f t="shared" si="9"/>
        <v>0</v>
      </c>
      <c r="I226" s="29">
        <f t="shared" si="10"/>
        <v>59</v>
      </c>
      <c r="J226" s="31" t="str">
        <f t="shared" si="11"/>
        <v>31-60</v>
      </c>
      <c r="K226"/>
    </row>
    <row r="227" spans="1:11" x14ac:dyDescent="0.3">
      <c r="A227" s="21" t="s">
        <v>110</v>
      </c>
      <c r="B227" t="str">
        <f>VLOOKUP(A227,Customers!A:B,2,FALSE)</f>
        <v>RetailAxisPro</v>
      </c>
      <c r="C227" s="25" t="s">
        <v>594</v>
      </c>
      <c r="D227" s="11">
        <v>46091</v>
      </c>
      <c r="E227" s="11">
        <v>46121</v>
      </c>
      <c r="F227" s="5">
        <v>2942.45</v>
      </c>
      <c r="G227" s="3">
        <f>SUMIF(Customer_Payments!B:B,C227,Customer_Payments!E:E)</f>
        <v>0</v>
      </c>
      <c r="H227" s="3">
        <f t="shared" si="9"/>
        <v>2942.45</v>
      </c>
      <c r="I227" s="29">
        <f t="shared" si="10"/>
        <v>-30</v>
      </c>
      <c r="J227" s="31" t="str">
        <f t="shared" si="11"/>
        <v>Current</v>
      </c>
      <c r="K227"/>
    </row>
    <row r="228" spans="1:11" x14ac:dyDescent="0.3">
      <c r="A228" s="20" t="s">
        <v>15</v>
      </c>
      <c r="B228" t="str">
        <f>VLOOKUP(A228,Customers!A:B,2,FALSE)</f>
        <v>CloudScale</v>
      </c>
      <c r="C228" s="24" t="s">
        <v>595</v>
      </c>
      <c r="D228" s="10">
        <v>46058</v>
      </c>
      <c r="E228" s="10">
        <v>46088</v>
      </c>
      <c r="F228" s="4">
        <v>2136.64</v>
      </c>
      <c r="G228" s="3">
        <f>SUMIF(Customer_Payments!B:B,C228,Customer_Payments!E:E)</f>
        <v>2136.64</v>
      </c>
      <c r="H228" s="3">
        <f t="shared" si="9"/>
        <v>0</v>
      </c>
      <c r="I228" s="29">
        <f t="shared" si="10"/>
        <v>3</v>
      </c>
      <c r="J228" s="31" t="str">
        <f t="shared" si="11"/>
        <v>1-30</v>
      </c>
      <c r="K228"/>
    </row>
    <row r="229" spans="1:11" x14ac:dyDescent="0.3">
      <c r="A229" s="21" t="s">
        <v>96</v>
      </c>
      <c r="B229" t="str">
        <f>VLOOKUP(A229,Customers!A:B,2,FALSE)</f>
        <v>RetailLabs</v>
      </c>
      <c r="C229" s="25" t="s">
        <v>596</v>
      </c>
      <c r="D229" s="11">
        <v>46105</v>
      </c>
      <c r="E229" s="11">
        <v>46135</v>
      </c>
      <c r="F229" s="5">
        <v>3559.04</v>
      </c>
      <c r="G229" s="3">
        <f>SUMIF(Customer_Payments!B:B,C229,Customer_Payments!E:E)</f>
        <v>3559.04</v>
      </c>
      <c r="H229" s="3">
        <f t="shared" si="9"/>
        <v>0</v>
      </c>
      <c r="I229" s="29">
        <f t="shared" si="10"/>
        <v>-44</v>
      </c>
      <c r="J229" s="31" t="str">
        <f t="shared" si="11"/>
        <v>Current</v>
      </c>
      <c r="K229"/>
    </row>
    <row r="230" spans="1:11" x14ac:dyDescent="0.3">
      <c r="A230" s="20" t="s">
        <v>32</v>
      </c>
      <c r="B230" t="str">
        <f>VLOOKUP(A230,Customers!A:B,2,FALSE)</f>
        <v>RetailVista</v>
      </c>
      <c r="C230" s="24" t="s">
        <v>597</v>
      </c>
      <c r="D230" s="10">
        <v>46007</v>
      </c>
      <c r="E230" s="10">
        <v>46037</v>
      </c>
      <c r="F230" s="4">
        <v>1565.35</v>
      </c>
      <c r="G230" s="3">
        <f>SUMIF(Customer_Payments!B:B,C230,Customer_Payments!E:E)</f>
        <v>1565.35</v>
      </c>
      <c r="H230" s="3">
        <f t="shared" si="9"/>
        <v>0</v>
      </c>
      <c r="I230" s="29">
        <f t="shared" si="10"/>
        <v>54</v>
      </c>
      <c r="J230" s="31" t="str">
        <f t="shared" si="11"/>
        <v>31-60</v>
      </c>
      <c r="K230"/>
    </row>
    <row r="231" spans="1:11" x14ac:dyDescent="0.3">
      <c r="A231" s="21" t="s">
        <v>80</v>
      </c>
      <c r="B231" t="str">
        <f>VLOOKUP(A231,Customers!A:B,2,FALSE)</f>
        <v>RetailEdgeX</v>
      </c>
      <c r="C231" s="25" t="s">
        <v>598</v>
      </c>
      <c r="D231" s="11">
        <v>46067</v>
      </c>
      <c r="E231" s="11">
        <v>46097</v>
      </c>
      <c r="F231" s="5">
        <v>4473.47</v>
      </c>
      <c r="G231" s="3">
        <f>SUMIF(Customer_Payments!B:B,C231,Customer_Payments!E:E)</f>
        <v>4473.47</v>
      </c>
      <c r="H231" s="3">
        <f t="shared" si="9"/>
        <v>0</v>
      </c>
      <c r="I231" s="29">
        <f t="shared" si="10"/>
        <v>-6</v>
      </c>
      <c r="J231" s="31" t="str">
        <f t="shared" si="11"/>
        <v>Current</v>
      </c>
      <c r="K231"/>
    </row>
    <row r="232" spans="1:11" x14ac:dyDescent="0.3">
      <c r="A232" s="20" t="s">
        <v>18</v>
      </c>
      <c r="B232" t="str">
        <f>VLOOKUP(A232,Customers!A:B,2,FALSE)</f>
        <v>BluePeak Systems</v>
      </c>
      <c r="C232" s="24" t="s">
        <v>599</v>
      </c>
      <c r="D232" s="10">
        <v>45968</v>
      </c>
      <c r="E232" s="10">
        <v>45998</v>
      </c>
      <c r="F232" s="4">
        <v>2467.41</v>
      </c>
      <c r="G232" s="3">
        <f>SUMIF(Customer_Payments!B:B,C232,Customer_Payments!E:E)</f>
        <v>2467.41</v>
      </c>
      <c r="H232" s="3">
        <f t="shared" si="9"/>
        <v>0</v>
      </c>
      <c r="I232" s="29">
        <f t="shared" si="10"/>
        <v>93</v>
      </c>
      <c r="J232" s="31" t="str">
        <f t="shared" si="11"/>
        <v>90+</v>
      </c>
      <c r="K232"/>
    </row>
    <row r="233" spans="1:11" x14ac:dyDescent="0.3">
      <c r="A233" s="21" t="s">
        <v>59</v>
      </c>
      <c r="B233" t="str">
        <f>VLOOKUP(A233,Customers!A:B,2,FALSE)</f>
        <v>MarketBridge</v>
      </c>
      <c r="C233" s="25" t="s">
        <v>600</v>
      </c>
      <c r="D233" s="11">
        <v>46054</v>
      </c>
      <c r="E233" s="11">
        <v>46084</v>
      </c>
      <c r="F233" s="5">
        <v>2771.15</v>
      </c>
      <c r="G233" s="3">
        <f>SUMIF(Customer_Payments!B:B,C233,Customer_Payments!E:E)</f>
        <v>2771.15</v>
      </c>
      <c r="H233" s="3">
        <f t="shared" si="9"/>
        <v>0</v>
      </c>
      <c r="I233" s="29">
        <f t="shared" si="10"/>
        <v>7</v>
      </c>
      <c r="J233" s="31" t="str">
        <f t="shared" si="11"/>
        <v>1-30</v>
      </c>
      <c r="K233"/>
    </row>
    <row r="234" spans="1:11" x14ac:dyDescent="0.3">
      <c r="A234" s="20" t="s">
        <v>89</v>
      </c>
      <c r="B234" t="str">
        <f>VLOOKUP(A234,Customers!A:B,2,FALSE)</f>
        <v>RetailAxisX</v>
      </c>
      <c r="C234" s="24" t="s">
        <v>601</v>
      </c>
      <c r="D234" s="10">
        <v>46011</v>
      </c>
      <c r="E234" s="10">
        <v>46041</v>
      </c>
      <c r="F234" s="4">
        <v>13552.03</v>
      </c>
      <c r="G234" s="3">
        <v>12700</v>
      </c>
      <c r="H234" s="3">
        <f t="shared" si="9"/>
        <v>852.03000000000065</v>
      </c>
      <c r="I234" s="29">
        <f t="shared" si="10"/>
        <v>50</v>
      </c>
      <c r="J234" s="31" t="str">
        <f t="shared" si="11"/>
        <v>31-60</v>
      </c>
      <c r="K234"/>
    </row>
    <row r="235" spans="1:11" x14ac:dyDescent="0.3">
      <c r="A235" s="21" t="s">
        <v>119</v>
      </c>
      <c r="B235" t="str">
        <f>VLOOKUP(A235,Customers!A:B,2,FALSE)</f>
        <v>RetailNovaGlobal</v>
      </c>
      <c r="C235" s="25" t="s">
        <v>602</v>
      </c>
      <c r="D235" s="11">
        <v>46100</v>
      </c>
      <c r="E235" s="11">
        <v>46130</v>
      </c>
      <c r="F235" s="5">
        <v>2939.97</v>
      </c>
      <c r="G235" s="3">
        <f>SUMIF(Customer_Payments!B:B,C235,Customer_Payments!E:E)</f>
        <v>2939.97</v>
      </c>
      <c r="H235" s="3">
        <f t="shared" si="9"/>
        <v>0</v>
      </c>
      <c r="I235" s="29">
        <f t="shared" si="10"/>
        <v>-39</v>
      </c>
      <c r="J235" s="31" t="str">
        <f t="shared" si="11"/>
        <v>Current</v>
      </c>
      <c r="K235"/>
    </row>
    <row r="236" spans="1:11" x14ac:dyDescent="0.3">
      <c r="A236" s="20" t="s">
        <v>123</v>
      </c>
      <c r="B236" t="str">
        <f>VLOOKUP(A236,Customers!A:B,2,FALSE)</f>
        <v>RetailFlowGlobal</v>
      </c>
      <c r="C236" s="24" t="s">
        <v>603</v>
      </c>
      <c r="D236" s="10">
        <v>46062</v>
      </c>
      <c r="E236" s="10">
        <v>46092</v>
      </c>
      <c r="F236" s="4">
        <v>3695.71</v>
      </c>
      <c r="G236" s="3">
        <f>SUMIF(Customer_Payments!B:B,C236,Customer_Payments!E:E)</f>
        <v>3695.71</v>
      </c>
      <c r="H236" s="3">
        <f t="shared" si="9"/>
        <v>0</v>
      </c>
      <c r="I236" s="29">
        <f t="shared" si="10"/>
        <v>-1</v>
      </c>
      <c r="J236" s="31" t="str">
        <f t="shared" si="11"/>
        <v>Current</v>
      </c>
      <c r="K236"/>
    </row>
    <row r="237" spans="1:11" x14ac:dyDescent="0.3">
      <c r="A237" s="21" t="s">
        <v>27</v>
      </c>
      <c r="B237" t="str">
        <f>VLOOKUP(A237,Customers!A:B,2,FALSE)</f>
        <v>Skyline Commerce</v>
      </c>
      <c r="C237" s="25" t="s">
        <v>604</v>
      </c>
      <c r="D237" s="11">
        <v>46017</v>
      </c>
      <c r="E237" s="11">
        <v>46047</v>
      </c>
      <c r="F237" s="5">
        <v>3397.67</v>
      </c>
      <c r="G237" s="3">
        <f>SUMIF(Customer_Payments!B:B,C237,Customer_Payments!E:E)</f>
        <v>3397.67</v>
      </c>
      <c r="H237" s="3">
        <f t="shared" si="9"/>
        <v>0</v>
      </c>
      <c r="I237" s="29">
        <f t="shared" si="10"/>
        <v>44</v>
      </c>
      <c r="J237" s="31" t="str">
        <f t="shared" si="11"/>
        <v>31-60</v>
      </c>
      <c r="K237"/>
    </row>
    <row r="238" spans="1:11" x14ac:dyDescent="0.3">
      <c r="A238" s="20" t="s">
        <v>73</v>
      </c>
      <c r="B238" t="str">
        <f>VLOOKUP(A238,Customers!A:B,2,FALSE)</f>
        <v>RetailWave</v>
      </c>
      <c r="C238" s="24" t="s">
        <v>605</v>
      </c>
      <c r="D238" s="10">
        <v>46003</v>
      </c>
      <c r="E238" s="10">
        <v>46033</v>
      </c>
      <c r="F238" s="4">
        <v>2934.74</v>
      </c>
      <c r="G238" s="3">
        <f>SUMIF(Customer_Payments!B:B,C238,Customer_Payments!E:E)</f>
        <v>0</v>
      </c>
      <c r="H238" s="3">
        <f t="shared" si="9"/>
        <v>2934.74</v>
      </c>
      <c r="I238" s="29">
        <f t="shared" si="10"/>
        <v>58</v>
      </c>
      <c r="J238" s="31" t="str">
        <f t="shared" si="11"/>
        <v>31-60</v>
      </c>
      <c r="K238"/>
    </row>
    <row r="239" spans="1:11" x14ac:dyDescent="0.3">
      <c r="A239" s="21" t="s">
        <v>77</v>
      </c>
      <c r="B239" t="str">
        <f>VLOOKUP(A239,Customers!A:B,2,FALSE)</f>
        <v>RetailBridge</v>
      </c>
      <c r="C239" s="25" t="s">
        <v>606</v>
      </c>
      <c r="D239" s="11">
        <v>45994</v>
      </c>
      <c r="E239" s="11">
        <v>46024</v>
      </c>
      <c r="F239" s="5">
        <v>2845.93</v>
      </c>
      <c r="G239" s="3">
        <f>SUMIF(Customer_Payments!B:B,C239,Customer_Payments!E:E)</f>
        <v>2845.93</v>
      </c>
      <c r="H239" s="3">
        <f t="shared" si="9"/>
        <v>0</v>
      </c>
      <c r="I239" s="29">
        <f t="shared" si="10"/>
        <v>67</v>
      </c>
      <c r="J239" s="31" t="str">
        <f t="shared" si="11"/>
        <v>61-90</v>
      </c>
      <c r="K239"/>
    </row>
    <row r="240" spans="1:11" x14ac:dyDescent="0.3">
      <c r="A240" s="20" t="s">
        <v>71</v>
      </c>
      <c r="B240" t="str">
        <f>VLOOKUP(A240,Customers!A:B,2,FALSE)</f>
        <v>RetailPulse</v>
      </c>
      <c r="C240" s="24" t="s">
        <v>607</v>
      </c>
      <c r="D240" s="10">
        <v>45983</v>
      </c>
      <c r="E240" s="10">
        <v>46013</v>
      </c>
      <c r="F240" s="4">
        <v>2125.17</v>
      </c>
      <c r="G240" s="3">
        <f>SUMIF(Customer_Payments!B:B,C240,Customer_Payments!E:E)</f>
        <v>2125.17</v>
      </c>
      <c r="H240" s="3">
        <f t="shared" si="9"/>
        <v>0</v>
      </c>
      <c r="I240" s="29">
        <f t="shared" si="10"/>
        <v>78</v>
      </c>
      <c r="J240" s="31" t="str">
        <f t="shared" si="11"/>
        <v>61-90</v>
      </c>
      <c r="K240"/>
    </row>
    <row r="241" spans="1:11" x14ac:dyDescent="0.3">
      <c r="A241" s="21" t="s">
        <v>86</v>
      </c>
      <c r="B241" t="str">
        <f>VLOOKUP(A241,Customers!A:B,2,FALSE)</f>
        <v>RetailNextX</v>
      </c>
      <c r="C241" s="25" t="s">
        <v>608</v>
      </c>
      <c r="D241" s="11">
        <v>45977</v>
      </c>
      <c r="E241" s="11">
        <v>46007</v>
      </c>
      <c r="F241" s="5">
        <v>1561.42</v>
      </c>
      <c r="G241" s="3">
        <f>SUMIF(Customer_Payments!B:B,C241,Customer_Payments!E:E)</f>
        <v>1561.42</v>
      </c>
      <c r="H241" s="3">
        <f t="shared" si="9"/>
        <v>0</v>
      </c>
      <c r="I241" s="29">
        <f t="shared" si="10"/>
        <v>84</v>
      </c>
      <c r="J241" s="31" t="str">
        <f t="shared" si="11"/>
        <v>61-90</v>
      </c>
      <c r="K241"/>
    </row>
    <row r="242" spans="1:11" x14ac:dyDescent="0.3">
      <c r="A242" s="20" t="s">
        <v>117</v>
      </c>
      <c r="B242" t="str">
        <f>VLOOKUP(A242,Customers!A:B,2,FALSE)</f>
        <v>RetailSparkPro</v>
      </c>
      <c r="C242" s="24" t="s">
        <v>609</v>
      </c>
      <c r="D242" s="10">
        <v>46033</v>
      </c>
      <c r="E242" s="10">
        <v>46063</v>
      </c>
      <c r="F242" s="4">
        <v>2089.44</v>
      </c>
      <c r="G242" s="3">
        <f>SUMIF(Customer_Payments!B:B,C242,Customer_Payments!E:E)</f>
        <v>2089.44</v>
      </c>
      <c r="H242" s="3">
        <f t="shared" si="9"/>
        <v>0</v>
      </c>
      <c r="I242" s="29">
        <f t="shared" si="10"/>
        <v>28</v>
      </c>
      <c r="J242" s="31" t="str">
        <f t="shared" si="11"/>
        <v>1-30</v>
      </c>
      <c r="K242"/>
    </row>
    <row r="243" spans="1:11" x14ac:dyDescent="0.3">
      <c r="A243" s="21" t="s">
        <v>33</v>
      </c>
      <c r="B243" t="str">
        <f>VLOOKUP(A243,Customers!A:B,2,FALSE)</f>
        <v>CloudCart</v>
      </c>
      <c r="C243" s="25" t="s">
        <v>610</v>
      </c>
      <c r="D243" s="11">
        <v>46012</v>
      </c>
      <c r="E243" s="11">
        <v>46042</v>
      </c>
      <c r="F243" s="5">
        <v>2497.4699999999998</v>
      </c>
      <c r="G243" s="3">
        <f>SUMIF(Customer_Payments!B:B,C243,Customer_Payments!E:E)</f>
        <v>2497.4699999999998</v>
      </c>
      <c r="H243" s="3">
        <f t="shared" si="9"/>
        <v>0</v>
      </c>
      <c r="I243" s="29">
        <f t="shared" si="10"/>
        <v>49</v>
      </c>
      <c r="J243" s="31" t="str">
        <f t="shared" si="11"/>
        <v>31-60</v>
      </c>
      <c r="K243"/>
    </row>
    <row r="244" spans="1:11" x14ac:dyDescent="0.3">
      <c r="A244" s="20" t="s">
        <v>87</v>
      </c>
      <c r="B244" t="str">
        <f>VLOOKUP(A244,Customers!A:B,2,FALSE)</f>
        <v>RetailStreamX</v>
      </c>
      <c r="C244" s="24" t="s">
        <v>611</v>
      </c>
      <c r="D244" s="10">
        <v>46109</v>
      </c>
      <c r="E244" s="10">
        <v>46139</v>
      </c>
      <c r="F244" s="4">
        <v>3383.22</v>
      </c>
      <c r="G244" s="3">
        <f>SUMIF(Customer_Payments!B:B,C244,Customer_Payments!E:E)</f>
        <v>3383.22</v>
      </c>
      <c r="H244" s="3">
        <f t="shared" si="9"/>
        <v>0</v>
      </c>
      <c r="I244" s="29">
        <f t="shared" si="10"/>
        <v>-48</v>
      </c>
      <c r="J244" s="31" t="str">
        <f t="shared" si="11"/>
        <v>Current</v>
      </c>
      <c r="K244"/>
    </row>
    <row r="245" spans="1:11" x14ac:dyDescent="0.3">
      <c r="A245" s="21" t="s">
        <v>110</v>
      </c>
      <c r="B245" t="str">
        <f>VLOOKUP(A245,Customers!A:B,2,FALSE)</f>
        <v>RetailAxisPro</v>
      </c>
      <c r="C245" s="25" t="s">
        <v>612</v>
      </c>
      <c r="D245" s="11">
        <v>46031</v>
      </c>
      <c r="E245" s="11">
        <v>46061</v>
      </c>
      <c r="F245" s="5">
        <v>3205.54</v>
      </c>
      <c r="G245" s="3">
        <f>SUMIF(Customer_Payments!B:B,C245,Customer_Payments!E:E)</f>
        <v>3205.54</v>
      </c>
      <c r="H245" s="3">
        <f t="shared" si="9"/>
        <v>0</v>
      </c>
      <c r="I245" s="29">
        <f t="shared" si="10"/>
        <v>30</v>
      </c>
      <c r="J245" s="31" t="str">
        <f t="shared" si="11"/>
        <v>1-30</v>
      </c>
      <c r="K245"/>
    </row>
    <row r="246" spans="1:11" x14ac:dyDescent="0.3">
      <c r="A246" s="20" t="s">
        <v>27</v>
      </c>
      <c r="B246" t="str">
        <f>VLOOKUP(A246,Customers!A:B,2,FALSE)</f>
        <v>Skyline Commerce</v>
      </c>
      <c r="C246" s="24" t="s">
        <v>613</v>
      </c>
      <c r="D246" s="10">
        <v>46071</v>
      </c>
      <c r="E246" s="10">
        <v>46101</v>
      </c>
      <c r="F246" s="4">
        <v>1732.39</v>
      </c>
      <c r="G246" s="3">
        <f>SUMIF(Customer_Payments!B:B,C246,Customer_Payments!E:E)</f>
        <v>1732.39</v>
      </c>
      <c r="H246" s="3">
        <f t="shared" si="9"/>
        <v>0</v>
      </c>
      <c r="I246" s="29">
        <f t="shared" si="10"/>
        <v>-10</v>
      </c>
      <c r="J246" s="31" t="str">
        <f t="shared" si="11"/>
        <v>Current</v>
      </c>
      <c r="K246"/>
    </row>
    <row r="247" spans="1:11" x14ac:dyDescent="0.3">
      <c r="A247" s="21" t="s">
        <v>25</v>
      </c>
      <c r="B247" t="str">
        <f>VLOOKUP(A247,Customers!A:B,2,FALSE)</f>
        <v>OrbitEdge</v>
      </c>
      <c r="C247" s="25" t="s">
        <v>614</v>
      </c>
      <c r="D247" s="11">
        <v>46042</v>
      </c>
      <c r="E247" s="11">
        <v>46072</v>
      </c>
      <c r="F247" s="5">
        <v>11594.98</v>
      </c>
      <c r="G247" s="3">
        <f>SUMIF(Customer_Payments!B:B,C247,Customer_Payments!E:E)</f>
        <v>11594.98</v>
      </c>
      <c r="H247" s="3">
        <f t="shared" si="9"/>
        <v>0</v>
      </c>
      <c r="I247" s="29">
        <f t="shared" si="10"/>
        <v>19</v>
      </c>
      <c r="J247" s="31" t="str">
        <f t="shared" si="11"/>
        <v>1-30</v>
      </c>
      <c r="K247"/>
    </row>
    <row r="248" spans="1:11" x14ac:dyDescent="0.3">
      <c r="A248" s="20" t="s">
        <v>51</v>
      </c>
      <c r="B248" t="str">
        <f>VLOOKUP(A248,Customers!A:B,2,FALSE)</f>
        <v>CartMasters</v>
      </c>
      <c r="C248" s="24" t="s">
        <v>615</v>
      </c>
      <c r="D248" s="10">
        <v>46001</v>
      </c>
      <c r="E248" s="10">
        <v>46031</v>
      </c>
      <c r="F248" s="4">
        <v>2861.49</v>
      </c>
      <c r="G248" s="3">
        <f>SUMIF(Customer_Payments!B:B,C248,Customer_Payments!E:E)</f>
        <v>0</v>
      </c>
      <c r="H248" s="3">
        <f t="shared" si="9"/>
        <v>2861.49</v>
      </c>
      <c r="I248" s="29">
        <f t="shared" si="10"/>
        <v>60</v>
      </c>
      <c r="J248" s="31" t="str">
        <f t="shared" si="11"/>
        <v>31-60</v>
      </c>
      <c r="K248"/>
    </row>
    <row r="249" spans="1:11" x14ac:dyDescent="0.3">
      <c r="A249" s="21" t="s">
        <v>47</v>
      </c>
      <c r="B249" t="str">
        <f>VLOOKUP(A249,Customers!A:B,2,FALSE)</f>
        <v>SmartRetail</v>
      </c>
      <c r="C249" s="25" t="s">
        <v>616</v>
      </c>
      <c r="D249" s="11">
        <v>46031</v>
      </c>
      <c r="E249" s="11">
        <v>46061</v>
      </c>
      <c r="F249" s="5">
        <v>10227.68</v>
      </c>
      <c r="G249" s="3">
        <f>SUMIF(Customer_Payments!B:B,C249,Customer_Payments!E:E)</f>
        <v>10227.68</v>
      </c>
      <c r="H249" s="3">
        <f t="shared" si="9"/>
        <v>0</v>
      </c>
      <c r="I249" s="29">
        <f t="shared" si="10"/>
        <v>30</v>
      </c>
      <c r="J249" s="31" t="str">
        <f t="shared" si="11"/>
        <v>1-30</v>
      </c>
      <c r="K249"/>
    </row>
    <row r="250" spans="1:11" x14ac:dyDescent="0.3">
      <c r="A250" s="20" t="s">
        <v>19</v>
      </c>
      <c r="B250" t="str">
        <f>VLOOKUP(A250,Customers!A:B,2,FALSE)</f>
        <v>NextWave Digital</v>
      </c>
      <c r="C250" s="24" t="s">
        <v>617</v>
      </c>
      <c r="D250" s="10">
        <v>46020</v>
      </c>
      <c r="E250" s="10">
        <v>46050</v>
      </c>
      <c r="F250" s="4">
        <v>4932.95</v>
      </c>
      <c r="G250" s="3">
        <f>SUMIF(Customer_Payments!B:B,C250,Customer_Payments!E:E)</f>
        <v>4932.95</v>
      </c>
      <c r="H250" s="3">
        <f t="shared" si="9"/>
        <v>0</v>
      </c>
      <c r="I250" s="29">
        <f t="shared" si="10"/>
        <v>41</v>
      </c>
      <c r="J250" s="31" t="str">
        <f t="shared" si="11"/>
        <v>31-60</v>
      </c>
      <c r="K250"/>
    </row>
    <row r="251" spans="1:11" x14ac:dyDescent="0.3">
      <c r="A251" s="21" t="s">
        <v>117</v>
      </c>
      <c r="B251" t="str">
        <f>VLOOKUP(A251,Customers!A:B,2,FALSE)</f>
        <v>RetailSparkPro</v>
      </c>
      <c r="C251" s="25" t="s">
        <v>618</v>
      </c>
      <c r="D251" s="11">
        <v>46040</v>
      </c>
      <c r="E251" s="11">
        <v>46070</v>
      </c>
      <c r="F251" s="5">
        <v>2748.25</v>
      </c>
      <c r="G251" s="3">
        <f>SUMIF(Customer_Payments!B:B,C251,Customer_Payments!E:E)</f>
        <v>2748.25</v>
      </c>
      <c r="H251" s="3">
        <f t="shared" si="9"/>
        <v>0</v>
      </c>
      <c r="I251" s="29">
        <f t="shared" si="10"/>
        <v>21</v>
      </c>
      <c r="J251" s="31" t="str">
        <f t="shared" si="11"/>
        <v>1-30</v>
      </c>
      <c r="K251"/>
    </row>
    <row r="252" spans="1:11" x14ac:dyDescent="0.3">
      <c r="A252" s="20" t="s">
        <v>104</v>
      </c>
      <c r="B252" t="str">
        <f>VLOOKUP(A252,Customers!A:B,2,FALSE)</f>
        <v>RetailCorePro</v>
      </c>
      <c r="C252" s="24" t="s">
        <v>619</v>
      </c>
      <c r="D252" s="10">
        <v>45984</v>
      </c>
      <c r="E252" s="10">
        <v>46014</v>
      </c>
      <c r="F252" s="4">
        <v>5626.96</v>
      </c>
      <c r="G252" s="3">
        <f>SUMIF(Customer_Payments!B:B,C252,Customer_Payments!E:E)</f>
        <v>5626.96</v>
      </c>
      <c r="H252" s="3">
        <f t="shared" si="9"/>
        <v>0</v>
      </c>
      <c r="I252" s="29">
        <f t="shared" si="10"/>
        <v>77</v>
      </c>
      <c r="J252" s="31" t="str">
        <f t="shared" si="11"/>
        <v>61-90</v>
      </c>
      <c r="K252"/>
    </row>
    <row r="253" spans="1:11" x14ac:dyDescent="0.3">
      <c r="A253" s="21" t="s">
        <v>46</v>
      </c>
      <c r="B253" t="str">
        <f>VLOOKUP(A253,Customers!A:B,2,FALSE)</f>
        <v>NovaMarket</v>
      </c>
      <c r="C253" s="25" t="s">
        <v>620</v>
      </c>
      <c r="D253" s="11">
        <v>46099</v>
      </c>
      <c r="E253" s="11">
        <v>46129</v>
      </c>
      <c r="F253" s="5">
        <v>4996.53</v>
      </c>
      <c r="G253" s="3">
        <f>SUMIF(Customer_Payments!B:B,C253,Customer_Payments!E:E)</f>
        <v>4996.53</v>
      </c>
      <c r="H253" s="3">
        <f t="shared" si="9"/>
        <v>0</v>
      </c>
      <c r="I253" s="29">
        <f t="shared" si="10"/>
        <v>-38</v>
      </c>
      <c r="J253" s="31" t="str">
        <f t="shared" si="11"/>
        <v>Current</v>
      </c>
      <c r="K253"/>
    </row>
    <row r="254" spans="1:11" x14ac:dyDescent="0.3">
      <c r="A254" s="20" t="s">
        <v>37</v>
      </c>
      <c r="B254" t="str">
        <f>VLOOKUP(A254,Customers!A:B,2,FALSE)</f>
        <v>SmartCart</v>
      </c>
      <c r="C254" s="24" t="s">
        <v>621</v>
      </c>
      <c r="D254" s="10">
        <v>46111</v>
      </c>
      <c r="E254" s="10">
        <v>46141</v>
      </c>
      <c r="F254" s="4">
        <v>9711.25</v>
      </c>
      <c r="G254" s="3">
        <f>SUMIF(Customer_Payments!B:B,C254,Customer_Payments!E:E)</f>
        <v>9711.25</v>
      </c>
      <c r="H254" s="3">
        <f t="shared" si="9"/>
        <v>0</v>
      </c>
      <c r="I254" s="29">
        <f t="shared" si="10"/>
        <v>-50</v>
      </c>
      <c r="J254" s="31" t="str">
        <f t="shared" si="11"/>
        <v>Current</v>
      </c>
      <c r="K254"/>
    </row>
    <row r="255" spans="1:11" x14ac:dyDescent="0.3">
      <c r="A255" s="21" t="s">
        <v>83</v>
      </c>
      <c r="B255" t="str">
        <f>VLOOKUP(A255,Customers!A:B,2,FALSE)</f>
        <v>RetailCoreX</v>
      </c>
      <c r="C255" s="25" t="s">
        <v>622</v>
      </c>
      <c r="D255" s="11">
        <v>46015</v>
      </c>
      <c r="E255" s="11">
        <v>46045</v>
      </c>
      <c r="F255" s="5">
        <v>5166.6899999999996</v>
      </c>
      <c r="G255" s="3">
        <f>SUMIF(Customer_Payments!B:B,C255,Customer_Payments!E:E)</f>
        <v>5166.6899999999996</v>
      </c>
      <c r="H255" s="3">
        <f t="shared" si="9"/>
        <v>0</v>
      </c>
      <c r="I255" s="29">
        <f t="shared" si="10"/>
        <v>46</v>
      </c>
      <c r="J255" s="31" t="str">
        <f t="shared" si="11"/>
        <v>31-60</v>
      </c>
      <c r="K255"/>
    </row>
    <row r="256" spans="1:11" x14ac:dyDescent="0.3">
      <c r="A256" s="20" t="s">
        <v>20</v>
      </c>
      <c r="B256" t="str">
        <f>VLOOKUP(A256,Customers!A:B,2,FALSE)</f>
        <v>GrowthSphere</v>
      </c>
      <c r="C256" s="24" t="s">
        <v>623</v>
      </c>
      <c r="D256" s="10">
        <v>46064</v>
      </c>
      <c r="E256" s="10">
        <v>46094</v>
      </c>
      <c r="F256" s="4">
        <v>1924.21</v>
      </c>
      <c r="G256" s="3">
        <f>SUMIF(Customer_Payments!B:B,C256,Customer_Payments!E:E)</f>
        <v>1924.21</v>
      </c>
      <c r="H256" s="3">
        <f t="shared" si="9"/>
        <v>0</v>
      </c>
      <c r="I256" s="29">
        <f t="shared" si="10"/>
        <v>-3</v>
      </c>
      <c r="J256" s="31" t="str">
        <f t="shared" si="11"/>
        <v>Current</v>
      </c>
      <c r="K256"/>
    </row>
    <row r="257" spans="1:11" x14ac:dyDescent="0.3">
      <c r="A257" s="21" t="s">
        <v>58</v>
      </c>
      <c r="B257" t="str">
        <f>VLOOKUP(A257,Customers!A:B,2,FALSE)</f>
        <v>RetailAxis</v>
      </c>
      <c r="C257" s="25" t="s">
        <v>624</v>
      </c>
      <c r="D257" s="11">
        <v>45976</v>
      </c>
      <c r="E257" s="11">
        <v>46006</v>
      </c>
      <c r="F257" s="5">
        <v>10242.89</v>
      </c>
      <c r="G257" s="3">
        <f>SUMIF(Customer_Payments!B:B,C257,Customer_Payments!E:E)</f>
        <v>10242.89</v>
      </c>
      <c r="H257" s="3">
        <f t="shared" si="9"/>
        <v>0</v>
      </c>
      <c r="I257" s="29">
        <f t="shared" si="10"/>
        <v>85</v>
      </c>
      <c r="J257" s="31" t="str">
        <f t="shared" si="11"/>
        <v>61-90</v>
      </c>
      <c r="K257"/>
    </row>
    <row r="258" spans="1:11" x14ac:dyDescent="0.3">
      <c r="A258" s="20" t="s">
        <v>53</v>
      </c>
      <c r="B258" t="str">
        <f>VLOOKUP(A258,Customers!A:B,2,FALSE)</f>
        <v>PrimeCart</v>
      </c>
      <c r="C258" s="24" t="s">
        <v>625</v>
      </c>
      <c r="D258" s="10">
        <v>46019</v>
      </c>
      <c r="E258" s="10">
        <v>46049</v>
      </c>
      <c r="F258" s="4">
        <v>2045.24</v>
      </c>
      <c r="G258" s="3">
        <f>SUMIF(Customer_Payments!B:B,C258,Customer_Payments!E:E)</f>
        <v>2045.24</v>
      </c>
      <c r="H258" s="3">
        <f t="shared" ref="H258:H321" si="12">MAX(F258-G258,0)</f>
        <v>0</v>
      </c>
      <c r="I258" s="29">
        <f t="shared" ref="I258:I321" si="13">$L$2-E258</f>
        <v>42</v>
      </c>
      <c r="J258" s="31" t="str">
        <f t="shared" si="11"/>
        <v>31-60</v>
      </c>
      <c r="K258"/>
    </row>
    <row r="259" spans="1:11" x14ac:dyDescent="0.3">
      <c r="A259" s="21" t="s">
        <v>77</v>
      </c>
      <c r="B259" t="str">
        <f>VLOOKUP(A259,Customers!A:B,2,FALSE)</f>
        <v>RetailBridge</v>
      </c>
      <c r="C259" s="25" t="s">
        <v>626</v>
      </c>
      <c r="D259" s="11">
        <v>46062</v>
      </c>
      <c r="E259" s="11">
        <v>46092</v>
      </c>
      <c r="F259" s="5">
        <v>3204.04</v>
      </c>
      <c r="G259" s="3">
        <f>SUMIF(Customer_Payments!B:B,C259,Customer_Payments!E:E)</f>
        <v>3204.04</v>
      </c>
      <c r="H259" s="3">
        <f t="shared" si="12"/>
        <v>0</v>
      </c>
      <c r="I259" s="29">
        <f t="shared" si="13"/>
        <v>-1</v>
      </c>
      <c r="J259" s="31" t="str">
        <f t="shared" ref="J259:J322" si="14">IF(I259&lt;=0,"Current",
IF(I259&lt;=30,"1-30",
IF(I259&lt;=60,"31-60",
IF(I259&lt;=90,"61-90","90+"))))</f>
        <v>Current</v>
      </c>
      <c r="K259"/>
    </row>
    <row r="260" spans="1:11" x14ac:dyDescent="0.3">
      <c r="A260" s="20" t="s">
        <v>23</v>
      </c>
      <c r="B260" t="str">
        <f>VLOOKUP(A260,Customers!A:B,2,FALSE)</f>
        <v>VertexCommerce</v>
      </c>
      <c r="C260" s="24" t="s">
        <v>627</v>
      </c>
      <c r="D260" s="10">
        <v>45993</v>
      </c>
      <c r="E260" s="10">
        <v>46023</v>
      </c>
      <c r="F260" s="4">
        <v>2825.31</v>
      </c>
      <c r="G260" s="3">
        <f>SUMIF(Customer_Payments!B:B,C260,Customer_Payments!E:E)</f>
        <v>2825.31</v>
      </c>
      <c r="H260" s="3">
        <f t="shared" si="12"/>
        <v>0</v>
      </c>
      <c r="I260" s="29">
        <f t="shared" si="13"/>
        <v>68</v>
      </c>
      <c r="J260" s="31" t="str">
        <f t="shared" si="14"/>
        <v>61-90</v>
      </c>
      <c r="K260"/>
    </row>
    <row r="261" spans="1:11" x14ac:dyDescent="0.3">
      <c r="A261" s="21" t="s">
        <v>53</v>
      </c>
      <c r="B261" t="str">
        <f>VLOOKUP(A261,Customers!A:B,2,FALSE)</f>
        <v>PrimeCart</v>
      </c>
      <c r="C261" s="25" t="s">
        <v>628</v>
      </c>
      <c r="D261" s="11">
        <v>45993</v>
      </c>
      <c r="E261" s="11">
        <v>46023</v>
      </c>
      <c r="F261" s="5">
        <v>2872.68</v>
      </c>
      <c r="G261" s="3">
        <f>SUMIF(Customer_Payments!B:B,C261,Customer_Payments!E:E)</f>
        <v>2872.68</v>
      </c>
      <c r="H261" s="3">
        <f t="shared" si="12"/>
        <v>0</v>
      </c>
      <c r="I261" s="29">
        <f t="shared" si="13"/>
        <v>68</v>
      </c>
      <c r="J261" s="31" t="str">
        <f t="shared" si="14"/>
        <v>61-90</v>
      </c>
      <c r="K261"/>
    </row>
    <row r="262" spans="1:11" x14ac:dyDescent="0.3">
      <c r="A262" s="20" t="s">
        <v>12</v>
      </c>
      <c r="B262" t="str">
        <f>VLOOKUP(A262,Customers!A:B,2,FALSE)</f>
        <v>ShopOrbit</v>
      </c>
      <c r="C262" s="24" t="s">
        <v>629</v>
      </c>
      <c r="D262" s="10">
        <v>46073</v>
      </c>
      <c r="E262" s="10">
        <v>46103</v>
      </c>
      <c r="F262" s="4">
        <v>4398.12</v>
      </c>
      <c r="G262" s="3">
        <f>SUMIF(Customer_Payments!B:B,C262,Customer_Payments!E:E)</f>
        <v>4398.12</v>
      </c>
      <c r="H262" s="3">
        <f t="shared" si="12"/>
        <v>0</v>
      </c>
      <c r="I262" s="29">
        <f t="shared" si="13"/>
        <v>-12</v>
      </c>
      <c r="J262" s="31" t="str">
        <f t="shared" si="14"/>
        <v>Current</v>
      </c>
      <c r="K262"/>
    </row>
    <row r="263" spans="1:11" x14ac:dyDescent="0.3">
      <c r="A263" s="21" t="s">
        <v>26</v>
      </c>
      <c r="B263" t="str">
        <f>VLOOKUP(A263,Customers!A:B,2,FALSE)</f>
        <v>NovaRetail</v>
      </c>
      <c r="C263" s="25" t="s">
        <v>630</v>
      </c>
      <c r="D263" s="11">
        <v>46016</v>
      </c>
      <c r="E263" s="11">
        <v>46046</v>
      </c>
      <c r="F263" s="5">
        <v>2564.44</v>
      </c>
      <c r="G263" s="3">
        <f>SUMIF(Customer_Payments!B:B,C263,Customer_Payments!E:E)</f>
        <v>2564.44</v>
      </c>
      <c r="H263" s="3">
        <f t="shared" si="12"/>
        <v>0</v>
      </c>
      <c r="I263" s="29">
        <f t="shared" si="13"/>
        <v>45</v>
      </c>
      <c r="J263" s="31" t="str">
        <f t="shared" si="14"/>
        <v>31-60</v>
      </c>
      <c r="K263"/>
    </row>
    <row r="264" spans="1:11" x14ac:dyDescent="0.3">
      <c r="A264" s="20" t="s">
        <v>47</v>
      </c>
      <c r="B264" t="str">
        <f>VLOOKUP(A264,Customers!A:B,2,FALSE)</f>
        <v>SmartRetail</v>
      </c>
      <c r="C264" s="24" t="s">
        <v>631</v>
      </c>
      <c r="D264" s="10">
        <v>46089</v>
      </c>
      <c r="E264" s="10">
        <v>46119</v>
      </c>
      <c r="F264" s="4">
        <v>4050.38</v>
      </c>
      <c r="G264" s="3">
        <f>SUMIF(Customer_Payments!B:B,C264,Customer_Payments!E:E)</f>
        <v>0</v>
      </c>
      <c r="H264" s="3">
        <f t="shared" si="12"/>
        <v>4050.38</v>
      </c>
      <c r="I264" s="29">
        <f t="shared" si="13"/>
        <v>-28</v>
      </c>
      <c r="J264" s="31" t="str">
        <f t="shared" si="14"/>
        <v>Current</v>
      </c>
      <c r="K264"/>
    </row>
    <row r="265" spans="1:11" x14ac:dyDescent="0.3">
      <c r="A265" s="21" t="s">
        <v>82</v>
      </c>
      <c r="B265" t="str">
        <f>VLOOKUP(A265,Customers!A:B,2,FALSE)</f>
        <v>RetailNovaX</v>
      </c>
      <c r="C265" s="25" t="s">
        <v>632</v>
      </c>
      <c r="D265" s="11">
        <v>45993</v>
      </c>
      <c r="E265" s="11">
        <v>46023</v>
      </c>
      <c r="F265" s="5">
        <v>4785.91</v>
      </c>
      <c r="G265" s="3">
        <f>0.45*Table9[[#This Row],[InvoiceAmount]]</f>
        <v>2153.6595000000002</v>
      </c>
      <c r="H265" s="3">
        <f t="shared" si="12"/>
        <v>2632.2504999999996</v>
      </c>
      <c r="I265" s="29">
        <f t="shared" si="13"/>
        <v>68</v>
      </c>
      <c r="J265" s="31" t="str">
        <f t="shared" si="14"/>
        <v>61-90</v>
      </c>
      <c r="K265"/>
    </row>
    <row r="266" spans="1:11" x14ac:dyDescent="0.3">
      <c r="A266" s="20" t="s">
        <v>79</v>
      </c>
      <c r="B266" t="str">
        <f>VLOOKUP(A266,Customers!A:B,2,FALSE)</f>
        <v>RetailBoostX</v>
      </c>
      <c r="C266" s="24" t="s">
        <v>633</v>
      </c>
      <c r="D266" s="10">
        <v>46075</v>
      </c>
      <c r="E266" s="10">
        <v>46105</v>
      </c>
      <c r="F266" s="4">
        <v>2507.31</v>
      </c>
      <c r="G266" s="3">
        <f>SUMIF(Customer_Payments!B:B,C266,Customer_Payments!E:E)</f>
        <v>2507.31</v>
      </c>
      <c r="H266" s="3">
        <f t="shared" si="12"/>
        <v>0</v>
      </c>
      <c r="I266" s="29">
        <f t="shared" si="13"/>
        <v>-14</v>
      </c>
      <c r="J266" s="31" t="str">
        <f t="shared" si="14"/>
        <v>Current</v>
      </c>
      <c r="K266"/>
    </row>
    <row r="267" spans="1:11" x14ac:dyDescent="0.3">
      <c r="A267" s="21" t="s">
        <v>21</v>
      </c>
      <c r="B267" t="str">
        <f>VLOOKUP(A267,Customers!A:B,2,FALSE)</f>
        <v>InsightLoop</v>
      </c>
      <c r="C267" s="25" t="s">
        <v>634</v>
      </c>
      <c r="D267" s="11">
        <v>46068</v>
      </c>
      <c r="E267" s="11">
        <v>46098</v>
      </c>
      <c r="F267" s="5">
        <v>2474.89</v>
      </c>
      <c r="G267" s="3">
        <f>SUMIF(Customer_Payments!B:B,C267,Customer_Payments!E:E)</f>
        <v>2474.8900000000003</v>
      </c>
      <c r="H267" s="3">
        <f t="shared" si="12"/>
        <v>0</v>
      </c>
      <c r="I267" s="29">
        <f t="shared" si="13"/>
        <v>-7</v>
      </c>
      <c r="J267" s="31" t="str">
        <f t="shared" si="14"/>
        <v>Current</v>
      </c>
      <c r="K267"/>
    </row>
    <row r="268" spans="1:11" x14ac:dyDescent="0.3">
      <c r="A268" s="20" t="s">
        <v>87</v>
      </c>
      <c r="B268" t="str">
        <f>VLOOKUP(A268,Customers!A:B,2,FALSE)</f>
        <v>RetailStreamX</v>
      </c>
      <c r="C268" s="24" t="s">
        <v>635</v>
      </c>
      <c r="D268" s="10">
        <v>45962</v>
      </c>
      <c r="E268" s="10">
        <v>45992</v>
      </c>
      <c r="F268" s="4">
        <v>12401.77</v>
      </c>
      <c r="G268" s="3">
        <f>0.45*Table9[[#This Row],[InvoiceAmount]]</f>
        <v>5580.7965000000004</v>
      </c>
      <c r="H268" s="3">
        <f t="shared" si="12"/>
        <v>6820.9735000000001</v>
      </c>
      <c r="I268" s="29">
        <f t="shared" si="13"/>
        <v>99</v>
      </c>
      <c r="J268" s="31" t="str">
        <f t="shared" si="14"/>
        <v>90+</v>
      </c>
      <c r="K268"/>
    </row>
    <row r="269" spans="1:11" x14ac:dyDescent="0.3">
      <c r="A269" s="21" t="s">
        <v>106</v>
      </c>
      <c r="B269" t="str">
        <f>VLOOKUP(A269,Customers!A:B,2,FALSE)</f>
        <v>RetailOrbitPro</v>
      </c>
      <c r="C269" s="25" t="s">
        <v>636</v>
      </c>
      <c r="D269" s="11">
        <v>46018</v>
      </c>
      <c r="E269" s="11">
        <v>46048</v>
      </c>
      <c r="F269" s="5">
        <v>3116.29</v>
      </c>
      <c r="G269" s="3">
        <f>0.45*Table9[[#This Row],[InvoiceAmount]]</f>
        <v>1402.3305</v>
      </c>
      <c r="H269" s="3">
        <f t="shared" si="12"/>
        <v>1713.9594999999999</v>
      </c>
      <c r="I269" s="29">
        <f t="shared" si="13"/>
        <v>43</v>
      </c>
      <c r="J269" s="31" t="str">
        <f t="shared" si="14"/>
        <v>31-60</v>
      </c>
      <c r="K269"/>
    </row>
    <row r="270" spans="1:11" x14ac:dyDescent="0.3">
      <c r="A270" s="20" t="s">
        <v>28</v>
      </c>
      <c r="B270" t="str">
        <f>VLOOKUP(A270,Customers!A:B,2,FALSE)</f>
        <v>FutureCart</v>
      </c>
      <c r="C270" s="24" t="s">
        <v>637</v>
      </c>
      <c r="D270" s="10">
        <v>46017</v>
      </c>
      <c r="E270" s="10">
        <v>46047</v>
      </c>
      <c r="F270" s="4">
        <v>3608.69</v>
      </c>
      <c r="G270" s="3">
        <f>SUMIF(Customer_Payments!B:B,C270,Customer_Payments!E:E)</f>
        <v>3608.69</v>
      </c>
      <c r="H270" s="3">
        <f t="shared" si="12"/>
        <v>0</v>
      </c>
      <c r="I270" s="29">
        <f t="shared" si="13"/>
        <v>44</v>
      </c>
      <c r="J270" s="31" t="str">
        <f t="shared" si="14"/>
        <v>31-60</v>
      </c>
      <c r="K270"/>
    </row>
    <row r="271" spans="1:11" x14ac:dyDescent="0.3">
      <c r="A271" s="21" t="s">
        <v>94</v>
      </c>
      <c r="B271" t="str">
        <f>VLOOKUP(A271,Customers!A:B,2,FALSE)</f>
        <v>RetailDynamicsX</v>
      </c>
      <c r="C271" s="25" t="s">
        <v>638</v>
      </c>
      <c r="D271" s="11">
        <v>46059</v>
      </c>
      <c r="E271" s="11">
        <v>46089</v>
      </c>
      <c r="F271" s="5">
        <v>3680.64</v>
      </c>
      <c r="G271" s="3">
        <f>SUMIF(Customer_Payments!B:B,C271,Customer_Payments!E:E)</f>
        <v>3680.64</v>
      </c>
      <c r="H271" s="3">
        <f t="shared" si="12"/>
        <v>0</v>
      </c>
      <c r="I271" s="29">
        <f t="shared" si="13"/>
        <v>2</v>
      </c>
      <c r="J271" s="31" t="str">
        <f t="shared" si="14"/>
        <v>1-30</v>
      </c>
      <c r="K271"/>
    </row>
    <row r="272" spans="1:11" x14ac:dyDescent="0.3">
      <c r="A272" s="20" t="s">
        <v>63</v>
      </c>
      <c r="B272" t="str">
        <f>VLOOKUP(A272,Customers!A:B,2,FALSE)</f>
        <v>RetailCore</v>
      </c>
      <c r="C272" s="24" t="s">
        <v>639</v>
      </c>
      <c r="D272" s="10">
        <v>45998</v>
      </c>
      <c r="E272" s="10">
        <v>46028</v>
      </c>
      <c r="F272" s="4">
        <v>4063.14</v>
      </c>
      <c r="G272" s="3">
        <f>SUMIF(Customer_Payments!B:B,C272,Customer_Payments!E:E)</f>
        <v>4063.14</v>
      </c>
      <c r="H272" s="3">
        <f t="shared" si="12"/>
        <v>0</v>
      </c>
      <c r="I272" s="29">
        <f t="shared" si="13"/>
        <v>63</v>
      </c>
      <c r="J272" s="31" t="str">
        <f t="shared" si="14"/>
        <v>61-90</v>
      </c>
      <c r="K272"/>
    </row>
    <row r="273" spans="1:11" x14ac:dyDescent="0.3">
      <c r="A273" s="21" t="s">
        <v>71</v>
      </c>
      <c r="B273" t="str">
        <f>VLOOKUP(A273,Customers!A:B,2,FALSE)</f>
        <v>RetailPulse</v>
      </c>
      <c r="C273" s="25" t="s">
        <v>640</v>
      </c>
      <c r="D273" s="11">
        <v>46040</v>
      </c>
      <c r="E273" s="11">
        <v>46070</v>
      </c>
      <c r="F273" s="5">
        <v>2418.7800000000002</v>
      </c>
      <c r="G273" s="3">
        <f>SUMIF(Customer_Payments!B:B,C273,Customer_Payments!E:E)</f>
        <v>2418.7800000000002</v>
      </c>
      <c r="H273" s="3">
        <f t="shared" si="12"/>
        <v>0</v>
      </c>
      <c r="I273" s="29">
        <f t="shared" si="13"/>
        <v>21</v>
      </c>
      <c r="J273" s="31" t="str">
        <f t="shared" si="14"/>
        <v>1-30</v>
      </c>
      <c r="K273"/>
    </row>
    <row r="274" spans="1:11" x14ac:dyDescent="0.3">
      <c r="A274" s="20" t="s">
        <v>97</v>
      </c>
      <c r="B274" t="str">
        <f>VLOOKUP(A274,Customers!A:B,2,FALSE)</f>
        <v>RetailSparkX</v>
      </c>
      <c r="C274" s="24" t="s">
        <v>641</v>
      </c>
      <c r="D274" s="10">
        <v>46039</v>
      </c>
      <c r="E274" s="10">
        <v>46069</v>
      </c>
      <c r="F274" s="4">
        <v>4088.73</v>
      </c>
      <c r="G274" s="3">
        <f>SUMIF(Customer_Payments!B:B,C274,Customer_Payments!E:E)</f>
        <v>4088.73</v>
      </c>
      <c r="H274" s="3">
        <f t="shared" si="12"/>
        <v>0</v>
      </c>
      <c r="I274" s="29">
        <f t="shared" si="13"/>
        <v>22</v>
      </c>
      <c r="J274" s="31" t="str">
        <f t="shared" si="14"/>
        <v>1-30</v>
      </c>
      <c r="K274"/>
    </row>
    <row r="275" spans="1:11" x14ac:dyDescent="0.3">
      <c r="A275" s="21" t="s">
        <v>68</v>
      </c>
      <c r="B275" t="str">
        <f>VLOOKUP(A275,Customers!A:B,2,FALSE)</f>
        <v>RetailVision</v>
      </c>
      <c r="C275" s="25" t="s">
        <v>642</v>
      </c>
      <c r="D275" s="11">
        <v>46066</v>
      </c>
      <c r="E275" s="11">
        <v>46096</v>
      </c>
      <c r="F275" s="5">
        <v>5037.37</v>
      </c>
      <c r="G275" s="3">
        <f>0.45*Table9[[#This Row],[InvoiceAmount]]</f>
        <v>2266.8164999999999</v>
      </c>
      <c r="H275" s="3">
        <f t="shared" si="12"/>
        <v>2770.5535</v>
      </c>
      <c r="I275" s="29">
        <f t="shared" si="13"/>
        <v>-5</v>
      </c>
      <c r="J275" s="31" t="str">
        <f t="shared" si="14"/>
        <v>Current</v>
      </c>
      <c r="K275"/>
    </row>
    <row r="276" spans="1:11" x14ac:dyDescent="0.3">
      <c r="A276" s="20" t="s">
        <v>50</v>
      </c>
      <c r="B276" t="str">
        <f>VLOOKUP(A276,Customers!A:B,2,FALSE)</f>
        <v>RetailNexus</v>
      </c>
      <c r="C276" s="24" t="s">
        <v>643</v>
      </c>
      <c r="D276" s="10">
        <v>46044</v>
      </c>
      <c r="E276" s="10">
        <v>46074</v>
      </c>
      <c r="F276" s="4">
        <v>3327.55</v>
      </c>
      <c r="G276" s="3">
        <f>0.45*Table9[[#This Row],[InvoiceAmount]]</f>
        <v>1497.3975</v>
      </c>
      <c r="H276" s="3">
        <f t="shared" si="12"/>
        <v>1830.1525000000001</v>
      </c>
      <c r="I276" s="29">
        <f t="shared" si="13"/>
        <v>17</v>
      </c>
      <c r="J276" s="31" t="str">
        <f t="shared" si="14"/>
        <v>1-30</v>
      </c>
      <c r="K276"/>
    </row>
    <row r="277" spans="1:11" x14ac:dyDescent="0.3">
      <c r="A277" s="21" t="s">
        <v>109</v>
      </c>
      <c r="B277" t="str">
        <f>VLOOKUP(A277,Customers!A:B,2,FALSE)</f>
        <v>RetailStreamPro</v>
      </c>
      <c r="C277" s="25" t="s">
        <v>644</v>
      </c>
      <c r="D277" s="11">
        <v>46092</v>
      </c>
      <c r="E277" s="11">
        <v>46122</v>
      </c>
      <c r="F277" s="5">
        <v>3296</v>
      </c>
      <c r="G277" s="3">
        <f>SUMIF(Customer_Payments!B:B,C277,Customer_Payments!E:E)</f>
        <v>3296</v>
      </c>
      <c r="H277" s="3">
        <f t="shared" si="12"/>
        <v>0</v>
      </c>
      <c r="I277" s="29">
        <f t="shared" si="13"/>
        <v>-31</v>
      </c>
      <c r="J277" s="31" t="str">
        <f t="shared" si="14"/>
        <v>Current</v>
      </c>
      <c r="K277"/>
    </row>
    <row r="278" spans="1:11" x14ac:dyDescent="0.3">
      <c r="A278" s="20" t="s">
        <v>42</v>
      </c>
      <c r="B278" t="str">
        <f>VLOOKUP(A278,Customers!A:B,2,FALSE)</f>
        <v>RetailWorks</v>
      </c>
      <c r="C278" s="24" t="s">
        <v>645</v>
      </c>
      <c r="D278" s="10">
        <v>46063</v>
      </c>
      <c r="E278" s="10">
        <v>46093</v>
      </c>
      <c r="F278" s="4">
        <v>1630.34</v>
      </c>
      <c r="G278" s="3">
        <f>0.45*Table9[[#This Row],[InvoiceAmount]]</f>
        <v>733.65300000000002</v>
      </c>
      <c r="H278" s="3">
        <f t="shared" si="12"/>
        <v>896.6869999999999</v>
      </c>
      <c r="I278" s="29">
        <f t="shared" si="13"/>
        <v>-2</v>
      </c>
      <c r="J278" s="31" t="str">
        <f t="shared" si="14"/>
        <v>Current</v>
      </c>
      <c r="K278"/>
    </row>
    <row r="279" spans="1:11" x14ac:dyDescent="0.3">
      <c r="A279" s="21" t="s">
        <v>95</v>
      </c>
      <c r="B279" t="str">
        <f>VLOOKUP(A279,Customers!A:B,2,FALSE)</f>
        <v>RetailScaleX</v>
      </c>
      <c r="C279" s="25" t="s">
        <v>646</v>
      </c>
      <c r="D279" s="11">
        <v>46061</v>
      </c>
      <c r="E279" s="11">
        <v>46091</v>
      </c>
      <c r="F279" s="5">
        <v>3217.9</v>
      </c>
      <c r="G279" s="3">
        <f>SUMIF(Customer_Payments!B:B,C279,Customer_Payments!E:E)</f>
        <v>3217.9</v>
      </c>
      <c r="H279" s="3">
        <f t="shared" si="12"/>
        <v>0</v>
      </c>
      <c r="I279" s="29">
        <f t="shared" si="13"/>
        <v>0</v>
      </c>
      <c r="J279" s="31" t="str">
        <f t="shared" si="14"/>
        <v>Current</v>
      </c>
      <c r="K279"/>
    </row>
    <row r="280" spans="1:11" x14ac:dyDescent="0.3">
      <c r="A280" s="20" t="s">
        <v>108</v>
      </c>
      <c r="B280" t="str">
        <f>VLOOKUP(A280,Customers!A:B,2,FALSE)</f>
        <v>RetailNextPro</v>
      </c>
      <c r="C280" s="24" t="s">
        <v>647</v>
      </c>
      <c r="D280" s="10">
        <v>46100</v>
      </c>
      <c r="E280" s="10">
        <v>46130</v>
      </c>
      <c r="F280" s="4">
        <v>1792.08</v>
      </c>
      <c r="G280" s="3">
        <f>SUMIF(Customer_Payments!B:B,C280,Customer_Payments!E:E)</f>
        <v>1792.08</v>
      </c>
      <c r="H280" s="3">
        <f t="shared" si="12"/>
        <v>0</v>
      </c>
      <c r="I280" s="29">
        <f t="shared" si="13"/>
        <v>-39</v>
      </c>
      <c r="J280" s="31" t="str">
        <f t="shared" si="14"/>
        <v>Current</v>
      </c>
      <c r="K280"/>
    </row>
    <row r="281" spans="1:11" x14ac:dyDescent="0.3">
      <c r="A281" s="21" t="s">
        <v>55</v>
      </c>
      <c r="B281" t="str">
        <f>VLOOKUP(A281,Customers!A:B,2,FALSE)</f>
        <v>CommerceLabs</v>
      </c>
      <c r="C281" s="25" t="s">
        <v>648</v>
      </c>
      <c r="D281" s="11">
        <v>46052</v>
      </c>
      <c r="E281" s="11">
        <v>46082</v>
      </c>
      <c r="F281" s="5">
        <v>1636.89</v>
      </c>
      <c r="G281" s="3">
        <f>SUMIF(Customer_Payments!B:B,C281,Customer_Payments!E:E)</f>
        <v>1636.89</v>
      </c>
      <c r="H281" s="3">
        <f t="shared" si="12"/>
        <v>0</v>
      </c>
      <c r="I281" s="29">
        <f t="shared" si="13"/>
        <v>9</v>
      </c>
      <c r="J281" s="31" t="str">
        <f t="shared" si="14"/>
        <v>1-30</v>
      </c>
      <c r="K281"/>
    </row>
    <row r="282" spans="1:11" x14ac:dyDescent="0.3">
      <c r="A282" s="20" t="s">
        <v>43</v>
      </c>
      <c r="B282" t="str">
        <f>VLOOKUP(A282,Customers!A:B,2,FALSE)</f>
        <v>CommerceSpark</v>
      </c>
      <c r="C282" s="24" t="s">
        <v>649</v>
      </c>
      <c r="D282" s="10">
        <v>46017</v>
      </c>
      <c r="E282" s="10">
        <v>46047</v>
      </c>
      <c r="F282" s="4">
        <v>13528.21</v>
      </c>
      <c r="G282" s="3">
        <f>SUMIF(Customer_Payments!B:B,C282,Customer_Payments!E:E)</f>
        <v>13528.21</v>
      </c>
      <c r="H282" s="3">
        <f t="shared" si="12"/>
        <v>0</v>
      </c>
      <c r="I282" s="29">
        <f t="shared" si="13"/>
        <v>44</v>
      </c>
      <c r="J282" s="31" t="str">
        <f t="shared" si="14"/>
        <v>31-60</v>
      </c>
      <c r="K282"/>
    </row>
    <row r="283" spans="1:11" x14ac:dyDescent="0.3">
      <c r="A283" s="21" t="s">
        <v>68</v>
      </c>
      <c r="B283" t="str">
        <f>VLOOKUP(A283,Customers!A:B,2,FALSE)</f>
        <v>RetailVision</v>
      </c>
      <c r="C283" s="25" t="s">
        <v>650</v>
      </c>
      <c r="D283" s="11">
        <v>46041</v>
      </c>
      <c r="E283" s="11">
        <v>46071</v>
      </c>
      <c r="F283" s="5">
        <v>1496.9</v>
      </c>
      <c r="G283" s="3">
        <f>SUMIF(Customer_Payments!B:B,C283,Customer_Payments!E:E)</f>
        <v>1496.9</v>
      </c>
      <c r="H283" s="3">
        <f t="shared" si="12"/>
        <v>0</v>
      </c>
      <c r="I283" s="29">
        <f t="shared" si="13"/>
        <v>20</v>
      </c>
      <c r="J283" s="31" t="str">
        <f t="shared" si="14"/>
        <v>1-30</v>
      </c>
      <c r="K283"/>
    </row>
    <row r="284" spans="1:11" x14ac:dyDescent="0.3">
      <c r="A284" s="20" t="s">
        <v>96</v>
      </c>
      <c r="B284" t="str">
        <f>VLOOKUP(A284,Customers!A:B,2,FALSE)</f>
        <v>RetailLabs</v>
      </c>
      <c r="C284" s="24" t="s">
        <v>651</v>
      </c>
      <c r="D284" s="10">
        <v>46081</v>
      </c>
      <c r="E284" s="10">
        <v>46111</v>
      </c>
      <c r="F284" s="4">
        <v>4404.1400000000003</v>
      </c>
      <c r="G284" s="3">
        <f>0.45*Table9[[#This Row],[InvoiceAmount]]</f>
        <v>1981.8630000000003</v>
      </c>
      <c r="H284" s="3">
        <f t="shared" si="12"/>
        <v>2422.277</v>
      </c>
      <c r="I284" s="29">
        <f t="shared" si="13"/>
        <v>-20</v>
      </c>
      <c r="J284" s="31" t="str">
        <f t="shared" si="14"/>
        <v>Current</v>
      </c>
      <c r="K284"/>
    </row>
    <row r="285" spans="1:11" x14ac:dyDescent="0.3">
      <c r="A285" s="21" t="s">
        <v>38</v>
      </c>
      <c r="B285" t="str">
        <f>VLOOKUP(A285,Customers!A:B,2,FALSE)</f>
        <v>RetailForge</v>
      </c>
      <c r="C285" s="25" t="s">
        <v>652</v>
      </c>
      <c r="D285" s="11">
        <v>46042</v>
      </c>
      <c r="E285" s="11">
        <v>46072</v>
      </c>
      <c r="F285" s="5">
        <v>2137.27</v>
      </c>
      <c r="G285" s="3">
        <f>SUMIF(Customer_Payments!B:B,C285,Customer_Payments!E:E)</f>
        <v>2137.27</v>
      </c>
      <c r="H285" s="3">
        <f t="shared" si="12"/>
        <v>0</v>
      </c>
      <c r="I285" s="29">
        <f t="shared" si="13"/>
        <v>19</v>
      </c>
      <c r="J285" s="31" t="str">
        <f t="shared" si="14"/>
        <v>1-30</v>
      </c>
      <c r="K285"/>
    </row>
    <row r="286" spans="1:11" x14ac:dyDescent="0.3">
      <c r="A286" s="20" t="s">
        <v>13</v>
      </c>
      <c r="B286" t="str">
        <f>VLOOKUP(A286,Customers!A:B,2,FALSE)</f>
        <v>EduNova</v>
      </c>
      <c r="C286" s="24" t="s">
        <v>653</v>
      </c>
      <c r="D286" s="10">
        <v>46009</v>
      </c>
      <c r="E286" s="10">
        <v>46039</v>
      </c>
      <c r="F286" s="4">
        <v>3203.8</v>
      </c>
      <c r="G286" s="3">
        <f>SUMIF(Customer_Payments!B:B,C286,Customer_Payments!E:E)</f>
        <v>3203.8</v>
      </c>
      <c r="H286" s="3">
        <f t="shared" si="12"/>
        <v>0</v>
      </c>
      <c r="I286" s="29">
        <f t="shared" si="13"/>
        <v>52</v>
      </c>
      <c r="J286" s="31" t="str">
        <f t="shared" si="14"/>
        <v>31-60</v>
      </c>
      <c r="K286"/>
    </row>
    <row r="287" spans="1:11" x14ac:dyDescent="0.3">
      <c r="A287" s="21" t="s">
        <v>105</v>
      </c>
      <c r="B287" t="str">
        <f>VLOOKUP(A287,Customers!A:B,2,FALSE)</f>
        <v>RetailFlowPro</v>
      </c>
      <c r="C287" s="25" t="s">
        <v>654</v>
      </c>
      <c r="D287" s="11">
        <v>45988</v>
      </c>
      <c r="E287" s="11">
        <v>46018</v>
      </c>
      <c r="F287" s="5">
        <v>2895.96</v>
      </c>
      <c r="G287" s="3">
        <f>SUMIF(Customer_Payments!B:B,C287,Customer_Payments!E:E)</f>
        <v>2895.96</v>
      </c>
      <c r="H287" s="3">
        <f t="shared" si="12"/>
        <v>0</v>
      </c>
      <c r="I287" s="29">
        <f t="shared" si="13"/>
        <v>73</v>
      </c>
      <c r="J287" s="31" t="str">
        <f t="shared" si="14"/>
        <v>61-90</v>
      </c>
      <c r="K287"/>
    </row>
    <row r="288" spans="1:11" x14ac:dyDescent="0.3">
      <c r="A288" s="20" t="s">
        <v>119</v>
      </c>
      <c r="B288" t="str">
        <f>VLOOKUP(A288,Customers!A:B,2,FALSE)</f>
        <v>RetailNovaGlobal</v>
      </c>
      <c r="C288" s="24" t="s">
        <v>655</v>
      </c>
      <c r="D288" s="10">
        <v>46075</v>
      </c>
      <c r="E288" s="10">
        <v>46105</v>
      </c>
      <c r="F288" s="4">
        <v>4010.36</v>
      </c>
      <c r="G288" s="3">
        <f>SUMIF(Customer_Payments!B:B,C288,Customer_Payments!E:E)</f>
        <v>4010.36</v>
      </c>
      <c r="H288" s="3">
        <f t="shared" si="12"/>
        <v>0</v>
      </c>
      <c r="I288" s="29">
        <f t="shared" si="13"/>
        <v>-14</v>
      </c>
      <c r="J288" s="31" t="str">
        <f t="shared" si="14"/>
        <v>Current</v>
      </c>
      <c r="K288"/>
    </row>
    <row r="289" spans="1:11" x14ac:dyDescent="0.3">
      <c r="A289" s="21" t="s">
        <v>89</v>
      </c>
      <c r="B289" t="str">
        <f>VLOOKUP(A289,Customers!A:B,2,FALSE)</f>
        <v>RetailAxisX</v>
      </c>
      <c r="C289" s="25" t="s">
        <v>656</v>
      </c>
      <c r="D289" s="11">
        <v>46046</v>
      </c>
      <c r="E289" s="11">
        <v>46076</v>
      </c>
      <c r="F289" s="5">
        <v>11891.75</v>
      </c>
      <c r="G289" s="3">
        <f>SUMIF(Customer_Payments!B:B,C289,Customer_Payments!E:E)</f>
        <v>11891.75</v>
      </c>
      <c r="H289" s="3">
        <f t="shared" si="12"/>
        <v>0</v>
      </c>
      <c r="I289" s="29">
        <f t="shared" si="13"/>
        <v>15</v>
      </c>
      <c r="J289" s="31" t="str">
        <f t="shared" si="14"/>
        <v>1-30</v>
      </c>
      <c r="K289"/>
    </row>
    <row r="290" spans="1:11" x14ac:dyDescent="0.3">
      <c r="A290" s="20" t="s">
        <v>75</v>
      </c>
      <c r="B290" t="str">
        <f>VLOOKUP(A290,Customers!A:B,2,FALSE)</f>
        <v>RetailMatrix</v>
      </c>
      <c r="C290" s="24" t="s">
        <v>657</v>
      </c>
      <c r="D290" s="10">
        <v>45981</v>
      </c>
      <c r="E290" s="10">
        <v>46011</v>
      </c>
      <c r="F290" s="4">
        <v>3489.52</v>
      </c>
      <c r="G290" s="3">
        <f>SUMIF(Customer_Payments!B:B,C290,Customer_Payments!E:E)</f>
        <v>3489.52</v>
      </c>
      <c r="H290" s="3">
        <f t="shared" si="12"/>
        <v>0</v>
      </c>
      <c r="I290" s="29">
        <f t="shared" si="13"/>
        <v>80</v>
      </c>
      <c r="J290" s="31" t="str">
        <f t="shared" si="14"/>
        <v>61-90</v>
      </c>
      <c r="K290"/>
    </row>
    <row r="291" spans="1:11" x14ac:dyDescent="0.3">
      <c r="A291" s="21" t="s">
        <v>114</v>
      </c>
      <c r="B291" t="str">
        <f>VLOOKUP(A291,Customers!A:B,2,FALSE)</f>
        <v>RetailScalePro</v>
      </c>
      <c r="C291" s="25" t="s">
        <v>658</v>
      </c>
      <c r="D291" s="11">
        <v>46028</v>
      </c>
      <c r="E291" s="11">
        <v>46058</v>
      </c>
      <c r="F291" s="5">
        <v>1960.64</v>
      </c>
      <c r="G291" s="3">
        <f>SUMIF(Customer_Payments!B:B,C291,Customer_Payments!E:E)</f>
        <v>1960.64</v>
      </c>
      <c r="H291" s="3">
        <f t="shared" si="12"/>
        <v>0</v>
      </c>
      <c r="I291" s="29">
        <f t="shared" si="13"/>
        <v>33</v>
      </c>
      <c r="J291" s="31" t="str">
        <f t="shared" si="14"/>
        <v>31-60</v>
      </c>
      <c r="K291"/>
    </row>
    <row r="292" spans="1:11" x14ac:dyDescent="0.3">
      <c r="A292" s="20" t="s">
        <v>30</v>
      </c>
      <c r="B292" t="str">
        <f>VLOOKUP(A292,Customers!A:B,2,FALSE)</f>
        <v>CommerceFlow</v>
      </c>
      <c r="C292" s="24" t="s">
        <v>659</v>
      </c>
      <c r="D292" s="10">
        <v>46076</v>
      </c>
      <c r="E292" s="10">
        <v>46106</v>
      </c>
      <c r="F292" s="4">
        <v>5867.85</v>
      </c>
      <c r="G292" s="3">
        <f>0.45*Table9[[#This Row],[InvoiceAmount]]</f>
        <v>2640.5325000000003</v>
      </c>
      <c r="H292" s="3">
        <f t="shared" si="12"/>
        <v>3227.3175000000001</v>
      </c>
      <c r="I292" s="29">
        <f t="shared" si="13"/>
        <v>-15</v>
      </c>
      <c r="J292" s="31" t="str">
        <f t="shared" si="14"/>
        <v>Current</v>
      </c>
      <c r="K292"/>
    </row>
    <row r="293" spans="1:11" x14ac:dyDescent="0.3">
      <c r="A293" s="21" t="s">
        <v>79</v>
      </c>
      <c r="B293" t="str">
        <f>VLOOKUP(A293,Customers!A:B,2,FALSE)</f>
        <v>RetailBoostX</v>
      </c>
      <c r="C293" s="25" t="s">
        <v>660</v>
      </c>
      <c r="D293" s="11">
        <v>46110</v>
      </c>
      <c r="E293" s="11">
        <v>46140</v>
      </c>
      <c r="F293" s="5">
        <v>2132.73</v>
      </c>
      <c r="G293" s="3">
        <f>SUMIF(Customer_Payments!B:B,C293,Customer_Payments!E:E)</f>
        <v>2132.73</v>
      </c>
      <c r="H293" s="3">
        <f t="shared" si="12"/>
        <v>0</v>
      </c>
      <c r="I293" s="29">
        <f t="shared" si="13"/>
        <v>-49</v>
      </c>
      <c r="J293" s="31" t="str">
        <f t="shared" si="14"/>
        <v>Current</v>
      </c>
      <c r="K293"/>
    </row>
    <row r="294" spans="1:11" x14ac:dyDescent="0.3">
      <c r="A294" s="20" t="s">
        <v>89</v>
      </c>
      <c r="B294" t="str">
        <f>VLOOKUP(A294,Customers!A:B,2,FALSE)</f>
        <v>RetailAxisX</v>
      </c>
      <c r="C294" s="24" t="s">
        <v>661</v>
      </c>
      <c r="D294" s="10">
        <v>46019</v>
      </c>
      <c r="E294" s="10">
        <v>46049</v>
      </c>
      <c r="F294" s="4">
        <v>2950.22</v>
      </c>
      <c r="G294" s="3">
        <f>SUMIF(Customer_Payments!B:B,C294,Customer_Payments!E:E)</f>
        <v>2950.2200000000003</v>
      </c>
      <c r="H294" s="3">
        <f t="shared" si="12"/>
        <v>0</v>
      </c>
      <c r="I294" s="29">
        <f t="shared" si="13"/>
        <v>42</v>
      </c>
      <c r="J294" s="31" t="str">
        <f t="shared" si="14"/>
        <v>31-60</v>
      </c>
      <c r="K294"/>
    </row>
    <row r="295" spans="1:11" x14ac:dyDescent="0.3">
      <c r="A295" s="21" t="s">
        <v>31</v>
      </c>
      <c r="B295" t="str">
        <f>VLOOKUP(A295,Customers!A:B,2,FALSE)</f>
        <v>SparkRetail</v>
      </c>
      <c r="C295" s="25" t="s">
        <v>662</v>
      </c>
      <c r="D295" s="11">
        <v>46030</v>
      </c>
      <c r="E295" s="11">
        <v>46060</v>
      </c>
      <c r="F295" s="5">
        <v>3534.05</v>
      </c>
      <c r="G295" s="3">
        <f>SUMIF(Customer_Payments!B:B,C295,Customer_Payments!E:E)</f>
        <v>3534.05</v>
      </c>
      <c r="H295" s="3">
        <f t="shared" si="12"/>
        <v>0</v>
      </c>
      <c r="I295" s="29">
        <f t="shared" si="13"/>
        <v>31</v>
      </c>
      <c r="J295" s="31" t="str">
        <f t="shared" si="14"/>
        <v>31-60</v>
      </c>
      <c r="K295"/>
    </row>
    <row r="296" spans="1:11" x14ac:dyDescent="0.3">
      <c r="A296" s="20" t="s">
        <v>98</v>
      </c>
      <c r="B296" t="str">
        <f>VLOOKUP(A296,Customers!A:B,2,FALSE)</f>
        <v>RetailEdgePro</v>
      </c>
      <c r="C296" s="24" t="s">
        <v>663</v>
      </c>
      <c r="D296" s="10">
        <v>46052</v>
      </c>
      <c r="E296" s="10">
        <v>46082</v>
      </c>
      <c r="F296" s="4">
        <v>2796.82</v>
      </c>
      <c r="G296" s="3">
        <f>SUMIF(Customer_Payments!B:B,C296,Customer_Payments!E:E)</f>
        <v>2796.82</v>
      </c>
      <c r="H296" s="3">
        <f t="shared" si="12"/>
        <v>0</v>
      </c>
      <c r="I296" s="29">
        <f t="shared" si="13"/>
        <v>9</v>
      </c>
      <c r="J296" s="31" t="str">
        <f t="shared" si="14"/>
        <v>1-30</v>
      </c>
      <c r="K296"/>
    </row>
    <row r="297" spans="1:11" x14ac:dyDescent="0.3">
      <c r="A297" s="21" t="s">
        <v>103</v>
      </c>
      <c r="B297" t="str">
        <f>VLOOKUP(A297,Customers!A:B,2,FALSE)</f>
        <v>RetailVisionPro</v>
      </c>
      <c r="C297" s="25" t="s">
        <v>664</v>
      </c>
      <c r="D297" s="11">
        <v>46052</v>
      </c>
      <c r="E297" s="11">
        <v>46082</v>
      </c>
      <c r="F297" s="5">
        <v>4028.17</v>
      </c>
      <c r="G297" s="3">
        <f>SUMIF(Customer_Payments!B:B,C297,Customer_Payments!E:E)</f>
        <v>4028.17</v>
      </c>
      <c r="H297" s="3">
        <f t="shared" si="12"/>
        <v>0</v>
      </c>
      <c r="I297" s="29">
        <f t="shared" si="13"/>
        <v>9</v>
      </c>
      <c r="J297" s="31" t="str">
        <f t="shared" si="14"/>
        <v>1-30</v>
      </c>
      <c r="K297"/>
    </row>
    <row r="298" spans="1:11" x14ac:dyDescent="0.3">
      <c r="A298" s="20" t="s">
        <v>112</v>
      </c>
      <c r="B298" t="str">
        <f>VLOOKUP(A298,Customers!A:B,2,FALSE)</f>
        <v>RetailBridgePro</v>
      </c>
      <c r="C298" s="24" t="s">
        <v>665</v>
      </c>
      <c r="D298" s="10">
        <v>45974</v>
      </c>
      <c r="E298" s="10">
        <v>46004</v>
      </c>
      <c r="F298" s="4">
        <v>4350.99</v>
      </c>
      <c r="G298" s="3">
        <f>0.45*Table9[[#This Row],[InvoiceAmount]]</f>
        <v>1957.9455</v>
      </c>
      <c r="H298" s="3">
        <f t="shared" si="12"/>
        <v>2393.0445</v>
      </c>
      <c r="I298" s="29">
        <f t="shared" si="13"/>
        <v>87</v>
      </c>
      <c r="J298" s="31" t="str">
        <f t="shared" si="14"/>
        <v>61-90</v>
      </c>
      <c r="K298"/>
    </row>
    <row r="299" spans="1:11" x14ac:dyDescent="0.3">
      <c r="A299" s="21" t="s">
        <v>30</v>
      </c>
      <c r="B299" t="str">
        <f>VLOOKUP(A299,Customers!A:B,2,FALSE)</f>
        <v>CommerceFlow</v>
      </c>
      <c r="C299" s="25" t="s">
        <v>666</v>
      </c>
      <c r="D299" s="11">
        <v>46006</v>
      </c>
      <c r="E299" s="11">
        <v>46036</v>
      </c>
      <c r="F299" s="5">
        <v>12073.35</v>
      </c>
      <c r="G299" s="3">
        <f>SUMIF(Customer_Payments!B:B,C299,Customer_Payments!E:E)</f>
        <v>12073.35</v>
      </c>
      <c r="H299" s="3">
        <f t="shared" si="12"/>
        <v>0</v>
      </c>
      <c r="I299" s="29">
        <f t="shared" si="13"/>
        <v>55</v>
      </c>
      <c r="J299" s="31" t="str">
        <f t="shared" si="14"/>
        <v>31-60</v>
      </c>
      <c r="K299"/>
    </row>
    <row r="300" spans="1:11" x14ac:dyDescent="0.3">
      <c r="A300" s="20" t="s">
        <v>37</v>
      </c>
      <c r="B300" t="str">
        <f>VLOOKUP(A300,Customers!A:B,2,FALSE)</f>
        <v>SmartCart</v>
      </c>
      <c r="C300" s="24" t="s">
        <v>667</v>
      </c>
      <c r="D300" s="10">
        <v>46046</v>
      </c>
      <c r="E300" s="10">
        <v>46076</v>
      </c>
      <c r="F300" s="4">
        <v>4954.91</v>
      </c>
      <c r="G300" s="3">
        <f>SUMIF(Customer_Payments!B:B,C300,Customer_Payments!E:E)</f>
        <v>4954.91</v>
      </c>
      <c r="H300" s="3">
        <f t="shared" si="12"/>
        <v>0</v>
      </c>
      <c r="I300" s="29">
        <f t="shared" si="13"/>
        <v>15</v>
      </c>
      <c r="J300" s="31" t="str">
        <f t="shared" si="14"/>
        <v>1-30</v>
      </c>
      <c r="K300"/>
    </row>
    <row r="301" spans="1:11" x14ac:dyDescent="0.3">
      <c r="A301" s="21" t="s">
        <v>80</v>
      </c>
      <c r="B301" t="str">
        <f>VLOOKUP(A301,Customers!A:B,2,FALSE)</f>
        <v>RetailEdgeX</v>
      </c>
      <c r="C301" s="25" t="s">
        <v>668</v>
      </c>
      <c r="D301" s="11">
        <v>46086</v>
      </c>
      <c r="E301" s="11">
        <v>46116</v>
      </c>
      <c r="F301" s="5">
        <v>13218.03</v>
      </c>
      <c r="G301" s="3">
        <f>SUMIF(Customer_Payments!B:B,C301,Customer_Payments!E:E)</f>
        <v>13218.03</v>
      </c>
      <c r="H301" s="3">
        <f t="shared" si="12"/>
        <v>0</v>
      </c>
      <c r="I301" s="29">
        <f t="shared" si="13"/>
        <v>-25</v>
      </c>
      <c r="J301" s="31" t="str">
        <f t="shared" si="14"/>
        <v>Current</v>
      </c>
      <c r="K301"/>
    </row>
    <row r="302" spans="1:11" x14ac:dyDescent="0.3">
      <c r="A302" s="20" t="s">
        <v>92</v>
      </c>
      <c r="B302" t="str">
        <f>VLOOKUP(A302,Customers!A:B,2,FALSE)</f>
        <v>RetailMatrixX</v>
      </c>
      <c r="C302" s="24" t="s">
        <v>669</v>
      </c>
      <c r="D302" s="10">
        <v>46015</v>
      </c>
      <c r="E302" s="10">
        <v>46045</v>
      </c>
      <c r="F302" s="4">
        <v>2713.86</v>
      </c>
      <c r="G302" s="3">
        <f>SUMIF(Customer_Payments!B:B,C302,Customer_Payments!E:E)</f>
        <v>2713.86</v>
      </c>
      <c r="H302" s="3">
        <f t="shared" si="12"/>
        <v>0</v>
      </c>
      <c r="I302" s="29">
        <f t="shared" si="13"/>
        <v>46</v>
      </c>
      <c r="J302" s="31" t="str">
        <f t="shared" si="14"/>
        <v>31-60</v>
      </c>
      <c r="K302"/>
    </row>
    <row r="303" spans="1:11" x14ac:dyDescent="0.3">
      <c r="A303" s="21" t="s">
        <v>121</v>
      </c>
      <c r="B303" t="str">
        <f>VLOOKUP(A303,Customers!A:B,2,FALSE)</f>
        <v>RetailVisionGlobal</v>
      </c>
      <c r="C303" s="25" t="s">
        <v>670</v>
      </c>
      <c r="D303" s="11">
        <v>46014</v>
      </c>
      <c r="E303" s="11">
        <v>46044</v>
      </c>
      <c r="F303" s="5">
        <v>2958.47</v>
      </c>
      <c r="G303" s="3">
        <f>SUMIF(Customer_Payments!B:B,C303,Customer_Payments!E:E)</f>
        <v>2958.47</v>
      </c>
      <c r="H303" s="3">
        <f t="shared" si="12"/>
        <v>0</v>
      </c>
      <c r="I303" s="29">
        <f t="shared" si="13"/>
        <v>47</v>
      </c>
      <c r="J303" s="31" t="str">
        <f t="shared" si="14"/>
        <v>31-60</v>
      </c>
      <c r="K303"/>
    </row>
    <row r="304" spans="1:11" x14ac:dyDescent="0.3">
      <c r="A304" s="20" t="s">
        <v>44</v>
      </c>
      <c r="B304" t="str">
        <f>VLOOKUP(A304,Customers!A:B,2,FALSE)</f>
        <v>BrightMarket</v>
      </c>
      <c r="C304" s="24" t="s">
        <v>671</v>
      </c>
      <c r="D304" s="10">
        <v>45974</v>
      </c>
      <c r="E304" s="10">
        <v>46004</v>
      </c>
      <c r="F304" s="4">
        <v>1994.29</v>
      </c>
      <c r="G304" s="3">
        <f>SUMIF(Customer_Payments!B:B,C304,Customer_Payments!E:E)</f>
        <v>1994.29</v>
      </c>
      <c r="H304" s="3">
        <f t="shared" si="12"/>
        <v>0</v>
      </c>
      <c r="I304" s="29">
        <f t="shared" si="13"/>
        <v>87</v>
      </c>
      <c r="J304" s="31" t="str">
        <f t="shared" si="14"/>
        <v>61-90</v>
      </c>
      <c r="K304"/>
    </row>
    <row r="305" spans="1:11" x14ac:dyDescent="0.3">
      <c r="A305" s="21" t="s">
        <v>65</v>
      </c>
      <c r="B305" t="str">
        <f>VLOOKUP(A305,Customers!A:B,2,FALSE)</f>
        <v>RetailFlow</v>
      </c>
      <c r="C305" s="25" t="s">
        <v>672</v>
      </c>
      <c r="D305" s="11">
        <v>46055</v>
      </c>
      <c r="E305" s="11">
        <v>46085</v>
      </c>
      <c r="F305" s="5">
        <v>2614.63</v>
      </c>
      <c r="G305" s="3">
        <f>SUMIF(Customer_Payments!B:B,C305,Customer_Payments!E:E)</f>
        <v>2614.63</v>
      </c>
      <c r="H305" s="3">
        <f t="shared" si="12"/>
        <v>0</v>
      </c>
      <c r="I305" s="29">
        <f t="shared" si="13"/>
        <v>6</v>
      </c>
      <c r="J305" s="31" t="str">
        <f t="shared" si="14"/>
        <v>1-30</v>
      </c>
      <c r="K305"/>
    </row>
    <row r="306" spans="1:11" x14ac:dyDescent="0.3">
      <c r="A306" s="20" t="s">
        <v>123</v>
      </c>
      <c r="B306" t="str">
        <f>VLOOKUP(A306,Customers!A:B,2,FALSE)</f>
        <v>RetailFlowGlobal</v>
      </c>
      <c r="C306" s="24" t="s">
        <v>673</v>
      </c>
      <c r="D306" s="10">
        <v>46011</v>
      </c>
      <c r="E306" s="10">
        <v>46041</v>
      </c>
      <c r="F306" s="4">
        <v>2151.96</v>
      </c>
      <c r="G306" s="3">
        <f>SUMIF(Customer_Payments!B:B,C306,Customer_Payments!E:E)</f>
        <v>2151.96</v>
      </c>
      <c r="H306" s="3">
        <f t="shared" si="12"/>
        <v>0</v>
      </c>
      <c r="I306" s="29">
        <f t="shared" si="13"/>
        <v>50</v>
      </c>
      <c r="J306" s="31" t="str">
        <f t="shared" si="14"/>
        <v>31-60</v>
      </c>
      <c r="K306"/>
    </row>
    <row r="307" spans="1:11" x14ac:dyDescent="0.3">
      <c r="A307" s="21" t="s">
        <v>104</v>
      </c>
      <c r="B307" t="str">
        <f>VLOOKUP(A307,Customers!A:B,2,FALSE)</f>
        <v>RetailCorePro</v>
      </c>
      <c r="C307" s="25" t="s">
        <v>674</v>
      </c>
      <c r="D307" s="11">
        <v>45964</v>
      </c>
      <c r="E307" s="11">
        <v>45994</v>
      </c>
      <c r="F307" s="5">
        <v>13235.28</v>
      </c>
      <c r="G307" s="3">
        <f>0.45*Table9[[#This Row],[InvoiceAmount]]</f>
        <v>5955.8760000000002</v>
      </c>
      <c r="H307" s="3">
        <f t="shared" si="12"/>
        <v>7279.4040000000005</v>
      </c>
      <c r="I307" s="29">
        <f t="shared" si="13"/>
        <v>97</v>
      </c>
      <c r="J307" s="31" t="str">
        <f t="shared" si="14"/>
        <v>90+</v>
      </c>
      <c r="K307"/>
    </row>
    <row r="308" spans="1:11" x14ac:dyDescent="0.3">
      <c r="A308" s="20" t="s">
        <v>74</v>
      </c>
      <c r="B308" t="str">
        <f>VLOOKUP(A308,Customers!A:B,2,FALSE)</f>
        <v>RetailPrime</v>
      </c>
      <c r="C308" s="24" t="s">
        <v>675</v>
      </c>
      <c r="D308" s="10">
        <v>46062</v>
      </c>
      <c r="E308" s="10">
        <v>46092</v>
      </c>
      <c r="F308" s="4">
        <v>5360.68</v>
      </c>
      <c r="G308" s="3">
        <f>SUMIF(Customer_Payments!B:B,C308,Customer_Payments!E:E)</f>
        <v>5360.68</v>
      </c>
      <c r="H308" s="3">
        <f t="shared" si="12"/>
        <v>0</v>
      </c>
      <c r="I308" s="29">
        <f t="shared" si="13"/>
        <v>-1</v>
      </c>
      <c r="J308" s="31" t="str">
        <f t="shared" si="14"/>
        <v>Current</v>
      </c>
      <c r="K308"/>
    </row>
    <row r="309" spans="1:11" x14ac:dyDescent="0.3">
      <c r="A309" s="21" t="s">
        <v>77</v>
      </c>
      <c r="B309" t="str">
        <f>VLOOKUP(A309,Customers!A:B,2,FALSE)</f>
        <v>RetailBridge</v>
      </c>
      <c r="C309" s="25" t="s">
        <v>676</v>
      </c>
      <c r="D309" s="11">
        <v>46002</v>
      </c>
      <c r="E309" s="11">
        <v>46032</v>
      </c>
      <c r="F309" s="5">
        <v>1700.49</v>
      </c>
      <c r="G309" s="3">
        <f>SUMIF(Customer_Payments!B:B,C309,Customer_Payments!E:E)</f>
        <v>1700.49</v>
      </c>
      <c r="H309" s="3">
        <f t="shared" si="12"/>
        <v>0</v>
      </c>
      <c r="I309" s="29">
        <f t="shared" si="13"/>
        <v>59</v>
      </c>
      <c r="J309" s="31" t="str">
        <f t="shared" si="14"/>
        <v>31-60</v>
      </c>
      <c r="K309"/>
    </row>
    <row r="310" spans="1:11" x14ac:dyDescent="0.3">
      <c r="A310" s="20" t="s">
        <v>116</v>
      </c>
      <c r="B310" t="str">
        <f>VLOOKUP(A310,Customers!A:B,2,FALSE)</f>
        <v>RetailLabsPro</v>
      </c>
      <c r="C310" s="24" t="s">
        <v>677</v>
      </c>
      <c r="D310" s="10">
        <v>46015</v>
      </c>
      <c r="E310" s="10">
        <v>46045</v>
      </c>
      <c r="F310" s="4">
        <v>3083.02</v>
      </c>
      <c r="G310" s="3">
        <f>SUMIF(Customer_Payments!B:B,C310,Customer_Payments!E:E)</f>
        <v>3083.02</v>
      </c>
      <c r="H310" s="3">
        <f t="shared" si="12"/>
        <v>0</v>
      </c>
      <c r="I310" s="29">
        <f t="shared" si="13"/>
        <v>46</v>
      </c>
      <c r="J310" s="31" t="str">
        <f t="shared" si="14"/>
        <v>31-60</v>
      </c>
      <c r="K310"/>
    </row>
    <row r="311" spans="1:11" x14ac:dyDescent="0.3">
      <c r="A311" s="21" t="s">
        <v>69</v>
      </c>
      <c r="B311" t="str">
        <f>VLOOKUP(A311,Customers!A:B,2,FALSE)</f>
        <v>RetailNext</v>
      </c>
      <c r="C311" s="25" t="s">
        <v>678</v>
      </c>
      <c r="D311" s="11">
        <v>45988</v>
      </c>
      <c r="E311" s="11">
        <v>46018</v>
      </c>
      <c r="F311" s="5">
        <v>3418.58</v>
      </c>
      <c r="G311" s="3">
        <f>SUMIF(Customer_Payments!B:B,C311,Customer_Payments!E:E)</f>
        <v>3418.58</v>
      </c>
      <c r="H311" s="3">
        <f t="shared" si="12"/>
        <v>0</v>
      </c>
      <c r="I311" s="29">
        <f t="shared" si="13"/>
        <v>73</v>
      </c>
      <c r="J311" s="31" t="str">
        <f t="shared" si="14"/>
        <v>61-90</v>
      </c>
      <c r="K311"/>
    </row>
    <row r="312" spans="1:11" x14ac:dyDescent="0.3">
      <c r="A312" s="20" t="s">
        <v>72</v>
      </c>
      <c r="B312" t="str">
        <f>VLOOKUP(A312,Customers!A:B,2,FALSE)</f>
        <v>RetailStream</v>
      </c>
      <c r="C312" s="24" t="s">
        <v>679</v>
      </c>
      <c r="D312" s="10">
        <v>45980</v>
      </c>
      <c r="E312" s="10">
        <v>46010</v>
      </c>
      <c r="F312" s="4">
        <v>3478.67</v>
      </c>
      <c r="G312" s="3">
        <f>SUMIF(Customer_Payments!B:B,C312,Customer_Payments!E:E)</f>
        <v>3478.67</v>
      </c>
      <c r="H312" s="3">
        <f t="shared" si="12"/>
        <v>0</v>
      </c>
      <c r="I312" s="29">
        <f t="shared" si="13"/>
        <v>81</v>
      </c>
      <c r="J312" s="31" t="str">
        <f t="shared" si="14"/>
        <v>61-90</v>
      </c>
      <c r="K312"/>
    </row>
    <row r="313" spans="1:11" x14ac:dyDescent="0.3">
      <c r="A313" s="21" t="s">
        <v>110</v>
      </c>
      <c r="B313" t="str">
        <f>VLOOKUP(A313,Customers!A:B,2,FALSE)</f>
        <v>RetailAxisPro</v>
      </c>
      <c r="C313" s="25" t="s">
        <v>680</v>
      </c>
      <c r="D313" s="11">
        <v>46108</v>
      </c>
      <c r="E313" s="11">
        <v>46138</v>
      </c>
      <c r="F313" s="5">
        <v>11792.63</v>
      </c>
      <c r="G313" s="3">
        <f>SUMIF(Customer_Payments!B:B,C313,Customer_Payments!E:E)</f>
        <v>11792.63</v>
      </c>
      <c r="H313" s="3">
        <f t="shared" si="12"/>
        <v>0</v>
      </c>
      <c r="I313" s="29">
        <f t="shared" si="13"/>
        <v>-47</v>
      </c>
      <c r="J313" s="31" t="str">
        <f t="shared" si="14"/>
        <v>Current</v>
      </c>
      <c r="K313"/>
    </row>
    <row r="314" spans="1:11" x14ac:dyDescent="0.3">
      <c r="A314" s="20" t="s">
        <v>102</v>
      </c>
      <c r="B314" t="str">
        <f>VLOOKUP(A314,Customers!A:B,2,FALSE)</f>
        <v>RetailPrimePro</v>
      </c>
      <c r="C314" s="24" t="s">
        <v>681</v>
      </c>
      <c r="D314" s="10">
        <v>46091</v>
      </c>
      <c r="E314" s="10">
        <v>46121</v>
      </c>
      <c r="F314" s="4">
        <v>2723.28</v>
      </c>
      <c r="G314" s="3">
        <f>0.45*Table9[[#This Row],[InvoiceAmount]]</f>
        <v>1225.4760000000001</v>
      </c>
      <c r="H314" s="3">
        <f t="shared" si="12"/>
        <v>1497.8040000000001</v>
      </c>
      <c r="I314" s="29">
        <f t="shared" si="13"/>
        <v>-30</v>
      </c>
      <c r="J314" s="31" t="str">
        <f t="shared" si="14"/>
        <v>Current</v>
      </c>
      <c r="K314"/>
    </row>
    <row r="315" spans="1:11" x14ac:dyDescent="0.3">
      <c r="A315" s="21" t="s">
        <v>15</v>
      </c>
      <c r="B315" t="str">
        <f>VLOOKUP(A315,Customers!A:B,2,FALSE)</f>
        <v>CloudScale</v>
      </c>
      <c r="C315" s="25" t="s">
        <v>682</v>
      </c>
      <c r="D315" s="11">
        <v>46110</v>
      </c>
      <c r="E315" s="11">
        <v>46140</v>
      </c>
      <c r="F315" s="5">
        <v>5156.62</v>
      </c>
      <c r="G315" s="3">
        <f>SUMIF(Customer_Payments!B:B,C315,Customer_Payments!E:E)</f>
        <v>5156.6200000000008</v>
      </c>
      <c r="H315" s="3">
        <f t="shared" si="12"/>
        <v>0</v>
      </c>
      <c r="I315" s="29">
        <f t="shared" si="13"/>
        <v>-49</v>
      </c>
      <c r="J315" s="31" t="str">
        <f t="shared" si="14"/>
        <v>Current</v>
      </c>
      <c r="K315"/>
    </row>
    <row r="316" spans="1:11" x14ac:dyDescent="0.3">
      <c r="A316" s="20" t="s">
        <v>59</v>
      </c>
      <c r="B316" t="str">
        <f>VLOOKUP(A316,Customers!A:B,2,FALSE)</f>
        <v>MarketBridge</v>
      </c>
      <c r="C316" s="24" t="s">
        <v>683</v>
      </c>
      <c r="D316" s="10">
        <v>46029</v>
      </c>
      <c r="E316" s="10">
        <v>46059</v>
      </c>
      <c r="F316" s="4">
        <v>4191.7700000000004</v>
      </c>
      <c r="G316" s="3">
        <f>SUMIF(Customer_Payments!B:B,C316,Customer_Payments!E:E)</f>
        <v>4191.7700000000004</v>
      </c>
      <c r="H316" s="3">
        <f t="shared" si="12"/>
        <v>0</v>
      </c>
      <c r="I316" s="29">
        <f t="shared" si="13"/>
        <v>32</v>
      </c>
      <c r="J316" s="31" t="str">
        <f t="shared" si="14"/>
        <v>31-60</v>
      </c>
      <c r="K316"/>
    </row>
    <row r="317" spans="1:11" x14ac:dyDescent="0.3">
      <c r="A317" s="21" t="s">
        <v>89</v>
      </c>
      <c r="B317" t="str">
        <f>VLOOKUP(A317,Customers!A:B,2,FALSE)</f>
        <v>RetailAxisX</v>
      </c>
      <c r="C317" s="25" t="s">
        <v>684</v>
      </c>
      <c r="D317" s="11">
        <v>45967</v>
      </c>
      <c r="E317" s="11">
        <v>45997</v>
      </c>
      <c r="F317" s="5">
        <v>5537.94</v>
      </c>
      <c r="G317" s="3">
        <f>0.45*Table9[[#This Row],[InvoiceAmount]]</f>
        <v>2492.0729999999999</v>
      </c>
      <c r="H317" s="3">
        <f t="shared" si="12"/>
        <v>3045.8669999999997</v>
      </c>
      <c r="I317" s="29">
        <f t="shared" si="13"/>
        <v>94</v>
      </c>
      <c r="J317" s="31" t="str">
        <f t="shared" si="14"/>
        <v>90+</v>
      </c>
      <c r="K317"/>
    </row>
    <row r="318" spans="1:11" x14ac:dyDescent="0.3">
      <c r="A318" s="20" t="s">
        <v>123</v>
      </c>
      <c r="B318" t="str">
        <f>VLOOKUP(A318,Customers!A:B,2,FALSE)</f>
        <v>RetailFlowGlobal</v>
      </c>
      <c r="C318" s="24" t="s">
        <v>685</v>
      </c>
      <c r="D318" s="10">
        <v>46063</v>
      </c>
      <c r="E318" s="10">
        <v>46093</v>
      </c>
      <c r="F318" s="4">
        <v>11397.41</v>
      </c>
      <c r="G318" s="3">
        <f>0.45*Table9[[#This Row],[InvoiceAmount]]</f>
        <v>5128.8344999999999</v>
      </c>
      <c r="H318" s="3">
        <f t="shared" si="12"/>
        <v>6268.5754999999999</v>
      </c>
      <c r="I318" s="29">
        <f t="shared" si="13"/>
        <v>-2</v>
      </c>
      <c r="J318" s="31" t="str">
        <f t="shared" si="14"/>
        <v>Current</v>
      </c>
      <c r="K318"/>
    </row>
    <row r="319" spans="1:11" x14ac:dyDescent="0.3">
      <c r="A319" s="21" t="s">
        <v>24</v>
      </c>
      <c r="B319" t="str">
        <f>VLOOKUP(A319,Customers!A:B,2,FALSE)</f>
        <v>OmniTrade</v>
      </c>
      <c r="C319" s="25" t="s">
        <v>686</v>
      </c>
      <c r="D319" s="11">
        <v>45977</v>
      </c>
      <c r="E319" s="11">
        <v>46007</v>
      </c>
      <c r="F319" s="5">
        <v>11403.1</v>
      </c>
      <c r="G319" s="3">
        <f>0.45*Table9[[#This Row],[InvoiceAmount]]</f>
        <v>5131.3950000000004</v>
      </c>
      <c r="H319" s="3">
        <f t="shared" si="12"/>
        <v>6271.7049999999999</v>
      </c>
      <c r="I319" s="29">
        <f t="shared" si="13"/>
        <v>84</v>
      </c>
      <c r="J319" s="31" t="str">
        <f t="shared" si="14"/>
        <v>61-90</v>
      </c>
      <c r="K319"/>
    </row>
    <row r="320" spans="1:11" x14ac:dyDescent="0.3">
      <c r="A320" s="20" t="s">
        <v>57</v>
      </c>
      <c r="B320" t="str">
        <f>VLOOKUP(A320,Customers!A:B,2,FALSE)</f>
        <v>MarketGenius</v>
      </c>
      <c r="C320" s="24" t="s">
        <v>687</v>
      </c>
      <c r="D320" s="10">
        <v>45986</v>
      </c>
      <c r="E320" s="10">
        <v>46016</v>
      </c>
      <c r="F320" s="4">
        <v>2059.41</v>
      </c>
      <c r="G320" s="3">
        <f>0.45*Table9[[#This Row],[InvoiceAmount]]</f>
        <v>926.73449999999991</v>
      </c>
      <c r="H320" s="3">
        <f t="shared" si="12"/>
        <v>1132.6754999999998</v>
      </c>
      <c r="I320" s="29">
        <f t="shared" si="13"/>
        <v>75</v>
      </c>
      <c r="J320" s="31" t="str">
        <f t="shared" si="14"/>
        <v>61-90</v>
      </c>
      <c r="K320"/>
    </row>
    <row r="321" spans="1:11" x14ac:dyDescent="0.3">
      <c r="A321" s="21" t="s">
        <v>45</v>
      </c>
      <c r="B321" t="str">
        <f>VLOOKUP(A321,Customers!A:B,2,FALSE)</f>
        <v>EdgeRetail</v>
      </c>
      <c r="C321" s="25" t="s">
        <v>688</v>
      </c>
      <c r="D321" s="11">
        <v>45986</v>
      </c>
      <c r="E321" s="11">
        <v>46016</v>
      </c>
      <c r="F321" s="5">
        <v>2978.29</v>
      </c>
      <c r="G321" s="3">
        <f>0.45*Table9[[#This Row],[InvoiceAmount]]</f>
        <v>1340.2305000000001</v>
      </c>
      <c r="H321" s="3">
        <f t="shared" si="12"/>
        <v>1638.0594999999998</v>
      </c>
      <c r="I321" s="29">
        <f t="shared" si="13"/>
        <v>75</v>
      </c>
      <c r="J321" s="31" t="str">
        <f t="shared" si="14"/>
        <v>61-90</v>
      </c>
      <c r="K321"/>
    </row>
    <row r="322" spans="1:11" x14ac:dyDescent="0.3">
      <c r="A322" s="20" t="s">
        <v>112</v>
      </c>
      <c r="B322" t="str">
        <f>VLOOKUP(A322,Customers!A:B,2,FALSE)</f>
        <v>RetailBridgePro</v>
      </c>
      <c r="C322" s="24" t="s">
        <v>689</v>
      </c>
      <c r="D322" s="10">
        <v>46112</v>
      </c>
      <c r="E322" s="10">
        <v>46142</v>
      </c>
      <c r="F322" s="4">
        <v>12832.8</v>
      </c>
      <c r="G322" s="3">
        <f>SUMIF(Customer_Payments!B:B,C322,Customer_Payments!E:E)</f>
        <v>12832.8</v>
      </c>
      <c r="H322" s="3">
        <f t="shared" ref="H322:H385" si="15">MAX(F322-G322,0)</f>
        <v>0</v>
      </c>
      <c r="I322" s="29">
        <f t="shared" ref="I322:I385" si="16">$L$2-E322</f>
        <v>-51</v>
      </c>
      <c r="J322" s="31" t="str">
        <f t="shared" si="14"/>
        <v>Current</v>
      </c>
      <c r="K322"/>
    </row>
    <row r="323" spans="1:11" x14ac:dyDescent="0.3">
      <c r="A323" s="21" t="s">
        <v>119</v>
      </c>
      <c r="B323" t="str">
        <f>VLOOKUP(A323,Customers!A:B,2,FALSE)</f>
        <v>RetailNovaGlobal</v>
      </c>
      <c r="C323" s="25" t="s">
        <v>690</v>
      </c>
      <c r="D323" s="11">
        <v>46053</v>
      </c>
      <c r="E323" s="11">
        <v>46083</v>
      </c>
      <c r="F323" s="5">
        <v>4495.0200000000004</v>
      </c>
      <c r="G323" s="3">
        <f>SUMIF(Customer_Payments!B:B,C323,Customer_Payments!E:E)</f>
        <v>4495.0200000000004</v>
      </c>
      <c r="H323" s="3">
        <f t="shared" si="15"/>
        <v>0</v>
      </c>
      <c r="I323" s="29">
        <f t="shared" si="16"/>
        <v>8</v>
      </c>
      <c r="J323" s="31" t="str">
        <f t="shared" ref="J323:J386" si="17">IF(I323&lt;=0,"Current",
IF(I323&lt;=30,"1-30",
IF(I323&lt;=60,"31-60",
IF(I323&lt;=90,"61-90","90+"))))</f>
        <v>1-30</v>
      </c>
      <c r="K323"/>
    </row>
    <row r="324" spans="1:11" x14ac:dyDescent="0.3">
      <c r="A324" s="20" t="s">
        <v>105</v>
      </c>
      <c r="B324" t="str">
        <f>VLOOKUP(A324,Customers!A:B,2,FALSE)</f>
        <v>RetailFlowPro</v>
      </c>
      <c r="C324" s="24" t="s">
        <v>691</v>
      </c>
      <c r="D324" s="10">
        <v>45987</v>
      </c>
      <c r="E324" s="10">
        <v>46017</v>
      </c>
      <c r="F324" s="4">
        <v>1991.15</v>
      </c>
      <c r="G324" s="3">
        <f>SUMIF(Customer_Payments!B:B,C324,Customer_Payments!E:E)</f>
        <v>1991.15</v>
      </c>
      <c r="H324" s="3">
        <f t="shared" si="15"/>
        <v>0</v>
      </c>
      <c r="I324" s="29">
        <f t="shared" si="16"/>
        <v>74</v>
      </c>
      <c r="J324" s="31" t="str">
        <f t="shared" si="17"/>
        <v>61-90</v>
      </c>
      <c r="K324"/>
    </row>
    <row r="325" spans="1:11" x14ac:dyDescent="0.3">
      <c r="A325" s="21" t="s">
        <v>64</v>
      </c>
      <c r="B325" t="str">
        <f>VLOOKUP(A325,Customers!A:B,2,FALSE)</f>
        <v>MarketScale</v>
      </c>
      <c r="C325" s="25" t="s">
        <v>692</v>
      </c>
      <c r="D325" s="11">
        <v>45994</v>
      </c>
      <c r="E325" s="11">
        <v>46024</v>
      </c>
      <c r="F325" s="5">
        <v>2688.8</v>
      </c>
      <c r="G325" s="3">
        <f>SUMIF(Customer_Payments!B:B,C325,Customer_Payments!E:E)</f>
        <v>2688.8</v>
      </c>
      <c r="H325" s="3">
        <f t="shared" si="15"/>
        <v>0</v>
      </c>
      <c r="I325" s="29">
        <f t="shared" si="16"/>
        <v>67</v>
      </c>
      <c r="J325" s="31" t="str">
        <f t="shared" si="17"/>
        <v>61-90</v>
      </c>
      <c r="K325"/>
    </row>
    <row r="326" spans="1:11" x14ac:dyDescent="0.3">
      <c r="A326" s="20" t="s">
        <v>12</v>
      </c>
      <c r="B326" t="str">
        <f>VLOOKUP(A326,Customers!A:B,2,FALSE)</f>
        <v>ShopOrbit</v>
      </c>
      <c r="C326" s="24" t="s">
        <v>693</v>
      </c>
      <c r="D326" s="10">
        <v>46037</v>
      </c>
      <c r="E326" s="10">
        <v>46067</v>
      </c>
      <c r="F326" s="4">
        <v>3740.83</v>
      </c>
      <c r="G326" s="3">
        <f>SUMIF(Customer_Payments!B:B,C326,Customer_Payments!E:E)</f>
        <v>3740.83</v>
      </c>
      <c r="H326" s="3">
        <f t="shared" si="15"/>
        <v>0</v>
      </c>
      <c r="I326" s="29">
        <f t="shared" si="16"/>
        <v>24</v>
      </c>
      <c r="J326" s="31" t="str">
        <f t="shared" si="17"/>
        <v>1-30</v>
      </c>
      <c r="K326"/>
    </row>
    <row r="327" spans="1:11" x14ac:dyDescent="0.3">
      <c r="A327" s="21" t="s">
        <v>106</v>
      </c>
      <c r="B327" t="str">
        <f>VLOOKUP(A327,Customers!A:B,2,FALSE)</f>
        <v>RetailOrbitPro</v>
      </c>
      <c r="C327" s="25" t="s">
        <v>694</v>
      </c>
      <c r="D327" s="11">
        <v>46008</v>
      </c>
      <c r="E327" s="11">
        <v>46038</v>
      </c>
      <c r="F327" s="5">
        <v>11707.02</v>
      </c>
      <c r="G327" s="3">
        <f>0.45*Table9[[#This Row],[InvoiceAmount]]</f>
        <v>5268.1590000000006</v>
      </c>
      <c r="H327" s="3">
        <f t="shared" si="15"/>
        <v>6438.8609999999999</v>
      </c>
      <c r="I327" s="29">
        <f t="shared" si="16"/>
        <v>53</v>
      </c>
      <c r="J327" s="31" t="str">
        <f t="shared" si="17"/>
        <v>31-60</v>
      </c>
      <c r="K327"/>
    </row>
    <row r="328" spans="1:11" x14ac:dyDescent="0.3">
      <c r="A328" s="20" t="s">
        <v>100</v>
      </c>
      <c r="B328" t="str">
        <f>VLOOKUP(A328,Customers!A:B,2,FALSE)</f>
        <v>RetailBoostPro</v>
      </c>
      <c r="C328" s="24" t="s">
        <v>695</v>
      </c>
      <c r="D328" s="10">
        <v>45968</v>
      </c>
      <c r="E328" s="10">
        <v>45998</v>
      </c>
      <c r="F328" s="4">
        <v>2568.16</v>
      </c>
      <c r="G328" s="3">
        <f>0.45*Table9[[#This Row],[InvoiceAmount]]</f>
        <v>1155.672</v>
      </c>
      <c r="H328" s="3">
        <f t="shared" si="15"/>
        <v>1412.4879999999998</v>
      </c>
      <c r="I328" s="29">
        <f t="shared" si="16"/>
        <v>93</v>
      </c>
      <c r="J328" s="31" t="str">
        <f t="shared" si="17"/>
        <v>90+</v>
      </c>
      <c r="K328"/>
    </row>
    <row r="329" spans="1:11" x14ac:dyDescent="0.3">
      <c r="A329" s="21" t="s">
        <v>37</v>
      </c>
      <c r="B329" t="str">
        <f>VLOOKUP(A329,Customers!A:B,2,FALSE)</f>
        <v>SmartCart</v>
      </c>
      <c r="C329" s="25" t="s">
        <v>696</v>
      </c>
      <c r="D329" s="11">
        <v>46041</v>
      </c>
      <c r="E329" s="11">
        <v>46071</v>
      </c>
      <c r="F329" s="5">
        <v>3246.47</v>
      </c>
      <c r="G329" s="3">
        <f>0.45*Table9[[#This Row],[InvoiceAmount]]</f>
        <v>1460.9114999999999</v>
      </c>
      <c r="H329" s="3">
        <f t="shared" si="15"/>
        <v>1785.5584999999999</v>
      </c>
      <c r="I329" s="29">
        <f t="shared" si="16"/>
        <v>20</v>
      </c>
      <c r="J329" s="31" t="str">
        <f t="shared" si="17"/>
        <v>1-30</v>
      </c>
      <c r="K329"/>
    </row>
    <row r="330" spans="1:11" x14ac:dyDescent="0.3">
      <c r="A330" s="20" t="s">
        <v>45</v>
      </c>
      <c r="B330" t="str">
        <f>VLOOKUP(A330,Customers!A:B,2,FALSE)</f>
        <v>EdgeRetail</v>
      </c>
      <c r="C330" s="24" t="s">
        <v>697</v>
      </c>
      <c r="D330" s="10">
        <v>46082</v>
      </c>
      <c r="E330" s="10">
        <v>46112</v>
      </c>
      <c r="F330" s="4">
        <v>2876.26</v>
      </c>
      <c r="G330" s="3">
        <f>SUMIF(Customer_Payments!B:B,C330,Customer_Payments!E:E)</f>
        <v>2876.26</v>
      </c>
      <c r="H330" s="3">
        <f t="shared" si="15"/>
        <v>0</v>
      </c>
      <c r="I330" s="29">
        <f t="shared" si="16"/>
        <v>-21</v>
      </c>
      <c r="J330" s="31" t="str">
        <f t="shared" si="17"/>
        <v>Current</v>
      </c>
      <c r="K330"/>
    </row>
    <row r="331" spans="1:11" x14ac:dyDescent="0.3">
      <c r="A331" s="21" t="s">
        <v>87</v>
      </c>
      <c r="B331" t="str">
        <f>VLOOKUP(A331,Customers!A:B,2,FALSE)</f>
        <v>RetailStreamX</v>
      </c>
      <c r="C331" s="25" t="s">
        <v>698</v>
      </c>
      <c r="D331" s="11">
        <v>45979</v>
      </c>
      <c r="E331" s="11">
        <v>46009</v>
      </c>
      <c r="F331" s="5">
        <v>2060.96</v>
      </c>
      <c r="G331" s="3">
        <f>0.45*Table9[[#This Row],[InvoiceAmount]]</f>
        <v>927.43200000000002</v>
      </c>
      <c r="H331" s="3">
        <f t="shared" si="15"/>
        <v>1133.528</v>
      </c>
      <c r="I331" s="29">
        <f t="shared" si="16"/>
        <v>82</v>
      </c>
      <c r="J331" s="31" t="str">
        <f t="shared" si="17"/>
        <v>61-90</v>
      </c>
      <c r="K331"/>
    </row>
    <row r="332" spans="1:11" x14ac:dyDescent="0.3">
      <c r="A332" s="20" t="s">
        <v>89</v>
      </c>
      <c r="B332" t="str">
        <f>VLOOKUP(A332,Customers!A:B,2,FALSE)</f>
        <v>RetailAxisX</v>
      </c>
      <c r="C332" s="24" t="s">
        <v>699</v>
      </c>
      <c r="D332" s="10">
        <v>45979</v>
      </c>
      <c r="E332" s="10">
        <v>46009</v>
      </c>
      <c r="F332" s="4">
        <v>1747.58</v>
      </c>
      <c r="G332" s="3">
        <f>0.45*Table9[[#This Row],[InvoiceAmount]]</f>
        <v>786.41099999999994</v>
      </c>
      <c r="H332" s="3">
        <f t="shared" si="15"/>
        <v>961.16899999999998</v>
      </c>
      <c r="I332" s="29">
        <f t="shared" si="16"/>
        <v>82</v>
      </c>
      <c r="J332" s="31" t="str">
        <f t="shared" si="17"/>
        <v>61-90</v>
      </c>
      <c r="K332"/>
    </row>
    <row r="333" spans="1:11" x14ac:dyDescent="0.3">
      <c r="A333" s="21" t="s">
        <v>59</v>
      </c>
      <c r="B333" t="str">
        <f>VLOOKUP(A333,Customers!A:B,2,FALSE)</f>
        <v>MarketBridge</v>
      </c>
      <c r="C333" s="25" t="s">
        <v>700</v>
      </c>
      <c r="D333" s="11">
        <v>46039</v>
      </c>
      <c r="E333" s="11">
        <v>46069</v>
      </c>
      <c r="F333" s="5">
        <v>1714.43</v>
      </c>
      <c r="G333" s="3">
        <f>SUMIF(Customer_Payments!B:B,C333,Customer_Payments!E:E)</f>
        <v>1714.43</v>
      </c>
      <c r="H333" s="3">
        <f t="shared" si="15"/>
        <v>0</v>
      </c>
      <c r="I333" s="29">
        <f t="shared" si="16"/>
        <v>22</v>
      </c>
      <c r="J333" s="31" t="str">
        <f t="shared" si="17"/>
        <v>1-30</v>
      </c>
      <c r="K333"/>
    </row>
    <row r="334" spans="1:11" x14ac:dyDescent="0.3">
      <c r="A334" s="20" t="s">
        <v>115</v>
      </c>
      <c r="B334" t="str">
        <f>VLOOKUP(A334,Customers!A:B,2,FALSE)</f>
        <v>RetailDynamicsPro</v>
      </c>
      <c r="C334" s="24" t="s">
        <v>701</v>
      </c>
      <c r="D334" s="10">
        <v>46058</v>
      </c>
      <c r="E334" s="10">
        <v>46088</v>
      </c>
      <c r="F334" s="4">
        <v>4599.78</v>
      </c>
      <c r="G334" s="3">
        <f>SUMIF(Customer_Payments!B:B,C334,Customer_Payments!E:E)</f>
        <v>4599.78</v>
      </c>
      <c r="H334" s="3">
        <f t="shared" si="15"/>
        <v>0</v>
      </c>
      <c r="I334" s="29">
        <f t="shared" si="16"/>
        <v>3</v>
      </c>
      <c r="J334" s="31" t="str">
        <f t="shared" si="17"/>
        <v>1-30</v>
      </c>
      <c r="K334"/>
    </row>
    <row r="335" spans="1:11" x14ac:dyDescent="0.3">
      <c r="A335" s="21" t="s">
        <v>124</v>
      </c>
      <c r="B335" t="str">
        <f>VLOOKUP(A335,Customers!A:B,2,FALSE)</f>
        <v>RetailOrbitGlobal</v>
      </c>
      <c r="C335" s="25" t="s">
        <v>702</v>
      </c>
      <c r="D335" s="11">
        <v>46083</v>
      </c>
      <c r="E335" s="11">
        <v>46113</v>
      </c>
      <c r="F335" s="5">
        <v>4601.47</v>
      </c>
      <c r="G335" s="3">
        <f>0.45*Table9[[#This Row],[InvoiceAmount]]</f>
        <v>2070.6615000000002</v>
      </c>
      <c r="H335" s="3">
        <f t="shared" si="15"/>
        <v>2530.8085000000001</v>
      </c>
      <c r="I335" s="29">
        <f t="shared" si="16"/>
        <v>-22</v>
      </c>
      <c r="J335" s="31" t="str">
        <f t="shared" si="17"/>
        <v>Current</v>
      </c>
      <c r="K335"/>
    </row>
    <row r="336" spans="1:11" x14ac:dyDescent="0.3">
      <c r="A336" s="20" t="s">
        <v>56</v>
      </c>
      <c r="B336" t="str">
        <f>VLOOKUP(A336,Customers!A:B,2,FALSE)</f>
        <v>RetailBoost</v>
      </c>
      <c r="C336" s="24" t="s">
        <v>703</v>
      </c>
      <c r="D336" s="10">
        <v>45985</v>
      </c>
      <c r="E336" s="10">
        <v>46015</v>
      </c>
      <c r="F336" s="4">
        <v>3074.86</v>
      </c>
      <c r="G336" s="3">
        <f>SUMIF(Customer_Payments!B:B,C336,Customer_Payments!E:E)</f>
        <v>3074.8599999999997</v>
      </c>
      <c r="H336" s="3">
        <f t="shared" si="15"/>
        <v>4.5474735088646412E-13</v>
      </c>
      <c r="I336" s="29">
        <f t="shared" si="16"/>
        <v>76</v>
      </c>
      <c r="J336" s="31" t="str">
        <f t="shared" si="17"/>
        <v>61-90</v>
      </c>
      <c r="K336"/>
    </row>
    <row r="337" spans="1:11" x14ac:dyDescent="0.3">
      <c r="A337" s="21" t="s">
        <v>64</v>
      </c>
      <c r="B337" t="str">
        <f>VLOOKUP(A337,Customers!A:B,2,FALSE)</f>
        <v>MarketScale</v>
      </c>
      <c r="C337" s="25" t="s">
        <v>704</v>
      </c>
      <c r="D337" s="11">
        <v>45998</v>
      </c>
      <c r="E337" s="11">
        <v>46028</v>
      </c>
      <c r="F337" s="5">
        <v>4509.99</v>
      </c>
      <c r="G337" s="3">
        <f>SUMIF(Customer_Payments!B:B,C337,Customer_Payments!E:E)</f>
        <v>4509.99</v>
      </c>
      <c r="H337" s="3">
        <f t="shared" si="15"/>
        <v>0</v>
      </c>
      <c r="I337" s="29">
        <f t="shared" si="16"/>
        <v>63</v>
      </c>
      <c r="J337" s="31" t="str">
        <f t="shared" si="17"/>
        <v>61-90</v>
      </c>
      <c r="K337"/>
    </row>
    <row r="338" spans="1:11" x14ac:dyDescent="0.3">
      <c r="A338" s="20" t="s">
        <v>55</v>
      </c>
      <c r="B338" t="str">
        <f>VLOOKUP(A338,Customers!A:B,2,FALSE)</f>
        <v>CommerceLabs</v>
      </c>
      <c r="C338" s="24" t="s">
        <v>705</v>
      </c>
      <c r="D338" s="10">
        <v>46093</v>
      </c>
      <c r="E338" s="10">
        <v>46123</v>
      </c>
      <c r="F338" s="4">
        <v>2092.46</v>
      </c>
      <c r="G338" s="3">
        <f>SUMIF(Customer_Payments!B:B,C338,Customer_Payments!E:E)</f>
        <v>2092.46</v>
      </c>
      <c r="H338" s="3">
        <f t="shared" si="15"/>
        <v>0</v>
      </c>
      <c r="I338" s="29">
        <f t="shared" si="16"/>
        <v>-32</v>
      </c>
      <c r="J338" s="31" t="str">
        <f t="shared" si="17"/>
        <v>Current</v>
      </c>
      <c r="K338"/>
    </row>
    <row r="339" spans="1:11" x14ac:dyDescent="0.3">
      <c r="A339" s="21" t="s">
        <v>104</v>
      </c>
      <c r="B339" t="str">
        <f>VLOOKUP(A339,Customers!A:B,2,FALSE)</f>
        <v>RetailCorePro</v>
      </c>
      <c r="C339" s="25" t="s">
        <v>706</v>
      </c>
      <c r="D339" s="11">
        <v>46002</v>
      </c>
      <c r="E339" s="11">
        <v>46032</v>
      </c>
      <c r="F339" s="5">
        <v>1875.58</v>
      </c>
      <c r="G339" s="3">
        <f>SUMIF(Customer_Payments!B:B,C339,Customer_Payments!E:E)</f>
        <v>1875.58</v>
      </c>
      <c r="H339" s="3">
        <f t="shared" si="15"/>
        <v>0</v>
      </c>
      <c r="I339" s="29">
        <f t="shared" si="16"/>
        <v>59</v>
      </c>
      <c r="J339" s="31" t="str">
        <f t="shared" si="17"/>
        <v>31-60</v>
      </c>
      <c r="K339"/>
    </row>
    <row r="340" spans="1:11" x14ac:dyDescent="0.3">
      <c r="A340" s="20" t="s">
        <v>118</v>
      </c>
      <c r="B340" t="str">
        <f>VLOOKUP(A340,Customers!A:B,2,FALSE)</f>
        <v>RetailEdgeGlobal</v>
      </c>
      <c r="C340" s="24" t="s">
        <v>707</v>
      </c>
      <c r="D340" s="10">
        <v>46014</v>
      </c>
      <c r="E340" s="10">
        <v>46044</v>
      </c>
      <c r="F340" s="4">
        <v>3814.03</v>
      </c>
      <c r="G340" s="3">
        <f>SUMIF(Customer_Payments!B:B,C340,Customer_Payments!E:E)</f>
        <v>3814.03</v>
      </c>
      <c r="H340" s="3">
        <f t="shared" si="15"/>
        <v>0</v>
      </c>
      <c r="I340" s="29">
        <f t="shared" si="16"/>
        <v>47</v>
      </c>
      <c r="J340" s="31" t="str">
        <f t="shared" si="17"/>
        <v>31-60</v>
      </c>
      <c r="K340"/>
    </row>
    <row r="341" spans="1:11" x14ac:dyDescent="0.3">
      <c r="A341" s="21" t="s">
        <v>101</v>
      </c>
      <c r="B341" t="str">
        <f>VLOOKUP(A341,Customers!A:B,2,FALSE)</f>
        <v>RetailMatrixPro</v>
      </c>
      <c r="C341" s="25" t="s">
        <v>708</v>
      </c>
      <c r="D341" s="11">
        <v>46045</v>
      </c>
      <c r="E341" s="11">
        <v>46075</v>
      </c>
      <c r="F341" s="5">
        <v>2303.19</v>
      </c>
      <c r="G341" s="3">
        <f>0.45*Table9[[#This Row],[InvoiceAmount]]</f>
        <v>1036.4355</v>
      </c>
      <c r="H341" s="3">
        <f t="shared" si="15"/>
        <v>1266.7545</v>
      </c>
      <c r="I341" s="29">
        <f t="shared" si="16"/>
        <v>16</v>
      </c>
      <c r="J341" s="31" t="str">
        <f t="shared" si="17"/>
        <v>1-30</v>
      </c>
      <c r="K341"/>
    </row>
    <row r="342" spans="1:11" x14ac:dyDescent="0.3">
      <c r="A342" s="20" t="s">
        <v>96</v>
      </c>
      <c r="B342" t="str">
        <f>VLOOKUP(A342,Customers!A:B,2,FALSE)</f>
        <v>RetailLabs</v>
      </c>
      <c r="C342" s="24" t="s">
        <v>709</v>
      </c>
      <c r="D342" s="10">
        <v>46097</v>
      </c>
      <c r="E342" s="10">
        <v>46127</v>
      </c>
      <c r="F342" s="4">
        <v>3296.26</v>
      </c>
      <c r="G342" s="3">
        <f>0.45*Table9[[#This Row],[InvoiceAmount]]</f>
        <v>1483.3170000000002</v>
      </c>
      <c r="H342" s="3">
        <f t="shared" si="15"/>
        <v>1812.943</v>
      </c>
      <c r="I342" s="29">
        <f t="shared" si="16"/>
        <v>-36</v>
      </c>
      <c r="J342" s="31" t="str">
        <f t="shared" si="17"/>
        <v>Current</v>
      </c>
      <c r="K342"/>
    </row>
    <row r="343" spans="1:11" x14ac:dyDescent="0.3">
      <c r="A343" s="21" t="s">
        <v>106</v>
      </c>
      <c r="B343" t="str">
        <f>VLOOKUP(A343,Customers!A:B,2,FALSE)</f>
        <v>RetailOrbitPro</v>
      </c>
      <c r="C343" s="25" t="s">
        <v>710</v>
      </c>
      <c r="D343" s="11">
        <v>46067</v>
      </c>
      <c r="E343" s="11">
        <v>46097</v>
      </c>
      <c r="F343" s="5">
        <v>3785.28</v>
      </c>
      <c r="G343" s="3">
        <f>SUMIF(Customer_Payments!B:B,C343,Customer_Payments!E:E)</f>
        <v>3785.28</v>
      </c>
      <c r="H343" s="3">
        <f t="shared" si="15"/>
        <v>0</v>
      </c>
      <c r="I343" s="29">
        <f t="shared" si="16"/>
        <v>-6</v>
      </c>
      <c r="J343" s="31" t="str">
        <f t="shared" si="17"/>
        <v>Current</v>
      </c>
      <c r="K343"/>
    </row>
    <row r="344" spans="1:11" x14ac:dyDescent="0.3">
      <c r="A344" s="20" t="s">
        <v>40</v>
      </c>
      <c r="B344" t="str">
        <f>VLOOKUP(A344,Customers!A:B,2,FALSE)</f>
        <v>GlobalCart</v>
      </c>
      <c r="C344" s="24" t="s">
        <v>711</v>
      </c>
      <c r="D344" s="10">
        <v>46008</v>
      </c>
      <c r="E344" s="10">
        <v>46038</v>
      </c>
      <c r="F344" s="4">
        <v>2380.66</v>
      </c>
      <c r="G344" s="3">
        <f>SUMIF(Customer_Payments!B:B,C344,Customer_Payments!E:E)</f>
        <v>2380.66</v>
      </c>
      <c r="H344" s="3">
        <f t="shared" si="15"/>
        <v>0</v>
      </c>
      <c r="I344" s="29">
        <f t="shared" si="16"/>
        <v>53</v>
      </c>
      <c r="J344" s="31" t="str">
        <f t="shared" si="17"/>
        <v>31-60</v>
      </c>
      <c r="K344"/>
    </row>
    <row r="345" spans="1:11" x14ac:dyDescent="0.3">
      <c r="A345" s="21" t="s">
        <v>99</v>
      </c>
      <c r="B345" t="str">
        <f>VLOOKUP(A345,Customers!A:B,2,FALSE)</f>
        <v>RetailNovaPro</v>
      </c>
      <c r="C345" s="25" t="s">
        <v>712</v>
      </c>
      <c r="D345" s="11">
        <v>46010</v>
      </c>
      <c r="E345" s="11">
        <v>46040</v>
      </c>
      <c r="F345" s="5">
        <v>2512.8200000000002</v>
      </c>
      <c r="G345" s="3">
        <f>SUMIF(Customer_Payments!B:B,C345,Customer_Payments!E:E)</f>
        <v>2512.8200000000002</v>
      </c>
      <c r="H345" s="3">
        <f t="shared" si="15"/>
        <v>0</v>
      </c>
      <c r="I345" s="29">
        <f t="shared" si="16"/>
        <v>51</v>
      </c>
      <c r="J345" s="31" t="str">
        <f t="shared" si="17"/>
        <v>31-60</v>
      </c>
      <c r="K345"/>
    </row>
    <row r="346" spans="1:11" x14ac:dyDescent="0.3">
      <c r="A346" s="20" t="s">
        <v>59</v>
      </c>
      <c r="B346" t="str">
        <f>VLOOKUP(A346,Customers!A:B,2,FALSE)</f>
        <v>MarketBridge</v>
      </c>
      <c r="C346" s="24" t="s">
        <v>713</v>
      </c>
      <c r="D346" s="10">
        <v>45996</v>
      </c>
      <c r="E346" s="10">
        <v>46026</v>
      </c>
      <c r="F346" s="4">
        <v>13255.82</v>
      </c>
      <c r="G346" s="3">
        <f>SUMIF(Customer_Payments!B:B,C346,Customer_Payments!E:E)</f>
        <v>13255.82</v>
      </c>
      <c r="H346" s="3">
        <f t="shared" si="15"/>
        <v>0</v>
      </c>
      <c r="I346" s="29">
        <f t="shared" si="16"/>
        <v>65</v>
      </c>
      <c r="J346" s="31" t="str">
        <f t="shared" si="17"/>
        <v>61-90</v>
      </c>
      <c r="K346"/>
    </row>
    <row r="347" spans="1:11" x14ac:dyDescent="0.3">
      <c r="A347" s="21" t="s">
        <v>40</v>
      </c>
      <c r="B347" t="str">
        <f>VLOOKUP(A347,Customers!A:B,2,FALSE)</f>
        <v>GlobalCart</v>
      </c>
      <c r="C347" s="25" t="s">
        <v>714</v>
      </c>
      <c r="D347" s="11">
        <v>45990</v>
      </c>
      <c r="E347" s="11">
        <v>46020</v>
      </c>
      <c r="F347" s="5">
        <v>3075.03</v>
      </c>
      <c r="G347" s="3">
        <f>SUMIF(Customer_Payments!B:B,C347,Customer_Payments!E:E)</f>
        <v>3075.03</v>
      </c>
      <c r="H347" s="3">
        <f t="shared" si="15"/>
        <v>0</v>
      </c>
      <c r="I347" s="29">
        <f t="shared" si="16"/>
        <v>71</v>
      </c>
      <c r="J347" s="31" t="str">
        <f t="shared" si="17"/>
        <v>61-90</v>
      </c>
      <c r="K347"/>
    </row>
    <row r="348" spans="1:11" x14ac:dyDescent="0.3">
      <c r="A348" s="20" t="s">
        <v>26</v>
      </c>
      <c r="B348" t="str">
        <f>VLOOKUP(A348,Customers!A:B,2,FALSE)</f>
        <v>NovaRetail</v>
      </c>
      <c r="C348" s="24" t="s">
        <v>715</v>
      </c>
      <c r="D348" s="10">
        <v>46058</v>
      </c>
      <c r="E348" s="10">
        <v>46088</v>
      </c>
      <c r="F348" s="4">
        <v>4108.66</v>
      </c>
      <c r="G348" s="3">
        <f>SUMIF(Customer_Payments!B:B,C348,Customer_Payments!E:E)</f>
        <v>4108.66</v>
      </c>
      <c r="H348" s="3">
        <f t="shared" si="15"/>
        <v>0</v>
      </c>
      <c r="I348" s="29">
        <f t="shared" si="16"/>
        <v>3</v>
      </c>
      <c r="J348" s="31" t="str">
        <f t="shared" si="17"/>
        <v>1-30</v>
      </c>
      <c r="K348"/>
    </row>
    <row r="349" spans="1:11" x14ac:dyDescent="0.3">
      <c r="A349" s="21" t="s">
        <v>70</v>
      </c>
      <c r="B349" t="str">
        <f>VLOOKUP(A349,Customers!A:B,2,FALSE)</f>
        <v>RetailPath</v>
      </c>
      <c r="C349" s="25" t="s">
        <v>716</v>
      </c>
      <c r="D349" s="11">
        <v>45993</v>
      </c>
      <c r="E349" s="11">
        <v>46023</v>
      </c>
      <c r="F349" s="5">
        <v>4659.7299999999996</v>
      </c>
      <c r="G349" s="3">
        <f>0.45*Table9[[#This Row],[InvoiceAmount]]</f>
        <v>2096.8784999999998</v>
      </c>
      <c r="H349" s="3">
        <f t="shared" si="15"/>
        <v>2562.8514999999998</v>
      </c>
      <c r="I349" s="29">
        <f t="shared" si="16"/>
        <v>68</v>
      </c>
      <c r="J349" s="31" t="str">
        <f t="shared" si="17"/>
        <v>61-90</v>
      </c>
      <c r="K349"/>
    </row>
    <row r="350" spans="1:11" x14ac:dyDescent="0.3">
      <c r="A350" s="20" t="s">
        <v>112</v>
      </c>
      <c r="B350" t="str">
        <f>VLOOKUP(A350,Customers!A:B,2,FALSE)</f>
        <v>RetailBridgePro</v>
      </c>
      <c r="C350" s="24" t="s">
        <v>717</v>
      </c>
      <c r="D350" s="10">
        <v>46009</v>
      </c>
      <c r="E350" s="10">
        <v>46039</v>
      </c>
      <c r="F350" s="4">
        <v>3716.45</v>
      </c>
      <c r="G350" s="3">
        <f>SUMIF(Customer_Payments!B:B,C350,Customer_Payments!E:E)</f>
        <v>3716.45</v>
      </c>
      <c r="H350" s="3">
        <f t="shared" si="15"/>
        <v>0</v>
      </c>
      <c r="I350" s="29">
        <f t="shared" si="16"/>
        <v>52</v>
      </c>
      <c r="J350" s="31" t="str">
        <f t="shared" si="17"/>
        <v>31-60</v>
      </c>
      <c r="K350"/>
    </row>
    <row r="351" spans="1:11" x14ac:dyDescent="0.3">
      <c r="A351" s="21" t="s">
        <v>28</v>
      </c>
      <c r="B351" t="str">
        <f>VLOOKUP(A351,Customers!A:B,2,FALSE)</f>
        <v>FutureCart</v>
      </c>
      <c r="C351" s="25" t="s">
        <v>718</v>
      </c>
      <c r="D351" s="11">
        <v>46064</v>
      </c>
      <c r="E351" s="11">
        <v>46094</v>
      </c>
      <c r="F351" s="5">
        <v>14239.24</v>
      </c>
      <c r="G351" s="3">
        <f>SUMIF(Customer_Payments!B:B,C351,Customer_Payments!E:E)</f>
        <v>14239.240000000002</v>
      </c>
      <c r="H351" s="3">
        <f t="shared" si="15"/>
        <v>0</v>
      </c>
      <c r="I351" s="29">
        <f t="shared" si="16"/>
        <v>-3</v>
      </c>
      <c r="J351" s="31" t="str">
        <f t="shared" si="17"/>
        <v>Current</v>
      </c>
      <c r="K351"/>
    </row>
    <row r="352" spans="1:11" x14ac:dyDescent="0.3">
      <c r="A352" s="20" t="s">
        <v>69</v>
      </c>
      <c r="B352" t="str">
        <f>VLOOKUP(A352,Customers!A:B,2,FALSE)</f>
        <v>RetailNext</v>
      </c>
      <c r="C352" s="24" t="s">
        <v>719</v>
      </c>
      <c r="D352" s="10">
        <v>46050</v>
      </c>
      <c r="E352" s="10">
        <v>46080</v>
      </c>
      <c r="F352" s="4">
        <v>2012.38</v>
      </c>
      <c r="G352" s="3">
        <f>SUMIF(Customer_Payments!B:B,C352,Customer_Payments!E:E)</f>
        <v>2012.38</v>
      </c>
      <c r="H352" s="3">
        <f t="shared" si="15"/>
        <v>0</v>
      </c>
      <c r="I352" s="29">
        <f t="shared" si="16"/>
        <v>11</v>
      </c>
      <c r="J352" s="31" t="str">
        <f t="shared" si="17"/>
        <v>1-30</v>
      </c>
      <c r="K352"/>
    </row>
    <row r="353" spans="1:11" x14ac:dyDescent="0.3">
      <c r="A353" s="21" t="s">
        <v>74</v>
      </c>
      <c r="B353" t="str">
        <f>VLOOKUP(A353,Customers!A:B,2,FALSE)</f>
        <v>RetailPrime</v>
      </c>
      <c r="C353" s="25" t="s">
        <v>720</v>
      </c>
      <c r="D353" s="11">
        <v>46040</v>
      </c>
      <c r="E353" s="11">
        <v>46070</v>
      </c>
      <c r="F353" s="5">
        <v>5833.8</v>
      </c>
      <c r="G353" s="3">
        <f>0.45*Table9[[#This Row],[InvoiceAmount]]</f>
        <v>2625.21</v>
      </c>
      <c r="H353" s="3">
        <f t="shared" si="15"/>
        <v>3208.59</v>
      </c>
      <c r="I353" s="29">
        <f t="shared" si="16"/>
        <v>21</v>
      </c>
      <c r="J353" s="31" t="str">
        <f t="shared" si="17"/>
        <v>1-30</v>
      </c>
      <c r="K353"/>
    </row>
    <row r="354" spans="1:11" x14ac:dyDescent="0.3">
      <c r="A354" s="20" t="s">
        <v>7</v>
      </c>
      <c r="B354" t="str">
        <f>VLOOKUP(A354,Customers!A:B,2,FALSE)</f>
        <v>BrightCart</v>
      </c>
      <c r="C354" s="24" t="s">
        <v>721</v>
      </c>
      <c r="D354" s="10">
        <v>46101</v>
      </c>
      <c r="E354" s="10">
        <v>46131</v>
      </c>
      <c r="F354" s="4">
        <v>3406.88</v>
      </c>
      <c r="G354" s="3">
        <f>SUMIF(Customer_Payments!B:B,C354,Customer_Payments!E:E)</f>
        <v>3406.88</v>
      </c>
      <c r="H354" s="3">
        <f t="shared" si="15"/>
        <v>0</v>
      </c>
      <c r="I354" s="29">
        <f t="shared" si="16"/>
        <v>-40</v>
      </c>
      <c r="J354" s="31" t="str">
        <f t="shared" si="17"/>
        <v>Current</v>
      </c>
      <c r="K354"/>
    </row>
    <row r="355" spans="1:11" x14ac:dyDescent="0.3">
      <c r="A355" s="21" t="s">
        <v>26</v>
      </c>
      <c r="B355" t="str">
        <f>VLOOKUP(A355,Customers!A:B,2,FALSE)</f>
        <v>NovaRetail</v>
      </c>
      <c r="C355" s="25" t="s">
        <v>722</v>
      </c>
      <c r="D355" s="11">
        <v>45974</v>
      </c>
      <c r="E355" s="11">
        <v>46004</v>
      </c>
      <c r="F355" s="5">
        <v>10259.959999999999</v>
      </c>
      <c r="G355" s="3">
        <f>SUMIF(Customer_Payments!B:B,C355,Customer_Payments!E:E)</f>
        <v>10259.959999999999</v>
      </c>
      <c r="H355" s="3">
        <f t="shared" si="15"/>
        <v>0</v>
      </c>
      <c r="I355" s="29">
        <f t="shared" si="16"/>
        <v>87</v>
      </c>
      <c r="J355" s="31" t="str">
        <f t="shared" si="17"/>
        <v>61-90</v>
      </c>
      <c r="K355"/>
    </row>
    <row r="356" spans="1:11" x14ac:dyDescent="0.3">
      <c r="A356" s="20" t="s">
        <v>88</v>
      </c>
      <c r="B356" t="str">
        <f>VLOOKUP(A356,Customers!A:B,2,FALSE)</f>
        <v>RetailPrimeX</v>
      </c>
      <c r="C356" s="24" t="s">
        <v>723</v>
      </c>
      <c r="D356" s="10">
        <v>46044</v>
      </c>
      <c r="E356" s="10">
        <v>46074</v>
      </c>
      <c r="F356" s="4">
        <v>2662.46</v>
      </c>
      <c r="G356" s="3">
        <f>SUMIF(Customer_Payments!B:B,C356,Customer_Payments!E:E)</f>
        <v>2662.46</v>
      </c>
      <c r="H356" s="3">
        <f t="shared" si="15"/>
        <v>0</v>
      </c>
      <c r="I356" s="29">
        <f t="shared" si="16"/>
        <v>17</v>
      </c>
      <c r="J356" s="31" t="str">
        <f t="shared" si="17"/>
        <v>1-30</v>
      </c>
      <c r="K356"/>
    </row>
    <row r="357" spans="1:11" x14ac:dyDescent="0.3">
      <c r="A357" s="21" t="s">
        <v>7</v>
      </c>
      <c r="B357" t="str">
        <f>VLOOKUP(A357,Customers!A:B,2,FALSE)</f>
        <v>BrightCart</v>
      </c>
      <c r="C357" s="25" t="s">
        <v>724</v>
      </c>
      <c r="D357" s="11">
        <v>46102</v>
      </c>
      <c r="E357" s="11">
        <v>46132</v>
      </c>
      <c r="F357" s="5">
        <v>2112.41</v>
      </c>
      <c r="G357" s="3">
        <f>SUMIF(Customer_Payments!B:B,C357,Customer_Payments!E:E)</f>
        <v>2112.41</v>
      </c>
      <c r="H357" s="3">
        <f t="shared" si="15"/>
        <v>0</v>
      </c>
      <c r="I357" s="29">
        <f t="shared" si="16"/>
        <v>-41</v>
      </c>
      <c r="J357" s="31" t="str">
        <f t="shared" si="17"/>
        <v>Current</v>
      </c>
      <c r="K357"/>
    </row>
    <row r="358" spans="1:11" x14ac:dyDescent="0.3">
      <c r="A358" s="20" t="s">
        <v>42</v>
      </c>
      <c r="B358" t="str">
        <f>VLOOKUP(A358,Customers!A:B,2,FALSE)</f>
        <v>RetailWorks</v>
      </c>
      <c r="C358" s="24" t="s">
        <v>725</v>
      </c>
      <c r="D358" s="10">
        <v>46011</v>
      </c>
      <c r="E358" s="10">
        <v>46041</v>
      </c>
      <c r="F358" s="4">
        <v>3572.3</v>
      </c>
      <c r="G358" s="3">
        <f>SUMIF(Customer_Payments!B:B,C358,Customer_Payments!E:E)</f>
        <v>3572.3</v>
      </c>
      <c r="H358" s="3">
        <f t="shared" si="15"/>
        <v>0</v>
      </c>
      <c r="I358" s="29">
        <f t="shared" si="16"/>
        <v>50</v>
      </c>
      <c r="J358" s="31" t="str">
        <f t="shared" si="17"/>
        <v>31-60</v>
      </c>
      <c r="K358"/>
    </row>
    <row r="359" spans="1:11" x14ac:dyDescent="0.3">
      <c r="A359" s="21" t="s">
        <v>93</v>
      </c>
      <c r="B359" t="str">
        <f>VLOOKUP(A359,Customers!A:B,2,FALSE)</f>
        <v>RetailSphereX</v>
      </c>
      <c r="C359" s="25" t="s">
        <v>726</v>
      </c>
      <c r="D359" s="11">
        <v>45992</v>
      </c>
      <c r="E359" s="11">
        <v>46022</v>
      </c>
      <c r="F359" s="5">
        <v>4168.47</v>
      </c>
      <c r="G359" s="3">
        <f>0.45*Table9[[#This Row],[InvoiceAmount]]</f>
        <v>1875.8115000000003</v>
      </c>
      <c r="H359" s="3">
        <f t="shared" si="15"/>
        <v>2292.6585</v>
      </c>
      <c r="I359" s="29">
        <f t="shared" si="16"/>
        <v>69</v>
      </c>
      <c r="J359" s="31" t="str">
        <f t="shared" si="17"/>
        <v>61-90</v>
      </c>
      <c r="K359"/>
    </row>
    <row r="360" spans="1:11" x14ac:dyDescent="0.3">
      <c r="A360" s="20" t="s">
        <v>74</v>
      </c>
      <c r="B360" t="str">
        <f>VLOOKUP(A360,Customers!A:B,2,FALSE)</f>
        <v>RetailPrime</v>
      </c>
      <c r="C360" s="24" t="s">
        <v>727</v>
      </c>
      <c r="D360" s="10">
        <v>46085</v>
      </c>
      <c r="E360" s="10">
        <v>46115</v>
      </c>
      <c r="F360" s="4">
        <v>13469.6</v>
      </c>
      <c r="G360" s="3">
        <f>0.45*Table9[[#This Row],[InvoiceAmount]]</f>
        <v>6061.3200000000006</v>
      </c>
      <c r="H360" s="3">
        <f t="shared" si="15"/>
        <v>7408.28</v>
      </c>
      <c r="I360" s="29">
        <f t="shared" si="16"/>
        <v>-24</v>
      </c>
      <c r="J360" s="31" t="str">
        <f t="shared" si="17"/>
        <v>Current</v>
      </c>
      <c r="K360"/>
    </row>
    <row r="361" spans="1:11" x14ac:dyDescent="0.3">
      <c r="A361" s="21" t="s">
        <v>52</v>
      </c>
      <c r="B361" t="str">
        <f>VLOOKUP(A361,Customers!A:B,2,FALSE)</f>
        <v>RetailShift</v>
      </c>
      <c r="C361" s="25" t="s">
        <v>728</v>
      </c>
      <c r="D361" s="11">
        <v>46057</v>
      </c>
      <c r="E361" s="11">
        <v>46087</v>
      </c>
      <c r="F361" s="5">
        <v>4481.9399999999996</v>
      </c>
      <c r="G361" s="3">
        <f>SUMIF(Customer_Payments!B:B,C361,Customer_Payments!E:E)</f>
        <v>4481.9399999999996</v>
      </c>
      <c r="H361" s="3">
        <f t="shared" si="15"/>
        <v>0</v>
      </c>
      <c r="I361" s="29">
        <f t="shared" si="16"/>
        <v>4</v>
      </c>
      <c r="J361" s="31" t="str">
        <f t="shared" si="17"/>
        <v>1-30</v>
      </c>
      <c r="K361"/>
    </row>
    <row r="362" spans="1:11" x14ac:dyDescent="0.3">
      <c r="A362" s="20" t="s">
        <v>65</v>
      </c>
      <c r="B362" t="str">
        <f>VLOOKUP(A362,Customers!A:B,2,FALSE)</f>
        <v>RetailFlow</v>
      </c>
      <c r="C362" s="24" t="s">
        <v>729</v>
      </c>
      <c r="D362" s="10">
        <v>46112</v>
      </c>
      <c r="E362" s="10">
        <v>46142</v>
      </c>
      <c r="F362" s="4">
        <v>2794.94</v>
      </c>
      <c r="G362" s="3">
        <f>0.45*Table9[[#This Row],[InvoiceAmount]]</f>
        <v>1257.723</v>
      </c>
      <c r="H362" s="3">
        <f t="shared" si="15"/>
        <v>1537.2170000000001</v>
      </c>
      <c r="I362" s="29">
        <f t="shared" si="16"/>
        <v>-51</v>
      </c>
      <c r="J362" s="31" t="str">
        <f t="shared" si="17"/>
        <v>Current</v>
      </c>
      <c r="K362"/>
    </row>
    <row r="363" spans="1:11" x14ac:dyDescent="0.3">
      <c r="A363" s="21" t="s">
        <v>112</v>
      </c>
      <c r="B363" t="str">
        <f>VLOOKUP(A363,Customers!A:B,2,FALSE)</f>
        <v>RetailBridgePro</v>
      </c>
      <c r="C363" s="25" t="s">
        <v>730</v>
      </c>
      <c r="D363" s="11">
        <v>46046</v>
      </c>
      <c r="E363" s="11">
        <v>46076</v>
      </c>
      <c r="F363" s="5">
        <v>3140.49</v>
      </c>
      <c r="G363" s="3">
        <f>SUMIF(Customer_Payments!B:B,C363,Customer_Payments!E:E)</f>
        <v>3140.49</v>
      </c>
      <c r="H363" s="3">
        <f t="shared" si="15"/>
        <v>0</v>
      </c>
      <c r="I363" s="29">
        <f t="shared" si="16"/>
        <v>15</v>
      </c>
      <c r="J363" s="31" t="str">
        <f t="shared" si="17"/>
        <v>1-30</v>
      </c>
      <c r="K363"/>
    </row>
    <row r="364" spans="1:11" x14ac:dyDescent="0.3">
      <c r="A364" s="20" t="s">
        <v>18</v>
      </c>
      <c r="B364" t="str">
        <f>VLOOKUP(A364,Customers!A:B,2,FALSE)</f>
        <v>BluePeak Systems</v>
      </c>
      <c r="C364" s="24" t="s">
        <v>731</v>
      </c>
      <c r="D364" s="10">
        <v>46110</v>
      </c>
      <c r="E364" s="10">
        <v>46140</v>
      </c>
      <c r="F364" s="4">
        <v>3184.48</v>
      </c>
      <c r="G364" s="3">
        <f>0.45*Table9[[#This Row],[InvoiceAmount]]</f>
        <v>1433.0160000000001</v>
      </c>
      <c r="H364" s="3">
        <f t="shared" si="15"/>
        <v>1751.4639999999999</v>
      </c>
      <c r="I364" s="29">
        <f t="shared" si="16"/>
        <v>-49</v>
      </c>
      <c r="J364" s="31" t="str">
        <f t="shared" si="17"/>
        <v>Current</v>
      </c>
      <c r="K364"/>
    </row>
    <row r="365" spans="1:11" x14ac:dyDescent="0.3">
      <c r="A365" s="21" t="s">
        <v>8</v>
      </c>
      <c r="B365" t="str">
        <f>VLOOKUP(A365,Customers!A:B,2,FALSE)</f>
        <v>NexaSoft</v>
      </c>
      <c r="C365" s="25" t="s">
        <v>732</v>
      </c>
      <c r="D365" s="11">
        <v>46073</v>
      </c>
      <c r="E365" s="11">
        <v>46103</v>
      </c>
      <c r="F365" s="5">
        <v>11420.47</v>
      </c>
      <c r="G365" s="3">
        <f>SUMIF(Customer_Payments!B:B,C365,Customer_Payments!E:E)</f>
        <v>11420.47</v>
      </c>
      <c r="H365" s="3">
        <f t="shared" si="15"/>
        <v>0</v>
      </c>
      <c r="I365" s="29">
        <f t="shared" si="16"/>
        <v>-12</v>
      </c>
      <c r="J365" s="31" t="str">
        <f t="shared" si="17"/>
        <v>Current</v>
      </c>
      <c r="K365"/>
    </row>
    <row r="366" spans="1:11" x14ac:dyDescent="0.3">
      <c r="A366" s="20" t="s">
        <v>49</v>
      </c>
      <c r="B366" t="str">
        <f>VLOOKUP(A366,Customers!A:B,2,FALSE)</f>
        <v>CommercePilot</v>
      </c>
      <c r="C366" s="24" t="s">
        <v>733</v>
      </c>
      <c r="D366" s="10">
        <v>46035</v>
      </c>
      <c r="E366" s="10">
        <v>46065</v>
      </c>
      <c r="F366" s="4">
        <v>1563.4</v>
      </c>
      <c r="G366" s="3">
        <f>SUMIF(Customer_Payments!B:B,C366,Customer_Payments!E:E)</f>
        <v>1563.4</v>
      </c>
      <c r="H366" s="3">
        <f t="shared" si="15"/>
        <v>0</v>
      </c>
      <c r="I366" s="29">
        <f t="shared" si="16"/>
        <v>26</v>
      </c>
      <c r="J366" s="31" t="str">
        <f t="shared" si="17"/>
        <v>1-30</v>
      </c>
      <c r="K366"/>
    </row>
    <row r="367" spans="1:11" x14ac:dyDescent="0.3">
      <c r="A367" s="21" t="s">
        <v>36</v>
      </c>
      <c r="B367" t="str">
        <f>VLOOKUP(A367,Customers!A:B,2,FALSE)</f>
        <v>RapidMarket</v>
      </c>
      <c r="C367" s="25" t="s">
        <v>734</v>
      </c>
      <c r="D367" s="11">
        <v>46089</v>
      </c>
      <c r="E367" s="11">
        <v>46119</v>
      </c>
      <c r="F367" s="5">
        <v>4168.26</v>
      </c>
      <c r="G367" s="3">
        <f>0.45*Table9[[#This Row],[InvoiceAmount]]</f>
        <v>1875.7170000000001</v>
      </c>
      <c r="H367" s="3">
        <f t="shared" si="15"/>
        <v>2292.5430000000001</v>
      </c>
      <c r="I367" s="29">
        <f t="shared" si="16"/>
        <v>-28</v>
      </c>
      <c r="J367" s="31" t="str">
        <f t="shared" si="17"/>
        <v>Current</v>
      </c>
      <c r="K367"/>
    </row>
    <row r="368" spans="1:11" x14ac:dyDescent="0.3">
      <c r="A368" s="20" t="s">
        <v>12</v>
      </c>
      <c r="B368" t="str">
        <f>VLOOKUP(A368,Customers!A:B,2,FALSE)</f>
        <v>ShopOrbit</v>
      </c>
      <c r="C368" s="24" t="s">
        <v>735</v>
      </c>
      <c r="D368" s="10">
        <v>46029</v>
      </c>
      <c r="E368" s="10">
        <v>46059</v>
      </c>
      <c r="F368" s="4">
        <v>5802.55</v>
      </c>
      <c r="G368" s="3">
        <f>SUMIF(Customer_Payments!B:B,C368,Customer_Payments!E:E)</f>
        <v>5802.55</v>
      </c>
      <c r="H368" s="3">
        <f t="shared" si="15"/>
        <v>0</v>
      </c>
      <c r="I368" s="29">
        <f t="shared" si="16"/>
        <v>32</v>
      </c>
      <c r="J368" s="31" t="str">
        <f t="shared" si="17"/>
        <v>31-60</v>
      </c>
      <c r="K368"/>
    </row>
    <row r="369" spans="1:11" x14ac:dyDescent="0.3">
      <c r="A369" s="21" t="s">
        <v>11</v>
      </c>
      <c r="B369" t="str">
        <f>VLOOKUP(A369,Customers!A:B,2,FALSE)</f>
        <v>DataHive</v>
      </c>
      <c r="C369" s="25" t="s">
        <v>736</v>
      </c>
      <c r="D369" s="11">
        <v>46040</v>
      </c>
      <c r="E369" s="11">
        <v>46070</v>
      </c>
      <c r="F369" s="5">
        <v>3221.31</v>
      </c>
      <c r="G369" s="3">
        <f>SUMIF(Customer_Payments!B:B,C369,Customer_Payments!E:E)</f>
        <v>3221.31</v>
      </c>
      <c r="H369" s="3">
        <f t="shared" si="15"/>
        <v>0</v>
      </c>
      <c r="I369" s="29">
        <f t="shared" si="16"/>
        <v>21</v>
      </c>
      <c r="J369" s="31" t="str">
        <f t="shared" si="17"/>
        <v>1-30</v>
      </c>
      <c r="K369"/>
    </row>
    <row r="370" spans="1:11" x14ac:dyDescent="0.3">
      <c r="A370" s="20" t="s">
        <v>82</v>
      </c>
      <c r="B370" t="str">
        <f>VLOOKUP(A370,Customers!A:B,2,FALSE)</f>
        <v>RetailNovaX</v>
      </c>
      <c r="C370" s="24" t="s">
        <v>737</v>
      </c>
      <c r="D370" s="10">
        <v>46010</v>
      </c>
      <c r="E370" s="10">
        <v>46040</v>
      </c>
      <c r="F370" s="4">
        <v>5857.53</v>
      </c>
      <c r="G370" s="3">
        <f>0.45*Table9[[#This Row],[InvoiceAmount]]</f>
        <v>2635.8885</v>
      </c>
      <c r="H370" s="3">
        <f t="shared" si="15"/>
        <v>3221.6414999999997</v>
      </c>
      <c r="I370" s="29">
        <f t="shared" si="16"/>
        <v>51</v>
      </c>
      <c r="J370" s="31" t="str">
        <f t="shared" si="17"/>
        <v>31-60</v>
      </c>
      <c r="K370"/>
    </row>
    <row r="371" spans="1:11" x14ac:dyDescent="0.3">
      <c r="A371" s="21" t="s">
        <v>45</v>
      </c>
      <c r="B371" t="str">
        <f>VLOOKUP(A371,Customers!A:B,2,FALSE)</f>
        <v>EdgeRetail</v>
      </c>
      <c r="C371" s="25" t="s">
        <v>738</v>
      </c>
      <c r="D371" s="11">
        <v>46066</v>
      </c>
      <c r="E371" s="11">
        <v>46096</v>
      </c>
      <c r="F371" s="5">
        <v>5504.51</v>
      </c>
      <c r="G371" s="3">
        <f>0.45*Table9[[#This Row],[InvoiceAmount]]</f>
        <v>2477.0295000000001</v>
      </c>
      <c r="H371" s="3">
        <f t="shared" si="15"/>
        <v>3027.4805000000001</v>
      </c>
      <c r="I371" s="29">
        <f t="shared" si="16"/>
        <v>-5</v>
      </c>
      <c r="J371" s="31" t="str">
        <f t="shared" si="17"/>
        <v>Current</v>
      </c>
      <c r="K371"/>
    </row>
    <row r="372" spans="1:11" x14ac:dyDescent="0.3">
      <c r="A372" s="20" t="s">
        <v>76</v>
      </c>
      <c r="B372" t="str">
        <f>VLOOKUP(A372,Customers!A:B,2,FALSE)</f>
        <v>RetailSphere</v>
      </c>
      <c r="C372" s="24" t="s">
        <v>739</v>
      </c>
      <c r="D372" s="10">
        <v>46033</v>
      </c>
      <c r="E372" s="10">
        <v>46063</v>
      </c>
      <c r="F372" s="4">
        <v>5127.92</v>
      </c>
      <c r="G372" s="3">
        <f>SUMIF(Customer_Payments!B:B,C372,Customer_Payments!E:E)</f>
        <v>5127.92</v>
      </c>
      <c r="H372" s="3">
        <f t="shared" si="15"/>
        <v>0</v>
      </c>
      <c r="I372" s="29">
        <f t="shared" si="16"/>
        <v>28</v>
      </c>
      <c r="J372" s="31" t="str">
        <f t="shared" si="17"/>
        <v>1-30</v>
      </c>
      <c r="K372"/>
    </row>
    <row r="373" spans="1:11" x14ac:dyDescent="0.3">
      <c r="A373" s="21" t="s">
        <v>95</v>
      </c>
      <c r="B373" t="str">
        <f>VLOOKUP(A373,Customers!A:B,2,FALSE)</f>
        <v>RetailScaleX</v>
      </c>
      <c r="C373" s="25" t="s">
        <v>740</v>
      </c>
      <c r="D373" s="11">
        <v>46080</v>
      </c>
      <c r="E373" s="11">
        <v>46110</v>
      </c>
      <c r="F373" s="5">
        <v>2383.85</v>
      </c>
      <c r="G373" s="3">
        <f>0.45*Table9[[#This Row],[InvoiceAmount]]</f>
        <v>1072.7325000000001</v>
      </c>
      <c r="H373" s="3">
        <f t="shared" si="15"/>
        <v>1311.1174999999998</v>
      </c>
      <c r="I373" s="29">
        <f t="shared" si="16"/>
        <v>-19</v>
      </c>
      <c r="J373" s="31" t="str">
        <f t="shared" si="17"/>
        <v>Current</v>
      </c>
      <c r="K373"/>
    </row>
    <row r="374" spans="1:11" x14ac:dyDescent="0.3">
      <c r="A374" s="20" t="s">
        <v>62</v>
      </c>
      <c r="B374" t="str">
        <f>VLOOKUP(A374,Customers!A:B,2,FALSE)</f>
        <v>MarketNova</v>
      </c>
      <c r="C374" s="24" t="s">
        <v>741</v>
      </c>
      <c r="D374" s="10">
        <v>46027</v>
      </c>
      <c r="E374" s="10">
        <v>46057</v>
      </c>
      <c r="F374" s="4">
        <v>1496.47</v>
      </c>
      <c r="G374" s="3">
        <f>SUMIF(Customer_Payments!B:B,C374,Customer_Payments!E:E)</f>
        <v>1496.47</v>
      </c>
      <c r="H374" s="3">
        <f t="shared" si="15"/>
        <v>0</v>
      </c>
      <c r="I374" s="29">
        <f t="shared" si="16"/>
        <v>34</v>
      </c>
      <c r="J374" s="31" t="str">
        <f t="shared" si="17"/>
        <v>31-60</v>
      </c>
      <c r="K374"/>
    </row>
    <row r="375" spans="1:11" x14ac:dyDescent="0.3">
      <c r="A375" s="21" t="s">
        <v>83</v>
      </c>
      <c r="B375" t="str">
        <f>VLOOKUP(A375,Customers!A:B,2,FALSE)</f>
        <v>RetailCoreX</v>
      </c>
      <c r="C375" s="25" t="s">
        <v>742</v>
      </c>
      <c r="D375" s="11">
        <v>45978</v>
      </c>
      <c r="E375" s="11">
        <v>46008</v>
      </c>
      <c r="F375" s="5">
        <v>5677.35</v>
      </c>
      <c r="G375" s="3">
        <f>0.45*Table9[[#This Row],[InvoiceAmount]]</f>
        <v>2554.8075000000003</v>
      </c>
      <c r="H375" s="3">
        <f t="shared" si="15"/>
        <v>3122.5425</v>
      </c>
      <c r="I375" s="29">
        <f t="shared" si="16"/>
        <v>83</v>
      </c>
      <c r="J375" s="31" t="str">
        <f t="shared" si="17"/>
        <v>61-90</v>
      </c>
      <c r="K375"/>
    </row>
    <row r="376" spans="1:11" x14ac:dyDescent="0.3">
      <c r="A376" s="20" t="s">
        <v>107</v>
      </c>
      <c r="B376" t="str">
        <f>VLOOKUP(A376,Customers!A:B,2,FALSE)</f>
        <v>RetailWorksPro</v>
      </c>
      <c r="C376" s="24" t="s">
        <v>743</v>
      </c>
      <c r="D376" s="10">
        <v>46016</v>
      </c>
      <c r="E376" s="10">
        <v>46046</v>
      </c>
      <c r="F376" s="4">
        <v>14250.82</v>
      </c>
      <c r="G376" s="3">
        <f>SUMIF(Customer_Payments!B:B,C376,Customer_Payments!E:E)</f>
        <v>14250.82</v>
      </c>
      <c r="H376" s="3">
        <f t="shared" si="15"/>
        <v>0</v>
      </c>
      <c r="I376" s="29">
        <f t="shared" si="16"/>
        <v>45</v>
      </c>
      <c r="J376" s="31" t="str">
        <f t="shared" si="17"/>
        <v>31-60</v>
      </c>
      <c r="K376"/>
    </row>
    <row r="377" spans="1:11" x14ac:dyDescent="0.3">
      <c r="A377" s="21" t="s">
        <v>62</v>
      </c>
      <c r="B377" t="str">
        <f>VLOOKUP(A377,Customers!A:B,2,FALSE)</f>
        <v>MarketNova</v>
      </c>
      <c r="C377" s="25" t="s">
        <v>744</v>
      </c>
      <c r="D377" s="11">
        <v>45965</v>
      </c>
      <c r="E377" s="11">
        <v>45995</v>
      </c>
      <c r="F377" s="5">
        <v>11954.9</v>
      </c>
      <c r="G377" s="3">
        <f>0.45*Table9[[#This Row],[InvoiceAmount]]</f>
        <v>5379.7049999999999</v>
      </c>
      <c r="H377" s="3">
        <f t="shared" si="15"/>
        <v>6575.1949999999997</v>
      </c>
      <c r="I377" s="29">
        <f t="shared" si="16"/>
        <v>96</v>
      </c>
      <c r="J377" s="31" t="str">
        <f t="shared" si="17"/>
        <v>90+</v>
      </c>
      <c r="K377"/>
    </row>
    <row r="378" spans="1:11" x14ac:dyDescent="0.3">
      <c r="A378" s="20" t="s">
        <v>86</v>
      </c>
      <c r="B378" t="str">
        <f>VLOOKUP(A378,Customers!A:B,2,FALSE)</f>
        <v>RetailNextX</v>
      </c>
      <c r="C378" s="24" t="s">
        <v>745</v>
      </c>
      <c r="D378" s="10">
        <v>45981</v>
      </c>
      <c r="E378" s="10">
        <v>46011</v>
      </c>
      <c r="F378" s="4">
        <v>5359.39</v>
      </c>
      <c r="G378" s="3">
        <f>SUMIF(Customer_Payments!B:B,C378,Customer_Payments!E:E)</f>
        <v>5359.39</v>
      </c>
      <c r="H378" s="3">
        <f t="shared" si="15"/>
        <v>0</v>
      </c>
      <c r="I378" s="29">
        <f t="shared" si="16"/>
        <v>80</v>
      </c>
      <c r="J378" s="31" t="str">
        <f t="shared" si="17"/>
        <v>61-90</v>
      </c>
      <c r="K378"/>
    </row>
    <row r="379" spans="1:11" x14ac:dyDescent="0.3">
      <c r="A379" s="21" t="s">
        <v>26</v>
      </c>
      <c r="B379" t="str">
        <f>VLOOKUP(A379,Customers!A:B,2,FALSE)</f>
        <v>NovaRetail</v>
      </c>
      <c r="C379" s="25" t="s">
        <v>746</v>
      </c>
      <c r="D379" s="11">
        <v>46087</v>
      </c>
      <c r="E379" s="11">
        <v>46117</v>
      </c>
      <c r="F379" s="5">
        <v>2798.06</v>
      </c>
      <c r="G379" s="3">
        <f>SUMIF(Customer_Payments!B:B,C379,Customer_Payments!E:E)</f>
        <v>2798.06</v>
      </c>
      <c r="H379" s="3">
        <f t="shared" si="15"/>
        <v>0</v>
      </c>
      <c r="I379" s="29">
        <f t="shared" si="16"/>
        <v>-26</v>
      </c>
      <c r="J379" s="31" t="str">
        <f t="shared" si="17"/>
        <v>Current</v>
      </c>
      <c r="K379"/>
    </row>
    <row r="380" spans="1:11" x14ac:dyDescent="0.3">
      <c r="A380" s="20" t="s">
        <v>47</v>
      </c>
      <c r="B380" t="str">
        <f>VLOOKUP(A380,Customers!A:B,2,FALSE)</f>
        <v>SmartRetail</v>
      </c>
      <c r="C380" s="24" t="s">
        <v>747</v>
      </c>
      <c r="D380" s="10">
        <v>46022</v>
      </c>
      <c r="E380" s="10">
        <v>46052</v>
      </c>
      <c r="F380" s="4">
        <v>13016.05</v>
      </c>
      <c r="G380" s="3">
        <f>SUMIF(Customer_Payments!B:B,C380,Customer_Payments!E:E)</f>
        <v>13016.05</v>
      </c>
      <c r="H380" s="3">
        <f t="shared" si="15"/>
        <v>0</v>
      </c>
      <c r="I380" s="29">
        <f t="shared" si="16"/>
        <v>39</v>
      </c>
      <c r="J380" s="31" t="str">
        <f t="shared" si="17"/>
        <v>31-60</v>
      </c>
      <c r="K380"/>
    </row>
    <row r="381" spans="1:11" x14ac:dyDescent="0.3">
      <c r="A381" s="21" t="s">
        <v>104</v>
      </c>
      <c r="B381" t="str">
        <f>VLOOKUP(A381,Customers!A:B,2,FALSE)</f>
        <v>RetailCorePro</v>
      </c>
      <c r="C381" s="25" t="s">
        <v>748</v>
      </c>
      <c r="D381" s="11">
        <v>46004</v>
      </c>
      <c r="E381" s="11">
        <v>46034</v>
      </c>
      <c r="F381" s="5">
        <v>2106.5500000000002</v>
      </c>
      <c r="G381" s="3">
        <f>SUMIF(Customer_Payments!B:B,C381,Customer_Payments!E:E)</f>
        <v>2106.5500000000002</v>
      </c>
      <c r="H381" s="3">
        <f t="shared" si="15"/>
        <v>0</v>
      </c>
      <c r="I381" s="29">
        <f t="shared" si="16"/>
        <v>57</v>
      </c>
      <c r="J381" s="31" t="str">
        <f t="shared" si="17"/>
        <v>31-60</v>
      </c>
      <c r="K381"/>
    </row>
    <row r="382" spans="1:11" x14ac:dyDescent="0.3">
      <c r="A382" s="20" t="s">
        <v>78</v>
      </c>
      <c r="B382" t="str">
        <f>VLOOKUP(A382,Customers!A:B,2,FALSE)</f>
        <v>RetailOrbitX</v>
      </c>
      <c r="C382" s="24" t="s">
        <v>749</v>
      </c>
      <c r="D382" s="10">
        <v>46052</v>
      </c>
      <c r="E382" s="10">
        <v>46082</v>
      </c>
      <c r="F382" s="4">
        <v>2102.23</v>
      </c>
      <c r="G382" s="3">
        <f>SUMIF(Customer_Payments!B:B,C382,Customer_Payments!E:E)</f>
        <v>2102.23</v>
      </c>
      <c r="H382" s="3">
        <f t="shared" si="15"/>
        <v>0</v>
      </c>
      <c r="I382" s="29">
        <f t="shared" si="16"/>
        <v>9</v>
      </c>
      <c r="J382" s="31" t="str">
        <f t="shared" si="17"/>
        <v>1-30</v>
      </c>
      <c r="K382"/>
    </row>
    <row r="383" spans="1:11" x14ac:dyDescent="0.3">
      <c r="A383" s="21" t="s">
        <v>77</v>
      </c>
      <c r="B383" t="str">
        <f>VLOOKUP(A383,Customers!A:B,2,FALSE)</f>
        <v>RetailBridge</v>
      </c>
      <c r="C383" s="25" t="s">
        <v>750</v>
      </c>
      <c r="D383" s="11">
        <v>45962</v>
      </c>
      <c r="E383" s="11">
        <v>45992</v>
      </c>
      <c r="F383" s="5">
        <v>3517.42</v>
      </c>
      <c r="G383" s="3">
        <f>SUMIF(Customer_Payments!B:B,C383,Customer_Payments!E:E)</f>
        <v>3517.42</v>
      </c>
      <c r="H383" s="3">
        <f t="shared" si="15"/>
        <v>0</v>
      </c>
      <c r="I383" s="29">
        <f t="shared" si="16"/>
        <v>99</v>
      </c>
      <c r="J383" s="31" t="str">
        <f t="shared" si="17"/>
        <v>90+</v>
      </c>
      <c r="K383"/>
    </row>
    <row r="384" spans="1:11" x14ac:dyDescent="0.3">
      <c r="A384" s="20" t="s">
        <v>8</v>
      </c>
      <c r="B384" t="str">
        <f>VLOOKUP(A384,Customers!A:B,2,FALSE)</f>
        <v>NexaSoft</v>
      </c>
      <c r="C384" s="24" t="s">
        <v>751</v>
      </c>
      <c r="D384" s="10">
        <v>46015</v>
      </c>
      <c r="E384" s="10">
        <v>46045</v>
      </c>
      <c r="F384" s="4">
        <v>3116.31</v>
      </c>
      <c r="G384" s="3">
        <f>0.45*Table9[[#This Row],[InvoiceAmount]]</f>
        <v>1402.3395</v>
      </c>
      <c r="H384" s="3">
        <f t="shared" si="15"/>
        <v>1713.9704999999999</v>
      </c>
      <c r="I384" s="29">
        <f t="shared" si="16"/>
        <v>46</v>
      </c>
      <c r="J384" s="31" t="str">
        <f t="shared" si="17"/>
        <v>31-60</v>
      </c>
      <c r="K384"/>
    </row>
    <row r="385" spans="1:11" x14ac:dyDescent="0.3">
      <c r="A385" s="21" t="s">
        <v>78</v>
      </c>
      <c r="B385" t="str">
        <f>VLOOKUP(A385,Customers!A:B,2,FALSE)</f>
        <v>RetailOrbitX</v>
      </c>
      <c r="C385" s="25" t="s">
        <v>752</v>
      </c>
      <c r="D385" s="11">
        <v>46037</v>
      </c>
      <c r="E385" s="11">
        <v>46067</v>
      </c>
      <c r="F385" s="5">
        <v>2413.81</v>
      </c>
      <c r="G385" s="3">
        <f>SUMIF(Customer_Payments!B:B,C385,Customer_Payments!E:E)</f>
        <v>2413.81</v>
      </c>
      <c r="H385" s="3">
        <f t="shared" si="15"/>
        <v>0</v>
      </c>
      <c r="I385" s="29">
        <f t="shared" si="16"/>
        <v>24</v>
      </c>
      <c r="J385" s="31" t="str">
        <f t="shared" si="17"/>
        <v>1-30</v>
      </c>
      <c r="K385"/>
    </row>
    <row r="386" spans="1:11" x14ac:dyDescent="0.3">
      <c r="A386" s="20" t="s">
        <v>24</v>
      </c>
      <c r="B386" t="str">
        <f>VLOOKUP(A386,Customers!A:B,2,FALSE)</f>
        <v>OmniTrade</v>
      </c>
      <c r="C386" s="24" t="s">
        <v>753</v>
      </c>
      <c r="D386" s="10">
        <v>46066</v>
      </c>
      <c r="E386" s="10">
        <v>46096</v>
      </c>
      <c r="F386" s="4">
        <v>5143.92</v>
      </c>
      <c r="G386" s="3">
        <f>SUMIF(Customer_Payments!B:B,C386,Customer_Payments!E:E)</f>
        <v>5143.92</v>
      </c>
      <c r="H386" s="3">
        <f t="shared" ref="H386:H449" si="18">MAX(F386-G386,0)</f>
        <v>0</v>
      </c>
      <c r="I386" s="29">
        <f t="shared" ref="I386:I449" si="19">$L$2-E386</f>
        <v>-5</v>
      </c>
      <c r="J386" s="31" t="str">
        <f t="shared" si="17"/>
        <v>Current</v>
      </c>
      <c r="K386"/>
    </row>
    <row r="387" spans="1:11" x14ac:dyDescent="0.3">
      <c r="A387" s="21" t="s">
        <v>62</v>
      </c>
      <c r="B387" t="str">
        <f>VLOOKUP(A387,Customers!A:B,2,FALSE)</f>
        <v>MarketNova</v>
      </c>
      <c r="C387" s="25" t="s">
        <v>754</v>
      </c>
      <c r="D387" s="11">
        <v>46110</v>
      </c>
      <c r="E387" s="11">
        <v>46140</v>
      </c>
      <c r="F387" s="5">
        <v>2301.13</v>
      </c>
      <c r="G387" s="3">
        <f>SUMIF(Customer_Payments!B:B,C387,Customer_Payments!E:E)</f>
        <v>2301.13</v>
      </c>
      <c r="H387" s="3">
        <f t="shared" si="18"/>
        <v>0</v>
      </c>
      <c r="I387" s="29">
        <f t="shared" si="19"/>
        <v>-49</v>
      </c>
      <c r="J387" s="31" t="str">
        <f t="shared" ref="J387:J450" si="20">IF(I387&lt;=0,"Current",
IF(I387&lt;=30,"1-30",
IF(I387&lt;=60,"31-60",
IF(I387&lt;=90,"61-90","90+"))))</f>
        <v>Current</v>
      </c>
      <c r="K387"/>
    </row>
    <row r="388" spans="1:11" x14ac:dyDescent="0.3">
      <c r="A388" s="20" t="s">
        <v>38</v>
      </c>
      <c r="B388" t="str">
        <f>VLOOKUP(A388,Customers!A:B,2,FALSE)</f>
        <v>RetailForge</v>
      </c>
      <c r="C388" s="24" t="s">
        <v>755</v>
      </c>
      <c r="D388" s="10">
        <v>46101</v>
      </c>
      <c r="E388" s="10">
        <v>46131</v>
      </c>
      <c r="F388" s="4">
        <v>2421.1</v>
      </c>
      <c r="G388" s="3">
        <f>SUMIF(Customer_Payments!B:B,C388,Customer_Payments!E:E)</f>
        <v>2421.1</v>
      </c>
      <c r="H388" s="3">
        <f t="shared" si="18"/>
        <v>0</v>
      </c>
      <c r="I388" s="29">
        <f t="shared" si="19"/>
        <v>-40</v>
      </c>
      <c r="J388" s="31" t="str">
        <f t="shared" si="20"/>
        <v>Current</v>
      </c>
      <c r="K388"/>
    </row>
    <row r="389" spans="1:11" x14ac:dyDescent="0.3">
      <c r="A389" s="21" t="s">
        <v>20</v>
      </c>
      <c r="B389" t="str">
        <f>VLOOKUP(A389,Customers!A:B,2,FALSE)</f>
        <v>GrowthSphere</v>
      </c>
      <c r="C389" s="25" t="s">
        <v>756</v>
      </c>
      <c r="D389" s="11">
        <v>45983</v>
      </c>
      <c r="E389" s="11">
        <v>46013</v>
      </c>
      <c r="F389" s="5">
        <v>1890.02</v>
      </c>
      <c r="G389" s="3">
        <f>SUMIF(Customer_Payments!B:B,C389,Customer_Payments!E:E)</f>
        <v>1890.02</v>
      </c>
      <c r="H389" s="3">
        <f t="shared" si="18"/>
        <v>0</v>
      </c>
      <c r="I389" s="29">
        <f t="shared" si="19"/>
        <v>78</v>
      </c>
      <c r="J389" s="31" t="str">
        <f t="shared" si="20"/>
        <v>61-90</v>
      </c>
      <c r="K389"/>
    </row>
    <row r="390" spans="1:11" x14ac:dyDescent="0.3">
      <c r="A390" s="20" t="s">
        <v>55</v>
      </c>
      <c r="B390" t="str">
        <f>VLOOKUP(A390,Customers!A:B,2,FALSE)</f>
        <v>CommerceLabs</v>
      </c>
      <c r="C390" s="24" t="s">
        <v>757</v>
      </c>
      <c r="D390" s="10">
        <v>46080</v>
      </c>
      <c r="E390" s="10">
        <v>46110</v>
      </c>
      <c r="F390" s="4">
        <v>4609.32</v>
      </c>
      <c r="G390" s="3">
        <f>0.45*Table9[[#This Row],[InvoiceAmount]]</f>
        <v>2074.194</v>
      </c>
      <c r="H390" s="3">
        <f t="shared" si="18"/>
        <v>2535.1259999999997</v>
      </c>
      <c r="I390" s="29">
        <f t="shared" si="19"/>
        <v>-19</v>
      </c>
      <c r="J390" s="31" t="str">
        <f t="shared" si="20"/>
        <v>Current</v>
      </c>
      <c r="K390"/>
    </row>
    <row r="391" spans="1:11" x14ac:dyDescent="0.3">
      <c r="A391" s="21" t="s">
        <v>24</v>
      </c>
      <c r="B391" t="str">
        <f>VLOOKUP(A391,Customers!A:B,2,FALSE)</f>
        <v>OmniTrade</v>
      </c>
      <c r="C391" s="25" t="s">
        <v>758</v>
      </c>
      <c r="D391" s="11">
        <v>45988</v>
      </c>
      <c r="E391" s="11">
        <v>46018</v>
      </c>
      <c r="F391" s="5">
        <v>2440.2199999999998</v>
      </c>
      <c r="G391" s="3">
        <f>0.45*Table9[[#This Row],[InvoiceAmount]]</f>
        <v>1098.0989999999999</v>
      </c>
      <c r="H391" s="3">
        <f t="shared" si="18"/>
        <v>1342.1209999999999</v>
      </c>
      <c r="I391" s="29">
        <f t="shared" si="19"/>
        <v>73</v>
      </c>
      <c r="J391" s="31" t="str">
        <f t="shared" si="20"/>
        <v>61-90</v>
      </c>
      <c r="K391"/>
    </row>
    <row r="392" spans="1:11" x14ac:dyDescent="0.3">
      <c r="A392" s="20" t="s">
        <v>29</v>
      </c>
      <c r="B392" t="str">
        <f>VLOOKUP(A392,Customers!A:B,2,FALSE)</f>
        <v>DigitalBridge</v>
      </c>
      <c r="C392" s="24" t="s">
        <v>759</v>
      </c>
      <c r="D392" s="10">
        <v>46009</v>
      </c>
      <c r="E392" s="10">
        <v>46039</v>
      </c>
      <c r="F392" s="4">
        <v>2320.67</v>
      </c>
      <c r="G392" s="3">
        <f>SUMIF(Customer_Payments!B:B,C392,Customer_Payments!E:E)</f>
        <v>2320.67</v>
      </c>
      <c r="H392" s="3">
        <f t="shared" si="18"/>
        <v>0</v>
      </c>
      <c r="I392" s="29">
        <f t="shared" si="19"/>
        <v>52</v>
      </c>
      <c r="J392" s="31" t="str">
        <f t="shared" si="20"/>
        <v>31-60</v>
      </c>
      <c r="K392"/>
    </row>
    <row r="393" spans="1:11" x14ac:dyDescent="0.3">
      <c r="A393" s="21" t="s">
        <v>69</v>
      </c>
      <c r="B393" t="str">
        <f>VLOOKUP(A393,Customers!A:B,2,FALSE)</f>
        <v>RetailNext</v>
      </c>
      <c r="C393" s="25" t="s">
        <v>760</v>
      </c>
      <c r="D393" s="11">
        <v>46026</v>
      </c>
      <c r="E393" s="11">
        <v>46056</v>
      </c>
      <c r="F393" s="5">
        <v>14249.88</v>
      </c>
      <c r="G393" s="3">
        <f>SUMIF(Customer_Payments!B:B,C393,Customer_Payments!E:E)</f>
        <v>14249.88</v>
      </c>
      <c r="H393" s="3">
        <f t="shared" si="18"/>
        <v>0</v>
      </c>
      <c r="I393" s="29">
        <f t="shared" si="19"/>
        <v>35</v>
      </c>
      <c r="J393" s="31" t="str">
        <f t="shared" si="20"/>
        <v>31-60</v>
      </c>
      <c r="K393"/>
    </row>
    <row r="394" spans="1:11" x14ac:dyDescent="0.3">
      <c r="A394" s="20" t="s">
        <v>107</v>
      </c>
      <c r="B394" t="str">
        <f>VLOOKUP(A394,Customers!A:B,2,FALSE)</f>
        <v>RetailWorksPro</v>
      </c>
      <c r="C394" s="24" t="s">
        <v>761</v>
      </c>
      <c r="D394" s="10">
        <v>46025</v>
      </c>
      <c r="E394" s="10">
        <v>46055</v>
      </c>
      <c r="F394" s="4">
        <v>3894.76</v>
      </c>
      <c r="G394" s="3">
        <f>SUMIF(Customer_Payments!B:B,C394,Customer_Payments!E:E)</f>
        <v>3894.76</v>
      </c>
      <c r="H394" s="3">
        <f t="shared" si="18"/>
        <v>0</v>
      </c>
      <c r="I394" s="29">
        <f t="shared" si="19"/>
        <v>36</v>
      </c>
      <c r="J394" s="31" t="str">
        <f t="shared" si="20"/>
        <v>31-60</v>
      </c>
      <c r="K394"/>
    </row>
    <row r="395" spans="1:11" x14ac:dyDescent="0.3">
      <c r="A395" s="21" t="s">
        <v>76</v>
      </c>
      <c r="B395" t="str">
        <f>VLOOKUP(A395,Customers!A:B,2,FALSE)</f>
        <v>RetailSphere</v>
      </c>
      <c r="C395" s="25" t="s">
        <v>762</v>
      </c>
      <c r="D395" s="11">
        <v>46019</v>
      </c>
      <c r="E395" s="11">
        <v>46049</v>
      </c>
      <c r="F395" s="5">
        <v>11352.07</v>
      </c>
      <c r="G395" s="3">
        <f>SUMIF(Customer_Payments!B:B,C395,Customer_Payments!E:E)</f>
        <v>11352.07</v>
      </c>
      <c r="H395" s="3">
        <f t="shared" si="18"/>
        <v>0</v>
      </c>
      <c r="I395" s="29">
        <f t="shared" si="19"/>
        <v>42</v>
      </c>
      <c r="J395" s="31" t="str">
        <f t="shared" si="20"/>
        <v>31-60</v>
      </c>
      <c r="K395"/>
    </row>
    <row r="396" spans="1:11" x14ac:dyDescent="0.3">
      <c r="A396" s="20" t="s">
        <v>66</v>
      </c>
      <c r="B396" t="str">
        <f>VLOOKUP(A396,Customers!A:B,2,FALSE)</f>
        <v>MarketWorks</v>
      </c>
      <c r="C396" s="24" t="s">
        <v>763</v>
      </c>
      <c r="D396" s="10">
        <v>46041</v>
      </c>
      <c r="E396" s="10">
        <v>46071</v>
      </c>
      <c r="F396" s="4">
        <v>5363.43</v>
      </c>
      <c r="G396" s="3">
        <f>0.45*Table9[[#This Row],[InvoiceAmount]]</f>
        <v>2413.5435000000002</v>
      </c>
      <c r="H396" s="3">
        <f t="shared" si="18"/>
        <v>2949.8865000000001</v>
      </c>
      <c r="I396" s="29">
        <f t="shared" si="19"/>
        <v>20</v>
      </c>
      <c r="J396" s="31" t="str">
        <f t="shared" si="20"/>
        <v>1-30</v>
      </c>
      <c r="K396"/>
    </row>
    <row r="397" spans="1:11" x14ac:dyDescent="0.3">
      <c r="A397" s="21" t="s">
        <v>15</v>
      </c>
      <c r="B397" t="str">
        <f>VLOOKUP(A397,Customers!A:B,2,FALSE)</f>
        <v>CloudScale</v>
      </c>
      <c r="C397" s="25" t="s">
        <v>764</v>
      </c>
      <c r="D397" s="11">
        <v>45990</v>
      </c>
      <c r="E397" s="11">
        <v>46020</v>
      </c>
      <c r="F397" s="5">
        <v>1590.95</v>
      </c>
      <c r="G397" s="3">
        <f>0.45*Table9[[#This Row],[InvoiceAmount]]</f>
        <v>715.92750000000001</v>
      </c>
      <c r="H397" s="3">
        <f t="shared" si="18"/>
        <v>875.02250000000004</v>
      </c>
      <c r="I397" s="29">
        <f t="shared" si="19"/>
        <v>71</v>
      </c>
      <c r="J397" s="31" t="str">
        <f t="shared" si="20"/>
        <v>61-90</v>
      </c>
      <c r="K397"/>
    </row>
    <row r="398" spans="1:11" x14ac:dyDescent="0.3">
      <c r="A398" s="20" t="s">
        <v>39</v>
      </c>
      <c r="B398" t="str">
        <f>VLOOKUP(A398,Customers!A:B,2,FALSE)</f>
        <v>VisionCommerce</v>
      </c>
      <c r="C398" s="24" t="s">
        <v>765</v>
      </c>
      <c r="D398" s="10">
        <v>46026</v>
      </c>
      <c r="E398" s="10">
        <v>46056</v>
      </c>
      <c r="F398" s="4">
        <v>12830.29</v>
      </c>
      <c r="G398" s="3">
        <f>SUMIF(Customer_Payments!B:B,C398,Customer_Payments!E:E)</f>
        <v>12830.29</v>
      </c>
      <c r="H398" s="3">
        <f t="shared" si="18"/>
        <v>0</v>
      </c>
      <c r="I398" s="29">
        <f t="shared" si="19"/>
        <v>35</v>
      </c>
      <c r="J398" s="31" t="str">
        <f t="shared" si="20"/>
        <v>31-60</v>
      </c>
      <c r="K398"/>
    </row>
    <row r="399" spans="1:11" x14ac:dyDescent="0.3">
      <c r="A399" s="21" t="s">
        <v>83</v>
      </c>
      <c r="B399" t="str">
        <f>VLOOKUP(A399,Customers!A:B,2,FALSE)</f>
        <v>RetailCoreX</v>
      </c>
      <c r="C399" s="25" t="s">
        <v>766</v>
      </c>
      <c r="D399" s="11">
        <v>46009</v>
      </c>
      <c r="E399" s="11">
        <v>46039</v>
      </c>
      <c r="F399" s="5">
        <v>1550.98</v>
      </c>
      <c r="G399" s="3">
        <f>SUMIF(Customer_Payments!B:B,C399,Customer_Payments!E:E)</f>
        <v>1550.98</v>
      </c>
      <c r="H399" s="3">
        <f t="shared" si="18"/>
        <v>0</v>
      </c>
      <c r="I399" s="29">
        <f t="shared" si="19"/>
        <v>52</v>
      </c>
      <c r="J399" s="31" t="str">
        <f t="shared" si="20"/>
        <v>31-60</v>
      </c>
      <c r="K399"/>
    </row>
    <row r="400" spans="1:11" x14ac:dyDescent="0.3">
      <c r="A400" s="20" t="s">
        <v>118</v>
      </c>
      <c r="B400" t="str">
        <f>VLOOKUP(A400,Customers!A:B,2,FALSE)</f>
        <v>RetailEdgeGlobal</v>
      </c>
      <c r="C400" s="24" t="s">
        <v>767</v>
      </c>
      <c r="D400" s="10">
        <v>46078</v>
      </c>
      <c r="E400" s="10">
        <v>46108</v>
      </c>
      <c r="F400" s="4">
        <v>12394.77</v>
      </c>
      <c r="G400" s="3">
        <f>0.45*Table9[[#This Row],[InvoiceAmount]]</f>
        <v>5577.6465000000007</v>
      </c>
      <c r="H400" s="3">
        <f t="shared" si="18"/>
        <v>6817.1234999999997</v>
      </c>
      <c r="I400" s="29">
        <f t="shared" si="19"/>
        <v>-17</v>
      </c>
      <c r="J400" s="31" t="str">
        <f t="shared" si="20"/>
        <v>Current</v>
      </c>
      <c r="K400"/>
    </row>
    <row r="401" spans="1:11" x14ac:dyDescent="0.3">
      <c r="A401" s="21" t="s">
        <v>110</v>
      </c>
      <c r="B401" t="str">
        <f>VLOOKUP(A401,Customers!A:B,2,FALSE)</f>
        <v>RetailAxisPro</v>
      </c>
      <c r="C401" s="25" t="s">
        <v>768</v>
      </c>
      <c r="D401" s="11">
        <v>46030</v>
      </c>
      <c r="E401" s="11">
        <v>46060</v>
      </c>
      <c r="F401" s="5">
        <v>1741.18</v>
      </c>
      <c r="G401" s="3">
        <f>SUMIF(Customer_Payments!B:B,C401,Customer_Payments!E:E)</f>
        <v>1741.18</v>
      </c>
      <c r="H401" s="3">
        <f t="shared" si="18"/>
        <v>0</v>
      </c>
      <c r="I401" s="29">
        <f t="shared" si="19"/>
        <v>31</v>
      </c>
      <c r="J401" s="31" t="str">
        <f t="shared" si="20"/>
        <v>31-60</v>
      </c>
      <c r="K401"/>
    </row>
    <row r="402" spans="1:11" x14ac:dyDescent="0.3">
      <c r="A402" s="20" t="s">
        <v>91</v>
      </c>
      <c r="B402" t="str">
        <f>VLOOKUP(A402,Customers!A:B,2,FALSE)</f>
        <v>RetailBridgeX</v>
      </c>
      <c r="C402" s="24" t="s">
        <v>769</v>
      </c>
      <c r="D402" s="10">
        <v>46073</v>
      </c>
      <c r="E402" s="10">
        <v>46103</v>
      </c>
      <c r="F402" s="4">
        <v>3631.35</v>
      </c>
      <c r="G402" s="3">
        <f>0.45*Table9[[#This Row],[InvoiceAmount]]</f>
        <v>1634.1075000000001</v>
      </c>
      <c r="H402" s="3">
        <f t="shared" si="18"/>
        <v>1997.2424999999998</v>
      </c>
      <c r="I402" s="29">
        <f t="shared" si="19"/>
        <v>-12</v>
      </c>
      <c r="J402" s="31" t="str">
        <f t="shared" si="20"/>
        <v>Current</v>
      </c>
      <c r="K402"/>
    </row>
    <row r="403" spans="1:11" x14ac:dyDescent="0.3">
      <c r="A403" s="21" t="s">
        <v>89</v>
      </c>
      <c r="B403" t="str">
        <f>VLOOKUP(A403,Customers!A:B,2,FALSE)</f>
        <v>RetailAxisX</v>
      </c>
      <c r="C403" s="25" t="s">
        <v>770</v>
      </c>
      <c r="D403" s="11">
        <v>46028</v>
      </c>
      <c r="E403" s="11">
        <v>46058</v>
      </c>
      <c r="F403" s="5">
        <v>1695.61</v>
      </c>
      <c r="G403" s="3">
        <f>SUMIF(Customer_Payments!B:B,C403,Customer_Payments!E:E)</f>
        <v>1695.61</v>
      </c>
      <c r="H403" s="3">
        <f t="shared" si="18"/>
        <v>0</v>
      </c>
      <c r="I403" s="29">
        <f t="shared" si="19"/>
        <v>33</v>
      </c>
      <c r="J403" s="31" t="str">
        <f t="shared" si="20"/>
        <v>31-60</v>
      </c>
      <c r="K403"/>
    </row>
    <row r="404" spans="1:11" x14ac:dyDescent="0.3">
      <c r="A404" s="20" t="s">
        <v>62</v>
      </c>
      <c r="B404" t="str">
        <f>VLOOKUP(A404,Customers!A:B,2,FALSE)</f>
        <v>MarketNova</v>
      </c>
      <c r="C404" s="24" t="s">
        <v>771</v>
      </c>
      <c r="D404" s="10">
        <v>45973</v>
      </c>
      <c r="E404" s="10">
        <v>46003</v>
      </c>
      <c r="F404" s="4">
        <v>1905.66</v>
      </c>
      <c r="G404" s="3">
        <f>0.45*Table9[[#This Row],[InvoiceAmount]]</f>
        <v>857.54700000000003</v>
      </c>
      <c r="H404" s="3">
        <f t="shared" si="18"/>
        <v>1048.1130000000001</v>
      </c>
      <c r="I404" s="29">
        <f t="shared" si="19"/>
        <v>88</v>
      </c>
      <c r="J404" s="31" t="str">
        <f t="shared" si="20"/>
        <v>61-90</v>
      </c>
      <c r="K404"/>
    </row>
    <row r="405" spans="1:11" x14ac:dyDescent="0.3">
      <c r="A405" s="21" t="s">
        <v>73</v>
      </c>
      <c r="B405" t="str">
        <f>VLOOKUP(A405,Customers!A:B,2,FALSE)</f>
        <v>RetailWave</v>
      </c>
      <c r="C405" s="25" t="s">
        <v>772</v>
      </c>
      <c r="D405" s="11">
        <v>45996</v>
      </c>
      <c r="E405" s="11">
        <v>46026</v>
      </c>
      <c r="F405" s="5">
        <v>2412.66</v>
      </c>
      <c r="G405" s="3">
        <f>SUMIF(Customer_Payments!B:B,C405,Customer_Payments!E:E)</f>
        <v>2412.66</v>
      </c>
      <c r="H405" s="3">
        <f t="shared" si="18"/>
        <v>0</v>
      </c>
      <c r="I405" s="29">
        <f t="shared" si="19"/>
        <v>65</v>
      </c>
      <c r="J405" s="31" t="str">
        <f t="shared" si="20"/>
        <v>61-90</v>
      </c>
      <c r="K405"/>
    </row>
    <row r="406" spans="1:11" x14ac:dyDescent="0.3">
      <c r="A406" s="20" t="s">
        <v>57</v>
      </c>
      <c r="B406" t="str">
        <f>VLOOKUP(A406,Customers!A:B,2,FALSE)</f>
        <v>MarketGenius</v>
      </c>
      <c r="C406" s="24" t="s">
        <v>773</v>
      </c>
      <c r="D406" s="10">
        <v>46081</v>
      </c>
      <c r="E406" s="10">
        <v>46111</v>
      </c>
      <c r="F406" s="4">
        <v>3612.73</v>
      </c>
      <c r="G406" s="3">
        <f>SUMIF(Customer_Payments!B:B,C406,Customer_Payments!E:E)</f>
        <v>3612.73</v>
      </c>
      <c r="H406" s="3">
        <f t="shared" si="18"/>
        <v>0</v>
      </c>
      <c r="I406" s="29">
        <f t="shared" si="19"/>
        <v>-20</v>
      </c>
      <c r="J406" s="31" t="str">
        <f t="shared" si="20"/>
        <v>Current</v>
      </c>
      <c r="K406"/>
    </row>
    <row r="407" spans="1:11" x14ac:dyDescent="0.3">
      <c r="A407" s="21" t="s">
        <v>51</v>
      </c>
      <c r="B407" t="str">
        <f>VLOOKUP(A407,Customers!A:B,2,FALSE)</f>
        <v>CartMasters</v>
      </c>
      <c r="C407" s="25" t="s">
        <v>774</v>
      </c>
      <c r="D407" s="11">
        <v>45976</v>
      </c>
      <c r="E407" s="11">
        <v>46006</v>
      </c>
      <c r="F407" s="5">
        <v>13307.24</v>
      </c>
      <c r="G407" s="3">
        <f>SUMIF(Customer_Payments!B:B,C407,Customer_Payments!E:E)</f>
        <v>13307.24</v>
      </c>
      <c r="H407" s="3">
        <f t="shared" si="18"/>
        <v>0</v>
      </c>
      <c r="I407" s="29">
        <f t="shared" si="19"/>
        <v>85</v>
      </c>
      <c r="J407" s="31" t="str">
        <f t="shared" si="20"/>
        <v>61-90</v>
      </c>
      <c r="K407"/>
    </row>
    <row r="408" spans="1:11" x14ac:dyDescent="0.3">
      <c r="A408" s="20" t="s">
        <v>17</v>
      </c>
      <c r="B408" t="str">
        <f>VLOOKUP(A408,Customers!A:B,2,FALSE)</f>
        <v>AlphaCommerce</v>
      </c>
      <c r="C408" s="24" t="s">
        <v>775</v>
      </c>
      <c r="D408" s="10">
        <v>46044</v>
      </c>
      <c r="E408" s="10">
        <v>46074</v>
      </c>
      <c r="F408" s="4">
        <v>2979.33</v>
      </c>
      <c r="G408" s="3">
        <f>0.45*Table9[[#This Row],[InvoiceAmount]]</f>
        <v>1340.6985</v>
      </c>
      <c r="H408" s="3">
        <f t="shared" si="18"/>
        <v>1638.6315</v>
      </c>
      <c r="I408" s="29">
        <f t="shared" si="19"/>
        <v>17</v>
      </c>
      <c r="J408" s="31" t="str">
        <f t="shared" si="20"/>
        <v>1-30</v>
      </c>
      <c r="K408"/>
    </row>
    <row r="409" spans="1:11" x14ac:dyDescent="0.3">
      <c r="A409" s="21" t="s">
        <v>50</v>
      </c>
      <c r="B409" t="str">
        <f>VLOOKUP(A409,Customers!A:B,2,FALSE)</f>
        <v>RetailNexus</v>
      </c>
      <c r="C409" s="25" t="s">
        <v>776</v>
      </c>
      <c r="D409" s="11">
        <v>46104</v>
      </c>
      <c r="E409" s="11">
        <v>46134</v>
      </c>
      <c r="F409" s="5">
        <v>3397.58</v>
      </c>
      <c r="G409" s="3">
        <f>SUMIF(Customer_Payments!B:B,C409,Customer_Payments!E:E)</f>
        <v>3397.58</v>
      </c>
      <c r="H409" s="3">
        <f t="shared" si="18"/>
        <v>0</v>
      </c>
      <c r="I409" s="29">
        <f t="shared" si="19"/>
        <v>-43</v>
      </c>
      <c r="J409" s="31" t="str">
        <f t="shared" si="20"/>
        <v>Current</v>
      </c>
      <c r="K409"/>
    </row>
    <row r="410" spans="1:11" x14ac:dyDescent="0.3">
      <c r="A410" s="20" t="s">
        <v>19</v>
      </c>
      <c r="B410" t="str">
        <f>VLOOKUP(A410,Customers!A:B,2,FALSE)</f>
        <v>NextWave Digital</v>
      </c>
      <c r="C410" s="24" t="s">
        <v>777</v>
      </c>
      <c r="D410" s="10">
        <v>45974</v>
      </c>
      <c r="E410" s="10">
        <v>46004</v>
      </c>
      <c r="F410" s="4">
        <v>13364.5</v>
      </c>
      <c r="G410" s="3">
        <f>SUMIF(Customer_Payments!B:B,C410,Customer_Payments!E:E)</f>
        <v>13364.5</v>
      </c>
      <c r="H410" s="3">
        <f t="shared" si="18"/>
        <v>0</v>
      </c>
      <c r="I410" s="29">
        <f t="shared" si="19"/>
        <v>87</v>
      </c>
      <c r="J410" s="31" t="str">
        <f t="shared" si="20"/>
        <v>61-90</v>
      </c>
      <c r="K410"/>
    </row>
    <row r="411" spans="1:11" x14ac:dyDescent="0.3">
      <c r="A411" s="21" t="s">
        <v>12</v>
      </c>
      <c r="B411" t="str">
        <f>VLOOKUP(A411,Customers!A:B,2,FALSE)</f>
        <v>ShopOrbit</v>
      </c>
      <c r="C411" s="25" t="s">
        <v>778</v>
      </c>
      <c r="D411" s="11">
        <v>46004</v>
      </c>
      <c r="E411" s="11">
        <v>46034</v>
      </c>
      <c r="F411" s="5">
        <v>13065.57</v>
      </c>
      <c r="G411" s="3">
        <f>SUMIF(Customer_Payments!B:B,C411,Customer_Payments!E:E)</f>
        <v>13065.57</v>
      </c>
      <c r="H411" s="3">
        <f t="shared" si="18"/>
        <v>0</v>
      </c>
      <c r="I411" s="29">
        <f t="shared" si="19"/>
        <v>57</v>
      </c>
      <c r="J411" s="31" t="str">
        <f t="shared" si="20"/>
        <v>31-60</v>
      </c>
      <c r="K411"/>
    </row>
    <row r="412" spans="1:11" x14ac:dyDescent="0.3">
      <c r="A412" s="20" t="s">
        <v>93</v>
      </c>
      <c r="B412" t="str">
        <f>VLOOKUP(A412,Customers!A:B,2,FALSE)</f>
        <v>RetailSphereX</v>
      </c>
      <c r="C412" s="24" t="s">
        <v>779</v>
      </c>
      <c r="D412" s="10">
        <v>45988</v>
      </c>
      <c r="E412" s="10">
        <v>46018</v>
      </c>
      <c r="F412" s="4">
        <v>1522.86</v>
      </c>
      <c r="G412" s="3">
        <f>SUMIF(Customer_Payments!B:B,C412,Customer_Payments!E:E)</f>
        <v>1522.8600000000001</v>
      </c>
      <c r="H412" s="3">
        <f t="shared" si="18"/>
        <v>0</v>
      </c>
      <c r="I412" s="29">
        <f t="shared" si="19"/>
        <v>73</v>
      </c>
      <c r="J412" s="31" t="str">
        <f t="shared" si="20"/>
        <v>61-90</v>
      </c>
      <c r="K412"/>
    </row>
    <row r="413" spans="1:11" x14ac:dyDescent="0.3">
      <c r="A413" s="21" t="s">
        <v>77</v>
      </c>
      <c r="B413" t="str">
        <f>VLOOKUP(A413,Customers!A:B,2,FALSE)</f>
        <v>RetailBridge</v>
      </c>
      <c r="C413" s="25" t="s">
        <v>780</v>
      </c>
      <c r="D413" s="11">
        <v>46110</v>
      </c>
      <c r="E413" s="11">
        <v>46140</v>
      </c>
      <c r="F413" s="5">
        <v>5859.84</v>
      </c>
      <c r="G413" s="3">
        <f>SUMIF(Customer_Payments!B:B,C413,Customer_Payments!E:E)</f>
        <v>5859.84</v>
      </c>
      <c r="H413" s="3">
        <f t="shared" si="18"/>
        <v>0</v>
      </c>
      <c r="I413" s="29">
        <f t="shared" si="19"/>
        <v>-49</v>
      </c>
      <c r="J413" s="31" t="str">
        <f t="shared" si="20"/>
        <v>Current</v>
      </c>
      <c r="K413"/>
    </row>
    <row r="414" spans="1:11" x14ac:dyDescent="0.3">
      <c r="A414" s="20" t="s">
        <v>58</v>
      </c>
      <c r="B414" t="str">
        <f>VLOOKUP(A414,Customers!A:B,2,FALSE)</f>
        <v>RetailAxis</v>
      </c>
      <c r="C414" s="24" t="s">
        <v>781</v>
      </c>
      <c r="D414" s="10">
        <v>46066</v>
      </c>
      <c r="E414" s="10">
        <v>46096</v>
      </c>
      <c r="F414" s="4">
        <v>4661.9799999999996</v>
      </c>
      <c r="G414" s="3">
        <f>SUMIF(Customer_Payments!B:B,C414,Customer_Payments!E:E)</f>
        <v>4661.9799999999996</v>
      </c>
      <c r="H414" s="3">
        <f t="shared" si="18"/>
        <v>0</v>
      </c>
      <c r="I414" s="29">
        <f t="shared" si="19"/>
        <v>-5</v>
      </c>
      <c r="J414" s="31" t="str">
        <f t="shared" si="20"/>
        <v>Current</v>
      </c>
      <c r="K414"/>
    </row>
    <row r="415" spans="1:11" x14ac:dyDescent="0.3">
      <c r="A415" s="21" t="s">
        <v>10</v>
      </c>
      <c r="B415" t="str">
        <f>VLOOKUP(A415,Customers!A:B,2,FALSE)</f>
        <v>LaunchLabs</v>
      </c>
      <c r="C415" s="25" t="s">
        <v>782</v>
      </c>
      <c r="D415" s="11">
        <v>46056</v>
      </c>
      <c r="E415" s="11">
        <v>46086</v>
      </c>
      <c r="F415" s="5">
        <v>1572.81</v>
      </c>
      <c r="G415" s="3">
        <f>SUMIF(Customer_Payments!B:B,C415,Customer_Payments!E:E)</f>
        <v>1572.81</v>
      </c>
      <c r="H415" s="3">
        <f t="shared" si="18"/>
        <v>0</v>
      </c>
      <c r="I415" s="29">
        <f t="shared" si="19"/>
        <v>5</v>
      </c>
      <c r="J415" s="31" t="str">
        <f t="shared" si="20"/>
        <v>1-30</v>
      </c>
      <c r="K415"/>
    </row>
    <row r="416" spans="1:11" x14ac:dyDescent="0.3">
      <c r="A416" s="20" t="s">
        <v>56</v>
      </c>
      <c r="B416" t="str">
        <f>VLOOKUP(A416,Customers!A:B,2,FALSE)</f>
        <v>RetailBoost</v>
      </c>
      <c r="C416" s="24" t="s">
        <v>783</v>
      </c>
      <c r="D416" s="10">
        <v>46046</v>
      </c>
      <c r="E416" s="10">
        <v>46076</v>
      </c>
      <c r="F416" s="4">
        <v>1882.16</v>
      </c>
      <c r="G416" s="3">
        <f>SUMIF(Customer_Payments!B:B,C416,Customer_Payments!E:E)</f>
        <v>1882.16</v>
      </c>
      <c r="H416" s="3">
        <f t="shared" si="18"/>
        <v>0</v>
      </c>
      <c r="I416" s="29">
        <f t="shared" si="19"/>
        <v>15</v>
      </c>
      <c r="J416" s="31" t="str">
        <f t="shared" si="20"/>
        <v>1-30</v>
      </c>
      <c r="K416"/>
    </row>
    <row r="417" spans="1:11" x14ac:dyDescent="0.3">
      <c r="A417" s="21" t="s">
        <v>110</v>
      </c>
      <c r="B417" t="str">
        <f>VLOOKUP(A417,Customers!A:B,2,FALSE)</f>
        <v>RetailAxisPro</v>
      </c>
      <c r="C417" s="25" t="s">
        <v>784</v>
      </c>
      <c r="D417" s="11">
        <v>46055</v>
      </c>
      <c r="E417" s="11">
        <v>46085</v>
      </c>
      <c r="F417" s="5">
        <v>3245.68</v>
      </c>
      <c r="G417" s="3">
        <f>0.45*Table9[[#This Row],[InvoiceAmount]]</f>
        <v>1460.556</v>
      </c>
      <c r="H417" s="3">
        <f t="shared" si="18"/>
        <v>1785.1239999999998</v>
      </c>
      <c r="I417" s="29">
        <f t="shared" si="19"/>
        <v>6</v>
      </c>
      <c r="J417" s="31" t="str">
        <f t="shared" si="20"/>
        <v>1-30</v>
      </c>
      <c r="K417"/>
    </row>
    <row r="418" spans="1:11" x14ac:dyDescent="0.3">
      <c r="A418" s="20" t="s">
        <v>48</v>
      </c>
      <c r="B418" t="str">
        <f>VLOOKUP(A418,Customers!A:B,2,FALSE)</f>
        <v>RetailGenius</v>
      </c>
      <c r="C418" s="24" t="s">
        <v>785</v>
      </c>
      <c r="D418" s="10">
        <v>46028</v>
      </c>
      <c r="E418" s="10">
        <v>46058</v>
      </c>
      <c r="F418" s="4">
        <v>3092.82</v>
      </c>
      <c r="G418" s="3">
        <f>SUMIF(Customer_Payments!B:B,C418,Customer_Payments!E:E)</f>
        <v>3092.82</v>
      </c>
      <c r="H418" s="3">
        <f t="shared" si="18"/>
        <v>0</v>
      </c>
      <c r="I418" s="29">
        <f t="shared" si="19"/>
        <v>33</v>
      </c>
      <c r="J418" s="31" t="str">
        <f t="shared" si="20"/>
        <v>31-60</v>
      </c>
      <c r="K418"/>
    </row>
    <row r="419" spans="1:11" x14ac:dyDescent="0.3">
      <c r="A419" s="21" t="s">
        <v>74</v>
      </c>
      <c r="B419" t="str">
        <f>VLOOKUP(A419,Customers!A:B,2,FALSE)</f>
        <v>RetailPrime</v>
      </c>
      <c r="C419" s="25" t="s">
        <v>786</v>
      </c>
      <c r="D419" s="11">
        <v>46045</v>
      </c>
      <c r="E419" s="11">
        <v>46075</v>
      </c>
      <c r="F419" s="5">
        <v>4915.1000000000004</v>
      </c>
      <c r="G419" s="3">
        <f>SUMIF(Customer_Payments!B:B,C419,Customer_Payments!E:E)</f>
        <v>0</v>
      </c>
      <c r="H419" s="3">
        <f t="shared" si="18"/>
        <v>4915.1000000000004</v>
      </c>
      <c r="I419" s="29">
        <f t="shared" si="19"/>
        <v>16</v>
      </c>
      <c r="J419" s="31" t="str">
        <f t="shared" si="20"/>
        <v>1-30</v>
      </c>
      <c r="K419"/>
    </row>
    <row r="420" spans="1:11" x14ac:dyDescent="0.3">
      <c r="A420" s="20" t="s">
        <v>21</v>
      </c>
      <c r="B420" t="str">
        <f>VLOOKUP(A420,Customers!A:B,2,FALSE)</f>
        <v>InsightLoop</v>
      </c>
      <c r="C420" s="24" t="s">
        <v>787</v>
      </c>
      <c r="D420" s="10">
        <v>46049</v>
      </c>
      <c r="E420" s="10">
        <v>46079</v>
      </c>
      <c r="F420" s="4">
        <v>1665.65</v>
      </c>
      <c r="G420" s="3">
        <f>SUMIF(Customer_Payments!B:B,C420,Customer_Payments!E:E)</f>
        <v>1665.65</v>
      </c>
      <c r="H420" s="3">
        <f t="shared" si="18"/>
        <v>0</v>
      </c>
      <c r="I420" s="29">
        <f t="shared" si="19"/>
        <v>12</v>
      </c>
      <c r="J420" s="31" t="str">
        <f t="shared" si="20"/>
        <v>1-30</v>
      </c>
      <c r="K420"/>
    </row>
    <row r="421" spans="1:11" x14ac:dyDescent="0.3">
      <c r="A421" s="21" t="s">
        <v>93</v>
      </c>
      <c r="B421" t="str">
        <f>VLOOKUP(A421,Customers!A:B,2,FALSE)</f>
        <v>RetailSphereX</v>
      </c>
      <c r="C421" s="25" t="s">
        <v>788</v>
      </c>
      <c r="D421" s="11">
        <v>46060</v>
      </c>
      <c r="E421" s="11">
        <v>46090</v>
      </c>
      <c r="F421" s="5">
        <v>2351.98</v>
      </c>
      <c r="G421" s="3">
        <f>SUMIF(Customer_Payments!B:B,C421,Customer_Payments!E:E)</f>
        <v>2351.98</v>
      </c>
      <c r="H421" s="3">
        <f t="shared" si="18"/>
        <v>0</v>
      </c>
      <c r="I421" s="29">
        <f t="shared" si="19"/>
        <v>1</v>
      </c>
      <c r="J421" s="31" t="str">
        <f t="shared" si="20"/>
        <v>1-30</v>
      </c>
      <c r="K421"/>
    </row>
    <row r="422" spans="1:11" x14ac:dyDescent="0.3">
      <c r="A422" s="20" t="s">
        <v>24</v>
      </c>
      <c r="B422" t="str">
        <f>VLOOKUP(A422,Customers!A:B,2,FALSE)</f>
        <v>OmniTrade</v>
      </c>
      <c r="C422" s="24" t="s">
        <v>789</v>
      </c>
      <c r="D422" s="10">
        <v>46072</v>
      </c>
      <c r="E422" s="10">
        <v>46102</v>
      </c>
      <c r="F422" s="4">
        <v>2016.44</v>
      </c>
      <c r="G422" s="3">
        <f>SUMIF(Customer_Payments!B:B,C422,Customer_Payments!E:E)</f>
        <v>2016.44</v>
      </c>
      <c r="H422" s="3">
        <f t="shared" si="18"/>
        <v>0</v>
      </c>
      <c r="I422" s="29">
        <f t="shared" si="19"/>
        <v>-11</v>
      </c>
      <c r="J422" s="31" t="str">
        <f t="shared" si="20"/>
        <v>Current</v>
      </c>
      <c r="K422"/>
    </row>
    <row r="423" spans="1:11" x14ac:dyDescent="0.3">
      <c r="A423" s="21" t="s">
        <v>95</v>
      </c>
      <c r="B423" t="str">
        <f>VLOOKUP(A423,Customers!A:B,2,FALSE)</f>
        <v>RetailScaleX</v>
      </c>
      <c r="C423" s="25" t="s">
        <v>790</v>
      </c>
      <c r="D423" s="11">
        <v>45983</v>
      </c>
      <c r="E423" s="11">
        <v>46013</v>
      </c>
      <c r="F423" s="5">
        <v>2117.86</v>
      </c>
      <c r="G423" s="3">
        <f>SUMIF(Customer_Payments!B:B,C423,Customer_Payments!E:E)</f>
        <v>2117.86</v>
      </c>
      <c r="H423" s="3">
        <f t="shared" si="18"/>
        <v>0</v>
      </c>
      <c r="I423" s="29">
        <f t="shared" si="19"/>
        <v>78</v>
      </c>
      <c r="J423" s="31" t="str">
        <f t="shared" si="20"/>
        <v>61-90</v>
      </c>
      <c r="K423"/>
    </row>
    <row r="424" spans="1:11" x14ac:dyDescent="0.3">
      <c r="A424" s="20" t="s">
        <v>56</v>
      </c>
      <c r="B424" t="str">
        <f>VLOOKUP(A424,Customers!A:B,2,FALSE)</f>
        <v>RetailBoost</v>
      </c>
      <c r="C424" s="24" t="s">
        <v>791</v>
      </c>
      <c r="D424" s="10">
        <v>46040</v>
      </c>
      <c r="E424" s="10">
        <v>46070</v>
      </c>
      <c r="F424" s="4">
        <v>5021.6499999999996</v>
      </c>
      <c r="G424" s="3">
        <f>SUMIF(Customer_Payments!B:B,C424,Customer_Payments!E:E)</f>
        <v>5021.6499999999996</v>
      </c>
      <c r="H424" s="3">
        <f t="shared" si="18"/>
        <v>0</v>
      </c>
      <c r="I424" s="29">
        <f t="shared" si="19"/>
        <v>21</v>
      </c>
      <c r="J424" s="31" t="str">
        <f t="shared" si="20"/>
        <v>1-30</v>
      </c>
      <c r="K424"/>
    </row>
    <row r="425" spans="1:11" x14ac:dyDescent="0.3">
      <c r="A425" s="21" t="s">
        <v>89</v>
      </c>
      <c r="B425" t="str">
        <f>VLOOKUP(A425,Customers!A:B,2,FALSE)</f>
        <v>RetailAxisX</v>
      </c>
      <c r="C425" s="25" t="s">
        <v>792</v>
      </c>
      <c r="D425" s="11">
        <v>46036</v>
      </c>
      <c r="E425" s="11">
        <v>46066</v>
      </c>
      <c r="F425" s="5">
        <v>10491.62</v>
      </c>
      <c r="G425" s="3">
        <f>SUMIF(Customer_Payments!B:B,C425,Customer_Payments!E:E)</f>
        <v>10491.62</v>
      </c>
      <c r="H425" s="3">
        <f t="shared" si="18"/>
        <v>0</v>
      </c>
      <c r="I425" s="29">
        <f t="shared" si="19"/>
        <v>25</v>
      </c>
      <c r="J425" s="31" t="str">
        <f t="shared" si="20"/>
        <v>1-30</v>
      </c>
      <c r="K425"/>
    </row>
    <row r="426" spans="1:11" x14ac:dyDescent="0.3">
      <c r="A426" s="20" t="s">
        <v>47</v>
      </c>
      <c r="B426" t="str">
        <f>VLOOKUP(A426,Customers!A:B,2,FALSE)</f>
        <v>SmartRetail</v>
      </c>
      <c r="C426" s="24" t="s">
        <v>793</v>
      </c>
      <c r="D426" s="10">
        <v>46104</v>
      </c>
      <c r="E426" s="10">
        <v>46134</v>
      </c>
      <c r="F426" s="4">
        <v>5109.83</v>
      </c>
      <c r="G426" s="3">
        <f>SUMIF(Customer_Payments!B:B,C426,Customer_Payments!E:E)</f>
        <v>5109.83</v>
      </c>
      <c r="H426" s="3">
        <f t="shared" si="18"/>
        <v>0</v>
      </c>
      <c r="I426" s="29">
        <f t="shared" si="19"/>
        <v>-43</v>
      </c>
      <c r="J426" s="31" t="str">
        <f t="shared" si="20"/>
        <v>Current</v>
      </c>
      <c r="K426"/>
    </row>
    <row r="427" spans="1:11" x14ac:dyDescent="0.3">
      <c r="A427" s="21" t="s">
        <v>69</v>
      </c>
      <c r="B427" t="str">
        <f>VLOOKUP(A427,Customers!A:B,2,FALSE)</f>
        <v>RetailNext</v>
      </c>
      <c r="C427" s="25" t="s">
        <v>794</v>
      </c>
      <c r="D427" s="11">
        <v>46093</v>
      </c>
      <c r="E427" s="11">
        <v>46123</v>
      </c>
      <c r="F427" s="5">
        <v>12573.17</v>
      </c>
      <c r="G427" s="3">
        <f>SUMIF(Customer_Payments!B:B,C427,Customer_Payments!E:E)</f>
        <v>0</v>
      </c>
      <c r="H427" s="3">
        <f t="shared" si="18"/>
        <v>12573.17</v>
      </c>
      <c r="I427" s="29">
        <f t="shared" si="19"/>
        <v>-32</v>
      </c>
      <c r="J427" s="31" t="str">
        <f t="shared" si="20"/>
        <v>Current</v>
      </c>
      <c r="K427"/>
    </row>
    <row r="428" spans="1:11" x14ac:dyDescent="0.3">
      <c r="A428" s="20" t="s">
        <v>70</v>
      </c>
      <c r="B428" t="str">
        <f>VLOOKUP(A428,Customers!A:B,2,FALSE)</f>
        <v>RetailPath</v>
      </c>
      <c r="C428" s="24" t="s">
        <v>795</v>
      </c>
      <c r="D428" s="10">
        <v>46068</v>
      </c>
      <c r="E428" s="10">
        <v>46098</v>
      </c>
      <c r="F428" s="4">
        <v>4390.26</v>
      </c>
      <c r="G428" s="3">
        <f>SUMIF(Customer_Payments!B:B,C428,Customer_Payments!E:E)</f>
        <v>4390.26</v>
      </c>
      <c r="H428" s="3">
        <f t="shared" si="18"/>
        <v>0</v>
      </c>
      <c r="I428" s="29">
        <f t="shared" si="19"/>
        <v>-7</v>
      </c>
      <c r="J428" s="31" t="str">
        <f t="shared" si="20"/>
        <v>Current</v>
      </c>
      <c r="K428"/>
    </row>
    <row r="429" spans="1:11" x14ac:dyDescent="0.3">
      <c r="A429" s="21" t="s">
        <v>69</v>
      </c>
      <c r="B429" t="str">
        <f>VLOOKUP(A429,Customers!A:B,2,FALSE)</f>
        <v>RetailNext</v>
      </c>
      <c r="C429" s="25" t="s">
        <v>796</v>
      </c>
      <c r="D429" s="11">
        <v>46053</v>
      </c>
      <c r="E429" s="11">
        <v>46083</v>
      </c>
      <c r="F429" s="5">
        <v>12886.54</v>
      </c>
      <c r="G429" s="3">
        <f>SUMIF(Customer_Payments!B:B,C429,Customer_Payments!E:E)</f>
        <v>0</v>
      </c>
      <c r="H429" s="3">
        <f t="shared" si="18"/>
        <v>12886.54</v>
      </c>
      <c r="I429" s="29">
        <f t="shared" si="19"/>
        <v>8</v>
      </c>
      <c r="J429" s="31" t="str">
        <f t="shared" si="20"/>
        <v>1-30</v>
      </c>
      <c r="K429"/>
    </row>
    <row r="430" spans="1:11" x14ac:dyDescent="0.3">
      <c r="A430" s="20" t="s">
        <v>42</v>
      </c>
      <c r="B430" t="str">
        <f>VLOOKUP(A430,Customers!A:B,2,FALSE)</f>
        <v>RetailWorks</v>
      </c>
      <c r="C430" s="24" t="s">
        <v>797</v>
      </c>
      <c r="D430" s="10">
        <v>45975</v>
      </c>
      <c r="E430" s="10">
        <v>46005</v>
      </c>
      <c r="F430" s="4">
        <v>4165.34</v>
      </c>
      <c r="G430" s="3">
        <f>SUMIF(Customer_Payments!B:B,C430,Customer_Payments!E:E)</f>
        <v>4165.34</v>
      </c>
      <c r="H430" s="3">
        <f t="shared" si="18"/>
        <v>0</v>
      </c>
      <c r="I430" s="29">
        <f t="shared" si="19"/>
        <v>86</v>
      </c>
      <c r="J430" s="31" t="str">
        <f t="shared" si="20"/>
        <v>61-90</v>
      </c>
      <c r="K430"/>
    </row>
    <row r="431" spans="1:11" x14ac:dyDescent="0.3">
      <c r="A431" s="21" t="s">
        <v>105</v>
      </c>
      <c r="B431" t="str">
        <f>VLOOKUP(A431,Customers!A:B,2,FALSE)</f>
        <v>RetailFlowPro</v>
      </c>
      <c r="C431" s="25" t="s">
        <v>798</v>
      </c>
      <c r="D431" s="11">
        <v>46033</v>
      </c>
      <c r="E431" s="11">
        <v>46063</v>
      </c>
      <c r="F431" s="5">
        <v>5075.22</v>
      </c>
      <c r="G431" s="3">
        <f>SUMIF(Customer_Payments!B:B,C431,Customer_Payments!E:E)</f>
        <v>5075.22</v>
      </c>
      <c r="H431" s="3">
        <f t="shared" si="18"/>
        <v>0</v>
      </c>
      <c r="I431" s="29">
        <f t="shared" si="19"/>
        <v>28</v>
      </c>
      <c r="J431" s="31" t="str">
        <f t="shared" si="20"/>
        <v>1-30</v>
      </c>
      <c r="K431"/>
    </row>
    <row r="432" spans="1:11" x14ac:dyDescent="0.3">
      <c r="A432" s="20" t="s">
        <v>106</v>
      </c>
      <c r="B432" t="str">
        <f>VLOOKUP(A432,Customers!A:B,2,FALSE)</f>
        <v>RetailOrbitPro</v>
      </c>
      <c r="C432" s="24" t="s">
        <v>799</v>
      </c>
      <c r="D432" s="10">
        <v>46035</v>
      </c>
      <c r="E432" s="10">
        <v>46065</v>
      </c>
      <c r="F432" s="4">
        <v>12238.69</v>
      </c>
      <c r="G432" s="3">
        <f>SUMIF(Customer_Payments!B:B,C432,Customer_Payments!E:E)</f>
        <v>12238.69</v>
      </c>
      <c r="H432" s="3">
        <f t="shared" si="18"/>
        <v>0</v>
      </c>
      <c r="I432" s="29">
        <f t="shared" si="19"/>
        <v>26</v>
      </c>
      <c r="J432" s="31" t="str">
        <f t="shared" si="20"/>
        <v>1-30</v>
      </c>
      <c r="K432"/>
    </row>
    <row r="433" spans="1:11" x14ac:dyDescent="0.3">
      <c r="A433" s="21" t="s">
        <v>12</v>
      </c>
      <c r="B433" t="str">
        <f>VLOOKUP(A433,Customers!A:B,2,FALSE)</f>
        <v>ShopOrbit</v>
      </c>
      <c r="C433" s="25" t="s">
        <v>800</v>
      </c>
      <c r="D433" s="11">
        <v>46025</v>
      </c>
      <c r="E433" s="11">
        <v>46055</v>
      </c>
      <c r="F433" s="5">
        <v>3952.6</v>
      </c>
      <c r="G433" s="3">
        <f>SUMIF(Customer_Payments!B:B,C433,Customer_Payments!E:E)</f>
        <v>0</v>
      </c>
      <c r="H433" s="3">
        <f t="shared" si="18"/>
        <v>3952.6</v>
      </c>
      <c r="I433" s="29">
        <f t="shared" si="19"/>
        <v>36</v>
      </c>
      <c r="J433" s="31" t="str">
        <f t="shared" si="20"/>
        <v>31-60</v>
      </c>
      <c r="K433"/>
    </row>
    <row r="434" spans="1:11" x14ac:dyDescent="0.3">
      <c r="A434" s="20" t="s">
        <v>113</v>
      </c>
      <c r="B434" t="str">
        <f>VLOOKUP(A434,Customers!A:B,2,FALSE)</f>
        <v>RetailSpherePro</v>
      </c>
      <c r="C434" s="24" t="s">
        <v>801</v>
      </c>
      <c r="D434" s="10">
        <v>45962</v>
      </c>
      <c r="E434" s="10">
        <v>45992</v>
      </c>
      <c r="F434" s="4">
        <v>1757.78</v>
      </c>
      <c r="G434" s="3">
        <f>SUMIF(Customer_Payments!B:B,C434,Customer_Payments!E:E)</f>
        <v>1757.78</v>
      </c>
      <c r="H434" s="3">
        <f t="shared" si="18"/>
        <v>0</v>
      </c>
      <c r="I434" s="29">
        <f t="shared" si="19"/>
        <v>99</v>
      </c>
      <c r="J434" s="31" t="str">
        <f t="shared" si="20"/>
        <v>90+</v>
      </c>
      <c r="K434"/>
    </row>
    <row r="435" spans="1:11" x14ac:dyDescent="0.3">
      <c r="A435" s="21" t="s">
        <v>51</v>
      </c>
      <c r="B435" t="str">
        <f>VLOOKUP(A435,Customers!A:B,2,FALSE)</f>
        <v>CartMasters</v>
      </c>
      <c r="C435" s="25" t="s">
        <v>802</v>
      </c>
      <c r="D435" s="11">
        <v>46026</v>
      </c>
      <c r="E435" s="11">
        <v>46056</v>
      </c>
      <c r="F435" s="5">
        <v>1980.97</v>
      </c>
      <c r="G435" s="3">
        <f>SUMIF(Customer_Payments!B:B,C435,Customer_Payments!E:E)</f>
        <v>1980.97</v>
      </c>
      <c r="H435" s="3">
        <f t="shared" si="18"/>
        <v>0</v>
      </c>
      <c r="I435" s="29">
        <f t="shared" si="19"/>
        <v>35</v>
      </c>
      <c r="J435" s="31" t="str">
        <f t="shared" si="20"/>
        <v>31-60</v>
      </c>
      <c r="K435"/>
    </row>
    <row r="436" spans="1:11" x14ac:dyDescent="0.3">
      <c r="A436" s="20" t="s">
        <v>101</v>
      </c>
      <c r="B436" t="str">
        <f>VLOOKUP(A436,Customers!A:B,2,FALSE)</f>
        <v>RetailMatrixPro</v>
      </c>
      <c r="C436" s="24" t="s">
        <v>803</v>
      </c>
      <c r="D436" s="10">
        <v>46040</v>
      </c>
      <c r="E436" s="10">
        <v>46070</v>
      </c>
      <c r="F436" s="4">
        <v>2926.88</v>
      </c>
      <c r="G436" s="3">
        <f>SUMIF(Customer_Payments!B:B,C436,Customer_Payments!E:E)</f>
        <v>2926.88</v>
      </c>
      <c r="H436" s="3">
        <f t="shared" si="18"/>
        <v>0</v>
      </c>
      <c r="I436" s="29">
        <f t="shared" si="19"/>
        <v>21</v>
      </c>
      <c r="J436" s="31" t="str">
        <f t="shared" si="20"/>
        <v>1-30</v>
      </c>
      <c r="K436"/>
    </row>
    <row r="437" spans="1:11" x14ac:dyDescent="0.3">
      <c r="A437" s="21" t="s">
        <v>61</v>
      </c>
      <c r="B437" t="str">
        <f>VLOOKUP(A437,Customers!A:B,2,FALSE)</f>
        <v>RetailOrbit</v>
      </c>
      <c r="C437" s="25" t="s">
        <v>804</v>
      </c>
      <c r="D437" s="11">
        <v>46004</v>
      </c>
      <c r="E437" s="11">
        <v>46034</v>
      </c>
      <c r="F437" s="5">
        <v>3764.79</v>
      </c>
      <c r="G437" s="3">
        <f>SUMIF(Customer_Payments!B:B,C437,Customer_Payments!E:E)</f>
        <v>3764.79</v>
      </c>
      <c r="H437" s="3">
        <f t="shared" si="18"/>
        <v>0</v>
      </c>
      <c r="I437" s="29">
        <f t="shared" si="19"/>
        <v>57</v>
      </c>
      <c r="J437" s="31" t="str">
        <f t="shared" si="20"/>
        <v>31-60</v>
      </c>
      <c r="K437"/>
    </row>
    <row r="438" spans="1:11" x14ac:dyDescent="0.3">
      <c r="A438" s="20" t="s">
        <v>110</v>
      </c>
      <c r="B438" t="str">
        <f>VLOOKUP(A438,Customers!A:B,2,FALSE)</f>
        <v>RetailAxisPro</v>
      </c>
      <c r="C438" s="24" t="s">
        <v>805</v>
      </c>
      <c r="D438" s="10">
        <v>46039</v>
      </c>
      <c r="E438" s="10">
        <v>46069</v>
      </c>
      <c r="F438" s="4">
        <v>5232.3</v>
      </c>
      <c r="G438" s="3">
        <f>SUMIF(Customer_Payments!B:B,C438,Customer_Payments!E:E)</f>
        <v>0</v>
      </c>
      <c r="H438" s="3">
        <f t="shared" si="18"/>
        <v>5232.3</v>
      </c>
      <c r="I438" s="29">
        <f t="shared" si="19"/>
        <v>22</v>
      </c>
      <c r="J438" s="31" t="str">
        <f t="shared" si="20"/>
        <v>1-30</v>
      </c>
      <c r="K438"/>
    </row>
    <row r="439" spans="1:11" x14ac:dyDescent="0.3">
      <c r="A439" s="21" t="s">
        <v>28</v>
      </c>
      <c r="B439" t="str">
        <f>VLOOKUP(A439,Customers!A:B,2,FALSE)</f>
        <v>FutureCart</v>
      </c>
      <c r="C439" s="25" t="s">
        <v>806</v>
      </c>
      <c r="D439" s="11">
        <v>45996</v>
      </c>
      <c r="E439" s="11">
        <v>46026</v>
      </c>
      <c r="F439" s="5">
        <v>3084.09</v>
      </c>
      <c r="G439" s="3">
        <f>SUMIF(Customer_Payments!B:B,C439,Customer_Payments!E:E)</f>
        <v>3084.09</v>
      </c>
      <c r="H439" s="3">
        <f t="shared" si="18"/>
        <v>0</v>
      </c>
      <c r="I439" s="29">
        <f t="shared" si="19"/>
        <v>65</v>
      </c>
      <c r="J439" s="31" t="str">
        <f t="shared" si="20"/>
        <v>61-90</v>
      </c>
      <c r="K439"/>
    </row>
    <row r="440" spans="1:11" x14ac:dyDescent="0.3">
      <c r="A440" s="20" t="s">
        <v>116</v>
      </c>
      <c r="B440" t="str">
        <f>VLOOKUP(A440,Customers!A:B,2,FALSE)</f>
        <v>RetailLabsPro</v>
      </c>
      <c r="C440" s="24" t="s">
        <v>807</v>
      </c>
      <c r="D440" s="10">
        <v>45975</v>
      </c>
      <c r="E440" s="10">
        <v>46005</v>
      </c>
      <c r="F440" s="4">
        <v>2979</v>
      </c>
      <c r="G440" s="3">
        <f>SUMIF(Customer_Payments!B:B,C440,Customer_Payments!E:E)</f>
        <v>2979</v>
      </c>
      <c r="H440" s="3">
        <f t="shared" si="18"/>
        <v>0</v>
      </c>
      <c r="I440" s="29">
        <f t="shared" si="19"/>
        <v>86</v>
      </c>
      <c r="J440" s="31" t="str">
        <f t="shared" si="20"/>
        <v>61-90</v>
      </c>
      <c r="K440"/>
    </row>
    <row r="441" spans="1:11" x14ac:dyDescent="0.3">
      <c r="A441" s="21" t="s">
        <v>103</v>
      </c>
      <c r="B441" t="str">
        <f>VLOOKUP(A441,Customers!A:B,2,FALSE)</f>
        <v>RetailVisionPro</v>
      </c>
      <c r="C441" s="25" t="s">
        <v>808</v>
      </c>
      <c r="D441" s="11">
        <v>46103</v>
      </c>
      <c r="E441" s="11">
        <v>46133</v>
      </c>
      <c r="F441" s="5">
        <v>4179.68</v>
      </c>
      <c r="G441" s="3">
        <f>SUMIF(Customer_Payments!B:B,C441,Customer_Payments!E:E)</f>
        <v>4179.68</v>
      </c>
      <c r="H441" s="3">
        <f t="shared" si="18"/>
        <v>0</v>
      </c>
      <c r="I441" s="29">
        <f t="shared" si="19"/>
        <v>-42</v>
      </c>
      <c r="J441" s="31" t="str">
        <f t="shared" si="20"/>
        <v>Current</v>
      </c>
      <c r="K441"/>
    </row>
    <row r="442" spans="1:11" x14ac:dyDescent="0.3">
      <c r="A442" s="20" t="s">
        <v>117</v>
      </c>
      <c r="B442" t="str">
        <f>VLOOKUP(A442,Customers!A:B,2,FALSE)</f>
        <v>RetailSparkPro</v>
      </c>
      <c r="C442" s="24" t="s">
        <v>809</v>
      </c>
      <c r="D442" s="10">
        <v>46089</v>
      </c>
      <c r="E442" s="10">
        <v>46119</v>
      </c>
      <c r="F442" s="4">
        <v>14010.09</v>
      </c>
      <c r="G442" s="3">
        <f>SUMIF(Customer_Payments!B:B,C442,Customer_Payments!E:E)</f>
        <v>14010.09</v>
      </c>
      <c r="H442" s="3">
        <f t="shared" si="18"/>
        <v>0</v>
      </c>
      <c r="I442" s="29">
        <f t="shared" si="19"/>
        <v>-28</v>
      </c>
      <c r="J442" s="31" t="str">
        <f t="shared" si="20"/>
        <v>Current</v>
      </c>
      <c r="K442"/>
    </row>
    <row r="443" spans="1:11" x14ac:dyDescent="0.3">
      <c r="A443" s="21" t="s">
        <v>104</v>
      </c>
      <c r="B443" t="str">
        <f>VLOOKUP(A443,Customers!A:B,2,FALSE)</f>
        <v>RetailCorePro</v>
      </c>
      <c r="C443" s="25" t="s">
        <v>810</v>
      </c>
      <c r="D443" s="11">
        <v>46100</v>
      </c>
      <c r="E443" s="11">
        <v>46130</v>
      </c>
      <c r="F443" s="5">
        <v>4499.3500000000004</v>
      </c>
      <c r="G443" s="3">
        <f>SUMIF(Customer_Payments!B:B,C443,Customer_Payments!E:E)</f>
        <v>0</v>
      </c>
      <c r="H443" s="3">
        <f t="shared" si="18"/>
        <v>4499.3500000000004</v>
      </c>
      <c r="I443" s="29">
        <f t="shared" si="19"/>
        <v>-39</v>
      </c>
      <c r="J443" s="31" t="str">
        <f t="shared" si="20"/>
        <v>Current</v>
      </c>
      <c r="K443"/>
    </row>
    <row r="444" spans="1:11" x14ac:dyDescent="0.3">
      <c r="A444" s="20" t="s">
        <v>87</v>
      </c>
      <c r="B444" t="str">
        <f>VLOOKUP(A444,Customers!A:B,2,FALSE)</f>
        <v>RetailStreamX</v>
      </c>
      <c r="C444" s="24" t="s">
        <v>811</v>
      </c>
      <c r="D444" s="10">
        <v>46048</v>
      </c>
      <c r="E444" s="10">
        <v>46078</v>
      </c>
      <c r="F444" s="4">
        <v>1722.74</v>
      </c>
      <c r="G444" s="3">
        <f>SUMIF(Customer_Payments!B:B,C444,Customer_Payments!E:E)</f>
        <v>1722.74</v>
      </c>
      <c r="H444" s="3">
        <f t="shared" si="18"/>
        <v>0</v>
      </c>
      <c r="I444" s="29">
        <f t="shared" si="19"/>
        <v>13</v>
      </c>
      <c r="J444" s="31" t="str">
        <f t="shared" si="20"/>
        <v>1-30</v>
      </c>
      <c r="K444"/>
    </row>
    <row r="445" spans="1:11" x14ac:dyDescent="0.3">
      <c r="A445" s="21" t="s">
        <v>105</v>
      </c>
      <c r="B445" t="str">
        <f>VLOOKUP(A445,Customers!A:B,2,FALSE)</f>
        <v>RetailFlowPro</v>
      </c>
      <c r="C445" s="25" t="s">
        <v>812</v>
      </c>
      <c r="D445" s="11">
        <v>46049</v>
      </c>
      <c r="E445" s="11">
        <v>46079</v>
      </c>
      <c r="F445" s="5">
        <v>11400.83</v>
      </c>
      <c r="G445" s="3">
        <f>SUMIF(Customer_Payments!B:B,C445,Customer_Payments!E:E)</f>
        <v>0</v>
      </c>
      <c r="H445" s="3">
        <f t="shared" si="18"/>
        <v>11400.83</v>
      </c>
      <c r="I445" s="29">
        <f t="shared" si="19"/>
        <v>12</v>
      </c>
      <c r="J445" s="31" t="str">
        <f t="shared" si="20"/>
        <v>1-30</v>
      </c>
      <c r="K445"/>
    </row>
    <row r="446" spans="1:11" x14ac:dyDescent="0.3">
      <c r="A446" s="20" t="s">
        <v>119</v>
      </c>
      <c r="B446" t="str">
        <f>VLOOKUP(A446,Customers!A:B,2,FALSE)</f>
        <v>RetailNovaGlobal</v>
      </c>
      <c r="C446" s="24" t="s">
        <v>813</v>
      </c>
      <c r="D446" s="10">
        <v>46093</v>
      </c>
      <c r="E446" s="10">
        <v>46123</v>
      </c>
      <c r="F446" s="4">
        <v>2883.42</v>
      </c>
      <c r="G446" s="3">
        <f>SUMIF(Customer_Payments!B:B,C446,Customer_Payments!E:E)</f>
        <v>2883.42</v>
      </c>
      <c r="H446" s="3">
        <f t="shared" si="18"/>
        <v>0</v>
      </c>
      <c r="I446" s="29">
        <f t="shared" si="19"/>
        <v>-32</v>
      </c>
      <c r="J446" s="31" t="str">
        <f t="shared" si="20"/>
        <v>Current</v>
      </c>
      <c r="K446"/>
    </row>
    <row r="447" spans="1:11" x14ac:dyDescent="0.3">
      <c r="A447" s="21" t="s">
        <v>118</v>
      </c>
      <c r="B447" t="str">
        <f>VLOOKUP(A447,Customers!A:B,2,FALSE)</f>
        <v>RetailEdgeGlobal</v>
      </c>
      <c r="C447" s="25" t="s">
        <v>814</v>
      </c>
      <c r="D447" s="11">
        <v>46048</v>
      </c>
      <c r="E447" s="11">
        <v>46078</v>
      </c>
      <c r="F447" s="5">
        <v>2454.6999999999998</v>
      </c>
      <c r="G447" s="3">
        <f>SUMIF(Customer_Payments!B:B,C447,Customer_Payments!E:E)</f>
        <v>2454.6999999999998</v>
      </c>
      <c r="H447" s="3">
        <f t="shared" si="18"/>
        <v>0</v>
      </c>
      <c r="I447" s="29">
        <f t="shared" si="19"/>
        <v>13</v>
      </c>
      <c r="J447" s="31" t="str">
        <f t="shared" si="20"/>
        <v>1-30</v>
      </c>
      <c r="K447"/>
    </row>
    <row r="448" spans="1:11" x14ac:dyDescent="0.3">
      <c r="A448" s="20" t="s">
        <v>52</v>
      </c>
      <c r="B448" t="str">
        <f>VLOOKUP(A448,Customers!A:B,2,FALSE)</f>
        <v>RetailShift</v>
      </c>
      <c r="C448" s="24" t="s">
        <v>815</v>
      </c>
      <c r="D448" s="10">
        <v>45975</v>
      </c>
      <c r="E448" s="10">
        <v>46005</v>
      </c>
      <c r="F448" s="4">
        <v>1507.06</v>
      </c>
      <c r="G448" s="3">
        <f>SUMIF(Customer_Payments!B:B,C448,Customer_Payments!E:E)</f>
        <v>1507.06</v>
      </c>
      <c r="H448" s="3">
        <f t="shared" si="18"/>
        <v>0</v>
      </c>
      <c r="I448" s="29">
        <f t="shared" si="19"/>
        <v>86</v>
      </c>
      <c r="J448" s="31" t="str">
        <f t="shared" si="20"/>
        <v>61-90</v>
      </c>
      <c r="K448"/>
    </row>
    <row r="449" spans="1:11" x14ac:dyDescent="0.3">
      <c r="A449" s="21" t="s">
        <v>112</v>
      </c>
      <c r="B449" t="str">
        <f>VLOOKUP(A449,Customers!A:B,2,FALSE)</f>
        <v>RetailBridgePro</v>
      </c>
      <c r="C449" s="25" t="s">
        <v>816</v>
      </c>
      <c r="D449" s="11">
        <v>46078</v>
      </c>
      <c r="E449" s="11">
        <v>46108</v>
      </c>
      <c r="F449" s="5">
        <v>3354.81</v>
      </c>
      <c r="G449" s="3">
        <f>SUMIF(Customer_Payments!B:B,C449,Customer_Payments!E:E)</f>
        <v>0</v>
      </c>
      <c r="H449" s="3">
        <f t="shared" si="18"/>
        <v>3354.81</v>
      </c>
      <c r="I449" s="29">
        <f t="shared" si="19"/>
        <v>-17</v>
      </c>
      <c r="J449" s="31" t="str">
        <f t="shared" si="20"/>
        <v>Current</v>
      </c>
      <c r="K449"/>
    </row>
    <row r="450" spans="1:11" x14ac:dyDescent="0.3">
      <c r="A450" s="20" t="s">
        <v>80</v>
      </c>
      <c r="B450" t="str">
        <f>VLOOKUP(A450,Customers!A:B,2,FALSE)</f>
        <v>RetailEdgeX</v>
      </c>
      <c r="C450" s="24" t="s">
        <v>817</v>
      </c>
      <c r="D450" s="10">
        <v>46025</v>
      </c>
      <c r="E450" s="10">
        <v>46055</v>
      </c>
      <c r="F450" s="4">
        <v>4989.43</v>
      </c>
      <c r="G450" s="3">
        <f>SUMIF(Customer_Payments!B:B,C450,Customer_Payments!E:E)</f>
        <v>4989.43</v>
      </c>
      <c r="H450" s="3">
        <f t="shared" ref="H450:H513" si="21">MAX(F450-G450,0)</f>
        <v>0</v>
      </c>
      <c r="I450" s="29">
        <f t="shared" ref="I450:I513" si="22">$L$2-E450</f>
        <v>36</v>
      </c>
      <c r="J450" s="31" t="str">
        <f t="shared" si="20"/>
        <v>31-60</v>
      </c>
      <c r="K450"/>
    </row>
    <row r="451" spans="1:11" x14ac:dyDescent="0.3">
      <c r="A451" s="21" t="s">
        <v>104</v>
      </c>
      <c r="B451" t="str">
        <f>VLOOKUP(A451,Customers!A:B,2,FALSE)</f>
        <v>RetailCorePro</v>
      </c>
      <c r="C451" s="25" t="s">
        <v>818</v>
      </c>
      <c r="D451" s="11">
        <v>45984</v>
      </c>
      <c r="E451" s="11">
        <v>46014</v>
      </c>
      <c r="F451" s="5">
        <v>5132.28</v>
      </c>
      <c r="G451" s="3">
        <f>SUMIF(Customer_Payments!B:B,C451,Customer_Payments!E:E)</f>
        <v>0</v>
      </c>
      <c r="H451" s="3">
        <f t="shared" si="21"/>
        <v>5132.28</v>
      </c>
      <c r="I451" s="29">
        <f t="shared" si="22"/>
        <v>77</v>
      </c>
      <c r="J451" s="31" t="str">
        <f t="shared" ref="J451:J514" si="23">IF(I451&lt;=0,"Current",
IF(I451&lt;=30,"1-30",
IF(I451&lt;=60,"31-60",
IF(I451&lt;=90,"61-90","90+"))))</f>
        <v>61-90</v>
      </c>
      <c r="K451"/>
    </row>
    <row r="452" spans="1:11" x14ac:dyDescent="0.3">
      <c r="A452" s="20" t="s">
        <v>116</v>
      </c>
      <c r="B452" t="str">
        <f>VLOOKUP(A452,Customers!A:B,2,FALSE)</f>
        <v>RetailLabsPro</v>
      </c>
      <c r="C452" s="24" t="s">
        <v>819</v>
      </c>
      <c r="D452" s="10">
        <v>46072</v>
      </c>
      <c r="E452" s="10">
        <v>46102</v>
      </c>
      <c r="F452" s="4">
        <v>2455.13</v>
      </c>
      <c r="G452" s="3">
        <f>SUMIF(Customer_Payments!B:B,C452,Customer_Payments!E:E)</f>
        <v>2455.13</v>
      </c>
      <c r="H452" s="3">
        <f t="shared" si="21"/>
        <v>0</v>
      </c>
      <c r="I452" s="29">
        <f t="shared" si="22"/>
        <v>-11</v>
      </c>
      <c r="J452" s="31" t="str">
        <f t="shared" si="23"/>
        <v>Current</v>
      </c>
      <c r="K452"/>
    </row>
    <row r="453" spans="1:11" x14ac:dyDescent="0.3">
      <c r="A453" s="21" t="s">
        <v>95</v>
      </c>
      <c r="B453" t="str">
        <f>VLOOKUP(A453,Customers!A:B,2,FALSE)</f>
        <v>RetailScaleX</v>
      </c>
      <c r="C453" s="25" t="s">
        <v>820</v>
      </c>
      <c r="D453" s="11">
        <v>46007</v>
      </c>
      <c r="E453" s="11">
        <v>46037</v>
      </c>
      <c r="F453" s="5">
        <v>4882.57</v>
      </c>
      <c r="G453" s="3">
        <f>SUMIF(Customer_Payments!B:B,C453,Customer_Payments!E:E)</f>
        <v>4882.57</v>
      </c>
      <c r="H453" s="3">
        <f t="shared" si="21"/>
        <v>0</v>
      </c>
      <c r="I453" s="29">
        <f t="shared" si="22"/>
        <v>54</v>
      </c>
      <c r="J453" s="31" t="str">
        <f t="shared" si="23"/>
        <v>31-60</v>
      </c>
      <c r="K453"/>
    </row>
    <row r="454" spans="1:11" x14ac:dyDescent="0.3">
      <c r="A454" s="20" t="s">
        <v>119</v>
      </c>
      <c r="B454" t="str">
        <f>VLOOKUP(A454,Customers!A:B,2,FALSE)</f>
        <v>RetailNovaGlobal</v>
      </c>
      <c r="C454" s="24" t="s">
        <v>821</v>
      </c>
      <c r="D454" s="10">
        <v>45976</v>
      </c>
      <c r="E454" s="10">
        <v>46006</v>
      </c>
      <c r="F454" s="4">
        <v>5764.3</v>
      </c>
      <c r="G454" s="3">
        <f>SUMIF(Customer_Payments!B:B,C454,Customer_Payments!E:E)</f>
        <v>0</v>
      </c>
      <c r="H454" s="3">
        <f t="shared" si="21"/>
        <v>5764.3</v>
      </c>
      <c r="I454" s="29">
        <f t="shared" si="22"/>
        <v>85</v>
      </c>
      <c r="J454" s="31" t="str">
        <f t="shared" si="23"/>
        <v>61-90</v>
      </c>
      <c r="K454"/>
    </row>
    <row r="455" spans="1:11" x14ac:dyDescent="0.3">
      <c r="A455" s="21" t="s">
        <v>92</v>
      </c>
      <c r="B455" t="str">
        <f>VLOOKUP(A455,Customers!A:B,2,FALSE)</f>
        <v>RetailMatrixX</v>
      </c>
      <c r="C455" s="25" t="s">
        <v>822</v>
      </c>
      <c r="D455" s="11">
        <v>46080</v>
      </c>
      <c r="E455" s="11">
        <v>46110</v>
      </c>
      <c r="F455" s="5">
        <v>2093.34</v>
      </c>
      <c r="G455" s="3">
        <f>SUMIF(Customer_Payments!B:B,C455,Customer_Payments!E:E)</f>
        <v>2093.34</v>
      </c>
      <c r="H455" s="3">
        <f t="shared" si="21"/>
        <v>0</v>
      </c>
      <c r="I455" s="29">
        <f t="shared" si="22"/>
        <v>-19</v>
      </c>
      <c r="J455" s="31" t="str">
        <f t="shared" si="23"/>
        <v>Current</v>
      </c>
      <c r="K455"/>
    </row>
    <row r="456" spans="1:11" x14ac:dyDescent="0.3">
      <c r="A456" s="20" t="s">
        <v>96</v>
      </c>
      <c r="B456" t="str">
        <f>VLOOKUP(A456,Customers!A:B,2,FALSE)</f>
        <v>RetailLabs</v>
      </c>
      <c r="C456" s="24" t="s">
        <v>823</v>
      </c>
      <c r="D456" s="10">
        <v>46053</v>
      </c>
      <c r="E456" s="10">
        <v>46083</v>
      </c>
      <c r="F456" s="4">
        <v>1559.18</v>
      </c>
      <c r="G456" s="3">
        <f>SUMIF(Customer_Payments!B:B,C456,Customer_Payments!E:E)</f>
        <v>1559.18</v>
      </c>
      <c r="H456" s="3">
        <f t="shared" si="21"/>
        <v>0</v>
      </c>
      <c r="I456" s="29">
        <f t="shared" si="22"/>
        <v>8</v>
      </c>
      <c r="J456" s="31" t="str">
        <f t="shared" si="23"/>
        <v>1-30</v>
      </c>
      <c r="K456"/>
    </row>
    <row r="457" spans="1:11" x14ac:dyDescent="0.3">
      <c r="A457" s="21" t="s">
        <v>34</v>
      </c>
      <c r="B457" t="str">
        <f>VLOOKUP(A457,Customers!A:B,2,FALSE)</f>
        <v>OptiCommerce</v>
      </c>
      <c r="C457" s="25" t="s">
        <v>824</v>
      </c>
      <c r="D457" s="11">
        <v>46038</v>
      </c>
      <c r="E457" s="11">
        <v>46068</v>
      </c>
      <c r="F457" s="5">
        <v>4858.46</v>
      </c>
      <c r="G457" s="3">
        <f>SUMIF(Customer_Payments!B:B,C457,Customer_Payments!E:E)</f>
        <v>4858.46</v>
      </c>
      <c r="H457" s="3">
        <f t="shared" si="21"/>
        <v>0</v>
      </c>
      <c r="I457" s="29">
        <f t="shared" si="22"/>
        <v>23</v>
      </c>
      <c r="J457" s="31" t="str">
        <f t="shared" si="23"/>
        <v>1-30</v>
      </c>
      <c r="K457"/>
    </row>
    <row r="458" spans="1:11" x14ac:dyDescent="0.3">
      <c r="A458" s="20" t="s">
        <v>63</v>
      </c>
      <c r="B458" t="str">
        <f>VLOOKUP(A458,Customers!A:B,2,FALSE)</f>
        <v>RetailCore</v>
      </c>
      <c r="C458" s="24" t="s">
        <v>825</v>
      </c>
      <c r="D458" s="10">
        <v>46025</v>
      </c>
      <c r="E458" s="10">
        <v>46055</v>
      </c>
      <c r="F458" s="4">
        <v>9974.11</v>
      </c>
      <c r="G458" s="3">
        <f>SUMIF(Customer_Payments!B:B,C458,Customer_Payments!E:E)</f>
        <v>9974.11</v>
      </c>
      <c r="H458" s="3">
        <f t="shared" si="21"/>
        <v>0</v>
      </c>
      <c r="I458" s="29">
        <f t="shared" si="22"/>
        <v>36</v>
      </c>
      <c r="J458" s="31" t="str">
        <f t="shared" si="23"/>
        <v>31-60</v>
      </c>
      <c r="K458"/>
    </row>
    <row r="459" spans="1:11" x14ac:dyDescent="0.3">
      <c r="A459" s="21" t="s">
        <v>61</v>
      </c>
      <c r="B459" t="str">
        <f>VLOOKUP(A459,Customers!A:B,2,FALSE)</f>
        <v>RetailOrbit</v>
      </c>
      <c r="C459" s="25" t="s">
        <v>826</v>
      </c>
      <c r="D459" s="11">
        <v>46033</v>
      </c>
      <c r="E459" s="11">
        <v>46063</v>
      </c>
      <c r="F459" s="5">
        <v>2409.6799999999998</v>
      </c>
      <c r="G459" s="3">
        <f>SUMIF(Customer_Payments!B:B,C459,Customer_Payments!E:E)</f>
        <v>0</v>
      </c>
      <c r="H459" s="3">
        <f t="shared" si="21"/>
        <v>2409.6799999999998</v>
      </c>
      <c r="I459" s="29">
        <f t="shared" si="22"/>
        <v>28</v>
      </c>
      <c r="J459" s="31" t="str">
        <f t="shared" si="23"/>
        <v>1-30</v>
      </c>
      <c r="K459"/>
    </row>
    <row r="460" spans="1:11" x14ac:dyDescent="0.3">
      <c r="A460" s="20" t="s">
        <v>100</v>
      </c>
      <c r="B460" t="str">
        <f>VLOOKUP(A460,Customers!A:B,2,FALSE)</f>
        <v>RetailBoostPro</v>
      </c>
      <c r="C460" s="24" t="s">
        <v>827</v>
      </c>
      <c r="D460" s="10">
        <v>45981</v>
      </c>
      <c r="E460" s="10">
        <v>46011</v>
      </c>
      <c r="F460" s="4">
        <v>1535.17</v>
      </c>
      <c r="G460" s="3">
        <f>SUMIF(Customer_Payments!B:B,C460,Customer_Payments!E:E)</f>
        <v>1535.17</v>
      </c>
      <c r="H460" s="3">
        <f t="shared" si="21"/>
        <v>0</v>
      </c>
      <c r="I460" s="29">
        <f t="shared" si="22"/>
        <v>80</v>
      </c>
      <c r="J460" s="31" t="str">
        <f t="shared" si="23"/>
        <v>61-90</v>
      </c>
      <c r="K460"/>
    </row>
    <row r="461" spans="1:11" x14ac:dyDescent="0.3">
      <c r="A461" s="21" t="s">
        <v>106</v>
      </c>
      <c r="B461" t="str">
        <f>VLOOKUP(A461,Customers!A:B,2,FALSE)</f>
        <v>RetailOrbitPro</v>
      </c>
      <c r="C461" s="25" t="s">
        <v>828</v>
      </c>
      <c r="D461" s="11">
        <v>46003</v>
      </c>
      <c r="E461" s="11">
        <v>46033</v>
      </c>
      <c r="F461" s="5">
        <v>2523.84</v>
      </c>
      <c r="G461" s="3">
        <f>SUMIF(Customer_Payments!B:B,C461,Customer_Payments!E:E)</f>
        <v>2523.84</v>
      </c>
      <c r="H461" s="3">
        <f t="shared" si="21"/>
        <v>0</v>
      </c>
      <c r="I461" s="29">
        <f t="shared" si="22"/>
        <v>58</v>
      </c>
      <c r="J461" s="31" t="str">
        <f t="shared" si="23"/>
        <v>31-60</v>
      </c>
      <c r="K461"/>
    </row>
    <row r="462" spans="1:11" x14ac:dyDescent="0.3">
      <c r="A462" s="20" t="s">
        <v>79</v>
      </c>
      <c r="B462" t="str">
        <f>VLOOKUP(A462,Customers!A:B,2,FALSE)</f>
        <v>RetailBoostX</v>
      </c>
      <c r="C462" s="24" t="s">
        <v>829</v>
      </c>
      <c r="D462" s="10">
        <v>45992</v>
      </c>
      <c r="E462" s="10">
        <v>46022</v>
      </c>
      <c r="F462" s="4">
        <v>5283.15</v>
      </c>
      <c r="G462" s="3">
        <f>SUMIF(Customer_Payments!B:B,C462,Customer_Payments!E:E)</f>
        <v>5283.15</v>
      </c>
      <c r="H462" s="3">
        <f t="shared" si="21"/>
        <v>0</v>
      </c>
      <c r="I462" s="29">
        <f t="shared" si="22"/>
        <v>69</v>
      </c>
      <c r="J462" s="31" t="str">
        <f t="shared" si="23"/>
        <v>61-90</v>
      </c>
      <c r="K462"/>
    </row>
    <row r="463" spans="1:11" x14ac:dyDescent="0.3">
      <c r="A463" s="21" t="s">
        <v>34</v>
      </c>
      <c r="B463" t="str">
        <f>VLOOKUP(A463,Customers!A:B,2,FALSE)</f>
        <v>OptiCommerce</v>
      </c>
      <c r="C463" s="25" t="s">
        <v>830</v>
      </c>
      <c r="D463" s="11">
        <v>46023</v>
      </c>
      <c r="E463" s="11">
        <v>46053</v>
      </c>
      <c r="F463" s="5">
        <v>3132.38</v>
      </c>
      <c r="G463" s="3">
        <f>SUMIF(Customer_Payments!B:B,C463,Customer_Payments!E:E)</f>
        <v>3132.38</v>
      </c>
      <c r="H463" s="3">
        <f t="shared" si="21"/>
        <v>0</v>
      </c>
      <c r="I463" s="29">
        <f t="shared" si="22"/>
        <v>38</v>
      </c>
      <c r="J463" s="31" t="str">
        <f t="shared" si="23"/>
        <v>31-60</v>
      </c>
      <c r="K463"/>
    </row>
    <row r="464" spans="1:11" x14ac:dyDescent="0.3">
      <c r="A464" s="20" t="s">
        <v>117</v>
      </c>
      <c r="B464" t="str">
        <f>VLOOKUP(A464,Customers!A:B,2,FALSE)</f>
        <v>RetailSparkPro</v>
      </c>
      <c r="C464" s="24" t="s">
        <v>831</v>
      </c>
      <c r="D464" s="10">
        <v>46014</v>
      </c>
      <c r="E464" s="10">
        <v>46044</v>
      </c>
      <c r="F464" s="4">
        <v>1978.75</v>
      </c>
      <c r="G464" s="3">
        <f>SUMIF(Customer_Payments!B:B,C464,Customer_Payments!E:E)</f>
        <v>1978.75</v>
      </c>
      <c r="H464" s="3">
        <f t="shared" si="21"/>
        <v>0</v>
      </c>
      <c r="I464" s="29">
        <f t="shared" si="22"/>
        <v>47</v>
      </c>
      <c r="J464" s="31" t="str">
        <f t="shared" si="23"/>
        <v>31-60</v>
      </c>
      <c r="K464"/>
    </row>
    <row r="465" spans="1:11" x14ac:dyDescent="0.3">
      <c r="A465" s="21" t="s">
        <v>82</v>
      </c>
      <c r="B465" t="str">
        <f>VLOOKUP(A465,Customers!A:B,2,FALSE)</f>
        <v>RetailNovaX</v>
      </c>
      <c r="C465" s="25" t="s">
        <v>832</v>
      </c>
      <c r="D465" s="11">
        <v>46069</v>
      </c>
      <c r="E465" s="11">
        <v>46099</v>
      </c>
      <c r="F465" s="5">
        <v>4173.38</v>
      </c>
      <c r="G465" s="3">
        <f>SUMIF(Customer_Payments!B:B,C465,Customer_Payments!E:E)</f>
        <v>0</v>
      </c>
      <c r="H465" s="3">
        <f t="shared" si="21"/>
        <v>4173.38</v>
      </c>
      <c r="I465" s="29">
        <f t="shared" si="22"/>
        <v>-8</v>
      </c>
      <c r="J465" s="31" t="str">
        <f t="shared" si="23"/>
        <v>Current</v>
      </c>
      <c r="K465"/>
    </row>
    <row r="466" spans="1:11" x14ac:dyDescent="0.3">
      <c r="A466" s="20" t="s">
        <v>38</v>
      </c>
      <c r="B466" t="str">
        <f>VLOOKUP(A466,Customers!A:B,2,FALSE)</f>
        <v>RetailForge</v>
      </c>
      <c r="C466" s="24" t="s">
        <v>833</v>
      </c>
      <c r="D466" s="10">
        <v>46086</v>
      </c>
      <c r="E466" s="10">
        <v>46116</v>
      </c>
      <c r="F466" s="4">
        <v>1716.5</v>
      </c>
      <c r="G466" s="3">
        <f>SUMIF(Customer_Payments!B:B,C466,Customer_Payments!E:E)</f>
        <v>0</v>
      </c>
      <c r="H466" s="3">
        <f t="shared" si="21"/>
        <v>1716.5</v>
      </c>
      <c r="I466" s="29">
        <f t="shared" si="22"/>
        <v>-25</v>
      </c>
      <c r="J466" s="31" t="str">
        <f t="shared" si="23"/>
        <v>Current</v>
      </c>
      <c r="K466"/>
    </row>
    <row r="467" spans="1:11" x14ac:dyDescent="0.3">
      <c r="A467" s="21" t="s">
        <v>99</v>
      </c>
      <c r="B467" t="str">
        <f>VLOOKUP(A467,Customers!A:B,2,FALSE)</f>
        <v>RetailNovaPro</v>
      </c>
      <c r="C467" s="25" t="s">
        <v>834</v>
      </c>
      <c r="D467" s="11">
        <v>46021</v>
      </c>
      <c r="E467" s="11">
        <v>46051</v>
      </c>
      <c r="F467" s="5">
        <v>2644.62</v>
      </c>
      <c r="G467" s="3">
        <f>SUMIF(Customer_Payments!B:B,C467,Customer_Payments!E:E)</f>
        <v>2644.62</v>
      </c>
      <c r="H467" s="3">
        <f t="shared" si="21"/>
        <v>0</v>
      </c>
      <c r="I467" s="29">
        <f t="shared" si="22"/>
        <v>40</v>
      </c>
      <c r="J467" s="31" t="str">
        <f t="shared" si="23"/>
        <v>31-60</v>
      </c>
      <c r="K467"/>
    </row>
    <row r="468" spans="1:11" x14ac:dyDescent="0.3">
      <c r="A468" s="20" t="s">
        <v>91</v>
      </c>
      <c r="B468" t="str">
        <f>VLOOKUP(A468,Customers!A:B,2,FALSE)</f>
        <v>RetailBridgeX</v>
      </c>
      <c r="C468" s="24" t="s">
        <v>835</v>
      </c>
      <c r="D468" s="10">
        <v>46021</v>
      </c>
      <c r="E468" s="10">
        <v>46051</v>
      </c>
      <c r="F468" s="4">
        <v>3198.89</v>
      </c>
      <c r="G468" s="3">
        <f>SUMIF(Customer_Payments!B:B,C468,Customer_Payments!E:E)</f>
        <v>0</v>
      </c>
      <c r="H468" s="3">
        <f t="shared" si="21"/>
        <v>3198.89</v>
      </c>
      <c r="I468" s="29">
        <f t="shared" si="22"/>
        <v>40</v>
      </c>
      <c r="J468" s="31" t="str">
        <f t="shared" si="23"/>
        <v>31-60</v>
      </c>
      <c r="K468"/>
    </row>
    <row r="469" spans="1:11" x14ac:dyDescent="0.3">
      <c r="A469" s="21" t="s">
        <v>57</v>
      </c>
      <c r="B469" t="str">
        <f>VLOOKUP(A469,Customers!A:B,2,FALSE)</f>
        <v>MarketGenius</v>
      </c>
      <c r="C469" s="25" t="s">
        <v>836</v>
      </c>
      <c r="D469" s="11">
        <v>46044</v>
      </c>
      <c r="E469" s="11">
        <v>46074</v>
      </c>
      <c r="F469" s="5">
        <v>2205.4499999999998</v>
      </c>
      <c r="G469" s="3">
        <f>SUMIF(Customer_Payments!B:B,C469,Customer_Payments!E:E)</f>
        <v>2205.4499999999998</v>
      </c>
      <c r="H469" s="3">
        <f t="shared" si="21"/>
        <v>0</v>
      </c>
      <c r="I469" s="29">
        <f t="shared" si="22"/>
        <v>17</v>
      </c>
      <c r="J469" s="31" t="str">
        <f t="shared" si="23"/>
        <v>1-30</v>
      </c>
      <c r="K469"/>
    </row>
    <row r="470" spans="1:11" x14ac:dyDescent="0.3">
      <c r="A470" s="20" t="s">
        <v>21</v>
      </c>
      <c r="B470" t="str">
        <f>VLOOKUP(A470,Customers!A:B,2,FALSE)</f>
        <v>InsightLoop</v>
      </c>
      <c r="C470" s="24" t="s">
        <v>837</v>
      </c>
      <c r="D470" s="10">
        <v>46061</v>
      </c>
      <c r="E470" s="10">
        <v>46091</v>
      </c>
      <c r="F470" s="4">
        <v>2646.17</v>
      </c>
      <c r="G470" s="3">
        <f>SUMIF(Customer_Payments!B:B,C470,Customer_Payments!E:E)</f>
        <v>2646.17</v>
      </c>
      <c r="H470" s="3">
        <f t="shared" si="21"/>
        <v>0</v>
      </c>
      <c r="I470" s="29">
        <f t="shared" si="22"/>
        <v>0</v>
      </c>
      <c r="J470" s="31" t="str">
        <f t="shared" si="23"/>
        <v>Current</v>
      </c>
      <c r="K470"/>
    </row>
    <row r="471" spans="1:11" x14ac:dyDescent="0.3">
      <c r="A471" s="21" t="s">
        <v>8</v>
      </c>
      <c r="B471" t="str">
        <f>VLOOKUP(A471,Customers!A:B,2,FALSE)</f>
        <v>NexaSoft</v>
      </c>
      <c r="C471" s="25" t="s">
        <v>838</v>
      </c>
      <c r="D471" s="11">
        <v>45973</v>
      </c>
      <c r="E471" s="11">
        <v>46003</v>
      </c>
      <c r="F471" s="5">
        <v>4999.17</v>
      </c>
      <c r="G471" s="3">
        <f>SUMIF(Customer_Payments!B:B,C471,Customer_Payments!E:E)</f>
        <v>4999.17</v>
      </c>
      <c r="H471" s="3">
        <f t="shared" si="21"/>
        <v>0</v>
      </c>
      <c r="I471" s="29">
        <f t="shared" si="22"/>
        <v>88</v>
      </c>
      <c r="J471" s="31" t="str">
        <f t="shared" si="23"/>
        <v>61-90</v>
      </c>
      <c r="K471"/>
    </row>
    <row r="472" spans="1:11" x14ac:dyDescent="0.3">
      <c r="A472" s="20" t="s">
        <v>79</v>
      </c>
      <c r="B472" t="str">
        <f>VLOOKUP(A472,Customers!A:B,2,FALSE)</f>
        <v>RetailBoostX</v>
      </c>
      <c r="C472" s="24" t="s">
        <v>839</v>
      </c>
      <c r="D472" s="10">
        <v>45978</v>
      </c>
      <c r="E472" s="10">
        <v>46008</v>
      </c>
      <c r="F472" s="4">
        <v>2933.92</v>
      </c>
      <c r="G472" s="3">
        <f>SUMIF(Customer_Payments!B:B,C472,Customer_Payments!E:E)</f>
        <v>0</v>
      </c>
      <c r="H472" s="3">
        <f t="shared" si="21"/>
        <v>2933.92</v>
      </c>
      <c r="I472" s="29">
        <f t="shared" si="22"/>
        <v>83</v>
      </c>
      <c r="J472" s="31" t="str">
        <f t="shared" si="23"/>
        <v>61-90</v>
      </c>
      <c r="K472"/>
    </row>
    <row r="473" spans="1:11" x14ac:dyDescent="0.3">
      <c r="A473" s="21" t="s">
        <v>105</v>
      </c>
      <c r="B473" t="str">
        <f>VLOOKUP(A473,Customers!A:B,2,FALSE)</f>
        <v>RetailFlowPro</v>
      </c>
      <c r="C473" s="25" t="s">
        <v>840</v>
      </c>
      <c r="D473" s="11">
        <v>46023</v>
      </c>
      <c r="E473" s="11">
        <v>46053</v>
      </c>
      <c r="F473" s="5">
        <v>11353.98</v>
      </c>
      <c r="G473" s="3">
        <f>SUMIF(Customer_Payments!B:B,C473,Customer_Payments!E:E)</f>
        <v>0</v>
      </c>
      <c r="H473" s="3">
        <f t="shared" si="21"/>
        <v>11353.98</v>
      </c>
      <c r="I473" s="29">
        <f t="shared" si="22"/>
        <v>38</v>
      </c>
      <c r="J473" s="31" t="str">
        <f t="shared" si="23"/>
        <v>31-60</v>
      </c>
      <c r="K473"/>
    </row>
    <row r="474" spans="1:11" x14ac:dyDescent="0.3">
      <c r="A474" s="20" t="s">
        <v>12</v>
      </c>
      <c r="B474" t="str">
        <f>VLOOKUP(A474,Customers!A:B,2,FALSE)</f>
        <v>ShopOrbit</v>
      </c>
      <c r="C474" s="24" t="s">
        <v>841</v>
      </c>
      <c r="D474" s="10">
        <v>46110</v>
      </c>
      <c r="E474" s="10">
        <v>46140</v>
      </c>
      <c r="F474" s="4">
        <v>2420.0300000000002</v>
      </c>
      <c r="G474" s="3">
        <f>SUMIF(Customer_Payments!B:B,C474,Customer_Payments!E:E)</f>
        <v>2420.0299999999997</v>
      </c>
      <c r="H474" s="3">
        <f t="shared" si="21"/>
        <v>4.5474735088646412E-13</v>
      </c>
      <c r="I474" s="29">
        <f t="shared" si="22"/>
        <v>-49</v>
      </c>
      <c r="J474" s="31" t="str">
        <f t="shared" si="23"/>
        <v>Current</v>
      </c>
      <c r="K474"/>
    </row>
    <row r="475" spans="1:11" x14ac:dyDescent="0.3">
      <c r="A475" s="21" t="s">
        <v>98</v>
      </c>
      <c r="B475" t="str">
        <f>VLOOKUP(A475,Customers!A:B,2,FALSE)</f>
        <v>RetailEdgePro</v>
      </c>
      <c r="C475" s="25" t="s">
        <v>842</v>
      </c>
      <c r="D475" s="11">
        <v>46009</v>
      </c>
      <c r="E475" s="11">
        <v>46039</v>
      </c>
      <c r="F475" s="5">
        <v>3538.42</v>
      </c>
      <c r="G475" s="3">
        <f>SUMIF(Customer_Payments!B:B,C475,Customer_Payments!E:E)</f>
        <v>3538.42</v>
      </c>
      <c r="H475" s="3">
        <f t="shared" si="21"/>
        <v>0</v>
      </c>
      <c r="I475" s="29">
        <f t="shared" si="22"/>
        <v>52</v>
      </c>
      <c r="J475" s="31" t="str">
        <f t="shared" si="23"/>
        <v>31-60</v>
      </c>
      <c r="K475"/>
    </row>
    <row r="476" spans="1:11" x14ac:dyDescent="0.3">
      <c r="A476" s="20" t="s">
        <v>88</v>
      </c>
      <c r="B476" t="str">
        <f>VLOOKUP(A476,Customers!A:B,2,FALSE)</f>
        <v>RetailPrimeX</v>
      </c>
      <c r="C476" s="24" t="s">
        <v>843</v>
      </c>
      <c r="D476" s="10">
        <v>46017</v>
      </c>
      <c r="E476" s="10">
        <v>46047</v>
      </c>
      <c r="F476" s="4">
        <v>3873.95</v>
      </c>
      <c r="G476" s="3">
        <f>SUMIF(Customer_Payments!B:B,C476,Customer_Payments!E:E)</f>
        <v>3873.95</v>
      </c>
      <c r="H476" s="3">
        <f t="shared" si="21"/>
        <v>0</v>
      </c>
      <c r="I476" s="29">
        <f t="shared" si="22"/>
        <v>44</v>
      </c>
      <c r="J476" s="31" t="str">
        <f t="shared" si="23"/>
        <v>31-60</v>
      </c>
      <c r="K476"/>
    </row>
    <row r="477" spans="1:11" x14ac:dyDescent="0.3">
      <c r="A477" s="21" t="s">
        <v>17</v>
      </c>
      <c r="B477" t="str">
        <f>VLOOKUP(A477,Customers!A:B,2,FALSE)</f>
        <v>AlphaCommerce</v>
      </c>
      <c r="C477" s="25" t="s">
        <v>844</v>
      </c>
      <c r="D477" s="11">
        <v>45983</v>
      </c>
      <c r="E477" s="11">
        <v>46013</v>
      </c>
      <c r="F477" s="5">
        <v>3552.72</v>
      </c>
      <c r="G477" s="3">
        <f>SUMIF(Customer_Payments!B:B,C477,Customer_Payments!E:E)</f>
        <v>3552.72</v>
      </c>
      <c r="H477" s="3">
        <f t="shared" si="21"/>
        <v>0</v>
      </c>
      <c r="I477" s="29">
        <f t="shared" si="22"/>
        <v>78</v>
      </c>
      <c r="J477" s="31" t="str">
        <f t="shared" si="23"/>
        <v>61-90</v>
      </c>
      <c r="K477"/>
    </row>
    <row r="478" spans="1:11" x14ac:dyDescent="0.3">
      <c r="A478" s="20" t="s">
        <v>57</v>
      </c>
      <c r="B478" t="str">
        <f>VLOOKUP(A478,Customers!A:B,2,FALSE)</f>
        <v>MarketGenius</v>
      </c>
      <c r="C478" s="24" t="s">
        <v>845</v>
      </c>
      <c r="D478" s="10">
        <v>46051</v>
      </c>
      <c r="E478" s="10">
        <v>46081</v>
      </c>
      <c r="F478" s="4">
        <v>4089.29</v>
      </c>
      <c r="G478" s="3">
        <f>SUMIF(Customer_Payments!B:B,C478,Customer_Payments!E:E)</f>
        <v>4089.29</v>
      </c>
      <c r="H478" s="3">
        <f t="shared" si="21"/>
        <v>0</v>
      </c>
      <c r="I478" s="29">
        <f t="shared" si="22"/>
        <v>10</v>
      </c>
      <c r="J478" s="31" t="str">
        <f t="shared" si="23"/>
        <v>1-30</v>
      </c>
      <c r="K478"/>
    </row>
    <row r="479" spans="1:11" x14ac:dyDescent="0.3">
      <c r="A479" s="21" t="s">
        <v>15</v>
      </c>
      <c r="B479" t="str">
        <f>VLOOKUP(A479,Customers!A:B,2,FALSE)</f>
        <v>CloudScale</v>
      </c>
      <c r="C479" s="25" t="s">
        <v>846</v>
      </c>
      <c r="D479" s="11">
        <v>45969</v>
      </c>
      <c r="E479" s="11">
        <v>45999</v>
      </c>
      <c r="F479" s="5">
        <v>3688.01</v>
      </c>
      <c r="G479" s="3">
        <f>SUMIF(Customer_Payments!B:B,C479,Customer_Payments!E:E)</f>
        <v>3688.01</v>
      </c>
      <c r="H479" s="3">
        <f t="shared" si="21"/>
        <v>0</v>
      </c>
      <c r="I479" s="29">
        <f t="shared" si="22"/>
        <v>92</v>
      </c>
      <c r="J479" s="31" t="str">
        <f t="shared" si="23"/>
        <v>90+</v>
      </c>
      <c r="K479"/>
    </row>
    <row r="480" spans="1:11" x14ac:dyDescent="0.3">
      <c r="A480" s="20" t="s">
        <v>18</v>
      </c>
      <c r="B480" t="str">
        <f>VLOOKUP(A480,Customers!A:B,2,FALSE)</f>
        <v>BluePeak Systems</v>
      </c>
      <c r="C480" s="24" t="s">
        <v>847</v>
      </c>
      <c r="D480" s="10">
        <v>46105</v>
      </c>
      <c r="E480" s="10">
        <v>46135</v>
      </c>
      <c r="F480" s="4">
        <v>2698.68</v>
      </c>
      <c r="G480" s="3">
        <f>SUMIF(Customer_Payments!B:B,C480,Customer_Payments!E:E)</f>
        <v>2698.68</v>
      </c>
      <c r="H480" s="3">
        <f t="shared" si="21"/>
        <v>0</v>
      </c>
      <c r="I480" s="29">
        <f t="shared" si="22"/>
        <v>-44</v>
      </c>
      <c r="J480" s="31" t="str">
        <f t="shared" si="23"/>
        <v>Current</v>
      </c>
      <c r="K480"/>
    </row>
    <row r="481" spans="1:11" x14ac:dyDescent="0.3">
      <c r="A481" s="21" t="s">
        <v>92</v>
      </c>
      <c r="B481" t="str">
        <f>VLOOKUP(A481,Customers!A:B,2,FALSE)</f>
        <v>RetailMatrixX</v>
      </c>
      <c r="C481" s="25" t="s">
        <v>848</v>
      </c>
      <c r="D481" s="11">
        <v>45967</v>
      </c>
      <c r="E481" s="11">
        <v>45997</v>
      </c>
      <c r="F481" s="5">
        <v>10156.74</v>
      </c>
      <c r="G481" s="3">
        <f>SUMIF(Customer_Payments!B:B,C481,Customer_Payments!E:E)</f>
        <v>10156.74</v>
      </c>
      <c r="H481" s="3">
        <f t="shared" si="21"/>
        <v>0</v>
      </c>
      <c r="I481" s="29">
        <f t="shared" si="22"/>
        <v>94</v>
      </c>
      <c r="J481" s="31" t="str">
        <f t="shared" si="23"/>
        <v>90+</v>
      </c>
      <c r="K481"/>
    </row>
    <row r="482" spans="1:11" x14ac:dyDescent="0.3">
      <c r="A482" s="20" t="s">
        <v>24</v>
      </c>
      <c r="B482" t="str">
        <f>VLOOKUP(A482,Customers!A:B,2,FALSE)</f>
        <v>OmniTrade</v>
      </c>
      <c r="C482" s="24" t="s">
        <v>849</v>
      </c>
      <c r="D482" s="10">
        <v>46002</v>
      </c>
      <c r="E482" s="10">
        <v>46032</v>
      </c>
      <c r="F482" s="4">
        <v>1913.8</v>
      </c>
      <c r="G482" s="3">
        <f>SUMIF(Customer_Payments!B:B,C482,Customer_Payments!E:E)</f>
        <v>1913.8</v>
      </c>
      <c r="H482" s="3">
        <f t="shared" si="21"/>
        <v>0</v>
      </c>
      <c r="I482" s="29">
        <f t="shared" si="22"/>
        <v>59</v>
      </c>
      <c r="J482" s="31" t="str">
        <f t="shared" si="23"/>
        <v>31-60</v>
      </c>
      <c r="K482"/>
    </row>
    <row r="483" spans="1:11" x14ac:dyDescent="0.3">
      <c r="A483" s="21" t="s">
        <v>107</v>
      </c>
      <c r="B483" t="str">
        <f>VLOOKUP(A483,Customers!A:B,2,FALSE)</f>
        <v>RetailWorksPro</v>
      </c>
      <c r="C483" s="25" t="s">
        <v>850</v>
      </c>
      <c r="D483" s="11">
        <v>46032</v>
      </c>
      <c r="E483" s="11">
        <v>46062</v>
      </c>
      <c r="F483" s="5">
        <v>1448.17</v>
      </c>
      <c r="G483" s="3">
        <f>SUMIF(Customer_Payments!B:B,C483,Customer_Payments!E:E)</f>
        <v>1448.17</v>
      </c>
      <c r="H483" s="3">
        <f t="shared" si="21"/>
        <v>0</v>
      </c>
      <c r="I483" s="29">
        <f t="shared" si="22"/>
        <v>29</v>
      </c>
      <c r="J483" s="31" t="str">
        <f t="shared" si="23"/>
        <v>1-30</v>
      </c>
      <c r="K483"/>
    </row>
    <row r="484" spans="1:11" x14ac:dyDescent="0.3">
      <c r="A484" s="20" t="s">
        <v>118</v>
      </c>
      <c r="B484" t="str">
        <f>VLOOKUP(A484,Customers!A:B,2,FALSE)</f>
        <v>RetailEdgeGlobal</v>
      </c>
      <c r="C484" s="24" t="s">
        <v>851</v>
      </c>
      <c r="D484" s="10">
        <v>46058</v>
      </c>
      <c r="E484" s="10">
        <v>46088</v>
      </c>
      <c r="F484" s="4">
        <v>1626.66</v>
      </c>
      <c r="G484" s="3">
        <f>SUMIF(Customer_Payments!B:B,C484,Customer_Payments!E:E)</f>
        <v>1626.66</v>
      </c>
      <c r="H484" s="3">
        <f t="shared" si="21"/>
        <v>0</v>
      </c>
      <c r="I484" s="29">
        <f t="shared" si="22"/>
        <v>3</v>
      </c>
      <c r="J484" s="31" t="str">
        <f t="shared" si="23"/>
        <v>1-30</v>
      </c>
      <c r="K484"/>
    </row>
    <row r="485" spans="1:11" x14ac:dyDescent="0.3">
      <c r="A485" s="21" t="s">
        <v>61</v>
      </c>
      <c r="B485" t="str">
        <f>VLOOKUP(A485,Customers!A:B,2,FALSE)</f>
        <v>RetailOrbit</v>
      </c>
      <c r="C485" s="25" t="s">
        <v>852</v>
      </c>
      <c r="D485" s="11">
        <v>45985</v>
      </c>
      <c r="E485" s="11">
        <v>46015</v>
      </c>
      <c r="F485" s="5">
        <v>2732.94</v>
      </c>
      <c r="G485" s="3">
        <f>SUMIF(Customer_Payments!B:B,C485,Customer_Payments!E:E)</f>
        <v>2732.94</v>
      </c>
      <c r="H485" s="3">
        <f t="shared" si="21"/>
        <v>0</v>
      </c>
      <c r="I485" s="29">
        <f t="shared" si="22"/>
        <v>76</v>
      </c>
      <c r="J485" s="31" t="str">
        <f t="shared" si="23"/>
        <v>61-90</v>
      </c>
      <c r="K485"/>
    </row>
    <row r="486" spans="1:11" x14ac:dyDescent="0.3">
      <c r="A486" s="20" t="s">
        <v>87</v>
      </c>
      <c r="B486" t="str">
        <f>VLOOKUP(A486,Customers!A:B,2,FALSE)</f>
        <v>RetailStreamX</v>
      </c>
      <c r="C486" s="24" t="s">
        <v>853</v>
      </c>
      <c r="D486" s="10">
        <v>46030</v>
      </c>
      <c r="E486" s="10">
        <v>46060</v>
      </c>
      <c r="F486" s="4">
        <v>2523.85</v>
      </c>
      <c r="G486" s="3">
        <f>SUMIF(Customer_Payments!B:B,C486,Customer_Payments!E:E)</f>
        <v>0</v>
      </c>
      <c r="H486" s="3">
        <f t="shared" si="21"/>
        <v>2523.85</v>
      </c>
      <c r="I486" s="29">
        <f t="shared" si="22"/>
        <v>31</v>
      </c>
      <c r="J486" s="31" t="str">
        <f t="shared" si="23"/>
        <v>31-60</v>
      </c>
      <c r="K486"/>
    </row>
    <row r="487" spans="1:11" x14ac:dyDescent="0.3">
      <c r="A487" s="21" t="s">
        <v>116</v>
      </c>
      <c r="B487" t="str">
        <f>VLOOKUP(A487,Customers!A:B,2,FALSE)</f>
        <v>RetailLabsPro</v>
      </c>
      <c r="C487" s="25" t="s">
        <v>854</v>
      </c>
      <c r="D487" s="11">
        <v>46028</v>
      </c>
      <c r="E487" s="11">
        <v>46058</v>
      </c>
      <c r="F487" s="5">
        <v>2995.38</v>
      </c>
      <c r="G487" s="3">
        <f>SUMIF(Customer_Payments!B:B,C487,Customer_Payments!E:E)</f>
        <v>2995.38</v>
      </c>
      <c r="H487" s="3">
        <f t="shared" si="21"/>
        <v>0</v>
      </c>
      <c r="I487" s="29">
        <f t="shared" si="22"/>
        <v>33</v>
      </c>
      <c r="J487" s="31" t="str">
        <f t="shared" si="23"/>
        <v>31-60</v>
      </c>
      <c r="K487"/>
    </row>
    <row r="488" spans="1:11" x14ac:dyDescent="0.3">
      <c r="A488" s="20" t="s">
        <v>121</v>
      </c>
      <c r="B488" t="str">
        <f>VLOOKUP(A488,Customers!A:B,2,FALSE)</f>
        <v>RetailVisionGlobal</v>
      </c>
      <c r="C488" s="24" t="s">
        <v>855</v>
      </c>
      <c r="D488" s="10">
        <v>45976</v>
      </c>
      <c r="E488" s="10">
        <v>46006</v>
      </c>
      <c r="F488" s="4">
        <v>3033.63</v>
      </c>
      <c r="G488" s="3">
        <f>SUMIF(Customer_Payments!B:B,C488,Customer_Payments!E:E)</f>
        <v>0</v>
      </c>
      <c r="H488" s="3">
        <f t="shared" si="21"/>
        <v>3033.63</v>
      </c>
      <c r="I488" s="29">
        <f t="shared" si="22"/>
        <v>85</v>
      </c>
      <c r="J488" s="31" t="str">
        <f t="shared" si="23"/>
        <v>61-90</v>
      </c>
      <c r="K488"/>
    </row>
    <row r="489" spans="1:11" x14ac:dyDescent="0.3">
      <c r="A489" s="21" t="s">
        <v>7</v>
      </c>
      <c r="B489" t="str">
        <f>VLOOKUP(A489,Customers!A:B,2,FALSE)</f>
        <v>BrightCart</v>
      </c>
      <c r="C489" s="25" t="s">
        <v>856</v>
      </c>
      <c r="D489" s="11">
        <v>46097</v>
      </c>
      <c r="E489" s="11">
        <v>46127</v>
      </c>
      <c r="F489" s="5">
        <v>3743.77</v>
      </c>
      <c r="G489" s="3">
        <f>SUMIF(Customer_Payments!B:B,C489,Customer_Payments!E:E)</f>
        <v>3743.77</v>
      </c>
      <c r="H489" s="3">
        <f t="shared" si="21"/>
        <v>0</v>
      </c>
      <c r="I489" s="29">
        <f t="shared" si="22"/>
        <v>-36</v>
      </c>
      <c r="J489" s="31" t="str">
        <f t="shared" si="23"/>
        <v>Current</v>
      </c>
      <c r="K489"/>
    </row>
    <row r="490" spans="1:11" x14ac:dyDescent="0.3">
      <c r="A490" s="20" t="s">
        <v>53</v>
      </c>
      <c r="B490" t="str">
        <f>VLOOKUP(A490,Customers!A:B,2,FALSE)</f>
        <v>PrimeCart</v>
      </c>
      <c r="C490" s="24" t="s">
        <v>857</v>
      </c>
      <c r="D490" s="10">
        <v>45971</v>
      </c>
      <c r="E490" s="10">
        <v>46001</v>
      </c>
      <c r="F490" s="4">
        <v>3430.43</v>
      </c>
      <c r="G490" s="3">
        <f>SUMIF(Customer_Payments!B:B,C490,Customer_Payments!E:E)</f>
        <v>3430.43</v>
      </c>
      <c r="H490" s="3">
        <f t="shared" si="21"/>
        <v>0</v>
      </c>
      <c r="I490" s="29">
        <f t="shared" si="22"/>
        <v>90</v>
      </c>
      <c r="J490" s="31" t="str">
        <f t="shared" si="23"/>
        <v>61-90</v>
      </c>
      <c r="K490"/>
    </row>
    <row r="491" spans="1:11" x14ac:dyDescent="0.3">
      <c r="A491" s="21" t="s">
        <v>123</v>
      </c>
      <c r="B491" t="str">
        <f>VLOOKUP(A491,Customers!A:B,2,FALSE)</f>
        <v>RetailFlowGlobal</v>
      </c>
      <c r="C491" s="25" t="s">
        <v>858</v>
      </c>
      <c r="D491" s="11">
        <v>45963</v>
      </c>
      <c r="E491" s="11">
        <v>45993</v>
      </c>
      <c r="F491" s="5">
        <v>14017.09</v>
      </c>
      <c r="G491" s="3">
        <f>SUMIF(Customer_Payments!B:B,C491,Customer_Payments!E:E)</f>
        <v>14017.09</v>
      </c>
      <c r="H491" s="3">
        <f t="shared" si="21"/>
        <v>0</v>
      </c>
      <c r="I491" s="29">
        <f t="shared" si="22"/>
        <v>98</v>
      </c>
      <c r="J491" s="31" t="str">
        <f t="shared" si="23"/>
        <v>90+</v>
      </c>
      <c r="K491"/>
    </row>
    <row r="492" spans="1:11" x14ac:dyDescent="0.3">
      <c r="A492" s="20" t="s">
        <v>60</v>
      </c>
      <c r="B492" t="str">
        <f>VLOOKUP(A492,Customers!A:B,2,FALSE)</f>
        <v>RetailSpark</v>
      </c>
      <c r="C492" s="24" t="s">
        <v>859</v>
      </c>
      <c r="D492" s="10">
        <v>45969</v>
      </c>
      <c r="E492" s="10">
        <v>45999</v>
      </c>
      <c r="F492" s="4">
        <v>1973.28</v>
      </c>
      <c r="G492" s="3">
        <f>SUMIF(Customer_Payments!B:B,C492,Customer_Payments!E:E)</f>
        <v>1973.28</v>
      </c>
      <c r="H492" s="3">
        <f t="shared" si="21"/>
        <v>0</v>
      </c>
      <c r="I492" s="29">
        <f t="shared" si="22"/>
        <v>92</v>
      </c>
      <c r="J492" s="31" t="str">
        <f t="shared" si="23"/>
        <v>90+</v>
      </c>
      <c r="K492"/>
    </row>
    <row r="493" spans="1:11" x14ac:dyDescent="0.3">
      <c r="A493" s="21" t="s">
        <v>22</v>
      </c>
      <c r="B493" t="str">
        <f>VLOOKUP(A493,Customers!A:B,2,FALSE)</f>
        <v>QuantumRetail</v>
      </c>
      <c r="C493" s="25" t="s">
        <v>860</v>
      </c>
      <c r="D493" s="11">
        <v>45978</v>
      </c>
      <c r="E493" s="11">
        <v>46008</v>
      </c>
      <c r="F493" s="5">
        <v>1670.35</v>
      </c>
      <c r="G493" s="3">
        <f>SUMIF(Customer_Payments!B:B,C493,Customer_Payments!E:E)</f>
        <v>1670.3500000000001</v>
      </c>
      <c r="H493" s="3">
        <f t="shared" si="21"/>
        <v>0</v>
      </c>
      <c r="I493" s="29">
        <f t="shared" si="22"/>
        <v>83</v>
      </c>
      <c r="J493" s="31" t="str">
        <f t="shared" si="23"/>
        <v>61-90</v>
      </c>
      <c r="K493"/>
    </row>
    <row r="494" spans="1:11" x14ac:dyDescent="0.3">
      <c r="A494" s="20" t="s">
        <v>73</v>
      </c>
      <c r="B494" t="str">
        <f>VLOOKUP(A494,Customers!A:B,2,FALSE)</f>
        <v>RetailWave</v>
      </c>
      <c r="C494" s="24" t="s">
        <v>861</v>
      </c>
      <c r="D494" s="10">
        <v>46006</v>
      </c>
      <c r="E494" s="10">
        <v>46036</v>
      </c>
      <c r="F494" s="4">
        <v>3742.66</v>
      </c>
      <c r="G494" s="3">
        <f>SUMIF(Customer_Payments!B:B,C494,Customer_Payments!E:E)</f>
        <v>3742.66</v>
      </c>
      <c r="H494" s="3">
        <f t="shared" si="21"/>
        <v>0</v>
      </c>
      <c r="I494" s="29">
        <f t="shared" si="22"/>
        <v>55</v>
      </c>
      <c r="J494" s="31" t="str">
        <f t="shared" si="23"/>
        <v>31-60</v>
      </c>
      <c r="K494"/>
    </row>
    <row r="495" spans="1:11" x14ac:dyDescent="0.3">
      <c r="A495" s="21" t="s">
        <v>106</v>
      </c>
      <c r="B495" t="str">
        <f>VLOOKUP(A495,Customers!A:B,2,FALSE)</f>
        <v>RetailOrbitPro</v>
      </c>
      <c r="C495" s="25" t="s">
        <v>862</v>
      </c>
      <c r="D495" s="11">
        <v>46087</v>
      </c>
      <c r="E495" s="11">
        <v>46117</v>
      </c>
      <c r="F495" s="5">
        <v>3544.9</v>
      </c>
      <c r="G495" s="3">
        <f>SUMIF(Customer_Payments!B:B,C495,Customer_Payments!E:E)</f>
        <v>0</v>
      </c>
      <c r="H495" s="3">
        <f t="shared" si="21"/>
        <v>3544.9</v>
      </c>
      <c r="I495" s="29">
        <f t="shared" si="22"/>
        <v>-26</v>
      </c>
      <c r="J495" s="31" t="str">
        <f t="shared" si="23"/>
        <v>Current</v>
      </c>
      <c r="K495"/>
    </row>
    <row r="496" spans="1:11" x14ac:dyDescent="0.3">
      <c r="A496" s="20" t="s">
        <v>32</v>
      </c>
      <c r="B496" t="str">
        <f>VLOOKUP(A496,Customers!A:B,2,FALSE)</f>
        <v>RetailVista</v>
      </c>
      <c r="C496" s="24" t="s">
        <v>863</v>
      </c>
      <c r="D496" s="10">
        <v>46094</v>
      </c>
      <c r="E496" s="10">
        <v>46124</v>
      </c>
      <c r="F496" s="4">
        <v>2327.3000000000002</v>
      </c>
      <c r="G496" s="3">
        <f>SUMIF(Customer_Payments!B:B,C496,Customer_Payments!E:E)</f>
        <v>2327.3000000000002</v>
      </c>
      <c r="H496" s="3">
        <f t="shared" si="21"/>
        <v>0</v>
      </c>
      <c r="I496" s="29">
        <f t="shared" si="22"/>
        <v>-33</v>
      </c>
      <c r="J496" s="31" t="str">
        <f t="shared" si="23"/>
        <v>Current</v>
      </c>
      <c r="K496"/>
    </row>
    <row r="497" spans="1:11" x14ac:dyDescent="0.3">
      <c r="A497" s="21" t="s">
        <v>66</v>
      </c>
      <c r="B497" t="str">
        <f>VLOOKUP(A497,Customers!A:B,2,FALSE)</f>
        <v>MarketWorks</v>
      </c>
      <c r="C497" s="25" t="s">
        <v>864</v>
      </c>
      <c r="D497" s="11">
        <v>46107</v>
      </c>
      <c r="E497" s="11">
        <v>46137</v>
      </c>
      <c r="F497" s="5">
        <v>2563.81</v>
      </c>
      <c r="G497" s="3">
        <f>SUMIF(Customer_Payments!B:B,C497,Customer_Payments!E:E)</f>
        <v>2563.81</v>
      </c>
      <c r="H497" s="3">
        <f t="shared" si="21"/>
        <v>0</v>
      </c>
      <c r="I497" s="29">
        <f t="shared" si="22"/>
        <v>-46</v>
      </c>
      <c r="J497" s="31" t="str">
        <f t="shared" si="23"/>
        <v>Current</v>
      </c>
      <c r="K497"/>
    </row>
    <row r="498" spans="1:11" x14ac:dyDescent="0.3">
      <c r="A498" s="20" t="s">
        <v>76</v>
      </c>
      <c r="B498" t="str">
        <f>VLOOKUP(A498,Customers!A:B,2,FALSE)</f>
        <v>RetailSphere</v>
      </c>
      <c r="C498" s="24" t="s">
        <v>865</v>
      </c>
      <c r="D498" s="10">
        <v>45973</v>
      </c>
      <c r="E498" s="10">
        <v>46003</v>
      </c>
      <c r="F498" s="4">
        <v>2591.69</v>
      </c>
      <c r="G498" s="3">
        <f>SUMIF(Customer_Payments!B:B,C498,Customer_Payments!E:E)</f>
        <v>2591.69</v>
      </c>
      <c r="H498" s="3">
        <f t="shared" si="21"/>
        <v>0</v>
      </c>
      <c r="I498" s="29">
        <f t="shared" si="22"/>
        <v>88</v>
      </c>
      <c r="J498" s="31" t="str">
        <f t="shared" si="23"/>
        <v>61-90</v>
      </c>
      <c r="K498"/>
    </row>
    <row r="499" spans="1:11" x14ac:dyDescent="0.3">
      <c r="A499" s="21" t="s">
        <v>51</v>
      </c>
      <c r="B499" t="str">
        <f>VLOOKUP(A499,Customers!A:B,2,FALSE)</f>
        <v>CartMasters</v>
      </c>
      <c r="C499" s="25" t="s">
        <v>866</v>
      </c>
      <c r="D499" s="11">
        <v>45965</v>
      </c>
      <c r="E499" s="11">
        <v>45995</v>
      </c>
      <c r="F499" s="5">
        <v>4301.13</v>
      </c>
      <c r="G499" s="3">
        <f>SUMIF(Customer_Payments!B:B,C499,Customer_Payments!E:E)</f>
        <v>4301.13</v>
      </c>
      <c r="H499" s="3">
        <f t="shared" si="21"/>
        <v>0</v>
      </c>
      <c r="I499" s="29">
        <f t="shared" si="22"/>
        <v>96</v>
      </c>
      <c r="J499" s="31" t="str">
        <f t="shared" si="23"/>
        <v>90+</v>
      </c>
      <c r="K499"/>
    </row>
    <row r="500" spans="1:11" x14ac:dyDescent="0.3">
      <c r="A500" s="20" t="s">
        <v>7</v>
      </c>
      <c r="B500" t="str">
        <f>VLOOKUP(A500,Customers!A:B,2,FALSE)</f>
        <v>BrightCart</v>
      </c>
      <c r="C500" s="24" t="s">
        <v>867</v>
      </c>
      <c r="D500" s="10">
        <v>46017</v>
      </c>
      <c r="E500" s="10">
        <v>46047</v>
      </c>
      <c r="F500" s="4">
        <v>2044.49</v>
      </c>
      <c r="G500" s="3">
        <f>SUMIF(Customer_Payments!B:B,C500,Customer_Payments!E:E)</f>
        <v>0</v>
      </c>
      <c r="H500" s="3">
        <f t="shared" si="21"/>
        <v>2044.49</v>
      </c>
      <c r="I500" s="29">
        <f t="shared" si="22"/>
        <v>44</v>
      </c>
      <c r="J500" s="31" t="str">
        <f t="shared" si="23"/>
        <v>31-60</v>
      </c>
      <c r="K500"/>
    </row>
    <row r="501" spans="1:11" x14ac:dyDescent="0.3">
      <c r="A501" s="21" t="s">
        <v>33</v>
      </c>
      <c r="B501" t="str">
        <f>VLOOKUP(A501,Customers!A:B,2,FALSE)</f>
        <v>CloudCart</v>
      </c>
      <c r="C501" s="25" t="s">
        <v>868</v>
      </c>
      <c r="D501" s="11">
        <v>45975</v>
      </c>
      <c r="E501" s="11">
        <v>46005</v>
      </c>
      <c r="F501" s="5">
        <v>1710.92</v>
      </c>
      <c r="G501" s="3">
        <f>SUMIF(Customer_Payments!B:B,C501,Customer_Payments!E:E)</f>
        <v>1710.92</v>
      </c>
      <c r="H501" s="3">
        <f t="shared" si="21"/>
        <v>0</v>
      </c>
      <c r="I501" s="29">
        <f t="shared" si="22"/>
        <v>86</v>
      </c>
      <c r="J501" s="31" t="str">
        <f t="shared" si="23"/>
        <v>61-90</v>
      </c>
      <c r="K501"/>
    </row>
    <row r="502" spans="1:11" x14ac:dyDescent="0.3">
      <c r="A502" s="20" t="s">
        <v>25</v>
      </c>
      <c r="B502" t="str">
        <f>VLOOKUP(A502,Customers!A:B,2,FALSE)</f>
        <v>OrbitEdge</v>
      </c>
      <c r="C502" s="24" t="s">
        <v>869</v>
      </c>
      <c r="D502" s="10">
        <v>46067</v>
      </c>
      <c r="E502" s="10">
        <v>46097</v>
      </c>
      <c r="F502" s="4">
        <v>4176.3599999999997</v>
      </c>
      <c r="G502" s="3">
        <f>SUMIF(Customer_Payments!B:B,C502,Customer_Payments!E:E)</f>
        <v>0</v>
      </c>
      <c r="H502" s="3">
        <f t="shared" si="21"/>
        <v>4176.3599999999997</v>
      </c>
      <c r="I502" s="29">
        <f t="shared" si="22"/>
        <v>-6</v>
      </c>
      <c r="J502" s="31" t="str">
        <f t="shared" si="23"/>
        <v>Current</v>
      </c>
      <c r="K502"/>
    </row>
    <row r="503" spans="1:11" x14ac:dyDescent="0.3">
      <c r="A503" s="21" t="s">
        <v>73</v>
      </c>
      <c r="B503" t="str">
        <f>VLOOKUP(A503,Customers!A:B,2,FALSE)</f>
        <v>RetailWave</v>
      </c>
      <c r="C503" s="25" t="s">
        <v>870</v>
      </c>
      <c r="D503" s="11">
        <v>46096</v>
      </c>
      <c r="E503" s="11">
        <v>46126</v>
      </c>
      <c r="F503" s="5">
        <v>1641.47</v>
      </c>
      <c r="G503" s="3">
        <f>SUMIF(Customer_Payments!B:B,C503,Customer_Payments!E:E)</f>
        <v>0</v>
      </c>
      <c r="H503" s="3">
        <f t="shared" si="21"/>
        <v>1641.47</v>
      </c>
      <c r="I503" s="29">
        <f t="shared" si="22"/>
        <v>-35</v>
      </c>
      <c r="J503" s="31" t="str">
        <f t="shared" si="23"/>
        <v>Current</v>
      </c>
      <c r="K503"/>
    </row>
    <row r="504" spans="1:11" x14ac:dyDescent="0.3">
      <c r="A504" s="20" t="s">
        <v>17</v>
      </c>
      <c r="B504" t="str">
        <f>VLOOKUP(A504,Customers!A:B,2,FALSE)</f>
        <v>AlphaCommerce</v>
      </c>
      <c r="C504" s="24" t="s">
        <v>871</v>
      </c>
      <c r="D504" s="10">
        <v>46025</v>
      </c>
      <c r="E504" s="10">
        <v>46055</v>
      </c>
      <c r="F504" s="4">
        <v>12964.07</v>
      </c>
      <c r="G504" s="3">
        <f>SUMIF(Customer_Payments!B:B,C504,Customer_Payments!E:E)</f>
        <v>0</v>
      </c>
      <c r="H504" s="3">
        <f t="shared" si="21"/>
        <v>12964.07</v>
      </c>
      <c r="I504" s="29">
        <f t="shared" si="22"/>
        <v>36</v>
      </c>
      <c r="J504" s="31" t="str">
        <f t="shared" si="23"/>
        <v>31-60</v>
      </c>
      <c r="K504"/>
    </row>
    <row r="505" spans="1:11" x14ac:dyDescent="0.3">
      <c r="A505" s="21" t="s">
        <v>16</v>
      </c>
      <c r="B505" t="str">
        <f>VLOOKUP(A505,Customers!A:B,2,FALSE)</f>
        <v>RetailHub</v>
      </c>
      <c r="C505" s="25" t="s">
        <v>872</v>
      </c>
      <c r="D505" s="11">
        <v>45999</v>
      </c>
      <c r="E505" s="11">
        <v>46029</v>
      </c>
      <c r="F505" s="5">
        <v>2933.81</v>
      </c>
      <c r="G505" s="3">
        <f>SUMIF(Customer_Payments!B:B,C505,Customer_Payments!E:E)</f>
        <v>0</v>
      </c>
      <c r="H505" s="3">
        <f t="shared" si="21"/>
        <v>2933.81</v>
      </c>
      <c r="I505" s="29">
        <f t="shared" si="22"/>
        <v>62</v>
      </c>
      <c r="J505" s="31" t="str">
        <f t="shared" si="23"/>
        <v>61-90</v>
      </c>
      <c r="K505"/>
    </row>
    <row r="506" spans="1:11" x14ac:dyDescent="0.3">
      <c r="A506" s="20" t="s">
        <v>37</v>
      </c>
      <c r="B506" t="str">
        <f>VLOOKUP(A506,Customers!A:B,2,FALSE)</f>
        <v>SmartCart</v>
      </c>
      <c r="C506" s="24" t="s">
        <v>873</v>
      </c>
      <c r="D506" s="10">
        <v>45978</v>
      </c>
      <c r="E506" s="10">
        <v>46008</v>
      </c>
      <c r="F506" s="4">
        <v>3594.95</v>
      </c>
      <c r="G506" s="3">
        <f>SUMIF(Customer_Payments!B:B,C506,Customer_Payments!E:E)</f>
        <v>0</v>
      </c>
      <c r="H506" s="3">
        <f t="shared" si="21"/>
        <v>3594.95</v>
      </c>
      <c r="I506" s="29">
        <f t="shared" si="22"/>
        <v>83</v>
      </c>
      <c r="J506" s="31" t="str">
        <f t="shared" si="23"/>
        <v>61-90</v>
      </c>
      <c r="K506"/>
    </row>
    <row r="507" spans="1:11" x14ac:dyDescent="0.3">
      <c r="A507" s="21" t="s">
        <v>101</v>
      </c>
      <c r="B507" t="str">
        <f>VLOOKUP(A507,Customers!A:B,2,FALSE)</f>
        <v>RetailMatrixPro</v>
      </c>
      <c r="C507" s="25" t="s">
        <v>874</v>
      </c>
      <c r="D507" s="11">
        <v>46068</v>
      </c>
      <c r="E507" s="11">
        <v>46098</v>
      </c>
      <c r="F507" s="5">
        <v>2260.9899999999998</v>
      </c>
      <c r="G507" s="3">
        <f>SUMIF(Customer_Payments!B:B,C507,Customer_Payments!E:E)</f>
        <v>2260.9900000000002</v>
      </c>
      <c r="H507" s="3">
        <f t="shared" si="21"/>
        <v>0</v>
      </c>
      <c r="I507" s="29">
        <f t="shared" si="22"/>
        <v>-7</v>
      </c>
      <c r="J507" s="31" t="str">
        <f t="shared" si="23"/>
        <v>Current</v>
      </c>
      <c r="K507"/>
    </row>
    <row r="508" spans="1:11" x14ac:dyDescent="0.3">
      <c r="A508" s="20" t="s">
        <v>32</v>
      </c>
      <c r="B508" t="str">
        <f>VLOOKUP(A508,Customers!A:B,2,FALSE)</f>
        <v>RetailVista</v>
      </c>
      <c r="C508" s="24" t="s">
        <v>875</v>
      </c>
      <c r="D508" s="10">
        <v>45968</v>
      </c>
      <c r="E508" s="10">
        <v>45998</v>
      </c>
      <c r="F508" s="4">
        <v>2318.06</v>
      </c>
      <c r="G508" s="3">
        <f>SUMIF(Customer_Payments!B:B,C508,Customer_Payments!E:E)</f>
        <v>2318.06</v>
      </c>
      <c r="H508" s="3">
        <f t="shared" si="21"/>
        <v>0</v>
      </c>
      <c r="I508" s="29">
        <f t="shared" si="22"/>
        <v>93</v>
      </c>
      <c r="J508" s="31" t="str">
        <f t="shared" si="23"/>
        <v>90+</v>
      </c>
      <c r="K508"/>
    </row>
    <row r="509" spans="1:11" x14ac:dyDescent="0.3">
      <c r="A509" s="21" t="s">
        <v>28</v>
      </c>
      <c r="B509" t="str">
        <f>VLOOKUP(A509,Customers!A:B,2,FALSE)</f>
        <v>FutureCart</v>
      </c>
      <c r="C509" s="25" t="s">
        <v>876</v>
      </c>
      <c r="D509" s="11">
        <v>46106</v>
      </c>
      <c r="E509" s="11">
        <v>46136</v>
      </c>
      <c r="F509" s="5">
        <v>5559.87</v>
      </c>
      <c r="G509" s="3">
        <f>SUMIF(Customer_Payments!B:B,C509,Customer_Payments!E:E)</f>
        <v>5559.87</v>
      </c>
      <c r="H509" s="3">
        <f t="shared" si="21"/>
        <v>0</v>
      </c>
      <c r="I509" s="29">
        <f t="shared" si="22"/>
        <v>-45</v>
      </c>
      <c r="J509" s="31" t="str">
        <f t="shared" si="23"/>
        <v>Current</v>
      </c>
      <c r="K509"/>
    </row>
    <row r="510" spans="1:11" x14ac:dyDescent="0.3">
      <c r="A510" s="20" t="s">
        <v>105</v>
      </c>
      <c r="B510" t="str">
        <f>VLOOKUP(A510,Customers!A:B,2,FALSE)</f>
        <v>RetailFlowPro</v>
      </c>
      <c r="C510" s="24" t="s">
        <v>877</v>
      </c>
      <c r="D510" s="10">
        <v>46018</v>
      </c>
      <c r="E510" s="10">
        <v>46048</v>
      </c>
      <c r="F510" s="4">
        <v>11837.06</v>
      </c>
      <c r="G510" s="3">
        <f>SUMIF(Customer_Payments!B:B,C510,Customer_Payments!E:E)</f>
        <v>11837.06</v>
      </c>
      <c r="H510" s="3">
        <f t="shared" si="21"/>
        <v>0</v>
      </c>
      <c r="I510" s="29">
        <f t="shared" si="22"/>
        <v>43</v>
      </c>
      <c r="J510" s="31" t="str">
        <f t="shared" si="23"/>
        <v>31-60</v>
      </c>
      <c r="K510"/>
    </row>
    <row r="511" spans="1:11" x14ac:dyDescent="0.3">
      <c r="A511" s="21" t="s">
        <v>18</v>
      </c>
      <c r="B511" t="str">
        <f>VLOOKUP(A511,Customers!A:B,2,FALSE)</f>
        <v>BluePeak Systems</v>
      </c>
      <c r="C511" s="25" t="s">
        <v>878</v>
      </c>
      <c r="D511" s="11">
        <v>45964</v>
      </c>
      <c r="E511" s="11">
        <v>45994</v>
      </c>
      <c r="F511" s="5">
        <v>4903.83</v>
      </c>
      <c r="G511" s="3">
        <f>SUMIF(Customer_Payments!B:B,C511,Customer_Payments!E:E)</f>
        <v>0</v>
      </c>
      <c r="H511" s="3">
        <f t="shared" si="21"/>
        <v>4903.83</v>
      </c>
      <c r="I511" s="29">
        <f t="shared" si="22"/>
        <v>97</v>
      </c>
      <c r="J511" s="31" t="str">
        <f t="shared" si="23"/>
        <v>90+</v>
      </c>
      <c r="K511"/>
    </row>
    <row r="512" spans="1:11" x14ac:dyDescent="0.3">
      <c r="A512" s="20" t="s">
        <v>12</v>
      </c>
      <c r="B512" t="str">
        <f>VLOOKUP(A512,Customers!A:B,2,FALSE)</f>
        <v>ShopOrbit</v>
      </c>
      <c r="C512" s="24" t="s">
        <v>879</v>
      </c>
      <c r="D512" s="10">
        <v>46071</v>
      </c>
      <c r="E512" s="10">
        <v>46101</v>
      </c>
      <c r="F512" s="4">
        <v>5615.19</v>
      </c>
      <c r="G512" s="3">
        <f>SUMIF(Customer_Payments!B:B,C512,Customer_Payments!E:E)</f>
        <v>5615.19</v>
      </c>
      <c r="H512" s="3">
        <f t="shared" si="21"/>
        <v>0</v>
      </c>
      <c r="I512" s="29">
        <f t="shared" si="22"/>
        <v>-10</v>
      </c>
      <c r="J512" s="31" t="str">
        <f t="shared" si="23"/>
        <v>Current</v>
      </c>
      <c r="K512"/>
    </row>
    <row r="513" spans="1:11" x14ac:dyDescent="0.3">
      <c r="A513" s="21" t="s">
        <v>38</v>
      </c>
      <c r="B513" t="str">
        <f>VLOOKUP(A513,Customers!A:B,2,FALSE)</f>
        <v>RetailForge</v>
      </c>
      <c r="C513" s="25" t="s">
        <v>880</v>
      </c>
      <c r="D513" s="11">
        <v>46014</v>
      </c>
      <c r="E513" s="11">
        <v>46044</v>
      </c>
      <c r="F513" s="5">
        <v>5671.85</v>
      </c>
      <c r="G513" s="3">
        <f>SUMIF(Customer_Payments!B:B,C513,Customer_Payments!E:E)</f>
        <v>5671.85</v>
      </c>
      <c r="H513" s="3">
        <f t="shared" si="21"/>
        <v>0</v>
      </c>
      <c r="I513" s="29">
        <f t="shared" si="22"/>
        <v>47</v>
      </c>
      <c r="J513" s="31" t="str">
        <f t="shared" si="23"/>
        <v>31-60</v>
      </c>
      <c r="K513"/>
    </row>
    <row r="514" spans="1:11" x14ac:dyDescent="0.3">
      <c r="A514" s="20" t="s">
        <v>111</v>
      </c>
      <c r="B514" t="str">
        <f>VLOOKUP(A514,Customers!A:B,2,FALSE)</f>
        <v>RetailPulsePro</v>
      </c>
      <c r="C514" s="24" t="s">
        <v>881</v>
      </c>
      <c r="D514" s="10">
        <v>45996</v>
      </c>
      <c r="E514" s="10">
        <v>46026</v>
      </c>
      <c r="F514" s="4">
        <v>2396.2399999999998</v>
      </c>
      <c r="G514" s="3">
        <f>SUMIF(Customer_Payments!B:B,C514,Customer_Payments!E:E)</f>
        <v>2396.2399999999998</v>
      </c>
      <c r="H514" s="3">
        <f t="shared" ref="H514:H577" si="24">MAX(F514-G514,0)</f>
        <v>0</v>
      </c>
      <c r="I514" s="29">
        <f t="shared" ref="I514:I577" si="25">$L$2-E514</f>
        <v>65</v>
      </c>
      <c r="J514" s="31" t="str">
        <f t="shared" si="23"/>
        <v>61-90</v>
      </c>
      <c r="K514"/>
    </row>
    <row r="515" spans="1:11" x14ac:dyDescent="0.3">
      <c r="A515" s="21" t="s">
        <v>77</v>
      </c>
      <c r="B515" t="str">
        <f>VLOOKUP(A515,Customers!A:B,2,FALSE)</f>
        <v>RetailBridge</v>
      </c>
      <c r="C515" s="25" t="s">
        <v>882</v>
      </c>
      <c r="D515" s="11">
        <v>46100</v>
      </c>
      <c r="E515" s="11">
        <v>46130</v>
      </c>
      <c r="F515" s="5">
        <v>4062.16</v>
      </c>
      <c r="G515" s="3">
        <f>SUMIF(Customer_Payments!B:B,C515,Customer_Payments!E:E)</f>
        <v>4062.16</v>
      </c>
      <c r="H515" s="3">
        <f t="shared" si="24"/>
        <v>0</v>
      </c>
      <c r="I515" s="29">
        <f t="shared" si="25"/>
        <v>-39</v>
      </c>
      <c r="J515" s="31" t="str">
        <f t="shared" ref="J515:J578" si="26">IF(I515&lt;=0,"Current",
IF(I515&lt;=30,"1-30",
IF(I515&lt;=60,"31-60",
IF(I515&lt;=90,"61-90","90+"))))</f>
        <v>Current</v>
      </c>
      <c r="K515"/>
    </row>
    <row r="516" spans="1:11" x14ac:dyDescent="0.3">
      <c r="A516" s="20" t="s">
        <v>14</v>
      </c>
      <c r="B516" t="str">
        <f>VLOOKUP(A516,Customers!A:B,2,FALSE)</f>
        <v>MarketPulse</v>
      </c>
      <c r="C516" s="24" t="s">
        <v>883</v>
      </c>
      <c r="D516" s="10">
        <v>45974</v>
      </c>
      <c r="E516" s="10">
        <v>46004</v>
      </c>
      <c r="F516" s="4">
        <v>4189.45</v>
      </c>
      <c r="G516" s="3">
        <f>SUMIF(Customer_Payments!B:B,C516,Customer_Payments!E:E)</f>
        <v>4189.45</v>
      </c>
      <c r="H516" s="3">
        <f t="shared" si="24"/>
        <v>0</v>
      </c>
      <c r="I516" s="29">
        <f t="shared" si="25"/>
        <v>87</v>
      </c>
      <c r="J516" s="31" t="str">
        <f t="shared" si="26"/>
        <v>61-90</v>
      </c>
      <c r="K516"/>
    </row>
    <row r="517" spans="1:11" x14ac:dyDescent="0.3">
      <c r="A517" s="21" t="s">
        <v>87</v>
      </c>
      <c r="B517" t="str">
        <f>VLOOKUP(A517,Customers!A:B,2,FALSE)</f>
        <v>RetailStreamX</v>
      </c>
      <c r="C517" s="25" t="s">
        <v>884</v>
      </c>
      <c r="D517" s="11">
        <v>46029</v>
      </c>
      <c r="E517" s="11">
        <v>46059</v>
      </c>
      <c r="F517" s="5">
        <v>4261.43</v>
      </c>
      <c r="G517" s="3">
        <f>SUMIF(Customer_Payments!B:B,C517,Customer_Payments!E:E)</f>
        <v>4261.43</v>
      </c>
      <c r="H517" s="3">
        <f t="shared" si="24"/>
        <v>0</v>
      </c>
      <c r="I517" s="29">
        <f t="shared" si="25"/>
        <v>32</v>
      </c>
      <c r="J517" s="31" t="str">
        <f t="shared" si="26"/>
        <v>31-60</v>
      </c>
      <c r="K517"/>
    </row>
    <row r="518" spans="1:11" x14ac:dyDescent="0.3">
      <c r="A518" s="20" t="s">
        <v>16</v>
      </c>
      <c r="B518" t="str">
        <f>VLOOKUP(A518,Customers!A:B,2,FALSE)</f>
        <v>RetailHub</v>
      </c>
      <c r="C518" s="24" t="s">
        <v>885</v>
      </c>
      <c r="D518" s="10">
        <v>46110</v>
      </c>
      <c r="E518" s="10">
        <v>46140</v>
      </c>
      <c r="F518" s="4">
        <v>1500.51</v>
      </c>
      <c r="G518" s="3">
        <f>SUMIF(Customer_Payments!B:B,C518,Customer_Payments!E:E)</f>
        <v>0</v>
      </c>
      <c r="H518" s="3">
        <f t="shared" si="24"/>
        <v>1500.51</v>
      </c>
      <c r="I518" s="29">
        <f t="shared" si="25"/>
        <v>-49</v>
      </c>
      <c r="J518" s="31" t="str">
        <f t="shared" si="26"/>
        <v>Current</v>
      </c>
      <c r="K518"/>
    </row>
    <row r="519" spans="1:11" x14ac:dyDescent="0.3">
      <c r="A519" s="21" t="s">
        <v>23</v>
      </c>
      <c r="B519" t="str">
        <f>VLOOKUP(A519,Customers!A:B,2,FALSE)</f>
        <v>VertexCommerce</v>
      </c>
      <c r="C519" s="25" t="s">
        <v>886</v>
      </c>
      <c r="D519" s="11">
        <v>46067</v>
      </c>
      <c r="E519" s="11">
        <v>46097</v>
      </c>
      <c r="F519" s="5">
        <v>3596.59</v>
      </c>
      <c r="G519" s="3">
        <f>SUMIF(Customer_Payments!B:B,C519,Customer_Payments!E:E)</f>
        <v>3596.59</v>
      </c>
      <c r="H519" s="3">
        <f t="shared" si="24"/>
        <v>0</v>
      </c>
      <c r="I519" s="29">
        <f t="shared" si="25"/>
        <v>-6</v>
      </c>
      <c r="J519" s="31" t="str">
        <f t="shared" si="26"/>
        <v>Current</v>
      </c>
      <c r="K519"/>
    </row>
    <row r="520" spans="1:11" x14ac:dyDescent="0.3">
      <c r="A520" s="20" t="s">
        <v>66</v>
      </c>
      <c r="B520" t="str">
        <f>VLOOKUP(A520,Customers!A:B,2,FALSE)</f>
        <v>MarketWorks</v>
      </c>
      <c r="C520" s="24" t="s">
        <v>887</v>
      </c>
      <c r="D520" s="10">
        <v>46037</v>
      </c>
      <c r="E520" s="10">
        <v>46067</v>
      </c>
      <c r="F520" s="4">
        <v>3486.09</v>
      </c>
      <c r="G520" s="3">
        <f>SUMIF(Customer_Payments!B:B,C520,Customer_Payments!E:E)</f>
        <v>3486.09</v>
      </c>
      <c r="H520" s="3">
        <f t="shared" si="24"/>
        <v>0</v>
      </c>
      <c r="I520" s="29">
        <f t="shared" si="25"/>
        <v>24</v>
      </c>
      <c r="J520" s="31" t="str">
        <f t="shared" si="26"/>
        <v>1-30</v>
      </c>
      <c r="K520"/>
    </row>
    <row r="521" spans="1:11" x14ac:dyDescent="0.3">
      <c r="A521" s="21" t="s">
        <v>57</v>
      </c>
      <c r="B521" t="str">
        <f>VLOOKUP(A521,Customers!A:B,2,FALSE)</f>
        <v>MarketGenius</v>
      </c>
      <c r="C521" s="25" t="s">
        <v>888</v>
      </c>
      <c r="D521" s="11">
        <v>46038</v>
      </c>
      <c r="E521" s="11">
        <v>46068</v>
      </c>
      <c r="F521" s="5">
        <v>2601.59</v>
      </c>
      <c r="G521" s="3">
        <f>SUMIF(Customer_Payments!B:B,C521,Customer_Payments!E:E)</f>
        <v>0</v>
      </c>
      <c r="H521" s="3">
        <f t="shared" si="24"/>
        <v>2601.59</v>
      </c>
      <c r="I521" s="29">
        <f t="shared" si="25"/>
        <v>23</v>
      </c>
      <c r="J521" s="31" t="str">
        <f t="shared" si="26"/>
        <v>1-30</v>
      </c>
      <c r="K521"/>
    </row>
    <row r="522" spans="1:11" x14ac:dyDescent="0.3">
      <c r="A522" s="20" t="s">
        <v>34</v>
      </c>
      <c r="B522" t="str">
        <f>VLOOKUP(A522,Customers!A:B,2,FALSE)</f>
        <v>OptiCommerce</v>
      </c>
      <c r="C522" s="24" t="s">
        <v>889</v>
      </c>
      <c r="D522" s="10">
        <v>46109</v>
      </c>
      <c r="E522" s="10">
        <v>46139</v>
      </c>
      <c r="F522" s="4">
        <v>9741.52</v>
      </c>
      <c r="G522" s="3">
        <f>SUMIF(Customer_Payments!B:B,C522,Customer_Payments!E:E)</f>
        <v>9741.52</v>
      </c>
      <c r="H522" s="3">
        <f t="shared" si="24"/>
        <v>0</v>
      </c>
      <c r="I522" s="29">
        <f t="shared" si="25"/>
        <v>-48</v>
      </c>
      <c r="J522" s="31" t="str">
        <f t="shared" si="26"/>
        <v>Current</v>
      </c>
      <c r="K522"/>
    </row>
    <row r="523" spans="1:11" x14ac:dyDescent="0.3">
      <c r="A523" s="21" t="s">
        <v>86</v>
      </c>
      <c r="B523" t="str">
        <f>VLOOKUP(A523,Customers!A:B,2,FALSE)</f>
        <v>RetailNextX</v>
      </c>
      <c r="C523" s="25" t="s">
        <v>890</v>
      </c>
      <c r="D523" s="11">
        <v>46049</v>
      </c>
      <c r="E523" s="11">
        <v>46079</v>
      </c>
      <c r="F523" s="5">
        <v>4549.96</v>
      </c>
      <c r="G523" s="3">
        <f>SUMIF(Customer_Payments!B:B,C523,Customer_Payments!E:E)</f>
        <v>4549.96</v>
      </c>
      <c r="H523" s="3">
        <f t="shared" si="24"/>
        <v>0</v>
      </c>
      <c r="I523" s="29">
        <f t="shared" si="25"/>
        <v>12</v>
      </c>
      <c r="J523" s="31" t="str">
        <f t="shared" si="26"/>
        <v>1-30</v>
      </c>
      <c r="K523"/>
    </row>
    <row r="524" spans="1:11" x14ac:dyDescent="0.3">
      <c r="A524" s="20" t="s">
        <v>77</v>
      </c>
      <c r="B524" t="str">
        <f>VLOOKUP(A524,Customers!A:B,2,FALSE)</f>
        <v>RetailBridge</v>
      </c>
      <c r="C524" s="24" t="s">
        <v>891</v>
      </c>
      <c r="D524" s="10">
        <v>45998</v>
      </c>
      <c r="E524" s="10">
        <v>46028</v>
      </c>
      <c r="F524" s="4">
        <v>3144.1</v>
      </c>
      <c r="G524" s="3">
        <f>SUMIF(Customer_Payments!B:B,C524,Customer_Payments!E:E)</f>
        <v>3144.1</v>
      </c>
      <c r="H524" s="3">
        <f t="shared" si="24"/>
        <v>0</v>
      </c>
      <c r="I524" s="29">
        <f t="shared" si="25"/>
        <v>63</v>
      </c>
      <c r="J524" s="31" t="str">
        <f t="shared" si="26"/>
        <v>61-90</v>
      </c>
      <c r="K524"/>
    </row>
    <row r="525" spans="1:11" x14ac:dyDescent="0.3">
      <c r="A525" s="21" t="s">
        <v>32</v>
      </c>
      <c r="B525" t="str">
        <f>VLOOKUP(A525,Customers!A:B,2,FALSE)</f>
        <v>RetailVista</v>
      </c>
      <c r="C525" s="25" t="s">
        <v>892</v>
      </c>
      <c r="D525" s="11">
        <v>45969</v>
      </c>
      <c r="E525" s="11">
        <v>45999</v>
      </c>
      <c r="F525" s="5">
        <v>9892.7000000000007</v>
      </c>
      <c r="G525" s="3">
        <f>SUMIF(Customer_Payments!B:B,C525,Customer_Payments!E:E)</f>
        <v>9892.7000000000007</v>
      </c>
      <c r="H525" s="3">
        <f t="shared" si="24"/>
        <v>0</v>
      </c>
      <c r="I525" s="29">
        <f t="shared" si="25"/>
        <v>92</v>
      </c>
      <c r="J525" s="31" t="str">
        <f t="shared" si="26"/>
        <v>90+</v>
      </c>
      <c r="K525"/>
    </row>
    <row r="526" spans="1:11" x14ac:dyDescent="0.3">
      <c r="A526" s="20" t="s">
        <v>109</v>
      </c>
      <c r="B526" t="str">
        <f>VLOOKUP(A526,Customers!A:B,2,FALSE)</f>
        <v>RetailStreamPro</v>
      </c>
      <c r="C526" s="24" t="s">
        <v>893</v>
      </c>
      <c r="D526" s="10">
        <v>46013</v>
      </c>
      <c r="E526" s="10">
        <v>46043</v>
      </c>
      <c r="F526" s="4">
        <v>2076.9499999999998</v>
      </c>
      <c r="G526" s="3">
        <f>SUMIF(Customer_Payments!B:B,C526,Customer_Payments!E:E)</f>
        <v>2076.9499999999998</v>
      </c>
      <c r="H526" s="3">
        <f t="shared" si="24"/>
        <v>0</v>
      </c>
      <c r="I526" s="29">
        <f t="shared" si="25"/>
        <v>48</v>
      </c>
      <c r="J526" s="31" t="str">
        <f t="shared" si="26"/>
        <v>31-60</v>
      </c>
      <c r="K526"/>
    </row>
    <row r="527" spans="1:11" x14ac:dyDescent="0.3">
      <c r="A527" s="21" t="s">
        <v>76</v>
      </c>
      <c r="B527" t="str">
        <f>VLOOKUP(A527,Customers!A:B,2,FALSE)</f>
        <v>RetailSphere</v>
      </c>
      <c r="C527" s="25" t="s">
        <v>894</v>
      </c>
      <c r="D527" s="11">
        <v>45962</v>
      </c>
      <c r="E527" s="11">
        <v>45992</v>
      </c>
      <c r="F527" s="5">
        <v>3912.78</v>
      </c>
      <c r="G527" s="3">
        <f>SUMIF(Customer_Payments!B:B,C527,Customer_Payments!E:E)</f>
        <v>3912.78</v>
      </c>
      <c r="H527" s="3">
        <f t="shared" si="24"/>
        <v>0</v>
      </c>
      <c r="I527" s="29">
        <f t="shared" si="25"/>
        <v>99</v>
      </c>
      <c r="J527" s="31" t="str">
        <f t="shared" si="26"/>
        <v>90+</v>
      </c>
      <c r="K527"/>
    </row>
    <row r="528" spans="1:11" x14ac:dyDescent="0.3">
      <c r="A528" s="20" t="s">
        <v>41</v>
      </c>
      <c r="B528" t="str">
        <f>VLOOKUP(A528,Customers!A:B,2,FALSE)</f>
        <v>DynamicRetail</v>
      </c>
      <c r="C528" s="24" t="s">
        <v>895</v>
      </c>
      <c r="D528" s="10">
        <v>46092</v>
      </c>
      <c r="E528" s="10">
        <v>46122</v>
      </c>
      <c r="F528" s="4">
        <v>11251.36</v>
      </c>
      <c r="G528" s="3">
        <f>SUMIF(Customer_Payments!B:B,C528,Customer_Payments!E:E)</f>
        <v>11251.36</v>
      </c>
      <c r="H528" s="3">
        <f t="shared" si="24"/>
        <v>0</v>
      </c>
      <c r="I528" s="29">
        <f t="shared" si="25"/>
        <v>-31</v>
      </c>
      <c r="J528" s="31" t="str">
        <f t="shared" si="26"/>
        <v>Current</v>
      </c>
      <c r="K528"/>
    </row>
    <row r="529" spans="1:11" x14ac:dyDescent="0.3">
      <c r="A529" s="21" t="s">
        <v>110</v>
      </c>
      <c r="B529" t="str">
        <f>VLOOKUP(A529,Customers!A:B,2,FALSE)</f>
        <v>RetailAxisPro</v>
      </c>
      <c r="C529" s="25" t="s">
        <v>896</v>
      </c>
      <c r="D529" s="11">
        <v>46086</v>
      </c>
      <c r="E529" s="11">
        <v>46116</v>
      </c>
      <c r="F529" s="5">
        <v>4052.13</v>
      </c>
      <c r="G529" s="3">
        <f>SUMIF(Customer_Payments!B:B,C529,Customer_Payments!E:E)</f>
        <v>4052.13</v>
      </c>
      <c r="H529" s="3">
        <f t="shared" si="24"/>
        <v>0</v>
      </c>
      <c r="I529" s="29">
        <f t="shared" si="25"/>
        <v>-25</v>
      </c>
      <c r="J529" s="31" t="str">
        <f t="shared" si="26"/>
        <v>Current</v>
      </c>
      <c r="K529"/>
    </row>
    <row r="530" spans="1:11" x14ac:dyDescent="0.3">
      <c r="A530" s="20" t="s">
        <v>81</v>
      </c>
      <c r="B530" t="str">
        <f>VLOOKUP(A530,Customers!A:B,2,FALSE)</f>
        <v>RetailFlowX</v>
      </c>
      <c r="C530" s="24" t="s">
        <v>897</v>
      </c>
      <c r="D530" s="10">
        <v>45969</v>
      </c>
      <c r="E530" s="10">
        <v>45999</v>
      </c>
      <c r="F530" s="4">
        <v>2058.59</v>
      </c>
      <c r="G530" s="3">
        <f>SUMIF(Customer_Payments!B:B,C530,Customer_Payments!E:E)</f>
        <v>2058.59</v>
      </c>
      <c r="H530" s="3">
        <f t="shared" si="24"/>
        <v>0</v>
      </c>
      <c r="I530" s="29">
        <f t="shared" si="25"/>
        <v>92</v>
      </c>
      <c r="J530" s="31" t="str">
        <f t="shared" si="26"/>
        <v>90+</v>
      </c>
      <c r="K530"/>
    </row>
    <row r="531" spans="1:11" x14ac:dyDescent="0.3">
      <c r="A531" s="21" t="s">
        <v>41</v>
      </c>
      <c r="B531" t="str">
        <f>VLOOKUP(A531,Customers!A:B,2,FALSE)</f>
        <v>DynamicRetail</v>
      </c>
      <c r="C531" s="25" t="s">
        <v>898</v>
      </c>
      <c r="D531" s="11">
        <v>45969</v>
      </c>
      <c r="E531" s="11">
        <v>45999</v>
      </c>
      <c r="F531" s="5">
        <v>5947.96</v>
      </c>
      <c r="G531" s="3">
        <f>SUMIF(Customer_Payments!B:B,C531,Customer_Payments!E:E)</f>
        <v>5947.96</v>
      </c>
      <c r="H531" s="3">
        <f t="shared" si="24"/>
        <v>0</v>
      </c>
      <c r="I531" s="29">
        <f t="shared" si="25"/>
        <v>92</v>
      </c>
      <c r="J531" s="31" t="str">
        <f t="shared" si="26"/>
        <v>90+</v>
      </c>
      <c r="K531"/>
    </row>
    <row r="532" spans="1:11" x14ac:dyDescent="0.3">
      <c r="A532" s="20" t="s">
        <v>35</v>
      </c>
      <c r="B532" t="str">
        <f>VLOOKUP(A532,Customers!A:B,2,FALSE)</f>
        <v>FusionRetail</v>
      </c>
      <c r="C532" s="24" t="s">
        <v>899</v>
      </c>
      <c r="D532" s="10">
        <v>46086</v>
      </c>
      <c r="E532" s="10">
        <v>46116</v>
      </c>
      <c r="F532" s="4">
        <v>3942.8</v>
      </c>
      <c r="G532" s="3">
        <f>SUMIF(Customer_Payments!B:B,C532,Customer_Payments!E:E)</f>
        <v>0</v>
      </c>
      <c r="H532" s="3">
        <f t="shared" si="24"/>
        <v>3942.8</v>
      </c>
      <c r="I532" s="29">
        <f t="shared" si="25"/>
        <v>-25</v>
      </c>
      <c r="J532" s="31" t="str">
        <f t="shared" si="26"/>
        <v>Current</v>
      </c>
      <c r="K532"/>
    </row>
    <row r="533" spans="1:11" x14ac:dyDescent="0.3">
      <c r="A533" s="21" t="s">
        <v>114</v>
      </c>
      <c r="B533" t="str">
        <f>VLOOKUP(A533,Customers!A:B,2,FALSE)</f>
        <v>RetailScalePro</v>
      </c>
      <c r="C533" s="25" t="s">
        <v>900</v>
      </c>
      <c r="D533" s="11">
        <v>46064</v>
      </c>
      <c r="E533" s="11">
        <v>46094</v>
      </c>
      <c r="F533" s="5">
        <v>3985.11</v>
      </c>
      <c r="G533" s="3">
        <f>SUMIF(Customer_Payments!B:B,C533,Customer_Payments!E:E)</f>
        <v>3985.11</v>
      </c>
      <c r="H533" s="3">
        <f t="shared" si="24"/>
        <v>0</v>
      </c>
      <c r="I533" s="29">
        <f t="shared" si="25"/>
        <v>-3</v>
      </c>
      <c r="J533" s="31" t="str">
        <f t="shared" si="26"/>
        <v>Current</v>
      </c>
      <c r="K533"/>
    </row>
    <row r="534" spans="1:11" x14ac:dyDescent="0.3">
      <c r="A534" s="20" t="s">
        <v>96</v>
      </c>
      <c r="B534" t="str">
        <f>VLOOKUP(A534,Customers!A:B,2,FALSE)</f>
        <v>RetailLabs</v>
      </c>
      <c r="C534" s="24" t="s">
        <v>901</v>
      </c>
      <c r="D534" s="10">
        <v>46052</v>
      </c>
      <c r="E534" s="10">
        <v>46082</v>
      </c>
      <c r="F534" s="4">
        <v>4352.2</v>
      </c>
      <c r="G534" s="3">
        <f>SUMIF(Customer_Payments!B:B,C534,Customer_Payments!E:E)</f>
        <v>0</v>
      </c>
      <c r="H534" s="3">
        <f t="shared" si="24"/>
        <v>4352.2</v>
      </c>
      <c r="I534" s="29">
        <f t="shared" si="25"/>
        <v>9</v>
      </c>
      <c r="J534" s="31" t="str">
        <f t="shared" si="26"/>
        <v>1-30</v>
      </c>
      <c r="K534"/>
    </row>
    <row r="535" spans="1:11" x14ac:dyDescent="0.3">
      <c r="A535" s="21" t="s">
        <v>79</v>
      </c>
      <c r="B535" t="str">
        <f>VLOOKUP(A535,Customers!A:B,2,FALSE)</f>
        <v>RetailBoostX</v>
      </c>
      <c r="C535" s="25" t="s">
        <v>902</v>
      </c>
      <c r="D535" s="11">
        <v>46079</v>
      </c>
      <c r="E535" s="11">
        <v>46109</v>
      </c>
      <c r="F535" s="5">
        <v>2913.98</v>
      </c>
      <c r="G535" s="3">
        <f>SUMIF(Customer_Payments!B:B,C535,Customer_Payments!E:E)</f>
        <v>2913.98</v>
      </c>
      <c r="H535" s="3">
        <f t="shared" si="24"/>
        <v>0</v>
      </c>
      <c r="I535" s="29">
        <f t="shared" si="25"/>
        <v>-18</v>
      </c>
      <c r="J535" s="31" t="str">
        <f t="shared" si="26"/>
        <v>Current</v>
      </c>
      <c r="K535"/>
    </row>
    <row r="536" spans="1:11" x14ac:dyDescent="0.3">
      <c r="A536" s="20" t="s">
        <v>29</v>
      </c>
      <c r="B536" t="str">
        <f>VLOOKUP(A536,Customers!A:B,2,FALSE)</f>
        <v>DigitalBridge</v>
      </c>
      <c r="C536" s="24" t="s">
        <v>903</v>
      </c>
      <c r="D536" s="10">
        <v>46041</v>
      </c>
      <c r="E536" s="10">
        <v>46071</v>
      </c>
      <c r="F536" s="4">
        <v>2998.94</v>
      </c>
      <c r="G536" s="3">
        <f>SUMIF(Customer_Payments!B:B,C536,Customer_Payments!E:E)</f>
        <v>2998.94</v>
      </c>
      <c r="H536" s="3">
        <f t="shared" si="24"/>
        <v>0</v>
      </c>
      <c r="I536" s="29">
        <f t="shared" si="25"/>
        <v>20</v>
      </c>
      <c r="J536" s="31" t="str">
        <f t="shared" si="26"/>
        <v>1-30</v>
      </c>
      <c r="K536"/>
    </row>
    <row r="537" spans="1:11" x14ac:dyDescent="0.3">
      <c r="A537" s="21" t="s">
        <v>9</v>
      </c>
      <c r="B537" t="str">
        <f>VLOOKUP(A537,Customers!A:B,2,FALSE)</f>
        <v>UrbanRetail</v>
      </c>
      <c r="C537" s="25" t="s">
        <v>904</v>
      </c>
      <c r="D537" s="11">
        <v>45978</v>
      </c>
      <c r="E537" s="11">
        <v>46008</v>
      </c>
      <c r="F537" s="5">
        <v>9782.23</v>
      </c>
      <c r="G537" s="3">
        <f>SUMIF(Customer_Payments!B:B,C537,Customer_Payments!E:E)</f>
        <v>9782.23</v>
      </c>
      <c r="H537" s="3">
        <f t="shared" si="24"/>
        <v>0</v>
      </c>
      <c r="I537" s="29">
        <f t="shared" si="25"/>
        <v>83</v>
      </c>
      <c r="J537" s="31" t="str">
        <f t="shared" si="26"/>
        <v>61-90</v>
      </c>
      <c r="K537"/>
    </row>
    <row r="538" spans="1:11" x14ac:dyDescent="0.3">
      <c r="A538" s="20" t="s">
        <v>23</v>
      </c>
      <c r="B538" t="str">
        <f>VLOOKUP(A538,Customers!A:B,2,FALSE)</f>
        <v>VertexCommerce</v>
      </c>
      <c r="C538" s="24" t="s">
        <v>905</v>
      </c>
      <c r="D538" s="10">
        <v>46026</v>
      </c>
      <c r="E538" s="10">
        <v>46056</v>
      </c>
      <c r="F538" s="4">
        <v>3469.18</v>
      </c>
      <c r="G538" s="3">
        <f>SUMIF(Customer_Payments!B:B,C538,Customer_Payments!E:E)</f>
        <v>3469.1800000000003</v>
      </c>
      <c r="H538" s="3">
        <f t="shared" si="24"/>
        <v>0</v>
      </c>
      <c r="I538" s="29">
        <f t="shared" si="25"/>
        <v>35</v>
      </c>
      <c r="J538" s="31" t="str">
        <f t="shared" si="26"/>
        <v>31-60</v>
      </c>
      <c r="K538"/>
    </row>
    <row r="539" spans="1:11" x14ac:dyDescent="0.3">
      <c r="A539" s="21" t="s">
        <v>25</v>
      </c>
      <c r="B539" t="str">
        <f>VLOOKUP(A539,Customers!A:B,2,FALSE)</f>
        <v>OrbitEdge</v>
      </c>
      <c r="C539" s="25" t="s">
        <v>906</v>
      </c>
      <c r="D539" s="11">
        <v>46072</v>
      </c>
      <c r="E539" s="11">
        <v>46102</v>
      </c>
      <c r="F539" s="5">
        <v>2716.94</v>
      </c>
      <c r="G539" s="3">
        <f>SUMIF(Customer_Payments!B:B,C539,Customer_Payments!E:E)</f>
        <v>2716.94</v>
      </c>
      <c r="H539" s="3">
        <f t="shared" si="24"/>
        <v>0</v>
      </c>
      <c r="I539" s="29">
        <f t="shared" si="25"/>
        <v>-11</v>
      </c>
      <c r="J539" s="31" t="str">
        <f t="shared" si="26"/>
        <v>Current</v>
      </c>
      <c r="K539"/>
    </row>
    <row r="540" spans="1:11" x14ac:dyDescent="0.3">
      <c r="A540" s="20" t="s">
        <v>117</v>
      </c>
      <c r="B540" t="str">
        <f>VLOOKUP(A540,Customers!A:B,2,FALSE)</f>
        <v>RetailSparkPro</v>
      </c>
      <c r="C540" s="24" t="s">
        <v>907</v>
      </c>
      <c r="D540" s="10">
        <v>45974</v>
      </c>
      <c r="E540" s="10">
        <v>46004</v>
      </c>
      <c r="F540" s="4">
        <v>3786.57</v>
      </c>
      <c r="G540" s="3">
        <f>SUMIF(Customer_Payments!B:B,C540,Customer_Payments!E:E)</f>
        <v>0</v>
      </c>
      <c r="H540" s="3">
        <f t="shared" si="24"/>
        <v>3786.57</v>
      </c>
      <c r="I540" s="29">
        <f t="shared" si="25"/>
        <v>87</v>
      </c>
      <c r="J540" s="31" t="str">
        <f t="shared" si="26"/>
        <v>61-90</v>
      </c>
      <c r="K540"/>
    </row>
    <row r="541" spans="1:11" x14ac:dyDescent="0.3">
      <c r="A541" s="21" t="s">
        <v>57</v>
      </c>
      <c r="B541" t="str">
        <f>VLOOKUP(A541,Customers!A:B,2,FALSE)</f>
        <v>MarketGenius</v>
      </c>
      <c r="C541" s="25" t="s">
        <v>908</v>
      </c>
      <c r="D541" s="11">
        <v>46077</v>
      </c>
      <c r="E541" s="11">
        <v>46107</v>
      </c>
      <c r="F541" s="5">
        <v>2960.56</v>
      </c>
      <c r="G541" s="3">
        <f>SUMIF(Customer_Payments!B:B,C541,Customer_Payments!E:E)</f>
        <v>0</v>
      </c>
      <c r="H541" s="3">
        <f t="shared" si="24"/>
        <v>2960.56</v>
      </c>
      <c r="I541" s="29">
        <f t="shared" si="25"/>
        <v>-16</v>
      </c>
      <c r="J541" s="31" t="str">
        <f t="shared" si="26"/>
        <v>Current</v>
      </c>
      <c r="K541"/>
    </row>
    <row r="542" spans="1:11" x14ac:dyDescent="0.3">
      <c r="A542" s="20" t="s">
        <v>27</v>
      </c>
      <c r="B542" t="str">
        <f>VLOOKUP(A542,Customers!A:B,2,FALSE)</f>
        <v>Skyline Commerce</v>
      </c>
      <c r="C542" s="24" t="s">
        <v>909</v>
      </c>
      <c r="D542" s="10">
        <v>46109</v>
      </c>
      <c r="E542" s="10">
        <v>46139</v>
      </c>
      <c r="F542" s="4">
        <v>2941.45</v>
      </c>
      <c r="G542" s="3">
        <f>SUMIF(Customer_Payments!B:B,C542,Customer_Payments!E:E)</f>
        <v>2941.45</v>
      </c>
      <c r="H542" s="3">
        <f t="shared" si="24"/>
        <v>0</v>
      </c>
      <c r="I542" s="29">
        <f t="shared" si="25"/>
        <v>-48</v>
      </c>
      <c r="J542" s="31" t="str">
        <f t="shared" si="26"/>
        <v>Current</v>
      </c>
      <c r="K542"/>
    </row>
    <row r="543" spans="1:11" x14ac:dyDescent="0.3">
      <c r="A543" s="21" t="s">
        <v>90</v>
      </c>
      <c r="B543" t="str">
        <f>VLOOKUP(A543,Customers!A:B,2,FALSE)</f>
        <v>RetailPulseX</v>
      </c>
      <c r="C543" s="25" t="s">
        <v>910</v>
      </c>
      <c r="D543" s="11">
        <v>45997</v>
      </c>
      <c r="E543" s="11">
        <v>46027</v>
      </c>
      <c r="F543" s="5">
        <v>2123.06</v>
      </c>
      <c r="G543" s="3">
        <f>SUMIF(Customer_Payments!B:B,C543,Customer_Payments!E:E)</f>
        <v>0</v>
      </c>
      <c r="H543" s="3">
        <f t="shared" si="24"/>
        <v>2123.06</v>
      </c>
      <c r="I543" s="29">
        <f t="shared" si="25"/>
        <v>64</v>
      </c>
      <c r="J543" s="31" t="str">
        <f t="shared" si="26"/>
        <v>61-90</v>
      </c>
      <c r="K543"/>
    </row>
    <row r="544" spans="1:11" x14ac:dyDescent="0.3">
      <c r="A544" s="20" t="s">
        <v>85</v>
      </c>
      <c r="B544" t="str">
        <f>VLOOKUP(A544,Customers!A:B,2,FALSE)</f>
        <v>RetailWorksX</v>
      </c>
      <c r="C544" s="24" t="s">
        <v>911</v>
      </c>
      <c r="D544" s="10">
        <v>46090</v>
      </c>
      <c r="E544" s="10">
        <v>46120</v>
      </c>
      <c r="F544" s="4">
        <v>2174.1999999999998</v>
      </c>
      <c r="G544" s="3">
        <f>SUMIF(Customer_Payments!B:B,C544,Customer_Payments!E:E)</f>
        <v>0</v>
      </c>
      <c r="H544" s="3">
        <f t="shared" si="24"/>
        <v>2174.1999999999998</v>
      </c>
      <c r="I544" s="29">
        <f t="shared" si="25"/>
        <v>-29</v>
      </c>
      <c r="J544" s="31" t="str">
        <f t="shared" si="26"/>
        <v>Current</v>
      </c>
      <c r="K544"/>
    </row>
    <row r="545" spans="1:11" x14ac:dyDescent="0.3">
      <c r="A545" s="21" t="s">
        <v>100</v>
      </c>
      <c r="B545" t="str">
        <f>VLOOKUP(A545,Customers!A:B,2,FALSE)</f>
        <v>RetailBoostPro</v>
      </c>
      <c r="C545" s="25" t="s">
        <v>912</v>
      </c>
      <c r="D545" s="11">
        <v>46107</v>
      </c>
      <c r="E545" s="11">
        <v>46137</v>
      </c>
      <c r="F545" s="5">
        <v>2223.2399999999998</v>
      </c>
      <c r="G545" s="3">
        <f>SUMIF(Customer_Payments!B:B,C545,Customer_Payments!E:E)</f>
        <v>2223.2399999999998</v>
      </c>
      <c r="H545" s="3">
        <f t="shared" si="24"/>
        <v>0</v>
      </c>
      <c r="I545" s="29">
        <f t="shared" si="25"/>
        <v>-46</v>
      </c>
      <c r="J545" s="31" t="str">
        <f t="shared" si="26"/>
        <v>Current</v>
      </c>
      <c r="K545"/>
    </row>
    <row r="546" spans="1:11" x14ac:dyDescent="0.3">
      <c r="A546" s="20" t="s">
        <v>96</v>
      </c>
      <c r="B546" t="str">
        <f>VLOOKUP(A546,Customers!A:B,2,FALSE)</f>
        <v>RetailLabs</v>
      </c>
      <c r="C546" s="24" t="s">
        <v>913</v>
      </c>
      <c r="D546" s="10">
        <v>46106</v>
      </c>
      <c r="E546" s="10">
        <v>46136</v>
      </c>
      <c r="F546" s="4">
        <v>1652.05</v>
      </c>
      <c r="G546" s="3">
        <f>SUMIF(Customer_Payments!B:B,C546,Customer_Payments!E:E)</f>
        <v>1652.05</v>
      </c>
      <c r="H546" s="3">
        <f t="shared" si="24"/>
        <v>0</v>
      </c>
      <c r="I546" s="29">
        <f t="shared" si="25"/>
        <v>-45</v>
      </c>
      <c r="J546" s="31" t="str">
        <f t="shared" si="26"/>
        <v>Current</v>
      </c>
      <c r="K546"/>
    </row>
    <row r="547" spans="1:11" x14ac:dyDescent="0.3">
      <c r="A547" s="21" t="s">
        <v>84</v>
      </c>
      <c r="B547" t="str">
        <f>VLOOKUP(A547,Customers!A:B,2,FALSE)</f>
        <v>RetailVisionX</v>
      </c>
      <c r="C547" s="25" t="s">
        <v>914</v>
      </c>
      <c r="D547" s="11">
        <v>46079</v>
      </c>
      <c r="E547" s="11">
        <v>46109</v>
      </c>
      <c r="F547" s="5">
        <v>3348.24</v>
      </c>
      <c r="G547" s="3">
        <f>SUMIF(Customer_Payments!B:B,C547,Customer_Payments!E:E)</f>
        <v>3348.24</v>
      </c>
      <c r="H547" s="3">
        <f t="shared" si="24"/>
        <v>0</v>
      </c>
      <c r="I547" s="29">
        <f t="shared" si="25"/>
        <v>-18</v>
      </c>
      <c r="J547" s="31" t="str">
        <f t="shared" si="26"/>
        <v>Current</v>
      </c>
      <c r="K547"/>
    </row>
    <row r="548" spans="1:11" x14ac:dyDescent="0.3">
      <c r="A548" s="20" t="s">
        <v>20</v>
      </c>
      <c r="B548" t="str">
        <f>VLOOKUP(A548,Customers!A:B,2,FALSE)</f>
        <v>GrowthSphere</v>
      </c>
      <c r="C548" s="24" t="s">
        <v>915</v>
      </c>
      <c r="D548" s="10">
        <v>46046</v>
      </c>
      <c r="E548" s="10">
        <v>46076</v>
      </c>
      <c r="F548" s="4">
        <v>2921.04</v>
      </c>
      <c r="G548" s="3">
        <f>SUMIF(Customer_Payments!B:B,C548,Customer_Payments!E:E)</f>
        <v>2921.04</v>
      </c>
      <c r="H548" s="3">
        <f t="shared" si="24"/>
        <v>0</v>
      </c>
      <c r="I548" s="29">
        <f t="shared" si="25"/>
        <v>15</v>
      </c>
      <c r="J548" s="31" t="str">
        <f t="shared" si="26"/>
        <v>1-30</v>
      </c>
      <c r="K548"/>
    </row>
    <row r="549" spans="1:11" x14ac:dyDescent="0.3">
      <c r="A549" s="21" t="s">
        <v>47</v>
      </c>
      <c r="B549" t="str">
        <f>VLOOKUP(A549,Customers!A:B,2,FALSE)</f>
        <v>SmartRetail</v>
      </c>
      <c r="C549" s="25" t="s">
        <v>916</v>
      </c>
      <c r="D549" s="11">
        <v>46005</v>
      </c>
      <c r="E549" s="11">
        <v>46035</v>
      </c>
      <c r="F549" s="5">
        <v>10275.09</v>
      </c>
      <c r="G549" s="3">
        <f>SUMIF(Customer_Payments!B:B,C549,Customer_Payments!E:E)</f>
        <v>10275.09</v>
      </c>
      <c r="H549" s="3">
        <f t="shared" si="24"/>
        <v>0</v>
      </c>
      <c r="I549" s="29">
        <f t="shared" si="25"/>
        <v>56</v>
      </c>
      <c r="J549" s="31" t="str">
        <f t="shared" si="26"/>
        <v>31-60</v>
      </c>
      <c r="K549"/>
    </row>
    <row r="550" spans="1:11" x14ac:dyDescent="0.3">
      <c r="A550" s="20" t="s">
        <v>100</v>
      </c>
      <c r="B550" t="str">
        <f>VLOOKUP(A550,Customers!A:B,2,FALSE)</f>
        <v>RetailBoostPro</v>
      </c>
      <c r="C550" s="24" t="s">
        <v>917</v>
      </c>
      <c r="D550" s="10">
        <v>46065</v>
      </c>
      <c r="E550" s="10">
        <v>46095</v>
      </c>
      <c r="F550" s="4">
        <v>5272.37</v>
      </c>
      <c r="G550" s="3">
        <f>SUMIF(Customer_Payments!B:B,C550,Customer_Payments!E:E)</f>
        <v>5272.37</v>
      </c>
      <c r="H550" s="3">
        <f t="shared" si="24"/>
        <v>0</v>
      </c>
      <c r="I550" s="29">
        <f t="shared" si="25"/>
        <v>-4</v>
      </c>
      <c r="J550" s="31" t="str">
        <f t="shared" si="26"/>
        <v>Current</v>
      </c>
      <c r="K550"/>
    </row>
    <row r="551" spans="1:11" x14ac:dyDescent="0.3">
      <c r="A551" s="21" t="s">
        <v>15</v>
      </c>
      <c r="B551" t="str">
        <f>VLOOKUP(A551,Customers!A:B,2,FALSE)</f>
        <v>CloudScale</v>
      </c>
      <c r="C551" s="25" t="s">
        <v>918</v>
      </c>
      <c r="D551" s="11">
        <v>46104</v>
      </c>
      <c r="E551" s="11">
        <v>46134</v>
      </c>
      <c r="F551" s="5">
        <v>2446.63</v>
      </c>
      <c r="G551" s="3">
        <f>SUMIF(Customer_Payments!B:B,C551,Customer_Payments!E:E)</f>
        <v>2446.63</v>
      </c>
      <c r="H551" s="3">
        <f t="shared" si="24"/>
        <v>0</v>
      </c>
      <c r="I551" s="29">
        <f t="shared" si="25"/>
        <v>-43</v>
      </c>
      <c r="J551" s="31" t="str">
        <f t="shared" si="26"/>
        <v>Current</v>
      </c>
      <c r="K551"/>
    </row>
    <row r="552" spans="1:11" x14ac:dyDescent="0.3">
      <c r="A552" s="20" t="s">
        <v>56</v>
      </c>
      <c r="B552" t="str">
        <f>VLOOKUP(A552,Customers!A:B,2,FALSE)</f>
        <v>RetailBoost</v>
      </c>
      <c r="C552" s="24" t="s">
        <v>919</v>
      </c>
      <c r="D552" s="10">
        <v>46061</v>
      </c>
      <c r="E552" s="10">
        <v>46091</v>
      </c>
      <c r="F552" s="4">
        <v>2256.66</v>
      </c>
      <c r="G552" s="3">
        <f>SUMIF(Customer_Payments!B:B,C552,Customer_Payments!E:E)</f>
        <v>2256.66</v>
      </c>
      <c r="H552" s="3">
        <f t="shared" si="24"/>
        <v>0</v>
      </c>
      <c r="I552" s="29">
        <f t="shared" si="25"/>
        <v>0</v>
      </c>
      <c r="J552" s="31" t="str">
        <f t="shared" si="26"/>
        <v>Current</v>
      </c>
      <c r="K552"/>
    </row>
    <row r="553" spans="1:11" x14ac:dyDescent="0.3">
      <c r="A553" s="21" t="s">
        <v>55</v>
      </c>
      <c r="B553" t="str">
        <f>VLOOKUP(A553,Customers!A:B,2,FALSE)</f>
        <v>CommerceLabs</v>
      </c>
      <c r="C553" s="25" t="s">
        <v>920</v>
      </c>
      <c r="D553" s="11">
        <v>45963</v>
      </c>
      <c r="E553" s="11">
        <v>45993</v>
      </c>
      <c r="F553" s="5">
        <v>13116.41</v>
      </c>
      <c r="G553" s="3">
        <f>SUMIF(Customer_Payments!B:B,C553,Customer_Payments!E:E)</f>
        <v>13116.41</v>
      </c>
      <c r="H553" s="3">
        <f t="shared" si="24"/>
        <v>0</v>
      </c>
      <c r="I553" s="29">
        <f t="shared" si="25"/>
        <v>98</v>
      </c>
      <c r="J553" s="31" t="str">
        <f t="shared" si="26"/>
        <v>90+</v>
      </c>
      <c r="K553"/>
    </row>
    <row r="554" spans="1:11" x14ac:dyDescent="0.3">
      <c r="A554" s="20" t="s">
        <v>80</v>
      </c>
      <c r="B554" t="str">
        <f>VLOOKUP(A554,Customers!A:B,2,FALSE)</f>
        <v>RetailEdgeX</v>
      </c>
      <c r="C554" s="24" t="s">
        <v>921</v>
      </c>
      <c r="D554" s="10">
        <v>46008</v>
      </c>
      <c r="E554" s="10">
        <v>46038</v>
      </c>
      <c r="F554" s="4">
        <v>2546.02</v>
      </c>
      <c r="G554" s="3">
        <f>SUMIF(Customer_Payments!B:B,C554,Customer_Payments!E:E)</f>
        <v>0</v>
      </c>
      <c r="H554" s="3">
        <f t="shared" si="24"/>
        <v>2546.02</v>
      </c>
      <c r="I554" s="29">
        <f t="shared" si="25"/>
        <v>53</v>
      </c>
      <c r="J554" s="31" t="str">
        <f t="shared" si="26"/>
        <v>31-60</v>
      </c>
      <c r="K554"/>
    </row>
    <row r="555" spans="1:11" x14ac:dyDescent="0.3">
      <c r="A555" s="21" t="s">
        <v>109</v>
      </c>
      <c r="B555" t="str">
        <f>VLOOKUP(A555,Customers!A:B,2,FALSE)</f>
        <v>RetailStreamPro</v>
      </c>
      <c r="C555" s="25" t="s">
        <v>922</v>
      </c>
      <c r="D555" s="11">
        <v>46003</v>
      </c>
      <c r="E555" s="11">
        <v>46033</v>
      </c>
      <c r="F555" s="5">
        <v>1985.94</v>
      </c>
      <c r="G555" s="3">
        <f>SUMIF(Customer_Payments!B:B,C555,Customer_Payments!E:E)</f>
        <v>1985.94</v>
      </c>
      <c r="H555" s="3">
        <f t="shared" si="24"/>
        <v>0</v>
      </c>
      <c r="I555" s="29">
        <f t="shared" si="25"/>
        <v>58</v>
      </c>
      <c r="J555" s="31" t="str">
        <f t="shared" si="26"/>
        <v>31-60</v>
      </c>
      <c r="K555"/>
    </row>
    <row r="556" spans="1:11" x14ac:dyDescent="0.3">
      <c r="A556" s="20" t="s">
        <v>16</v>
      </c>
      <c r="B556" t="str">
        <f>VLOOKUP(A556,Customers!A:B,2,FALSE)</f>
        <v>RetailHub</v>
      </c>
      <c r="C556" s="24" t="s">
        <v>923</v>
      </c>
      <c r="D556" s="10">
        <v>46053</v>
      </c>
      <c r="E556" s="10">
        <v>46083</v>
      </c>
      <c r="F556" s="4">
        <v>2753.89</v>
      </c>
      <c r="G556" s="3">
        <f>SUMIF(Customer_Payments!B:B,C556,Customer_Payments!E:E)</f>
        <v>0</v>
      </c>
      <c r="H556" s="3">
        <f t="shared" si="24"/>
        <v>2753.89</v>
      </c>
      <c r="I556" s="29">
        <f t="shared" si="25"/>
        <v>8</v>
      </c>
      <c r="J556" s="31" t="str">
        <f t="shared" si="26"/>
        <v>1-30</v>
      </c>
      <c r="K556"/>
    </row>
    <row r="557" spans="1:11" x14ac:dyDescent="0.3">
      <c r="A557" s="21" t="s">
        <v>77</v>
      </c>
      <c r="B557" t="str">
        <f>VLOOKUP(A557,Customers!A:B,2,FALSE)</f>
        <v>RetailBridge</v>
      </c>
      <c r="C557" s="25" t="s">
        <v>924</v>
      </c>
      <c r="D557" s="11">
        <v>45974</v>
      </c>
      <c r="E557" s="11">
        <v>46004</v>
      </c>
      <c r="F557" s="5">
        <v>2170.11</v>
      </c>
      <c r="G557" s="3">
        <f>SUMIF(Customer_Payments!B:B,C557,Customer_Payments!E:E)</f>
        <v>2170.11</v>
      </c>
      <c r="H557" s="3">
        <f t="shared" si="24"/>
        <v>0</v>
      </c>
      <c r="I557" s="29">
        <f t="shared" si="25"/>
        <v>87</v>
      </c>
      <c r="J557" s="31" t="str">
        <f t="shared" si="26"/>
        <v>61-90</v>
      </c>
      <c r="K557"/>
    </row>
    <row r="558" spans="1:11" x14ac:dyDescent="0.3">
      <c r="A558" s="20" t="s">
        <v>62</v>
      </c>
      <c r="B558" t="str">
        <f>VLOOKUP(A558,Customers!A:B,2,FALSE)</f>
        <v>MarketNova</v>
      </c>
      <c r="C558" s="24" t="s">
        <v>925</v>
      </c>
      <c r="D558" s="10">
        <v>46109</v>
      </c>
      <c r="E558" s="10">
        <v>46139</v>
      </c>
      <c r="F558" s="4">
        <v>2805.54</v>
      </c>
      <c r="G558" s="3">
        <f>SUMIF(Customer_Payments!B:B,C558,Customer_Payments!E:E)</f>
        <v>2805.54</v>
      </c>
      <c r="H558" s="3">
        <f t="shared" si="24"/>
        <v>0</v>
      </c>
      <c r="I558" s="29">
        <f t="shared" si="25"/>
        <v>-48</v>
      </c>
      <c r="J558" s="31" t="str">
        <f t="shared" si="26"/>
        <v>Current</v>
      </c>
      <c r="K558"/>
    </row>
    <row r="559" spans="1:11" x14ac:dyDescent="0.3">
      <c r="A559" s="21" t="s">
        <v>49</v>
      </c>
      <c r="B559" t="str">
        <f>VLOOKUP(A559,Customers!A:B,2,FALSE)</f>
        <v>CommercePilot</v>
      </c>
      <c r="C559" s="25" t="s">
        <v>926</v>
      </c>
      <c r="D559" s="11">
        <v>46105</v>
      </c>
      <c r="E559" s="11">
        <v>46135</v>
      </c>
      <c r="F559" s="5">
        <v>1558.8</v>
      </c>
      <c r="G559" s="3">
        <f>SUMIF(Customer_Payments!B:B,C559,Customer_Payments!E:E)</f>
        <v>1558.8</v>
      </c>
      <c r="H559" s="3">
        <f t="shared" si="24"/>
        <v>0</v>
      </c>
      <c r="I559" s="29">
        <f t="shared" si="25"/>
        <v>-44</v>
      </c>
      <c r="J559" s="31" t="str">
        <f t="shared" si="26"/>
        <v>Current</v>
      </c>
      <c r="K559"/>
    </row>
    <row r="560" spans="1:11" x14ac:dyDescent="0.3">
      <c r="A560" s="20" t="s">
        <v>100</v>
      </c>
      <c r="B560" t="str">
        <f>VLOOKUP(A560,Customers!A:B,2,FALSE)</f>
        <v>RetailBoostPro</v>
      </c>
      <c r="C560" s="24" t="s">
        <v>927</v>
      </c>
      <c r="D560" s="10">
        <v>45986</v>
      </c>
      <c r="E560" s="10">
        <v>46016</v>
      </c>
      <c r="F560" s="4">
        <v>5948.8</v>
      </c>
      <c r="G560" s="3">
        <f>SUMIF(Customer_Payments!B:B,C560,Customer_Payments!E:E)</f>
        <v>5948.8</v>
      </c>
      <c r="H560" s="3">
        <f t="shared" si="24"/>
        <v>0</v>
      </c>
      <c r="I560" s="29">
        <f t="shared" si="25"/>
        <v>75</v>
      </c>
      <c r="J560" s="31" t="str">
        <f t="shared" si="26"/>
        <v>61-90</v>
      </c>
      <c r="K560"/>
    </row>
    <row r="561" spans="1:11" x14ac:dyDescent="0.3">
      <c r="A561" s="21" t="s">
        <v>13</v>
      </c>
      <c r="B561" t="str">
        <f>VLOOKUP(A561,Customers!A:B,2,FALSE)</f>
        <v>EduNova</v>
      </c>
      <c r="C561" s="25" t="s">
        <v>928</v>
      </c>
      <c r="D561" s="11">
        <v>46041</v>
      </c>
      <c r="E561" s="11">
        <v>46071</v>
      </c>
      <c r="F561" s="5">
        <v>3171.37</v>
      </c>
      <c r="G561" s="3">
        <f>SUMIF(Customer_Payments!B:B,C561,Customer_Payments!E:E)</f>
        <v>3171.37</v>
      </c>
      <c r="H561" s="3">
        <f t="shared" si="24"/>
        <v>0</v>
      </c>
      <c r="I561" s="29">
        <f t="shared" si="25"/>
        <v>20</v>
      </c>
      <c r="J561" s="31" t="str">
        <f t="shared" si="26"/>
        <v>1-30</v>
      </c>
      <c r="K561"/>
    </row>
    <row r="562" spans="1:11" x14ac:dyDescent="0.3">
      <c r="A562" s="20" t="s">
        <v>53</v>
      </c>
      <c r="B562" t="str">
        <f>VLOOKUP(A562,Customers!A:B,2,FALSE)</f>
        <v>PrimeCart</v>
      </c>
      <c r="C562" s="24" t="s">
        <v>929</v>
      </c>
      <c r="D562" s="10">
        <v>46083</v>
      </c>
      <c r="E562" s="10">
        <v>46113</v>
      </c>
      <c r="F562" s="4">
        <v>12344.5</v>
      </c>
      <c r="G562" s="3">
        <f>SUMIF(Customer_Payments!B:B,C562,Customer_Payments!E:E)</f>
        <v>12344.5</v>
      </c>
      <c r="H562" s="3">
        <f t="shared" si="24"/>
        <v>0</v>
      </c>
      <c r="I562" s="29">
        <f t="shared" si="25"/>
        <v>-22</v>
      </c>
      <c r="J562" s="31" t="str">
        <f t="shared" si="26"/>
        <v>Current</v>
      </c>
      <c r="K562"/>
    </row>
    <row r="563" spans="1:11" x14ac:dyDescent="0.3">
      <c r="A563" s="21" t="s">
        <v>68</v>
      </c>
      <c r="B563" t="str">
        <f>VLOOKUP(A563,Customers!A:B,2,FALSE)</f>
        <v>RetailVision</v>
      </c>
      <c r="C563" s="25" t="s">
        <v>930</v>
      </c>
      <c r="D563" s="11">
        <v>46092</v>
      </c>
      <c r="E563" s="11">
        <v>46122</v>
      </c>
      <c r="F563" s="5">
        <v>2913.13</v>
      </c>
      <c r="G563" s="3">
        <f>SUMIF(Customer_Payments!B:B,C563,Customer_Payments!E:E)</f>
        <v>2913.13</v>
      </c>
      <c r="H563" s="3">
        <f t="shared" si="24"/>
        <v>0</v>
      </c>
      <c r="I563" s="29">
        <f t="shared" si="25"/>
        <v>-31</v>
      </c>
      <c r="J563" s="31" t="str">
        <f t="shared" si="26"/>
        <v>Current</v>
      </c>
      <c r="K563"/>
    </row>
    <row r="564" spans="1:11" x14ac:dyDescent="0.3">
      <c r="A564" s="20" t="s">
        <v>17</v>
      </c>
      <c r="B564" t="str">
        <f>VLOOKUP(A564,Customers!A:B,2,FALSE)</f>
        <v>AlphaCommerce</v>
      </c>
      <c r="C564" s="24" t="s">
        <v>931</v>
      </c>
      <c r="D564" s="10">
        <v>45986</v>
      </c>
      <c r="E564" s="10">
        <v>46016</v>
      </c>
      <c r="F564" s="4">
        <v>4193.97</v>
      </c>
      <c r="G564" s="3">
        <f>SUMIF(Customer_Payments!B:B,C564,Customer_Payments!E:E)</f>
        <v>4193.97</v>
      </c>
      <c r="H564" s="3">
        <f t="shared" si="24"/>
        <v>0</v>
      </c>
      <c r="I564" s="29">
        <f t="shared" si="25"/>
        <v>75</v>
      </c>
      <c r="J564" s="31" t="str">
        <f t="shared" si="26"/>
        <v>61-90</v>
      </c>
      <c r="K564"/>
    </row>
    <row r="565" spans="1:11" x14ac:dyDescent="0.3">
      <c r="A565" s="21" t="s">
        <v>121</v>
      </c>
      <c r="B565" t="str">
        <f>VLOOKUP(A565,Customers!A:B,2,FALSE)</f>
        <v>RetailVisionGlobal</v>
      </c>
      <c r="C565" s="25" t="s">
        <v>932</v>
      </c>
      <c r="D565" s="11">
        <v>46112</v>
      </c>
      <c r="E565" s="11">
        <v>46142</v>
      </c>
      <c r="F565" s="5">
        <v>13650.09</v>
      </c>
      <c r="G565" s="3">
        <f>SUMIF(Customer_Payments!B:B,C565,Customer_Payments!E:E)</f>
        <v>13650.09</v>
      </c>
      <c r="H565" s="3">
        <f t="shared" si="24"/>
        <v>0</v>
      </c>
      <c r="I565" s="29">
        <f t="shared" si="25"/>
        <v>-51</v>
      </c>
      <c r="J565" s="31" t="str">
        <f t="shared" si="26"/>
        <v>Current</v>
      </c>
      <c r="K565"/>
    </row>
    <row r="566" spans="1:11" x14ac:dyDescent="0.3">
      <c r="A566" s="20" t="s">
        <v>54</v>
      </c>
      <c r="B566" t="str">
        <f>VLOOKUP(A566,Customers!A:B,2,FALSE)</f>
        <v>RetailEdge</v>
      </c>
      <c r="C566" s="24" t="s">
        <v>933</v>
      </c>
      <c r="D566" s="10">
        <v>46038</v>
      </c>
      <c r="E566" s="10">
        <v>46068</v>
      </c>
      <c r="F566" s="4">
        <v>1630.8</v>
      </c>
      <c r="G566" s="3">
        <f>SUMIF(Customer_Payments!B:B,C566,Customer_Payments!E:E)</f>
        <v>1630.8</v>
      </c>
      <c r="H566" s="3">
        <f t="shared" si="24"/>
        <v>0</v>
      </c>
      <c r="I566" s="29">
        <f t="shared" si="25"/>
        <v>23</v>
      </c>
      <c r="J566" s="31" t="str">
        <f t="shared" si="26"/>
        <v>1-30</v>
      </c>
      <c r="K566"/>
    </row>
    <row r="567" spans="1:11" x14ac:dyDescent="0.3">
      <c r="A567" s="21" t="s">
        <v>66</v>
      </c>
      <c r="B567" t="str">
        <f>VLOOKUP(A567,Customers!A:B,2,FALSE)</f>
        <v>MarketWorks</v>
      </c>
      <c r="C567" s="25" t="s">
        <v>934</v>
      </c>
      <c r="D567" s="11">
        <v>45977</v>
      </c>
      <c r="E567" s="11">
        <v>46007</v>
      </c>
      <c r="F567" s="5">
        <v>11373.13</v>
      </c>
      <c r="G567" s="3">
        <f>SUMIF(Customer_Payments!B:B,C567,Customer_Payments!E:E)</f>
        <v>11373.13</v>
      </c>
      <c r="H567" s="3">
        <f t="shared" si="24"/>
        <v>0</v>
      </c>
      <c r="I567" s="29">
        <f t="shared" si="25"/>
        <v>84</v>
      </c>
      <c r="J567" s="31" t="str">
        <f t="shared" si="26"/>
        <v>61-90</v>
      </c>
      <c r="K567"/>
    </row>
    <row r="568" spans="1:11" x14ac:dyDescent="0.3">
      <c r="A568" s="20" t="s">
        <v>103</v>
      </c>
      <c r="B568" t="str">
        <f>VLOOKUP(A568,Customers!A:B,2,FALSE)</f>
        <v>RetailVisionPro</v>
      </c>
      <c r="C568" s="24" t="s">
        <v>935</v>
      </c>
      <c r="D568" s="10">
        <v>46092</v>
      </c>
      <c r="E568" s="10">
        <v>46122</v>
      </c>
      <c r="F568" s="4">
        <v>2226.2399999999998</v>
      </c>
      <c r="G568" s="3">
        <f>SUMIF(Customer_Payments!B:B,C568,Customer_Payments!E:E)</f>
        <v>2226.2399999999998</v>
      </c>
      <c r="H568" s="3">
        <f t="shared" si="24"/>
        <v>0</v>
      </c>
      <c r="I568" s="29">
        <f t="shared" si="25"/>
        <v>-31</v>
      </c>
      <c r="J568" s="31" t="str">
        <f t="shared" si="26"/>
        <v>Current</v>
      </c>
      <c r="K568"/>
    </row>
    <row r="569" spans="1:11" x14ac:dyDescent="0.3">
      <c r="A569" s="21" t="s">
        <v>76</v>
      </c>
      <c r="B569" t="str">
        <f>VLOOKUP(A569,Customers!A:B,2,FALSE)</f>
        <v>RetailSphere</v>
      </c>
      <c r="C569" s="25" t="s">
        <v>936</v>
      </c>
      <c r="D569" s="11">
        <v>46070</v>
      </c>
      <c r="E569" s="11">
        <v>46100</v>
      </c>
      <c r="F569" s="5">
        <v>1920.58</v>
      </c>
      <c r="G569" s="3">
        <f>SUMIF(Customer_Payments!B:B,C569,Customer_Payments!E:E)</f>
        <v>1920.58</v>
      </c>
      <c r="H569" s="3">
        <f t="shared" si="24"/>
        <v>0</v>
      </c>
      <c r="I569" s="29">
        <f t="shared" si="25"/>
        <v>-9</v>
      </c>
      <c r="J569" s="31" t="str">
        <f t="shared" si="26"/>
        <v>Current</v>
      </c>
      <c r="K569"/>
    </row>
    <row r="570" spans="1:11" x14ac:dyDescent="0.3">
      <c r="A570" s="20" t="s">
        <v>114</v>
      </c>
      <c r="B570" t="str">
        <f>VLOOKUP(A570,Customers!A:B,2,FALSE)</f>
        <v>RetailScalePro</v>
      </c>
      <c r="C570" s="24" t="s">
        <v>937</v>
      </c>
      <c r="D570" s="10">
        <v>45989</v>
      </c>
      <c r="E570" s="10">
        <v>46019</v>
      </c>
      <c r="F570" s="4">
        <v>14259.39</v>
      </c>
      <c r="G570" s="3">
        <f>SUMIF(Customer_Payments!B:B,C570,Customer_Payments!E:E)</f>
        <v>14259.39</v>
      </c>
      <c r="H570" s="3">
        <f t="shared" si="24"/>
        <v>0</v>
      </c>
      <c r="I570" s="29">
        <f t="shared" si="25"/>
        <v>72</v>
      </c>
      <c r="J570" s="31" t="str">
        <f t="shared" si="26"/>
        <v>61-90</v>
      </c>
      <c r="K570"/>
    </row>
    <row r="571" spans="1:11" x14ac:dyDescent="0.3">
      <c r="A571" s="21" t="s">
        <v>67</v>
      </c>
      <c r="B571" t="str">
        <f>VLOOKUP(A571,Customers!A:B,2,FALSE)</f>
        <v>RetailDynamics</v>
      </c>
      <c r="C571" s="25" t="s">
        <v>938</v>
      </c>
      <c r="D571" s="11">
        <v>45975</v>
      </c>
      <c r="E571" s="11">
        <v>46005</v>
      </c>
      <c r="F571" s="5">
        <v>13528.35</v>
      </c>
      <c r="G571" s="3">
        <f>SUMIF(Customer_Payments!B:B,C571,Customer_Payments!E:E)</f>
        <v>13528.35</v>
      </c>
      <c r="H571" s="3">
        <f t="shared" si="24"/>
        <v>0</v>
      </c>
      <c r="I571" s="29">
        <f t="shared" si="25"/>
        <v>86</v>
      </c>
      <c r="J571" s="31" t="str">
        <f t="shared" si="26"/>
        <v>61-90</v>
      </c>
      <c r="K571"/>
    </row>
    <row r="572" spans="1:11" x14ac:dyDescent="0.3">
      <c r="A572" s="20" t="s">
        <v>122</v>
      </c>
      <c r="B572" t="str">
        <f>VLOOKUP(A572,Customers!A:B,2,FALSE)</f>
        <v>RetailCoreGlobal</v>
      </c>
      <c r="C572" s="24" t="s">
        <v>939</v>
      </c>
      <c r="D572" s="10">
        <v>46085</v>
      </c>
      <c r="E572" s="10">
        <v>46115</v>
      </c>
      <c r="F572" s="4">
        <v>4034.32</v>
      </c>
      <c r="G572" s="3">
        <f>SUMIF(Customer_Payments!B:B,C572,Customer_Payments!E:E)</f>
        <v>4034.32</v>
      </c>
      <c r="H572" s="3">
        <f t="shared" si="24"/>
        <v>0</v>
      </c>
      <c r="I572" s="29">
        <f t="shared" si="25"/>
        <v>-24</v>
      </c>
      <c r="J572" s="31" t="str">
        <f t="shared" si="26"/>
        <v>Current</v>
      </c>
      <c r="K572"/>
    </row>
    <row r="573" spans="1:11" x14ac:dyDescent="0.3">
      <c r="A573" s="21" t="s">
        <v>93</v>
      </c>
      <c r="B573" t="str">
        <f>VLOOKUP(A573,Customers!A:B,2,FALSE)</f>
        <v>RetailSphereX</v>
      </c>
      <c r="C573" s="25" t="s">
        <v>940</v>
      </c>
      <c r="D573" s="11">
        <v>45972</v>
      </c>
      <c r="E573" s="11">
        <v>46002</v>
      </c>
      <c r="F573" s="5">
        <v>1465</v>
      </c>
      <c r="G573" s="3">
        <f>SUMIF(Customer_Payments!B:B,C573,Customer_Payments!E:E)</f>
        <v>0</v>
      </c>
      <c r="H573" s="3">
        <f t="shared" si="24"/>
        <v>1465</v>
      </c>
      <c r="I573" s="29">
        <f t="shared" si="25"/>
        <v>89</v>
      </c>
      <c r="J573" s="31" t="str">
        <f t="shared" si="26"/>
        <v>61-90</v>
      </c>
      <c r="K573"/>
    </row>
    <row r="574" spans="1:11" x14ac:dyDescent="0.3">
      <c r="A574" s="20" t="s">
        <v>28</v>
      </c>
      <c r="B574" t="str">
        <f>VLOOKUP(A574,Customers!A:B,2,FALSE)</f>
        <v>FutureCart</v>
      </c>
      <c r="C574" s="24" t="s">
        <v>941</v>
      </c>
      <c r="D574" s="10">
        <v>45975</v>
      </c>
      <c r="E574" s="10">
        <v>46005</v>
      </c>
      <c r="F574" s="4">
        <v>3006.43</v>
      </c>
      <c r="G574" s="3">
        <f>SUMIF(Customer_Payments!B:B,C574,Customer_Payments!E:E)</f>
        <v>3006.4300000000003</v>
      </c>
      <c r="H574" s="3">
        <f t="shared" si="24"/>
        <v>0</v>
      </c>
      <c r="I574" s="29">
        <f t="shared" si="25"/>
        <v>86</v>
      </c>
      <c r="J574" s="31" t="str">
        <f t="shared" si="26"/>
        <v>61-90</v>
      </c>
      <c r="K574"/>
    </row>
    <row r="575" spans="1:11" x14ac:dyDescent="0.3">
      <c r="A575" s="21" t="s">
        <v>94</v>
      </c>
      <c r="B575" t="str">
        <f>VLOOKUP(A575,Customers!A:B,2,FALSE)</f>
        <v>RetailDynamicsX</v>
      </c>
      <c r="C575" s="25" t="s">
        <v>942</v>
      </c>
      <c r="D575" s="11">
        <v>46022</v>
      </c>
      <c r="E575" s="11">
        <v>46052</v>
      </c>
      <c r="F575" s="5">
        <v>5616.92</v>
      </c>
      <c r="G575" s="3">
        <f>SUMIF(Customer_Payments!B:B,C575,Customer_Payments!E:E)</f>
        <v>5616.92</v>
      </c>
      <c r="H575" s="3">
        <f t="shared" si="24"/>
        <v>0</v>
      </c>
      <c r="I575" s="29">
        <f t="shared" si="25"/>
        <v>39</v>
      </c>
      <c r="J575" s="31" t="str">
        <f t="shared" si="26"/>
        <v>31-60</v>
      </c>
      <c r="K575"/>
    </row>
    <row r="576" spans="1:11" x14ac:dyDescent="0.3">
      <c r="A576" s="20" t="s">
        <v>83</v>
      </c>
      <c r="B576" t="str">
        <f>VLOOKUP(A576,Customers!A:B,2,FALSE)</f>
        <v>RetailCoreX</v>
      </c>
      <c r="C576" s="24" t="s">
        <v>943</v>
      </c>
      <c r="D576" s="10">
        <v>46002</v>
      </c>
      <c r="E576" s="10">
        <v>46032</v>
      </c>
      <c r="F576" s="4">
        <v>10569.21</v>
      </c>
      <c r="G576" s="3">
        <f>SUMIF(Customer_Payments!B:B,C576,Customer_Payments!E:E)</f>
        <v>10569.21</v>
      </c>
      <c r="H576" s="3">
        <f t="shared" si="24"/>
        <v>0</v>
      </c>
      <c r="I576" s="29">
        <f t="shared" si="25"/>
        <v>59</v>
      </c>
      <c r="J576" s="31" t="str">
        <f t="shared" si="26"/>
        <v>31-60</v>
      </c>
      <c r="K576"/>
    </row>
    <row r="577" spans="1:11" x14ac:dyDescent="0.3">
      <c r="A577" s="21" t="s">
        <v>78</v>
      </c>
      <c r="B577" t="str">
        <f>VLOOKUP(A577,Customers!A:B,2,FALSE)</f>
        <v>RetailOrbitX</v>
      </c>
      <c r="C577" s="25" t="s">
        <v>944</v>
      </c>
      <c r="D577" s="11">
        <v>45997</v>
      </c>
      <c r="E577" s="11">
        <v>46027</v>
      </c>
      <c r="F577" s="5">
        <v>2319.75</v>
      </c>
      <c r="G577" s="3">
        <f>SUMIF(Customer_Payments!B:B,C577,Customer_Payments!E:E)</f>
        <v>2319.75</v>
      </c>
      <c r="H577" s="3">
        <f t="shared" si="24"/>
        <v>0</v>
      </c>
      <c r="I577" s="29">
        <f t="shared" si="25"/>
        <v>64</v>
      </c>
      <c r="J577" s="31" t="str">
        <f t="shared" si="26"/>
        <v>61-90</v>
      </c>
      <c r="K577"/>
    </row>
    <row r="578" spans="1:11" x14ac:dyDescent="0.3">
      <c r="A578" s="20" t="s">
        <v>124</v>
      </c>
      <c r="B578" t="str">
        <f>VLOOKUP(A578,Customers!A:B,2,FALSE)</f>
        <v>RetailOrbitGlobal</v>
      </c>
      <c r="C578" s="24" t="s">
        <v>945</v>
      </c>
      <c r="D578" s="10">
        <v>46037</v>
      </c>
      <c r="E578" s="10">
        <v>46067</v>
      </c>
      <c r="F578" s="4">
        <v>12249.86</v>
      </c>
      <c r="G578" s="3">
        <f>SUMIF(Customer_Payments!B:B,C578,Customer_Payments!E:E)</f>
        <v>12249.86</v>
      </c>
      <c r="H578" s="3">
        <f t="shared" ref="H578:H641" si="27">MAX(F578-G578,0)</f>
        <v>0</v>
      </c>
      <c r="I578" s="29">
        <f t="shared" ref="I578:I641" si="28">$L$2-E578</f>
        <v>24</v>
      </c>
      <c r="J578" s="31" t="str">
        <f t="shared" si="26"/>
        <v>1-30</v>
      </c>
      <c r="K578"/>
    </row>
    <row r="579" spans="1:11" x14ac:dyDescent="0.3">
      <c r="A579" s="21" t="s">
        <v>60</v>
      </c>
      <c r="B579" t="str">
        <f>VLOOKUP(A579,Customers!A:B,2,FALSE)</f>
        <v>RetailSpark</v>
      </c>
      <c r="C579" s="25" t="s">
        <v>946</v>
      </c>
      <c r="D579" s="11">
        <v>46084</v>
      </c>
      <c r="E579" s="11">
        <v>46114</v>
      </c>
      <c r="F579" s="5">
        <v>3343.86</v>
      </c>
      <c r="G579" s="3">
        <f>SUMIF(Customer_Payments!B:B,C579,Customer_Payments!E:E)</f>
        <v>3343.86</v>
      </c>
      <c r="H579" s="3">
        <f t="shared" si="27"/>
        <v>0</v>
      </c>
      <c r="I579" s="29">
        <f t="shared" si="28"/>
        <v>-23</v>
      </c>
      <c r="J579" s="31" t="str">
        <f t="shared" ref="J579:J642" si="29">IF(I579&lt;=0,"Current",
IF(I579&lt;=30,"1-30",
IF(I579&lt;=60,"31-60",
IF(I579&lt;=90,"61-90","90+"))))</f>
        <v>Current</v>
      </c>
      <c r="K579"/>
    </row>
    <row r="580" spans="1:11" x14ac:dyDescent="0.3">
      <c r="A580" s="20" t="s">
        <v>104</v>
      </c>
      <c r="B580" t="str">
        <f>VLOOKUP(A580,Customers!A:B,2,FALSE)</f>
        <v>RetailCorePro</v>
      </c>
      <c r="C580" s="24" t="s">
        <v>947</v>
      </c>
      <c r="D580" s="10">
        <v>46005</v>
      </c>
      <c r="E580" s="10">
        <v>46035</v>
      </c>
      <c r="F580" s="4">
        <v>2897.33</v>
      </c>
      <c r="G580" s="3">
        <f>SUMIF(Customer_Payments!B:B,C580,Customer_Payments!E:E)</f>
        <v>2897.33</v>
      </c>
      <c r="H580" s="3">
        <f t="shared" si="27"/>
        <v>0</v>
      </c>
      <c r="I580" s="29">
        <f t="shared" si="28"/>
        <v>56</v>
      </c>
      <c r="J580" s="31" t="str">
        <f t="shared" si="29"/>
        <v>31-60</v>
      </c>
      <c r="K580"/>
    </row>
    <row r="581" spans="1:11" x14ac:dyDescent="0.3">
      <c r="A581" s="21" t="s">
        <v>118</v>
      </c>
      <c r="B581" t="str">
        <f>VLOOKUP(A581,Customers!A:B,2,FALSE)</f>
        <v>RetailEdgeGlobal</v>
      </c>
      <c r="C581" s="25" t="s">
        <v>948</v>
      </c>
      <c r="D581" s="11">
        <v>46046</v>
      </c>
      <c r="E581" s="11">
        <v>46076</v>
      </c>
      <c r="F581" s="5">
        <v>3509.91</v>
      </c>
      <c r="G581" s="3">
        <f>SUMIF(Customer_Payments!B:B,C581,Customer_Payments!E:E)</f>
        <v>0</v>
      </c>
      <c r="H581" s="3">
        <f t="shared" si="27"/>
        <v>3509.91</v>
      </c>
      <c r="I581" s="29">
        <f t="shared" si="28"/>
        <v>15</v>
      </c>
      <c r="J581" s="31" t="str">
        <f t="shared" si="29"/>
        <v>1-30</v>
      </c>
      <c r="K581"/>
    </row>
    <row r="582" spans="1:11" x14ac:dyDescent="0.3">
      <c r="A582" s="20" t="s">
        <v>90</v>
      </c>
      <c r="B582" t="str">
        <f>VLOOKUP(A582,Customers!A:B,2,FALSE)</f>
        <v>RetailPulseX</v>
      </c>
      <c r="C582" s="24" t="s">
        <v>949</v>
      </c>
      <c r="D582" s="10">
        <v>45997</v>
      </c>
      <c r="E582" s="10">
        <v>46027</v>
      </c>
      <c r="F582" s="4">
        <v>4032.19</v>
      </c>
      <c r="G582" s="3">
        <f>SUMIF(Customer_Payments!B:B,C582,Customer_Payments!E:E)</f>
        <v>4032.19</v>
      </c>
      <c r="H582" s="3">
        <f t="shared" si="27"/>
        <v>0</v>
      </c>
      <c r="I582" s="29">
        <f t="shared" si="28"/>
        <v>64</v>
      </c>
      <c r="J582" s="31" t="str">
        <f t="shared" si="29"/>
        <v>61-90</v>
      </c>
      <c r="K582"/>
    </row>
    <row r="583" spans="1:11" x14ac:dyDescent="0.3">
      <c r="A583" s="21" t="s">
        <v>58</v>
      </c>
      <c r="B583" t="str">
        <f>VLOOKUP(A583,Customers!A:B,2,FALSE)</f>
        <v>RetailAxis</v>
      </c>
      <c r="C583" s="25" t="s">
        <v>950</v>
      </c>
      <c r="D583" s="11">
        <v>46110</v>
      </c>
      <c r="E583" s="11">
        <v>46140</v>
      </c>
      <c r="F583" s="5">
        <v>12345.71</v>
      </c>
      <c r="G583" s="3">
        <f>SUMIF(Customer_Payments!B:B,C583,Customer_Payments!E:E)</f>
        <v>12345.71</v>
      </c>
      <c r="H583" s="3">
        <f t="shared" si="27"/>
        <v>0</v>
      </c>
      <c r="I583" s="29">
        <f t="shared" si="28"/>
        <v>-49</v>
      </c>
      <c r="J583" s="31" t="str">
        <f t="shared" si="29"/>
        <v>Current</v>
      </c>
      <c r="K583"/>
    </row>
    <row r="584" spans="1:11" x14ac:dyDescent="0.3">
      <c r="A584" s="20" t="s">
        <v>57</v>
      </c>
      <c r="B584" t="str">
        <f>VLOOKUP(A584,Customers!A:B,2,FALSE)</f>
        <v>MarketGenius</v>
      </c>
      <c r="C584" s="24" t="s">
        <v>951</v>
      </c>
      <c r="D584" s="10">
        <v>46051</v>
      </c>
      <c r="E584" s="10">
        <v>46081</v>
      </c>
      <c r="F584" s="4">
        <v>5236.49</v>
      </c>
      <c r="G584" s="3">
        <f>SUMIF(Customer_Payments!B:B,C584,Customer_Payments!E:E)</f>
        <v>5236.49</v>
      </c>
      <c r="H584" s="3">
        <f t="shared" si="27"/>
        <v>0</v>
      </c>
      <c r="I584" s="29">
        <f t="shared" si="28"/>
        <v>10</v>
      </c>
      <c r="J584" s="31" t="str">
        <f t="shared" si="29"/>
        <v>1-30</v>
      </c>
      <c r="K584"/>
    </row>
    <row r="585" spans="1:11" x14ac:dyDescent="0.3">
      <c r="A585" s="21" t="s">
        <v>41</v>
      </c>
      <c r="B585" t="str">
        <f>VLOOKUP(A585,Customers!A:B,2,FALSE)</f>
        <v>DynamicRetail</v>
      </c>
      <c r="C585" s="25" t="s">
        <v>952</v>
      </c>
      <c r="D585" s="11">
        <v>46002</v>
      </c>
      <c r="E585" s="11">
        <v>46032</v>
      </c>
      <c r="F585" s="5">
        <v>2690.51</v>
      </c>
      <c r="G585" s="3">
        <f>SUMIF(Customer_Payments!B:B,C585,Customer_Payments!E:E)</f>
        <v>2690.51</v>
      </c>
      <c r="H585" s="3">
        <f t="shared" si="27"/>
        <v>0</v>
      </c>
      <c r="I585" s="29">
        <f t="shared" si="28"/>
        <v>59</v>
      </c>
      <c r="J585" s="31" t="str">
        <f t="shared" si="29"/>
        <v>31-60</v>
      </c>
      <c r="K585"/>
    </row>
    <row r="586" spans="1:11" x14ac:dyDescent="0.3">
      <c r="A586" s="20" t="s">
        <v>114</v>
      </c>
      <c r="B586" t="str">
        <f>VLOOKUP(A586,Customers!A:B,2,FALSE)</f>
        <v>RetailScalePro</v>
      </c>
      <c r="C586" s="24" t="s">
        <v>953</v>
      </c>
      <c r="D586" s="10">
        <v>46040</v>
      </c>
      <c r="E586" s="10">
        <v>46070</v>
      </c>
      <c r="F586" s="4">
        <v>2020.23</v>
      </c>
      <c r="G586" s="3">
        <f>SUMIF(Customer_Payments!B:B,C586,Customer_Payments!E:E)</f>
        <v>2020.23</v>
      </c>
      <c r="H586" s="3">
        <f t="shared" si="27"/>
        <v>0</v>
      </c>
      <c r="I586" s="29">
        <f t="shared" si="28"/>
        <v>21</v>
      </c>
      <c r="J586" s="31" t="str">
        <f t="shared" si="29"/>
        <v>1-30</v>
      </c>
      <c r="K586"/>
    </row>
    <row r="587" spans="1:11" x14ac:dyDescent="0.3">
      <c r="A587" s="21" t="s">
        <v>36</v>
      </c>
      <c r="B587" t="str">
        <f>VLOOKUP(A587,Customers!A:B,2,FALSE)</f>
        <v>RapidMarket</v>
      </c>
      <c r="C587" s="25" t="s">
        <v>954</v>
      </c>
      <c r="D587" s="11">
        <v>46031</v>
      </c>
      <c r="E587" s="11">
        <v>46061</v>
      </c>
      <c r="F587" s="5">
        <v>13719.53</v>
      </c>
      <c r="G587" s="3">
        <f>SUMIF(Customer_Payments!B:B,C587,Customer_Payments!E:E)</f>
        <v>0</v>
      </c>
      <c r="H587" s="3">
        <f t="shared" si="27"/>
        <v>13719.53</v>
      </c>
      <c r="I587" s="29">
        <f t="shared" si="28"/>
        <v>30</v>
      </c>
      <c r="J587" s="31" t="str">
        <f t="shared" si="29"/>
        <v>1-30</v>
      </c>
      <c r="K587"/>
    </row>
    <row r="588" spans="1:11" x14ac:dyDescent="0.3">
      <c r="A588" s="20" t="s">
        <v>48</v>
      </c>
      <c r="B588" t="str">
        <f>VLOOKUP(A588,Customers!A:B,2,FALSE)</f>
        <v>RetailGenius</v>
      </c>
      <c r="C588" s="24" t="s">
        <v>955</v>
      </c>
      <c r="D588" s="10">
        <v>45985</v>
      </c>
      <c r="E588" s="10">
        <v>46015</v>
      </c>
      <c r="F588" s="4">
        <v>4600.96</v>
      </c>
      <c r="G588" s="3">
        <f>SUMIF(Customer_Payments!B:B,C588,Customer_Payments!E:E)</f>
        <v>0</v>
      </c>
      <c r="H588" s="3">
        <f t="shared" si="27"/>
        <v>4600.96</v>
      </c>
      <c r="I588" s="29">
        <f t="shared" si="28"/>
        <v>76</v>
      </c>
      <c r="J588" s="31" t="str">
        <f t="shared" si="29"/>
        <v>61-90</v>
      </c>
      <c r="K588"/>
    </row>
    <row r="589" spans="1:11" x14ac:dyDescent="0.3">
      <c r="A589" s="21" t="s">
        <v>63</v>
      </c>
      <c r="B589" t="str">
        <f>VLOOKUP(A589,Customers!A:B,2,FALSE)</f>
        <v>RetailCore</v>
      </c>
      <c r="C589" s="25" t="s">
        <v>956</v>
      </c>
      <c r="D589" s="11">
        <v>46013</v>
      </c>
      <c r="E589" s="11">
        <v>46043</v>
      </c>
      <c r="F589" s="5">
        <v>2728.8</v>
      </c>
      <c r="G589" s="3">
        <f>SUMIF(Customer_Payments!B:B,C589,Customer_Payments!E:E)</f>
        <v>2728.8</v>
      </c>
      <c r="H589" s="3">
        <f t="shared" si="27"/>
        <v>0</v>
      </c>
      <c r="I589" s="29">
        <f t="shared" si="28"/>
        <v>48</v>
      </c>
      <c r="J589" s="31" t="str">
        <f t="shared" si="29"/>
        <v>31-60</v>
      </c>
      <c r="K589"/>
    </row>
    <row r="590" spans="1:11" x14ac:dyDescent="0.3">
      <c r="A590" s="20" t="s">
        <v>73</v>
      </c>
      <c r="B590" t="str">
        <f>VLOOKUP(A590,Customers!A:B,2,FALSE)</f>
        <v>RetailWave</v>
      </c>
      <c r="C590" s="24" t="s">
        <v>957</v>
      </c>
      <c r="D590" s="10">
        <v>46002</v>
      </c>
      <c r="E590" s="10">
        <v>46032</v>
      </c>
      <c r="F590" s="4">
        <v>5826.87</v>
      </c>
      <c r="G590" s="3">
        <f>SUMIF(Customer_Payments!B:B,C590,Customer_Payments!E:E)</f>
        <v>5826.87</v>
      </c>
      <c r="H590" s="3">
        <f t="shared" si="27"/>
        <v>0</v>
      </c>
      <c r="I590" s="29">
        <f t="shared" si="28"/>
        <v>59</v>
      </c>
      <c r="J590" s="31" t="str">
        <f t="shared" si="29"/>
        <v>31-60</v>
      </c>
      <c r="K590"/>
    </row>
    <row r="591" spans="1:11" x14ac:dyDescent="0.3">
      <c r="A591" s="21" t="s">
        <v>97</v>
      </c>
      <c r="B591" t="str">
        <f>VLOOKUP(A591,Customers!A:B,2,FALSE)</f>
        <v>RetailSparkX</v>
      </c>
      <c r="C591" s="25" t="s">
        <v>958</v>
      </c>
      <c r="D591" s="11">
        <v>46056</v>
      </c>
      <c r="E591" s="11">
        <v>46086</v>
      </c>
      <c r="F591" s="5">
        <v>2821.02</v>
      </c>
      <c r="G591" s="3">
        <f>SUMIF(Customer_Payments!B:B,C591,Customer_Payments!E:E)</f>
        <v>2821.02</v>
      </c>
      <c r="H591" s="3">
        <f t="shared" si="27"/>
        <v>0</v>
      </c>
      <c r="I591" s="29">
        <f t="shared" si="28"/>
        <v>5</v>
      </c>
      <c r="J591" s="31" t="str">
        <f t="shared" si="29"/>
        <v>1-30</v>
      </c>
      <c r="K591"/>
    </row>
    <row r="592" spans="1:11" x14ac:dyDescent="0.3">
      <c r="A592" s="20" t="s">
        <v>10</v>
      </c>
      <c r="B592" t="str">
        <f>VLOOKUP(A592,Customers!A:B,2,FALSE)</f>
        <v>LaunchLabs</v>
      </c>
      <c r="C592" s="24" t="s">
        <v>959</v>
      </c>
      <c r="D592" s="10">
        <v>46070</v>
      </c>
      <c r="E592" s="10">
        <v>46100</v>
      </c>
      <c r="F592" s="4">
        <v>3364.74</v>
      </c>
      <c r="G592" s="3">
        <f>SUMIF(Customer_Payments!B:B,C592,Customer_Payments!E:E)</f>
        <v>0</v>
      </c>
      <c r="H592" s="3">
        <f t="shared" si="27"/>
        <v>3364.74</v>
      </c>
      <c r="I592" s="29">
        <f t="shared" si="28"/>
        <v>-9</v>
      </c>
      <c r="J592" s="31" t="str">
        <f t="shared" si="29"/>
        <v>Current</v>
      </c>
      <c r="K592"/>
    </row>
    <row r="593" spans="1:11" x14ac:dyDescent="0.3">
      <c r="A593" s="21" t="s">
        <v>38</v>
      </c>
      <c r="B593" t="str">
        <f>VLOOKUP(A593,Customers!A:B,2,FALSE)</f>
        <v>RetailForge</v>
      </c>
      <c r="C593" s="25" t="s">
        <v>960</v>
      </c>
      <c r="D593" s="11">
        <v>46042</v>
      </c>
      <c r="E593" s="11">
        <v>46072</v>
      </c>
      <c r="F593" s="5">
        <v>4385.53</v>
      </c>
      <c r="G593" s="3">
        <f>SUMIF(Customer_Payments!B:B,C593,Customer_Payments!E:E)</f>
        <v>0</v>
      </c>
      <c r="H593" s="3">
        <f t="shared" si="27"/>
        <v>4385.53</v>
      </c>
      <c r="I593" s="29">
        <f t="shared" si="28"/>
        <v>19</v>
      </c>
      <c r="J593" s="31" t="str">
        <f t="shared" si="29"/>
        <v>1-30</v>
      </c>
      <c r="K593"/>
    </row>
    <row r="594" spans="1:11" x14ac:dyDescent="0.3">
      <c r="A594" s="20" t="s">
        <v>54</v>
      </c>
      <c r="B594" t="str">
        <f>VLOOKUP(A594,Customers!A:B,2,FALSE)</f>
        <v>RetailEdge</v>
      </c>
      <c r="C594" s="24" t="s">
        <v>961</v>
      </c>
      <c r="D594" s="10">
        <v>46053</v>
      </c>
      <c r="E594" s="10">
        <v>46083</v>
      </c>
      <c r="F594" s="4">
        <v>2947.74</v>
      </c>
      <c r="G594" s="3">
        <f>SUMIF(Customer_Payments!B:B,C594,Customer_Payments!E:E)</f>
        <v>2947.74</v>
      </c>
      <c r="H594" s="3">
        <f t="shared" si="27"/>
        <v>0</v>
      </c>
      <c r="I594" s="29">
        <f t="shared" si="28"/>
        <v>8</v>
      </c>
      <c r="J594" s="31" t="str">
        <f t="shared" si="29"/>
        <v>1-30</v>
      </c>
      <c r="K594"/>
    </row>
    <row r="595" spans="1:11" x14ac:dyDescent="0.3">
      <c r="A595" s="21" t="s">
        <v>37</v>
      </c>
      <c r="B595" t="str">
        <f>VLOOKUP(A595,Customers!A:B,2,FALSE)</f>
        <v>SmartCart</v>
      </c>
      <c r="C595" s="25" t="s">
        <v>962</v>
      </c>
      <c r="D595" s="11">
        <v>45964</v>
      </c>
      <c r="E595" s="11">
        <v>45994</v>
      </c>
      <c r="F595" s="5">
        <v>12024.61</v>
      </c>
      <c r="G595" s="3">
        <f>SUMIF(Customer_Payments!B:B,C595,Customer_Payments!E:E)</f>
        <v>12024.61</v>
      </c>
      <c r="H595" s="3">
        <f t="shared" si="27"/>
        <v>0</v>
      </c>
      <c r="I595" s="29">
        <f t="shared" si="28"/>
        <v>97</v>
      </c>
      <c r="J595" s="31" t="str">
        <f t="shared" si="29"/>
        <v>90+</v>
      </c>
      <c r="K595"/>
    </row>
    <row r="596" spans="1:11" x14ac:dyDescent="0.3">
      <c r="A596" s="20" t="s">
        <v>67</v>
      </c>
      <c r="B596" t="str">
        <f>VLOOKUP(A596,Customers!A:B,2,FALSE)</f>
        <v>RetailDynamics</v>
      </c>
      <c r="C596" s="24" t="s">
        <v>963</v>
      </c>
      <c r="D596" s="10">
        <v>46035</v>
      </c>
      <c r="E596" s="10">
        <v>46065</v>
      </c>
      <c r="F596" s="4">
        <v>2488.79</v>
      </c>
      <c r="G596" s="3">
        <f>SUMIF(Customer_Payments!B:B,C596,Customer_Payments!E:E)</f>
        <v>0</v>
      </c>
      <c r="H596" s="3">
        <f t="shared" si="27"/>
        <v>2488.79</v>
      </c>
      <c r="I596" s="29">
        <f t="shared" si="28"/>
        <v>26</v>
      </c>
      <c r="J596" s="31" t="str">
        <f t="shared" si="29"/>
        <v>1-30</v>
      </c>
      <c r="K596"/>
    </row>
    <row r="597" spans="1:11" x14ac:dyDescent="0.3">
      <c r="A597" s="21" t="s">
        <v>40</v>
      </c>
      <c r="B597" t="str">
        <f>VLOOKUP(A597,Customers!A:B,2,FALSE)</f>
        <v>GlobalCart</v>
      </c>
      <c r="C597" s="25" t="s">
        <v>964</v>
      </c>
      <c r="D597" s="11">
        <v>46010</v>
      </c>
      <c r="E597" s="11">
        <v>46040</v>
      </c>
      <c r="F597" s="5">
        <v>3571.87</v>
      </c>
      <c r="G597" s="3">
        <f>SUMIF(Customer_Payments!B:B,C597,Customer_Payments!E:E)</f>
        <v>0</v>
      </c>
      <c r="H597" s="3">
        <f t="shared" si="27"/>
        <v>3571.87</v>
      </c>
      <c r="I597" s="29">
        <f t="shared" si="28"/>
        <v>51</v>
      </c>
      <c r="J597" s="31" t="str">
        <f t="shared" si="29"/>
        <v>31-60</v>
      </c>
      <c r="K597"/>
    </row>
    <row r="598" spans="1:11" x14ac:dyDescent="0.3">
      <c r="A598" s="20" t="s">
        <v>13</v>
      </c>
      <c r="B598" t="str">
        <f>VLOOKUP(A598,Customers!A:B,2,FALSE)</f>
        <v>EduNova</v>
      </c>
      <c r="C598" s="24" t="s">
        <v>965</v>
      </c>
      <c r="D598" s="10">
        <v>46032</v>
      </c>
      <c r="E598" s="10">
        <v>46062</v>
      </c>
      <c r="F598" s="4">
        <v>2038.23</v>
      </c>
      <c r="G598" s="3">
        <f>SUMIF(Customer_Payments!B:B,C598,Customer_Payments!E:E)</f>
        <v>2038.23</v>
      </c>
      <c r="H598" s="3">
        <f t="shared" si="27"/>
        <v>0</v>
      </c>
      <c r="I598" s="29">
        <f t="shared" si="28"/>
        <v>29</v>
      </c>
      <c r="J598" s="31" t="str">
        <f t="shared" si="29"/>
        <v>1-30</v>
      </c>
      <c r="K598"/>
    </row>
    <row r="599" spans="1:11" x14ac:dyDescent="0.3">
      <c r="A599" s="21" t="s">
        <v>89</v>
      </c>
      <c r="B599" t="str">
        <f>VLOOKUP(A599,Customers!A:B,2,FALSE)</f>
        <v>RetailAxisX</v>
      </c>
      <c r="C599" s="25" t="s">
        <v>966</v>
      </c>
      <c r="D599" s="11">
        <v>46048</v>
      </c>
      <c r="E599" s="11">
        <v>46078</v>
      </c>
      <c r="F599" s="5">
        <v>5707.64</v>
      </c>
      <c r="G599" s="3">
        <f>SUMIF(Customer_Payments!B:B,C599,Customer_Payments!E:E)</f>
        <v>0</v>
      </c>
      <c r="H599" s="3">
        <f t="shared" si="27"/>
        <v>5707.64</v>
      </c>
      <c r="I599" s="29">
        <f t="shared" si="28"/>
        <v>13</v>
      </c>
      <c r="J599" s="31" t="str">
        <f t="shared" si="29"/>
        <v>1-30</v>
      </c>
      <c r="K599"/>
    </row>
    <row r="600" spans="1:11" x14ac:dyDescent="0.3">
      <c r="A600" s="20" t="s">
        <v>9</v>
      </c>
      <c r="B600" t="str">
        <f>VLOOKUP(A600,Customers!A:B,2,FALSE)</f>
        <v>UrbanRetail</v>
      </c>
      <c r="C600" s="24" t="s">
        <v>967</v>
      </c>
      <c r="D600" s="10">
        <v>45996</v>
      </c>
      <c r="E600" s="10">
        <v>46026</v>
      </c>
      <c r="F600" s="4">
        <v>5355.39</v>
      </c>
      <c r="G600" s="3">
        <f>SUMIF(Customer_Payments!B:B,C600,Customer_Payments!E:E)</f>
        <v>5355.39</v>
      </c>
      <c r="H600" s="3">
        <f t="shared" si="27"/>
        <v>0</v>
      </c>
      <c r="I600" s="29">
        <f t="shared" si="28"/>
        <v>65</v>
      </c>
      <c r="J600" s="31" t="str">
        <f t="shared" si="29"/>
        <v>61-90</v>
      </c>
      <c r="K600"/>
    </row>
    <row r="601" spans="1:11" x14ac:dyDescent="0.3">
      <c r="A601" s="21" t="s">
        <v>109</v>
      </c>
      <c r="B601" t="str">
        <f>VLOOKUP(A601,Customers!A:B,2,FALSE)</f>
        <v>RetailStreamPro</v>
      </c>
      <c r="C601" s="25" t="s">
        <v>968</v>
      </c>
      <c r="D601" s="11">
        <v>46075</v>
      </c>
      <c r="E601" s="11">
        <v>46105</v>
      </c>
      <c r="F601" s="5">
        <v>1446.41</v>
      </c>
      <c r="G601" s="3">
        <f>SUMIF(Customer_Payments!B:B,C601,Customer_Payments!E:E)</f>
        <v>1446.41</v>
      </c>
      <c r="H601" s="3">
        <f t="shared" si="27"/>
        <v>0</v>
      </c>
      <c r="I601" s="29">
        <f t="shared" si="28"/>
        <v>-14</v>
      </c>
      <c r="J601" s="31" t="str">
        <f t="shared" si="29"/>
        <v>Current</v>
      </c>
      <c r="K601"/>
    </row>
    <row r="602" spans="1:11" x14ac:dyDescent="0.3">
      <c r="A602" s="20" t="s">
        <v>97</v>
      </c>
      <c r="B602" t="str">
        <f>VLOOKUP(A602,Customers!A:B,2,FALSE)</f>
        <v>RetailSparkX</v>
      </c>
      <c r="C602" s="24" t="s">
        <v>969</v>
      </c>
      <c r="D602" s="10">
        <v>45978</v>
      </c>
      <c r="E602" s="10">
        <v>46008</v>
      </c>
      <c r="F602" s="4">
        <v>2668.52</v>
      </c>
      <c r="G602" s="3">
        <f>SUMIF(Customer_Payments!B:B,C602,Customer_Payments!E:E)</f>
        <v>2668.52</v>
      </c>
      <c r="H602" s="3">
        <f t="shared" si="27"/>
        <v>0</v>
      </c>
      <c r="I602" s="29">
        <f t="shared" si="28"/>
        <v>83</v>
      </c>
      <c r="J602" s="31" t="str">
        <f t="shared" si="29"/>
        <v>61-90</v>
      </c>
      <c r="K602"/>
    </row>
    <row r="603" spans="1:11" x14ac:dyDescent="0.3">
      <c r="A603" s="21" t="s">
        <v>34</v>
      </c>
      <c r="B603" t="str">
        <f>VLOOKUP(A603,Customers!A:B,2,FALSE)</f>
        <v>OptiCommerce</v>
      </c>
      <c r="C603" s="25" t="s">
        <v>970</v>
      </c>
      <c r="D603" s="11">
        <v>46000</v>
      </c>
      <c r="E603" s="11">
        <v>46030</v>
      </c>
      <c r="F603" s="5">
        <v>1638.27</v>
      </c>
      <c r="G603" s="3">
        <f>SUMIF(Customer_Payments!B:B,C603,Customer_Payments!E:E)</f>
        <v>1638.27</v>
      </c>
      <c r="H603" s="3">
        <f t="shared" si="27"/>
        <v>0</v>
      </c>
      <c r="I603" s="29">
        <f t="shared" si="28"/>
        <v>61</v>
      </c>
      <c r="J603" s="31" t="str">
        <f t="shared" si="29"/>
        <v>61-90</v>
      </c>
      <c r="K603"/>
    </row>
    <row r="604" spans="1:11" x14ac:dyDescent="0.3">
      <c r="A604" s="20" t="s">
        <v>20</v>
      </c>
      <c r="B604" t="str">
        <f>VLOOKUP(A604,Customers!A:B,2,FALSE)</f>
        <v>GrowthSphere</v>
      </c>
      <c r="C604" s="24" t="s">
        <v>971</v>
      </c>
      <c r="D604" s="10">
        <v>45994</v>
      </c>
      <c r="E604" s="10">
        <v>46024</v>
      </c>
      <c r="F604" s="4">
        <v>11050.3</v>
      </c>
      <c r="G604" s="3">
        <f>SUMIF(Customer_Payments!B:B,C604,Customer_Payments!E:E)</f>
        <v>11050.3</v>
      </c>
      <c r="H604" s="3">
        <f t="shared" si="27"/>
        <v>0</v>
      </c>
      <c r="I604" s="29">
        <f t="shared" si="28"/>
        <v>67</v>
      </c>
      <c r="J604" s="31" t="str">
        <f t="shared" si="29"/>
        <v>61-90</v>
      </c>
      <c r="K604"/>
    </row>
    <row r="605" spans="1:11" x14ac:dyDescent="0.3">
      <c r="A605" s="21" t="s">
        <v>83</v>
      </c>
      <c r="B605" t="str">
        <f>VLOOKUP(A605,Customers!A:B,2,FALSE)</f>
        <v>RetailCoreX</v>
      </c>
      <c r="C605" s="25" t="s">
        <v>972</v>
      </c>
      <c r="D605" s="11">
        <v>46112</v>
      </c>
      <c r="E605" s="11">
        <v>46142</v>
      </c>
      <c r="F605" s="5">
        <v>3013.82</v>
      </c>
      <c r="G605" s="3">
        <f>SUMIF(Customer_Payments!B:B,C605,Customer_Payments!E:E)</f>
        <v>3013.82</v>
      </c>
      <c r="H605" s="3">
        <f t="shared" si="27"/>
        <v>0</v>
      </c>
      <c r="I605" s="29">
        <f t="shared" si="28"/>
        <v>-51</v>
      </c>
      <c r="J605" s="31" t="str">
        <f t="shared" si="29"/>
        <v>Current</v>
      </c>
      <c r="K605"/>
    </row>
    <row r="606" spans="1:11" x14ac:dyDescent="0.3">
      <c r="A606" s="20" t="s">
        <v>50</v>
      </c>
      <c r="B606" t="str">
        <f>VLOOKUP(A606,Customers!A:B,2,FALSE)</f>
        <v>RetailNexus</v>
      </c>
      <c r="C606" s="24" t="s">
        <v>973</v>
      </c>
      <c r="D606" s="10">
        <v>45969</v>
      </c>
      <c r="E606" s="10">
        <v>45999</v>
      </c>
      <c r="F606" s="4">
        <v>3195.75</v>
      </c>
      <c r="G606" s="3">
        <f>SUMIF(Customer_Payments!B:B,C606,Customer_Payments!E:E)</f>
        <v>3195.75</v>
      </c>
      <c r="H606" s="3">
        <f t="shared" si="27"/>
        <v>0</v>
      </c>
      <c r="I606" s="29">
        <f t="shared" si="28"/>
        <v>92</v>
      </c>
      <c r="J606" s="31" t="str">
        <f t="shared" si="29"/>
        <v>90+</v>
      </c>
      <c r="K606"/>
    </row>
    <row r="607" spans="1:11" x14ac:dyDescent="0.3">
      <c r="A607" s="21" t="s">
        <v>98</v>
      </c>
      <c r="B607" t="str">
        <f>VLOOKUP(A607,Customers!A:B,2,FALSE)</f>
        <v>RetailEdgePro</v>
      </c>
      <c r="C607" s="25" t="s">
        <v>974</v>
      </c>
      <c r="D607" s="11">
        <v>46039</v>
      </c>
      <c r="E607" s="11">
        <v>46069</v>
      </c>
      <c r="F607" s="5">
        <v>2640.59</v>
      </c>
      <c r="G607" s="3">
        <f>SUMIF(Customer_Payments!B:B,C607,Customer_Payments!E:E)</f>
        <v>2640.59</v>
      </c>
      <c r="H607" s="3">
        <f t="shared" si="27"/>
        <v>0</v>
      </c>
      <c r="I607" s="29">
        <f t="shared" si="28"/>
        <v>22</v>
      </c>
      <c r="J607" s="31" t="str">
        <f t="shared" si="29"/>
        <v>1-30</v>
      </c>
      <c r="K607"/>
    </row>
    <row r="608" spans="1:11" x14ac:dyDescent="0.3">
      <c r="A608" s="20" t="s">
        <v>122</v>
      </c>
      <c r="B608" t="str">
        <f>VLOOKUP(A608,Customers!A:B,2,FALSE)</f>
        <v>RetailCoreGlobal</v>
      </c>
      <c r="C608" s="24" t="s">
        <v>975</v>
      </c>
      <c r="D608" s="10">
        <v>46007</v>
      </c>
      <c r="E608" s="10">
        <v>46037</v>
      </c>
      <c r="F608" s="4">
        <v>1655.13</v>
      </c>
      <c r="G608" s="3">
        <f>SUMIF(Customer_Payments!B:B,C608,Customer_Payments!E:E)</f>
        <v>0</v>
      </c>
      <c r="H608" s="3">
        <f t="shared" si="27"/>
        <v>1655.13</v>
      </c>
      <c r="I608" s="29">
        <f t="shared" si="28"/>
        <v>54</v>
      </c>
      <c r="J608" s="31" t="str">
        <f t="shared" si="29"/>
        <v>31-60</v>
      </c>
      <c r="K608"/>
    </row>
    <row r="609" spans="1:11" x14ac:dyDescent="0.3">
      <c r="A609" s="21" t="s">
        <v>47</v>
      </c>
      <c r="B609" t="str">
        <f>VLOOKUP(A609,Customers!A:B,2,FALSE)</f>
        <v>SmartRetail</v>
      </c>
      <c r="C609" s="25" t="s">
        <v>976</v>
      </c>
      <c r="D609" s="11">
        <v>45971</v>
      </c>
      <c r="E609" s="11">
        <v>46001</v>
      </c>
      <c r="F609" s="5">
        <v>3366.52</v>
      </c>
      <c r="G609" s="3">
        <f>SUMIF(Customer_Payments!B:B,C609,Customer_Payments!E:E)</f>
        <v>3366.52</v>
      </c>
      <c r="H609" s="3">
        <f t="shared" si="27"/>
        <v>0</v>
      </c>
      <c r="I609" s="29">
        <f t="shared" si="28"/>
        <v>90</v>
      </c>
      <c r="J609" s="31" t="str">
        <f t="shared" si="29"/>
        <v>61-90</v>
      </c>
      <c r="K609"/>
    </row>
    <row r="610" spans="1:11" x14ac:dyDescent="0.3">
      <c r="A610" s="20" t="s">
        <v>44</v>
      </c>
      <c r="B610" t="str">
        <f>VLOOKUP(A610,Customers!A:B,2,FALSE)</f>
        <v>BrightMarket</v>
      </c>
      <c r="C610" s="24" t="s">
        <v>977</v>
      </c>
      <c r="D610" s="10">
        <v>46046</v>
      </c>
      <c r="E610" s="10">
        <v>46076</v>
      </c>
      <c r="F610" s="4">
        <v>1540.75</v>
      </c>
      <c r="G610" s="3">
        <f>SUMIF(Customer_Payments!B:B,C610,Customer_Payments!E:E)</f>
        <v>1540.75</v>
      </c>
      <c r="H610" s="3">
        <f t="shared" si="27"/>
        <v>0</v>
      </c>
      <c r="I610" s="29">
        <f t="shared" si="28"/>
        <v>15</v>
      </c>
      <c r="J610" s="31" t="str">
        <f t="shared" si="29"/>
        <v>1-30</v>
      </c>
      <c r="K610"/>
    </row>
    <row r="611" spans="1:11" x14ac:dyDescent="0.3">
      <c r="A611" s="21" t="s">
        <v>81</v>
      </c>
      <c r="B611" t="str">
        <f>VLOOKUP(A611,Customers!A:B,2,FALSE)</f>
        <v>RetailFlowX</v>
      </c>
      <c r="C611" s="25" t="s">
        <v>978</v>
      </c>
      <c r="D611" s="11">
        <v>46020</v>
      </c>
      <c r="E611" s="11">
        <v>46050</v>
      </c>
      <c r="F611" s="5">
        <v>2906.91</v>
      </c>
      <c r="G611" s="3">
        <f>SUMIF(Customer_Payments!B:B,C611,Customer_Payments!E:E)</f>
        <v>2906.91</v>
      </c>
      <c r="H611" s="3">
        <f t="shared" si="27"/>
        <v>0</v>
      </c>
      <c r="I611" s="29">
        <f t="shared" si="28"/>
        <v>41</v>
      </c>
      <c r="J611" s="31" t="str">
        <f t="shared" si="29"/>
        <v>31-60</v>
      </c>
      <c r="K611"/>
    </row>
    <row r="612" spans="1:11" x14ac:dyDescent="0.3">
      <c r="A612" s="20" t="s">
        <v>98</v>
      </c>
      <c r="B612" t="str">
        <f>VLOOKUP(A612,Customers!A:B,2,FALSE)</f>
        <v>RetailEdgePro</v>
      </c>
      <c r="C612" s="24" t="s">
        <v>979</v>
      </c>
      <c r="D612" s="10">
        <v>46088</v>
      </c>
      <c r="E612" s="10">
        <v>46118</v>
      </c>
      <c r="F612" s="4">
        <v>2156.2199999999998</v>
      </c>
      <c r="G612" s="3">
        <f>SUMIF(Customer_Payments!B:B,C612,Customer_Payments!E:E)</f>
        <v>2156.2199999999998</v>
      </c>
      <c r="H612" s="3">
        <f t="shared" si="27"/>
        <v>0</v>
      </c>
      <c r="I612" s="29">
        <f t="shared" si="28"/>
        <v>-27</v>
      </c>
      <c r="J612" s="31" t="str">
        <f t="shared" si="29"/>
        <v>Current</v>
      </c>
      <c r="K612"/>
    </row>
    <row r="613" spans="1:11" x14ac:dyDescent="0.3">
      <c r="A613" s="21" t="s">
        <v>92</v>
      </c>
      <c r="B613" t="str">
        <f>VLOOKUP(A613,Customers!A:B,2,FALSE)</f>
        <v>RetailMatrixX</v>
      </c>
      <c r="C613" s="25" t="s">
        <v>980</v>
      </c>
      <c r="D613" s="11">
        <v>46041</v>
      </c>
      <c r="E613" s="11">
        <v>46071</v>
      </c>
      <c r="F613" s="5">
        <v>5372.64</v>
      </c>
      <c r="G613" s="3">
        <f>SUMIF(Customer_Payments!B:B,C613,Customer_Payments!E:E)</f>
        <v>0</v>
      </c>
      <c r="H613" s="3">
        <f t="shared" si="27"/>
        <v>5372.64</v>
      </c>
      <c r="I613" s="29">
        <f t="shared" si="28"/>
        <v>20</v>
      </c>
      <c r="J613" s="31" t="str">
        <f t="shared" si="29"/>
        <v>1-30</v>
      </c>
      <c r="K613"/>
    </row>
    <row r="614" spans="1:11" x14ac:dyDescent="0.3">
      <c r="A614" s="20" t="s">
        <v>119</v>
      </c>
      <c r="B614" t="str">
        <f>VLOOKUP(A614,Customers!A:B,2,FALSE)</f>
        <v>RetailNovaGlobal</v>
      </c>
      <c r="C614" s="24" t="s">
        <v>981</v>
      </c>
      <c r="D614" s="10">
        <v>46077</v>
      </c>
      <c r="E614" s="10">
        <v>46107</v>
      </c>
      <c r="F614" s="4">
        <v>2507.31</v>
      </c>
      <c r="G614" s="3">
        <f>SUMIF(Customer_Payments!B:B,C614,Customer_Payments!E:E)</f>
        <v>0</v>
      </c>
      <c r="H614" s="3">
        <f t="shared" si="27"/>
        <v>2507.31</v>
      </c>
      <c r="I614" s="29">
        <f t="shared" si="28"/>
        <v>-16</v>
      </c>
      <c r="J614" s="31" t="str">
        <f t="shared" si="29"/>
        <v>Current</v>
      </c>
      <c r="K614"/>
    </row>
    <row r="615" spans="1:11" x14ac:dyDescent="0.3">
      <c r="A615" s="21" t="s">
        <v>40</v>
      </c>
      <c r="B615" t="str">
        <f>VLOOKUP(A615,Customers!A:B,2,FALSE)</f>
        <v>GlobalCart</v>
      </c>
      <c r="C615" s="25" t="s">
        <v>982</v>
      </c>
      <c r="D615" s="11">
        <v>46022</v>
      </c>
      <c r="E615" s="11">
        <v>46052</v>
      </c>
      <c r="F615" s="5">
        <v>3053.59</v>
      </c>
      <c r="G615" s="3">
        <f>SUMIF(Customer_Payments!B:B,C615,Customer_Payments!E:E)</f>
        <v>3053.59</v>
      </c>
      <c r="H615" s="3">
        <f t="shared" si="27"/>
        <v>0</v>
      </c>
      <c r="I615" s="29">
        <f t="shared" si="28"/>
        <v>39</v>
      </c>
      <c r="J615" s="31" t="str">
        <f t="shared" si="29"/>
        <v>31-60</v>
      </c>
      <c r="K615"/>
    </row>
    <row r="616" spans="1:11" x14ac:dyDescent="0.3">
      <c r="A616" s="20" t="s">
        <v>122</v>
      </c>
      <c r="B616" t="str">
        <f>VLOOKUP(A616,Customers!A:B,2,FALSE)</f>
        <v>RetailCoreGlobal</v>
      </c>
      <c r="C616" s="24" t="s">
        <v>983</v>
      </c>
      <c r="D616" s="10">
        <v>45980</v>
      </c>
      <c r="E616" s="10">
        <v>46010</v>
      </c>
      <c r="F616" s="4">
        <v>2022.01</v>
      </c>
      <c r="G616" s="3">
        <f>SUMIF(Customer_Payments!B:B,C616,Customer_Payments!E:E)</f>
        <v>0</v>
      </c>
      <c r="H616" s="3">
        <f t="shared" si="27"/>
        <v>2022.01</v>
      </c>
      <c r="I616" s="29">
        <f t="shared" si="28"/>
        <v>81</v>
      </c>
      <c r="J616" s="31" t="str">
        <f t="shared" si="29"/>
        <v>61-90</v>
      </c>
      <c r="K616"/>
    </row>
    <row r="617" spans="1:11" x14ac:dyDescent="0.3">
      <c r="A617" s="21" t="s">
        <v>118</v>
      </c>
      <c r="B617" t="str">
        <f>VLOOKUP(A617,Customers!A:B,2,FALSE)</f>
        <v>RetailEdgeGlobal</v>
      </c>
      <c r="C617" s="25" t="s">
        <v>984</v>
      </c>
      <c r="D617" s="11">
        <v>45981</v>
      </c>
      <c r="E617" s="11">
        <v>46011</v>
      </c>
      <c r="F617" s="5">
        <v>2654.43</v>
      </c>
      <c r="G617" s="3">
        <f>SUMIF(Customer_Payments!B:B,C617,Customer_Payments!E:E)</f>
        <v>2654.43</v>
      </c>
      <c r="H617" s="3">
        <f t="shared" si="27"/>
        <v>0</v>
      </c>
      <c r="I617" s="29">
        <f t="shared" si="28"/>
        <v>80</v>
      </c>
      <c r="J617" s="31" t="str">
        <f t="shared" si="29"/>
        <v>61-90</v>
      </c>
      <c r="K617"/>
    </row>
    <row r="618" spans="1:11" x14ac:dyDescent="0.3">
      <c r="A618" s="20" t="s">
        <v>81</v>
      </c>
      <c r="B618" t="str">
        <f>VLOOKUP(A618,Customers!A:B,2,FALSE)</f>
        <v>RetailFlowX</v>
      </c>
      <c r="C618" s="24" t="s">
        <v>985</v>
      </c>
      <c r="D618" s="10">
        <v>46007</v>
      </c>
      <c r="E618" s="10">
        <v>46037</v>
      </c>
      <c r="F618" s="4">
        <v>2420.4699999999998</v>
      </c>
      <c r="G618" s="3">
        <f>SUMIF(Customer_Payments!B:B,C618,Customer_Payments!E:E)</f>
        <v>2420.4699999999998</v>
      </c>
      <c r="H618" s="3">
        <f t="shared" si="27"/>
        <v>0</v>
      </c>
      <c r="I618" s="29">
        <f t="shared" si="28"/>
        <v>54</v>
      </c>
      <c r="J618" s="31" t="str">
        <f t="shared" si="29"/>
        <v>31-60</v>
      </c>
      <c r="K618"/>
    </row>
    <row r="619" spans="1:11" x14ac:dyDescent="0.3">
      <c r="A619" s="21" t="s">
        <v>88</v>
      </c>
      <c r="B619" t="str">
        <f>VLOOKUP(A619,Customers!A:B,2,FALSE)</f>
        <v>RetailPrimeX</v>
      </c>
      <c r="C619" s="25" t="s">
        <v>986</v>
      </c>
      <c r="D619" s="11">
        <v>45971</v>
      </c>
      <c r="E619" s="11">
        <v>46001</v>
      </c>
      <c r="F619" s="5">
        <v>2463.7600000000002</v>
      </c>
      <c r="G619" s="3">
        <f>SUMIF(Customer_Payments!B:B,C619,Customer_Payments!E:E)</f>
        <v>2463.7600000000002</v>
      </c>
      <c r="H619" s="3">
        <f t="shared" si="27"/>
        <v>0</v>
      </c>
      <c r="I619" s="29">
        <f t="shared" si="28"/>
        <v>90</v>
      </c>
      <c r="J619" s="31" t="str">
        <f t="shared" si="29"/>
        <v>61-90</v>
      </c>
      <c r="K619"/>
    </row>
    <row r="620" spans="1:11" x14ac:dyDescent="0.3">
      <c r="A620" s="20" t="s">
        <v>31</v>
      </c>
      <c r="B620" t="str">
        <f>VLOOKUP(A620,Customers!A:B,2,FALSE)</f>
        <v>SparkRetail</v>
      </c>
      <c r="C620" s="24" t="s">
        <v>987</v>
      </c>
      <c r="D620" s="10">
        <v>46111</v>
      </c>
      <c r="E620" s="10">
        <v>46141</v>
      </c>
      <c r="F620" s="4">
        <v>3612.44</v>
      </c>
      <c r="G620" s="3">
        <f>SUMIF(Customer_Payments!B:B,C620,Customer_Payments!E:E)</f>
        <v>3612.44</v>
      </c>
      <c r="H620" s="3">
        <f t="shared" si="27"/>
        <v>0</v>
      </c>
      <c r="I620" s="29">
        <f t="shared" si="28"/>
        <v>-50</v>
      </c>
      <c r="J620" s="31" t="str">
        <f t="shared" si="29"/>
        <v>Current</v>
      </c>
      <c r="K620"/>
    </row>
    <row r="621" spans="1:11" x14ac:dyDescent="0.3">
      <c r="A621" s="21" t="s">
        <v>59</v>
      </c>
      <c r="B621" t="str">
        <f>VLOOKUP(A621,Customers!A:B,2,FALSE)</f>
        <v>MarketBridge</v>
      </c>
      <c r="C621" s="25" t="s">
        <v>988</v>
      </c>
      <c r="D621" s="11">
        <v>46000</v>
      </c>
      <c r="E621" s="11">
        <v>46030</v>
      </c>
      <c r="F621" s="5">
        <v>2967.74</v>
      </c>
      <c r="G621" s="3">
        <f>SUMIF(Customer_Payments!B:B,C621,Customer_Payments!E:E)</f>
        <v>2967.74</v>
      </c>
      <c r="H621" s="3">
        <f t="shared" si="27"/>
        <v>0</v>
      </c>
      <c r="I621" s="29">
        <f t="shared" si="28"/>
        <v>61</v>
      </c>
      <c r="J621" s="31" t="str">
        <f t="shared" si="29"/>
        <v>61-90</v>
      </c>
      <c r="K621"/>
    </row>
    <row r="622" spans="1:11" x14ac:dyDescent="0.3">
      <c r="A622" s="20" t="s">
        <v>50</v>
      </c>
      <c r="B622" t="str">
        <f>VLOOKUP(A622,Customers!A:B,2,FALSE)</f>
        <v>RetailNexus</v>
      </c>
      <c r="C622" s="24" t="s">
        <v>989</v>
      </c>
      <c r="D622" s="10">
        <v>46109</v>
      </c>
      <c r="E622" s="10">
        <v>46139</v>
      </c>
      <c r="F622" s="4">
        <v>3445.02</v>
      </c>
      <c r="G622" s="3">
        <f>SUMIF(Customer_Payments!B:B,C622,Customer_Payments!E:E)</f>
        <v>0</v>
      </c>
      <c r="H622" s="3">
        <f t="shared" si="27"/>
        <v>3445.02</v>
      </c>
      <c r="I622" s="29">
        <f t="shared" si="28"/>
        <v>-48</v>
      </c>
      <c r="J622" s="31" t="str">
        <f t="shared" si="29"/>
        <v>Current</v>
      </c>
      <c r="K622"/>
    </row>
    <row r="623" spans="1:11" x14ac:dyDescent="0.3">
      <c r="A623" s="21" t="s">
        <v>98</v>
      </c>
      <c r="B623" t="str">
        <f>VLOOKUP(A623,Customers!A:B,2,FALSE)</f>
        <v>RetailEdgePro</v>
      </c>
      <c r="C623" s="25" t="s">
        <v>990</v>
      </c>
      <c r="D623" s="11">
        <v>46077</v>
      </c>
      <c r="E623" s="11">
        <v>46107</v>
      </c>
      <c r="F623" s="5">
        <v>14338.52</v>
      </c>
      <c r="G623" s="3">
        <f>SUMIF(Customer_Payments!B:B,C623,Customer_Payments!E:E)</f>
        <v>14338.52</v>
      </c>
      <c r="H623" s="3">
        <f t="shared" si="27"/>
        <v>0</v>
      </c>
      <c r="I623" s="29">
        <f t="shared" si="28"/>
        <v>-16</v>
      </c>
      <c r="J623" s="31" t="str">
        <f t="shared" si="29"/>
        <v>Current</v>
      </c>
      <c r="K623"/>
    </row>
    <row r="624" spans="1:11" x14ac:dyDescent="0.3">
      <c r="A624" s="20" t="s">
        <v>29</v>
      </c>
      <c r="B624" t="str">
        <f>VLOOKUP(A624,Customers!A:B,2,FALSE)</f>
        <v>DigitalBridge</v>
      </c>
      <c r="C624" s="24" t="s">
        <v>991</v>
      </c>
      <c r="D624" s="10">
        <v>46045</v>
      </c>
      <c r="E624" s="10">
        <v>46075</v>
      </c>
      <c r="F624" s="4">
        <v>5557.88</v>
      </c>
      <c r="G624" s="3">
        <f>SUMIF(Customer_Payments!B:B,C624,Customer_Payments!E:E)</f>
        <v>5557.88</v>
      </c>
      <c r="H624" s="3">
        <f t="shared" si="27"/>
        <v>0</v>
      </c>
      <c r="I624" s="29">
        <f t="shared" si="28"/>
        <v>16</v>
      </c>
      <c r="J624" s="31" t="str">
        <f t="shared" si="29"/>
        <v>1-30</v>
      </c>
      <c r="K624"/>
    </row>
    <row r="625" spans="1:11" x14ac:dyDescent="0.3">
      <c r="A625" s="21" t="s">
        <v>104</v>
      </c>
      <c r="B625" t="str">
        <f>VLOOKUP(A625,Customers!A:B,2,FALSE)</f>
        <v>RetailCorePro</v>
      </c>
      <c r="C625" s="25" t="s">
        <v>992</v>
      </c>
      <c r="D625" s="11">
        <v>46063</v>
      </c>
      <c r="E625" s="11">
        <v>46093</v>
      </c>
      <c r="F625" s="5">
        <v>2634.5</v>
      </c>
      <c r="G625" s="3">
        <f>SUMIF(Customer_Payments!B:B,C625,Customer_Payments!E:E)</f>
        <v>2634.5</v>
      </c>
      <c r="H625" s="3">
        <f t="shared" si="27"/>
        <v>0</v>
      </c>
      <c r="I625" s="29">
        <f t="shared" si="28"/>
        <v>-2</v>
      </c>
      <c r="J625" s="31" t="str">
        <f t="shared" si="29"/>
        <v>Current</v>
      </c>
      <c r="K625"/>
    </row>
    <row r="626" spans="1:11" x14ac:dyDescent="0.3">
      <c r="A626" s="20" t="s">
        <v>106</v>
      </c>
      <c r="B626" t="str">
        <f>VLOOKUP(A626,Customers!A:B,2,FALSE)</f>
        <v>RetailOrbitPro</v>
      </c>
      <c r="C626" s="24" t="s">
        <v>993</v>
      </c>
      <c r="D626" s="10">
        <v>45994</v>
      </c>
      <c r="E626" s="10">
        <v>46024</v>
      </c>
      <c r="F626" s="4">
        <v>5152.5600000000004</v>
      </c>
      <c r="G626" s="3">
        <f>SUMIF(Customer_Payments!B:B,C626,Customer_Payments!E:E)</f>
        <v>0</v>
      </c>
      <c r="H626" s="3">
        <f t="shared" si="27"/>
        <v>5152.5600000000004</v>
      </c>
      <c r="I626" s="29">
        <f t="shared" si="28"/>
        <v>67</v>
      </c>
      <c r="J626" s="31" t="str">
        <f t="shared" si="29"/>
        <v>61-90</v>
      </c>
      <c r="K626"/>
    </row>
    <row r="627" spans="1:11" x14ac:dyDescent="0.3">
      <c r="A627" s="21" t="s">
        <v>61</v>
      </c>
      <c r="B627" t="str">
        <f>VLOOKUP(A627,Customers!A:B,2,FALSE)</f>
        <v>RetailOrbit</v>
      </c>
      <c r="C627" s="25" t="s">
        <v>994</v>
      </c>
      <c r="D627" s="11">
        <v>46093</v>
      </c>
      <c r="E627" s="11">
        <v>46123</v>
      </c>
      <c r="F627" s="5">
        <v>2555.29</v>
      </c>
      <c r="G627" s="3">
        <f>SUMIF(Customer_Payments!B:B,C627,Customer_Payments!E:E)</f>
        <v>2555.29</v>
      </c>
      <c r="H627" s="3">
        <f t="shared" si="27"/>
        <v>0</v>
      </c>
      <c r="I627" s="29">
        <f t="shared" si="28"/>
        <v>-32</v>
      </c>
      <c r="J627" s="31" t="str">
        <f t="shared" si="29"/>
        <v>Current</v>
      </c>
      <c r="K627"/>
    </row>
    <row r="628" spans="1:11" x14ac:dyDescent="0.3">
      <c r="A628" s="20" t="s">
        <v>54</v>
      </c>
      <c r="B628" t="str">
        <f>VLOOKUP(A628,Customers!A:B,2,FALSE)</f>
        <v>RetailEdge</v>
      </c>
      <c r="C628" s="24" t="s">
        <v>995</v>
      </c>
      <c r="D628" s="10">
        <v>46109</v>
      </c>
      <c r="E628" s="10">
        <v>46139</v>
      </c>
      <c r="F628" s="4">
        <v>11439.92</v>
      </c>
      <c r="G628" s="3">
        <f>SUMIF(Customer_Payments!B:B,C628,Customer_Payments!E:E)</f>
        <v>11439.92</v>
      </c>
      <c r="H628" s="3">
        <f t="shared" si="27"/>
        <v>0</v>
      </c>
      <c r="I628" s="29">
        <f t="shared" si="28"/>
        <v>-48</v>
      </c>
      <c r="J628" s="31" t="str">
        <f t="shared" si="29"/>
        <v>Current</v>
      </c>
      <c r="K628"/>
    </row>
    <row r="629" spans="1:11" x14ac:dyDescent="0.3">
      <c r="A629" s="21" t="s">
        <v>93</v>
      </c>
      <c r="B629" t="str">
        <f>VLOOKUP(A629,Customers!A:B,2,FALSE)</f>
        <v>RetailSphereX</v>
      </c>
      <c r="C629" s="25" t="s">
        <v>996</v>
      </c>
      <c r="D629" s="11">
        <v>45995</v>
      </c>
      <c r="E629" s="11">
        <v>46025</v>
      </c>
      <c r="F629" s="5">
        <v>3470.41</v>
      </c>
      <c r="G629" s="3">
        <f>SUMIF(Customer_Payments!B:B,C629,Customer_Payments!E:E)</f>
        <v>3470.41</v>
      </c>
      <c r="H629" s="3">
        <f t="shared" si="27"/>
        <v>0</v>
      </c>
      <c r="I629" s="29">
        <f t="shared" si="28"/>
        <v>66</v>
      </c>
      <c r="J629" s="31" t="str">
        <f t="shared" si="29"/>
        <v>61-90</v>
      </c>
      <c r="K629"/>
    </row>
    <row r="630" spans="1:11" x14ac:dyDescent="0.3">
      <c r="A630" s="20" t="s">
        <v>51</v>
      </c>
      <c r="B630" t="str">
        <f>VLOOKUP(A630,Customers!A:B,2,FALSE)</f>
        <v>CartMasters</v>
      </c>
      <c r="C630" s="24" t="s">
        <v>997</v>
      </c>
      <c r="D630" s="10">
        <v>45990</v>
      </c>
      <c r="E630" s="10">
        <v>46020</v>
      </c>
      <c r="F630" s="4">
        <v>3152.02</v>
      </c>
      <c r="G630" s="3">
        <f>SUMIF(Customer_Payments!B:B,C630,Customer_Payments!E:E)</f>
        <v>3152.02</v>
      </c>
      <c r="H630" s="3">
        <f t="shared" si="27"/>
        <v>0</v>
      </c>
      <c r="I630" s="29">
        <f t="shared" si="28"/>
        <v>71</v>
      </c>
      <c r="J630" s="31" t="str">
        <f t="shared" si="29"/>
        <v>61-90</v>
      </c>
      <c r="K630"/>
    </row>
    <row r="631" spans="1:11" x14ac:dyDescent="0.3">
      <c r="A631" s="21" t="s">
        <v>28</v>
      </c>
      <c r="B631" t="str">
        <f>VLOOKUP(A631,Customers!A:B,2,FALSE)</f>
        <v>FutureCart</v>
      </c>
      <c r="C631" s="25" t="s">
        <v>998</v>
      </c>
      <c r="D631" s="11">
        <v>45981</v>
      </c>
      <c r="E631" s="11">
        <v>46011</v>
      </c>
      <c r="F631" s="5">
        <v>2128.9299999999998</v>
      </c>
      <c r="G631" s="3">
        <f>SUMIF(Customer_Payments!B:B,C631,Customer_Payments!E:E)</f>
        <v>2128.9299999999998</v>
      </c>
      <c r="H631" s="3">
        <f t="shared" si="27"/>
        <v>0</v>
      </c>
      <c r="I631" s="29">
        <f t="shared" si="28"/>
        <v>80</v>
      </c>
      <c r="J631" s="31" t="str">
        <f t="shared" si="29"/>
        <v>61-90</v>
      </c>
      <c r="K631"/>
    </row>
    <row r="632" spans="1:11" x14ac:dyDescent="0.3">
      <c r="A632" s="20" t="s">
        <v>73</v>
      </c>
      <c r="B632" t="str">
        <f>VLOOKUP(A632,Customers!A:B,2,FALSE)</f>
        <v>RetailWave</v>
      </c>
      <c r="C632" s="24" t="s">
        <v>999</v>
      </c>
      <c r="D632" s="10">
        <v>45975</v>
      </c>
      <c r="E632" s="10">
        <v>46005</v>
      </c>
      <c r="F632" s="4">
        <v>3388.61</v>
      </c>
      <c r="G632" s="3">
        <f>SUMIF(Customer_Payments!B:B,C632,Customer_Payments!E:E)</f>
        <v>3388.61</v>
      </c>
      <c r="H632" s="3">
        <f t="shared" si="27"/>
        <v>0</v>
      </c>
      <c r="I632" s="29">
        <f t="shared" si="28"/>
        <v>86</v>
      </c>
      <c r="J632" s="31" t="str">
        <f t="shared" si="29"/>
        <v>61-90</v>
      </c>
      <c r="K632"/>
    </row>
    <row r="633" spans="1:11" x14ac:dyDescent="0.3">
      <c r="A633" s="21" t="s">
        <v>50</v>
      </c>
      <c r="B633" t="str">
        <f>VLOOKUP(A633,Customers!A:B,2,FALSE)</f>
        <v>RetailNexus</v>
      </c>
      <c r="C633" s="25" t="s">
        <v>1000</v>
      </c>
      <c r="D633" s="11">
        <v>45991</v>
      </c>
      <c r="E633" s="11">
        <v>46021</v>
      </c>
      <c r="F633" s="5">
        <v>3533.76</v>
      </c>
      <c r="G633" s="3">
        <f>SUMIF(Customer_Payments!B:B,C633,Customer_Payments!E:E)</f>
        <v>0</v>
      </c>
      <c r="H633" s="3">
        <f t="shared" si="27"/>
        <v>3533.76</v>
      </c>
      <c r="I633" s="29">
        <f t="shared" si="28"/>
        <v>70</v>
      </c>
      <c r="J633" s="31" t="str">
        <f t="shared" si="29"/>
        <v>61-90</v>
      </c>
      <c r="K633"/>
    </row>
    <row r="634" spans="1:11" x14ac:dyDescent="0.3">
      <c r="A634" s="20" t="s">
        <v>124</v>
      </c>
      <c r="B634" t="str">
        <f>VLOOKUP(A634,Customers!A:B,2,FALSE)</f>
        <v>RetailOrbitGlobal</v>
      </c>
      <c r="C634" s="24" t="s">
        <v>1001</v>
      </c>
      <c r="D634" s="10">
        <v>46106</v>
      </c>
      <c r="E634" s="10">
        <v>46136</v>
      </c>
      <c r="F634" s="4">
        <v>11324.4</v>
      </c>
      <c r="G634" s="3">
        <f>SUMIF(Customer_Payments!B:B,C634,Customer_Payments!E:E)</f>
        <v>0</v>
      </c>
      <c r="H634" s="3">
        <f t="shared" si="27"/>
        <v>11324.4</v>
      </c>
      <c r="I634" s="29">
        <f t="shared" si="28"/>
        <v>-45</v>
      </c>
      <c r="J634" s="31" t="str">
        <f t="shared" si="29"/>
        <v>Current</v>
      </c>
      <c r="K634"/>
    </row>
    <row r="635" spans="1:11" x14ac:dyDescent="0.3">
      <c r="A635" s="21" t="s">
        <v>34</v>
      </c>
      <c r="B635" t="str">
        <f>VLOOKUP(A635,Customers!A:B,2,FALSE)</f>
        <v>OptiCommerce</v>
      </c>
      <c r="C635" s="25" t="s">
        <v>1002</v>
      </c>
      <c r="D635" s="11">
        <v>45984</v>
      </c>
      <c r="E635" s="11">
        <v>46014</v>
      </c>
      <c r="F635" s="5">
        <v>9691.7999999999993</v>
      </c>
      <c r="G635" s="3">
        <f>SUMIF(Customer_Payments!B:B,C635,Customer_Payments!E:E)</f>
        <v>0</v>
      </c>
      <c r="H635" s="3">
        <f t="shared" si="27"/>
        <v>9691.7999999999993</v>
      </c>
      <c r="I635" s="29">
        <f t="shared" si="28"/>
        <v>77</v>
      </c>
      <c r="J635" s="31" t="str">
        <f t="shared" si="29"/>
        <v>61-90</v>
      </c>
      <c r="K635"/>
    </row>
    <row r="636" spans="1:11" x14ac:dyDescent="0.3">
      <c r="A636" s="20" t="s">
        <v>98</v>
      </c>
      <c r="B636" t="str">
        <f>VLOOKUP(A636,Customers!A:B,2,FALSE)</f>
        <v>RetailEdgePro</v>
      </c>
      <c r="C636" s="24" t="s">
        <v>1003</v>
      </c>
      <c r="D636" s="10">
        <v>46015</v>
      </c>
      <c r="E636" s="10">
        <v>46045</v>
      </c>
      <c r="F636" s="4">
        <v>1455.78</v>
      </c>
      <c r="G636" s="3">
        <f>SUMIF(Customer_Payments!B:B,C636,Customer_Payments!E:E)</f>
        <v>1455.78</v>
      </c>
      <c r="H636" s="3">
        <f t="shared" si="27"/>
        <v>0</v>
      </c>
      <c r="I636" s="29">
        <f t="shared" si="28"/>
        <v>46</v>
      </c>
      <c r="J636" s="31" t="str">
        <f t="shared" si="29"/>
        <v>31-60</v>
      </c>
      <c r="K636"/>
    </row>
    <row r="637" spans="1:11" x14ac:dyDescent="0.3">
      <c r="A637" s="21" t="s">
        <v>75</v>
      </c>
      <c r="B637" t="str">
        <f>VLOOKUP(A637,Customers!A:B,2,FALSE)</f>
        <v>RetailMatrix</v>
      </c>
      <c r="C637" s="25" t="s">
        <v>1004</v>
      </c>
      <c r="D637" s="11">
        <v>45998</v>
      </c>
      <c r="E637" s="11">
        <v>46028</v>
      </c>
      <c r="F637" s="5">
        <v>2010.33</v>
      </c>
      <c r="G637" s="3">
        <f>SUMIF(Customer_Payments!B:B,C637,Customer_Payments!E:E)</f>
        <v>2010.33</v>
      </c>
      <c r="H637" s="3">
        <f t="shared" si="27"/>
        <v>0</v>
      </c>
      <c r="I637" s="29">
        <f t="shared" si="28"/>
        <v>63</v>
      </c>
      <c r="J637" s="31" t="str">
        <f t="shared" si="29"/>
        <v>61-90</v>
      </c>
      <c r="K637"/>
    </row>
    <row r="638" spans="1:11" x14ac:dyDescent="0.3">
      <c r="A638" s="20" t="s">
        <v>114</v>
      </c>
      <c r="B638" t="str">
        <f>VLOOKUP(A638,Customers!A:B,2,FALSE)</f>
        <v>RetailScalePro</v>
      </c>
      <c r="C638" s="24" t="s">
        <v>1005</v>
      </c>
      <c r="D638" s="10">
        <v>46070</v>
      </c>
      <c r="E638" s="10">
        <v>46100</v>
      </c>
      <c r="F638" s="4">
        <v>2868.02</v>
      </c>
      <c r="G638" s="3">
        <f>SUMIF(Customer_Payments!B:B,C638,Customer_Payments!E:E)</f>
        <v>2868.02</v>
      </c>
      <c r="H638" s="3">
        <f t="shared" si="27"/>
        <v>0</v>
      </c>
      <c r="I638" s="29">
        <f t="shared" si="28"/>
        <v>-9</v>
      </c>
      <c r="J638" s="31" t="str">
        <f t="shared" si="29"/>
        <v>Current</v>
      </c>
      <c r="K638"/>
    </row>
    <row r="639" spans="1:11" x14ac:dyDescent="0.3">
      <c r="A639" s="21" t="s">
        <v>22</v>
      </c>
      <c r="B639" t="str">
        <f>VLOOKUP(A639,Customers!A:B,2,FALSE)</f>
        <v>QuantumRetail</v>
      </c>
      <c r="C639" s="25" t="s">
        <v>1006</v>
      </c>
      <c r="D639" s="11">
        <v>46112</v>
      </c>
      <c r="E639" s="11">
        <v>46142</v>
      </c>
      <c r="F639" s="5">
        <v>2457.88</v>
      </c>
      <c r="G639" s="3">
        <f>SUMIF(Customer_Payments!B:B,C639,Customer_Payments!E:E)</f>
        <v>2457.88</v>
      </c>
      <c r="H639" s="3">
        <f t="shared" si="27"/>
        <v>0</v>
      </c>
      <c r="I639" s="29">
        <f t="shared" si="28"/>
        <v>-51</v>
      </c>
      <c r="J639" s="31" t="str">
        <f t="shared" si="29"/>
        <v>Current</v>
      </c>
      <c r="K639"/>
    </row>
    <row r="640" spans="1:11" x14ac:dyDescent="0.3">
      <c r="A640" s="20" t="s">
        <v>94</v>
      </c>
      <c r="B640" t="str">
        <f>VLOOKUP(A640,Customers!A:B,2,FALSE)</f>
        <v>RetailDynamicsX</v>
      </c>
      <c r="C640" s="24" t="s">
        <v>1007</v>
      </c>
      <c r="D640" s="10">
        <v>46083</v>
      </c>
      <c r="E640" s="10">
        <v>46113</v>
      </c>
      <c r="F640" s="4">
        <v>3153.83</v>
      </c>
      <c r="G640" s="3">
        <f>SUMIF(Customer_Payments!B:B,C640,Customer_Payments!E:E)</f>
        <v>3153.83</v>
      </c>
      <c r="H640" s="3">
        <f t="shared" si="27"/>
        <v>0</v>
      </c>
      <c r="I640" s="29">
        <f t="shared" si="28"/>
        <v>-22</v>
      </c>
      <c r="J640" s="31" t="str">
        <f t="shared" si="29"/>
        <v>Current</v>
      </c>
      <c r="K640"/>
    </row>
    <row r="641" spans="1:11" x14ac:dyDescent="0.3">
      <c r="A641" s="21" t="s">
        <v>73</v>
      </c>
      <c r="B641" t="str">
        <f>VLOOKUP(A641,Customers!A:B,2,FALSE)</f>
        <v>RetailWave</v>
      </c>
      <c r="C641" s="25" t="s">
        <v>1008</v>
      </c>
      <c r="D641" s="11">
        <v>46027</v>
      </c>
      <c r="E641" s="11">
        <v>46057</v>
      </c>
      <c r="F641" s="5">
        <v>1446.7</v>
      </c>
      <c r="G641" s="3">
        <f>SUMIF(Customer_Payments!B:B,C641,Customer_Payments!E:E)</f>
        <v>1446.7</v>
      </c>
      <c r="H641" s="3">
        <f t="shared" si="27"/>
        <v>0</v>
      </c>
      <c r="I641" s="29">
        <f t="shared" si="28"/>
        <v>34</v>
      </c>
      <c r="J641" s="31" t="str">
        <f t="shared" si="29"/>
        <v>31-60</v>
      </c>
      <c r="K641"/>
    </row>
    <row r="642" spans="1:11" x14ac:dyDescent="0.3">
      <c r="A642" s="20" t="s">
        <v>122</v>
      </c>
      <c r="B642" t="str">
        <f>VLOOKUP(A642,Customers!A:B,2,FALSE)</f>
        <v>RetailCoreGlobal</v>
      </c>
      <c r="C642" s="24" t="s">
        <v>1009</v>
      </c>
      <c r="D642" s="10">
        <v>45997</v>
      </c>
      <c r="E642" s="10">
        <v>46027</v>
      </c>
      <c r="F642" s="4">
        <v>2622.8</v>
      </c>
      <c r="G642" s="3">
        <f>SUMIF(Customer_Payments!B:B,C642,Customer_Payments!E:E)</f>
        <v>2622.8</v>
      </c>
      <c r="H642" s="3">
        <f t="shared" ref="H642:H705" si="30">MAX(F642-G642,0)</f>
        <v>0</v>
      </c>
      <c r="I642" s="29">
        <f t="shared" ref="I642:I705" si="31">$L$2-E642</f>
        <v>64</v>
      </c>
      <c r="J642" s="31" t="str">
        <f t="shared" si="29"/>
        <v>61-90</v>
      </c>
      <c r="K642"/>
    </row>
    <row r="643" spans="1:11" x14ac:dyDescent="0.3">
      <c r="A643" s="21" t="s">
        <v>107</v>
      </c>
      <c r="B643" t="str">
        <f>VLOOKUP(A643,Customers!A:B,2,FALSE)</f>
        <v>RetailWorksPro</v>
      </c>
      <c r="C643" s="25" t="s">
        <v>1010</v>
      </c>
      <c r="D643" s="11">
        <v>46109</v>
      </c>
      <c r="E643" s="11">
        <v>46139</v>
      </c>
      <c r="F643" s="5">
        <v>3013.9</v>
      </c>
      <c r="G643" s="3">
        <f>SUMIF(Customer_Payments!B:B,C643,Customer_Payments!E:E)</f>
        <v>3013.9</v>
      </c>
      <c r="H643" s="3">
        <f t="shared" si="30"/>
        <v>0</v>
      </c>
      <c r="I643" s="29">
        <f t="shared" si="31"/>
        <v>-48</v>
      </c>
      <c r="J643" s="31" t="str">
        <f t="shared" ref="J643:J706" si="32">IF(I643&lt;=0,"Current",
IF(I643&lt;=30,"1-30",
IF(I643&lt;=60,"31-60",
IF(I643&lt;=90,"61-90","90+"))))</f>
        <v>Current</v>
      </c>
      <c r="K643"/>
    </row>
    <row r="644" spans="1:11" x14ac:dyDescent="0.3">
      <c r="A644" s="20" t="s">
        <v>113</v>
      </c>
      <c r="B644" t="str">
        <f>VLOOKUP(A644,Customers!A:B,2,FALSE)</f>
        <v>RetailSpherePro</v>
      </c>
      <c r="C644" s="24" t="s">
        <v>1011</v>
      </c>
      <c r="D644" s="10">
        <v>46081</v>
      </c>
      <c r="E644" s="10">
        <v>46111</v>
      </c>
      <c r="F644" s="4">
        <v>2997.29</v>
      </c>
      <c r="G644" s="3">
        <f>SUMIF(Customer_Payments!B:B,C644,Customer_Payments!E:E)</f>
        <v>0</v>
      </c>
      <c r="H644" s="3">
        <f t="shared" si="30"/>
        <v>2997.29</v>
      </c>
      <c r="I644" s="29">
        <f t="shared" si="31"/>
        <v>-20</v>
      </c>
      <c r="J644" s="31" t="str">
        <f t="shared" si="32"/>
        <v>Current</v>
      </c>
      <c r="K644"/>
    </row>
    <row r="645" spans="1:11" x14ac:dyDescent="0.3">
      <c r="A645" s="21" t="s">
        <v>27</v>
      </c>
      <c r="B645" t="str">
        <f>VLOOKUP(A645,Customers!A:B,2,FALSE)</f>
        <v>Skyline Commerce</v>
      </c>
      <c r="C645" s="25" t="s">
        <v>1012</v>
      </c>
      <c r="D645" s="11">
        <v>46098</v>
      </c>
      <c r="E645" s="11">
        <v>46128</v>
      </c>
      <c r="F645" s="5">
        <v>4162.37</v>
      </c>
      <c r="G645" s="3">
        <f>SUMIF(Customer_Payments!B:B,C645,Customer_Payments!E:E)</f>
        <v>4162.37</v>
      </c>
      <c r="H645" s="3">
        <f t="shared" si="30"/>
        <v>0</v>
      </c>
      <c r="I645" s="29">
        <f t="shared" si="31"/>
        <v>-37</v>
      </c>
      <c r="J645" s="31" t="str">
        <f t="shared" si="32"/>
        <v>Current</v>
      </c>
      <c r="K645"/>
    </row>
    <row r="646" spans="1:11" x14ac:dyDescent="0.3">
      <c r="A646" s="20" t="s">
        <v>49</v>
      </c>
      <c r="B646" t="str">
        <f>VLOOKUP(A646,Customers!A:B,2,FALSE)</f>
        <v>CommercePilot</v>
      </c>
      <c r="C646" s="24" t="s">
        <v>1013</v>
      </c>
      <c r="D646" s="10">
        <v>46089</v>
      </c>
      <c r="E646" s="10">
        <v>46119</v>
      </c>
      <c r="F646" s="4">
        <v>3057.77</v>
      </c>
      <c r="G646" s="3">
        <f>SUMIF(Customer_Payments!B:B,C646,Customer_Payments!E:E)</f>
        <v>0</v>
      </c>
      <c r="H646" s="3">
        <f t="shared" si="30"/>
        <v>3057.77</v>
      </c>
      <c r="I646" s="29">
        <f t="shared" si="31"/>
        <v>-28</v>
      </c>
      <c r="J646" s="31" t="str">
        <f t="shared" si="32"/>
        <v>Current</v>
      </c>
      <c r="K646"/>
    </row>
    <row r="647" spans="1:11" x14ac:dyDescent="0.3">
      <c r="A647" s="21" t="s">
        <v>113</v>
      </c>
      <c r="B647" t="str">
        <f>VLOOKUP(A647,Customers!A:B,2,FALSE)</f>
        <v>RetailSpherePro</v>
      </c>
      <c r="C647" s="25" t="s">
        <v>1014</v>
      </c>
      <c r="D647" s="11">
        <v>45997</v>
      </c>
      <c r="E647" s="11">
        <v>46027</v>
      </c>
      <c r="F647" s="5">
        <v>4005.48</v>
      </c>
      <c r="G647" s="3">
        <f>SUMIF(Customer_Payments!B:B,C647,Customer_Payments!E:E)</f>
        <v>0</v>
      </c>
      <c r="H647" s="3">
        <f t="shared" si="30"/>
        <v>4005.48</v>
      </c>
      <c r="I647" s="29">
        <f t="shared" si="31"/>
        <v>64</v>
      </c>
      <c r="J647" s="31" t="str">
        <f t="shared" si="32"/>
        <v>61-90</v>
      </c>
      <c r="K647"/>
    </row>
    <row r="648" spans="1:11" x14ac:dyDescent="0.3">
      <c r="A648" s="20" t="s">
        <v>16</v>
      </c>
      <c r="B648" t="str">
        <f>VLOOKUP(A648,Customers!A:B,2,FALSE)</f>
        <v>RetailHub</v>
      </c>
      <c r="C648" s="24" t="s">
        <v>1015</v>
      </c>
      <c r="D648" s="10">
        <v>45998</v>
      </c>
      <c r="E648" s="10">
        <v>46028</v>
      </c>
      <c r="F648" s="4">
        <v>3736.63</v>
      </c>
      <c r="G648" s="3">
        <f>SUMIF(Customer_Payments!B:B,C648,Customer_Payments!E:E)</f>
        <v>0</v>
      </c>
      <c r="H648" s="3">
        <f t="shared" si="30"/>
        <v>3736.63</v>
      </c>
      <c r="I648" s="29">
        <f t="shared" si="31"/>
        <v>63</v>
      </c>
      <c r="J648" s="31" t="str">
        <f t="shared" si="32"/>
        <v>61-90</v>
      </c>
      <c r="K648"/>
    </row>
    <row r="649" spans="1:11" x14ac:dyDescent="0.3">
      <c r="A649" s="21" t="s">
        <v>44</v>
      </c>
      <c r="B649" t="str">
        <f>VLOOKUP(A649,Customers!A:B,2,FALSE)</f>
        <v>BrightMarket</v>
      </c>
      <c r="C649" s="25" t="s">
        <v>1016</v>
      </c>
      <c r="D649" s="11">
        <v>46106</v>
      </c>
      <c r="E649" s="11">
        <v>46136</v>
      </c>
      <c r="F649" s="5">
        <v>1960.97</v>
      </c>
      <c r="G649" s="3">
        <f>SUMIF(Customer_Payments!B:B,C649,Customer_Payments!E:E)</f>
        <v>1960.97</v>
      </c>
      <c r="H649" s="3">
        <f t="shared" si="30"/>
        <v>0</v>
      </c>
      <c r="I649" s="29">
        <f t="shared" si="31"/>
        <v>-45</v>
      </c>
      <c r="J649" s="31" t="str">
        <f t="shared" si="32"/>
        <v>Current</v>
      </c>
      <c r="K649"/>
    </row>
    <row r="650" spans="1:11" x14ac:dyDescent="0.3">
      <c r="A650" s="20" t="s">
        <v>116</v>
      </c>
      <c r="B650" t="str">
        <f>VLOOKUP(A650,Customers!A:B,2,FALSE)</f>
        <v>RetailLabsPro</v>
      </c>
      <c r="C650" s="24" t="s">
        <v>1017</v>
      </c>
      <c r="D650" s="10">
        <v>46050</v>
      </c>
      <c r="E650" s="10">
        <v>46080</v>
      </c>
      <c r="F650" s="4">
        <v>2464.2800000000002</v>
      </c>
      <c r="G650" s="3">
        <f>SUMIF(Customer_Payments!B:B,C650,Customer_Payments!E:E)</f>
        <v>0</v>
      </c>
      <c r="H650" s="3">
        <f t="shared" si="30"/>
        <v>2464.2800000000002</v>
      </c>
      <c r="I650" s="29">
        <f t="shared" si="31"/>
        <v>11</v>
      </c>
      <c r="J650" s="31" t="str">
        <f t="shared" si="32"/>
        <v>1-30</v>
      </c>
      <c r="K650"/>
    </row>
    <row r="651" spans="1:11" x14ac:dyDescent="0.3">
      <c r="A651" s="21" t="s">
        <v>21</v>
      </c>
      <c r="B651" t="str">
        <f>VLOOKUP(A651,Customers!A:B,2,FALSE)</f>
        <v>InsightLoop</v>
      </c>
      <c r="C651" s="25" t="s">
        <v>1018</v>
      </c>
      <c r="D651" s="11">
        <v>46095</v>
      </c>
      <c r="E651" s="11">
        <v>46125</v>
      </c>
      <c r="F651" s="5">
        <v>2360.21</v>
      </c>
      <c r="G651" s="3">
        <f>SUMIF(Customer_Payments!B:B,C651,Customer_Payments!E:E)</f>
        <v>2360.21</v>
      </c>
      <c r="H651" s="3">
        <f t="shared" si="30"/>
        <v>0</v>
      </c>
      <c r="I651" s="29">
        <f t="shared" si="31"/>
        <v>-34</v>
      </c>
      <c r="J651" s="31" t="str">
        <f t="shared" si="32"/>
        <v>Current</v>
      </c>
      <c r="K651"/>
    </row>
    <row r="652" spans="1:11" x14ac:dyDescent="0.3">
      <c r="A652" s="20" t="s">
        <v>91</v>
      </c>
      <c r="B652" t="str">
        <f>VLOOKUP(A652,Customers!A:B,2,FALSE)</f>
        <v>RetailBridgeX</v>
      </c>
      <c r="C652" s="24" t="s">
        <v>1019</v>
      </c>
      <c r="D652" s="10">
        <v>45972</v>
      </c>
      <c r="E652" s="10">
        <v>46002</v>
      </c>
      <c r="F652" s="4">
        <v>3421.5</v>
      </c>
      <c r="G652" s="3">
        <f>SUMIF(Customer_Payments!B:B,C652,Customer_Payments!E:E)</f>
        <v>0</v>
      </c>
      <c r="H652" s="3">
        <f t="shared" si="30"/>
        <v>3421.5</v>
      </c>
      <c r="I652" s="29">
        <f t="shared" si="31"/>
        <v>89</v>
      </c>
      <c r="J652" s="31" t="str">
        <f t="shared" si="32"/>
        <v>61-90</v>
      </c>
      <c r="K652"/>
    </row>
    <row r="653" spans="1:11" x14ac:dyDescent="0.3">
      <c r="A653" s="21" t="s">
        <v>41</v>
      </c>
      <c r="B653" t="str">
        <f>VLOOKUP(A653,Customers!A:B,2,FALSE)</f>
        <v>DynamicRetail</v>
      </c>
      <c r="C653" s="25" t="s">
        <v>1020</v>
      </c>
      <c r="D653" s="11">
        <v>46003</v>
      </c>
      <c r="E653" s="11">
        <v>46033</v>
      </c>
      <c r="F653" s="5">
        <v>1562.77</v>
      </c>
      <c r="G653" s="3">
        <f>SUMIF(Customer_Payments!B:B,C653,Customer_Payments!E:E)</f>
        <v>0</v>
      </c>
      <c r="H653" s="3">
        <f t="shared" si="30"/>
        <v>1562.77</v>
      </c>
      <c r="I653" s="29">
        <f t="shared" si="31"/>
        <v>58</v>
      </c>
      <c r="J653" s="31" t="str">
        <f t="shared" si="32"/>
        <v>31-60</v>
      </c>
      <c r="K653"/>
    </row>
    <row r="654" spans="1:11" x14ac:dyDescent="0.3">
      <c r="A654" s="20" t="s">
        <v>58</v>
      </c>
      <c r="B654" t="str">
        <f>VLOOKUP(A654,Customers!A:B,2,FALSE)</f>
        <v>RetailAxis</v>
      </c>
      <c r="C654" s="24" t="s">
        <v>1021</v>
      </c>
      <c r="D654" s="10">
        <v>45984</v>
      </c>
      <c r="E654" s="10">
        <v>46014</v>
      </c>
      <c r="F654" s="4">
        <v>1506.92</v>
      </c>
      <c r="G654" s="3">
        <f>SUMIF(Customer_Payments!B:B,C654,Customer_Payments!E:E)</f>
        <v>1506.92</v>
      </c>
      <c r="H654" s="3">
        <f t="shared" si="30"/>
        <v>0</v>
      </c>
      <c r="I654" s="29">
        <f t="shared" si="31"/>
        <v>77</v>
      </c>
      <c r="J654" s="31" t="str">
        <f t="shared" si="32"/>
        <v>61-90</v>
      </c>
      <c r="K654"/>
    </row>
    <row r="655" spans="1:11" x14ac:dyDescent="0.3">
      <c r="A655" s="21" t="s">
        <v>68</v>
      </c>
      <c r="B655" t="str">
        <f>VLOOKUP(A655,Customers!A:B,2,FALSE)</f>
        <v>RetailVision</v>
      </c>
      <c r="C655" s="25" t="s">
        <v>1022</v>
      </c>
      <c r="D655" s="11">
        <v>45994</v>
      </c>
      <c r="E655" s="11">
        <v>46024</v>
      </c>
      <c r="F655" s="5">
        <v>14219.09</v>
      </c>
      <c r="G655" s="3">
        <f>SUMIF(Customer_Payments!B:B,C655,Customer_Payments!E:E)</f>
        <v>14219.09</v>
      </c>
      <c r="H655" s="3">
        <f t="shared" si="30"/>
        <v>0</v>
      </c>
      <c r="I655" s="29">
        <f t="shared" si="31"/>
        <v>67</v>
      </c>
      <c r="J655" s="31" t="str">
        <f t="shared" si="32"/>
        <v>61-90</v>
      </c>
      <c r="K655"/>
    </row>
    <row r="656" spans="1:11" x14ac:dyDescent="0.3">
      <c r="A656" s="20" t="s">
        <v>96</v>
      </c>
      <c r="B656" t="str">
        <f>VLOOKUP(A656,Customers!A:B,2,FALSE)</f>
        <v>RetailLabs</v>
      </c>
      <c r="C656" s="24" t="s">
        <v>1023</v>
      </c>
      <c r="D656" s="10">
        <v>46106</v>
      </c>
      <c r="E656" s="10">
        <v>46136</v>
      </c>
      <c r="F656" s="4">
        <v>12714.46</v>
      </c>
      <c r="G656" s="3">
        <f>SUMIF(Customer_Payments!B:B,C656,Customer_Payments!E:E)</f>
        <v>12714.46</v>
      </c>
      <c r="H656" s="3">
        <f t="shared" si="30"/>
        <v>0</v>
      </c>
      <c r="I656" s="29">
        <f t="shared" si="31"/>
        <v>-45</v>
      </c>
      <c r="J656" s="31" t="str">
        <f t="shared" si="32"/>
        <v>Current</v>
      </c>
      <c r="K656"/>
    </row>
    <row r="657" spans="1:11" x14ac:dyDescent="0.3">
      <c r="A657" s="21" t="s">
        <v>123</v>
      </c>
      <c r="B657" t="str">
        <f>VLOOKUP(A657,Customers!A:B,2,FALSE)</f>
        <v>RetailFlowGlobal</v>
      </c>
      <c r="C657" s="25" t="s">
        <v>1024</v>
      </c>
      <c r="D657" s="11">
        <v>46081</v>
      </c>
      <c r="E657" s="11">
        <v>46111</v>
      </c>
      <c r="F657" s="5">
        <v>1482.23</v>
      </c>
      <c r="G657" s="3">
        <f>SUMIF(Customer_Payments!B:B,C657,Customer_Payments!E:E)</f>
        <v>1482.23</v>
      </c>
      <c r="H657" s="3">
        <f t="shared" si="30"/>
        <v>0</v>
      </c>
      <c r="I657" s="29">
        <f t="shared" si="31"/>
        <v>-20</v>
      </c>
      <c r="J657" s="31" t="str">
        <f t="shared" si="32"/>
        <v>Current</v>
      </c>
      <c r="K657"/>
    </row>
    <row r="658" spans="1:11" x14ac:dyDescent="0.3">
      <c r="A658" s="20" t="s">
        <v>85</v>
      </c>
      <c r="B658" t="str">
        <f>VLOOKUP(A658,Customers!A:B,2,FALSE)</f>
        <v>RetailWorksX</v>
      </c>
      <c r="C658" s="24" t="s">
        <v>1025</v>
      </c>
      <c r="D658" s="10">
        <v>46051</v>
      </c>
      <c r="E658" s="10">
        <v>46081</v>
      </c>
      <c r="F658" s="4">
        <v>3475.74</v>
      </c>
      <c r="G658" s="3">
        <f>SUMIF(Customer_Payments!B:B,C658,Customer_Payments!E:E)</f>
        <v>3475.74</v>
      </c>
      <c r="H658" s="3">
        <f t="shared" si="30"/>
        <v>0</v>
      </c>
      <c r="I658" s="29">
        <f t="shared" si="31"/>
        <v>10</v>
      </c>
      <c r="J658" s="31" t="str">
        <f t="shared" si="32"/>
        <v>1-30</v>
      </c>
      <c r="K658"/>
    </row>
    <row r="659" spans="1:11" x14ac:dyDescent="0.3">
      <c r="A659" s="21" t="s">
        <v>119</v>
      </c>
      <c r="B659" t="str">
        <f>VLOOKUP(A659,Customers!A:B,2,FALSE)</f>
        <v>RetailNovaGlobal</v>
      </c>
      <c r="C659" s="25" t="s">
        <v>1026</v>
      </c>
      <c r="D659" s="11">
        <v>46041</v>
      </c>
      <c r="E659" s="11">
        <v>46071</v>
      </c>
      <c r="F659" s="5">
        <v>13339.99</v>
      </c>
      <c r="G659" s="3">
        <f>SUMIF(Customer_Payments!B:B,C659,Customer_Payments!E:E)</f>
        <v>0</v>
      </c>
      <c r="H659" s="3">
        <f t="shared" si="30"/>
        <v>13339.99</v>
      </c>
      <c r="I659" s="29">
        <f t="shared" si="31"/>
        <v>20</v>
      </c>
      <c r="J659" s="31" t="str">
        <f t="shared" si="32"/>
        <v>1-30</v>
      </c>
      <c r="K659"/>
    </row>
    <row r="660" spans="1:11" x14ac:dyDescent="0.3">
      <c r="A660" s="20" t="s">
        <v>21</v>
      </c>
      <c r="B660" t="str">
        <f>VLOOKUP(A660,Customers!A:B,2,FALSE)</f>
        <v>InsightLoop</v>
      </c>
      <c r="C660" s="24" t="s">
        <v>1027</v>
      </c>
      <c r="D660" s="10">
        <v>46058</v>
      </c>
      <c r="E660" s="10">
        <v>46088</v>
      </c>
      <c r="F660" s="4">
        <v>2140.88</v>
      </c>
      <c r="G660" s="3">
        <f>SUMIF(Customer_Payments!B:B,C660,Customer_Payments!E:E)</f>
        <v>0</v>
      </c>
      <c r="H660" s="3">
        <f t="shared" si="30"/>
        <v>2140.88</v>
      </c>
      <c r="I660" s="29">
        <f t="shared" si="31"/>
        <v>3</v>
      </c>
      <c r="J660" s="31" t="str">
        <f t="shared" si="32"/>
        <v>1-30</v>
      </c>
      <c r="K660"/>
    </row>
    <row r="661" spans="1:11" x14ac:dyDescent="0.3">
      <c r="A661" s="21" t="s">
        <v>8</v>
      </c>
      <c r="B661" t="str">
        <f>VLOOKUP(A661,Customers!A:B,2,FALSE)</f>
        <v>NexaSoft</v>
      </c>
      <c r="C661" s="25" t="s">
        <v>1028</v>
      </c>
      <c r="D661" s="11">
        <v>46006</v>
      </c>
      <c r="E661" s="11">
        <v>46036</v>
      </c>
      <c r="F661" s="5">
        <v>11715.3</v>
      </c>
      <c r="G661" s="3">
        <f>SUMIF(Customer_Payments!B:B,C661,Customer_Payments!E:E)</f>
        <v>11715.3</v>
      </c>
      <c r="H661" s="3">
        <f t="shared" si="30"/>
        <v>0</v>
      </c>
      <c r="I661" s="29">
        <f t="shared" si="31"/>
        <v>55</v>
      </c>
      <c r="J661" s="31" t="str">
        <f t="shared" si="32"/>
        <v>31-60</v>
      </c>
      <c r="K661"/>
    </row>
    <row r="662" spans="1:11" x14ac:dyDescent="0.3">
      <c r="A662" s="20" t="s">
        <v>79</v>
      </c>
      <c r="B662" t="str">
        <f>VLOOKUP(A662,Customers!A:B,2,FALSE)</f>
        <v>RetailBoostX</v>
      </c>
      <c r="C662" s="24" t="s">
        <v>1029</v>
      </c>
      <c r="D662" s="10">
        <v>46098</v>
      </c>
      <c r="E662" s="10">
        <v>46128</v>
      </c>
      <c r="F662" s="4">
        <v>2065.1999999999998</v>
      </c>
      <c r="G662" s="3">
        <f>SUMIF(Customer_Payments!B:B,C662,Customer_Payments!E:E)</f>
        <v>2065.1999999999998</v>
      </c>
      <c r="H662" s="3">
        <f t="shared" si="30"/>
        <v>0</v>
      </c>
      <c r="I662" s="29">
        <f t="shared" si="31"/>
        <v>-37</v>
      </c>
      <c r="J662" s="31" t="str">
        <f t="shared" si="32"/>
        <v>Current</v>
      </c>
      <c r="K662"/>
    </row>
    <row r="663" spans="1:11" x14ac:dyDescent="0.3">
      <c r="A663" s="21" t="s">
        <v>95</v>
      </c>
      <c r="B663" t="str">
        <f>VLOOKUP(A663,Customers!A:B,2,FALSE)</f>
        <v>RetailScaleX</v>
      </c>
      <c r="C663" s="25" t="s">
        <v>1030</v>
      </c>
      <c r="D663" s="11">
        <v>46093</v>
      </c>
      <c r="E663" s="11">
        <v>46123</v>
      </c>
      <c r="F663" s="5">
        <v>5955.79</v>
      </c>
      <c r="G663" s="3">
        <f>SUMIF(Customer_Payments!B:B,C663,Customer_Payments!E:E)</f>
        <v>5955.79</v>
      </c>
      <c r="H663" s="3">
        <f t="shared" si="30"/>
        <v>0</v>
      </c>
      <c r="I663" s="29">
        <f t="shared" si="31"/>
        <v>-32</v>
      </c>
      <c r="J663" s="31" t="str">
        <f t="shared" si="32"/>
        <v>Current</v>
      </c>
      <c r="K663"/>
    </row>
    <row r="664" spans="1:11" x14ac:dyDescent="0.3">
      <c r="A664" s="20" t="s">
        <v>68</v>
      </c>
      <c r="B664" t="str">
        <f>VLOOKUP(A664,Customers!A:B,2,FALSE)</f>
        <v>RetailVision</v>
      </c>
      <c r="C664" s="24" t="s">
        <v>1031</v>
      </c>
      <c r="D664" s="10">
        <v>46109</v>
      </c>
      <c r="E664" s="10">
        <v>46139</v>
      </c>
      <c r="F664" s="4">
        <v>1885.13</v>
      </c>
      <c r="G664" s="3">
        <f>SUMIF(Customer_Payments!B:B,C664,Customer_Payments!E:E)</f>
        <v>1885.1299999999999</v>
      </c>
      <c r="H664" s="3">
        <f t="shared" si="30"/>
        <v>2.2737367544323206E-13</v>
      </c>
      <c r="I664" s="29">
        <f t="shared" si="31"/>
        <v>-48</v>
      </c>
      <c r="J664" s="31" t="str">
        <f t="shared" si="32"/>
        <v>Current</v>
      </c>
      <c r="K664"/>
    </row>
    <row r="665" spans="1:11" x14ac:dyDescent="0.3">
      <c r="A665" s="21" t="s">
        <v>112</v>
      </c>
      <c r="B665" t="str">
        <f>VLOOKUP(A665,Customers!A:B,2,FALSE)</f>
        <v>RetailBridgePro</v>
      </c>
      <c r="C665" s="25" t="s">
        <v>1032</v>
      </c>
      <c r="D665" s="11">
        <v>46067</v>
      </c>
      <c r="E665" s="11">
        <v>46097</v>
      </c>
      <c r="F665" s="5">
        <v>2663.71</v>
      </c>
      <c r="G665" s="3">
        <f>SUMIF(Customer_Payments!B:B,C665,Customer_Payments!E:E)</f>
        <v>2663.71</v>
      </c>
      <c r="H665" s="3">
        <f t="shared" si="30"/>
        <v>0</v>
      </c>
      <c r="I665" s="29">
        <f t="shared" si="31"/>
        <v>-6</v>
      </c>
      <c r="J665" s="31" t="str">
        <f t="shared" si="32"/>
        <v>Current</v>
      </c>
      <c r="K665"/>
    </row>
    <row r="666" spans="1:11" x14ac:dyDescent="0.3">
      <c r="A666" s="20" t="s">
        <v>27</v>
      </c>
      <c r="B666" t="str">
        <f>VLOOKUP(A666,Customers!A:B,2,FALSE)</f>
        <v>Skyline Commerce</v>
      </c>
      <c r="C666" s="24" t="s">
        <v>1033</v>
      </c>
      <c r="D666" s="10">
        <v>46075</v>
      </c>
      <c r="E666" s="10">
        <v>46105</v>
      </c>
      <c r="F666" s="4">
        <v>4048.89</v>
      </c>
      <c r="G666" s="3">
        <f>SUMIF(Customer_Payments!B:B,C666,Customer_Payments!E:E)</f>
        <v>4048.89</v>
      </c>
      <c r="H666" s="3">
        <f t="shared" si="30"/>
        <v>0</v>
      </c>
      <c r="I666" s="29">
        <f t="shared" si="31"/>
        <v>-14</v>
      </c>
      <c r="J666" s="31" t="str">
        <f t="shared" si="32"/>
        <v>Current</v>
      </c>
      <c r="K666"/>
    </row>
    <row r="667" spans="1:11" x14ac:dyDescent="0.3">
      <c r="A667" s="21" t="s">
        <v>16</v>
      </c>
      <c r="B667" t="str">
        <f>VLOOKUP(A667,Customers!A:B,2,FALSE)</f>
        <v>RetailHub</v>
      </c>
      <c r="C667" s="25" t="s">
        <v>1034</v>
      </c>
      <c r="D667" s="11">
        <v>46038</v>
      </c>
      <c r="E667" s="11">
        <v>46068</v>
      </c>
      <c r="F667" s="5">
        <v>3988.38</v>
      </c>
      <c r="G667" s="3">
        <f>SUMIF(Customer_Payments!B:B,C667,Customer_Payments!E:E)</f>
        <v>0</v>
      </c>
      <c r="H667" s="3">
        <f t="shared" si="30"/>
        <v>3988.38</v>
      </c>
      <c r="I667" s="29">
        <f t="shared" si="31"/>
        <v>23</v>
      </c>
      <c r="J667" s="31" t="str">
        <f t="shared" si="32"/>
        <v>1-30</v>
      </c>
      <c r="K667"/>
    </row>
    <row r="668" spans="1:11" x14ac:dyDescent="0.3">
      <c r="A668" s="20" t="s">
        <v>35</v>
      </c>
      <c r="B668" t="str">
        <f>VLOOKUP(A668,Customers!A:B,2,FALSE)</f>
        <v>FusionRetail</v>
      </c>
      <c r="C668" s="24" t="s">
        <v>1035</v>
      </c>
      <c r="D668" s="10">
        <v>45984</v>
      </c>
      <c r="E668" s="10">
        <v>46014</v>
      </c>
      <c r="F668" s="4">
        <v>11139.04</v>
      </c>
      <c r="G668" s="3">
        <f>SUMIF(Customer_Payments!B:B,C668,Customer_Payments!E:E)</f>
        <v>11139.04</v>
      </c>
      <c r="H668" s="3">
        <f t="shared" si="30"/>
        <v>0</v>
      </c>
      <c r="I668" s="29">
        <f t="shared" si="31"/>
        <v>77</v>
      </c>
      <c r="J668" s="31" t="str">
        <f t="shared" si="32"/>
        <v>61-90</v>
      </c>
      <c r="K668"/>
    </row>
    <row r="669" spans="1:11" x14ac:dyDescent="0.3">
      <c r="A669" s="21" t="s">
        <v>63</v>
      </c>
      <c r="B669" t="str">
        <f>VLOOKUP(A669,Customers!A:B,2,FALSE)</f>
        <v>RetailCore</v>
      </c>
      <c r="C669" s="25" t="s">
        <v>1036</v>
      </c>
      <c r="D669" s="11">
        <v>46070</v>
      </c>
      <c r="E669" s="11">
        <v>46100</v>
      </c>
      <c r="F669" s="5">
        <v>3700.64</v>
      </c>
      <c r="G669" s="3">
        <f>SUMIF(Customer_Payments!B:B,C669,Customer_Payments!E:E)</f>
        <v>3700.64</v>
      </c>
      <c r="H669" s="3">
        <f t="shared" si="30"/>
        <v>0</v>
      </c>
      <c r="I669" s="29">
        <f t="shared" si="31"/>
        <v>-9</v>
      </c>
      <c r="J669" s="31" t="str">
        <f t="shared" si="32"/>
        <v>Current</v>
      </c>
      <c r="K669"/>
    </row>
    <row r="670" spans="1:11" x14ac:dyDescent="0.3">
      <c r="A670" s="20" t="s">
        <v>22</v>
      </c>
      <c r="B670" t="str">
        <f>VLOOKUP(A670,Customers!A:B,2,FALSE)</f>
        <v>QuantumRetail</v>
      </c>
      <c r="C670" s="24" t="s">
        <v>1037</v>
      </c>
      <c r="D670" s="10">
        <v>46062</v>
      </c>
      <c r="E670" s="10">
        <v>46092</v>
      </c>
      <c r="F670" s="4">
        <v>3427.34</v>
      </c>
      <c r="G670" s="3">
        <f>SUMIF(Customer_Payments!B:B,C670,Customer_Payments!E:E)</f>
        <v>3427.34</v>
      </c>
      <c r="H670" s="3">
        <f t="shared" si="30"/>
        <v>0</v>
      </c>
      <c r="I670" s="29">
        <f t="shared" si="31"/>
        <v>-1</v>
      </c>
      <c r="J670" s="31" t="str">
        <f t="shared" si="32"/>
        <v>Current</v>
      </c>
      <c r="K670"/>
    </row>
    <row r="671" spans="1:11" x14ac:dyDescent="0.3">
      <c r="A671" s="21" t="s">
        <v>11</v>
      </c>
      <c r="B671" t="str">
        <f>VLOOKUP(A671,Customers!A:B,2,FALSE)</f>
        <v>DataHive</v>
      </c>
      <c r="C671" s="25" t="s">
        <v>1038</v>
      </c>
      <c r="D671" s="11">
        <v>46073</v>
      </c>
      <c r="E671" s="11">
        <v>46103</v>
      </c>
      <c r="F671" s="5">
        <v>13177.15</v>
      </c>
      <c r="G671" s="3">
        <f>SUMIF(Customer_Payments!B:B,C671,Customer_Payments!E:E)</f>
        <v>13177.15</v>
      </c>
      <c r="H671" s="3">
        <f t="shared" si="30"/>
        <v>0</v>
      </c>
      <c r="I671" s="29">
        <f t="shared" si="31"/>
        <v>-12</v>
      </c>
      <c r="J671" s="31" t="str">
        <f t="shared" si="32"/>
        <v>Current</v>
      </c>
      <c r="K671"/>
    </row>
    <row r="672" spans="1:11" x14ac:dyDescent="0.3">
      <c r="A672" s="20" t="s">
        <v>86</v>
      </c>
      <c r="B672" t="str">
        <f>VLOOKUP(A672,Customers!A:B,2,FALSE)</f>
        <v>RetailNextX</v>
      </c>
      <c r="C672" s="24" t="s">
        <v>1039</v>
      </c>
      <c r="D672" s="10">
        <v>46097</v>
      </c>
      <c r="E672" s="10">
        <v>46127</v>
      </c>
      <c r="F672" s="4">
        <v>3568.74</v>
      </c>
      <c r="G672" s="3">
        <f>SUMIF(Customer_Payments!B:B,C672,Customer_Payments!E:E)</f>
        <v>0</v>
      </c>
      <c r="H672" s="3">
        <f t="shared" si="30"/>
        <v>3568.74</v>
      </c>
      <c r="I672" s="29">
        <f t="shared" si="31"/>
        <v>-36</v>
      </c>
      <c r="J672" s="31" t="str">
        <f t="shared" si="32"/>
        <v>Current</v>
      </c>
      <c r="K672"/>
    </row>
    <row r="673" spans="1:11" x14ac:dyDescent="0.3">
      <c r="A673" s="21" t="s">
        <v>92</v>
      </c>
      <c r="B673" t="str">
        <f>VLOOKUP(A673,Customers!A:B,2,FALSE)</f>
        <v>RetailMatrixX</v>
      </c>
      <c r="C673" s="25" t="s">
        <v>1040</v>
      </c>
      <c r="D673" s="11">
        <v>46012</v>
      </c>
      <c r="E673" s="11">
        <v>46042</v>
      </c>
      <c r="F673" s="5">
        <v>1659.31</v>
      </c>
      <c r="G673" s="3">
        <f>SUMIF(Customer_Payments!B:B,C673,Customer_Payments!E:E)</f>
        <v>1659.31</v>
      </c>
      <c r="H673" s="3">
        <f t="shared" si="30"/>
        <v>0</v>
      </c>
      <c r="I673" s="29">
        <f t="shared" si="31"/>
        <v>49</v>
      </c>
      <c r="J673" s="31" t="str">
        <f t="shared" si="32"/>
        <v>31-60</v>
      </c>
      <c r="K673"/>
    </row>
    <row r="674" spans="1:11" x14ac:dyDescent="0.3">
      <c r="A674" s="20" t="s">
        <v>115</v>
      </c>
      <c r="B674" t="str">
        <f>VLOOKUP(A674,Customers!A:B,2,FALSE)</f>
        <v>RetailDynamicsPro</v>
      </c>
      <c r="C674" s="24" t="s">
        <v>1041</v>
      </c>
      <c r="D674" s="10">
        <v>46102</v>
      </c>
      <c r="E674" s="10">
        <v>46132</v>
      </c>
      <c r="F674" s="4">
        <v>14161.7</v>
      </c>
      <c r="G674" s="3">
        <f>SUMIF(Customer_Payments!B:B,C674,Customer_Payments!E:E)</f>
        <v>0</v>
      </c>
      <c r="H674" s="3">
        <f t="shared" si="30"/>
        <v>14161.7</v>
      </c>
      <c r="I674" s="29">
        <f t="shared" si="31"/>
        <v>-41</v>
      </c>
      <c r="J674" s="31" t="str">
        <f t="shared" si="32"/>
        <v>Current</v>
      </c>
      <c r="K674"/>
    </row>
    <row r="675" spans="1:11" x14ac:dyDescent="0.3">
      <c r="A675" s="21" t="s">
        <v>98</v>
      </c>
      <c r="B675" t="str">
        <f>VLOOKUP(A675,Customers!A:B,2,FALSE)</f>
        <v>RetailEdgePro</v>
      </c>
      <c r="C675" s="25" t="s">
        <v>1042</v>
      </c>
      <c r="D675" s="11">
        <v>46088</v>
      </c>
      <c r="E675" s="11">
        <v>46118</v>
      </c>
      <c r="F675" s="5">
        <v>11193.47</v>
      </c>
      <c r="G675" s="3">
        <f>SUMIF(Customer_Payments!B:B,C675,Customer_Payments!E:E)</f>
        <v>11193.47</v>
      </c>
      <c r="H675" s="3">
        <f t="shared" si="30"/>
        <v>0</v>
      </c>
      <c r="I675" s="29">
        <f t="shared" si="31"/>
        <v>-27</v>
      </c>
      <c r="J675" s="31" t="str">
        <f t="shared" si="32"/>
        <v>Current</v>
      </c>
      <c r="K675"/>
    </row>
    <row r="676" spans="1:11" x14ac:dyDescent="0.3">
      <c r="A676" s="20" t="s">
        <v>91</v>
      </c>
      <c r="B676" t="str">
        <f>VLOOKUP(A676,Customers!A:B,2,FALSE)</f>
        <v>RetailBridgeX</v>
      </c>
      <c r="C676" s="24" t="s">
        <v>1043</v>
      </c>
      <c r="D676" s="10">
        <v>46041</v>
      </c>
      <c r="E676" s="10">
        <v>46071</v>
      </c>
      <c r="F676" s="4">
        <v>1701.57</v>
      </c>
      <c r="G676" s="3">
        <f>SUMIF(Customer_Payments!B:B,C676,Customer_Payments!E:E)</f>
        <v>1701.57</v>
      </c>
      <c r="H676" s="3">
        <f t="shared" si="30"/>
        <v>0</v>
      </c>
      <c r="I676" s="29">
        <f t="shared" si="31"/>
        <v>20</v>
      </c>
      <c r="J676" s="31" t="str">
        <f t="shared" si="32"/>
        <v>1-30</v>
      </c>
      <c r="K676"/>
    </row>
    <row r="677" spans="1:11" x14ac:dyDescent="0.3">
      <c r="A677" s="21" t="s">
        <v>44</v>
      </c>
      <c r="B677" t="str">
        <f>VLOOKUP(A677,Customers!A:B,2,FALSE)</f>
        <v>BrightMarket</v>
      </c>
      <c r="C677" s="25" t="s">
        <v>1044</v>
      </c>
      <c r="D677" s="11">
        <v>46052</v>
      </c>
      <c r="E677" s="11">
        <v>46082</v>
      </c>
      <c r="F677" s="5">
        <v>4004.39</v>
      </c>
      <c r="G677" s="3">
        <f>SUMIF(Customer_Payments!B:B,C677,Customer_Payments!E:E)</f>
        <v>0</v>
      </c>
      <c r="H677" s="3">
        <f t="shared" si="30"/>
        <v>4004.39</v>
      </c>
      <c r="I677" s="29">
        <f t="shared" si="31"/>
        <v>9</v>
      </c>
      <c r="J677" s="31" t="str">
        <f t="shared" si="32"/>
        <v>1-30</v>
      </c>
      <c r="K677"/>
    </row>
    <row r="678" spans="1:11" x14ac:dyDescent="0.3">
      <c r="A678" s="20" t="s">
        <v>28</v>
      </c>
      <c r="B678" t="str">
        <f>VLOOKUP(A678,Customers!A:B,2,FALSE)</f>
        <v>FutureCart</v>
      </c>
      <c r="C678" s="24" t="s">
        <v>1045</v>
      </c>
      <c r="D678" s="10">
        <v>46063</v>
      </c>
      <c r="E678" s="10">
        <v>46093</v>
      </c>
      <c r="F678" s="4">
        <v>3530.78</v>
      </c>
      <c r="G678" s="3">
        <f>SUMIF(Customer_Payments!B:B,C678,Customer_Payments!E:E)</f>
        <v>3530.78</v>
      </c>
      <c r="H678" s="3">
        <f t="shared" si="30"/>
        <v>0</v>
      </c>
      <c r="I678" s="29">
        <f t="shared" si="31"/>
        <v>-2</v>
      </c>
      <c r="J678" s="31" t="str">
        <f t="shared" si="32"/>
        <v>Current</v>
      </c>
      <c r="K678"/>
    </row>
    <row r="679" spans="1:11" x14ac:dyDescent="0.3">
      <c r="A679" s="21" t="s">
        <v>20</v>
      </c>
      <c r="B679" t="str">
        <f>VLOOKUP(A679,Customers!A:B,2,FALSE)</f>
        <v>GrowthSphere</v>
      </c>
      <c r="C679" s="25" t="s">
        <v>1046</v>
      </c>
      <c r="D679" s="11">
        <v>46044</v>
      </c>
      <c r="E679" s="11">
        <v>46074</v>
      </c>
      <c r="F679" s="5">
        <v>10274.16</v>
      </c>
      <c r="G679" s="3">
        <f>SUMIF(Customer_Payments!B:B,C679,Customer_Payments!E:E)</f>
        <v>10274.16</v>
      </c>
      <c r="H679" s="3">
        <f t="shared" si="30"/>
        <v>0</v>
      </c>
      <c r="I679" s="29">
        <f t="shared" si="31"/>
        <v>17</v>
      </c>
      <c r="J679" s="31" t="str">
        <f t="shared" si="32"/>
        <v>1-30</v>
      </c>
      <c r="K679"/>
    </row>
    <row r="680" spans="1:11" x14ac:dyDescent="0.3">
      <c r="A680" s="20" t="s">
        <v>57</v>
      </c>
      <c r="B680" t="str">
        <f>VLOOKUP(A680,Customers!A:B,2,FALSE)</f>
        <v>MarketGenius</v>
      </c>
      <c r="C680" s="24" t="s">
        <v>1047</v>
      </c>
      <c r="D680" s="10">
        <v>46101</v>
      </c>
      <c r="E680" s="10">
        <v>46131</v>
      </c>
      <c r="F680" s="4">
        <v>2610.85</v>
      </c>
      <c r="G680" s="3">
        <f>SUMIF(Customer_Payments!B:B,C680,Customer_Payments!E:E)</f>
        <v>0</v>
      </c>
      <c r="H680" s="3">
        <f t="shared" si="30"/>
        <v>2610.85</v>
      </c>
      <c r="I680" s="29">
        <f t="shared" si="31"/>
        <v>-40</v>
      </c>
      <c r="J680" s="31" t="str">
        <f t="shared" si="32"/>
        <v>Current</v>
      </c>
      <c r="K680"/>
    </row>
    <row r="681" spans="1:11" x14ac:dyDescent="0.3">
      <c r="A681" s="21" t="s">
        <v>20</v>
      </c>
      <c r="B681" t="str">
        <f>VLOOKUP(A681,Customers!A:B,2,FALSE)</f>
        <v>GrowthSphere</v>
      </c>
      <c r="C681" s="25" t="s">
        <v>1048</v>
      </c>
      <c r="D681" s="11">
        <v>46047</v>
      </c>
      <c r="E681" s="11">
        <v>46077</v>
      </c>
      <c r="F681" s="5">
        <v>4914.09</v>
      </c>
      <c r="G681" s="3">
        <f>SUMIF(Customer_Payments!B:B,C681,Customer_Payments!E:E)</f>
        <v>4914.09</v>
      </c>
      <c r="H681" s="3">
        <f t="shared" si="30"/>
        <v>0</v>
      </c>
      <c r="I681" s="29">
        <f t="shared" si="31"/>
        <v>14</v>
      </c>
      <c r="J681" s="31" t="str">
        <f t="shared" si="32"/>
        <v>1-30</v>
      </c>
      <c r="K681"/>
    </row>
    <row r="682" spans="1:11" x14ac:dyDescent="0.3">
      <c r="A682" s="20" t="s">
        <v>105</v>
      </c>
      <c r="B682" t="str">
        <f>VLOOKUP(A682,Customers!A:B,2,FALSE)</f>
        <v>RetailFlowPro</v>
      </c>
      <c r="C682" s="24" t="s">
        <v>1049</v>
      </c>
      <c r="D682" s="10">
        <v>45982</v>
      </c>
      <c r="E682" s="10">
        <v>46012</v>
      </c>
      <c r="F682" s="4">
        <v>9823.2000000000007</v>
      </c>
      <c r="G682" s="3">
        <f>SUMIF(Customer_Payments!B:B,C682,Customer_Payments!E:E)</f>
        <v>9823.2000000000007</v>
      </c>
      <c r="H682" s="3">
        <f t="shared" si="30"/>
        <v>0</v>
      </c>
      <c r="I682" s="29">
        <f t="shared" si="31"/>
        <v>79</v>
      </c>
      <c r="J682" s="31" t="str">
        <f t="shared" si="32"/>
        <v>61-90</v>
      </c>
      <c r="K682"/>
    </row>
    <row r="683" spans="1:11" x14ac:dyDescent="0.3">
      <c r="A683" s="21" t="s">
        <v>70</v>
      </c>
      <c r="B683" t="str">
        <f>VLOOKUP(A683,Customers!A:B,2,FALSE)</f>
        <v>RetailPath</v>
      </c>
      <c r="C683" s="25" t="s">
        <v>1050</v>
      </c>
      <c r="D683" s="11">
        <v>46064</v>
      </c>
      <c r="E683" s="11">
        <v>46094</v>
      </c>
      <c r="F683" s="5">
        <v>11795.46</v>
      </c>
      <c r="G683" s="3">
        <f>SUMIF(Customer_Payments!B:B,C683,Customer_Payments!E:E)</f>
        <v>11795.46</v>
      </c>
      <c r="H683" s="3">
        <f t="shared" si="30"/>
        <v>0</v>
      </c>
      <c r="I683" s="29">
        <f t="shared" si="31"/>
        <v>-3</v>
      </c>
      <c r="J683" s="31" t="str">
        <f t="shared" si="32"/>
        <v>Current</v>
      </c>
      <c r="K683"/>
    </row>
    <row r="684" spans="1:11" x14ac:dyDescent="0.3">
      <c r="A684" s="20" t="s">
        <v>114</v>
      </c>
      <c r="B684" t="str">
        <f>VLOOKUP(A684,Customers!A:B,2,FALSE)</f>
        <v>RetailScalePro</v>
      </c>
      <c r="C684" s="24" t="s">
        <v>1051</v>
      </c>
      <c r="D684" s="10">
        <v>46033</v>
      </c>
      <c r="E684" s="10">
        <v>46063</v>
      </c>
      <c r="F684" s="4">
        <v>3036.44</v>
      </c>
      <c r="G684" s="3">
        <f>SUMIF(Customer_Payments!B:B,C684,Customer_Payments!E:E)</f>
        <v>0</v>
      </c>
      <c r="H684" s="3">
        <f t="shared" si="30"/>
        <v>3036.44</v>
      </c>
      <c r="I684" s="29">
        <f t="shared" si="31"/>
        <v>28</v>
      </c>
      <c r="J684" s="31" t="str">
        <f t="shared" si="32"/>
        <v>1-30</v>
      </c>
      <c r="K684"/>
    </row>
    <row r="685" spans="1:11" x14ac:dyDescent="0.3">
      <c r="A685" s="21" t="s">
        <v>29</v>
      </c>
      <c r="B685" t="str">
        <f>VLOOKUP(A685,Customers!A:B,2,FALSE)</f>
        <v>DigitalBridge</v>
      </c>
      <c r="C685" s="25" t="s">
        <v>1052</v>
      </c>
      <c r="D685" s="11">
        <v>46062</v>
      </c>
      <c r="E685" s="11">
        <v>46092</v>
      </c>
      <c r="F685" s="5">
        <v>3476.1</v>
      </c>
      <c r="G685" s="3">
        <f>SUMIF(Customer_Payments!B:B,C685,Customer_Payments!E:E)</f>
        <v>3476.1</v>
      </c>
      <c r="H685" s="3">
        <f t="shared" si="30"/>
        <v>0</v>
      </c>
      <c r="I685" s="29">
        <f t="shared" si="31"/>
        <v>-1</v>
      </c>
      <c r="J685" s="31" t="str">
        <f t="shared" si="32"/>
        <v>Current</v>
      </c>
      <c r="K685"/>
    </row>
    <row r="686" spans="1:11" x14ac:dyDescent="0.3">
      <c r="A686" s="20" t="s">
        <v>84</v>
      </c>
      <c r="B686" t="str">
        <f>VLOOKUP(A686,Customers!A:B,2,FALSE)</f>
        <v>RetailVisionX</v>
      </c>
      <c r="C686" s="24" t="s">
        <v>1053</v>
      </c>
      <c r="D686" s="10">
        <v>45971</v>
      </c>
      <c r="E686" s="10">
        <v>46001</v>
      </c>
      <c r="F686" s="4">
        <v>2026.98</v>
      </c>
      <c r="G686" s="3">
        <f>SUMIF(Customer_Payments!B:B,C686,Customer_Payments!E:E)</f>
        <v>2026.98</v>
      </c>
      <c r="H686" s="3">
        <f t="shared" si="30"/>
        <v>0</v>
      </c>
      <c r="I686" s="29">
        <f t="shared" si="31"/>
        <v>90</v>
      </c>
      <c r="J686" s="31" t="str">
        <f t="shared" si="32"/>
        <v>61-90</v>
      </c>
      <c r="K686"/>
    </row>
    <row r="687" spans="1:11" x14ac:dyDescent="0.3">
      <c r="A687" s="21" t="s">
        <v>124</v>
      </c>
      <c r="B687" t="str">
        <f>VLOOKUP(A687,Customers!A:B,2,FALSE)</f>
        <v>RetailOrbitGlobal</v>
      </c>
      <c r="C687" s="25" t="s">
        <v>1054</v>
      </c>
      <c r="D687" s="11">
        <v>46058</v>
      </c>
      <c r="E687" s="11">
        <v>46088</v>
      </c>
      <c r="F687" s="5">
        <v>2504.11</v>
      </c>
      <c r="G687" s="3">
        <f>SUMIF(Customer_Payments!B:B,C687,Customer_Payments!E:E)</f>
        <v>0</v>
      </c>
      <c r="H687" s="3">
        <f t="shared" si="30"/>
        <v>2504.11</v>
      </c>
      <c r="I687" s="29">
        <f t="shared" si="31"/>
        <v>3</v>
      </c>
      <c r="J687" s="31" t="str">
        <f t="shared" si="32"/>
        <v>1-30</v>
      </c>
      <c r="K687"/>
    </row>
    <row r="688" spans="1:11" x14ac:dyDescent="0.3">
      <c r="A688" s="20" t="s">
        <v>44</v>
      </c>
      <c r="B688" t="str">
        <f>VLOOKUP(A688,Customers!A:B,2,FALSE)</f>
        <v>BrightMarket</v>
      </c>
      <c r="C688" s="24" t="s">
        <v>1055</v>
      </c>
      <c r="D688" s="10">
        <v>46090</v>
      </c>
      <c r="E688" s="10">
        <v>46120</v>
      </c>
      <c r="F688" s="4">
        <v>1988.91</v>
      </c>
      <c r="G688" s="3">
        <f>SUMIF(Customer_Payments!B:B,C688,Customer_Payments!E:E)</f>
        <v>0</v>
      </c>
      <c r="H688" s="3">
        <f t="shared" si="30"/>
        <v>1988.91</v>
      </c>
      <c r="I688" s="29">
        <f t="shared" si="31"/>
        <v>-29</v>
      </c>
      <c r="J688" s="31" t="str">
        <f t="shared" si="32"/>
        <v>Current</v>
      </c>
      <c r="K688"/>
    </row>
    <row r="689" spans="1:11" x14ac:dyDescent="0.3">
      <c r="A689" s="21" t="s">
        <v>120</v>
      </c>
      <c r="B689" t="str">
        <f>VLOOKUP(A689,Customers!A:B,2,FALSE)</f>
        <v>RetailPrimeGlobal</v>
      </c>
      <c r="C689" s="25" t="s">
        <v>1056</v>
      </c>
      <c r="D689" s="11">
        <v>46081</v>
      </c>
      <c r="E689" s="11">
        <v>46111</v>
      </c>
      <c r="F689" s="5">
        <v>13463.02</v>
      </c>
      <c r="G689" s="3">
        <f>SUMIF(Customer_Payments!B:B,C689,Customer_Payments!E:E)</f>
        <v>13463.02</v>
      </c>
      <c r="H689" s="3">
        <f t="shared" si="30"/>
        <v>0</v>
      </c>
      <c r="I689" s="29">
        <f t="shared" si="31"/>
        <v>-20</v>
      </c>
      <c r="J689" s="31" t="str">
        <f t="shared" si="32"/>
        <v>Current</v>
      </c>
      <c r="K689"/>
    </row>
    <row r="690" spans="1:11" x14ac:dyDescent="0.3">
      <c r="A690" s="20" t="s">
        <v>47</v>
      </c>
      <c r="B690" t="str">
        <f>VLOOKUP(A690,Customers!A:B,2,FALSE)</f>
        <v>SmartRetail</v>
      </c>
      <c r="C690" s="24" t="s">
        <v>1057</v>
      </c>
      <c r="D690" s="10">
        <v>46109</v>
      </c>
      <c r="E690" s="10">
        <v>46139</v>
      </c>
      <c r="F690" s="4">
        <v>1808.85</v>
      </c>
      <c r="G690" s="3">
        <f>SUMIF(Customer_Payments!B:B,C690,Customer_Payments!E:E)</f>
        <v>1808.85</v>
      </c>
      <c r="H690" s="3">
        <f t="shared" si="30"/>
        <v>0</v>
      </c>
      <c r="I690" s="29">
        <f t="shared" si="31"/>
        <v>-48</v>
      </c>
      <c r="J690" s="31" t="str">
        <f t="shared" si="32"/>
        <v>Current</v>
      </c>
      <c r="K690"/>
    </row>
    <row r="691" spans="1:11" x14ac:dyDescent="0.3">
      <c r="A691" s="21" t="s">
        <v>33</v>
      </c>
      <c r="B691" t="str">
        <f>VLOOKUP(A691,Customers!A:B,2,FALSE)</f>
        <v>CloudCart</v>
      </c>
      <c r="C691" s="25" t="s">
        <v>1058</v>
      </c>
      <c r="D691" s="11">
        <v>46008</v>
      </c>
      <c r="E691" s="11">
        <v>46038</v>
      </c>
      <c r="F691" s="5">
        <v>1970.51</v>
      </c>
      <c r="G691" s="3">
        <f>SUMIF(Customer_Payments!B:B,C691,Customer_Payments!E:E)</f>
        <v>1970.51</v>
      </c>
      <c r="H691" s="3">
        <f t="shared" si="30"/>
        <v>0</v>
      </c>
      <c r="I691" s="29">
        <f t="shared" si="31"/>
        <v>53</v>
      </c>
      <c r="J691" s="31" t="str">
        <f t="shared" si="32"/>
        <v>31-60</v>
      </c>
      <c r="K691"/>
    </row>
    <row r="692" spans="1:11" x14ac:dyDescent="0.3">
      <c r="A692" s="20" t="s">
        <v>23</v>
      </c>
      <c r="B692" t="str">
        <f>VLOOKUP(A692,Customers!A:B,2,FALSE)</f>
        <v>VertexCommerce</v>
      </c>
      <c r="C692" s="24" t="s">
        <v>1059</v>
      </c>
      <c r="D692" s="10">
        <v>46041</v>
      </c>
      <c r="E692" s="10">
        <v>46071</v>
      </c>
      <c r="F692" s="4">
        <v>3800.14</v>
      </c>
      <c r="G692" s="3">
        <f>SUMIF(Customer_Payments!B:B,C692,Customer_Payments!E:E)</f>
        <v>0</v>
      </c>
      <c r="H692" s="3">
        <f t="shared" si="30"/>
        <v>3800.14</v>
      </c>
      <c r="I692" s="29">
        <f t="shared" si="31"/>
        <v>20</v>
      </c>
      <c r="J692" s="31" t="str">
        <f t="shared" si="32"/>
        <v>1-30</v>
      </c>
      <c r="K692"/>
    </row>
    <row r="693" spans="1:11" x14ac:dyDescent="0.3">
      <c r="A693" s="21" t="s">
        <v>88</v>
      </c>
      <c r="B693" t="str">
        <f>VLOOKUP(A693,Customers!A:B,2,FALSE)</f>
        <v>RetailPrimeX</v>
      </c>
      <c r="C693" s="25" t="s">
        <v>1060</v>
      </c>
      <c r="D693" s="11">
        <v>45982</v>
      </c>
      <c r="E693" s="11">
        <v>46012</v>
      </c>
      <c r="F693" s="5">
        <v>1908.06</v>
      </c>
      <c r="G693" s="3">
        <f>SUMIF(Customer_Payments!B:B,C693,Customer_Payments!E:E)</f>
        <v>1908.06</v>
      </c>
      <c r="H693" s="3">
        <f t="shared" si="30"/>
        <v>0</v>
      </c>
      <c r="I693" s="29">
        <f t="shared" si="31"/>
        <v>79</v>
      </c>
      <c r="J693" s="31" t="str">
        <f t="shared" si="32"/>
        <v>61-90</v>
      </c>
      <c r="K693"/>
    </row>
    <row r="694" spans="1:11" x14ac:dyDescent="0.3">
      <c r="A694" s="20" t="s">
        <v>81</v>
      </c>
      <c r="B694" t="str">
        <f>VLOOKUP(A694,Customers!A:B,2,FALSE)</f>
        <v>RetailFlowX</v>
      </c>
      <c r="C694" s="24" t="s">
        <v>1061</v>
      </c>
      <c r="D694" s="10">
        <v>45977</v>
      </c>
      <c r="E694" s="10">
        <v>46007</v>
      </c>
      <c r="F694" s="4">
        <v>2710.35</v>
      </c>
      <c r="G694" s="3">
        <f>SUMIF(Customer_Payments!B:B,C694,Customer_Payments!E:E)</f>
        <v>2710.35</v>
      </c>
      <c r="H694" s="3">
        <f t="shared" si="30"/>
        <v>0</v>
      </c>
      <c r="I694" s="29">
        <f t="shared" si="31"/>
        <v>84</v>
      </c>
      <c r="J694" s="31" t="str">
        <f t="shared" si="32"/>
        <v>61-90</v>
      </c>
      <c r="K694"/>
    </row>
    <row r="695" spans="1:11" x14ac:dyDescent="0.3">
      <c r="A695" s="21" t="s">
        <v>121</v>
      </c>
      <c r="B695" t="str">
        <f>VLOOKUP(A695,Customers!A:B,2,FALSE)</f>
        <v>RetailVisionGlobal</v>
      </c>
      <c r="C695" s="25" t="s">
        <v>1062</v>
      </c>
      <c r="D695" s="11">
        <v>45990</v>
      </c>
      <c r="E695" s="11">
        <v>46020</v>
      </c>
      <c r="F695" s="5">
        <v>4119.74</v>
      </c>
      <c r="G695" s="3">
        <f>SUMIF(Customer_Payments!B:B,C695,Customer_Payments!E:E)</f>
        <v>4119.74</v>
      </c>
      <c r="H695" s="3">
        <f t="shared" si="30"/>
        <v>0</v>
      </c>
      <c r="I695" s="29">
        <f t="shared" si="31"/>
        <v>71</v>
      </c>
      <c r="J695" s="31" t="str">
        <f t="shared" si="32"/>
        <v>61-90</v>
      </c>
      <c r="K695"/>
    </row>
    <row r="696" spans="1:11" x14ac:dyDescent="0.3">
      <c r="A696" s="20" t="s">
        <v>73</v>
      </c>
      <c r="B696" t="str">
        <f>VLOOKUP(A696,Customers!A:B,2,FALSE)</f>
        <v>RetailWave</v>
      </c>
      <c r="C696" s="24" t="s">
        <v>1063</v>
      </c>
      <c r="D696" s="10">
        <v>46084</v>
      </c>
      <c r="E696" s="10">
        <v>46114</v>
      </c>
      <c r="F696" s="4">
        <v>3200.3</v>
      </c>
      <c r="G696" s="3">
        <f>SUMIF(Customer_Payments!B:B,C696,Customer_Payments!E:E)</f>
        <v>0</v>
      </c>
      <c r="H696" s="3">
        <f t="shared" si="30"/>
        <v>3200.3</v>
      </c>
      <c r="I696" s="29">
        <f t="shared" si="31"/>
        <v>-23</v>
      </c>
      <c r="J696" s="31" t="str">
        <f t="shared" si="32"/>
        <v>Current</v>
      </c>
      <c r="K696"/>
    </row>
    <row r="697" spans="1:11" x14ac:dyDescent="0.3">
      <c r="A697" s="21" t="s">
        <v>32</v>
      </c>
      <c r="B697" t="str">
        <f>VLOOKUP(A697,Customers!A:B,2,FALSE)</f>
        <v>RetailVista</v>
      </c>
      <c r="C697" s="25" t="s">
        <v>1064</v>
      </c>
      <c r="D697" s="11">
        <v>45994</v>
      </c>
      <c r="E697" s="11">
        <v>46024</v>
      </c>
      <c r="F697" s="5">
        <v>2430.33</v>
      </c>
      <c r="G697" s="3">
        <f>SUMIF(Customer_Payments!B:B,C697,Customer_Payments!E:E)</f>
        <v>2430.33</v>
      </c>
      <c r="H697" s="3">
        <f t="shared" si="30"/>
        <v>0</v>
      </c>
      <c r="I697" s="29">
        <f t="shared" si="31"/>
        <v>67</v>
      </c>
      <c r="J697" s="31" t="str">
        <f t="shared" si="32"/>
        <v>61-90</v>
      </c>
      <c r="K697"/>
    </row>
    <row r="698" spans="1:11" x14ac:dyDescent="0.3">
      <c r="A698" s="20" t="s">
        <v>25</v>
      </c>
      <c r="B698" t="str">
        <f>VLOOKUP(A698,Customers!A:B,2,FALSE)</f>
        <v>OrbitEdge</v>
      </c>
      <c r="C698" s="24" t="s">
        <v>1065</v>
      </c>
      <c r="D698" s="10">
        <v>45987</v>
      </c>
      <c r="E698" s="10">
        <v>46017</v>
      </c>
      <c r="F698" s="4">
        <v>2750.19</v>
      </c>
      <c r="G698" s="3">
        <f>SUMIF(Customer_Payments!B:B,C698,Customer_Payments!E:E)</f>
        <v>2750.19</v>
      </c>
      <c r="H698" s="3">
        <f t="shared" si="30"/>
        <v>0</v>
      </c>
      <c r="I698" s="29">
        <f t="shared" si="31"/>
        <v>74</v>
      </c>
      <c r="J698" s="31" t="str">
        <f t="shared" si="32"/>
        <v>61-90</v>
      </c>
      <c r="K698"/>
    </row>
    <row r="699" spans="1:11" x14ac:dyDescent="0.3">
      <c r="A699" s="21" t="s">
        <v>11</v>
      </c>
      <c r="B699" t="str">
        <f>VLOOKUP(A699,Customers!A:B,2,FALSE)</f>
        <v>DataHive</v>
      </c>
      <c r="C699" s="25" t="s">
        <v>1066</v>
      </c>
      <c r="D699" s="11">
        <v>46050</v>
      </c>
      <c r="E699" s="11">
        <v>46080</v>
      </c>
      <c r="F699" s="5">
        <v>3228.71</v>
      </c>
      <c r="G699" s="3">
        <f>SUMIF(Customer_Payments!B:B,C699,Customer_Payments!E:E)</f>
        <v>0</v>
      </c>
      <c r="H699" s="3">
        <f t="shared" si="30"/>
        <v>3228.71</v>
      </c>
      <c r="I699" s="29">
        <f t="shared" si="31"/>
        <v>11</v>
      </c>
      <c r="J699" s="31" t="str">
        <f t="shared" si="32"/>
        <v>1-30</v>
      </c>
      <c r="K699"/>
    </row>
    <row r="700" spans="1:11" x14ac:dyDescent="0.3">
      <c r="A700" s="20" t="s">
        <v>101</v>
      </c>
      <c r="B700" t="str">
        <f>VLOOKUP(A700,Customers!A:B,2,FALSE)</f>
        <v>RetailMatrixPro</v>
      </c>
      <c r="C700" s="24" t="s">
        <v>1067</v>
      </c>
      <c r="D700" s="10">
        <v>45988</v>
      </c>
      <c r="E700" s="10">
        <v>46018</v>
      </c>
      <c r="F700" s="4">
        <v>2814.03</v>
      </c>
      <c r="G700" s="3">
        <f>SUMIF(Customer_Payments!B:B,C700,Customer_Payments!E:E)</f>
        <v>0</v>
      </c>
      <c r="H700" s="3">
        <f t="shared" si="30"/>
        <v>2814.03</v>
      </c>
      <c r="I700" s="29">
        <f t="shared" si="31"/>
        <v>73</v>
      </c>
      <c r="J700" s="31" t="str">
        <f t="shared" si="32"/>
        <v>61-90</v>
      </c>
      <c r="K700"/>
    </row>
    <row r="701" spans="1:11" x14ac:dyDescent="0.3">
      <c r="A701" s="21" t="s">
        <v>37</v>
      </c>
      <c r="B701" t="str">
        <f>VLOOKUP(A701,Customers!A:B,2,FALSE)</f>
        <v>SmartCart</v>
      </c>
      <c r="C701" s="25" t="s">
        <v>1068</v>
      </c>
      <c r="D701" s="11">
        <v>46054</v>
      </c>
      <c r="E701" s="11">
        <v>46084</v>
      </c>
      <c r="F701" s="5">
        <v>4010.78</v>
      </c>
      <c r="G701" s="3">
        <f>SUMIF(Customer_Payments!B:B,C701,Customer_Payments!E:E)</f>
        <v>4010.78</v>
      </c>
      <c r="H701" s="3">
        <f t="shared" si="30"/>
        <v>0</v>
      </c>
      <c r="I701" s="29">
        <f t="shared" si="31"/>
        <v>7</v>
      </c>
      <c r="J701" s="31" t="str">
        <f t="shared" si="32"/>
        <v>1-30</v>
      </c>
      <c r="K701"/>
    </row>
    <row r="702" spans="1:11" x14ac:dyDescent="0.3">
      <c r="A702" s="20" t="s">
        <v>92</v>
      </c>
      <c r="B702" t="str">
        <f>VLOOKUP(A702,Customers!A:B,2,FALSE)</f>
        <v>RetailMatrixX</v>
      </c>
      <c r="C702" s="24" t="s">
        <v>1069</v>
      </c>
      <c r="D702" s="10">
        <v>46042</v>
      </c>
      <c r="E702" s="10">
        <v>46072</v>
      </c>
      <c r="F702" s="4">
        <v>3898.03</v>
      </c>
      <c r="G702" s="3">
        <f>SUMIF(Customer_Payments!B:B,C702,Customer_Payments!E:E)</f>
        <v>3898.03</v>
      </c>
      <c r="H702" s="3">
        <f t="shared" si="30"/>
        <v>0</v>
      </c>
      <c r="I702" s="29">
        <f t="shared" si="31"/>
        <v>19</v>
      </c>
      <c r="J702" s="31" t="str">
        <f t="shared" si="32"/>
        <v>1-30</v>
      </c>
      <c r="K702"/>
    </row>
    <row r="703" spans="1:11" x14ac:dyDescent="0.3">
      <c r="A703" s="21" t="s">
        <v>94</v>
      </c>
      <c r="B703" t="str">
        <f>VLOOKUP(A703,Customers!A:B,2,FALSE)</f>
        <v>RetailDynamicsX</v>
      </c>
      <c r="C703" s="25" t="s">
        <v>1070</v>
      </c>
      <c r="D703" s="11">
        <v>46067</v>
      </c>
      <c r="E703" s="11">
        <v>46097</v>
      </c>
      <c r="F703" s="5">
        <v>3511.78</v>
      </c>
      <c r="G703" s="3">
        <f>SUMIF(Customer_Payments!B:B,C703,Customer_Payments!E:E)</f>
        <v>0</v>
      </c>
      <c r="H703" s="3">
        <f t="shared" si="30"/>
        <v>3511.78</v>
      </c>
      <c r="I703" s="29">
        <f t="shared" si="31"/>
        <v>-6</v>
      </c>
      <c r="J703" s="31" t="str">
        <f t="shared" si="32"/>
        <v>Current</v>
      </c>
      <c r="K703"/>
    </row>
    <row r="704" spans="1:11" x14ac:dyDescent="0.3">
      <c r="A704" s="20" t="s">
        <v>32</v>
      </c>
      <c r="B704" t="str">
        <f>VLOOKUP(A704,Customers!A:B,2,FALSE)</f>
        <v>RetailVista</v>
      </c>
      <c r="C704" s="24" t="s">
        <v>1071</v>
      </c>
      <c r="D704" s="10">
        <v>45962</v>
      </c>
      <c r="E704" s="10">
        <v>45992</v>
      </c>
      <c r="F704" s="4">
        <v>2965.83</v>
      </c>
      <c r="G704" s="3">
        <f>SUMIF(Customer_Payments!B:B,C704,Customer_Payments!E:E)</f>
        <v>2965.83</v>
      </c>
      <c r="H704" s="3">
        <f t="shared" si="30"/>
        <v>0</v>
      </c>
      <c r="I704" s="29">
        <f t="shared" si="31"/>
        <v>99</v>
      </c>
      <c r="J704" s="31" t="str">
        <f t="shared" si="32"/>
        <v>90+</v>
      </c>
      <c r="K704"/>
    </row>
    <row r="705" spans="1:11" x14ac:dyDescent="0.3">
      <c r="A705" s="21" t="s">
        <v>123</v>
      </c>
      <c r="B705" t="str">
        <f>VLOOKUP(A705,Customers!A:B,2,FALSE)</f>
        <v>RetailFlowGlobal</v>
      </c>
      <c r="C705" s="25" t="s">
        <v>1072</v>
      </c>
      <c r="D705" s="11">
        <v>45998</v>
      </c>
      <c r="E705" s="11">
        <v>46028</v>
      </c>
      <c r="F705" s="5">
        <v>4016.39</v>
      </c>
      <c r="G705" s="3">
        <f>SUMIF(Customer_Payments!B:B,C705,Customer_Payments!E:E)</f>
        <v>0</v>
      </c>
      <c r="H705" s="3">
        <f t="shared" si="30"/>
        <v>4016.39</v>
      </c>
      <c r="I705" s="29">
        <f t="shared" si="31"/>
        <v>63</v>
      </c>
      <c r="J705" s="31" t="str">
        <f t="shared" si="32"/>
        <v>61-90</v>
      </c>
      <c r="K705"/>
    </row>
    <row r="706" spans="1:11" x14ac:dyDescent="0.3">
      <c r="A706" s="20" t="s">
        <v>76</v>
      </c>
      <c r="B706" t="str">
        <f>VLOOKUP(A706,Customers!A:B,2,FALSE)</f>
        <v>RetailSphere</v>
      </c>
      <c r="C706" s="24" t="s">
        <v>1073</v>
      </c>
      <c r="D706" s="10">
        <v>45996</v>
      </c>
      <c r="E706" s="10">
        <v>46026</v>
      </c>
      <c r="F706" s="4">
        <v>1947.33</v>
      </c>
      <c r="G706" s="3">
        <f>SUMIF(Customer_Payments!B:B,C706,Customer_Payments!E:E)</f>
        <v>0</v>
      </c>
      <c r="H706" s="3">
        <f t="shared" ref="H706:H769" si="33">MAX(F706-G706,0)</f>
        <v>1947.33</v>
      </c>
      <c r="I706" s="29">
        <f t="shared" ref="I706:I769" si="34">$L$2-E706</f>
        <v>65</v>
      </c>
      <c r="J706" s="31" t="str">
        <f t="shared" si="32"/>
        <v>61-90</v>
      </c>
      <c r="K706"/>
    </row>
    <row r="707" spans="1:11" x14ac:dyDescent="0.3">
      <c r="A707" s="21" t="s">
        <v>44</v>
      </c>
      <c r="B707" t="str">
        <f>VLOOKUP(A707,Customers!A:B,2,FALSE)</f>
        <v>BrightMarket</v>
      </c>
      <c r="C707" s="25" t="s">
        <v>1074</v>
      </c>
      <c r="D707" s="11">
        <v>46075</v>
      </c>
      <c r="E707" s="11">
        <v>46105</v>
      </c>
      <c r="F707" s="5">
        <v>1874.44</v>
      </c>
      <c r="G707" s="3">
        <f>SUMIF(Customer_Payments!B:B,C707,Customer_Payments!E:E)</f>
        <v>0</v>
      </c>
      <c r="H707" s="3">
        <f t="shared" si="33"/>
        <v>1874.44</v>
      </c>
      <c r="I707" s="29">
        <f t="shared" si="34"/>
        <v>-14</v>
      </c>
      <c r="J707" s="31" t="str">
        <f t="shared" ref="J707:J770" si="35">IF(I707&lt;=0,"Current",
IF(I707&lt;=30,"1-30",
IF(I707&lt;=60,"31-60",
IF(I707&lt;=90,"61-90","90+"))))</f>
        <v>Current</v>
      </c>
      <c r="K707"/>
    </row>
    <row r="708" spans="1:11" x14ac:dyDescent="0.3">
      <c r="A708" s="20" t="s">
        <v>29</v>
      </c>
      <c r="B708" t="str">
        <f>VLOOKUP(A708,Customers!A:B,2,FALSE)</f>
        <v>DigitalBridge</v>
      </c>
      <c r="C708" s="24" t="s">
        <v>1075</v>
      </c>
      <c r="D708" s="10">
        <v>45973</v>
      </c>
      <c r="E708" s="10">
        <v>46003</v>
      </c>
      <c r="F708" s="4">
        <v>10451.64</v>
      </c>
      <c r="G708" s="3">
        <f>SUMIF(Customer_Payments!B:B,C708,Customer_Payments!E:E)</f>
        <v>10451.64</v>
      </c>
      <c r="H708" s="3">
        <f t="shared" si="33"/>
        <v>0</v>
      </c>
      <c r="I708" s="29">
        <f t="shared" si="34"/>
        <v>88</v>
      </c>
      <c r="J708" s="31" t="str">
        <f t="shared" si="35"/>
        <v>61-90</v>
      </c>
      <c r="K708"/>
    </row>
    <row r="709" spans="1:11" x14ac:dyDescent="0.3">
      <c r="A709" s="21" t="s">
        <v>78</v>
      </c>
      <c r="B709" t="str">
        <f>VLOOKUP(A709,Customers!A:B,2,FALSE)</f>
        <v>RetailOrbitX</v>
      </c>
      <c r="C709" s="25" t="s">
        <v>1076</v>
      </c>
      <c r="D709" s="11">
        <v>45977</v>
      </c>
      <c r="E709" s="11">
        <v>46007</v>
      </c>
      <c r="F709" s="5">
        <v>1809.97</v>
      </c>
      <c r="G709" s="3">
        <f>SUMIF(Customer_Payments!B:B,C709,Customer_Payments!E:E)</f>
        <v>1809.97</v>
      </c>
      <c r="H709" s="3">
        <f t="shared" si="33"/>
        <v>0</v>
      </c>
      <c r="I709" s="29">
        <f t="shared" si="34"/>
        <v>84</v>
      </c>
      <c r="J709" s="31" t="str">
        <f t="shared" si="35"/>
        <v>61-90</v>
      </c>
      <c r="K709"/>
    </row>
    <row r="710" spans="1:11" x14ac:dyDescent="0.3">
      <c r="A710" s="20" t="s">
        <v>66</v>
      </c>
      <c r="B710" t="str">
        <f>VLOOKUP(A710,Customers!A:B,2,FALSE)</f>
        <v>MarketWorks</v>
      </c>
      <c r="C710" s="24" t="s">
        <v>1077</v>
      </c>
      <c r="D710" s="10">
        <v>46074</v>
      </c>
      <c r="E710" s="10">
        <v>46104</v>
      </c>
      <c r="F710" s="4">
        <v>2130.0700000000002</v>
      </c>
      <c r="G710" s="3">
        <f>SUMIF(Customer_Payments!B:B,C710,Customer_Payments!E:E)</f>
        <v>2130.0700000000002</v>
      </c>
      <c r="H710" s="3">
        <f t="shared" si="33"/>
        <v>0</v>
      </c>
      <c r="I710" s="29">
        <f t="shared" si="34"/>
        <v>-13</v>
      </c>
      <c r="J710" s="31" t="str">
        <f t="shared" si="35"/>
        <v>Current</v>
      </c>
      <c r="K710"/>
    </row>
    <row r="711" spans="1:11" x14ac:dyDescent="0.3">
      <c r="A711" s="21" t="s">
        <v>83</v>
      </c>
      <c r="B711" t="str">
        <f>VLOOKUP(A711,Customers!A:B,2,FALSE)</f>
        <v>RetailCoreX</v>
      </c>
      <c r="C711" s="25" t="s">
        <v>1078</v>
      </c>
      <c r="D711" s="11">
        <v>46064</v>
      </c>
      <c r="E711" s="11">
        <v>46094</v>
      </c>
      <c r="F711" s="5">
        <v>2115</v>
      </c>
      <c r="G711" s="3">
        <f>SUMIF(Customer_Payments!B:B,C711,Customer_Payments!E:E)</f>
        <v>0</v>
      </c>
      <c r="H711" s="3">
        <f t="shared" si="33"/>
        <v>2115</v>
      </c>
      <c r="I711" s="29">
        <f t="shared" si="34"/>
        <v>-3</v>
      </c>
      <c r="J711" s="31" t="str">
        <f t="shared" si="35"/>
        <v>Current</v>
      </c>
      <c r="K711"/>
    </row>
    <row r="712" spans="1:11" x14ac:dyDescent="0.3">
      <c r="A712" s="20" t="s">
        <v>45</v>
      </c>
      <c r="B712" t="str">
        <f>VLOOKUP(A712,Customers!A:B,2,FALSE)</f>
        <v>EdgeRetail</v>
      </c>
      <c r="C712" s="24" t="s">
        <v>1079</v>
      </c>
      <c r="D712" s="10">
        <v>46066</v>
      </c>
      <c r="E712" s="10">
        <v>46096</v>
      </c>
      <c r="F712" s="4">
        <v>3328.39</v>
      </c>
      <c r="G712" s="3">
        <f>SUMIF(Customer_Payments!B:B,C712,Customer_Payments!E:E)</f>
        <v>0</v>
      </c>
      <c r="H712" s="3">
        <f t="shared" si="33"/>
        <v>3328.39</v>
      </c>
      <c r="I712" s="29">
        <f t="shared" si="34"/>
        <v>-5</v>
      </c>
      <c r="J712" s="31" t="str">
        <f t="shared" si="35"/>
        <v>Current</v>
      </c>
      <c r="K712"/>
    </row>
    <row r="713" spans="1:11" x14ac:dyDescent="0.3">
      <c r="A713" s="21" t="s">
        <v>97</v>
      </c>
      <c r="B713" t="str">
        <f>VLOOKUP(A713,Customers!A:B,2,FALSE)</f>
        <v>RetailSparkX</v>
      </c>
      <c r="C713" s="25" t="s">
        <v>1080</v>
      </c>
      <c r="D713" s="11">
        <v>46062</v>
      </c>
      <c r="E713" s="11">
        <v>46092</v>
      </c>
      <c r="F713" s="5">
        <v>13391.56</v>
      </c>
      <c r="G713" s="3">
        <f>SUMIF(Customer_Payments!B:B,C713,Customer_Payments!E:E)</f>
        <v>13391.56</v>
      </c>
      <c r="H713" s="3">
        <f t="shared" si="33"/>
        <v>0</v>
      </c>
      <c r="I713" s="29">
        <f t="shared" si="34"/>
        <v>-1</v>
      </c>
      <c r="J713" s="31" t="str">
        <f t="shared" si="35"/>
        <v>Current</v>
      </c>
      <c r="K713"/>
    </row>
    <row r="714" spans="1:11" x14ac:dyDescent="0.3">
      <c r="A714" s="20" t="s">
        <v>71</v>
      </c>
      <c r="B714" t="str">
        <f>VLOOKUP(A714,Customers!A:B,2,FALSE)</f>
        <v>RetailPulse</v>
      </c>
      <c r="C714" s="24" t="s">
        <v>1081</v>
      </c>
      <c r="D714" s="10">
        <v>46090</v>
      </c>
      <c r="E714" s="10">
        <v>46120</v>
      </c>
      <c r="F714" s="4">
        <v>2525.4</v>
      </c>
      <c r="G714" s="3">
        <f>SUMIF(Customer_Payments!B:B,C714,Customer_Payments!E:E)</f>
        <v>2525.4</v>
      </c>
      <c r="H714" s="3">
        <f t="shared" si="33"/>
        <v>0</v>
      </c>
      <c r="I714" s="29">
        <f t="shared" si="34"/>
        <v>-29</v>
      </c>
      <c r="J714" s="31" t="str">
        <f t="shared" si="35"/>
        <v>Current</v>
      </c>
      <c r="K714"/>
    </row>
    <row r="715" spans="1:11" x14ac:dyDescent="0.3">
      <c r="A715" s="21" t="s">
        <v>35</v>
      </c>
      <c r="B715" t="str">
        <f>VLOOKUP(A715,Customers!A:B,2,FALSE)</f>
        <v>FusionRetail</v>
      </c>
      <c r="C715" s="25" t="s">
        <v>1082</v>
      </c>
      <c r="D715" s="11">
        <v>46027</v>
      </c>
      <c r="E715" s="11">
        <v>46057</v>
      </c>
      <c r="F715" s="5">
        <v>4831.8599999999997</v>
      </c>
      <c r="G715" s="3">
        <f>SUMIF(Customer_Payments!B:B,C715,Customer_Payments!E:E)</f>
        <v>4831.8599999999997</v>
      </c>
      <c r="H715" s="3">
        <f t="shared" si="33"/>
        <v>0</v>
      </c>
      <c r="I715" s="29">
        <f t="shared" si="34"/>
        <v>34</v>
      </c>
      <c r="J715" s="31" t="str">
        <f t="shared" si="35"/>
        <v>31-60</v>
      </c>
      <c r="K715"/>
    </row>
    <row r="716" spans="1:11" x14ac:dyDescent="0.3">
      <c r="A716" s="20" t="s">
        <v>103</v>
      </c>
      <c r="B716" t="str">
        <f>VLOOKUP(A716,Customers!A:B,2,FALSE)</f>
        <v>RetailVisionPro</v>
      </c>
      <c r="C716" s="24" t="s">
        <v>1083</v>
      </c>
      <c r="D716" s="10">
        <v>46015</v>
      </c>
      <c r="E716" s="10">
        <v>46045</v>
      </c>
      <c r="F716" s="4">
        <v>5326.67</v>
      </c>
      <c r="G716" s="3">
        <f>SUMIF(Customer_Payments!B:B,C716,Customer_Payments!E:E)</f>
        <v>5326.67</v>
      </c>
      <c r="H716" s="3">
        <f t="shared" si="33"/>
        <v>0</v>
      </c>
      <c r="I716" s="29">
        <f t="shared" si="34"/>
        <v>46</v>
      </c>
      <c r="J716" s="31" t="str">
        <f t="shared" si="35"/>
        <v>31-60</v>
      </c>
      <c r="K716"/>
    </row>
    <row r="717" spans="1:11" x14ac:dyDescent="0.3">
      <c r="A717" s="21" t="s">
        <v>92</v>
      </c>
      <c r="B717" t="str">
        <f>VLOOKUP(A717,Customers!A:B,2,FALSE)</f>
        <v>RetailMatrixX</v>
      </c>
      <c r="C717" s="25" t="s">
        <v>1084</v>
      </c>
      <c r="D717" s="11">
        <v>45971</v>
      </c>
      <c r="E717" s="11">
        <v>46001</v>
      </c>
      <c r="F717" s="5">
        <v>3542.7</v>
      </c>
      <c r="G717" s="3">
        <f>SUMIF(Customer_Payments!B:B,C717,Customer_Payments!E:E)</f>
        <v>3542.7</v>
      </c>
      <c r="H717" s="3">
        <f t="shared" si="33"/>
        <v>0</v>
      </c>
      <c r="I717" s="29">
        <f t="shared" si="34"/>
        <v>90</v>
      </c>
      <c r="J717" s="31" t="str">
        <f t="shared" si="35"/>
        <v>61-90</v>
      </c>
      <c r="K717"/>
    </row>
    <row r="718" spans="1:11" x14ac:dyDescent="0.3">
      <c r="A718" s="20" t="s">
        <v>38</v>
      </c>
      <c r="B718" t="str">
        <f>VLOOKUP(A718,Customers!A:B,2,FALSE)</f>
        <v>RetailForge</v>
      </c>
      <c r="C718" s="24" t="s">
        <v>1085</v>
      </c>
      <c r="D718" s="10">
        <v>46053</v>
      </c>
      <c r="E718" s="10">
        <v>46083</v>
      </c>
      <c r="F718" s="4">
        <v>2445.67</v>
      </c>
      <c r="G718" s="3">
        <f>SUMIF(Customer_Payments!B:B,C718,Customer_Payments!E:E)</f>
        <v>0</v>
      </c>
      <c r="H718" s="3">
        <f t="shared" si="33"/>
        <v>2445.67</v>
      </c>
      <c r="I718" s="29">
        <f t="shared" si="34"/>
        <v>8</v>
      </c>
      <c r="J718" s="31" t="str">
        <f t="shared" si="35"/>
        <v>1-30</v>
      </c>
      <c r="K718"/>
    </row>
    <row r="719" spans="1:11" x14ac:dyDescent="0.3">
      <c r="A719" s="21" t="s">
        <v>21</v>
      </c>
      <c r="B719" t="str">
        <f>VLOOKUP(A719,Customers!A:B,2,FALSE)</f>
        <v>InsightLoop</v>
      </c>
      <c r="C719" s="25" t="s">
        <v>1086</v>
      </c>
      <c r="D719" s="11">
        <v>45995</v>
      </c>
      <c r="E719" s="11">
        <v>46025</v>
      </c>
      <c r="F719" s="5">
        <v>3219.06</v>
      </c>
      <c r="G719" s="3">
        <f>SUMIF(Customer_Payments!B:B,C719,Customer_Payments!E:E)</f>
        <v>0</v>
      </c>
      <c r="H719" s="3">
        <f t="shared" si="33"/>
        <v>3219.06</v>
      </c>
      <c r="I719" s="29">
        <f t="shared" si="34"/>
        <v>66</v>
      </c>
      <c r="J719" s="31" t="str">
        <f t="shared" si="35"/>
        <v>61-90</v>
      </c>
      <c r="K719"/>
    </row>
    <row r="720" spans="1:11" x14ac:dyDescent="0.3">
      <c r="A720" s="20" t="s">
        <v>73</v>
      </c>
      <c r="B720" t="str">
        <f>VLOOKUP(A720,Customers!A:B,2,FALSE)</f>
        <v>RetailWave</v>
      </c>
      <c r="C720" s="24" t="s">
        <v>1087</v>
      </c>
      <c r="D720" s="10">
        <v>45969</v>
      </c>
      <c r="E720" s="10">
        <v>45999</v>
      </c>
      <c r="F720" s="4">
        <v>10831.63</v>
      </c>
      <c r="G720" s="3">
        <f>SUMIF(Customer_Payments!B:B,C720,Customer_Payments!E:E)</f>
        <v>10831.63</v>
      </c>
      <c r="H720" s="3">
        <f t="shared" si="33"/>
        <v>0</v>
      </c>
      <c r="I720" s="29">
        <f t="shared" si="34"/>
        <v>92</v>
      </c>
      <c r="J720" s="31" t="str">
        <f t="shared" si="35"/>
        <v>90+</v>
      </c>
      <c r="K720"/>
    </row>
    <row r="721" spans="1:11" x14ac:dyDescent="0.3">
      <c r="A721" s="21" t="s">
        <v>44</v>
      </c>
      <c r="B721" t="str">
        <f>VLOOKUP(A721,Customers!A:B,2,FALSE)</f>
        <v>BrightMarket</v>
      </c>
      <c r="C721" s="25" t="s">
        <v>1088</v>
      </c>
      <c r="D721" s="11">
        <v>46060</v>
      </c>
      <c r="E721" s="11">
        <v>46090</v>
      </c>
      <c r="F721" s="5">
        <v>2514.31</v>
      </c>
      <c r="G721" s="3">
        <f>SUMIF(Customer_Payments!B:B,C721,Customer_Payments!E:E)</f>
        <v>2514.31</v>
      </c>
      <c r="H721" s="3">
        <f t="shared" si="33"/>
        <v>0</v>
      </c>
      <c r="I721" s="29">
        <f t="shared" si="34"/>
        <v>1</v>
      </c>
      <c r="J721" s="31" t="str">
        <f t="shared" si="35"/>
        <v>1-30</v>
      </c>
      <c r="K721"/>
    </row>
    <row r="722" spans="1:11" x14ac:dyDescent="0.3">
      <c r="A722" s="20" t="s">
        <v>28</v>
      </c>
      <c r="B722" t="str">
        <f>VLOOKUP(A722,Customers!A:B,2,FALSE)</f>
        <v>FutureCart</v>
      </c>
      <c r="C722" s="24" t="s">
        <v>1089</v>
      </c>
      <c r="D722" s="10">
        <v>46050</v>
      </c>
      <c r="E722" s="10">
        <v>46080</v>
      </c>
      <c r="F722" s="4">
        <v>1578.61</v>
      </c>
      <c r="G722" s="3">
        <f>SUMIF(Customer_Payments!B:B,C722,Customer_Payments!E:E)</f>
        <v>0</v>
      </c>
      <c r="H722" s="3">
        <f t="shared" si="33"/>
        <v>1578.61</v>
      </c>
      <c r="I722" s="29">
        <f t="shared" si="34"/>
        <v>11</v>
      </c>
      <c r="J722" s="31" t="str">
        <f t="shared" si="35"/>
        <v>1-30</v>
      </c>
      <c r="K722"/>
    </row>
    <row r="723" spans="1:11" x14ac:dyDescent="0.3">
      <c r="A723" s="21" t="s">
        <v>87</v>
      </c>
      <c r="B723" t="str">
        <f>VLOOKUP(A723,Customers!A:B,2,FALSE)</f>
        <v>RetailStreamX</v>
      </c>
      <c r="C723" s="25" t="s">
        <v>1090</v>
      </c>
      <c r="D723" s="11">
        <v>46060</v>
      </c>
      <c r="E723" s="11">
        <v>46090</v>
      </c>
      <c r="F723" s="5">
        <v>3546.49</v>
      </c>
      <c r="G723" s="3">
        <f>SUMIF(Customer_Payments!B:B,C723,Customer_Payments!E:E)</f>
        <v>3546.49</v>
      </c>
      <c r="H723" s="3">
        <f t="shared" si="33"/>
        <v>0</v>
      </c>
      <c r="I723" s="29">
        <f t="shared" si="34"/>
        <v>1</v>
      </c>
      <c r="J723" s="31" t="str">
        <f t="shared" si="35"/>
        <v>1-30</v>
      </c>
      <c r="K723"/>
    </row>
    <row r="724" spans="1:11" x14ac:dyDescent="0.3">
      <c r="A724" s="20" t="s">
        <v>113</v>
      </c>
      <c r="B724" t="str">
        <f>VLOOKUP(A724,Customers!A:B,2,FALSE)</f>
        <v>RetailSpherePro</v>
      </c>
      <c r="C724" s="24" t="s">
        <v>1091</v>
      </c>
      <c r="D724" s="10">
        <v>45984</v>
      </c>
      <c r="E724" s="10">
        <v>46014</v>
      </c>
      <c r="F724" s="4">
        <v>5729.9</v>
      </c>
      <c r="G724" s="3">
        <f>SUMIF(Customer_Payments!B:B,C724,Customer_Payments!E:E)</f>
        <v>5729.9</v>
      </c>
      <c r="H724" s="3">
        <f t="shared" si="33"/>
        <v>0</v>
      </c>
      <c r="I724" s="29">
        <f t="shared" si="34"/>
        <v>77</v>
      </c>
      <c r="J724" s="31" t="str">
        <f t="shared" si="35"/>
        <v>61-90</v>
      </c>
      <c r="K724"/>
    </row>
    <row r="725" spans="1:11" x14ac:dyDescent="0.3">
      <c r="A725" s="21" t="s">
        <v>16</v>
      </c>
      <c r="B725" t="str">
        <f>VLOOKUP(A725,Customers!A:B,2,FALSE)</f>
        <v>RetailHub</v>
      </c>
      <c r="C725" s="25" t="s">
        <v>1092</v>
      </c>
      <c r="D725" s="11">
        <v>46106</v>
      </c>
      <c r="E725" s="11">
        <v>46136</v>
      </c>
      <c r="F725" s="5">
        <v>2072.62</v>
      </c>
      <c r="G725" s="3">
        <f>SUMIF(Customer_Payments!B:B,C725,Customer_Payments!E:E)</f>
        <v>2072.62</v>
      </c>
      <c r="H725" s="3">
        <f t="shared" si="33"/>
        <v>0</v>
      </c>
      <c r="I725" s="29">
        <f t="shared" si="34"/>
        <v>-45</v>
      </c>
      <c r="J725" s="31" t="str">
        <f t="shared" si="35"/>
        <v>Current</v>
      </c>
      <c r="K725"/>
    </row>
    <row r="726" spans="1:11" x14ac:dyDescent="0.3">
      <c r="A726" s="20" t="s">
        <v>11</v>
      </c>
      <c r="B726" t="str">
        <f>VLOOKUP(A726,Customers!A:B,2,FALSE)</f>
        <v>DataHive</v>
      </c>
      <c r="C726" s="24" t="s">
        <v>1093</v>
      </c>
      <c r="D726" s="10">
        <v>46064</v>
      </c>
      <c r="E726" s="10">
        <v>46094</v>
      </c>
      <c r="F726" s="4">
        <v>1933.95</v>
      </c>
      <c r="G726" s="3">
        <f>SUMIF(Customer_Payments!B:B,C726,Customer_Payments!E:E)</f>
        <v>1933.95</v>
      </c>
      <c r="H726" s="3">
        <f t="shared" si="33"/>
        <v>0</v>
      </c>
      <c r="I726" s="29">
        <f t="shared" si="34"/>
        <v>-3</v>
      </c>
      <c r="J726" s="31" t="str">
        <f t="shared" si="35"/>
        <v>Current</v>
      </c>
      <c r="K726"/>
    </row>
    <row r="727" spans="1:11" x14ac:dyDescent="0.3">
      <c r="A727" s="21" t="s">
        <v>80</v>
      </c>
      <c r="B727" t="str">
        <f>VLOOKUP(A727,Customers!A:B,2,FALSE)</f>
        <v>RetailEdgeX</v>
      </c>
      <c r="C727" s="25" t="s">
        <v>1094</v>
      </c>
      <c r="D727" s="11">
        <v>45981</v>
      </c>
      <c r="E727" s="11">
        <v>46011</v>
      </c>
      <c r="F727" s="5">
        <v>2487.9</v>
      </c>
      <c r="G727" s="3">
        <f>SUMIF(Customer_Payments!B:B,C727,Customer_Payments!E:E)</f>
        <v>2487.9</v>
      </c>
      <c r="H727" s="3">
        <f t="shared" si="33"/>
        <v>0</v>
      </c>
      <c r="I727" s="29">
        <f t="shared" si="34"/>
        <v>80</v>
      </c>
      <c r="J727" s="31" t="str">
        <f t="shared" si="35"/>
        <v>61-90</v>
      </c>
      <c r="K727"/>
    </row>
    <row r="728" spans="1:11" x14ac:dyDescent="0.3">
      <c r="A728" s="20" t="s">
        <v>58</v>
      </c>
      <c r="B728" t="str">
        <f>VLOOKUP(A728,Customers!A:B,2,FALSE)</f>
        <v>RetailAxis</v>
      </c>
      <c r="C728" s="24" t="s">
        <v>1095</v>
      </c>
      <c r="D728" s="10">
        <v>46081</v>
      </c>
      <c r="E728" s="10">
        <v>46111</v>
      </c>
      <c r="F728" s="4">
        <v>5821.97</v>
      </c>
      <c r="G728" s="3">
        <f>SUMIF(Customer_Payments!B:B,C728,Customer_Payments!E:E)</f>
        <v>5821.9699999999993</v>
      </c>
      <c r="H728" s="3">
        <f t="shared" si="33"/>
        <v>9.0949470177292824E-13</v>
      </c>
      <c r="I728" s="29">
        <f t="shared" si="34"/>
        <v>-20</v>
      </c>
      <c r="J728" s="31" t="str">
        <f t="shared" si="35"/>
        <v>Current</v>
      </c>
      <c r="K728"/>
    </row>
    <row r="729" spans="1:11" x14ac:dyDescent="0.3">
      <c r="A729" s="21" t="s">
        <v>7</v>
      </c>
      <c r="B729" t="str">
        <f>VLOOKUP(A729,Customers!A:B,2,FALSE)</f>
        <v>BrightCart</v>
      </c>
      <c r="C729" s="25" t="s">
        <v>1096</v>
      </c>
      <c r="D729" s="11">
        <v>46110</v>
      </c>
      <c r="E729" s="11">
        <v>46140</v>
      </c>
      <c r="F729" s="5">
        <v>11118.74</v>
      </c>
      <c r="G729" s="3">
        <f>SUMIF(Customer_Payments!B:B,C729,Customer_Payments!E:E)</f>
        <v>11118.74</v>
      </c>
      <c r="H729" s="3">
        <f t="shared" si="33"/>
        <v>0</v>
      </c>
      <c r="I729" s="29">
        <f t="shared" si="34"/>
        <v>-49</v>
      </c>
      <c r="J729" s="31" t="str">
        <f t="shared" si="35"/>
        <v>Current</v>
      </c>
      <c r="K729"/>
    </row>
    <row r="730" spans="1:11" x14ac:dyDescent="0.3">
      <c r="A730" s="20" t="s">
        <v>96</v>
      </c>
      <c r="B730" t="str">
        <f>VLOOKUP(A730,Customers!A:B,2,FALSE)</f>
        <v>RetailLabs</v>
      </c>
      <c r="C730" s="24" t="s">
        <v>1097</v>
      </c>
      <c r="D730" s="10">
        <v>46107</v>
      </c>
      <c r="E730" s="10">
        <v>46137</v>
      </c>
      <c r="F730" s="4">
        <v>1958.61</v>
      </c>
      <c r="G730" s="3">
        <f>SUMIF(Customer_Payments!B:B,C730,Customer_Payments!E:E)</f>
        <v>1958.61</v>
      </c>
      <c r="H730" s="3">
        <f t="shared" si="33"/>
        <v>0</v>
      </c>
      <c r="I730" s="29">
        <f t="shared" si="34"/>
        <v>-46</v>
      </c>
      <c r="J730" s="31" t="str">
        <f t="shared" si="35"/>
        <v>Current</v>
      </c>
      <c r="K730"/>
    </row>
    <row r="731" spans="1:11" x14ac:dyDescent="0.3">
      <c r="A731" s="21" t="s">
        <v>94</v>
      </c>
      <c r="B731" t="str">
        <f>VLOOKUP(A731,Customers!A:B,2,FALSE)</f>
        <v>RetailDynamicsX</v>
      </c>
      <c r="C731" s="25" t="s">
        <v>1098</v>
      </c>
      <c r="D731" s="11">
        <v>45970</v>
      </c>
      <c r="E731" s="11">
        <v>46000</v>
      </c>
      <c r="F731" s="5">
        <v>2829.24</v>
      </c>
      <c r="G731" s="3">
        <f>SUMIF(Customer_Payments!B:B,C731,Customer_Payments!E:E)</f>
        <v>2829.24</v>
      </c>
      <c r="H731" s="3">
        <f t="shared" si="33"/>
        <v>0</v>
      </c>
      <c r="I731" s="29">
        <f t="shared" si="34"/>
        <v>91</v>
      </c>
      <c r="J731" s="31" t="str">
        <f t="shared" si="35"/>
        <v>90+</v>
      </c>
      <c r="K731"/>
    </row>
    <row r="732" spans="1:11" x14ac:dyDescent="0.3">
      <c r="A732" s="20" t="s">
        <v>112</v>
      </c>
      <c r="B732" t="str">
        <f>VLOOKUP(A732,Customers!A:B,2,FALSE)</f>
        <v>RetailBridgePro</v>
      </c>
      <c r="C732" s="24" t="s">
        <v>1099</v>
      </c>
      <c r="D732" s="10">
        <v>46014</v>
      </c>
      <c r="E732" s="10">
        <v>46044</v>
      </c>
      <c r="F732" s="4">
        <v>2606.5700000000002</v>
      </c>
      <c r="G732" s="3">
        <f>SUMIF(Customer_Payments!B:B,C732,Customer_Payments!E:E)</f>
        <v>2606.5700000000002</v>
      </c>
      <c r="H732" s="3">
        <f t="shared" si="33"/>
        <v>0</v>
      </c>
      <c r="I732" s="29">
        <f t="shared" si="34"/>
        <v>47</v>
      </c>
      <c r="J732" s="31" t="str">
        <f t="shared" si="35"/>
        <v>31-60</v>
      </c>
      <c r="K732"/>
    </row>
    <row r="733" spans="1:11" x14ac:dyDescent="0.3">
      <c r="A733" s="21" t="s">
        <v>102</v>
      </c>
      <c r="B733" t="str">
        <f>VLOOKUP(A733,Customers!A:B,2,FALSE)</f>
        <v>RetailPrimePro</v>
      </c>
      <c r="C733" s="25" t="s">
        <v>1100</v>
      </c>
      <c r="D733" s="11">
        <v>46088</v>
      </c>
      <c r="E733" s="11">
        <v>46118</v>
      </c>
      <c r="F733" s="5">
        <v>1462.19</v>
      </c>
      <c r="G733" s="3">
        <f>SUMIF(Customer_Payments!B:B,C733,Customer_Payments!E:E)</f>
        <v>1462.19</v>
      </c>
      <c r="H733" s="3">
        <f t="shared" si="33"/>
        <v>0</v>
      </c>
      <c r="I733" s="29">
        <f t="shared" si="34"/>
        <v>-27</v>
      </c>
      <c r="J733" s="31" t="str">
        <f t="shared" si="35"/>
        <v>Current</v>
      </c>
      <c r="K733"/>
    </row>
    <row r="734" spans="1:11" x14ac:dyDescent="0.3">
      <c r="A734" s="20" t="s">
        <v>88</v>
      </c>
      <c r="B734" t="str">
        <f>VLOOKUP(A734,Customers!A:B,2,FALSE)</f>
        <v>RetailPrimeX</v>
      </c>
      <c r="C734" s="24" t="s">
        <v>1101</v>
      </c>
      <c r="D734" s="10">
        <v>46111</v>
      </c>
      <c r="E734" s="10">
        <v>46141</v>
      </c>
      <c r="F734" s="4">
        <v>13424.5</v>
      </c>
      <c r="G734" s="3">
        <f>SUMIF(Customer_Payments!B:B,C734,Customer_Payments!E:E)</f>
        <v>13424.5</v>
      </c>
      <c r="H734" s="3">
        <f t="shared" si="33"/>
        <v>0</v>
      </c>
      <c r="I734" s="29">
        <f t="shared" si="34"/>
        <v>-50</v>
      </c>
      <c r="J734" s="31" t="str">
        <f t="shared" si="35"/>
        <v>Current</v>
      </c>
      <c r="K734"/>
    </row>
    <row r="735" spans="1:11" x14ac:dyDescent="0.3">
      <c r="A735" s="21" t="s">
        <v>8</v>
      </c>
      <c r="B735" t="str">
        <f>VLOOKUP(A735,Customers!A:B,2,FALSE)</f>
        <v>NexaSoft</v>
      </c>
      <c r="C735" s="25" t="s">
        <v>1102</v>
      </c>
      <c r="D735" s="11">
        <v>46030</v>
      </c>
      <c r="E735" s="11">
        <v>46060</v>
      </c>
      <c r="F735" s="5">
        <v>4596.1099999999997</v>
      </c>
      <c r="G735" s="3">
        <f>SUMIF(Customer_Payments!B:B,C735,Customer_Payments!E:E)</f>
        <v>4596.1100000000006</v>
      </c>
      <c r="H735" s="3">
        <f t="shared" si="33"/>
        <v>0</v>
      </c>
      <c r="I735" s="29">
        <f t="shared" si="34"/>
        <v>31</v>
      </c>
      <c r="J735" s="31" t="str">
        <f t="shared" si="35"/>
        <v>31-60</v>
      </c>
      <c r="K735"/>
    </row>
    <row r="736" spans="1:11" x14ac:dyDescent="0.3">
      <c r="A736" s="20" t="s">
        <v>80</v>
      </c>
      <c r="B736" t="str">
        <f>VLOOKUP(A736,Customers!A:B,2,FALSE)</f>
        <v>RetailEdgeX</v>
      </c>
      <c r="C736" s="24" t="s">
        <v>1103</v>
      </c>
      <c r="D736" s="10">
        <v>46025</v>
      </c>
      <c r="E736" s="10">
        <v>46055</v>
      </c>
      <c r="F736" s="4">
        <v>4024.67</v>
      </c>
      <c r="G736" s="3">
        <f>SUMIF(Customer_Payments!B:B,C736,Customer_Payments!E:E)</f>
        <v>4024.67</v>
      </c>
      <c r="H736" s="3">
        <f t="shared" si="33"/>
        <v>0</v>
      </c>
      <c r="I736" s="29">
        <f t="shared" si="34"/>
        <v>36</v>
      </c>
      <c r="J736" s="31" t="str">
        <f t="shared" si="35"/>
        <v>31-60</v>
      </c>
      <c r="K736"/>
    </row>
    <row r="737" spans="1:11" x14ac:dyDescent="0.3">
      <c r="A737" s="21" t="s">
        <v>102</v>
      </c>
      <c r="B737" t="str">
        <f>VLOOKUP(A737,Customers!A:B,2,FALSE)</f>
        <v>RetailPrimePro</v>
      </c>
      <c r="C737" s="25" t="s">
        <v>1104</v>
      </c>
      <c r="D737" s="11">
        <v>46053</v>
      </c>
      <c r="E737" s="11">
        <v>46083</v>
      </c>
      <c r="F737" s="5">
        <v>3351.71</v>
      </c>
      <c r="G737" s="3">
        <f>SUMIF(Customer_Payments!B:B,C737,Customer_Payments!E:E)</f>
        <v>3351.71</v>
      </c>
      <c r="H737" s="3">
        <f t="shared" si="33"/>
        <v>0</v>
      </c>
      <c r="I737" s="29">
        <f t="shared" si="34"/>
        <v>8</v>
      </c>
      <c r="J737" s="31" t="str">
        <f t="shared" si="35"/>
        <v>1-30</v>
      </c>
      <c r="K737"/>
    </row>
    <row r="738" spans="1:11" x14ac:dyDescent="0.3">
      <c r="A738" s="20" t="s">
        <v>89</v>
      </c>
      <c r="B738" t="str">
        <f>VLOOKUP(A738,Customers!A:B,2,FALSE)</f>
        <v>RetailAxisX</v>
      </c>
      <c r="C738" s="24" t="s">
        <v>1105</v>
      </c>
      <c r="D738" s="10">
        <v>46053</v>
      </c>
      <c r="E738" s="10">
        <v>46083</v>
      </c>
      <c r="F738" s="4">
        <v>2090.5500000000002</v>
      </c>
      <c r="G738" s="3">
        <f>SUMIF(Customer_Payments!B:B,C738,Customer_Payments!E:E)</f>
        <v>2090.5500000000002</v>
      </c>
      <c r="H738" s="3">
        <f t="shared" si="33"/>
        <v>0</v>
      </c>
      <c r="I738" s="29">
        <f t="shared" si="34"/>
        <v>8</v>
      </c>
      <c r="J738" s="31" t="str">
        <f t="shared" si="35"/>
        <v>1-30</v>
      </c>
      <c r="K738"/>
    </row>
    <row r="739" spans="1:11" x14ac:dyDescent="0.3">
      <c r="A739" s="21" t="s">
        <v>39</v>
      </c>
      <c r="B739" t="str">
        <f>VLOOKUP(A739,Customers!A:B,2,FALSE)</f>
        <v>VisionCommerce</v>
      </c>
      <c r="C739" s="25" t="s">
        <v>1106</v>
      </c>
      <c r="D739" s="11">
        <v>46057</v>
      </c>
      <c r="E739" s="11">
        <v>46087</v>
      </c>
      <c r="F739" s="5">
        <v>2999.44</v>
      </c>
      <c r="G739" s="3">
        <f>SUMIF(Customer_Payments!B:B,C739,Customer_Payments!E:E)</f>
        <v>2999.44</v>
      </c>
      <c r="H739" s="3">
        <f t="shared" si="33"/>
        <v>0</v>
      </c>
      <c r="I739" s="29">
        <f t="shared" si="34"/>
        <v>4</v>
      </c>
      <c r="J739" s="31" t="str">
        <f t="shared" si="35"/>
        <v>1-30</v>
      </c>
      <c r="K739"/>
    </row>
    <row r="740" spans="1:11" x14ac:dyDescent="0.3">
      <c r="A740" s="20" t="s">
        <v>115</v>
      </c>
      <c r="B740" t="str">
        <f>VLOOKUP(A740,Customers!A:B,2,FALSE)</f>
        <v>RetailDynamicsPro</v>
      </c>
      <c r="C740" s="24" t="s">
        <v>1107</v>
      </c>
      <c r="D740" s="10">
        <v>46079</v>
      </c>
      <c r="E740" s="10">
        <v>46109</v>
      </c>
      <c r="F740" s="4">
        <v>4229.25</v>
      </c>
      <c r="G740" s="3">
        <f>SUMIF(Customer_Payments!B:B,C740,Customer_Payments!E:E)</f>
        <v>0</v>
      </c>
      <c r="H740" s="3">
        <f t="shared" si="33"/>
        <v>4229.25</v>
      </c>
      <c r="I740" s="29">
        <f t="shared" si="34"/>
        <v>-18</v>
      </c>
      <c r="J740" s="31" t="str">
        <f t="shared" si="35"/>
        <v>Current</v>
      </c>
      <c r="K740"/>
    </row>
    <row r="741" spans="1:11" x14ac:dyDescent="0.3">
      <c r="A741" s="21" t="s">
        <v>15</v>
      </c>
      <c r="B741" t="str">
        <f>VLOOKUP(A741,Customers!A:B,2,FALSE)</f>
        <v>CloudScale</v>
      </c>
      <c r="C741" s="25" t="s">
        <v>1108</v>
      </c>
      <c r="D741" s="11">
        <v>46067</v>
      </c>
      <c r="E741" s="11">
        <v>46097</v>
      </c>
      <c r="F741" s="5">
        <v>3445.77</v>
      </c>
      <c r="G741" s="3">
        <f>SUMIF(Customer_Payments!B:B,C741,Customer_Payments!E:E)</f>
        <v>3445.77</v>
      </c>
      <c r="H741" s="3">
        <f t="shared" si="33"/>
        <v>0</v>
      </c>
      <c r="I741" s="29">
        <f t="shared" si="34"/>
        <v>-6</v>
      </c>
      <c r="J741" s="31" t="str">
        <f t="shared" si="35"/>
        <v>Current</v>
      </c>
      <c r="K741"/>
    </row>
    <row r="742" spans="1:11" x14ac:dyDescent="0.3">
      <c r="A742" s="20" t="s">
        <v>49</v>
      </c>
      <c r="B742" t="str">
        <f>VLOOKUP(A742,Customers!A:B,2,FALSE)</f>
        <v>CommercePilot</v>
      </c>
      <c r="C742" s="24" t="s">
        <v>1109</v>
      </c>
      <c r="D742" s="10">
        <v>46025</v>
      </c>
      <c r="E742" s="10">
        <v>46055</v>
      </c>
      <c r="F742" s="4">
        <v>2098.1999999999998</v>
      </c>
      <c r="G742" s="3">
        <f>SUMIF(Customer_Payments!B:B,C742,Customer_Payments!E:E)</f>
        <v>2098.1999999999998</v>
      </c>
      <c r="H742" s="3">
        <f t="shared" si="33"/>
        <v>0</v>
      </c>
      <c r="I742" s="29">
        <f t="shared" si="34"/>
        <v>36</v>
      </c>
      <c r="J742" s="31" t="str">
        <f t="shared" si="35"/>
        <v>31-60</v>
      </c>
      <c r="K742"/>
    </row>
    <row r="743" spans="1:11" x14ac:dyDescent="0.3">
      <c r="A743" s="21" t="s">
        <v>86</v>
      </c>
      <c r="B743" t="str">
        <f>VLOOKUP(A743,Customers!A:B,2,FALSE)</f>
        <v>RetailNextX</v>
      </c>
      <c r="C743" s="25" t="s">
        <v>1110</v>
      </c>
      <c r="D743" s="11">
        <v>46111</v>
      </c>
      <c r="E743" s="11">
        <v>46141</v>
      </c>
      <c r="F743" s="5">
        <v>2128.2199999999998</v>
      </c>
      <c r="G743" s="3">
        <f>SUMIF(Customer_Payments!B:B,C743,Customer_Payments!E:E)</f>
        <v>2128.2199999999998</v>
      </c>
      <c r="H743" s="3">
        <f t="shared" si="33"/>
        <v>0</v>
      </c>
      <c r="I743" s="29">
        <f t="shared" si="34"/>
        <v>-50</v>
      </c>
      <c r="J743" s="31" t="str">
        <f t="shared" si="35"/>
        <v>Current</v>
      </c>
      <c r="K743"/>
    </row>
    <row r="744" spans="1:11" x14ac:dyDescent="0.3">
      <c r="A744" s="20" t="s">
        <v>85</v>
      </c>
      <c r="B744" t="str">
        <f>VLOOKUP(A744,Customers!A:B,2,FALSE)</f>
        <v>RetailWorksX</v>
      </c>
      <c r="C744" s="24" t="s">
        <v>1111</v>
      </c>
      <c r="D744" s="10">
        <v>46103</v>
      </c>
      <c r="E744" s="10">
        <v>46133</v>
      </c>
      <c r="F744" s="4">
        <v>3480.14</v>
      </c>
      <c r="G744" s="3">
        <f>SUMIF(Customer_Payments!B:B,C744,Customer_Payments!E:E)</f>
        <v>3480.14</v>
      </c>
      <c r="H744" s="3">
        <f t="shared" si="33"/>
        <v>0</v>
      </c>
      <c r="I744" s="29">
        <f t="shared" si="34"/>
        <v>-42</v>
      </c>
      <c r="J744" s="31" t="str">
        <f t="shared" si="35"/>
        <v>Current</v>
      </c>
      <c r="K744"/>
    </row>
    <row r="745" spans="1:11" x14ac:dyDescent="0.3">
      <c r="A745" s="21" t="s">
        <v>53</v>
      </c>
      <c r="B745" t="str">
        <f>VLOOKUP(A745,Customers!A:B,2,FALSE)</f>
        <v>PrimeCart</v>
      </c>
      <c r="C745" s="25" t="s">
        <v>1112</v>
      </c>
      <c r="D745" s="11">
        <v>46076</v>
      </c>
      <c r="E745" s="11">
        <v>46106</v>
      </c>
      <c r="F745" s="5">
        <v>1660.09</v>
      </c>
      <c r="G745" s="3">
        <f>SUMIF(Customer_Payments!B:B,C745,Customer_Payments!E:E)</f>
        <v>1660.09</v>
      </c>
      <c r="H745" s="3">
        <f t="shared" si="33"/>
        <v>0</v>
      </c>
      <c r="I745" s="29">
        <f t="shared" si="34"/>
        <v>-15</v>
      </c>
      <c r="J745" s="31" t="str">
        <f t="shared" si="35"/>
        <v>Current</v>
      </c>
      <c r="K745"/>
    </row>
    <row r="746" spans="1:11" x14ac:dyDescent="0.3">
      <c r="A746" s="20" t="s">
        <v>107</v>
      </c>
      <c r="B746" t="str">
        <f>VLOOKUP(A746,Customers!A:B,2,FALSE)</f>
        <v>RetailWorksPro</v>
      </c>
      <c r="C746" s="24" t="s">
        <v>1113</v>
      </c>
      <c r="D746" s="10">
        <v>46089</v>
      </c>
      <c r="E746" s="10">
        <v>46119</v>
      </c>
      <c r="F746" s="4">
        <v>2958.66</v>
      </c>
      <c r="G746" s="3">
        <f>SUMIF(Customer_Payments!B:B,C746,Customer_Payments!E:E)</f>
        <v>2958.66</v>
      </c>
      <c r="H746" s="3">
        <f t="shared" si="33"/>
        <v>0</v>
      </c>
      <c r="I746" s="29">
        <f t="shared" si="34"/>
        <v>-28</v>
      </c>
      <c r="J746" s="31" t="str">
        <f t="shared" si="35"/>
        <v>Current</v>
      </c>
      <c r="K746"/>
    </row>
    <row r="747" spans="1:11" x14ac:dyDescent="0.3">
      <c r="A747" s="21" t="s">
        <v>53</v>
      </c>
      <c r="B747" t="str">
        <f>VLOOKUP(A747,Customers!A:B,2,FALSE)</f>
        <v>PrimeCart</v>
      </c>
      <c r="C747" s="25" t="s">
        <v>1114</v>
      </c>
      <c r="D747" s="11">
        <v>46014</v>
      </c>
      <c r="E747" s="11">
        <v>46044</v>
      </c>
      <c r="F747" s="5">
        <v>5424.4</v>
      </c>
      <c r="G747" s="3">
        <f>SUMIF(Customer_Payments!B:B,C747,Customer_Payments!E:E)</f>
        <v>5424.4</v>
      </c>
      <c r="H747" s="3">
        <f t="shared" si="33"/>
        <v>0</v>
      </c>
      <c r="I747" s="29">
        <f t="shared" si="34"/>
        <v>47</v>
      </c>
      <c r="J747" s="31" t="str">
        <f t="shared" si="35"/>
        <v>31-60</v>
      </c>
      <c r="K747"/>
    </row>
    <row r="748" spans="1:11" x14ac:dyDescent="0.3">
      <c r="A748" s="20" t="s">
        <v>52</v>
      </c>
      <c r="B748" t="str">
        <f>VLOOKUP(A748,Customers!A:B,2,FALSE)</f>
        <v>RetailShift</v>
      </c>
      <c r="C748" s="24" t="s">
        <v>1115</v>
      </c>
      <c r="D748" s="10">
        <v>46015</v>
      </c>
      <c r="E748" s="10">
        <v>46045</v>
      </c>
      <c r="F748" s="4">
        <v>5359.16</v>
      </c>
      <c r="G748" s="3">
        <f>SUMIF(Customer_Payments!B:B,C748,Customer_Payments!E:E)</f>
        <v>5359.16</v>
      </c>
      <c r="H748" s="3">
        <f t="shared" si="33"/>
        <v>0</v>
      </c>
      <c r="I748" s="29">
        <f t="shared" si="34"/>
        <v>46</v>
      </c>
      <c r="J748" s="31" t="str">
        <f t="shared" si="35"/>
        <v>31-60</v>
      </c>
      <c r="K748"/>
    </row>
    <row r="749" spans="1:11" x14ac:dyDescent="0.3">
      <c r="A749" s="21" t="s">
        <v>17</v>
      </c>
      <c r="B749" t="str">
        <f>VLOOKUP(A749,Customers!A:B,2,FALSE)</f>
        <v>AlphaCommerce</v>
      </c>
      <c r="C749" s="25" t="s">
        <v>1116</v>
      </c>
      <c r="D749" s="11">
        <v>46060</v>
      </c>
      <c r="E749" s="11">
        <v>46090</v>
      </c>
      <c r="F749" s="5">
        <v>2486.9699999999998</v>
      </c>
      <c r="G749" s="3">
        <f>SUMIF(Customer_Payments!B:B,C749,Customer_Payments!E:E)</f>
        <v>2486.9699999999998</v>
      </c>
      <c r="H749" s="3">
        <f t="shared" si="33"/>
        <v>0</v>
      </c>
      <c r="I749" s="29">
        <f t="shared" si="34"/>
        <v>1</v>
      </c>
      <c r="J749" s="31" t="str">
        <f t="shared" si="35"/>
        <v>1-30</v>
      </c>
      <c r="K749"/>
    </row>
    <row r="750" spans="1:11" x14ac:dyDescent="0.3">
      <c r="A750" s="20" t="s">
        <v>100</v>
      </c>
      <c r="B750" t="str">
        <f>VLOOKUP(A750,Customers!A:B,2,FALSE)</f>
        <v>RetailBoostPro</v>
      </c>
      <c r="C750" s="24" t="s">
        <v>1117</v>
      </c>
      <c r="D750" s="10">
        <v>46007</v>
      </c>
      <c r="E750" s="10">
        <v>46037</v>
      </c>
      <c r="F750" s="4">
        <v>2858.71</v>
      </c>
      <c r="G750" s="3">
        <f>SUMIF(Customer_Payments!B:B,C750,Customer_Payments!E:E)</f>
        <v>2858.71</v>
      </c>
      <c r="H750" s="3">
        <f t="shared" si="33"/>
        <v>0</v>
      </c>
      <c r="I750" s="29">
        <f t="shared" si="34"/>
        <v>54</v>
      </c>
      <c r="J750" s="31" t="str">
        <f t="shared" si="35"/>
        <v>31-60</v>
      </c>
      <c r="K750"/>
    </row>
    <row r="751" spans="1:11" x14ac:dyDescent="0.3">
      <c r="A751" s="21" t="s">
        <v>87</v>
      </c>
      <c r="B751" t="str">
        <f>VLOOKUP(A751,Customers!A:B,2,FALSE)</f>
        <v>RetailStreamX</v>
      </c>
      <c r="C751" s="25" t="s">
        <v>1118</v>
      </c>
      <c r="D751" s="11">
        <v>46112</v>
      </c>
      <c r="E751" s="11">
        <v>46142</v>
      </c>
      <c r="F751" s="5">
        <v>1495.05</v>
      </c>
      <c r="G751" s="3">
        <f>SUMIF(Customer_Payments!B:B,C751,Customer_Payments!E:E)</f>
        <v>0</v>
      </c>
      <c r="H751" s="3">
        <f t="shared" si="33"/>
        <v>1495.05</v>
      </c>
      <c r="I751" s="29">
        <f t="shared" si="34"/>
        <v>-51</v>
      </c>
      <c r="J751" s="31" t="str">
        <f t="shared" si="35"/>
        <v>Current</v>
      </c>
      <c r="K751"/>
    </row>
    <row r="752" spans="1:11" x14ac:dyDescent="0.3">
      <c r="A752" s="20" t="s">
        <v>34</v>
      </c>
      <c r="B752" t="str">
        <f>VLOOKUP(A752,Customers!A:B,2,FALSE)</f>
        <v>OptiCommerce</v>
      </c>
      <c r="C752" s="24" t="s">
        <v>1119</v>
      </c>
      <c r="D752" s="10">
        <v>46092</v>
      </c>
      <c r="E752" s="10">
        <v>46122</v>
      </c>
      <c r="F752" s="4">
        <v>3375.17</v>
      </c>
      <c r="G752" s="3">
        <f>SUMIF(Customer_Payments!B:B,C752,Customer_Payments!E:E)</f>
        <v>0</v>
      </c>
      <c r="H752" s="3">
        <f t="shared" si="33"/>
        <v>3375.17</v>
      </c>
      <c r="I752" s="29">
        <f t="shared" si="34"/>
        <v>-31</v>
      </c>
      <c r="J752" s="31" t="str">
        <f t="shared" si="35"/>
        <v>Current</v>
      </c>
      <c r="K752"/>
    </row>
    <row r="753" spans="1:11" x14ac:dyDescent="0.3">
      <c r="A753" s="21" t="s">
        <v>106</v>
      </c>
      <c r="B753" t="str">
        <f>VLOOKUP(A753,Customers!A:B,2,FALSE)</f>
        <v>RetailOrbitPro</v>
      </c>
      <c r="C753" s="25" t="s">
        <v>1120</v>
      </c>
      <c r="D753" s="11">
        <v>46020</v>
      </c>
      <c r="E753" s="11">
        <v>46050</v>
      </c>
      <c r="F753" s="5">
        <v>3061.91</v>
      </c>
      <c r="G753" s="3">
        <f>SUMIF(Customer_Payments!B:B,C753,Customer_Payments!E:E)</f>
        <v>3061.91</v>
      </c>
      <c r="H753" s="3">
        <f t="shared" si="33"/>
        <v>0</v>
      </c>
      <c r="I753" s="29">
        <f t="shared" si="34"/>
        <v>41</v>
      </c>
      <c r="J753" s="31" t="str">
        <f t="shared" si="35"/>
        <v>31-60</v>
      </c>
      <c r="K753"/>
    </row>
    <row r="754" spans="1:11" x14ac:dyDescent="0.3">
      <c r="A754" s="20" t="s">
        <v>44</v>
      </c>
      <c r="B754" t="str">
        <f>VLOOKUP(A754,Customers!A:B,2,FALSE)</f>
        <v>BrightMarket</v>
      </c>
      <c r="C754" s="24" t="s">
        <v>1121</v>
      </c>
      <c r="D754" s="10">
        <v>46087</v>
      </c>
      <c r="E754" s="10">
        <v>46117</v>
      </c>
      <c r="F754" s="4">
        <v>4731.6400000000003</v>
      </c>
      <c r="G754" s="3">
        <f>SUMIF(Customer_Payments!B:B,C754,Customer_Payments!E:E)</f>
        <v>4731.6400000000003</v>
      </c>
      <c r="H754" s="3">
        <f t="shared" si="33"/>
        <v>0</v>
      </c>
      <c r="I754" s="29">
        <f t="shared" si="34"/>
        <v>-26</v>
      </c>
      <c r="J754" s="31" t="str">
        <f t="shared" si="35"/>
        <v>Current</v>
      </c>
      <c r="K754"/>
    </row>
    <row r="755" spans="1:11" x14ac:dyDescent="0.3">
      <c r="A755" s="21" t="s">
        <v>71</v>
      </c>
      <c r="B755" t="str">
        <f>VLOOKUP(A755,Customers!A:B,2,FALSE)</f>
        <v>RetailPulse</v>
      </c>
      <c r="C755" s="25" t="s">
        <v>1122</v>
      </c>
      <c r="D755" s="11">
        <v>45964</v>
      </c>
      <c r="E755" s="11">
        <v>45994</v>
      </c>
      <c r="F755" s="5">
        <v>4929.3999999999996</v>
      </c>
      <c r="G755" s="3">
        <f>SUMIF(Customer_Payments!B:B,C755,Customer_Payments!E:E)</f>
        <v>4929.3999999999996</v>
      </c>
      <c r="H755" s="3">
        <f t="shared" si="33"/>
        <v>0</v>
      </c>
      <c r="I755" s="29">
        <f t="shared" si="34"/>
        <v>97</v>
      </c>
      <c r="J755" s="31" t="str">
        <f t="shared" si="35"/>
        <v>90+</v>
      </c>
      <c r="K755"/>
    </row>
    <row r="756" spans="1:11" x14ac:dyDescent="0.3">
      <c r="A756" s="20" t="s">
        <v>103</v>
      </c>
      <c r="B756" t="str">
        <f>VLOOKUP(A756,Customers!A:B,2,FALSE)</f>
        <v>RetailVisionPro</v>
      </c>
      <c r="C756" s="24" t="s">
        <v>1123</v>
      </c>
      <c r="D756" s="10">
        <v>46103</v>
      </c>
      <c r="E756" s="10">
        <v>46133</v>
      </c>
      <c r="F756" s="4">
        <v>3195.21</v>
      </c>
      <c r="G756" s="3">
        <f>SUMIF(Customer_Payments!B:B,C756,Customer_Payments!E:E)</f>
        <v>3195.21</v>
      </c>
      <c r="H756" s="3">
        <f t="shared" si="33"/>
        <v>0</v>
      </c>
      <c r="I756" s="29">
        <f t="shared" si="34"/>
        <v>-42</v>
      </c>
      <c r="J756" s="31" t="str">
        <f t="shared" si="35"/>
        <v>Current</v>
      </c>
      <c r="K756"/>
    </row>
    <row r="757" spans="1:11" x14ac:dyDescent="0.3">
      <c r="A757" s="21" t="s">
        <v>79</v>
      </c>
      <c r="B757" t="str">
        <f>VLOOKUP(A757,Customers!A:B,2,FALSE)</f>
        <v>RetailBoostX</v>
      </c>
      <c r="C757" s="25" t="s">
        <v>1124</v>
      </c>
      <c r="D757" s="11">
        <v>45992</v>
      </c>
      <c r="E757" s="11">
        <v>46022</v>
      </c>
      <c r="F757" s="5">
        <v>2996.52</v>
      </c>
      <c r="G757" s="3">
        <f>SUMIF(Customer_Payments!B:B,C757,Customer_Payments!E:E)</f>
        <v>2996.52</v>
      </c>
      <c r="H757" s="3">
        <f t="shared" si="33"/>
        <v>0</v>
      </c>
      <c r="I757" s="29">
        <f t="shared" si="34"/>
        <v>69</v>
      </c>
      <c r="J757" s="31" t="str">
        <f t="shared" si="35"/>
        <v>61-90</v>
      </c>
      <c r="K757"/>
    </row>
    <row r="758" spans="1:11" x14ac:dyDescent="0.3">
      <c r="A758" s="20" t="s">
        <v>52</v>
      </c>
      <c r="B758" t="str">
        <f>VLOOKUP(A758,Customers!A:B,2,FALSE)</f>
        <v>RetailShift</v>
      </c>
      <c r="C758" s="24" t="s">
        <v>1125</v>
      </c>
      <c r="D758" s="10">
        <v>45979</v>
      </c>
      <c r="E758" s="10">
        <v>46009</v>
      </c>
      <c r="F758" s="4">
        <v>2067.98</v>
      </c>
      <c r="G758" s="3">
        <f>SUMIF(Customer_Payments!B:B,C758,Customer_Payments!E:E)</f>
        <v>2067.98</v>
      </c>
      <c r="H758" s="3">
        <f t="shared" si="33"/>
        <v>0</v>
      </c>
      <c r="I758" s="29">
        <f t="shared" si="34"/>
        <v>82</v>
      </c>
      <c r="J758" s="31" t="str">
        <f t="shared" si="35"/>
        <v>61-90</v>
      </c>
      <c r="K758"/>
    </row>
    <row r="759" spans="1:11" x14ac:dyDescent="0.3">
      <c r="A759" s="21" t="s">
        <v>54</v>
      </c>
      <c r="B759" t="str">
        <f>VLOOKUP(A759,Customers!A:B,2,FALSE)</f>
        <v>RetailEdge</v>
      </c>
      <c r="C759" s="25" t="s">
        <v>1126</v>
      </c>
      <c r="D759" s="11">
        <v>46056</v>
      </c>
      <c r="E759" s="11">
        <v>46086</v>
      </c>
      <c r="F759" s="5">
        <v>2662.58</v>
      </c>
      <c r="G759" s="3">
        <f>SUMIF(Customer_Payments!B:B,C759,Customer_Payments!E:E)</f>
        <v>2662.58</v>
      </c>
      <c r="H759" s="3">
        <f t="shared" si="33"/>
        <v>0</v>
      </c>
      <c r="I759" s="29">
        <f t="shared" si="34"/>
        <v>5</v>
      </c>
      <c r="J759" s="31" t="str">
        <f t="shared" si="35"/>
        <v>1-30</v>
      </c>
      <c r="K759"/>
    </row>
    <row r="760" spans="1:11" x14ac:dyDescent="0.3">
      <c r="A760" s="20" t="s">
        <v>53</v>
      </c>
      <c r="B760" t="str">
        <f>VLOOKUP(A760,Customers!A:B,2,FALSE)</f>
        <v>PrimeCart</v>
      </c>
      <c r="C760" s="24" t="s">
        <v>1127</v>
      </c>
      <c r="D760" s="10">
        <v>46016</v>
      </c>
      <c r="E760" s="10">
        <v>46046</v>
      </c>
      <c r="F760" s="4">
        <v>4085.62</v>
      </c>
      <c r="G760" s="3">
        <f>SUMIF(Customer_Payments!B:B,C760,Customer_Payments!E:E)</f>
        <v>0</v>
      </c>
      <c r="H760" s="3">
        <f t="shared" si="33"/>
        <v>4085.62</v>
      </c>
      <c r="I760" s="29">
        <f t="shared" si="34"/>
        <v>45</v>
      </c>
      <c r="J760" s="31" t="str">
        <f t="shared" si="35"/>
        <v>31-60</v>
      </c>
      <c r="K760"/>
    </row>
    <row r="761" spans="1:11" x14ac:dyDescent="0.3">
      <c r="A761" s="21" t="s">
        <v>90</v>
      </c>
      <c r="B761" t="str">
        <f>VLOOKUP(A761,Customers!A:B,2,FALSE)</f>
        <v>RetailPulseX</v>
      </c>
      <c r="C761" s="25" t="s">
        <v>1128</v>
      </c>
      <c r="D761" s="11">
        <v>46076</v>
      </c>
      <c r="E761" s="11">
        <v>46106</v>
      </c>
      <c r="F761" s="5">
        <v>11854.44</v>
      </c>
      <c r="G761" s="3">
        <f>SUMIF(Customer_Payments!B:B,C761,Customer_Payments!E:E)</f>
        <v>11854.44</v>
      </c>
      <c r="H761" s="3">
        <f t="shared" si="33"/>
        <v>0</v>
      </c>
      <c r="I761" s="29">
        <f t="shared" si="34"/>
        <v>-15</v>
      </c>
      <c r="J761" s="31" t="str">
        <f t="shared" si="35"/>
        <v>Current</v>
      </c>
      <c r="K761"/>
    </row>
    <row r="762" spans="1:11" x14ac:dyDescent="0.3">
      <c r="A762" s="20" t="s">
        <v>113</v>
      </c>
      <c r="B762" t="str">
        <f>VLOOKUP(A762,Customers!A:B,2,FALSE)</f>
        <v>RetailSpherePro</v>
      </c>
      <c r="C762" s="24" t="s">
        <v>1129</v>
      </c>
      <c r="D762" s="10">
        <v>46038</v>
      </c>
      <c r="E762" s="10">
        <v>46068</v>
      </c>
      <c r="F762" s="4">
        <v>2103.23</v>
      </c>
      <c r="G762" s="3">
        <f>SUMIF(Customer_Payments!B:B,C762,Customer_Payments!E:E)</f>
        <v>0</v>
      </c>
      <c r="H762" s="3">
        <f t="shared" si="33"/>
        <v>2103.23</v>
      </c>
      <c r="I762" s="29">
        <f t="shared" si="34"/>
        <v>23</v>
      </c>
      <c r="J762" s="31" t="str">
        <f t="shared" si="35"/>
        <v>1-30</v>
      </c>
      <c r="K762"/>
    </row>
    <row r="763" spans="1:11" x14ac:dyDescent="0.3">
      <c r="A763" s="21" t="s">
        <v>90</v>
      </c>
      <c r="B763" t="str">
        <f>VLOOKUP(A763,Customers!A:B,2,FALSE)</f>
        <v>RetailPulseX</v>
      </c>
      <c r="C763" s="25" t="s">
        <v>1130</v>
      </c>
      <c r="D763" s="11">
        <v>45970</v>
      </c>
      <c r="E763" s="11">
        <v>46000</v>
      </c>
      <c r="F763" s="5">
        <v>1629.59</v>
      </c>
      <c r="G763" s="3">
        <f>SUMIF(Customer_Payments!B:B,C763,Customer_Payments!E:E)</f>
        <v>1629.59</v>
      </c>
      <c r="H763" s="3">
        <f t="shared" si="33"/>
        <v>0</v>
      </c>
      <c r="I763" s="29">
        <f t="shared" si="34"/>
        <v>91</v>
      </c>
      <c r="J763" s="31" t="str">
        <f t="shared" si="35"/>
        <v>90+</v>
      </c>
      <c r="K763"/>
    </row>
    <row r="764" spans="1:11" x14ac:dyDescent="0.3">
      <c r="A764" s="20" t="s">
        <v>55</v>
      </c>
      <c r="B764" t="str">
        <f>VLOOKUP(A764,Customers!A:B,2,FALSE)</f>
        <v>CommerceLabs</v>
      </c>
      <c r="C764" s="24" t="s">
        <v>1131</v>
      </c>
      <c r="D764" s="10">
        <v>45974</v>
      </c>
      <c r="E764" s="10">
        <v>46004</v>
      </c>
      <c r="F764" s="4">
        <v>11353.42</v>
      </c>
      <c r="G764" s="3">
        <f>SUMIF(Customer_Payments!B:B,C764,Customer_Payments!E:E)</f>
        <v>11353.42</v>
      </c>
      <c r="H764" s="3">
        <f t="shared" si="33"/>
        <v>0</v>
      </c>
      <c r="I764" s="29">
        <f t="shared" si="34"/>
        <v>87</v>
      </c>
      <c r="J764" s="31" t="str">
        <f t="shared" si="35"/>
        <v>61-90</v>
      </c>
      <c r="K764"/>
    </row>
    <row r="765" spans="1:11" x14ac:dyDescent="0.3">
      <c r="A765" s="21" t="s">
        <v>68</v>
      </c>
      <c r="B765" t="str">
        <f>VLOOKUP(A765,Customers!A:B,2,FALSE)</f>
        <v>RetailVision</v>
      </c>
      <c r="C765" s="25" t="s">
        <v>1132</v>
      </c>
      <c r="D765" s="11">
        <v>46083</v>
      </c>
      <c r="E765" s="11">
        <v>46113</v>
      </c>
      <c r="F765" s="5">
        <v>5032.74</v>
      </c>
      <c r="G765" s="3">
        <f>SUMIF(Customer_Payments!B:B,C765,Customer_Payments!E:E)</f>
        <v>5032.74</v>
      </c>
      <c r="H765" s="3">
        <f t="shared" si="33"/>
        <v>0</v>
      </c>
      <c r="I765" s="29">
        <f t="shared" si="34"/>
        <v>-22</v>
      </c>
      <c r="J765" s="31" t="str">
        <f t="shared" si="35"/>
        <v>Current</v>
      </c>
      <c r="K765"/>
    </row>
    <row r="766" spans="1:11" x14ac:dyDescent="0.3">
      <c r="A766" s="20" t="s">
        <v>36</v>
      </c>
      <c r="B766" t="str">
        <f>VLOOKUP(A766,Customers!A:B,2,FALSE)</f>
        <v>RapidMarket</v>
      </c>
      <c r="C766" s="24" t="s">
        <v>1133</v>
      </c>
      <c r="D766" s="10">
        <v>46092</v>
      </c>
      <c r="E766" s="10">
        <v>46122</v>
      </c>
      <c r="F766" s="4">
        <v>2809.24</v>
      </c>
      <c r="G766" s="3">
        <f>SUMIF(Customer_Payments!B:B,C766,Customer_Payments!E:E)</f>
        <v>2809.24</v>
      </c>
      <c r="H766" s="3">
        <f t="shared" si="33"/>
        <v>0</v>
      </c>
      <c r="I766" s="29">
        <f t="shared" si="34"/>
        <v>-31</v>
      </c>
      <c r="J766" s="31" t="str">
        <f t="shared" si="35"/>
        <v>Current</v>
      </c>
      <c r="K766"/>
    </row>
    <row r="767" spans="1:11" x14ac:dyDescent="0.3">
      <c r="A767" s="21" t="s">
        <v>27</v>
      </c>
      <c r="B767" t="str">
        <f>VLOOKUP(A767,Customers!A:B,2,FALSE)</f>
        <v>Skyline Commerce</v>
      </c>
      <c r="C767" s="25" t="s">
        <v>1134</v>
      </c>
      <c r="D767" s="11">
        <v>46028</v>
      </c>
      <c r="E767" s="11">
        <v>46058</v>
      </c>
      <c r="F767" s="5">
        <v>3017.45</v>
      </c>
      <c r="G767" s="3">
        <f>SUMIF(Customer_Payments!B:B,C767,Customer_Payments!E:E)</f>
        <v>3017.45</v>
      </c>
      <c r="H767" s="3">
        <f t="shared" si="33"/>
        <v>0</v>
      </c>
      <c r="I767" s="29">
        <f t="shared" si="34"/>
        <v>33</v>
      </c>
      <c r="J767" s="31" t="str">
        <f t="shared" si="35"/>
        <v>31-60</v>
      </c>
      <c r="K767"/>
    </row>
    <row r="768" spans="1:11" x14ac:dyDescent="0.3">
      <c r="A768" s="20" t="s">
        <v>60</v>
      </c>
      <c r="B768" t="str">
        <f>VLOOKUP(A768,Customers!A:B,2,FALSE)</f>
        <v>RetailSpark</v>
      </c>
      <c r="C768" s="24" t="s">
        <v>1135</v>
      </c>
      <c r="D768" s="10">
        <v>45980</v>
      </c>
      <c r="E768" s="10">
        <v>46010</v>
      </c>
      <c r="F768" s="4">
        <v>2602.02</v>
      </c>
      <c r="G768" s="3">
        <f>SUMIF(Customer_Payments!B:B,C768,Customer_Payments!E:E)</f>
        <v>2602.02</v>
      </c>
      <c r="H768" s="3">
        <f t="shared" si="33"/>
        <v>0</v>
      </c>
      <c r="I768" s="29">
        <f t="shared" si="34"/>
        <v>81</v>
      </c>
      <c r="J768" s="31" t="str">
        <f t="shared" si="35"/>
        <v>61-90</v>
      </c>
      <c r="K768"/>
    </row>
    <row r="769" spans="1:11" x14ac:dyDescent="0.3">
      <c r="A769" s="21" t="s">
        <v>33</v>
      </c>
      <c r="B769" t="str">
        <f>VLOOKUP(A769,Customers!A:B,2,FALSE)</f>
        <v>CloudCart</v>
      </c>
      <c r="C769" s="25" t="s">
        <v>1136</v>
      </c>
      <c r="D769" s="11">
        <v>45985</v>
      </c>
      <c r="E769" s="11">
        <v>46015</v>
      </c>
      <c r="F769" s="5">
        <v>2720.26</v>
      </c>
      <c r="G769" s="3">
        <f>SUMIF(Customer_Payments!B:B,C769,Customer_Payments!E:E)</f>
        <v>2720.26</v>
      </c>
      <c r="H769" s="3">
        <f t="shared" si="33"/>
        <v>0</v>
      </c>
      <c r="I769" s="29">
        <f t="shared" si="34"/>
        <v>76</v>
      </c>
      <c r="J769" s="31" t="str">
        <f t="shared" si="35"/>
        <v>61-90</v>
      </c>
      <c r="K769"/>
    </row>
    <row r="770" spans="1:11" x14ac:dyDescent="0.3">
      <c r="A770" s="20" t="s">
        <v>12</v>
      </c>
      <c r="B770" t="str">
        <f>VLOOKUP(A770,Customers!A:B,2,FALSE)</f>
        <v>ShopOrbit</v>
      </c>
      <c r="C770" s="24" t="s">
        <v>1137</v>
      </c>
      <c r="D770" s="10">
        <v>46019</v>
      </c>
      <c r="E770" s="10">
        <v>46049</v>
      </c>
      <c r="F770" s="4">
        <v>3025.74</v>
      </c>
      <c r="G770" s="3">
        <f>SUMIF(Customer_Payments!B:B,C770,Customer_Payments!E:E)</f>
        <v>3025.74</v>
      </c>
      <c r="H770" s="3">
        <f t="shared" ref="H770:H833" si="36">MAX(F770-G770,0)</f>
        <v>0</v>
      </c>
      <c r="I770" s="29">
        <f t="shared" ref="I770:I833" si="37">$L$2-E770</f>
        <v>42</v>
      </c>
      <c r="J770" s="31" t="str">
        <f t="shared" si="35"/>
        <v>31-60</v>
      </c>
      <c r="K770"/>
    </row>
    <row r="771" spans="1:11" x14ac:dyDescent="0.3">
      <c r="A771" s="21" t="s">
        <v>12</v>
      </c>
      <c r="B771" t="str">
        <f>VLOOKUP(A771,Customers!A:B,2,FALSE)</f>
        <v>ShopOrbit</v>
      </c>
      <c r="C771" s="25" t="s">
        <v>1138</v>
      </c>
      <c r="D771" s="11">
        <v>46088</v>
      </c>
      <c r="E771" s="11">
        <v>46118</v>
      </c>
      <c r="F771" s="5">
        <v>5146.97</v>
      </c>
      <c r="G771" s="3">
        <f>SUMIF(Customer_Payments!B:B,C771,Customer_Payments!E:E)</f>
        <v>5146.97</v>
      </c>
      <c r="H771" s="3">
        <f t="shared" si="36"/>
        <v>0</v>
      </c>
      <c r="I771" s="29">
        <f t="shared" si="37"/>
        <v>-27</v>
      </c>
      <c r="J771" s="31" t="str">
        <f t="shared" ref="J771:J834" si="38">IF(I771&lt;=0,"Current",
IF(I771&lt;=30,"1-30",
IF(I771&lt;=60,"31-60",
IF(I771&lt;=90,"61-90","90+"))))</f>
        <v>Current</v>
      </c>
      <c r="K771"/>
    </row>
    <row r="772" spans="1:11" x14ac:dyDescent="0.3">
      <c r="A772" s="20" t="s">
        <v>73</v>
      </c>
      <c r="B772" t="str">
        <f>VLOOKUP(A772,Customers!A:B,2,FALSE)</f>
        <v>RetailWave</v>
      </c>
      <c r="C772" s="24" t="s">
        <v>1139</v>
      </c>
      <c r="D772" s="10">
        <v>46091</v>
      </c>
      <c r="E772" s="10">
        <v>46121</v>
      </c>
      <c r="F772" s="4">
        <v>3005.61</v>
      </c>
      <c r="G772" s="3">
        <f>SUMIF(Customer_Payments!B:B,C772,Customer_Payments!E:E)</f>
        <v>0</v>
      </c>
      <c r="H772" s="3">
        <f t="shared" si="36"/>
        <v>3005.61</v>
      </c>
      <c r="I772" s="29">
        <f t="shared" si="37"/>
        <v>-30</v>
      </c>
      <c r="J772" s="31" t="str">
        <f t="shared" si="38"/>
        <v>Current</v>
      </c>
      <c r="K772"/>
    </row>
    <row r="773" spans="1:11" x14ac:dyDescent="0.3">
      <c r="A773" s="21" t="s">
        <v>99</v>
      </c>
      <c r="B773" t="str">
        <f>VLOOKUP(A773,Customers!A:B,2,FALSE)</f>
        <v>RetailNovaPro</v>
      </c>
      <c r="C773" s="25" t="s">
        <v>1140</v>
      </c>
      <c r="D773" s="11">
        <v>46057</v>
      </c>
      <c r="E773" s="11">
        <v>46087</v>
      </c>
      <c r="F773" s="5">
        <v>12476.92</v>
      </c>
      <c r="G773" s="3">
        <f>SUMIF(Customer_Payments!B:B,C773,Customer_Payments!E:E)</f>
        <v>12476.92</v>
      </c>
      <c r="H773" s="3">
        <f t="shared" si="36"/>
        <v>0</v>
      </c>
      <c r="I773" s="29">
        <f t="shared" si="37"/>
        <v>4</v>
      </c>
      <c r="J773" s="31" t="str">
        <f t="shared" si="38"/>
        <v>1-30</v>
      </c>
      <c r="K773"/>
    </row>
    <row r="774" spans="1:11" x14ac:dyDescent="0.3">
      <c r="A774" s="20" t="s">
        <v>84</v>
      </c>
      <c r="B774" t="str">
        <f>VLOOKUP(A774,Customers!A:B,2,FALSE)</f>
        <v>RetailVisionX</v>
      </c>
      <c r="C774" s="24" t="s">
        <v>1141</v>
      </c>
      <c r="D774" s="10">
        <v>46103</v>
      </c>
      <c r="E774" s="10">
        <v>46133</v>
      </c>
      <c r="F774" s="4">
        <v>1916.46</v>
      </c>
      <c r="G774" s="3">
        <f>SUMIF(Customer_Payments!B:B,C774,Customer_Payments!E:E)</f>
        <v>1916.46</v>
      </c>
      <c r="H774" s="3">
        <f t="shared" si="36"/>
        <v>0</v>
      </c>
      <c r="I774" s="29">
        <f t="shared" si="37"/>
        <v>-42</v>
      </c>
      <c r="J774" s="31" t="str">
        <f t="shared" si="38"/>
        <v>Current</v>
      </c>
      <c r="K774"/>
    </row>
    <row r="775" spans="1:11" x14ac:dyDescent="0.3">
      <c r="A775" s="21" t="s">
        <v>83</v>
      </c>
      <c r="B775" t="str">
        <f>VLOOKUP(A775,Customers!A:B,2,FALSE)</f>
        <v>RetailCoreX</v>
      </c>
      <c r="C775" s="25" t="s">
        <v>1142</v>
      </c>
      <c r="D775" s="11">
        <v>45964</v>
      </c>
      <c r="E775" s="11">
        <v>45994</v>
      </c>
      <c r="F775" s="5">
        <v>13763.05</v>
      </c>
      <c r="G775" s="3">
        <f>SUMIF(Customer_Payments!B:B,C775,Customer_Payments!E:E)</f>
        <v>0</v>
      </c>
      <c r="H775" s="3">
        <f t="shared" si="36"/>
        <v>13763.05</v>
      </c>
      <c r="I775" s="29">
        <f t="shared" si="37"/>
        <v>97</v>
      </c>
      <c r="J775" s="31" t="str">
        <f t="shared" si="38"/>
        <v>90+</v>
      </c>
      <c r="K775"/>
    </row>
    <row r="776" spans="1:11" x14ac:dyDescent="0.3">
      <c r="A776" s="20" t="s">
        <v>72</v>
      </c>
      <c r="B776" t="str">
        <f>VLOOKUP(A776,Customers!A:B,2,FALSE)</f>
        <v>RetailStream</v>
      </c>
      <c r="C776" s="24" t="s">
        <v>1143</v>
      </c>
      <c r="D776" s="10">
        <v>46038</v>
      </c>
      <c r="E776" s="10">
        <v>46068</v>
      </c>
      <c r="F776" s="4">
        <v>5589.23</v>
      </c>
      <c r="G776" s="3">
        <f>SUMIF(Customer_Payments!B:B,C776,Customer_Payments!E:E)</f>
        <v>5589.23</v>
      </c>
      <c r="H776" s="3">
        <f t="shared" si="36"/>
        <v>0</v>
      </c>
      <c r="I776" s="29">
        <f t="shared" si="37"/>
        <v>23</v>
      </c>
      <c r="J776" s="31" t="str">
        <f t="shared" si="38"/>
        <v>1-30</v>
      </c>
      <c r="K776"/>
    </row>
    <row r="777" spans="1:11" x14ac:dyDescent="0.3">
      <c r="A777" s="21" t="s">
        <v>83</v>
      </c>
      <c r="B777" t="str">
        <f>VLOOKUP(A777,Customers!A:B,2,FALSE)</f>
        <v>RetailCoreX</v>
      </c>
      <c r="C777" s="25" t="s">
        <v>1144</v>
      </c>
      <c r="D777" s="11">
        <v>45992</v>
      </c>
      <c r="E777" s="11">
        <v>46022</v>
      </c>
      <c r="F777" s="5">
        <v>2167.7199999999998</v>
      </c>
      <c r="G777" s="3">
        <f>SUMIF(Customer_Payments!B:B,C777,Customer_Payments!E:E)</f>
        <v>0</v>
      </c>
      <c r="H777" s="3">
        <f t="shared" si="36"/>
        <v>2167.7199999999998</v>
      </c>
      <c r="I777" s="29">
        <f t="shared" si="37"/>
        <v>69</v>
      </c>
      <c r="J777" s="31" t="str">
        <f t="shared" si="38"/>
        <v>61-90</v>
      </c>
      <c r="K777"/>
    </row>
    <row r="778" spans="1:11" x14ac:dyDescent="0.3">
      <c r="A778" s="20" t="s">
        <v>9</v>
      </c>
      <c r="B778" t="str">
        <f>VLOOKUP(A778,Customers!A:B,2,FALSE)</f>
        <v>UrbanRetail</v>
      </c>
      <c r="C778" s="24" t="s">
        <v>1145</v>
      </c>
      <c r="D778" s="10">
        <v>46074</v>
      </c>
      <c r="E778" s="10">
        <v>46104</v>
      </c>
      <c r="F778" s="4">
        <v>2896.38</v>
      </c>
      <c r="G778" s="3">
        <f>SUMIF(Customer_Payments!B:B,C778,Customer_Payments!E:E)</f>
        <v>2896.38</v>
      </c>
      <c r="H778" s="3">
        <f t="shared" si="36"/>
        <v>0</v>
      </c>
      <c r="I778" s="29">
        <f t="shared" si="37"/>
        <v>-13</v>
      </c>
      <c r="J778" s="31" t="str">
        <f t="shared" si="38"/>
        <v>Current</v>
      </c>
      <c r="K778"/>
    </row>
    <row r="779" spans="1:11" x14ac:dyDescent="0.3">
      <c r="A779" s="21" t="s">
        <v>26</v>
      </c>
      <c r="B779" t="str">
        <f>VLOOKUP(A779,Customers!A:B,2,FALSE)</f>
        <v>NovaRetail</v>
      </c>
      <c r="C779" s="25" t="s">
        <v>1146</v>
      </c>
      <c r="D779" s="11">
        <v>45994</v>
      </c>
      <c r="E779" s="11">
        <v>46024</v>
      </c>
      <c r="F779" s="5">
        <v>5045.42</v>
      </c>
      <c r="G779" s="3">
        <f>SUMIF(Customer_Payments!B:B,C779,Customer_Payments!E:E)</f>
        <v>5045.42</v>
      </c>
      <c r="H779" s="3">
        <f t="shared" si="36"/>
        <v>0</v>
      </c>
      <c r="I779" s="29">
        <f t="shared" si="37"/>
        <v>67</v>
      </c>
      <c r="J779" s="31" t="str">
        <f t="shared" si="38"/>
        <v>61-90</v>
      </c>
      <c r="K779"/>
    </row>
    <row r="780" spans="1:11" x14ac:dyDescent="0.3">
      <c r="A780" s="20" t="s">
        <v>119</v>
      </c>
      <c r="B780" t="str">
        <f>VLOOKUP(A780,Customers!A:B,2,FALSE)</f>
        <v>RetailNovaGlobal</v>
      </c>
      <c r="C780" s="24" t="s">
        <v>1147</v>
      </c>
      <c r="D780" s="10">
        <v>45994</v>
      </c>
      <c r="E780" s="10">
        <v>46024</v>
      </c>
      <c r="F780" s="4">
        <v>2934.82</v>
      </c>
      <c r="G780" s="3">
        <f>SUMIF(Customer_Payments!B:B,C780,Customer_Payments!E:E)</f>
        <v>2934.82</v>
      </c>
      <c r="H780" s="3">
        <f t="shared" si="36"/>
        <v>0</v>
      </c>
      <c r="I780" s="29">
        <f t="shared" si="37"/>
        <v>67</v>
      </c>
      <c r="J780" s="31" t="str">
        <f t="shared" si="38"/>
        <v>61-90</v>
      </c>
      <c r="K780"/>
    </row>
    <row r="781" spans="1:11" x14ac:dyDescent="0.3">
      <c r="A781" s="21" t="s">
        <v>23</v>
      </c>
      <c r="B781" t="str">
        <f>VLOOKUP(A781,Customers!A:B,2,FALSE)</f>
        <v>VertexCommerce</v>
      </c>
      <c r="C781" s="25" t="s">
        <v>1148</v>
      </c>
      <c r="D781" s="11">
        <v>46019</v>
      </c>
      <c r="E781" s="11">
        <v>46049</v>
      </c>
      <c r="F781" s="5">
        <v>3504.66</v>
      </c>
      <c r="G781" s="3">
        <f>SUMIF(Customer_Payments!B:B,C781,Customer_Payments!E:E)</f>
        <v>3504.66</v>
      </c>
      <c r="H781" s="3">
        <f t="shared" si="36"/>
        <v>0</v>
      </c>
      <c r="I781" s="29">
        <f t="shared" si="37"/>
        <v>42</v>
      </c>
      <c r="J781" s="31" t="str">
        <f t="shared" si="38"/>
        <v>31-60</v>
      </c>
      <c r="K781"/>
    </row>
    <row r="782" spans="1:11" x14ac:dyDescent="0.3">
      <c r="A782" s="20" t="s">
        <v>73</v>
      </c>
      <c r="B782" t="str">
        <f>VLOOKUP(A782,Customers!A:B,2,FALSE)</f>
        <v>RetailWave</v>
      </c>
      <c r="C782" s="24" t="s">
        <v>1149</v>
      </c>
      <c r="D782" s="10">
        <v>46076</v>
      </c>
      <c r="E782" s="10">
        <v>46106</v>
      </c>
      <c r="F782" s="4">
        <v>3555</v>
      </c>
      <c r="G782" s="3">
        <f>SUMIF(Customer_Payments!B:B,C782,Customer_Payments!E:E)</f>
        <v>3555</v>
      </c>
      <c r="H782" s="3">
        <f t="shared" si="36"/>
        <v>0</v>
      </c>
      <c r="I782" s="29">
        <f t="shared" si="37"/>
        <v>-15</v>
      </c>
      <c r="J782" s="31" t="str">
        <f t="shared" si="38"/>
        <v>Current</v>
      </c>
      <c r="K782"/>
    </row>
    <row r="783" spans="1:11" x14ac:dyDescent="0.3">
      <c r="A783" s="21" t="s">
        <v>36</v>
      </c>
      <c r="B783" t="str">
        <f>VLOOKUP(A783,Customers!A:B,2,FALSE)</f>
        <v>RapidMarket</v>
      </c>
      <c r="C783" s="25" t="s">
        <v>1150</v>
      </c>
      <c r="D783" s="11">
        <v>46080</v>
      </c>
      <c r="E783" s="11">
        <v>46110</v>
      </c>
      <c r="F783" s="5">
        <v>11377.81</v>
      </c>
      <c r="G783" s="3">
        <f>SUMIF(Customer_Payments!B:B,C783,Customer_Payments!E:E)</f>
        <v>11377.81</v>
      </c>
      <c r="H783" s="3">
        <f t="shared" si="36"/>
        <v>0</v>
      </c>
      <c r="I783" s="29">
        <f t="shared" si="37"/>
        <v>-19</v>
      </c>
      <c r="J783" s="31" t="str">
        <f t="shared" si="38"/>
        <v>Current</v>
      </c>
      <c r="K783"/>
    </row>
    <row r="784" spans="1:11" x14ac:dyDescent="0.3">
      <c r="A784" s="20" t="s">
        <v>101</v>
      </c>
      <c r="B784" t="str">
        <f>VLOOKUP(A784,Customers!A:B,2,FALSE)</f>
        <v>RetailMatrixPro</v>
      </c>
      <c r="C784" s="24" t="s">
        <v>1151</v>
      </c>
      <c r="D784" s="10">
        <v>46033</v>
      </c>
      <c r="E784" s="10">
        <v>46063</v>
      </c>
      <c r="F784" s="4">
        <v>13389.87</v>
      </c>
      <c r="G784" s="3">
        <f>SUMIF(Customer_Payments!B:B,C784,Customer_Payments!E:E)</f>
        <v>13389.87</v>
      </c>
      <c r="H784" s="3">
        <f t="shared" si="36"/>
        <v>0</v>
      </c>
      <c r="I784" s="29">
        <f t="shared" si="37"/>
        <v>28</v>
      </c>
      <c r="J784" s="31" t="str">
        <f t="shared" si="38"/>
        <v>1-30</v>
      </c>
      <c r="K784"/>
    </row>
    <row r="785" spans="1:11" x14ac:dyDescent="0.3">
      <c r="A785" s="21" t="s">
        <v>105</v>
      </c>
      <c r="B785" t="str">
        <f>VLOOKUP(A785,Customers!A:B,2,FALSE)</f>
        <v>RetailFlowPro</v>
      </c>
      <c r="C785" s="25" t="s">
        <v>1152</v>
      </c>
      <c r="D785" s="11">
        <v>46098</v>
      </c>
      <c r="E785" s="11">
        <v>46128</v>
      </c>
      <c r="F785" s="5">
        <v>1854.81</v>
      </c>
      <c r="G785" s="3">
        <f>SUMIF(Customer_Payments!B:B,C785,Customer_Payments!E:E)</f>
        <v>1854.81</v>
      </c>
      <c r="H785" s="3">
        <f t="shared" si="36"/>
        <v>0</v>
      </c>
      <c r="I785" s="29">
        <f t="shared" si="37"/>
        <v>-37</v>
      </c>
      <c r="J785" s="31" t="str">
        <f t="shared" si="38"/>
        <v>Current</v>
      </c>
      <c r="K785"/>
    </row>
    <row r="786" spans="1:11" x14ac:dyDescent="0.3">
      <c r="A786" s="20" t="s">
        <v>76</v>
      </c>
      <c r="B786" t="str">
        <f>VLOOKUP(A786,Customers!A:B,2,FALSE)</f>
        <v>RetailSphere</v>
      </c>
      <c r="C786" s="24" t="s">
        <v>1153</v>
      </c>
      <c r="D786" s="10">
        <v>46001</v>
      </c>
      <c r="E786" s="10">
        <v>46031</v>
      </c>
      <c r="F786" s="4">
        <v>5820.17</v>
      </c>
      <c r="G786" s="3">
        <f>SUMIF(Customer_Payments!B:B,C786,Customer_Payments!E:E)</f>
        <v>5820.17</v>
      </c>
      <c r="H786" s="3">
        <f t="shared" si="36"/>
        <v>0</v>
      </c>
      <c r="I786" s="29">
        <f t="shared" si="37"/>
        <v>60</v>
      </c>
      <c r="J786" s="31" t="str">
        <f t="shared" si="38"/>
        <v>31-60</v>
      </c>
      <c r="K786"/>
    </row>
    <row r="787" spans="1:11" x14ac:dyDescent="0.3">
      <c r="A787" s="21" t="s">
        <v>7</v>
      </c>
      <c r="B787" t="str">
        <f>VLOOKUP(A787,Customers!A:B,2,FALSE)</f>
        <v>BrightCart</v>
      </c>
      <c r="C787" s="25" t="s">
        <v>1154</v>
      </c>
      <c r="D787" s="11">
        <v>46089</v>
      </c>
      <c r="E787" s="11">
        <v>46119</v>
      </c>
      <c r="F787" s="5">
        <v>10837.46</v>
      </c>
      <c r="G787" s="3">
        <f>SUMIF(Customer_Payments!B:B,C787,Customer_Payments!E:E)</f>
        <v>10837.46</v>
      </c>
      <c r="H787" s="3">
        <f t="shared" si="36"/>
        <v>0</v>
      </c>
      <c r="I787" s="29">
        <f t="shared" si="37"/>
        <v>-28</v>
      </c>
      <c r="J787" s="31" t="str">
        <f t="shared" si="38"/>
        <v>Current</v>
      </c>
      <c r="K787"/>
    </row>
    <row r="788" spans="1:11" x14ac:dyDescent="0.3">
      <c r="A788" s="20" t="s">
        <v>33</v>
      </c>
      <c r="B788" t="str">
        <f>VLOOKUP(A788,Customers!A:B,2,FALSE)</f>
        <v>CloudCart</v>
      </c>
      <c r="C788" s="24" t="s">
        <v>1155</v>
      </c>
      <c r="D788" s="10">
        <v>46015</v>
      </c>
      <c r="E788" s="10">
        <v>46045</v>
      </c>
      <c r="F788" s="4">
        <v>3531.56</v>
      </c>
      <c r="G788" s="3">
        <f>SUMIF(Customer_Payments!B:B,C788,Customer_Payments!E:E)</f>
        <v>3531.56</v>
      </c>
      <c r="H788" s="3">
        <f t="shared" si="36"/>
        <v>0</v>
      </c>
      <c r="I788" s="29">
        <f t="shared" si="37"/>
        <v>46</v>
      </c>
      <c r="J788" s="31" t="str">
        <f t="shared" si="38"/>
        <v>31-60</v>
      </c>
      <c r="K788"/>
    </row>
    <row r="789" spans="1:11" x14ac:dyDescent="0.3">
      <c r="A789" s="21" t="s">
        <v>61</v>
      </c>
      <c r="B789" t="str">
        <f>VLOOKUP(A789,Customers!A:B,2,FALSE)</f>
        <v>RetailOrbit</v>
      </c>
      <c r="C789" s="25" t="s">
        <v>1156</v>
      </c>
      <c r="D789" s="11">
        <v>46056</v>
      </c>
      <c r="E789" s="11">
        <v>46086</v>
      </c>
      <c r="F789" s="5">
        <v>2019.09</v>
      </c>
      <c r="G789" s="3">
        <f>SUMIF(Customer_Payments!B:B,C789,Customer_Payments!E:E)</f>
        <v>2019.09</v>
      </c>
      <c r="H789" s="3">
        <f t="shared" si="36"/>
        <v>0</v>
      </c>
      <c r="I789" s="29">
        <f t="shared" si="37"/>
        <v>5</v>
      </c>
      <c r="J789" s="31" t="str">
        <f t="shared" si="38"/>
        <v>1-30</v>
      </c>
      <c r="K789"/>
    </row>
    <row r="790" spans="1:11" x14ac:dyDescent="0.3">
      <c r="A790" s="20" t="s">
        <v>53</v>
      </c>
      <c r="B790" t="str">
        <f>VLOOKUP(A790,Customers!A:B,2,FALSE)</f>
        <v>PrimeCart</v>
      </c>
      <c r="C790" s="24" t="s">
        <v>1157</v>
      </c>
      <c r="D790" s="10">
        <v>46062</v>
      </c>
      <c r="E790" s="10">
        <v>46092</v>
      </c>
      <c r="F790" s="4">
        <v>1861.47</v>
      </c>
      <c r="G790" s="3">
        <f>SUMIF(Customer_Payments!B:B,C790,Customer_Payments!E:E)</f>
        <v>1861.47</v>
      </c>
      <c r="H790" s="3">
        <f t="shared" si="36"/>
        <v>0</v>
      </c>
      <c r="I790" s="29">
        <f t="shared" si="37"/>
        <v>-1</v>
      </c>
      <c r="J790" s="31" t="str">
        <f t="shared" si="38"/>
        <v>Current</v>
      </c>
      <c r="K790"/>
    </row>
    <row r="791" spans="1:11" x14ac:dyDescent="0.3">
      <c r="A791" s="21" t="s">
        <v>59</v>
      </c>
      <c r="B791" t="str">
        <f>VLOOKUP(A791,Customers!A:B,2,FALSE)</f>
        <v>MarketBridge</v>
      </c>
      <c r="C791" s="25" t="s">
        <v>1158</v>
      </c>
      <c r="D791" s="11">
        <v>46079</v>
      </c>
      <c r="E791" s="11">
        <v>46109</v>
      </c>
      <c r="F791" s="5">
        <v>3185.78</v>
      </c>
      <c r="G791" s="3">
        <f>SUMIF(Customer_Payments!B:B,C791,Customer_Payments!E:E)</f>
        <v>0</v>
      </c>
      <c r="H791" s="3">
        <f t="shared" si="36"/>
        <v>3185.78</v>
      </c>
      <c r="I791" s="29">
        <f t="shared" si="37"/>
        <v>-18</v>
      </c>
      <c r="J791" s="31" t="str">
        <f t="shared" si="38"/>
        <v>Current</v>
      </c>
      <c r="K791"/>
    </row>
    <row r="792" spans="1:11" x14ac:dyDescent="0.3">
      <c r="A792" s="20" t="s">
        <v>78</v>
      </c>
      <c r="B792" t="str">
        <f>VLOOKUP(A792,Customers!A:B,2,FALSE)</f>
        <v>RetailOrbitX</v>
      </c>
      <c r="C792" s="24" t="s">
        <v>1159</v>
      </c>
      <c r="D792" s="10">
        <v>46025</v>
      </c>
      <c r="E792" s="10">
        <v>46055</v>
      </c>
      <c r="F792" s="4">
        <v>3897.3</v>
      </c>
      <c r="G792" s="3">
        <f>SUMIF(Customer_Payments!B:B,C792,Customer_Payments!E:E)</f>
        <v>3897.3</v>
      </c>
      <c r="H792" s="3">
        <f t="shared" si="36"/>
        <v>0</v>
      </c>
      <c r="I792" s="29">
        <f t="shared" si="37"/>
        <v>36</v>
      </c>
      <c r="J792" s="31" t="str">
        <f t="shared" si="38"/>
        <v>31-60</v>
      </c>
      <c r="K792"/>
    </row>
    <row r="793" spans="1:11" x14ac:dyDescent="0.3">
      <c r="A793" s="21" t="s">
        <v>97</v>
      </c>
      <c r="B793" t="str">
        <f>VLOOKUP(A793,Customers!A:B,2,FALSE)</f>
        <v>RetailSparkX</v>
      </c>
      <c r="C793" s="25" t="s">
        <v>1160</v>
      </c>
      <c r="D793" s="11">
        <v>46111</v>
      </c>
      <c r="E793" s="11">
        <v>46141</v>
      </c>
      <c r="F793" s="5">
        <v>10818.13</v>
      </c>
      <c r="G793" s="3">
        <f>SUMIF(Customer_Payments!B:B,C793,Customer_Payments!E:E)</f>
        <v>10818.13</v>
      </c>
      <c r="H793" s="3">
        <f t="shared" si="36"/>
        <v>0</v>
      </c>
      <c r="I793" s="29">
        <f t="shared" si="37"/>
        <v>-50</v>
      </c>
      <c r="J793" s="31" t="str">
        <f t="shared" si="38"/>
        <v>Current</v>
      </c>
      <c r="K793"/>
    </row>
    <row r="794" spans="1:11" x14ac:dyDescent="0.3">
      <c r="A794" s="20" t="s">
        <v>36</v>
      </c>
      <c r="B794" t="str">
        <f>VLOOKUP(A794,Customers!A:B,2,FALSE)</f>
        <v>RapidMarket</v>
      </c>
      <c r="C794" s="24" t="s">
        <v>1161</v>
      </c>
      <c r="D794" s="10">
        <v>45972</v>
      </c>
      <c r="E794" s="10">
        <v>46002</v>
      </c>
      <c r="F794" s="4">
        <v>13131.76</v>
      </c>
      <c r="G794" s="3">
        <f>SUMIF(Customer_Payments!B:B,C794,Customer_Payments!E:E)</f>
        <v>13131.76</v>
      </c>
      <c r="H794" s="3">
        <f t="shared" si="36"/>
        <v>0</v>
      </c>
      <c r="I794" s="29">
        <f t="shared" si="37"/>
        <v>89</v>
      </c>
      <c r="J794" s="31" t="str">
        <f t="shared" si="38"/>
        <v>61-90</v>
      </c>
      <c r="K794"/>
    </row>
    <row r="795" spans="1:11" x14ac:dyDescent="0.3">
      <c r="A795" s="21" t="s">
        <v>58</v>
      </c>
      <c r="B795" t="str">
        <f>VLOOKUP(A795,Customers!A:B,2,FALSE)</f>
        <v>RetailAxis</v>
      </c>
      <c r="C795" s="25" t="s">
        <v>1162</v>
      </c>
      <c r="D795" s="11">
        <v>45977</v>
      </c>
      <c r="E795" s="11">
        <v>46007</v>
      </c>
      <c r="F795" s="5">
        <v>13358.92</v>
      </c>
      <c r="G795" s="3">
        <f>SUMIF(Customer_Payments!B:B,C795,Customer_Payments!E:E)</f>
        <v>13358.92</v>
      </c>
      <c r="H795" s="3">
        <f t="shared" si="36"/>
        <v>0</v>
      </c>
      <c r="I795" s="29">
        <f t="shared" si="37"/>
        <v>84</v>
      </c>
      <c r="J795" s="31" t="str">
        <f t="shared" si="38"/>
        <v>61-90</v>
      </c>
      <c r="K795"/>
    </row>
    <row r="796" spans="1:11" x14ac:dyDescent="0.3">
      <c r="A796" s="20" t="s">
        <v>13</v>
      </c>
      <c r="B796" t="str">
        <f>VLOOKUP(A796,Customers!A:B,2,FALSE)</f>
        <v>EduNova</v>
      </c>
      <c r="C796" s="24" t="s">
        <v>1163</v>
      </c>
      <c r="D796" s="10">
        <v>45979</v>
      </c>
      <c r="E796" s="10">
        <v>46009</v>
      </c>
      <c r="F796" s="4">
        <v>2800.85</v>
      </c>
      <c r="G796" s="3">
        <f>SUMIF(Customer_Payments!B:B,C796,Customer_Payments!E:E)</f>
        <v>2800.85</v>
      </c>
      <c r="H796" s="3">
        <f t="shared" si="36"/>
        <v>0</v>
      </c>
      <c r="I796" s="29">
        <f t="shared" si="37"/>
        <v>82</v>
      </c>
      <c r="J796" s="31" t="str">
        <f t="shared" si="38"/>
        <v>61-90</v>
      </c>
      <c r="K796"/>
    </row>
    <row r="797" spans="1:11" x14ac:dyDescent="0.3">
      <c r="A797" s="21" t="s">
        <v>112</v>
      </c>
      <c r="B797" t="str">
        <f>VLOOKUP(A797,Customers!A:B,2,FALSE)</f>
        <v>RetailBridgePro</v>
      </c>
      <c r="C797" s="25" t="s">
        <v>1164</v>
      </c>
      <c r="D797" s="11">
        <v>46042</v>
      </c>
      <c r="E797" s="11">
        <v>46072</v>
      </c>
      <c r="F797" s="5">
        <v>4778.21</v>
      </c>
      <c r="G797" s="3">
        <f>SUMIF(Customer_Payments!B:B,C797,Customer_Payments!E:E)</f>
        <v>0</v>
      </c>
      <c r="H797" s="3">
        <f t="shared" si="36"/>
        <v>4778.21</v>
      </c>
      <c r="I797" s="29">
        <f t="shared" si="37"/>
        <v>19</v>
      </c>
      <c r="J797" s="31" t="str">
        <f t="shared" si="38"/>
        <v>1-30</v>
      </c>
      <c r="K797"/>
    </row>
    <row r="798" spans="1:11" x14ac:dyDescent="0.3">
      <c r="A798" s="20" t="s">
        <v>40</v>
      </c>
      <c r="B798" t="str">
        <f>VLOOKUP(A798,Customers!A:B,2,FALSE)</f>
        <v>GlobalCart</v>
      </c>
      <c r="C798" s="24" t="s">
        <v>1165</v>
      </c>
      <c r="D798" s="10">
        <v>45975</v>
      </c>
      <c r="E798" s="10">
        <v>46005</v>
      </c>
      <c r="F798" s="4">
        <v>4943.34</v>
      </c>
      <c r="G798" s="3">
        <f>SUMIF(Customer_Payments!B:B,C798,Customer_Payments!E:E)</f>
        <v>4943.34</v>
      </c>
      <c r="H798" s="3">
        <f t="shared" si="36"/>
        <v>0</v>
      </c>
      <c r="I798" s="29">
        <f t="shared" si="37"/>
        <v>86</v>
      </c>
      <c r="J798" s="31" t="str">
        <f t="shared" si="38"/>
        <v>61-90</v>
      </c>
      <c r="K798"/>
    </row>
    <row r="799" spans="1:11" x14ac:dyDescent="0.3">
      <c r="A799" s="21" t="s">
        <v>58</v>
      </c>
      <c r="B799" t="str">
        <f>VLOOKUP(A799,Customers!A:B,2,FALSE)</f>
        <v>RetailAxis</v>
      </c>
      <c r="C799" s="25" t="s">
        <v>1166</v>
      </c>
      <c r="D799" s="11">
        <v>45969</v>
      </c>
      <c r="E799" s="11">
        <v>45999</v>
      </c>
      <c r="F799" s="5">
        <v>4741.67</v>
      </c>
      <c r="G799" s="3">
        <f>SUMIF(Customer_Payments!B:B,C799,Customer_Payments!E:E)</f>
        <v>4741.67</v>
      </c>
      <c r="H799" s="3">
        <f t="shared" si="36"/>
        <v>0</v>
      </c>
      <c r="I799" s="29">
        <f t="shared" si="37"/>
        <v>92</v>
      </c>
      <c r="J799" s="31" t="str">
        <f t="shared" si="38"/>
        <v>90+</v>
      </c>
      <c r="K799"/>
    </row>
    <row r="800" spans="1:11" x14ac:dyDescent="0.3">
      <c r="A800" s="20" t="s">
        <v>14</v>
      </c>
      <c r="B800" t="str">
        <f>VLOOKUP(A800,Customers!A:B,2,FALSE)</f>
        <v>MarketPulse</v>
      </c>
      <c r="C800" s="24" t="s">
        <v>1167</v>
      </c>
      <c r="D800" s="10">
        <v>46050</v>
      </c>
      <c r="E800" s="10">
        <v>46080</v>
      </c>
      <c r="F800" s="4">
        <v>3718.65</v>
      </c>
      <c r="G800" s="3">
        <f>SUMIF(Customer_Payments!B:B,C800,Customer_Payments!E:E)</f>
        <v>0</v>
      </c>
      <c r="H800" s="3">
        <f t="shared" si="36"/>
        <v>3718.65</v>
      </c>
      <c r="I800" s="29">
        <f t="shared" si="37"/>
        <v>11</v>
      </c>
      <c r="J800" s="31" t="str">
        <f t="shared" si="38"/>
        <v>1-30</v>
      </c>
      <c r="K800"/>
    </row>
    <row r="801" spans="1:11" x14ac:dyDescent="0.3">
      <c r="A801" s="21" t="s">
        <v>91</v>
      </c>
      <c r="B801" t="str">
        <f>VLOOKUP(A801,Customers!A:B,2,FALSE)</f>
        <v>RetailBridgeX</v>
      </c>
      <c r="C801" s="25" t="s">
        <v>1168</v>
      </c>
      <c r="D801" s="11">
        <v>45976</v>
      </c>
      <c r="E801" s="11">
        <v>46006</v>
      </c>
      <c r="F801" s="5">
        <v>5280.58</v>
      </c>
      <c r="G801" s="3">
        <f>SUMIF(Customer_Payments!B:B,C801,Customer_Payments!E:E)</f>
        <v>5280.58</v>
      </c>
      <c r="H801" s="3">
        <f t="shared" si="36"/>
        <v>0</v>
      </c>
      <c r="I801" s="29">
        <f t="shared" si="37"/>
        <v>85</v>
      </c>
      <c r="J801" s="31" t="str">
        <f t="shared" si="38"/>
        <v>61-90</v>
      </c>
      <c r="K801"/>
    </row>
    <row r="802" spans="1:11" x14ac:dyDescent="0.3">
      <c r="A802" s="20" t="s">
        <v>96</v>
      </c>
      <c r="B802" t="str">
        <f>VLOOKUP(A802,Customers!A:B,2,FALSE)</f>
        <v>RetailLabs</v>
      </c>
      <c r="C802" s="24" t="s">
        <v>1169</v>
      </c>
      <c r="D802" s="10">
        <v>46011</v>
      </c>
      <c r="E802" s="10">
        <v>46041</v>
      </c>
      <c r="F802" s="4">
        <v>3200.41</v>
      </c>
      <c r="G802" s="3">
        <f>SUMIF(Customer_Payments!B:B,C802,Customer_Payments!E:E)</f>
        <v>3200.41</v>
      </c>
      <c r="H802" s="3">
        <f t="shared" si="36"/>
        <v>0</v>
      </c>
      <c r="I802" s="29">
        <f t="shared" si="37"/>
        <v>50</v>
      </c>
      <c r="J802" s="31" t="str">
        <f t="shared" si="38"/>
        <v>31-60</v>
      </c>
      <c r="K802"/>
    </row>
    <row r="803" spans="1:11" x14ac:dyDescent="0.3">
      <c r="A803" s="21" t="s">
        <v>90</v>
      </c>
      <c r="B803" t="str">
        <f>VLOOKUP(A803,Customers!A:B,2,FALSE)</f>
        <v>RetailPulseX</v>
      </c>
      <c r="C803" s="25" t="s">
        <v>1170</v>
      </c>
      <c r="D803" s="11">
        <v>46059</v>
      </c>
      <c r="E803" s="11">
        <v>46089</v>
      </c>
      <c r="F803" s="5">
        <v>5230.38</v>
      </c>
      <c r="G803" s="3">
        <f>SUMIF(Customer_Payments!B:B,C803,Customer_Payments!E:E)</f>
        <v>5230.38</v>
      </c>
      <c r="H803" s="3">
        <f t="shared" si="36"/>
        <v>0</v>
      </c>
      <c r="I803" s="29">
        <f t="shared" si="37"/>
        <v>2</v>
      </c>
      <c r="J803" s="31" t="str">
        <f t="shared" si="38"/>
        <v>1-30</v>
      </c>
      <c r="K803"/>
    </row>
    <row r="804" spans="1:11" x14ac:dyDescent="0.3">
      <c r="A804" s="20" t="s">
        <v>52</v>
      </c>
      <c r="B804" t="str">
        <f>VLOOKUP(A804,Customers!A:B,2,FALSE)</f>
        <v>RetailShift</v>
      </c>
      <c r="C804" s="24" t="s">
        <v>1171</v>
      </c>
      <c r="D804" s="10">
        <v>46027</v>
      </c>
      <c r="E804" s="10">
        <v>46057</v>
      </c>
      <c r="F804" s="4">
        <v>3570.78</v>
      </c>
      <c r="G804" s="3">
        <f>SUMIF(Customer_Payments!B:B,C804,Customer_Payments!E:E)</f>
        <v>0</v>
      </c>
      <c r="H804" s="3">
        <f t="shared" si="36"/>
        <v>3570.78</v>
      </c>
      <c r="I804" s="29">
        <f t="shared" si="37"/>
        <v>34</v>
      </c>
      <c r="J804" s="31" t="str">
        <f t="shared" si="38"/>
        <v>31-60</v>
      </c>
      <c r="K804"/>
    </row>
    <row r="805" spans="1:11" x14ac:dyDescent="0.3">
      <c r="A805" s="21" t="s">
        <v>101</v>
      </c>
      <c r="B805" t="str">
        <f>VLOOKUP(A805,Customers!A:B,2,FALSE)</f>
        <v>RetailMatrixPro</v>
      </c>
      <c r="C805" s="25" t="s">
        <v>1172</v>
      </c>
      <c r="D805" s="11">
        <v>46028</v>
      </c>
      <c r="E805" s="11">
        <v>46058</v>
      </c>
      <c r="F805" s="5">
        <v>1724.5</v>
      </c>
      <c r="G805" s="3">
        <f>SUMIF(Customer_Payments!B:B,C805,Customer_Payments!E:E)</f>
        <v>1724.5</v>
      </c>
      <c r="H805" s="3">
        <f t="shared" si="36"/>
        <v>0</v>
      </c>
      <c r="I805" s="29">
        <f t="shared" si="37"/>
        <v>33</v>
      </c>
      <c r="J805" s="31" t="str">
        <f t="shared" si="38"/>
        <v>31-60</v>
      </c>
      <c r="K805"/>
    </row>
    <row r="806" spans="1:11" x14ac:dyDescent="0.3">
      <c r="A806" s="20" t="s">
        <v>113</v>
      </c>
      <c r="B806" t="str">
        <f>VLOOKUP(A806,Customers!A:B,2,FALSE)</f>
        <v>RetailSpherePro</v>
      </c>
      <c r="C806" s="24" t="s">
        <v>1173</v>
      </c>
      <c r="D806" s="10">
        <v>45995</v>
      </c>
      <c r="E806" s="10">
        <v>46025</v>
      </c>
      <c r="F806" s="4">
        <v>1489.4</v>
      </c>
      <c r="G806" s="3">
        <f>SUMIF(Customer_Payments!B:B,C806,Customer_Payments!E:E)</f>
        <v>1489.4</v>
      </c>
      <c r="H806" s="3">
        <f t="shared" si="36"/>
        <v>0</v>
      </c>
      <c r="I806" s="29">
        <f t="shared" si="37"/>
        <v>66</v>
      </c>
      <c r="J806" s="31" t="str">
        <f t="shared" si="38"/>
        <v>61-90</v>
      </c>
      <c r="K806"/>
    </row>
    <row r="807" spans="1:11" x14ac:dyDescent="0.3">
      <c r="A807" s="21" t="s">
        <v>42</v>
      </c>
      <c r="B807" t="str">
        <f>VLOOKUP(A807,Customers!A:B,2,FALSE)</f>
        <v>RetailWorks</v>
      </c>
      <c r="C807" s="25" t="s">
        <v>1174</v>
      </c>
      <c r="D807" s="11">
        <v>46043</v>
      </c>
      <c r="E807" s="11">
        <v>46073</v>
      </c>
      <c r="F807" s="5">
        <v>4081.01</v>
      </c>
      <c r="G807" s="3">
        <f>SUMIF(Customer_Payments!B:B,C807,Customer_Payments!E:E)</f>
        <v>0</v>
      </c>
      <c r="H807" s="3">
        <f t="shared" si="36"/>
        <v>4081.01</v>
      </c>
      <c r="I807" s="29">
        <f t="shared" si="37"/>
        <v>18</v>
      </c>
      <c r="J807" s="31" t="str">
        <f t="shared" si="38"/>
        <v>1-30</v>
      </c>
      <c r="K807"/>
    </row>
    <row r="808" spans="1:11" x14ac:dyDescent="0.3">
      <c r="A808" s="20" t="s">
        <v>80</v>
      </c>
      <c r="B808" t="str">
        <f>VLOOKUP(A808,Customers!A:B,2,FALSE)</f>
        <v>RetailEdgeX</v>
      </c>
      <c r="C808" s="24" t="s">
        <v>1175</v>
      </c>
      <c r="D808" s="10">
        <v>45996</v>
      </c>
      <c r="E808" s="10">
        <v>46026</v>
      </c>
      <c r="F808" s="4">
        <v>5212.7299999999996</v>
      </c>
      <c r="G808" s="3">
        <f>SUMIF(Customer_Payments!B:B,C808,Customer_Payments!E:E)</f>
        <v>0</v>
      </c>
      <c r="H808" s="3">
        <f t="shared" si="36"/>
        <v>5212.7299999999996</v>
      </c>
      <c r="I808" s="29">
        <f t="shared" si="37"/>
        <v>65</v>
      </c>
      <c r="J808" s="31" t="str">
        <f t="shared" si="38"/>
        <v>61-90</v>
      </c>
      <c r="K808"/>
    </row>
    <row r="809" spans="1:11" x14ac:dyDescent="0.3">
      <c r="A809" s="21" t="s">
        <v>16</v>
      </c>
      <c r="B809" t="str">
        <f>VLOOKUP(A809,Customers!A:B,2,FALSE)</f>
        <v>RetailHub</v>
      </c>
      <c r="C809" s="25" t="s">
        <v>1176</v>
      </c>
      <c r="D809" s="11">
        <v>46045</v>
      </c>
      <c r="E809" s="11">
        <v>46075</v>
      </c>
      <c r="F809" s="5">
        <v>2713.33</v>
      </c>
      <c r="G809" s="3">
        <f>SUMIF(Customer_Payments!B:B,C809,Customer_Payments!E:E)</f>
        <v>2713.33</v>
      </c>
      <c r="H809" s="3">
        <f t="shared" si="36"/>
        <v>0</v>
      </c>
      <c r="I809" s="29">
        <f t="shared" si="37"/>
        <v>16</v>
      </c>
      <c r="J809" s="31" t="str">
        <f t="shared" si="38"/>
        <v>1-30</v>
      </c>
      <c r="K809"/>
    </row>
    <row r="810" spans="1:11" x14ac:dyDescent="0.3">
      <c r="A810" s="20" t="s">
        <v>119</v>
      </c>
      <c r="B810" t="str">
        <f>VLOOKUP(A810,Customers!A:B,2,FALSE)</f>
        <v>RetailNovaGlobal</v>
      </c>
      <c r="C810" s="24" t="s">
        <v>1177</v>
      </c>
      <c r="D810" s="10">
        <v>46100</v>
      </c>
      <c r="E810" s="10">
        <v>46130</v>
      </c>
      <c r="F810" s="4">
        <v>3211.95</v>
      </c>
      <c r="G810" s="3">
        <f>SUMIF(Customer_Payments!B:B,C810,Customer_Payments!E:E)</f>
        <v>0</v>
      </c>
      <c r="H810" s="3">
        <f t="shared" si="36"/>
        <v>3211.95</v>
      </c>
      <c r="I810" s="29">
        <f t="shared" si="37"/>
        <v>-39</v>
      </c>
      <c r="J810" s="31" t="str">
        <f t="shared" si="38"/>
        <v>Current</v>
      </c>
      <c r="K810"/>
    </row>
    <row r="811" spans="1:11" x14ac:dyDescent="0.3">
      <c r="A811" s="21" t="s">
        <v>55</v>
      </c>
      <c r="B811" t="str">
        <f>VLOOKUP(A811,Customers!A:B,2,FALSE)</f>
        <v>CommerceLabs</v>
      </c>
      <c r="C811" s="25" t="s">
        <v>1178</v>
      </c>
      <c r="D811" s="11">
        <v>46091</v>
      </c>
      <c r="E811" s="11">
        <v>46121</v>
      </c>
      <c r="F811" s="5">
        <v>3938.41</v>
      </c>
      <c r="G811" s="3">
        <f>SUMIF(Customer_Payments!B:B,C811,Customer_Payments!E:E)</f>
        <v>3938.41</v>
      </c>
      <c r="H811" s="3">
        <f t="shared" si="36"/>
        <v>0</v>
      </c>
      <c r="I811" s="29">
        <f t="shared" si="37"/>
        <v>-30</v>
      </c>
      <c r="J811" s="31" t="str">
        <f t="shared" si="38"/>
        <v>Current</v>
      </c>
      <c r="K811"/>
    </row>
    <row r="812" spans="1:11" x14ac:dyDescent="0.3">
      <c r="A812" s="20" t="s">
        <v>65</v>
      </c>
      <c r="B812" t="str">
        <f>VLOOKUP(A812,Customers!A:B,2,FALSE)</f>
        <v>RetailFlow</v>
      </c>
      <c r="C812" s="24" t="s">
        <v>1179</v>
      </c>
      <c r="D812" s="10">
        <v>46017</v>
      </c>
      <c r="E812" s="10">
        <v>46047</v>
      </c>
      <c r="F812" s="4">
        <v>3477.08</v>
      </c>
      <c r="G812" s="3">
        <f>SUMIF(Customer_Payments!B:B,C812,Customer_Payments!E:E)</f>
        <v>0</v>
      </c>
      <c r="H812" s="3">
        <f t="shared" si="36"/>
        <v>3477.08</v>
      </c>
      <c r="I812" s="29">
        <f t="shared" si="37"/>
        <v>44</v>
      </c>
      <c r="J812" s="31" t="str">
        <f t="shared" si="38"/>
        <v>31-60</v>
      </c>
      <c r="K812"/>
    </row>
    <row r="813" spans="1:11" x14ac:dyDescent="0.3">
      <c r="A813" s="21" t="s">
        <v>40</v>
      </c>
      <c r="B813" t="str">
        <f>VLOOKUP(A813,Customers!A:B,2,FALSE)</f>
        <v>GlobalCart</v>
      </c>
      <c r="C813" s="25" t="s">
        <v>1180</v>
      </c>
      <c r="D813" s="11">
        <v>46111</v>
      </c>
      <c r="E813" s="11">
        <v>46141</v>
      </c>
      <c r="F813" s="5">
        <v>1771.72</v>
      </c>
      <c r="G813" s="3">
        <f>SUMIF(Customer_Payments!B:B,C813,Customer_Payments!E:E)</f>
        <v>1771.72</v>
      </c>
      <c r="H813" s="3">
        <f t="shared" si="36"/>
        <v>0</v>
      </c>
      <c r="I813" s="29">
        <f t="shared" si="37"/>
        <v>-50</v>
      </c>
      <c r="J813" s="31" t="str">
        <f t="shared" si="38"/>
        <v>Current</v>
      </c>
      <c r="K813"/>
    </row>
    <row r="814" spans="1:11" x14ac:dyDescent="0.3">
      <c r="A814" s="20" t="s">
        <v>36</v>
      </c>
      <c r="B814" t="str">
        <f>VLOOKUP(A814,Customers!A:B,2,FALSE)</f>
        <v>RapidMarket</v>
      </c>
      <c r="C814" s="24" t="s">
        <v>1181</v>
      </c>
      <c r="D814" s="10">
        <v>46069</v>
      </c>
      <c r="E814" s="10">
        <v>46099</v>
      </c>
      <c r="F814" s="4">
        <v>2859.21</v>
      </c>
      <c r="G814" s="3">
        <f>SUMIF(Customer_Payments!B:B,C814,Customer_Payments!E:E)</f>
        <v>2859.21</v>
      </c>
      <c r="H814" s="3">
        <f t="shared" si="36"/>
        <v>0</v>
      </c>
      <c r="I814" s="29">
        <f t="shared" si="37"/>
        <v>-8</v>
      </c>
      <c r="J814" s="31" t="str">
        <f t="shared" si="38"/>
        <v>Current</v>
      </c>
      <c r="K814"/>
    </row>
    <row r="815" spans="1:11" x14ac:dyDescent="0.3">
      <c r="A815" s="21" t="s">
        <v>96</v>
      </c>
      <c r="B815" t="str">
        <f>VLOOKUP(A815,Customers!A:B,2,FALSE)</f>
        <v>RetailLabs</v>
      </c>
      <c r="C815" s="25" t="s">
        <v>1182</v>
      </c>
      <c r="D815" s="11">
        <v>46066</v>
      </c>
      <c r="E815" s="11">
        <v>46096</v>
      </c>
      <c r="F815" s="5">
        <v>2412.4299999999998</v>
      </c>
      <c r="G815" s="3">
        <f>SUMIF(Customer_Payments!B:B,C815,Customer_Payments!E:E)</f>
        <v>2412.4299999999998</v>
      </c>
      <c r="H815" s="3">
        <f t="shared" si="36"/>
        <v>0</v>
      </c>
      <c r="I815" s="29">
        <f t="shared" si="37"/>
        <v>-5</v>
      </c>
      <c r="J815" s="31" t="str">
        <f t="shared" si="38"/>
        <v>Current</v>
      </c>
      <c r="K815"/>
    </row>
    <row r="816" spans="1:11" x14ac:dyDescent="0.3">
      <c r="A816" s="20" t="s">
        <v>112</v>
      </c>
      <c r="B816" t="str">
        <f>VLOOKUP(A816,Customers!A:B,2,FALSE)</f>
        <v>RetailBridgePro</v>
      </c>
      <c r="C816" s="24" t="s">
        <v>1183</v>
      </c>
      <c r="D816" s="10">
        <v>46099</v>
      </c>
      <c r="E816" s="10">
        <v>46129</v>
      </c>
      <c r="F816" s="4">
        <v>2248.2600000000002</v>
      </c>
      <c r="G816" s="3">
        <f>SUMIF(Customer_Payments!B:B,C816,Customer_Payments!E:E)</f>
        <v>2248.2600000000002</v>
      </c>
      <c r="H816" s="3">
        <f t="shared" si="36"/>
        <v>0</v>
      </c>
      <c r="I816" s="29">
        <f t="shared" si="37"/>
        <v>-38</v>
      </c>
      <c r="J816" s="31" t="str">
        <f t="shared" si="38"/>
        <v>Current</v>
      </c>
      <c r="K816"/>
    </row>
    <row r="817" spans="1:11" x14ac:dyDescent="0.3">
      <c r="A817" s="21" t="s">
        <v>34</v>
      </c>
      <c r="B817" t="str">
        <f>VLOOKUP(A817,Customers!A:B,2,FALSE)</f>
        <v>OptiCommerce</v>
      </c>
      <c r="C817" s="25" t="s">
        <v>1184</v>
      </c>
      <c r="D817" s="11">
        <v>46109</v>
      </c>
      <c r="E817" s="11">
        <v>46139</v>
      </c>
      <c r="F817" s="5">
        <v>2076.0300000000002</v>
      </c>
      <c r="G817" s="3">
        <f>SUMIF(Customer_Payments!B:B,C817,Customer_Payments!E:E)</f>
        <v>2076.0300000000002</v>
      </c>
      <c r="H817" s="3">
        <f t="shared" si="36"/>
        <v>0</v>
      </c>
      <c r="I817" s="29">
        <f t="shared" si="37"/>
        <v>-48</v>
      </c>
      <c r="J817" s="31" t="str">
        <f t="shared" si="38"/>
        <v>Current</v>
      </c>
      <c r="K817"/>
    </row>
    <row r="818" spans="1:11" x14ac:dyDescent="0.3">
      <c r="A818" s="20" t="s">
        <v>31</v>
      </c>
      <c r="B818" t="str">
        <f>VLOOKUP(A818,Customers!A:B,2,FALSE)</f>
        <v>SparkRetail</v>
      </c>
      <c r="C818" s="24" t="s">
        <v>1185</v>
      </c>
      <c r="D818" s="10">
        <v>45966</v>
      </c>
      <c r="E818" s="10">
        <v>45996</v>
      </c>
      <c r="F818" s="4">
        <v>3176.71</v>
      </c>
      <c r="G818" s="3">
        <f>SUMIF(Customer_Payments!B:B,C818,Customer_Payments!E:E)</f>
        <v>0</v>
      </c>
      <c r="H818" s="3">
        <f t="shared" si="36"/>
        <v>3176.71</v>
      </c>
      <c r="I818" s="29">
        <f t="shared" si="37"/>
        <v>95</v>
      </c>
      <c r="J818" s="31" t="str">
        <f t="shared" si="38"/>
        <v>90+</v>
      </c>
      <c r="K818"/>
    </row>
    <row r="819" spans="1:11" x14ac:dyDescent="0.3">
      <c r="A819" s="21" t="s">
        <v>40</v>
      </c>
      <c r="B819" t="str">
        <f>VLOOKUP(A819,Customers!A:B,2,FALSE)</f>
        <v>GlobalCart</v>
      </c>
      <c r="C819" s="25" t="s">
        <v>1186</v>
      </c>
      <c r="D819" s="11">
        <v>46084</v>
      </c>
      <c r="E819" s="11">
        <v>46114</v>
      </c>
      <c r="F819" s="5">
        <v>13138.14</v>
      </c>
      <c r="G819" s="3">
        <f>SUMIF(Customer_Payments!B:B,C819,Customer_Payments!E:E)</f>
        <v>13138.14</v>
      </c>
      <c r="H819" s="3">
        <f t="shared" si="36"/>
        <v>0</v>
      </c>
      <c r="I819" s="29">
        <f t="shared" si="37"/>
        <v>-23</v>
      </c>
      <c r="J819" s="31" t="str">
        <f t="shared" si="38"/>
        <v>Current</v>
      </c>
      <c r="K819"/>
    </row>
    <row r="820" spans="1:11" x14ac:dyDescent="0.3">
      <c r="A820" s="20" t="s">
        <v>52</v>
      </c>
      <c r="B820" t="str">
        <f>VLOOKUP(A820,Customers!A:B,2,FALSE)</f>
        <v>RetailShift</v>
      </c>
      <c r="C820" s="24" t="s">
        <v>1187</v>
      </c>
      <c r="D820" s="10">
        <v>46053</v>
      </c>
      <c r="E820" s="10">
        <v>46083</v>
      </c>
      <c r="F820" s="4">
        <v>4458.42</v>
      </c>
      <c r="G820" s="3">
        <f>SUMIF(Customer_Payments!B:B,C820,Customer_Payments!E:E)</f>
        <v>0</v>
      </c>
      <c r="H820" s="3">
        <f t="shared" si="36"/>
        <v>4458.42</v>
      </c>
      <c r="I820" s="29">
        <f t="shared" si="37"/>
        <v>8</v>
      </c>
      <c r="J820" s="31" t="str">
        <f t="shared" si="38"/>
        <v>1-30</v>
      </c>
      <c r="K820"/>
    </row>
    <row r="821" spans="1:11" x14ac:dyDescent="0.3">
      <c r="A821" s="21" t="s">
        <v>91</v>
      </c>
      <c r="B821" t="str">
        <f>VLOOKUP(A821,Customers!A:B,2,FALSE)</f>
        <v>RetailBridgeX</v>
      </c>
      <c r="C821" s="25" t="s">
        <v>1188</v>
      </c>
      <c r="D821" s="11">
        <v>46040</v>
      </c>
      <c r="E821" s="11">
        <v>46070</v>
      </c>
      <c r="F821" s="5">
        <v>5557.88</v>
      </c>
      <c r="G821" s="3">
        <f>SUMIF(Customer_Payments!B:B,C821,Customer_Payments!E:E)</f>
        <v>5557.88</v>
      </c>
      <c r="H821" s="3">
        <f t="shared" si="36"/>
        <v>0</v>
      </c>
      <c r="I821" s="29">
        <f t="shared" si="37"/>
        <v>21</v>
      </c>
      <c r="J821" s="31" t="str">
        <f t="shared" si="38"/>
        <v>1-30</v>
      </c>
      <c r="K821"/>
    </row>
    <row r="822" spans="1:11" x14ac:dyDescent="0.3">
      <c r="A822" s="20" t="s">
        <v>115</v>
      </c>
      <c r="B822" t="str">
        <f>VLOOKUP(A822,Customers!A:B,2,FALSE)</f>
        <v>RetailDynamicsPro</v>
      </c>
      <c r="C822" s="24" t="s">
        <v>1189</v>
      </c>
      <c r="D822" s="10">
        <v>46037</v>
      </c>
      <c r="E822" s="10">
        <v>46067</v>
      </c>
      <c r="F822" s="4">
        <v>12546.37</v>
      </c>
      <c r="G822" s="3">
        <f>SUMIF(Customer_Payments!B:B,C822,Customer_Payments!E:E)</f>
        <v>0</v>
      </c>
      <c r="H822" s="3">
        <f t="shared" si="36"/>
        <v>12546.37</v>
      </c>
      <c r="I822" s="29">
        <f t="shared" si="37"/>
        <v>24</v>
      </c>
      <c r="J822" s="31" t="str">
        <f t="shared" si="38"/>
        <v>1-30</v>
      </c>
      <c r="K822"/>
    </row>
    <row r="823" spans="1:11" x14ac:dyDescent="0.3">
      <c r="A823" s="21" t="s">
        <v>119</v>
      </c>
      <c r="B823" t="str">
        <f>VLOOKUP(A823,Customers!A:B,2,FALSE)</f>
        <v>RetailNovaGlobal</v>
      </c>
      <c r="C823" s="25" t="s">
        <v>1190</v>
      </c>
      <c r="D823" s="11">
        <v>46039</v>
      </c>
      <c r="E823" s="11">
        <v>46069</v>
      </c>
      <c r="F823" s="5">
        <v>11381.74</v>
      </c>
      <c r="G823" s="3">
        <f>SUMIF(Customer_Payments!B:B,C823,Customer_Payments!E:E)</f>
        <v>0</v>
      </c>
      <c r="H823" s="3">
        <f t="shared" si="36"/>
        <v>11381.74</v>
      </c>
      <c r="I823" s="29">
        <f t="shared" si="37"/>
        <v>22</v>
      </c>
      <c r="J823" s="31" t="str">
        <f t="shared" si="38"/>
        <v>1-30</v>
      </c>
      <c r="K823"/>
    </row>
    <row r="824" spans="1:11" x14ac:dyDescent="0.3">
      <c r="A824" s="20" t="s">
        <v>124</v>
      </c>
      <c r="B824" t="str">
        <f>VLOOKUP(A824,Customers!A:B,2,FALSE)</f>
        <v>RetailOrbitGlobal</v>
      </c>
      <c r="C824" s="24" t="s">
        <v>1191</v>
      </c>
      <c r="D824" s="10">
        <v>45971</v>
      </c>
      <c r="E824" s="10">
        <v>46001</v>
      </c>
      <c r="F824" s="4">
        <v>4016.28</v>
      </c>
      <c r="G824" s="3">
        <f>SUMIF(Customer_Payments!B:B,C824,Customer_Payments!E:E)</f>
        <v>0</v>
      </c>
      <c r="H824" s="3">
        <f t="shared" si="36"/>
        <v>4016.28</v>
      </c>
      <c r="I824" s="29">
        <f t="shared" si="37"/>
        <v>90</v>
      </c>
      <c r="J824" s="31" t="str">
        <f t="shared" si="38"/>
        <v>61-90</v>
      </c>
      <c r="K824"/>
    </row>
    <row r="825" spans="1:11" x14ac:dyDescent="0.3">
      <c r="A825" s="21" t="s">
        <v>74</v>
      </c>
      <c r="B825" t="str">
        <f>VLOOKUP(A825,Customers!A:B,2,FALSE)</f>
        <v>RetailPrime</v>
      </c>
      <c r="C825" s="25" t="s">
        <v>1192</v>
      </c>
      <c r="D825" s="11">
        <v>45972</v>
      </c>
      <c r="E825" s="11">
        <v>46002</v>
      </c>
      <c r="F825" s="5">
        <v>3192.37</v>
      </c>
      <c r="G825" s="3">
        <f>SUMIF(Customer_Payments!B:B,C825,Customer_Payments!E:E)</f>
        <v>3192.37</v>
      </c>
      <c r="H825" s="3">
        <f t="shared" si="36"/>
        <v>0</v>
      </c>
      <c r="I825" s="29">
        <f t="shared" si="37"/>
        <v>89</v>
      </c>
      <c r="J825" s="31" t="str">
        <f t="shared" si="38"/>
        <v>61-90</v>
      </c>
      <c r="K825"/>
    </row>
    <row r="826" spans="1:11" x14ac:dyDescent="0.3">
      <c r="A826" s="20" t="s">
        <v>57</v>
      </c>
      <c r="B826" t="str">
        <f>VLOOKUP(A826,Customers!A:B,2,FALSE)</f>
        <v>MarketGenius</v>
      </c>
      <c r="C826" s="24" t="s">
        <v>1193</v>
      </c>
      <c r="D826" s="10">
        <v>46023</v>
      </c>
      <c r="E826" s="10">
        <v>46053</v>
      </c>
      <c r="F826" s="4">
        <v>11895.94</v>
      </c>
      <c r="G826" s="3">
        <f>SUMIF(Customer_Payments!B:B,C826,Customer_Payments!E:E)</f>
        <v>11895.94</v>
      </c>
      <c r="H826" s="3">
        <f t="shared" si="36"/>
        <v>0</v>
      </c>
      <c r="I826" s="29">
        <f t="shared" si="37"/>
        <v>38</v>
      </c>
      <c r="J826" s="31" t="str">
        <f t="shared" si="38"/>
        <v>31-60</v>
      </c>
      <c r="K826"/>
    </row>
    <row r="827" spans="1:11" x14ac:dyDescent="0.3">
      <c r="A827" s="21" t="s">
        <v>65</v>
      </c>
      <c r="B827" t="str">
        <f>VLOOKUP(A827,Customers!A:B,2,FALSE)</f>
        <v>RetailFlow</v>
      </c>
      <c r="C827" s="25" t="s">
        <v>1194</v>
      </c>
      <c r="D827" s="11">
        <v>46089</v>
      </c>
      <c r="E827" s="11">
        <v>46119</v>
      </c>
      <c r="F827" s="5">
        <v>1998.65</v>
      </c>
      <c r="G827" s="3">
        <f>SUMIF(Customer_Payments!B:B,C827,Customer_Payments!E:E)</f>
        <v>1998.65</v>
      </c>
      <c r="H827" s="3">
        <f t="shared" si="36"/>
        <v>0</v>
      </c>
      <c r="I827" s="29">
        <f t="shared" si="37"/>
        <v>-28</v>
      </c>
      <c r="J827" s="31" t="str">
        <f t="shared" si="38"/>
        <v>Current</v>
      </c>
      <c r="K827"/>
    </row>
    <row r="828" spans="1:11" x14ac:dyDescent="0.3">
      <c r="A828" s="20" t="s">
        <v>81</v>
      </c>
      <c r="B828" t="str">
        <f>VLOOKUP(A828,Customers!A:B,2,FALSE)</f>
        <v>RetailFlowX</v>
      </c>
      <c r="C828" s="24" t="s">
        <v>1195</v>
      </c>
      <c r="D828" s="10">
        <v>45981</v>
      </c>
      <c r="E828" s="10">
        <v>46011</v>
      </c>
      <c r="F828" s="4">
        <v>2689.21</v>
      </c>
      <c r="G828" s="3">
        <f>SUMIF(Customer_Payments!B:B,C828,Customer_Payments!E:E)</f>
        <v>2689.21</v>
      </c>
      <c r="H828" s="3">
        <f t="shared" si="36"/>
        <v>0</v>
      </c>
      <c r="I828" s="29">
        <f t="shared" si="37"/>
        <v>80</v>
      </c>
      <c r="J828" s="31" t="str">
        <f t="shared" si="38"/>
        <v>61-90</v>
      </c>
      <c r="K828"/>
    </row>
    <row r="829" spans="1:11" x14ac:dyDescent="0.3">
      <c r="A829" s="21" t="s">
        <v>40</v>
      </c>
      <c r="B829" t="str">
        <f>VLOOKUP(A829,Customers!A:B,2,FALSE)</f>
        <v>GlobalCart</v>
      </c>
      <c r="C829" s="25" t="s">
        <v>1196</v>
      </c>
      <c r="D829" s="11">
        <v>46103</v>
      </c>
      <c r="E829" s="11">
        <v>46133</v>
      </c>
      <c r="F829" s="5">
        <v>2790.52</v>
      </c>
      <c r="G829" s="3">
        <f>SUMIF(Customer_Payments!B:B,C829,Customer_Payments!E:E)</f>
        <v>2790.52</v>
      </c>
      <c r="H829" s="3">
        <f t="shared" si="36"/>
        <v>0</v>
      </c>
      <c r="I829" s="29">
        <f t="shared" si="37"/>
        <v>-42</v>
      </c>
      <c r="J829" s="31" t="str">
        <f t="shared" si="38"/>
        <v>Current</v>
      </c>
      <c r="K829"/>
    </row>
    <row r="830" spans="1:11" x14ac:dyDescent="0.3">
      <c r="A830" s="20" t="s">
        <v>70</v>
      </c>
      <c r="B830" t="str">
        <f>VLOOKUP(A830,Customers!A:B,2,FALSE)</f>
        <v>RetailPath</v>
      </c>
      <c r="C830" s="24" t="s">
        <v>1197</v>
      </c>
      <c r="D830" s="10">
        <v>46069</v>
      </c>
      <c r="E830" s="10">
        <v>46099</v>
      </c>
      <c r="F830" s="4">
        <v>4538.82</v>
      </c>
      <c r="G830" s="3">
        <f>SUMIF(Customer_Payments!B:B,C830,Customer_Payments!E:E)</f>
        <v>4538.82</v>
      </c>
      <c r="H830" s="3">
        <f t="shared" si="36"/>
        <v>0</v>
      </c>
      <c r="I830" s="29">
        <f t="shared" si="37"/>
        <v>-8</v>
      </c>
      <c r="J830" s="31" t="str">
        <f t="shared" si="38"/>
        <v>Current</v>
      </c>
      <c r="K830"/>
    </row>
    <row r="831" spans="1:11" x14ac:dyDescent="0.3">
      <c r="A831" s="21" t="s">
        <v>58</v>
      </c>
      <c r="B831" t="str">
        <f>VLOOKUP(A831,Customers!A:B,2,FALSE)</f>
        <v>RetailAxis</v>
      </c>
      <c r="C831" s="25" t="s">
        <v>1198</v>
      </c>
      <c r="D831" s="11">
        <v>45976</v>
      </c>
      <c r="E831" s="11">
        <v>46006</v>
      </c>
      <c r="F831" s="5">
        <v>10610.56</v>
      </c>
      <c r="G831" s="3">
        <f>SUMIF(Customer_Payments!B:B,C831,Customer_Payments!E:E)</f>
        <v>10610.56</v>
      </c>
      <c r="H831" s="3">
        <f t="shared" si="36"/>
        <v>0</v>
      </c>
      <c r="I831" s="29">
        <f t="shared" si="37"/>
        <v>85</v>
      </c>
      <c r="J831" s="31" t="str">
        <f t="shared" si="38"/>
        <v>61-90</v>
      </c>
      <c r="K831"/>
    </row>
    <row r="832" spans="1:11" x14ac:dyDescent="0.3">
      <c r="A832" s="20" t="s">
        <v>94</v>
      </c>
      <c r="B832" t="str">
        <f>VLOOKUP(A832,Customers!A:B,2,FALSE)</f>
        <v>RetailDynamicsX</v>
      </c>
      <c r="C832" s="24" t="s">
        <v>1199</v>
      </c>
      <c r="D832" s="10">
        <v>46110</v>
      </c>
      <c r="E832" s="10">
        <v>46140</v>
      </c>
      <c r="F832" s="4">
        <v>2450.73</v>
      </c>
      <c r="G832" s="3">
        <f>SUMIF(Customer_Payments!B:B,C832,Customer_Payments!E:E)</f>
        <v>0</v>
      </c>
      <c r="H832" s="3">
        <f t="shared" si="36"/>
        <v>2450.73</v>
      </c>
      <c r="I832" s="29">
        <f t="shared" si="37"/>
        <v>-49</v>
      </c>
      <c r="J832" s="31" t="str">
        <f t="shared" si="38"/>
        <v>Current</v>
      </c>
      <c r="K832"/>
    </row>
    <row r="833" spans="1:11" x14ac:dyDescent="0.3">
      <c r="A833" s="21" t="s">
        <v>78</v>
      </c>
      <c r="B833" t="str">
        <f>VLOOKUP(A833,Customers!A:B,2,FALSE)</f>
        <v>RetailOrbitX</v>
      </c>
      <c r="C833" s="25" t="s">
        <v>1200</v>
      </c>
      <c r="D833" s="11">
        <v>46085</v>
      </c>
      <c r="E833" s="11">
        <v>46115</v>
      </c>
      <c r="F833" s="5">
        <v>5628.38</v>
      </c>
      <c r="G833" s="3">
        <f>SUMIF(Customer_Payments!B:B,C833,Customer_Payments!E:E)</f>
        <v>0</v>
      </c>
      <c r="H833" s="3">
        <f t="shared" si="36"/>
        <v>5628.38</v>
      </c>
      <c r="I833" s="29">
        <f t="shared" si="37"/>
        <v>-24</v>
      </c>
      <c r="J833" s="31" t="str">
        <f t="shared" si="38"/>
        <v>Current</v>
      </c>
      <c r="K833"/>
    </row>
    <row r="834" spans="1:11" x14ac:dyDescent="0.3">
      <c r="A834" s="20" t="s">
        <v>101</v>
      </c>
      <c r="B834" t="str">
        <f>VLOOKUP(A834,Customers!A:B,2,FALSE)</f>
        <v>RetailMatrixPro</v>
      </c>
      <c r="C834" s="24" t="s">
        <v>1201</v>
      </c>
      <c r="D834" s="10">
        <v>45987</v>
      </c>
      <c r="E834" s="10">
        <v>46017</v>
      </c>
      <c r="F834" s="4">
        <v>13710.28</v>
      </c>
      <c r="G834" s="3">
        <f>SUMIF(Customer_Payments!B:B,C834,Customer_Payments!E:E)</f>
        <v>0</v>
      </c>
      <c r="H834" s="3">
        <f t="shared" ref="H834:H897" si="39">MAX(F834-G834,0)</f>
        <v>13710.28</v>
      </c>
      <c r="I834" s="29">
        <f t="shared" ref="I834:I897" si="40">$L$2-E834</f>
        <v>74</v>
      </c>
      <c r="J834" s="31" t="str">
        <f t="shared" si="38"/>
        <v>61-90</v>
      </c>
      <c r="K834"/>
    </row>
    <row r="835" spans="1:11" x14ac:dyDescent="0.3">
      <c r="A835" s="21" t="s">
        <v>24</v>
      </c>
      <c r="B835" t="str">
        <f>VLOOKUP(A835,Customers!A:B,2,FALSE)</f>
        <v>OmniTrade</v>
      </c>
      <c r="C835" s="25" t="s">
        <v>1202</v>
      </c>
      <c r="D835" s="11">
        <v>46012</v>
      </c>
      <c r="E835" s="11">
        <v>46042</v>
      </c>
      <c r="F835" s="5">
        <v>4945.97</v>
      </c>
      <c r="G835" s="3">
        <f>SUMIF(Customer_Payments!B:B,C835,Customer_Payments!E:E)</f>
        <v>4945.97</v>
      </c>
      <c r="H835" s="3">
        <f t="shared" si="39"/>
        <v>0</v>
      </c>
      <c r="I835" s="29">
        <f t="shared" si="40"/>
        <v>49</v>
      </c>
      <c r="J835" s="31" t="str">
        <f t="shared" ref="J835:J898" si="41">IF(I835&lt;=0,"Current",
IF(I835&lt;=30,"1-30",
IF(I835&lt;=60,"31-60",
IF(I835&lt;=90,"61-90","90+"))))</f>
        <v>31-60</v>
      </c>
      <c r="K835"/>
    </row>
    <row r="836" spans="1:11" x14ac:dyDescent="0.3">
      <c r="A836" s="20" t="s">
        <v>45</v>
      </c>
      <c r="B836" t="str">
        <f>VLOOKUP(A836,Customers!A:B,2,FALSE)</f>
        <v>EdgeRetail</v>
      </c>
      <c r="C836" s="24" t="s">
        <v>1203</v>
      </c>
      <c r="D836" s="10">
        <v>46027</v>
      </c>
      <c r="E836" s="10">
        <v>46057</v>
      </c>
      <c r="F836" s="4">
        <v>1812.25</v>
      </c>
      <c r="G836" s="3">
        <f>SUMIF(Customer_Payments!B:B,C836,Customer_Payments!E:E)</f>
        <v>0</v>
      </c>
      <c r="H836" s="3">
        <f t="shared" si="39"/>
        <v>1812.25</v>
      </c>
      <c r="I836" s="29">
        <f t="shared" si="40"/>
        <v>34</v>
      </c>
      <c r="J836" s="31" t="str">
        <f t="shared" si="41"/>
        <v>31-60</v>
      </c>
      <c r="K836"/>
    </row>
    <row r="837" spans="1:11" x14ac:dyDescent="0.3">
      <c r="A837" s="21" t="s">
        <v>95</v>
      </c>
      <c r="B837" t="str">
        <f>VLOOKUP(A837,Customers!A:B,2,FALSE)</f>
        <v>RetailScaleX</v>
      </c>
      <c r="C837" s="25" t="s">
        <v>1204</v>
      </c>
      <c r="D837" s="11">
        <v>46039</v>
      </c>
      <c r="E837" s="11">
        <v>46069</v>
      </c>
      <c r="F837" s="5">
        <v>2562.14</v>
      </c>
      <c r="G837" s="3">
        <f>SUMIF(Customer_Payments!B:B,C837,Customer_Payments!E:E)</f>
        <v>2562.14</v>
      </c>
      <c r="H837" s="3">
        <f t="shared" si="39"/>
        <v>0</v>
      </c>
      <c r="I837" s="29">
        <f t="shared" si="40"/>
        <v>22</v>
      </c>
      <c r="J837" s="31" t="str">
        <f t="shared" si="41"/>
        <v>1-30</v>
      </c>
      <c r="K837"/>
    </row>
    <row r="838" spans="1:11" x14ac:dyDescent="0.3">
      <c r="A838" s="20" t="s">
        <v>87</v>
      </c>
      <c r="B838" t="str">
        <f>VLOOKUP(A838,Customers!A:B,2,FALSE)</f>
        <v>RetailStreamX</v>
      </c>
      <c r="C838" s="24" t="s">
        <v>1205</v>
      </c>
      <c r="D838" s="10">
        <v>46022</v>
      </c>
      <c r="E838" s="10">
        <v>46052</v>
      </c>
      <c r="F838" s="4">
        <v>4120.07</v>
      </c>
      <c r="G838" s="3">
        <f>SUMIF(Customer_Payments!B:B,C838,Customer_Payments!E:E)</f>
        <v>4120.07</v>
      </c>
      <c r="H838" s="3">
        <f t="shared" si="39"/>
        <v>0</v>
      </c>
      <c r="I838" s="29">
        <f t="shared" si="40"/>
        <v>39</v>
      </c>
      <c r="J838" s="31" t="str">
        <f t="shared" si="41"/>
        <v>31-60</v>
      </c>
      <c r="K838"/>
    </row>
    <row r="839" spans="1:11" x14ac:dyDescent="0.3">
      <c r="A839" s="21" t="s">
        <v>78</v>
      </c>
      <c r="B839" t="str">
        <f>VLOOKUP(A839,Customers!A:B,2,FALSE)</f>
        <v>RetailOrbitX</v>
      </c>
      <c r="C839" s="25" t="s">
        <v>1206</v>
      </c>
      <c r="D839" s="11">
        <v>46055</v>
      </c>
      <c r="E839" s="11">
        <v>46085</v>
      </c>
      <c r="F839" s="5">
        <v>2939.83</v>
      </c>
      <c r="G839" s="3">
        <f>SUMIF(Customer_Payments!B:B,C839,Customer_Payments!E:E)</f>
        <v>2939.83</v>
      </c>
      <c r="H839" s="3">
        <f t="shared" si="39"/>
        <v>0</v>
      </c>
      <c r="I839" s="29">
        <f t="shared" si="40"/>
        <v>6</v>
      </c>
      <c r="J839" s="31" t="str">
        <f t="shared" si="41"/>
        <v>1-30</v>
      </c>
      <c r="K839"/>
    </row>
    <row r="840" spans="1:11" x14ac:dyDescent="0.3">
      <c r="A840" s="20" t="s">
        <v>22</v>
      </c>
      <c r="B840" t="str">
        <f>VLOOKUP(A840,Customers!A:B,2,FALSE)</f>
        <v>QuantumRetail</v>
      </c>
      <c r="C840" s="24" t="s">
        <v>1207</v>
      </c>
      <c r="D840" s="10">
        <v>45988</v>
      </c>
      <c r="E840" s="10">
        <v>46018</v>
      </c>
      <c r="F840" s="4">
        <v>4104.58</v>
      </c>
      <c r="G840" s="3">
        <f>SUMIF(Customer_Payments!B:B,C840,Customer_Payments!E:E)</f>
        <v>4104.58</v>
      </c>
      <c r="H840" s="3">
        <f t="shared" si="39"/>
        <v>0</v>
      </c>
      <c r="I840" s="29">
        <f t="shared" si="40"/>
        <v>73</v>
      </c>
      <c r="J840" s="31" t="str">
        <f t="shared" si="41"/>
        <v>61-90</v>
      </c>
      <c r="K840"/>
    </row>
    <row r="841" spans="1:11" x14ac:dyDescent="0.3">
      <c r="A841" s="21" t="s">
        <v>90</v>
      </c>
      <c r="B841" t="str">
        <f>VLOOKUP(A841,Customers!A:B,2,FALSE)</f>
        <v>RetailPulseX</v>
      </c>
      <c r="C841" s="25" t="s">
        <v>1208</v>
      </c>
      <c r="D841" s="11">
        <v>46098</v>
      </c>
      <c r="E841" s="11">
        <v>46128</v>
      </c>
      <c r="F841" s="5">
        <v>2867.37</v>
      </c>
      <c r="G841" s="3">
        <f>SUMIF(Customer_Payments!B:B,C841,Customer_Payments!E:E)</f>
        <v>2867.37</v>
      </c>
      <c r="H841" s="3">
        <f t="shared" si="39"/>
        <v>0</v>
      </c>
      <c r="I841" s="29">
        <f t="shared" si="40"/>
        <v>-37</v>
      </c>
      <c r="J841" s="31" t="str">
        <f t="shared" si="41"/>
        <v>Current</v>
      </c>
      <c r="K841"/>
    </row>
    <row r="842" spans="1:11" x14ac:dyDescent="0.3">
      <c r="A842" s="20" t="s">
        <v>93</v>
      </c>
      <c r="B842" t="str">
        <f>VLOOKUP(A842,Customers!A:B,2,FALSE)</f>
        <v>RetailSphereX</v>
      </c>
      <c r="C842" s="24" t="s">
        <v>1209</v>
      </c>
      <c r="D842" s="10">
        <v>46067</v>
      </c>
      <c r="E842" s="10">
        <v>46097</v>
      </c>
      <c r="F842" s="4">
        <v>1827.68</v>
      </c>
      <c r="G842" s="3">
        <f>SUMIF(Customer_Payments!B:B,C842,Customer_Payments!E:E)</f>
        <v>1827.68</v>
      </c>
      <c r="H842" s="3">
        <f t="shared" si="39"/>
        <v>0</v>
      </c>
      <c r="I842" s="29">
        <f t="shared" si="40"/>
        <v>-6</v>
      </c>
      <c r="J842" s="31" t="str">
        <f t="shared" si="41"/>
        <v>Current</v>
      </c>
      <c r="K842"/>
    </row>
    <row r="843" spans="1:11" x14ac:dyDescent="0.3">
      <c r="A843" s="21" t="s">
        <v>55</v>
      </c>
      <c r="B843" t="str">
        <f>VLOOKUP(A843,Customers!A:B,2,FALSE)</f>
        <v>CommerceLabs</v>
      </c>
      <c r="C843" s="25" t="s">
        <v>1210</v>
      </c>
      <c r="D843" s="11">
        <v>46071</v>
      </c>
      <c r="E843" s="11">
        <v>46101</v>
      </c>
      <c r="F843" s="5">
        <v>3482.49</v>
      </c>
      <c r="G843" s="3">
        <f>SUMIF(Customer_Payments!B:B,C843,Customer_Payments!E:E)</f>
        <v>0</v>
      </c>
      <c r="H843" s="3">
        <f t="shared" si="39"/>
        <v>3482.49</v>
      </c>
      <c r="I843" s="29">
        <f t="shared" si="40"/>
        <v>-10</v>
      </c>
      <c r="J843" s="31" t="str">
        <f t="shared" si="41"/>
        <v>Current</v>
      </c>
      <c r="K843"/>
    </row>
    <row r="844" spans="1:11" x14ac:dyDescent="0.3">
      <c r="A844" s="20" t="s">
        <v>88</v>
      </c>
      <c r="B844" t="str">
        <f>VLOOKUP(A844,Customers!A:B,2,FALSE)</f>
        <v>RetailPrimeX</v>
      </c>
      <c r="C844" s="24" t="s">
        <v>1211</v>
      </c>
      <c r="D844" s="10">
        <v>46104</v>
      </c>
      <c r="E844" s="10">
        <v>46134</v>
      </c>
      <c r="F844" s="4">
        <v>3201.13</v>
      </c>
      <c r="G844" s="3">
        <f>SUMIF(Customer_Payments!B:B,C844,Customer_Payments!E:E)</f>
        <v>0</v>
      </c>
      <c r="H844" s="3">
        <f t="shared" si="39"/>
        <v>3201.13</v>
      </c>
      <c r="I844" s="29">
        <f t="shared" si="40"/>
        <v>-43</v>
      </c>
      <c r="J844" s="31" t="str">
        <f t="shared" si="41"/>
        <v>Current</v>
      </c>
      <c r="K844"/>
    </row>
    <row r="845" spans="1:11" x14ac:dyDescent="0.3">
      <c r="A845" s="21" t="s">
        <v>123</v>
      </c>
      <c r="B845" t="str">
        <f>VLOOKUP(A845,Customers!A:B,2,FALSE)</f>
        <v>RetailFlowGlobal</v>
      </c>
      <c r="C845" s="25" t="s">
        <v>1212</v>
      </c>
      <c r="D845" s="11">
        <v>46022</v>
      </c>
      <c r="E845" s="11">
        <v>46052</v>
      </c>
      <c r="F845" s="5">
        <v>2421.8200000000002</v>
      </c>
      <c r="G845" s="3">
        <f>SUMIF(Customer_Payments!B:B,C845,Customer_Payments!E:E)</f>
        <v>2421.8200000000002</v>
      </c>
      <c r="H845" s="3">
        <f t="shared" si="39"/>
        <v>0</v>
      </c>
      <c r="I845" s="29">
        <f t="shared" si="40"/>
        <v>39</v>
      </c>
      <c r="J845" s="31" t="str">
        <f t="shared" si="41"/>
        <v>31-60</v>
      </c>
      <c r="K845"/>
    </row>
    <row r="846" spans="1:11" x14ac:dyDescent="0.3">
      <c r="A846" s="20" t="s">
        <v>90</v>
      </c>
      <c r="B846" t="str">
        <f>VLOOKUP(A846,Customers!A:B,2,FALSE)</f>
        <v>RetailPulseX</v>
      </c>
      <c r="C846" s="24" t="s">
        <v>1213</v>
      </c>
      <c r="D846" s="10">
        <v>46022</v>
      </c>
      <c r="E846" s="10">
        <v>46052</v>
      </c>
      <c r="F846" s="4">
        <v>2494.9299999999998</v>
      </c>
      <c r="G846" s="3">
        <f>SUMIF(Customer_Payments!B:B,C846,Customer_Payments!E:E)</f>
        <v>2494.9299999999998</v>
      </c>
      <c r="H846" s="3">
        <f t="shared" si="39"/>
        <v>0</v>
      </c>
      <c r="I846" s="29">
        <f t="shared" si="40"/>
        <v>39</v>
      </c>
      <c r="J846" s="31" t="str">
        <f t="shared" si="41"/>
        <v>31-60</v>
      </c>
      <c r="K846"/>
    </row>
    <row r="847" spans="1:11" x14ac:dyDescent="0.3">
      <c r="A847" s="21" t="s">
        <v>120</v>
      </c>
      <c r="B847" t="str">
        <f>VLOOKUP(A847,Customers!A:B,2,FALSE)</f>
        <v>RetailPrimeGlobal</v>
      </c>
      <c r="C847" s="25" t="s">
        <v>1214</v>
      </c>
      <c r="D847" s="11">
        <v>45970</v>
      </c>
      <c r="E847" s="11">
        <v>46000</v>
      </c>
      <c r="F847" s="5">
        <v>2710.43</v>
      </c>
      <c r="G847" s="3">
        <f>SUMIF(Customer_Payments!B:B,C847,Customer_Payments!E:E)</f>
        <v>2710.43</v>
      </c>
      <c r="H847" s="3">
        <f t="shared" si="39"/>
        <v>0</v>
      </c>
      <c r="I847" s="29">
        <f t="shared" si="40"/>
        <v>91</v>
      </c>
      <c r="J847" s="31" t="str">
        <f t="shared" si="41"/>
        <v>90+</v>
      </c>
      <c r="K847"/>
    </row>
    <row r="848" spans="1:11" x14ac:dyDescent="0.3">
      <c r="A848" s="20" t="s">
        <v>64</v>
      </c>
      <c r="B848" t="str">
        <f>VLOOKUP(A848,Customers!A:B,2,FALSE)</f>
        <v>MarketScale</v>
      </c>
      <c r="C848" s="24" t="s">
        <v>1215</v>
      </c>
      <c r="D848" s="10">
        <v>46111</v>
      </c>
      <c r="E848" s="10">
        <v>46141</v>
      </c>
      <c r="F848" s="4">
        <v>13348.68</v>
      </c>
      <c r="G848" s="3">
        <f>SUMIF(Customer_Payments!B:B,C848,Customer_Payments!E:E)</f>
        <v>13348.68</v>
      </c>
      <c r="H848" s="3">
        <f t="shared" si="39"/>
        <v>0</v>
      </c>
      <c r="I848" s="29">
        <f t="shared" si="40"/>
        <v>-50</v>
      </c>
      <c r="J848" s="31" t="str">
        <f t="shared" si="41"/>
        <v>Current</v>
      </c>
      <c r="K848"/>
    </row>
    <row r="849" spans="1:11" x14ac:dyDescent="0.3">
      <c r="A849" s="21" t="s">
        <v>37</v>
      </c>
      <c r="B849" t="str">
        <f>VLOOKUP(A849,Customers!A:B,2,FALSE)</f>
        <v>SmartCart</v>
      </c>
      <c r="C849" s="25" t="s">
        <v>1216</v>
      </c>
      <c r="D849" s="11">
        <v>46098</v>
      </c>
      <c r="E849" s="11">
        <v>46128</v>
      </c>
      <c r="F849" s="5">
        <v>10403.129999999999</v>
      </c>
      <c r="G849" s="3">
        <f>SUMIF(Customer_Payments!B:B,C849,Customer_Payments!E:E)</f>
        <v>10403.129999999999</v>
      </c>
      <c r="H849" s="3">
        <f t="shared" si="39"/>
        <v>0</v>
      </c>
      <c r="I849" s="29">
        <f t="shared" si="40"/>
        <v>-37</v>
      </c>
      <c r="J849" s="31" t="str">
        <f t="shared" si="41"/>
        <v>Current</v>
      </c>
      <c r="K849"/>
    </row>
    <row r="850" spans="1:11" x14ac:dyDescent="0.3">
      <c r="A850" s="20" t="s">
        <v>33</v>
      </c>
      <c r="B850" t="str">
        <f>VLOOKUP(A850,Customers!A:B,2,FALSE)</f>
        <v>CloudCart</v>
      </c>
      <c r="C850" s="24" t="s">
        <v>1217</v>
      </c>
      <c r="D850" s="10">
        <v>46017</v>
      </c>
      <c r="E850" s="10">
        <v>46047</v>
      </c>
      <c r="F850" s="4">
        <v>1621.19</v>
      </c>
      <c r="G850" s="3">
        <f>SUMIF(Customer_Payments!B:B,C850,Customer_Payments!E:E)</f>
        <v>1621.19</v>
      </c>
      <c r="H850" s="3">
        <f t="shared" si="39"/>
        <v>0</v>
      </c>
      <c r="I850" s="29">
        <f t="shared" si="40"/>
        <v>44</v>
      </c>
      <c r="J850" s="31" t="str">
        <f t="shared" si="41"/>
        <v>31-60</v>
      </c>
      <c r="K850"/>
    </row>
    <row r="851" spans="1:11" x14ac:dyDescent="0.3">
      <c r="A851" s="21" t="s">
        <v>67</v>
      </c>
      <c r="B851" t="str">
        <f>VLOOKUP(A851,Customers!A:B,2,FALSE)</f>
        <v>RetailDynamics</v>
      </c>
      <c r="C851" s="25" t="s">
        <v>1218</v>
      </c>
      <c r="D851" s="11">
        <v>45974</v>
      </c>
      <c r="E851" s="11">
        <v>46004</v>
      </c>
      <c r="F851" s="5">
        <v>4794.09</v>
      </c>
      <c r="G851" s="3">
        <f>SUMIF(Customer_Payments!B:B,C851,Customer_Payments!E:E)</f>
        <v>0</v>
      </c>
      <c r="H851" s="3">
        <f t="shared" si="39"/>
        <v>4794.09</v>
      </c>
      <c r="I851" s="29">
        <f t="shared" si="40"/>
        <v>87</v>
      </c>
      <c r="J851" s="31" t="str">
        <f t="shared" si="41"/>
        <v>61-90</v>
      </c>
      <c r="K851"/>
    </row>
    <row r="852" spans="1:11" x14ac:dyDescent="0.3">
      <c r="A852" s="20" t="s">
        <v>17</v>
      </c>
      <c r="B852" t="str">
        <f>VLOOKUP(A852,Customers!A:B,2,FALSE)</f>
        <v>AlphaCommerce</v>
      </c>
      <c r="C852" s="24" t="s">
        <v>1219</v>
      </c>
      <c r="D852" s="10">
        <v>46045</v>
      </c>
      <c r="E852" s="10">
        <v>46075</v>
      </c>
      <c r="F852" s="4">
        <v>2875.36</v>
      </c>
      <c r="G852" s="3">
        <f>SUMIF(Customer_Payments!B:B,C852,Customer_Payments!E:E)</f>
        <v>2875.36</v>
      </c>
      <c r="H852" s="3">
        <f t="shared" si="39"/>
        <v>0</v>
      </c>
      <c r="I852" s="29">
        <f t="shared" si="40"/>
        <v>16</v>
      </c>
      <c r="J852" s="31" t="str">
        <f t="shared" si="41"/>
        <v>1-30</v>
      </c>
      <c r="K852"/>
    </row>
    <row r="853" spans="1:11" x14ac:dyDescent="0.3">
      <c r="A853" s="21" t="s">
        <v>120</v>
      </c>
      <c r="B853" t="str">
        <f>VLOOKUP(A853,Customers!A:B,2,FALSE)</f>
        <v>RetailPrimeGlobal</v>
      </c>
      <c r="C853" s="25" t="s">
        <v>1220</v>
      </c>
      <c r="D853" s="11">
        <v>46098</v>
      </c>
      <c r="E853" s="11">
        <v>46128</v>
      </c>
      <c r="F853" s="5">
        <v>2714.94</v>
      </c>
      <c r="G853" s="3">
        <f>SUMIF(Customer_Payments!B:B,C853,Customer_Payments!E:E)</f>
        <v>2714.94</v>
      </c>
      <c r="H853" s="3">
        <f t="shared" si="39"/>
        <v>0</v>
      </c>
      <c r="I853" s="29">
        <f t="shared" si="40"/>
        <v>-37</v>
      </c>
      <c r="J853" s="31" t="str">
        <f t="shared" si="41"/>
        <v>Current</v>
      </c>
      <c r="K853"/>
    </row>
    <row r="854" spans="1:11" x14ac:dyDescent="0.3">
      <c r="A854" s="20" t="s">
        <v>87</v>
      </c>
      <c r="B854" t="str">
        <f>VLOOKUP(A854,Customers!A:B,2,FALSE)</f>
        <v>RetailStreamX</v>
      </c>
      <c r="C854" s="24" t="s">
        <v>1221</v>
      </c>
      <c r="D854" s="10">
        <v>46031</v>
      </c>
      <c r="E854" s="10">
        <v>46061</v>
      </c>
      <c r="F854" s="4">
        <v>11084.98</v>
      </c>
      <c r="G854" s="3">
        <f>SUMIF(Customer_Payments!B:B,C854,Customer_Payments!E:E)</f>
        <v>11084.98</v>
      </c>
      <c r="H854" s="3">
        <f t="shared" si="39"/>
        <v>0</v>
      </c>
      <c r="I854" s="29">
        <f t="shared" si="40"/>
        <v>30</v>
      </c>
      <c r="J854" s="31" t="str">
        <f t="shared" si="41"/>
        <v>1-30</v>
      </c>
      <c r="K854"/>
    </row>
    <row r="855" spans="1:11" x14ac:dyDescent="0.3">
      <c r="A855" s="21" t="s">
        <v>91</v>
      </c>
      <c r="B855" t="str">
        <f>VLOOKUP(A855,Customers!A:B,2,FALSE)</f>
        <v>RetailBridgeX</v>
      </c>
      <c r="C855" s="25" t="s">
        <v>1222</v>
      </c>
      <c r="D855" s="11">
        <v>45987</v>
      </c>
      <c r="E855" s="11">
        <v>46017</v>
      </c>
      <c r="F855" s="5">
        <v>4262.55</v>
      </c>
      <c r="G855" s="3">
        <f>SUMIF(Customer_Payments!B:B,C855,Customer_Payments!E:E)</f>
        <v>4262.55</v>
      </c>
      <c r="H855" s="3">
        <f t="shared" si="39"/>
        <v>0</v>
      </c>
      <c r="I855" s="29">
        <f t="shared" si="40"/>
        <v>74</v>
      </c>
      <c r="J855" s="31" t="str">
        <f t="shared" si="41"/>
        <v>61-90</v>
      </c>
      <c r="K855"/>
    </row>
    <row r="856" spans="1:11" x14ac:dyDescent="0.3">
      <c r="A856" s="20" t="s">
        <v>118</v>
      </c>
      <c r="B856" t="str">
        <f>VLOOKUP(A856,Customers!A:B,2,FALSE)</f>
        <v>RetailEdgeGlobal</v>
      </c>
      <c r="C856" s="24" t="s">
        <v>1223</v>
      </c>
      <c r="D856" s="10">
        <v>46028</v>
      </c>
      <c r="E856" s="10">
        <v>46058</v>
      </c>
      <c r="F856" s="4">
        <v>2860.37</v>
      </c>
      <c r="G856" s="3">
        <f>SUMIF(Customer_Payments!B:B,C856,Customer_Payments!E:E)</f>
        <v>2860.37</v>
      </c>
      <c r="H856" s="3">
        <f t="shared" si="39"/>
        <v>0</v>
      </c>
      <c r="I856" s="29">
        <f t="shared" si="40"/>
        <v>33</v>
      </c>
      <c r="J856" s="31" t="str">
        <f t="shared" si="41"/>
        <v>31-60</v>
      </c>
      <c r="K856"/>
    </row>
    <row r="857" spans="1:11" x14ac:dyDescent="0.3">
      <c r="A857" s="21" t="s">
        <v>96</v>
      </c>
      <c r="B857" t="str">
        <f>VLOOKUP(A857,Customers!A:B,2,FALSE)</f>
        <v>RetailLabs</v>
      </c>
      <c r="C857" s="25" t="s">
        <v>1224</v>
      </c>
      <c r="D857" s="11">
        <v>46103</v>
      </c>
      <c r="E857" s="11">
        <v>46133</v>
      </c>
      <c r="F857" s="5">
        <v>4108.8</v>
      </c>
      <c r="G857" s="3">
        <f>SUMIF(Customer_Payments!B:B,C857,Customer_Payments!E:E)</f>
        <v>4108.8</v>
      </c>
      <c r="H857" s="3">
        <f t="shared" si="39"/>
        <v>0</v>
      </c>
      <c r="I857" s="29">
        <f t="shared" si="40"/>
        <v>-42</v>
      </c>
      <c r="J857" s="31" t="str">
        <f t="shared" si="41"/>
        <v>Current</v>
      </c>
      <c r="K857"/>
    </row>
    <row r="858" spans="1:11" x14ac:dyDescent="0.3">
      <c r="A858" s="20" t="s">
        <v>88</v>
      </c>
      <c r="B858" t="str">
        <f>VLOOKUP(A858,Customers!A:B,2,FALSE)</f>
        <v>RetailPrimeX</v>
      </c>
      <c r="C858" s="24" t="s">
        <v>1225</v>
      </c>
      <c r="D858" s="10">
        <v>46063</v>
      </c>
      <c r="E858" s="10">
        <v>46093</v>
      </c>
      <c r="F858" s="4">
        <v>3047.85</v>
      </c>
      <c r="G858" s="3">
        <f>SUMIF(Customer_Payments!B:B,C858,Customer_Payments!E:E)</f>
        <v>3047.85</v>
      </c>
      <c r="H858" s="3">
        <f t="shared" si="39"/>
        <v>0</v>
      </c>
      <c r="I858" s="29">
        <f t="shared" si="40"/>
        <v>-2</v>
      </c>
      <c r="J858" s="31" t="str">
        <f t="shared" si="41"/>
        <v>Current</v>
      </c>
      <c r="K858"/>
    </row>
    <row r="859" spans="1:11" x14ac:dyDescent="0.3">
      <c r="A859" s="21" t="s">
        <v>123</v>
      </c>
      <c r="B859" t="str">
        <f>VLOOKUP(A859,Customers!A:B,2,FALSE)</f>
        <v>RetailFlowGlobal</v>
      </c>
      <c r="C859" s="25" t="s">
        <v>1226</v>
      </c>
      <c r="D859" s="11">
        <v>46073</v>
      </c>
      <c r="E859" s="11">
        <v>46103</v>
      </c>
      <c r="F859" s="5">
        <v>3408.97</v>
      </c>
      <c r="G859" s="3">
        <f>SUMIF(Customer_Payments!B:B,C859,Customer_Payments!E:E)</f>
        <v>3408.97</v>
      </c>
      <c r="H859" s="3">
        <f t="shared" si="39"/>
        <v>0</v>
      </c>
      <c r="I859" s="29">
        <f t="shared" si="40"/>
        <v>-12</v>
      </c>
      <c r="J859" s="31" t="str">
        <f t="shared" si="41"/>
        <v>Current</v>
      </c>
      <c r="K859"/>
    </row>
    <row r="860" spans="1:11" x14ac:dyDescent="0.3">
      <c r="A860" s="20" t="s">
        <v>53</v>
      </c>
      <c r="B860" t="str">
        <f>VLOOKUP(A860,Customers!A:B,2,FALSE)</f>
        <v>PrimeCart</v>
      </c>
      <c r="C860" s="24" t="s">
        <v>1227</v>
      </c>
      <c r="D860" s="10">
        <v>45974</v>
      </c>
      <c r="E860" s="10">
        <v>46004</v>
      </c>
      <c r="F860" s="4">
        <v>2481.65</v>
      </c>
      <c r="G860" s="3">
        <f>SUMIF(Customer_Payments!B:B,C860,Customer_Payments!E:E)</f>
        <v>2481.65</v>
      </c>
      <c r="H860" s="3">
        <f t="shared" si="39"/>
        <v>0</v>
      </c>
      <c r="I860" s="29">
        <f t="shared" si="40"/>
        <v>87</v>
      </c>
      <c r="J860" s="31" t="str">
        <f t="shared" si="41"/>
        <v>61-90</v>
      </c>
      <c r="K860"/>
    </row>
    <row r="861" spans="1:11" x14ac:dyDescent="0.3">
      <c r="A861" s="21" t="s">
        <v>111</v>
      </c>
      <c r="B861" t="str">
        <f>VLOOKUP(A861,Customers!A:B,2,FALSE)</f>
        <v>RetailPulsePro</v>
      </c>
      <c r="C861" s="25" t="s">
        <v>1228</v>
      </c>
      <c r="D861" s="11">
        <v>46102</v>
      </c>
      <c r="E861" s="11">
        <v>46132</v>
      </c>
      <c r="F861" s="5">
        <v>10847.07</v>
      </c>
      <c r="G861" s="3">
        <f>SUMIF(Customer_Payments!B:B,C861,Customer_Payments!E:E)</f>
        <v>10847.07</v>
      </c>
      <c r="H861" s="3">
        <f t="shared" si="39"/>
        <v>0</v>
      </c>
      <c r="I861" s="29">
        <f t="shared" si="40"/>
        <v>-41</v>
      </c>
      <c r="J861" s="31" t="str">
        <f t="shared" si="41"/>
        <v>Current</v>
      </c>
      <c r="K861"/>
    </row>
    <row r="862" spans="1:11" x14ac:dyDescent="0.3">
      <c r="A862" s="20" t="s">
        <v>69</v>
      </c>
      <c r="B862" t="str">
        <f>VLOOKUP(A862,Customers!A:B,2,FALSE)</f>
        <v>RetailNext</v>
      </c>
      <c r="C862" s="24" t="s">
        <v>1229</v>
      </c>
      <c r="D862" s="10">
        <v>46079</v>
      </c>
      <c r="E862" s="10">
        <v>46109</v>
      </c>
      <c r="F862" s="4">
        <v>4687.7700000000004</v>
      </c>
      <c r="G862" s="3">
        <f>SUMIF(Customer_Payments!B:B,C862,Customer_Payments!E:E)</f>
        <v>4687.7700000000004</v>
      </c>
      <c r="H862" s="3">
        <f t="shared" si="39"/>
        <v>0</v>
      </c>
      <c r="I862" s="29">
        <f t="shared" si="40"/>
        <v>-18</v>
      </c>
      <c r="J862" s="31" t="str">
        <f t="shared" si="41"/>
        <v>Current</v>
      </c>
      <c r="K862"/>
    </row>
    <row r="863" spans="1:11" x14ac:dyDescent="0.3">
      <c r="A863" s="21" t="s">
        <v>83</v>
      </c>
      <c r="B863" t="str">
        <f>VLOOKUP(A863,Customers!A:B,2,FALSE)</f>
        <v>RetailCoreX</v>
      </c>
      <c r="C863" s="25" t="s">
        <v>1230</v>
      </c>
      <c r="D863" s="11">
        <v>45977</v>
      </c>
      <c r="E863" s="11">
        <v>46007</v>
      </c>
      <c r="F863" s="5">
        <v>11038.13</v>
      </c>
      <c r="G863" s="3">
        <f>SUMIF(Customer_Payments!B:B,C863,Customer_Payments!E:E)</f>
        <v>0</v>
      </c>
      <c r="H863" s="3">
        <f t="shared" si="39"/>
        <v>11038.13</v>
      </c>
      <c r="I863" s="29">
        <f t="shared" si="40"/>
        <v>84</v>
      </c>
      <c r="J863" s="31" t="str">
        <f t="shared" si="41"/>
        <v>61-90</v>
      </c>
      <c r="K863"/>
    </row>
    <row r="864" spans="1:11" x14ac:dyDescent="0.3">
      <c r="A864" s="20" t="s">
        <v>119</v>
      </c>
      <c r="B864" t="str">
        <f>VLOOKUP(A864,Customers!A:B,2,FALSE)</f>
        <v>RetailNovaGlobal</v>
      </c>
      <c r="C864" s="24" t="s">
        <v>1231</v>
      </c>
      <c r="D864" s="10">
        <v>46067</v>
      </c>
      <c r="E864" s="10">
        <v>46097</v>
      </c>
      <c r="F864" s="4">
        <v>5593.53</v>
      </c>
      <c r="G864" s="3">
        <f>SUMIF(Customer_Payments!B:B,C864,Customer_Payments!E:E)</f>
        <v>5593.53</v>
      </c>
      <c r="H864" s="3">
        <f t="shared" si="39"/>
        <v>0</v>
      </c>
      <c r="I864" s="29">
        <f t="shared" si="40"/>
        <v>-6</v>
      </c>
      <c r="J864" s="31" t="str">
        <f t="shared" si="41"/>
        <v>Current</v>
      </c>
      <c r="K864"/>
    </row>
    <row r="865" spans="1:11" x14ac:dyDescent="0.3">
      <c r="A865" s="21" t="s">
        <v>89</v>
      </c>
      <c r="B865" t="str">
        <f>VLOOKUP(A865,Customers!A:B,2,FALSE)</f>
        <v>RetailAxisX</v>
      </c>
      <c r="C865" s="25" t="s">
        <v>1232</v>
      </c>
      <c r="D865" s="11">
        <v>46051</v>
      </c>
      <c r="E865" s="11">
        <v>46081</v>
      </c>
      <c r="F865" s="5">
        <v>3411.95</v>
      </c>
      <c r="G865" s="3">
        <f>SUMIF(Customer_Payments!B:B,C865,Customer_Payments!E:E)</f>
        <v>3411.95</v>
      </c>
      <c r="H865" s="3">
        <f t="shared" si="39"/>
        <v>0</v>
      </c>
      <c r="I865" s="29">
        <f t="shared" si="40"/>
        <v>10</v>
      </c>
      <c r="J865" s="31" t="str">
        <f t="shared" si="41"/>
        <v>1-30</v>
      </c>
      <c r="K865"/>
    </row>
    <row r="866" spans="1:11" x14ac:dyDescent="0.3">
      <c r="A866" s="20" t="s">
        <v>87</v>
      </c>
      <c r="B866" t="str">
        <f>VLOOKUP(A866,Customers!A:B,2,FALSE)</f>
        <v>RetailStreamX</v>
      </c>
      <c r="C866" s="24" t="s">
        <v>1233</v>
      </c>
      <c r="D866" s="10">
        <v>46095</v>
      </c>
      <c r="E866" s="10">
        <v>46125</v>
      </c>
      <c r="F866" s="4">
        <v>13576.45</v>
      </c>
      <c r="G866" s="3">
        <f>SUMIF(Customer_Payments!B:B,C866,Customer_Payments!E:E)</f>
        <v>13576.45</v>
      </c>
      <c r="H866" s="3">
        <f t="shared" si="39"/>
        <v>0</v>
      </c>
      <c r="I866" s="29">
        <f t="shared" si="40"/>
        <v>-34</v>
      </c>
      <c r="J866" s="31" t="str">
        <f t="shared" si="41"/>
        <v>Current</v>
      </c>
      <c r="K866"/>
    </row>
    <row r="867" spans="1:11" x14ac:dyDescent="0.3">
      <c r="A867" s="21" t="s">
        <v>94</v>
      </c>
      <c r="B867" t="str">
        <f>VLOOKUP(A867,Customers!A:B,2,FALSE)</f>
        <v>RetailDynamicsX</v>
      </c>
      <c r="C867" s="25" t="s">
        <v>1234</v>
      </c>
      <c r="D867" s="11">
        <v>46083</v>
      </c>
      <c r="E867" s="11">
        <v>46113</v>
      </c>
      <c r="F867" s="5">
        <v>5033.22</v>
      </c>
      <c r="G867" s="3">
        <f>SUMIF(Customer_Payments!B:B,C867,Customer_Payments!E:E)</f>
        <v>0</v>
      </c>
      <c r="H867" s="3">
        <f t="shared" si="39"/>
        <v>5033.22</v>
      </c>
      <c r="I867" s="29">
        <f t="shared" si="40"/>
        <v>-22</v>
      </c>
      <c r="J867" s="31" t="str">
        <f t="shared" si="41"/>
        <v>Current</v>
      </c>
      <c r="K867"/>
    </row>
    <row r="868" spans="1:11" x14ac:dyDescent="0.3">
      <c r="A868" s="20" t="s">
        <v>59</v>
      </c>
      <c r="B868" t="str">
        <f>VLOOKUP(A868,Customers!A:B,2,FALSE)</f>
        <v>MarketBridge</v>
      </c>
      <c r="C868" s="24" t="s">
        <v>1235</v>
      </c>
      <c r="D868" s="10">
        <v>46098</v>
      </c>
      <c r="E868" s="10">
        <v>46128</v>
      </c>
      <c r="F868" s="4">
        <v>2284.6799999999998</v>
      </c>
      <c r="G868" s="3">
        <f>SUMIF(Customer_Payments!B:B,C868,Customer_Payments!E:E)</f>
        <v>0</v>
      </c>
      <c r="H868" s="3">
        <f t="shared" si="39"/>
        <v>2284.6799999999998</v>
      </c>
      <c r="I868" s="29">
        <f t="shared" si="40"/>
        <v>-37</v>
      </c>
      <c r="J868" s="31" t="str">
        <f t="shared" si="41"/>
        <v>Current</v>
      </c>
      <c r="K868"/>
    </row>
    <row r="869" spans="1:11" x14ac:dyDescent="0.3">
      <c r="A869" s="21" t="s">
        <v>88</v>
      </c>
      <c r="B869" t="str">
        <f>VLOOKUP(A869,Customers!A:B,2,FALSE)</f>
        <v>RetailPrimeX</v>
      </c>
      <c r="C869" s="25" t="s">
        <v>1236</v>
      </c>
      <c r="D869" s="11">
        <v>46037</v>
      </c>
      <c r="E869" s="11">
        <v>46067</v>
      </c>
      <c r="F869" s="5">
        <v>5706.96</v>
      </c>
      <c r="G869" s="3">
        <f>SUMIF(Customer_Payments!B:B,C869,Customer_Payments!E:E)</f>
        <v>5706.96</v>
      </c>
      <c r="H869" s="3">
        <f t="shared" si="39"/>
        <v>0</v>
      </c>
      <c r="I869" s="29">
        <f t="shared" si="40"/>
        <v>24</v>
      </c>
      <c r="J869" s="31" t="str">
        <f t="shared" si="41"/>
        <v>1-30</v>
      </c>
      <c r="K869"/>
    </row>
    <row r="870" spans="1:11" x14ac:dyDescent="0.3">
      <c r="A870" s="20" t="s">
        <v>31</v>
      </c>
      <c r="B870" t="str">
        <f>VLOOKUP(A870,Customers!A:B,2,FALSE)</f>
        <v>SparkRetail</v>
      </c>
      <c r="C870" s="24" t="s">
        <v>1237</v>
      </c>
      <c r="D870" s="10">
        <v>46019</v>
      </c>
      <c r="E870" s="10">
        <v>46049</v>
      </c>
      <c r="F870" s="4">
        <v>12565.1</v>
      </c>
      <c r="G870" s="3">
        <f>SUMIF(Customer_Payments!B:B,C870,Customer_Payments!E:E)</f>
        <v>12565.1</v>
      </c>
      <c r="H870" s="3">
        <f t="shared" si="39"/>
        <v>0</v>
      </c>
      <c r="I870" s="29">
        <f t="shared" si="40"/>
        <v>42</v>
      </c>
      <c r="J870" s="31" t="str">
        <f t="shared" si="41"/>
        <v>31-60</v>
      </c>
      <c r="K870"/>
    </row>
    <row r="871" spans="1:11" x14ac:dyDescent="0.3">
      <c r="A871" s="21" t="s">
        <v>20</v>
      </c>
      <c r="B871" t="str">
        <f>VLOOKUP(A871,Customers!A:B,2,FALSE)</f>
        <v>GrowthSphere</v>
      </c>
      <c r="C871" s="25" t="s">
        <v>1238</v>
      </c>
      <c r="D871" s="11">
        <v>46063</v>
      </c>
      <c r="E871" s="11">
        <v>46093</v>
      </c>
      <c r="F871" s="5">
        <v>2019.4</v>
      </c>
      <c r="G871" s="3">
        <f>SUMIF(Customer_Payments!B:B,C871,Customer_Payments!E:E)</f>
        <v>2019.4</v>
      </c>
      <c r="H871" s="3">
        <f t="shared" si="39"/>
        <v>0</v>
      </c>
      <c r="I871" s="29">
        <f t="shared" si="40"/>
        <v>-2</v>
      </c>
      <c r="J871" s="31" t="str">
        <f t="shared" si="41"/>
        <v>Current</v>
      </c>
      <c r="K871"/>
    </row>
    <row r="872" spans="1:11" x14ac:dyDescent="0.3">
      <c r="A872" s="20" t="s">
        <v>36</v>
      </c>
      <c r="B872" t="str">
        <f>VLOOKUP(A872,Customers!A:B,2,FALSE)</f>
        <v>RapidMarket</v>
      </c>
      <c r="C872" s="24" t="s">
        <v>1239</v>
      </c>
      <c r="D872" s="10">
        <v>46058</v>
      </c>
      <c r="E872" s="10">
        <v>46088</v>
      </c>
      <c r="F872" s="4">
        <v>2269.1999999999998</v>
      </c>
      <c r="G872" s="3">
        <f>SUMIF(Customer_Payments!B:B,C872,Customer_Payments!E:E)</f>
        <v>2269.1999999999998</v>
      </c>
      <c r="H872" s="3">
        <f t="shared" si="39"/>
        <v>0</v>
      </c>
      <c r="I872" s="29">
        <f t="shared" si="40"/>
        <v>3</v>
      </c>
      <c r="J872" s="31" t="str">
        <f t="shared" si="41"/>
        <v>1-30</v>
      </c>
      <c r="K872"/>
    </row>
    <row r="873" spans="1:11" x14ac:dyDescent="0.3">
      <c r="A873" s="21" t="s">
        <v>46</v>
      </c>
      <c r="B873" t="str">
        <f>VLOOKUP(A873,Customers!A:B,2,FALSE)</f>
        <v>NovaMarket</v>
      </c>
      <c r="C873" s="25" t="s">
        <v>1240</v>
      </c>
      <c r="D873" s="11">
        <v>45994</v>
      </c>
      <c r="E873" s="11">
        <v>46024</v>
      </c>
      <c r="F873" s="5">
        <v>2580.8200000000002</v>
      </c>
      <c r="G873" s="3">
        <f>SUMIF(Customer_Payments!B:B,C873,Customer_Payments!E:E)</f>
        <v>2580.8200000000002</v>
      </c>
      <c r="H873" s="3">
        <f t="shared" si="39"/>
        <v>0</v>
      </c>
      <c r="I873" s="29">
        <f t="shared" si="40"/>
        <v>67</v>
      </c>
      <c r="J873" s="31" t="str">
        <f t="shared" si="41"/>
        <v>61-90</v>
      </c>
      <c r="K873"/>
    </row>
    <row r="874" spans="1:11" x14ac:dyDescent="0.3">
      <c r="A874" s="20" t="s">
        <v>49</v>
      </c>
      <c r="B874" t="str">
        <f>VLOOKUP(A874,Customers!A:B,2,FALSE)</f>
        <v>CommercePilot</v>
      </c>
      <c r="C874" s="24" t="s">
        <v>1241</v>
      </c>
      <c r="D874" s="10">
        <v>45987</v>
      </c>
      <c r="E874" s="10">
        <v>46017</v>
      </c>
      <c r="F874" s="4">
        <v>14390.22</v>
      </c>
      <c r="G874" s="3">
        <f>SUMIF(Customer_Payments!B:B,C874,Customer_Payments!E:E)</f>
        <v>0</v>
      </c>
      <c r="H874" s="3">
        <f t="shared" si="39"/>
        <v>14390.22</v>
      </c>
      <c r="I874" s="29">
        <f t="shared" si="40"/>
        <v>74</v>
      </c>
      <c r="J874" s="31" t="str">
        <f t="shared" si="41"/>
        <v>61-90</v>
      </c>
      <c r="K874"/>
    </row>
    <row r="875" spans="1:11" x14ac:dyDescent="0.3">
      <c r="A875" s="21" t="s">
        <v>57</v>
      </c>
      <c r="B875" t="str">
        <f>VLOOKUP(A875,Customers!A:B,2,FALSE)</f>
        <v>MarketGenius</v>
      </c>
      <c r="C875" s="25" t="s">
        <v>1242</v>
      </c>
      <c r="D875" s="11">
        <v>45985</v>
      </c>
      <c r="E875" s="11">
        <v>46015</v>
      </c>
      <c r="F875" s="5">
        <v>3412.26</v>
      </c>
      <c r="G875" s="3">
        <f>SUMIF(Customer_Payments!B:B,C875,Customer_Payments!E:E)</f>
        <v>3412.26</v>
      </c>
      <c r="H875" s="3">
        <f t="shared" si="39"/>
        <v>0</v>
      </c>
      <c r="I875" s="29">
        <f t="shared" si="40"/>
        <v>76</v>
      </c>
      <c r="J875" s="31" t="str">
        <f t="shared" si="41"/>
        <v>61-90</v>
      </c>
      <c r="K875"/>
    </row>
    <row r="876" spans="1:11" x14ac:dyDescent="0.3">
      <c r="A876" s="20" t="s">
        <v>39</v>
      </c>
      <c r="B876" t="str">
        <f>VLOOKUP(A876,Customers!A:B,2,FALSE)</f>
        <v>VisionCommerce</v>
      </c>
      <c r="C876" s="24" t="s">
        <v>1243</v>
      </c>
      <c r="D876" s="10">
        <v>46000</v>
      </c>
      <c r="E876" s="10">
        <v>46030</v>
      </c>
      <c r="F876" s="4">
        <v>3051.83</v>
      </c>
      <c r="G876" s="3">
        <f>SUMIF(Customer_Payments!B:B,C876,Customer_Payments!E:E)</f>
        <v>0</v>
      </c>
      <c r="H876" s="3">
        <f t="shared" si="39"/>
        <v>3051.83</v>
      </c>
      <c r="I876" s="29">
        <f t="shared" si="40"/>
        <v>61</v>
      </c>
      <c r="J876" s="31" t="str">
        <f t="shared" si="41"/>
        <v>61-90</v>
      </c>
      <c r="K876"/>
    </row>
    <row r="877" spans="1:11" x14ac:dyDescent="0.3">
      <c r="A877" s="21" t="s">
        <v>105</v>
      </c>
      <c r="B877" t="str">
        <f>VLOOKUP(A877,Customers!A:B,2,FALSE)</f>
        <v>RetailFlowPro</v>
      </c>
      <c r="C877" s="25" t="s">
        <v>1244</v>
      </c>
      <c r="D877" s="11">
        <v>45998</v>
      </c>
      <c r="E877" s="11">
        <v>46028</v>
      </c>
      <c r="F877" s="5">
        <v>13575.61</v>
      </c>
      <c r="G877" s="3">
        <f>SUMIF(Customer_Payments!B:B,C877,Customer_Payments!E:E)</f>
        <v>13575.61</v>
      </c>
      <c r="H877" s="3">
        <f t="shared" si="39"/>
        <v>0</v>
      </c>
      <c r="I877" s="29">
        <f t="shared" si="40"/>
        <v>63</v>
      </c>
      <c r="J877" s="31" t="str">
        <f t="shared" si="41"/>
        <v>61-90</v>
      </c>
      <c r="K877"/>
    </row>
    <row r="878" spans="1:11" x14ac:dyDescent="0.3">
      <c r="A878" s="20" t="s">
        <v>105</v>
      </c>
      <c r="B878" t="str">
        <f>VLOOKUP(A878,Customers!A:B,2,FALSE)</f>
        <v>RetailFlowPro</v>
      </c>
      <c r="C878" s="24" t="s">
        <v>1245</v>
      </c>
      <c r="D878" s="10">
        <v>46091</v>
      </c>
      <c r="E878" s="10">
        <v>46121</v>
      </c>
      <c r="F878" s="4">
        <v>10786.38</v>
      </c>
      <c r="G878" s="3">
        <f>SUMIF(Customer_Payments!B:B,C878,Customer_Payments!E:E)</f>
        <v>10786.38</v>
      </c>
      <c r="H878" s="3">
        <f t="shared" si="39"/>
        <v>0</v>
      </c>
      <c r="I878" s="29">
        <f t="shared" si="40"/>
        <v>-30</v>
      </c>
      <c r="J878" s="31" t="str">
        <f t="shared" si="41"/>
        <v>Current</v>
      </c>
      <c r="K878"/>
    </row>
    <row r="879" spans="1:11" x14ac:dyDescent="0.3">
      <c r="A879" s="21" t="s">
        <v>46</v>
      </c>
      <c r="B879" t="str">
        <f>VLOOKUP(A879,Customers!A:B,2,FALSE)</f>
        <v>NovaMarket</v>
      </c>
      <c r="C879" s="25" t="s">
        <v>1246</v>
      </c>
      <c r="D879" s="11">
        <v>46079</v>
      </c>
      <c r="E879" s="11">
        <v>46109</v>
      </c>
      <c r="F879" s="5">
        <v>3025.37</v>
      </c>
      <c r="G879" s="3">
        <f>SUMIF(Customer_Payments!B:B,C879,Customer_Payments!E:E)</f>
        <v>3025.37</v>
      </c>
      <c r="H879" s="3">
        <f t="shared" si="39"/>
        <v>0</v>
      </c>
      <c r="I879" s="29">
        <f t="shared" si="40"/>
        <v>-18</v>
      </c>
      <c r="J879" s="31" t="str">
        <f t="shared" si="41"/>
        <v>Current</v>
      </c>
      <c r="K879"/>
    </row>
    <row r="880" spans="1:11" x14ac:dyDescent="0.3">
      <c r="A880" s="20" t="s">
        <v>77</v>
      </c>
      <c r="B880" t="str">
        <f>VLOOKUP(A880,Customers!A:B,2,FALSE)</f>
        <v>RetailBridge</v>
      </c>
      <c r="C880" s="24" t="s">
        <v>1247</v>
      </c>
      <c r="D880" s="10">
        <v>45985</v>
      </c>
      <c r="E880" s="10">
        <v>46015</v>
      </c>
      <c r="F880" s="4">
        <v>2158.61</v>
      </c>
      <c r="G880" s="3">
        <f>SUMIF(Customer_Payments!B:B,C880,Customer_Payments!E:E)</f>
        <v>2158.61</v>
      </c>
      <c r="H880" s="3">
        <f t="shared" si="39"/>
        <v>0</v>
      </c>
      <c r="I880" s="29">
        <f t="shared" si="40"/>
        <v>76</v>
      </c>
      <c r="J880" s="31" t="str">
        <f t="shared" si="41"/>
        <v>61-90</v>
      </c>
      <c r="K880"/>
    </row>
    <row r="881" spans="1:11" x14ac:dyDescent="0.3">
      <c r="A881" s="21" t="s">
        <v>53</v>
      </c>
      <c r="B881" t="str">
        <f>VLOOKUP(A881,Customers!A:B,2,FALSE)</f>
        <v>PrimeCart</v>
      </c>
      <c r="C881" s="25" t="s">
        <v>1248</v>
      </c>
      <c r="D881" s="11">
        <v>45965</v>
      </c>
      <c r="E881" s="11">
        <v>45995</v>
      </c>
      <c r="F881" s="5">
        <v>2971</v>
      </c>
      <c r="G881" s="3">
        <f>SUMIF(Customer_Payments!B:B,C881,Customer_Payments!E:E)</f>
        <v>2971</v>
      </c>
      <c r="H881" s="3">
        <f t="shared" si="39"/>
        <v>0</v>
      </c>
      <c r="I881" s="29">
        <f t="shared" si="40"/>
        <v>96</v>
      </c>
      <c r="J881" s="31" t="str">
        <f t="shared" si="41"/>
        <v>90+</v>
      </c>
      <c r="K881"/>
    </row>
    <row r="882" spans="1:11" x14ac:dyDescent="0.3">
      <c r="A882" s="20" t="s">
        <v>62</v>
      </c>
      <c r="B882" t="str">
        <f>VLOOKUP(A882,Customers!A:B,2,FALSE)</f>
        <v>MarketNova</v>
      </c>
      <c r="C882" s="24" t="s">
        <v>1249</v>
      </c>
      <c r="D882" s="10">
        <v>46005</v>
      </c>
      <c r="E882" s="10">
        <v>46035</v>
      </c>
      <c r="F882" s="4">
        <v>3436.39</v>
      </c>
      <c r="G882" s="3">
        <f>SUMIF(Customer_Payments!B:B,C882,Customer_Payments!E:E)</f>
        <v>3436.39</v>
      </c>
      <c r="H882" s="3">
        <f t="shared" si="39"/>
        <v>0</v>
      </c>
      <c r="I882" s="29">
        <f t="shared" si="40"/>
        <v>56</v>
      </c>
      <c r="J882" s="31" t="str">
        <f t="shared" si="41"/>
        <v>31-60</v>
      </c>
      <c r="K882"/>
    </row>
    <row r="883" spans="1:11" x14ac:dyDescent="0.3">
      <c r="A883" s="21" t="s">
        <v>57</v>
      </c>
      <c r="B883" t="str">
        <f>VLOOKUP(A883,Customers!A:B,2,FALSE)</f>
        <v>MarketGenius</v>
      </c>
      <c r="C883" s="25" t="s">
        <v>1250</v>
      </c>
      <c r="D883" s="11">
        <v>45966</v>
      </c>
      <c r="E883" s="11">
        <v>45996</v>
      </c>
      <c r="F883" s="5">
        <v>2015.07</v>
      </c>
      <c r="G883" s="3">
        <f>SUMIF(Customer_Payments!B:B,C883,Customer_Payments!E:E)</f>
        <v>2015.07</v>
      </c>
      <c r="H883" s="3">
        <f t="shared" si="39"/>
        <v>0</v>
      </c>
      <c r="I883" s="29">
        <f t="shared" si="40"/>
        <v>95</v>
      </c>
      <c r="J883" s="31" t="str">
        <f t="shared" si="41"/>
        <v>90+</v>
      </c>
      <c r="K883"/>
    </row>
    <row r="884" spans="1:11" x14ac:dyDescent="0.3">
      <c r="A884" s="20" t="s">
        <v>67</v>
      </c>
      <c r="B884" t="str">
        <f>VLOOKUP(A884,Customers!A:B,2,FALSE)</f>
        <v>RetailDynamics</v>
      </c>
      <c r="C884" s="24" t="s">
        <v>1251</v>
      </c>
      <c r="D884" s="10">
        <v>46087</v>
      </c>
      <c r="E884" s="10">
        <v>46117</v>
      </c>
      <c r="F884" s="4">
        <v>4017.86</v>
      </c>
      <c r="G884" s="3">
        <f>SUMIF(Customer_Payments!B:B,C884,Customer_Payments!E:E)</f>
        <v>0</v>
      </c>
      <c r="H884" s="3">
        <f t="shared" si="39"/>
        <v>4017.86</v>
      </c>
      <c r="I884" s="29">
        <f t="shared" si="40"/>
        <v>-26</v>
      </c>
      <c r="J884" s="31" t="str">
        <f t="shared" si="41"/>
        <v>Current</v>
      </c>
      <c r="K884"/>
    </row>
    <row r="885" spans="1:11" x14ac:dyDescent="0.3">
      <c r="A885" s="21" t="s">
        <v>70</v>
      </c>
      <c r="B885" t="str">
        <f>VLOOKUP(A885,Customers!A:B,2,FALSE)</f>
        <v>RetailPath</v>
      </c>
      <c r="C885" s="25" t="s">
        <v>1252</v>
      </c>
      <c r="D885" s="11">
        <v>46101</v>
      </c>
      <c r="E885" s="11">
        <v>46131</v>
      </c>
      <c r="F885" s="5">
        <v>1869.27</v>
      </c>
      <c r="G885" s="3">
        <f>SUMIF(Customer_Payments!B:B,C885,Customer_Payments!E:E)</f>
        <v>1869.27</v>
      </c>
      <c r="H885" s="3">
        <f t="shared" si="39"/>
        <v>0</v>
      </c>
      <c r="I885" s="29">
        <f t="shared" si="40"/>
        <v>-40</v>
      </c>
      <c r="J885" s="31" t="str">
        <f t="shared" si="41"/>
        <v>Current</v>
      </c>
      <c r="K885"/>
    </row>
    <row r="886" spans="1:11" x14ac:dyDescent="0.3">
      <c r="A886" s="20" t="s">
        <v>52</v>
      </c>
      <c r="B886" t="str">
        <f>VLOOKUP(A886,Customers!A:B,2,FALSE)</f>
        <v>RetailShift</v>
      </c>
      <c r="C886" s="24" t="s">
        <v>1253</v>
      </c>
      <c r="D886" s="10">
        <v>46099</v>
      </c>
      <c r="E886" s="10">
        <v>46129</v>
      </c>
      <c r="F886" s="4">
        <v>3223.13</v>
      </c>
      <c r="G886" s="3">
        <f>SUMIF(Customer_Payments!B:B,C886,Customer_Payments!E:E)</f>
        <v>3223.13</v>
      </c>
      <c r="H886" s="3">
        <f t="shared" si="39"/>
        <v>0</v>
      </c>
      <c r="I886" s="29">
        <f t="shared" si="40"/>
        <v>-38</v>
      </c>
      <c r="J886" s="31" t="str">
        <f t="shared" si="41"/>
        <v>Current</v>
      </c>
      <c r="K886"/>
    </row>
    <row r="887" spans="1:11" x14ac:dyDescent="0.3">
      <c r="A887" s="21" t="s">
        <v>36</v>
      </c>
      <c r="B887" t="str">
        <f>VLOOKUP(A887,Customers!A:B,2,FALSE)</f>
        <v>RapidMarket</v>
      </c>
      <c r="C887" s="25" t="s">
        <v>1254</v>
      </c>
      <c r="D887" s="11">
        <v>46065</v>
      </c>
      <c r="E887" s="11">
        <v>46095</v>
      </c>
      <c r="F887" s="5">
        <v>1550.82</v>
      </c>
      <c r="G887" s="3">
        <f>SUMIF(Customer_Payments!B:B,C887,Customer_Payments!E:E)</f>
        <v>1550.82</v>
      </c>
      <c r="H887" s="3">
        <f t="shared" si="39"/>
        <v>0</v>
      </c>
      <c r="I887" s="29">
        <f t="shared" si="40"/>
        <v>-4</v>
      </c>
      <c r="J887" s="31" t="str">
        <f t="shared" si="41"/>
        <v>Current</v>
      </c>
      <c r="K887"/>
    </row>
    <row r="888" spans="1:11" x14ac:dyDescent="0.3">
      <c r="A888" s="20" t="s">
        <v>110</v>
      </c>
      <c r="B888" t="str">
        <f>VLOOKUP(A888,Customers!A:B,2,FALSE)</f>
        <v>RetailAxisPro</v>
      </c>
      <c r="C888" s="24" t="s">
        <v>1255</v>
      </c>
      <c r="D888" s="10">
        <v>46053</v>
      </c>
      <c r="E888" s="10">
        <v>46083</v>
      </c>
      <c r="F888" s="4">
        <v>2981.68</v>
      </c>
      <c r="G888" s="3">
        <f>SUMIF(Customer_Payments!B:B,C888,Customer_Payments!E:E)</f>
        <v>0</v>
      </c>
      <c r="H888" s="3">
        <f t="shared" si="39"/>
        <v>2981.68</v>
      </c>
      <c r="I888" s="29">
        <f t="shared" si="40"/>
        <v>8</v>
      </c>
      <c r="J888" s="31" t="str">
        <f t="shared" si="41"/>
        <v>1-30</v>
      </c>
      <c r="K888"/>
    </row>
    <row r="889" spans="1:11" x14ac:dyDescent="0.3">
      <c r="A889" s="21" t="s">
        <v>99</v>
      </c>
      <c r="B889" t="str">
        <f>VLOOKUP(A889,Customers!A:B,2,FALSE)</f>
        <v>RetailNovaPro</v>
      </c>
      <c r="C889" s="25" t="s">
        <v>1256</v>
      </c>
      <c r="D889" s="11">
        <v>46005</v>
      </c>
      <c r="E889" s="11">
        <v>46035</v>
      </c>
      <c r="F889" s="5">
        <v>13119.31</v>
      </c>
      <c r="G889" s="3">
        <f>SUMIF(Customer_Payments!B:B,C889,Customer_Payments!E:E)</f>
        <v>13119.31</v>
      </c>
      <c r="H889" s="3">
        <f t="shared" si="39"/>
        <v>0</v>
      </c>
      <c r="I889" s="29">
        <f t="shared" si="40"/>
        <v>56</v>
      </c>
      <c r="J889" s="31" t="str">
        <f t="shared" si="41"/>
        <v>31-60</v>
      </c>
      <c r="K889"/>
    </row>
    <row r="890" spans="1:11" x14ac:dyDescent="0.3">
      <c r="A890" s="20" t="s">
        <v>78</v>
      </c>
      <c r="B890" t="str">
        <f>VLOOKUP(A890,Customers!A:B,2,FALSE)</f>
        <v>RetailOrbitX</v>
      </c>
      <c r="C890" s="24" t="s">
        <v>1257</v>
      </c>
      <c r="D890" s="10">
        <v>46051</v>
      </c>
      <c r="E890" s="10">
        <v>46081</v>
      </c>
      <c r="F890" s="4">
        <v>4501.3900000000003</v>
      </c>
      <c r="G890" s="3">
        <f>SUMIF(Customer_Payments!B:B,C890,Customer_Payments!E:E)</f>
        <v>4501.3899999999994</v>
      </c>
      <c r="H890" s="3">
        <f t="shared" si="39"/>
        <v>9.0949470177292824E-13</v>
      </c>
      <c r="I890" s="29">
        <f t="shared" si="40"/>
        <v>10</v>
      </c>
      <c r="J890" s="31" t="str">
        <f t="shared" si="41"/>
        <v>1-30</v>
      </c>
      <c r="K890"/>
    </row>
    <row r="891" spans="1:11" x14ac:dyDescent="0.3">
      <c r="A891" s="21" t="s">
        <v>76</v>
      </c>
      <c r="B891" t="str">
        <f>VLOOKUP(A891,Customers!A:B,2,FALSE)</f>
        <v>RetailSphere</v>
      </c>
      <c r="C891" s="25" t="s">
        <v>1258</v>
      </c>
      <c r="D891" s="11">
        <v>45988</v>
      </c>
      <c r="E891" s="11">
        <v>46018</v>
      </c>
      <c r="F891" s="5">
        <v>2542.73</v>
      </c>
      <c r="G891" s="3">
        <f>SUMIF(Customer_Payments!B:B,C891,Customer_Payments!E:E)</f>
        <v>2542.73</v>
      </c>
      <c r="H891" s="3">
        <f t="shared" si="39"/>
        <v>0</v>
      </c>
      <c r="I891" s="29">
        <f t="shared" si="40"/>
        <v>73</v>
      </c>
      <c r="J891" s="31" t="str">
        <f t="shared" si="41"/>
        <v>61-90</v>
      </c>
      <c r="K891"/>
    </row>
    <row r="892" spans="1:11" x14ac:dyDescent="0.3">
      <c r="A892" s="20" t="s">
        <v>83</v>
      </c>
      <c r="B892" t="str">
        <f>VLOOKUP(A892,Customers!A:B,2,FALSE)</f>
        <v>RetailCoreX</v>
      </c>
      <c r="C892" s="24" t="s">
        <v>1259</v>
      </c>
      <c r="D892" s="10">
        <v>46021</v>
      </c>
      <c r="E892" s="10">
        <v>46051</v>
      </c>
      <c r="F892" s="4">
        <v>2323.6799999999998</v>
      </c>
      <c r="G892" s="3">
        <f>SUMIF(Customer_Payments!B:B,C892,Customer_Payments!E:E)</f>
        <v>0</v>
      </c>
      <c r="H892" s="3">
        <f t="shared" si="39"/>
        <v>2323.6799999999998</v>
      </c>
      <c r="I892" s="29">
        <f t="shared" si="40"/>
        <v>40</v>
      </c>
      <c r="J892" s="31" t="str">
        <f t="shared" si="41"/>
        <v>31-60</v>
      </c>
      <c r="K892"/>
    </row>
    <row r="893" spans="1:11" x14ac:dyDescent="0.3">
      <c r="A893" s="21" t="s">
        <v>111</v>
      </c>
      <c r="B893" t="str">
        <f>VLOOKUP(A893,Customers!A:B,2,FALSE)</f>
        <v>RetailPulsePro</v>
      </c>
      <c r="C893" s="25" t="s">
        <v>1260</v>
      </c>
      <c r="D893" s="11">
        <v>46066</v>
      </c>
      <c r="E893" s="11">
        <v>46096</v>
      </c>
      <c r="F893" s="5">
        <v>3024.48</v>
      </c>
      <c r="G893" s="3">
        <f>SUMIF(Customer_Payments!B:B,C893,Customer_Payments!E:E)</f>
        <v>3024.48</v>
      </c>
      <c r="H893" s="3">
        <f t="shared" si="39"/>
        <v>0</v>
      </c>
      <c r="I893" s="29">
        <f t="shared" si="40"/>
        <v>-5</v>
      </c>
      <c r="J893" s="31" t="str">
        <f t="shared" si="41"/>
        <v>Current</v>
      </c>
      <c r="K893"/>
    </row>
    <row r="894" spans="1:11" x14ac:dyDescent="0.3">
      <c r="A894" s="20" t="s">
        <v>71</v>
      </c>
      <c r="B894" t="str">
        <f>VLOOKUP(A894,Customers!A:B,2,FALSE)</f>
        <v>RetailPulse</v>
      </c>
      <c r="C894" s="24" t="s">
        <v>1261</v>
      </c>
      <c r="D894" s="10">
        <v>46053</v>
      </c>
      <c r="E894" s="10">
        <v>46083</v>
      </c>
      <c r="F894" s="4">
        <v>2541.61</v>
      </c>
      <c r="G894" s="3">
        <f>SUMIF(Customer_Payments!B:B,C894,Customer_Payments!E:E)</f>
        <v>0</v>
      </c>
      <c r="H894" s="3">
        <f t="shared" si="39"/>
        <v>2541.61</v>
      </c>
      <c r="I894" s="29">
        <f t="shared" si="40"/>
        <v>8</v>
      </c>
      <c r="J894" s="31" t="str">
        <f t="shared" si="41"/>
        <v>1-30</v>
      </c>
      <c r="K894"/>
    </row>
    <row r="895" spans="1:11" x14ac:dyDescent="0.3">
      <c r="A895" s="21" t="s">
        <v>53</v>
      </c>
      <c r="B895" t="str">
        <f>VLOOKUP(A895,Customers!A:B,2,FALSE)</f>
        <v>PrimeCart</v>
      </c>
      <c r="C895" s="25" t="s">
        <v>1262</v>
      </c>
      <c r="D895" s="11">
        <v>45988</v>
      </c>
      <c r="E895" s="11">
        <v>46018</v>
      </c>
      <c r="F895" s="5">
        <v>13121.56</v>
      </c>
      <c r="G895" s="3">
        <f>SUMIF(Customer_Payments!B:B,C895,Customer_Payments!E:E)</f>
        <v>13121.56</v>
      </c>
      <c r="H895" s="3">
        <f t="shared" si="39"/>
        <v>0</v>
      </c>
      <c r="I895" s="29">
        <f t="shared" si="40"/>
        <v>73</v>
      </c>
      <c r="J895" s="31" t="str">
        <f t="shared" si="41"/>
        <v>61-90</v>
      </c>
      <c r="K895"/>
    </row>
    <row r="896" spans="1:11" x14ac:dyDescent="0.3">
      <c r="A896" s="20" t="s">
        <v>75</v>
      </c>
      <c r="B896" t="str">
        <f>VLOOKUP(A896,Customers!A:B,2,FALSE)</f>
        <v>RetailMatrix</v>
      </c>
      <c r="C896" s="24" t="s">
        <v>1263</v>
      </c>
      <c r="D896" s="10">
        <v>46010</v>
      </c>
      <c r="E896" s="10">
        <v>46040</v>
      </c>
      <c r="F896" s="4">
        <v>3134.3</v>
      </c>
      <c r="G896" s="3">
        <f>SUMIF(Customer_Payments!B:B,C896,Customer_Payments!E:E)</f>
        <v>3134.3</v>
      </c>
      <c r="H896" s="3">
        <f t="shared" si="39"/>
        <v>0</v>
      </c>
      <c r="I896" s="29">
        <f t="shared" si="40"/>
        <v>51</v>
      </c>
      <c r="J896" s="31" t="str">
        <f t="shared" si="41"/>
        <v>31-60</v>
      </c>
      <c r="K896"/>
    </row>
    <row r="897" spans="1:11" x14ac:dyDescent="0.3">
      <c r="A897" s="21" t="s">
        <v>26</v>
      </c>
      <c r="B897" t="str">
        <f>VLOOKUP(A897,Customers!A:B,2,FALSE)</f>
        <v>NovaRetail</v>
      </c>
      <c r="C897" s="25" t="s">
        <v>1264</v>
      </c>
      <c r="D897" s="11">
        <v>46060</v>
      </c>
      <c r="E897" s="11">
        <v>46090</v>
      </c>
      <c r="F897" s="5">
        <v>10511.37</v>
      </c>
      <c r="G897" s="3">
        <f>SUMIF(Customer_Payments!B:B,C897,Customer_Payments!E:E)</f>
        <v>0</v>
      </c>
      <c r="H897" s="3">
        <f t="shared" si="39"/>
        <v>10511.37</v>
      </c>
      <c r="I897" s="29">
        <f t="shared" si="40"/>
        <v>1</v>
      </c>
      <c r="J897" s="31" t="str">
        <f t="shared" si="41"/>
        <v>1-30</v>
      </c>
      <c r="K897"/>
    </row>
    <row r="898" spans="1:11" x14ac:dyDescent="0.3">
      <c r="A898" s="20" t="s">
        <v>19</v>
      </c>
      <c r="B898" t="str">
        <f>VLOOKUP(A898,Customers!A:B,2,FALSE)</f>
        <v>NextWave Digital</v>
      </c>
      <c r="C898" s="24" t="s">
        <v>1265</v>
      </c>
      <c r="D898" s="10">
        <v>45963</v>
      </c>
      <c r="E898" s="10">
        <v>45993</v>
      </c>
      <c r="F898" s="4">
        <v>3196.38</v>
      </c>
      <c r="G898" s="3">
        <f>SUMIF(Customer_Payments!B:B,C898,Customer_Payments!E:E)</f>
        <v>3196.38</v>
      </c>
      <c r="H898" s="3">
        <f t="shared" ref="H898:H961" si="42">MAX(F898-G898,0)</f>
        <v>0</v>
      </c>
      <c r="I898" s="29">
        <f t="shared" ref="I898:I961" si="43">$L$2-E898</f>
        <v>98</v>
      </c>
      <c r="J898" s="31" t="str">
        <f t="shared" si="41"/>
        <v>90+</v>
      </c>
      <c r="K898"/>
    </row>
    <row r="899" spans="1:11" x14ac:dyDescent="0.3">
      <c r="A899" s="21" t="s">
        <v>11</v>
      </c>
      <c r="B899" t="str">
        <f>VLOOKUP(A899,Customers!A:B,2,FALSE)</f>
        <v>DataHive</v>
      </c>
      <c r="C899" s="25" t="s">
        <v>1266</v>
      </c>
      <c r="D899" s="11">
        <v>46075</v>
      </c>
      <c r="E899" s="11">
        <v>46105</v>
      </c>
      <c r="F899" s="5">
        <v>3722.45</v>
      </c>
      <c r="G899" s="3">
        <f>SUMIF(Customer_Payments!B:B,C899,Customer_Payments!E:E)</f>
        <v>3722.45</v>
      </c>
      <c r="H899" s="3">
        <f t="shared" si="42"/>
        <v>0</v>
      </c>
      <c r="I899" s="29">
        <f t="shared" si="43"/>
        <v>-14</v>
      </c>
      <c r="J899" s="31" t="str">
        <f t="shared" ref="J899:J962" si="44">IF(I899&lt;=0,"Current",
IF(I899&lt;=30,"1-30",
IF(I899&lt;=60,"31-60",
IF(I899&lt;=90,"61-90","90+"))))</f>
        <v>Current</v>
      </c>
      <c r="K899"/>
    </row>
    <row r="900" spans="1:11" x14ac:dyDescent="0.3">
      <c r="A900" s="20" t="s">
        <v>89</v>
      </c>
      <c r="B900" t="str">
        <f>VLOOKUP(A900,Customers!A:B,2,FALSE)</f>
        <v>RetailAxisX</v>
      </c>
      <c r="C900" s="24" t="s">
        <v>1267</v>
      </c>
      <c r="D900" s="10">
        <v>45995</v>
      </c>
      <c r="E900" s="10">
        <v>46025</v>
      </c>
      <c r="F900" s="4">
        <v>4214.1099999999997</v>
      </c>
      <c r="G900" s="3">
        <f>SUMIF(Customer_Payments!B:B,C900,Customer_Payments!E:E)</f>
        <v>4214.1099999999997</v>
      </c>
      <c r="H900" s="3">
        <f t="shared" si="42"/>
        <v>0</v>
      </c>
      <c r="I900" s="29">
        <f t="shared" si="43"/>
        <v>66</v>
      </c>
      <c r="J900" s="31" t="str">
        <f t="shared" si="44"/>
        <v>61-90</v>
      </c>
      <c r="K900"/>
    </row>
    <row r="901" spans="1:11" x14ac:dyDescent="0.3">
      <c r="A901" s="21" t="s">
        <v>39</v>
      </c>
      <c r="B901" t="str">
        <f>VLOOKUP(A901,Customers!A:B,2,FALSE)</f>
        <v>VisionCommerce</v>
      </c>
      <c r="C901" s="25" t="s">
        <v>1268</v>
      </c>
      <c r="D901" s="11">
        <v>46094</v>
      </c>
      <c r="E901" s="11">
        <v>46124</v>
      </c>
      <c r="F901" s="5">
        <v>12758.02</v>
      </c>
      <c r="G901" s="3">
        <f>SUMIF(Customer_Payments!B:B,C901,Customer_Payments!E:E)</f>
        <v>12758.02</v>
      </c>
      <c r="H901" s="3">
        <f t="shared" si="42"/>
        <v>0</v>
      </c>
      <c r="I901" s="29">
        <f t="shared" si="43"/>
        <v>-33</v>
      </c>
      <c r="J901" s="31" t="str">
        <f t="shared" si="44"/>
        <v>Current</v>
      </c>
      <c r="K901"/>
    </row>
    <row r="902" spans="1:11" x14ac:dyDescent="0.3">
      <c r="A902" s="20" t="s">
        <v>124</v>
      </c>
      <c r="B902" t="str">
        <f>VLOOKUP(A902,Customers!A:B,2,FALSE)</f>
        <v>RetailOrbitGlobal</v>
      </c>
      <c r="C902" s="24" t="s">
        <v>1269</v>
      </c>
      <c r="D902" s="10">
        <v>46103</v>
      </c>
      <c r="E902" s="10">
        <v>46133</v>
      </c>
      <c r="F902" s="4">
        <v>2839.62</v>
      </c>
      <c r="G902" s="3">
        <f>SUMIF(Customer_Payments!B:B,C902,Customer_Payments!E:E)</f>
        <v>2839.62</v>
      </c>
      <c r="H902" s="3">
        <f t="shared" si="42"/>
        <v>0</v>
      </c>
      <c r="I902" s="29">
        <f t="shared" si="43"/>
        <v>-42</v>
      </c>
      <c r="J902" s="31" t="str">
        <f t="shared" si="44"/>
        <v>Current</v>
      </c>
      <c r="K902"/>
    </row>
    <row r="903" spans="1:11" x14ac:dyDescent="0.3">
      <c r="A903" s="21" t="s">
        <v>88</v>
      </c>
      <c r="B903" t="str">
        <f>VLOOKUP(A903,Customers!A:B,2,FALSE)</f>
        <v>RetailPrimeX</v>
      </c>
      <c r="C903" s="25" t="s">
        <v>1270</v>
      </c>
      <c r="D903" s="11">
        <v>46035</v>
      </c>
      <c r="E903" s="11">
        <v>46065</v>
      </c>
      <c r="F903" s="5">
        <v>5311.5</v>
      </c>
      <c r="G903" s="3">
        <f>SUMIF(Customer_Payments!B:B,C903,Customer_Payments!E:E)</f>
        <v>5311.5</v>
      </c>
      <c r="H903" s="3">
        <f t="shared" si="42"/>
        <v>0</v>
      </c>
      <c r="I903" s="29">
        <f t="shared" si="43"/>
        <v>26</v>
      </c>
      <c r="J903" s="31" t="str">
        <f t="shared" si="44"/>
        <v>1-30</v>
      </c>
      <c r="K903"/>
    </row>
    <row r="904" spans="1:11" x14ac:dyDescent="0.3">
      <c r="A904" s="20" t="s">
        <v>108</v>
      </c>
      <c r="B904" t="str">
        <f>VLOOKUP(A904,Customers!A:B,2,FALSE)</f>
        <v>RetailNextPro</v>
      </c>
      <c r="C904" s="24" t="s">
        <v>1271</v>
      </c>
      <c r="D904" s="10">
        <v>45998</v>
      </c>
      <c r="E904" s="10">
        <v>46028</v>
      </c>
      <c r="F904" s="4">
        <v>2833.11</v>
      </c>
      <c r="G904" s="3">
        <f>SUMIF(Customer_Payments!B:B,C904,Customer_Payments!E:E)</f>
        <v>0</v>
      </c>
      <c r="H904" s="3">
        <f t="shared" si="42"/>
        <v>2833.11</v>
      </c>
      <c r="I904" s="29">
        <f t="shared" si="43"/>
        <v>63</v>
      </c>
      <c r="J904" s="31" t="str">
        <f t="shared" si="44"/>
        <v>61-90</v>
      </c>
      <c r="K904"/>
    </row>
    <row r="905" spans="1:11" x14ac:dyDescent="0.3">
      <c r="A905" s="21" t="s">
        <v>100</v>
      </c>
      <c r="B905" t="str">
        <f>VLOOKUP(A905,Customers!A:B,2,FALSE)</f>
        <v>RetailBoostPro</v>
      </c>
      <c r="C905" s="25" t="s">
        <v>1272</v>
      </c>
      <c r="D905" s="11">
        <v>45996</v>
      </c>
      <c r="E905" s="11">
        <v>46026</v>
      </c>
      <c r="F905" s="5">
        <v>1481.98</v>
      </c>
      <c r="G905" s="3">
        <f>SUMIF(Customer_Payments!B:B,C905,Customer_Payments!E:E)</f>
        <v>1481.98</v>
      </c>
      <c r="H905" s="3">
        <f t="shared" si="42"/>
        <v>0</v>
      </c>
      <c r="I905" s="29">
        <f t="shared" si="43"/>
        <v>65</v>
      </c>
      <c r="J905" s="31" t="str">
        <f t="shared" si="44"/>
        <v>61-90</v>
      </c>
      <c r="K905"/>
    </row>
    <row r="906" spans="1:11" x14ac:dyDescent="0.3">
      <c r="A906" s="20" t="s">
        <v>19</v>
      </c>
      <c r="B906" t="str">
        <f>VLOOKUP(A906,Customers!A:B,2,FALSE)</f>
        <v>NextWave Digital</v>
      </c>
      <c r="C906" s="24" t="s">
        <v>1273</v>
      </c>
      <c r="D906" s="10">
        <v>46076</v>
      </c>
      <c r="E906" s="10">
        <v>46106</v>
      </c>
      <c r="F906" s="4">
        <v>3401.35</v>
      </c>
      <c r="G906" s="3">
        <f>SUMIF(Customer_Payments!B:B,C906,Customer_Payments!E:E)</f>
        <v>0</v>
      </c>
      <c r="H906" s="3">
        <f t="shared" si="42"/>
        <v>3401.35</v>
      </c>
      <c r="I906" s="29">
        <f t="shared" si="43"/>
        <v>-15</v>
      </c>
      <c r="J906" s="31" t="str">
        <f t="shared" si="44"/>
        <v>Current</v>
      </c>
      <c r="K906"/>
    </row>
    <row r="907" spans="1:11" x14ac:dyDescent="0.3">
      <c r="A907" s="21" t="s">
        <v>74</v>
      </c>
      <c r="B907" t="str">
        <f>VLOOKUP(A907,Customers!A:B,2,FALSE)</f>
        <v>RetailPrime</v>
      </c>
      <c r="C907" s="25" t="s">
        <v>1274</v>
      </c>
      <c r="D907" s="11">
        <v>45974</v>
      </c>
      <c r="E907" s="11">
        <v>46004</v>
      </c>
      <c r="F907" s="5">
        <v>3270.21</v>
      </c>
      <c r="G907" s="3">
        <f>SUMIF(Customer_Payments!B:B,C907,Customer_Payments!E:E)</f>
        <v>3270.21</v>
      </c>
      <c r="H907" s="3">
        <f t="shared" si="42"/>
        <v>0</v>
      </c>
      <c r="I907" s="29">
        <f t="shared" si="43"/>
        <v>87</v>
      </c>
      <c r="J907" s="31" t="str">
        <f t="shared" si="44"/>
        <v>61-90</v>
      </c>
      <c r="K907"/>
    </row>
    <row r="908" spans="1:11" x14ac:dyDescent="0.3">
      <c r="A908" s="20" t="s">
        <v>78</v>
      </c>
      <c r="B908" t="str">
        <f>VLOOKUP(A908,Customers!A:B,2,FALSE)</f>
        <v>RetailOrbitX</v>
      </c>
      <c r="C908" s="24" t="s">
        <v>1275</v>
      </c>
      <c r="D908" s="10">
        <v>46031</v>
      </c>
      <c r="E908" s="10">
        <v>46061</v>
      </c>
      <c r="F908" s="4">
        <v>1619.11</v>
      </c>
      <c r="G908" s="3">
        <f>SUMIF(Customer_Payments!B:B,C908,Customer_Payments!E:E)</f>
        <v>1619.11</v>
      </c>
      <c r="H908" s="3">
        <f t="shared" si="42"/>
        <v>0</v>
      </c>
      <c r="I908" s="29">
        <f t="shared" si="43"/>
        <v>30</v>
      </c>
      <c r="J908" s="31" t="str">
        <f t="shared" si="44"/>
        <v>1-30</v>
      </c>
      <c r="K908"/>
    </row>
    <row r="909" spans="1:11" x14ac:dyDescent="0.3">
      <c r="A909" s="21" t="s">
        <v>93</v>
      </c>
      <c r="B909" t="str">
        <f>VLOOKUP(A909,Customers!A:B,2,FALSE)</f>
        <v>RetailSphereX</v>
      </c>
      <c r="C909" s="25" t="s">
        <v>1276</v>
      </c>
      <c r="D909" s="11">
        <v>46011</v>
      </c>
      <c r="E909" s="11">
        <v>46041</v>
      </c>
      <c r="F909" s="5">
        <v>13181.32</v>
      </c>
      <c r="G909" s="3">
        <f>SUMIF(Customer_Payments!B:B,C909,Customer_Payments!E:E)</f>
        <v>13181.32</v>
      </c>
      <c r="H909" s="3">
        <f t="shared" si="42"/>
        <v>0</v>
      </c>
      <c r="I909" s="29">
        <f t="shared" si="43"/>
        <v>50</v>
      </c>
      <c r="J909" s="31" t="str">
        <f t="shared" si="44"/>
        <v>31-60</v>
      </c>
      <c r="K909"/>
    </row>
    <row r="910" spans="1:11" x14ac:dyDescent="0.3">
      <c r="A910" s="20" t="s">
        <v>30</v>
      </c>
      <c r="B910" t="str">
        <f>VLOOKUP(A910,Customers!A:B,2,FALSE)</f>
        <v>CommerceFlow</v>
      </c>
      <c r="C910" s="24" t="s">
        <v>1277</v>
      </c>
      <c r="D910" s="10">
        <v>46012</v>
      </c>
      <c r="E910" s="10">
        <v>46042</v>
      </c>
      <c r="F910" s="4">
        <v>12972.24</v>
      </c>
      <c r="G910" s="3">
        <f>SUMIF(Customer_Payments!B:B,C910,Customer_Payments!E:E)</f>
        <v>12972.24</v>
      </c>
      <c r="H910" s="3">
        <f t="shared" si="42"/>
        <v>0</v>
      </c>
      <c r="I910" s="29">
        <f t="shared" si="43"/>
        <v>49</v>
      </c>
      <c r="J910" s="31" t="str">
        <f t="shared" si="44"/>
        <v>31-60</v>
      </c>
      <c r="K910"/>
    </row>
    <row r="911" spans="1:11" x14ac:dyDescent="0.3">
      <c r="A911" s="21" t="s">
        <v>83</v>
      </c>
      <c r="B911" t="str">
        <f>VLOOKUP(A911,Customers!A:B,2,FALSE)</f>
        <v>RetailCoreX</v>
      </c>
      <c r="C911" s="25" t="s">
        <v>1278</v>
      </c>
      <c r="D911" s="11">
        <v>46051</v>
      </c>
      <c r="E911" s="11">
        <v>46081</v>
      </c>
      <c r="F911" s="5">
        <v>3362.18</v>
      </c>
      <c r="G911" s="3">
        <f>SUMIF(Customer_Payments!B:B,C911,Customer_Payments!E:E)</f>
        <v>3362.18</v>
      </c>
      <c r="H911" s="3">
        <f t="shared" si="42"/>
        <v>0</v>
      </c>
      <c r="I911" s="29">
        <f t="shared" si="43"/>
        <v>10</v>
      </c>
      <c r="J911" s="31" t="str">
        <f t="shared" si="44"/>
        <v>1-30</v>
      </c>
      <c r="K911"/>
    </row>
    <row r="912" spans="1:11" x14ac:dyDescent="0.3">
      <c r="A912" s="20" t="s">
        <v>48</v>
      </c>
      <c r="B912" t="str">
        <f>VLOOKUP(A912,Customers!A:B,2,FALSE)</f>
        <v>RetailGenius</v>
      </c>
      <c r="C912" s="24" t="s">
        <v>1279</v>
      </c>
      <c r="D912" s="10">
        <v>46102</v>
      </c>
      <c r="E912" s="10">
        <v>46132</v>
      </c>
      <c r="F912" s="4">
        <v>14080.9</v>
      </c>
      <c r="G912" s="3">
        <f>SUMIF(Customer_Payments!B:B,C912,Customer_Payments!E:E)</f>
        <v>0</v>
      </c>
      <c r="H912" s="3">
        <f t="shared" si="42"/>
        <v>14080.9</v>
      </c>
      <c r="I912" s="29">
        <f t="shared" si="43"/>
        <v>-41</v>
      </c>
      <c r="J912" s="31" t="str">
        <f t="shared" si="44"/>
        <v>Current</v>
      </c>
      <c r="K912"/>
    </row>
    <row r="913" spans="1:11" x14ac:dyDescent="0.3">
      <c r="A913" s="21" t="s">
        <v>48</v>
      </c>
      <c r="B913" t="str">
        <f>VLOOKUP(A913,Customers!A:B,2,FALSE)</f>
        <v>RetailGenius</v>
      </c>
      <c r="C913" s="25" t="s">
        <v>1280</v>
      </c>
      <c r="D913" s="11">
        <v>46041</v>
      </c>
      <c r="E913" s="11">
        <v>46071</v>
      </c>
      <c r="F913" s="5">
        <v>2412.34</v>
      </c>
      <c r="G913" s="3">
        <f>SUMIF(Customer_Payments!B:B,C913,Customer_Payments!E:E)</f>
        <v>0</v>
      </c>
      <c r="H913" s="3">
        <f t="shared" si="42"/>
        <v>2412.34</v>
      </c>
      <c r="I913" s="29">
        <f t="shared" si="43"/>
        <v>20</v>
      </c>
      <c r="J913" s="31" t="str">
        <f t="shared" si="44"/>
        <v>1-30</v>
      </c>
      <c r="K913"/>
    </row>
    <row r="914" spans="1:11" x14ac:dyDescent="0.3">
      <c r="A914" s="20" t="s">
        <v>77</v>
      </c>
      <c r="B914" t="str">
        <f>VLOOKUP(A914,Customers!A:B,2,FALSE)</f>
        <v>RetailBridge</v>
      </c>
      <c r="C914" s="24" t="s">
        <v>1281</v>
      </c>
      <c r="D914" s="10">
        <v>46039</v>
      </c>
      <c r="E914" s="10">
        <v>46069</v>
      </c>
      <c r="F914" s="4">
        <v>3137.01</v>
      </c>
      <c r="G914" s="3">
        <f>SUMIF(Customer_Payments!B:B,C914,Customer_Payments!E:E)</f>
        <v>3137.01</v>
      </c>
      <c r="H914" s="3">
        <f t="shared" si="42"/>
        <v>0</v>
      </c>
      <c r="I914" s="29">
        <f t="shared" si="43"/>
        <v>22</v>
      </c>
      <c r="J914" s="31" t="str">
        <f t="shared" si="44"/>
        <v>1-30</v>
      </c>
      <c r="K914"/>
    </row>
    <row r="915" spans="1:11" x14ac:dyDescent="0.3">
      <c r="A915" s="21" t="s">
        <v>7</v>
      </c>
      <c r="B915" t="str">
        <f>VLOOKUP(A915,Customers!A:B,2,FALSE)</f>
        <v>BrightCart</v>
      </c>
      <c r="C915" s="25" t="s">
        <v>1282</v>
      </c>
      <c r="D915" s="11">
        <v>46051</v>
      </c>
      <c r="E915" s="11">
        <v>46081</v>
      </c>
      <c r="F915" s="5">
        <v>1622.94</v>
      </c>
      <c r="G915" s="3">
        <f>SUMIF(Customer_Payments!B:B,C915,Customer_Payments!E:E)</f>
        <v>0</v>
      </c>
      <c r="H915" s="3">
        <f t="shared" si="42"/>
        <v>1622.94</v>
      </c>
      <c r="I915" s="29">
        <f t="shared" si="43"/>
        <v>10</v>
      </c>
      <c r="J915" s="31" t="str">
        <f t="shared" si="44"/>
        <v>1-30</v>
      </c>
      <c r="K915"/>
    </row>
    <row r="916" spans="1:11" x14ac:dyDescent="0.3">
      <c r="A916" s="20" t="s">
        <v>24</v>
      </c>
      <c r="B916" t="str">
        <f>VLOOKUP(A916,Customers!A:B,2,FALSE)</f>
        <v>OmniTrade</v>
      </c>
      <c r="C916" s="24" t="s">
        <v>1283</v>
      </c>
      <c r="D916" s="10">
        <v>46072</v>
      </c>
      <c r="E916" s="10">
        <v>46102</v>
      </c>
      <c r="F916" s="4">
        <v>1464.96</v>
      </c>
      <c r="G916" s="3">
        <f>SUMIF(Customer_Payments!B:B,C916,Customer_Payments!E:E)</f>
        <v>1464.96</v>
      </c>
      <c r="H916" s="3">
        <f t="shared" si="42"/>
        <v>0</v>
      </c>
      <c r="I916" s="29">
        <f t="shared" si="43"/>
        <v>-11</v>
      </c>
      <c r="J916" s="31" t="str">
        <f t="shared" si="44"/>
        <v>Current</v>
      </c>
      <c r="K916"/>
    </row>
    <row r="917" spans="1:11" x14ac:dyDescent="0.3">
      <c r="A917" s="21" t="s">
        <v>9</v>
      </c>
      <c r="B917" t="str">
        <f>VLOOKUP(A917,Customers!A:B,2,FALSE)</f>
        <v>UrbanRetail</v>
      </c>
      <c r="C917" s="25" t="s">
        <v>1284</v>
      </c>
      <c r="D917" s="11">
        <v>45996</v>
      </c>
      <c r="E917" s="11">
        <v>46026</v>
      </c>
      <c r="F917" s="5">
        <v>2006.57</v>
      </c>
      <c r="G917" s="3">
        <f>SUMIF(Customer_Payments!B:B,C917,Customer_Payments!E:E)</f>
        <v>0</v>
      </c>
      <c r="H917" s="3">
        <f t="shared" si="42"/>
        <v>2006.57</v>
      </c>
      <c r="I917" s="29">
        <f t="shared" si="43"/>
        <v>65</v>
      </c>
      <c r="J917" s="31" t="str">
        <f t="shared" si="44"/>
        <v>61-90</v>
      </c>
      <c r="K917"/>
    </row>
    <row r="918" spans="1:11" x14ac:dyDescent="0.3">
      <c r="A918" s="20" t="s">
        <v>80</v>
      </c>
      <c r="B918" t="str">
        <f>VLOOKUP(A918,Customers!A:B,2,FALSE)</f>
        <v>RetailEdgeX</v>
      </c>
      <c r="C918" s="24" t="s">
        <v>1285</v>
      </c>
      <c r="D918" s="10">
        <v>46001</v>
      </c>
      <c r="E918" s="10">
        <v>46031</v>
      </c>
      <c r="F918" s="4">
        <v>2032.08</v>
      </c>
      <c r="G918" s="3">
        <f>SUMIF(Customer_Payments!B:B,C918,Customer_Payments!E:E)</f>
        <v>2032.08</v>
      </c>
      <c r="H918" s="3">
        <f t="shared" si="42"/>
        <v>0</v>
      </c>
      <c r="I918" s="29">
        <f t="shared" si="43"/>
        <v>60</v>
      </c>
      <c r="J918" s="31" t="str">
        <f t="shared" si="44"/>
        <v>31-60</v>
      </c>
      <c r="K918"/>
    </row>
    <row r="919" spans="1:11" x14ac:dyDescent="0.3">
      <c r="A919" s="21" t="s">
        <v>40</v>
      </c>
      <c r="B919" t="str">
        <f>VLOOKUP(A919,Customers!A:B,2,FALSE)</f>
        <v>GlobalCart</v>
      </c>
      <c r="C919" s="25" t="s">
        <v>1286</v>
      </c>
      <c r="D919" s="11">
        <v>46085</v>
      </c>
      <c r="E919" s="11">
        <v>46115</v>
      </c>
      <c r="F919" s="5">
        <v>4188.57</v>
      </c>
      <c r="G919" s="3">
        <f>SUMIF(Customer_Payments!B:B,C919,Customer_Payments!E:E)</f>
        <v>4188.57</v>
      </c>
      <c r="H919" s="3">
        <f t="shared" si="42"/>
        <v>0</v>
      </c>
      <c r="I919" s="29">
        <f t="shared" si="43"/>
        <v>-24</v>
      </c>
      <c r="J919" s="31" t="str">
        <f t="shared" si="44"/>
        <v>Current</v>
      </c>
      <c r="K919"/>
    </row>
    <row r="920" spans="1:11" x14ac:dyDescent="0.3">
      <c r="A920" s="20" t="s">
        <v>45</v>
      </c>
      <c r="B920" t="str">
        <f>VLOOKUP(A920,Customers!A:B,2,FALSE)</f>
        <v>EdgeRetail</v>
      </c>
      <c r="C920" s="24" t="s">
        <v>1287</v>
      </c>
      <c r="D920" s="10">
        <v>46107</v>
      </c>
      <c r="E920" s="10">
        <v>46137</v>
      </c>
      <c r="F920" s="4">
        <v>2889.63</v>
      </c>
      <c r="G920" s="3">
        <f>SUMIF(Customer_Payments!B:B,C920,Customer_Payments!E:E)</f>
        <v>2889.63</v>
      </c>
      <c r="H920" s="3">
        <f t="shared" si="42"/>
        <v>0</v>
      </c>
      <c r="I920" s="29">
        <f t="shared" si="43"/>
        <v>-46</v>
      </c>
      <c r="J920" s="31" t="str">
        <f t="shared" si="44"/>
        <v>Current</v>
      </c>
      <c r="K920"/>
    </row>
    <row r="921" spans="1:11" x14ac:dyDescent="0.3">
      <c r="A921" s="21" t="s">
        <v>99</v>
      </c>
      <c r="B921" t="str">
        <f>VLOOKUP(A921,Customers!A:B,2,FALSE)</f>
        <v>RetailNovaPro</v>
      </c>
      <c r="C921" s="25" t="s">
        <v>1288</v>
      </c>
      <c r="D921" s="11">
        <v>46111</v>
      </c>
      <c r="E921" s="11">
        <v>46141</v>
      </c>
      <c r="F921" s="5">
        <v>3084.58</v>
      </c>
      <c r="G921" s="3">
        <f>SUMIF(Customer_Payments!B:B,C921,Customer_Payments!E:E)</f>
        <v>3084.58</v>
      </c>
      <c r="H921" s="3">
        <f t="shared" si="42"/>
        <v>0</v>
      </c>
      <c r="I921" s="29">
        <f t="shared" si="43"/>
        <v>-50</v>
      </c>
      <c r="J921" s="31" t="str">
        <f t="shared" si="44"/>
        <v>Current</v>
      </c>
      <c r="K921"/>
    </row>
    <row r="922" spans="1:11" x14ac:dyDescent="0.3">
      <c r="A922" s="20" t="s">
        <v>95</v>
      </c>
      <c r="B922" t="str">
        <f>VLOOKUP(A922,Customers!A:B,2,FALSE)</f>
        <v>RetailScaleX</v>
      </c>
      <c r="C922" s="24" t="s">
        <v>1289</v>
      </c>
      <c r="D922" s="10">
        <v>46111</v>
      </c>
      <c r="E922" s="10">
        <v>46141</v>
      </c>
      <c r="F922" s="4">
        <v>2792.9</v>
      </c>
      <c r="G922" s="3">
        <f>SUMIF(Customer_Payments!B:B,C922,Customer_Payments!E:E)</f>
        <v>0</v>
      </c>
      <c r="H922" s="3">
        <f t="shared" si="42"/>
        <v>2792.9</v>
      </c>
      <c r="I922" s="29">
        <f t="shared" si="43"/>
        <v>-50</v>
      </c>
      <c r="J922" s="31" t="str">
        <f t="shared" si="44"/>
        <v>Current</v>
      </c>
      <c r="K922"/>
    </row>
    <row r="923" spans="1:11" x14ac:dyDescent="0.3">
      <c r="A923" s="21" t="s">
        <v>11</v>
      </c>
      <c r="B923" t="str">
        <f>VLOOKUP(A923,Customers!A:B,2,FALSE)</f>
        <v>DataHive</v>
      </c>
      <c r="C923" s="25" t="s">
        <v>1290</v>
      </c>
      <c r="D923" s="11">
        <v>46108</v>
      </c>
      <c r="E923" s="11">
        <v>46138</v>
      </c>
      <c r="F923" s="5">
        <v>1854.89</v>
      </c>
      <c r="G923" s="3">
        <f>SUMIF(Customer_Payments!B:B,C923,Customer_Payments!E:E)</f>
        <v>1854.89</v>
      </c>
      <c r="H923" s="3">
        <f t="shared" si="42"/>
        <v>0</v>
      </c>
      <c r="I923" s="29">
        <f t="shared" si="43"/>
        <v>-47</v>
      </c>
      <c r="J923" s="31" t="str">
        <f t="shared" si="44"/>
        <v>Current</v>
      </c>
      <c r="K923"/>
    </row>
    <row r="924" spans="1:11" x14ac:dyDescent="0.3">
      <c r="A924" s="20" t="s">
        <v>124</v>
      </c>
      <c r="B924" t="str">
        <f>VLOOKUP(A924,Customers!A:B,2,FALSE)</f>
        <v>RetailOrbitGlobal</v>
      </c>
      <c r="C924" s="24" t="s">
        <v>1291</v>
      </c>
      <c r="D924" s="10">
        <v>45972</v>
      </c>
      <c r="E924" s="10">
        <v>46002</v>
      </c>
      <c r="F924" s="4">
        <v>2022.01</v>
      </c>
      <c r="G924" s="3">
        <f>SUMIF(Customer_Payments!B:B,C924,Customer_Payments!E:E)</f>
        <v>0</v>
      </c>
      <c r="H924" s="3">
        <f t="shared" si="42"/>
        <v>2022.01</v>
      </c>
      <c r="I924" s="29">
        <f t="shared" si="43"/>
        <v>89</v>
      </c>
      <c r="J924" s="31" t="str">
        <f t="shared" si="44"/>
        <v>61-90</v>
      </c>
      <c r="K924"/>
    </row>
    <row r="925" spans="1:11" x14ac:dyDescent="0.3">
      <c r="A925" s="21" t="s">
        <v>118</v>
      </c>
      <c r="B925" t="str">
        <f>VLOOKUP(A925,Customers!A:B,2,FALSE)</f>
        <v>RetailEdgeGlobal</v>
      </c>
      <c r="C925" s="25" t="s">
        <v>1292</v>
      </c>
      <c r="D925" s="11">
        <v>46032</v>
      </c>
      <c r="E925" s="11">
        <v>46062</v>
      </c>
      <c r="F925" s="5">
        <v>2347.9299999999998</v>
      </c>
      <c r="G925" s="3">
        <f>SUMIF(Customer_Payments!B:B,C925,Customer_Payments!E:E)</f>
        <v>2347.9299999999998</v>
      </c>
      <c r="H925" s="3">
        <f t="shared" si="42"/>
        <v>0</v>
      </c>
      <c r="I925" s="29">
        <f t="shared" si="43"/>
        <v>29</v>
      </c>
      <c r="J925" s="31" t="str">
        <f t="shared" si="44"/>
        <v>1-30</v>
      </c>
      <c r="K925"/>
    </row>
    <row r="926" spans="1:11" x14ac:dyDescent="0.3">
      <c r="A926" s="20" t="s">
        <v>84</v>
      </c>
      <c r="B926" t="str">
        <f>VLOOKUP(A926,Customers!A:B,2,FALSE)</f>
        <v>RetailVisionX</v>
      </c>
      <c r="C926" s="24" t="s">
        <v>1293</v>
      </c>
      <c r="D926" s="10">
        <v>46078</v>
      </c>
      <c r="E926" s="10">
        <v>46108</v>
      </c>
      <c r="F926" s="4">
        <v>3443.74</v>
      </c>
      <c r="G926" s="3">
        <f>SUMIF(Customer_Payments!B:B,C926,Customer_Payments!E:E)</f>
        <v>3443.74</v>
      </c>
      <c r="H926" s="3">
        <f t="shared" si="42"/>
        <v>0</v>
      </c>
      <c r="I926" s="29">
        <f t="shared" si="43"/>
        <v>-17</v>
      </c>
      <c r="J926" s="31" t="str">
        <f t="shared" si="44"/>
        <v>Current</v>
      </c>
      <c r="K926"/>
    </row>
    <row r="927" spans="1:11" x14ac:dyDescent="0.3">
      <c r="A927" s="21" t="s">
        <v>74</v>
      </c>
      <c r="B927" t="str">
        <f>VLOOKUP(A927,Customers!A:B,2,FALSE)</f>
        <v>RetailPrime</v>
      </c>
      <c r="C927" s="25" t="s">
        <v>1294</v>
      </c>
      <c r="D927" s="11">
        <v>46074</v>
      </c>
      <c r="E927" s="11">
        <v>46104</v>
      </c>
      <c r="F927" s="5">
        <v>3160.66</v>
      </c>
      <c r="G927" s="3">
        <f>SUMIF(Customer_Payments!B:B,C927,Customer_Payments!E:E)</f>
        <v>3160.66</v>
      </c>
      <c r="H927" s="3">
        <f t="shared" si="42"/>
        <v>0</v>
      </c>
      <c r="I927" s="29">
        <f t="shared" si="43"/>
        <v>-13</v>
      </c>
      <c r="J927" s="31" t="str">
        <f t="shared" si="44"/>
        <v>Current</v>
      </c>
      <c r="K927"/>
    </row>
    <row r="928" spans="1:11" x14ac:dyDescent="0.3">
      <c r="A928" s="20" t="s">
        <v>96</v>
      </c>
      <c r="B928" t="str">
        <f>VLOOKUP(A928,Customers!A:B,2,FALSE)</f>
        <v>RetailLabs</v>
      </c>
      <c r="C928" s="24" t="s">
        <v>1295</v>
      </c>
      <c r="D928" s="10">
        <v>46009</v>
      </c>
      <c r="E928" s="10">
        <v>46039</v>
      </c>
      <c r="F928" s="4">
        <v>2783.18</v>
      </c>
      <c r="G928" s="3">
        <f>SUMIF(Customer_Payments!B:B,C928,Customer_Payments!E:E)</f>
        <v>2783.18</v>
      </c>
      <c r="H928" s="3">
        <f t="shared" si="42"/>
        <v>0</v>
      </c>
      <c r="I928" s="29">
        <f t="shared" si="43"/>
        <v>52</v>
      </c>
      <c r="J928" s="31" t="str">
        <f t="shared" si="44"/>
        <v>31-60</v>
      </c>
      <c r="K928"/>
    </row>
    <row r="929" spans="1:11" x14ac:dyDescent="0.3">
      <c r="A929" s="21" t="s">
        <v>64</v>
      </c>
      <c r="B929" t="str">
        <f>VLOOKUP(A929,Customers!A:B,2,FALSE)</f>
        <v>MarketScale</v>
      </c>
      <c r="C929" s="25" t="s">
        <v>1296</v>
      </c>
      <c r="D929" s="11">
        <v>46037</v>
      </c>
      <c r="E929" s="11">
        <v>46067</v>
      </c>
      <c r="F929" s="5">
        <v>4306.3900000000003</v>
      </c>
      <c r="G929" s="3">
        <f>SUMIF(Customer_Payments!B:B,C929,Customer_Payments!E:E)</f>
        <v>0</v>
      </c>
      <c r="H929" s="3">
        <f t="shared" si="42"/>
        <v>4306.3900000000003</v>
      </c>
      <c r="I929" s="29">
        <f t="shared" si="43"/>
        <v>24</v>
      </c>
      <c r="J929" s="31" t="str">
        <f t="shared" si="44"/>
        <v>1-30</v>
      </c>
      <c r="K929"/>
    </row>
    <row r="930" spans="1:11" x14ac:dyDescent="0.3">
      <c r="A930" s="20" t="s">
        <v>107</v>
      </c>
      <c r="B930" t="str">
        <f>VLOOKUP(A930,Customers!A:B,2,FALSE)</f>
        <v>RetailWorksPro</v>
      </c>
      <c r="C930" s="24" t="s">
        <v>1297</v>
      </c>
      <c r="D930" s="10">
        <v>46008</v>
      </c>
      <c r="E930" s="10">
        <v>46038</v>
      </c>
      <c r="F930" s="4">
        <v>3605.36</v>
      </c>
      <c r="G930" s="3">
        <f>SUMIF(Customer_Payments!B:B,C930,Customer_Payments!E:E)</f>
        <v>3605.36</v>
      </c>
      <c r="H930" s="3">
        <f t="shared" si="42"/>
        <v>0</v>
      </c>
      <c r="I930" s="29">
        <f t="shared" si="43"/>
        <v>53</v>
      </c>
      <c r="J930" s="31" t="str">
        <f t="shared" si="44"/>
        <v>31-60</v>
      </c>
      <c r="K930"/>
    </row>
    <row r="931" spans="1:11" x14ac:dyDescent="0.3">
      <c r="A931" s="21" t="s">
        <v>102</v>
      </c>
      <c r="B931" t="str">
        <f>VLOOKUP(A931,Customers!A:B,2,FALSE)</f>
        <v>RetailPrimePro</v>
      </c>
      <c r="C931" s="25" t="s">
        <v>1298</v>
      </c>
      <c r="D931" s="11">
        <v>46086</v>
      </c>
      <c r="E931" s="11">
        <v>46116</v>
      </c>
      <c r="F931" s="5">
        <v>10310.459999999999</v>
      </c>
      <c r="G931" s="3">
        <f>SUMIF(Customer_Payments!B:B,C931,Customer_Payments!E:E)</f>
        <v>10310.459999999999</v>
      </c>
      <c r="H931" s="3">
        <f t="shared" si="42"/>
        <v>0</v>
      </c>
      <c r="I931" s="29">
        <f t="shared" si="43"/>
        <v>-25</v>
      </c>
      <c r="J931" s="31" t="str">
        <f t="shared" si="44"/>
        <v>Current</v>
      </c>
      <c r="K931"/>
    </row>
    <row r="932" spans="1:11" x14ac:dyDescent="0.3">
      <c r="A932" s="20" t="s">
        <v>62</v>
      </c>
      <c r="B932" t="str">
        <f>VLOOKUP(A932,Customers!A:B,2,FALSE)</f>
        <v>MarketNova</v>
      </c>
      <c r="C932" s="24" t="s">
        <v>1299</v>
      </c>
      <c r="D932" s="10">
        <v>46029</v>
      </c>
      <c r="E932" s="10">
        <v>46059</v>
      </c>
      <c r="F932" s="4">
        <v>3057.78</v>
      </c>
      <c r="G932" s="3">
        <f>SUMIF(Customer_Payments!B:B,C932,Customer_Payments!E:E)</f>
        <v>3057.78</v>
      </c>
      <c r="H932" s="3">
        <f t="shared" si="42"/>
        <v>0</v>
      </c>
      <c r="I932" s="29">
        <f t="shared" si="43"/>
        <v>32</v>
      </c>
      <c r="J932" s="31" t="str">
        <f t="shared" si="44"/>
        <v>31-60</v>
      </c>
      <c r="K932"/>
    </row>
    <row r="933" spans="1:11" x14ac:dyDescent="0.3">
      <c r="A933" s="21" t="s">
        <v>69</v>
      </c>
      <c r="B933" t="str">
        <f>VLOOKUP(A933,Customers!A:B,2,FALSE)</f>
        <v>RetailNext</v>
      </c>
      <c r="C933" s="25" t="s">
        <v>1300</v>
      </c>
      <c r="D933" s="11">
        <v>46008</v>
      </c>
      <c r="E933" s="11">
        <v>46038</v>
      </c>
      <c r="F933" s="5">
        <v>1533.87</v>
      </c>
      <c r="G933" s="3">
        <f>SUMIF(Customer_Payments!B:B,C933,Customer_Payments!E:E)</f>
        <v>1533.87</v>
      </c>
      <c r="H933" s="3">
        <f t="shared" si="42"/>
        <v>0</v>
      </c>
      <c r="I933" s="29">
        <f t="shared" si="43"/>
        <v>53</v>
      </c>
      <c r="J933" s="31" t="str">
        <f t="shared" si="44"/>
        <v>31-60</v>
      </c>
      <c r="K933"/>
    </row>
    <row r="934" spans="1:11" x14ac:dyDescent="0.3">
      <c r="A934" s="20" t="s">
        <v>101</v>
      </c>
      <c r="B934" t="str">
        <f>VLOOKUP(A934,Customers!A:B,2,FALSE)</f>
        <v>RetailMatrixPro</v>
      </c>
      <c r="C934" s="24" t="s">
        <v>1301</v>
      </c>
      <c r="D934" s="10">
        <v>46019</v>
      </c>
      <c r="E934" s="10">
        <v>46049</v>
      </c>
      <c r="F934" s="4">
        <v>12730.79</v>
      </c>
      <c r="G934" s="3">
        <f>SUMIF(Customer_Payments!B:B,C934,Customer_Payments!E:E)</f>
        <v>12730.79</v>
      </c>
      <c r="H934" s="3">
        <f t="shared" si="42"/>
        <v>0</v>
      </c>
      <c r="I934" s="29">
        <f t="shared" si="43"/>
        <v>42</v>
      </c>
      <c r="J934" s="31" t="str">
        <f t="shared" si="44"/>
        <v>31-60</v>
      </c>
      <c r="K934"/>
    </row>
    <row r="935" spans="1:11" x14ac:dyDescent="0.3">
      <c r="A935" s="21" t="s">
        <v>48</v>
      </c>
      <c r="B935" t="str">
        <f>VLOOKUP(A935,Customers!A:B,2,FALSE)</f>
        <v>RetailGenius</v>
      </c>
      <c r="C935" s="25" t="s">
        <v>1302</v>
      </c>
      <c r="D935" s="11">
        <v>46059</v>
      </c>
      <c r="E935" s="11">
        <v>46089</v>
      </c>
      <c r="F935" s="5">
        <v>3144.74</v>
      </c>
      <c r="G935" s="3">
        <f>SUMIF(Customer_Payments!B:B,C935,Customer_Payments!E:E)</f>
        <v>0</v>
      </c>
      <c r="H935" s="3">
        <f t="shared" si="42"/>
        <v>3144.74</v>
      </c>
      <c r="I935" s="29">
        <f t="shared" si="43"/>
        <v>2</v>
      </c>
      <c r="J935" s="31" t="str">
        <f t="shared" si="44"/>
        <v>1-30</v>
      </c>
      <c r="K935"/>
    </row>
    <row r="936" spans="1:11" x14ac:dyDescent="0.3">
      <c r="A936" s="20" t="s">
        <v>61</v>
      </c>
      <c r="B936" t="str">
        <f>VLOOKUP(A936,Customers!A:B,2,FALSE)</f>
        <v>RetailOrbit</v>
      </c>
      <c r="C936" s="24" t="s">
        <v>1303</v>
      </c>
      <c r="D936" s="10">
        <v>46064</v>
      </c>
      <c r="E936" s="10">
        <v>46094</v>
      </c>
      <c r="F936" s="4">
        <v>2105.38</v>
      </c>
      <c r="G936" s="3">
        <f>SUMIF(Customer_Payments!B:B,C936,Customer_Payments!E:E)</f>
        <v>2105.38</v>
      </c>
      <c r="H936" s="3">
        <f t="shared" si="42"/>
        <v>0</v>
      </c>
      <c r="I936" s="29">
        <f t="shared" si="43"/>
        <v>-3</v>
      </c>
      <c r="J936" s="31" t="str">
        <f t="shared" si="44"/>
        <v>Current</v>
      </c>
      <c r="K936"/>
    </row>
    <row r="937" spans="1:11" x14ac:dyDescent="0.3">
      <c r="A937" s="21" t="s">
        <v>10</v>
      </c>
      <c r="B937" t="str">
        <f>VLOOKUP(A937,Customers!A:B,2,FALSE)</f>
        <v>LaunchLabs</v>
      </c>
      <c r="C937" s="25" t="s">
        <v>1304</v>
      </c>
      <c r="D937" s="11">
        <v>46041</v>
      </c>
      <c r="E937" s="11">
        <v>46071</v>
      </c>
      <c r="F937" s="5">
        <v>2348.31</v>
      </c>
      <c r="G937" s="3">
        <f>SUMIF(Customer_Payments!B:B,C937,Customer_Payments!E:E)</f>
        <v>2348.31</v>
      </c>
      <c r="H937" s="3">
        <f t="shared" si="42"/>
        <v>0</v>
      </c>
      <c r="I937" s="29">
        <f t="shared" si="43"/>
        <v>20</v>
      </c>
      <c r="J937" s="31" t="str">
        <f t="shared" si="44"/>
        <v>1-30</v>
      </c>
      <c r="K937"/>
    </row>
    <row r="938" spans="1:11" x14ac:dyDescent="0.3">
      <c r="A938" s="20" t="s">
        <v>109</v>
      </c>
      <c r="B938" t="str">
        <f>VLOOKUP(A938,Customers!A:B,2,FALSE)</f>
        <v>RetailStreamPro</v>
      </c>
      <c r="C938" s="24" t="s">
        <v>1305</v>
      </c>
      <c r="D938" s="10">
        <v>46047</v>
      </c>
      <c r="E938" s="10">
        <v>46077</v>
      </c>
      <c r="F938" s="4">
        <v>2169.2600000000002</v>
      </c>
      <c r="G938" s="3">
        <f>SUMIF(Customer_Payments!B:B,C938,Customer_Payments!E:E)</f>
        <v>0</v>
      </c>
      <c r="H938" s="3">
        <f t="shared" si="42"/>
        <v>2169.2600000000002</v>
      </c>
      <c r="I938" s="29">
        <f t="shared" si="43"/>
        <v>14</v>
      </c>
      <c r="J938" s="31" t="str">
        <f t="shared" si="44"/>
        <v>1-30</v>
      </c>
      <c r="K938"/>
    </row>
    <row r="939" spans="1:11" x14ac:dyDescent="0.3">
      <c r="A939" s="21" t="s">
        <v>36</v>
      </c>
      <c r="B939" t="str">
        <f>VLOOKUP(A939,Customers!A:B,2,FALSE)</f>
        <v>RapidMarket</v>
      </c>
      <c r="C939" s="25" t="s">
        <v>1306</v>
      </c>
      <c r="D939" s="11">
        <v>46076</v>
      </c>
      <c r="E939" s="11">
        <v>46106</v>
      </c>
      <c r="F939" s="5">
        <v>12591.27</v>
      </c>
      <c r="G939" s="3">
        <f>SUMIF(Customer_Payments!B:B,C939,Customer_Payments!E:E)</f>
        <v>0</v>
      </c>
      <c r="H939" s="3">
        <f t="shared" si="42"/>
        <v>12591.27</v>
      </c>
      <c r="I939" s="29">
        <f t="shared" si="43"/>
        <v>-15</v>
      </c>
      <c r="J939" s="31" t="str">
        <f t="shared" si="44"/>
        <v>Current</v>
      </c>
      <c r="K939"/>
    </row>
    <row r="940" spans="1:11" x14ac:dyDescent="0.3">
      <c r="A940" s="20" t="s">
        <v>21</v>
      </c>
      <c r="B940" t="str">
        <f>VLOOKUP(A940,Customers!A:B,2,FALSE)</f>
        <v>InsightLoop</v>
      </c>
      <c r="C940" s="24" t="s">
        <v>1307</v>
      </c>
      <c r="D940" s="10">
        <v>46023</v>
      </c>
      <c r="E940" s="10">
        <v>46053</v>
      </c>
      <c r="F940" s="4">
        <v>5370.72</v>
      </c>
      <c r="G940" s="3">
        <f>SUMIF(Customer_Payments!B:B,C940,Customer_Payments!E:E)</f>
        <v>0</v>
      </c>
      <c r="H940" s="3">
        <f t="shared" si="42"/>
        <v>5370.72</v>
      </c>
      <c r="I940" s="29">
        <f t="shared" si="43"/>
        <v>38</v>
      </c>
      <c r="J940" s="31" t="str">
        <f t="shared" si="44"/>
        <v>31-60</v>
      </c>
      <c r="K940"/>
    </row>
    <row r="941" spans="1:11" x14ac:dyDescent="0.3">
      <c r="A941" s="21" t="s">
        <v>111</v>
      </c>
      <c r="B941" t="str">
        <f>VLOOKUP(A941,Customers!A:B,2,FALSE)</f>
        <v>RetailPulsePro</v>
      </c>
      <c r="C941" s="25" t="s">
        <v>1308</v>
      </c>
      <c r="D941" s="11">
        <v>46069</v>
      </c>
      <c r="E941" s="11">
        <v>46099</v>
      </c>
      <c r="F941" s="5">
        <v>1479.27</v>
      </c>
      <c r="G941" s="3">
        <f>SUMIF(Customer_Payments!B:B,C941,Customer_Payments!E:E)</f>
        <v>0</v>
      </c>
      <c r="H941" s="3">
        <f t="shared" si="42"/>
        <v>1479.27</v>
      </c>
      <c r="I941" s="29">
        <f t="shared" si="43"/>
        <v>-8</v>
      </c>
      <c r="J941" s="31" t="str">
        <f t="shared" si="44"/>
        <v>Current</v>
      </c>
      <c r="K941"/>
    </row>
    <row r="942" spans="1:11" x14ac:dyDescent="0.3">
      <c r="A942" s="20" t="s">
        <v>67</v>
      </c>
      <c r="B942" t="str">
        <f>VLOOKUP(A942,Customers!A:B,2,FALSE)</f>
        <v>RetailDynamics</v>
      </c>
      <c r="C942" s="24" t="s">
        <v>1309</v>
      </c>
      <c r="D942" s="10">
        <v>46089</v>
      </c>
      <c r="E942" s="10">
        <v>46119</v>
      </c>
      <c r="F942" s="4">
        <v>2013.73</v>
      </c>
      <c r="G942" s="3">
        <f>SUMIF(Customer_Payments!B:B,C942,Customer_Payments!E:E)</f>
        <v>2013.73</v>
      </c>
      <c r="H942" s="3">
        <f t="shared" si="42"/>
        <v>0</v>
      </c>
      <c r="I942" s="29">
        <f t="shared" si="43"/>
        <v>-28</v>
      </c>
      <c r="J942" s="31" t="str">
        <f t="shared" si="44"/>
        <v>Current</v>
      </c>
      <c r="K942"/>
    </row>
    <row r="943" spans="1:11" x14ac:dyDescent="0.3">
      <c r="A943" s="21" t="s">
        <v>76</v>
      </c>
      <c r="B943" t="str">
        <f>VLOOKUP(A943,Customers!A:B,2,FALSE)</f>
        <v>RetailSphere</v>
      </c>
      <c r="C943" s="25" t="s">
        <v>1310</v>
      </c>
      <c r="D943" s="11">
        <v>46066</v>
      </c>
      <c r="E943" s="11">
        <v>46096</v>
      </c>
      <c r="F943" s="5">
        <v>2798.25</v>
      </c>
      <c r="G943" s="3">
        <f>SUMIF(Customer_Payments!B:B,C943,Customer_Payments!E:E)</f>
        <v>2798.25</v>
      </c>
      <c r="H943" s="3">
        <f t="shared" si="42"/>
        <v>0</v>
      </c>
      <c r="I943" s="29">
        <f t="shared" si="43"/>
        <v>-5</v>
      </c>
      <c r="J943" s="31" t="str">
        <f t="shared" si="44"/>
        <v>Current</v>
      </c>
      <c r="K943"/>
    </row>
    <row r="944" spans="1:11" x14ac:dyDescent="0.3">
      <c r="A944" s="20" t="s">
        <v>25</v>
      </c>
      <c r="B944" t="str">
        <f>VLOOKUP(A944,Customers!A:B,2,FALSE)</f>
        <v>OrbitEdge</v>
      </c>
      <c r="C944" s="24" t="s">
        <v>1311</v>
      </c>
      <c r="D944" s="10">
        <v>45967</v>
      </c>
      <c r="E944" s="10">
        <v>45997</v>
      </c>
      <c r="F944" s="4">
        <v>3850.5</v>
      </c>
      <c r="G944" s="3">
        <f>SUMIF(Customer_Payments!B:B,C944,Customer_Payments!E:E)</f>
        <v>3850.5</v>
      </c>
      <c r="H944" s="3">
        <f t="shared" si="42"/>
        <v>0</v>
      </c>
      <c r="I944" s="29">
        <f t="shared" si="43"/>
        <v>94</v>
      </c>
      <c r="J944" s="31" t="str">
        <f t="shared" si="44"/>
        <v>90+</v>
      </c>
      <c r="K944"/>
    </row>
    <row r="945" spans="1:11" x14ac:dyDescent="0.3">
      <c r="A945" s="21" t="s">
        <v>91</v>
      </c>
      <c r="B945" t="str">
        <f>VLOOKUP(A945,Customers!A:B,2,FALSE)</f>
        <v>RetailBridgeX</v>
      </c>
      <c r="C945" s="25" t="s">
        <v>1312</v>
      </c>
      <c r="D945" s="11">
        <v>46054</v>
      </c>
      <c r="E945" s="11">
        <v>46084</v>
      </c>
      <c r="F945" s="5">
        <v>1943.1</v>
      </c>
      <c r="G945" s="3">
        <f>SUMIF(Customer_Payments!B:B,C945,Customer_Payments!E:E)</f>
        <v>1943.1</v>
      </c>
      <c r="H945" s="3">
        <f t="shared" si="42"/>
        <v>0</v>
      </c>
      <c r="I945" s="29">
        <f t="shared" si="43"/>
        <v>7</v>
      </c>
      <c r="J945" s="31" t="str">
        <f t="shared" si="44"/>
        <v>1-30</v>
      </c>
      <c r="K945"/>
    </row>
    <row r="946" spans="1:11" x14ac:dyDescent="0.3">
      <c r="A946" s="20" t="s">
        <v>108</v>
      </c>
      <c r="B946" t="str">
        <f>VLOOKUP(A946,Customers!A:B,2,FALSE)</f>
        <v>RetailNextPro</v>
      </c>
      <c r="C946" s="24" t="s">
        <v>1313</v>
      </c>
      <c r="D946" s="10">
        <v>45977</v>
      </c>
      <c r="E946" s="10">
        <v>46007</v>
      </c>
      <c r="F946" s="4">
        <v>2860.87</v>
      </c>
      <c r="G946" s="3">
        <f>SUMIF(Customer_Payments!B:B,C946,Customer_Payments!E:E)</f>
        <v>2860.87</v>
      </c>
      <c r="H946" s="3">
        <f t="shared" si="42"/>
        <v>0</v>
      </c>
      <c r="I946" s="29">
        <f t="shared" si="43"/>
        <v>84</v>
      </c>
      <c r="J946" s="31" t="str">
        <f t="shared" si="44"/>
        <v>61-90</v>
      </c>
      <c r="K946"/>
    </row>
    <row r="947" spans="1:11" x14ac:dyDescent="0.3">
      <c r="A947" s="21" t="s">
        <v>8</v>
      </c>
      <c r="B947" t="str">
        <f>VLOOKUP(A947,Customers!A:B,2,FALSE)</f>
        <v>NexaSoft</v>
      </c>
      <c r="C947" s="25" t="s">
        <v>1314</v>
      </c>
      <c r="D947" s="11">
        <v>46079</v>
      </c>
      <c r="E947" s="11">
        <v>46109</v>
      </c>
      <c r="F947" s="5">
        <v>1884.93</v>
      </c>
      <c r="G947" s="3">
        <f>SUMIF(Customer_Payments!B:B,C947,Customer_Payments!E:E)</f>
        <v>1884.93</v>
      </c>
      <c r="H947" s="3">
        <f t="shared" si="42"/>
        <v>0</v>
      </c>
      <c r="I947" s="29">
        <f t="shared" si="43"/>
        <v>-18</v>
      </c>
      <c r="J947" s="31" t="str">
        <f t="shared" si="44"/>
        <v>Current</v>
      </c>
      <c r="K947"/>
    </row>
    <row r="948" spans="1:11" x14ac:dyDescent="0.3">
      <c r="A948" s="20" t="s">
        <v>91</v>
      </c>
      <c r="B948" t="str">
        <f>VLOOKUP(A948,Customers!A:B,2,FALSE)</f>
        <v>RetailBridgeX</v>
      </c>
      <c r="C948" s="24" t="s">
        <v>1315</v>
      </c>
      <c r="D948" s="10">
        <v>45975</v>
      </c>
      <c r="E948" s="10">
        <v>46005</v>
      </c>
      <c r="F948" s="4">
        <v>2866.37</v>
      </c>
      <c r="G948" s="3">
        <f>SUMIF(Customer_Payments!B:B,C948,Customer_Payments!E:E)</f>
        <v>0</v>
      </c>
      <c r="H948" s="3">
        <f t="shared" si="42"/>
        <v>2866.37</v>
      </c>
      <c r="I948" s="29">
        <f t="shared" si="43"/>
        <v>86</v>
      </c>
      <c r="J948" s="31" t="str">
        <f t="shared" si="44"/>
        <v>61-90</v>
      </c>
      <c r="K948"/>
    </row>
    <row r="949" spans="1:11" x14ac:dyDescent="0.3">
      <c r="A949" s="21" t="s">
        <v>90</v>
      </c>
      <c r="B949" t="str">
        <f>VLOOKUP(A949,Customers!A:B,2,FALSE)</f>
        <v>RetailPulseX</v>
      </c>
      <c r="C949" s="25" t="s">
        <v>1316</v>
      </c>
      <c r="D949" s="11">
        <v>46018</v>
      </c>
      <c r="E949" s="11">
        <v>46048</v>
      </c>
      <c r="F949" s="5">
        <v>2864.28</v>
      </c>
      <c r="G949" s="3">
        <f>SUMIF(Customer_Payments!B:B,C949,Customer_Payments!E:E)</f>
        <v>0</v>
      </c>
      <c r="H949" s="3">
        <f t="shared" si="42"/>
        <v>2864.28</v>
      </c>
      <c r="I949" s="29">
        <f t="shared" si="43"/>
        <v>43</v>
      </c>
      <c r="J949" s="31" t="str">
        <f t="shared" si="44"/>
        <v>31-60</v>
      </c>
      <c r="K949"/>
    </row>
    <row r="950" spans="1:11" x14ac:dyDescent="0.3">
      <c r="A950" s="20" t="s">
        <v>19</v>
      </c>
      <c r="B950" t="str">
        <f>VLOOKUP(A950,Customers!A:B,2,FALSE)</f>
        <v>NextWave Digital</v>
      </c>
      <c r="C950" s="24" t="s">
        <v>1317</v>
      </c>
      <c r="D950" s="10">
        <v>46086</v>
      </c>
      <c r="E950" s="10">
        <v>46116</v>
      </c>
      <c r="F950" s="4">
        <v>10709.61</v>
      </c>
      <c r="G950" s="3">
        <f>SUMIF(Customer_Payments!B:B,C950,Customer_Payments!E:E)</f>
        <v>0</v>
      </c>
      <c r="H950" s="3">
        <f t="shared" si="42"/>
        <v>10709.61</v>
      </c>
      <c r="I950" s="29">
        <f t="shared" si="43"/>
        <v>-25</v>
      </c>
      <c r="J950" s="31" t="str">
        <f t="shared" si="44"/>
        <v>Current</v>
      </c>
      <c r="K950"/>
    </row>
    <row r="951" spans="1:11" x14ac:dyDescent="0.3">
      <c r="A951" s="21" t="s">
        <v>32</v>
      </c>
      <c r="B951" t="str">
        <f>VLOOKUP(A951,Customers!A:B,2,FALSE)</f>
        <v>RetailVista</v>
      </c>
      <c r="C951" s="25" t="s">
        <v>1318</v>
      </c>
      <c r="D951" s="11">
        <v>46097</v>
      </c>
      <c r="E951" s="11">
        <v>46127</v>
      </c>
      <c r="F951" s="5">
        <v>2484.66</v>
      </c>
      <c r="G951" s="3">
        <f>SUMIF(Customer_Payments!B:B,C951,Customer_Payments!E:E)</f>
        <v>2484.66</v>
      </c>
      <c r="H951" s="3">
        <f t="shared" si="42"/>
        <v>0</v>
      </c>
      <c r="I951" s="29">
        <f t="shared" si="43"/>
        <v>-36</v>
      </c>
      <c r="J951" s="31" t="str">
        <f t="shared" si="44"/>
        <v>Current</v>
      </c>
      <c r="K951"/>
    </row>
    <row r="952" spans="1:11" x14ac:dyDescent="0.3">
      <c r="A952" s="20" t="s">
        <v>38</v>
      </c>
      <c r="B952" t="str">
        <f>VLOOKUP(A952,Customers!A:B,2,FALSE)</f>
        <v>RetailForge</v>
      </c>
      <c r="C952" s="24" t="s">
        <v>1319</v>
      </c>
      <c r="D952" s="10">
        <v>46047</v>
      </c>
      <c r="E952" s="10">
        <v>46077</v>
      </c>
      <c r="F952" s="4">
        <v>4153.51</v>
      </c>
      <c r="G952" s="3">
        <f>SUMIF(Customer_Payments!B:B,C952,Customer_Payments!E:E)</f>
        <v>4153.51</v>
      </c>
      <c r="H952" s="3">
        <f t="shared" si="42"/>
        <v>0</v>
      </c>
      <c r="I952" s="29">
        <f t="shared" si="43"/>
        <v>14</v>
      </c>
      <c r="J952" s="31" t="str">
        <f t="shared" si="44"/>
        <v>1-30</v>
      </c>
      <c r="K952"/>
    </row>
    <row r="953" spans="1:11" x14ac:dyDescent="0.3">
      <c r="A953" s="21" t="s">
        <v>9</v>
      </c>
      <c r="B953" t="str">
        <f>VLOOKUP(A953,Customers!A:B,2,FALSE)</f>
        <v>UrbanRetail</v>
      </c>
      <c r="C953" s="25" t="s">
        <v>1320</v>
      </c>
      <c r="D953" s="11">
        <v>46007</v>
      </c>
      <c r="E953" s="11">
        <v>46037</v>
      </c>
      <c r="F953" s="5">
        <v>3226.9</v>
      </c>
      <c r="G953" s="3">
        <f>SUMIF(Customer_Payments!B:B,C953,Customer_Payments!E:E)</f>
        <v>3226.9</v>
      </c>
      <c r="H953" s="3">
        <f t="shared" si="42"/>
        <v>0</v>
      </c>
      <c r="I953" s="29">
        <f t="shared" si="43"/>
        <v>54</v>
      </c>
      <c r="J953" s="31" t="str">
        <f t="shared" si="44"/>
        <v>31-60</v>
      </c>
      <c r="K953"/>
    </row>
    <row r="954" spans="1:11" x14ac:dyDescent="0.3">
      <c r="A954" s="20" t="s">
        <v>71</v>
      </c>
      <c r="B954" t="str">
        <f>VLOOKUP(A954,Customers!A:B,2,FALSE)</f>
        <v>RetailPulse</v>
      </c>
      <c r="C954" s="24" t="s">
        <v>1321</v>
      </c>
      <c r="D954" s="10">
        <v>46086</v>
      </c>
      <c r="E954" s="10">
        <v>46116</v>
      </c>
      <c r="F954" s="4">
        <v>2684.31</v>
      </c>
      <c r="G954" s="3">
        <f>SUMIF(Customer_Payments!B:B,C954,Customer_Payments!E:E)</f>
        <v>2684.31</v>
      </c>
      <c r="H954" s="3">
        <f t="shared" si="42"/>
        <v>0</v>
      </c>
      <c r="I954" s="29">
        <f t="shared" si="43"/>
        <v>-25</v>
      </c>
      <c r="J954" s="31" t="str">
        <f t="shared" si="44"/>
        <v>Current</v>
      </c>
      <c r="K954"/>
    </row>
    <row r="955" spans="1:11" x14ac:dyDescent="0.3">
      <c r="A955" s="21" t="s">
        <v>120</v>
      </c>
      <c r="B955" t="str">
        <f>VLOOKUP(A955,Customers!A:B,2,FALSE)</f>
        <v>RetailPrimeGlobal</v>
      </c>
      <c r="C955" s="25" t="s">
        <v>1322</v>
      </c>
      <c r="D955" s="11">
        <v>46107</v>
      </c>
      <c r="E955" s="11">
        <v>46137</v>
      </c>
      <c r="F955" s="5">
        <v>2811.89</v>
      </c>
      <c r="G955" s="3">
        <f>SUMIF(Customer_Payments!B:B,C955,Customer_Payments!E:E)</f>
        <v>0</v>
      </c>
      <c r="H955" s="3">
        <f t="shared" si="42"/>
        <v>2811.89</v>
      </c>
      <c r="I955" s="29">
        <f t="shared" si="43"/>
        <v>-46</v>
      </c>
      <c r="J955" s="31" t="str">
        <f t="shared" si="44"/>
        <v>Current</v>
      </c>
      <c r="K955"/>
    </row>
    <row r="956" spans="1:11" x14ac:dyDescent="0.3">
      <c r="A956" s="20" t="s">
        <v>121</v>
      </c>
      <c r="B956" t="str">
        <f>VLOOKUP(A956,Customers!A:B,2,FALSE)</f>
        <v>RetailVisionGlobal</v>
      </c>
      <c r="C956" s="24" t="s">
        <v>1323</v>
      </c>
      <c r="D956" s="10">
        <v>46089</v>
      </c>
      <c r="E956" s="10">
        <v>46119</v>
      </c>
      <c r="F956" s="4">
        <v>3532.96</v>
      </c>
      <c r="G956" s="3">
        <f>SUMIF(Customer_Payments!B:B,C956,Customer_Payments!E:E)</f>
        <v>3532.96</v>
      </c>
      <c r="H956" s="3">
        <f t="shared" si="42"/>
        <v>0</v>
      </c>
      <c r="I956" s="29">
        <f t="shared" si="43"/>
        <v>-28</v>
      </c>
      <c r="J956" s="31" t="str">
        <f t="shared" si="44"/>
        <v>Current</v>
      </c>
      <c r="K956"/>
    </row>
    <row r="957" spans="1:11" x14ac:dyDescent="0.3">
      <c r="A957" s="21" t="s">
        <v>93</v>
      </c>
      <c r="B957" t="str">
        <f>VLOOKUP(A957,Customers!A:B,2,FALSE)</f>
        <v>RetailSphereX</v>
      </c>
      <c r="C957" s="25" t="s">
        <v>1324</v>
      </c>
      <c r="D957" s="11">
        <v>45980</v>
      </c>
      <c r="E957" s="11">
        <v>46010</v>
      </c>
      <c r="F957" s="5">
        <v>12753.27</v>
      </c>
      <c r="G957" s="3">
        <f>SUMIF(Customer_Payments!B:B,C957,Customer_Payments!E:E)</f>
        <v>12753.27</v>
      </c>
      <c r="H957" s="3">
        <f t="shared" si="42"/>
        <v>0</v>
      </c>
      <c r="I957" s="29">
        <f t="shared" si="43"/>
        <v>81</v>
      </c>
      <c r="J957" s="31" t="str">
        <f t="shared" si="44"/>
        <v>61-90</v>
      </c>
      <c r="K957"/>
    </row>
    <row r="958" spans="1:11" x14ac:dyDescent="0.3">
      <c r="A958" s="20" t="s">
        <v>80</v>
      </c>
      <c r="B958" t="str">
        <f>VLOOKUP(A958,Customers!A:B,2,FALSE)</f>
        <v>RetailEdgeX</v>
      </c>
      <c r="C958" s="24" t="s">
        <v>1325</v>
      </c>
      <c r="D958" s="10">
        <v>45970</v>
      </c>
      <c r="E958" s="10">
        <v>46000</v>
      </c>
      <c r="F958" s="4">
        <v>4021.78</v>
      </c>
      <c r="G958" s="3">
        <f>SUMIF(Customer_Payments!B:B,C958,Customer_Payments!E:E)</f>
        <v>4021.7799999999997</v>
      </c>
      <c r="H958" s="3">
        <f t="shared" si="42"/>
        <v>4.5474735088646412E-13</v>
      </c>
      <c r="I958" s="29">
        <f t="shared" si="43"/>
        <v>91</v>
      </c>
      <c r="J958" s="31" t="str">
        <f t="shared" si="44"/>
        <v>90+</v>
      </c>
      <c r="K958"/>
    </row>
    <row r="959" spans="1:11" x14ac:dyDescent="0.3">
      <c r="A959" s="21" t="s">
        <v>76</v>
      </c>
      <c r="B959" t="str">
        <f>VLOOKUP(A959,Customers!A:B,2,FALSE)</f>
        <v>RetailSphere</v>
      </c>
      <c r="C959" s="25" t="s">
        <v>1326</v>
      </c>
      <c r="D959" s="11">
        <v>46019</v>
      </c>
      <c r="E959" s="11">
        <v>46049</v>
      </c>
      <c r="F959" s="5">
        <v>4852.93</v>
      </c>
      <c r="G959" s="3">
        <f>SUMIF(Customer_Payments!B:B,C959,Customer_Payments!E:E)</f>
        <v>4852.93</v>
      </c>
      <c r="H959" s="3">
        <f t="shared" si="42"/>
        <v>0</v>
      </c>
      <c r="I959" s="29">
        <f t="shared" si="43"/>
        <v>42</v>
      </c>
      <c r="J959" s="31" t="str">
        <f t="shared" si="44"/>
        <v>31-60</v>
      </c>
      <c r="K959"/>
    </row>
    <row r="960" spans="1:11" x14ac:dyDescent="0.3">
      <c r="A960" s="20" t="s">
        <v>109</v>
      </c>
      <c r="B960" t="str">
        <f>VLOOKUP(A960,Customers!A:B,2,FALSE)</f>
        <v>RetailStreamPro</v>
      </c>
      <c r="C960" s="24" t="s">
        <v>1327</v>
      </c>
      <c r="D960" s="10">
        <v>45973</v>
      </c>
      <c r="E960" s="10">
        <v>46003</v>
      </c>
      <c r="F960" s="4">
        <v>4413.51</v>
      </c>
      <c r="G960" s="3">
        <f>SUMIF(Customer_Payments!B:B,C960,Customer_Payments!E:E)</f>
        <v>4413.51</v>
      </c>
      <c r="H960" s="3">
        <f t="shared" si="42"/>
        <v>0</v>
      </c>
      <c r="I960" s="29">
        <f t="shared" si="43"/>
        <v>88</v>
      </c>
      <c r="J960" s="31" t="str">
        <f t="shared" si="44"/>
        <v>61-90</v>
      </c>
      <c r="K960"/>
    </row>
    <row r="961" spans="1:11" x14ac:dyDescent="0.3">
      <c r="A961" s="21" t="s">
        <v>74</v>
      </c>
      <c r="B961" t="str">
        <f>VLOOKUP(A961,Customers!A:B,2,FALSE)</f>
        <v>RetailPrime</v>
      </c>
      <c r="C961" s="25" t="s">
        <v>1328</v>
      </c>
      <c r="D961" s="11">
        <v>46097</v>
      </c>
      <c r="E961" s="11">
        <v>46127</v>
      </c>
      <c r="F961" s="5">
        <v>5725.18</v>
      </c>
      <c r="G961" s="3">
        <f>SUMIF(Customer_Payments!B:B,C961,Customer_Payments!E:E)</f>
        <v>5725.18</v>
      </c>
      <c r="H961" s="3">
        <f t="shared" si="42"/>
        <v>0</v>
      </c>
      <c r="I961" s="29">
        <f t="shared" si="43"/>
        <v>-36</v>
      </c>
      <c r="J961" s="31" t="str">
        <f t="shared" si="44"/>
        <v>Current</v>
      </c>
      <c r="K961"/>
    </row>
    <row r="962" spans="1:11" x14ac:dyDescent="0.3">
      <c r="A962" s="20" t="s">
        <v>79</v>
      </c>
      <c r="B962" t="str">
        <f>VLOOKUP(A962,Customers!A:B,2,FALSE)</f>
        <v>RetailBoostX</v>
      </c>
      <c r="C962" s="24" t="s">
        <v>1329</v>
      </c>
      <c r="D962" s="10">
        <v>46059</v>
      </c>
      <c r="E962" s="10">
        <v>46089</v>
      </c>
      <c r="F962" s="4">
        <v>4860.13</v>
      </c>
      <c r="G962" s="3">
        <f>SUMIF(Customer_Payments!B:B,C962,Customer_Payments!E:E)</f>
        <v>4860.13</v>
      </c>
      <c r="H962" s="3">
        <f t="shared" ref="H962:H1025" si="45">MAX(F962-G962,0)</f>
        <v>0</v>
      </c>
      <c r="I962" s="29">
        <f t="shared" ref="I962:I1025" si="46">$L$2-E962</f>
        <v>2</v>
      </c>
      <c r="J962" s="31" t="str">
        <f t="shared" si="44"/>
        <v>1-30</v>
      </c>
      <c r="K962"/>
    </row>
    <row r="963" spans="1:11" x14ac:dyDescent="0.3">
      <c r="A963" s="21" t="s">
        <v>22</v>
      </c>
      <c r="B963" t="str">
        <f>VLOOKUP(A963,Customers!A:B,2,FALSE)</f>
        <v>QuantumRetail</v>
      </c>
      <c r="C963" s="25" t="s">
        <v>1330</v>
      </c>
      <c r="D963" s="11">
        <v>46037</v>
      </c>
      <c r="E963" s="11">
        <v>46067</v>
      </c>
      <c r="F963" s="5">
        <v>4634.99</v>
      </c>
      <c r="G963" s="3">
        <f>SUMIF(Customer_Payments!B:B,C963,Customer_Payments!E:E)</f>
        <v>0</v>
      </c>
      <c r="H963" s="3">
        <f t="shared" si="45"/>
        <v>4634.99</v>
      </c>
      <c r="I963" s="29">
        <f t="shared" si="46"/>
        <v>24</v>
      </c>
      <c r="J963" s="31" t="str">
        <f t="shared" ref="J963:J1026" si="47">IF(I963&lt;=0,"Current",
IF(I963&lt;=30,"1-30",
IF(I963&lt;=60,"31-60",
IF(I963&lt;=90,"61-90","90+"))))</f>
        <v>1-30</v>
      </c>
      <c r="K963"/>
    </row>
    <row r="964" spans="1:11" x14ac:dyDescent="0.3">
      <c r="A964" s="20" t="s">
        <v>104</v>
      </c>
      <c r="B964" t="str">
        <f>VLOOKUP(A964,Customers!A:B,2,FALSE)</f>
        <v>RetailCorePro</v>
      </c>
      <c r="C964" s="24" t="s">
        <v>1331</v>
      </c>
      <c r="D964" s="10">
        <v>46026</v>
      </c>
      <c r="E964" s="10">
        <v>46056</v>
      </c>
      <c r="F964" s="4">
        <v>4635.2</v>
      </c>
      <c r="G964" s="3">
        <f>SUMIF(Customer_Payments!B:B,C964,Customer_Payments!E:E)</f>
        <v>4635.2</v>
      </c>
      <c r="H964" s="3">
        <f t="shared" si="45"/>
        <v>0</v>
      </c>
      <c r="I964" s="29">
        <f t="shared" si="46"/>
        <v>35</v>
      </c>
      <c r="J964" s="31" t="str">
        <f t="shared" si="47"/>
        <v>31-60</v>
      </c>
      <c r="K964"/>
    </row>
    <row r="965" spans="1:11" x14ac:dyDescent="0.3">
      <c r="A965" s="21" t="s">
        <v>102</v>
      </c>
      <c r="B965" t="str">
        <f>VLOOKUP(A965,Customers!A:B,2,FALSE)</f>
        <v>RetailPrimePro</v>
      </c>
      <c r="C965" s="25" t="s">
        <v>1332</v>
      </c>
      <c r="D965" s="11">
        <v>46010</v>
      </c>
      <c r="E965" s="11">
        <v>46040</v>
      </c>
      <c r="F965" s="5">
        <v>2880.13</v>
      </c>
      <c r="G965" s="3">
        <f>SUMIF(Customer_Payments!B:B,C965,Customer_Payments!E:E)</f>
        <v>2880.13</v>
      </c>
      <c r="H965" s="3">
        <f t="shared" si="45"/>
        <v>0</v>
      </c>
      <c r="I965" s="29">
        <f t="shared" si="46"/>
        <v>51</v>
      </c>
      <c r="J965" s="31" t="str">
        <f t="shared" si="47"/>
        <v>31-60</v>
      </c>
      <c r="K965"/>
    </row>
    <row r="966" spans="1:11" x14ac:dyDescent="0.3">
      <c r="A966" s="20" t="s">
        <v>20</v>
      </c>
      <c r="B966" t="str">
        <f>VLOOKUP(A966,Customers!A:B,2,FALSE)</f>
        <v>GrowthSphere</v>
      </c>
      <c r="C966" s="24" t="s">
        <v>1333</v>
      </c>
      <c r="D966" s="10">
        <v>46102</v>
      </c>
      <c r="E966" s="10">
        <v>46132</v>
      </c>
      <c r="F966" s="4">
        <v>2111.94</v>
      </c>
      <c r="G966" s="3">
        <f>SUMIF(Customer_Payments!B:B,C966,Customer_Payments!E:E)</f>
        <v>0</v>
      </c>
      <c r="H966" s="3">
        <f t="shared" si="45"/>
        <v>2111.94</v>
      </c>
      <c r="I966" s="29">
        <f t="shared" si="46"/>
        <v>-41</v>
      </c>
      <c r="J966" s="31" t="str">
        <f t="shared" si="47"/>
        <v>Current</v>
      </c>
      <c r="K966"/>
    </row>
    <row r="967" spans="1:11" x14ac:dyDescent="0.3">
      <c r="A967" s="21" t="s">
        <v>84</v>
      </c>
      <c r="B967" t="str">
        <f>VLOOKUP(A967,Customers!A:B,2,FALSE)</f>
        <v>RetailVisionX</v>
      </c>
      <c r="C967" s="25" t="s">
        <v>1334</v>
      </c>
      <c r="D967" s="11">
        <v>45993</v>
      </c>
      <c r="E967" s="11">
        <v>46023</v>
      </c>
      <c r="F967" s="5">
        <v>4369.49</v>
      </c>
      <c r="G967" s="3">
        <f>SUMIF(Customer_Payments!B:B,C967,Customer_Payments!E:E)</f>
        <v>4369.49</v>
      </c>
      <c r="H967" s="3">
        <f t="shared" si="45"/>
        <v>0</v>
      </c>
      <c r="I967" s="29">
        <f t="shared" si="46"/>
        <v>68</v>
      </c>
      <c r="J967" s="31" t="str">
        <f t="shared" si="47"/>
        <v>61-90</v>
      </c>
      <c r="K967"/>
    </row>
    <row r="968" spans="1:11" x14ac:dyDescent="0.3">
      <c r="A968" s="20" t="s">
        <v>10</v>
      </c>
      <c r="B968" t="str">
        <f>VLOOKUP(A968,Customers!A:B,2,FALSE)</f>
        <v>LaunchLabs</v>
      </c>
      <c r="C968" s="24" t="s">
        <v>1335</v>
      </c>
      <c r="D968" s="10">
        <v>45991</v>
      </c>
      <c r="E968" s="10">
        <v>46021</v>
      </c>
      <c r="F968" s="4">
        <v>3657.31</v>
      </c>
      <c r="G968" s="3">
        <f>SUMIF(Customer_Payments!B:B,C968,Customer_Payments!E:E)</f>
        <v>3657.31</v>
      </c>
      <c r="H968" s="3">
        <f t="shared" si="45"/>
        <v>0</v>
      </c>
      <c r="I968" s="29">
        <f t="shared" si="46"/>
        <v>70</v>
      </c>
      <c r="J968" s="31" t="str">
        <f t="shared" si="47"/>
        <v>61-90</v>
      </c>
      <c r="K968"/>
    </row>
    <row r="969" spans="1:11" x14ac:dyDescent="0.3">
      <c r="A969" s="21" t="s">
        <v>115</v>
      </c>
      <c r="B969" t="str">
        <f>VLOOKUP(A969,Customers!A:B,2,FALSE)</f>
        <v>RetailDynamicsPro</v>
      </c>
      <c r="C969" s="25" t="s">
        <v>1336</v>
      </c>
      <c r="D969" s="11">
        <v>45977</v>
      </c>
      <c r="E969" s="11">
        <v>46007</v>
      </c>
      <c r="F969" s="5">
        <v>2079.48</v>
      </c>
      <c r="G969" s="3">
        <f>SUMIF(Customer_Payments!B:B,C969,Customer_Payments!E:E)</f>
        <v>2079.48</v>
      </c>
      <c r="H969" s="3">
        <f t="shared" si="45"/>
        <v>0</v>
      </c>
      <c r="I969" s="29">
        <f t="shared" si="46"/>
        <v>84</v>
      </c>
      <c r="J969" s="31" t="str">
        <f t="shared" si="47"/>
        <v>61-90</v>
      </c>
      <c r="K969"/>
    </row>
    <row r="970" spans="1:11" x14ac:dyDescent="0.3">
      <c r="A970" s="20" t="s">
        <v>56</v>
      </c>
      <c r="B970" t="str">
        <f>VLOOKUP(A970,Customers!A:B,2,FALSE)</f>
        <v>RetailBoost</v>
      </c>
      <c r="C970" s="24" t="s">
        <v>1337</v>
      </c>
      <c r="D970" s="10">
        <v>46089</v>
      </c>
      <c r="E970" s="10">
        <v>46119</v>
      </c>
      <c r="F970" s="4">
        <v>3456.27</v>
      </c>
      <c r="G970" s="3">
        <f>SUMIF(Customer_Payments!B:B,C970,Customer_Payments!E:E)</f>
        <v>3456.27</v>
      </c>
      <c r="H970" s="3">
        <f t="shared" si="45"/>
        <v>0</v>
      </c>
      <c r="I970" s="29">
        <f t="shared" si="46"/>
        <v>-28</v>
      </c>
      <c r="J970" s="31" t="str">
        <f t="shared" si="47"/>
        <v>Current</v>
      </c>
      <c r="K970"/>
    </row>
    <row r="971" spans="1:11" x14ac:dyDescent="0.3">
      <c r="A971" s="21" t="s">
        <v>59</v>
      </c>
      <c r="B971" t="str">
        <f>VLOOKUP(A971,Customers!A:B,2,FALSE)</f>
        <v>MarketBridge</v>
      </c>
      <c r="C971" s="25" t="s">
        <v>1338</v>
      </c>
      <c r="D971" s="11">
        <v>45970</v>
      </c>
      <c r="E971" s="11">
        <v>46000</v>
      </c>
      <c r="F971" s="5">
        <v>11874.47</v>
      </c>
      <c r="G971" s="3">
        <f>SUMIF(Customer_Payments!B:B,C971,Customer_Payments!E:E)</f>
        <v>11874.47</v>
      </c>
      <c r="H971" s="3">
        <f t="shared" si="45"/>
        <v>0</v>
      </c>
      <c r="I971" s="29">
        <f t="shared" si="46"/>
        <v>91</v>
      </c>
      <c r="J971" s="31" t="str">
        <f t="shared" si="47"/>
        <v>90+</v>
      </c>
      <c r="K971"/>
    </row>
    <row r="972" spans="1:11" x14ac:dyDescent="0.3">
      <c r="A972" s="20" t="s">
        <v>32</v>
      </c>
      <c r="B972" t="str">
        <f>VLOOKUP(A972,Customers!A:B,2,FALSE)</f>
        <v>RetailVista</v>
      </c>
      <c r="C972" s="24" t="s">
        <v>1339</v>
      </c>
      <c r="D972" s="10">
        <v>45976</v>
      </c>
      <c r="E972" s="10">
        <v>46006</v>
      </c>
      <c r="F972" s="4">
        <v>3510.52</v>
      </c>
      <c r="G972" s="3">
        <f>SUMIF(Customer_Payments!B:B,C972,Customer_Payments!E:E)</f>
        <v>3510.52</v>
      </c>
      <c r="H972" s="3">
        <f t="shared" si="45"/>
        <v>0</v>
      </c>
      <c r="I972" s="29">
        <f t="shared" si="46"/>
        <v>85</v>
      </c>
      <c r="J972" s="31" t="str">
        <f t="shared" si="47"/>
        <v>61-90</v>
      </c>
      <c r="K972"/>
    </row>
    <row r="973" spans="1:11" x14ac:dyDescent="0.3">
      <c r="A973" s="21" t="s">
        <v>48</v>
      </c>
      <c r="B973" t="str">
        <f>VLOOKUP(A973,Customers!A:B,2,FALSE)</f>
        <v>RetailGenius</v>
      </c>
      <c r="C973" s="25" t="s">
        <v>1340</v>
      </c>
      <c r="D973" s="11">
        <v>46008</v>
      </c>
      <c r="E973" s="11">
        <v>46038</v>
      </c>
      <c r="F973" s="5">
        <v>4132.2700000000004</v>
      </c>
      <c r="G973" s="3">
        <f>SUMIF(Customer_Payments!B:B,C973,Customer_Payments!E:E)</f>
        <v>4132.2700000000004</v>
      </c>
      <c r="H973" s="3">
        <f t="shared" si="45"/>
        <v>0</v>
      </c>
      <c r="I973" s="29">
        <f t="shared" si="46"/>
        <v>53</v>
      </c>
      <c r="J973" s="31" t="str">
        <f t="shared" si="47"/>
        <v>31-60</v>
      </c>
      <c r="K973"/>
    </row>
    <row r="974" spans="1:11" x14ac:dyDescent="0.3">
      <c r="A974" s="20" t="s">
        <v>84</v>
      </c>
      <c r="B974" t="str">
        <f>VLOOKUP(A974,Customers!A:B,2,FALSE)</f>
        <v>RetailVisionX</v>
      </c>
      <c r="C974" s="24" t="s">
        <v>1341</v>
      </c>
      <c r="D974" s="10">
        <v>45978</v>
      </c>
      <c r="E974" s="10">
        <v>46008</v>
      </c>
      <c r="F974" s="4">
        <v>13860.42</v>
      </c>
      <c r="G974" s="3">
        <f>SUMIF(Customer_Payments!B:B,C974,Customer_Payments!E:E)</f>
        <v>0</v>
      </c>
      <c r="H974" s="3">
        <f t="shared" si="45"/>
        <v>13860.42</v>
      </c>
      <c r="I974" s="29">
        <f t="shared" si="46"/>
        <v>83</v>
      </c>
      <c r="J974" s="31" t="str">
        <f t="shared" si="47"/>
        <v>61-90</v>
      </c>
      <c r="K974"/>
    </row>
    <row r="975" spans="1:11" x14ac:dyDescent="0.3">
      <c r="A975" s="21" t="s">
        <v>102</v>
      </c>
      <c r="B975" t="str">
        <f>VLOOKUP(A975,Customers!A:B,2,FALSE)</f>
        <v>RetailPrimePro</v>
      </c>
      <c r="C975" s="25" t="s">
        <v>1342</v>
      </c>
      <c r="D975" s="11">
        <v>46073</v>
      </c>
      <c r="E975" s="11">
        <v>46103</v>
      </c>
      <c r="F975" s="5">
        <v>2033.52</v>
      </c>
      <c r="G975" s="3">
        <f>SUMIF(Customer_Payments!B:B,C975,Customer_Payments!E:E)</f>
        <v>2033.52</v>
      </c>
      <c r="H975" s="3">
        <f t="shared" si="45"/>
        <v>0</v>
      </c>
      <c r="I975" s="29">
        <f t="shared" si="46"/>
        <v>-12</v>
      </c>
      <c r="J975" s="31" t="str">
        <f t="shared" si="47"/>
        <v>Current</v>
      </c>
      <c r="K975"/>
    </row>
    <row r="976" spans="1:11" x14ac:dyDescent="0.3">
      <c r="A976" s="20" t="s">
        <v>107</v>
      </c>
      <c r="B976" t="str">
        <f>VLOOKUP(A976,Customers!A:B,2,FALSE)</f>
        <v>RetailWorksPro</v>
      </c>
      <c r="C976" s="24" t="s">
        <v>1343</v>
      </c>
      <c r="D976" s="10">
        <v>46045</v>
      </c>
      <c r="E976" s="10">
        <v>46075</v>
      </c>
      <c r="F976" s="4">
        <v>3631.33</v>
      </c>
      <c r="G976" s="3">
        <f>SUMIF(Customer_Payments!B:B,C976,Customer_Payments!E:E)</f>
        <v>0</v>
      </c>
      <c r="H976" s="3">
        <f t="shared" si="45"/>
        <v>3631.33</v>
      </c>
      <c r="I976" s="29">
        <f t="shared" si="46"/>
        <v>16</v>
      </c>
      <c r="J976" s="31" t="str">
        <f t="shared" si="47"/>
        <v>1-30</v>
      </c>
      <c r="K976"/>
    </row>
    <row r="977" spans="1:11" x14ac:dyDescent="0.3">
      <c r="A977" s="21" t="s">
        <v>12</v>
      </c>
      <c r="B977" t="str">
        <f>VLOOKUP(A977,Customers!A:B,2,FALSE)</f>
        <v>ShopOrbit</v>
      </c>
      <c r="C977" s="25" t="s">
        <v>1344</v>
      </c>
      <c r="D977" s="11">
        <v>46024</v>
      </c>
      <c r="E977" s="11">
        <v>46054</v>
      </c>
      <c r="F977" s="5">
        <v>3024.78</v>
      </c>
      <c r="G977" s="3">
        <f>SUMIF(Customer_Payments!B:B,C977,Customer_Payments!E:E)</f>
        <v>0</v>
      </c>
      <c r="H977" s="3">
        <f t="shared" si="45"/>
        <v>3024.78</v>
      </c>
      <c r="I977" s="29">
        <f t="shared" si="46"/>
        <v>37</v>
      </c>
      <c r="J977" s="31" t="str">
        <f t="shared" si="47"/>
        <v>31-60</v>
      </c>
      <c r="K977"/>
    </row>
    <row r="978" spans="1:11" x14ac:dyDescent="0.3">
      <c r="A978" s="20" t="s">
        <v>56</v>
      </c>
      <c r="B978" t="str">
        <f>VLOOKUP(A978,Customers!A:B,2,FALSE)</f>
        <v>RetailBoost</v>
      </c>
      <c r="C978" s="24" t="s">
        <v>1345</v>
      </c>
      <c r="D978" s="10">
        <v>46071</v>
      </c>
      <c r="E978" s="10">
        <v>46101</v>
      </c>
      <c r="F978" s="4">
        <v>5037.41</v>
      </c>
      <c r="G978" s="3">
        <f>SUMIF(Customer_Payments!B:B,C978,Customer_Payments!E:E)</f>
        <v>5037.41</v>
      </c>
      <c r="H978" s="3">
        <f t="shared" si="45"/>
        <v>0</v>
      </c>
      <c r="I978" s="29">
        <f t="shared" si="46"/>
        <v>-10</v>
      </c>
      <c r="J978" s="31" t="str">
        <f t="shared" si="47"/>
        <v>Current</v>
      </c>
      <c r="K978"/>
    </row>
    <row r="979" spans="1:11" x14ac:dyDescent="0.3">
      <c r="A979" s="21" t="s">
        <v>57</v>
      </c>
      <c r="B979" t="str">
        <f>VLOOKUP(A979,Customers!A:B,2,FALSE)</f>
        <v>MarketGenius</v>
      </c>
      <c r="C979" s="25" t="s">
        <v>1346</v>
      </c>
      <c r="D979" s="11">
        <v>46079</v>
      </c>
      <c r="E979" s="11">
        <v>46109</v>
      </c>
      <c r="F979" s="5">
        <v>3871.22</v>
      </c>
      <c r="G979" s="3">
        <f>SUMIF(Customer_Payments!B:B,C979,Customer_Payments!E:E)</f>
        <v>3871.22</v>
      </c>
      <c r="H979" s="3">
        <f t="shared" si="45"/>
        <v>0</v>
      </c>
      <c r="I979" s="29">
        <f t="shared" si="46"/>
        <v>-18</v>
      </c>
      <c r="J979" s="31" t="str">
        <f t="shared" si="47"/>
        <v>Current</v>
      </c>
      <c r="K979"/>
    </row>
    <row r="980" spans="1:11" x14ac:dyDescent="0.3">
      <c r="A980" s="20" t="s">
        <v>44</v>
      </c>
      <c r="B980" t="str">
        <f>VLOOKUP(A980,Customers!A:B,2,FALSE)</f>
        <v>BrightMarket</v>
      </c>
      <c r="C980" s="24" t="s">
        <v>1347</v>
      </c>
      <c r="D980" s="10">
        <v>46065</v>
      </c>
      <c r="E980" s="10">
        <v>46095</v>
      </c>
      <c r="F980" s="4">
        <v>2773.68</v>
      </c>
      <c r="G980" s="3">
        <f>SUMIF(Customer_Payments!B:B,C980,Customer_Payments!E:E)</f>
        <v>2773.68</v>
      </c>
      <c r="H980" s="3">
        <f t="shared" si="45"/>
        <v>0</v>
      </c>
      <c r="I980" s="29">
        <f t="shared" si="46"/>
        <v>-4</v>
      </c>
      <c r="J980" s="31" t="str">
        <f t="shared" si="47"/>
        <v>Current</v>
      </c>
      <c r="K980"/>
    </row>
    <row r="981" spans="1:11" x14ac:dyDescent="0.3">
      <c r="A981" s="21" t="s">
        <v>66</v>
      </c>
      <c r="B981" t="str">
        <f>VLOOKUP(A981,Customers!A:B,2,FALSE)</f>
        <v>MarketWorks</v>
      </c>
      <c r="C981" s="25" t="s">
        <v>1348</v>
      </c>
      <c r="D981" s="11">
        <v>46005</v>
      </c>
      <c r="E981" s="11">
        <v>46035</v>
      </c>
      <c r="F981" s="5">
        <v>4086.65</v>
      </c>
      <c r="G981" s="3">
        <f>SUMIF(Customer_Payments!B:B,C981,Customer_Payments!E:E)</f>
        <v>0</v>
      </c>
      <c r="H981" s="3">
        <f t="shared" si="45"/>
        <v>4086.65</v>
      </c>
      <c r="I981" s="29">
        <f t="shared" si="46"/>
        <v>56</v>
      </c>
      <c r="J981" s="31" t="str">
        <f t="shared" si="47"/>
        <v>31-60</v>
      </c>
      <c r="K981"/>
    </row>
    <row r="982" spans="1:11" x14ac:dyDescent="0.3">
      <c r="A982" s="20" t="s">
        <v>106</v>
      </c>
      <c r="B982" t="str">
        <f>VLOOKUP(A982,Customers!A:B,2,FALSE)</f>
        <v>RetailOrbitPro</v>
      </c>
      <c r="C982" s="24" t="s">
        <v>1349</v>
      </c>
      <c r="D982" s="10">
        <v>45980</v>
      </c>
      <c r="E982" s="10">
        <v>46010</v>
      </c>
      <c r="F982" s="4">
        <v>1765.22</v>
      </c>
      <c r="G982" s="3">
        <f>SUMIF(Customer_Payments!B:B,C982,Customer_Payments!E:E)</f>
        <v>1765.22</v>
      </c>
      <c r="H982" s="3">
        <f t="shared" si="45"/>
        <v>0</v>
      </c>
      <c r="I982" s="29">
        <f t="shared" si="46"/>
        <v>81</v>
      </c>
      <c r="J982" s="31" t="str">
        <f t="shared" si="47"/>
        <v>61-90</v>
      </c>
      <c r="K982"/>
    </row>
    <row r="983" spans="1:11" x14ac:dyDescent="0.3">
      <c r="A983" s="21" t="s">
        <v>59</v>
      </c>
      <c r="B983" t="str">
        <f>VLOOKUP(A983,Customers!A:B,2,FALSE)</f>
        <v>MarketBridge</v>
      </c>
      <c r="C983" s="25" t="s">
        <v>1350</v>
      </c>
      <c r="D983" s="11">
        <v>45968</v>
      </c>
      <c r="E983" s="11">
        <v>45998</v>
      </c>
      <c r="F983" s="5">
        <v>4112.9799999999996</v>
      </c>
      <c r="G983" s="3">
        <f>SUMIF(Customer_Payments!B:B,C983,Customer_Payments!E:E)</f>
        <v>4112.9799999999996</v>
      </c>
      <c r="H983" s="3">
        <f t="shared" si="45"/>
        <v>0</v>
      </c>
      <c r="I983" s="29">
        <f t="shared" si="46"/>
        <v>93</v>
      </c>
      <c r="J983" s="31" t="str">
        <f t="shared" si="47"/>
        <v>90+</v>
      </c>
      <c r="K983"/>
    </row>
    <row r="984" spans="1:11" x14ac:dyDescent="0.3">
      <c r="A984" s="20" t="s">
        <v>98</v>
      </c>
      <c r="B984" t="str">
        <f>VLOOKUP(A984,Customers!A:B,2,FALSE)</f>
        <v>RetailEdgePro</v>
      </c>
      <c r="C984" s="24" t="s">
        <v>1351</v>
      </c>
      <c r="D984" s="10">
        <v>46079</v>
      </c>
      <c r="E984" s="10">
        <v>46109</v>
      </c>
      <c r="F984" s="4">
        <v>2450.89</v>
      </c>
      <c r="G984" s="3">
        <f>SUMIF(Customer_Payments!B:B,C984,Customer_Payments!E:E)</f>
        <v>2450.89</v>
      </c>
      <c r="H984" s="3">
        <f t="shared" si="45"/>
        <v>0</v>
      </c>
      <c r="I984" s="29">
        <f t="shared" si="46"/>
        <v>-18</v>
      </c>
      <c r="J984" s="31" t="str">
        <f t="shared" si="47"/>
        <v>Current</v>
      </c>
      <c r="K984"/>
    </row>
    <row r="985" spans="1:11" x14ac:dyDescent="0.3">
      <c r="A985" s="21" t="s">
        <v>90</v>
      </c>
      <c r="B985" t="str">
        <f>VLOOKUP(A985,Customers!A:B,2,FALSE)</f>
        <v>RetailPulseX</v>
      </c>
      <c r="C985" s="25" t="s">
        <v>1352</v>
      </c>
      <c r="D985" s="11">
        <v>46070</v>
      </c>
      <c r="E985" s="11">
        <v>46100</v>
      </c>
      <c r="F985" s="5">
        <v>5765.1</v>
      </c>
      <c r="G985" s="3">
        <f>SUMIF(Customer_Payments!B:B,C985,Customer_Payments!E:E)</f>
        <v>5765.1</v>
      </c>
      <c r="H985" s="3">
        <f t="shared" si="45"/>
        <v>0</v>
      </c>
      <c r="I985" s="29">
        <f t="shared" si="46"/>
        <v>-9</v>
      </c>
      <c r="J985" s="31" t="str">
        <f t="shared" si="47"/>
        <v>Current</v>
      </c>
      <c r="K985"/>
    </row>
    <row r="986" spans="1:11" x14ac:dyDescent="0.3">
      <c r="A986" s="20" t="s">
        <v>21</v>
      </c>
      <c r="B986" t="str">
        <f>VLOOKUP(A986,Customers!A:B,2,FALSE)</f>
        <v>InsightLoop</v>
      </c>
      <c r="C986" s="24" t="s">
        <v>1353</v>
      </c>
      <c r="D986" s="10">
        <v>46089</v>
      </c>
      <c r="E986" s="10">
        <v>46119</v>
      </c>
      <c r="F986" s="4">
        <v>2013.47</v>
      </c>
      <c r="G986" s="3">
        <f>SUMIF(Customer_Payments!B:B,C986,Customer_Payments!E:E)</f>
        <v>2013.47</v>
      </c>
      <c r="H986" s="3">
        <f t="shared" si="45"/>
        <v>0</v>
      </c>
      <c r="I986" s="29">
        <f t="shared" si="46"/>
        <v>-28</v>
      </c>
      <c r="J986" s="31" t="str">
        <f t="shared" si="47"/>
        <v>Current</v>
      </c>
      <c r="K986"/>
    </row>
    <row r="987" spans="1:11" x14ac:dyDescent="0.3">
      <c r="A987" s="21" t="s">
        <v>56</v>
      </c>
      <c r="B987" t="str">
        <f>VLOOKUP(A987,Customers!A:B,2,FALSE)</f>
        <v>RetailBoost</v>
      </c>
      <c r="C987" s="25" t="s">
        <v>1354</v>
      </c>
      <c r="D987" s="11">
        <v>46008</v>
      </c>
      <c r="E987" s="11">
        <v>46038</v>
      </c>
      <c r="F987" s="5">
        <v>1763.57</v>
      </c>
      <c r="G987" s="3">
        <f>SUMIF(Customer_Payments!B:B,C987,Customer_Payments!E:E)</f>
        <v>1763.57</v>
      </c>
      <c r="H987" s="3">
        <f t="shared" si="45"/>
        <v>0</v>
      </c>
      <c r="I987" s="29">
        <f t="shared" si="46"/>
        <v>53</v>
      </c>
      <c r="J987" s="31" t="str">
        <f t="shared" si="47"/>
        <v>31-60</v>
      </c>
      <c r="K987"/>
    </row>
    <row r="988" spans="1:11" x14ac:dyDescent="0.3">
      <c r="A988" s="20" t="s">
        <v>55</v>
      </c>
      <c r="B988" t="str">
        <f>VLOOKUP(A988,Customers!A:B,2,FALSE)</f>
        <v>CommerceLabs</v>
      </c>
      <c r="C988" s="24" t="s">
        <v>1355</v>
      </c>
      <c r="D988" s="10">
        <v>45993</v>
      </c>
      <c r="E988" s="10">
        <v>46023</v>
      </c>
      <c r="F988" s="4">
        <v>2009.57</v>
      </c>
      <c r="G988" s="3">
        <f>SUMIF(Customer_Payments!B:B,C988,Customer_Payments!E:E)</f>
        <v>0</v>
      </c>
      <c r="H988" s="3">
        <f t="shared" si="45"/>
        <v>2009.57</v>
      </c>
      <c r="I988" s="29">
        <f t="shared" si="46"/>
        <v>68</v>
      </c>
      <c r="J988" s="31" t="str">
        <f t="shared" si="47"/>
        <v>61-90</v>
      </c>
      <c r="K988"/>
    </row>
    <row r="989" spans="1:11" x14ac:dyDescent="0.3">
      <c r="A989" s="21" t="s">
        <v>79</v>
      </c>
      <c r="B989" t="str">
        <f>VLOOKUP(A989,Customers!A:B,2,FALSE)</f>
        <v>RetailBoostX</v>
      </c>
      <c r="C989" s="25" t="s">
        <v>1356</v>
      </c>
      <c r="D989" s="11">
        <v>45966</v>
      </c>
      <c r="E989" s="11">
        <v>45996</v>
      </c>
      <c r="F989" s="5">
        <v>3332.85</v>
      </c>
      <c r="G989" s="3">
        <f>SUMIF(Customer_Payments!B:B,C989,Customer_Payments!E:E)</f>
        <v>0</v>
      </c>
      <c r="H989" s="3">
        <f t="shared" si="45"/>
        <v>3332.85</v>
      </c>
      <c r="I989" s="29">
        <f t="shared" si="46"/>
        <v>95</v>
      </c>
      <c r="J989" s="31" t="str">
        <f t="shared" si="47"/>
        <v>90+</v>
      </c>
      <c r="K989"/>
    </row>
    <row r="990" spans="1:11" x14ac:dyDescent="0.3">
      <c r="A990" s="20" t="s">
        <v>98</v>
      </c>
      <c r="B990" t="str">
        <f>VLOOKUP(A990,Customers!A:B,2,FALSE)</f>
        <v>RetailEdgePro</v>
      </c>
      <c r="C990" s="24" t="s">
        <v>1357</v>
      </c>
      <c r="D990" s="10">
        <v>46058</v>
      </c>
      <c r="E990" s="10">
        <v>46088</v>
      </c>
      <c r="F990" s="4">
        <v>2061.12</v>
      </c>
      <c r="G990" s="3">
        <f>SUMIF(Customer_Payments!B:B,C990,Customer_Payments!E:E)</f>
        <v>2061.12</v>
      </c>
      <c r="H990" s="3">
        <f t="shared" si="45"/>
        <v>0</v>
      </c>
      <c r="I990" s="29">
        <f t="shared" si="46"/>
        <v>3</v>
      </c>
      <c r="J990" s="31" t="str">
        <f t="shared" si="47"/>
        <v>1-30</v>
      </c>
      <c r="K990"/>
    </row>
    <row r="991" spans="1:11" x14ac:dyDescent="0.3">
      <c r="A991" s="21" t="s">
        <v>64</v>
      </c>
      <c r="B991" t="str">
        <f>VLOOKUP(A991,Customers!A:B,2,FALSE)</f>
        <v>MarketScale</v>
      </c>
      <c r="C991" s="25" t="s">
        <v>1358</v>
      </c>
      <c r="D991" s="11">
        <v>46000</v>
      </c>
      <c r="E991" s="11">
        <v>46030</v>
      </c>
      <c r="F991" s="5">
        <v>2903.5</v>
      </c>
      <c r="G991" s="3">
        <f>SUMIF(Customer_Payments!B:B,C991,Customer_Payments!E:E)</f>
        <v>0</v>
      </c>
      <c r="H991" s="3">
        <f t="shared" si="45"/>
        <v>2903.5</v>
      </c>
      <c r="I991" s="29">
        <f t="shared" si="46"/>
        <v>61</v>
      </c>
      <c r="J991" s="31" t="str">
        <f t="shared" si="47"/>
        <v>61-90</v>
      </c>
      <c r="K991"/>
    </row>
    <row r="992" spans="1:11" x14ac:dyDescent="0.3">
      <c r="A992" s="20" t="s">
        <v>7</v>
      </c>
      <c r="B992" t="str">
        <f>VLOOKUP(A992,Customers!A:B,2,FALSE)</f>
        <v>BrightCart</v>
      </c>
      <c r="C992" s="24" t="s">
        <v>1359</v>
      </c>
      <c r="D992" s="10">
        <v>46005</v>
      </c>
      <c r="E992" s="10">
        <v>46035</v>
      </c>
      <c r="F992" s="4">
        <v>2626.45</v>
      </c>
      <c r="G992" s="3">
        <f>SUMIF(Customer_Payments!B:B,C992,Customer_Payments!E:E)</f>
        <v>0</v>
      </c>
      <c r="H992" s="3">
        <f t="shared" si="45"/>
        <v>2626.45</v>
      </c>
      <c r="I992" s="29">
        <f t="shared" si="46"/>
        <v>56</v>
      </c>
      <c r="J992" s="31" t="str">
        <f t="shared" si="47"/>
        <v>31-60</v>
      </c>
      <c r="K992"/>
    </row>
    <row r="993" spans="1:11" x14ac:dyDescent="0.3">
      <c r="A993" s="21" t="s">
        <v>70</v>
      </c>
      <c r="B993" t="str">
        <f>VLOOKUP(A993,Customers!A:B,2,FALSE)</f>
        <v>RetailPath</v>
      </c>
      <c r="C993" s="25" t="s">
        <v>1360</v>
      </c>
      <c r="D993" s="11">
        <v>45985</v>
      </c>
      <c r="E993" s="11">
        <v>46015</v>
      </c>
      <c r="F993" s="5">
        <v>3871.55</v>
      </c>
      <c r="G993" s="3">
        <f>SUMIF(Customer_Payments!B:B,C993,Customer_Payments!E:E)</f>
        <v>3871.55</v>
      </c>
      <c r="H993" s="3">
        <f t="shared" si="45"/>
        <v>0</v>
      </c>
      <c r="I993" s="29">
        <f t="shared" si="46"/>
        <v>76</v>
      </c>
      <c r="J993" s="31" t="str">
        <f t="shared" si="47"/>
        <v>61-90</v>
      </c>
      <c r="K993"/>
    </row>
    <row r="994" spans="1:11" x14ac:dyDescent="0.3">
      <c r="A994" s="20" t="s">
        <v>82</v>
      </c>
      <c r="B994" t="str">
        <f>VLOOKUP(A994,Customers!A:B,2,FALSE)</f>
        <v>RetailNovaX</v>
      </c>
      <c r="C994" s="24" t="s">
        <v>1361</v>
      </c>
      <c r="D994" s="10">
        <v>46037</v>
      </c>
      <c r="E994" s="10">
        <v>46067</v>
      </c>
      <c r="F994" s="4">
        <v>3930.44</v>
      </c>
      <c r="G994" s="3">
        <f>SUMIF(Customer_Payments!B:B,C994,Customer_Payments!E:E)</f>
        <v>3930.44</v>
      </c>
      <c r="H994" s="3">
        <f t="shared" si="45"/>
        <v>0</v>
      </c>
      <c r="I994" s="29">
        <f t="shared" si="46"/>
        <v>24</v>
      </c>
      <c r="J994" s="31" t="str">
        <f t="shared" si="47"/>
        <v>1-30</v>
      </c>
      <c r="K994"/>
    </row>
    <row r="995" spans="1:11" x14ac:dyDescent="0.3">
      <c r="A995" s="21" t="s">
        <v>83</v>
      </c>
      <c r="B995" t="str">
        <f>VLOOKUP(A995,Customers!A:B,2,FALSE)</f>
        <v>RetailCoreX</v>
      </c>
      <c r="C995" s="25" t="s">
        <v>1362</v>
      </c>
      <c r="D995" s="11">
        <v>46017</v>
      </c>
      <c r="E995" s="11">
        <v>46047</v>
      </c>
      <c r="F995" s="5">
        <v>1782.51</v>
      </c>
      <c r="G995" s="3">
        <f>SUMIF(Customer_Payments!B:B,C995,Customer_Payments!E:E)</f>
        <v>1782.51</v>
      </c>
      <c r="H995" s="3">
        <f t="shared" si="45"/>
        <v>0</v>
      </c>
      <c r="I995" s="29">
        <f t="shared" si="46"/>
        <v>44</v>
      </c>
      <c r="J995" s="31" t="str">
        <f t="shared" si="47"/>
        <v>31-60</v>
      </c>
      <c r="K995"/>
    </row>
    <row r="996" spans="1:11" x14ac:dyDescent="0.3">
      <c r="A996" s="20" t="s">
        <v>78</v>
      </c>
      <c r="B996" t="str">
        <f>VLOOKUP(A996,Customers!A:B,2,FALSE)</f>
        <v>RetailOrbitX</v>
      </c>
      <c r="C996" s="24" t="s">
        <v>1363</v>
      </c>
      <c r="D996" s="10">
        <v>46012</v>
      </c>
      <c r="E996" s="10">
        <v>46042</v>
      </c>
      <c r="F996" s="4">
        <v>2693.66</v>
      </c>
      <c r="G996" s="3">
        <f>SUMIF(Customer_Payments!B:B,C996,Customer_Payments!E:E)</f>
        <v>2693.66</v>
      </c>
      <c r="H996" s="3">
        <f t="shared" si="45"/>
        <v>0</v>
      </c>
      <c r="I996" s="29">
        <f t="shared" si="46"/>
        <v>49</v>
      </c>
      <c r="J996" s="31" t="str">
        <f t="shared" si="47"/>
        <v>31-60</v>
      </c>
      <c r="K996"/>
    </row>
    <row r="997" spans="1:11" x14ac:dyDescent="0.3">
      <c r="A997" s="21" t="s">
        <v>11</v>
      </c>
      <c r="B997" t="str">
        <f>VLOOKUP(A997,Customers!A:B,2,FALSE)</f>
        <v>DataHive</v>
      </c>
      <c r="C997" s="25" t="s">
        <v>1364</v>
      </c>
      <c r="D997" s="11">
        <v>45991</v>
      </c>
      <c r="E997" s="11">
        <v>46021</v>
      </c>
      <c r="F997" s="5">
        <v>4097.84</v>
      </c>
      <c r="G997" s="3">
        <f>SUMIF(Customer_Payments!B:B,C997,Customer_Payments!E:E)</f>
        <v>4097.84</v>
      </c>
      <c r="H997" s="3">
        <f t="shared" si="45"/>
        <v>0</v>
      </c>
      <c r="I997" s="29">
        <f t="shared" si="46"/>
        <v>70</v>
      </c>
      <c r="J997" s="31" t="str">
        <f t="shared" si="47"/>
        <v>61-90</v>
      </c>
      <c r="K997"/>
    </row>
    <row r="998" spans="1:11" x14ac:dyDescent="0.3">
      <c r="A998" s="20" t="s">
        <v>45</v>
      </c>
      <c r="B998" t="str">
        <f>VLOOKUP(A998,Customers!A:B,2,FALSE)</f>
        <v>EdgeRetail</v>
      </c>
      <c r="C998" s="24" t="s">
        <v>1365</v>
      </c>
      <c r="D998" s="10">
        <v>46010</v>
      </c>
      <c r="E998" s="10">
        <v>46040</v>
      </c>
      <c r="F998" s="4">
        <v>5707.66</v>
      </c>
      <c r="G998" s="3">
        <f>SUMIF(Customer_Payments!B:B,C998,Customer_Payments!E:E)</f>
        <v>0</v>
      </c>
      <c r="H998" s="3">
        <f t="shared" si="45"/>
        <v>5707.66</v>
      </c>
      <c r="I998" s="29">
        <f t="shared" si="46"/>
        <v>51</v>
      </c>
      <c r="J998" s="31" t="str">
        <f t="shared" si="47"/>
        <v>31-60</v>
      </c>
      <c r="K998"/>
    </row>
    <row r="999" spans="1:11" x14ac:dyDescent="0.3">
      <c r="A999" s="21" t="s">
        <v>29</v>
      </c>
      <c r="B999" t="str">
        <f>VLOOKUP(A999,Customers!A:B,2,FALSE)</f>
        <v>DigitalBridge</v>
      </c>
      <c r="C999" s="25" t="s">
        <v>1366</v>
      </c>
      <c r="D999" s="11">
        <v>46012</v>
      </c>
      <c r="E999" s="11">
        <v>46042</v>
      </c>
      <c r="F999" s="5">
        <v>2920.38</v>
      </c>
      <c r="G999" s="3">
        <f>SUMIF(Customer_Payments!B:B,C999,Customer_Payments!E:E)</f>
        <v>2920.38</v>
      </c>
      <c r="H999" s="3">
        <f t="shared" si="45"/>
        <v>0</v>
      </c>
      <c r="I999" s="29">
        <f t="shared" si="46"/>
        <v>49</v>
      </c>
      <c r="J999" s="31" t="str">
        <f t="shared" si="47"/>
        <v>31-60</v>
      </c>
      <c r="K999"/>
    </row>
    <row r="1000" spans="1:11" x14ac:dyDescent="0.3">
      <c r="A1000" s="20" t="s">
        <v>83</v>
      </c>
      <c r="B1000" t="str">
        <f>VLOOKUP(A1000,Customers!A:B,2,FALSE)</f>
        <v>RetailCoreX</v>
      </c>
      <c r="C1000" s="24" t="s">
        <v>1367</v>
      </c>
      <c r="D1000" s="10">
        <v>46081</v>
      </c>
      <c r="E1000" s="10">
        <v>46111</v>
      </c>
      <c r="F1000" s="4">
        <v>5344.18</v>
      </c>
      <c r="G1000" s="3">
        <f>SUMIF(Customer_Payments!B:B,C1000,Customer_Payments!E:E)</f>
        <v>5344.18</v>
      </c>
      <c r="H1000" s="3">
        <f t="shared" si="45"/>
        <v>0</v>
      </c>
      <c r="I1000" s="29">
        <f t="shared" si="46"/>
        <v>-20</v>
      </c>
      <c r="J1000" s="31" t="str">
        <f t="shared" si="47"/>
        <v>Current</v>
      </c>
      <c r="K1000"/>
    </row>
    <row r="1001" spans="1:11" x14ac:dyDescent="0.3">
      <c r="A1001" s="21" t="s">
        <v>53</v>
      </c>
      <c r="B1001" t="str">
        <f>VLOOKUP(A1001,Customers!A:B,2,FALSE)</f>
        <v>PrimeCart</v>
      </c>
      <c r="C1001" s="25" t="s">
        <v>1368</v>
      </c>
      <c r="D1001" s="11">
        <v>46047</v>
      </c>
      <c r="E1001" s="11">
        <v>46077</v>
      </c>
      <c r="F1001" s="5">
        <v>3902.23</v>
      </c>
      <c r="G1001" s="3">
        <f>SUMIF(Customer_Payments!B:B,C1001,Customer_Payments!E:E)</f>
        <v>3902.23</v>
      </c>
      <c r="H1001" s="3">
        <f t="shared" si="45"/>
        <v>0</v>
      </c>
      <c r="I1001" s="29">
        <f t="shared" si="46"/>
        <v>14</v>
      </c>
      <c r="J1001" s="31" t="str">
        <f t="shared" si="47"/>
        <v>1-30</v>
      </c>
      <c r="K1001"/>
    </row>
    <row r="1002" spans="1:11" x14ac:dyDescent="0.3">
      <c r="A1002" s="20" t="s">
        <v>55</v>
      </c>
      <c r="B1002" t="str">
        <f>VLOOKUP(A1002,Customers!A:B,2,FALSE)</f>
        <v>CommerceLabs</v>
      </c>
      <c r="C1002" s="24" t="s">
        <v>1369</v>
      </c>
      <c r="D1002" s="10">
        <v>46064</v>
      </c>
      <c r="E1002" s="10">
        <v>46094</v>
      </c>
      <c r="F1002" s="4">
        <v>2511.75</v>
      </c>
      <c r="G1002" s="3">
        <f>SUMIF(Customer_Payments!B:B,C1002,Customer_Payments!E:E)</f>
        <v>2511.75</v>
      </c>
      <c r="H1002" s="3">
        <f t="shared" si="45"/>
        <v>0</v>
      </c>
      <c r="I1002" s="29">
        <f t="shared" si="46"/>
        <v>-3</v>
      </c>
      <c r="J1002" s="31" t="str">
        <f t="shared" si="47"/>
        <v>Current</v>
      </c>
      <c r="K1002"/>
    </row>
    <row r="1003" spans="1:11" x14ac:dyDescent="0.3">
      <c r="A1003" s="21" t="s">
        <v>67</v>
      </c>
      <c r="B1003" t="str">
        <f>VLOOKUP(A1003,Customers!A:B,2,FALSE)</f>
        <v>RetailDynamics</v>
      </c>
      <c r="C1003" s="25" t="s">
        <v>1370</v>
      </c>
      <c r="D1003" s="11">
        <v>45979</v>
      </c>
      <c r="E1003" s="11">
        <v>46009</v>
      </c>
      <c r="F1003" s="5">
        <v>3310.13</v>
      </c>
      <c r="G1003" s="3">
        <f>SUMIF(Customer_Payments!B:B,C1003,Customer_Payments!E:E)</f>
        <v>3310.13</v>
      </c>
      <c r="H1003" s="3">
        <f t="shared" si="45"/>
        <v>0</v>
      </c>
      <c r="I1003" s="29">
        <f t="shared" si="46"/>
        <v>82</v>
      </c>
      <c r="J1003" s="31" t="str">
        <f t="shared" si="47"/>
        <v>61-90</v>
      </c>
      <c r="K1003"/>
    </row>
    <row r="1004" spans="1:11" x14ac:dyDescent="0.3">
      <c r="A1004" s="20" t="s">
        <v>59</v>
      </c>
      <c r="B1004" t="str">
        <f>VLOOKUP(A1004,Customers!A:B,2,FALSE)</f>
        <v>MarketBridge</v>
      </c>
      <c r="C1004" s="24" t="s">
        <v>1371</v>
      </c>
      <c r="D1004" s="10">
        <v>46019</v>
      </c>
      <c r="E1004" s="10">
        <v>46049</v>
      </c>
      <c r="F1004" s="4">
        <v>4244.05</v>
      </c>
      <c r="G1004" s="3">
        <f>SUMIF(Customer_Payments!B:B,C1004,Customer_Payments!E:E)</f>
        <v>4244.05</v>
      </c>
      <c r="H1004" s="3">
        <f t="shared" si="45"/>
        <v>0</v>
      </c>
      <c r="I1004" s="29">
        <f t="shared" si="46"/>
        <v>42</v>
      </c>
      <c r="J1004" s="31" t="str">
        <f t="shared" si="47"/>
        <v>31-60</v>
      </c>
      <c r="K1004"/>
    </row>
    <row r="1005" spans="1:11" x14ac:dyDescent="0.3">
      <c r="A1005" s="21" t="s">
        <v>80</v>
      </c>
      <c r="B1005" t="str">
        <f>VLOOKUP(A1005,Customers!A:B,2,FALSE)</f>
        <v>RetailEdgeX</v>
      </c>
      <c r="C1005" s="25" t="s">
        <v>1372</v>
      </c>
      <c r="D1005" s="11">
        <v>45969</v>
      </c>
      <c r="E1005" s="11">
        <v>45999</v>
      </c>
      <c r="F1005" s="5">
        <v>3093.78</v>
      </c>
      <c r="G1005" s="3">
        <f>SUMIF(Customer_Payments!B:B,C1005,Customer_Payments!E:E)</f>
        <v>3093.78</v>
      </c>
      <c r="H1005" s="3">
        <f t="shared" si="45"/>
        <v>0</v>
      </c>
      <c r="I1005" s="29">
        <f t="shared" si="46"/>
        <v>92</v>
      </c>
      <c r="J1005" s="31" t="str">
        <f t="shared" si="47"/>
        <v>90+</v>
      </c>
      <c r="K1005"/>
    </row>
    <row r="1006" spans="1:11" x14ac:dyDescent="0.3">
      <c r="A1006" s="20" t="s">
        <v>95</v>
      </c>
      <c r="B1006" t="str">
        <f>VLOOKUP(A1006,Customers!A:B,2,FALSE)</f>
        <v>RetailScaleX</v>
      </c>
      <c r="C1006" s="24" t="s">
        <v>1373</v>
      </c>
      <c r="D1006" s="10">
        <v>46044</v>
      </c>
      <c r="E1006" s="10">
        <v>46074</v>
      </c>
      <c r="F1006" s="4">
        <v>2145.13</v>
      </c>
      <c r="G1006" s="3">
        <f>SUMIF(Customer_Payments!B:B,C1006,Customer_Payments!E:E)</f>
        <v>2145.13</v>
      </c>
      <c r="H1006" s="3">
        <f t="shared" si="45"/>
        <v>0</v>
      </c>
      <c r="I1006" s="29">
        <f t="shared" si="46"/>
        <v>17</v>
      </c>
      <c r="J1006" s="31" t="str">
        <f t="shared" si="47"/>
        <v>1-30</v>
      </c>
      <c r="K1006"/>
    </row>
    <row r="1007" spans="1:11" x14ac:dyDescent="0.3">
      <c r="A1007" s="21" t="s">
        <v>115</v>
      </c>
      <c r="B1007" t="str">
        <f>VLOOKUP(A1007,Customers!A:B,2,FALSE)</f>
        <v>RetailDynamicsPro</v>
      </c>
      <c r="C1007" s="25" t="s">
        <v>1374</v>
      </c>
      <c r="D1007" s="11">
        <v>46089</v>
      </c>
      <c r="E1007" s="11">
        <v>46119</v>
      </c>
      <c r="F1007" s="5">
        <v>4107.45</v>
      </c>
      <c r="G1007" s="3">
        <f>SUMIF(Customer_Payments!B:B,C1007,Customer_Payments!E:E)</f>
        <v>4107.45</v>
      </c>
      <c r="H1007" s="3">
        <f t="shared" si="45"/>
        <v>0</v>
      </c>
      <c r="I1007" s="29">
        <f t="shared" si="46"/>
        <v>-28</v>
      </c>
      <c r="J1007" s="31" t="str">
        <f t="shared" si="47"/>
        <v>Current</v>
      </c>
      <c r="K1007"/>
    </row>
    <row r="1008" spans="1:11" x14ac:dyDescent="0.3">
      <c r="A1008" s="20" t="s">
        <v>23</v>
      </c>
      <c r="B1008" t="str">
        <f>VLOOKUP(A1008,Customers!A:B,2,FALSE)</f>
        <v>VertexCommerce</v>
      </c>
      <c r="C1008" s="24" t="s">
        <v>1375</v>
      </c>
      <c r="D1008" s="10">
        <v>46103</v>
      </c>
      <c r="E1008" s="10">
        <v>46133</v>
      </c>
      <c r="F1008" s="4">
        <v>2259.66</v>
      </c>
      <c r="G1008" s="3">
        <f>SUMIF(Customer_Payments!B:B,C1008,Customer_Payments!E:E)</f>
        <v>2259.66</v>
      </c>
      <c r="H1008" s="3">
        <f t="shared" si="45"/>
        <v>0</v>
      </c>
      <c r="I1008" s="29">
        <f t="shared" si="46"/>
        <v>-42</v>
      </c>
      <c r="J1008" s="31" t="str">
        <f t="shared" si="47"/>
        <v>Current</v>
      </c>
      <c r="K1008"/>
    </row>
    <row r="1009" spans="1:11" x14ac:dyDescent="0.3">
      <c r="A1009" s="21" t="s">
        <v>70</v>
      </c>
      <c r="B1009" t="str">
        <f>VLOOKUP(A1009,Customers!A:B,2,FALSE)</f>
        <v>RetailPath</v>
      </c>
      <c r="C1009" s="25" t="s">
        <v>1376</v>
      </c>
      <c r="D1009" s="11">
        <v>45978</v>
      </c>
      <c r="E1009" s="11">
        <v>46008</v>
      </c>
      <c r="F1009" s="5">
        <v>3587.69</v>
      </c>
      <c r="G1009" s="3">
        <f>SUMIF(Customer_Payments!B:B,C1009,Customer_Payments!E:E)</f>
        <v>3587.69</v>
      </c>
      <c r="H1009" s="3">
        <f t="shared" si="45"/>
        <v>0</v>
      </c>
      <c r="I1009" s="29">
        <f t="shared" si="46"/>
        <v>83</v>
      </c>
      <c r="J1009" s="31" t="str">
        <f t="shared" si="47"/>
        <v>61-90</v>
      </c>
      <c r="K1009"/>
    </row>
    <row r="1010" spans="1:11" x14ac:dyDescent="0.3">
      <c r="A1010" s="20" t="s">
        <v>31</v>
      </c>
      <c r="B1010" t="str">
        <f>VLOOKUP(A1010,Customers!A:B,2,FALSE)</f>
        <v>SparkRetail</v>
      </c>
      <c r="C1010" s="24" t="s">
        <v>1377</v>
      </c>
      <c r="D1010" s="10">
        <v>46000</v>
      </c>
      <c r="E1010" s="10">
        <v>46030</v>
      </c>
      <c r="F1010" s="4">
        <v>5767.33</v>
      </c>
      <c r="G1010" s="3">
        <f>SUMIF(Customer_Payments!B:B,C1010,Customer_Payments!E:E)</f>
        <v>5767.33</v>
      </c>
      <c r="H1010" s="3">
        <f t="shared" si="45"/>
        <v>0</v>
      </c>
      <c r="I1010" s="29">
        <f t="shared" si="46"/>
        <v>61</v>
      </c>
      <c r="J1010" s="31" t="str">
        <f t="shared" si="47"/>
        <v>61-90</v>
      </c>
      <c r="K1010"/>
    </row>
    <row r="1011" spans="1:11" x14ac:dyDescent="0.3">
      <c r="A1011" s="21" t="s">
        <v>101</v>
      </c>
      <c r="B1011" t="str">
        <f>VLOOKUP(A1011,Customers!A:B,2,FALSE)</f>
        <v>RetailMatrixPro</v>
      </c>
      <c r="C1011" s="25" t="s">
        <v>1378</v>
      </c>
      <c r="D1011" s="11">
        <v>46027</v>
      </c>
      <c r="E1011" s="11">
        <v>46057</v>
      </c>
      <c r="F1011" s="5">
        <v>2541.85</v>
      </c>
      <c r="G1011" s="3">
        <f>SUMIF(Customer_Payments!B:B,C1011,Customer_Payments!E:E)</f>
        <v>0</v>
      </c>
      <c r="H1011" s="3">
        <f t="shared" si="45"/>
        <v>2541.85</v>
      </c>
      <c r="I1011" s="29">
        <f t="shared" si="46"/>
        <v>34</v>
      </c>
      <c r="J1011" s="31" t="str">
        <f t="shared" si="47"/>
        <v>31-60</v>
      </c>
      <c r="K1011"/>
    </row>
    <row r="1012" spans="1:11" x14ac:dyDescent="0.3">
      <c r="A1012" s="20" t="s">
        <v>51</v>
      </c>
      <c r="B1012" t="str">
        <f>VLOOKUP(A1012,Customers!A:B,2,FALSE)</f>
        <v>CartMasters</v>
      </c>
      <c r="C1012" s="24" t="s">
        <v>1379</v>
      </c>
      <c r="D1012" s="10">
        <v>45974</v>
      </c>
      <c r="E1012" s="10">
        <v>46004</v>
      </c>
      <c r="F1012" s="4">
        <v>5599.13</v>
      </c>
      <c r="G1012" s="3">
        <f>SUMIF(Customer_Payments!B:B,C1012,Customer_Payments!E:E)</f>
        <v>5599.13</v>
      </c>
      <c r="H1012" s="3">
        <f t="shared" si="45"/>
        <v>0</v>
      </c>
      <c r="I1012" s="29">
        <f t="shared" si="46"/>
        <v>87</v>
      </c>
      <c r="J1012" s="31" t="str">
        <f t="shared" si="47"/>
        <v>61-90</v>
      </c>
      <c r="K1012"/>
    </row>
    <row r="1013" spans="1:11" x14ac:dyDescent="0.3">
      <c r="A1013" s="21" t="s">
        <v>95</v>
      </c>
      <c r="B1013" t="str">
        <f>VLOOKUP(A1013,Customers!A:B,2,FALSE)</f>
        <v>RetailScaleX</v>
      </c>
      <c r="C1013" s="25" t="s">
        <v>1380</v>
      </c>
      <c r="D1013" s="11">
        <v>46055</v>
      </c>
      <c r="E1013" s="11">
        <v>46085</v>
      </c>
      <c r="F1013" s="5">
        <v>3928.46</v>
      </c>
      <c r="G1013" s="3">
        <f>SUMIF(Customer_Payments!B:B,C1013,Customer_Payments!E:E)</f>
        <v>3928.46</v>
      </c>
      <c r="H1013" s="3">
        <f t="shared" si="45"/>
        <v>0</v>
      </c>
      <c r="I1013" s="29">
        <f t="shared" si="46"/>
        <v>6</v>
      </c>
      <c r="J1013" s="31" t="str">
        <f t="shared" si="47"/>
        <v>1-30</v>
      </c>
      <c r="K1013"/>
    </row>
    <row r="1014" spans="1:11" x14ac:dyDescent="0.3">
      <c r="A1014" s="20" t="s">
        <v>77</v>
      </c>
      <c r="B1014" t="str">
        <f>VLOOKUP(A1014,Customers!A:B,2,FALSE)</f>
        <v>RetailBridge</v>
      </c>
      <c r="C1014" s="24" t="s">
        <v>1381</v>
      </c>
      <c r="D1014" s="10">
        <v>45987</v>
      </c>
      <c r="E1014" s="10">
        <v>46017</v>
      </c>
      <c r="F1014" s="4">
        <v>2254.42</v>
      </c>
      <c r="G1014" s="3">
        <f>SUMIF(Customer_Payments!B:B,C1014,Customer_Payments!E:E)</f>
        <v>2254.42</v>
      </c>
      <c r="H1014" s="3">
        <f t="shared" si="45"/>
        <v>0</v>
      </c>
      <c r="I1014" s="29">
        <f t="shared" si="46"/>
        <v>74</v>
      </c>
      <c r="J1014" s="31" t="str">
        <f t="shared" si="47"/>
        <v>61-90</v>
      </c>
      <c r="K1014"/>
    </row>
    <row r="1015" spans="1:11" x14ac:dyDescent="0.3">
      <c r="A1015" s="21" t="s">
        <v>57</v>
      </c>
      <c r="B1015" t="str">
        <f>VLOOKUP(A1015,Customers!A:B,2,FALSE)</f>
        <v>MarketGenius</v>
      </c>
      <c r="C1015" s="25" t="s">
        <v>1382</v>
      </c>
      <c r="D1015" s="11">
        <v>46107</v>
      </c>
      <c r="E1015" s="11">
        <v>46137</v>
      </c>
      <c r="F1015" s="5">
        <v>2767.03</v>
      </c>
      <c r="G1015" s="3">
        <f>SUMIF(Customer_Payments!B:B,C1015,Customer_Payments!E:E)</f>
        <v>2767.03</v>
      </c>
      <c r="H1015" s="3">
        <f t="shared" si="45"/>
        <v>0</v>
      </c>
      <c r="I1015" s="29">
        <f t="shared" si="46"/>
        <v>-46</v>
      </c>
      <c r="J1015" s="31" t="str">
        <f t="shared" si="47"/>
        <v>Current</v>
      </c>
      <c r="K1015"/>
    </row>
    <row r="1016" spans="1:11" x14ac:dyDescent="0.3">
      <c r="A1016" s="20" t="s">
        <v>113</v>
      </c>
      <c r="B1016" t="str">
        <f>VLOOKUP(A1016,Customers!A:B,2,FALSE)</f>
        <v>RetailSpherePro</v>
      </c>
      <c r="C1016" s="24" t="s">
        <v>1383</v>
      </c>
      <c r="D1016" s="10">
        <v>46112</v>
      </c>
      <c r="E1016" s="10">
        <v>46142</v>
      </c>
      <c r="F1016" s="4">
        <v>1849.62</v>
      </c>
      <c r="G1016" s="3">
        <f>SUMIF(Customer_Payments!B:B,C1016,Customer_Payments!E:E)</f>
        <v>1849.62</v>
      </c>
      <c r="H1016" s="3">
        <f t="shared" si="45"/>
        <v>0</v>
      </c>
      <c r="I1016" s="29">
        <f t="shared" si="46"/>
        <v>-51</v>
      </c>
      <c r="J1016" s="31" t="str">
        <f t="shared" si="47"/>
        <v>Current</v>
      </c>
      <c r="K1016"/>
    </row>
    <row r="1017" spans="1:11" x14ac:dyDescent="0.3">
      <c r="A1017" s="21" t="s">
        <v>89</v>
      </c>
      <c r="B1017" t="str">
        <f>VLOOKUP(A1017,Customers!A:B,2,FALSE)</f>
        <v>RetailAxisX</v>
      </c>
      <c r="C1017" s="25" t="s">
        <v>1384</v>
      </c>
      <c r="D1017" s="11">
        <v>46051</v>
      </c>
      <c r="E1017" s="11">
        <v>46081</v>
      </c>
      <c r="F1017" s="5">
        <v>2922.28</v>
      </c>
      <c r="G1017" s="3">
        <f>SUMIF(Customer_Payments!B:B,C1017,Customer_Payments!E:E)</f>
        <v>0</v>
      </c>
      <c r="H1017" s="3">
        <f t="shared" si="45"/>
        <v>2922.28</v>
      </c>
      <c r="I1017" s="29">
        <f t="shared" si="46"/>
        <v>10</v>
      </c>
      <c r="J1017" s="31" t="str">
        <f t="shared" si="47"/>
        <v>1-30</v>
      </c>
      <c r="K1017"/>
    </row>
    <row r="1018" spans="1:11" x14ac:dyDescent="0.3">
      <c r="A1018" s="20" t="s">
        <v>75</v>
      </c>
      <c r="B1018" t="str">
        <f>VLOOKUP(A1018,Customers!A:B,2,FALSE)</f>
        <v>RetailMatrix</v>
      </c>
      <c r="C1018" s="24" t="s">
        <v>1385</v>
      </c>
      <c r="D1018" s="10">
        <v>46089</v>
      </c>
      <c r="E1018" s="10">
        <v>46119</v>
      </c>
      <c r="F1018" s="4">
        <v>4962.99</v>
      </c>
      <c r="G1018" s="3">
        <f>SUMIF(Customer_Payments!B:B,C1018,Customer_Payments!E:E)</f>
        <v>0</v>
      </c>
      <c r="H1018" s="3">
        <f t="shared" si="45"/>
        <v>4962.99</v>
      </c>
      <c r="I1018" s="29">
        <f t="shared" si="46"/>
        <v>-28</v>
      </c>
      <c r="J1018" s="31" t="str">
        <f t="shared" si="47"/>
        <v>Current</v>
      </c>
      <c r="K1018"/>
    </row>
    <row r="1019" spans="1:11" x14ac:dyDescent="0.3">
      <c r="A1019" s="21" t="s">
        <v>14</v>
      </c>
      <c r="B1019" t="str">
        <f>VLOOKUP(A1019,Customers!A:B,2,FALSE)</f>
        <v>MarketPulse</v>
      </c>
      <c r="C1019" s="25" t="s">
        <v>1386</v>
      </c>
      <c r="D1019" s="11">
        <v>46060</v>
      </c>
      <c r="E1019" s="11">
        <v>46090</v>
      </c>
      <c r="F1019" s="5">
        <v>2462.4699999999998</v>
      </c>
      <c r="G1019" s="3">
        <f>SUMIF(Customer_Payments!B:B,C1019,Customer_Payments!E:E)</f>
        <v>0</v>
      </c>
      <c r="H1019" s="3">
        <f t="shared" si="45"/>
        <v>2462.4699999999998</v>
      </c>
      <c r="I1019" s="29">
        <f t="shared" si="46"/>
        <v>1</v>
      </c>
      <c r="J1019" s="31" t="str">
        <f t="shared" si="47"/>
        <v>1-30</v>
      </c>
      <c r="K1019"/>
    </row>
    <row r="1020" spans="1:11" x14ac:dyDescent="0.3">
      <c r="A1020" s="20" t="s">
        <v>75</v>
      </c>
      <c r="B1020" t="str">
        <f>VLOOKUP(A1020,Customers!A:B,2,FALSE)</f>
        <v>RetailMatrix</v>
      </c>
      <c r="C1020" s="24" t="s">
        <v>1387</v>
      </c>
      <c r="D1020" s="10">
        <v>46009</v>
      </c>
      <c r="E1020" s="10">
        <v>46039</v>
      </c>
      <c r="F1020" s="4">
        <v>3219.08</v>
      </c>
      <c r="G1020" s="3">
        <f>SUMIF(Customer_Payments!B:B,C1020,Customer_Payments!E:E)</f>
        <v>3219.08</v>
      </c>
      <c r="H1020" s="3">
        <f t="shared" si="45"/>
        <v>0</v>
      </c>
      <c r="I1020" s="29">
        <f t="shared" si="46"/>
        <v>52</v>
      </c>
      <c r="J1020" s="31" t="str">
        <f t="shared" si="47"/>
        <v>31-60</v>
      </c>
      <c r="K1020"/>
    </row>
    <row r="1021" spans="1:11" x14ac:dyDescent="0.3">
      <c r="A1021" s="21" t="s">
        <v>120</v>
      </c>
      <c r="B1021" t="str">
        <f>VLOOKUP(A1021,Customers!A:B,2,FALSE)</f>
        <v>RetailPrimeGlobal</v>
      </c>
      <c r="C1021" s="25" t="s">
        <v>1388</v>
      </c>
      <c r="D1021" s="11">
        <v>46052</v>
      </c>
      <c r="E1021" s="11">
        <v>46082</v>
      </c>
      <c r="F1021" s="5">
        <v>2649.91</v>
      </c>
      <c r="G1021" s="3">
        <f>SUMIF(Customer_Payments!B:B,C1021,Customer_Payments!E:E)</f>
        <v>0</v>
      </c>
      <c r="H1021" s="3">
        <f t="shared" si="45"/>
        <v>2649.91</v>
      </c>
      <c r="I1021" s="29">
        <f t="shared" si="46"/>
        <v>9</v>
      </c>
      <c r="J1021" s="31" t="str">
        <f t="shared" si="47"/>
        <v>1-30</v>
      </c>
      <c r="K1021"/>
    </row>
    <row r="1022" spans="1:11" x14ac:dyDescent="0.3">
      <c r="A1022" s="20" t="s">
        <v>50</v>
      </c>
      <c r="B1022" t="str">
        <f>VLOOKUP(A1022,Customers!A:B,2,FALSE)</f>
        <v>RetailNexus</v>
      </c>
      <c r="C1022" s="24" t="s">
        <v>1389</v>
      </c>
      <c r="D1022" s="10">
        <v>46095</v>
      </c>
      <c r="E1022" s="10">
        <v>46125</v>
      </c>
      <c r="F1022" s="4">
        <v>2066.21</v>
      </c>
      <c r="G1022" s="3">
        <f>SUMIF(Customer_Payments!B:B,C1022,Customer_Payments!E:E)</f>
        <v>0</v>
      </c>
      <c r="H1022" s="3">
        <f t="shared" si="45"/>
        <v>2066.21</v>
      </c>
      <c r="I1022" s="29">
        <f t="shared" si="46"/>
        <v>-34</v>
      </c>
      <c r="J1022" s="31" t="str">
        <f t="shared" si="47"/>
        <v>Current</v>
      </c>
      <c r="K1022"/>
    </row>
    <row r="1023" spans="1:11" x14ac:dyDescent="0.3">
      <c r="A1023" s="21" t="s">
        <v>56</v>
      </c>
      <c r="B1023" t="str">
        <f>VLOOKUP(A1023,Customers!A:B,2,FALSE)</f>
        <v>RetailBoost</v>
      </c>
      <c r="C1023" s="25" t="s">
        <v>1390</v>
      </c>
      <c r="D1023" s="11">
        <v>46081</v>
      </c>
      <c r="E1023" s="11">
        <v>46111</v>
      </c>
      <c r="F1023" s="5">
        <v>12607.25</v>
      </c>
      <c r="G1023" s="3">
        <f>SUMIF(Customer_Payments!B:B,C1023,Customer_Payments!E:E)</f>
        <v>12607.25</v>
      </c>
      <c r="H1023" s="3">
        <f t="shared" si="45"/>
        <v>0</v>
      </c>
      <c r="I1023" s="29">
        <f t="shared" si="46"/>
        <v>-20</v>
      </c>
      <c r="J1023" s="31" t="str">
        <f t="shared" si="47"/>
        <v>Current</v>
      </c>
      <c r="K1023"/>
    </row>
    <row r="1024" spans="1:11" x14ac:dyDescent="0.3">
      <c r="A1024" s="20" t="s">
        <v>47</v>
      </c>
      <c r="B1024" t="str">
        <f>VLOOKUP(A1024,Customers!A:B,2,FALSE)</f>
        <v>SmartRetail</v>
      </c>
      <c r="C1024" s="24" t="s">
        <v>1391</v>
      </c>
      <c r="D1024" s="10">
        <v>46108</v>
      </c>
      <c r="E1024" s="10">
        <v>46138</v>
      </c>
      <c r="F1024" s="4">
        <v>5190.38</v>
      </c>
      <c r="G1024" s="3">
        <f>SUMIF(Customer_Payments!B:B,C1024,Customer_Payments!E:E)</f>
        <v>5190.38</v>
      </c>
      <c r="H1024" s="3">
        <f t="shared" si="45"/>
        <v>0</v>
      </c>
      <c r="I1024" s="29">
        <f t="shared" si="46"/>
        <v>-47</v>
      </c>
      <c r="J1024" s="31" t="str">
        <f t="shared" si="47"/>
        <v>Current</v>
      </c>
      <c r="K1024"/>
    </row>
    <row r="1025" spans="1:11" x14ac:dyDescent="0.3">
      <c r="A1025" s="21" t="s">
        <v>37</v>
      </c>
      <c r="B1025" t="str">
        <f>VLOOKUP(A1025,Customers!A:B,2,FALSE)</f>
        <v>SmartCart</v>
      </c>
      <c r="C1025" s="25" t="s">
        <v>1392</v>
      </c>
      <c r="D1025" s="11">
        <v>46015</v>
      </c>
      <c r="E1025" s="11">
        <v>46045</v>
      </c>
      <c r="F1025" s="5">
        <v>1462.77</v>
      </c>
      <c r="G1025" s="3">
        <f>SUMIF(Customer_Payments!B:B,C1025,Customer_Payments!E:E)</f>
        <v>1462.77</v>
      </c>
      <c r="H1025" s="3">
        <f t="shared" si="45"/>
        <v>0</v>
      </c>
      <c r="I1025" s="29">
        <f t="shared" si="46"/>
        <v>46</v>
      </c>
      <c r="J1025" s="31" t="str">
        <f t="shared" si="47"/>
        <v>31-60</v>
      </c>
      <c r="K1025"/>
    </row>
    <row r="1026" spans="1:11" x14ac:dyDescent="0.3">
      <c r="A1026" s="20" t="s">
        <v>29</v>
      </c>
      <c r="B1026" t="str">
        <f>VLOOKUP(A1026,Customers!A:B,2,FALSE)</f>
        <v>DigitalBridge</v>
      </c>
      <c r="C1026" s="24" t="s">
        <v>1393</v>
      </c>
      <c r="D1026" s="10">
        <v>46002</v>
      </c>
      <c r="E1026" s="10">
        <v>46032</v>
      </c>
      <c r="F1026" s="4">
        <v>2451.91</v>
      </c>
      <c r="G1026" s="3">
        <f>SUMIF(Customer_Payments!B:B,C1026,Customer_Payments!E:E)</f>
        <v>2451.91</v>
      </c>
      <c r="H1026" s="3">
        <f t="shared" ref="H1026:H1089" si="48">MAX(F1026-G1026,0)</f>
        <v>0</v>
      </c>
      <c r="I1026" s="29">
        <f t="shared" ref="I1026:I1089" si="49">$L$2-E1026</f>
        <v>59</v>
      </c>
      <c r="J1026" s="31" t="str">
        <f t="shared" si="47"/>
        <v>31-60</v>
      </c>
      <c r="K1026"/>
    </row>
    <row r="1027" spans="1:11" x14ac:dyDescent="0.3">
      <c r="A1027" s="21" t="s">
        <v>63</v>
      </c>
      <c r="B1027" t="str">
        <f>VLOOKUP(A1027,Customers!A:B,2,FALSE)</f>
        <v>RetailCore</v>
      </c>
      <c r="C1027" s="25" t="s">
        <v>1394</v>
      </c>
      <c r="D1027" s="11">
        <v>46058</v>
      </c>
      <c r="E1027" s="11">
        <v>46088</v>
      </c>
      <c r="F1027" s="5">
        <v>2849.06</v>
      </c>
      <c r="G1027" s="3">
        <f>SUMIF(Customer_Payments!B:B,C1027,Customer_Payments!E:E)</f>
        <v>0</v>
      </c>
      <c r="H1027" s="3">
        <f t="shared" si="48"/>
        <v>2849.06</v>
      </c>
      <c r="I1027" s="29">
        <f t="shared" si="49"/>
        <v>3</v>
      </c>
      <c r="J1027" s="31" t="str">
        <f t="shared" ref="J1027:J1090" si="50">IF(I1027&lt;=0,"Current",
IF(I1027&lt;=30,"1-30",
IF(I1027&lt;=60,"31-60",
IF(I1027&lt;=90,"61-90","90+"))))</f>
        <v>1-30</v>
      </c>
      <c r="K1027"/>
    </row>
    <row r="1028" spans="1:11" x14ac:dyDescent="0.3">
      <c r="A1028" s="20" t="s">
        <v>50</v>
      </c>
      <c r="B1028" t="str">
        <f>VLOOKUP(A1028,Customers!A:B,2,FALSE)</f>
        <v>RetailNexus</v>
      </c>
      <c r="C1028" s="24" t="s">
        <v>1395</v>
      </c>
      <c r="D1028" s="10">
        <v>46087</v>
      </c>
      <c r="E1028" s="10">
        <v>46117</v>
      </c>
      <c r="F1028" s="4">
        <v>2834.91</v>
      </c>
      <c r="G1028" s="3">
        <f>SUMIF(Customer_Payments!B:B,C1028,Customer_Payments!E:E)</f>
        <v>2834.91</v>
      </c>
      <c r="H1028" s="3">
        <f t="shared" si="48"/>
        <v>0</v>
      </c>
      <c r="I1028" s="29">
        <f t="shared" si="49"/>
        <v>-26</v>
      </c>
      <c r="J1028" s="31" t="str">
        <f t="shared" si="50"/>
        <v>Current</v>
      </c>
      <c r="K1028"/>
    </row>
    <row r="1029" spans="1:11" x14ac:dyDescent="0.3">
      <c r="A1029" s="21" t="s">
        <v>25</v>
      </c>
      <c r="B1029" t="str">
        <f>VLOOKUP(A1029,Customers!A:B,2,FALSE)</f>
        <v>OrbitEdge</v>
      </c>
      <c r="C1029" s="25" t="s">
        <v>1396</v>
      </c>
      <c r="D1029" s="11">
        <v>46060</v>
      </c>
      <c r="E1029" s="11">
        <v>46090</v>
      </c>
      <c r="F1029" s="5">
        <v>13115.72</v>
      </c>
      <c r="G1029" s="3">
        <f>SUMIF(Customer_Payments!B:B,C1029,Customer_Payments!E:E)</f>
        <v>0</v>
      </c>
      <c r="H1029" s="3">
        <f t="shared" si="48"/>
        <v>13115.72</v>
      </c>
      <c r="I1029" s="29">
        <f t="shared" si="49"/>
        <v>1</v>
      </c>
      <c r="J1029" s="31" t="str">
        <f t="shared" si="50"/>
        <v>1-30</v>
      </c>
      <c r="K1029"/>
    </row>
    <row r="1030" spans="1:11" x14ac:dyDescent="0.3">
      <c r="A1030" s="20" t="s">
        <v>33</v>
      </c>
      <c r="B1030" t="str">
        <f>VLOOKUP(A1030,Customers!A:B,2,FALSE)</f>
        <v>CloudCart</v>
      </c>
      <c r="C1030" s="24" t="s">
        <v>1397</v>
      </c>
      <c r="D1030" s="10">
        <v>46064</v>
      </c>
      <c r="E1030" s="10">
        <v>46094</v>
      </c>
      <c r="F1030" s="4">
        <v>3386.57</v>
      </c>
      <c r="G1030" s="3">
        <f>SUMIF(Customer_Payments!B:B,C1030,Customer_Payments!E:E)</f>
        <v>0</v>
      </c>
      <c r="H1030" s="3">
        <f t="shared" si="48"/>
        <v>3386.57</v>
      </c>
      <c r="I1030" s="29">
        <f t="shared" si="49"/>
        <v>-3</v>
      </c>
      <c r="J1030" s="31" t="str">
        <f t="shared" si="50"/>
        <v>Current</v>
      </c>
      <c r="K1030"/>
    </row>
    <row r="1031" spans="1:11" x14ac:dyDescent="0.3">
      <c r="A1031" s="21" t="s">
        <v>21</v>
      </c>
      <c r="B1031" t="str">
        <f>VLOOKUP(A1031,Customers!A:B,2,FALSE)</f>
        <v>InsightLoop</v>
      </c>
      <c r="C1031" s="25" t="s">
        <v>1398</v>
      </c>
      <c r="D1031" s="11">
        <v>46094</v>
      </c>
      <c r="E1031" s="11">
        <v>46124</v>
      </c>
      <c r="F1031" s="5">
        <v>1466.32</v>
      </c>
      <c r="G1031" s="3">
        <f>SUMIF(Customer_Payments!B:B,C1031,Customer_Payments!E:E)</f>
        <v>0</v>
      </c>
      <c r="H1031" s="3">
        <f t="shared" si="48"/>
        <v>1466.32</v>
      </c>
      <c r="I1031" s="29">
        <f t="shared" si="49"/>
        <v>-33</v>
      </c>
      <c r="J1031" s="31" t="str">
        <f t="shared" si="50"/>
        <v>Current</v>
      </c>
      <c r="K1031"/>
    </row>
    <row r="1032" spans="1:11" x14ac:dyDescent="0.3">
      <c r="A1032" s="20" t="s">
        <v>118</v>
      </c>
      <c r="B1032" t="str">
        <f>VLOOKUP(A1032,Customers!A:B,2,FALSE)</f>
        <v>RetailEdgeGlobal</v>
      </c>
      <c r="C1032" s="24" t="s">
        <v>1399</v>
      </c>
      <c r="D1032" s="10">
        <v>46084</v>
      </c>
      <c r="E1032" s="10">
        <v>46114</v>
      </c>
      <c r="F1032" s="4">
        <v>2773.18</v>
      </c>
      <c r="G1032" s="3">
        <f>SUMIF(Customer_Payments!B:B,C1032,Customer_Payments!E:E)</f>
        <v>0</v>
      </c>
      <c r="H1032" s="3">
        <f t="shared" si="48"/>
        <v>2773.18</v>
      </c>
      <c r="I1032" s="29">
        <f t="shared" si="49"/>
        <v>-23</v>
      </c>
      <c r="J1032" s="31" t="str">
        <f t="shared" si="50"/>
        <v>Current</v>
      </c>
      <c r="K1032"/>
    </row>
    <row r="1033" spans="1:11" x14ac:dyDescent="0.3">
      <c r="A1033" s="21" t="s">
        <v>91</v>
      </c>
      <c r="B1033" t="str">
        <f>VLOOKUP(A1033,Customers!A:B,2,FALSE)</f>
        <v>RetailBridgeX</v>
      </c>
      <c r="C1033" s="25" t="s">
        <v>1400</v>
      </c>
      <c r="D1033" s="11">
        <v>46049</v>
      </c>
      <c r="E1033" s="11">
        <v>46079</v>
      </c>
      <c r="F1033" s="5">
        <v>2799.95</v>
      </c>
      <c r="G1033" s="3">
        <f>SUMIF(Customer_Payments!B:B,C1033,Customer_Payments!E:E)</f>
        <v>2799.95</v>
      </c>
      <c r="H1033" s="3">
        <f t="shared" si="48"/>
        <v>0</v>
      </c>
      <c r="I1033" s="29">
        <f t="shared" si="49"/>
        <v>12</v>
      </c>
      <c r="J1033" s="31" t="str">
        <f t="shared" si="50"/>
        <v>1-30</v>
      </c>
      <c r="K1033"/>
    </row>
    <row r="1034" spans="1:11" x14ac:dyDescent="0.3">
      <c r="A1034" s="20" t="s">
        <v>33</v>
      </c>
      <c r="B1034" t="str">
        <f>VLOOKUP(A1034,Customers!A:B,2,FALSE)</f>
        <v>CloudCart</v>
      </c>
      <c r="C1034" s="24" t="s">
        <v>1401</v>
      </c>
      <c r="D1034" s="10">
        <v>46038</v>
      </c>
      <c r="E1034" s="10">
        <v>46068</v>
      </c>
      <c r="F1034" s="4">
        <v>1664.99</v>
      </c>
      <c r="G1034" s="3">
        <f>SUMIF(Customer_Payments!B:B,C1034,Customer_Payments!E:E)</f>
        <v>1664.99</v>
      </c>
      <c r="H1034" s="3">
        <f t="shared" si="48"/>
        <v>0</v>
      </c>
      <c r="I1034" s="29">
        <f t="shared" si="49"/>
        <v>23</v>
      </c>
      <c r="J1034" s="31" t="str">
        <f t="shared" si="50"/>
        <v>1-30</v>
      </c>
      <c r="K1034"/>
    </row>
    <row r="1035" spans="1:11" x14ac:dyDescent="0.3">
      <c r="A1035" s="21" t="s">
        <v>105</v>
      </c>
      <c r="B1035" t="str">
        <f>VLOOKUP(A1035,Customers!A:B,2,FALSE)</f>
        <v>RetailFlowPro</v>
      </c>
      <c r="C1035" s="25" t="s">
        <v>1402</v>
      </c>
      <c r="D1035" s="11">
        <v>46023</v>
      </c>
      <c r="E1035" s="11">
        <v>46053</v>
      </c>
      <c r="F1035" s="5">
        <v>2200.56</v>
      </c>
      <c r="G1035" s="3">
        <f>SUMIF(Customer_Payments!B:B,C1035,Customer_Payments!E:E)</f>
        <v>2200.56</v>
      </c>
      <c r="H1035" s="3">
        <f t="shared" si="48"/>
        <v>0</v>
      </c>
      <c r="I1035" s="29">
        <f t="shared" si="49"/>
        <v>38</v>
      </c>
      <c r="J1035" s="31" t="str">
        <f t="shared" si="50"/>
        <v>31-60</v>
      </c>
      <c r="K1035"/>
    </row>
    <row r="1036" spans="1:11" x14ac:dyDescent="0.3">
      <c r="A1036" s="20" t="s">
        <v>21</v>
      </c>
      <c r="B1036" t="str">
        <f>VLOOKUP(A1036,Customers!A:B,2,FALSE)</f>
        <v>InsightLoop</v>
      </c>
      <c r="C1036" s="24" t="s">
        <v>1403</v>
      </c>
      <c r="D1036" s="10">
        <v>46009</v>
      </c>
      <c r="E1036" s="10">
        <v>46039</v>
      </c>
      <c r="F1036" s="4">
        <v>12821.4</v>
      </c>
      <c r="G1036" s="3">
        <f>SUMIF(Customer_Payments!B:B,C1036,Customer_Payments!E:E)</f>
        <v>12821.4</v>
      </c>
      <c r="H1036" s="3">
        <f t="shared" si="48"/>
        <v>0</v>
      </c>
      <c r="I1036" s="29">
        <f t="shared" si="49"/>
        <v>52</v>
      </c>
      <c r="J1036" s="31" t="str">
        <f t="shared" si="50"/>
        <v>31-60</v>
      </c>
      <c r="K1036"/>
    </row>
    <row r="1037" spans="1:11" x14ac:dyDescent="0.3">
      <c r="A1037" s="21" t="s">
        <v>76</v>
      </c>
      <c r="B1037" t="str">
        <f>VLOOKUP(A1037,Customers!A:B,2,FALSE)</f>
        <v>RetailSphere</v>
      </c>
      <c r="C1037" s="25" t="s">
        <v>1404</v>
      </c>
      <c r="D1037" s="11">
        <v>46046</v>
      </c>
      <c r="E1037" s="11">
        <v>46076</v>
      </c>
      <c r="F1037" s="5">
        <v>3549.96</v>
      </c>
      <c r="G1037" s="3">
        <f>SUMIF(Customer_Payments!B:B,C1037,Customer_Payments!E:E)</f>
        <v>3549.96</v>
      </c>
      <c r="H1037" s="3">
        <f t="shared" si="48"/>
        <v>0</v>
      </c>
      <c r="I1037" s="29">
        <f t="shared" si="49"/>
        <v>15</v>
      </c>
      <c r="J1037" s="31" t="str">
        <f t="shared" si="50"/>
        <v>1-30</v>
      </c>
      <c r="K1037"/>
    </row>
    <row r="1038" spans="1:11" x14ac:dyDescent="0.3">
      <c r="A1038" s="20" t="s">
        <v>109</v>
      </c>
      <c r="B1038" t="str">
        <f>VLOOKUP(A1038,Customers!A:B,2,FALSE)</f>
        <v>RetailStreamPro</v>
      </c>
      <c r="C1038" s="24" t="s">
        <v>1405</v>
      </c>
      <c r="D1038" s="10">
        <v>46079</v>
      </c>
      <c r="E1038" s="10">
        <v>46109</v>
      </c>
      <c r="F1038" s="4">
        <v>2549.37</v>
      </c>
      <c r="G1038" s="3">
        <f>SUMIF(Customer_Payments!B:B,C1038,Customer_Payments!E:E)</f>
        <v>0</v>
      </c>
      <c r="H1038" s="3">
        <f t="shared" si="48"/>
        <v>2549.37</v>
      </c>
      <c r="I1038" s="29">
        <f t="shared" si="49"/>
        <v>-18</v>
      </c>
      <c r="J1038" s="31" t="str">
        <f t="shared" si="50"/>
        <v>Current</v>
      </c>
      <c r="K1038"/>
    </row>
    <row r="1039" spans="1:11" x14ac:dyDescent="0.3">
      <c r="A1039" s="21" t="s">
        <v>121</v>
      </c>
      <c r="B1039" t="str">
        <f>VLOOKUP(A1039,Customers!A:B,2,FALSE)</f>
        <v>RetailVisionGlobal</v>
      </c>
      <c r="C1039" s="25" t="s">
        <v>1406</v>
      </c>
      <c r="D1039" s="11">
        <v>46100</v>
      </c>
      <c r="E1039" s="11">
        <v>46130</v>
      </c>
      <c r="F1039" s="5">
        <v>2574.08</v>
      </c>
      <c r="G1039" s="3">
        <f>SUMIF(Customer_Payments!B:B,C1039,Customer_Payments!E:E)</f>
        <v>2574.08</v>
      </c>
      <c r="H1039" s="3">
        <f t="shared" si="48"/>
        <v>0</v>
      </c>
      <c r="I1039" s="29">
        <f t="shared" si="49"/>
        <v>-39</v>
      </c>
      <c r="J1039" s="31" t="str">
        <f t="shared" si="50"/>
        <v>Current</v>
      </c>
      <c r="K1039"/>
    </row>
    <row r="1040" spans="1:11" x14ac:dyDescent="0.3">
      <c r="A1040" s="20" t="s">
        <v>122</v>
      </c>
      <c r="B1040" t="str">
        <f>VLOOKUP(A1040,Customers!A:B,2,FALSE)</f>
        <v>RetailCoreGlobal</v>
      </c>
      <c r="C1040" s="24" t="s">
        <v>1407</v>
      </c>
      <c r="D1040" s="10">
        <v>46092</v>
      </c>
      <c r="E1040" s="10">
        <v>46122</v>
      </c>
      <c r="F1040" s="4">
        <v>2540.58</v>
      </c>
      <c r="G1040" s="3">
        <f>SUMIF(Customer_Payments!B:B,C1040,Customer_Payments!E:E)</f>
        <v>2540.58</v>
      </c>
      <c r="H1040" s="3">
        <f t="shared" si="48"/>
        <v>0</v>
      </c>
      <c r="I1040" s="29">
        <f t="shared" si="49"/>
        <v>-31</v>
      </c>
      <c r="J1040" s="31" t="str">
        <f t="shared" si="50"/>
        <v>Current</v>
      </c>
      <c r="K1040"/>
    </row>
    <row r="1041" spans="1:11" x14ac:dyDescent="0.3">
      <c r="A1041" s="21" t="s">
        <v>57</v>
      </c>
      <c r="B1041" t="str">
        <f>VLOOKUP(A1041,Customers!A:B,2,FALSE)</f>
        <v>MarketGenius</v>
      </c>
      <c r="C1041" s="25" t="s">
        <v>1408</v>
      </c>
      <c r="D1041" s="11">
        <v>46000</v>
      </c>
      <c r="E1041" s="11">
        <v>46030</v>
      </c>
      <c r="F1041" s="5">
        <v>1476.33</v>
      </c>
      <c r="G1041" s="3">
        <f>SUMIF(Customer_Payments!B:B,C1041,Customer_Payments!E:E)</f>
        <v>1476.33</v>
      </c>
      <c r="H1041" s="3">
        <f t="shared" si="48"/>
        <v>0</v>
      </c>
      <c r="I1041" s="29">
        <f t="shared" si="49"/>
        <v>61</v>
      </c>
      <c r="J1041" s="31" t="str">
        <f t="shared" si="50"/>
        <v>61-90</v>
      </c>
      <c r="K1041"/>
    </row>
    <row r="1042" spans="1:11" x14ac:dyDescent="0.3">
      <c r="A1042" s="20" t="s">
        <v>96</v>
      </c>
      <c r="B1042" t="str">
        <f>VLOOKUP(A1042,Customers!A:B,2,FALSE)</f>
        <v>RetailLabs</v>
      </c>
      <c r="C1042" s="24" t="s">
        <v>1409</v>
      </c>
      <c r="D1042" s="10">
        <v>46091</v>
      </c>
      <c r="E1042" s="10">
        <v>46121</v>
      </c>
      <c r="F1042" s="4">
        <v>5409.36</v>
      </c>
      <c r="G1042" s="3">
        <f>SUMIF(Customer_Payments!B:B,C1042,Customer_Payments!E:E)</f>
        <v>0</v>
      </c>
      <c r="H1042" s="3">
        <f t="shared" si="48"/>
        <v>5409.36</v>
      </c>
      <c r="I1042" s="29">
        <f t="shared" si="49"/>
        <v>-30</v>
      </c>
      <c r="J1042" s="31" t="str">
        <f t="shared" si="50"/>
        <v>Current</v>
      </c>
      <c r="K1042"/>
    </row>
    <row r="1043" spans="1:11" x14ac:dyDescent="0.3">
      <c r="A1043" s="21" t="s">
        <v>98</v>
      </c>
      <c r="B1043" t="str">
        <f>VLOOKUP(A1043,Customers!A:B,2,FALSE)</f>
        <v>RetailEdgePro</v>
      </c>
      <c r="C1043" s="25" t="s">
        <v>1410</v>
      </c>
      <c r="D1043" s="11">
        <v>46012</v>
      </c>
      <c r="E1043" s="11">
        <v>46042</v>
      </c>
      <c r="F1043" s="5">
        <v>12558.31</v>
      </c>
      <c r="G1043" s="3">
        <f>SUMIF(Customer_Payments!B:B,C1043,Customer_Payments!E:E)</f>
        <v>0</v>
      </c>
      <c r="H1043" s="3">
        <f t="shared" si="48"/>
        <v>12558.31</v>
      </c>
      <c r="I1043" s="29">
        <f t="shared" si="49"/>
        <v>49</v>
      </c>
      <c r="J1043" s="31" t="str">
        <f t="shared" si="50"/>
        <v>31-60</v>
      </c>
      <c r="K1043"/>
    </row>
    <row r="1044" spans="1:11" x14ac:dyDescent="0.3">
      <c r="A1044" s="20" t="s">
        <v>18</v>
      </c>
      <c r="B1044" t="str">
        <f>VLOOKUP(A1044,Customers!A:B,2,FALSE)</f>
        <v>BluePeak Systems</v>
      </c>
      <c r="C1044" s="24" t="s">
        <v>1411</v>
      </c>
      <c r="D1044" s="10">
        <v>46069</v>
      </c>
      <c r="E1044" s="10">
        <v>46099</v>
      </c>
      <c r="F1044" s="4">
        <v>2022.7</v>
      </c>
      <c r="G1044" s="3">
        <f>SUMIF(Customer_Payments!B:B,C1044,Customer_Payments!E:E)</f>
        <v>2022.7</v>
      </c>
      <c r="H1044" s="3">
        <f t="shared" si="48"/>
        <v>0</v>
      </c>
      <c r="I1044" s="29">
        <f t="shared" si="49"/>
        <v>-8</v>
      </c>
      <c r="J1044" s="31" t="str">
        <f t="shared" si="50"/>
        <v>Current</v>
      </c>
      <c r="K1044"/>
    </row>
    <row r="1045" spans="1:11" x14ac:dyDescent="0.3">
      <c r="A1045" s="21" t="s">
        <v>97</v>
      </c>
      <c r="B1045" t="str">
        <f>VLOOKUP(A1045,Customers!A:B,2,FALSE)</f>
        <v>RetailSparkX</v>
      </c>
      <c r="C1045" s="25" t="s">
        <v>1412</v>
      </c>
      <c r="D1045" s="11">
        <v>46070</v>
      </c>
      <c r="E1045" s="11">
        <v>46100</v>
      </c>
      <c r="F1045" s="5">
        <v>1777.16</v>
      </c>
      <c r="G1045" s="3">
        <f>SUMIF(Customer_Payments!B:B,C1045,Customer_Payments!E:E)</f>
        <v>1777.16</v>
      </c>
      <c r="H1045" s="3">
        <f t="shared" si="48"/>
        <v>0</v>
      </c>
      <c r="I1045" s="29">
        <f t="shared" si="49"/>
        <v>-9</v>
      </c>
      <c r="J1045" s="31" t="str">
        <f t="shared" si="50"/>
        <v>Current</v>
      </c>
      <c r="K1045"/>
    </row>
    <row r="1046" spans="1:11" x14ac:dyDescent="0.3">
      <c r="A1046" s="20" t="s">
        <v>85</v>
      </c>
      <c r="B1046" t="str">
        <f>VLOOKUP(A1046,Customers!A:B,2,FALSE)</f>
        <v>RetailWorksX</v>
      </c>
      <c r="C1046" s="24" t="s">
        <v>1413</v>
      </c>
      <c r="D1046" s="10">
        <v>46003</v>
      </c>
      <c r="E1046" s="10">
        <v>46033</v>
      </c>
      <c r="F1046" s="4">
        <v>11858.62</v>
      </c>
      <c r="G1046" s="3">
        <f>SUMIF(Customer_Payments!B:B,C1046,Customer_Payments!E:E)</f>
        <v>0</v>
      </c>
      <c r="H1046" s="3">
        <f t="shared" si="48"/>
        <v>11858.62</v>
      </c>
      <c r="I1046" s="29">
        <f t="shared" si="49"/>
        <v>58</v>
      </c>
      <c r="J1046" s="31" t="str">
        <f t="shared" si="50"/>
        <v>31-60</v>
      </c>
      <c r="K1046"/>
    </row>
    <row r="1047" spans="1:11" x14ac:dyDescent="0.3">
      <c r="A1047" s="21" t="s">
        <v>92</v>
      </c>
      <c r="B1047" t="str">
        <f>VLOOKUP(A1047,Customers!A:B,2,FALSE)</f>
        <v>RetailMatrixX</v>
      </c>
      <c r="C1047" s="25" t="s">
        <v>1414</v>
      </c>
      <c r="D1047" s="11">
        <v>46068</v>
      </c>
      <c r="E1047" s="11">
        <v>46098</v>
      </c>
      <c r="F1047" s="5">
        <v>2912.86</v>
      </c>
      <c r="G1047" s="3">
        <f>SUMIF(Customer_Payments!B:B,C1047,Customer_Payments!E:E)</f>
        <v>2912.86</v>
      </c>
      <c r="H1047" s="3">
        <f t="shared" si="48"/>
        <v>0</v>
      </c>
      <c r="I1047" s="29">
        <f t="shared" si="49"/>
        <v>-7</v>
      </c>
      <c r="J1047" s="31" t="str">
        <f t="shared" si="50"/>
        <v>Current</v>
      </c>
      <c r="K1047"/>
    </row>
    <row r="1048" spans="1:11" x14ac:dyDescent="0.3">
      <c r="A1048" s="20" t="s">
        <v>10</v>
      </c>
      <c r="B1048" t="str">
        <f>VLOOKUP(A1048,Customers!A:B,2,FALSE)</f>
        <v>LaunchLabs</v>
      </c>
      <c r="C1048" s="24" t="s">
        <v>1415</v>
      </c>
      <c r="D1048" s="10">
        <v>46101</v>
      </c>
      <c r="E1048" s="10">
        <v>46131</v>
      </c>
      <c r="F1048" s="4">
        <v>2788.78</v>
      </c>
      <c r="G1048" s="3">
        <f>SUMIF(Customer_Payments!B:B,C1048,Customer_Payments!E:E)</f>
        <v>2788.78</v>
      </c>
      <c r="H1048" s="3">
        <f t="shared" si="48"/>
        <v>0</v>
      </c>
      <c r="I1048" s="29">
        <f t="shared" si="49"/>
        <v>-40</v>
      </c>
      <c r="J1048" s="31" t="str">
        <f t="shared" si="50"/>
        <v>Current</v>
      </c>
      <c r="K1048"/>
    </row>
    <row r="1049" spans="1:11" x14ac:dyDescent="0.3">
      <c r="A1049" s="21" t="s">
        <v>28</v>
      </c>
      <c r="B1049" t="str">
        <f>VLOOKUP(A1049,Customers!A:B,2,FALSE)</f>
        <v>FutureCart</v>
      </c>
      <c r="C1049" s="25" t="s">
        <v>1416</v>
      </c>
      <c r="D1049" s="11">
        <v>45967</v>
      </c>
      <c r="E1049" s="11">
        <v>45997</v>
      </c>
      <c r="F1049" s="5">
        <v>2970.4</v>
      </c>
      <c r="G1049" s="3">
        <f>SUMIF(Customer_Payments!B:B,C1049,Customer_Payments!E:E)</f>
        <v>2970.4</v>
      </c>
      <c r="H1049" s="3">
        <f t="shared" si="48"/>
        <v>0</v>
      </c>
      <c r="I1049" s="29">
        <f t="shared" si="49"/>
        <v>94</v>
      </c>
      <c r="J1049" s="31" t="str">
        <f t="shared" si="50"/>
        <v>90+</v>
      </c>
      <c r="K1049"/>
    </row>
    <row r="1050" spans="1:11" x14ac:dyDescent="0.3">
      <c r="A1050" s="20" t="s">
        <v>20</v>
      </c>
      <c r="B1050" t="str">
        <f>VLOOKUP(A1050,Customers!A:B,2,FALSE)</f>
        <v>GrowthSphere</v>
      </c>
      <c r="C1050" s="24" t="s">
        <v>1417</v>
      </c>
      <c r="D1050" s="10">
        <v>46093</v>
      </c>
      <c r="E1050" s="10">
        <v>46123</v>
      </c>
      <c r="F1050" s="4">
        <v>2767.94</v>
      </c>
      <c r="G1050" s="3">
        <f>SUMIF(Customer_Payments!B:B,C1050,Customer_Payments!E:E)</f>
        <v>2767.94</v>
      </c>
      <c r="H1050" s="3">
        <f t="shared" si="48"/>
        <v>0</v>
      </c>
      <c r="I1050" s="29">
        <f t="shared" si="49"/>
        <v>-32</v>
      </c>
      <c r="J1050" s="31" t="str">
        <f t="shared" si="50"/>
        <v>Current</v>
      </c>
      <c r="K1050"/>
    </row>
    <row r="1051" spans="1:11" x14ac:dyDescent="0.3">
      <c r="A1051" s="21" t="s">
        <v>90</v>
      </c>
      <c r="B1051" t="str">
        <f>VLOOKUP(A1051,Customers!A:B,2,FALSE)</f>
        <v>RetailPulseX</v>
      </c>
      <c r="C1051" s="25" t="s">
        <v>1418</v>
      </c>
      <c r="D1051" s="11">
        <v>45993</v>
      </c>
      <c r="E1051" s="11">
        <v>46023</v>
      </c>
      <c r="F1051" s="5">
        <v>13524.25</v>
      </c>
      <c r="G1051" s="3">
        <f>SUMIF(Customer_Payments!B:B,C1051,Customer_Payments!E:E)</f>
        <v>13524.25</v>
      </c>
      <c r="H1051" s="3">
        <f t="shared" si="48"/>
        <v>0</v>
      </c>
      <c r="I1051" s="29">
        <f t="shared" si="49"/>
        <v>68</v>
      </c>
      <c r="J1051" s="31" t="str">
        <f t="shared" si="50"/>
        <v>61-90</v>
      </c>
      <c r="K1051"/>
    </row>
    <row r="1052" spans="1:11" x14ac:dyDescent="0.3">
      <c r="A1052" s="20" t="s">
        <v>59</v>
      </c>
      <c r="B1052" t="str">
        <f>VLOOKUP(A1052,Customers!A:B,2,FALSE)</f>
        <v>MarketBridge</v>
      </c>
      <c r="C1052" s="24" t="s">
        <v>1419</v>
      </c>
      <c r="D1052" s="10">
        <v>46089</v>
      </c>
      <c r="E1052" s="10">
        <v>46119</v>
      </c>
      <c r="F1052" s="4">
        <v>3350.92</v>
      </c>
      <c r="G1052" s="3">
        <f>SUMIF(Customer_Payments!B:B,C1052,Customer_Payments!E:E)</f>
        <v>3350.92</v>
      </c>
      <c r="H1052" s="3">
        <f t="shared" si="48"/>
        <v>0</v>
      </c>
      <c r="I1052" s="29">
        <f t="shared" si="49"/>
        <v>-28</v>
      </c>
      <c r="J1052" s="31" t="str">
        <f t="shared" si="50"/>
        <v>Current</v>
      </c>
      <c r="K1052"/>
    </row>
    <row r="1053" spans="1:11" x14ac:dyDescent="0.3">
      <c r="A1053" s="21" t="s">
        <v>56</v>
      </c>
      <c r="B1053" t="str">
        <f>VLOOKUP(A1053,Customers!A:B,2,FALSE)</f>
        <v>RetailBoost</v>
      </c>
      <c r="C1053" s="25" t="s">
        <v>1420</v>
      </c>
      <c r="D1053" s="11">
        <v>46005</v>
      </c>
      <c r="E1053" s="11">
        <v>46035</v>
      </c>
      <c r="F1053" s="5">
        <v>5241.75</v>
      </c>
      <c r="G1053" s="3">
        <f>SUMIF(Customer_Payments!B:B,C1053,Customer_Payments!E:E)</f>
        <v>0</v>
      </c>
      <c r="H1053" s="3">
        <f t="shared" si="48"/>
        <v>5241.75</v>
      </c>
      <c r="I1053" s="29">
        <f t="shared" si="49"/>
        <v>56</v>
      </c>
      <c r="J1053" s="31" t="str">
        <f t="shared" si="50"/>
        <v>31-60</v>
      </c>
      <c r="K1053"/>
    </row>
    <row r="1054" spans="1:11" x14ac:dyDescent="0.3">
      <c r="A1054" s="20" t="s">
        <v>107</v>
      </c>
      <c r="B1054" t="str">
        <f>VLOOKUP(A1054,Customers!A:B,2,FALSE)</f>
        <v>RetailWorksPro</v>
      </c>
      <c r="C1054" s="24" t="s">
        <v>1421</v>
      </c>
      <c r="D1054" s="10">
        <v>46048</v>
      </c>
      <c r="E1054" s="10">
        <v>46078</v>
      </c>
      <c r="F1054" s="4">
        <v>2808.86</v>
      </c>
      <c r="G1054" s="3">
        <f>SUMIF(Customer_Payments!B:B,C1054,Customer_Payments!E:E)</f>
        <v>2808.86</v>
      </c>
      <c r="H1054" s="3">
        <f t="shared" si="48"/>
        <v>0</v>
      </c>
      <c r="I1054" s="29">
        <f t="shared" si="49"/>
        <v>13</v>
      </c>
      <c r="J1054" s="31" t="str">
        <f t="shared" si="50"/>
        <v>1-30</v>
      </c>
      <c r="K1054"/>
    </row>
    <row r="1055" spans="1:11" x14ac:dyDescent="0.3">
      <c r="A1055" s="21" t="s">
        <v>29</v>
      </c>
      <c r="B1055" t="str">
        <f>VLOOKUP(A1055,Customers!A:B,2,FALSE)</f>
        <v>DigitalBridge</v>
      </c>
      <c r="C1055" s="25" t="s">
        <v>1422</v>
      </c>
      <c r="D1055" s="11">
        <v>46083</v>
      </c>
      <c r="E1055" s="11">
        <v>46113</v>
      </c>
      <c r="F1055" s="5">
        <v>12322.61</v>
      </c>
      <c r="G1055" s="3">
        <f>SUMIF(Customer_Payments!B:B,C1055,Customer_Payments!E:E)</f>
        <v>12322.61</v>
      </c>
      <c r="H1055" s="3">
        <f t="shared" si="48"/>
        <v>0</v>
      </c>
      <c r="I1055" s="29">
        <f t="shared" si="49"/>
        <v>-22</v>
      </c>
      <c r="J1055" s="31" t="str">
        <f t="shared" si="50"/>
        <v>Current</v>
      </c>
      <c r="K1055"/>
    </row>
    <row r="1056" spans="1:11" x14ac:dyDescent="0.3">
      <c r="A1056" s="20" t="s">
        <v>69</v>
      </c>
      <c r="B1056" t="str">
        <f>VLOOKUP(A1056,Customers!A:B,2,FALSE)</f>
        <v>RetailNext</v>
      </c>
      <c r="C1056" s="24" t="s">
        <v>1423</v>
      </c>
      <c r="D1056" s="10">
        <v>46048</v>
      </c>
      <c r="E1056" s="10">
        <v>46078</v>
      </c>
      <c r="F1056" s="4">
        <v>1922.12</v>
      </c>
      <c r="G1056" s="3">
        <f>SUMIF(Customer_Payments!B:B,C1056,Customer_Payments!E:E)</f>
        <v>1922.12</v>
      </c>
      <c r="H1056" s="3">
        <f t="shared" si="48"/>
        <v>0</v>
      </c>
      <c r="I1056" s="29">
        <f t="shared" si="49"/>
        <v>13</v>
      </c>
      <c r="J1056" s="31" t="str">
        <f t="shared" si="50"/>
        <v>1-30</v>
      </c>
      <c r="K1056"/>
    </row>
    <row r="1057" spans="1:11" x14ac:dyDescent="0.3">
      <c r="A1057" s="21" t="s">
        <v>112</v>
      </c>
      <c r="B1057" t="str">
        <f>VLOOKUP(A1057,Customers!A:B,2,FALSE)</f>
        <v>RetailBridgePro</v>
      </c>
      <c r="C1057" s="25" t="s">
        <v>1424</v>
      </c>
      <c r="D1057" s="11">
        <v>46096</v>
      </c>
      <c r="E1057" s="11">
        <v>46126</v>
      </c>
      <c r="F1057" s="5">
        <v>3110.6</v>
      </c>
      <c r="G1057" s="3">
        <f>SUMIF(Customer_Payments!B:B,C1057,Customer_Payments!E:E)</f>
        <v>3110.6000000000004</v>
      </c>
      <c r="H1057" s="3">
        <f t="shared" si="48"/>
        <v>0</v>
      </c>
      <c r="I1057" s="29">
        <f t="shared" si="49"/>
        <v>-35</v>
      </c>
      <c r="J1057" s="31" t="str">
        <f t="shared" si="50"/>
        <v>Current</v>
      </c>
      <c r="K1057"/>
    </row>
    <row r="1058" spans="1:11" x14ac:dyDescent="0.3">
      <c r="A1058" s="20" t="s">
        <v>94</v>
      </c>
      <c r="B1058" t="str">
        <f>VLOOKUP(A1058,Customers!A:B,2,FALSE)</f>
        <v>RetailDynamicsX</v>
      </c>
      <c r="C1058" s="24" t="s">
        <v>1425</v>
      </c>
      <c r="D1058" s="10">
        <v>46068</v>
      </c>
      <c r="E1058" s="10">
        <v>46098</v>
      </c>
      <c r="F1058" s="4">
        <v>10445.64</v>
      </c>
      <c r="G1058" s="3">
        <f>SUMIF(Customer_Payments!B:B,C1058,Customer_Payments!E:E)</f>
        <v>10445.64</v>
      </c>
      <c r="H1058" s="3">
        <f t="shared" si="48"/>
        <v>0</v>
      </c>
      <c r="I1058" s="29">
        <f t="shared" si="49"/>
        <v>-7</v>
      </c>
      <c r="J1058" s="31" t="str">
        <f t="shared" si="50"/>
        <v>Current</v>
      </c>
      <c r="K1058"/>
    </row>
    <row r="1059" spans="1:11" x14ac:dyDescent="0.3">
      <c r="A1059" s="21" t="s">
        <v>91</v>
      </c>
      <c r="B1059" t="str">
        <f>VLOOKUP(A1059,Customers!A:B,2,FALSE)</f>
        <v>RetailBridgeX</v>
      </c>
      <c r="C1059" s="25" t="s">
        <v>1426</v>
      </c>
      <c r="D1059" s="11">
        <v>45964</v>
      </c>
      <c r="E1059" s="11">
        <v>45994</v>
      </c>
      <c r="F1059" s="5">
        <v>3879.88</v>
      </c>
      <c r="G1059" s="3">
        <f>SUMIF(Customer_Payments!B:B,C1059,Customer_Payments!E:E)</f>
        <v>3879.88</v>
      </c>
      <c r="H1059" s="3">
        <f t="shared" si="48"/>
        <v>0</v>
      </c>
      <c r="I1059" s="29">
        <f t="shared" si="49"/>
        <v>97</v>
      </c>
      <c r="J1059" s="31" t="str">
        <f t="shared" si="50"/>
        <v>90+</v>
      </c>
      <c r="K1059"/>
    </row>
    <row r="1060" spans="1:11" x14ac:dyDescent="0.3">
      <c r="A1060" s="20" t="s">
        <v>122</v>
      </c>
      <c r="B1060" t="str">
        <f>VLOOKUP(A1060,Customers!A:B,2,FALSE)</f>
        <v>RetailCoreGlobal</v>
      </c>
      <c r="C1060" s="24" t="s">
        <v>1427</v>
      </c>
      <c r="D1060" s="10">
        <v>46000</v>
      </c>
      <c r="E1060" s="10">
        <v>46030</v>
      </c>
      <c r="F1060" s="4">
        <v>2508.64</v>
      </c>
      <c r="G1060" s="3">
        <f>SUMIF(Customer_Payments!B:B,C1060,Customer_Payments!E:E)</f>
        <v>0</v>
      </c>
      <c r="H1060" s="3">
        <f t="shared" si="48"/>
        <v>2508.64</v>
      </c>
      <c r="I1060" s="29">
        <f t="shared" si="49"/>
        <v>61</v>
      </c>
      <c r="J1060" s="31" t="str">
        <f t="shared" si="50"/>
        <v>61-90</v>
      </c>
      <c r="K1060"/>
    </row>
    <row r="1061" spans="1:11" x14ac:dyDescent="0.3">
      <c r="A1061" s="21" t="s">
        <v>64</v>
      </c>
      <c r="B1061" t="str">
        <f>VLOOKUP(A1061,Customers!A:B,2,FALSE)</f>
        <v>MarketScale</v>
      </c>
      <c r="C1061" s="25" t="s">
        <v>1428</v>
      </c>
      <c r="D1061" s="11">
        <v>46028</v>
      </c>
      <c r="E1061" s="11">
        <v>46058</v>
      </c>
      <c r="F1061" s="5">
        <v>2023.08</v>
      </c>
      <c r="G1061" s="3">
        <f>SUMIF(Customer_Payments!B:B,C1061,Customer_Payments!E:E)</f>
        <v>2023.08</v>
      </c>
      <c r="H1061" s="3">
        <f t="shared" si="48"/>
        <v>0</v>
      </c>
      <c r="I1061" s="29">
        <f t="shared" si="49"/>
        <v>33</v>
      </c>
      <c r="J1061" s="31" t="str">
        <f t="shared" si="50"/>
        <v>31-60</v>
      </c>
      <c r="K1061"/>
    </row>
    <row r="1062" spans="1:11" x14ac:dyDescent="0.3">
      <c r="A1062" s="20" t="s">
        <v>33</v>
      </c>
      <c r="B1062" t="str">
        <f>VLOOKUP(A1062,Customers!A:B,2,FALSE)</f>
        <v>CloudCart</v>
      </c>
      <c r="C1062" s="24" t="s">
        <v>1429</v>
      </c>
      <c r="D1062" s="10">
        <v>46108</v>
      </c>
      <c r="E1062" s="10">
        <v>46138</v>
      </c>
      <c r="F1062" s="4">
        <v>3208.1</v>
      </c>
      <c r="G1062" s="3">
        <f>SUMIF(Customer_Payments!B:B,C1062,Customer_Payments!E:E)</f>
        <v>3208.1</v>
      </c>
      <c r="H1062" s="3">
        <f t="shared" si="48"/>
        <v>0</v>
      </c>
      <c r="I1062" s="29">
        <f t="shared" si="49"/>
        <v>-47</v>
      </c>
      <c r="J1062" s="31" t="str">
        <f t="shared" si="50"/>
        <v>Current</v>
      </c>
      <c r="K1062"/>
    </row>
    <row r="1063" spans="1:11" x14ac:dyDescent="0.3">
      <c r="A1063" s="21" t="s">
        <v>93</v>
      </c>
      <c r="B1063" t="str">
        <f>VLOOKUP(A1063,Customers!A:B,2,FALSE)</f>
        <v>RetailSphereX</v>
      </c>
      <c r="C1063" s="25" t="s">
        <v>1430</v>
      </c>
      <c r="D1063" s="11">
        <v>46096</v>
      </c>
      <c r="E1063" s="11">
        <v>46126</v>
      </c>
      <c r="F1063" s="5">
        <v>2071.75</v>
      </c>
      <c r="G1063" s="3">
        <f>SUMIF(Customer_Payments!B:B,C1063,Customer_Payments!E:E)</f>
        <v>0</v>
      </c>
      <c r="H1063" s="3">
        <f t="shared" si="48"/>
        <v>2071.75</v>
      </c>
      <c r="I1063" s="29">
        <f t="shared" si="49"/>
        <v>-35</v>
      </c>
      <c r="J1063" s="31" t="str">
        <f t="shared" si="50"/>
        <v>Current</v>
      </c>
      <c r="K1063"/>
    </row>
    <row r="1064" spans="1:11" x14ac:dyDescent="0.3">
      <c r="A1064" s="20" t="s">
        <v>51</v>
      </c>
      <c r="B1064" t="str">
        <f>VLOOKUP(A1064,Customers!A:B,2,FALSE)</f>
        <v>CartMasters</v>
      </c>
      <c r="C1064" s="24" t="s">
        <v>1431</v>
      </c>
      <c r="D1064" s="10">
        <v>46095</v>
      </c>
      <c r="E1064" s="10">
        <v>46125</v>
      </c>
      <c r="F1064" s="4">
        <v>2918.5</v>
      </c>
      <c r="G1064" s="3">
        <f>SUMIF(Customer_Payments!B:B,C1064,Customer_Payments!E:E)</f>
        <v>0</v>
      </c>
      <c r="H1064" s="3">
        <f t="shared" si="48"/>
        <v>2918.5</v>
      </c>
      <c r="I1064" s="29">
        <f t="shared" si="49"/>
        <v>-34</v>
      </c>
      <c r="J1064" s="31" t="str">
        <f t="shared" si="50"/>
        <v>Current</v>
      </c>
      <c r="K1064"/>
    </row>
    <row r="1065" spans="1:11" x14ac:dyDescent="0.3">
      <c r="A1065" s="21" t="s">
        <v>23</v>
      </c>
      <c r="B1065" t="str">
        <f>VLOOKUP(A1065,Customers!A:B,2,FALSE)</f>
        <v>VertexCommerce</v>
      </c>
      <c r="C1065" s="25" t="s">
        <v>1432</v>
      </c>
      <c r="D1065" s="11">
        <v>45967</v>
      </c>
      <c r="E1065" s="11">
        <v>45997</v>
      </c>
      <c r="F1065" s="5">
        <v>3099.27</v>
      </c>
      <c r="G1065" s="3">
        <f>SUMIF(Customer_Payments!B:B,C1065,Customer_Payments!E:E)</f>
        <v>3099.27</v>
      </c>
      <c r="H1065" s="3">
        <f t="shared" si="48"/>
        <v>0</v>
      </c>
      <c r="I1065" s="29">
        <f t="shared" si="49"/>
        <v>94</v>
      </c>
      <c r="J1065" s="31" t="str">
        <f t="shared" si="50"/>
        <v>90+</v>
      </c>
      <c r="K1065"/>
    </row>
    <row r="1066" spans="1:11" x14ac:dyDescent="0.3">
      <c r="A1066" s="20" t="s">
        <v>78</v>
      </c>
      <c r="B1066" t="str">
        <f>VLOOKUP(A1066,Customers!A:B,2,FALSE)</f>
        <v>RetailOrbitX</v>
      </c>
      <c r="C1066" s="24" t="s">
        <v>1433</v>
      </c>
      <c r="D1066" s="10">
        <v>45969</v>
      </c>
      <c r="E1066" s="10">
        <v>45999</v>
      </c>
      <c r="F1066" s="4">
        <v>2062.41</v>
      </c>
      <c r="G1066" s="3">
        <f>SUMIF(Customer_Payments!B:B,C1066,Customer_Payments!E:E)</f>
        <v>2062.41</v>
      </c>
      <c r="H1066" s="3">
        <f t="shared" si="48"/>
        <v>0</v>
      </c>
      <c r="I1066" s="29">
        <f t="shared" si="49"/>
        <v>92</v>
      </c>
      <c r="J1066" s="31" t="str">
        <f t="shared" si="50"/>
        <v>90+</v>
      </c>
      <c r="K1066"/>
    </row>
    <row r="1067" spans="1:11" x14ac:dyDescent="0.3">
      <c r="A1067" s="21" t="s">
        <v>96</v>
      </c>
      <c r="B1067" t="str">
        <f>VLOOKUP(A1067,Customers!A:B,2,FALSE)</f>
        <v>RetailLabs</v>
      </c>
      <c r="C1067" s="25" t="s">
        <v>1434</v>
      </c>
      <c r="D1067" s="11">
        <v>46064</v>
      </c>
      <c r="E1067" s="11">
        <v>46094</v>
      </c>
      <c r="F1067" s="5">
        <v>2109.6999999999998</v>
      </c>
      <c r="G1067" s="3">
        <f>SUMIF(Customer_Payments!B:B,C1067,Customer_Payments!E:E)</f>
        <v>2109.6999999999998</v>
      </c>
      <c r="H1067" s="3">
        <f t="shared" si="48"/>
        <v>0</v>
      </c>
      <c r="I1067" s="29">
        <f t="shared" si="49"/>
        <v>-3</v>
      </c>
      <c r="J1067" s="31" t="str">
        <f t="shared" si="50"/>
        <v>Current</v>
      </c>
      <c r="K1067"/>
    </row>
    <row r="1068" spans="1:11" x14ac:dyDescent="0.3">
      <c r="A1068" s="20" t="s">
        <v>55</v>
      </c>
      <c r="B1068" t="str">
        <f>VLOOKUP(A1068,Customers!A:B,2,FALSE)</f>
        <v>CommerceLabs</v>
      </c>
      <c r="C1068" s="24" t="s">
        <v>1435</v>
      </c>
      <c r="D1068" s="10">
        <v>46014</v>
      </c>
      <c r="E1068" s="10">
        <v>46044</v>
      </c>
      <c r="F1068" s="4">
        <v>3351.98</v>
      </c>
      <c r="G1068" s="3">
        <f>SUMIF(Customer_Payments!B:B,C1068,Customer_Payments!E:E)</f>
        <v>3351.98</v>
      </c>
      <c r="H1068" s="3">
        <f t="shared" si="48"/>
        <v>0</v>
      </c>
      <c r="I1068" s="29">
        <f t="shared" si="49"/>
        <v>47</v>
      </c>
      <c r="J1068" s="31" t="str">
        <f t="shared" si="50"/>
        <v>31-60</v>
      </c>
      <c r="K1068"/>
    </row>
    <row r="1069" spans="1:11" x14ac:dyDescent="0.3">
      <c r="A1069" s="21" t="s">
        <v>31</v>
      </c>
      <c r="B1069" t="str">
        <f>VLOOKUP(A1069,Customers!A:B,2,FALSE)</f>
        <v>SparkRetail</v>
      </c>
      <c r="C1069" s="25" t="s">
        <v>1436</v>
      </c>
      <c r="D1069" s="11">
        <v>46014</v>
      </c>
      <c r="E1069" s="11">
        <v>46044</v>
      </c>
      <c r="F1069" s="5">
        <v>12216.57</v>
      </c>
      <c r="G1069" s="3">
        <f>SUMIF(Customer_Payments!B:B,C1069,Customer_Payments!E:E)</f>
        <v>12216.57</v>
      </c>
      <c r="H1069" s="3">
        <f t="shared" si="48"/>
        <v>0</v>
      </c>
      <c r="I1069" s="29">
        <f t="shared" si="49"/>
        <v>47</v>
      </c>
      <c r="J1069" s="31" t="str">
        <f t="shared" si="50"/>
        <v>31-60</v>
      </c>
      <c r="K1069"/>
    </row>
    <row r="1070" spans="1:11" x14ac:dyDescent="0.3">
      <c r="A1070" s="20" t="s">
        <v>118</v>
      </c>
      <c r="B1070" t="str">
        <f>VLOOKUP(A1070,Customers!A:B,2,FALSE)</f>
        <v>RetailEdgeGlobal</v>
      </c>
      <c r="C1070" s="24" t="s">
        <v>1437</v>
      </c>
      <c r="D1070" s="10">
        <v>45986</v>
      </c>
      <c r="E1070" s="10">
        <v>46016</v>
      </c>
      <c r="F1070" s="4">
        <v>3338.43</v>
      </c>
      <c r="G1070" s="3">
        <f>SUMIF(Customer_Payments!B:B,C1070,Customer_Payments!E:E)</f>
        <v>3338.43</v>
      </c>
      <c r="H1070" s="3">
        <f t="shared" si="48"/>
        <v>0</v>
      </c>
      <c r="I1070" s="29">
        <f t="shared" si="49"/>
        <v>75</v>
      </c>
      <c r="J1070" s="31" t="str">
        <f t="shared" si="50"/>
        <v>61-90</v>
      </c>
      <c r="K1070"/>
    </row>
    <row r="1071" spans="1:11" x14ac:dyDescent="0.3">
      <c r="A1071" s="21" t="s">
        <v>25</v>
      </c>
      <c r="B1071" t="str">
        <f>VLOOKUP(A1071,Customers!A:B,2,FALSE)</f>
        <v>OrbitEdge</v>
      </c>
      <c r="C1071" s="25" t="s">
        <v>1438</v>
      </c>
      <c r="D1071" s="11">
        <v>46091</v>
      </c>
      <c r="E1071" s="11">
        <v>46121</v>
      </c>
      <c r="F1071" s="5">
        <v>1530.4</v>
      </c>
      <c r="G1071" s="3">
        <f>SUMIF(Customer_Payments!B:B,C1071,Customer_Payments!E:E)</f>
        <v>1530.4</v>
      </c>
      <c r="H1071" s="3">
        <f t="shared" si="48"/>
        <v>0</v>
      </c>
      <c r="I1071" s="29">
        <f t="shared" si="49"/>
        <v>-30</v>
      </c>
      <c r="J1071" s="31" t="str">
        <f t="shared" si="50"/>
        <v>Current</v>
      </c>
      <c r="K1071"/>
    </row>
    <row r="1072" spans="1:11" x14ac:dyDescent="0.3">
      <c r="A1072" s="20" t="s">
        <v>24</v>
      </c>
      <c r="B1072" t="str">
        <f>VLOOKUP(A1072,Customers!A:B,2,FALSE)</f>
        <v>OmniTrade</v>
      </c>
      <c r="C1072" s="24" t="s">
        <v>1439</v>
      </c>
      <c r="D1072" s="10">
        <v>46022</v>
      </c>
      <c r="E1072" s="10">
        <v>46052</v>
      </c>
      <c r="F1072" s="4">
        <v>2077.12</v>
      </c>
      <c r="G1072" s="3">
        <f>SUMIF(Customer_Payments!B:B,C1072,Customer_Payments!E:E)</f>
        <v>0</v>
      </c>
      <c r="H1072" s="3">
        <f t="shared" si="48"/>
        <v>2077.12</v>
      </c>
      <c r="I1072" s="29">
        <f t="shared" si="49"/>
        <v>39</v>
      </c>
      <c r="J1072" s="31" t="str">
        <f t="shared" si="50"/>
        <v>31-60</v>
      </c>
      <c r="K1072"/>
    </row>
    <row r="1073" spans="1:11" x14ac:dyDescent="0.3">
      <c r="A1073" s="21" t="s">
        <v>121</v>
      </c>
      <c r="B1073" t="str">
        <f>VLOOKUP(A1073,Customers!A:B,2,FALSE)</f>
        <v>RetailVisionGlobal</v>
      </c>
      <c r="C1073" s="25" t="s">
        <v>1440</v>
      </c>
      <c r="D1073" s="11">
        <v>45979</v>
      </c>
      <c r="E1073" s="11">
        <v>46009</v>
      </c>
      <c r="F1073" s="5">
        <v>2564.66</v>
      </c>
      <c r="G1073" s="3">
        <f>SUMIF(Customer_Payments!B:B,C1073,Customer_Payments!E:E)</f>
        <v>0</v>
      </c>
      <c r="H1073" s="3">
        <f t="shared" si="48"/>
        <v>2564.66</v>
      </c>
      <c r="I1073" s="29">
        <f t="shared" si="49"/>
        <v>82</v>
      </c>
      <c r="J1073" s="31" t="str">
        <f t="shared" si="50"/>
        <v>61-90</v>
      </c>
      <c r="K1073"/>
    </row>
    <row r="1074" spans="1:11" x14ac:dyDescent="0.3">
      <c r="A1074" s="20" t="s">
        <v>72</v>
      </c>
      <c r="B1074" t="str">
        <f>VLOOKUP(A1074,Customers!A:B,2,FALSE)</f>
        <v>RetailStream</v>
      </c>
      <c r="C1074" s="24" t="s">
        <v>1441</v>
      </c>
      <c r="D1074" s="10">
        <v>45984</v>
      </c>
      <c r="E1074" s="10">
        <v>46014</v>
      </c>
      <c r="F1074" s="4">
        <v>1875.19</v>
      </c>
      <c r="G1074" s="3">
        <f>SUMIF(Customer_Payments!B:B,C1074,Customer_Payments!E:E)</f>
        <v>1875.19</v>
      </c>
      <c r="H1074" s="3">
        <f t="shared" si="48"/>
        <v>0</v>
      </c>
      <c r="I1074" s="29">
        <f t="shared" si="49"/>
        <v>77</v>
      </c>
      <c r="J1074" s="31" t="str">
        <f t="shared" si="50"/>
        <v>61-90</v>
      </c>
      <c r="K1074"/>
    </row>
    <row r="1075" spans="1:11" x14ac:dyDescent="0.3">
      <c r="A1075" s="21" t="s">
        <v>30</v>
      </c>
      <c r="B1075" t="str">
        <f>VLOOKUP(A1075,Customers!A:B,2,FALSE)</f>
        <v>CommerceFlow</v>
      </c>
      <c r="C1075" s="25" t="s">
        <v>1442</v>
      </c>
      <c r="D1075" s="11">
        <v>46106</v>
      </c>
      <c r="E1075" s="11">
        <v>46136</v>
      </c>
      <c r="F1075" s="5">
        <v>12249.84</v>
      </c>
      <c r="G1075" s="3">
        <f>SUMIF(Customer_Payments!B:B,C1075,Customer_Payments!E:E)</f>
        <v>12249.84</v>
      </c>
      <c r="H1075" s="3">
        <f t="shared" si="48"/>
        <v>0</v>
      </c>
      <c r="I1075" s="29">
        <f t="shared" si="49"/>
        <v>-45</v>
      </c>
      <c r="J1075" s="31" t="str">
        <f t="shared" si="50"/>
        <v>Current</v>
      </c>
      <c r="K1075"/>
    </row>
    <row r="1076" spans="1:11" x14ac:dyDescent="0.3">
      <c r="A1076" s="20" t="s">
        <v>37</v>
      </c>
      <c r="B1076" t="str">
        <f>VLOOKUP(A1076,Customers!A:B,2,FALSE)</f>
        <v>SmartCart</v>
      </c>
      <c r="C1076" s="24" t="s">
        <v>1443</v>
      </c>
      <c r="D1076" s="10">
        <v>46057</v>
      </c>
      <c r="E1076" s="10">
        <v>46087</v>
      </c>
      <c r="F1076" s="4">
        <v>12501.95</v>
      </c>
      <c r="G1076" s="3">
        <f>SUMIF(Customer_Payments!B:B,C1076,Customer_Payments!E:E)</f>
        <v>0</v>
      </c>
      <c r="H1076" s="3">
        <f t="shared" si="48"/>
        <v>12501.95</v>
      </c>
      <c r="I1076" s="29">
        <f t="shared" si="49"/>
        <v>4</v>
      </c>
      <c r="J1076" s="31" t="str">
        <f t="shared" si="50"/>
        <v>1-30</v>
      </c>
      <c r="K1076"/>
    </row>
    <row r="1077" spans="1:11" x14ac:dyDescent="0.3">
      <c r="A1077" s="21" t="s">
        <v>11</v>
      </c>
      <c r="B1077" t="str">
        <f>VLOOKUP(A1077,Customers!A:B,2,FALSE)</f>
        <v>DataHive</v>
      </c>
      <c r="C1077" s="25" t="s">
        <v>1444</v>
      </c>
      <c r="D1077" s="11">
        <v>46055</v>
      </c>
      <c r="E1077" s="11">
        <v>46085</v>
      </c>
      <c r="F1077" s="5">
        <v>1801.24</v>
      </c>
      <c r="G1077" s="3">
        <f>SUMIF(Customer_Payments!B:B,C1077,Customer_Payments!E:E)</f>
        <v>1801.24</v>
      </c>
      <c r="H1077" s="3">
        <f t="shared" si="48"/>
        <v>0</v>
      </c>
      <c r="I1077" s="29">
        <f t="shared" si="49"/>
        <v>6</v>
      </c>
      <c r="J1077" s="31" t="str">
        <f t="shared" si="50"/>
        <v>1-30</v>
      </c>
      <c r="K1077"/>
    </row>
    <row r="1078" spans="1:11" x14ac:dyDescent="0.3">
      <c r="A1078" s="20" t="s">
        <v>68</v>
      </c>
      <c r="B1078" t="str">
        <f>VLOOKUP(A1078,Customers!A:B,2,FALSE)</f>
        <v>RetailVision</v>
      </c>
      <c r="C1078" s="24" t="s">
        <v>1445</v>
      </c>
      <c r="D1078" s="10">
        <v>46058</v>
      </c>
      <c r="E1078" s="10">
        <v>46088</v>
      </c>
      <c r="F1078" s="4">
        <v>3081.78</v>
      </c>
      <c r="G1078" s="3">
        <f>SUMIF(Customer_Payments!B:B,C1078,Customer_Payments!E:E)</f>
        <v>3081.78</v>
      </c>
      <c r="H1078" s="3">
        <f t="shared" si="48"/>
        <v>0</v>
      </c>
      <c r="I1078" s="29">
        <f t="shared" si="49"/>
        <v>3</v>
      </c>
      <c r="J1078" s="31" t="str">
        <f t="shared" si="50"/>
        <v>1-30</v>
      </c>
      <c r="K1078"/>
    </row>
    <row r="1079" spans="1:11" x14ac:dyDescent="0.3">
      <c r="A1079" s="21" t="s">
        <v>116</v>
      </c>
      <c r="B1079" t="str">
        <f>VLOOKUP(A1079,Customers!A:B,2,FALSE)</f>
        <v>RetailLabsPro</v>
      </c>
      <c r="C1079" s="25" t="s">
        <v>1446</v>
      </c>
      <c r="D1079" s="11">
        <v>45965</v>
      </c>
      <c r="E1079" s="11">
        <v>45995</v>
      </c>
      <c r="F1079" s="5">
        <v>1497.65</v>
      </c>
      <c r="G1079" s="3">
        <f>SUMIF(Customer_Payments!B:B,C1079,Customer_Payments!E:E)</f>
        <v>1497.65</v>
      </c>
      <c r="H1079" s="3">
        <f t="shared" si="48"/>
        <v>0</v>
      </c>
      <c r="I1079" s="29">
        <f t="shared" si="49"/>
        <v>96</v>
      </c>
      <c r="J1079" s="31" t="str">
        <f t="shared" si="50"/>
        <v>90+</v>
      </c>
      <c r="K1079"/>
    </row>
    <row r="1080" spans="1:11" x14ac:dyDescent="0.3">
      <c r="A1080" s="20" t="s">
        <v>18</v>
      </c>
      <c r="B1080" t="str">
        <f>VLOOKUP(A1080,Customers!A:B,2,FALSE)</f>
        <v>BluePeak Systems</v>
      </c>
      <c r="C1080" s="24" t="s">
        <v>1447</v>
      </c>
      <c r="D1080" s="10">
        <v>46104</v>
      </c>
      <c r="E1080" s="10">
        <v>46134</v>
      </c>
      <c r="F1080" s="4">
        <v>2464.94</v>
      </c>
      <c r="G1080" s="3">
        <f>SUMIF(Customer_Payments!B:B,C1080,Customer_Payments!E:E)</f>
        <v>0</v>
      </c>
      <c r="H1080" s="3">
        <f t="shared" si="48"/>
        <v>2464.94</v>
      </c>
      <c r="I1080" s="29">
        <f t="shared" si="49"/>
        <v>-43</v>
      </c>
      <c r="J1080" s="31" t="str">
        <f t="shared" si="50"/>
        <v>Current</v>
      </c>
      <c r="K1080"/>
    </row>
    <row r="1081" spans="1:11" x14ac:dyDescent="0.3">
      <c r="A1081" s="21" t="s">
        <v>16</v>
      </c>
      <c r="B1081" t="str">
        <f>VLOOKUP(A1081,Customers!A:B,2,FALSE)</f>
        <v>RetailHub</v>
      </c>
      <c r="C1081" s="25" t="s">
        <v>1448</v>
      </c>
      <c r="D1081" s="11">
        <v>46072</v>
      </c>
      <c r="E1081" s="11">
        <v>46102</v>
      </c>
      <c r="F1081" s="5">
        <v>4944.8999999999996</v>
      </c>
      <c r="G1081" s="3">
        <f>SUMIF(Customer_Payments!B:B,C1081,Customer_Payments!E:E)</f>
        <v>0</v>
      </c>
      <c r="H1081" s="3">
        <f t="shared" si="48"/>
        <v>4944.8999999999996</v>
      </c>
      <c r="I1081" s="29">
        <f t="shared" si="49"/>
        <v>-11</v>
      </c>
      <c r="J1081" s="31" t="str">
        <f t="shared" si="50"/>
        <v>Current</v>
      </c>
      <c r="K1081"/>
    </row>
    <row r="1082" spans="1:11" x14ac:dyDescent="0.3">
      <c r="A1082" s="20" t="s">
        <v>13</v>
      </c>
      <c r="B1082" t="str">
        <f>VLOOKUP(A1082,Customers!A:B,2,FALSE)</f>
        <v>EduNova</v>
      </c>
      <c r="C1082" s="24" t="s">
        <v>1449</v>
      </c>
      <c r="D1082" s="10">
        <v>46079</v>
      </c>
      <c r="E1082" s="10">
        <v>46109</v>
      </c>
      <c r="F1082" s="4">
        <v>1896.26</v>
      </c>
      <c r="G1082" s="3">
        <f>SUMIF(Customer_Payments!B:B,C1082,Customer_Payments!E:E)</f>
        <v>1896.26</v>
      </c>
      <c r="H1082" s="3">
        <f t="shared" si="48"/>
        <v>0</v>
      </c>
      <c r="I1082" s="29">
        <f t="shared" si="49"/>
        <v>-18</v>
      </c>
      <c r="J1082" s="31" t="str">
        <f t="shared" si="50"/>
        <v>Current</v>
      </c>
      <c r="K1082"/>
    </row>
    <row r="1083" spans="1:11" x14ac:dyDescent="0.3">
      <c r="A1083" s="21" t="s">
        <v>122</v>
      </c>
      <c r="B1083" t="str">
        <f>VLOOKUP(A1083,Customers!A:B,2,FALSE)</f>
        <v>RetailCoreGlobal</v>
      </c>
      <c r="C1083" s="25" t="s">
        <v>1450</v>
      </c>
      <c r="D1083" s="11">
        <v>46082</v>
      </c>
      <c r="E1083" s="11">
        <v>46112</v>
      </c>
      <c r="F1083" s="5">
        <v>2535.0300000000002</v>
      </c>
      <c r="G1083" s="3">
        <f>SUMIF(Customer_Payments!B:B,C1083,Customer_Payments!E:E)</f>
        <v>2535.0300000000002</v>
      </c>
      <c r="H1083" s="3">
        <f t="shared" si="48"/>
        <v>0</v>
      </c>
      <c r="I1083" s="29">
        <f t="shared" si="49"/>
        <v>-21</v>
      </c>
      <c r="J1083" s="31" t="str">
        <f t="shared" si="50"/>
        <v>Current</v>
      </c>
      <c r="K1083"/>
    </row>
    <row r="1084" spans="1:11" x14ac:dyDescent="0.3">
      <c r="A1084" s="20" t="s">
        <v>109</v>
      </c>
      <c r="B1084" t="str">
        <f>VLOOKUP(A1084,Customers!A:B,2,FALSE)</f>
        <v>RetailStreamPro</v>
      </c>
      <c r="C1084" s="24" t="s">
        <v>1451</v>
      </c>
      <c r="D1084" s="10">
        <v>46059</v>
      </c>
      <c r="E1084" s="10">
        <v>46089</v>
      </c>
      <c r="F1084" s="4">
        <v>12355.03</v>
      </c>
      <c r="G1084" s="3">
        <f>SUMIF(Customer_Payments!B:B,C1084,Customer_Payments!E:E)</f>
        <v>12355.03</v>
      </c>
      <c r="H1084" s="3">
        <f t="shared" si="48"/>
        <v>0</v>
      </c>
      <c r="I1084" s="29">
        <f t="shared" si="49"/>
        <v>2</v>
      </c>
      <c r="J1084" s="31" t="str">
        <f t="shared" si="50"/>
        <v>1-30</v>
      </c>
      <c r="K1084"/>
    </row>
    <row r="1085" spans="1:11" x14ac:dyDescent="0.3">
      <c r="A1085" s="21" t="s">
        <v>102</v>
      </c>
      <c r="B1085" t="str">
        <f>VLOOKUP(A1085,Customers!A:B,2,FALSE)</f>
        <v>RetailPrimePro</v>
      </c>
      <c r="C1085" s="25" t="s">
        <v>1452</v>
      </c>
      <c r="D1085" s="11">
        <v>45967</v>
      </c>
      <c r="E1085" s="11">
        <v>45997</v>
      </c>
      <c r="F1085" s="5">
        <v>2289.21</v>
      </c>
      <c r="G1085" s="3">
        <f>SUMIF(Customer_Payments!B:B,C1085,Customer_Payments!E:E)</f>
        <v>0</v>
      </c>
      <c r="H1085" s="3">
        <f t="shared" si="48"/>
        <v>2289.21</v>
      </c>
      <c r="I1085" s="29">
        <f t="shared" si="49"/>
        <v>94</v>
      </c>
      <c r="J1085" s="31" t="str">
        <f t="shared" si="50"/>
        <v>90+</v>
      </c>
      <c r="K1085"/>
    </row>
    <row r="1086" spans="1:11" x14ac:dyDescent="0.3">
      <c r="A1086" s="20" t="s">
        <v>67</v>
      </c>
      <c r="B1086" t="str">
        <f>VLOOKUP(A1086,Customers!A:B,2,FALSE)</f>
        <v>RetailDynamics</v>
      </c>
      <c r="C1086" s="24" t="s">
        <v>1453</v>
      </c>
      <c r="D1086" s="10">
        <v>46047</v>
      </c>
      <c r="E1086" s="10">
        <v>46077</v>
      </c>
      <c r="F1086" s="4">
        <v>2726.97</v>
      </c>
      <c r="G1086" s="3">
        <f>SUMIF(Customer_Payments!B:B,C1086,Customer_Payments!E:E)</f>
        <v>2726.97</v>
      </c>
      <c r="H1086" s="3">
        <f t="shared" si="48"/>
        <v>0</v>
      </c>
      <c r="I1086" s="29">
        <f t="shared" si="49"/>
        <v>14</v>
      </c>
      <c r="J1086" s="31" t="str">
        <f t="shared" si="50"/>
        <v>1-30</v>
      </c>
      <c r="K1086"/>
    </row>
    <row r="1087" spans="1:11" x14ac:dyDescent="0.3">
      <c r="A1087" s="21" t="s">
        <v>110</v>
      </c>
      <c r="B1087" t="str">
        <f>VLOOKUP(A1087,Customers!A:B,2,FALSE)</f>
        <v>RetailAxisPro</v>
      </c>
      <c r="C1087" s="25" t="s">
        <v>1454</v>
      </c>
      <c r="D1087" s="11">
        <v>46013</v>
      </c>
      <c r="E1087" s="11">
        <v>46043</v>
      </c>
      <c r="F1087" s="5">
        <v>3036.71</v>
      </c>
      <c r="G1087" s="3">
        <f>SUMIF(Customer_Payments!B:B,C1087,Customer_Payments!E:E)</f>
        <v>0</v>
      </c>
      <c r="H1087" s="3">
        <f t="shared" si="48"/>
        <v>3036.71</v>
      </c>
      <c r="I1087" s="29">
        <f t="shared" si="49"/>
        <v>48</v>
      </c>
      <c r="J1087" s="31" t="str">
        <f t="shared" si="50"/>
        <v>31-60</v>
      </c>
      <c r="K1087"/>
    </row>
    <row r="1088" spans="1:11" x14ac:dyDescent="0.3">
      <c r="A1088" s="20" t="s">
        <v>71</v>
      </c>
      <c r="B1088" t="str">
        <f>VLOOKUP(A1088,Customers!A:B,2,FALSE)</f>
        <v>RetailPulse</v>
      </c>
      <c r="C1088" s="24" t="s">
        <v>1455</v>
      </c>
      <c r="D1088" s="10">
        <v>46106</v>
      </c>
      <c r="E1088" s="10">
        <v>46136</v>
      </c>
      <c r="F1088" s="4">
        <v>1889.51</v>
      </c>
      <c r="G1088" s="3">
        <f>SUMIF(Customer_Payments!B:B,C1088,Customer_Payments!E:E)</f>
        <v>1889.51</v>
      </c>
      <c r="H1088" s="3">
        <f t="shared" si="48"/>
        <v>0</v>
      </c>
      <c r="I1088" s="29">
        <f t="shared" si="49"/>
        <v>-45</v>
      </c>
      <c r="J1088" s="31" t="str">
        <f t="shared" si="50"/>
        <v>Current</v>
      </c>
      <c r="K1088"/>
    </row>
    <row r="1089" spans="1:11" x14ac:dyDescent="0.3">
      <c r="A1089" s="21" t="s">
        <v>42</v>
      </c>
      <c r="B1089" t="str">
        <f>VLOOKUP(A1089,Customers!A:B,2,FALSE)</f>
        <v>RetailWorks</v>
      </c>
      <c r="C1089" s="25" t="s">
        <v>1456</v>
      </c>
      <c r="D1089" s="11">
        <v>46015</v>
      </c>
      <c r="E1089" s="11">
        <v>46045</v>
      </c>
      <c r="F1089" s="5">
        <v>3421.73</v>
      </c>
      <c r="G1089" s="3">
        <f>SUMIF(Customer_Payments!B:B,C1089,Customer_Payments!E:E)</f>
        <v>3421.73</v>
      </c>
      <c r="H1089" s="3">
        <f t="shared" si="48"/>
        <v>0</v>
      </c>
      <c r="I1089" s="29">
        <f t="shared" si="49"/>
        <v>46</v>
      </c>
      <c r="J1089" s="31" t="str">
        <f t="shared" si="50"/>
        <v>31-60</v>
      </c>
      <c r="K1089"/>
    </row>
    <row r="1090" spans="1:11" x14ac:dyDescent="0.3">
      <c r="A1090" s="20" t="s">
        <v>29</v>
      </c>
      <c r="B1090" t="str">
        <f>VLOOKUP(A1090,Customers!A:B,2,FALSE)</f>
        <v>DigitalBridge</v>
      </c>
      <c r="C1090" s="24" t="s">
        <v>1457</v>
      </c>
      <c r="D1090" s="10">
        <v>46034</v>
      </c>
      <c r="E1090" s="10">
        <v>46064</v>
      </c>
      <c r="F1090" s="4">
        <v>2857.86</v>
      </c>
      <c r="G1090" s="3">
        <f>SUMIF(Customer_Payments!B:B,C1090,Customer_Payments!E:E)</f>
        <v>2857.86</v>
      </c>
      <c r="H1090" s="3">
        <f t="shared" ref="H1090:H1153" si="51">MAX(F1090-G1090,0)</f>
        <v>0</v>
      </c>
      <c r="I1090" s="29">
        <f t="shared" ref="I1090:I1153" si="52">$L$2-E1090</f>
        <v>27</v>
      </c>
      <c r="J1090" s="31" t="str">
        <f t="shared" si="50"/>
        <v>1-30</v>
      </c>
      <c r="K1090"/>
    </row>
    <row r="1091" spans="1:11" x14ac:dyDescent="0.3">
      <c r="A1091" s="21" t="s">
        <v>29</v>
      </c>
      <c r="B1091" t="str">
        <f>VLOOKUP(A1091,Customers!A:B,2,FALSE)</f>
        <v>DigitalBridge</v>
      </c>
      <c r="C1091" s="25" t="s">
        <v>1458</v>
      </c>
      <c r="D1091" s="11">
        <v>46057</v>
      </c>
      <c r="E1091" s="11">
        <v>46087</v>
      </c>
      <c r="F1091" s="5">
        <v>3834.55</v>
      </c>
      <c r="G1091" s="3">
        <f>SUMIF(Customer_Payments!B:B,C1091,Customer_Payments!E:E)</f>
        <v>3834.55</v>
      </c>
      <c r="H1091" s="3">
        <f t="shared" si="51"/>
        <v>0</v>
      </c>
      <c r="I1091" s="29">
        <f t="shared" si="52"/>
        <v>4</v>
      </c>
      <c r="J1091" s="31" t="str">
        <f t="shared" ref="J1091:J1154" si="53">IF(I1091&lt;=0,"Current",
IF(I1091&lt;=30,"1-30",
IF(I1091&lt;=60,"31-60",
IF(I1091&lt;=90,"61-90","90+"))))</f>
        <v>1-30</v>
      </c>
      <c r="K1091"/>
    </row>
    <row r="1092" spans="1:11" x14ac:dyDescent="0.3">
      <c r="A1092" s="20" t="s">
        <v>74</v>
      </c>
      <c r="B1092" t="str">
        <f>VLOOKUP(A1092,Customers!A:B,2,FALSE)</f>
        <v>RetailPrime</v>
      </c>
      <c r="C1092" s="24" t="s">
        <v>1459</v>
      </c>
      <c r="D1092" s="10">
        <v>46027</v>
      </c>
      <c r="E1092" s="10">
        <v>46057</v>
      </c>
      <c r="F1092" s="4">
        <v>2782.53</v>
      </c>
      <c r="G1092" s="3">
        <f>SUMIF(Customer_Payments!B:B,C1092,Customer_Payments!E:E)</f>
        <v>2782.53</v>
      </c>
      <c r="H1092" s="3">
        <f t="shared" si="51"/>
        <v>0</v>
      </c>
      <c r="I1092" s="29">
        <f t="shared" si="52"/>
        <v>34</v>
      </c>
      <c r="J1092" s="31" t="str">
        <f t="shared" si="53"/>
        <v>31-60</v>
      </c>
      <c r="K1092"/>
    </row>
    <row r="1093" spans="1:11" x14ac:dyDescent="0.3">
      <c r="A1093" s="21" t="s">
        <v>112</v>
      </c>
      <c r="B1093" t="str">
        <f>VLOOKUP(A1093,Customers!A:B,2,FALSE)</f>
        <v>RetailBridgePro</v>
      </c>
      <c r="C1093" s="25" t="s">
        <v>1460</v>
      </c>
      <c r="D1093" s="11">
        <v>46041</v>
      </c>
      <c r="E1093" s="11">
        <v>46071</v>
      </c>
      <c r="F1093" s="5">
        <v>2811.42</v>
      </c>
      <c r="G1093" s="3">
        <f>SUMIF(Customer_Payments!B:B,C1093,Customer_Payments!E:E)</f>
        <v>2811.42</v>
      </c>
      <c r="H1093" s="3">
        <f t="shared" si="51"/>
        <v>0</v>
      </c>
      <c r="I1093" s="29">
        <f t="shared" si="52"/>
        <v>20</v>
      </c>
      <c r="J1093" s="31" t="str">
        <f t="shared" si="53"/>
        <v>1-30</v>
      </c>
      <c r="K1093"/>
    </row>
    <row r="1094" spans="1:11" x14ac:dyDescent="0.3">
      <c r="A1094" s="20" t="s">
        <v>37</v>
      </c>
      <c r="B1094" t="str">
        <f>VLOOKUP(A1094,Customers!A:B,2,FALSE)</f>
        <v>SmartCart</v>
      </c>
      <c r="C1094" s="24" t="s">
        <v>1461</v>
      </c>
      <c r="D1094" s="10">
        <v>45979</v>
      </c>
      <c r="E1094" s="10">
        <v>46009</v>
      </c>
      <c r="F1094" s="4">
        <v>5675.23</v>
      </c>
      <c r="G1094" s="3">
        <f>SUMIF(Customer_Payments!B:B,C1094,Customer_Payments!E:E)</f>
        <v>0</v>
      </c>
      <c r="H1094" s="3">
        <f t="shared" si="51"/>
        <v>5675.23</v>
      </c>
      <c r="I1094" s="29">
        <f t="shared" si="52"/>
        <v>82</v>
      </c>
      <c r="J1094" s="31" t="str">
        <f t="shared" si="53"/>
        <v>61-90</v>
      </c>
      <c r="K1094"/>
    </row>
    <row r="1095" spans="1:11" x14ac:dyDescent="0.3">
      <c r="A1095" s="21" t="s">
        <v>100</v>
      </c>
      <c r="B1095" t="str">
        <f>VLOOKUP(A1095,Customers!A:B,2,FALSE)</f>
        <v>RetailBoostPro</v>
      </c>
      <c r="C1095" s="25" t="s">
        <v>1462</v>
      </c>
      <c r="D1095" s="11">
        <v>46056</v>
      </c>
      <c r="E1095" s="11">
        <v>46086</v>
      </c>
      <c r="F1095" s="5">
        <v>1756.93</v>
      </c>
      <c r="G1095" s="3">
        <f>SUMIF(Customer_Payments!B:B,C1095,Customer_Payments!E:E)</f>
        <v>1756.93</v>
      </c>
      <c r="H1095" s="3">
        <f t="shared" si="51"/>
        <v>0</v>
      </c>
      <c r="I1095" s="29">
        <f t="shared" si="52"/>
        <v>5</v>
      </c>
      <c r="J1095" s="31" t="str">
        <f t="shared" si="53"/>
        <v>1-30</v>
      </c>
      <c r="K1095"/>
    </row>
    <row r="1096" spans="1:11" x14ac:dyDescent="0.3">
      <c r="A1096" s="20" t="s">
        <v>66</v>
      </c>
      <c r="B1096" t="str">
        <f>VLOOKUP(A1096,Customers!A:B,2,FALSE)</f>
        <v>MarketWorks</v>
      </c>
      <c r="C1096" s="24" t="s">
        <v>1463</v>
      </c>
      <c r="D1096" s="10">
        <v>46051</v>
      </c>
      <c r="E1096" s="10">
        <v>46081</v>
      </c>
      <c r="F1096" s="4">
        <v>2054.33</v>
      </c>
      <c r="G1096" s="3">
        <f>SUMIF(Customer_Payments!B:B,C1096,Customer_Payments!E:E)</f>
        <v>2054.33</v>
      </c>
      <c r="H1096" s="3">
        <f t="shared" si="51"/>
        <v>0</v>
      </c>
      <c r="I1096" s="29">
        <f t="shared" si="52"/>
        <v>10</v>
      </c>
      <c r="J1096" s="31" t="str">
        <f t="shared" si="53"/>
        <v>1-30</v>
      </c>
      <c r="K1096"/>
    </row>
    <row r="1097" spans="1:11" x14ac:dyDescent="0.3">
      <c r="A1097" s="21" t="s">
        <v>75</v>
      </c>
      <c r="B1097" t="str">
        <f>VLOOKUP(A1097,Customers!A:B,2,FALSE)</f>
        <v>RetailMatrix</v>
      </c>
      <c r="C1097" s="25" t="s">
        <v>1464</v>
      </c>
      <c r="D1097" s="11">
        <v>46061</v>
      </c>
      <c r="E1097" s="11">
        <v>46091</v>
      </c>
      <c r="F1097" s="5">
        <v>11885.91</v>
      </c>
      <c r="G1097" s="3">
        <f>SUMIF(Customer_Payments!B:B,C1097,Customer_Payments!E:E)</f>
        <v>0</v>
      </c>
      <c r="H1097" s="3">
        <f t="shared" si="51"/>
        <v>11885.91</v>
      </c>
      <c r="I1097" s="29">
        <f t="shared" si="52"/>
        <v>0</v>
      </c>
      <c r="J1097" s="31" t="str">
        <f t="shared" si="53"/>
        <v>Current</v>
      </c>
      <c r="K1097"/>
    </row>
    <row r="1098" spans="1:11" x14ac:dyDescent="0.3">
      <c r="A1098" s="20" t="s">
        <v>25</v>
      </c>
      <c r="B1098" t="str">
        <f>VLOOKUP(A1098,Customers!A:B,2,FALSE)</f>
        <v>OrbitEdge</v>
      </c>
      <c r="C1098" s="24" t="s">
        <v>1465</v>
      </c>
      <c r="D1098" s="10">
        <v>46073</v>
      </c>
      <c r="E1098" s="10">
        <v>46103</v>
      </c>
      <c r="F1098" s="4">
        <v>4759.6000000000004</v>
      </c>
      <c r="G1098" s="3">
        <f>SUMIF(Customer_Payments!B:B,C1098,Customer_Payments!E:E)</f>
        <v>4759.6000000000004</v>
      </c>
      <c r="H1098" s="3">
        <f t="shared" si="51"/>
        <v>0</v>
      </c>
      <c r="I1098" s="29">
        <f t="shared" si="52"/>
        <v>-12</v>
      </c>
      <c r="J1098" s="31" t="str">
        <f t="shared" si="53"/>
        <v>Current</v>
      </c>
      <c r="K1098"/>
    </row>
    <row r="1099" spans="1:11" x14ac:dyDescent="0.3">
      <c r="A1099" s="21" t="s">
        <v>64</v>
      </c>
      <c r="B1099" t="str">
        <f>VLOOKUP(A1099,Customers!A:B,2,FALSE)</f>
        <v>MarketScale</v>
      </c>
      <c r="C1099" s="25" t="s">
        <v>1466</v>
      </c>
      <c r="D1099" s="11">
        <v>46099</v>
      </c>
      <c r="E1099" s="11">
        <v>46129</v>
      </c>
      <c r="F1099" s="5">
        <v>4018.39</v>
      </c>
      <c r="G1099" s="3">
        <f>SUMIF(Customer_Payments!B:B,C1099,Customer_Payments!E:E)</f>
        <v>0</v>
      </c>
      <c r="H1099" s="3">
        <f t="shared" si="51"/>
        <v>4018.39</v>
      </c>
      <c r="I1099" s="29">
        <f t="shared" si="52"/>
        <v>-38</v>
      </c>
      <c r="J1099" s="31" t="str">
        <f t="shared" si="53"/>
        <v>Current</v>
      </c>
      <c r="K1099"/>
    </row>
    <row r="1100" spans="1:11" x14ac:dyDescent="0.3">
      <c r="A1100" s="20" t="s">
        <v>19</v>
      </c>
      <c r="B1100" t="str">
        <f>VLOOKUP(A1100,Customers!A:B,2,FALSE)</f>
        <v>NextWave Digital</v>
      </c>
      <c r="C1100" s="24" t="s">
        <v>1467</v>
      </c>
      <c r="D1100" s="10">
        <v>46060</v>
      </c>
      <c r="E1100" s="10">
        <v>46090</v>
      </c>
      <c r="F1100" s="4">
        <v>12856.77</v>
      </c>
      <c r="G1100" s="3">
        <f>SUMIF(Customer_Payments!B:B,C1100,Customer_Payments!E:E)</f>
        <v>0</v>
      </c>
      <c r="H1100" s="3">
        <f t="shared" si="51"/>
        <v>12856.77</v>
      </c>
      <c r="I1100" s="29">
        <f t="shared" si="52"/>
        <v>1</v>
      </c>
      <c r="J1100" s="31" t="str">
        <f t="shared" si="53"/>
        <v>1-30</v>
      </c>
      <c r="K1100"/>
    </row>
    <row r="1101" spans="1:11" x14ac:dyDescent="0.3">
      <c r="A1101" s="21" t="s">
        <v>90</v>
      </c>
      <c r="B1101" t="str">
        <f>VLOOKUP(A1101,Customers!A:B,2,FALSE)</f>
        <v>RetailPulseX</v>
      </c>
      <c r="C1101" s="25" t="s">
        <v>1468</v>
      </c>
      <c r="D1101" s="11">
        <v>46043</v>
      </c>
      <c r="E1101" s="11">
        <v>46073</v>
      </c>
      <c r="F1101" s="5">
        <v>3692.39</v>
      </c>
      <c r="G1101" s="3">
        <f>SUMIF(Customer_Payments!B:B,C1101,Customer_Payments!E:E)</f>
        <v>3692.39</v>
      </c>
      <c r="H1101" s="3">
        <f t="shared" si="51"/>
        <v>0</v>
      </c>
      <c r="I1101" s="29">
        <f t="shared" si="52"/>
        <v>18</v>
      </c>
      <c r="J1101" s="31" t="str">
        <f t="shared" si="53"/>
        <v>1-30</v>
      </c>
      <c r="K1101"/>
    </row>
    <row r="1102" spans="1:11" x14ac:dyDescent="0.3">
      <c r="A1102" s="20" t="s">
        <v>81</v>
      </c>
      <c r="B1102" t="str">
        <f>VLOOKUP(A1102,Customers!A:B,2,FALSE)</f>
        <v>RetailFlowX</v>
      </c>
      <c r="C1102" s="24" t="s">
        <v>1469</v>
      </c>
      <c r="D1102" s="10">
        <v>46004</v>
      </c>
      <c r="E1102" s="10">
        <v>46034</v>
      </c>
      <c r="F1102" s="4">
        <v>2334.9699999999998</v>
      </c>
      <c r="G1102" s="3">
        <f>SUMIF(Customer_Payments!B:B,C1102,Customer_Payments!E:E)</f>
        <v>2334.9699999999998</v>
      </c>
      <c r="H1102" s="3">
        <f t="shared" si="51"/>
        <v>0</v>
      </c>
      <c r="I1102" s="29">
        <f t="shared" si="52"/>
        <v>57</v>
      </c>
      <c r="J1102" s="31" t="str">
        <f t="shared" si="53"/>
        <v>31-60</v>
      </c>
      <c r="K1102"/>
    </row>
    <row r="1103" spans="1:11" x14ac:dyDescent="0.3">
      <c r="A1103" s="21" t="s">
        <v>93</v>
      </c>
      <c r="B1103" t="str">
        <f>VLOOKUP(A1103,Customers!A:B,2,FALSE)</f>
        <v>RetailSphereX</v>
      </c>
      <c r="C1103" s="25" t="s">
        <v>1470</v>
      </c>
      <c r="D1103" s="11">
        <v>46089</v>
      </c>
      <c r="E1103" s="11">
        <v>46119</v>
      </c>
      <c r="F1103" s="5">
        <v>11813.32</v>
      </c>
      <c r="G1103" s="3">
        <f>SUMIF(Customer_Payments!B:B,C1103,Customer_Payments!E:E)</f>
        <v>11813.32</v>
      </c>
      <c r="H1103" s="3">
        <f t="shared" si="51"/>
        <v>0</v>
      </c>
      <c r="I1103" s="29">
        <f t="shared" si="52"/>
        <v>-28</v>
      </c>
      <c r="J1103" s="31" t="str">
        <f t="shared" si="53"/>
        <v>Current</v>
      </c>
      <c r="K1103"/>
    </row>
    <row r="1104" spans="1:11" x14ac:dyDescent="0.3">
      <c r="A1104" s="20" t="s">
        <v>30</v>
      </c>
      <c r="B1104" t="str">
        <f>VLOOKUP(A1104,Customers!A:B,2,FALSE)</f>
        <v>CommerceFlow</v>
      </c>
      <c r="C1104" s="24" t="s">
        <v>1471</v>
      </c>
      <c r="D1104" s="10">
        <v>46018</v>
      </c>
      <c r="E1104" s="10">
        <v>46048</v>
      </c>
      <c r="F1104" s="4">
        <v>3878.7</v>
      </c>
      <c r="G1104" s="3">
        <f>SUMIF(Customer_Payments!B:B,C1104,Customer_Payments!E:E)</f>
        <v>3878.7</v>
      </c>
      <c r="H1104" s="3">
        <f t="shared" si="51"/>
        <v>0</v>
      </c>
      <c r="I1104" s="29">
        <f t="shared" si="52"/>
        <v>43</v>
      </c>
      <c r="J1104" s="31" t="str">
        <f t="shared" si="53"/>
        <v>31-60</v>
      </c>
      <c r="K1104"/>
    </row>
    <row r="1105" spans="1:11" x14ac:dyDescent="0.3">
      <c r="A1105" s="21" t="s">
        <v>8</v>
      </c>
      <c r="B1105" t="str">
        <f>VLOOKUP(A1105,Customers!A:B,2,FALSE)</f>
        <v>NexaSoft</v>
      </c>
      <c r="C1105" s="25" t="s">
        <v>1472</v>
      </c>
      <c r="D1105" s="11">
        <v>46083</v>
      </c>
      <c r="E1105" s="11">
        <v>46113</v>
      </c>
      <c r="F1105" s="5">
        <v>2547.61</v>
      </c>
      <c r="G1105" s="3">
        <f>SUMIF(Customer_Payments!B:B,C1105,Customer_Payments!E:E)</f>
        <v>0</v>
      </c>
      <c r="H1105" s="3">
        <f t="shared" si="51"/>
        <v>2547.61</v>
      </c>
      <c r="I1105" s="29">
        <f t="shared" si="52"/>
        <v>-22</v>
      </c>
      <c r="J1105" s="31" t="str">
        <f t="shared" si="53"/>
        <v>Current</v>
      </c>
      <c r="K1105"/>
    </row>
    <row r="1106" spans="1:11" x14ac:dyDescent="0.3">
      <c r="A1106" s="20" t="s">
        <v>35</v>
      </c>
      <c r="B1106" t="str">
        <f>VLOOKUP(A1106,Customers!A:B,2,FALSE)</f>
        <v>FusionRetail</v>
      </c>
      <c r="C1106" s="24" t="s">
        <v>1473</v>
      </c>
      <c r="D1106" s="10">
        <v>46078</v>
      </c>
      <c r="E1106" s="10">
        <v>46108</v>
      </c>
      <c r="F1106" s="4">
        <v>10068.950000000001</v>
      </c>
      <c r="G1106" s="3">
        <f>SUMIF(Customer_Payments!B:B,C1106,Customer_Payments!E:E)</f>
        <v>10068.950000000001</v>
      </c>
      <c r="H1106" s="3">
        <f t="shared" si="51"/>
        <v>0</v>
      </c>
      <c r="I1106" s="29">
        <f t="shared" si="52"/>
        <v>-17</v>
      </c>
      <c r="J1106" s="31" t="str">
        <f t="shared" si="53"/>
        <v>Current</v>
      </c>
      <c r="K1106"/>
    </row>
    <row r="1107" spans="1:11" x14ac:dyDescent="0.3">
      <c r="A1107" s="21" t="s">
        <v>18</v>
      </c>
      <c r="B1107" t="str">
        <f>VLOOKUP(A1107,Customers!A:B,2,FALSE)</f>
        <v>BluePeak Systems</v>
      </c>
      <c r="C1107" s="25" t="s">
        <v>1474</v>
      </c>
      <c r="D1107" s="11">
        <v>46088</v>
      </c>
      <c r="E1107" s="11">
        <v>46118</v>
      </c>
      <c r="F1107" s="5">
        <v>1643.97</v>
      </c>
      <c r="G1107" s="3">
        <f>SUMIF(Customer_Payments!B:B,C1107,Customer_Payments!E:E)</f>
        <v>1643.97</v>
      </c>
      <c r="H1107" s="3">
        <f t="shared" si="51"/>
        <v>0</v>
      </c>
      <c r="I1107" s="29">
        <f t="shared" si="52"/>
        <v>-27</v>
      </c>
      <c r="J1107" s="31" t="str">
        <f t="shared" si="53"/>
        <v>Current</v>
      </c>
      <c r="K1107"/>
    </row>
    <row r="1108" spans="1:11" x14ac:dyDescent="0.3">
      <c r="A1108" s="20" t="s">
        <v>88</v>
      </c>
      <c r="B1108" t="str">
        <f>VLOOKUP(A1108,Customers!A:B,2,FALSE)</f>
        <v>RetailPrimeX</v>
      </c>
      <c r="C1108" s="24" t="s">
        <v>1475</v>
      </c>
      <c r="D1108" s="10">
        <v>46082</v>
      </c>
      <c r="E1108" s="10">
        <v>46112</v>
      </c>
      <c r="F1108" s="4">
        <v>3526.21</v>
      </c>
      <c r="G1108" s="3">
        <f>SUMIF(Customer_Payments!B:B,C1108,Customer_Payments!E:E)</f>
        <v>0</v>
      </c>
      <c r="H1108" s="3">
        <f t="shared" si="51"/>
        <v>3526.21</v>
      </c>
      <c r="I1108" s="29">
        <f t="shared" si="52"/>
        <v>-21</v>
      </c>
      <c r="J1108" s="31" t="str">
        <f t="shared" si="53"/>
        <v>Current</v>
      </c>
      <c r="K1108"/>
    </row>
    <row r="1109" spans="1:11" x14ac:dyDescent="0.3">
      <c r="A1109" s="21" t="s">
        <v>23</v>
      </c>
      <c r="B1109" t="str">
        <f>VLOOKUP(A1109,Customers!A:B,2,FALSE)</f>
        <v>VertexCommerce</v>
      </c>
      <c r="C1109" s="25" t="s">
        <v>1476</v>
      </c>
      <c r="D1109" s="11">
        <v>45991</v>
      </c>
      <c r="E1109" s="11">
        <v>46021</v>
      </c>
      <c r="F1109" s="5">
        <v>3249.69</v>
      </c>
      <c r="G1109" s="3">
        <f>SUMIF(Customer_Payments!B:B,C1109,Customer_Payments!E:E)</f>
        <v>0</v>
      </c>
      <c r="H1109" s="3">
        <f t="shared" si="51"/>
        <v>3249.69</v>
      </c>
      <c r="I1109" s="29">
        <f t="shared" si="52"/>
        <v>70</v>
      </c>
      <c r="J1109" s="31" t="str">
        <f t="shared" si="53"/>
        <v>61-90</v>
      </c>
      <c r="K1109"/>
    </row>
    <row r="1110" spans="1:11" x14ac:dyDescent="0.3">
      <c r="A1110" s="20" t="s">
        <v>30</v>
      </c>
      <c r="B1110" t="str">
        <f>VLOOKUP(A1110,Customers!A:B,2,FALSE)</f>
        <v>CommerceFlow</v>
      </c>
      <c r="C1110" s="24" t="s">
        <v>1477</v>
      </c>
      <c r="D1110" s="10">
        <v>45999</v>
      </c>
      <c r="E1110" s="10">
        <v>46029</v>
      </c>
      <c r="F1110" s="4">
        <v>12750.69</v>
      </c>
      <c r="G1110" s="3">
        <f>SUMIF(Customer_Payments!B:B,C1110,Customer_Payments!E:E)</f>
        <v>0</v>
      </c>
      <c r="H1110" s="3">
        <f t="shared" si="51"/>
        <v>12750.69</v>
      </c>
      <c r="I1110" s="29">
        <f t="shared" si="52"/>
        <v>62</v>
      </c>
      <c r="J1110" s="31" t="str">
        <f t="shared" si="53"/>
        <v>61-90</v>
      </c>
      <c r="K1110"/>
    </row>
    <row r="1111" spans="1:11" x14ac:dyDescent="0.3">
      <c r="A1111" s="21" t="s">
        <v>16</v>
      </c>
      <c r="B1111" t="str">
        <f>VLOOKUP(A1111,Customers!A:B,2,FALSE)</f>
        <v>RetailHub</v>
      </c>
      <c r="C1111" s="25" t="s">
        <v>1478</v>
      </c>
      <c r="D1111" s="11">
        <v>46044</v>
      </c>
      <c r="E1111" s="11">
        <v>46074</v>
      </c>
      <c r="F1111" s="5">
        <v>3234.78</v>
      </c>
      <c r="G1111" s="3">
        <f>SUMIF(Customer_Payments!B:B,C1111,Customer_Payments!E:E)</f>
        <v>3234.78</v>
      </c>
      <c r="H1111" s="3">
        <f t="shared" si="51"/>
        <v>0</v>
      </c>
      <c r="I1111" s="29">
        <f t="shared" si="52"/>
        <v>17</v>
      </c>
      <c r="J1111" s="31" t="str">
        <f t="shared" si="53"/>
        <v>1-30</v>
      </c>
      <c r="K1111"/>
    </row>
    <row r="1112" spans="1:11" x14ac:dyDescent="0.3">
      <c r="A1112" s="20" t="s">
        <v>92</v>
      </c>
      <c r="B1112" t="str">
        <f>VLOOKUP(A1112,Customers!A:B,2,FALSE)</f>
        <v>RetailMatrixX</v>
      </c>
      <c r="C1112" s="24" t="s">
        <v>1479</v>
      </c>
      <c r="D1112" s="10">
        <v>46072</v>
      </c>
      <c r="E1112" s="10">
        <v>46102</v>
      </c>
      <c r="F1112" s="4">
        <v>1766.48</v>
      </c>
      <c r="G1112" s="3">
        <f>SUMIF(Customer_Payments!B:B,C1112,Customer_Payments!E:E)</f>
        <v>1766.48</v>
      </c>
      <c r="H1112" s="3">
        <f t="shared" si="51"/>
        <v>0</v>
      </c>
      <c r="I1112" s="29">
        <f t="shared" si="52"/>
        <v>-11</v>
      </c>
      <c r="J1112" s="31" t="str">
        <f t="shared" si="53"/>
        <v>Current</v>
      </c>
      <c r="K1112"/>
    </row>
    <row r="1113" spans="1:11" x14ac:dyDescent="0.3">
      <c r="A1113" s="21" t="s">
        <v>14</v>
      </c>
      <c r="B1113" t="str">
        <f>VLOOKUP(A1113,Customers!A:B,2,FALSE)</f>
        <v>MarketPulse</v>
      </c>
      <c r="C1113" s="25" t="s">
        <v>1480</v>
      </c>
      <c r="D1113" s="11">
        <v>46109</v>
      </c>
      <c r="E1113" s="11">
        <v>46139</v>
      </c>
      <c r="F1113" s="5">
        <v>2257.34</v>
      </c>
      <c r="G1113" s="3">
        <f>SUMIF(Customer_Payments!B:B,C1113,Customer_Payments!E:E)</f>
        <v>2257.34</v>
      </c>
      <c r="H1113" s="3">
        <f t="shared" si="51"/>
        <v>0</v>
      </c>
      <c r="I1113" s="29">
        <f t="shared" si="52"/>
        <v>-48</v>
      </c>
      <c r="J1113" s="31" t="str">
        <f t="shared" si="53"/>
        <v>Current</v>
      </c>
      <c r="K1113"/>
    </row>
    <row r="1114" spans="1:11" x14ac:dyDescent="0.3">
      <c r="A1114" s="20" t="s">
        <v>40</v>
      </c>
      <c r="B1114" t="str">
        <f>VLOOKUP(A1114,Customers!A:B,2,FALSE)</f>
        <v>GlobalCart</v>
      </c>
      <c r="C1114" s="24" t="s">
        <v>1481</v>
      </c>
      <c r="D1114" s="10">
        <v>46082</v>
      </c>
      <c r="E1114" s="10">
        <v>46112</v>
      </c>
      <c r="F1114" s="4">
        <v>11465.23</v>
      </c>
      <c r="G1114" s="3">
        <f>SUMIF(Customer_Payments!B:B,C1114,Customer_Payments!E:E)</f>
        <v>0</v>
      </c>
      <c r="H1114" s="3">
        <f t="shared" si="51"/>
        <v>11465.23</v>
      </c>
      <c r="I1114" s="29">
        <f t="shared" si="52"/>
        <v>-21</v>
      </c>
      <c r="J1114" s="31" t="str">
        <f t="shared" si="53"/>
        <v>Current</v>
      </c>
      <c r="K1114"/>
    </row>
    <row r="1115" spans="1:11" x14ac:dyDescent="0.3">
      <c r="A1115" s="21" t="s">
        <v>29</v>
      </c>
      <c r="B1115" t="str">
        <f>VLOOKUP(A1115,Customers!A:B,2,FALSE)</f>
        <v>DigitalBridge</v>
      </c>
      <c r="C1115" s="25" t="s">
        <v>1482</v>
      </c>
      <c r="D1115" s="11">
        <v>46057</v>
      </c>
      <c r="E1115" s="11">
        <v>46087</v>
      </c>
      <c r="F1115" s="5">
        <v>4881.1499999999996</v>
      </c>
      <c r="G1115" s="3">
        <f>SUMIF(Customer_Payments!B:B,C1115,Customer_Payments!E:E)</f>
        <v>4881.1499999999996</v>
      </c>
      <c r="H1115" s="3">
        <f t="shared" si="51"/>
        <v>0</v>
      </c>
      <c r="I1115" s="29">
        <f t="shared" si="52"/>
        <v>4</v>
      </c>
      <c r="J1115" s="31" t="str">
        <f t="shared" si="53"/>
        <v>1-30</v>
      </c>
      <c r="K1115"/>
    </row>
    <row r="1116" spans="1:11" x14ac:dyDescent="0.3">
      <c r="A1116" s="20" t="s">
        <v>34</v>
      </c>
      <c r="B1116" t="str">
        <f>VLOOKUP(A1116,Customers!A:B,2,FALSE)</f>
        <v>OptiCommerce</v>
      </c>
      <c r="C1116" s="24" t="s">
        <v>1483</v>
      </c>
      <c r="D1116" s="10">
        <v>46065</v>
      </c>
      <c r="E1116" s="10">
        <v>46095</v>
      </c>
      <c r="F1116" s="4">
        <v>1794.28</v>
      </c>
      <c r="G1116" s="3">
        <f>SUMIF(Customer_Payments!B:B,C1116,Customer_Payments!E:E)</f>
        <v>0</v>
      </c>
      <c r="H1116" s="3">
        <f t="shared" si="51"/>
        <v>1794.28</v>
      </c>
      <c r="I1116" s="29">
        <f t="shared" si="52"/>
        <v>-4</v>
      </c>
      <c r="J1116" s="31" t="str">
        <f t="shared" si="53"/>
        <v>Current</v>
      </c>
      <c r="K1116"/>
    </row>
    <row r="1117" spans="1:11" x14ac:dyDescent="0.3">
      <c r="A1117" s="21" t="s">
        <v>11</v>
      </c>
      <c r="B1117" t="str">
        <f>VLOOKUP(A1117,Customers!A:B,2,FALSE)</f>
        <v>DataHive</v>
      </c>
      <c r="C1117" s="25" t="s">
        <v>1484</v>
      </c>
      <c r="D1117" s="11">
        <v>46018</v>
      </c>
      <c r="E1117" s="11">
        <v>46048</v>
      </c>
      <c r="F1117" s="5">
        <v>3700.67</v>
      </c>
      <c r="G1117" s="3">
        <f>SUMIF(Customer_Payments!B:B,C1117,Customer_Payments!E:E)</f>
        <v>3700.67</v>
      </c>
      <c r="H1117" s="3">
        <f t="shared" si="51"/>
        <v>0</v>
      </c>
      <c r="I1117" s="29">
        <f t="shared" si="52"/>
        <v>43</v>
      </c>
      <c r="J1117" s="31" t="str">
        <f t="shared" si="53"/>
        <v>31-60</v>
      </c>
      <c r="K1117"/>
    </row>
    <row r="1118" spans="1:11" x14ac:dyDescent="0.3">
      <c r="A1118" s="20" t="s">
        <v>9</v>
      </c>
      <c r="B1118" t="str">
        <f>VLOOKUP(A1118,Customers!A:B,2,FALSE)</f>
        <v>UrbanRetail</v>
      </c>
      <c r="C1118" s="24" t="s">
        <v>1485</v>
      </c>
      <c r="D1118" s="10">
        <v>46084</v>
      </c>
      <c r="E1118" s="10">
        <v>46114</v>
      </c>
      <c r="F1118" s="4">
        <v>2484.4899999999998</v>
      </c>
      <c r="G1118" s="3">
        <f>SUMIF(Customer_Payments!B:B,C1118,Customer_Payments!E:E)</f>
        <v>0</v>
      </c>
      <c r="H1118" s="3">
        <f t="shared" si="51"/>
        <v>2484.4899999999998</v>
      </c>
      <c r="I1118" s="29">
        <f t="shared" si="52"/>
        <v>-23</v>
      </c>
      <c r="J1118" s="31" t="str">
        <f t="shared" si="53"/>
        <v>Current</v>
      </c>
      <c r="K1118"/>
    </row>
    <row r="1119" spans="1:11" x14ac:dyDescent="0.3">
      <c r="A1119" s="21" t="s">
        <v>92</v>
      </c>
      <c r="B1119" t="str">
        <f>VLOOKUP(A1119,Customers!A:B,2,FALSE)</f>
        <v>RetailMatrixX</v>
      </c>
      <c r="C1119" s="25" t="s">
        <v>1486</v>
      </c>
      <c r="D1119" s="11">
        <v>46085</v>
      </c>
      <c r="E1119" s="11">
        <v>46115</v>
      </c>
      <c r="F1119" s="5">
        <v>10314.5</v>
      </c>
      <c r="G1119" s="3">
        <f>SUMIF(Customer_Payments!B:B,C1119,Customer_Payments!E:E)</f>
        <v>0</v>
      </c>
      <c r="H1119" s="3">
        <f t="shared" si="51"/>
        <v>10314.5</v>
      </c>
      <c r="I1119" s="29">
        <f t="shared" si="52"/>
        <v>-24</v>
      </c>
      <c r="J1119" s="31" t="str">
        <f t="shared" si="53"/>
        <v>Current</v>
      </c>
      <c r="K1119"/>
    </row>
    <row r="1120" spans="1:11" x14ac:dyDescent="0.3">
      <c r="A1120" s="20" t="s">
        <v>80</v>
      </c>
      <c r="B1120" t="str">
        <f>VLOOKUP(A1120,Customers!A:B,2,FALSE)</f>
        <v>RetailEdgeX</v>
      </c>
      <c r="C1120" s="24" t="s">
        <v>1487</v>
      </c>
      <c r="D1120" s="10">
        <v>46026</v>
      </c>
      <c r="E1120" s="10">
        <v>46056</v>
      </c>
      <c r="F1120" s="4">
        <v>10878.9</v>
      </c>
      <c r="G1120" s="3">
        <f>SUMIF(Customer_Payments!B:B,C1120,Customer_Payments!E:E)</f>
        <v>0</v>
      </c>
      <c r="H1120" s="3">
        <f t="shared" si="51"/>
        <v>10878.9</v>
      </c>
      <c r="I1120" s="29">
        <f t="shared" si="52"/>
        <v>35</v>
      </c>
      <c r="J1120" s="31" t="str">
        <f t="shared" si="53"/>
        <v>31-60</v>
      </c>
      <c r="K1120"/>
    </row>
    <row r="1121" spans="1:11" x14ac:dyDescent="0.3">
      <c r="A1121" s="21" t="s">
        <v>58</v>
      </c>
      <c r="B1121" t="str">
        <f>VLOOKUP(A1121,Customers!A:B,2,FALSE)</f>
        <v>RetailAxis</v>
      </c>
      <c r="C1121" s="25" t="s">
        <v>1488</v>
      </c>
      <c r="D1121" s="11">
        <v>46061</v>
      </c>
      <c r="E1121" s="11">
        <v>46091</v>
      </c>
      <c r="F1121" s="5">
        <v>3018.46</v>
      </c>
      <c r="G1121" s="3">
        <f>SUMIF(Customer_Payments!B:B,C1121,Customer_Payments!E:E)</f>
        <v>3018.46</v>
      </c>
      <c r="H1121" s="3">
        <f t="shared" si="51"/>
        <v>0</v>
      </c>
      <c r="I1121" s="29">
        <f t="shared" si="52"/>
        <v>0</v>
      </c>
      <c r="J1121" s="31" t="str">
        <f t="shared" si="53"/>
        <v>Current</v>
      </c>
      <c r="K1121"/>
    </row>
    <row r="1122" spans="1:11" x14ac:dyDescent="0.3">
      <c r="A1122" s="20" t="s">
        <v>7</v>
      </c>
      <c r="B1122" t="str">
        <f>VLOOKUP(A1122,Customers!A:B,2,FALSE)</f>
        <v>BrightCart</v>
      </c>
      <c r="C1122" s="24" t="s">
        <v>1489</v>
      </c>
      <c r="D1122" s="10">
        <v>46013</v>
      </c>
      <c r="E1122" s="10">
        <v>46043</v>
      </c>
      <c r="F1122" s="4">
        <v>2002.27</v>
      </c>
      <c r="G1122" s="3">
        <f>SUMIF(Customer_Payments!B:B,C1122,Customer_Payments!E:E)</f>
        <v>2002.27</v>
      </c>
      <c r="H1122" s="3">
        <f t="shared" si="51"/>
        <v>0</v>
      </c>
      <c r="I1122" s="29">
        <f t="shared" si="52"/>
        <v>48</v>
      </c>
      <c r="J1122" s="31" t="str">
        <f t="shared" si="53"/>
        <v>31-60</v>
      </c>
      <c r="K1122"/>
    </row>
    <row r="1123" spans="1:11" x14ac:dyDescent="0.3">
      <c r="A1123" s="21" t="s">
        <v>75</v>
      </c>
      <c r="B1123" t="str">
        <f>VLOOKUP(A1123,Customers!A:B,2,FALSE)</f>
        <v>RetailMatrix</v>
      </c>
      <c r="C1123" s="25" t="s">
        <v>1490</v>
      </c>
      <c r="D1123" s="11">
        <v>46039</v>
      </c>
      <c r="E1123" s="11">
        <v>46069</v>
      </c>
      <c r="F1123" s="5">
        <v>14179.95</v>
      </c>
      <c r="G1123" s="3">
        <f>SUMIF(Customer_Payments!B:B,C1123,Customer_Payments!E:E)</f>
        <v>14179.95</v>
      </c>
      <c r="H1123" s="3">
        <f t="shared" si="51"/>
        <v>0</v>
      </c>
      <c r="I1123" s="29">
        <f t="shared" si="52"/>
        <v>22</v>
      </c>
      <c r="J1123" s="31" t="str">
        <f t="shared" si="53"/>
        <v>1-30</v>
      </c>
      <c r="K1123"/>
    </row>
    <row r="1124" spans="1:11" x14ac:dyDescent="0.3">
      <c r="A1124" s="20" t="s">
        <v>89</v>
      </c>
      <c r="B1124" t="str">
        <f>VLOOKUP(A1124,Customers!A:B,2,FALSE)</f>
        <v>RetailAxisX</v>
      </c>
      <c r="C1124" s="24" t="s">
        <v>1491</v>
      </c>
      <c r="D1124" s="10">
        <v>46069</v>
      </c>
      <c r="E1124" s="10">
        <v>46099</v>
      </c>
      <c r="F1124" s="4">
        <v>2333.44</v>
      </c>
      <c r="G1124" s="3">
        <f>SUMIF(Customer_Payments!B:B,C1124,Customer_Payments!E:E)</f>
        <v>2333.44</v>
      </c>
      <c r="H1124" s="3">
        <f t="shared" si="51"/>
        <v>0</v>
      </c>
      <c r="I1124" s="29">
        <f t="shared" si="52"/>
        <v>-8</v>
      </c>
      <c r="J1124" s="31" t="str">
        <f t="shared" si="53"/>
        <v>Current</v>
      </c>
      <c r="K1124"/>
    </row>
    <row r="1125" spans="1:11" x14ac:dyDescent="0.3">
      <c r="A1125" s="21" t="s">
        <v>65</v>
      </c>
      <c r="B1125" t="str">
        <f>VLOOKUP(A1125,Customers!A:B,2,FALSE)</f>
        <v>RetailFlow</v>
      </c>
      <c r="C1125" s="25" t="s">
        <v>1492</v>
      </c>
      <c r="D1125" s="11">
        <v>46082</v>
      </c>
      <c r="E1125" s="11">
        <v>46112</v>
      </c>
      <c r="F1125" s="5">
        <v>2838.43</v>
      </c>
      <c r="G1125" s="3">
        <f>SUMIF(Customer_Payments!B:B,C1125,Customer_Payments!E:E)</f>
        <v>2838.43</v>
      </c>
      <c r="H1125" s="3">
        <f t="shared" si="51"/>
        <v>0</v>
      </c>
      <c r="I1125" s="29">
        <f t="shared" si="52"/>
        <v>-21</v>
      </c>
      <c r="J1125" s="31" t="str">
        <f t="shared" si="53"/>
        <v>Current</v>
      </c>
      <c r="K1125"/>
    </row>
    <row r="1126" spans="1:11" x14ac:dyDescent="0.3">
      <c r="A1126" s="20" t="s">
        <v>56</v>
      </c>
      <c r="B1126" t="str">
        <f>VLOOKUP(A1126,Customers!A:B,2,FALSE)</f>
        <v>RetailBoost</v>
      </c>
      <c r="C1126" s="24" t="s">
        <v>1493</v>
      </c>
      <c r="D1126" s="10">
        <v>46062</v>
      </c>
      <c r="E1126" s="10">
        <v>46092</v>
      </c>
      <c r="F1126" s="4">
        <v>2647.79</v>
      </c>
      <c r="G1126" s="3">
        <f>SUMIF(Customer_Payments!B:B,C1126,Customer_Payments!E:E)</f>
        <v>2647.79</v>
      </c>
      <c r="H1126" s="3">
        <f t="shared" si="51"/>
        <v>0</v>
      </c>
      <c r="I1126" s="29">
        <f t="shared" si="52"/>
        <v>-1</v>
      </c>
      <c r="J1126" s="31" t="str">
        <f t="shared" si="53"/>
        <v>Current</v>
      </c>
      <c r="K1126"/>
    </row>
    <row r="1127" spans="1:11" x14ac:dyDescent="0.3">
      <c r="A1127" s="21" t="s">
        <v>87</v>
      </c>
      <c r="B1127" t="str">
        <f>VLOOKUP(A1127,Customers!A:B,2,FALSE)</f>
        <v>RetailStreamX</v>
      </c>
      <c r="C1127" s="25" t="s">
        <v>1494</v>
      </c>
      <c r="D1127" s="11">
        <v>46087</v>
      </c>
      <c r="E1127" s="11">
        <v>46117</v>
      </c>
      <c r="F1127" s="5">
        <v>1577.52</v>
      </c>
      <c r="G1127" s="3">
        <f>SUMIF(Customer_Payments!B:B,C1127,Customer_Payments!E:E)</f>
        <v>0</v>
      </c>
      <c r="H1127" s="3">
        <f t="shared" si="51"/>
        <v>1577.52</v>
      </c>
      <c r="I1127" s="29">
        <f t="shared" si="52"/>
        <v>-26</v>
      </c>
      <c r="J1127" s="31" t="str">
        <f t="shared" si="53"/>
        <v>Current</v>
      </c>
      <c r="K1127"/>
    </row>
    <row r="1128" spans="1:11" x14ac:dyDescent="0.3">
      <c r="A1128" s="20" t="s">
        <v>31</v>
      </c>
      <c r="B1128" t="str">
        <f>VLOOKUP(A1128,Customers!A:B,2,FALSE)</f>
        <v>SparkRetail</v>
      </c>
      <c r="C1128" s="24" t="s">
        <v>1495</v>
      </c>
      <c r="D1128" s="10">
        <v>46004</v>
      </c>
      <c r="E1128" s="10">
        <v>46034</v>
      </c>
      <c r="F1128" s="4">
        <v>1698.67</v>
      </c>
      <c r="G1128" s="3">
        <f>SUMIF(Customer_Payments!B:B,C1128,Customer_Payments!E:E)</f>
        <v>1698.67</v>
      </c>
      <c r="H1128" s="3">
        <f t="shared" si="51"/>
        <v>0</v>
      </c>
      <c r="I1128" s="29">
        <f t="shared" si="52"/>
        <v>57</v>
      </c>
      <c r="J1128" s="31" t="str">
        <f t="shared" si="53"/>
        <v>31-60</v>
      </c>
      <c r="K1128"/>
    </row>
    <row r="1129" spans="1:11" x14ac:dyDescent="0.3">
      <c r="A1129" s="21" t="s">
        <v>37</v>
      </c>
      <c r="B1129" t="str">
        <f>VLOOKUP(A1129,Customers!A:B,2,FALSE)</f>
        <v>SmartCart</v>
      </c>
      <c r="C1129" s="25" t="s">
        <v>1496</v>
      </c>
      <c r="D1129" s="11">
        <v>46090</v>
      </c>
      <c r="E1129" s="11">
        <v>46120</v>
      </c>
      <c r="F1129" s="5">
        <v>4071.4</v>
      </c>
      <c r="G1129" s="3">
        <f>SUMIF(Customer_Payments!B:B,C1129,Customer_Payments!E:E)</f>
        <v>0</v>
      </c>
      <c r="H1129" s="3">
        <f t="shared" si="51"/>
        <v>4071.4</v>
      </c>
      <c r="I1129" s="29">
        <f t="shared" si="52"/>
        <v>-29</v>
      </c>
      <c r="J1129" s="31" t="str">
        <f t="shared" si="53"/>
        <v>Current</v>
      </c>
      <c r="K1129"/>
    </row>
    <row r="1130" spans="1:11" x14ac:dyDescent="0.3">
      <c r="A1130" s="20" t="s">
        <v>70</v>
      </c>
      <c r="B1130" t="str">
        <f>VLOOKUP(A1130,Customers!A:B,2,FALSE)</f>
        <v>RetailPath</v>
      </c>
      <c r="C1130" s="24" t="s">
        <v>1497</v>
      </c>
      <c r="D1130" s="10">
        <v>46003</v>
      </c>
      <c r="E1130" s="10">
        <v>46033</v>
      </c>
      <c r="F1130" s="4">
        <v>11466.08</v>
      </c>
      <c r="G1130" s="3">
        <f>SUMIF(Customer_Payments!B:B,C1130,Customer_Payments!E:E)</f>
        <v>11466.08</v>
      </c>
      <c r="H1130" s="3">
        <f t="shared" si="51"/>
        <v>0</v>
      </c>
      <c r="I1130" s="29">
        <f t="shared" si="52"/>
        <v>58</v>
      </c>
      <c r="J1130" s="31" t="str">
        <f t="shared" si="53"/>
        <v>31-60</v>
      </c>
      <c r="K1130"/>
    </row>
    <row r="1131" spans="1:11" x14ac:dyDescent="0.3">
      <c r="A1131" s="21" t="s">
        <v>9</v>
      </c>
      <c r="B1131" t="str">
        <f>VLOOKUP(A1131,Customers!A:B,2,FALSE)</f>
        <v>UrbanRetail</v>
      </c>
      <c r="C1131" s="25" t="s">
        <v>1498</v>
      </c>
      <c r="D1131" s="11">
        <v>45977</v>
      </c>
      <c r="E1131" s="11">
        <v>46007</v>
      </c>
      <c r="F1131" s="5">
        <v>4150.9399999999996</v>
      </c>
      <c r="G1131" s="3">
        <f>SUMIF(Customer_Payments!B:B,C1131,Customer_Payments!E:E)</f>
        <v>0</v>
      </c>
      <c r="H1131" s="3">
        <f t="shared" si="51"/>
        <v>4150.9399999999996</v>
      </c>
      <c r="I1131" s="29">
        <f t="shared" si="52"/>
        <v>84</v>
      </c>
      <c r="J1131" s="31" t="str">
        <f t="shared" si="53"/>
        <v>61-90</v>
      </c>
      <c r="K1131"/>
    </row>
    <row r="1132" spans="1:11" x14ac:dyDescent="0.3">
      <c r="A1132" s="20" t="s">
        <v>22</v>
      </c>
      <c r="B1132" t="str">
        <f>VLOOKUP(A1132,Customers!A:B,2,FALSE)</f>
        <v>QuantumRetail</v>
      </c>
      <c r="C1132" s="24" t="s">
        <v>1499</v>
      </c>
      <c r="D1132" s="10">
        <v>45992</v>
      </c>
      <c r="E1132" s="10">
        <v>46022</v>
      </c>
      <c r="F1132" s="4">
        <v>2807.14</v>
      </c>
      <c r="G1132" s="3">
        <f>SUMIF(Customer_Payments!B:B,C1132,Customer_Payments!E:E)</f>
        <v>2807.14</v>
      </c>
      <c r="H1132" s="3">
        <f t="shared" si="51"/>
        <v>0</v>
      </c>
      <c r="I1132" s="29">
        <f t="shared" si="52"/>
        <v>69</v>
      </c>
      <c r="J1132" s="31" t="str">
        <f t="shared" si="53"/>
        <v>61-90</v>
      </c>
      <c r="K1132"/>
    </row>
    <row r="1133" spans="1:11" x14ac:dyDescent="0.3">
      <c r="A1133" s="21" t="s">
        <v>93</v>
      </c>
      <c r="B1133" t="str">
        <f>VLOOKUP(A1133,Customers!A:B,2,FALSE)</f>
        <v>RetailSphereX</v>
      </c>
      <c r="C1133" s="25" t="s">
        <v>1500</v>
      </c>
      <c r="D1133" s="11">
        <v>45964</v>
      </c>
      <c r="E1133" s="11">
        <v>45994</v>
      </c>
      <c r="F1133" s="5">
        <v>5614.21</v>
      </c>
      <c r="G1133" s="3">
        <f>SUMIF(Customer_Payments!B:B,C1133,Customer_Payments!E:E)</f>
        <v>5614.21</v>
      </c>
      <c r="H1133" s="3">
        <f t="shared" si="51"/>
        <v>0</v>
      </c>
      <c r="I1133" s="29">
        <f t="shared" si="52"/>
        <v>97</v>
      </c>
      <c r="J1133" s="31" t="str">
        <f t="shared" si="53"/>
        <v>90+</v>
      </c>
      <c r="K1133"/>
    </row>
    <row r="1134" spans="1:11" x14ac:dyDescent="0.3">
      <c r="A1134" s="20" t="s">
        <v>11</v>
      </c>
      <c r="B1134" t="str">
        <f>VLOOKUP(A1134,Customers!A:B,2,FALSE)</f>
        <v>DataHive</v>
      </c>
      <c r="C1134" s="24" t="s">
        <v>1501</v>
      </c>
      <c r="D1134" s="10">
        <v>46061</v>
      </c>
      <c r="E1134" s="10">
        <v>46091</v>
      </c>
      <c r="F1134" s="4">
        <v>3008.54</v>
      </c>
      <c r="G1134" s="3">
        <f>SUMIF(Customer_Payments!B:B,C1134,Customer_Payments!E:E)</f>
        <v>0</v>
      </c>
      <c r="H1134" s="3">
        <f t="shared" si="51"/>
        <v>3008.54</v>
      </c>
      <c r="I1134" s="29">
        <f t="shared" si="52"/>
        <v>0</v>
      </c>
      <c r="J1134" s="31" t="str">
        <f t="shared" si="53"/>
        <v>Current</v>
      </c>
      <c r="K1134"/>
    </row>
    <row r="1135" spans="1:11" x14ac:dyDescent="0.3">
      <c r="A1135" s="21" t="s">
        <v>124</v>
      </c>
      <c r="B1135" t="str">
        <f>VLOOKUP(A1135,Customers!A:B,2,FALSE)</f>
        <v>RetailOrbitGlobal</v>
      </c>
      <c r="C1135" s="25" t="s">
        <v>1502</v>
      </c>
      <c r="D1135" s="11">
        <v>45982</v>
      </c>
      <c r="E1135" s="11">
        <v>46012</v>
      </c>
      <c r="F1135" s="5">
        <v>1541.95</v>
      </c>
      <c r="G1135" s="3">
        <f>SUMIF(Customer_Payments!B:B,C1135,Customer_Payments!E:E)</f>
        <v>1541.95</v>
      </c>
      <c r="H1135" s="3">
        <f t="shared" si="51"/>
        <v>0</v>
      </c>
      <c r="I1135" s="29">
        <f t="shared" si="52"/>
        <v>79</v>
      </c>
      <c r="J1135" s="31" t="str">
        <f t="shared" si="53"/>
        <v>61-90</v>
      </c>
      <c r="K1135"/>
    </row>
    <row r="1136" spans="1:11" x14ac:dyDescent="0.3">
      <c r="A1136" s="20" t="s">
        <v>29</v>
      </c>
      <c r="B1136" t="str">
        <f>VLOOKUP(A1136,Customers!A:B,2,FALSE)</f>
        <v>DigitalBridge</v>
      </c>
      <c r="C1136" s="24" t="s">
        <v>1503</v>
      </c>
      <c r="D1136" s="10">
        <v>45976</v>
      </c>
      <c r="E1136" s="10">
        <v>46006</v>
      </c>
      <c r="F1136" s="4">
        <v>2864.12</v>
      </c>
      <c r="G1136" s="3">
        <f>SUMIF(Customer_Payments!B:B,C1136,Customer_Payments!E:E)</f>
        <v>2864.12</v>
      </c>
      <c r="H1136" s="3">
        <f t="shared" si="51"/>
        <v>0</v>
      </c>
      <c r="I1136" s="29">
        <f t="shared" si="52"/>
        <v>85</v>
      </c>
      <c r="J1136" s="31" t="str">
        <f t="shared" si="53"/>
        <v>61-90</v>
      </c>
      <c r="K1136"/>
    </row>
    <row r="1137" spans="1:11" x14ac:dyDescent="0.3">
      <c r="A1137" s="21" t="s">
        <v>28</v>
      </c>
      <c r="B1137" t="str">
        <f>VLOOKUP(A1137,Customers!A:B,2,FALSE)</f>
        <v>FutureCart</v>
      </c>
      <c r="C1137" s="25" t="s">
        <v>1504</v>
      </c>
      <c r="D1137" s="11">
        <v>46031</v>
      </c>
      <c r="E1137" s="11">
        <v>46061</v>
      </c>
      <c r="F1137" s="5">
        <v>1475.97</v>
      </c>
      <c r="G1137" s="3">
        <f>SUMIF(Customer_Payments!B:B,C1137,Customer_Payments!E:E)</f>
        <v>1475.97</v>
      </c>
      <c r="H1137" s="3">
        <f t="shared" si="51"/>
        <v>0</v>
      </c>
      <c r="I1137" s="29">
        <f t="shared" si="52"/>
        <v>30</v>
      </c>
      <c r="J1137" s="31" t="str">
        <f t="shared" si="53"/>
        <v>1-30</v>
      </c>
      <c r="K1137"/>
    </row>
    <row r="1138" spans="1:11" x14ac:dyDescent="0.3">
      <c r="A1138" s="20" t="s">
        <v>83</v>
      </c>
      <c r="B1138" t="str">
        <f>VLOOKUP(A1138,Customers!A:B,2,FALSE)</f>
        <v>RetailCoreX</v>
      </c>
      <c r="C1138" s="24" t="s">
        <v>1505</v>
      </c>
      <c r="D1138" s="10">
        <v>46057</v>
      </c>
      <c r="E1138" s="10">
        <v>46087</v>
      </c>
      <c r="F1138" s="4">
        <v>2889.54</v>
      </c>
      <c r="G1138" s="3">
        <f>SUMIF(Customer_Payments!B:B,C1138,Customer_Payments!E:E)</f>
        <v>2889.54</v>
      </c>
      <c r="H1138" s="3">
        <f t="shared" si="51"/>
        <v>0</v>
      </c>
      <c r="I1138" s="29">
        <f t="shared" si="52"/>
        <v>4</v>
      </c>
      <c r="J1138" s="31" t="str">
        <f t="shared" si="53"/>
        <v>1-30</v>
      </c>
      <c r="K1138"/>
    </row>
    <row r="1139" spans="1:11" x14ac:dyDescent="0.3">
      <c r="A1139" s="21" t="s">
        <v>110</v>
      </c>
      <c r="B1139" t="str">
        <f>VLOOKUP(A1139,Customers!A:B,2,FALSE)</f>
        <v>RetailAxisPro</v>
      </c>
      <c r="C1139" s="25" t="s">
        <v>1506</v>
      </c>
      <c r="D1139" s="11">
        <v>46091</v>
      </c>
      <c r="E1139" s="11">
        <v>46121</v>
      </c>
      <c r="F1139" s="5">
        <v>3108.8</v>
      </c>
      <c r="G1139" s="3">
        <f>SUMIF(Customer_Payments!B:B,C1139,Customer_Payments!E:E)</f>
        <v>3108.8</v>
      </c>
      <c r="H1139" s="3">
        <f t="shared" si="51"/>
        <v>0</v>
      </c>
      <c r="I1139" s="29">
        <f t="shared" si="52"/>
        <v>-30</v>
      </c>
      <c r="J1139" s="31" t="str">
        <f t="shared" si="53"/>
        <v>Current</v>
      </c>
      <c r="K1139"/>
    </row>
    <row r="1140" spans="1:11" x14ac:dyDescent="0.3">
      <c r="A1140" s="20" t="s">
        <v>80</v>
      </c>
      <c r="B1140" t="str">
        <f>VLOOKUP(A1140,Customers!A:B,2,FALSE)</f>
        <v>RetailEdgeX</v>
      </c>
      <c r="C1140" s="24" t="s">
        <v>1507</v>
      </c>
      <c r="D1140" s="10">
        <v>45979</v>
      </c>
      <c r="E1140" s="10">
        <v>46009</v>
      </c>
      <c r="F1140" s="4">
        <v>1928.45</v>
      </c>
      <c r="G1140" s="3">
        <f>SUMIF(Customer_Payments!B:B,C1140,Customer_Payments!E:E)</f>
        <v>0</v>
      </c>
      <c r="H1140" s="3">
        <f t="shared" si="51"/>
        <v>1928.45</v>
      </c>
      <c r="I1140" s="29">
        <f t="shared" si="52"/>
        <v>82</v>
      </c>
      <c r="J1140" s="31" t="str">
        <f t="shared" si="53"/>
        <v>61-90</v>
      </c>
      <c r="K1140"/>
    </row>
    <row r="1141" spans="1:11" x14ac:dyDescent="0.3">
      <c r="A1141" s="21" t="s">
        <v>82</v>
      </c>
      <c r="B1141" t="str">
        <f>VLOOKUP(A1141,Customers!A:B,2,FALSE)</f>
        <v>RetailNovaX</v>
      </c>
      <c r="C1141" s="25" t="s">
        <v>1508</v>
      </c>
      <c r="D1141" s="11">
        <v>46058</v>
      </c>
      <c r="E1141" s="11">
        <v>46088</v>
      </c>
      <c r="F1141" s="5">
        <v>2992.26</v>
      </c>
      <c r="G1141" s="3">
        <f>SUMIF(Customer_Payments!B:B,C1141,Customer_Payments!E:E)</f>
        <v>0</v>
      </c>
      <c r="H1141" s="3">
        <f t="shared" si="51"/>
        <v>2992.26</v>
      </c>
      <c r="I1141" s="29">
        <f t="shared" si="52"/>
        <v>3</v>
      </c>
      <c r="J1141" s="31" t="str">
        <f t="shared" si="53"/>
        <v>1-30</v>
      </c>
      <c r="K1141"/>
    </row>
    <row r="1142" spans="1:11" x14ac:dyDescent="0.3">
      <c r="A1142" s="20" t="s">
        <v>60</v>
      </c>
      <c r="B1142" t="str">
        <f>VLOOKUP(A1142,Customers!A:B,2,FALSE)</f>
        <v>RetailSpark</v>
      </c>
      <c r="C1142" s="24" t="s">
        <v>1509</v>
      </c>
      <c r="D1142" s="10">
        <v>46056</v>
      </c>
      <c r="E1142" s="10">
        <v>46086</v>
      </c>
      <c r="F1142" s="4">
        <v>4671.01</v>
      </c>
      <c r="G1142" s="3">
        <f>SUMIF(Customer_Payments!B:B,C1142,Customer_Payments!E:E)</f>
        <v>4671.01</v>
      </c>
      <c r="H1142" s="3">
        <f t="shared" si="51"/>
        <v>0</v>
      </c>
      <c r="I1142" s="29">
        <f t="shared" si="52"/>
        <v>5</v>
      </c>
      <c r="J1142" s="31" t="str">
        <f t="shared" si="53"/>
        <v>1-30</v>
      </c>
      <c r="K1142"/>
    </row>
    <row r="1143" spans="1:11" x14ac:dyDescent="0.3">
      <c r="A1143" s="21" t="s">
        <v>81</v>
      </c>
      <c r="B1143" t="str">
        <f>VLOOKUP(A1143,Customers!A:B,2,FALSE)</f>
        <v>RetailFlowX</v>
      </c>
      <c r="C1143" s="25" t="s">
        <v>1510</v>
      </c>
      <c r="D1143" s="11">
        <v>46108</v>
      </c>
      <c r="E1143" s="11">
        <v>46138</v>
      </c>
      <c r="F1143" s="5">
        <v>5392.59</v>
      </c>
      <c r="G1143" s="3">
        <f>SUMIF(Customer_Payments!B:B,C1143,Customer_Payments!E:E)</f>
        <v>5392.59</v>
      </c>
      <c r="H1143" s="3">
        <f t="shared" si="51"/>
        <v>0</v>
      </c>
      <c r="I1143" s="29">
        <f t="shared" si="52"/>
        <v>-47</v>
      </c>
      <c r="J1143" s="31" t="str">
        <f t="shared" si="53"/>
        <v>Current</v>
      </c>
      <c r="K1143"/>
    </row>
    <row r="1144" spans="1:11" x14ac:dyDescent="0.3">
      <c r="A1144" s="20" t="s">
        <v>106</v>
      </c>
      <c r="B1144" t="str">
        <f>VLOOKUP(A1144,Customers!A:B,2,FALSE)</f>
        <v>RetailOrbitPro</v>
      </c>
      <c r="C1144" s="24" t="s">
        <v>1511</v>
      </c>
      <c r="D1144" s="10">
        <v>46110</v>
      </c>
      <c r="E1144" s="10">
        <v>46140</v>
      </c>
      <c r="F1144" s="4">
        <v>2560.0500000000002</v>
      </c>
      <c r="G1144" s="3">
        <f>SUMIF(Customer_Payments!B:B,C1144,Customer_Payments!E:E)</f>
        <v>2560.0500000000002</v>
      </c>
      <c r="H1144" s="3">
        <f t="shared" si="51"/>
        <v>0</v>
      </c>
      <c r="I1144" s="29">
        <f t="shared" si="52"/>
        <v>-49</v>
      </c>
      <c r="J1144" s="31" t="str">
        <f t="shared" si="53"/>
        <v>Current</v>
      </c>
      <c r="K1144"/>
    </row>
    <row r="1145" spans="1:11" x14ac:dyDescent="0.3">
      <c r="A1145" s="21" t="s">
        <v>29</v>
      </c>
      <c r="B1145" t="str">
        <f>VLOOKUP(A1145,Customers!A:B,2,FALSE)</f>
        <v>DigitalBridge</v>
      </c>
      <c r="C1145" s="25" t="s">
        <v>1512</v>
      </c>
      <c r="D1145" s="11">
        <v>46049</v>
      </c>
      <c r="E1145" s="11">
        <v>46079</v>
      </c>
      <c r="F1145" s="5">
        <v>4031.26</v>
      </c>
      <c r="G1145" s="3">
        <f>SUMIF(Customer_Payments!B:B,C1145,Customer_Payments!E:E)</f>
        <v>4031.26</v>
      </c>
      <c r="H1145" s="3">
        <f t="shared" si="51"/>
        <v>0</v>
      </c>
      <c r="I1145" s="29">
        <f t="shared" si="52"/>
        <v>12</v>
      </c>
      <c r="J1145" s="31" t="str">
        <f t="shared" si="53"/>
        <v>1-30</v>
      </c>
      <c r="K1145"/>
    </row>
    <row r="1146" spans="1:11" x14ac:dyDescent="0.3">
      <c r="A1146" s="20" t="s">
        <v>110</v>
      </c>
      <c r="B1146" t="str">
        <f>VLOOKUP(A1146,Customers!A:B,2,FALSE)</f>
        <v>RetailAxisPro</v>
      </c>
      <c r="C1146" s="24" t="s">
        <v>1513</v>
      </c>
      <c r="D1146" s="10">
        <v>46005</v>
      </c>
      <c r="E1146" s="10">
        <v>46035</v>
      </c>
      <c r="F1146" s="4">
        <v>3248.09</v>
      </c>
      <c r="G1146" s="3">
        <f>SUMIF(Customer_Payments!B:B,C1146,Customer_Payments!E:E)</f>
        <v>3248.09</v>
      </c>
      <c r="H1146" s="3">
        <f t="shared" si="51"/>
        <v>0</v>
      </c>
      <c r="I1146" s="29">
        <f t="shared" si="52"/>
        <v>56</v>
      </c>
      <c r="J1146" s="31" t="str">
        <f t="shared" si="53"/>
        <v>31-60</v>
      </c>
      <c r="K1146"/>
    </row>
    <row r="1147" spans="1:11" x14ac:dyDescent="0.3">
      <c r="A1147" s="21" t="s">
        <v>73</v>
      </c>
      <c r="B1147" t="str">
        <f>VLOOKUP(A1147,Customers!A:B,2,FALSE)</f>
        <v>RetailWave</v>
      </c>
      <c r="C1147" s="25" t="s">
        <v>1514</v>
      </c>
      <c r="D1147" s="11">
        <v>46092</v>
      </c>
      <c r="E1147" s="11">
        <v>46122</v>
      </c>
      <c r="F1147" s="5">
        <v>12923.32</v>
      </c>
      <c r="G1147" s="3">
        <f>SUMIF(Customer_Payments!B:B,C1147,Customer_Payments!E:E)</f>
        <v>12923.32</v>
      </c>
      <c r="H1147" s="3">
        <f t="shared" si="51"/>
        <v>0</v>
      </c>
      <c r="I1147" s="29">
        <f t="shared" si="52"/>
        <v>-31</v>
      </c>
      <c r="J1147" s="31" t="str">
        <f t="shared" si="53"/>
        <v>Current</v>
      </c>
      <c r="K1147"/>
    </row>
    <row r="1148" spans="1:11" x14ac:dyDescent="0.3">
      <c r="A1148" s="20" t="s">
        <v>83</v>
      </c>
      <c r="B1148" t="str">
        <f>VLOOKUP(A1148,Customers!A:B,2,FALSE)</f>
        <v>RetailCoreX</v>
      </c>
      <c r="C1148" s="24" t="s">
        <v>1515</v>
      </c>
      <c r="D1148" s="10">
        <v>46055</v>
      </c>
      <c r="E1148" s="10">
        <v>46085</v>
      </c>
      <c r="F1148" s="4">
        <v>11577.75</v>
      </c>
      <c r="G1148" s="3">
        <f>SUMIF(Customer_Payments!B:B,C1148,Customer_Payments!E:E)</f>
        <v>11577.75</v>
      </c>
      <c r="H1148" s="3">
        <f t="shared" si="51"/>
        <v>0</v>
      </c>
      <c r="I1148" s="29">
        <f t="shared" si="52"/>
        <v>6</v>
      </c>
      <c r="J1148" s="31" t="str">
        <f t="shared" si="53"/>
        <v>1-30</v>
      </c>
      <c r="K1148"/>
    </row>
    <row r="1149" spans="1:11" x14ac:dyDescent="0.3">
      <c r="A1149" s="21" t="s">
        <v>107</v>
      </c>
      <c r="B1149" t="str">
        <f>VLOOKUP(A1149,Customers!A:B,2,FALSE)</f>
        <v>RetailWorksPro</v>
      </c>
      <c r="C1149" s="25" t="s">
        <v>1516</v>
      </c>
      <c r="D1149" s="11">
        <v>45970</v>
      </c>
      <c r="E1149" s="11">
        <v>46000</v>
      </c>
      <c r="F1149" s="5">
        <v>5434.4</v>
      </c>
      <c r="G1149" s="3">
        <f>SUMIF(Customer_Payments!B:B,C1149,Customer_Payments!E:E)</f>
        <v>5434.4</v>
      </c>
      <c r="H1149" s="3">
        <f t="shared" si="51"/>
        <v>0</v>
      </c>
      <c r="I1149" s="29">
        <f t="shared" si="52"/>
        <v>91</v>
      </c>
      <c r="J1149" s="31" t="str">
        <f t="shared" si="53"/>
        <v>90+</v>
      </c>
      <c r="K1149"/>
    </row>
    <row r="1150" spans="1:11" x14ac:dyDescent="0.3">
      <c r="A1150" s="20" t="s">
        <v>22</v>
      </c>
      <c r="B1150" t="str">
        <f>VLOOKUP(A1150,Customers!A:B,2,FALSE)</f>
        <v>QuantumRetail</v>
      </c>
      <c r="C1150" s="24" t="s">
        <v>1517</v>
      </c>
      <c r="D1150" s="10">
        <v>46003</v>
      </c>
      <c r="E1150" s="10">
        <v>46033</v>
      </c>
      <c r="F1150" s="4">
        <v>2347.85</v>
      </c>
      <c r="G1150" s="3">
        <f>SUMIF(Customer_Payments!B:B,C1150,Customer_Payments!E:E)</f>
        <v>2347.85</v>
      </c>
      <c r="H1150" s="3">
        <f t="shared" si="51"/>
        <v>0</v>
      </c>
      <c r="I1150" s="29">
        <f t="shared" si="52"/>
        <v>58</v>
      </c>
      <c r="J1150" s="31" t="str">
        <f t="shared" si="53"/>
        <v>31-60</v>
      </c>
      <c r="K1150"/>
    </row>
    <row r="1151" spans="1:11" x14ac:dyDescent="0.3">
      <c r="A1151" s="21" t="s">
        <v>76</v>
      </c>
      <c r="B1151" t="str">
        <f>VLOOKUP(A1151,Customers!A:B,2,FALSE)</f>
        <v>RetailSphere</v>
      </c>
      <c r="C1151" s="25" t="s">
        <v>1518</v>
      </c>
      <c r="D1151" s="11">
        <v>46025</v>
      </c>
      <c r="E1151" s="11">
        <v>46055</v>
      </c>
      <c r="F1151" s="5">
        <v>4167.51</v>
      </c>
      <c r="G1151" s="3">
        <f>SUMIF(Customer_Payments!B:B,C1151,Customer_Payments!E:E)</f>
        <v>0</v>
      </c>
      <c r="H1151" s="3">
        <f t="shared" si="51"/>
        <v>4167.51</v>
      </c>
      <c r="I1151" s="29">
        <f t="shared" si="52"/>
        <v>36</v>
      </c>
      <c r="J1151" s="31" t="str">
        <f t="shared" si="53"/>
        <v>31-60</v>
      </c>
      <c r="K1151"/>
    </row>
    <row r="1152" spans="1:11" x14ac:dyDescent="0.3">
      <c r="A1152" s="20" t="s">
        <v>42</v>
      </c>
      <c r="B1152" t="str">
        <f>VLOOKUP(A1152,Customers!A:B,2,FALSE)</f>
        <v>RetailWorks</v>
      </c>
      <c r="C1152" s="24" t="s">
        <v>1519</v>
      </c>
      <c r="D1152" s="10">
        <v>46099</v>
      </c>
      <c r="E1152" s="10">
        <v>46129</v>
      </c>
      <c r="F1152" s="4">
        <v>3106.99</v>
      </c>
      <c r="G1152" s="3">
        <f>SUMIF(Customer_Payments!B:B,C1152,Customer_Payments!E:E)</f>
        <v>3106.99</v>
      </c>
      <c r="H1152" s="3">
        <f t="shared" si="51"/>
        <v>0</v>
      </c>
      <c r="I1152" s="29">
        <f t="shared" si="52"/>
        <v>-38</v>
      </c>
      <c r="J1152" s="31" t="str">
        <f t="shared" si="53"/>
        <v>Current</v>
      </c>
      <c r="K1152"/>
    </row>
    <row r="1153" spans="1:11" x14ac:dyDescent="0.3">
      <c r="A1153" s="21" t="s">
        <v>123</v>
      </c>
      <c r="B1153" t="str">
        <f>VLOOKUP(A1153,Customers!A:B,2,FALSE)</f>
        <v>RetailFlowGlobal</v>
      </c>
      <c r="C1153" s="25" t="s">
        <v>1520</v>
      </c>
      <c r="D1153" s="11">
        <v>46058</v>
      </c>
      <c r="E1153" s="11">
        <v>46088</v>
      </c>
      <c r="F1153" s="5">
        <v>2632.46</v>
      </c>
      <c r="G1153" s="3">
        <f>SUMIF(Customer_Payments!B:B,C1153,Customer_Payments!E:E)</f>
        <v>2632.46</v>
      </c>
      <c r="H1153" s="3">
        <f t="shared" si="51"/>
        <v>0</v>
      </c>
      <c r="I1153" s="29">
        <f t="shared" si="52"/>
        <v>3</v>
      </c>
      <c r="J1153" s="31" t="str">
        <f t="shared" si="53"/>
        <v>1-30</v>
      </c>
      <c r="K1153"/>
    </row>
    <row r="1154" spans="1:11" x14ac:dyDescent="0.3">
      <c r="A1154" s="20" t="s">
        <v>13</v>
      </c>
      <c r="B1154" t="str">
        <f>VLOOKUP(A1154,Customers!A:B,2,FALSE)</f>
        <v>EduNova</v>
      </c>
      <c r="C1154" s="24" t="s">
        <v>1521</v>
      </c>
      <c r="D1154" s="10">
        <v>45977</v>
      </c>
      <c r="E1154" s="10">
        <v>46007</v>
      </c>
      <c r="F1154" s="4">
        <v>11988.07</v>
      </c>
      <c r="G1154" s="3">
        <f>SUMIF(Customer_Payments!B:B,C1154,Customer_Payments!E:E)</f>
        <v>0</v>
      </c>
      <c r="H1154" s="3">
        <f t="shared" ref="H1154:H1217" si="54">MAX(F1154-G1154,0)</f>
        <v>11988.07</v>
      </c>
      <c r="I1154" s="29">
        <f t="shared" ref="I1154:I1217" si="55">$L$2-E1154</f>
        <v>84</v>
      </c>
      <c r="J1154" s="31" t="str">
        <f t="shared" si="53"/>
        <v>61-90</v>
      </c>
      <c r="K1154"/>
    </row>
    <row r="1155" spans="1:11" x14ac:dyDescent="0.3">
      <c r="A1155" s="21" t="s">
        <v>85</v>
      </c>
      <c r="B1155" t="str">
        <f>VLOOKUP(A1155,Customers!A:B,2,FALSE)</f>
        <v>RetailWorksX</v>
      </c>
      <c r="C1155" s="25" t="s">
        <v>1522</v>
      </c>
      <c r="D1155" s="11">
        <v>46015</v>
      </c>
      <c r="E1155" s="11">
        <v>46045</v>
      </c>
      <c r="F1155" s="5">
        <v>1702.22</v>
      </c>
      <c r="G1155" s="3">
        <f>SUMIF(Customer_Payments!B:B,C1155,Customer_Payments!E:E)</f>
        <v>1702.22</v>
      </c>
      <c r="H1155" s="3">
        <f t="shared" si="54"/>
        <v>0</v>
      </c>
      <c r="I1155" s="29">
        <f t="shared" si="55"/>
        <v>46</v>
      </c>
      <c r="J1155" s="31" t="str">
        <f t="shared" ref="J1155:J1218" si="56">IF(I1155&lt;=0,"Current",
IF(I1155&lt;=30,"1-30",
IF(I1155&lt;=60,"31-60",
IF(I1155&lt;=90,"61-90","90+"))))</f>
        <v>31-60</v>
      </c>
      <c r="K1155"/>
    </row>
    <row r="1156" spans="1:11" x14ac:dyDescent="0.3">
      <c r="A1156" s="20" t="s">
        <v>29</v>
      </c>
      <c r="B1156" t="str">
        <f>VLOOKUP(A1156,Customers!A:B,2,FALSE)</f>
        <v>DigitalBridge</v>
      </c>
      <c r="C1156" s="24" t="s">
        <v>1523</v>
      </c>
      <c r="D1156" s="10">
        <v>46047</v>
      </c>
      <c r="E1156" s="10">
        <v>46077</v>
      </c>
      <c r="F1156" s="4">
        <v>9807.92</v>
      </c>
      <c r="G1156" s="3">
        <f>SUMIF(Customer_Payments!B:B,C1156,Customer_Payments!E:E)</f>
        <v>0</v>
      </c>
      <c r="H1156" s="3">
        <f t="shared" si="54"/>
        <v>9807.92</v>
      </c>
      <c r="I1156" s="29">
        <f t="shared" si="55"/>
        <v>14</v>
      </c>
      <c r="J1156" s="31" t="str">
        <f t="shared" si="56"/>
        <v>1-30</v>
      </c>
      <c r="K1156"/>
    </row>
    <row r="1157" spans="1:11" x14ac:dyDescent="0.3">
      <c r="A1157" s="21" t="s">
        <v>121</v>
      </c>
      <c r="B1157" t="str">
        <f>VLOOKUP(A1157,Customers!A:B,2,FALSE)</f>
        <v>RetailVisionGlobal</v>
      </c>
      <c r="C1157" s="25" t="s">
        <v>1524</v>
      </c>
      <c r="D1157" s="11">
        <v>46086</v>
      </c>
      <c r="E1157" s="11">
        <v>46116</v>
      </c>
      <c r="F1157" s="5">
        <v>5570.98</v>
      </c>
      <c r="G1157" s="3">
        <f>SUMIF(Customer_Payments!B:B,C1157,Customer_Payments!E:E)</f>
        <v>5570.98</v>
      </c>
      <c r="H1157" s="3">
        <f t="shared" si="54"/>
        <v>0</v>
      </c>
      <c r="I1157" s="29">
        <f t="shared" si="55"/>
        <v>-25</v>
      </c>
      <c r="J1157" s="31" t="str">
        <f t="shared" si="56"/>
        <v>Current</v>
      </c>
      <c r="K1157"/>
    </row>
    <row r="1158" spans="1:11" x14ac:dyDescent="0.3">
      <c r="A1158" s="20" t="s">
        <v>32</v>
      </c>
      <c r="B1158" t="str">
        <f>VLOOKUP(A1158,Customers!A:B,2,FALSE)</f>
        <v>RetailVista</v>
      </c>
      <c r="C1158" s="24" t="s">
        <v>1525</v>
      </c>
      <c r="D1158" s="10">
        <v>45983</v>
      </c>
      <c r="E1158" s="10">
        <v>46013</v>
      </c>
      <c r="F1158" s="4">
        <v>5442.81</v>
      </c>
      <c r="G1158" s="3">
        <f>SUMIF(Customer_Payments!B:B,C1158,Customer_Payments!E:E)</f>
        <v>5442.81</v>
      </c>
      <c r="H1158" s="3">
        <f t="shared" si="54"/>
        <v>0</v>
      </c>
      <c r="I1158" s="29">
        <f t="shared" si="55"/>
        <v>78</v>
      </c>
      <c r="J1158" s="31" t="str">
        <f t="shared" si="56"/>
        <v>61-90</v>
      </c>
      <c r="K1158"/>
    </row>
    <row r="1159" spans="1:11" x14ac:dyDescent="0.3">
      <c r="A1159" s="21" t="s">
        <v>48</v>
      </c>
      <c r="B1159" t="str">
        <f>VLOOKUP(A1159,Customers!A:B,2,FALSE)</f>
        <v>RetailGenius</v>
      </c>
      <c r="C1159" s="25" t="s">
        <v>1526</v>
      </c>
      <c r="D1159" s="11">
        <v>46052</v>
      </c>
      <c r="E1159" s="11">
        <v>46082</v>
      </c>
      <c r="F1159" s="5">
        <v>1927.33</v>
      </c>
      <c r="G1159" s="3">
        <f>SUMIF(Customer_Payments!B:B,C1159,Customer_Payments!E:E)</f>
        <v>0</v>
      </c>
      <c r="H1159" s="3">
        <f t="shared" si="54"/>
        <v>1927.33</v>
      </c>
      <c r="I1159" s="29">
        <f t="shared" si="55"/>
        <v>9</v>
      </c>
      <c r="J1159" s="31" t="str">
        <f t="shared" si="56"/>
        <v>1-30</v>
      </c>
      <c r="K1159"/>
    </row>
    <row r="1160" spans="1:11" x14ac:dyDescent="0.3">
      <c r="A1160" s="20" t="s">
        <v>55</v>
      </c>
      <c r="B1160" t="str">
        <f>VLOOKUP(A1160,Customers!A:B,2,FALSE)</f>
        <v>CommerceLabs</v>
      </c>
      <c r="C1160" s="24" t="s">
        <v>1527</v>
      </c>
      <c r="D1160" s="10">
        <v>46057</v>
      </c>
      <c r="E1160" s="10">
        <v>46087</v>
      </c>
      <c r="F1160" s="4">
        <v>4196.13</v>
      </c>
      <c r="G1160" s="3">
        <f>SUMIF(Customer_Payments!B:B,C1160,Customer_Payments!E:E)</f>
        <v>0</v>
      </c>
      <c r="H1160" s="3">
        <f t="shared" si="54"/>
        <v>4196.13</v>
      </c>
      <c r="I1160" s="29">
        <f t="shared" si="55"/>
        <v>4</v>
      </c>
      <c r="J1160" s="31" t="str">
        <f t="shared" si="56"/>
        <v>1-30</v>
      </c>
      <c r="K1160"/>
    </row>
    <row r="1161" spans="1:11" x14ac:dyDescent="0.3">
      <c r="A1161" s="21" t="s">
        <v>62</v>
      </c>
      <c r="B1161" t="str">
        <f>VLOOKUP(A1161,Customers!A:B,2,FALSE)</f>
        <v>MarketNova</v>
      </c>
      <c r="C1161" s="25" t="s">
        <v>1528</v>
      </c>
      <c r="D1161" s="11">
        <v>46087</v>
      </c>
      <c r="E1161" s="11">
        <v>46117</v>
      </c>
      <c r="F1161" s="5">
        <v>4147.0600000000004</v>
      </c>
      <c r="G1161" s="3">
        <f>SUMIF(Customer_Payments!B:B,C1161,Customer_Payments!E:E)</f>
        <v>4147.0600000000004</v>
      </c>
      <c r="H1161" s="3">
        <f t="shared" si="54"/>
        <v>0</v>
      </c>
      <c r="I1161" s="29">
        <f t="shared" si="55"/>
        <v>-26</v>
      </c>
      <c r="J1161" s="31" t="str">
        <f t="shared" si="56"/>
        <v>Current</v>
      </c>
      <c r="K1161"/>
    </row>
    <row r="1162" spans="1:11" x14ac:dyDescent="0.3">
      <c r="A1162" s="20" t="s">
        <v>54</v>
      </c>
      <c r="B1162" t="str">
        <f>VLOOKUP(A1162,Customers!A:B,2,FALSE)</f>
        <v>RetailEdge</v>
      </c>
      <c r="C1162" s="24" t="s">
        <v>1529</v>
      </c>
      <c r="D1162" s="10">
        <v>46039</v>
      </c>
      <c r="E1162" s="10">
        <v>46069</v>
      </c>
      <c r="F1162" s="4">
        <v>4432.33</v>
      </c>
      <c r="G1162" s="3">
        <f>SUMIF(Customer_Payments!B:B,C1162,Customer_Payments!E:E)</f>
        <v>4432.33</v>
      </c>
      <c r="H1162" s="3">
        <f t="shared" si="54"/>
        <v>0</v>
      </c>
      <c r="I1162" s="29">
        <f t="shared" si="55"/>
        <v>22</v>
      </c>
      <c r="J1162" s="31" t="str">
        <f t="shared" si="56"/>
        <v>1-30</v>
      </c>
      <c r="K1162"/>
    </row>
    <row r="1163" spans="1:11" x14ac:dyDescent="0.3">
      <c r="A1163" s="21" t="s">
        <v>41</v>
      </c>
      <c r="B1163" t="str">
        <f>VLOOKUP(A1163,Customers!A:B,2,FALSE)</f>
        <v>DynamicRetail</v>
      </c>
      <c r="C1163" s="25" t="s">
        <v>1530</v>
      </c>
      <c r="D1163" s="11">
        <v>45985</v>
      </c>
      <c r="E1163" s="11">
        <v>46015</v>
      </c>
      <c r="F1163" s="5">
        <v>4915.4799999999996</v>
      </c>
      <c r="G1163" s="3">
        <f>SUMIF(Customer_Payments!B:B,C1163,Customer_Payments!E:E)</f>
        <v>4915.4799999999996</v>
      </c>
      <c r="H1163" s="3">
        <f t="shared" si="54"/>
        <v>0</v>
      </c>
      <c r="I1163" s="29">
        <f t="shared" si="55"/>
        <v>76</v>
      </c>
      <c r="J1163" s="31" t="str">
        <f t="shared" si="56"/>
        <v>61-90</v>
      </c>
      <c r="K1163"/>
    </row>
    <row r="1164" spans="1:11" x14ac:dyDescent="0.3">
      <c r="A1164" s="20" t="s">
        <v>42</v>
      </c>
      <c r="B1164" t="str">
        <f>VLOOKUP(A1164,Customers!A:B,2,FALSE)</f>
        <v>RetailWorks</v>
      </c>
      <c r="C1164" s="24" t="s">
        <v>1531</v>
      </c>
      <c r="D1164" s="10">
        <v>46005</v>
      </c>
      <c r="E1164" s="10">
        <v>46035</v>
      </c>
      <c r="F1164" s="4">
        <v>4671.78</v>
      </c>
      <c r="G1164" s="3">
        <f>SUMIF(Customer_Payments!B:B,C1164,Customer_Payments!E:E)</f>
        <v>4671.78</v>
      </c>
      <c r="H1164" s="3">
        <f t="shared" si="54"/>
        <v>0</v>
      </c>
      <c r="I1164" s="29">
        <f t="shared" si="55"/>
        <v>56</v>
      </c>
      <c r="J1164" s="31" t="str">
        <f t="shared" si="56"/>
        <v>31-60</v>
      </c>
      <c r="K1164"/>
    </row>
    <row r="1165" spans="1:11" x14ac:dyDescent="0.3">
      <c r="A1165" s="21" t="s">
        <v>104</v>
      </c>
      <c r="B1165" t="str">
        <f>VLOOKUP(A1165,Customers!A:B,2,FALSE)</f>
        <v>RetailCorePro</v>
      </c>
      <c r="C1165" s="25" t="s">
        <v>1532</v>
      </c>
      <c r="D1165" s="11">
        <v>46066</v>
      </c>
      <c r="E1165" s="11">
        <v>46096</v>
      </c>
      <c r="F1165" s="5">
        <v>4222.22</v>
      </c>
      <c r="G1165" s="3">
        <f>SUMIF(Customer_Payments!B:B,C1165,Customer_Payments!E:E)</f>
        <v>4222.22</v>
      </c>
      <c r="H1165" s="3">
        <f t="shared" si="54"/>
        <v>0</v>
      </c>
      <c r="I1165" s="29">
        <f t="shared" si="55"/>
        <v>-5</v>
      </c>
      <c r="J1165" s="31" t="str">
        <f t="shared" si="56"/>
        <v>Current</v>
      </c>
      <c r="K1165"/>
    </row>
    <row r="1166" spans="1:11" x14ac:dyDescent="0.3">
      <c r="A1166" s="20" t="s">
        <v>108</v>
      </c>
      <c r="B1166" t="str">
        <f>VLOOKUP(A1166,Customers!A:B,2,FALSE)</f>
        <v>RetailNextPro</v>
      </c>
      <c r="C1166" s="24" t="s">
        <v>1533</v>
      </c>
      <c r="D1166" s="10">
        <v>46098</v>
      </c>
      <c r="E1166" s="10">
        <v>46128</v>
      </c>
      <c r="F1166" s="4">
        <v>2219.85</v>
      </c>
      <c r="G1166" s="3">
        <f>SUMIF(Customer_Payments!B:B,C1166,Customer_Payments!E:E)</f>
        <v>2219.85</v>
      </c>
      <c r="H1166" s="3">
        <f t="shared" si="54"/>
        <v>0</v>
      </c>
      <c r="I1166" s="29">
        <f t="shared" si="55"/>
        <v>-37</v>
      </c>
      <c r="J1166" s="31" t="str">
        <f t="shared" si="56"/>
        <v>Current</v>
      </c>
      <c r="K1166"/>
    </row>
    <row r="1167" spans="1:11" x14ac:dyDescent="0.3">
      <c r="A1167" s="21" t="s">
        <v>116</v>
      </c>
      <c r="B1167" t="str">
        <f>VLOOKUP(A1167,Customers!A:B,2,FALSE)</f>
        <v>RetailLabsPro</v>
      </c>
      <c r="C1167" s="25" t="s">
        <v>1534</v>
      </c>
      <c r="D1167" s="11">
        <v>46016</v>
      </c>
      <c r="E1167" s="11">
        <v>46046</v>
      </c>
      <c r="F1167" s="5">
        <v>2125.9899999999998</v>
      </c>
      <c r="G1167" s="3">
        <f>SUMIF(Customer_Payments!B:B,C1167,Customer_Payments!E:E)</f>
        <v>0</v>
      </c>
      <c r="H1167" s="3">
        <f t="shared" si="54"/>
        <v>2125.9899999999998</v>
      </c>
      <c r="I1167" s="29">
        <f t="shared" si="55"/>
        <v>45</v>
      </c>
      <c r="J1167" s="31" t="str">
        <f t="shared" si="56"/>
        <v>31-60</v>
      </c>
      <c r="K1167"/>
    </row>
    <row r="1168" spans="1:11" x14ac:dyDescent="0.3">
      <c r="A1168" s="20" t="s">
        <v>34</v>
      </c>
      <c r="B1168" t="str">
        <f>VLOOKUP(A1168,Customers!A:B,2,FALSE)</f>
        <v>OptiCommerce</v>
      </c>
      <c r="C1168" s="24" t="s">
        <v>1535</v>
      </c>
      <c r="D1168" s="10">
        <v>45974</v>
      </c>
      <c r="E1168" s="10">
        <v>46004</v>
      </c>
      <c r="F1168" s="4">
        <v>4172.95</v>
      </c>
      <c r="G1168" s="3">
        <f>SUMIF(Customer_Payments!B:B,C1168,Customer_Payments!E:E)</f>
        <v>4172.95</v>
      </c>
      <c r="H1168" s="3">
        <f t="shared" si="54"/>
        <v>0</v>
      </c>
      <c r="I1168" s="29">
        <f t="shared" si="55"/>
        <v>87</v>
      </c>
      <c r="J1168" s="31" t="str">
        <f t="shared" si="56"/>
        <v>61-90</v>
      </c>
      <c r="K1168"/>
    </row>
    <row r="1169" spans="1:11" x14ac:dyDescent="0.3">
      <c r="A1169" s="21" t="s">
        <v>61</v>
      </c>
      <c r="B1169" t="str">
        <f>VLOOKUP(A1169,Customers!A:B,2,FALSE)</f>
        <v>RetailOrbit</v>
      </c>
      <c r="C1169" s="25" t="s">
        <v>1536</v>
      </c>
      <c r="D1169" s="11">
        <v>46059</v>
      </c>
      <c r="E1169" s="11">
        <v>46089</v>
      </c>
      <c r="F1169" s="5">
        <v>3462.88</v>
      </c>
      <c r="G1169" s="3">
        <f>SUMIF(Customer_Payments!B:B,C1169,Customer_Payments!E:E)</f>
        <v>3462.88</v>
      </c>
      <c r="H1169" s="3">
        <f t="shared" si="54"/>
        <v>0</v>
      </c>
      <c r="I1169" s="29">
        <f t="shared" si="55"/>
        <v>2</v>
      </c>
      <c r="J1169" s="31" t="str">
        <f t="shared" si="56"/>
        <v>1-30</v>
      </c>
      <c r="K1169"/>
    </row>
    <row r="1170" spans="1:11" x14ac:dyDescent="0.3">
      <c r="A1170" s="20" t="s">
        <v>35</v>
      </c>
      <c r="B1170" t="str">
        <f>VLOOKUP(A1170,Customers!A:B,2,FALSE)</f>
        <v>FusionRetail</v>
      </c>
      <c r="C1170" s="24" t="s">
        <v>1537</v>
      </c>
      <c r="D1170" s="10">
        <v>46019</v>
      </c>
      <c r="E1170" s="10">
        <v>46049</v>
      </c>
      <c r="F1170" s="4">
        <v>2068.27</v>
      </c>
      <c r="G1170" s="3">
        <f>SUMIF(Customer_Payments!B:B,C1170,Customer_Payments!E:E)</f>
        <v>2068.27</v>
      </c>
      <c r="H1170" s="3">
        <f t="shared" si="54"/>
        <v>0</v>
      </c>
      <c r="I1170" s="29">
        <f t="shared" si="55"/>
        <v>42</v>
      </c>
      <c r="J1170" s="31" t="str">
        <f t="shared" si="56"/>
        <v>31-60</v>
      </c>
      <c r="K1170"/>
    </row>
    <row r="1171" spans="1:11" x14ac:dyDescent="0.3">
      <c r="A1171" s="21" t="s">
        <v>12</v>
      </c>
      <c r="B1171" t="str">
        <f>VLOOKUP(A1171,Customers!A:B,2,FALSE)</f>
        <v>ShopOrbit</v>
      </c>
      <c r="C1171" s="25" t="s">
        <v>1538</v>
      </c>
      <c r="D1171" s="11">
        <v>46039</v>
      </c>
      <c r="E1171" s="11">
        <v>46069</v>
      </c>
      <c r="F1171" s="5">
        <v>4124.75</v>
      </c>
      <c r="G1171" s="3">
        <f>SUMIF(Customer_Payments!B:B,C1171,Customer_Payments!E:E)</f>
        <v>4124.75</v>
      </c>
      <c r="H1171" s="3">
        <f t="shared" si="54"/>
        <v>0</v>
      </c>
      <c r="I1171" s="29">
        <f t="shared" si="55"/>
        <v>22</v>
      </c>
      <c r="J1171" s="31" t="str">
        <f t="shared" si="56"/>
        <v>1-30</v>
      </c>
      <c r="K1171"/>
    </row>
    <row r="1172" spans="1:11" x14ac:dyDescent="0.3">
      <c r="A1172" s="20" t="s">
        <v>74</v>
      </c>
      <c r="B1172" t="str">
        <f>VLOOKUP(A1172,Customers!A:B,2,FALSE)</f>
        <v>RetailPrime</v>
      </c>
      <c r="C1172" s="24" t="s">
        <v>1539</v>
      </c>
      <c r="D1172" s="10">
        <v>45980</v>
      </c>
      <c r="E1172" s="10">
        <v>46010</v>
      </c>
      <c r="F1172" s="4">
        <v>3589.53</v>
      </c>
      <c r="G1172" s="3">
        <f>SUMIF(Customer_Payments!B:B,C1172,Customer_Payments!E:E)</f>
        <v>3589.53</v>
      </c>
      <c r="H1172" s="3">
        <f t="shared" si="54"/>
        <v>0</v>
      </c>
      <c r="I1172" s="29">
        <f t="shared" si="55"/>
        <v>81</v>
      </c>
      <c r="J1172" s="31" t="str">
        <f t="shared" si="56"/>
        <v>61-90</v>
      </c>
      <c r="K1172"/>
    </row>
    <row r="1173" spans="1:11" x14ac:dyDescent="0.3">
      <c r="A1173" s="21" t="s">
        <v>64</v>
      </c>
      <c r="B1173" t="str">
        <f>VLOOKUP(A1173,Customers!A:B,2,FALSE)</f>
        <v>MarketScale</v>
      </c>
      <c r="C1173" s="25" t="s">
        <v>1540</v>
      </c>
      <c r="D1173" s="11">
        <v>45994</v>
      </c>
      <c r="E1173" s="11">
        <v>46024</v>
      </c>
      <c r="F1173" s="5">
        <v>11900.49</v>
      </c>
      <c r="G1173" s="3">
        <f>SUMIF(Customer_Payments!B:B,C1173,Customer_Payments!E:E)</f>
        <v>0</v>
      </c>
      <c r="H1173" s="3">
        <f t="shared" si="54"/>
        <v>11900.49</v>
      </c>
      <c r="I1173" s="29">
        <f t="shared" si="55"/>
        <v>67</v>
      </c>
      <c r="J1173" s="31" t="str">
        <f t="shared" si="56"/>
        <v>61-90</v>
      </c>
      <c r="K1173"/>
    </row>
    <row r="1174" spans="1:11" x14ac:dyDescent="0.3">
      <c r="A1174" s="20" t="s">
        <v>59</v>
      </c>
      <c r="B1174" t="str">
        <f>VLOOKUP(A1174,Customers!A:B,2,FALSE)</f>
        <v>MarketBridge</v>
      </c>
      <c r="C1174" s="24" t="s">
        <v>1541</v>
      </c>
      <c r="D1174" s="10">
        <v>46009</v>
      </c>
      <c r="E1174" s="10">
        <v>46039</v>
      </c>
      <c r="F1174" s="4">
        <v>10754.46</v>
      </c>
      <c r="G1174" s="3">
        <f>SUMIF(Customer_Payments!B:B,C1174,Customer_Payments!E:E)</f>
        <v>10754.46</v>
      </c>
      <c r="H1174" s="3">
        <f t="shared" si="54"/>
        <v>0</v>
      </c>
      <c r="I1174" s="29">
        <f t="shared" si="55"/>
        <v>52</v>
      </c>
      <c r="J1174" s="31" t="str">
        <f t="shared" si="56"/>
        <v>31-60</v>
      </c>
      <c r="K1174"/>
    </row>
    <row r="1175" spans="1:11" x14ac:dyDescent="0.3">
      <c r="A1175" s="21" t="s">
        <v>18</v>
      </c>
      <c r="B1175" t="str">
        <f>VLOOKUP(A1175,Customers!A:B,2,FALSE)</f>
        <v>BluePeak Systems</v>
      </c>
      <c r="C1175" s="25" t="s">
        <v>1542</v>
      </c>
      <c r="D1175" s="11">
        <v>46078</v>
      </c>
      <c r="E1175" s="11">
        <v>46108</v>
      </c>
      <c r="F1175" s="5">
        <v>4265.42</v>
      </c>
      <c r="G1175" s="3">
        <f>SUMIF(Customer_Payments!B:B,C1175,Customer_Payments!E:E)</f>
        <v>4265.42</v>
      </c>
      <c r="H1175" s="3">
        <f t="shared" si="54"/>
        <v>0</v>
      </c>
      <c r="I1175" s="29">
        <f t="shared" si="55"/>
        <v>-17</v>
      </c>
      <c r="J1175" s="31" t="str">
        <f t="shared" si="56"/>
        <v>Current</v>
      </c>
      <c r="K1175"/>
    </row>
    <row r="1176" spans="1:11" x14ac:dyDescent="0.3">
      <c r="A1176" s="20" t="s">
        <v>116</v>
      </c>
      <c r="B1176" t="str">
        <f>VLOOKUP(A1176,Customers!A:B,2,FALSE)</f>
        <v>RetailLabsPro</v>
      </c>
      <c r="C1176" s="24" t="s">
        <v>1543</v>
      </c>
      <c r="D1176" s="10">
        <v>45970</v>
      </c>
      <c r="E1176" s="10">
        <v>46000</v>
      </c>
      <c r="F1176" s="4">
        <v>2975.74</v>
      </c>
      <c r="G1176" s="3">
        <f>SUMIF(Customer_Payments!B:B,C1176,Customer_Payments!E:E)</f>
        <v>2975.74</v>
      </c>
      <c r="H1176" s="3">
        <f t="shared" si="54"/>
        <v>0</v>
      </c>
      <c r="I1176" s="29">
        <f t="shared" si="55"/>
        <v>91</v>
      </c>
      <c r="J1176" s="31" t="str">
        <f t="shared" si="56"/>
        <v>90+</v>
      </c>
      <c r="K1176"/>
    </row>
    <row r="1177" spans="1:11" x14ac:dyDescent="0.3">
      <c r="A1177" s="21" t="s">
        <v>24</v>
      </c>
      <c r="B1177" t="str">
        <f>VLOOKUP(A1177,Customers!A:B,2,FALSE)</f>
        <v>OmniTrade</v>
      </c>
      <c r="C1177" s="25" t="s">
        <v>1544</v>
      </c>
      <c r="D1177" s="11">
        <v>46071</v>
      </c>
      <c r="E1177" s="11">
        <v>46101</v>
      </c>
      <c r="F1177" s="5">
        <v>3846.2</v>
      </c>
      <c r="G1177" s="3">
        <f>SUMIF(Customer_Payments!B:B,C1177,Customer_Payments!E:E)</f>
        <v>3846.2</v>
      </c>
      <c r="H1177" s="3">
        <f t="shared" si="54"/>
        <v>0</v>
      </c>
      <c r="I1177" s="29">
        <f t="shared" si="55"/>
        <v>-10</v>
      </c>
      <c r="J1177" s="31" t="str">
        <f t="shared" si="56"/>
        <v>Current</v>
      </c>
      <c r="K1177"/>
    </row>
    <row r="1178" spans="1:11" x14ac:dyDescent="0.3">
      <c r="A1178" s="20" t="s">
        <v>97</v>
      </c>
      <c r="B1178" t="str">
        <f>VLOOKUP(A1178,Customers!A:B,2,FALSE)</f>
        <v>RetailSparkX</v>
      </c>
      <c r="C1178" s="24" t="s">
        <v>1545</v>
      </c>
      <c r="D1178" s="10">
        <v>46000</v>
      </c>
      <c r="E1178" s="10">
        <v>46030</v>
      </c>
      <c r="F1178" s="4">
        <v>1731.86</v>
      </c>
      <c r="G1178" s="3">
        <f>SUMIF(Customer_Payments!B:B,C1178,Customer_Payments!E:E)</f>
        <v>1731.86</v>
      </c>
      <c r="H1178" s="3">
        <f t="shared" si="54"/>
        <v>0</v>
      </c>
      <c r="I1178" s="29">
        <f t="shared" si="55"/>
        <v>61</v>
      </c>
      <c r="J1178" s="31" t="str">
        <f t="shared" si="56"/>
        <v>61-90</v>
      </c>
      <c r="K1178"/>
    </row>
    <row r="1179" spans="1:11" x14ac:dyDescent="0.3">
      <c r="A1179" s="21" t="s">
        <v>95</v>
      </c>
      <c r="B1179" t="str">
        <f>VLOOKUP(A1179,Customers!A:B,2,FALSE)</f>
        <v>RetailScaleX</v>
      </c>
      <c r="C1179" s="25" t="s">
        <v>1546</v>
      </c>
      <c r="D1179" s="11">
        <v>46098</v>
      </c>
      <c r="E1179" s="11">
        <v>46128</v>
      </c>
      <c r="F1179" s="5">
        <v>1440.98</v>
      </c>
      <c r="G1179" s="3">
        <f>SUMIF(Customer_Payments!B:B,C1179,Customer_Payments!E:E)</f>
        <v>1440.98</v>
      </c>
      <c r="H1179" s="3">
        <f t="shared" si="54"/>
        <v>0</v>
      </c>
      <c r="I1179" s="29">
        <f t="shared" si="55"/>
        <v>-37</v>
      </c>
      <c r="J1179" s="31" t="str">
        <f t="shared" si="56"/>
        <v>Current</v>
      </c>
      <c r="K1179"/>
    </row>
    <row r="1180" spans="1:11" x14ac:dyDescent="0.3">
      <c r="A1180" s="20" t="s">
        <v>96</v>
      </c>
      <c r="B1180" t="str">
        <f>VLOOKUP(A1180,Customers!A:B,2,FALSE)</f>
        <v>RetailLabs</v>
      </c>
      <c r="C1180" s="24" t="s">
        <v>1547</v>
      </c>
      <c r="D1180" s="10">
        <v>45999</v>
      </c>
      <c r="E1180" s="10">
        <v>46029</v>
      </c>
      <c r="F1180" s="4">
        <v>2530.92</v>
      </c>
      <c r="G1180" s="3">
        <f>SUMIF(Customer_Payments!B:B,C1180,Customer_Payments!E:E)</f>
        <v>0</v>
      </c>
      <c r="H1180" s="3">
        <f t="shared" si="54"/>
        <v>2530.92</v>
      </c>
      <c r="I1180" s="29">
        <f t="shared" si="55"/>
        <v>62</v>
      </c>
      <c r="J1180" s="31" t="str">
        <f t="shared" si="56"/>
        <v>61-90</v>
      </c>
      <c r="K1180"/>
    </row>
    <row r="1181" spans="1:11" x14ac:dyDescent="0.3">
      <c r="A1181" s="21" t="s">
        <v>17</v>
      </c>
      <c r="B1181" t="str">
        <f>VLOOKUP(A1181,Customers!A:B,2,FALSE)</f>
        <v>AlphaCommerce</v>
      </c>
      <c r="C1181" s="25" t="s">
        <v>1548</v>
      </c>
      <c r="D1181" s="11">
        <v>46001</v>
      </c>
      <c r="E1181" s="11">
        <v>46031</v>
      </c>
      <c r="F1181" s="5">
        <v>3559.41</v>
      </c>
      <c r="G1181" s="3">
        <f>SUMIF(Customer_Payments!B:B,C1181,Customer_Payments!E:E)</f>
        <v>0</v>
      </c>
      <c r="H1181" s="3">
        <f t="shared" si="54"/>
        <v>3559.41</v>
      </c>
      <c r="I1181" s="29">
        <f t="shared" si="55"/>
        <v>60</v>
      </c>
      <c r="J1181" s="31" t="str">
        <f t="shared" si="56"/>
        <v>31-60</v>
      </c>
      <c r="K1181"/>
    </row>
    <row r="1182" spans="1:11" x14ac:dyDescent="0.3">
      <c r="A1182" s="20" t="s">
        <v>123</v>
      </c>
      <c r="B1182" t="str">
        <f>VLOOKUP(A1182,Customers!A:B,2,FALSE)</f>
        <v>RetailFlowGlobal</v>
      </c>
      <c r="C1182" s="24" t="s">
        <v>1549</v>
      </c>
      <c r="D1182" s="10">
        <v>46045</v>
      </c>
      <c r="E1182" s="10">
        <v>46075</v>
      </c>
      <c r="F1182" s="4">
        <v>4033.19</v>
      </c>
      <c r="G1182" s="3">
        <f>SUMIF(Customer_Payments!B:B,C1182,Customer_Payments!E:E)</f>
        <v>4033.19</v>
      </c>
      <c r="H1182" s="3">
        <f t="shared" si="54"/>
        <v>0</v>
      </c>
      <c r="I1182" s="29">
        <f t="shared" si="55"/>
        <v>16</v>
      </c>
      <c r="J1182" s="31" t="str">
        <f t="shared" si="56"/>
        <v>1-30</v>
      </c>
      <c r="K1182"/>
    </row>
    <row r="1183" spans="1:11" x14ac:dyDescent="0.3">
      <c r="A1183" s="21" t="s">
        <v>66</v>
      </c>
      <c r="B1183" t="str">
        <f>VLOOKUP(A1183,Customers!A:B,2,FALSE)</f>
        <v>MarketWorks</v>
      </c>
      <c r="C1183" s="25" t="s">
        <v>1550</v>
      </c>
      <c r="D1183" s="11">
        <v>45971</v>
      </c>
      <c r="E1183" s="11">
        <v>46001</v>
      </c>
      <c r="F1183" s="5">
        <v>1702.07</v>
      </c>
      <c r="G1183" s="3">
        <f>SUMIF(Customer_Payments!B:B,C1183,Customer_Payments!E:E)</f>
        <v>1702.07</v>
      </c>
      <c r="H1183" s="3">
        <f t="shared" si="54"/>
        <v>0</v>
      </c>
      <c r="I1183" s="29">
        <f t="shared" si="55"/>
        <v>90</v>
      </c>
      <c r="J1183" s="31" t="str">
        <f t="shared" si="56"/>
        <v>61-90</v>
      </c>
      <c r="K1183"/>
    </row>
    <row r="1184" spans="1:11" x14ac:dyDescent="0.3">
      <c r="A1184" s="20" t="s">
        <v>97</v>
      </c>
      <c r="B1184" t="str">
        <f>VLOOKUP(A1184,Customers!A:B,2,FALSE)</f>
        <v>RetailSparkX</v>
      </c>
      <c r="C1184" s="24" t="s">
        <v>1551</v>
      </c>
      <c r="D1184" s="10">
        <v>45995</v>
      </c>
      <c r="E1184" s="10">
        <v>46025</v>
      </c>
      <c r="F1184" s="4">
        <v>2857.22</v>
      </c>
      <c r="G1184" s="3">
        <f>SUMIF(Customer_Payments!B:B,C1184,Customer_Payments!E:E)</f>
        <v>2857.22</v>
      </c>
      <c r="H1184" s="3">
        <f t="shared" si="54"/>
        <v>0</v>
      </c>
      <c r="I1184" s="29">
        <f t="shared" si="55"/>
        <v>66</v>
      </c>
      <c r="J1184" s="31" t="str">
        <f t="shared" si="56"/>
        <v>61-90</v>
      </c>
      <c r="K1184"/>
    </row>
    <row r="1185" spans="1:11" x14ac:dyDescent="0.3">
      <c r="A1185" s="21" t="s">
        <v>49</v>
      </c>
      <c r="B1185" t="str">
        <f>VLOOKUP(A1185,Customers!A:B,2,FALSE)</f>
        <v>CommercePilot</v>
      </c>
      <c r="C1185" s="25" t="s">
        <v>1552</v>
      </c>
      <c r="D1185" s="11">
        <v>46062</v>
      </c>
      <c r="E1185" s="11">
        <v>46092</v>
      </c>
      <c r="F1185" s="5">
        <v>3072.91</v>
      </c>
      <c r="G1185" s="3">
        <f>SUMIF(Customer_Payments!B:B,C1185,Customer_Payments!E:E)</f>
        <v>3072.91</v>
      </c>
      <c r="H1185" s="3">
        <f t="shared" si="54"/>
        <v>0</v>
      </c>
      <c r="I1185" s="29">
        <f t="shared" si="55"/>
        <v>-1</v>
      </c>
      <c r="J1185" s="31" t="str">
        <f t="shared" si="56"/>
        <v>Current</v>
      </c>
      <c r="K1185"/>
    </row>
    <row r="1186" spans="1:11" x14ac:dyDescent="0.3">
      <c r="A1186" s="20" t="s">
        <v>103</v>
      </c>
      <c r="B1186" t="str">
        <f>VLOOKUP(A1186,Customers!A:B,2,FALSE)</f>
        <v>RetailVisionPro</v>
      </c>
      <c r="C1186" s="24" t="s">
        <v>1553</v>
      </c>
      <c r="D1186" s="10">
        <v>46101</v>
      </c>
      <c r="E1186" s="10">
        <v>46131</v>
      </c>
      <c r="F1186" s="4">
        <v>5079.2700000000004</v>
      </c>
      <c r="G1186" s="3">
        <f>SUMIF(Customer_Payments!B:B,C1186,Customer_Payments!E:E)</f>
        <v>5079.2700000000004</v>
      </c>
      <c r="H1186" s="3">
        <f t="shared" si="54"/>
        <v>0</v>
      </c>
      <c r="I1186" s="29">
        <f t="shared" si="55"/>
        <v>-40</v>
      </c>
      <c r="J1186" s="31" t="str">
        <f t="shared" si="56"/>
        <v>Current</v>
      </c>
      <c r="K1186"/>
    </row>
    <row r="1187" spans="1:11" x14ac:dyDescent="0.3">
      <c r="A1187" s="21" t="s">
        <v>104</v>
      </c>
      <c r="B1187" t="str">
        <f>VLOOKUP(A1187,Customers!A:B,2,FALSE)</f>
        <v>RetailCorePro</v>
      </c>
      <c r="C1187" s="25" t="s">
        <v>1554</v>
      </c>
      <c r="D1187" s="11">
        <v>45988</v>
      </c>
      <c r="E1187" s="11">
        <v>46018</v>
      </c>
      <c r="F1187" s="5">
        <v>4019.58</v>
      </c>
      <c r="G1187" s="3">
        <f>SUMIF(Customer_Payments!B:B,C1187,Customer_Payments!E:E)</f>
        <v>0</v>
      </c>
      <c r="H1187" s="3">
        <f t="shared" si="54"/>
        <v>4019.58</v>
      </c>
      <c r="I1187" s="29">
        <f t="shared" si="55"/>
        <v>73</v>
      </c>
      <c r="J1187" s="31" t="str">
        <f t="shared" si="56"/>
        <v>61-90</v>
      </c>
      <c r="K1187"/>
    </row>
    <row r="1188" spans="1:11" x14ac:dyDescent="0.3">
      <c r="A1188" s="20" t="s">
        <v>42</v>
      </c>
      <c r="B1188" t="str">
        <f>VLOOKUP(A1188,Customers!A:B,2,FALSE)</f>
        <v>RetailWorks</v>
      </c>
      <c r="C1188" s="24" t="s">
        <v>1555</v>
      </c>
      <c r="D1188" s="10">
        <v>46024</v>
      </c>
      <c r="E1188" s="10">
        <v>46054</v>
      </c>
      <c r="F1188" s="4">
        <v>4640.93</v>
      </c>
      <c r="G1188" s="3">
        <f>SUMIF(Customer_Payments!B:B,C1188,Customer_Payments!E:E)</f>
        <v>4640.93</v>
      </c>
      <c r="H1188" s="3">
        <f t="shared" si="54"/>
        <v>0</v>
      </c>
      <c r="I1188" s="29">
        <f t="shared" si="55"/>
        <v>37</v>
      </c>
      <c r="J1188" s="31" t="str">
        <f t="shared" si="56"/>
        <v>31-60</v>
      </c>
      <c r="K1188"/>
    </row>
    <row r="1189" spans="1:11" x14ac:dyDescent="0.3">
      <c r="A1189" s="21" t="s">
        <v>74</v>
      </c>
      <c r="B1189" t="str">
        <f>VLOOKUP(A1189,Customers!A:B,2,FALSE)</f>
        <v>RetailPrime</v>
      </c>
      <c r="C1189" s="25" t="s">
        <v>1556</v>
      </c>
      <c r="D1189" s="11">
        <v>46091</v>
      </c>
      <c r="E1189" s="11">
        <v>46121</v>
      </c>
      <c r="F1189" s="5">
        <v>2476.04</v>
      </c>
      <c r="G1189" s="3">
        <f>SUMIF(Customer_Payments!B:B,C1189,Customer_Payments!E:E)</f>
        <v>2476.04</v>
      </c>
      <c r="H1189" s="3">
        <f t="shared" si="54"/>
        <v>0</v>
      </c>
      <c r="I1189" s="29">
        <f t="shared" si="55"/>
        <v>-30</v>
      </c>
      <c r="J1189" s="31" t="str">
        <f t="shared" si="56"/>
        <v>Current</v>
      </c>
      <c r="K1189"/>
    </row>
    <row r="1190" spans="1:11" x14ac:dyDescent="0.3">
      <c r="A1190" s="20" t="s">
        <v>122</v>
      </c>
      <c r="B1190" t="str">
        <f>VLOOKUP(A1190,Customers!A:B,2,FALSE)</f>
        <v>RetailCoreGlobal</v>
      </c>
      <c r="C1190" s="24" t="s">
        <v>1557</v>
      </c>
      <c r="D1190" s="10">
        <v>46075</v>
      </c>
      <c r="E1190" s="10">
        <v>46105</v>
      </c>
      <c r="F1190" s="4">
        <v>2964.2</v>
      </c>
      <c r="G1190" s="3">
        <f>SUMIF(Customer_Payments!B:B,C1190,Customer_Payments!E:E)</f>
        <v>0</v>
      </c>
      <c r="H1190" s="3">
        <f t="shared" si="54"/>
        <v>2964.2</v>
      </c>
      <c r="I1190" s="29">
        <f t="shared" si="55"/>
        <v>-14</v>
      </c>
      <c r="J1190" s="31" t="str">
        <f t="shared" si="56"/>
        <v>Current</v>
      </c>
      <c r="K1190"/>
    </row>
    <row r="1191" spans="1:11" x14ac:dyDescent="0.3">
      <c r="A1191" s="21" t="s">
        <v>110</v>
      </c>
      <c r="B1191" t="str">
        <f>VLOOKUP(A1191,Customers!A:B,2,FALSE)</f>
        <v>RetailAxisPro</v>
      </c>
      <c r="C1191" s="25" t="s">
        <v>1558</v>
      </c>
      <c r="D1191" s="11">
        <v>46008</v>
      </c>
      <c r="E1191" s="11">
        <v>46038</v>
      </c>
      <c r="F1191" s="5">
        <v>2451.98</v>
      </c>
      <c r="G1191" s="3">
        <f>SUMIF(Customer_Payments!B:B,C1191,Customer_Payments!E:E)</f>
        <v>0</v>
      </c>
      <c r="H1191" s="3">
        <f t="shared" si="54"/>
        <v>2451.98</v>
      </c>
      <c r="I1191" s="29">
        <f t="shared" si="55"/>
        <v>53</v>
      </c>
      <c r="J1191" s="31" t="str">
        <f t="shared" si="56"/>
        <v>31-60</v>
      </c>
      <c r="K1191"/>
    </row>
    <row r="1192" spans="1:11" x14ac:dyDescent="0.3">
      <c r="A1192" s="20" t="s">
        <v>57</v>
      </c>
      <c r="B1192" t="str">
        <f>VLOOKUP(A1192,Customers!A:B,2,FALSE)</f>
        <v>MarketGenius</v>
      </c>
      <c r="C1192" s="24" t="s">
        <v>1559</v>
      </c>
      <c r="D1192" s="10">
        <v>46106</v>
      </c>
      <c r="E1192" s="10">
        <v>46136</v>
      </c>
      <c r="F1192" s="4">
        <v>2626.02</v>
      </c>
      <c r="G1192" s="3">
        <f>SUMIF(Customer_Payments!B:B,C1192,Customer_Payments!E:E)</f>
        <v>2626.02</v>
      </c>
      <c r="H1192" s="3">
        <f t="shared" si="54"/>
        <v>0</v>
      </c>
      <c r="I1192" s="29">
        <f t="shared" si="55"/>
        <v>-45</v>
      </c>
      <c r="J1192" s="31" t="str">
        <f t="shared" si="56"/>
        <v>Current</v>
      </c>
      <c r="K1192"/>
    </row>
    <row r="1193" spans="1:11" x14ac:dyDescent="0.3">
      <c r="A1193" s="21" t="s">
        <v>21</v>
      </c>
      <c r="B1193" t="str">
        <f>VLOOKUP(A1193,Customers!A:B,2,FALSE)</f>
        <v>InsightLoop</v>
      </c>
      <c r="C1193" s="25" t="s">
        <v>1560</v>
      </c>
      <c r="D1193" s="11">
        <v>46068</v>
      </c>
      <c r="E1193" s="11">
        <v>46098</v>
      </c>
      <c r="F1193" s="5">
        <v>4576.75</v>
      </c>
      <c r="G1193" s="3">
        <f>SUMIF(Customer_Payments!B:B,C1193,Customer_Payments!E:E)</f>
        <v>4576.75</v>
      </c>
      <c r="H1193" s="3">
        <f t="shared" si="54"/>
        <v>0</v>
      </c>
      <c r="I1193" s="29">
        <f t="shared" si="55"/>
        <v>-7</v>
      </c>
      <c r="J1193" s="31" t="str">
        <f t="shared" si="56"/>
        <v>Current</v>
      </c>
      <c r="K1193"/>
    </row>
    <row r="1194" spans="1:11" x14ac:dyDescent="0.3">
      <c r="A1194" s="20" t="s">
        <v>87</v>
      </c>
      <c r="B1194" t="str">
        <f>VLOOKUP(A1194,Customers!A:B,2,FALSE)</f>
        <v>RetailStreamX</v>
      </c>
      <c r="C1194" s="24" t="s">
        <v>1561</v>
      </c>
      <c r="D1194" s="10">
        <v>46002</v>
      </c>
      <c r="E1194" s="10">
        <v>46032</v>
      </c>
      <c r="F1194" s="4">
        <v>1546.53</v>
      </c>
      <c r="G1194" s="3">
        <f>SUMIF(Customer_Payments!B:B,C1194,Customer_Payments!E:E)</f>
        <v>1546.53</v>
      </c>
      <c r="H1194" s="3">
        <f t="shared" si="54"/>
        <v>0</v>
      </c>
      <c r="I1194" s="29">
        <f t="shared" si="55"/>
        <v>59</v>
      </c>
      <c r="J1194" s="31" t="str">
        <f t="shared" si="56"/>
        <v>31-60</v>
      </c>
      <c r="K1194"/>
    </row>
    <row r="1195" spans="1:11" x14ac:dyDescent="0.3">
      <c r="A1195" s="21" t="s">
        <v>67</v>
      </c>
      <c r="B1195" t="str">
        <f>VLOOKUP(A1195,Customers!A:B,2,FALSE)</f>
        <v>RetailDynamics</v>
      </c>
      <c r="C1195" s="25" t="s">
        <v>1562</v>
      </c>
      <c r="D1195" s="11">
        <v>46037</v>
      </c>
      <c r="E1195" s="11">
        <v>46067</v>
      </c>
      <c r="F1195" s="5">
        <v>2751.8</v>
      </c>
      <c r="G1195" s="3">
        <f>SUMIF(Customer_Payments!B:B,C1195,Customer_Payments!E:E)</f>
        <v>0</v>
      </c>
      <c r="H1195" s="3">
        <f t="shared" si="54"/>
        <v>2751.8</v>
      </c>
      <c r="I1195" s="29">
        <f t="shared" si="55"/>
        <v>24</v>
      </c>
      <c r="J1195" s="31" t="str">
        <f t="shared" si="56"/>
        <v>1-30</v>
      </c>
      <c r="K1195"/>
    </row>
    <row r="1196" spans="1:11" x14ac:dyDescent="0.3">
      <c r="A1196" s="20" t="s">
        <v>31</v>
      </c>
      <c r="B1196" t="str">
        <f>VLOOKUP(A1196,Customers!A:B,2,FALSE)</f>
        <v>SparkRetail</v>
      </c>
      <c r="C1196" s="24" t="s">
        <v>1563</v>
      </c>
      <c r="D1196" s="10">
        <v>46004</v>
      </c>
      <c r="E1196" s="10">
        <v>46034</v>
      </c>
      <c r="F1196" s="4">
        <v>2420.13</v>
      </c>
      <c r="G1196" s="3">
        <f>SUMIF(Customer_Payments!B:B,C1196,Customer_Payments!E:E)</f>
        <v>2420.13</v>
      </c>
      <c r="H1196" s="3">
        <f t="shared" si="54"/>
        <v>0</v>
      </c>
      <c r="I1196" s="29">
        <f t="shared" si="55"/>
        <v>57</v>
      </c>
      <c r="J1196" s="31" t="str">
        <f t="shared" si="56"/>
        <v>31-60</v>
      </c>
      <c r="K1196"/>
    </row>
    <row r="1197" spans="1:11" x14ac:dyDescent="0.3">
      <c r="A1197" s="21" t="s">
        <v>73</v>
      </c>
      <c r="B1197" t="str">
        <f>VLOOKUP(A1197,Customers!A:B,2,FALSE)</f>
        <v>RetailWave</v>
      </c>
      <c r="C1197" s="25" t="s">
        <v>1564</v>
      </c>
      <c r="D1197" s="11">
        <v>46098</v>
      </c>
      <c r="E1197" s="11">
        <v>46128</v>
      </c>
      <c r="F1197" s="5">
        <v>2426.44</v>
      </c>
      <c r="G1197" s="3">
        <f>SUMIF(Customer_Payments!B:B,C1197,Customer_Payments!E:E)</f>
        <v>0</v>
      </c>
      <c r="H1197" s="3">
        <f t="shared" si="54"/>
        <v>2426.44</v>
      </c>
      <c r="I1197" s="29">
        <f t="shared" si="55"/>
        <v>-37</v>
      </c>
      <c r="J1197" s="31" t="str">
        <f t="shared" si="56"/>
        <v>Current</v>
      </c>
      <c r="K1197"/>
    </row>
    <row r="1198" spans="1:11" x14ac:dyDescent="0.3">
      <c r="A1198" s="20" t="s">
        <v>107</v>
      </c>
      <c r="B1198" t="str">
        <f>VLOOKUP(A1198,Customers!A:B,2,FALSE)</f>
        <v>RetailWorksPro</v>
      </c>
      <c r="C1198" s="24" t="s">
        <v>1565</v>
      </c>
      <c r="D1198" s="10">
        <v>46078</v>
      </c>
      <c r="E1198" s="10">
        <v>46108</v>
      </c>
      <c r="F1198" s="4">
        <v>1681.83</v>
      </c>
      <c r="G1198" s="3">
        <f>SUMIF(Customer_Payments!B:B,C1198,Customer_Payments!E:E)</f>
        <v>1681.83</v>
      </c>
      <c r="H1198" s="3">
        <f t="shared" si="54"/>
        <v>0</v>
      </c>
      <c r="I1198" s="29">
        <f t="shared" si="55"/>
        <v>-17</v>
      </c>
      <c r="J1198" s="31" t="str">
        <f t="shared" si="56"/>
        <v>Current</v>
      </c>
      <c r="K1198"/>
    </row>
    <row r="1199" spans="1:11" x14ac:dyDescent="0.3">
      <c r="A1199" s="21" t="s">
        <v>77</v>
      </c>
      <c r="B1199" t="str">
        <f>VLOOKUP(A1199,Customers!A:B,2,FALSE)</f>
        <v>RetailBridge</v>
      </c>
      <c r="C1199" s="25" t="s">
        <v>1566</v>
      </c>
      <c r="D1199" s="11">
        <v>46096</v>
      </c>
      <c r="E1199" s="11">
        <v>46126</v>
      </c>
      <c r="F1199" s="5">
        <v>2486.15</v>
      </c>
      <c r="G1199" s="3">
        <f>SUMIF(Customer_Payments!B:B,C1199,Customer_Payments!E:E)</f>
        <v>2486.15</v>
      </c>
      <c r="H1199" s="3">
        <f t="shared" si="54"/>
        <v>0</v>
      </c>
      <c r="I1199" s="29">
        <f t="shared" si="55"/>
        <v>-35</v>
      </c>
      <c r="J1199" s="31" t="str">
        <f t="shared" si="56"/>
        <v>Current</v>
      </c>
      <c r="K1199"/>
    </row>
    <row r="1200" spans="1:11" x14ac:dyDescent="0.3">
      <c r="A1200" s="20" t="s">
        <v>46</v>
      </c>
      <c r="B1200" t="str">
        <f>VLOOKUP(A1200,Customers!A:B,2,FALSE)</f>
        <v>NovaMarket</v>
      </c>
      <c r="C1200" s="24" t="s">
        <v>1567</v>
      </c>
      <c r="D1200" s="10">
        <v>46022</v>
      </c>
      <c r="E1200" s="10">
        <v>46052</v>
      </c>
      <c r="F1200" s="4">
        <v>11798.43</v>
      </c>
      <c r="G1200" s="3">
        <f>SUMIF(Customer_Payments!B:B,C1200,Customer_Payments!E:E)</f>
        <v>0</v>
      </c>
      <c r="H1200" s="3">
        <f t="shared" si="54"/>
        <v>11798.43</v>
      </c>
      <c r="I1200" s="29">
        <f t="shared" si="55"/>
        <v>39</v>
      </c>
      <c r="J1200" s="31" t="str">
        <f t="shared" si="56"/>
        <v>31-60</v>
      </c>
      <c r="K1200"/>
    </row>
    <row r="1201" spans="1:11" x14ac:dyDescent="0.3">
      <c r="A1201" s="21" t="s">
        <v>43</v>
      </c>
      <c r="B1201" t="str">
        <f>VLOOKUP(A1201,Customers!A:B,2,FALSE)</f>
        <v>CommerceSpark</v>
      </c>
      <c r="C1201" s="25" t="s">
        <v>1568</v>
      </c>
      <c r="D1201" s="11">
        <v>46068</v>
      </c>
      <c r="E1201" s="11">
        <v>46098</v>
      </c>
      <c r="F1201" s="5">
        <v>5578.54</v>
      </c>
      <c r="G1201" s="3">
        <f>SUMIF(Customer_Payments!B:B,C1201,Customer_Payments!E:E)</f>
        <v>5578.54</v>
      </c>
      <c r="H1201" s="3">
        <f t="shared" si="54"/>
        <v>0</v>
      </c>
      <c r="I1201" s="29">
        <f t="shared" si="55"/>
        <v>-7</v>
      </c>
      <c r="J1201" s="31" t="str">
        <f t="shared" si="56"/>
        <v>Current</v>
      </c>
      <c r="K1201"/>
    </row>
    <row r="1202" spans="1:11" x14ac:dyDescent="0.3">
      <c r="A1202" s="20" t="s">
        <v>86</v>
      </c>
      <c r="B1202" t="str">
        <f>VLOOKUP(A1202,Customers!A:B,2,FALSE)</f>
        <v>RetailNextX</v>
      </c>
      <c r="C1202" s="24" t="s">
        <v>1569</v>
      </c>
      <c r="D1202" s="10">
        <v>46094</v>
      </c>
      <c r="E1202" s="10">
        <v>46124</v>
      </c>
      <c r="F1202" s="4">
        <v>2578.0100000000002</v>
      </c>
      <c r="G1202" s="3">
        <f>SUMIF(Customer_Payments!B:B,C1202,Customer_Payments!E:E)</f>
        <v>0</v>
      </c>
      <c r="H1202" s="3">
        <f t="shared" si="54"/>
        <v>2578.0100000000002</v>
      </c>
      <c r="I1202" s="29">
        <f t="shared" si="55"/>
        <v>-33</v>
      </c>
      <c r="J1202" s="31" t="str">
        <f t="shared" si="56"/>
        <v>Current</v>
      </c>
      <c r="K1202"/>
    </row>
    <row r="1203" spans="1:11" x14ac:dyDescent="0.3">
      <c r="A1203" s="21" t="s">
        <v>114</v>
      </c>
      <c r="B1203" t="str">
        <f>VLOOKUP(A1203,Customers!A:B,2,FALSE)</f>
        <v>RetailScalePro</v>
      </c>
      <c r="C1203" s="25" t="s">
        <v>1570</v>
      </c>
      <c r="D1203" s="11">
        <v>46102</v>
      </c>
      <c r="E1203" s="11">
        <v>46132</v>
      </c>
      <c r="F1203" s="5">
        <v>5423.62</v>
      </c>
      <c r="G1203" s="3">
        <f>SUMIF(Customer_Payments!B:B,C1203,Customer_Payments!E:E)</f>
        <v>0</v>
      </c>
      <c r="H1203" s="3">
        <f t="shared" si="54"/>
        <v>5423.62</v>
      </c>
      <c r="I1203" s="29">
        <f t="shared" si="55"/>
        <v>-41</v>
      </c>
      <c r="J1203" s="31" t="str">
        <f t="shared" si="56"/>
        <v>Current</v>
      </c>
      <c r="K1203"/>
    </row>
    <row r="1204" spans="1:11" x14ac:dyDescent="0.3">
      <c r="A1204" s="20" t="s">
        <v>21</v>
      </c>
      <c r="B1204" t="str">
        <f>VLOOKUP(A1204,Customers!A:B,2,FALSE)</f>
        <v>InsightLoop</v>
      </c>
      <c r="C1204" s="24" t="s">
        <v>1571</v>
      </c>
      <c r="D1204" s="10">
        <v>46027</v>
      </c>
      <c r="E1204" s="10">
        <v>46057</v>
      </c>
      <c r="F1204" s="4">
        <v>1938.86</v>
      </c>
      <c r="G1204" s="3">
        <f>SUMIF(Customer_Payments!B:B,C1204,Customer_Payments!E:E)</f>
        <v>1938.86</v>
      </c>
      <c r="H1204" s="3">
        <f t="shared" si="54"/>
        <v>0</v>
      </c>
      <c r="I1204" s="29">
        <f t="shared" si="55"/>
        <v>34</v>
      </c>
      <c r="J1204" s="31" t="str">
        <f t="shared" si="56"/>
        <v>31-60</v>
      </c>
      <c r="K1204"/>
    </row>
    <row r="1205" spans="1:11" x14ac:dyDescent="0.3">
      <c r="A1205" s="21" t="s">
        <v>54</v>
      </c>
      <c r="B1205" t="str">
        <f>VLOOKUP(A1205,Customers!A:B,2,FALSE)</f>
        <v>RetailEdge</v>
      </c>
      <c r="C1205" s="25" t="s">
        <v>1572</v>
      </c>
      <c r="D1205" s="11">
        <v>46062</v>
      </c>
      <c r="E1205" s="11">
        <v>46092</v>
      </c>
      <c r="F1205" s="5">
        <v>3592.53</v>
      </c>
      <c r="G1205" s="3">
        <f>SUMIF(Customer_Payments!B:B,C1205,Customer_Payments!E:E)</f>
        <v>3592.53</v>
      </c>
      <c r="H1205" s="3">
        <f t="shared" si="54"/>
        <v>0</v>
      </c>
      <c r="I1205" s="29">
        <f t="shared" si="55"/>
        <v>-1</v>
      </c>
      <c r="J1205" s="31" t="str">
        <f t="shared" si="56"/>
        <v>Current</v>
      </c>
      <c r="K1205"/>
    </row>
    <row r="1206" spans="1:11" x14ac:dyDescent="0.3">
      <c r="A1206" s="20" t="s">
        <v>51</v>
      </c>
      <c r="B1206" t="str">
        <f>VLOOKUP(A1206,Customers!A:B,2,FALSE)</f>
        <v>CartMasters</v>
      </c>
      <c r="C1206" s="24" t="s">
        <v>1573</v>
      </c>
      <c r="D1206" s="10">
        <v>46104</v>
      </c>
      <c r="E1206" s="10">
        <v>46134</v>
      </c>
      <c r="F1206" s="4">
        <v>4410.3100000000004</v>
      </c>
      <c r="G1206" s="3">
        <f>SUMIF(Customer_Payments!B:B,C1206,Customer_Payments!E:E)</f>
        <v>4410.3100000000004</v>
      </c>
      <c r="H1206" s="3">
        <f t="shared" si="54"/>
        <v>0</v>
      </c>
      <c r="I1206" s="29">
        <f t="shared" si="55"/>
        <v>-43</v>
      </c>
      <c r="J1206" s="31" t="str">
        <f t="shared" si="56"/>
        <v>Current</v>
      </c>
      <c r="K1206"/>
    </row>
    <row r="1207" spans="1:11" x14ac:dyDescent="0.3">
      <c r="A1207" s="21" t="s">
        <v>22</v>
      </c>
      <c r="B1207" t="str">
        <f>VLOOKUP(A1207,Customers!A:B,2,FALSE)</f>
        <v>QuantumRetail</v>
      </c>
      <c r="C1207" s="25" t="s">
        <v>1574</v>
      </c>
      <c r="D1207" s="11">
        <v>46001</v>
      </c>
      <c r="E1207" s="11">
        <v>46031</v>
      </c>
      <c r="F1207" s="5">
        <v>4745.83</v>
      </c>
      <c r="G1207" s="3">
        <f>SUMIF(Customer_Payments!B:B,C1207,Customer_Payments!E:E)</f>
        <v>4745.83</v>
      </c>
      <c r="H1207" s="3">
        <f t="shared" si="54"/>
        <v>0</v>
      </c>
      <c r="I1207" s="29">
        <f t="shared" si="55"/>
        <v>60</v>
      </c>
      <c r="J1207" s="31" t="str">
        <f t="shared" si="56"/>
        <v>31-60</v>
      </c>
      <c r="K1207"/>
    </row>
    <row r="1208" spans="1:11" x14ac:dyDescent="0.3">
      <c r="A1208" s="20" t="s">
        <v>47</v>
      </c>
      <c r="B1208" t="str">
        <f>VLOOKUP(A1208,Customers!A:B,2,FALSE)</f>
        <v>SmartRetail</v>
      </c>
      <c r="C1208" s="24" t="s">
        <v>1575</v>
      </c>
      <c r="D1208" s="10">
        <v>46022</v>
      </c>
      <c r="E1208" s="10">
        <v>46052</v>
      </c>
      <c r="F1208" s="4">
        <v>2885.47</v>
      </c>
      <c r="G1208" s="3">
        <f>SUMIF(Customer_Payments!B:B,C1208,Customer_Payments!E:E)</f>
        <v>0</v>
      </c>
      <c r="H1208" s="3">
        <f t="shared" si="54"/>
        <v>2885.47</v>
      </c>
      <c r="I1208" s="29">
        <f t="shared" si="55"/>
        <v>39</v>
      </c>
      <c r="J1208" s="31" t="str">
        <f t="shared" si="56"/>
        <v>31-60</v>
      </c>
      <c r="K1208"/>
    </row>
    <row r="1209" spans="1:11" x14ac:dyDescent="0.3">
      <c r="A1209" s="21" t="s">
        <v>49</v>
      </c>
      <c r="B1209" t="str">
        <f>VLOOKUP(A1209,Customers!A:B,2,FALSE)</f>
        <v>CommercePilot</v>
      </c>
      <c r="C1209" s="25" t="s">
        <v>1576</v>
      </c>
      <c r="D1209" s="11">
        <v>45989</v>
      </c>
      <c r="E1209" s="11">
        <v>46019</v>
      </c>
      <c r="F1209" s="5">
        <v>4008.59</v>
      </c>
      <c r="G1209" s="3">
        <f>SUMIF(Customer_Payments!B:B,C1209,Customer_Payments!E:E)</f>
        <v>0</v>
      </c>
      <c r="H1209" s="3">
        <f t="shared" si="54"/>
        <v>4008.59</v>
      </c>
      <c r="I1209" s="29">
        <f t="shared" si="55"/>
        <v>72</v>
      </c>
      <c r="J1209" s="31" t="str">
        <f t="shared" si="56"/>
        <v>61-90</v>
      </c>
      <c r="K1209"/>
    </row>
    <row r="1210" spans="1:11" x14ac:dyDescent="0.3">
      <c r="A1210" s="20" t="s">
        <v>103</v>
      </c>
      <c r="B1210" t="str">
        <f>VLOOKUP(A1210,Customers!A:B,2,FALSE)</f>
        <v>RetailVisionPro</v>
      </c>
      <c r="C1210" s="24" t="s">
        <v>1577</v>
      </c>
      <c r="D1210" s="10">
        <v>45977</v>
      </c>
      <c r="E1210" s="10">
        <v>46007</v>
      </c>
      <c r="F1210" s="4">
        <v>1947.92</v>
      </c>
      <c r="G1210" s="3">
        <f>SUMIF(Customer_Payments!B:B,C1210,Customer_Payments!E:E)</f>
        <v>0</v>
      </c>
      <c r="H1210" s="3">
        <f t="shared" si="54"/>
        <v>1947.92</v>
      </c>
      <c r="I1210" s="29">
        <f t="shared" si="55"/>
        <v>84</v>
      </c>
      <c r="J1210" s="31" t="str">
        <f t="shared" si="56"/>
        <v>61-90</v>
      </c>
      <c r="K1210"/>
    </row>
    <row r="1211" spans="1:11" x14ac:dyDescent="0.3">
      <c r="A1211" s="21" t="s">
        <v>63</v>
      </c>
      <c r="B1211" t="str">
        <f>VLOOKUP(A1211,Customers!A:B,2,FALSE)</f>
        <v>RetailCore</v>
      </c>
      <c r="C1211" s="25" t="s">
        <v>1578</v>
      </c>
      <c r="D1211" s="11">
        <v>46041</v>
      </c>
      <c r="E1211" s="11">
        <v>46071</v>
      </c>
      <c r="F1211" s="5">
        <v>3733.64</v>
      </c>
      <c r="G1211" s="3">
        <f>SUMIF(Customer_Payments!B:B,C1211,Customer_Payments!E:E)</f>
        <v>3733.64</v>
      </c>
      <c r="H1211" s="3">
        <f t="shared" si="54"/>
        <v>0</v>
      </c>
      <c r="I1211" s="29">
        <f t="shared" si="55"/>
        <v>20</v>
      </c>
      <c r="J1211" s="31" t="str">
        <f t="shared" si="56"/>
        <v>1-30</v>
      </c>
      <c r="K1211"/>
    </row>
    <row r="1212" spans="1:11" x14ac:dyDescent="0.3">
      <c r="A1212" s="20" t="s">
        <v>24</v>
      </c>
      <c r="B1212" t="str">
        <f>VLOOKUP(A1212,Customers!A:B,2,FALSE)</f>
        <v>OmniTrade</v>
      </c>
      <c r="C1212" s="24" t="s">
        <v>1579</v>
      </c>
      <c r="D1212" s="10">
        <v>46014</v>
      </c>
      <c r="E1212" s="10">
        <v>46044</v>
      </c>
      <c r="F1212" s="4">
        <v>2689.15</v>
      </c>
      <c r="G1212" s="3">
        <f>SUMIF(Customer_Payments!B:B,C1212,Customer_Payments!E:E)</f>
        <v>0</v>
      </c>
      <c r="H1212" s="3">
        <f t="shared" si="54"/>
        <v>2689.15</v>
      </c>
      <c r="I1212" s="29">
        <f t="shared" si="55"/>
        <v>47</v>
      </c>
      <c r="J1212" s="31" t="str">
        <f t="shared" si="56"/>
        <v>31-60</v>
      </c>
      <c r="K1212"/>
    </row>
    <row r="1213" spans="1:11" x14ac:dyDescent="0.3">
      <c r="A1213" s="21" t="s">
        <v>114</v>
      </c>
      <c r="B1213" t="str">
        <f>VLOOKUP(A1213,Customers!A:B,2,FALSE)</f>
        <v>RetailScalePro</v>
      </c>
      <c r="C1213" s="25" t="s">
        <v>1580</v>
      </c>
      <c r="D1213" s="11">
        <v>45989</v>
      </c>
      <c r="E1213" s="11">
        <v>46019</v>
      </c>
      <c r="F1213" s="5">
        <v>1836.69</v>
      </c>
      <c r="G1213" s="3">
        <f>SUMIF(Customer_Payments!B:B,C1213,Customer_Payments!E:E)</f>
        <v>1836.69</v>
      </c>
      <c r="H1213" s="3">
        <f t="shared" si="54"/>
        <v>0</v>
      </c>
      <c r="I1213" s="29">
        <f t="shared" si="55"/>
        <v>72</v>
      </c>
      <c r="J1213" s="31" t="str">
        <f t="shared" si="56"/>
        <v>61-90</v>
      </c>
      <c r="K1213"/>
    </row>
    <row r="1214" spans="1:11" x14ac:dyDescent="0.3">
      <c r="A1214" s="20" t="s">
        <v>89</v>
      </c>
      <c r="B1214" t="str">
        <f>VLOOKUP(A1214,Customers!A:B,2,FALSE)</f>
        <v>RetailAxisX</v>
      </c>
      <c r="C1214" s="24" t="s">
        <v>1581</v>
      </c>
      <c r="D1214" s="10">
        <v>45971</v>
      </c>
      <c r="E1214" s="10">
        <v>46001</v>
      </c>
      <c r="F1214" s="4">
        <v>4891.95</v>
      </c>
      <c r="G1214" s="3">
        <f>SUMIF(Customer_Payments!B:B,C1214,Customer_Payments!E:E)</f>
        <v>4891.95</v>
      </c>
      <c r="H1214" s="3">
        <f t="shared" si="54"/>
        <v>0</v>
      </c>
      <c r="I1214" s="29">
        <f t="shared" si="55"/>
        <v>90</v>
      </c>
      <c r="J1214" s="31" t="str">
        <f t="shared" si="56"/>
        <v>61-90</v>
      </c>
      <c r="K1214"/>
    </row>
    <row r="1215" spans="1:11" x14ac:dyDescent="0.3">
      <c r="A1215" s="21" t="s">
        <v>17</v>
      </c>
      <c r="B1215" t="str">
        <f>VLOOKUP(A1215,Customers!A:B,2,FALSE)</f>
        <v>AlphaCommerce</v>
      </c>
      <c r="C1215" s="25" t="s">
        <v>1582</v>
      </c>
      <c r="D1215" s="11">
        <v>45968</v>
      </c>
      <c r="E1215" s="11">
        <v>45998</v>
      </c>
      <c r="F1215" s="5">
        <v>5166.8599999999997</v>
      </c>
      <c r="G1215" s="3">
        <f>SUMIF(Customer_Payments!B:B,C1215,Customer_Payments!E:E)</f>
        <v>5166.8599999999997</v>
      </c>
      <c r="H1215" s="3">
        <f t="shared" si="54"/>
        <v>0</v>
      </c>
      <c r="I1215" s="29">
        <f t="shared" si="55"/>
        <v>93</v>
      </c>
      <c r="J1215" s="31" t="str">
        <f t="shared" si="56"/>
        <v>90+</v>
      </c>
      <c r="K1215"/>
    </row>
    <row r="1216" spans="1:11" x14ac:dyDescent="0.3">
      <c r="A1216" s="20" t="s">
        <v>72</v>
      </c>
      <c r="B1216" t="str">
        <f>VLOOKUP(A1216,Customers!A:B,2,FALSE)</f>
        <v>RetailStream</v>
      </c>
      <c r="C1216" s="24" t="s">
        <v>1583</v>
      </c>
      <c r="D1216" s="10">
        <v>46025</v>
      </c>
      <c r="E1216" s="10">
        <v>46055</v>
      </c>
      <c r="F1216" s="4">
        <v>3989.23</v>
      </c>
      <c r="G1216" s="3">
        <f>SUMIF(Customer_Payments!B:B,C1216,Customer_Payments!E:E)</f>
        <v>0</v>
      </c>
      <c r="H1216" s="3">
        <f t="shared" si="54"/>
        <v>3989.23</v>
      </c>
      <c r="I1216" s="29">
        <f t="shared" si="55"/>
        <v>36</v>
      </c>
      <c r="J1216" s="31" t="str">
        <f t="shared" si="56"/>
        <v>31-60</v>
      </c>
      <c r="K1216"/>
    </row>
    <row r="1217" spans="1:11" x14ac:dyDescent="0.3">
      <c r="A1217" s="21" t="s">
        <v>14</v>
      </c>
      <c r="B1217" t="str">
        <f>VLOOKUP(A1217,Customers!A:B,2,FALSE)</f>
        <v>MarketPulse</v>
      </c>
      <c r="C1217" s="25" t="s">
        <v>1584</v>
      </c>
      <c r="D1217" s="11">
        <v>46091</v>
      </c>
      <c r="E1217" s="11">
        <v>46121</v>
      </c>
      <c r="F1217" s="5">
        <v>10533.36</v>
      </c>
      <c r="G1217" s="3">
        <f>SUMIF(Customer_Payments!B:B,C1217,Customer_Payments!E:E)</f>
        <v>10533.36</v>
      </c>
      <c r="H1217" s="3">
        <f t="shared" si="54"/>
        <v>0</v>
      </c>
      <c r="I1217" s="29">
        <f t="shared" si="55"/>
        <v>-30</v>
      </c>
      <c r="J1217" s="31" t="str">
        <f t="shared" si="56"/>
        <v>Current</v>
      </c>
      <c r="K1217"/>
    </row>
    <row r="1218" spans="1:11" x14ac:dyDescent="0.3">
      <c r="A1218" s="20" t="s">
        <v>54</v>
      </c>
      <c r="B1218" t="str">
        <f>VLOOKUP(A1218,Customers!A:B,2,FALSE)</f>
        <v>RetailEdge</v>
      </c>
      <c r="C1218" s="24" t="s">
        <v>1585</v>
      </c>
      <c r="D1218" s="10">
        <v>46048</v>
      </c>
      <c r="E1218" s="10">
        <v>46078</v>
      </c>
      <c r="F1218" s="4">
        <v>1699.97</v>
      </c>
      <c r="G1218" s="3">
        <f>SUMIF(Customer_Payments!B:B,C1218,Customer_Payments!E:E)</f>
        <v>0</v>
      </c>
      <c r="H1218" s="3">
        <f t="shared" ref="H1218:H1281" si="57">MAX(F1218-G1218,0)</f>
        <v>1699.97</v>
      </c>
      <c r="I1218" s="29">
        <f t="shared" ref="I1218:I1281" si="58">$L$2-E1218</f>
        <v>13</v>
      </c>
      <c r="J1218" s="31" t="str">
        <f t="shared" si="56"/>
        <v>1-30</v>
      </c>
      <c r="K1218"/>
    </row>
    <row r="1219" spans="1:11" x14ac:dyDescent="0.3">
      <c r="A1219" s="21" t="s">
        <v>64</v>
      </c>
      <c r="B1219" t="str">
        <f>VLOOKUP(A1219,Customers!A:B,2,FALSE)</f>
        <v>MarketScale</v>
      </c>
      <c r="C1219" s="25" t="s">
        <v>1586</v>
      </c>
      <c r="D1219" s="11">
        <v>46100</v>
      </c>
      <c r="E1219" s="11">
        <v>46130</v>
      </c>
      <c r="F1219" s="5">
        <v>11389.59</v>
      </c>
      <c r="G1219" s="3">
        <f>SUMIF(Customer_Payments!B:B,C1219,Customer_Payments!E:E)</f>
        <v>11389.59</v>
      </c>
      <c r="H1219" s="3">
        <f t="shared" si="57"/>
        <v>0</v>
      </c>
      <c r="I1219" s="29">
        <f t="shared" si="58"/>
        <v>-39</v>
      </c>
      <c r="J1219" s="31" t="str">
        <f t="shared" ref="J1219:J1282" si="59">IF(I1219&lt;=0,"Current",
IF(I1219&lt;=30,"1-30",
IF(I1219&lt;=60,"31-60",
IF(I1219&lt;=90,"61-90","90+"))))</f>
        <v>Current</v>
      </c>
      <c r="K1219"/>
    </row>
    <row r="1220" spans="1:11" x14ac:dyDescent="0.3">
      <c r="A1220" s="20" t="s">
        <v>60</v>
      </c>
      <c r="B1220" t="str">
        <f>VLOOKUP(A1220,Customers!A:B,2,FALSE)</f>
        <v>RetailSpark</v>
      </c>
      <c r="C1220" s="24" t="s">
        <v>1587</v>
      </c>
      <c r="D1220" s="10">
        <v>46051</v>
      </c>
      <c r="E1220" s="10">
        <v>46081</v>
      </c>
      <c r="F1220" s="4">
        <v>2922.64</v>
      </c>
      <c r="G1220" s="3">
        <f>SUMIF(Customer_Payments!B:B,C1220,Customer_Payments!E:E)</f>
        <v>2922.64</v>
      </c>
      <c r="H1220" s="3">
        <f t="shared" si="57"/>
        <v>0</v>
      </c>
      <c r="I1220" s="29">
        <f t="shared" si="58"/>
        <v>10</v>
      </c>
      <c r="J1220" s="31" t="str">
        <f t="shared" si="59"/>
        <v>1-30</v>
      </c>
      <c r="K1220"/>
    </row>
    <row r="1221" spans="1:11" x14ac:dyDescent="0.3">
      <c r="A1221" s="21" t="s">
        <v>61</v>
      </c>
      <c r="B1221" t="str">
        <f>VLOOKUP(A1221,Customers!A:B,2,FALSE)</f>
        <v>RetailOrbit</v>
      </c>
      <c r="C1221" s="25" t="s">
        <v>1588</v>
      </c>
      <c r="D1221" s="11">
        <v>46001</v>
      </c>
      <c r="E1221" s="11">
        <v>46031</v>
      </c>
      <c r="F1221" s="5">
        <v>10985.44</v>
      </c>
      <c r="G1221" s="3">
        <f>SUMIF(Customer_Payments!B:B,C1221,Customer_Payments!E:E)</f>
        <v>0</v>
      </c>
      <c r="H1221" s="3">
        <f t="shared" si="57"/>
        <v>10985.44</v>
      </c>
      <c r="I1221" s="29">
        <f t="shared" si="58"/>
        <v>60</v>
      </c>
      <c r="J1221" s="31" t="str">
        <f t="shared" si="59"/>
        <v>31-60</v>
      </c>
      <c r="K1221"/>
    </row>
    <row r="1222" spans="1:11" x14ac:dyDescent="0.3">
      <c r="A1222" s="20" t="s">
        <v>25</v>
      </c>
      <c r="B1222" t="str">
        <f>VLOOKUP(A1222,Customers!A:B,2,FALSE)</f>
        <v>OrbitEdge</v>
      </c>
      <c r="C1222" s="24" t="s">
        <v>1589</v>
      </c>
      <c r="D1222" s="10">
        <v>46109</v>
      </c>
      <c r="E1222" s="10">
        <v>46139</v>
      </c>
      <c r="F1222" s="4">
        <v>2085.4299999999998</v>
      </c>
      <c r="G1222" s="3">
        <f>SUMIF(Customer_Payments!B:B,C1222,Customer_Payments!E:E)</f>
        <v>2085.4299999999998</v>
      </c>
      <c r="H1222" s="3">
        <f t="shared" si="57"/>
        <v>0</v>
      </c>
      <c r="I1222" s="29">
        <f t="shared" si="58"/>
        <v>-48</v>
      </c>
      <c r="J1222" s="31" t="str">
        <f t="shared" si="59"/>
        <v>Current</v>
      </c>
      <c r="K1222"/>
    </row>
    <row r="1223" spans="1:11" x14ac:dyDescent="0.3">
      <c r="A1223" s="21" t="s">
        <v>15</v>
      </c>
      <c r="B1223" t="str">
        <f>VLOOKUP(A1223,Customers!A:B,2,FALSE)</f>
        <v>CloudScale</v>
      </c>
      <c r="C1223" s="25" t="s">
        <v>1590</v>
      </c>
      <c r="D1223" s="11">
        <v>46091</v>
      </c>
      <c r="E1223" s="11">
        <v>46121</v>
      </c>
      <c r="F1223" s="5">
        <v>4606.46</v>
      </c>
      <c r="G1223" s="3">
        <f>SUMIF(Customer_Payments!B:B,C1223,Customer_Payments!E:E)</f>
        <v>0</v>
      </c>
      <c r="H1223" s="3">
        <f t="shared" si="57"/>
        <v>4606.46</v>
      </c>
      <c r="I1223" s="29">
        <f t="shared" si="58"/>
        <v>-30</v>
      </c>
      <c r="J1223" s="31" t="str">
        <f t="shared" si="59"/>
        <v>Current</v>
      </c>
      <c r="K1223"/>
    </row>
    <row r="1224" spans="1:11" x14ac:dyDescent="0.3">
      <c r="A1224" s="20" t="s">
        <v>124</v>
      </c>
      <c r="B1224" t="str">
        <f>VLOOKUP(A1224,Customers!A:B,2,FALSE)</f>
        <v>RetailOrbitGlobal</v>
      </c>
      <c r="C1224" s="24" t="s">
        <v>1591</v>
      </c>
      <c r="D1224" s="10">
        <v>46032</v>
      </c>
      <c r="E1224" s="10">
        <v>46062</v>
      </c>
      <c r="F1224" s="4">
        <v>3858.56</v>
      </c>
      <c r="G1224" s="3">
        <f>SUMIF(Customer_Payments!B:B,C1224,Customer_Payments!E:E)</f>
        <v>3858.56</v>
      </c>
      <c r="H1224" s="3">
        <f t="shared" si="57"/>
        <v>0</v>
      </c>
      <c r="I1224" s="29">
        <f t="shared" si="58"/>
        <v>29</v>
      </c>
      <c r="J1224" s="31" t="str">
        <f t="shared" si="59"/>
        <v>1-30</v>
      </c>
      <c r="K1224"/>
    </row>
    <row r="1225" spans="1:11" x14ac:dyDescent="0.3">
      <c r="A1225" s="21" t="s">
        <v>103</v>
      </c>
      <c r="B1225" t="str">
        <f>VLOOKUP(A1225,Customers!A:B,2,FALSE)</f>
        <v>RetailVisionPro</v>
      </c>
      <c r="C1225" s="25" t="s">
        <v>1592</v>
      </c>
      <c r="D1225" s="11">
        <v>46005</v>
      </c>
      <c r="E1225" s="11">
        <v>46035</v>
      </c>
      <c r="F1225" s="5">
        <v>2414.5100000000002</v>
      </c>
      <c r="G1225" s="3">
        <f>SUMIF(Customer_Payments!B:B,C1225,Customer_Payments!E:E)</f>
        <v>2414.5100000000002</v>
      </c>
      <c r="H1225" s="3">
        <f t="shared" si="57"/>
        <v>0</v>
      </c>
      <c r="I1225" s="29">
        <f t="shared" si="58"/>
        <v>56</v>
      </c>
      <c r="J1225" s="31" t="str">
        <f t="shared" si="59"/>
        <v>31-60</v>
      </c>
      <c r="K1225"/>
    </row>
    <row r="1226" spans="1:11" x14ac:dyDescent="0.3">
      <c r="A1226" s="20" t="s">
        <v>69</v>
      </c>
      <c r="B1226" t="str">
        <f>VLOOKUP(A1226,Customers!A:B,2,FALSE)</f>
        <v>RetailNext</v>
      </c>
      <c r="C1226" s="24" t="s">
        <v>1593</v>
      </c>
      <c r="D1226" s="10">
        <v>46078</v>
      </c>
      <c r="E1226" s="10">
        <v>46108</v>
      </c>
      <c r="F1226" s="4">
        <v>4398.5200000000004</v>
      </c>
      <c r="G1226" s="3">
        <f>SUMIF(Customer_Payments!B:B,C1226,Customer_Payments!E:E)</f>
        <v>4398.5200000000004</v>
      </c>
      <c r="H1226" s="3">
        <f t="shared" si="57"/>
        <v>0</v>
      </c>
      <c r="I1226" s="29">
        <f t="shared" si="58"/>
        <v>-17</v>
      </c>
      <c r="J1226" s="31" t="str">
        <f t="shared" si="59"/>
        <v>Current</v>
      </c>
      <c r="K1226"/>
    </row>
    <row r="1227" spans="1:11" x14ac:dyDescent="0.3">
      <c r="A1227" s="21" t="s">
        <v>78</v>
      </c>
      <c r="B1227" t="str">
        <f>VLOOKUP(A1227,Customers!A:B,2,FALSE)</f>
        <v>RetailOrbitX</v>
      </c>
      <c r="C1227" s="25" t="s">
        <v>1594</v>
      </c>
      <c r="D1227" s="11">
        <v>46028</v>
      </c>
      <c r="E1227" s="11">
        <v>46058</v>
      </c>
      <c r="F1227" s="5">
        <v>3387.36</v>
      </c>
      <c r="G1227" s="3">
        <f>SUMIF(Customer_Payments!B:B,C1227,Customer_Payments!E:E)</f>
        <v>3387.36</v>
      </c>
      <c r="H1227" s="3">
        <f t="shared" si="57"/>
        <v>0</v>
      </c>
      <c r="I1227" s="29">
        <f t="shared" si="58"/>
        <v>33</v>
      </c>
      <c r="J1227" s="31" t="str">
        <f t="shared" si="59"/>
        <v>31-60</v>
      </c>
      <c r="K1227"/>
    </row>
    <row r="1228" spans="1:11" x14ac:dyDescent="0.3">
      <c r="A1228" s="20" t="s">
        <v>45</v>
      </c>
      <c r="B1228" t="str">
        <f>VLOOKUP(A1228,Customers!A:B,2,FALSE)</f>
        <v>EdgeRetail</v>
      </c>
      <c r="C1228" s="24" t="s">
        <v>1595</v>
      </c>
      <c r="D1228" s="10">
        <v>46041</v>
      </c>
      <c r="E1228" s="10">
        <v>46071</v>
      </c>
      <c r="F1228" s="4">
        <v>1773.69</v>
      </c>
      <c r="G1228" s="3">
        <f>SUMIF(Customer_Payments!B:B,C1228,Customer_Payments!E:E)</f>
        <v>1773.69</v>
      </c>
      <c r="H1228" s="3">
        <f t="shared" si="57"/>
        <v>0</v>
      </c>
      <c r="I1228" s="29">
        <f t="shared" si="58"/>
        <v>20</v>
      </c>
      <c r="J1228" s="31" t="str">
        <f t="shared" si="59"/>
        <v>1-30</v>
      </c>
      <c r="K1228"/>
    </row>
    <row r="1229" spans="1:11" x14ac:dyDescent="0.3">
      <c r="A1229" s="21" t="s">
        <v>121</v>
      </c>
      <c r="B1229" t="str">
        <f>VLOOKUP(A1229,Customers!A:B,2,FALSE)</f>
        <v>RetailVisionGlobal</v>
      </c>
      <c r="C1229" s="25" t="s">
        <v>1596</v>
      </c>
      <c r="D1229" s="11">
        <v>46023</v>
      </c>
      <c r="E1229" s="11">
        <v>46053</v>
      </c>
      <c r="F1229" s="5">
        <v>2040.66</v>
      </c>
      <c r="G1229" s="3">
        <f>SUMIF(Customer_Payments!B:B,C1229,Customer_Payments!E:E)</f>
        <v>2040.66</v>
      </c>
      <c r="H1229" s="3">
        <f t="shared" si="57"/>
        <v>0</v>
      </c>
      <c r="I1229" s="29">
        <f t="shared" si="58"/>
        <v>38</v>
      </c>
      <c r="J1229" s="31" t="str">
        <f t="shared" si="59"/>
        <v>31-60</v>
      </c>
      <c r="K1229"/>
    </row>
    <row r="1230" spans="1:11" x14ac:dyDescent="0.3">
      <c r="A1230" s="20" t="s">
        <v>10</v>
      </c>
      <c r="B1230" t="str">
        <f>VLOOKUP(A1230,Customers!A:B,2,FALSE)</f>
        <v>LaunchLabs</v>
      </c>
      <c r="C1230" s="24" t="s">
        <v>1597</v>
      </c>
      <c r="D1230" s="10">
        <v>46078</v>
      </c>
      <c r="E1230" s="10">
        <v>46108</v>
      </c>
      <c r="F1230" s="4">
        <v>2417.16</v>
      </c>
      <c r="G1230" s="3">
        <f>SUMIF(Customer_Payments!B:B,C1230,Customer_Payments!E:E)</f>
        <v>2417.16</v>
      </c>
      <c r="H1230" s="3">
        <f t="shared" si="57"/>
        <v>0</v>
      </c>
      <c r="I1230" s="29">
        <f t="shared" si="58"/>
        <v>-17</v>
      </c>
      <c r="J1230" s="31" t="str">
        <f t="shared" si="59"/>
        <v>Current</v>
      </c>
      <c r="K1230"/>
    </row>
    <row r="1231" spans="1:11" x14ac:dyDescent="0.3">
      <c r="A1231" s="21" t="s">
        <v>53</v>
      </c>
      <c r="B1231" t="str">
        <f>VLOOKUP(A1231,Customers!A:B,2,FALSE)</f>
        <v>PrimeCart</v>
      </c>
      <c r="C1231" s="25" t="s">
        <v>1598</v>
      </c>
      <c r="D1231" s="11">
        <v>46045</v>
      </c>
      <c r="E1231" s="11">
        <v>46075</v>
      </c>
      <c r="F1231" s="5">
        <v>3317.66</v>
      </c>
      <c r="G1231" s="3">
        <f>SUMIF(Customer_Payments!B:B,C1231,Customer_Payments!E:E)</f>
        <v>3317.66</v>
      </c>
      <c r="H1231" s="3">
        <f t="shared" si="57"/>
        <v>0</v>
      </c>
      <c r="I1231" s="29">
        <f t="shared" si="58"/>
        <v>16</v>
      </c>
      <c r="J1231" s="31" t="str">
        <f t="shared" si="59"/>
        <v>1-30</v>
      </c>
      <c r="K1231"/>
    </row>
    <row r="1232" spans="1:11" x14ac:dyDescent="0.3">
      <c r="A1232" s="20" t="s">
        <v>67</v>
      </c>
      <c r="B1232" t="str">
        <f>VLOOKUP(A1232,Customers!A:B,2,FALSE)</f>
        <v>RetailDynamics</v>
      </c>
      <c r="C1232" s="24" t="s">
        <v>1599</v>
      </c>
      <c r="D1232" s="10">
        <v>45981</v>
      </c>
      <c r="E1232" s="10">
        <v>46011</v>
      </c>
      <c r="F1232" s="4">
        <v>3472.68</v>
      </c>
      <c r="G1232" s="3">
        <f>SUMIF(Customer_Payments!B:B,C1232,Customer_Payments!E:E)</f>
        <v>3472.68</v>
      </c>
      <c r="H1232" s="3">
        <f t="shared" si="57"/>
        <v>0</v>
      </c>
      <c r="I1232" s="29">
        <f t="shared" si="58"/>
        <v>80</v>
      </c>
      <c r="J1232" s="31" t="str">
        <f t="shared" si="59"/>
        <v>61-90</v>
      </c>
      <c r="K1232"/>
    </row>
    <row r="1233" spans="1:11" x14ac:dyDescent="0.3">
      <c r="A1233" s="21" t="s">
        <v>9</v>
      </c>
      <c r="B1233" t="str">
        <f>VLOOKUP(A1233,Customers!A:B,2,FALSE)</f>
        <v>UrbanRetail</v>
      </c>
      <c r="C1233" s="25" t="s">
        <v>1600</v>
      </c>
      <c r="D1233" s="11">
        <v>45971</v>
      </c>
      <c r="E1233" s="11">
        <v>46001</v>
      </c>
      <c r="F1233" s="5">
        <v>2029.16</v>
      </c>
      <c r="G1233" s="3">
        <f>SUMIF(Customer_Payments!B:B,C1233,Customer_Payments!E:E)</f>
        <v>2029.16</v>
      </c>
      <c r="H1233" s="3">
        <f t="shared" si="57"/>
        <v>0</v>
      </c>
      <c r="I1233" s="29">
        <f t="shared" si="58"/>
        <v>90</v>
      </c>
      <c r="J1233" s="31" t="str">
        <f t="shared" si="59"/>
        <v>61-90</v>
      </c>
      <c r="K1233"/>
    </row>
    <row r="1234" spans="1:11" x14ac:dyDescent="0.3">
      <c r="A1234" s="20" t="s">
        <v>119</v>
      </c>
      <c r="B1234" t="str">
        <f>VLOOKUP(A1234,Customers!A:B,2,FALSE)</f>
        <v>RetailNovaGlobal</v>
      </c>
      <c r="C1234" s="24" t="s">
        <v>1601</v>
      </c>
      <c r="D1234" s="10">
        <v>45972</v>
      </c>
      <c r="E1234" s="10">
        <v>46002</v>
      </c>
      <c r="F1234" s="4">
        <v>2162.85</v>
      </c>
      <c r="G1234" s="3">
        <f>SUMIF(Customer_Payments!B:B,C1234,Customer_Payments!E:E)</f>
        <v>2162.85</v>
      </c>
      <c r="H1234" s="3">
        <f t="shared" si="57"/>
        <v>0</v>
      </c>
      <c r="I1234" s="29">
        <f t="shared" si="58"/>
        <v>89</v>
      </c>
      <c r="J1234" s="31" t="str">
        <f t="shared" si="59"/>
        <v>61-90</v>
      </c>
      <c r="K1234"/>
    </row>
    <row r="1235" spans="1:11" x14ac:dyDescent="0.3">
      <c r="A1235" s="21" t="s">
        <v>60</v>
      </c>
      <c r="B1235" t="str">
        <f>VLOOKUP(A1235,Customers!A:B,2,FALSE)</f>
        <v>RetailSpark</v>
      </c>
      <c r="C1235" s="25" t="s">
        <v>1602</v>
      </c>
      <c r="D1235" s="11">
        <v>46011</v>
      </c>
      <c r="E1235" s="11">
        <v>46041</v>
      </c>
      <c r="F1235" s="5">
        <v>1537.56</v>
      </c>
      <c r="G1235" s="3">
        <f>SUMIF(Customer_Payments!B:B,C1235,Customer_Payments!E:E)</f>
        <v>1537.56</v>
      </c>
      <c r="H1235" s="3">
        <f t="shared" si="57"/>
        <v>0</v>
      </c>
      <c r="I1235" s="29">
        <f t="shared" si="58"/>
        <v>50</v>
      </c>
      <c r="J1235" s="31" t="str">
        <f t="shared" si="59"/>
        <v>31-60</v>
      </c>
      <c r="K1235"/>
    </row>
    <row r="1236" spans="1:11" x14ac:dyDescent="0.3">
      <c r="A1236" s="20" t="s">
        <v>74</v>
      </c>
      <c r="B1236" t="str">
        <f>VLOOKUP(A1236,Customers!A:B,2,FALSE)</f>
        <v>RetailPrime</v>
      </c>
      <c r="C1236" s="24" t="s">
        <v>1603</v>
      </c>
      <c r="D1236" s="10">
        <v>46023</v>
      </c>
      <c r="E1236" s="10">
        <v>46053</v>
      </c>
      <c r="F1236" s="4">
        <v>2096.7199999999998</v>
      </c>
      <c r="G1236" s="3">
        <f>SUMIF(Customer_Payments!B:B,C1236,Customer_Payments!E:E)</f>
        <v>2096.7199999999998</v>
      </c>
      <c r="H1236" s="3">
        <f t="shared" si="57"/>
        <v>0</v>
      </c>
      <c r="I1236" s="29">
        <f t="shared" si="58"/>
        <v>38</v>
      </c>
      <c r="J1236" s="31" t="str">
        <f t="shared" si="59"/>
        <v>31-60</v>
      </c>
      <c r="K1236"/>
    </row>
    <row r="1237" spans="1:11" x14ac:dyDescent="0.3">
      <c r="A1237" s="21" t="s">
        <v>30</v>
      </c>
      <c r="B1237" t="str">
        <f>VLOOKUP(A1237,Customers!A:B,2,FALSE)</f>
        <v>CommerceFlow</v>
      </c>
      <c r="C1237" s="25" t="s">
        <v>1604</v>
      </c>
      <c r="D1237" s="11">
        <v>46029</v>
      </c>
      <c r="E1237" s="11">
        <v>46059</v>
      </c>
      <c r="F1237" s="5">
        <v>2114.15</v>
      </c>
      <c r="G1237" s="3">
        <f>SUMIF(Customer_Payments!B:B,C1237,Customer_Payments!E:E)</f>
        <v>0</v>
      </c>
      <c r="H1237" s="3">
        <f t="shared" si="57"/>
        <v>2114.15</v>
      </c>
      <c r="I1237" s="29">
        <f t="shared" si="58"/>
        <v>32</v>
      </c>
      <c r="J1237" s="31" t="str">
        <f t="shared" si="59"/>
        <v>31-60</v>
      </c>
      <c r="K1237"/>
    </row>
    <row r="1238" spans="1:11" x14ac:dyDescent="0.3">
      <c r="A1238" s="20" t="s">
        <v>47</v>
      </c>
      <c r="B1238" t="str">
        <f>VLOOKUP(A1238,Customers!A:B,2,FALSE)</f>
        <v>SmartRetail</v>
      </c>
      <c r="C1238" s="24" t="s">
        <v>1605</v>
      </c>
      <c r="D1238" s="10">
        <v>46089</v>
      </c>
      <c r="E1238" s="10">
        <v>46119</v>
      </c>
      <c r="F1238" s="4">
        <v>3118.51</v>
      </c>
      <c r="G1238" s="3">
        <f>SUMIF(Customer_Payments!B:B,C1238,Customer_Payments!E:E)</f>
        <v>3118.51</v>
      </c>
      <c r="H1238" s="3">
        <f t="shared" si="57"/>
        <v>0</v>
      </c>
      <c r="I1238" s="29">
        <f t="shared" si="58"/>
        <v>-28</v>
      </c>
      <c r="J1238" s="31" t="str">
        <f t="shared" si="59"/>
        <v>Current</v>
      </c>
      <c r="K1238"/>
    </row>
    <row r="1239" spans="1:11" x14ac:dyDescent="0.3">
      <c r="A1239" s="21" t="s">
        <v>53</v>
      </c>
      <c r="B1239" t="str">
        <f>VLOOKUP(A1239,Customers!A:B,2,FALSE)</f>
        <v>PrimeCart</v>
      </c>
      <c r="C1239" s="25" t="s">
        <v>1606</v>
      </c>
      <c r="D1239" s="11">
        <v>46024</v>
      </c>
      <c r="E1239" s="11">
        <v>46054</v>
      </c>
      <c r="F1239" s="5">
        <v>2015.91</v>
      </c>
      <c r="G1239" s="3">
        <f>SUMIF(Customer_Payments!B:B,C1239,Customer_Payments!E:E)</f>
        <v>2015.91</v>
      </c>
      <c r="H1239" s="3">
        <f t="shared" si="57"/>
        <v>0</v>
      </c>
      <c r="I1239" s="29">
        <f t="shared" si="58"/>
        <v>37</v>
      </c>
      <c r="J1239" s="31" t="str">
        <f t="shared" si="59"/>
        <v>31-60</v>
      </c>
      <c r="K1239"/>
    </row>
    <row r="1240" spans="1:11" x14ac:dyDescent="0.3">
      <c r="A1240" s="20" t="s">
        <v>73</v>
      </c>
      <c r="B1240" t="str">
        <f>VLOOKUP(A1240,Customers!A:B,2,FALSE)</f>
        <v>RetailWave</v>
      </c>
      <c r="C1240" s="24" t="s">
        <v>1607</v>
      </c>
      <c r="D1240" s="10">
        <v>45976</v>
      </c>
      <c r="E1240" s="10">
        <v>46006</v>
      </c>
      <c r="F1240" s="4">
        <v>3041.3</v>
      </c>
      <c r="G1240" s="3">
        <f>SUMIF(Customer_Payments!B:B,C1240,Customer_Payments!E:E)</f>
        <v>3041.3</v>
      </c>
      <c r="H1240" s="3">
        <f t="shared" si="57"/>
        <v>0</v>
      </c>
      <c r="I1240" s="29">
        <f t="shared" si="58"/>
        <v>85</v>
      </c>
      <c r="J1240" s="31" t="str">
        <f t="shared" si="59"/>
        <v>61-90</v>
      </c>
      <c r="K1240"/>
    </row>
    <row r="1241" spans="1:11" x14ac:dyDescent="0.3">
      <c r="A1241" s="21" t="s">
        <v>123</v>
      </c>
      <c r="B1241" t="str">
        <f>VLOOKUP(A1241,Customers!A:B,2,FALSE)</f>
        <v>RetailFlowGlobal</v>
      </c>
      <c r="C1241" s="25" t="s">
        <v>1608</v>
      </c>
      <c r="D1241" s="11">
        <v>46018</v>
      </c>
      <c r="E1241" s="11">
        <v>46048</v>
      </c>
      <c r="F1241" s="5">
        <v>2373.0100000000002</v>
      </c>
      <c r="G1241" s="3">
        <f>SUMIF(Customer_Payments!B:B,C1241,Customer_Payments!E:E)</f>
        <v>2373.0100000000002</v>
      </c>
      <c r="H1241" s="3">
        <f t="shared" si="57"/>
        <v>0</v>
      </c>
      <c r="I1241" s="29">
        <f t="shared" si="58"/>
        <v>43</v>
      </c>
      <c r="J1241" s="31" t="str">
        <f t="shared" si="59"/>
        <v>31-60</v>
      </c>
      <c r="K1241"/>
    </row>
    <row r="1242" spans="1:11" x14ac:dyDescent="0.3">
      <c r="A1242" s="20" t="s">
        <v>31</v>
      </c>
      <c r="B1242" t="str">
        <f>VLOOKUP(A1242,Customers!A:B,2,FALSE)</f>
        <v>SparkRetail</v>
      </c>
      <c r="C1242" s="24" t="s">
        <v>1609</v>
      </c>
      <c r="D1242" s="10">
        <v>46083</v>
      </c>
      <c r="E1242" s="10">
        <v>46113</v>
      </c>
      <c r="F1242" s="4">
        <v>4204.84</v>
      </c>
      <c r="G1242" s="3">
        <f>SUMIF(Customer_Payments!B:B,C1242,Customer_Payments!E:E)</f>
        <v>4204.84</v>
      </c>
      <c r="H1242" s="3">
        <f t="shared" si="57"/>
        <v>0</v>
      </c>
      <c r="I1242" s="29">
        <f t="shared" si="58"/>
        <v>-22</v>
      </c>
      <c r="J1242" s="31" t="str">
        <f t="shared" si="59"/>
        <v>Current</v>
      </c>
      <c r="K1242"/>
    </row>
    <row r="1243" spans="1:11" x14ac:dyDescent="0.3">
      <c r="A1243" s="21" t="s">
        <v>98</v>
      </c>
      <c r="B1243" t="str">
        <f>VLOOKUP(A1243,Customers!A:B,2,FALSE)</f>
        <v>RetailEdgePro</v>
      </c>
      <c r="C1243" s="25" t="s">
        <v>1610</v>
      </c>
      <c r="D1243" s="11">
        <v>46000</v>
      </c>
      <c r="E1243" s="11">
        <v>46030</v>
      </c>
      <c r="F1243" s="5">
        <v>3658.8</v>
      </c>
      <c r="G1243" s="3">
        <f>SUMIF(Customer_Payments!B:B,C1243,Customer_Payments!E:E)</f>
        <v>0</v>
      </c>
      <c r="H1243" s="3">
        <f t="shared" si="57"/>
        <v>3658.8</v>
      </c>
      <c r="I1243" s="29">
        <f t="shared" si="58"/>
        <v>61</v>
      </c>
      <c r="J1243" s="31" t="str">
        <f t="shared" si="59"/>
        <v>61-90</v>
      </c>
      <c r="K1243"/>
    </row>
    <row r="1244" spans="1:11" x14ac:dyDescent="0.3">
      <c r="A1244" s="20" t="s">
        <v>124</v>
      </c>
      <c r="B1244" t="str">
        <f>VLOOKUP(A1244,Customers!A:B,2,FALSE)</f>
        <v>RetailOrbitGlobal</v>
      </c>
      <c r="C1244" s="24" t="s">
        <v>1611</v>
      </c>
      <c r="D1244" s="10">
        <v>46057</v>
      </c>
      <c r="E1244" s="10">
        <v>46087</v>
      </c>
      <c r="F1244" s="4">
        <v>3783.17</v>
      </c>
      <c r="G1244" s="3">
        <f>SUMIF(Customer_Payments!B:B,C1244,Customer_Payments!E:E)</f>
        <v>3783.17</v>
      </c>
      <c r="H1244" s="3">
        <f t="shared" si="57"/>
        <v>0</v>
      </c>
      <c r="I1244" s="29">
        <f t="shared" si="58"/>
        <v>4</v>
      </c>
      <c r="J1244" s="31" t="str">
        <f t="shared" si="59"/>
        <v>1-30</v>
      </c>
      <c r="K1244"/>
    </row>
    <row r="1245" spans="1:11" x14ac:dyDescent="0.3">
      <c r="A1245" s="21" t="s">
        <v>46</v>
      </c>
      <c r="B1245" t="str">
        <f>VLOOKUP(A1245,Customers!A:B,2,FALSE)</f>
        <v>NovaMarket</v>
      </c>
      <c r="C1245" s="25" t="s">
        <v>1612</v>
      </c>
      <c r="D1245" s="11">
        <v>45991</v>
      </c>
      <c r="E1245" s="11">
        <v>46021</v>
      </c>
      <c r="F1245" s="5">
        <v>2539.88</v>
      </c>
      <c r="G1245" s="3">
        <f>SUMIF(Customer_Payments!B:B,C1245,Customer_Payments!E:E)</f>
        <v>2539.88</v>
      </c>
      <c r="H1245" s="3">
        <f t="shared" si="57"/>
        <v>0</v>
      </c>
      <c r="I1245" s="29">
        <f t="shared" si="58"/>
        <v>70</v>
      </c>
      <c r="J1245" s="31" t="str">
        <f t="shared" si="59"/>
        <v>61-90</v>
      </c>
      <c r="K1245"/>
    </row>
    <row r="1246" spans="1:11" x14ac:dyDescent="0.3">
      <c r="A1246" s="20" t="s">
        <v>83</v>
      </c>
      <c r="B1246" t="str">
        <f>VLOOKUP(A1246,Customers!A:B,2,FALSE)</f>
        <v>RetailCoreX</v>
      </c>
      <c r="C1246" s="24" t="s">
        <v>1613</v>
      </c>
      <c r="D1246" s="10">
        <v>46090</v>
      </c>
      <c r="E1246" s="10">
        <v>46120</v>
      </c>
      <c r="F1246" s="4">
        <v>1701.05</v>
      </c>
      <c r="G1246" s="3">
        <f>SUMIF(Customer_Payments!B:B,C1246,Customer_Payments!E:E)</f>
        <v>0</v>
      </c>
      <c r="H1246" s="3">
        <f t="shared" si="57"/>
        <v>1701.05</v>
      </c>
      <c r="I1246" s="29">
        <f t="shared" si="58"/>
        <v>-29</v>
      </c>
      <c r="J1246" s="31" t="str">
        <f t="shared" si="59"/>
        <v>Current</v>
      </c>
      <c r="K1246"/>
    </row>
    <row r="1247" spans="1:11" x14ac:dyDescent="0.3">
      <c r="A1247" s="21" t="s">
        <v>10</v>
      </c>
      <c r="B1247" t="str">
        <f>VLOOKUP(A1247,Customers!A:B,2,FALSE)</f>
        <v>LaunchLabs</v>
      </c>
      <c r="C1247" s="25" t="s">
        <v>1614</v>
      </c>
      <c r="D1247" s="11">
        <v>46007</v>
      </c>
      <c r="E1247" s="11">
        <v>46037</v>
      </c>
      <c r="F1247" s="5">
        <v>3869.03</v>
      </c>
      <c r="G1247" s="3">
        <f>SUMIF(Customer_Payments!B:B,C1247,Customer_Payments!E:E)</f>
        <v>3869.03</v>
      </c>
      <c r="H1247" s="3">
        <f t="shared" si="57"/>
        <v>0</v>
      </c>
      <c r="I1247" s="29">
        <f t="shared" si="58"/>
        <v>54</v>
      </c>
      <c r="J1247" s="31" t="str">
        <f t="shared" si="59"/>
        <v>31-60</v>
      </c>
      <c r="K1247"/>
    </row>
    <row r="1248" spans="1:11" x14ac:dyDescent="0.3">
      <c r="A1248" s="20" t="s">
        <v>25</v>
      </c>
      <c r="B1248" t="str">
        <f>VLOOKUP(A1248,Customers!A:B,2,FALSE)</f>
        <v>OrbitEdge</v>
      </c>
      <c r="C1248" s="24" t="s">
        <v>1615</v>
      </c>
      <c r="D1248" s="10">
        <v>45976</v>
      </c>
      <c r="E1248" s="10">
        <v>46006</v>
      </c>
      <c r="F1248" s="4">
        <v>2026.49</v>
      </c>
      <c r="G1248" s="3">
        <f>SUMIF(Customer_Payments!B:B,C1248,Customer_Payments!E:E)</f>
        <v>0</v>
      </c>
      <c r="H1248" s="3">
        <f t="shared" si="57"/>
        <v>2026.49</v>
      </c>
      <c r="I1248" s="29">
        <f t="shared" si="58"/>
        <v>85</v>
      </c>
      <c r="J1248" s="31" t="str">
        <f t="shared" si="59"/>
        <v>61-90</v>
      </c>
      <c r="K1248"/>
    </row>
    <row r="1249" spans="1:11" x14ac:dyDescent="0.3">
      <c r="A1249" s="21" t="s">
        <v>17</v>
      </c>
      <c r="B1249" t="str">
        <f>VLOOKUP(A1249,Customers!A:B,2,FALSE)</f>
        <v>AlphaCommerce</v>
      </c>
      <c r="C1249" s="25" t="s">
        <v>1616</v>
      </c>
      <c r="D1249" s="11">
        <v>45975</v>
      </c>
      <c r="E1249" s="11">
        <v>46005</v>
      </c>
      <c r="F1249" s="5">
        <v>1603.13</v>
      </c>
      <c r="G1249" s="3">
        <f>SUMIF(Customer_Payments!B:B,C1249,Customer_Payments!E:E)</f>
        <v>1603.13</v>
      </c>
      <c r="H1249" s="3">
        <f t="shared" si="57"/>
        <v>0</v>
      </c>
      <c r="I1249" s="29">
        <f t="shared" si="58"/>
        <v>86</v>
      </c>
      <c r="J1249" s="31" t="str">
        <f t="shared" si="59"/>
        <v>61-90</v>
      </c>
      <c r="K1249"/>
    </row>
    <row r="1250" spans="1:11" x14ac:dyDescent="0.3">
      <c r="A1250" s="20" t="s">
        <v>106</v>
      </c>
      <c r="B1250" t="str">
        <f>VLOOKUP(A1250,Customers!A:B,2,FALSE)</f>
        <v>RetailOrbitPro</v>
      </c>
      <c r="C1250" s="24" t="s">
        <v>1617</v>
      </c>
      <c r="D1250" s="10">
        <v>46001</v>
      </c>
      <c r="E1250" s="10">
        <v>46031</v>
      </c>
      <c r="F1250" s="4">
        <v>12915.93</v>
      </c>
      <c r="G1250" s="3">
        <f>SUMIF(Customer_Payments!B:B,C1250,Customer_Payments!E:E)</f>
        <v>12915.93</v>
      </c>
      <c r="H1250" s="3">
        <f t="shared" si="57"/>
        <v>0</v>
      </c>
      <c r="I1250" s="29">
        <f t="shared" si="58"/>
        <v>60</v>
      </c>
      <c r="J1250" s="31" t="str">
        <f t="shared" si="59"/>
        <v>31-60</v>
      </c>
      <c r="K1250"/>
    </row>
    <row r="1251" spans="1:11" x14ac:dyDescent="0.3">
      <c r="A1251" s="21" t="s">
        <v>108</v>
      </c>
      <c r="B1251" t="str">
        <f>VLOOKUP(A1251,Customers!A:B,2,FALSE)</f>
        <v>RetailNextPro</v>
      </c>
      <c r="C1251" s="25" t="s">
        <v>1618</v>
      </c>
      <c r="D1251" s="11">
        <v>46097</v>
      </c>
      <c r="E1251" s="11">
        <v>46127</v>
      </c>
      <c r="F1251" s="5">
        <v>13235.2</v>
      </c>
      <c r="G1251" s="3">
        <f>SUMIF(Customer_Payments!B:B,C1251,Customer_Payments!E:E)</f>
        <v>13235.2</v>
      </c>
      <c r="H1251" s="3">
        <f t="shared" si="57"/>
        <v>0</v>
      </c>
      <c r="I1251" s="29">
        <f t="shared" si="58"/>
        <v>-36</v>
      </c>
      <c r="J1251" s="31" t="str">
        <f t="shared" si="59"/>
        <v>Current</v>
      </c>
      <c r="K1251"/>
    </row>
    <row r="1252" spans="1:11" x14ac:dyDescent="0.3">
      <c r="A1252" s="20" t="s">
        <v>39</v>
      </c>
      <c r="B1252" t="str">
        <f>VLOOKUP(A1252,Customers!A:B,2,FALSE)</f>
        <v>VisionCommerce</v>
      </c>
      <c r="C1252" s="24" t="s">
        <v>1619</v>
      </c>
      <c r="D1252" s="10">
        <v>46045</v>
      </c>
      <c r="E1252" s="10">
        <v>46075</v>
      </c>
      <c r="F1252" s="4">
        <v>1809.71</v>
      </c>
      <c r="G1252" s="3">
        <f>SUMIF(Customer_Payments!B:B,C1252,Customer_Payments!E:E)</f>
        <v>1809.71</v>
      </c>
      <c r="H1252" s="3">
        <f t="shared" si="57"/>
        <v>0</v>
      </c>
      <c r="I1252" s="29">
        <f t="shared" si="58"/>
        <v>16</v>
      </c>
      <c r="J1252" s="31" t="str">
        <f t="shared" si="59"/>
        <v>1-30</v>
      </c>
      <c r="K1252"/>
    </row>
    <row r="1253" spans="1:11" x14ac:dyDescent="0.3">
      <c r="A1253" s="21" t="s">
        <v>107</v>
      </c>
      <c r="B1253" t="str">
        <f>VLOOKUP(A1253,Customers!A:B,2,FALSE)</f>
        <v>RetailWorksPro</v>
      </c>
      <c r="C1253" s="25" t="s">
        <v>1620</v>
      </c>
      <c r="D1253" s="11">
        <v>46060</v>
      </c>
      <c r="E1253" s="11">
        <v>46090</v>
      </c>
      <c r="F1253" s="5">
        <v>2479.5</v>
      </c>
      <c r="G1253" s="3">
        <f>SUMIF(Customer_Payments!B:B,C1253,Customer_Payments!E:E)</f>
        <v>0</v>
      </c>
      <c r="H1253" s="3">
        <f t="shared" si="57"/>
        <v>2479.5</v>
      </c>
      <c r="I1253" s="29">
        <f t="shared" si="58"/>
        <v>1</v>
      </c>
      <c r="J1253" s="31" t="str">
        <f t="shared" si="59"/>
        <v>1-30</v>
      </c>
      <c r="K1253"/>
    </row>
    <row r="1254" spans="1:11" x14ac:dyDescent="0.3">
      <c r="A1254" s="20" t="s">
        <v>30</v>
      </c>
      <c r="B1254" t="str">
        <f>VLOOKUP(A1254,Customers!A:B,2,FALSE)</f>
        <v>CommerceFlow</v>
      </c>
      <c r="C1254" s="24" t="s">
        <v>1621</v>
      </c>
      <c r="D1254" s="10">
        <v>46083</v>
      </c>
      <c r="E1254" s="10">
        <v>46113</v>
      </c>
      <c r="F1254" s="4">
        <v>3504.12</v>
      </c>
      <c r="G1254" s="3">
        <f>SUMIF(Customer_Payments!B:B,C1254,Customer_Payments!E:E)</f>
        <v>0</v>
      </c>
      <c r="H1254" s="3">
        <f t="shared" si="57"/>
        <v>3504.12</v>
      </c>
      <c r="I1254" s="29">
        <f t="shared" si="58"/>
        <v>-22</v>
      </c>
      <c r="J1254" s="31" t="str">
        <f t="shared" si="59"/>
        <v>Current</v>
      </c>
      <c r="K1254"/>
    </row>
    <row r="1255" spans="1:11" x14ac:dyDescent="0.3">
      <c r="A1255" s="21" t="s">
        <v>42</v>
      </c>
      <c r="B1255" t="str">
        <f>VLOOKUP(A1255,Customers!A:B,2,FALSE)</f>
        <v>RetailWorks</v>
      </c>
      <c r="C1255" s="25" t="s">
        <v>1622</v>
      </c>
      <c r="D1255" s="11">
        <v>46013</v>
      </c>
      <c r="E1255" s="11">
        <v>46043</v>
      </c>
      <c r="F1255" s="5">
        <v>1693.1</v>
      </c>
      <c r="G1255" s="3">
        <f>SUMIF(Customer_Payments!B:B,C1255,Customer_Payments!E:E)</f>
        <v>0</v>
      </c>
      <c r="H1255" s="3">
        <f t="shared" si="57"/>
        <v>1693.1</v>
      </c>
      <c r="I1255" s="29">
        <f t="shared" si="58"/>
        <v>48</v>
      </c>
      <c r="J1255" s="31" t="str">
        <f t="shared" si="59"/>
        <v>31-60</v>
      </c>
      <c r="K1255"/>
    </row>
    <row r="1256" spans="1:11" x14ac:dyDescent="0.3">
      <c r="A1256" s="20" t="s">
        <v>85</v>
      </c>
      <c r="B1256" t="str">
        <f>VLOOKUP(A1256,Customers!A:B,2,FALSE)</f>
        <v>RetailWorksX</v>
      </c>
      <c r="C1256" s="24" t="s">
        <v>1623</v>
      </c>
      <c r="D1256" s="10">
        <v>46065</v>
      </c>
      <c r="E1256" s="10">
        <v>46095</v>
      </c>
      <c r="F1256" s="4">
        <v>3286.97</v>
      </c>
      <c r="G1256" s="3">
        <f>SUMIF(Customer_Payments!B:B,C1256,Customer_Payments!E:E)</f>
        <v>0</v>
      </c>
      <c r="H1256" s="3">
        <f t="shared" si="57"/>
        <v>3286.97</v>
      </c>
      <c r="I1256" s="29">
        <f t="shared" si="58"/>
        <v>-4</v>
      </c>
      <c r="J1256" s="31" t="str">
        <f t="shared" si="59"/>
        <v>Current</v>
      </c>
      <c r="K1256"/>
    </row>
    <row r="1257" spans="1:11" x14ac:dyDescent="0.3">
      <c r="A1257" s="21" t="s">
        <v>104</v>
      </c>
      <c r="B1257" t="str">
        <f>VLOOKUP(A1257,Customers!A:B,2,FALSE)</f>
        <v>RetailCorePro</v>
      </c>
      <c r="C1257" s="25" t="s">
        <v>1624</v>
      </c>
      <c r="D1257" s="11">
        <v>46077</v>
      </c>
      <c r="E1257" s="11">
        <v>46107</v>
      </c>
      <c r="F1257" s="5">
        <v>5009.82</v>
      </c>
      <c r="G1257" s="3">
        <f>SUMIF(Customer_Payments!B:B,C1257,Customer_Payments!E:E)</f>
        <v>0</v>
      </c>
      <c r="H1257" s="3">
        <f t="shared" si="57"/>
        <v>5009.82</v>
      </c>
      <c r="I1257" s="29">
        <f t="shared" si="58"/>
        <v>-16</v>
      </c>
      <c r="J1257" s="31" t="str">
        <f t="shared" si="59"/>
        <v>Current</v>
      </c>
      <c r="K1257"/>
    </row>
    <row r="1258" spans="1:11" x14ac:dyDescent="0.3">
      <c r="A1258" s="20" t="s">
        <v>28</v>
      </c>
      <c r="B1258" t="str">
        <f>VLOOKUP(A1258,Customers!A:B,2,FALSE)</f>
        <v>FutureCart</v>
      </c>
      <c r="C1258" s="24" t="s">
        <v>1625</v>
      </c>
      <c r="D1258" s="10">
        <v>46080</v>
      </c>
      <c r="E1258" s="10">
        <v>46110</v>
      </c>
      <c r="F1258" s="4">
        <v>3034.61</v>
      </c>
      <c r="G1258" s="3">
        <f>SUMIF(Customer_Payments!B:B,C1258,Customer_Payments!E:E)</f>
        <v>0</v>
      </c>
      <c r="H1258" s="3">
        <f t="shared" si="57"/>
        <v>3034.61</v>
      </c>
      <c r="I1258" s="29">
        <f t="shared" si="58"/>
        <v>-19</v>
      </c>
      <c r="J1258" s="31" t="str">
        <f t="shared" si="59"/>
        <v>Current</v>
      </c>
      <c r="K1258"/>
    </row>
    <row r="1259" spans="1:11" x14ac:dyDescent="0.3">
      <c r="A1259" s="21" t="s">
        <v>124</v>
      </c>
      <c r="B1259" t="str">
        <f>VLOOKUP(A1259,Customers!A:B,2,FALSE)</f>
        <v>RetailOrbitGlobal</v>
      </c>
      <c r="C1259" s="25" t="s">
        <v>1626</v>
      </c>
      <c r="D1259" s="11">
        <v>45984</v>
      </c>
      <c r="E1259" s="11">
        <v>46014</v>
      </c>
      <c r="F1259" s="5">
        <v>2806.06</v>
      </c>
      <c r="G1259" s="3">
        <f>SUMIF(Customer_Payments!B:B,C1259,Customer_Payments!E:E)</f>
        <v>0</v>
      </c>
      <c r="H1259" s="3">
        <f t="shared" si="57"/>
        <v>2806.06</v>
      </c>
      <c r="I1259" s="29">
        <f t="shared" si="58"/>
        <v>77</v>
      </c>
      <c r="J1259" s="31" t="str">
        <f t="shared" si="59"/>
        <v>61-90</v>
      </c>
      <c r="K1259"/>
    </row>
    <row r="1260" spans="1:11" x14ac:dyDescent="0.3">
      <c r="A1260" s="20" t="s">
        <v>30</v>
      </c>
      <c r="B1260" t="str">
        <f>VLOOKUP(A1260,Customers!A:B,2,FALSE)</f>
        <v>CommerceFlow</v>
      </c>
      <c r="C1260" s="24" t="s">
        <v>1627</v>
      </c>
      <c r="D1260" s="10">
        <v>46097</v>
      </c>
      <c r="E1260" s="10">
        <v>46127</v>
      </c>
      <c r="F1260" s="4">
        <v>3991.82</v>
      </c>
      <c r="G1260" s="3">
        <f>SUMIF(Customer_Payments!B:B,C1260,Customer_Payments!E:E)</f>
        <v>3991.82</v>
      </c>
      <c r="H1260" s="3">
        <f t="shared" si="57"/>
        <v>0</v>
      </c>
      <c r="I1260" s="29">
        <f t="shared" si="58"/>
        <v>-36</v>
      </c>
      <c r="J1260" s="31" t="str">
        <f t="shared" si="59"/>
        <v>Current</v>
      </c>
      <c r="K1260"/>
    </row>
    <row r="1261" spans="1:11" x14ac:dyDescent="0.3">
      <c r="A1261" s="21" t="s">
        <v>55</v>
      </c>
      <c r="B1261" t="str">
        <f>VLOOKUP(A1261,Customers!A:B,2,FALSE)</f>
        <v>CommerceLabs</v>
      </c>
      <c r="C1261" s="25" t="s">
        <v>1628</v>
      </c>
      <c r="D1261" s="11">
        <v>46041</v>
      </c>
      <c r="E1261" s="11">
        <v>46071</v>
      </c>
      <c r="F1261" s="5">
        <v>12832.92</v>
      </c>
      <c r="G1261" s="3">
        <f>SUMIF(Customer_Payments!B:B,C1261,Customer_Payments!E:E)</f>
        <v>0</v>
      </c>
      <c r="H1261" s="3">
        <f t="shared" si="57"/>
        <v>12832.92</v>
      </c>
      <c r="I1261" s="29">
        <f t="shared" si="58"/>
        <v>20</v>
      </c>
      <c r="J1261" s="31" t="str">
        <f t="shared" si="59"/>
        <v>1-30</v>
      </c>
      <c r="K1261"/>
    </row>
    <row r="1262" spans="1:11" x14ac:dyDescent="0.3">
      <c r="A1262" s="20" t="s">
        <v>47</v>
      </c>
      <c r="B1262" t="str">
        <f>VLOOKUP(A1262,Customers!A:B,2,FALSE)</f>
        <v>SmartRetail</v>
      </c>
      <c r="C1262" s="24" t="s">
        <v>1629</v>
      </c>
      <c r="D1262" s="10">
        <v>46036</v>
      </c>
      <c r="E1262" s="10">
        <v>46066</v>
      </c>
      <c r="F1262" s="4">
        <v>10628.52</v>
      </c>
      <c r="G1262" s="3">
        <f>SUMIF(Customer_Payments!B:B,C1262,Customer_Payments!E:E)</f>
        <v>10628.52</v>
      </c>
      <c r="H1262" s="3">
        <f t="shared" si="57"/>
        <v>0</v>
      </c>
      <c r="I1262" s="29">
        <f t="shared" si="58"/>
        <v>25</v>
      </c>
      <c r="J1262" s="31" t="str">
        <f t="shared" si="59"/>
        <v>1-30</v>
      </c>
      <c r="K1262"/>
    </row>
    <row r="1263" spans="1:11" x14ac:dyDescent="0.3">
      <c r="A1263" s="21" t="s">
        <v>53</v>
      </c>
      <c r="B1263" t="str">
        <f>VLOOKUP(A1263,Customers!A:B,2,FALSE)</f>
        <v>PrimeCart</v>
      </c>
      <c r="C1263" s="25" t="s">
        <v>1630</v>
      </c>
      <c r="D1263" s="11">
        <v>46032</v>
      </c>
      <c r="E1263" s="11">
        <v>46062</v>
      </c>
      <c r="F1263" s="5">
        <v>2959.08</v>
      </c>
      <c r="G1263" s="3">
        <f>SUMIF(Customer_Payments!B:B,C1263,Customer_Payments!E:E)</f>
        <v>2959.08</v>
      </c>
      <c r="H1263" s="3">
        <f t="shared" si="57"/>
        <v>0</v>
      </c>
      <c r="I1263" s="29">
        <f t="shared" si="58"/>
        <v>29</v>
      </c>
      <c r="J1263" s="31" t="str">
        <f t="shared" si="59"/>
        <v>1-30</v>
      </c>
      <c r="K1263"/>
    </row>
    <row r="1264" spans="1:11" x14ac:dyDescent="0.3">
      <c r="A1264" s="20" t="s">
        <v>70</v>
      </c>
      <c r="B1264" t="str">
        <f>VLOOKUP(A1264,Customers!A:B,2,FALSE)</f>
        <v>RetailPath</v>
      </c>
      <c r="C1264" s="24" t="s">
        <v>1631</v>
      </c>
      <c r="D1264" s="10">
        <v>46034</v>
      </c>
      <c r="E1264" s="10">
        <v>46064</v>
      </c>
      <c r="F1264" s="4">
        <v>1647.56</v>
      </c>
      <c r="G1264" s="3">
        <f>SUMIF(Customer_Payments!B:B,C1264,Customer_Payments!E:E)</f>
        <v>1647.56</v>
      </c>
      <c r="H1264" s="3">
        <f t="shared" si="57"/>
        <v>0</v>
      </c>
      <c r="I1264" s="29">
        <f t="shared" si="58"/>
        <v>27</v>
      </c>
      <c r="J1264" s="31" t="str">
        <f t="shared" si="59"/>
        <v>1-30</v>
      </c>
      <c r="K1264"/>
    </row>
    <row r="1265" spans="1:11" x14ac:dyDescent="0.3">
      <c r="A1265" s="21" t="s">
        <v>94</v>
      </c>
      <c r="B1265" t="str">
        <f>VLOOKUP(A1265,Customers!A:B,2,FALSE)</f>
        <v>RetailDynamicsX</v>
      </c>
      <c r="C1265" s="25" t="s">
        <v>1632</v>
      </c>
      <c r="D1265" s="11">
        <v>46052</v>
      </c>
      <c r="E1265" s="11">
        <v>46082</v>
      </c>
      <c r="F1265" s="5">
        <v>2861.74</v>
      </c>
      <c r="G1265" s="3">
        <f>SUMIF(Customer_Payments!B:B,C1265,Customer_Payments!E:E)</f>
        <v>2861.74</v>
      </c>
      <c r="H1265" s="3">
        <f t="shared" si="57"/>
        <v>0</v>
      </c>
      <c r="I1265" s="29">
        <f t="shared" si="58"/>
        <v>9</v>
      </c>
      <c r="J1265" s="31" t="str">
        <f t="shared" si="59"/>
        <v>1-30</v>
      </c>
      <c r="K1265"/>
    </row>
    <row r="1266" spans="1:11" x14ac:dyDescent="0.3">
      <c r="A1266" s="20" t="s">
        <v>61</v>
      </c>
      <c r="B1266" t="str">
        <f>VLOOKUP(A1266,Customers!A:B,2,FALSE)</f>
        <v>RetailOrbit</v>
      </c>
      <c r="C1266" s="24" t="s">
        <v>1633</v>
      </c>
      <c r="D1266" s="10">
        <v>46013</v>
      </c>
      <c r="E1266" s="10">
        <v>46043</v>
      </c>
      <c r="F1266" s="4">
        <v>10684.19</v>
      </c>
      <c r="G1266" s="3">
        <f>SUMIF(Customer_Payments!B:B,C1266,Customer_Payments!E:E)</f>
        <v>0</v>
      </c>
      <c r="H1266" s="3">
        <f t="shared" si="57"/>
        <v>10684.19</v>
      </c>
      <c r="I1266" s="29">
        <f t="shared" si="58"/>
        <v>48</v>
      </c>
      <c r="J1266" s="31" t="str">
        <f t="shared" si="59"/>
        <v>31-60</v>
      </c>
      <c r="K1266"/>
    </row>
    <row r="1267" spans="1:11" x14ac:dyDescent="0.3">
      <c r="A1267" s="21" t="s">
        <v>54</v>
      </c>
      <c r="B1267" t="str">
        <f>VLOOKUP(A1267,Customers!A:B,2,FALSE)</f>
        <v>RetailEdge</v>
      </c>
      <c r="C1267" s="25" t="s">
        <v>1634</v>
      </c>
      <c r="D1267" s="11">
        <v>46098</v>
      </c>
      <c r="E1267" s="11">
        <v>46128</v>
      </c>
      <c r="F1267" s="5">
        <v>5713.55</v>
      </c>
      <c r="G1267" s="3">
        <f>SUMIF(Customer_Payments!B:B,C1267,Customer_Payments!E:E)</f>
        <v>0</v>
      </c>
      <c r="H1267" s="3">
        <f t="shared" si="57"/>
        <v>5713.55</v>
      </c>
      <c r="I1267" s="29">
        <f t="shared" si="58"/>
        <v>-37</v>
      </c>
      <c r="J1267" s="31" t="str">
        <f t="shared" si="59"/>
        <v>Current</v>
      </c>
      <c r="K1267"/>
    </row>
    <row r="1268" spans="1:11" x14ac:dyDescent="0.3">
      <c r="A1268" s="20" t="s">
        <v>57</v>
      </c>
      <c r="B1268" t="str">
        <f>VLOOKUP(A1268,Customers!A:B,2,FALSE)</f>
        <v>MarketGenius</v>
      </c>
      <c r="C1268" s="24" t="s">
        <v>1635</v>
      </c>
      <c r="D1268" s="10">
        <v>46009</v>
      </c>
      <c r="E1268" s="10">
        <v>46039</v>
      </c>
      <c r="F1268" s="4">
        <v>4025.57</v>
      </c>
      <c r="G1268" s="3">
        <f>SUMIF(Customer_Payments!B:B,C1268,Customer_Payments!E:E)</f>
        <v>4025.57</v>
      </c>
      <c r="H1268" s="3">
        <f t="shared" si="57"/>
        <v>0</v>
      </c>
      <c r="I1268" s="29">
        <f t="shared" si="58"/>
        <v>52</v>
      </c>
      <c r="J1268" s="31" t="str">
        <f t="shared" si="59"/>
        <v>31-60</v>
      </c>
      <c r="K1268"/>
    </row>
    <row r="1269" spans="1:11" x14ac:dyDescent="0.3">
      <c r="A1269" s="21" t="s">
        <v>57</v>
      </c>
      <c r="B1269" t="str">
        <f>VLOOKUP(A1269,Customers!A:B,2,FALSE)</f>
        <v>MarketGenius</v>
      </c>
      <c r="C1269" s="25" t="s">
        <v>1636</v>
      </c>
      <c r="D1269" s="11">
        <v>46066</v>
      </c>
      <c r="E1269" s="11">
        <v>46096</v>
      </c>
      <c r="F1269" s="5">
        <v>12108.78</v>
      </c>
      <c r="G1269" s="3">
        <f>SUMIF(Customer_Payments!B:B,C1269,Customer_Payments!E:E)</f>
        <v>12108.78</v>
      </c>
      <c r="H1269" s="3">
        <f t="shared" si="57"/>
        <v>0</v>
      </c>
      <c r="I1269" s="29">
        <f t="shared" si="58"/>
        <v>-5</v>
      </c>
      <c r="J1269" s="31" t="str">
        <f t="shared" si="59"/>
        <v>Current</v>
      </c>
      <c r="K1269"/>
    </row>
    <row r="1270" spans="1:11" x14ac:dyDescent="0.3">
      <c r="A1270" s="20" t="s">
        <v>28</v>
      </c>
      <c r="B1270" t="str">
        <f>VLOOKUP(A1270,Customers!A:B,2,FALSE)</f>
        <v>FutureCart</v>
      </c>
      <c r="C1270" s="24" t="s">
        <v>1637</v>
      </c>
      <c r="D1270" s="10">
        <v>46050</v>
      </c>
      <c r="E1270" s="10">
        <v>46080</v>
      </c>
      <c r="F1270" s="4">
        <v>12936.18</v>
      </c>
      <c r="G1270" s="3">
        <f>SUMIF(Customer_Payments!B:B,C1270,Customer_Payments!E:E)</f>
        <v>0</v>
      </c>
      <c r="H1270" s="3">
        <f t="shared" si="57"/>
        <v>12936.18</v>
      </c>
      <c r="I1270" s="29">
        <f t="shared" si="58"/>
        <v>11</v>
      </c>
      <c r="J1270" s="31" t="str">
        <f t="shared" si="59"/>
        <v>1-30</v>
      </c>
      <c r="K1270"/>
    </row>
    <row r="1271" spans="1:11" x14ac:dyDescent="0.3">
      <c r="A1271" s="21" t="s">
        <v>115</v>
      </c>
      <c r="B1271" t="str">
        <f>VLOOKUP(A1271,Customers!A:B,2,FALSE)</f>
        <v>RetailDynamicsPro</v>
      </c>
      <c r="C1271" s="25" t="s">
        <v>1638</v>
      </c>
      <c r="D1271" s="11">
        <v>46007</v>
      </c>
      <c r="E1271" s="11">
        <v>46037</v>
      </c>
      <c r="F1271" s="5">
        <v>2836.45</v>
      </c>
      <c r="G1271" s="3">
        <f>SUMIF(Customer_Payments!B:B,C1271,Customer_Payments!E:E)</f>
        <v>2836.45</v>
      </c>
      <c r="H1271" s="3">
        <f t="shared" si="57"/>
        <v>0</v>
      </c>
      <c r="I1271" s="29">
        <f t="shared" si="58"/>
        <v>54</v>
      </c>
      <c r="J1271" s="31" t="str">
        <f t="shared" si="59"/>
        <v>31-60</v>
      </c>
      <c r="K1271"/>
    </row>
    <row r="1272" spans="1:11" x14ac:dyDescent="0.3">
      <c r="A1272" s="20" t="s">
        <v>42</v>
      </c>
      <c r="B1272" t="str">
        <f>VLOOKUP(A1272,Customers!A:B,2,FALSE)</f>
        <v>RetailWorks</v>
      </c>
      <c r="C1272" s="24" t="s">
        <v>1639</v>
      </c>
      <c r="D1272" s="10">
        <v>46064</v>
      </c>
      <c r="E1272" s="10">
        <v>46094</v>
      </c>
      <c r="F1272" s="4">
        <v>10189.26</v>
      </c>
      <c r="G1272" s="3">
        <f>SUMIF(Customer_Payments!B:B,C1272,Customer_Payments!E:E)</f>
        <v>10189.26</v>
      </c>
      <c r="H1272" s="3">
        <f t="shared" si="57"/>
        <v>0</v>
      </c>
      <c r="I1272" s="29">
        <f t="shared" si="58"/>
        <v>-3</v>
      </c>
      <c r="J1272" s="31" t="str">
        <f t="shared" si="59"/>
        <v>Current</v>
      </c>
      <c r="K1272"/>
    </row>
    <row r="1273" spans="1:11" x14ac:dyDescent="0.3">
      <c r="A1273" s="21" t="s">
        <v>109</v>
      </c>
      <c r="B1273" t="str">
        <f>VLOOKUP(A1273,Customers!A:B,2,FALSE)</f>
        <v>RetailStreamPro</v>
      </c>
      <c r="C1273" s="25" t="s">
        <v>1640</v>
      </c>
      <c r="D1273" s="11">
        <v>46077</v>
      </c>
      <c r="E1273" s="11">
        <v>46107</v>
      </c>
      <c r="F1273" s="5">
        <v>1991.5</v>
      </c>
      <c r="G1273" s="3">
        <f>SUMIF(Customer_Payments!B:B,C1273,Customer_Payments!E:E)</f>
        <v>0</v>
      </c>
      <c r="H1273" s="3">
        <f t="shared" si="57"/>
        <v>1991.5</v>
      </c>
      <c r="I1273" s="29">
        <f t="shared" si="58"/>
        <v>-16</v>
      </c>
      <c r="J1273" s="31" t="str">
        <f t="shared" si="59"/>
        <v>Current</v>
      </c>
      <c r="K1273"/>
    </row>
    <row r="1274" spans="1:11" x14ac:dyDescent="0.3">
      <c r="A1274" s="20" t="s">
        <v>58</v>
      </c>
      <c r="B1274" t="str">
        <f>VLOOKUP(A1274,Customers!A:B,2,FALSE)</f>
        <v>RetailAxis</v>
      </c>
      <c r="C1274" s="24" t="s">
        <v>1641</v>
      </c>
      <c r="D1274" s="10">
        <v>46087</v>
      </c>
      <c r="E1274" s="10">
        <v>46117</v>
      </c>
      <c r="F1274" s="4">
        <v>2119.12</v>
      </c>
      <c r="G1274" s="3">
        <f>SUMIF(Customer_Payments!B:B,C1274,Customer_Payments!E:E)</f>
        <v>2119.12</v>
      </c>
      <c r="H1274" s="3">
        <f t="shared" si="57"/>
        <v>0</v>
      </c>
      <c r="I1274" s="29">
        <f t="shared" si="58"/>
        <v>-26</v>
      </c>
      <c r="J1274" s="31" t="str">
        <f t="shared" si="59"/>
        <v>Current</v>
      </c>
      <c r="K1274"/>
    </row>
    <row r="1275" spans="1:11" x14ac:dyDescent="0.3">
      <c r="A1275" s="21" t="s">
        <v>39</v>
      </c>
      <c r="B1275" t="str">
        <f>VLOOKUP(A1275,Customers!A:B,2,FALSE)</f>
        <v>VisionCommerce</v>
      </c>
      <c r="C1275" s="25" t="s">
        <v>1642</v>
      </c>
      <c r="D1275" s="11">
        <v>45963</v>
      </c>
      <c r="E1275" s="11">
        <v>45993</v>
      </c>
      <c r="F1275" s="5">
        <v>12054.79</v>
      </c>
      <c r="G1275" s="3">
        <f>SUMIF(Customer_Payments!B:B,C1275,Customer_Payments!E:E)</f>
        <v>12054.79</v>
      </c>
      <c r="H1275" s="3">
        <f t="shared" si="57"/>
        <v>0</v>
      </c>
      <c r="I1275" s="29">
        <f t="shared" si="58"/>
        <v>98</v>
      </c>
      <c r="J1275" s="31" t="str">
        <f t="shared" si="59"/>
        <v>90+</v>
      </c>
      <c r="K1275"/>
    </row>
    <row r="1276" spans="1:11" x14ac:dyDescent="0.3">
      <c r="A1276" s="20" t="s">
        <v>101</v>
      </c>
      <c r="B1276" t="str">
        <f>VLOOKUP(A1276,Customers!A:B,2,FALSE)</f>
        <v>RetailMatrixPro</v>
      </c>
      <c r="C1276" s="24" t="s">
        <v>1643</v>
      </c>
      <c r="D1276" s="10">
        <v>46105</v>
      </c>
      <c r="E1276" s="10">
        <v>46135</v>
      </c>
      <c r="F1276" s="4">
        <v>11986.91</v>
      </c>
      <c r="G1276" s="3">
        <f>SUMIF(Customer_Payments!B:B,C1276,Customer_Payments!E:E)</f>
        <v>11986.91</v>
      </c>
      <c r="H1276" s="3">
        <f t="shared" si="57"/>
        <v>0</v>
      </c>
      <c r="I1276" s="29">
        <f t="shared" si="58"/>
        <v>-44</v>
      </c>
      <c r="J1276" s="31" t="str">
        <f t="shared" si="59"/>
        <v>Current</v>
      </c>
      <c r="K1276"/>
    </row>
    <row r="1277" spans="1:11" x14ac:dyDescent="0.3">
      <c r="A1277" s="21" t="s">
        <v>29</v>
      </c>
      <c r="B1277" t="str">
        <f>VLOOKUP(A1277,Customers!A:B,2,FALSE)</f>
        <v>DigitalBridge</v>
      </c>
      <c r="C1277" s="25" t="s">
        <v>1644</v>
      </c>
      <c r="D1277" s="11">
        <v>46067</v>
      </c>
      <c r="E1277" s="11">
        <v>46097</v>
      </c>
      <c r="F1277" s="5">
        <v>3396.37</v>
      </c>
      <c r="G1277" s="3">
        <f>SUMIF(Customer_Payments!B:B,C1277,Customer_Payments!E:E)</f>
        <v>3396.37</v>
      </c>
      <c r="H1277" s="3">
        <f t="shared" si="57"/>
        <v>0</v>
      </c>
      <c r="I1277" s="29">
        <f t="shared" si="58"/>
        <v>-6</v>
      </c>
      <c r="J1277" s="31" t="str">
        <f t="shared" si="59"/>
        <v>Current</v>
      </c>
      <c r="K1277"/>
    </row>
    <row r="1278" spans="1:11" x14ac:dyDescent="0.3">
      <c r="A1278" s="20" t="s">
        <v>86</v>
      </c>
      <c r="B1278" t="str">
        <f>VLOOKUP(A1278,Customers!A:B,2,FALSE)</f>
        <v>RetailNextX</v>
      </c>
      <c r="C1278" s="24" t="s">
        <v>1645</v>
      </c>
      <c r="D1278" s="10">
        <v>46049</v>
      </c>
      <c r="E1278" s="10">
        <v>46079</v>
      </c>
      <c r="F1278" s="4">
        <v>12502</v>
      </c>
      <c r="G1278" s="3">
        <f>SUMIF(Customer_Payments!B:B,C1278,Customer_Payments!E:E)</f>
        <v>12502</v>
      </c>
      <c r="H1278" s="3">
        <f t="shared" si="57"/>
        <v>0</v>
      </c>
      <c r="I1278" s="29">
        <f t="shared" si="58"/>
        <v>12</v>
      </c>
      <c r="J1278" s="31" t="str">
        <f t="shared" si="59"/>
        <v>1-30</v>
      </c>
      <c r="K1278"/>
    </row>
    <row r="1279" spans="1:11" x14ac:dyDescent="0.3">
      <c r="A1279" s="21" t="s">
        <v>108</v>
      </c>
      <c r="B1279" t="str">
        <f>VLOOKUP(A1279,Customers!A:B,2,FALSE)</f>
        <v>RetailNextPro</v>
      </c>
      <c r="C1279" s="25" t="s">
        <v>1646</v>
      </c>
      <c r="D1279" s="11">
        <v>45996</v>
      </c>
      <c r="E1279" s="11">
        <v>46026</v>
      </c>
      <c r="F1279" s="5">
        <v>3312.21</v>
      </c>
      <c r="G1279" s="3">
        <f>SUMIF(Customer_Payments!B:B,C1279,Customer_Payments!E:E)</f>
        <v>0</v>
      </c>
      <c r="H1279" s="3">
        <f t="shared" si="57"/>
        <v>3312.21</v>
      </c>
      <c r="I1279" s="29">
        <f t="shared" si="58"/>
        <v>65</v>
      </c>
      <c r="J1279" s="31" t="str">
        <f t="shared" si="59"/>
        <v>61-90</v>
      </c>
      <c r="K1279"/>
    </row>
    <row r="1280" spans="1:11" x14ac:dyDescent="0.3">
      <c r="A1280" s="20" t="s">
        <v>40</v>
      </c>
      <c r="B1280" t="str">
        <f>VLOOKUP(A1280,Customers!A:B,2,FALSE)</f>
        <v>GlobalCart</v>
      </c>
      <c r="C1280" s="24" t="s">
        <v>1647</v>
      </c>
      <c r="D1280" s="10">
        <v>45971</v>
      </c>
      <c r="E1280" s="10">
        <v>46001</v>
      </c>
      <c r="F1280" s="4">
        <v>10569.27</v>
      </c>
      <c r="G1280" s="3">
        <f>SUMIF(Customer_Payments!B:B,C1280,Customer_Payments!E:E)</f>
        <v>10569.27</v>
      </c>
      <c r="H1280" s="3">
        <f t="shared" si="57"/>
        <v>0</v>
      </c>
      <c r="I1280" s="29">
        <f t="shared" si="58"/>
        <v>90</v>
      </c>
      <c r="J1280" s="31" t="str">
        <f t="shared" si="59"/>
        <v>61-90</v>
      </c>
      <c r="K1280"/>
    </row>
    <row r="1281" spans="1:11" x14ac:dyDescent="0.3">
      <c r="A1281" s="21" t="s">
        <v>104</v>
      </c>
      <c r="B1281" t="str">
        <f>VLOOKUP(A1281,Customers!A:B,2,FALSE)</f>
        <v>RetailCorePro</v>
      </c>
      <c r="C1281" s="25" t="s">
        <v>1648</v>
      </c>
      <c r="D1281" s="11">
        <v>45965</v>
      </c>
      <c r="E1281" s="11">
        <v>45995</v>
      </c>
      <c r="F1281" s="5">
        <v>3281.06</v>
      </c>
      <c r="G1281" s="3">
        <f>SUMIF(Customer_Payments!B:B,C1281,Customer_Payments!E:E)</f>
        <v>3281.06</v>
      </c>
      <c r="H1281" s="3">
        <f t="shared" si="57"/>
        <v>0</v>
      </c>
      <c r="I1281" s="29">
        <f t="shared" si="58"/>
        <v>96</v>
      </c>
      <c r="J1281" s="31" t="str">
        <f t="shared" si="59"/>
        <v>90+</v>
      </c>
      <c r="K1281"/>
    </row>
    <row r="1282" spans="1:11" x14ac:dyDescent="0.3">
      <c r="A1282" s="20" t="s">
        <v>47</v>
      </c>
      <c r="B1282" t="str">
        <f>VLOOKUP(A1282,Customers!A:B,2,FALSE)</f>
        <v>SmartRetail</v>
      </c>
      <c r="C1282" s="24" t="s">
        <v>1649</v>
      </c>
      <c r="D1282" s="10">
        <v>46047</v>
      </c>
      <c r="E1282" s="10">
        <v>46077</v>
      </c>
      <c r="F1282" s="4">
        <v>3588.85</v>
      </c>
      <c r="G1282" s="3">
        <f>SUMIF(Customer_Payments!B:B,C1282,Customer_Payments!E:E)</f>
        <v>3588.85</v>
      </c>
      <c r="H1282" s="3">
        <f t="shared" ref="H1282:H1345" si="60">MAX(F1282-G1282,0)</f>
        <v>0</v>
      </c>
      <c r="I1282" s="29">
        <f t="shared" ref="I1282:I1345" si="61">$L$2-E1282</f>
        <v>14</v>
      </c>
      <c r="J1282" s="31" t="str">
        <f t="shared" si="59"/>
        <v>1-30</v>
      </c>
      <c r="K1282"/>
    </row>
    <row r="1283" spans="1:11" x14ac:dyDescent="0.3">
      <c r="A1283" s="21" t="s">
        <v>91</v>
      </c>
      <c r="B1283" t="str">
        <f>VLOOKUP(A1283,Customers!A:B,2,FALSE)</f>
        <v>RetailBridgeX</v>
      </c>
      <c r="C1283" s="25" t="s">
        <v>1650</v>
      </c>
      <c r="D1283" s="11">
        <v>46004</v>
      </c>
      <c r="E1283" s="11">
        <v>46034</v>
      </c>
      <c r="F1283" s="5">
        <v>11724.27</v>
      </c>
      <c r="G1283" s="3">
        <f>SUMIF(Customer_Payments!B:B,C1283,Customer_Payments!E:E)</f>
        <v>11724.27</v>
      </c>
      <c r="H1283" s="3">
        <f t="shared" si="60"/>
        <v>0</v>
      </c>
      <c r="I1283" s="29">
        <f t="shared" si="61"/>
        <v>57</v>
      </c>
      <c r="J1283" s="31" t="str">
        <f t="shared" ref="J1283:J1346" si="62">IF(I1283&lt;=0,"Current",
IF(I1283&lt;=30,"1-30",
IF(I1283&lt;=60,"31-60",
IF(I1283&lt;=90,"61-90","90+"))))</f>
        <v>31-60</v>
      </c>
      <c r="K1283"/>
    </row>
    <row r="1284" spans="1:11" x14ac:dyDescent="0.3">
      <c r="A1284" s="20" t="s">
        <v>46</v>
      </c>
      <c r="B1284" t="str">
        <f>VLOOKUP(A1284,Customers!A:B,2,FALSE)</f>
        <v>NovaMarket</v>
      </c>
      <c r="C1284" s="24" t="s">
        <v>1651</v>
      </c>
      <c r="D1284" s="10">
        <v>45995</v>
      </c>
      <c r="E1284" s="10">
        <v>46025</v>
      </c>
      <c r="F1284" s="4">
        <v>2884.7</v>
      </c>
      <c r="G1284" s="3">
        <f>SUMIF(Customer_Payments!B:B,C1284,Customer_Payments!E:E)</f>
        <v>2884.7</v>
      </c>
      <c r="H1284" s="3">
        <f t="shared" si="60"/>
        <v>0</v>
      </c>
      <c r="I1284" s="29">
        <f t="shared" si="61"/>
        <v>66</v>
      </c>
      <c r="J1284" s="31" t="str">
        <f t="shared" si="62"/>
        <v>61-90</v>
      </c>
      <c r="K1284"/>
    </row>
    <row r="1285" spans="1:11" x14ac:dyDescent="0.3">
      <c r="A1285" s="21" t="s">
        <v>69</v>
      </c>
      <c r="B1285" t="str">
        <f>VLOOKUP(A1285,Customers!A:B,2,FALSE)</f>
        <v>RetailNext</v>
      </c>
      <c r="C1285" s="25" t="s">
        <v>1652</v>
      </c>
      <c r="D1285" s="11">
        <v>45996</v>
      </c>
      <c r="E1285" s="11">
        <v>46026</v>
      </c>
      <c r="F1285" s="5">
        <v>1720.14</v>
      </c>
      <c r="G1285" s="3">
        <f>SUMIF(Customer_Payments!B:B,C1285,Customer_Payments!E:E)</f>
        <v>1720.14</v>
      </c>
      <c r="H1285" s="3">
        <f t="shared" si="60"/>
        <v>0</v>
      </c>
      <c r="I1285" s="29">
        <f t="shared" si="61"/>
        <v>65</v>
      </c>
      <c r="J1285" s="31" t="str">
        <f t="shared" si="62"/>
        <v>61-90</v>
      </c>
      <c r="K1285"/>
    </row>
    <row r="1286" spans="1:11" x14ac:dyDescent="0.3">
      <c r="A1286" s="20" t="s">
        <v>78</v>
      </c>
      <c r="B1286" t="str">
        <f>VLOOKUP(A1286,Customers!A:B,2,FALSE)</f>
        <v>RetailOrbitX</v>
      </c>
      <c r="C1286" s="24" t="s">
        <v>1653</v>
      </c>
      <c r="D1286" s="10">
        <v>46003</v>
      </c>
      <c r="E1286" s="10">
        <v>46033</v>
      </c>
      <c r="F1286" s="4">
        <v>1838.72</v>
      </c>
      <c r="G1286" s="3">
        <f>SUMIF(Customer_Payments!B:B,C1286,Customer_Payments!E:E)</f>
        <v>1838.72</v>
      </c>
      <c r="H1286" s="3">
        <f t="shared" si="60"/>
        <v>0</v>
      </c>
      <c r="I1286" s="29">
        <f t="shared" si="61"/>
        <v>58</v>
      </c>
      <c r="J1286" s="31" t="str">
        <f t="shared" si="62"/>
        <v>31-60</v>
      </c>
      <c r="K1286"/>
    </row>
    <row r="1287" spans="1:11" x14ac:dyDescent="0.3">
      <c r="A1287" s="21" t="s">
        <v>55</v>
      </c>
      <c r="B1287" t="str">
        <f>VLOOKUP(A1287,Customers!A:B,2,FALSE)</f>
        <v>CommerceLabs</v>
      </c>
      <c r="C1287" s="25" t="s">
        <v>1654</v>
      </c>
      <c r="D1287" s="11">
        <v>46079</v>
      </c>
      <c r="E1287" s="11">
        <v>46109</v>
      </c>
      <c r="F1287" s="5">
        <v>5013.37</v>
      </c>
      <c r="G1287" s="3">
        <f>SUMIF(Customer_Payments!B:B,C1287,Customer_Payments!E:E)</f>
        <v>5013.37</v>
      </c>
      <c r="H1287" s="3">
        <f t="shared" si="60"/>
        <v>0</v>
      </c>
      <c r="I1287" s="29">
        <f t="shared" si="61"/>
        <v>-18</v>
      </c>
      <c r="J1287" s="31" t="str">
        <f t="shared" si="62"/>
        <v>Current</v>
      </c>
      <c r="K1287"/>
    </row>
    <row r="1288" spans="1:11" x14ac:dyDescent="0.3">
      <c r="A1288" s="20" t="s">
        <v>10</v>
      </c>
      <c r="B1288" t="str">
        <f>VLOOKUP(A1288,Customers!A:B,2,FALSE)</f>
        <v>LaunchLabs</v>
      </c>
      <c r="C1288" s="24" t="s">
        <v>1655</v>
      </c>
      <c r="D1288" s="10">
        <v>45987</v>
      </c>
      <c r="E1288" s="10">
        <v>46017</v>
      </c>
      <c r="F1288" s="4">
        <v>3747.08</v>
      </c>
      <c r="G1288" s="3">
        <f>SUMIF(Customer_Payments!B:B,C1288,Customer_Payments!E:E)</f>
        <v>3747.08</v>
      </c>
      <c r="H1288" s="3">
        <f t="shared" si="60"/>
        <v>0</v>
      </c>
      <c r="I1288" s="29">
        <f t="shared" si="61"/>
        <v>74</v>
      </c>
      <c r="J1288" s="31" t="str">
        <f t="shared" si="62"/>
        <v>61-90</v>
      </c>
      <c r="K1288"/>
    </row>
    <row r="1289" spans="1:11" x14ac:dyDescent="0.3">
      <c r="A1289" s="21" t="s">
        <v>101</v>
      </c>
      <c r="B1289" t="str">
        <f>VLOOKUP(A1289,Customers!A:B,2,FALSE)</f>
        <v>RetailMatrixPro</v>
      </c>
      <c r="C1289" s="25" t="s">
        <v>1656</v>
      </c>
      <c r="D1289" s="11">
        <v>45996</v>
      </c>
      <c r="E1289" s="11">
        <v>46026</v>
      </c>
      <c r="F1289" s="5">
        <v>2863.17</v>
      </c>
      <c r="G1289" s="3">
        <f>SUMIF(Customer_Payments!B:B,C1289,Customer_Payments!E:E)</f>
        <v>2863.17</v>
      </c>
      <c r="H1289" s="3">
        <f t="shared" si="60"/>
        <v>0</v>
      </c>
      <c r="I1289" s="29">
        <f t="shared" si="61"/>
        <v>65</v>
      </c>
      <c r="J1289" s="31" t="str">
        <f t="shared" si="62"/>
        <v>61-90</v>
      </c>
      <c r="K1289"/>
    </row>
    <row r="1290" spans="1:11" x14ac:dyDescent="0.3">
      <c r="A1290" s="20" t="s">
        <v>61</v>
      </c>
      <c r="B1290" t="str">
        <f>VLOOKUP(A1290,Customers!A:B,2,FALSE)</f>
        <v>RetailOrbit</v>
      </c>
      <c r="C1290" s="24" t="s">
        <v>1657</v>
      </c>
      <c r="D1290" s="10">
        <v>46025</v>
      </c>
      <c r="E1290" s="10">
        <v>46055</v>
      </c>
      <c r="F1290" s="4">
        <v>2837.66</v>
      </c>
      <c r="G1290" s="3">
        <f>SUMIF(Customer_Payments!B:B,C1290,Customer_Payments!E:E)</f>
        <v>2837.66</v>
      </c>
      <c r="H1290" s="3">
        <f t="shared" si="60"/>
        <v>0</v>
      </c>
      <c r="I1290" s="29">
        <f t="shared" si="61"/>
        <v>36</v>
      </c>
      <c r="J1290" s="31" t="str">
        <f t="shared" si="62"/>
        <v>31-60</v>
      </c>
      <c r="K1290"/>
    </row>
    <row r="1291" spans="1:11" x14ac:dyDescent="0.3">
      <c r="A1291" s="21" t="s">
        <v>38</v>
      </c>
      <c r="B1291" t="str">
        <f>VLOOKUP(A1291,Customers!A:B,2,FALSE)</f>
        <v>RetailForge</v>
      </c>
      <c r="C1291" s="25" t="s">
        <v>1658</v>
      </c>
      <c r="D1291" s="11">
        <v>46102</v>
      </c>
      <c r="E1291" s="11">
        <v>46132</v>
      </c>
      <c r="F1291" s="5">
        <v>2991.95</v>
      </c>
      <c r="G1291" s="3">
        <f>SUMIF(Customer_Payments!B:B,C1291,Customer_Payments!E:E)</f>
        <v>2991.95</v>
      </c>
      <c r="H1291" s="3">
        <f t="shared" si="60"/>
        <v>0</v>
      </c>
      <c r="I1291" s="29">
        <f t="shared" si="61"/>
        <v>-41</v>
      </c>
      <c r="J1291" s="31" t="str">
        <f t="shared" si="62"/>
        <v>Current</v>
      </c>
      <c r="K1291"/>
    </row>
    <row r="1292" spans="1:11" x14ac:dyDescent="0.3">
      <c r="A1292" s="20" t="s">
        <v>95</v>
      </c>
      <c r="B1292" t="str">
        <f>VLOOKUP(A1292,Customers!A:B,2,FALSE)</f>
        <v>RetailScaleX</v>
      </c>
      <c r="C1292" s="24" t="s">
        <v>1659</v>
      </c>
      <c r="D1292" s="10">
        <v>46058</v>
      </c>
      <c r="E1292" s="10">
        <v>46088</v>
      </c>
      <c r="F1292" s="4">
        <v>4469.24</v>
      </c>
      <c r="G1292" s="3">
        <f>SUMIF(Customer_Payments!B:B,C1292,Customer_Payments!E:E)</f>
        <v>4469.24</v>
      </c>
      <c r="H1292" s="3">
        <f t="shared" si="60"/>
        <v>0</v>
      </c>
      <c r="I1292" s="29">
        <f t="shared" si="61"/>
        <v>3</v>
      </c>
      <c r="J1292" s="31" t="str">
        <f t="shared" si="62"/>
        <v>1-30</v>
      </c>
      <c r="K1292"/>
    </row>
    <row r="1293" spans="1:11" x14ac:dyDescent="0.3">
      <c r="A1293" s="21" t="s">
        <v>75</v>
      </c>
      <c r="B1293" t="str">
        <f>VLOOKUP(A1293,Customers!A:B,2,FALSE)</f>
        <v>RetailMatrix</v>
      </c>
      <c r="C1293" s="25" t="s">
        <v>1660</v>
      </c>
      <c r="D1293" s="11">
        <v>46086</v>
      </c>
      <c r="E1293" s="11">
        <v>46116</v>
      </c>
      <c r="F1293" s="5">
        <v>3442.73</v>
      </c>
      <c r="G1293" s="3">
        <f>SUMIF(Customer_Payments!B:B,C1293,Customer_Payments!E:E)</f>
        <v>3442.73</v>
      </c>
      <c r="H1293" s="3">
        <f t="shared" si="60"/>
        <v>0</v>
      </c>
      <c r="I1293" s="29">
        <f t="shared" si="61"/>
        <v>-25</v>
      </c>
      <c r="J1293" s="31" t="str">
        <f t="shared" si="62"/>
        <v>Current</v>
      </c>
      <c r="K1293"/>
    </row>
    <row r="1294" spans="1:11" x14ac:dyDescent="0.3">
      <c r="A1294" s="20" t="s">
        <v>122</v>
      </c>
      <c r="B1294" t="str">
        <f>VLOOKUP(A1294,Customers!A:B,2,FALSE)</f>
        <v>RetailCoreGlobal</v>
      </c>
      <c r="C1294" s="24" t="s">
        <v>1661</v>
      </c>
      <c r="D1294" s="10">
        <v>46001</v>
      </c>
      <c r="E1294" s="10">
        <v>46031</v>
      </c>
      <c r="F1294" s="4">
        <v>2037.38</v>
      </c>
      <c r="G1294" s="3">
        <f>SUMIF(Customer_Payments!B:B,C1294,Customer_Payments!E:E)</f>
        <v>2037.38</v>
      </c>
      <c r="H1294" s="3">
        <f t="shared" si="60"/>
        <v>0</v>
      </c>
      <c r="I1294" s="29">
        <f t="shared" si="61"/>
        <v>60</v>
      </c>
      <c r="J1294" s="31" t="str">
        <f t="shared" si="62"/>
        <v>31-60</v>
      </c>
      <c r="K1294"/>
    </row>
    <row r="1295" spans="1:11" x14ac:dyDescent="0.3">
      <c r="A1295" s="21" t="s">
        <v>47</v>
      </c>
      <c r="B1295" t="str">
        <f>VLOOKUP(A1295,Customers!A:B,2,FALSE)</f>
        <v>SmartRetail</v>
      </c>
      <c r="C1295" s="25" t="s">
        <v>1662</v>
      </c>
      <c r="D1295" s="11">
        <v>46011</v>
      </c>
      <c r="E1295" s="11">
        <v>46041</v>
      </c>
      <c r="F1295" s="5">
        <v>10879.77</v>
      </c>
      <c r="G1295" s="3">
        <f>SUMIF(Customer_Payments!B:B,C1295,Customer_Payments!E:E)</f>
        <v>10879.77</v>
      </c>
      <c r="H1295" s="3">
        <f t="shared" si="60"/>
        <v>0</v>
      </c>
      <c r="I1295" s="29">
        <f t="shared" si="61"/>
        <v>50</v>
      </c>
      <c r="J1295" s="31" t="str">
        <f t="shared" si="62"/>
        <v>31-60</v>
      </c>
      <c r="K1295"/>
    </row>
    <row r="1296" spans="1:11" x14ac:dyDescent="0.3">
      <c r="A1296" s="20" t="s">
        <v>69</v>
      </c>
      <c r="B1296" t="str">
        <f>VLOOKUP(A1296,Customers!A:B,2,FALSE)</f>
        <v>RetailNext</v>
      </c>
      <c r="C1296" s="24" t="s">
        <v>1663</v>
      </c>
      <c r="D1296" s="10">
        <v>46108</v>
      </c>
      <c r="E1296" s="10">
        <v>46138</v>
      </c>
      <c r="F1296" s="4">
        <v>12337.7</v>
      </c>
      <c r="G1296" s="3">
        <f>SUMIF(Customer_Payments!B:B,C1296,Customer_Payments!E:E)</f>
        <v>12337.7</v>
      </c>
      <c r="H1296" s="3">
        <f t="shared" si="60"/>
        <v>0</v>
      </c>
      <c r="I1296" s="29">
        <f t="shared" si="61"/>
        <v>-47</v>
      </c>
      <c r="J1296" s="31" t="str">
        <f t="shared" si="62"/>
        <v>Current</v>
      </c>
      <c r="K1296"/>
    </row>
    <row r="1297" spans="1:11" x14ac:dyDescent="0.3">
      <c r="A1297" s="21" t="s">
        <v>110</v>
      </c>
      <c r="B1297" t="str">
        <f>VLOOKUP(A1297,Customers!A:B,2,FALSE)</f>
        <v>RetailAxisPro</v>
      </c>
      <c r="C1297" s="25" t="s">
        <v>1664</v>
      </c>
      <c r="D1297" s="11">
        <v>46095</v>
      </c>
      <c r="E1297" s="11">
        <v>46125</v>
      </c>
      <c r="F1297" s="5">
        <v>3229.04</v>
      </c>
      <c r="G1297" s="3">
        <f>SUMIF(Customer_Payments!B:B,C1297,Customer_Payments!E:E)</f>
        <v>3229.04</v>
      </c>
      <c r="H1297" s="3">
        <f t="shared" si="60"/>
        <v>0</v>
      </c>
      <c r="I1297" s="29">
        <f t="shared" si="61"/>
        <v>-34</v>
      </c>
      <c r="J1297" s="31" t="str">
        <f t="shared" si="62"/>
        <v>Current</v>
      </c>
      <c r="K1297"/>
    </row>
    <row r="1298" spans="1:11" x14ac:dyDescent="0.3">
      <c r="A1298" s="20" t="s">
        <v>62</v>
      </c>
      <c r="B1298" t="str">
        <f>VLOOKUP(A1298,Customers!A:B,2,FALSE)</f>
        <v>MarketNova</v>
      </c>
      <c r="C1298" s="24" t="s">
        <v>1665</v>
      </c>
      <c r="D1298" s="10">
        <v>46088</v>
      </c>
      <c r="E1298" s="10">
        <v>46118</v>
      </c>
      <c r="F1298" s="4">
        <v>1684.47</v>
      </c>
      <c r="G1298" s="3">
        <f>SUMIF(Customer_Payments!B:B,C1298,Customer_Payments!E:E)</f>
        <v>1684.47</v>
      </c>
      <c r="H1298" s="3">
        <f t="shared" si="60"/>
        <v>0</v>
      </c>
      <c r="I1298" s="29">
        <f t="shared" si="61"/>
        <v>-27</v>
      </c>
      <c r="J1298" s="31" t="str">
        <f t="shared" si="62"/>
        <v>Current</v>
      </c>
      <c r="K1298"/>
    </row>
    <row r="1299" spans="1:11" x14ac:dyDescent="0.3">
      <c r="A1299" s="21" t="s">
        <v>75</v>
      </c>
      <c r="B1299" t="str">
        <f>VLOOKUP(A1299,Customers!A:B,2,FALSE)</f>
        <v>RetailMatrix</v>
      </c>
      <c r="C1299" s="25" t="s">
        <v>1666</v>
      </c>
      <c r="D1299" s="11">
        <v>46000</v>
      </c>
      <c r="E1299" s="11">
        <v>46030</v>
      </c>
      <c r="F1299" s="5">
        <v>4993.8999999999996</v>
      </c>
      <c r="G1299" s="3">
        <f>SUMIF(Customer_Payments!B:B,C1299,Customer_Payments!E:E)</f>
        <v>0</v>
      </c>
      <c r="H1299" s="3">
        <f t="shared" si="60"/>
        <v>4993.8999999999996</v>
      </c>
      <c r="I1299" s="29">
        <f t="shared" si="61"/>
        <v>61</v>
      </c>
      <c r="J1299" s="31" t="str">
        <f t="shared" si="62"/>
        <v>61-90</v>
      </c>
      <c r="K1299"/>
    </row>
    <row r="1300" spans="1:11" x14ac:dyDescent="0.3">
      <c r="A1300" s="20" t="s">
        <v>58</v>
      </c>
      <c r="B1300" t="str">
        <f>VLOOKUP(A1300,Customers!A:B,2,FALSE)</f>
        <v>RetailAxis</v>
      </c>
      <c r="C1300" s="24" t="s">
        <v>1667</v>
      </c>
      <c r="D1300" s="10">
        <v>45991</v>
      </c>
      <c r="E1300" s="10">
        <v>46021</v>
      </c>
      <c r="F1300" s="4">
        <v>4574.71</v>
      </c>
      <c r="G1300" s="3">
        <f>SUMIF(Customer_Payments!B:B,C1300,Customer_Payments!E:E)</f>
        <v>0</v>
      </c>
      <c r="H1300" s="3">
        <f t="shared" si="60"/>
        <v>4574.71</v>
      </c>
      <c r="I1300" s="29">
        <f t="shared" si="61"/>
        <v>70</v>
      </c>
      <c r="J1300" s="31" t="str">
        <f t="shared" si="62"/>
        <v>61-90</v>
      </c>
      <c r="K1300"/>
    </row>
    <row r="1301" spans="1:11" x14ac:dyDescent="0.3">
      <c r="A1301" s="21" t="s">
        <v>19</v>
      </c>
      <c r="B1301" t="str">
        <f>VLOOKUP(A1301,Customers!A:B,2,FALSE)</f>
        <v>NextWave Digital</v>
      </c>
      <c r="C1301" s="25" t="s">
        <v>1668</v>
      </c>
      <c r="D1301" s="11">
        <v>46016</v>
      </c>
      <c r="E1301" s="11">
        <v>46046</v>
      </c>
      <c r="F1301" s="5">
        <v>5249.14</v>
      </c>
      <c r="G1301" s="3">
        <f>SUMIF(Customer_Payments!B:B,C1301,Customer_Payments!E:E)</f>
        <v>0</v>
      </c>
      <c r="H1301" s="3">
        <f t="shared" si="60"/>
        <v>5249.14</v>
      </c>
      <c r="I1301" s="29">
        <f t="shared" si="61"/>
        <v>45</v>
      </c>
      <c r="J1301" s="31" t="str">
        <f t="shared" si="62"/>
        <v>31-60</v>
      </c>
      <c r="K1301"/>
    </row>
    <row r="1302" spans="1:11" x14ac:dyDescent="0.3">
      <c r="A1302" s="20" t="s">
        <v>67</v>
      </c>
      <c r="B1302" t="str">
        <f>VLOOKUP(A1302,Customers!A:B,2,FALSE)</f>
        <v>RetailDynamics</v>
      </c>
      <c r="C1302" s="24" t="s">
        <v>1669</v>
      </c>
      <c r="D1302" s="10">
        <v>46075</v>
      </c>
      <c r="E1302" s="10">
        <v>46105</v>
      </c>
      <c r="F1302" s="4">
        <v>3271.57</v>
      </c>
      <c r="G1302" s="3">
        <f>SUMIF(Customer_Payments!B:B,C1302,Customer_Payments!E:E)</f>
        <v>0</v>
      </c>
      <c r="H1302" s="3">
        <f t="shared" si="60"/>
        <v>3271.57</v>
      </c>
      <c r="I1302" s="29">
        <f t="shared" si="61"/>
        <v>-14</v>
      </c>
      <c r="J1302" s="31" t="str">
        <f t="shared" si="62"/>
        <v>Current</v>
      </c>
      <c r="K1302"/>
    </row>
    <row r="1303" spans="1:11" x14ac:dyDescent="0.3">
      <c r="A1303" s="21" t="s">
        <v>45</v>
      </c>
      <c r="B1303" t="str">
        <f>VLOOKUP(A1303,Customers!A:B,2,FALSE)</f>
        <v>EdgeRetail</v>
      </c>
      <c r="C1303" s="25" t="s">
        <v>1670</v>
      </c>
      <c r="D1303" s="11">
        <v>46094</v>
      </c>
      <c r="E1303" s="11">
        <v>46124</v>
      </c>
      <c r="F1303" s="5">
        <v>10606.75</v>
      </c>
      <c r="G1303" s="3">
        <f>SUMIF(Customer_Payments!B:B,C1303,Customer_Payments!E:E)</f>
        <v>10606.75</v>
      </c>
      <c r="H1303" s="3">
        <f t="shared" si="60"/>
        <v>0</v>
      </c>
      <c r="I1303" s="29">
        <f t="shared" si="61"/>
        <v>-33</v>
      </c>
      <c r="J1303" s="31" t="str">
        <f t="shared" si="62"/>
        <v>Current</v>
      </c>
      <c r="K1303"/>
    </row>
    <row r="1304" spans="1:11" x14ac:dyDescent="0.3">
      <c r="A1304" s="20" t="s">
        <v>32</v>
      </c>
      <c r="B1304" t="str">
        <f>VLOOKUP(A1304,Customers!A:B,2,FALSE)</f>
        <v>RetailVista</v>
      </c>
      <c r="C1304" s="24" t="s">
        <v>1671</v>
      </c>
      <c r="D1304" s="10">
        <v>45964</v>
      </c>
      <c r="E1304" s="10">
        <v>45994</v>
      </c>
      <c r="F1304" s="4">
        <v>3925.78</v>
      </c>
      <c r="G1304" s="3">
        <f>SUMIF(Customer_Payments!B:B,C1304,Customer_Payments!E:E)</f>
        <v>3925.78</v>
      </c>
      <c r="H1304" s="3">
        <f t="shared" si="60"/>
        <v>0</v>
      </c>
      <c r="I1304" s="29">
        <f t="shared" si="61"/>
        <v>97</v>
      </c>
      <c r="J1304" s="31" t="str">
        <f t="shared" si="62"/>
        <v>90+</v>
      </c>
      <c r="K1304"/>
    </row>
    <row r="1305" spans="1:11" x14ac:dyDescent="0.3">
      <c r="A1305" s="21" t="s">
        <v>104</v>
      </c>
      <c r="B1305" t="str">
        <f>VLOOKUP(A1305,Customers!A:B,2,FALSE)</f>
        <v>RetailCorePro</v>
      </c>
      <c r="C1305" s="25" t="s">
        <v>1672</v>
      </c>
      <c r="D1305" s="11">
        <v>45983</v>
      </c>
      <c r="E1305" s="11">
        <v>46013</v>
      </c>
      <c r="F1305" s="5">
        <v>11531.04</v>
      </c>
      <c r="G1305" s="3">
        <f>SUMIF(Customer_Payments!B:B,C1305,Customer_Payments!E:E)</f>
        <v>11531.04</v>
      </c>
      <c r="H1305" s="3">
        <f t="shared" si="60"/>
        <v>0</v>
      </c>
      <c r="I1305" s="29">
        <f t="shared" si="61"/>
        <v>78</v>
      </c>
      <c r="J1305" s="31" t="str">
        <f t="shared" si="62"/>
        <v>61-90</v>
      </c>
      <c r="K1305"/>
    </row>
    <row r="1306" spans="1:11" x14ac:dyDescent="0.3">
      <c r="A1306" s="20" t="s">
        <v>117</v>
      </c>
      <c r="B1306" t="str">
        <f>VLOOKUP(A1306,Customers!A:B,2,FALSE)</f>
        <v>RetailSparkPro</v>
      </c>
      <c r="C1306" s="24" t="s">
        <v>1673</v>
      </c>
      <c r="D1306" s="10">
        <v>46058</v>
      </c>
      <c r="E1306" s="10">
        <v>46088</v>
      </c>
      <c r="F1306" s="4">
        <v>3052.84</v>
      </c>
      <c r="G1306" s="3">
        <f>SUMIF(Customer_Payments!B:B,C1306,Customer_Payments!E:E)</f>
        <v>3052.84</v>
      </c>
      <c r="H1306" s="3">
        <f t="shared" si="60"/>
        <v>0</v>
      </c>
      <c r="I1306" s="29">
        <f t="shared" si="61"/>
        <v>3</v>
      </c>
      <c r="J1306" s="31" t="str">
        <f t="shared" si="62"/>
        <v>1-30</v>
      </c>
      <c r="K1306"/>
    </row>
    <row r="1307" spans="1:11" x14ac:dyDescent="0.3">
      <c r="A1307" s="21" t="s">
        <v>102</v>
      </c>
      <c r="B1307" t="str">
        <f>VLOOKUP(A1307,Customers!A:B,2,FALSE)</f>
        <v>RetailPrimePro</v>
      </c>
      <c r="C1307" s="25" t="s">
        <v>1674</v>
      </c>
      <c r="D1307" s="11">
        <v>45993</v>
      </c>
      <c r="E1307" s="11">
        <v>46023</v>
      </c>
      <c r="F1307" s="5">
        <v>5153.6899999999996</v>
      </c>
      <c r="G1307" s="3">
        <f>SUMIF(Customer_Payments!B:B,C1307,Customer_Payments!E:E)</f>
        <v>0</v>
      </c>
      <c r="H1307" s="3">
        <f t="shared" si="60"/>
        <v>5153.6899999999996</v>
      </c>
      <c r="I1307" s="29">
        <f t="shared" si="61"/>
        <v>68</v>
      </c>
      <c r="J1307" s="31" t="str">
        <f t="shared" si="62"/>
        <v>61-90</v>
      </c>
      <c r="K1307"/>
    </row>
    <row r="1308" spans="1:11" x14ac:dyDescent="0.3">
      <c r="A1308" s="20" t="s">
        <v>116</v>
      </c>
      <c r="B1308" t="str">
        <f>VLOOKUP(A1308,Customers!A:B,2,FALSE)</f>
        <v>RetailLabsPro</v>
      </c>
      <c r="C1308" s="24" t="s">
        <v>1675</v>
      </c>
      <c r="D1308" s="10">
        <v>46025</v>
      </c>
      <c r="E1308" s="10">
        <v>46055</v>
      </c>
      <c r="F1308" s="4">
        <v>10886.09</v>
      </c>
      <c r="G1308" s="3">
        <f>SUMIF(Customer_Payments!B:B,C1308,Customer_Payments!E:E)</f>
        <v>0</v>
      </c>
      <c r="H1308" s="3">
        <f t="shared" si="60"/>
        <v>10886.09</v>
      </c>
      <c r="I1308" s="29">
        <f t="shared" si="61"/>
        <v>36</v>
      </c>
      <c r="J1308" s="31" t="str">
        <f t="shared" si="62"/>
        <v>31-60</v>
      </c>
      <c r="K1308"/>
    </row>
    <row r="1309" spans="1:11" x14ac:dyDescent="0.3">
      <c r="A1309" s="21" t="s">
        <v>32</v>
      </c>
      <c r="B1309" t="str">
        <f>VLOOKUP(A1309,Customers!A:B,2,FALSE)</f>
        <v>RetailVista</v>
      </c>
      <c r="C1309" s="25" t="s">
        <v>1676</v>
      </c>
      <c r="D1309" s="11">
        <v>46026</v>
      </c>
      <c r="E1309" s="11">
        <v>46056</v>
      </c>
      <c r="F1309" s="5">
        <v>14086.25</v>
      </c>
      <c r="G1309" s="3">
        <f>SUMIF(Customer_Payments!B:B,C1309,Customer_Payments!E:E)</f>
        <v>14086.25</v>
      </c>
      <c r="H1309" s="3">
        <f t="shared" si="60"/>
        <v>0</v>
      </c>
      <c r="I1309" s="29">
        <f t="shared" si="61"/>
        <v>35</v>
      </c>
      <c r="J1309" s="31" t="str">
        <f t="shared" si="62"/>
        <v>31-60</v>
      </c>
      <c r="K1309"/>
    </row>
    <row r="1310" spans="1:11" x14ac:dyDescent="0.3">
      <c r="A1310" s="20" t="s">
        <v>104</v>
      </c>
      <c r="B1310" t="str">
        <f>VLOOKUP(A1310,Customers!A:B,2,FALSE)</f>
        <v>RetailCorePro</v>
      </c>
      <c r="C1310" s="24" t="s">
        <v>1677</v>
      </c>
      <c r="D1310" s="10">
        <v>46060</v>
      </c>
      <c r="E1310" s="10">
        <v>46090</v>
      </c>
      <c r="F1310" s="4">
        <v>2462.4899999999998</v>
      </c>
      <c r="G1310" s="3">
        <f>SUMIF(Customer_Payments!B:B,C1310,Customer_Payments!E:E)</f>
        <v>2462.4899999999998</v>
      </c>
      <c r="H1310" s="3">
        <f t="shared" si="60"/>
        <v>0</v>
      </c>
      <c r="I1310" s="29">
        <f t="shared" si="61"/>
        <v>1</v>
      </c>
      <c r="J1310" s="31" t="str">
        <f t="shared" si="62"/>
        <v>1-30</v>
      </c>
      <c r="K1310"/>
    </row>
    <row r="1311" spans="1:11" x14ac:dyDescent="0.3">
      <c r="A1311" s="21" t="s">
        <v>123</v>
      </c>
      <c r="B1311" t="str">
        <f>VLOOKUP(A1311,Customers!A:B,2,FALSE)</f>
        <v>RetailFlowGlobal</v>
      </c>
      <c r="C1311" s="25" t="s">
        <v>1678</v>
      </c>
      <c r="D1311" s="11">
        <v>46073</v>
      </c>
      <c r="E1311" s="11">
        <v>46103</v>
      </c>
      <c r="F1311" s="5">
        <v>2844.12</v>
      </c>
      <c r="G1311" s="3">
        <f>SUMIF(Customer_Payments!B:B,C1311,Customer_Payments!E:E)</f>
        <v>0</v>
      </c>
      <c r="H1311" s="3">
        <f t="shared" si="60"/>
        <v>2844.12</v>
      </c>
      <c r="I1311" s="29">
        <f t="shared" si="61"/>
        <v>-12</v>
      </c>
      <c r="J1311" s="31" t="str">
        <f t="shared" si="62"/>
        <v>Current</v>
      </c>
      <c r="K1311"/>
    </row>
    <row r="1312" spans="1:11" x14ac:dyDescent="0.3">
      <c r="A1312" s="20" t="s">
        <v>43</v>
      </c>
      <c r="B1312" t="str">
        <f>VLOOKUP(A1312,Customers!A:B,2,FALSE)</f>
        <v>CommerceSpark</v>
      </c>
      <c r="C1312" s="24" t="s">
        <v>1679</v>
      </c>
      <c r="D1312" s="10">
        <v>46014</v>
      </c>
      <c r="E1312" s="10">
        <v>46044</v>
      </c>
      <c r="F1312" s="4">
        <v>3160.71</v>
      </c>
      <c r="G1312" s="3">
        <f>SUMIF(Customer_Payments!B:B,C1312,Customer_Payments!E:E)</f>
        <v>3160.71</v>
      </c>
      <c r="H1312" s="3">
        <f t="shared" si="60"/>
        <v>0</v>
      </c>
      <c r="I1312" s="29">
        <f t="shared" si="61"/>
        <v>47</v>
      </c>
      <c r="J1312" s="31" t="str">
        <f t="shared" si="62"/>
        <v>31-60</v>
      </c>
      <c r="K1312"/>
    </row>
    <row r="1313" spans="1:11" x14ac:dyDescent="0.3">
      <c r="A1313" s="21" t="s">
        <v>37</v>
      </c>
      <c r="B1313" t="str">
        <f>VLOOKUP(A1313,Customers!A:B,2,FALSE)</f>
        <v>SmartCart</v>
      </c>
      <c r="C1313" s="25" t="s">
        <v>1680</v>
      </c>
      <c r="D1313" s="11">
        <v>45970</v>
      </c>
      <c r="E1313" s="11">
        <v>46000</v>
      </c>
      <c r="F1313" s="5">
        <v>1555.62</v>
      </c>
      <c r="G1313" s="3">
        <f>SUMIF(Customer_Payments!B:B,C1313,Customer_Payments!E:E)</f>
        <v>1555.62</v>
      </c>
      <c r="H1313" s="3">
        <f t="shared" si="60"/>
        <v>0</v>
      </c>
      <c r="I1313" s="29">
        <f t="shared" si="61"/>
        <v>91</v>
      </c>
      <c r="J1313" s="31" t="str">
        <f t="shared" si="62"/>
        <v>90+</v>
      </c>
      <c r="K1313"/>
    </row>
    <row r="1314" spans="1:11" x14ac:dyDescent="0.3">
      <c r="A1314" s="20" t="s">
        <v>46</v>
      </c>
      <c r="B1314" t="str">
        <f>VLOOKUP(A1314,Customers!A:B,2,FALSE)</f>
        <v>NovaMarket</v>
      </c>
      <c r="C1314" s="24" t="s">
        <v>1681</v>
      </c>
      <c r="D1314" s="10">
        <v>45997</v>
      </c>
      <c r="E1314" s="10">
        <v>46027</v>
      </c>
      <c r="F1314" s="4">
        <v>2579.9499999999998</v>
      </c>
      <c r="G1314" s="3">
        <f>SUMIF(Customer_Payments!B:B,C1314,Customer_Payments!E:E)</f>
        <v>0</v>
      </c>
      <c r="H1314" s="3">
        <f t="shared" si="60"/>
        <v>2579.9499999999998</v>
      </c>
      <c r="I1314" s="29">
        <f t="shared" si="61"/>
        <v>64</v>
      </c>
      <c r="J1314" s="31" t="str">
        <f t="shared" si="62"/>
        <v>61-90</v>
      </c>
      <c r="K1314"/>
    </row>
    <row r="1315" spans="1:11" x14ac:dyDescent="0.3">
      <c r="A1315" s="21" t="s">
        <v>11</v>
      </c>
      <c r="B1315" t="str">
        <f>VLOOKUP(A1315,Customers!A:B,2,FALSE)</f>
        <v>DataHive</v>
      </c>
      <c r="C1315" s="25" t="s">
        <v>1682</v>
      </c>
      <c r="D1315" s="11">
        <v>45997</v>
      </c>
      <c r="E1315" s="11">
        <v>46027</v>
      </c>
      <c r="F1315" s="5">
        <v>11929.84</v>
      </c>
      <c r="G1315" s="3">
        <f>SUMIF(Customer_Payments!B:B,C1315,Customer_Payments!E:E)</f>
        <v>11929.84</v>
      </c>
      <c r="H1315" s="3">
        <f t="shared" si="60"/>
        <v>0</v>
      </c>
      <c r="I1315" s="29">
        <f t="shared" si="61"/>
        <v>64</v>
      </c>
      <c r="J1315" s="31" t="str">
        <f t="shared" si="62"/>
        <v>61-90</v>
      </c>
      <c r="K1315"/>
    </row>
    <row r="1316" spans="1:11" x14ac:dyDescent="0.3">
      <c r="A1316" s="20" t="s">
        <v>109</v>
      </c>
      <c r="B1316" t="str">
        <f>VLOOKUP(A1316,Customers!A:B,2,FALSE)</f>
        <v>RetailStreamPro</v>
      </c>
      <c r="C1316" s="24" t="s">
        <v>1683</v>
      </c>
      <c r="D1316" s="10">
        <v>46047</v>
      </c>
      <c r="E1316" s="10">
        <v>46077</v>
      </c>
      <c r="F1316" s="4">
        <v>4318.72</v>
      </c>
      <c r="G1316" s="3">
        <f>SUMIF(Customer_Payments!B:B,C1316,Customer_Payments!E:E)</f>
        <v>4318.72</v>
      </c>
      <c r="H1316" s="3">
        <f t="shared" si="60"/>
        <v>0</v>
      </c>
      <c r="I1316" s="29">
        <f t="shared" si="61"/>
        <v>14</v>
      </c>
      <c r="J1316" s="31" t="str">
        <f t="shared" si="62"/>
        <v>1-30</v>
      </c>
      <c r="K1316"/>
    </row>
    <row r="1317" spans="1:11" x14ac:dyDescent="0.3">
      <c r="A1317" s="21" t="s">
        <v>99</v>
      </c>
      <c r="B1317" t="str">
        <f>VLOOKUP(A1317,Customers!A:B,2,FALSE)</f>
        <v>RetailNovaPro</v>
      </c>
      <c r="C1317" s="25" t="s">
        <v>1684</v>
      </c>
      <c r="D1317" s="11">
        <v>46009</v>
      </c>
      <c r="E1317" s="11">
        <v>46039</v>
      </c>
      <c r="F1317" s="5">
        <v>2658.67</v>
      </c>
      <c r="G1317" s="3">
        <f>SUMIF(Customer_Payments!B:B,C1317,Customer_Payments!E:E)</f>
        <v>0</v>
      </c>
      <c r="H1317" s="3">
        <f t="shared" si="60"/>
        <v>2658.67</v>
      </c>
      <c r="I1317" s="29">
        <f t="shared" si="61"/>
        <v>52</v>
      </c>
      <c r="J1317" s="31" t="str">
        <f t="shared" si="62"/>
        <v>31-60</v>
      </c>
      <c r="K1317"/>
    </row>
    <row r="1318" spans="1:11" x14ac:dyDescent="0.3">
      <c r="A1318" s="20" t="s">
        <v>45</v>
      </c>
      <c r="B1318" t="str">
        <f>VLOOKUP(A1318,Customers!A:B,2,FALSE)</f>
        <v>EdgeRetail</v>
      </c>
      <c r="C1318" s="24" t="s">
        <v>1685</v>
      </c>
      <c r="D1318" s="10">
        <v>46027</v>
      </c>
      <c r="E1318" s="10">
        <v>46057</v>
      </c>
      <c r="F1318" s="4">
        <v>13354.72</v>
      </c>
      <c r="G1318" s="3">
        <f>SUMIF(Customer_Payments!B:B,C1318,Customer_Payments!E:E)</f>
        <v>13354.72</v>
      </c>
      <c r="H1318" s="3">
        <f t="shared" si="60"/>
        <v>0</v>
      </c>
      <c r="I1318" s="29">
        <f t="shared" si="61"/>
        <v>34</v>
      </c>
      <c r="J1318" s="31" t="str">
        <f t="shared" si="62"/>
        <v>31-60</v>
      </c>
      <c r="K1318"/>
    </row>
    <row r="1319" spans="1:11" x14ac:dyDescent="0.3">
      <c r="A1319" s="21" t="s">
        <v>120</v>
      </c>
      <c r="B1319" t="str">
        <f>VLOOKUP(A1319,Customers!A:B,2,FALSE)</f>
        <v>RetailPrimeGlobal</v>
      </c>
      <c r="C1319" s="25" t="s">
        <v>1686</v>
      </c>
      <c r="D1319" s="11">
        <v>46048</v>
      </c>
      <c r="E1319" s="11">
        <v>46078</v>
      </c>
      <c r="F1319" s="5">
        <v>3480.69</v>
      </c>
      <c r="G1319" s="3">
        <f>SUMIF(Customer_Payments!B:B,C1319,Customer_Payments!E:E)</f>
        <v>3480.69</v>
      </c>
      <c r="H1319" s="3">
        <f t="shared" si="60"/>
        <v>0</v>
      </c>
      <c r="I1319" s="29">
        <f t="shared" si="61"/>
        <v>13</v>
      </c>
      <c r="J1319" s="31" t="str">
        <f t="shared" si="62"/>
        <v>1-30</v>
      </c>
      <c r="K1319"/>
    </row>
    <row r="1320" spans="1:11" x14ac:dyDescent="0.3">
      <c r="A1320" s="20" t="s">
        <v>37</v>
      </c>
      <c r="B1320" t="str">
        <f>VLOOKUP(A1320,Customers!A:B,2,FALSE)</f>
        <v>SmartCart</v>
      </c>
      <c r="C1320" s="24" t="s">
        <v>1687</v>
      </c>
      <c r="D1320" s="10">
        <v>45999</v>
      </c>
      <c r="E1320" s="10">
        <v>46029</v>
      </c>
      <c r="F1320" s="4">
        <v>2876.27</v>
      </c>
      <c r="G1320" s="3">
        <f>SUMIF(Customer_Payments!B:B,C1320,Customer_Payments!E:E)</f>
        <v>0</v>
      </c>
      <c r="H1320" s="3">
        <f t="shared" si="60"/>
        <v>2876.27</v>
      </c>
      <c r="I1320" s="29">
        <f t="shared" si="61"/>
        <v>62</v>
      </c>
      <c r="J1320" s="31" t="str">
        <f t="shared" si="62"/>
        <v>61-90</v>
      </c>
      <c r="K1320"/>
    </row>
    <row r="1321" spans="1:11" x14ac:dyDescent="0.3">
      <c r="A1321" s="21" t="s">
        <v>113</v>
      </c>
      <c r="B1321" t="str">
        <f>VLOOKUP(A1321,Customers!A:B,2,FALSE)</f>
        <v>RetailSpherePro</v>
      </c>
      <c r="C1321" s="25" t="s">
        <v>1688</v>
      </c>
      <c r="D1321" s="11">
        <v>45965</v>
      </c>
      <c r="E1321" s="11">
        <v>45995</v>
      </c>
      <c r="F1321" s="5">
        <v>3085.17</v>
      </c>
      <c r="G1321" s="3">
        <f>SUMIF(Customer_Payments!B:B,C1321,Customer_Payments!E:E)</f>
        <v>3085.17</v>
      </c>
      <c r="H1321" s="3">
        <f t="shared" si="60"/>
        <v>0</v>
      </c>
      <c r="I1321" s="29">
        <f t="shared" si="61"/>
        <v>96</v>
      </c>
      <c r="J1321" s="31" t="str">
        <f t="shared" si="62"/>
        <v>90+</v>
      </c>
      <c r="K1321"/>
    </row>
    <row r="1322" spans="1:11" x14ac:dyDescent="0.3">
      <c r="A1322" s="20" t="s">
        <v>18</v>
      </c>
      <c r="B1322" t="str">
        <f>VLOOKUP(A1322,Customers!A:B,2,FALSE)</f>
        <v>BluePeak Systems</v>
      </c>
      <c r="C1322" s="24" t="s">
        <v>1689</v>
      </c>
      <c r="D1322" s="10">
        <v>46091</v>
      </c>
      <c r="E1322" s="10">
        <v>46121</v>
      </c>
      <c r="F1322" s="4">
        <v>4129.54</v>
      </c>
      <c r="G1322" s="3">
        <f>SUMIF(Customer_Payments!B:B,C1322,Customer_Payments!E:E)</f>
        <v>4129.54</v>
      </c>
      <c r="H1322" s="3">
        <f t="shared" si="60"/>
        <v>0</v>
      </c>
      <c r="I1322" s="29">
        <f t="shared" si="61"/>
        <v>-30</v>
      </c>
      <c r="J1322" s="31" t="str">
        <f t="shared" si="62"/>
        <v>Current</v>
      </c>
      <c r="K1322"/>
    </row>
    <row r="1323" spans="1:11" x14ac:dyDescent="0.3">
      <c r="A1323" s="21" t="s">
        <v>81</v>
      </c>
      <c r="B1323" t="str">
        <f>VLOOKUP(A1323,Customers!A:B,2,FALSE)</f>
        <v>RetailFlowX</v>
      </c>
      <c r="C1323" s="25" t="s">
        <v>1690</v>
      </c>
      <c r="D1323" s="11">
        <v>46056</v>
      </c>
      <c r="E1323" s="11">
        <v>46086</v>
      </c>
      <c r="F1323" s="5">
        <v>5199.6400000000003</v>
      </c>
      <c r="G1323" s="3">
        <f>SUMIF(Customer_Payments!B:B,C1323,Customer_Payments!E:E)</f>
        <v>5199.6400000000003</v>
      </c>
      <c r="H1323" s="3">
        <f t="shared" si="60"/>
        <v>0</v>
      </c>
      <c r="I1323" s="29">
        <f t="shared" si="61"/>
        <v>5</v>
      </c>
      <c r="J1323" s="31" t="str">
        <f t="shared" si="62"/>
        <v>1-30</v>
      </c>
      <c r="K1323"/>
    </row>
    <row r="1324" spans="1:11" x14ac:dyDescent="0.3">
      <c r="A1324" s="20" t="s">
        <v>61</v>
      </c>
      <c r="B1324" t="str">
        <f>VLOOKUP(A1324,Customers!A:B,2,FALSE)</f>
        <v>RetailOrbit</v>
      </c>
      <c r="C1324" s="24" t="s">
        <v>1691</v>
      </c>
      <c r="D1324" s="10">
        <v>46083</v>
      </c>
      <c r="E1324" s="10">
        <v>46113</v>
      </c>
      <c r="F1324" s="4">
        <v>1720.76</v>
      </c>
      <c r="G1324" s="3">
        <f>SUMIF(Customer_Payments!B:B,C1324,Customer_Payments!E:E)</f>
        <v>1720.76</v>
      </c>
      <c r="H1324" s="3">
        <f t="shared" si="60"/>
        <v>0</v>
      </c>
      <c r="I1324" s="29">
        <f t="shared" si="61"/>
        <v>-22</v>
      </c>
      <c r="J1324" s="31" t="str">
        <f t="shared" si="62"/>
        <v>Current</v>
      </c>
      <c r="K1324"/>
    </row>
    <row r="1325" spans="1:11" x14ac:dyDescent="0.3">
      <c r="A1325" s="21" t="s">
        <v>63</v>
      </c>
      <c r="B1325" t="str">
        <f>VLOOKUP(A1325,Customers!A:B,2,FALSE)</f>
        <v>RetailCore</v>
      </c>
      <c r="C1325" s="25" t="s">
        <v>1692</v>
      </c>
      <c r="D1325" s="11">
        <v>45965</v>
      </c>
      <c r="E1325" s="11">
        <v>45995</v>
      </c>
      <c r="F1325" s="5">
        <v>4288.5600000000004</v>
      </c>
      <c r="G1325" s="3">
        <f>SUMIF(Customer_Payments!B:B,C1325,Customer_Payments!E:E)</f>
        <v>0</v>
      </c>
      <c r="H1325" s="3">
        <f t="shared" si="60"/>
        <v>4288.5600000000004</v>
      </c>
      <c r="I1325" s="29">
        <f t="shared" si="61"/>
        <v>96</v>
      </c>
      <c r="J1325" s="31" t="str">
        <f t="shared" si="62"/>
        <v>90+</v>
      </c>
      <c r="K1325"/>
    </row>
    <row r="1326" spans="1:11" x14ac:dyDescent="0.3">
      <c r="A1326" s="20" t="s">
        <v>54</v>
      </c>
      <c r="B1326" t="str">
        <f>VLOOKUP(A1326,Customers!A:B,2,FALSE)</f>
        <v>RetailEdge</v>
      </c>
      <c r="C1326" s="24" t="s">
        <v>1693</v>
      </c>
      <c r="D1326" s="10">
        <v>46103</v>
      </c>
      <c r="E1326" s="10">
        <v>46133</v>
      </c>
      <c r="F1326" s="4">
        <v>10820.67</v>
      </c>
      <c r="G1326" s="3">
        <f>SUMIF(Customer_Payments!B:B,C1326,Customer_Payments!E:E)</f>
        <v>10820.67</v>
      </c>
      <c r="H1326" s="3">
        <f t="shared" si="60"/>
        <v>0</v>
      </c>
      <c r="I1326" s="29">
        <f t="shared" si="61"/>
        <v>-42</v>
      </c>
      <c r="J1326" s="31" t="str">
        <f t="shared" si="62"/>
        <v>Current</v>
      </c>
      <c r="K1326"/>
    </row>
    <row r="1327" spans="1:11" x14ac:dyDescent="0.3">
      <c r="A1327" s="21" t="s">
        <v>94</v>
      </c>
      <c r="B1327" t="str">
        <f>VLOOKUP(A1327,Customers!A:B,2,FALSE)</f>
        <v>RetailDynamicsX</v>
      </c>
      <c r="C1327" s="25" t="s">
        <v>1694</v>
      </c>
      <c r="D1327" s="11">
        <v>46099</v>
      </c>
      <c r="E1327" s="11">
        <v>46129</v>
      </c>
      <c r="F1327" s="5">
        <v>2123.0700000000002</v>
      </c>
      <c r="G1327" s="3">
        <f>SUMIF(Customer_Payments!B:B,C1327,Customer_Payments!E:E)</f>
        <v>2123.0700000000002</v>
      </c>
      <c r="H1327" s="3">
        <f t="shared" si="60"/>
        <v>0</v>
      </c>
      <c r="I1327" s="29">
        <f t="shared" si="61"/>
        <v>-38</v>
      </c>
      <c r="J1327" s="31" t="str">
        <f t="shared" si="62"/>
        <v>Current</v>
      </c>
      <c r="K1327"/>
    </row>
    <row r="1328" spans="1:11" x14ac:dyDescent="0.3">
      <c r="A1328" s="20" t="s">
        <v>98</v>
      </c>
      <c r="B1328" t="str">
        <f>VLOOKUP(A1328,Customers!A:B,2,FALSE)</f>
        <v>RetailEdgePro</v>
      </c>
      <c r="C1328" s="24" t="s">
        <v>1695</v>
      </c>
      <c r="D1328" s="10">
        <v>45988</v>
      </c>
      <c r="E1328" s="10">
        <v>46018</v>
      </c>
      <c r="F1328" s="4">
        <v>5926.63</v>
      </c>
      <c r="G1328" s="3">
        <f>SUMIF(Customer_Payments!B:B,C1328,Customer_Payments!E:E)</f>
        <v>5926.63</v>
      </c>
      <c r="H1328" s="3">
        <f t="shared" si="60"/>
        <v>0</v>
      </c>
      <c r="I1328" s="29">
        <f t="shared" si="61"/>
        <v>73</v>
      </c>
      <c r="J1328" s="31" t="str">
        <f t="shared" si="62"/>
        <v>61-90</v>
      </c>
      <c r="K1328"/>
    </row>
    <row r="1329" spans="1:11" x14ac:dyDescent="0.3">
      <c r="A1329" s="21" t="s">
        <v>84</v>
      </c>
      <c r="B1329" t="str">
        <f>VLOOKUP(A1329,Customers!A:B,2,FALSE)</f>
        <v>RetailVisionX</v>
      </c>
      <c r="C1329" s="25" t="s">
        <v>1696</v>
      </c>
      <c r="D1329" s="11">
        <v>45971</v>
      </c>
      <c r="E1329" s="11">
        <v>46001</v>
      </c>
      <c r="F1329" s="5">
        <v>2821.37</v>
      </c>
      <c r="G1329" s="3">
        <f>SUMIF(Customer_Payments!B:B,C1329,Customer_Payments!E:E)</f>
        <v>0</v>
      </c>
      <c r="H1329" s="3">
        <f t="shared" si="60"/>
        <v>2821.37</v>
      </c>
      <c r="I1329" s="29">
        <f t="shared" si="61"/>
        <v>90</v>
      </c>
      <c r="J1329" s="31" t="str">
        <f t="shared" si="62"/>
        <v>61-90</v>
      </c>
      <c r="K1329"/>
    </row>
    <row r="1330" spans="1:11" x14ac:dyDescent="0.3">
      <c r="A1330" s="20" t="s">
        <v>107</v>
      </c>
      <c r="B1330" t="str">
        <f>VLOOKUP(A1330,Customers!A:B,2,FALSE)</f>
        <v>RetailWorksPro</v>
      </c>
      <c r="C1330" s="24" t="s">
        <v>1697</v>
      </c>
      <c r="D1330" s="10">
        <v>45997</v>
      </c>
      <c r="E1330" s="10">
        <v>46027</v>
      </c>
      <c r="F1330" s="4">
        <v>3409.77</v>
      </c>
      <c r="G1330" s="3">
        <f>SUMIF(Customer_Payments!B:B,C1330,Customer_Payments!E:E)</f>
        <v>3409.77</v>
      </c>
      <c r="H1330" s="3">
        <f t="shared" si="60"/>
        <v>0</v>
      </c>
      <c r="I1330" s="29">
        <f t="shared" si="61"/>
        <v>64</v>
      </c>
      <c r="J1330" s="31" t="str">
        <f t="shared" si="62"/>
        <v>61-90</v>
      </c>
      <c r="K1330"/>
    </row>
    <row r="1331" spans="1:11" x14ac:dyDescent="0.3">
      <c r="A1331" s="21" t="s">
        <v>96</v>
      </c>
      <c r="B1331" t="str">
        <f>VLOOKUP(A1331,Customers!A:B,2,FALSE)</f>
        <v>RetailLabs</v>
      </c>
      <c r="C1331" s="25" t="s">
        <v>1698</v>
      </c>
      <c r="D1331" s="11">
        <v>46077</v>
      </c>
      <c r="E1331" s="11">
        <v>46107</v>
      </c>
      <c r="F1331" s="5">
        <v>1612.57</v>
      </c>
      <c r="G1331" s="3">
        <f>SUMIF(Customer_Payments!B:B,C1331,Customer_Payments!E:E)</f>
        <v>1612.57</v>
      </c>
      <c r="H1331" s="3">
        <f t="shared" si="60"/>
        <v>0</v>
      </c>
      <c r="I1331" s="29">
        <f t="shared" si="61"/>
        <v>-16</v>
      </c>
      <c r="J1331" s="31" t="str">
        <f t="shared" si="62"/>
        <v>Current</v>
      </c>
      <c r="K1331"/>
    </row>
    <row r="1332" spans="1:11" x14ac:dyDescent="0.3">
      <c r="A1332" s="20" t="s">
        <v>37</v>
      </c>
      <c r="B1332" t="str">
        <f>VLOOKUP(A1332,Customers!A:B,2,FALSE)</f>
        <v>SmartCart</v>
      </c>
      <c r="C1332" s="24" t="s">
        <v>1699</v>
      </c>
      <c r="D1332" s="10">
        <v>45994</v>
      </c>
      <c r="E1332" s="10">
        <v>46024</v>
      </c>
      <c r="F1332" s="4">
        <v>2903.16</v>
      </c>
      <c r="G1332" s="3">
        <f>SUMIF(Customer_Payments!B:B,C1332,Customer_Payments!E:E)</f>
        <v>2903.16</v>
      </c>
      <c r="H1332" s="3">
        <f t="shared" si="60"/>
        <v>0</v>
      </c>
      <c r="I1332" s="29">
        <f t="shared" si="61"/>
        <v>67</v>
      </c>
      <c r="J1332" s="31" t="str">
        <f t="shared" si="62"/>
        <v>61-90</v>
      </c>
      <c r="K1332"/>
    </row>
    <row r="1333" spans="1:11" x14ac:dyDescent="0.3">
      <c r="A1333" s="21" t="s">
        <v>112</v>
      </c>
      <c r="B1333" t="str">
        <f>VLOOKUP(A1333,Customers!A:B,2,FALSE)</f>
        <v>RetailBridgePro</v>
      </c>
      <c r="C1333" s="25" t="s">
        <v>1700</v>
      </c>
      <c r="D1333" s="11">
        <v>46068</v>
      </c>
      <c r="E1333" s="11">
        <v>46098</v>
      </c>
      <c r="F1333" s="5">
        <v>11464.66</v>
      </c>
      <c r="G1333" s="3">
        <f>SUMIF(Customer_Payments!B:B,C1333,Customer_Payments!E:E)</f>
        <v>11464.66</v>
      </c>
      <c r="H1333" s="3">
        <f t="shared" si="60"/>
        <v>0</v>
      </c>
      <c r="I1333" s="29">
        <f t="shared" si="61"/>
        <v>-7</v>
      </c>
      <c r="J1333" s="31" t="str">
        <f t="shared" si="62"/>
        <v>Current</v>
      </c>
      <c r="K1333"/>
    </row>
    <row r="1334" spans="1:11" x14ac:dyDescent="0.3">
      <c r="A1334" s="20" t="s">
        <v>87</v>
      </c>
      <c r="B1334" t="str">
        <f>VLOOKUP(A1334,Customers!A:B,2,FALSE)</f>
        <v>RetailStreamX</v>
      </c>
      <c r="C1334" s="24" t="s">
        <v>1701</v>
      </c>
      <c r="D1334" s="10">
        <v>45971</v>
      </c>
      <c r="E1334" s="10">
        <v>46001</v>
      </c>
      <c r="F1334" s="4">
        <v>4594.8500000000004</v>
      </c>
      <c r="G1334" s="3">
        <f>SUMIF(Customer_Payments!B:B,C1334,Customer_Payments!E:E)</f>
        <v>0</v>
      </c>
      <c r="H1334" s="3">
        <f t="shared" si="60"/>
        <v>4594.8500000000004</v>
      </c>
      <c r="I1334" s="29">
        <f t="shared" si="61"/>
        <v>90</v>
      </c>
      <c r="J1334" s="31" t="str">
        <f t="shared" si="62"/>
        <v>61-90</v>
      </c>
      <c r="K1334"/>
    </row>
    <row r="1335" spans="1:11" x14ac:dyDescent="0.3">
      <c r="A1335" s="21" t="s">
        <v>11</v>
      </c>
      <c r="B1335" t="str">
        <f>VLOOKUP(A1335,Customers!A:B,2,FALSE)</f>
        <v>DataHive</v>
      </c>
      <c r="C1335" s="25" t="s">
        <v>1702</v>
      </c>
      <c r="D1335" s="11">
        <v>46045</v>
      </c>
      <c r="E1335" s="11">
        <v>46075</v>
      </c>
      <c r="F1335" s="5">
        <v>2879.47</v>
      </c>
      <c r="G1335" s="3">
        <f>SUMIF(Customer_Payments!B:B,C1335,Customer_Payments!E:E)</f>
        <v>2879.47</v>
      </c>
      <c r="H1335" s="3">
        <f t="shared" si="60"/>
        <v>0</v>
      </c>
      <c r="I1335" s="29">
        <f t="shared" si="61"/>
        <v>16</v>
      </c>
      <c r="J1335" s="31" t="str">
        <f t="shared" si="62"/>
        <v>1-30</v>
      </c>
      <c r="K1335"/>
    </row>
    <row r="1336" spans="1:11" x14ac:dyDescent="0.3">
      <c r="A1336" s="20" t="s">
        <v>59</v>
      </c>
      <c r="B1336" t="str">
        <f>VLOOKUP(A1336,Customers!A:B,2,FALSE)</f>
        <v>MarketBridge</v>
      </c>
      <c r="C1336" s="24" t="s">
        <v>1703</v>
      </c>
      <c r="D1336" s="10">
        <v>46051</v>
      </c>
      <c r="E1336" s="10">
        <v>46081</v>
      </c>
      <c r="F1336" s="4">
        <v>2866.44</v>
      </c>
      <c r="G1336" s="3">
        <f>SUMIF(Customer_Payments!B:B,C1336,Customer_Payments!E:E)</f>
        <v>2866.44</v>
      </c>
      <c r="H1336" s="3">
        <f t="shared" si="60"/>
        <v>0</v>
      </c>
      <c r="I1336" s="29">
        <f t="shared" si="61"/>
        <v>10</v>
      </c>
      <c r="J1336" s="31" t="str">
        <f t="shared" si="62"/>
        <v>1-30</v>
      </c>
      <c r="K1336"/>
    </row>
    <row r="1337" spans="1:11" x14ac:dyDescent="0.3">
      <c r="A1337" s="21" t="s">
        <v>96</v>
      </c>
      <c r="B1337" t="str">
        <f>VLOOKUP(A1337,Customers!A:B,2,FALSE)</f>
        <v>RetailLabs</v>
      </c>
      <c r="C1337" s="25" t="s">
        <v>1704</v>
      </c>
      <c r="D1337" s="11">
        <v>46089</v>
      </c>
      <c r="E1337" s="11">
        <v>46119</v>
      </c>
      <c r="F1337" s="5">
        <v>2717.39</v>
      </c>
      <c r="G1337" s="3">
        <f>SUMIF(Customer_Payments!B:B,C1337,Customer_Payments!E:E)</f>
        <v>0</v>
      </c>
      <c r="H1337" s="3">
        <f t="shared" si="60"/>
        <v>2717.39</v>
      </c>
      <c r="I1337" s="29">
        <f t="shared" si="61"/>
        <v>-28</v>
      </c>
      <c r="J1337" s="31" t="str">
        <f t="shared" si="62"/>
        <v>Current</v>
      </c>
      <c r="K1337"/>
    </row>
    <row r="1338" spans="1:11" x14ac:dyDescent="0.3">
      <c r="A1338" s="20" t="s">
        <v>111</v>
      </c>
      <c r="B1338" t="str">
        <f>VLOOKUP(A1338,Customers!A:B,2,FALSE)</f>
        <v>RetailPulsePro</v>
      </c>
      <c r="C1338" s="24" t="s">
        <v>1705</v>
      </c>
      <c r="D1338" s="10">
        <v>46010</v>
      </c>
      <c r="E1338" s="10">
        <v>46040</v>
      </c>
      <c r="F1338" s="4">
        <v>2506.33</v>
      </c>
      <c r="G1338" s="3">
        <f>SUMIF(Customer_Payments!B:B,C1338,Customer_Payments!E:E)</f>
        <v>2506.33</v>
      </c>
      <c r="H1338" s="3">
        <f t="shared" si="60"/>
        <v>0</v>
      </c>
      <c r="I1338" s="29">
        <f t="shared" si="61"/>
        <v>51</v>
      </c>
      <c r="J1338" s="31" t="str">
        <f t="shared" si="62"/>
        <v>31-60</v>
      </c>
      <c r="K1338"/>
    </row>
    <row r="1339" spans="1:11" x14ac:dyDescent="0.3">
      <c r="A1339" s="21" t="s">
        <v>13</v>
      </c>
      <c r="B1339" t="str">
        <f>VLOOKUP(A1339,Customers!A:B,2,FALSE)</f>
        <v>EduNova</v>
      </c>
      <c r="C1339" s="25" t="s">
        <v>1706</v>
      </c>
      <c r="D1339" s="11">
        <v>46077</v>
      </c>
      <c r="E1339" s="11">
        <v>46107</v>
      </c>
      <c r="F1339" s="5">
        <v>3832.9</v>
      </c>
      <c r="G1339" s="3">
        <f>SUMIF(Customer_Payments!B:B,C1339,Customer_Payments!E:E)</f>
        <v>3832.9</v>
      </c>
      <c r="H1339" s="3">
        <f t="shared" si="60"/>
        <v>0</v>
      </c>
      <c r="I1339" s="29">
        <f t="shared" si="61"/>
        <v>-16</v>
      </c>
      <c r="J1339" s="31" t="str">
        <f t="shared" si="62"/>
        <v>Current</v>
      </c>
      <c r="K1339"/>
    </row>
    <row r="1340" spans="1:11" x14ac:dyDescent="0.3">
      <c r="A1340" s="20" t="s">
        <v>24</v>
      </c>
      <c r="B1340" t="str">
        <f>VLOOKUP(A1340,Customers!A:B,2,FALSE)</f>
        <v>OmniTrade</v>
      </c>
      <c r="C1340" s="24" t="s">
        <v>1707</v>
      </c>
      <c r="D1340" s="10">
        <v>46072</v>
      </c>
      <c r="E1340" s="10">
        <v>46102</v>
      </c>
      <c r="F1340" s="4">
        <v>1901.95</v>
      </c>
      <c r="G1340" s="3">
        <f>SUMIF(Customer_Payments!B:B,C1340,Customer_Payments!E:E)</f>
        <v>0</v>
      </c>
      <c r="H1340" s="3">
        <f t="shared" si="60"/>
        <v>1901.95</v>
      </c>
      <c r="I1340" s="29">
        <f t="shared" si="61"/>
        <v>-11</v>
      </c>
      <c r="J1340" s="31" t="str">
        <f t="shared" si="62"/>
        <v>Current</v>
      </c>
      <c r="K1340"/>
    </row>
    <row r="1341" spans="1:11" x14ac:dyDescent="0.3">
      <c r="A1341" s="21" t="s">
        <v>17</v>
      </c>
      <c r="B1341" t="str">
        <f>VLOOKUP(A1341,Customers!A:B,2,FALSE)</f>
        <v>AlphaCommerce</v>
      </c>
      <c r="C1341" s="25" t="s">
        <v>1708</v>
      </c>
      <c r="D1341" s="11">
        <v>45982</v>
      </c>
      <c r="E1341" s="11">
        <v>46012</v>
      </c>
      <c r="F1341" s="5">
        <v>2880.79</v>
      </c>
      <c r="G1341" s="3">
        <f>SUMIF(Customer_Payments!B:B,C1341,Customer_Payments!E:E)</f>
        <v>2880.79</v>
      </c>
      <c r="H1341" s="3">
        <f t="shared" si="60"/>
        <v>0</v>
      </c>
      <c r="I1341" s="29">
        <f t="shared" si="61"/>
        <v>79</v>
      </c>
      <c r="J1341" s="31" t="str">
        <f t="shared" si="62"/>
        <v>61-90</v>
      </c>
      <c r="K1341"/>
    </row>
    <row r="1342" spans="1:11" x14ac:dyDescent="0.3">
      <c r="A1342" s="20" t="s">
        <v>113</v>
      </c>
      <c r="B1342" t="str">
        <f>VLOOKUP(A1342,Customers!A:B,2,FALSE)</f>
        <v>RetailSpherePro</v>
      </c>
      <c r="C1342" s="24" t="s">
        <v>1709</v>
      </c>
      <c r="D1342" s="10">
        <v>46093</v>
      </c>
      <c r="E1342" s="10">
        <v>46123</v>
      </c>
      <c r="F1342" s="4">
        <v>2589.39</v>
      </c>
      <c r="G1342" s="3">
        <f>SUMIF(Customer_Payments!B:B,C1342,Customer_Payments!E:E)</f>
        <v>0</v>
      </c>
      <c r="H1342" s="3">
        <f t="shared" si="60"/>
        <v>2589.39</v>
      </c>
      <c r="I1342" s="29">
        <f t="shared" si="61"/>
        <v>-32</v>
      </c>
      <c r="J1342" s="31" t="str">
        <f t="shared" si="62"/>
        <v>Current</v>
      </c>
      <c r="K1342"/>
    </row>
    <row r="1343" spans="1:11" x14ac:dyDescent="0.3">
      <c r="A1343" s="21" t="s">
        <v>108</v>
      </c>
      <c r="B1343" t="str">
        <f>VLOOKUP(A1343,Customers!A:B,2,FALSE)</f>
        <v>RetailNextPro</v>
      </c>
      <c r="C1343" s="25" t="s">
        <v>1710</v>
      </c>
      <c r="D1343" s="11">
        <v>46040</v>
      </c>
      <c r="E1343" s="11">
        <v>46070</v>
      </c>
      <c r="F1343" s="5">
        <v>1989.48</v>
      </c>
      <c r="G1343" s="3">
        <f>SUMIF(Customer_Payments!B:B,C1343,Customer_Payments!E:E)</f>
        <v>1989.48</v>
      </c>
      <c r="H1343" s="3">
        <f t="shared" si="60"/>
        <v>0</v>
      </c>
      <c r="I1343" s="29">
        <f t="shared" si="61"/>
        <v>21</v>
      </c>
      <c r="J1343" s="31" t="str">
        <f t="shared" si="62"/>
        <v>1-30</v>
      </c>
      <c r="K1343"/>
    </row>
    <row r="1344" spans="1:11" x14ac:dyDescent="0.3">
      <c r="A1344" s="20" t="s">
        <v>29</v>
      </c>
      <c r="B1344" t="str">
        <f>VLOOKUP(A1344,Customers!A:B,2,FALSE)</f>
        <v>DigitalBridge</v>
      </c>
      <c r="C1344" s="24" t="s">
        <v>1711</v>
      </c>
      <c r="D1344" s="10">
        <v>46043</v>
      </c>
      <c r="E1344" s="10">
        <v>46073</v>
      </c>
      <c r="F1344" s="4">
        <v>2451.4899999999998</v>
      </c>
      <c r="G1344" s="3">
        <f>SUMIF(Customer_Payments!B:B,C1344,Customer_Payments!E:E)</f>
        <v>2451.4899999999998</v>
      </c>
      <c r="H1344" s="3">
        <f t="shared" si="60"/>
        <v>0</v>
      </c>
      <c r="I1344" s="29">
        <f t="shared" si="61"/>
        <v>18</v>
      </c>
      <c r="J1344" s="31" t="str">
        <f t="shared" si="62"/>
        <v>1-30</v>
      </c>
      <c r="K1344"/>
    </row>
    <row r="1345" spans="1:11" x14ac:dyDescent="0.3">
      <c r="A1345" s="21" t="s">
        <v>60</v>
      </c>
      <c r="B1345" t="str">
        <f>VLOOKUP(A1345,Customers!A:B,2,FALSE)</f>
        <v>RetailSpark</v>
      </c>
      <c r="C1345" s="25" t="s">
        <v>1712</v>
      </c>
      <c r="D1345" s="11">
        <v>45996</v>
      </c>
      <c r="E1345" s="11">
        <v>46026</v>
      </c>
      <c r="F1345" s="5">
        <v>1866.97</v>
      </c>
      <c r="G1345" s="3">
        <f>SUMIF(Customer_Payments!B:B,C1345,Customer_Payments!E:E)</f>
        <v>1866.97</v>
      </c>
      <c r="H1345" s="3">
        <f t="shared" si="60"/>
        <v>0</v>
      </c>
      <c r="I1345" s="29">
        <f t="shared" si="61"/>
        <v>65</v>
      </c>
      <c r="J1345" s="31" t="str">
        <f t="shared" si="62"/>
        <v>61-90</v>
      </c>
      <c r="K1345"/>
    </row>
    <row r="1346" spans="1:11" x14ac:dyDescent="0.3">
      <c r="A1346" s="20" t="s">
        <v>120</v>
      </c>
      <c r="B1346" t="str">
        <f>VLOOKUP(A1346,Customers!A:B,2,FALSE)</f>
        <v>RetailPrimeGlobal</v>
      </c>
      <c r="C1346" s="24" t="s">
        <v>1713</v>
      </c>
      <c r="D1346" s="10">
        <v>46006</v>
      </c>
      <c r="E1346" s="10">
        <v>46036</v>
      </c>
      <c r="F1346" s="4">
        <v>2181.89</v>
      </c>
      <c r="G1346" s="3">
        <f>SUMIF(Customer_Payments!B:B,C1346,Customer_Payments!E:E)</f>
        <v>0</v>
      </c>
      <c r="H1346" s="3">
        <f t="shared" ref="H1346:H1409" si="63">MAX(F1346-G1346,0)</f>
        <v>2181.89</v>
      </c>
      <c r="I1346" s="29">
        <f t="shared" ref="I1346:I1409" si="64">$L$2-E1346</f>
        <v>55</v>
      </c>
      <c r="J1346" s="31" t="str">
        <f t="shared" si="62"/>
        <v>31-60</v>
      </c>
      <c r="K1346"/>
    </row>
    <row r="1347" spans="1:11" x14ac:dyDescent="0.3">
      <c r="A1347" s="21" t="s">
        <v>87</v>
      </c>
      <c r="B1347" t="str">
        <f>VLOOKUP(A1347,Customers!A:B,2,FALSE)</f>
        <v>RetailStreamX</v>
      </c>
      <c r="C1347" s="25" t="s">
        <v>1714</v>
      </c>
      <c r="D1347" s="11">
        <v>46083</v>
      </c>
      <c r="E1347" s="11">
        <v>46113</v>
      </c>
      <c r="F1347" s="5">
        <v>3114.28</v>
      </c>
      <c r="G1347" s="3">
        <f>SUMIF(Customer_Payments!B:B,C1347,Customer_Payments!E:E)</f>
        <v>3114.28</v>
      </c>
      <c r="H1347" s="3">
        <f t="shared" si="63"/>
        <v>0</v>
      </c>
      <c r="I1347" s="29">
        <f t="shared" si="64"/>
        <v>-22</v>
      </c>
      <c r="J1347" s="31" t="str">
        <f t="shared" ref="J1347:J1410" si="65">IF(I1347&lt;=0,"Current",
IF(I1347&lt;=30,"1-30",
IF(I1347&lt;=60,"31-60",
IF(I1347&lt;=90,"61-90","90+"))))</f>
        <v>Current</v>
      </c>
      <c r="K1347"/>
    </row>
    <row r="1348" spans="1:11" x14ac:dyDescent="0.3">
      <c r="A1348" s="20" t="s">
        <v>116</v>
      </c>
      <c r="B1348" t="str">
        <f>VLOOKUP(A1348,Customers!A:B,2,FALSE)</f>
        <v>RetailLabsPro</v>
      </c>
      <c r="C1348" s="24" t="s">
        <v>1715</v>
      </c>
      <c r="D1348" s="10">
        <v>46070</v>
      </c>
      <c r="E1348" s="10">
        <v>46100</v>
      </c>
      <c r="F1348" s="4">
        <v>5813.69</v>
      </c>
      <c r="G1348" s="3">
        <f>SUMIF(Customer_Payments!B:B,C1348,Customer_Payments!E:E)</f>
        <v>5813.69</v>
      </c>
      <c r="H1348" s="3">
        <f t="shared" si="63"/>
        <v>0</v>
      </c>
      <c r="I1348" s="29">
        <f t="shared" si="64"/>
        <v>-9</v>
      </c>
      <c r="J1348" s="31" t="str">
        <f t="shared" si="65"/>
        <v>Current</v>
      </c>
      <c r="K1348"/>
    </row>
    <row r="1349" spans="1:11" x14ac:dyDescent="0.3">
      <c r="A1349" s="21" t="s">
        <v>26</v>
      </c>
      <c r="B1349" t="str">
        <f>VLOOKUP(A1349,Customers!A:B,2,FALSE)</f>
        <v>NovaRetail</v>
      </c>
      <c r="C1349" s="25" t="s">
        <v>1716</v>
      </c>
      <c r="D1349" s="11">
        <v>46045</v>
      </c>
      <c r="E1349" s="11">
        <v>46075</v>
      </c>
      <c r="F1349" s="5">
        <v>4099.57</v>
      </c>
      <c r="G1349" s="3">
        <f>SUMIF(Customer_Payments!B:B,C1349,Customer_Payments!E:E)</f>
        <v>4099.57</v>
      </c>
      <c r="H1349" s="3">
        <f t="shared" si="63"/>
        <v>0</v>
      </c>
      <c r="I1349" s="29">
        <f t="shared" si="64"/>
        <v>16</v>
      </c>
      <c r="J1349" s="31" t="str">
        <f t="shared" si="65"/>
        <v>1-30</v>
      </c>
      <c r="K1349"/>
    </row>
    <row r="1350" spans="1:11" x14ac:dyDescent="0.3">
      <c r="A1350" s="20" t="s">
        <v>98</v>
      </c>
      <c r="B1350" t="str">
        <f>VLOOKUP(A1350,Customers!A:B,2,FALSE)</f>
        <v>RetailEdgePro</v>
      </c>
      <c r="C1350" s="24" t="s">
        <v>1717</v>
      </c>
      <c r="D1350" s="10">
        <v>46094</v>
      </c>
      <c r="E1350" s="10">
        <v>46124</v>
      </c>
      <c r="F1350" s="4">
        <v>3549.64</v>
      </c>
      <c r="G1350" s="3">
        <f>SUMIF(Customer_Payments!B:B,C1350,Customer_Payments!E:E)</f>
        <v>3549.64</v>
      </c>
      <c r="H1350" s="3">
        <f t="shared" si="63"/>
        <v>0</v>
      </c>
      <c r="I1350" s="29">
        <f t="shared" si="64"/>
        <v>-33</v>
      </c>
      <c r="J1350" s="31" t="str">
        <f t="shared" si="65"/>
        <v>Current</v>
      </c>
      <c r="K1350"/>
    </row>
    <row r="1351" spans="1:11" x14ac:dyDescent="0.3">
      <c r="A1351" s="21" t="s">
        <v>35</v>
      </c>
      <c r="B1351" t="str">
        <f>VLOOKUP(A1351,Customers!A:B,2,FALSE)</f>
        <v>FusionRetail</v>
      </c>
      <c r="C1351" s="25" t="s">
        <v>1718</v>
      </c>
      <c r="D1351" s="11">
        <v>46018</v>
      </c>
      <c r="E1351" s="11">
        <v>46048</v>
      </c>
      <c r="F1351" s="5">
        <v>3409.22</v>
      </c>
      <c r="G1351" s="3">
        <f>SUMIF(Customer_Payments!B:B,C1351,Customer_Payments!E:E)</f>
        <v>3409.22</v>
      </c>
      <c r="H1351" s="3">
        <f t="shared" si="63"/>
        <v>0</v>
      </c>
      <c r="I1351" s="29">
        <f t="shared" si="64"/>
        <v>43</v>
      </c>
      <c r="J1351" s="31" t="str">
        <f t="shared" si="65"/>
        <v>31-60</v>
      </c>
      <c r="K1351"/>
    </row>
    <row r="1352" spans="1:11" x14ac:dyDescent="0.3">
      <c r="A1352" s="20" t="s">
        <v>70</v>
      </c>
      <c r="B1352" t="str">
        <f>VLOOKUP(A1352,Customers!A:B,2,FALSE)</f>
        <v>RetailPath</v>
      </c>
      <c r="C1352" s="24" t="s">
        <v>1719</v>
      </c>
      <c r="D1352" s="10">
        <v>46091</v>
      </c>
      <c r="E1352" s="10">
        <v>46121</v>
      </c>
      <c r="F1352" s="4">
        <v>1586.26</v>
      </c>
      <c r="G1352" s="3">
        <f>SUMIF(Customer_Payments!B:B,C1352,Customer_Payments!E:E)</f>
        <v>1586.26</v>
      </c>
      <c r="H1352" s="3">
        <f t="shared" si="63"/>
        <v>0</v>
      </c>
      <c r="I1352" s="29">
        <f t="shared" si="64"/>
        <v>-30</v>
      </c>
      <c r="J1352" s="31" t="str">
        <f t="shared" si="65"/>
        <v>Current</v>
      </c>
      <c r="K1352"/>
    </row>
    <row r="1353" spans="1:11" x14ac:dyDescent="0.3">
      <c r="A1353" s="21" t="s">
        <v>112</v>
      </c>
      <c r="B1353" t="str">
        <f>VLOOKUP(A1353,Customers!A:B,2,FALSE)</f>
        <v>RetailBridgePro</v>
      </c>
      <c r="C1353" s="25" t="s">
        <v>1720</v>
      </c>
      <c r="D1353" s="11">
        <v>46099</v>
      </c>
      <c r="E1353" s="11">
        <v>46129</v>
      </c>
      <c r="F1353" s="5">
        <v>10224.959999999999</v>
      </c>
      <c r="G1353" s="3">
        <f>SUMIF(Customer_Payments!B:B,C1353,Customer_Payments!E:E)</f>
        <v>10224.959999999999</v>
      </c>
      <c r="H1353" s="3">
        <f t="shared" si="63"/>
        <v>0</v>
      </c>
      <c r="I1353" s="29">
        <f t="shared" si="64"/>
        <v>-38</v>
      </c>
      <c r="J1353" s="31" t="str">
        <f t="shared" si="65"/>
        <v>Current</v>
      </c>
      <c r="K1353"/>
    </row>
    <row r="1354" spans="1:11" x14ac:dyDescent="0.3">
      <c r="A1354" s="20" t="s">
        <v>108</v>
      </c>
      <c r="B1354" t="str">
        <f>VLOOKUP(A1354,Customers!A:B,2,FALSE)</f>
        <v>RetailNextPro</v>
      </c>
      <c r="C1354" s="24" t="s">
        <v>1721</v>
      </c>
      <c r="D1354" s="10">
        <v>46054</v>
      </c>
      <c r="E1354" s="10">
        <v>46084</v>
      </c>
      <c r="F1354" s="4">
        <v>2726.71</v>
      </c>
      <c r="G1354" s="3">
        <f>SUMIF(Customer_Payments!B:B,C1354,Customer_Payments!E:E)</f>
        <v>2726.71</v>
      </c>
      <c r="H1354" s="3">
        <f t="shared" si="63"/>
        <v>0</v>
      </c>
      <c r="I1354" s="29">
        <f t="shared" si="64"/>
        <v>7</v>
      </c>
      <c r="J1354" s="31" t="str">
        <f t="shared" si="65"/>
        <v>1-30</v>
      </c>
      <c r="K1354"/>
    </row>
    <row r="1355" spans="1:11" x14ac:dyDescent="0.3">
      <c r="A1355" s="21" t="s">
        <v>123</v>
      </c>
      <c r="B1355" t="str">
        <f>VLOOKUP(A1355,Customers!A:B,2,FALSE)</f>
        <v>RetailFlowGlobal</v>
      </c>
      <c r="C1355" s="25" t="s">
        <v>1722</v>
      </c>
      <c r="D1355" s="11">
        <v>46034</v>
      </c>
      <c r="E1355" s="11">
        <v>46064</v>
      </c>
      <c r="F1355" s="5">
        <v>4057.55</v>
      </c>
      <c r="G1355" s="3">
        <f>SUMIF(Customer_Payments!B:B,C1355,Customer_Payments!E:E)</f>
        <v>4057.55</v>
      </c>
      <c r="H1355" s="3">
        <f t="shared" si="63"/>
        <v>0</v>
      </c>
      <c r="I1355" s="29">
        <f t="shared" si="64"/>
        <v>27</v>
      </c>
      <c r="J1355" s="31" t="str">
        <f t="shared" si="65"/>
        <v>1-30</v>
      </c>
      <c r="K1355"/>
    </row>
    <row r="1356" spans="1:11" x14ac:dyDescent="0.3">
      <c r="A1356" s="20" t="s">
        <v>8</v>
      </c>
      <c r="B1356" t="str">
        <f>VLOOKUP(A1356,Customers!A:B,2,FALSE)</f>
        <v>NexaSoft</v>
      </c>
      <c r="C1356" s="24" t="s">
        <v>1723</v>
      </c>
      <c r="D1356" s="10">
        <v>46109</v>
      </c>
      <c r="E1356" s="10">
        <v>46139</v>
      </c>
      <c r="F1356" s="4">
        <v>4739.28</v>
      </c>
      <c r="G1356" s="3">
        <f>SUMIF(Customer_Payments!B:B,C1356,Customer_Payments!E:E)</f>
        <v>4739.28</v>
      </c>
      <c r="H1356" s="3">
        <f t="shared" si="63"/>
        <v>0</v>
      </c>
      <c r="I1356" s="29">
        <f t="shared" si="64"/>
        <v>-48</v>
      </c>
      <c r="J1356" s="31" t="str">
        <f t="shared" si="65"/>
        <v>Current</v>
      </c>
      <c r="K1356"/>
    </row>
    <row r="1357" spans="1:11" x14ac:dyDescent="0.3">
      <c r="A1357" s="21" t="s">
        <v>34</v>
      </c>
      <c r="B1357" t="str">
        <f>VLOOKUP(A1357,Customers!A:B,2,FALSE)</f>
        <v>OptiCommerce</v>
      </c>
      <c r="C1357" s="25" t="s">
        <v>1724</v>
      </c>
      <c r="D1357" s="11">
        <v>46028</v>
      </c>
      <c r="E1357" s="11">
        <v>46058</v>
      </c>
      <c r="F1357" s="5">
        <v>10239.379999999999</v>
      </c>
      <c r="G1357" s="3">
        <f>SUMIF(Customer_Payments!B:B,C1357,Customer_Payments!E:E)</f>
        <v>10239.379999999999</v>
      </c>
      <c r="H1357" s="3">
        <f t="shared" si="63"/>
        <v>0</v>
      </c>
      <c r="I1357" s="29">
        <f t="shared" si="64"/>
        <v>33</v>
      </c>
      <c r="J1357" s="31" t="str">
        <f t="shared" si="65"/>
        <v>31-60</v>
      </c>
      <c r="K1357"/>
    </row>
    <row r="1358" spans="1:11" x14ac:dyDescent="0.3">
      <c r="A1358" s="20" t="s">
        <v>16</v>
      </c>
      <c r="B1358" t="str">
        <f>VLOOKUP(A1358,Customers!A:B,2,FALSE)</f>
        <v>RetailHub</v>
      </c>
      <c r="C1358" s="24" t="s">
        <v>1725</v>
      </c>
      <c r="D1358" s="10">
        <v>46042</v>
      </c>
      <c r="E1358" s="10">
        <v>46072</v>
      </c>
      <c r="F1358" s="4">
        <v>1716.12</v>
      </c>
      <c r="G1358" s="3">
        <f>SUMIF(Customer_Payments!B:B,C1358,Customer_Payments!E:E)</f>
        <v>1716.12</v>
      </c>
      <c r="H1358" s="3">
        <f t="shared" si="63"/>
        <v>0</v>
      </c>
      <c r="I1358" s="29">
        <f t="shared" si="64"/>
        <v>19</v>
      </c>
      <c r="J1358" s="31" t="str">
        <f t="shared" si="65"/>
        <v>1-30</v>
      </c>
      <c r="K1358"/>
    </row>
    <row r="1359" spans="1:11" x14ac:dyDescent="0.3">
      <c r="A1359" s="21" t="s">
        <v>67</v>
      </c>
      <c r="B1359" t="str">
        <f>VLOOKUP(A1359,Customers!A:B,2,FALSE)</f>
        <v>RetailDynamics</v>
      </c>
      <c r="C1359" s="25" t="s">
        <v>1726</v>
      </c>
      <c r="D1359" s="11">
        <v>46019</v>
      </c>
      <c r="E1359" s="11">
        <v>46049</v>
      </c>
      <c r="F1359" s="5">
        <v>3068.4</v>
      </c>
      <c r="G1359" s="3">
        <f>SUMIF(Customer_Payments!B:B,C1359,Customer_Payments!E:E)</f>
        <v>0</v>
      </c>
      <c r="H1359" s="3">
        <f t="shared" si="63"/>
        <v>3068.4</v>
      </c>
      <c r="I1359" s="29">
        <f t="shared" si="64"/>
        <v>42</v>
      </c>
      <c r="J1359" s="31" t="str">
        <f t="shared" si="65"/>
        <v>31-60</v>
      </c>
      <c r="K1359"/>
    </row>
    <row r="1360" spans="1:11" x14ac:dyDescent="0.3">
      <c r="A1360" s="20" t="s">
        <v>110</v>
      </c>
      <c r="B1360" t="str">
        <f>VLOOKUP(A1360,Customers!A:B,2,FALSE)</f>
        <v>RetailAxisPro</v>
      </c>
      <c r="C1360" s="24" t="s">
        <v>1727</v>
      </c>
      <c r="D1360" s="10">
        <v>46102</v>
      </c>
      <c r="E1360" s="10">
        <v>46132</v>
      </c>
      <c r="F1360" s="4">
        <v>2996.74</v>
      </c>
      <c r="G1360" s="3">
        <f>SUMIF(Customer_Payments!B:B,C1360,Customer_Payments!E:E)</f>
        <v>2996.74</v>
      </c>
      <c r="H1360" s="3">
        <f t="shared" si="63"/>
        <v>0</v>
      </c>
      <c r="I1360" s="29">
        <f t="shared" si="64"/>
        <v>-41</v>
      </c>
      <c r="J1360" s="31" t="str">
        <f t="shared" si="65"/>
        <v>Current</v>
      </c>
      <c r="K1360"/>
    </row>
    <row r="1361" spans="1:11" x14ac:dyDescent="0.3">
      <c r="A1361" s="21" t="s">
        <v>57</v>
      </c>
      <c r="B1361" t="str">
        <f>VLOOKUP(A1361,Customers!A:B,2,FALSE)</f>
        <v>MarketGenius</v>
      </c>
      <c r="C1361" s="25" t="s">
        <v>1728</v>
      </c>
      <c r="D1361" s="11">
        <v>46024</v>
      </c>
      <c r="E1361" s="11">
        <v>46054</v>
      </c>
      <c r="F1361" s="5">
        <v>2406.4299999999998</v>
      </c>
      <c r="G1361" s="3">
        <f>SUMIF(Customer_Payments!B:B,C1361,Customer_Payments!E:E)</f>
        <v>2406.4299999999998</v>
      </c>
      <c r="H1361" s="3">
        <f t="shared" si="63"/>
        <v>0</v>
      </c>
      <c r="I1361" s="29">
        <f t="shared" si="64"/>
        <v>37</v>
      </c>
      <c r="J1361" s="31" t="str">
        <f t="shared" si="65"/>
        <v>31-60</v>
      </c>
      <c r="K1361"/>
    </row>
    <row r="1362" spans="1:11" x14ac:dyDescent="0.3">
      <c r="A1362" s="20" t="s">
        <v>40</v>
      </c>
      <c r="B1362" t="str">
        <f>VLOOKUP(A1362,Customers!A:B,2,FALSE)</f>
        <v>GlobalCart</v>
      </c>
      <c r="C1362" s="24" t="s">
        <v>1729</v>
      </c>
      <c r="D1362" s="10">
        <v>46091</v>
      </c>
      <c r="E1362" s="10">
        <v>46121</v>
      </c>
      <c r="F1362" s="4">
        <v>1707.05</v>
      </c>
      <c r="G1362" s="3">
        <f>SUMIF(Customer_Payments!B:B,C1362,Customer_Payments!E:E)</f>
        <v>1707.05</v>
      </c>
      <c r="H1362" s="3">
        <f t="shared" si="63"/>
        <v>0</v>
      </c>
      <c r="I1362" s="29">
        <f t="shared" si="64"/>
        <v>-30</v>
      </c>
      <c r="J1362" s="31" t="str">
        <f t="shared" si="65"/>
        <v>Current</v>
      </c>
      <c r="K1362"/>
    </row>
    <row r="1363" spans="1:11" x14ac:dyDescent="0.3">
      <c r="A1363" s="21" t="s">
        <v>47</v>
      </c>
      <c r="B1363" t="str">
        <f>VLOOKUP(A1363,Customers!A:B,2,FALSE)</f>
        <v>SmartRetail</v>
      </c>
      <c r="C1363" s="25" t="s">
        <v>1730</v>
      </c>
      <c r="D1363" s="11">
        <v>45988</v>
      </c>
      <c r="E1363" s="11">
        <v>46018</v>
      </c>
      <c r="F1363" s="5">
        <v>5007.49</v>
      </c>
      <c r="G1363" s="3">
        <f>SUMIF(Customer_Payments!B:B,C1363,Customer_Payments!E:E)</f>
        <v>5007.49</v>
      </c>
      <c r="H1363" s="3">
        <f t="shared" si="63"/>
        <v>0</v>
      </c>
      <c r="I1363" s="29">
        <f t="shared" si="64"/>
        <v>73</v>
      </c>
      <c r="J1363" s="31" t="str">
        <f t="shared" si="65"/>
        <v>61-90</v>
      </c>
      <c r="K1363"/>
    </row>
    <row r="1364" spans="1:11" x14ac:dyDescent="0.3">
      <c r="A1364" s="20" t="s">
        <v>12</v>
      </c>
      <c r="B1364" t="str">
        <f>VLOOKUP(A1364,Customers!A:B,2,FALSE)</f>
        <v>ShopOrbit</v>
      </c>
      <c r="C1364" s="24" t="s">
        <v>1731</v>
      </c>
      <c r="D1364" s="10">
        <v>46097</v>
      </c>
      <c r="E1364" s="10">
        <v>46127</v>
      </c>
      <c r="F1364" s="4">
        <v>1821.91</v>
      </c>
      <c r="G1364" s="3">
        <f>SUMIF(Customer_Payments!B:B,C1364,Customer_Payments!E:E)</f>
        <v>1821.91</v>
      </c>
      <c r="H1364" s="3">
        <f t="shared" si="63"/>
        <v>0</v>
      </c>
      <c r="I1364" s="29">
        <f t="shared" si="64"/>
        <v>-36</v>
      </c>
      <c r="J1364" s="31" t="str">
        <f t="shared" si="65"/>
        <v>Current</v>
      </c>
      <c r="K1364"/>
    </row>
    <row r="1365" spans="1:11" x14ac:dyDescent="0.3">
      <c r="A1365" s="21" t="s">
        <v>62</v>
      </c>
      <c r="B1365" t="str">
        <f>VLOOKUP(A1365,Customers!A:B,2,FALSE)</f>
        <v>MarketNova</v>
      </c>
      <c r="C1365" s="25" t="s">
        <v>1732</v>
      </c>
      <c r="D1365" s="11">
        <v>46002</v>
      </c>
      <c r="E1365" s="11">
        <v>46032</v>
      </c>
      <c r="F1365" s="5">
        <v>4998.42</v>
      </c>
      <c r="G1365" s="3">
        <f>SUMIF(Customer_Payments!B:B,C1365,Customer_Payments!E:E)</f>
        <v>4998.42</v>
      </c>
      <c r="H1365" s="3">
        <f t="shared" si="63"/>
        <v>0</v>
      </c>
      <c r="I1365" s="29">
        <f t="shared" si="64"/>
        <v>59</v>
      </c>
      <c r="J1365" s="31" t="str">
        <f t="shared" si="65"/>
        <v>31-60</v>
      </c>
      <c r="K1365"/>
    </row>
    <row r="1366" spans="1:11" x14ac:dyDescent="0.3">
      <c r="A1366" s="20" t="s">
        <v>40</v>
      </c>
      <c r="B1366" t="str">
        <f>VLOOKUP(A1366,Customers!A:B,2,FALSE)</f>
        <v>GlobalCart</v>
      </c>
      <c r="C1366" s="24" t="s">
        <v>1733</v>
      </c>
      <c r="D1366" s="10">
        <v>46094</v>
      </c>
      <c r="E1366" s="10">
        <v>46124</v>
      </c>
      <c r="F1366" s="4">
        <v>2902.79</v>
      </c>
      <c r="G1366" s="3">
        <f>SUMIF(Customer_Payments!B:B,C1366,Customer_Payments!E:E)</f>
        <v>0</v>
      </c>
      <c r="H1366" s="3">
        <f t="shared" si="63"/>
        <v>2902.79</v>
      </c>
      <c r="I1366" s="29">
        <f t="shared" si="64"/>
        <v>-33</v>
      </c>
      <c r="J1366" s="31" t="str">
        <f t="shared" si="65"/>
        <v>Current</v>
      </c>
      <c r="K1366"/>
    </row>
    <row r="1367" spans="1:11" x14ac:dyDescent="0.3">
      <c r="A1367" s="21" t="s">
        <v>69</v>
      </c>
      <c r="B1367" t="str">
        <f>VLOOKUP(A1367,Customers!A:B,2,FALSE)</f>
        <v>RetailNext</v>
      </c>
      <c r="C1367" s="25" t="s">
        <v>1734</v>
      </c>
      <c r="D1367" s="11">
        <v>45966</v>
      </c>
      <c r="E1367" s="11">
        <v>45996</v>
      </c>
      <c r="F1367" s="5">
        <v>3238.21</v>
      </c>
      <c r="G1367" s="3">
        <f>SUMIF(Customer_Payments!B:B,C1367,Customer_Payments!E:E)</f>
        <v>3238.21</v>
      </c>
      <c r="H1367" s="3">
        <f t="shared" si="63"/>
        <v>0</v>
      </c>
      <c r="I1367" s="29">
        <f t="shared" si="64"/>
        <v>95</v>
      </c>
      <c r="J1367" s="31" t="str">
        <f t="shared" si="65"/>
        <v>90+</v>
      </c>
      <c r="K1367"/>
    </row>
    <row r="1368" spans="1:11" x14ac:dyDescent="0.3">
      <c r="A1368" s="20" t="s">
        <v>13</v>
      </c>
      <c r="B1368" t="str">
        <f>VLOOKUP(A1368,Customers!A:B,2,FALSE)</f>
        <v>EduNova</v>
      </c>
      <c r="C1368" s="24" t="s">
        <v>1735</v>
      </c>
      <c r="D1368" s="10">
        <v>46009</v>
      </c>
      <c r="E1368" s="10">
        <v>46039</v>
      </c>
      <c r="F1368" s="4">
        <v>5111.3500000000004</v>
      </c>
      <c r="G1368" s="3">
        <f>SUMIF(Customer_Payments!B:B,C1368,Customer_Payments!E:E)</f>
        <v>0</v>
      </c>
      <c r="H1368" s="3">
        <f t="shared" si="63"/>
        <v>5111.3500000000004</v>
      </c>
      <c r="I1368" s="29">
        <f t="shared" si="64"/>
        <v>52</v>
      </c>
      <c r="J1368" s="31" t="str">
        <f t="shared" si="65"/>
        <v>31-60</v>
      </c>
      <c r="K1368"/>
    </row>
    <row r="1369" spans="1:11" x14ac:dyDescent="0.3">
      <c r="A1369" s="21" t="s">
        <v>40</v>
      </c>
      <c r="B1369" t="str">
        <f>VLOOKUP(A1369,Customers!A:B,2,FALSE)</f>
        <v>GlobalCart</v>
      </c>
      <c r="C1369" s="25" t="s">
        <v>1736</v>
      </c>
      <c r="D1369" s="11">
        <v>45987</v>
      </c>
      <c r="E1369" s="11">
        <v>46017</v>
      </c>
      <c r="F1369" s="5">
        <v>4297.24</v>
      </c>
      <c r="G1369" s="3">
        <f>SUMIF(Customer_Payments!B:B,C1369,Customer_Payments!E:E)</f>
        <v>4297.24</v>
      </c>
      <c r="H1369" s="3">
        <f t="shared" si="63"/>
        <v>0</v>
      </c>
      <c r="I1369" s="29">
        <f t="shared" si="64"/>
        <v>74</v>
      </c>
      <c r="J1369" s="31" t="str">
        <f t="shared" si="65"/>
        <v>61-90</v>
      </c>
      <c r="K1369"/>
    </row>
    <row r="1370" spans="1:11" x14ac:dyDescent="0.3">
      <c r="A1370" s="20" t="s">
        <v>70</v>
      </c>
      <c r="B1370" t="str">
        <f>VLOOKUP(A1370,Customers!A:B,2,FALSE)</f>
        <v>RetailPath</v>
      </c>
      <c r="C1370" s="24" t="s">
        <v>1737</v>
      </c>
      <c r="D1370" s="10">
        <v>46080</v>
      </c>
      <c r="E1370" s="10">
        <v>46110</v>
      </c>
      <c r="F1370" s="4">
        <v>5411.93</v>
      </c>
      <c r="G1370" s="3">
        <f>SUMIF(Customer_Payments!B:B,C1370,Customer_Payments!E:E)</f>
        <v>0</v>
      </c>
      <c r="H1370" s="3">
        <f t="shared" si="63"/>
        <v>5411.93</v>
      </c>
      <c r="I1370" s="29">
        <f t="shared" si="64"/>
        <v>-19</v>
      </c>
      <c r="J1370" s="31" t="str">
        <f t="shared" si="65"/>
        <v>Current</v>
      </c>
      <c r="K1370"/>
    </row>
    <row r="1371" spans="1:11" x14ac:dyDescent="0.3">
      <c r="A1371" s="21" t="s">
        <v>70</v>
      </c>
      <c r="B1371" t="str">
        <f>VLOOKUP(A1371,Customers!A:B,2,FALSE)</f>
        <v>RetailPath</v>
      </c>
      <c r="C1371" s="25" t="s">
        <v>1738</v>
      </c>
      <c r="D1371" s="11">
        <v>46000</v>
      </c>
      <c r="E1371" s="11">
        <v>46030</v>
      </c>
      <c r="F1371" s="5">
        <v>2929.82</v>
      </c>
      <c r="G1371" s="3">
        <f>SUMIF(Customer_Payments!B:B,C1371,Customer_Payments!E:E)</f>
        <v>2929.82</v>
      </c>
      <c r="H1371" s="3">
        <f t="shared" si="63"/>
        <v>0</v>
      </c>
      <c r="I1371" s="29">
        <f t="shared" si="64"/>
        <v>61</v>
      </c>
      <c r="J1371" s="31" t="str">
        <f t="shared" si="65"/>
        <v>61-90</v>
      </c>
      <c r="K1371"/>
    </row>
    <row r="1372" spans="1:11" x14ac:dyDescent="0.3">
      <c r="A1372" s="20" t="s">
        <v>18</v>
      </c>
      <c r="B1372" t="str">
        <f>VLOOKUP(A1372,Customers!A:B,2,FALSE)</f>
        <v>BluePeak Systems</v>
      </c>
      <c r="C1372" s="24" t="s">
        <v>1739</v>
      </c>
      <c r="D1372" s="10">
        <v>45998</v>
      </c>
      <c r="E1372" s="10">
        <v>46028</v>
      </c>
      <c r="F1372" s="4">
        <v>3415.01</v>
      </c>
      <c r="G1372" s="3">
        <f>SUMIF(Customer_Payments!B:B,C1372,Customer_Payments!E:E)</f>
        <v>3415.01</v>
      </c>
      <c r="H1372" s="3">
        <f t="shared" si="63"/>
        <v>0</v>
      </c>
      <c r="I1372" s="29">
        <f t="shared" si="64"/>
        <v>63</v>
      </c>
      <c r="J1372" s="31" t="str">
        <f t="shared" si="65"/>
        <v>61-90</v>
      </c>
      <c r="K1372"/>
    </row>
    <row r="1373" spans="1:11" x14ac:dyDescent="0.3">
      <c r="A1373" s="21" t="s">
        <v>112</v>
      </c>
      <c r="B1373" t="str">
        <f>VLOOKUP(A1373,Customers!A:B,2,FALSE)</f>
        <v>RetailBridgePro</v>
      </c>
      <c r="C1373" s="25" t="s">
        <v>1740</v>
      </c>
      <c r="D1373" s="11">
        <v>45993</v>
      </c>
      <c r="E1373" s="11">
        <v>46023</v>
      </c>
      <c r="F1373" s="5">
        <v>5736.35</v>
      </c>
      <c r="G1373" s="3">
        <f>SUMIF(Customer_Payments!B:B,C1373,Customer_Payments!E:E)</f>
        <v>5736.35</v>
      </c>
      <c r="H1373" s="3">
        <f t="shared" si="63"/>
        <v>0</v>
      </c>
      <c r="I1373" s="29">
        <f t="shared" si="64"/>
        <v>68</v>
      </c>
      <c r="J1373" s="31" t="str">
        <f t="shared" si="65"/>
        <v>61-90</v>
      </c>
      <c r="K1373"/>
    </row>
    <row r="1374" spans="1:11" x14ac:dyDescent="0.3">
      <c r="A1374" s="20" t="s">
        <v>7</v>
      </c>
      <c r="B1374" t="str">
        <f>VLOOKUP(A1374,Customers!A:B,2,FALSE)</f>
        <v>BrightCart</v>
      </c>
      <c r="C1374" s="24" t="s">
        <v>1741</v>
      </c>
      <c r="D1374" s="10">
        <v>45965</v>
      </c>
      <c r="E1374" s="10">
        <v>45995</v>
      </c>
      <c r="F1374" s="4">
        <v>2563.25</v>
      </c>
      <c r="G1374" s="3">
        <f>SUMIF(Customer_Payments!B:B,C1374,Customer_Payments!E:E)</f>
        <v>2563.25</v>
      </c>
      <c r="H1374" s="3">
        <f t="shared" si="63"/>
        <v>0</v>
      </c>
      <c r="I1374" s="29">
        <f t="shared" si="64"/>
        <v>96</v>
      </c>
      <c r="J1374" s="31" t="str">
        <f t="shared" si="65"/>
        <v>90+</v>
      </c>
      <c r="K1374"/>
    </row>
    <row r="1375" spans="1:11" x14ac:dyDescent="0.3">
      <c r="A1375" s="21" t="s">
        <v>38</v>
      </c>
      <c r="B1375" t="str">
        <f>VLOOKUP(A1375,Customers!A:B,2,FALSE)</f>
        <v>RetailForge</v>
      </c>
      <c r="C1375" s="25" t="s">
        <v>1742</v>
      </c>
      <c r="D1375" s="11">
        <v>46016</v>
      </c>
      <c r="E1375" s="11">
        <v>46046</v>
      </c>
      <c r="F1375" s="5">
        <v>3873.59</v>
      </c>
      <c r="G1375" s="3">
        <f>SUMIF(Customer_Payments!B:B,C1375,Customer_Payments!E:E)</f>
        <v>0</v>
      </c>
      <c r="H1375" s="3">
        <f t="shared" si="63"/>
        <v>3873.59</v>
      </c>
      <c r="I1375" s="29">
        <f t="shared" si="64"/>
        <v>45</v>
      </c>
      <c r="J1375" s="31" t="str">
        <f t="shared" si="65"/>
        <v>31-60</v>
      </c>
      <c r="K1375"/>
    </row>
    <row r="1376" spans="1:11" x14ac:dyDescent="0.3">
      <c r="A1376" s="20" t="s">
        <v>94</v>
      </c>
      <c r="B1376" t="str">
        <f>VLOOKUP(A1376,Customers!A:B,2,FALSE)</f>
        <v>RetailDynamicsX</v>
      </c>
      <c r="C1376" s="24" t="s">
        <v>1743</v>
      </c>
      <c r="D1376" s="10">
        <v>46013</v>
      </c>
      <c r="E1376" s="10">
        <v>46043</v>
      </c>
      <c r="F1376" s="4">
        <v>12849.16</v>
      </c>
      <c r="G1376" s="3">
        <f>SUMIF(Customer_Payments!B:B,C1376,Customer_Payments!E:E)</f>
        <v>12849.16</v>
      </c>
      <c r="H1376" s="3">
        <f t="shared" si="63"/>
        <v>0</v>
      </c>
      <c r="I1376" s="29">
        <f t="shared" si="64"/>
        <v>48</v>
      </c>
      <c r="J1376" s="31" t="str">
        <f t="shared" si="65"/>
        <v>31-60</v>
      </c>
      <c r="K1376"/>
    </row>
    <row r="1377" spans="1:11" x14ac:dyDescent="0.3">
      <c r="A1377" s="21" t="s">
        <v>20</v>
      </c>
      <c r="B1377" t="str">
        <f>VLOOKUP(A1377,Customers!A:B,2,FALSE)</f>
        <v>GrowthSphere</v>
      </c>
      <c r="C1377" s="25" t="s">
        <v>1744</v>
      </c>
      <c r="D1377" s="11">
        <v>46060</v>
      </c>
      <c r="E1377" s="11">
        <v>46090</v>
      </c>
      <c r="F1377" s="5">
        <v>1527.83</v>
      </c>
      <c r="G1377" s="3">
        <f>SUMIF(Customer_Payments!B:B,C1377,Customer_Payments!E:E)</f>
        <v>0</v>
      </c>
      <c r="H1377" s="3">
        <f t="shared" si="63"/>
        <v>1527.83</v>
      </c>
      <c r="I1377" s="29">
        <f t="shared" si="64"/>
        <v>1</v>
      </c>
      <c r="J1377" s="31" t="str">
        <f t="shared" si="65"/>
        <v>1-30</v>
      </c>
      <c r="K1377"/>
    </row>
    <row r="1378" spans="1:11" x14ac:dyDescent="0.3">
      <c r="A1378" s="20" t="s">
        <v>91</v>
      </c>
      <c r="B1378" t="str">
        <f>VLOOKUP(A1378,Customers!A:B,2,FALSE)</f>
        <v>RetailBridgeX</v>
      </c>
      <c r="C1378" s="24" t="s">
        <v>1745</v>
      </c>
      <c r="D1378" s="10">
        <v>46052</v>
      </c>
      <c r="E1378" s="10">
        <v>46082</v>
      </c>
      <c r="F1378" s="4">
        <v>2153.7800000000002</v>
      </c>
      <c r="G1378" s="3">
        <f>SUMIF(Customer_Payments!B:B,C1378,Customer_Payments!E:E)</f>
        <v>0</v>
      </c>
      <c r="H1378" s="3">
        <f t="shared" si="63"/>
        <v>2153.7800000000002</v>
      </c>
      <c r="I1378" s="29">
        <f t="shared" si="64"/>
        <v>9</v>
      </c>
      <c r="J1378" s="31" t="str">
        <f t="shared" si="65"/>
        <v>1-30</v>
      </c>
      <c r="K1378"/>
    </row>
    <row r="1379" spans="1:11" x14ac:dyDescent="0.3">
      <c r="A1379" s="21" t="s">
        <v>49</v>
      </c>
      <c r="B1379" t="str">
        <f>VLOOKUP(A1379,Customers!A:B,2,FALSE)</f>
        <v>CommercePilot</v>
      </c>
      <c r="C1379" s="25" t="s">
        <v>1746</v>
      </c>
      <c r="D1379" s="11">
        <v>46029</v>
      </c>
      <c r="E1379" s="11">
        <v>46059</v>
      </c>
      <c r="F1379" s="5">
        <v>11779.47</v>
      </c>
      <c r="G1379" s="3">
        <f>SUMIF(Customer_Payments!B:B,C1379,Customer_Payments!E:E)</f>
        <v>11779.47</v>
      </c>
      <c r="H1379" s="3">
        <f t="shared" si="63"/>
        <v>0</v>
      </c>
      <c r="I1379" s="29">
        <f t="shared" si="64"/>
        <v>32</v>
      </c>
      <c r="J1379" s="31" t="str">
        <f t="shared" si="65"/>
        <v>31-60</v>
      </c>
      <c r="K1379"/>
    </row>
    <row r="1380" spans="1:11" x14ac:dyDescent="0.3">
      <c r="A1380" s="20" t="s">
        <v>100</v>
      </c>
      <c r="B1380" t="str">
        <f>VLOOKUP(A1380,Customers!A:B,2,FALSE)</f>
        <v>RetailBoostPro</v>
      </c>
      <c r="C1380" s="24" t="s">
        <v>1747</v>
      </c>
      <c r="D1380" s="10">
        <v>46108</v>
      </c>
      <c r="E1380" s="10">
        <v>46138</v>
      </c>
      <c r="F1380" s="4">
        <v>3187.41</v>
      </c>
      <c r="G1380" s="3">
        <f>SUMIF(Customer_Payments!B:B,C1380,Customer_Payments!E:E)</f>
        <v>0</v>
      </c>
      <c r="H1380" s="3">
        <f t="shared" si="63"/>
        <v>3187.41</v>
      </c>
      <c r="I1380" s="29">
        <f t="shared" si="64"/>
        <v>-47</v>
      </c>
      <c r="J1380" s="31" t="str">
        <f t="shared" si="65"/>
        <v>Current</v>
      </c>
      <c r="K1380"/>
    </row>
    <row r="1381" spans="1:11" x14ac:dyDescent="0.3">
      <c r="A1381" s="21" t="s">
        <v>43</v>
      </c>
      <c r="B1381" t="str">
        <f>VLOOKUP(A1381,Customers!A:B,2,FALSE)</f>
        <v>CommerceSpark</v>
      </c>
      <c r="C1381" s="25" t="s">
        <v>1748</v>
      </c>
      <c r="D1381" s="11">
        <v>46027</v>
      </c>
      <c r="E1381" s="11">
        <v>46057</v>
      </c>
      <c r="F1381" s="5">
        <v>2981.05</v>
      </c>
      <c r="G1381" s="3">
        <f>SUMIF(Customer_Payments!B:B,C1381,Customer_Payments!E:E)</f>
        <v>0</v>
      </c>
      <c r="H1381" s="3">
        <f t="shared" si="63"/>
        <v>2981.05</v>
      </c>
      <c r="I1381" s="29">
        <f t="shared" si="64"/>
        <v>34</v>
      </c>
      <c r="J1381" s="31" t="str">
        <f t="shared" si="65"/>
        <v>31-60</v>
      </c>
      <c r="K1381"/>
    </row>
    <row r="1382" spans="1:11" x14ac:dyDescent="0.3">
      <c r="A1382" s="20" t="s">
        <v>84</v>
      </c>
      <c r="B1382" t="str">
        <f>VLOOKUP(A1382,Customers!A:B,2,FALSE)</f>
        <v>RetailVisionX</v>
      </c>
      <c r="C1382" s="24" t="s">
        <v>1749</v>
      </c>
      <c r="D1382" s="10">
        <v>46038</v>
      </c>
      <c r="E1382" s="10">
        <v>46068</v>
      </c>
      <c r="F1382" s="4">
        <v>2798.15</v>
      </c>
      <c r="G1382" s="3">
        <f>SUMIF(Customer_Payments!B:B,C1382,Customer_Payments!E:E)</f>
        <v>2798.15</v>
      </c>
      <c r="H1382" s="3">
        <f t="shared" si="63"/>
        <v>0</v>
      </c>
      <c r="I1382" s="29">
        <f t="shared" si="64"/>
        <v>23</v>
      </c>
      <c r="J1382" s="31" t="str">
        <f t="shared" si="65"/>
        <v>1-30</v>
      </c>
      <c r="K1382"/>
    </row>
    <row r="1383" spans="1:11" x14ac:dyDescent="0.3">
      <c r="A1383" s="21" t="s">
        <v>105</v>
      </c>
      <c r="B1383" t="str">
        <f>VLOOKUP(A1383,Customers!A:B,2,FALSE)</f>
        <v>RetailFlowPro</v>
      </c>
      <c r="C1383" s="25" t="s">
        <v>1750</v>
      </c>
      <c r="D1383" s="11">
        <v>46090</v>
      </c>
      <c r="E1383" s="11">
        <v>46120</v>
      </c>
      <c r="F1383" s="5">
        <v>10044.24</v>
      </c>
      <c r="G1383" s="3">
        <f>SUMIF(Customer_Payments!B:B,C1383,Customer_Payments!E:E)</f>
        <v>10044.24</v>
      </c>
      <c r="H1383" s="3">
        <f t="shared" si="63"/>
        <v>0</v>
      </c>
      <c r="I1383" s="29">
        <f t="shared" si="64"/>
        <v>-29</v>
      </c>
      <c r="J1383" s="31" t="str">
        <f t="shared" si="65"/>
        <v>Current</v>
      </c>
      <c r="K1383"/>
    </row>
    <row r="1384" spans="1:11" x14ac:dyDescent="0.3">
      <c r="A1384" s="20" t="s">
        <v>106</v>
      </c>
      <c r="B1384" t="str">
        <f>VLOOKUP(A1384,Customers!A:B,2,FALSE)</f>
        <v>RetailOrbitPro</v>
      </c>
      <c r="C1384" s="24" t="s">
        <v>1751</v>
      </c>
      <c r="D1384" s="10">
        <v>46048</v>
      </c>
      <c r="E1384" s="10">
        <v>46078</v>
      </c>
      <c r="F1384" s="4">
        <v>10028.1</v>
      </c>
      <c r="G1384" s="3">
        <f>SUMIF(Customer_Payments!B:B,C1384,Customer_Payments!E:E)</f>
        <v>10028.1</v>
      </c>
      <c r="H1384" s="3">
        <f t="shared" si="63"/>
        <v>0</v>
      </c>
      <c r="I1384" s="29">
        <f t="shared" si="64"/>
        <v>13</v>
      </c>
      <c r="J1384" s="31" t="str">
        <f t="shared" si="65"/>
        <v>1-30</v>
      </c>
      <c r="K1384"/>
    </row>
    <row r="1385" spans="1:11" x14ac:dyDescent="0.3">
      <c r="A1385" s="21" t="s">
        <v>45</v>
      </c>
      <c r="B1385" t="str">
        <f>VLOOKUP(A1385,Customers!A:B,2,FALSE)</f>
        <v>EdgeRetail</v>
      </c>
      <c r="C1385" s="25" t="s">
        <v>1752</v>
      </c>
      <c r="D1385" s="11">
        <v>45969</v>
      </c>
      <c r="E1385" s="11">
        <v>45999</v>
      </c>
      <c r="F1385" s="5">
        <v>10967.69</v>
      </c>
      <c r="G1385" s="3">
        <f>SUMIF(Customer_Payments!B:B,C1385,Customer_Payments!E:E)</f>
        <v>10967.69</v>
      </c>
      <c r="H1385" s="3">
        <f t="shared" si="63"/>
        <v>0</v>
      </c>
      <c r="I1385" s="29">
        <f t="shared" si="64"/>
        <v>92</v>
      </c>
      <c r="J1385" s="31" t="str">
        <f t="shared" si="65"/>
        <v>90+</v>
      </c>
      <c r="K1385"/>
    </row>
    <row r="1386" spans="1:11" x14ac:dyDescent="0.3">
      <c r="A1386" s="20" t="s">
        <v>84</v>
      </c>
      <c r="B1386" t="str">
        <f>VLOOKUP(A1386,Customers!A:B,2,FALSE)</f>
        <v>RetailVisionX</v>
      </c>
      <c r="C1386" s="24" t="s">
        <v>1753</v>
      </c>
      <c r="D1386" s="10">
        <v>46061</v>
      </c>
      <c r="E1386" s="10">
        <v>46091</v>
      </c>
      <c r="F1386" s="4">
        <v>13445.28</v>
      </c>
      <c r="G1386" s="3">
        <f>SUMIF(Customer_Payments!B:B,C1386,Customer_Payments!E:E)</f>
        <v>0</v>
      </c>
      <c r="H1386" s="3">
        <f t="shared" si="63"/>
        <v>13445.28</v>
      </c>
      <c r="I1386" s="29">
        <f t="shared" si="64"/>
        <v>0</v>
      </c>
      <c r="J1386" s="31" t="str">
        <f t="shared" si="65"/>
        <v>Current</v>
      </c>
      <c r="K1386"/>
    </row>
    <row r="1387" spans="1:11" x14ac:dyDescent="0.3">
      <c r="A1387" s="21" t="s">
        <v>69</v>
      </c>
      <c r="B1387" t="str">
        <f>VLOOKUP(A1387,Customers!A:B,2,FALSE)</f>
        <v>RetailNext</v>
      </c>
      <c r="C1387" s="25" t="s">
        <v>1754</v>
      </c>
      <c r="D1387" s="11">
        <v>46018</v>
      </c>
      <c r="E1387" s="11">
        <v>46048</v>
      </c>
      <c r="F1387" s="5">
        <v>4718.09</v>
      </c>
      <c r="G1387" s="3">
        <f>SUMIF(Customer_Payments!B:B,C1387,Customer_Payments!E:E)</f>
        <v>4718.09</v>
      </c>
      <c r="H1387" s="3">
        <f t="shared" si="63"/>
        <v>0</v>
      </c>
      <c r="I1387" s="29">
        <f t="shared" si="64"/>
        <v>43</v>
      </c>
      <c r="J1387" s="31" t="str">
        <f t="shared" si="65"/>
        <v>31-60</v>
      </c>
      <c r="K1387"/>
    </row>
    <row r="1388" spans="1:11" x14ac:dyDescent="0.3">
      <c r="A1388" s="20" t="s">
        <v>61</v>
      </c>
      <c r="B1388" t="str">
        <f>VLOOKUP(A1388,Customers!A:B,2,FALSE)</f>
        <v>RetailOrbit</v>
      </c>
      <c r="C1388" s="24" t="s">
        <v>1755</v>
      </c>
      <c r="D1388" s="10">
        <v>46024</v>
      </c>
      <c r="E1388" s="10">
        <v>46054</v>
      </c>
      <c r="F1388" s="4">
        <v>13849.98</v>
      </c>
      <c r="G1388" s="3">
        <f>SUMIF(Customer_Payments!B:B,C1388,Customer_Payments!E:E)</f>
        <v>13849.98</v>
      </c>
      <c r="H1388" s="3">
        <f t="shared" si="63"/>
        <v>0</v>
      </c>
      <c r="I1388" s="29">
        <f t="shared" si="64"/>
        <v>37</v>
      </c>
      <c r="J1388" s="31" t="str">
        <f t="shared" si="65"/>
        <v>31-60</v>
      </c>
      <c r="K1388"/>
    </row>
    <row r="1389" spans="1:11" x14ac:dyDescent="0.3">
      <c r="A1389" s="21" t="s">
        <v>62</v>
      </c>
      <c r="B1389" t="str">
        <f>VLOOKUP(A1389,Customers!A:B,2,FALSE)</f>
        <v>MarketNova</v>
      </c>
      <c r="C1389" s="25" t="s">
        <v>1756</v>
      </c>
      <c r="D1389" s="11">
        <v>46014</v>
      </c>
      <c r="E1389" s="11">
        <v>46044</v>
      </c>
      <c r="F1389" s="5">
        <v>3307.79</v>
      </c>
      <c r="G1389" s="3">
        <f>SUMIF(Customer_Payments!B:B,C1389,Customer_Payments!E:E)</f>
        <v>3307.79</v>
      </c>
      <c r="H1389" s="3">
        <f t="shared" si="63"/>
        <v>0</v>
      </c>
      <c r="I1389" s="29">
        <f t="shared" si="64"/>
        <v>47</v>
      </c>
      <c r="J1389" s="31" t="str">
        <f t="shared" si="65"/>
        <v>31-60</v>
      </c>
      <c r="K1389"/>
    </row>
    <row r="1390" spans="1:11" x14ac:dyDescent="0.3">
      <c r="A1390" s="20" t="s">
        <v>66</v>
      </c>
      <c r="B1390" t="str">
        <f>VLOOKUP(A1390,Customers!A:B,2,FALSE)</f>
        <v>MarketWorks</v>
      </c>
      <c r="C1390" s="24" t="s">
        <v>1757</v>
      </c>
      <c r="D1390" s="10">
        <v>46081</v>
      </c>
      <c r="E1390" s="10">
        <v>46111</v>
      </c>
      <c r="F1390" s="4">
        <v>1746.73</v>
      </c>
      <c r="G1390" s="3">
        <f>SUMIF(Customer_Payments!B:B,C1390,Customer_Payments!E:E)</f>
        <v>1746.73</v>
      </c>
      <c r="H1390" s="3">
        <f t="shared" si="63"/>
        <v>0</v>
      </c>
      <c r="I1390" s="29">
        <f t="shared" si="64"/>
        <v>-20</v>
      </c>
      <c r="J1390" s="31" t="str">
        <f t="shared" si="65"/>
        <v>Current</v>
      </c>
      <c r="K1390"/>
    </row>
    <row r="1391" spans="1:11" x14ac:dyDescent="0.3">
      <c r="A1391" s="21" t="s">
        <v>70</v>
      </c>
      <c r="B1391" t="str">
        <f>VLOOKUP(A1391,Customers!A:B,2,FALSE)</f>
        <v>RetailPath</v>
      </c>
      <c r="C1391" s="25" t="s">
        <v>1758</v>
      </c>
      <c r="D1391" s="11">
        <v>46040</v>
      </c>
      <c r="E1391" s="11">
        <v>46070</v>
      </c>
      <c r="F1391" s="5">
        <v>1601.45</v>
      </c>
      <c r="G1391" s="3">
        <f>SUMIF(Customer_Payments!B:B,C1391,Customer_Payments!E:E)</f>
        <v>1601.45</v>
      </c>
      <c r="H1391" s="3">
        <f t="shared" si="63"/>
        <v>0</v>
      </c>
      <c r="I1391" s="29">
        <f t="shared" si="64"/>
        <v>21</v>
      </c>
      <c r="J1391" s="31" t="str">
        <f t="shared" si="65"/>
        <v>1-30</v>
      </c>
      <c r="K1391"/>
    </row>
    <row r="1392" spans="1:11" x14ac:dyDescent="0.3">
      <c r="A1392" s="20" t="s">
        <v>62</v>
      </c>
      <c r="B1392" t="str">
        <f>VLOOKUP(A1392,Customers!A:B,2,FALSE)</f>
        <v>MarketNova</v>
      </c>
      <c r="C1392" s="24" t="s">
        <v>1759</v>
      </c>
      <c r="D1392" s="10">
        <v>46092</v>
      </c>
      <c r="E1392" s="10">
        <v>46122</v>
      </c>
      <c r="F1392" s="4">
        <v>3681.38</v>
      </c>
      <c r="G1392" s="3">
        <f>SUMIF(Customer_Payments!B:B,C1392,Customer_Payments!E:E)</f>
        <v>3681.38</v>
      </c>
      <c r="H1392" s="3">
        <f t="shared" si="63"/>
        <v>0</v>
      </c>
      <c r="I1392" s="29">
        <f t="shared" si="64"/>
        <v>-31</v>
      </c>
      <c r="J1392" s="31" t="str">
        <f t="shared" si="65"/>
        <v>Current</v>
      </c>
      <c r="K1392"/>
    </row>
    <row r="1393" spans="1:11" x14ac:dyDescent="0.3">
      <c r="A1393" s="21" t="s">
        <v>23</v>
      </c>
      <c r="B1393" t="str">
        <f>VLOOKUP(A1393,Customers!A:B,2,FALSE)</f>
        <v>VertexCommerce</v>
      </c>
      <c r="C1393" s="25" t="s">
        <v>1760</v>
      </c>
      <c r="D1393" s="11">
        <v>45963</v>
      </c>
      <c r="E1393" s="11">
        <v>45993</v>
      </c>
      <c r="F1393" s="5">
        <v>3488.65</v>
      </c>
      <c r="G1393" s="3">
        <f>SUMIF(Customer_Payments!B:B,C1393,Customer_Payments!E:E)</f>
        <v>3488.65</v>
      </c>
      <c r="H1393" s="3">
        <f t="shared" si="63"/>
        <v>0</v>
      </c>
      <c r="I1393" s="29">
        <f t="shared" si="64"/>
        <v>98</v>
      </c>
      <c r="J1393" s="31" t="str">
        <f t="shared" si="65"/>
        <v>90+</v>
      </c>
      <c r="K1393"/>
    </row>
    <row r="1394" spans="1:11" x14ac:dyDescent="0.3">
      <c r="A1394" s="20" t="s">
        <v>44</v>
      </c>
      <c r="B1394" t="str">
        <f>VLOOKUP(A1394,Customers!A:B,2,FALSE)</f>
        <v>BrightMarket</v>
      </c>
      <c r="C1394" s="24" t="s">
        <v>1761</v>
      </c>
      <c r="D1394" s="10">
        <v>46050</v>
      </c>
      <c r="E1394" s="10">
        <v>46080</v>
      </c>
      <c r="F1394" s="4">
        <v>2090.09</v>
      </c>
      <c r="G1394" s="3">
        <f>SUMIF(Customer_Payments!B:B,C1394,Customer_Payments!E:E)</f>
        <v>2090.09</v>
      </c>
      <c r="H1394" s="3">
        <f t="shared" si="63"/>
        <v>0</v>
      </c>
      <c r="I1394" s="29">
        <f t="shared" si="64"/>
        <v>11</v>
      </c>
      <c r="J1394" s="31" t="str">
        <f t="shared" si="65"/>
        <v>1-30</v>
      </c>
      <c r="K1394"/>
    </row>
    <row r="1395" spans="1:11" x14ac:dyDescent="0.3">
      <c r="A1395" s="21" t="s">
        <v>72</v>
      </c>
      <c r="B1395" t="str">
        <f>VLOOKUP(A1395,Customers!A:B,2,FALSE)</f>
        <v>RetailStream</v>
      </c>
      <c r="C1395" s="25" t="s">
        <v>1762</v>
      </c>
      <c r="D1395" s="11">
        <v>46087</v>
      </c>
      <c r="E1395" s="11">
        <v>46117</v>
      </c>
      <c r="F1395" s="5">
        <v>2866.82</v>
      </c>
      <c r="G1395" s="3">
        <f>SUMIF(Customer_Payments!B:B,C1395,Customer_Payments!E:E)</f>
        <v>2866.82</v>
      </c>
      <c r="H1395" s="3">
        <f t="shared" si="63"/>
        <v>0</v>
      </c>
      <c r="I1395" s="29">
        <f t="shared" si="64"/>
        <v>-26</v>
      </c>
      <c r="J1395" s="31" t="str">
        <f t="shared" si="65"/>
        <v>Current</v>
      </c>
      <c r="K1395"/>
    </row>
    <row r="1396" spans="1:11" x14ac:dyDescent="0.3">
      <c r="A1396" s="20" t="s">
        <v>111</v>
      </c>
      <c r="B1396" t="str">
        <f>VLOOKUP(A1396,Customers!A:B,2,FALSE)</f>
        <v>RetailPulsePro</v>
      </c>
      <c r="C1396" s="24" t="s">
        <v>1763</v>
      </c>
      <c r="D1396" s="10">
        <v>46016</v>
      </c>
      <c r="E1396" s="10">
        <v>46046</v>
      </c>
      <c r="F1396" s="4">
        <v>11582.49</v>
      </c>
      <c r="G1396" s="3">
        <f>SUMIF(Customer_Payments!B:B,C1396,Customer_Payments!E:E)</f>
        <v>11582.49</v>
      </c>
      <c r="H1396" s="3">
        <f t="shared" si="63"/>
        <v>0</v>
      </c>
      <c r="I1396" s="29">
        <f t="shared" si="64"/>
        <v>45</v>
      </c>
      <c r="J1396" s="31" t="str">
        <f t="shared" si="65"/>
        <v>31-60</v>
      </c>
      <c r="K1396"/>
    </row>
    <row r="1397" spans="1:11" x14ac:dyDescent="0.3">
      <c r="A1397" s="21" t="s">
        <v>9</v>
      </c>
      <c r="B1397" t="str">
        <f>VLOOKUP(A1397,Customers!A:B,2,FALSE)</f>
        <v>UrbanRetail</v>
      </c>
      <c r="C1397" s="25" t="s">
        <v>1764</v>
      </c>
      <c r="D1397" s="11">
        <v>45987</v>
      </c>
      <c r="E1397" s="11">
        <v>46017</v>
      </c>
      <c r="F1397" s="5">
        <v>2355.46</v>
      </c>
      <c r="G1397" s="3">
        <f>SUMIF(Customer_Payments!B:B,C1397,Customer_Payments!E:E)</f>
        <v>0</v>
      </c>
      <c r="H1397" s="3">
        <f t="shared" si="63"/>
        <v>2355.46</v>
      </c>
      <c r="I1397" s="29">
        <f t="shared" si="64"/>
        <v>74</v>
      </c>
      <c r="J1397" s="31" t="str">
        <f t="shared" si="65"/>
        <v>61-90</v>
      </c>
      <c r="K1397"/>
    </row>
    <row r="1398" spans="1:11" x14ac:dyDescent="0.3">
      <c r="A1398" s="20" t="s">
        <v>114</v>
      </c>
      <c r="B1398" t="str">
        <f>VLOOKUP(A1398,Customers!A:B,2,FALSE)</f>
        <v>RetailScalePro</v>
      </c>
      <c r="C1398" s="24" t="s">
        <v>1765</v>
      </c>
      <c r="D1398" s="10">
        <v>46083</v>
      </c>
      <c r="E1398" s="10">
        <v>46113</v>
      </c>
      <c r="F1398" s="4">
        <v>3288.62</v>
      </c>
      <c r="G1398" s="3">
        <f>SUMIF(Customer_Payments!B:B,C1398,Customer_Payments!E:E)</f>
        <v>0</v>
      </c>
      <c r="H1398" s="3">
        <f t="shared" si="63"/>
        <v>3288.62</v>
      </c>
      <c r="I1398" s="29">
        <f t="shared" si="64"/>
        <v>-22</v>
      </c>
      <c r="J1398" s="31" t="str">
        <f t="shared" si="65"/>
        <v>Current</v>
      </c>
      <c r="K1398"/>
    </row>
    <row r="1399" spans="1:11" x14ac:dyDescent="0.3">
      <c r="A1399" s="21" t="s">
        <v>82</v>
      </c>
      <c r="B1399" t="str">
        <f>VLOOKUP(A1399,Customers!A:B,2,FALSE)</f>
        <v>RetailNovaX</v>
      </c>
      <c r="C1399" s="25" t="s">
        <v>1766</v>
      </c>
      <c r="D1399" s="11">
        <v>46052</v>
      </c>
      <c r="E1399" s="11">
        <v>46082</v>
      </c>
      <c r="F1399" s="5">
        <v>9817.24</v>
      </c>
      <c r="G1399" s="3">
        <f>SUMIF(Customer_Payments!B:B,C1399,Customer_Payments!E:E)</f>
        <v>9817.24</v>
      </c>
      <c r="H1399" s="3">
        <f t="shared" si="63"/>
        <v>0</v>
      </c>
      <c r="I1399" s="29">
        <f t="shared" si="64"/>
        <v>9</v>
      </c>
      <c r="J1399" s="31" t="str">
        <f t="shared" si="65"/>
        <v>1-30</v>
      </c>
      <c r="K1399"/>
    </row>
    <row r="1400" spans="1:11" x14ac:dyDescent="0.3">
      <c r="A1400" s="20" t="s">
        <v>40</v>
      </c>
      <c r="B1400" t="str">
        <f>VLOOKUP(A1400,Customers!A:B,2,FALSE)</f>
        <v>GlobalCart</v>
      </c>
      <c r="C1400" s="24" t="s">
        <v>1767</v>
      </c>
      <c r="D1400" s="10">
        <v>46016</v>
      </c>
      <c r="E1400" s="10">
        <v>46046</v>
      </c>
      <c r="F1400" s="4">
        <v>1767.6</v>
      </c>
      <c r="G1400" s="3">
        <f>SUMIF(Customer_Payments!B:B,C1400,Customer_Payments!E:E)</f>
        <v>1767.6</v>
      </c>
      <c r="H1400" s="3">
        <f t="shared" si="63"/>
        <v>0</v>
      </c>
      <c r="I1400" s="29">
        <f t="shared" si="64"/>
        <v>45</v>
      </c>
      <c r="J1400" s="31" t="str">
        <f t="shared" si="65"/>
        <v>31-60</v>
      </c>
      <c r="K1400"/>
    </row>
    <row r="1401" spans="1:11" x14ac:dyDescent="0.3">
      <c r="A1401" s="21" t="s">
        <v>17</v>
      </c>
      <c r="B1401" t="str">
        <f>VLOOKUP(A1401,Customers!A:B,2,FALSE)</f>
        <v>AlphaCommerce</v>
      </c>
      <c r="C1401" s="25" t="s">
        <v>1768</v>
      </c>
      <c r="D1401" s="11">
        <v>46057</v>
      </c>
      <c r="E1401" s="11">
        <v>46087</v>
      </c>
      <c r="F1401" s="5">
        <v>2966.72</v>
      </c>
      <c r="G1401" s="3">
        <f>SUMIF(Customer_Payments!B:B,C1401,Customer_Payments!E:E)</f>
        <v>2966.72</v>
      </c>
      <c r="H1401" s="3">
        <f t="shared" si="63"/>
        <v>0</v>
      </c>
      <c r="I1401" s="29">
        <f t="shared" si="64"/>
        <v>4</v>
      </c>
      <c r="J1401" s="31" t="str">
        <f t="shared" si="65"/>
        <v>1-30</v>
      </c>
      <c r="K1401"/>
    </row>
    <row r="1402" spans="1:11" x14ac:dyDescent="0.3">
      <c r="A1402" s="20" t="s">
        <v>75</v>
      </c>
      <c r="B1402" t="str">
        <f>VLOOKUP(A1402,Customers!A:B,2,FALSE)</f>
        <v>RetailMatrix</v>
      </c>
      <c r="C1402" s="24" t="s">
        <v>1769</v>
      </c>
      <c r="D1402" s="10">
        <v>46054</v>
      </c>
      <c r="E1402" s="10">
        <v>46084</v>
      </c>
      <c r="F1402" s="4">
        <v>2147.17</v>
      </c>
      <c r="G1402" s="3">
        <f>SUMIF(Customer_Payments!B:B,C1402,Customer_Payments!E:E)</f>
        <v>2147.17</v>
      </c>
      <c r="H1402" s="3">
        <f t="shared" si="63"/>
        <v>0</v>
      </c>
      <c r="I1402" s="29">
        <f t="shared" si="64"/>
        <v>7</v>
      </c>
      <c r="J1402" s="31" t="str">
        <f t="shared" si="65"/>
        <v>1-30</v>
      </c>
      <c r="K1402"/>
    </row>
    <row r="1403" spans="1:11" x14ac:dyDescent="0.3">
      <c r="A1403" s="21" t="s">
        <v>68</v>
      </c>
      <c r="B1403" t="str">
        <f>VLOOKUP(A1403,Customers!A:B,2,FALSE)</f>
        <v>RetailVision</v>
      </c>
      <c r="C1403" s="25" t="s">
        <v>1770</v>
      </c>
      <c r="D1403" s="11">
        <v>46063</v>
      </c>
      <c r="E1403" s="11">
        <v>46093</v>
      </c>
      <c r="F1403" s="5">
        <v>2407.02</v>
      </c>
      <c r="G1403" s="3">
        <f>SUMIF(Customer_Payments!B:B,C1403,Customer_Payments!E:E)</f>
        <v>2407.02</v>
      </c>
      <c r="H1403" s="3">
        <f t="shared" si="63"/>
        <v>0</v>
      </c>
      <c r="I1403" s="29">
        <f t="shared" si="64"/>
        <v>-2</v>
      </c>
      <c r="J1403" s="31" t="str">
        <f t="shared" si="65"/>
        <v>Current</v>
      </c>
      <c r="K1403"/>
    </row>
    <row r="1404" spans="1:11" x14ac:dyDescent="0.3">
      <c r="A1404" s="20" t="s">
        <v>84</v>
      </c>
      <c r="B1404" t="str">
        <f>VLOOKUP(A1404,Customers!A:B,2,FALSE)</f>
        <v>RetailVisionX</v>
      </c>
      <c r="C1404" s="24" t="s">
        <v>1771</v>
      </c>
      <c r="D1404" s="10">
        <v>45987</v>
      </c>
      <c r="E1404" s="10">
        <v>46017</v>
      </c>
      <c r="F1404" s="4">
        <v>12920.67</v>
      </c>
      <c r="G1404" s="3">
        <f>SUMIF(Customer_Payments!B:B,C1404,Customer_Payments!E:E)</f>
        <v>0</v>
      </c>
      <c r="H1404" s="3">
        <f t="shared" si="63"/>
        <v>12920.67</v>
      </c>
      <c r="I1404" s="29">
        <f t="shared" si="64"/>
        <v>74</v>
      </c>
      <c r="J1404" s="31" t="str">
        <f t="shared" si="65"/>
        <v>61-90</v>
      </c>
      <c r="K1404"/>
    </row>
    <row r="1405" spans="1:11" x14ac:dyDescent="0.3">
      <c r="A1405" s="21" t="s">
        <v>93</v>
      </c>
      <c r="B1405" t="str">
        <f>VLOOKUP(A1405,Customers!A:B,2,FALSE)</f>
        <v>RetailSphereX</v>
      </c>
      <c r="C1405" s="25" t="s">
        <v>1772</v>
      </c>
      <c r="D1405" s="11">
        <v>46095</v>
      </c>
      <c r="E1405" s="11">
        <v>46125</v>
      </c>
      <c r="F1405" s="5">
        <v>1790.44</v>
      </c>
      <c r="G1405" s="3">
        <f>SUMIF(Customer_Payments!B:B,C1405,Customer_Payments!E:E)</f>
        <v>1790.44</v>
      </c>
      <c r="H1405" s="3">
        <f t="shared" si="63"/>
        <v>0</v>
      </c>
      <c r="I1405" s="29">
        <f t="shared" si="64"/>
        <v>-34</v>
      </c>
      <c r="J1405" s="31" t="str">
        <f t="shared" si="65"/>
        <v>Current</v>
      </c>
      <c r="K1405"/>
    </row>
    <row r="1406" spans="1:11" x14ac:dyDescent="0.3">
      <c r="A1406" s="20" t="s">
        <v>24</v>
      </c>
      <c r="B1406" t="str">
        <f>VLOOKUP(A1406,Customers!A:B,2,FALSE)</f>
        <v>OmniTrade</v>
      </c>
      <c r="C1406" s="24" t="s">
        <v>1773</v>
      </c>
      <c r="D1406" s="10">
        <v>45970</v>
      </c>
      <c r="E1406" s="10">
        <v>46000</v>
      </c>
      <c r="F1406" s="4">
        <v>1926.07</v>
      </c>
      <c r="G1406" s="3">
        <f>SUMIF(Customer_Payments!B:B,C1406,Customer_Payments!E:E)</f>
        <v>1926.07</v>
      </c>
      <c r="H1406" s="3">
        <f t="shared" si="63"/>
        <v>0</v>
      </c>
      <c r="I1406" s="29">
        <f t="shared" si="64"/>
        <v>91</v>
      </c>
      <c r="J1406" s="31" t="str">
        <f t="shared" si="65"/>
        <v>90+</v>
      </c>
      <c r="K1406"/>
    </row>
    <row r="1407" spans="1:11" x14ac:dyDescent="0.3">
      <c r="A1407" s="21" t="s">
        <v>31</v>
      </c>
      <c r="B1407" t="str">
        <f>VLOOKUP(A1407,Customers!A:B,2,FALSE)</f>
        <v>SparkRetail</v>
      </c>
      <c r="C1407" s="25" t="s">
        <v>1774</v>
      </c>
      <c r="D1407" s="11">
        <v>46052</v>
      </c>
      <c r="E1407" s="11">
        <v>46082</v>
      </c>
      <c r="F1407" s="5">
        <v>2628.96</v>
      </c>
      <c r="G1407" s="3">
        <f>SUMIF(Customer_Payments!B:B,C1407,Customer_Payments!E:E)</f>
        <v>2628.96</v>
      </c>
      <c r="H1407" s="3">
        <f t="shared" si="63"/>
        <v>0</v>
      </c>
      <c r="I1407" s="29">
        <f t="shared" si="64"/>
        <v>9</v>
      </c>
      <c r="J1407" s="31" t="str">
        <f t="shared" si="65"/>
        <v>1-30</v>
      </c>
      <c r="K1407"/>
    </row>
    <row r="1408" spans="1:11" x14ac:dyDescent="0.3">
      <c r="A1408" s="20" t="s">
        <v>62</v>
      </c>
      <c r="B1408" t="str">
        <f>VLOOKUP(A1408,Customers!A:B,2,FALSE)</f>
        <v>MarketNova</v>
      </c>
      <c r="C1408" s="24" t="s">
        <v>1775</v>
      </c>
      <c r="D1408" s="10">
        <v>45977</v>
      </c>
      <c r="E1408" s="10">
        <v>46007</v>
      </c>
      <c r="F1408" s="4">
        <v>2651.08</v>
      </c>
      <c r="G1408" s="3">
        <f>SUMIF(Customer_Payments!B:B,C1408,Customer_Payments!E:E)</f>
        <v>2651.08</v>
      </c>
      <c r="H1408" s="3">
        <f t="shared" si="63"/>
        <v>0</v>
      </c>
      <c r="I1408" s="29">
        <f t="shared" si="64"/>
        <v>84</v>
      </c>
      <c r="J1408" s="31" t="str">
        <f t="shared" si="65"/>
        <v>61-90</v>
      </c>
      <c r="K1408"/>
    </row>
    <row r="1409" spans="1:11" x14ac:dyDescent="0.3">
      <c r="A1409" s="21" t="s">
        <v>105</v>
      </c>
      <c r="B1409" t="str">
        <f>VLOOKUP(A1409,Customers!A:B,2,FALSE)</f>
        <v>RetailFlowPro</v>
      </c>
      <c r="C1409" s="25" t="s">
        <v>1776</v>
      </c>
      <c r="D1409" s="11">
        <v>46010</v>
      </c>
      <c r="E1409" s="11">
        <v>46040</v>
      </c>
      <c r="F1409" s="5">
        <v>2057.9</v>
      </c>
      <c r="G1409" s="3">
        <f>SUMIF(Customer_Payments!B:B,C1409,Customer_Payments!E:E)</f>
        <v>2057.9</v>
      </c>
      <c r="H1409" s="3">
        <f t="shared" si="63"/>
        <v>0</v>
      </c>
      <c r="I1409" s="29">
        <f t="shared" si="64"/>
        <v>51</v>
      </c>
      <c r="J1409" s="31" t="str">
        <f t="shared" si="65"/>
        <v>31-60</v>
      </c>
      <c r="K1409"/>
    </row>
    <row r="1410" spans="1:11" x14ac:dyDescent="0.3">
      <c r="A1410" s="20" t="s">
        <v>122</v>
      </c>
      <c r="B1410" t="str">
        <f>VLOOKUP(A1410,Customers!A:B,2,FALSE)</f>
        <v>RetailCoreGlobal</v>
      </c>
      <c r="C1410" s="24" t="s">
        <v>1777</v>
      </c>
      <c r="D1410" s="10">
        <v>46086</v>
      </c>
      <c r="E1410" s="10">
        <v>46116</v>
      </c>
      <c r="F1410" s="4">
        <v>10311.200000000001</v>
      </c>
      <c r="G1410" s="3">
        <f>SUMIF(Customer_Payments!B:B,C1410,Customer_Payments!E:E)</f>
        <v>10311.200000000001</v>
      </c>
      <c r="H1410" s="3">
        <f t="shared" ref="H1410:H1473" si="66">MAX(F1410-G1410,0)</f>
        <v>0</v>
      </c>
      <c r="I1410" s="29">
        <f t="shared" ref="I1410:I1473" si="67">$L$2-E1410</f>
        <v>-25</v>
      </c>
      <c r="J1410" s="31" t="str">
        <f t="shared" si="65"/>
        <v>Current</v>
      </c>
      <c r="K1410"/>
    </row>
    <row r="1411" spans="1:11" x14ac:dyDescent="0.3">
      <c r="A1411" s="21" t="s">
        <v>117</v>
      </c>
      <c r="B1411" t="str">
        <f>VLOOKUP(A1411,Customers!A:B,2,FALSE)</f>
        <v>RetailSparkPro</v>
      </c>
      <c r="C1411" s="25" t="s">
        <v>1778</v>
      </c>
      <c r="D1411" s="11">
        <v>46016</v>
      </c>
      <c r="E1411" s="11">
        <v>46046</v>
      </c>
      <c r="F1411" s="5">
        <v>5477.56</v>
      </c>
      <c r="G1411" s="3">
        <f>SUMIF(Customer_Payments!B:B,C1411,Customer_Payments!E:E)</f>
        <v>5477.56</v>
      </c>
      <c r="H1411" s="3">
        <f t="shared" si="66"/>
        <v>0</v>
      </c>
      <c r="I1411" s="29">
        <f t="shared" si="67"/>
        <v>45</v>
      </c>
      <c r="J1411" s="31" t="str">
        <f t="shared" ref="J1411:J1474" si="68">IF(I1411&lt;=0,"Current",
IF(I1411&lt;=30,"1-30",
IF(I1411&lt;=60,"31-60",
IF(I1411&lt;=90,"61-90","90+"))))</f>
        <v>31-60</v>
      </c>
      <c r="K1411"/>
    </row>
    <row r="1412" spans="1:11" x14ac:dyDescent="0.3">
      <c r="A1412" s="20" t="s">
        <v>113</v>
      </c>
      <c r="B1412" t="str">
        <f>VLOOKUP(A1412,Customers!A:B,2,FALSE)</f>
        <v>RetailSpherePro</v>
      </c>
      <c r="C1412" s="24" t="s">
        <v>1779</v>
      </c>
      <c r="D1412" s="10">
        <v>46107</v>
      </c>
      <c r="E1412" s="10">
        <v>46137</v>
      </c>
      <c r="F1412" s="4">
        <v>12409.09</v>
      </c>
      <c r="G1412" s="3">
        <f>SUMIF(Customer_Payments!B:B,C1412,Customer_Payments!E:E)</f>
        <v>12409.09</v>
      </c>
      <c r="H1412" s="3">
        <f t="shared" si="66"/>
        <v>0</v>
      </c>
      <c r="I1412" s="29">
        <f t="shared" si="67"/>
        <v>-46</v>
      </c>
      <c r="J1412" s="31" t="str">
        <f t="shared" si="68"/>
        <v>Current</v>
      </c>
      <c r="K1412"/>
    </row>
    <row r="1413" spans="1:11" x14ac:dyDescent="0.3">
      <c r="A1413" s="21" t="s">
        <v>98</v>
      </c>
      <c r="B1413" t="str">
        <f>VLOOKUP(A1413,Customers!A:B,2,FALSE)</f>
        <v>RetailEdgePro</v>
      </c>
      <c r="C1413" s="25" t="s">
        <v>1780</v>
      </c>
      <c r="D1413" s="11">
        <v>46000</v>
      </c>
      <c r="E1413" s="11">
        <v>46030</v>
      </c>
      <c r="F1413" s="5">
        <v>9844.43</v>
      </c>
      <c r="G1413" s="3">
        <f>SUMIF(Customer_Payments!B:B,C1413,Customer_Payments!E:E)</f>
        <v>9844.43</v>
      </c>
      <c r="H1413" s="3">
        <f t="shared" si="66"/>
        <v>0</v>
      </c>
      <c r="I1413" s="29">
        <f t="shared" si="67"/>
        <v>61</v>
      </c>
      <c r="J1413" s="31" t="str">
        <f t="shared" si="68"/>
        <v>61-90</v>
      </c>
      <c r="K1413"/>
    </row>
    <row r="1414" spans="1:11" x14ac:dyDescent="0.3">
      <c r="A1414" s="20" t="s">
        <v>83</v>
      </c>
      <c r="B1414" t="str">
        <f>VLOOKUP(A1414,Customers!A:B,2,FALSE)</f>
        <v>RetailCoreX</v>
      </c>
      <c r="C1414" s="24" t="s">
        <v>1781</v>
      </c>
      <c r="D1414" s="10">
        <v>46007</v>
      </c>
      <c r="E1414" s="10">
        <v>46037</v>
      </c>
      <c r="F1414" s="4">
        <v>14301.54</v>
      </c>
      <c r="G1414" s="3">
        <f>SUMIF(Customer_Payments!B:B,C1414,Customer_Payments!E:E)</f>
        <v>14301.54</v>
      </c>
      <c r="H1414" s="3">
        <f t="shared" si="66"/>
        <v>0</v>
      </c>
      <c r="I1414" s="29">
        <f t="shared" si="67"/>
        <v>54</v>
      </c>
      <c r="J1414" s="31" t="str">
        <f t="shared" si="68"/>
        <v>31-60</v>
      </c>
      <c r="K1414"/>
    </row>
    <row r="1415" spans="1:11" x14ac:dyDescent="0.3">
      <c r="A1415" s="21" t="s">
        <v>69</v>
      </c>
      <c r="B1415" t="str">
        <f>VLOOKUP(A1415,Customers!A:B,2,FALSE)</f>
        <v>RetailNext</v>
      </c>
      <c r="C1415" s="25" t="s">
        <v>1782</v>
      </c>
      <c r="D1415" s="11">
        <v>46098</v>
      </c>
      <c r="E1415" s="11">
        <v>46128</v>
      </c>
      <c r="F1415" s="5">
        <v>1839.1</v>
      </c>
      <c r="G1415" s="3">
        <f>SUMIF(Customer_Payments!B:B,C1415,Customer_Payments!E:E)</f>
        <v>1839.1</v>
      </c>
      <c r="H1415" s="3">
        <f t="shared" si="66"/>
        <v>0</v>
      </c>
      <c r="I1415" s="29">
        <f t="shared" si="67"/>
        <v>-37</v>
      </c>
      <c r="J1415" s="31" t="str">
        <f t="shared" si="68"/>
        <v>Current</v>
      </c>
      <c r="K1415"/>
    </row>
    <row r="1416" spans="1:11" x14ac:dyDescent="0.3">
      <c r="A1416" s="20" t="s">
        <v>118</v>
      </c>
      <c r="B1416" t="str">
        <f>VLOOKUP(A1416,Customers!A:B,2,FALSE)</f>
        <v>RetailEdgeGlobal</v>
      </c>
      <c r="C1416" s="24" t="s">
        <v>1783</v>
      </c>
      <c r="D1416" s="10">
        <v>46026</v>
      </c>
      <c r="E1416" s="10">
        <v>46056</v>
      </c>
      <c r="F1416" s="4">
        <v>3627.45</v>
      </c>
      <c r="G1416" s="3">
        <f>SUMIF(Customer_Payments!B:B,C1416,Customer_Payments!E:E)</f>
        <v>0</v>
      </c>
      <c r="H1416" s="3">
        <f t="shared" si="66"/>
        <v>3627.45</v>
      </c>
      <c r="I1416" s="29">
        <f t="shared" si="67"/>
        <v>35</v>
      </c>
      <c r="J1416" s="31" t="str">
        <f t="shared" si="68"/>
        <v>31-60</v>
      </c>
      <c r="K1416"/>
    </row>
    <row r="1417" spans="1:11" x14ac:dyDescent="0.3">
      <c r="A1417" s="21" t="s">
        <v>80</v>
      </c>
      <c r="B1417" t="str">
        <f>VLOOKUP(A1417,Customers!A:B,2,FALSE)</f>
        <v>RetailEdgeX</v>
      </c>
      <c r="C1417" s="25" t="s">
        <v>1784</v>
      </c>
      <c r="D1417" s="11">
        <v>46080</v>
      </c>
      <c r="E1417" s="11">
        <v>46110</v>
      </c>
      <c r="F1417" s="5">
        <v>10713.15</v>
      </c>
      <c r="G1417" s="3">
        <f>SUMIF(Customer_Payments!B:B,C1417,Customer_Payments!E:E)</f>
        <v>10713.15</v>
      </c>
      <c r="H1417" s="3">
        <f t="shared" si="66"/>
        <v>0</v>
      </c>
      <c r="I1417" s="29">
        <f t="shared" si="67"/>
        <v>-19</v>
      </c>
      <c r="J1417" s="31" t="str">
        <f t="shared" si="68"/>
        <v>Current</v>
      </c>
      <c r="K1417"/>
    </row>
    <row r="1418" spans="1:11" x14ac:dyDescent="0.3">
      <c r="A1418" s="20" t="s">
        <v>67</v>
      </c>
      <c r="B1418" t="str">
        <f>VLOOKUP(A1418,Customers!A:B,2,FALSE)</f>
        <v>RetailDynamics</v>
      </c>
      <c r="C1418" s="24" t="s">
        <v>1785</v>
      </c>
      <c r="D1418" s="10">
        <v>46029</v>
      </c>
      <c r="E1418" s="10">
        <v>46059</v>
      </c>
      <c r="F1418" s="4">
        <v>2553.2600000000002</v>
      </c>
      <c r="G1418" s="3">
        <f>SUMIF(Customer_Payments!B:B,C1418,Customer_Payments!E:E)</f>
        <v>2553.2600000000002</v>
      </c>
      <c r="H1418" s="3">
        <f t="shared" si="66"/>
        <v>0</v>
      </c>
      <c r="I1418" s="29">
        <f t="shared" si="67"/>
        <v>32</v>
      </c>
      <c r="J1418" s="31" t="str">
        <f t="shared" si="68"/>
        <v>31-60</v>
      </c>
      <c r="K1418"/>
    </row>
    <row r="1419" spans="1:11" x14ac:dyDescent="0.3">
      <c r="A1419" s="21" t="s">
        <v>62</v>
      </c>
      <c r="B1419" t="str">
        <f>VLOOKUP(A1419,Customers!A:B,2,FALSE)</f>
        <v>MarketNova</v>
      </c>
      <c r="C1419" s="25" t="s">
        <v>1786</v>
      </c>
      <c r="D1419" s="11">
        <v>46089</v>
      </c>
      <c r="E1419" s="11">
        <v>46119</v>
      </c>
      <c r="F1419" s="5">
        <v>2993.75</v>
      </c>
      <c r="G1419" s="3">
        <f>SUMIF(Customer_Payments!B:B,C1419,Customer_Payments!E:E)</f>
        <v>2993.75</v>
      </c>
      <c r="H1419" s="3">
        <f t="shared" si="66"/>
        <v>0</v>
      </c>
      <c r="I1419" s="29">
        <f t="shared" si="67"/>
        <v>-28</v>
      </c>
      <c r="J1419" s="31" t="str">
        <f t="shared" si="68"/>
        <v>Current</v>
      </c>
      <c r="K1419"/>
    </row>
    <row r="1420" spans="1:11" x14ac:dyDescent="0.3">
      <c r="A1420" s="20" t="s">
        <v>63</v>
      </c>
      <c r="B1420" t="str">
        <f>VLOOKUP(A1420,Customers!A:B,2,FALSE)</f>
        <v>RetailCore</v>
      </c>
      <c r="C1420" s="24" t="s">
        <v>1787</v>
      </c>
      <c r="D1420" s="10">
        <v>46007</v>
      </c>
      <c r="E1420" s="10">
        <v>46037</v>
      </c>
      <c r="F1420" s="4">
        <v>2593.6</v>
      </c>
      <c r="G1420" s="3">
        <f>SUMIF(Customer_Payments!B:B,C1420,Customer_Payments!E:E)</f>
        <v>2593.6</v>
      </c>
      <c r="H1420" s="3">
        <f t="shared" si="66"/>
        <v>0</v>
      </c>
      <c r="I1420" s="29">
        <f t="shared" si="67"/>
        <v>54</v>
      </c>
      <c r="J1420" s="31" t="str">
        <f t="shared" si="68"/>
        <v>31-60</v>
      </c>
      <c r="K1420"/>
    </row>
    <row r="1421" spans="1:11" x14ac:dyDescent="0.3">
      <c r="A1421" s="21" t="s">
        <v>84</v>
      </c>
      <c r="B1421" t="str">
        <f>VLOOKUP(A1421,Customers!A:B,2,FALSE)</f>
        <v>RetailVisionX</v>
      </c>
      <c r="C1421" s="25" t="s">
        <v>1788</v>
      </c>
      <c r="D1421" s="11">
        <v>46010</v>
      </c>
      <c r="E1421" s="11">
        <v>46040</v>
      </c>
      <c r="F1421" s="5">
        <v>5015.2700000000004</v>
      </c>
      <c r="G1421" s="3">
        <f>SUMIF(Customer_Payments!B:B,C1421,Customer_Payments!E:E)</f>
        <v>5015.2700000000004</v>
      </c>
      <c r="H1421" s="3">
        <f t="shared" si="66"/>
        <v>0</v>
      </c>
      <c r="I1421" s="29">
        <f t="shared" si="67"/>
        <v>51</v>
      </c>
      <c r="J1421" s="31" t="str">
        <f t="shared" si="68"/>
        <v>31-60</v>
      </c>
      <c r="K1421"/>
    </row>
    <row r="1422" spans="1:11" x14ac:dyDescent="0.3">
      <c r="A1422" s="20" t="s">
        <v>56</v>
      </c>
      <c r="B1422" t="str">
        <f>VLOOKUP(A1422,Customers!A:B,2,FALSE)</f>
        <v>RetailBoost</v>
      </c>
      <c r="C1422" s="24" t="s">
        <v>1789</v>
      </c>
      <c r="D1422" s="10">
        <v>46063</v>
      </c>
      <c r="E1422" s="10">
        <v>46093</v>
      </c>
      <c r="F1422" s="4">
        <v>1913.01</v>
      </c>
      <c r="G1422" s="3">
        <f>SUMIF(Customer_Payments!B:B,C1422,Customer_Payments!E:E)</f>
        <v>1913.01</v>
      </c>
      <c r="H1422" s="3">
        <f t="shared" si="66"/>
        <v>0</v>
      </c>
      <c r="I1422" s="29">
        <f t="shared" si="67"/>
        <v>-2</v>
      </c>
      <c r="J1422" s="31" t="str">
        <f t="shared" si="68"/>
        <v>Current</v>
      </c>
      <c r="K1422"/>
    </row>
    <row r="1423" spans="1:11" x14ac:dyDescent="0.3">
      <c r="A1423" s="21" t="s">
        <v>108</v>
      </c>
      <c r="B1423" t="str">
        <f>VLOOKUP(A1423,Customers!A:B,2,FALSE)</f>
        <v>RetailNextPro</v>
      </c>
      <c r="C1423" s="25" t="s">
        <v>1790</v>
      </c>
      <c r="D1423" s="11">
        <v>45965</v>
      </c>
      <c r="E1423" s="11">
        <v>45995</v>
      </c>
      <c r="F1423" s="5">
        <v>13598.79</v>
      </c>
      <c r="G1423" s="3">
        <f>SUMIF(Customer_Payments!B:B,C1423,Customer_Payments!E:E)</f>
        <v>13598.79</v>
      </c>
      <c r="H1423" s="3">
        <f t="shared" si="66"/>
        <v>0</v>
      </c>
      <c r="I1423" s="29">
        <f t="shared" si="67"/>
        <v>96</v>
      </c>
      <c r="J1423" s="31" t="str">
        <f t="shared" si="68"/>
        <v>90+</v>
      </c>
      <c r="K1423"/>
    </row>
    <row r="1424" spans="1:11" x14ac:dyDescent="0.3">
      <c r="A1424" s="20" t="s">
        <v>43</v>
      </c>
      <c r="B1424" t="str">
        <f>VLOOKUP(A1424,Customers!A:B,2,FALSE)</f>
        <v>CommerceSpark</v>
      </c>
      <c r="C1424" s="24" t="s">
        <v>1791</v>
      </c>
      <c r="D1424" s="10">
        <v>45965</v>
      </c>
      <c r="E1424" s="10">
        <v>45995</v>
      </c>
      <c r="F1424" s="4">
        <v>13438.82</v>
      </c>
      <c r="G1424" s="3">
        <f>SUMIF(Customer_Payments!B:B,C1424,Customer_Payments!E:E)</f>
        <v>13438.82</v>
      </c>
      <c r="H1424" s="3">
        <f t="shared" si="66"/>
        <v>0</v>
      </c>
      <c r="I1424" s="29">
        <f t="shared" si="67"/>
        <v>96</v>
      </c>
      <c r="J1424" s="31" t="str">
        <f t="shared" si="68"/>
        <v>90+</v>
      </c>
      <c r="K1424"/>
    </row>
    <row r="1425" spans="1:11" x14ac:dyDescent="0.3">
      <c r="A1425" s="21" t="s">
        <v>32</v>
      </c>
      <c r="B1425" t="str">
        <f>VLOOKUP(A1425,Customers!A:B,2,FALSE)</f>
        <v>RetailVista</v>
      </c>
      <c r="C1425" s="25" t="s">
        <v>1792</v>
      </c>
      <c r="D1425" s="11">
        <v>46010</v>
      </c>
      <c r="E1425" s="11">
        <v>46040</v>
      </c>
      <c r="F1425" s="5">
        <v>1979.46</v>
      </c>
      <c r="G1425" s="3">
        <f>SUMIF(Customer_Payments!B:B,C1425,Customer_Payments!E:E)</f>
        <v>1979.46</v>
      </c>
      <c r="H1425" s="3">
        <f t="shared" si="66"/>
        <v>0</v>
      </c>
      <c r="I1425" s="29">
        <f t="shared" si="67"/>
        <v>51</v>
      </c>
      <c r="J1425" s="31" t="str">
        <f t="shared" si="68"/>
        <v>31-60</v>
      </c>
      <c r="K1425"/>
    </row>
    <row r="1426" spans="1:11" x14ac:dyDescent="0.3">
      <c r="A1426" s="20" t="s">
        <v>70</v>
      </c>
      <c r="B1426" t="str">
        <f>VLOOKUP(A1426,Customers!A:B,2,FALSE)</f>
        <v>RetailPath</v>
      </c>
      <c r="C1426" s="24" t="s">
        <v>1793</v>
      </c>
      <c r="D1426" s="10">
        <v>46104</v>
      </c>
      <c r="E1426" s="10">
        <v>46134</v>
      </c>
      <c r="F1426" s="4">
        <v>5211.5</v>
      </c>
      <c r="G1426" s="3">
        <f>SUMIF(Customer_Payments!B:B,C1426,Customer_Payments!E:E)</f>
        <v>0</v>
      </c>
      <c r="H1426" s="3">
        <f t="shared" si="66"/>
        <v>5211.5</v>
      </c>
      <c r="I1426" s="29">
        <f t="shared" si="67"/>
        <v>-43</v>
      </c>
      <c r="J1426" s="31" t="str">
        <f t="shared" si="68"/>
        <v>Current</v>
      </c>
      <c r="K1426"/>
    </row>
    <row r="1427" spans="1:11" x14ac:dyDescent="0.3">
      <c r="A1427" s="21" t="s">
        <v>52</v>
      </c>
      <c r="B1427" t="str">
        <f>VLOOKUP(A1427,Customers!A:B,2,FALSE)</f>
        <v>RetailShift</v>
      </c>
      <c r="C1427" s="25" t="s">
        <v>1794</v>
      </c>
      <c r="D1427" s="11">
        <v>45991</v>
      </c>
      <c r="E1427" s="11">
        <v>46021</v>
      </c>
      <c r="F1427" s="5">
        <v>2234.7199999999998</v>
      </c>
      <c r="G1427" s="3">
        <f>SUMIF(Customer_Payments!B:B,C1427,Customer_Payments!E:E)</f>
        <v>0</v>
      </c>
      <c r="H1427" s="3">
        <f t="shared" si="66"/>
        <v>2234.7199999999998</v>
      </c>
      <c r="I1427" s="29">
        <f t="shared" si="67"/>
        <v>70</v>
      </c>
      <c r="J1427" s="31" t="str">
        <f t="shared" si="68"/>
        <v>61-90</v>
      </c>
      <c r="K1427"/>
    </row>
    <row r="1428" spans="1:11" x14ac:dyDescent="0.3">
      <c r="A1428" s="20" t="s">
        <v>121</v>
      </c>
      <c r="B1428" t="str">
        <f>VLOOKUP(A1428,Customers!A:B,2,FALSE)</f>
        <v>RetailVisionGlobal</v>
      </c>
      <c r="C1428" s="24" t="s">
        <v>1795</v>
      </c>
      <c r="D1428" s="10">
        <v>45968</v>
      </c>
      <c r="E1428" s="10">
        <v>45998</v>
      </c>
      <c r="F1428" s="4">
        <v>2357.04</v>
      </c>
      <c r="G1428" s="3">
        <f>SUMIF(Customer_Payments!B:B,C1428,Customer_Payments!E:E)</f>
        <v>0</v>
      </c>
      <c r="H1428" s="3">
        <f t="shared" si="66"/>
        <v>2357.04</v>
      </c>
      <c r="I1428" s="29">
        <f t="shared" si="67"/>
        <v>93</v>
      </c>
      <c r="J1428" s="31" t="str">
        <f t="shared" si="68"/>
        <v>90+</v>
      </c>
      <c r="K1428"/>
    </row>
    <row r="1429" spans="1:11" x14ac:dyDescent="0.3">
      <c r="A1429" s="21" t="s">
        <v>86</v>
      </c>
      <c r="B1429" t="str">
        <f>VLOOKUP(A1429,Customers!A:B,2,FALSE)</f>
        <v>RetailNextX</v>
      </c>
      <c r="C1429" s="25" t="s">
        <v>1796</v>
      </c>
      <c r="D1429" s="11">
        <v>46088</v>
      </c>
      <c r="E1429" s="11">
        <v>46118</v>
      </c>
      <c r="F1429" s="5">
        <v>2844.76</v>
      </c>
      <c r="G1429" s="3">
        <f>SUMIF(Customer_Payments!B:B,C1429,Customer_Payments!E:E)</f>
        <v>2844.76</v>
      </c>
      <c r="H1429" s="3">
        <f t="shared" si="66"/>
        <v>0</v>
      </c>
      <c r="I1429" s="29">
        <f t="shared" si="67"/>
        <v>-27</v>
      </c>
      <c r="J1429" s="31" t="str">
        <f t="shared" si="68"/>
        <v>Current</v>
      </c>
      <c r="K1429"/>
    </row>
    <row r="1430" spans="1:11" x14ac:dyDescent="0.3">
      <c r="A1430" s="20" t="s">
        <v>50</v>
      </c>
      <c r="B1430" t="str">
        <f>VLOOKUP(A1430,Customers!A:B,2,FALSE)</f>
        <v>RetailNexus</v>
      </c>
      <c r="C1430" s="24" t="s">
        <v>1797</v>
      </c>
      <c r="D1430" s="10">
        <v>46103</v>
      </c>
      <c r="E1430" s="10">
        <v>46133</v>
      </c>
      <c r="F1430" s="4">
        <v>4241.38</v>
      </c>
      <c r="G1430" s="3">
        <f>SUMIF(Customer_Payments!B:B,C1430,Customer_Payments!E:E)</f>
        <v>4241.38</v>
      </c>
      <c r="H1430" s="3">
        <f t="shared" si="66"/>
        <v>0</v>
      </c>
      <c r="I1430" s="29">
        <f t="shared" si="67"/>
        <v>-42</v>
      </c>
      <c r="J1430" s="31" t="str">
        <f t="shared" si="68"/>
        <v>Current</v>
      </c>
      <c r="K1430"/>
    </row>
    <row r="1431" spans="1:11" x14ac:dyDescent="0.3">
      <c r="A1431" s="21" t="s">
        <v>26</v>
      </c>
      <c r="B1431" t="str">
        <f>VLOOKUP(A1431,Customers!A:B,2,FALSE)</f>
        <v>NovaRetail</v>
      </c>
      <c r="C1431" s="25" t="s">
        <v>1798</v>
      </c>
      <c r="D1431" s="11">
        <v>46108</v>
      </c>
      <c r="E1431" s="11">
        <v>46138</v>
      </c>
      <c r="F1431" s="5">
        <v>2769.37</v>
      </c>
      <c r="G1431" s="3">
        <f>SUMIF(Customer_Payments!B:B,C1431,Customer_Payments!E:E)</f>
        <v>2769.37</v>
      </c>
      <c r="H1431" s="3">
        <f t="shared" si="66"/>
        <v>0</v>
      </c>
      <c r="I1431" s="29">
        <f t="shared" si="67"/>
        <v>-47</v>
      </c>
      <c r="J1431" s="31" t="str">
        <f t="shared" si="68"/>
        <v>Current</v>
      </c>
      <c r="K1431"/>
    </row>
    <row r="1432" spans="1:11" x14ac:dyDescent="0.3">
      <c r="A1432" s="20" t="s">
        <v>13</v>
      </c>
      <c r="B1432" t="str">
        <f>VLOOKUP(A1432,Customers!A:B,2,FALSE)</f>
        <v>EduNova</v>
      </c>
      <c r="C1432" s="24" t="s">
        <v>1799</v>
      </c>
      <c r="D1432" s="10">
        <v>46023</v>
      </c>
      <c r="E1432" s="10">
        <v>46053</v>
      </c>
      <c r="F1432" s="4">
        <v>2069.06</v>
      </c>
      <c r="G1432" s="3">
        <f>SUMIF(Customer_Payments!B:B,C1432,Customer_Payments!E:E)</f>
        <v>2069.06</v>
      </c>
      <c r="H1432" s="3">
        <f t="shared" si="66"/>
        <v>0</v>
      </c>
      <c r="I1432" s="29">
        <f t="shared" si="67"/>
        <v>38</v>
      </c>
      <c r="J1432" s="31" t="str">
        <f t="shared" si="68"/>
        <v>31-60</v>
      </c>
      <c r="K1432"/>
    </row>
    <row r="1433" spans="1:11" x14ac:dyDescent="0.3">
      <c r="A1433" s="21" t="s">
        <v>107</v>
      </c>
      <c r="B1433" t="str">
        <f>VLOOKUP(A1433,Customers!A:B,2,FALSE)</f>
        <v>RetailWorksPro</v>
      </c>
      <c r="C1433" s="25" t="s">
        <v>1800</v>
      </c>
      <c r="D1433" s="11">
        <v>46099</v>
      </c>
      <c r="E1433" s="11">
        <v>46129</v>
      </c>
      <c r="F1433" s="5">
        <v>13435.14</v>
      </c>
      <c r="G1433" s="3">
        <f>SUMIF(Customer_Payments!B:B,C1433,Customer_Payments!E:E)</f>
        <v>0</v>
      </c>
      <c r="H1433" s="3">
        <f t="shared" si="66"/>
        <v>13435.14</v>
      </c>
      <c r="I1433" s="29">
        <f t="shared" si="67"/>
        <v>-38</v>
      </c>
      <c r="J1433" s="31" t="str">
        <f t="shared" si="68"/>
        <v>Current</v>
      </c>
      <c r="K1433"/>
    </row>
    <row r="1434" spans="1:11" x14ac:dyDescent="0.3">
      <c r="A1434" s="20" t="s">
        <v>12</v>
      </c>
      <c r="B1434" t="str">
        <f>VLOOKUP(A1434,Customers!A:B,2,FALSE)</f>
        <v>ShopOrbit</v>
      </c>
      <c r="C1434" s="24" t="s">
        <v>1801</v>
      </c>
      <c r="D1434" s="10">
        <v>46086</v>
      </c>
      <c r="E1434" s="10">
        <v>46116</v>
      </c>
      <c r="F1434" s="4">
        <v>3653.52</v>
      </c>
      <c r="G1434" s="3">
        <f>SUMIF(Customer_Payments!B:B,C1434,Customer_Payments!E:E)</f>
        <v>0</v>
      </c>
      <c r="H1434" s="3">
        <f t="shared" si="66"/>
        <v>3653.52</v>
      </c>
      <c r="I1434" s="29">
        <f t="shared" si="67"/>
        <v>-25</v>
      </c>
      <c r="J1434" s="31" t="str">
        <f t="shared" si="68"/>
        <v>Current</v>
      </c>
      <c r="K1434"/>
    </row>
    <row r="1435" spans="1:11" x14ac:dyDescent="0.3">
      <c r="A1435" s="21" t="s">
        <v>123</v>
      </c>
      <c r="B1435" t="str">
        <f>VLOOKUP(A1435,Customers!A:B,2,FALSE)</f>
        <v>RetailFlowGlobal</v>
      </c>
      <c r="C1435" s="25" t="s">
        <v>1802</v>
      </c>
      <c r="D1435" s="11">
        <v>46059</v>
      </c>
      <c r="E1435" s="11">
        <v>46089</v>
      </c>
      <c r="F1435" s="5">
        <v>2947.58</v>
      </c>
      <c r="G1435" s="3">
        <f>SUMIF(Customer_Payments!B:B,C1435,Customer_Payments!E:E)</f>
        <v>0</v>
      </c>
      <c r="H1435" s="3">
        <f t="shared" si="66"/>
        <v>2947.58</v>
      </c>
      <c r="I1435" s="29">
        <f t="shared" si="67"/>
        <v>2</v>
      </c>
      <c r="J1435" s="31" t="str">
        <f t="shared" si="68"/>
        <v>1-30</v>
      </c>
      <c r="K1435"/>
    </row>
    <row r="1436" spans="1:11" x14ac:dyDescent="0.3">
      <c r="A1436" s="20" t="s">
        <v>71</v>
      </c>
      <c r="B1436" t="str">
        <f>VLOOKUP(A1436,Customers!A:B,2,FALSE)</f>
        <v>RetailPulse</v>
      </c>
      <c r="C1436" s="24" t="s">
        <v>1803</v>
      </c>
      <c r="D1436" s="10">
        <v>46015</v>
      </c>
      <c r="E1436" s="10">
        <v>46045</v>
      </c>
      <c r="F1436" s="4">
        <v>2157.0300000000002</v>
      </c>
      <c r="G1436" s="3">
        <f>SUMIF(Customer_Payments!B:B,C1436,Customer_Payments!E:E)</f>
        <v>2157.0300000000002</v>
      </c>
      <c r="H1436" s="3">
        <f t="shared" si="66"/>
        <v>0</v>
      </c>
      <c r="I1436" s="29">
        <f t="shared" si="67"/>
        <v>46</v>
      </c>
      <c r="J1436" s="31" t="str">
        <f t="shared" si="68"/>
        <v>31-60</v>
      </c>
      <c r="K1436"/>
    </row>
    <row r="1437" spans="1:11" x14ac:dyDescent="0.3">
      <c r="A1437" s="21" t="s">
        <v>49</v>
      </c>
      <c r="B1437" t="str">
        <f>VLOOKUP(A1437,Customers!A:B,2,FALSE)</f>
        <v>CommercePilot</v>
      </c>
      <c r="C1437" s="25" t="s">
        <v>1804</v>
      </c>
      <c r="D1437" s="11">
        <v>46043</v>
      </c>
      <c r="E1437" s="11">
        <v>46073</v>
      </c>
      <c r="F1437" s="5">
        <v>13116.25</v>
      </c>
      <c r="G1437" s="3">
        <f>SUMIF(Customer_Payments!B:B,C1437,Customer_Payments!E:E)</f>
        <v>13116.25</v>
      </c>
      <c r="H1437" s="3">
        <f t="shared" si="66"/>
        <v>0</v>
      </c>
      <c r="I1437" s="29">
        <f t="shared" si="67"/>
        <v>18</v>
      </c>
      <c r="J1437" s="31" t="str">
        <f t="shared" si="68"/>
        <v>1-30</v>
      </c>
      <c r="K1437"/>
    </row>
    <row r="1438" spans="1:11" x14ac:dyDescent="0.3">
      <c r="A1438" s="20" t="s">
        <v>105</v>
      </c>
      <c r="B1438" t="str">
        <f>VLOOKUP(A1438,Customers!A:B,2,FALSE)</f>
        <v>RetailFlowPro</v>
      </c>
      <c r="C1438" s="24" t="s">
        <v>1805</v>
      </c>
      <c r="D1438" s="10">
        <v>46057</v>
      </c>
      <c r="E1438" s="10">
        <v>46087</v>
      </c>
      <c r="F1438" s="4">
        <v>4245.97</v>
      </c>
      <c r="G1438" s="3">
        <f>SUMIF(Customer_Payments!B:B,C1438,Customer_Payments!E:E)</f>
        <v>0</v>
      </c>
      <c r="H1438" s="3">
        <f t="shared" si="66"/>
        <v>4245.97</v>
      </c>
      <c r="I1438" s="29">
        <f t="shared" si="67"/>
        <v>4</v>
      </c>
      <c r="J1438" s="31" t="str">
        <f t="shared" si="68"/>
        <v>1-30</v>
      </c>
      <c r="K1438"/>
    </row>
    <row r="1439" spans="1:11" x14ac:dyDescent="0.3">
      <c r="A1439" s="21" t="s">
        <v>71</v>
      </c>
      <c r="B1439" t="str">
        <f>VLOOKUP(A1439,Customers!A:B,2,FALSE)</f>
        <v>RetailPulse</v>
      </c>
      <c r="C1439" s="25" t="s">
        <v>1806</v>
      </c>
      <c r="D1439" s="11">
        <v>46093</v>
      </c>
      <c r="E1439" s="11">
        <v>46123</v>
      </c>
      <c r="F1439" s="5">
        <v>2694.38</v>
      </c>
      <c r="G1439" s="3">
        <f>SUMIF(Customer_Payments!B:B,C1439,Customer_Payments!E:E)</f>
        <v>2694.38</v>
      </c>
      <c r="H1439" s="3">
        <f t="shared" si="66"/>
        <v>0</v>
      </c>
      <c r="I1439" s="29">
        <f t="shared" si="67"/>
        <v>-32</v>
      </c>
      <c r="J1439" s="31" t="str">
        <f t="shared" si="68"/>
        <v>Current</v>
      </c>
      <c r="K1439"/>
    </row>
    <row r="1440" spans="1:11" x14ac:dyDescent="0.3">
      <c r="A1440" s="20" t="s">
        <v>53</v>
      </c>
      <c r="B1440" t="str">
        <f>VLOOKUP(A1440,Customers!A:B,2,FALSE)</f>
        <v>PrimeCart</v>
      </c>
      <c r="C1440" s="24" t="s">
        <v>1807</v>
      </c>
      <c r="D1440" s="10">
        <v>46103</v>
      </c>
      <c r="E1440" s="10">
        <v>46133</v>
      </c>
      <c r="F1440" s="4">
        <v>4170.47</v>
      </c>
      <c r="G1440" s="3">
        <f>SUMIF(Customer_Payments!B:B,C1440,Customer_Payments!E:E)</f>
        <v>0</v>
      </c>
      <c r="H1440" s="3">
        <f t="shared" si="66"/>
        <v>4170.47</v>
      </c>
      <c r="I1440" s="29">
        <f t="shared" si="67"/>
        <v>-42</v>
      </c>
      <c r="J1440" s="31" t="str">
        <f t="shared" si="68"/>
        <v>Current</v>
      </c>
      <c r="K1440"/>
    </row>
    <row r="1441" spans="1:11" x14ac:dyDescent="0.3">
      <c r="A1441" s="21" t="s">
        <v>36</v>
      </c>
      <c r="B1441" t="str">
        <f>VLOOKUP(A1441,Customers!A:B,2,FALSE)</f>
        <v>RapidMarket</v>
      </c>
      <c r="C1441" s="25" t="s">
        <v>1808</v>
      </c>
      <c r="D1441" s="11">
        <v>46021</v>
      </c>
      <c r="E1441" s="11">
        <v>46051</v>
      </c>
      <c r="F1441" s="5">
        <v>1918.8</v>
      </c>
      <c r="G1441" s="3">
        <f>SUMIF(Customer_Payments!B:B,C1441,Customer_Payments!E:E)</f>
        <v>1918.8</v>
      </c>
      <c r="H1441" s="3">
        <f t="shared" si="66"/>
        <v>0</v>
      </c>
      <c r="I1441" s="29">
        <f t="shared" si="67"/>
        <v>40</v>
      </c>
      <c r="J1441" s="31" t="str">
        <f t="shared" si="68"/>
        <v>31-60</v>
      </c>
      <c r="K1441"/>
    </row>
    <row r="1442" spans="1:11" x14ac:dyDescent="0.3">
      <c r="A1442" s="20" t="s">
        <v>116</v>
      </c>
      <c r="B1442" t="str">
        <f>VLOOKUP(A1442,Customers!A:B,2,FALSE)</f>
        <v>RetailLabsPro</v>
      </c>
      <c r="C1442" s="24" t="s">
        <v>1809</v>
      </c>
      <c r="D1442" s="10">
        <v>46081</v>
      </c>
      <c r="E1442" s="10">
        <v>46111</v>
      </c>
      <c r="F1442" s="4">
        <v>5603.54</v>
      </c>
      <c r="G1442" s="3">
        <f>SUMIF(Customer_Payments!B:B,C1442,Customer_Payments!E:E)</f>
        <v>0</v>
      </c>
      <c r="H1442" s="3">
        <f t="shared" si="66"/>
        <v>5603.54</v>
      </c>
      <c r="I1442" s="29">
        <f t="shared" si="67"/>
        <v>-20</v>
      </c>
      <c r="J1442" s="31" t="str">
        <f t="shared" si="68"/>
        <v>Current</v>
      </c>
      <c r="K1442"/>
    </row>
    <row r="1443" spans="1:11" x14ac:dyDescent="0.3">
      <c r="A1443" s="21" t="s">
        <v>105</v>
      </c>
      <c r="B1443" t="str">
        <f>VLOOKUP(A1443,Customers!A:B,2,FALSE)</f>
        <v>RetailFlowPro</v>
      </c>
      <c r="C1443" s="25" t="s">
        <v>1810</v>
      </c>
      <c r="D1443" s="11">
        <v>46038</v>
      </c>
      <c r="E1443" s="11">
        <v>46068</v>
      </c>
      <c r="F1443" s="5">
        <v>3912.45</v>
      </c>
      <c r="G1443" s="3">
        <f>SUMIF(Customer_Payments!B:B,C1443,Customer_Payments!E:E)</f>
        <v>3912.45</v>
      </c>
      <c r="H1443" s="3">
        <f t="shared" si="66"/>
        <v>0</v>
      </c>
      <c r="I1443" s="29">
        <f t="shared" si="67"/>
        <v>23</v>
      </c>
      <c r="J1443" s="31" t="str">
        <f t="shared" si="68"/>
        <v>1-30</v>
      </c>
      <c r="K1443"/>
    </row>
    <row r="1444" spans="1:11" x14ac:dyDescent="0.3">
      <c r="A1444" s="20" t="s">
        <v>47</v>
      </c>
      <c r="B1444" t="str">
        <f>VLOOKUP(A1444,Customers!A:B,2,FALSE)</f>
        <v>SmartRetail</v>
      </c>
      <c r="C1444" s="24" t="s">
        <v>1811</v>
      </c>
      <c r="D1444" s="10">
        <v>45998</v>
      </c>
      <c r="E1444" s="10">
        <v>46028</v>
      </c>
      <c r="F1444" s="4">
        <v>3261.15</v>
      </c>
      <c r="G1444" s="3">
        <f>SUMIF(Customer_Payments!B:B,C1444,Customer_Payments!E:E)</f>
        <v>3261.15</v>
      </c>
      <c r="H1444" s="3">
        <f t="shared" si="66"/>
        <v>0</v>
      </c>
      <c r="I1444" s="29">
        <f t="shared" si="67"/>
        <v>63</v>
      </c>
      <c r="J1444" s="31" t="str">
        <f t="shared" si="68"/>
        <v>61-90</v>
      </c>
      <c r="K1444"/>
    </row>
    <row r="1445" spans="1:11" x14ac:dyDescent="0.3">
      <c r="A1445" s="21" t="s">
        <v>104</v>
      </c>
      <c r="B1445" t="str">
        <f>VLOOKUP(A1445,Customers!A:B,2,FALSE)</f>
        <v>RetailCorePro</v>
      </c>
      <c r="C1445" s="25" t="s">
        <v>1812</v>
      </c>
      <c r="D1445" s="11">
        <v>46081</v>
      </c>
      <c r="E1445" s="11">
        <v>46111</v>
      </c>
      <c r="F1445" s="5">
        <v>14313.34</v>
      </c>
      <c r="G1445" s="3">
        <f>SUMIF(Customer_Payments!B:B,C1445,Customer_Payments!E:E)</f>
        <v>14313.34</v>
      </c>
      <c r="H1445" s="3">
        <f t="shared" si="66"/>
        <v>0</v>
      </c>
      <c r="I1445" s="29">
        <f t="shared" si="67"/>
        <v>-20</v>
      </c>
      <c r="J1445" s="31" t="str">
        <f t="shared" si="68"/>
        <v>Current</v>
      </c>
      <c r="K1445"/>
    </row>
    <row r="1446" spans="1:11" x14ac:dyDescent="0.3">
      <c r="A1446" s="20" t="s">
        <v>14</v>
      </c>
      <c r="B1446" t="str">
        <f>VLOOKUP(A1446,Customers!A:B,2,FALSE)</f>
        <v>MarketPulse</v>
      </c>
      <c r="C1446" s="24" t="s">
        <v>1813</v>
      </c>
      <c r="D1446" s="10">
        <v>46027</v>
      </c>
      <c r="E1446" s="10">
        <v>46057</v>
      </c>
      <c r="F1446" s="4">
        <v>3192.21</v>
      </c>
      <c r="G1446" s="3">
        <f>SUMIF(Customer_Payments!B:B,C1446,Customer_Payments!E:E)</f>
        <v>0</v>
      </c>
      <c r="H1446" s="3">
        <f t="shared" si="66"/>
        <v>3192.21</v>
      </c>
      <c r="I1446" s="29">
        <f t="shared" si="67"/>
        <v>34</v>
      </c>
      <c r="J1446" s="31" t="str">
        <f t="shared" si="68"/>
        <v>31-60</v>
      </c>
      <c r="K1446"/>
    </row>
    <row r="1447" spans="1:11" x14ac:dyDescent="0.3">
      <c r="A1447" s="21" t="s">
        <v>44</v>
      </c>
      <c r="B1447" t="str">
        <f>VLOOKUP(A1447,Customers!A:B,2,FALSE)</f>
        <v>BrightMarket</v>
      </c>
      <c r="C1447" s="25" t="s">
        <v>1814</v>
      </c>
      <c r="D1447" s="11">
        <v>45985</v>
      </c>
      <c r="E1447" s="11">
        <v>46015</v>
      </c>
      <c r="F1447" s="5">
        <v>2145.63</v>
      </c>
      <c r="G1447" s="3">
        <f>SUMIF(Customer_Payments!B:B,C1447,Customer_Payments!E:E)</f>
        <v>0</v>
      </c>
      <c r="H1447" s="3">
        <f t="shared" si="66"/>
        <v>2145.63</v>
      </c>
      <c r="I1447" s="29">
        <f t="shared" si="67"/>
        <v>76</v>
      </c>
      <c r="J1447" s="31" t="str">
        <f t="shared" si="68"/>
        <v>61-90</v>
      </c>
      <c r="K1447"/>
    </row>
    <row r="1448" spans="1:11" x14ac:dyDescent="0.3">
      <c r="A1448" s="20" t="s">
        <v>45</v>
      </c>
      <c r="B1448" t="str">
        <f>VLOOKUP(A1448,Customers!A:B,2,FALSE)</f>
        <v>EdgeRetail</v>
      </c>
      <c r="C1448" s="24" t="s">
        <v>1815</v>
      </c>
      <c r="D1448" s="10">
        <v>46080</v>
      </c>
      <c r="E1448" s="10">
        <v>46110</v>
      </c>
      <c r="F1448" s="4">
        <v>11529.61</v>
      </c>
      <c r="G1448" s="3">
        <f>SUMIF(Customer_Payments!B:B,C1448,Customer_Payments!E:E)</f>
        <v>11529.61</v>
      </c>
      <c r="H1448" s="3">
        <f t="shared" si="66"/>
        <v>0</v>
      </c>
      <c r="I1448" s="29">
        <f t="shared" si="67"/>
        <v>-19</v>
      </c>
      <c r="J1448" s="31" t="str">
        <f t="shared" si="68"/>
        <v>Current</v>
      </c>
      <c r="K1448"/>
    </row>
    <row r="1449" spans="1:11" x14ac:dyDescent="0.3">
      <c r="A1449" s="21" t="s">
        <v>122</v>
      </c>
      <c r="B1449" t="str">
        <f>VLOOKUP(A1449,Customers!A:B,2,FALSE)</f>
        <v>RetailCoreGlobal</v>
      </c>
      <c r="C1449" s="25" t="s">
        <v>1816</v>
      </c>
      <c r="D1449" s="11">
        <v>46025</v>
      </c>
      <c r="E1449" s="11">
        <v>46055</v>
      </c>
      <c r="F1449" s="5">
        <v>1974.74</v>
      </c>
      <c r="G1449" s="3">
        <f>SUMIF(Customer_Payments!B:B,C1449,Customer_Payments!E:E)</f>
        <v>0</v>
      </c>
      <c r="H1449" s="3">
        <f t="shared" si="66"/>
        <v>1974.74</v>
      </c>
      <c r="I1449" s="29">
        <f t="shared" si="67"/>
        <v>36</v>
      </c>
      <c r="J1449" s="31" t="str">
        <f t="shared" si="68"/>
        <v>31-60</v>
      </c>
      <c r="K1449"/>
    </row>
    <row r="1450" spans="1:11" x14ac:dyDescent="0.3">
      <c r="A1450" s="20" t="s">
        <v>89</v>
      </c>
      <c r="B1450" t="str">
        <f>VLOOKUP(A1450,Customers!A:B,2,FALSE)</f>
        <v>RetailAxisX</v>
      </c>
      <c r="C1450" s="24" t="s">
        <v>1817</v>
      </c>
      <c r="D1450" s="10">
        <v>46099</v>
      </c>
      <c r="E1450" s="10">
        <v>46129</v>
      </c>
      <c r="F1450" s="4">
        <v>3654.56</v>
      </c>
      <c r="G1450" s="3">
        <f>SUMIF(Customer_Payments!B:B,C1450,Customer_Payments!E:E)</f>
        <v>3654.56</v>
      </c>
      <c r="H1450" s="3">
        <f t="shared" si="66"/>
        <v>0</v>
      </c>
      <c r="I1450" s="29">
        <f t="shared" si="67"/>
        <v>-38</v>
      </c>
      <c r="J1450" s="31" t="str">
        <f t="shared" si="68"/>
        <v>Current</v>
      </c>
      <c r="K1450"/>
    </row>
    <row r="1451" spans="1:11" x14ac:dyDescent="0.3">
      <c r="A1451" s="21" t="s">
        <v>96</v>
      </c>
      <c r="B1451" t="str">
        <f>VLOOKUP(A1451,Customers!A:B,2,FALSE)</f>
        <v>RetailLabs</v>
      </c>
      <c r="C1451" s="25" t="s">
        <v>1818</v>
      </c>
      <c r="D1451" s="11">
        <v>46073</v>
      </c>
      <c r="E1451" s="11">
        <v>46103</v>
      </c>
      <c r="F1451" s="5">
        <v>5775.16</v>
      </c>
      <c r="G1451" s="3">
        <f>SUMIF(Customer_Payments!B:B,C1451,Customer_Payments!E:E)</f>
        <v>5775.16</v>
      </c>
      <c r="H1451" s="3">
        <f t="shared" si="66"/>
        <v>0</v>
      </c>
      <c r="I1451" s="29">
        <f t="shared" si="67"/>
        <v>-12</v>
      </c>
      <c r="J1451" s="31" t="str">
        <f t="shared" si="68"/>
        <v>Current</v>
      </c>
      <c r="K1451"/>
    </row>
    <row r="1452" spans="1:11" x14ac:dyDescent="0.3">
      <c r="A1452" s="20" t="s">
        <v>32</v>
      </c>
      <c r="B1452" t="str">
        <f>VLOOKUP(A1452,Customers!A:B,2,FALSE)</f>
        <v>RetailVista</v>
      </c>
      <c r="C1452" s="24" t="s">
        <v>1819</v>
      </c>
      <c r="D1452" s="10">
        <v>45977</v>
      </c>
      <c r="E1452" s="10">
        <v>46007</v>
      </c>
      <c r="F1452" s="4">
        <v>2887.67</v>
      </c>
      <c r="G1452" s="3">
        <f>SUMIF(Customer_Payments!B:B,C1452,Customer_Payments!E:E)</f>
        <v>2887.67</v>
      </c>
      <c r="H1452" s="3">
        <f t="shared" si="66"/>
        <v>0</v>
      </c>
      <c r="I1452" s="29">
        <f t="shared" si="67"/>
        <v>84</v>
      </c>
      <c r="J1452" s="31" t="str">
        <f t="shared" si="68"/>
        <v>61-90</v>
      </c>
      <c r="K1452"/>
    </row>
    <row r="1453" spans="1:11" x14ac:dyDescent="0.3">
      <c r="A1453" s="21" t="s">
        <v>99</v>
      </c>
      <c r="B1453" t="str">
        <f>VLOOKUP(A1453,Customers!A:B,2,FALSE)</f>
        <v>RetailNovaPro</v>
      </c>
      <c r="C1453" s="25" t="s">
        <v>1820</v>
      </c>
      <c r="D1453" s="11">
        <v>45981</v>
      </c>
      <c r="E1453" s="11">
        <v>46011</v>
      </c>
      <c r="F1453" s="5">
        <v>2084.2800000000002</v>
      </c>
      <c r="G1453" s="3">
        <f>SUMIF(Customer_Payments!B:B,C1453,Customer_Payments!E:E)</f>
        <v>2084.2800000000002</v>
      </c>
      <c r="H1453" s="3">
        <f t="shared" si="66"/>
        <v>0</v>
      </c>
      <c r="I1453" s="29">
        <f t="shared" si="67"/>
        <v>80</v>
      </c>
      <c r="J1453" s="31" t="str">
        <f t="shared" si="68"/>
        <v>61-90</v>
      </c>
      <c r="K1453"/>
    </row>
    <row r="1454" spans="1:11" x14ac:dyDescent="0.3">
      <c r="A1454" s="20" t="s">
        <v>18</v>
      </c>
      <c r="B1454" t="str">
        <f>VLOOKUP(A1454,Customers!A:B,2,FALSE)</f>
        <v>BluePeak Systems</v>
      </c>
      <c r="C1454" s="24" t="s">
        <v>1821</v>
      </c>
      <c r="D1454" s="10">
        <v>46009</v>
      </c>
      <c r="E1454" s="10">
        <v>46039</v>
      </c>
      <c r="F1454" s="4">
        <v>2073.5100000000002</v>
      </c>
      <c r="G1454" s="3">
        <f>SUMIF(Customer_Payments!B:B,C1454,Customer_Payments!E:E)</f>
        <v>2073.5100000000002</v>
      </c>
      <c r="H1454" s="3">
        <f t="shared" si="66"/>
        <v>0</v>
      </c>
      <c r="I1454" s="29">
        <f t="shared" si="67"/>
        <v>52</v>
      </c>
      <c r="J1454" s="31" t="str">
        <f t="shared" si="68"/>
        <v>31-60</v>
      </c>
      <c r="K1454"/>
    </row>
    <row r="1455" spans="1:11" x14ac:dyDescent="0.3">
      <c r="A1455" s="21" t="s">
        <v>27</v>
      </c>
      <c r="B1455" t="str">
        <f>VLOOKUP(A1455,Customers!A:B,2,FALSE)</f>
        <v>Skyline Commerce</v>
      </c>
      <c r="C1455" s="25" t="s">
        <v>1822</v>
      </c>
      <c r="D1455" s="11">
        <v>46107</v>
      </c>
      <c r="E1455" s="11">
        <v>46137</v>
      </c>
      <c r="F1455" s="5">
        <v>3572.5</v>
      </c>
      <c r="G1455" s="3">
        <f>SUMIF(Customer_Payments!B:B,C1455,Customer_Payments!E:E)</f>
        <v>0</v>
      </c>
      <c r="H1455" s="3">
        <f t="shared" si="66"/>
        <v>3572.5</v>
      </c>
      <c r="I1455" s="29">
        <f t="shared" si="67"/>
        <v>-46</v>
      </c>
      <c r="J1455" s="31" t="str">
        <f t="shared" si="68"/>
        <v>Current</v>
      </c>
      <c r="K1455"/>
    </row>
    <row r="1456" spans="1:11" x14ac:dyDescent="0.3">
      <c r="A1456" s="20" t="s">
        <v>37</v>
      </c>
      <c r="B1456" t="str">
        <f>VLOOKUP(A1456,Customers!A:B,2,FALSE)</f>
        <v>SmartCart</v>
      </c>
      <c r="C1456" s="24" t="s">
        <v>1823</v>
      </c>
      <c r="D1456" s="10">
        <v>45992</v>
      </c>
      <c r="E1456" s="10">
        <v>46022</v>
      </c>
      <c r="F1456" s="4">
        <v>2433.4699999999998</v>
      </c>
      <c r="G1456" s="3">
        <f>SUMIF(Customer_Payments!B:B,C1456,Customer_Payments!E:E)</f>
        <v>2433.4699999999998</v>
      </c>
      <c r="H1456" s="3">
        <f t="shared" si="66"/>
        <v>0</v>
      </c>
      <c r="I1456" s="29">
        <f t="shared" si="67"/>
        <v>69</v>
      </c>
      <c r="J1456" s="31" t="str">
        <f t="shared" si="68"/>
        <v>61-90</v>
      </c>
      <c r="K1456"/>
    </row>
    <row r="1457" spans="1:11" x14ac:dyDescent="0.3">
      <c r="A1457" s="21" t="s">
        <v>114</v>
      </c>
      <c r="B1457" t="str">
        <f>VLOOKUP(A1457,Customers!A:B,2,FALSE)</f>
        <v>RetailScalePro</v>
      </c>
      <c r="C1457" s="25" t="s">
        <v>1824</v>
      </c>
      <c r="D1457" s="11">
        <v>46036</v>
      </c>
      <c r="E1457" s="11">
        <v>46066</v>
      </c>
      <c r="F1457" s="5">
        <v>2726.51</v>
      </c>
      <c r="G1457" s="3">
        <f>SUMIF(Customer_Payments!B:B,C1457,Customer_Payments!E:E)</f>
        <v>2726.51</v>
      </c>
      <c r="H1457" s="3">
        <f t="shared" si="66"/>
        <v>0</v>
      </c>
      <c r="I1457" s="29">
        <f t="shared" si="67"/>
        <v>25</v>
      </c>
      <c r="J1457" s="31" t="str">
        <f t="shared" si="68"/>
        <v>1-30</v>
      </c>
      <c r="K1457"/>
    </row>
    <row r="1458" spans="1:11" x14ac:dyDescent="0.3">
      <c r="A1458" s="20" t="s">
        <v>103</v>
      </c>
      <c r="B1458" t="str">
        <f>VLOOKUP(A1458,Customers!A:B,2,FALSE)</f>
        <v>RetailVisionPro</v>
      </c>
      <c r="C1458" s="24" t="s">
        <v>1825</v>
      </c>
      <c r="D1458" s="10">
        <v>45987</v>
      </c>
      <c r="E1458" s="10">
        <v>46017</v>
      </c>
      <c r="F1458" s="4">
        <v>2259.7600000000002</v>
      </c>
      <c r="G1458" s="3">
        <f>SUMIF(Customer_Payments!B:B,C1458,Customer_Payments!E:E)</f>
        <v>2259.7600000000002</v>
      </c>
      <c r="H1458" s="3">
        <f t="shared" si="66"/>
        <v>0</v>
      </c>
      <c r="I1458" s="29">
        <f t="shared" si="67"/>
        <v>74</v>
      </c>
      <c r="J1458" s="31" t="str">
        <f t="shared" si="68"/>
        <v>61-90</v>
      </c>
      <c r="K1458"/>
    </row>
    <row r="1459" spans="1:11" x14ac:dyDescent="0.3">
      <c r="A1459" s="21" t="s">
        <v>7</v>
      </c>
      <c r="B1459" t="str">
        <f>VLOOKUP(A1459,Customers!A:B,2,FALSE)</f>
        <v>BrightCart</v>
      </c>
      <c r="C1459" s="25" t="s">
        <v>1826</v>
      </c>
      <c r="D1459" s="11">
        <v>45996</v>
      </c>
      <c r="E1459" s="11">
        <v>46026</v>
      </c>
      <c r="F1459" s="5">
        <v>2117.77</v>
      </c>
      <c r="G1459" s="3">
        <f>SUMIF(Customer_Payments!B:B,C1459,Customer_Payments!E:E)</f>
        <v>2117.77</v>
      </c>
      <c r="H1459" s="3">
        <f t="shared" si="66"/>
        <v>0</v>
      </c>
      <c r="I1459" s="29">
        <f t="shared" si="67"/>
        <v>65</v>
      </c>
      <c r="J1459" s="31" t="str">
        <f t="shared" si="68"/>
        <v>61-90</v>
      </c>
      <c r="K1459"/>
    </row>
    <row r="1460" spans="1:11" x14ac:dyDescent="0.3">
      <c r="A1460" s="20" t="s">
        <v>79</v>
      </c>
      <c r="B1460" t="str">
        <f>VLOOKUP(A1460,Customers!A:B,2,FALSE)</f>
        <v>RetailBoostX</v>
      </c>
      <c r="C1460" s="24" t="s">
        <v>1827</v>
      </c>
      <c r="D1460" s="10">
        <v>46078</v>
      </c>
      <c r="E1460" s="10">
        <v>46108</v>
      </c>
      <c r="F1460" s="4">
        <v>11227.11</v>
      </c>
      <c r="G1460" s="3">
        <f>SUMIF(Customer_Payments!B:B,C1460,Customer_Payments!E:E)</f>
        <v>0</v>
      </c>
      <c r="H1460" s="3">
        <f t="shared" si="66"/>
        <v>11227.11</v>
      </c>
      <c r="I1460" s="29">
        <f t="shared" si="67"/>
        <v>-17</v>
      </c>
      <c r="J1460" s="31" t="str">
        <f t="shared" si="68"/>
        <v>Current</v>
      </c>
      <c r="K1460"/>
    </row>
    <row r="1461" spans="1:11" x14ac:dyDescent="0.3">
      <c r="A1461" s="21" t="s">
        <v>83</v>
      </c>
      <c r="B1461" t="str">
        <f>VLOOKUP(A1461,Customers!A:B,2,FALSE)</f>
        <v>RetailCoreX</v>
      </c>
      <c r="C1461" s="25" t="s">
        <v>1828</v>
      </c>
      <c r="D1461" s="11">
        <v>46069</v>
      </c>
      <c r="E1461" s="11">
        <v>46099</v>
      </c>
      <c r="F1461" s="5">
        <v>2083.92</v>
      </c>
      <c r="G1461" s="3">
        <f>SUMIF(Customer_Payments!B:B,C1461,Customer_Payments!E:E)</f>
        <v>2083.92</v>
      </c>
      <c r="H1461" s="3">
        <f t="shared" si="66"/>
        <v>0</v>
      </c>
      <c r="I1461" s="29">
        <f t="shared" si="67"/>
        <v>-8</v>
      </c>
      <c r="J1461" s="31" t="str">
        <f t="shared" si="68"/>
        <v>Current</v>
      </c>
      <c r="K1461"/>
    </row>
    <row r="1462" spans="1:11" x14ac:dyDescent="0.3">
      <c r="A1462" s="20" t="s">
        <v>98</v>
      </c>
      <c r="B1462" t="str">
        <f>VLOOKUP(A1462,Customers!A:B,2,FALSE)</f>
        <v>RetailEdgePro</v>
      </c>
      <c r="C1462" s="24" t="s">
        <v>1829</v>
      </c>
      <c r="D1462" s="10">
        <v>46075</v>
      </c>
      <c r="E1462" s="10">
        <v>46105</v>
      </c>
      <c r="F1462" s="4">
        <v>4700.67</v>
      </c>
      <c r="G1462" s="3">
        <f>SUMIF(Customer_Payments!B:B,C1462,Customer_Payments!E:E)</f>
        <v>0</v>
      </c>
      <c r="H1462" s="3">
        <f t="shared" si="66"/>
        <v>4700.67</v>
      </c>
      <c r="I1462" s="29">
        <f t="shared" si="67"/>
        <v>-14</v>
      </c>
      <c r="J1462" s="31" t="str">
        <f t="shared" si="68"/>
        <v>Current</v>
      </c>
      <c r="K1462"/>
    </row>
    <row r="1463" spans="1:11" x14ac:dyDescent="0.3">
      <c r="A1463" s="21" t="s">
        <v>38</v>
      </c>
      <c r="B1463" t="str">
        <f>VLOOKUP(A1463,Customers!A:B,2,FALSE)</f>
        <v>RetailForge</v>
      </c>
      <c r="C1463" s="25" t="s">
        <v>1830</v>
      </c>
      <c r="D1463" s="11">
        <v>45985</v>
      </c>
      <c r="E1463" s="11">
        <v>46015</v>
      </c>
      <c r="F1463" s="5">
        <v>3741.41</v>
      </c>
      <c r="G1463" s="3">
        <f>SUMIF(Customer_Payments!B:B,C1463,Customer_Payments!E:E)</f>
        <v>3741.41</v>
      </c>
      <c r="H1463" s="3">
        <f t="shared" si="66"/>
        <v>0</v>
      </c>
      <c r="I1463" s="29">
        <f t="shared" si="67"/>
        <v>76</v>
      </c>
      <c r="J1463" s="31" t="str">
        <f t="shared" si="68"/>
        <v>61-90</v>
      </c>
      <c r="K1463"/>
    </row>
    <row r="1464" spans="1:11" x14ac:dyDescent="0.3">
      <c r="A1464" s="20" t="s">
        <v>53</v>
      </c>
      <c r="B1464" t="str">
        <f>VLOOKUP(A1464,Customers!A:B,2,FALSE)</f>
        <v>PrimeCart</v>
      </c>
      <c r="C1464" s="24" t="s">
        <v>1831</v>
      </c>
      <c r="D1464" s="10">
        <v>46105</v>
      </c>
      <c r="E1464" s="10">
        <v>46135</v>
      </c>
      <c r="F1464" s="4">
        <v>2793.42</v>
      </c>
      <c r="G1464" s="3">
        <f>SUMIF(Customer_Payments!B:B,C1464,Customer_Payments!E:E)</f>
        <v>0</v>
      </c>
      <c r="H1464" s="3">
        <f t="shared" si="66"/>
        <v>2793.42</v>
      </c>
      <c r="I1464" s="29">
        <f t="shared" si="67"/>
        <v>-44</v>
      </c>
      <c r="J1464" s="31" t="str">
        <f t="shared" si="68"/>
        <v>Current</v>
      </c>
      <c r="K1464"/>
    </row>
    <row r="1465" spans="1:11" x14ac:dyDescent="0.3">
      <c r="A1465" s="21" t="s">
        <v>17</v>
      </c>
      <c r="B1465" t="str">
        <f>VLOOKUP(A1465,Customers!A:B,2,FALSE)</f>
        <v>AlphaCommerce</v>
      </c>
      <c r="C1465" s="25" t="s">
        <v>1832</v>
      </c>
      <c r="D1465" s="11">
        <v>46051</v>
      </c>
      <c r="E1465" s="11">
        <v>46081</v>
      </c>
      <c r="F1465" s="5">
        <v>10070.34</v>
      </c>
      <c r="G1465" s="3">
        <f>SUMIF(Customer_Payments!B:B,C1465,Customer_Payments!E:E)</f>
        <v>0</v>
      </c>
      <c r="H1465" s="3">
        <f t="shared" si="66"/>
        <v>10070.34</v>
      </c>
      <c r="I1465" s="29">
        <f t="shared" si="67"/>
        <v>10</v>
      </c>
      <c r="J1465" s="31" t="str">
        <f t="shared" si="68"/>
        <v>1-30</v>
      </c>
      <c r="K1465"/>
    </row>
    <row r="1466" spans="1:11" x14ac:dyDescent="0.3">
      <c r="A1466" s="20" t="s">
        <v>64</v>
      </c>
      <c r="B1466" t="str">
        <f>VLOOKUP(A1466,Customers!A:B,2,FALSE)</f>
        <v>MarketScale</v>
      </c>
      <c r="C1466" s="24" t="s">
        <v>1833</v>
      </c>
      <c r="D1466" s="10">
        <v>46014</v>
      </c>
      <c r="E1466" s="10">
        <v>46044</v>
      </c>
      <c r="F1466" s="4">
        <v>2474.63</v>
      </c>
      <c r="G1466" s="3">
        <f>SUMIF(Customer_Payments!B:B,C1466,Customer_Payments!E:E)</f>
        <v>2474.63</v>
      </c>
      <c r="H1466" s="3">
        <f t="shared" si="66"/>
        <v>0</v>
      </c>
      <c r="I1466" s="29">
        <f t="shared" si="67"/>
        <v>47</v>
      </c>
      <c r="J1466" s="31" t="str">
        <f t="shared" si="68"/>
        <v>31-60</v>
      </c>
      <c r="K1466"/>
    </row>
    <row r="1467" spans="1:11" x14ac:dyDescent="0.3">
      <c r="A1467" s="21" t="s">
        <v>73</v>
      </c>
      <c r="B1467" t="str">
        <f>VLOOKUP(A1467,Customers!A:B,2,FALSE)</f>
        <v>RetailWave</v>
      </c>
      <c r="C1467" s="25" t="s">
        <v>1834</v>
      </c>
      <c r="D1467" s="11">
        <v>45982</v>
      </c>
      <c r="E1467" s="11">
        <v>46012</v>
      </c>
      <c r="F1467" s="5">
        <v>2843.15</v>
      </c>
      <c r="G1467" s="3">
        <f>SUMIF(Customer_Payments!B:B,C1467,Customer_Payments!E:E)</f>
        <v>2843.15</v>
      </c>
      <c r="H1467" s="3">
        <f t="shared" si="66"/>
        <v>0</v>
      </c>
      <c r="I1467" s="29">
        <f t="shared" si="67"/>
        <v>79</v>
      </c>
      <c r="J1467" s="31" t="str">
        <f t="shared" si="68"/>
        <v>61-90</v>
      </c>
      <c r="K1467"/>
    </row>
    <row r="1468" spans="1:11" x14ac:dyDescent="0.3">
      <c r="A1468" s="20" t="s">
        <v>63</v>
      </c>
      <c r="B1468" t="str">
        <f>VLOOKUP(A1468,Customers!A:B,2,FALSE)</f>
        <v>RetailCore</v>
      </c>
      <c r="C1468" s="24" t="s">
        <v>1835</v>
      </c>
      <c r="D1468" s="10">
        <v>46080</v>
      </c>
      <c r="E1468" s="10">
        <v>46110</v>
      </c>
      <c r="F1468" s="4">
        <v>13785.67</v>
      </c>
      <c r="G1468" s="3">
        <f>SUMIF(Customer_Payments!B:B,C1468,Customer_Payments!E:E)</f>
        <v>13785.67</v>
      </c>
      <c r="H1468" s="3">
        <f t="shared" si="66"/>
        <v>0</v>
      </c>
      <c r="I1468" s="29">
        <f t="shared" si="67"/>
        <v>-19</v>
      </c>
      <c r="J1468" s="31" t="str">
        <f t="shared" si="68"/>
        <v>Current</v>
      </c>
      <c r="K1468"/>
    </row>
    <row r="1469" spans="1:11" x14ac:dyDescent="0.3">
      <c r="A1469" s="21" t="s">
        <v>112</v>
      </c>
      <c r="B1469" t="str">
        <f>VLOOKUP(A1469,Customers!A:B,2,FALSE)</f>
        <v>RetailBridgePro</v>
      </c>
      <c r="C1469" s="25" t="s">
        <v>1836</v>
      </c>
      <c r="D1469" s="11">
        <v>45962</v>
      </c>
      <c r="E1469" s="11">
        <v>45992</v>
      </c>
      <c r="F1469" s="5">
        <v>2110.35</v>
      </c>
      <c r="G1469" s="3">
        <f>SUMIF(Customer_Payments!B:B,C1469,Customer_Payments!E:E)</f>
        <v>0</v>
      </c>
      <c r="H1469" s="3">
        <f t="shared" si="66"/>
        <v>2110.35</v>
      </c>
      <c r="I1469" s="29">
        <f t="shared" si="67"/>
        <v>99</v>
      </c>
      <c r="J1469" s="31" t="str">
        <f t="shared" si="68"/>
        <v>90+</v>
      </c>
      <c r="K1469"/>
    </row>
    <row r="1470" spans="1:11" x14ac:dyDescent="0.3">
      <c r="A1470" s="20" t="s">
        <v>23</v>
      </c>
      <c r="B1470" t="str">
        <f>VLOOKUP(A1470,Customers!A:B,2,FALSE)</f>
        <v>VertexCommerce</v>
      </c>
      <c r="C1470" s="24" t="s">
        <v>1837</v>
      </c>
      <c r="D1470" s="10">
        <v>46022</v>
      </c>
      <c r="E1470" s="10">
        <v>46052</v>
      </c>
      <c r="F1470" s="4">
        <v>4288.6899999999996</v>
      </c>
      <c r="G1470" s="3">
        <f>SUMIF(Customer_Payments!B:B,C1470,Customer_Payments!E:E)</f>
        <v>4288.6899999999996</v>
      </c>
      <c r="H1470" s="3">
        <f t="shared" si="66"/>
        <v>0</v>
      </c>
      <c r="I1470" s="29">
        <f t="shared" si="67"/>
        <v>39</v>
      </c>
      <c r="J1470" s="31" t="str">
        <f t="shared" si="68"/>
        <v>31-60</v>
      </c>
      <c r="K1470"/>
    </row>
    <row r="1471" spans="1:11" x14ac:dyDescent="0.3">
      <c r="A1471" s="21" t="s">
        <v>65</v>
      </c>
      <c r="B1471" t="str">
        <f>VLOOKUP(A1471,Customers!A:B,2,FALSE)</f>
        <v>RetailFlow</v>
      </c>
      <c r="C1471" s="25" t="s">
        <v>1838</v>
      </c>
      <c r="D1471" s="11">
        <v>46089</v>
      </c>
      <c r="E1471" s="11">
        <v>46119</v>
      </c>
      <c r="F1471" s="5">
        <v>1809.49</v>
      </c>
      <c r="G1471" s="3">
        <f>SUMIF(Customer_Payments!B:B,C1471,Customer_Payments!E:E)</f>
        <v>1809.49</v>
      </c>
      <c r="H1471" s="3">
        <f t="shared" si="66"/>
        <v>0</v>
      </c>
      <c r="I1471" s="29">
        <f t="shared" si="67"/>
        <v>-28</v>
      </c>
      <c r="J1471" s="31" t="str">
        <f t="shared" si="68"/>
        <v>Current</v>
      </c>
      <c r="K1471"/>
    </row>
    <row r="1472" spans="1:11" x14ac:dyDescent="0.3">
      <c r="A1472" s="20" t="s">
        <v>22</v>
      </c>
      <c r="B1472" t="str">
        <f>VLOOKUP(A1472,Customers!A:B,2,FALSE)</f>
        <v>QuantumRetail</v>
      </c>
      <c r="C1472" s="24" t="s">
        <v>1839</v>
      </c>
      <c r="D1472" s="10">
        <v>46010</v>
      </c>
      <c r="E1472" s="10">
        <v>46040</v>
      </c>
      <c r="F1472" s="4">
        <v>9756.52</v>
      </c>
      <c r="G1472" s="3">
        <f>SUMIF(Customer_Payments!B:B,C1472,Customer_Payments!E:E)</f>
        <v>9756.52</v>
      </c>
      <c r="H1472" s="3">
        <f t="shared" si="66"/>
        <v>0</v>
      </c>
      <c r="I1472" s="29">
        <f t="shared" si="67"/>
        <v>51</v>
      </c>
      <c r="J1472" s="31" t="str">
        <f t="shared" si="68"/>
        <v>31-60</v>
      </c>
      <c r="K1472"/>
    </row>
    <row r="1473" spans="1:11" x14ac:dyDescent="0.3">
      <c r="A1473" s="21" t="s">
        <v>44</v>
      </c>
      <c r="B1473" t="str">
        <f>VLOOKUP(A1473,Customers!A:B,2,FALSE)</f>
        <v>BrightMarket</v>
      </c>
      <c r="C1473" s="25" t="s">
        <v>1840</v>
      </c>
      <c r="D1473" s="11">
        <v>46069</v>
      </c>
      <c r="E1473" s="11">
        <v>46099</v>
      </c>
      <c r="F1473" s="5">
        <v>3993.24</v>
      </c>
      <c r="G1473" s="3">
        <f>SUMIF(Customer_Payments!B:B,C1473,Customer_Payments!E:E)</f>
        <v>3993.24</v>
      </c>
      <c r="H1473" s="3">
        <f t="shared" si="66"/>
        <v>0</v>
      </c>
      <c r="I1473" s="29">
        <f t="shared" si="67"/>
        <v>-8</v>
      </c>
      <c r="J1473" s="31" t="str">
        <f t="shared" si="68"/>
        <v>Current</v>
      </c>
      <c r="K1473"/>
    </row>
    <row r="1474" spans="1:11" x14ac:dyDescent="0.3">
      <c r="A1474" s="20" t="s">
        <v>54</v>
      </c>
      <c r="B1474" t="str">
        <f>VLOOKUP(A1474,Customers!A:B,2,FALSE)</f>
        <v>RetailEdge</v>
      </c>
      <c r="C1474" s="24" t="s">
        <v>1841</v>
      </c>
      <c r="D1474" s="10">
        <v>46044</v>
      </c>
      <c r="E1474" s="10">
        <v>46074</v>
      </c>
      <c r="F1474" s="4">
        <v>3027.33</v>
      </c>
      <c r="G1474" s="3">
        <f>SUMIF(Customer_Payments!B:B,C1474,Customer_Payments!E:E)</f>
        <v>3027.33</v>
      </c>
      <c r="H1474" s="3">
        <f t="shared" ref="H1474:H1537" si="69">MAX(F1474-G1474,0)</f>
        <v>0</v>
      </c>
      <c r="I1474" s="29">
        <f t="shared" ref="I1474:I1537" si="70">$L$2-E1474</f>
        <v>17</v>
      </c>
      <c r="J1474" s="31" t="str">
        <f t="shared" si="68"/>
        <v>1-30</v>
      </c>
      <c r="K1474"/>
    </row>
    <row r="1475" spans="1:11" x14ac:dyDescent="0.3">
      <c r="A1475" s="21" t="s">
        <v>82</v>
      </c>
      <c r="B1475" t="str">
        <f>VLOOKUP(A1475,Customers!A:B,2,FALSE)</f>
        <v>RetailNovaX</v>
      </c>
      <c r="C1475" s="25" t="s">
        <v>1842</v>
      </c>
      <c r="D1475" s="11">
        <v>46100</v>
      </c>
      <c r="E1475" s="11">
        <v>46130</v>
      </c>
      <c r="F1475" s="5">
        <v>2293.98</v>
      </c>
      <c r="G1475" s="3">
        <f>SUMIF(Customer_Payments!B:B,C1475,Customer_Payments!E:E)</f>
        <v>2293.98</v>
      </c>
      <c r="H1475" s="3">
        <f t="shared" si="69"/>
        <v>0</v>
      </c>
      <c r="I1475" s="29">
        <f t="shared" si="70"/>
        <v>-39</v>
      </c>
      <c r="J1475" s="31" t="str">
        <f t="shared" ref="J1475:J1538" si="71">IF(I1475&lt;=0,"Current",
IF(I1475&lt;=30,"1-30",
IF(I1475&lt;=60,"31-60",
IF(I1475&lt;=90,"61-90","90+"))))</f>
        <v>Current</v>
      </c>
      <c r="K1475"/>
    </row>
    <row r="1476" spans="1:11" x14ac:dyDescent="0.3">
      <c r="A1476" s="20" t="s">
        <v>111</v>
      </c>
      <c r="B1476" t="str">
        <f>VLOOKUP(A1476,Customers!A:B,2,FALSE)</f>
        <v>RetailPulsePro</v>
      </c>
      <c r="C1476" s="24" t="s">
        <v>1843</v>
      </c>
      <c r="D1476" s="10">
        <v>45984</v>
      </c>
      <c r="E1476" s="10">
        <v>46014</v>
      </c>
      <c r="F1476" s="4">
        <v>9833.5300000000007</v>
      </c>
      <c r="G1476" s="3">
        <f>SUMIF(Customer_Payments!B:B,C1476,Customer_Payments!E:E)</f>
        <v>9833.5300000000007</v>
      </c>
      <c r="H1476" s="3">
        <f t="shared" si="69"/>
        <v>0</v>
      </c>
      <c r="I1476" s="29">
        <f t="shared" si="70"/>
        <v>77</v>
      </c>
      <c r="J1476" s="31" t="str">
        <f t="shared" si="71"/>
        <v>61-90</v>
      </c>
      <c r="K1476"/>
    </row>
    <row r="1477" spans="1:11" x14ac:dyDescent="0.3">
      <c r="A1477" s="21" t="s">
        <v>118</v>
      </c>
      <c r="B1477" t="str">
        <f>VLOOKUP(A1477,Customers!A:B,2,FALSE)</f>
        <v>RetailEdgeGlobal</v>
      </c>
      <c r="C1477" s="25" t="s">
        <v>1844</v>
      </c>
      <c r="D1477" s="11">
        <v>46053</v>
      </c>
      <c r="E1477" s="11">
        <v>46083</v>
      </c>
      <c r="F1477" s="5">
        <v>1791.93</v>
      </c>
      <c r="G1477" s="3">
        <f>SUMIF(Customer_Payments!B:B,C1477,Customer_Payments!E:E)</f>
        <v>1791.93</v>
      </c>
      <c r="H1477" s="3">
        <f t="shared" si="69"/>
        <v>0</v>
      </c>
      <c r="I1477" s="29">
        <f t="shared" si="70"/>
        <v>8</v>
      </c>
      <c r="J1477" s="31" t="str">
        <f t="shared" si="71"/>
        <v>1-30</v>
      </c>
      <c r="K1477"/>
    </row>
    <row r="1478" spans="1:11" x14ac:dyDescent="0.3">
      <c r="A1478" s="20" t="s">
        <v>122</v>
      </c>
      <c r="B1478" t="str">
        <f>VLOOKUP(A1478,Customers!A:B,2,FALSE)</f>
        <v>RetailCoreGlobal</v>
      </c>
      <c r="C1478" s="24" t="s">
        <v>1845</v>
      </c>
      <c r="D1478" s="10">
        <v>46007</v>
      </c>
      <c r="E1478" s="10">
        <v>46037</v>
      </c>
      <c r="F1478" s="4">
        <v>2901.09</v>
      </c>
      <c r="G1478" s="3">
        <f>SUMIF(Customer_Payments!B:B,C1478,Customer_Payments!E:E)</f>
        <v>2901.09</v>
      </c>
      <c r="H1478" s="3">
        <f t="shared" si="69"/>
        <v>0</v>
      </c>
      <c r="I1478" s="29">
        <f t="shared" si="70"/>
        <v>54</v>
      </c>
      <c r="J1478" s="31" t="str">
        <f t="shared" si="71"/>
        <v>31-60</v>
      </c>
      <c r="K1478"/>
    </row>
    <row r="1479" spans="1:11" x14ac:dyDescent="0.3">
      <c r="A1479" s="21" t="s">
        <v>23</v>
      </c>
      <c r="B1479" t="str">
        <f>VLOOKUP(A1479,Customers!A:B,2,FALSE)</f>
        <v>VertexCommerce</v>
      </c>
      <c r="C1479" s="25" t="s">
        <v>1846</v>
      </c>
      <c r="D1479" s="11">
        <v>46094</v>
      </c>
      <c r="E1479" s="11">
        <v>46124</v>
      </c>
      <c r="F1479" s="5">
        <v>2781.35</v>
      </c>
      <c r="G1479" s="3">
        <f>SUMIF(Customer_Payments!B:B,C1479,Customer_Payments!E:E)</f>
        <v>0</v>
      </c>
      <c r="H1479" s="3">
        <f t="shared" si="69"/>
        <v>2781.35</v>
      </c>
      <c r="I1479" s="29">
        <f t="shared" si="70"/>
        <v>-33</v>
      </c>
      <c r="J1479" s="31" t="str">
        <f t="shared" si="71"/>
        <v>Current</v>
      </c>
      <c r="K1479"/>
    </row>
    <row r="1480" spans="1:11" x14ac:dyDescent="0.3">
      <c r="A1480" s="20" t="s">
        <v>26</v>
      </c>
      <c r="B1480" t="str">
        <f>VLOOKUP(A1480,Customers!A:B,2,FALSE)</f>
        <v>NovaRetail</v>
      </c>
      <c r="C1480" s="24" t="s">
        <v>1847</v>
      </c>
      <c r="D1480" s="10">
        <v>46033</v>
      </c>
      <c r="E1480" s="10">
        <v>46063</v>
      </c>
      <c r="F1480" s="4">
        <v>5009.53</v>
      </c>
      <c r="G1480" s="3">
        <f>SUMIF(Customer_Payments!B:B,C1480,Customer_Payments!E:E)</f>
        <v>5009.53</v>
      </c>
      <c r="H1480" s="3">
        <f t="shared" si="69"/>
        <v>0</v>
      </c>
      <c r="I1480" s="29">
        <f t="shared" si="70"/>
        <v>28</v>
      </c>
      <c r="J1480" s="31" t="str">
        <f t="shared" si="71"/>
        <v>1-30</v>
      </c>
      <c r="K1480"/>
    </row>
    <row r="1481" spans="1:11" x14ac:dyDescent="0.3">
      <c r="A1481" s="21" t="s">
        <v>59</v>
      </c>
      <c r="B1481" t="str">
        <f>VLOOKUP(A1481,Customers!A:B,2,FALSE)</f>
        <v>MarketBridge</v>
      </c>
      <c r="C1481" s="25" t="s">
        <v>1848</v>
      </c>
      <c r="D1481" s="11">
        <v>46044</v>
      </c>
      <c r="E1481" s="11">
        <v>46074</v>
      </c>
      <c r="F1481" s="5">
        <v>1674.16</v>
      </c>
      <c r="G1481" s="3">
        <f>SUMIF(Customer_Payments!B:B,C1481,Customer_Payments!E:E)</f>
        <v>1674.16</v>
      </c>
      <c r="H1481" s="3">
        <f t="shared" si="69"/>
        <v>0</v>
      </c>
      <c r="I1481" s="29">
        <f t="shared" si="70"/>
        <v>17</v>
      </c>
      <c r="J1481" s="31" t="str">
        <f t="shared" si="71"/>
        <v>1-30</v>
      </c>
      <c r="K1481"/>
    </row>
    <row r="1482" spans="1:11" x14ac:dyDescent="0.3">
      <c r="A1482" s="20" t="s">
        <v>92</v>
      </c>
      <c r="B1482" t="str">
        <f>VLOOKUP(A1482,Customers!A:B,2,FALSE)</f>
        <v>RetailMatrixX</v>
      </c>
      <c r="C1482" s="24" t="s">
        <v>1849</v>
      </c>
      <c r="D1482" s="10">
        <v>46040</v>
      </c>
      <c r="E1482" s="10">
        <v>46070</v>
      </c>
      <c r="F1482" s="4">
        <v>10717.55</v>
      </c>
      <c r="G1482" s="3">
        <f>SUMIF(Customer_Payments!B:B,C1482,Customer_Payments!E:E)</f>
        <v>10717.55</v>
      </c>
      <c r="H1482" s="3">
        <f t="shared" si="69"/>
        <v>0</v>
      </c>
      <c r="I1482" s="29">
        <f t="shared" si="70"/>
        <v>21</v>
      </c>
      <c r="J1482" s="31" t="str">
        <f t="shared" si="71"/>
        <v>1-30</v>
      </c>
      <c r="K1482"/>
    </row>
    <row r="1483" spans="1:11" x14ac:dyDescent="0.3">
      <c r="A1483" s="21" t="s">
        <v>97</v>
      </c>
      <c r="B1483" t="str">
        <f>VLOOKUP(A1483,Customers!A:B,2,FALSE)</f>
        <v>RetailSparkX</v>
      </c>
      <c r="C1483" s="25" t="s">
        <v>1850</v>
      </c>
      <c r="D1483" s="11">
        <v>45991</v>
      </c>
      <c r="E1483" s="11">
        <v>46021</v>
      </c>
      <c r="F1483" s="5">
        <v>13132.38</v>
      </c>
      <c r="G1483" s="3">
        <f>SUMIF(Customer_Payments!B:B,C1483,Customer_Payments!E:E)</f>
        <v>0</v>
      </c>
      <c r="H1483" s="3">
        <f t="shared" si="69"/>
        <v>13132.38</v>
      </c>
      <c r="I1483" s="29">
        <f t="shared" si="70"/>
        <v>70</v>
      </c>
      <c r="J1483" s="31" t="str">
        <f t="shared" si="71"/>
        <v>61-90</v>
      </c>
      <c r="K1483"/>
    </row>
    <row r="1484" spans="1:11" x14ac:dyDescent="0.3">
      <c r="A1484" s="20" t="s">
        <v>89</v>
      </c>
      <c r="B1484" t="str">
        <f>VLOOKUP(A1484,Customers!A:B,2,FALSE)</f>
        <v>RetailAxisX</v>
      </c>
      <c r="C1484" s="24" t="s">
        <v>1851</v>
      </c>
      <c r="D1484" s="10">
        <v>46079</v>
      </c>
      <c r="E1484" s="10">
        <v>46109</v>
      </c>
      <c r="F1484" s="4">
        <v>3086.39</v>
      </c>
      <c r="G1484" s="3">
        <f>SUMIF(Customer_Payments!B:B,C1484,Customer_Payments!E:E)</f>
        <v>3086.39</v>
      </c>
      <c r="H1484" s="3">
        <f t="shared" si="69"/>
        <v>0</v>
      </c>
      <c r="I1484" s="29">
        <f t="shared" si="70"/>
        <v>-18</v>
      </c>
      <c r="J1484" s="31" t="str">
        <f t="shared" si="71"/>
        <v>Current</v>
      </c>
      <c r="K1484"/>
    </row>
    <row r="1485" spans="1:11" x14ac:dyDescent="0.3">
      <c r="A1485" s="21" t="s">
        <v>76</v>
      </c>
      <c r="B1485" t="str">
        <f>VLOOKUP(A1485,Customers!A:B,2,FALSE)</f>
        <v>RetailSphere</v>
      </c>
      <c r="C1485" s="25" t="s">
        <v>1852</v>
      </c>
      <c r="D1485" s="11">
        <v>46063</v>
      </c>
      <c r="E1485" s="11">
        <v>46093</v>
      </c>
      <c r="F1485" s="5">
        <v>3172.7</v>
      </c>
      <c r="G1485" s="3">
        <f>SUMIF(Customer_Payments!B:B,C1485,Customer_Payments!E:E)</f>
        <v>0</v>
      </c>
      <c r="H1485" s="3">
        <f t="shared" si="69"/>
        <v>3172.7</v>
      </c>
      <c r="I1485" s="29">
        <f t="shared" si="70"/>
        <v>-2</v>
      </c>
      <c r="J1485" s="31" t="str">
        <f t="shared" si="71"/>
        <v>Current</v>
      </c>
      <c r="K1485"/>
    </row>
    <row r="1486" spans="1:11" x14ac:dyDescent="0.3">
      <c r="A1486" s="20" t="s">
        <v>67</v>
      </c>
      <c r="B1486" t="str">
        <f>VLOOKUP(A1486,Customers!A:B,2,FALSE)</f>
        <v>RetailDynamics</v>
      </c>
      <c r="C1486" s="24" t="s">
        <v>1853</v>
      </c>
      <c r="D1486" s="10">
        <v>45998</v>
      </c>
      <c r="E1486" s="10">
        <v>46028</v>
      </c>
      <c r="F1486" s="4">
        <v>3860.66</v>
      </c>
      <c r="G1486" s="3">
        <f>SUMIF(Customer_Payments!B:B,C1486,Customer_Payments!E:E)</f>
        <v>3860.66</v>
      </c>
      <c r="H1486" s="3">
        <f t="shared" si="69"/>
        <v>0</v>
      </c>
      <c r="I1486" s="29">
        <f t="shared" si="70"/>
        <v>63</v>
      </c>
      <c r="J1486" s="31" t="str">
        <f t="shared" si="71"/>
        <v>61-90</v>
      </c>
      <c r="K1486"/>
    </row>
    <row r="1487" spans="1:11" x14ac:dyDescent="0.3">
      <c r="A1487" s="21" t="s">
        <v>30</v>
      </c>
      <c r="B1487" t="str">
        <f>VLOOKUP(A1487,Customers!A:B,2,FALSE)</f>
        <v>CommerceFlow</v>
      </c>
      <c r="C1487" s="25" t="s">
        <v>1854</v>
      </c>
      <c r="D1487" s="11">
        <v>46020</v>
      </c>
      <c r="E1487" s="11">
        <v>46050</v>
      </c>
      <c r="F1487" s="5">
        <v>4055.61</v>
      </c>
      <c r="G1487" s="3">
        <f>SUMIF(Customer_Payments!B:B,C1487,Customer_Payments!E:E)</f>
        <v>0</v>
      </c>
      <c r="H1487" s="3">
        <f t="shared" si="69"/>
        <v>4055.61</v>
      </c>
      <c r="I1487" s="29">
        <f t="shared" si="70"/>
        <v>41</v>
      </c>
      <c r="J1487" s="31" t="str">
        <f t="shared" si="71"/>
        <v>31-60</v>
      </c>
      <c r="K1487"/>
    </row>
    <row r="1488" spans="1:11" x14ac:dyDescent="0.3">
      <c r="A1488" s="20" t="s">
        <v>114</v>
      </c>
      <c r="B1488" t="str">
        <f>VLOOKUP(A1488,Customers!A:B,2,FALSE)</f>
        <v>RetailScalePro</v>
      </c>
      <c r="C1488" s="24" t="s">
        <v>1855</v>
      </c>
      <c r="D1488" s="10">
        <v>46076</v>
      </c>
      <c r="E1488" s="10">
        <v>46106</v>
      </c>
      <c r="F1488" s="4">
        <v>2729.96</v>
      </c>
      <c r="G1488" s="3">
        <f>SUMIF(Customer_Payments!B:B,C1488,Customer_Payments!E:E)</f>
        <v>0</v>
      </c>
      <c r="H1488" s="3">
        <f t="shared" si="69"/>
        <v>2729.96</v>
      </c>
      <c r="I1488" s="29">
        <f t="shared" si="70"/>
        <v>-15</v>
      </c>
      <c r="J1488" s="31" t="str">
        <f t="shared" si="71"/>
        <v>Current</v>
      </c>
      <c r="K1488"/>
    </row>
    <row r="1489" spans="1:11" x14ac:dyDescent="0.3">
      <c r="A1489" s="21" t="s">
        <v>58</v>
      </c>
      <c r="B1489" t="str">
        <f>VLOOKUP(A1489,Customers!A:B,2,FALSE)</f>
        <v>RetailAxis</v>
      </c>
      <c r="C1489" s="25" t="s">
        <v>1856</v>
      </c>
      <c r="D1489" s="11">
        <v>45964</v>
      </c>
      <c r="E1489" s="11">
        <v>45994</v>
      </c>
      <c r="F1489" s="5">
        <v>3421.92</v>
      </c>
      <c r="G1489" s="3">
        <f>SUMIF(Customer_Payments!B:B,C1489,Customer_Payments!E:E)</f>
        <v>3421.92</v>
      </c>
      <c r="H1489" s="3">
        <f t="shared" si="69"/>
        <v>0</v>
      </c>
      <c r="I1489" s="29">
        <f t="shared" si="70"/>
        <v>97</v>
      </c>
      <c r="J1489" s="31" t="str">
        <f t="shared" si="71"/>
        <v>90+</v>
      </c>
      <c r="K1489"/>
    </row>
    <row r="1490" spans="1:11" x14ac:dyDescent="0.3">
      <c r="A1490" s="20" t="s">
        <v>30</v>
      </c>
      <c r="B1490" t="str">
        <f>VLOOKUP(A1490,Customers!A:B,2,FALSE)</f>
        <v>CommerceFlow</v>
      </c>
      <c r="C1490" s="24" t="s">
        <v>1857</v>
      </c>
      <c r="D1490" s="10">
        <v>46040</v>
      </c>
      <c r="E1490" s="10">
        <v>46070</v>
      </c>
      <c r="F1490" s="4">
        <v>2862.98</v>
      </c>
      <c r="G1490" s="3">
        <f>SUMIF(Customer_Payments!B:B,C1490,Customer_Payments!E:E)</f>
        <v>2862.98</v>
      </c>
      <c r="H1490" s="3">
        <f t="shared" si="69"/>
        <v>0</v>
      </c>
      <c r="I1490" s="29">
        <f t="shared" si="70"/>
        <v>21</v>
      </c>
      <c r="J1490" s="31" t="str">
        <f t="shared" si="71"/>
        <v>1-30</v>
      </c>
      <c r="K1490"/>
    </row>
    <row r="1491" spans="1:11" x14ac:dyDescent="0.3">
      <c r="A1491" s="21" t="s">
        <v>18</v>
      </c>
      <c r="B1491" t="str">
        <f>VLOOKUP(A1491,Customers!A:B,2,FALSE)</f>
        <v>BluePeak Systems</v>
      </c>
      <c r="C1491" s="25" t="s">
        <v>1858</v>
      </c>
      <c r="D1491" s="11">
        <v>46047</v>
      </c>
      <c r="E1491" s="11">
        <v>46077</v>
      </c>
      <c r="F1491" s="5">
        <v>9715.4699999999993</v>
      </c>
      <c r="G1491" s="3">
        <f>SUMIF(Customer_Payments!B:B,C1491,Customer_Payments!E:E)</f>
        <v>9715.4699999999993</v>
      </c>
      <c r="H1491" s="3">
        <f t="shared" si="69"/>
        <v>0</v>
      </c>
      <c r="I1491" s="29">
        <f t="shared" si="70"/>
        <v>14</v>
      </c>
      <c r="J1491" s="31" t="str">
        <f t="shared" si="71"/>
        <v>1-30</v>
      </c>
      <c r="K1491"/>
    </row>
    <row r="1492" spans="1:11" x14ac:dyDescent="0.3">
      <c r="A1492" s="20" t="s">
        <v>30</v>
      </c>
      <c r="B1492" t="str">
        <f>VLOOKUP(A1492,Customers!A:B,2,FALSE)</f>
        <v>CommerceFlow</v>
      </c>
      <c r="C1492" s="24" t="s">
        <v>1859</v>
      </c>
      <c r="D1492" s="10">
        <v>46014</v>
      </c>
      <c r="E1492" s="10">
        <v>46044</v>
      </c>
      <c r="F1492" s="4">
        <v>3575.74</v>
      </c>
      <c r="G1492" s="3">
        <f>SUMIF(Customer_Payments!B:B,C1492,Customer_Payments!E:E)</f>
        <v>3575.74</v>
      </c>
      <c r="H1492" s="3">
        <f t="shared" si="69"/>
        <v>0</v>
      </c>
      <c r="I1492" s="29">
        <f t="shared" si="70"/>
        <v>47</v>
      </c>
      <c r="J1492" s="31" t="str">
        <f t="shared" si="71"/>
        <v>31-60</v>
      </c>
      <c r="K1492"/>
    </row>
    <row r="1493" spans="1:11" x14ac:dyDescent="0.3">
      <c r="A1493" s="21" t="s">
        <v>93</v>
      </c>
      <c r="B1493" t="str">
        <f>VLOOKUP(A1493,Customers!A:B,2,FALSE)</f>
        <v>RetailSphereX</v>
      </c>
      <c r="C1493" s="25" t="s">
        <v>1860</v>
      </c>
      <c r="D1493" s="11">
        <v>46015</v>
      </c>
      <c r="E1493" s="11">
        <v>46045</v>
      </c>
      <c r="F1493" s="5">
        <v>2768.3</v>
      </c>
      <c r="G1493" s="3">
        <f>SUMIF(Customer_Payments!B:B,C1493,Customer_Payments!E:E)</f>
        <v>0</v>
      </c>
      <c r="H1493" s="3">
        <f t="shared" si="69"/>
        <v>2768.3</v>
      </c>
      <c r="I1493" s="29">
        <f t="shared" si="70"/>
        <v>46</v>
      </c>
      <c r="J1493" s="31" t="str">
        <f t="shared" si="71"/>
        <v>31-60</v>
      </c>
      <c r="K1493"/>
    </row>
    <row r="1494" spans="1:11" x14ac:dyDescent="0.3">
      <c r="A1494" s="20" t="s">
        <v>14</v>
      </c>
      <c r="B1494" t="str">
        <f>VLOOKUP(A1494,Customers!A:B,2,FALSE)</f>
        <v>MarketPulse</v>
      </c>
      <c r="C1494" s="24" t="s">
        <v>1861</v>
      </c>
      <c r="D1494" s="10">
        <v>46040</v>
      </c>
      <c r="E1494" s="10">
        <v>46070</v>
      </c>
      <c r="F1494" s="4">
        <v>4117.83</v>
      </c>
      <c r="G1494" s="3">
        <f>SUMIF(Customer_Payments!B:B,C1494,Customer_Payments!E:E)</f>
        <v>4117.83</v>
      </c>
      <c r="H1494" s="3">
        <f t="shared" si="69"/>
        <v>0</v>
      </c>
      <c r="I1494" s="29">
        <f t="shared" si="70"/>
        <v>21</v>
      </c>
      <c r="J1494" s="31" t="str">
        <f t="shared" si="71"/>
        <v>1-30</v>
      </c>
      <c r="K1494"/>
    </row>
    <row r="1495" spans="1:11" x14ac:dyDescent="0.3">
      <c r="A1495" s="21" t="s">
        <v>48</v>
      </c>
      <c r="B1495" t="str">
        <f>VLOOKUP(A1495,Customers!A:B,2,FALSE)</f>
        <v>RetailGenius</v>
      </c>
      <c r="C1495" s="25" t="s">
        <v>1862</v>
      </c>
      <c r="D1495" s="11">
        <v>46082</v>
      </c>
      <c r="E1495" s="11">
        <v>46112</v>
      </c>
      <c r="F1495" s="5">
        <v>2389.94</v>
      </c>
      <c r="G1495" s="3">
        <f>SUMIF(Customer_Payments!B:B,C1495,Customer_Payments!E:E)</f>
        <v>2389.94</v>
      </c>
      <c r="H1495" s="3">
        <f t="shared" si="69"/>
        <v>0</v>
      </c>
      <c r="I1495" s="29">
        <f t="shared" si="70"/>
        <v>-21</v>
      </c>
      <c r="J1495" s="31" t="str">
        <f t="shared" si="71"/>
        <v>Current</v>
      </c>
      <c r="K1495"/>
    </row>
    <row r="1496" spans="1:11" x14ac:dyDescent="0.3">
      <c r="A1496" s="20" t="s">
        <v>37</v>
      </c>
      <c r="B1496" t="str">
        <f>VLOOKUP(A1496,Customers!A:B,2,FALSE)</f>
        <v>SmartCart</v>
      </c>
      <c r="C1496" s="24" t="s">
        <v>1863</v>
      </c>
      <c r="D1496" s="10">
        <v>45987</v>
      </c>
      <c r="E1496" s="10">
        <v>46017</v>
      </c>
      <c r="F1496" s="4">
        <v>2375.5100000000002</v>
      </c>
      <c r="G1496" s="3">
        <f>SUMIF(Customer_Payments!B:B,C1496,Customer_Payments!E:E)</f>
        <v>2375.5100000000002</v>
      </c>
      <c r="H1496" s="3">
        <f t="shared" si="69"/>
        <v>0</v>
      </c>
      <c r="I1496" s="29">
        <f t="shared" si="70"/>
        <v>74</v>
      </c>
      <c r="J1496" s="31" t="str">
        <f t="shared" si="71"/>
        <v>61-90</v>
      </c>
      <c r="K1496"/>
    </row>
    <row r="1497" spans="1:11" x14ac:dyDescent="0.3">
      <c r="A1497" s="21" t="s">
        <v>56</v>
      </c>
      <c r="B1497" t="str">
        <f>VLOOKUP(A1497,Customers!A:B,2,FALSE)</f>
        <v>RetailBoost</v>
      </c>
      <c r="C1497" s="25" t="s">
        <v>1864</v>
      </c>
      <c r="D1497" s="11">
        <v>45972</v>
      </c>
      <c r="E1497" s="11">
        <v>46002</v>
      </c>
      <c r="F1497" s="5">
        <v>3620.44</v>
      </c>
      <c r="G1497" s="3">
        <f>SUMIF(Customer_Payments!B:B,C1497,Customer_Payments!E:E)</f>
        <v>0</v>
      </c>
      <c r="H1497" s="3">
        <f t="shared" si="69"/>
        <v>3620.44</v>
      </c>
      <c r="I1497" s="29">
        <f t="shared" si="70"/>
        <v>89</v>
      </c>
      <c r="J1497" s="31" t="str">
        <f t="shared" si="71"/>
        <v>61-90</v>
      </c>
      <c r="K1497"/>
    </row>
    <row r="1498" spans="1:11" x14ac:dyDescent="0.3">
      <c r="A1498" s="20" t="s">
        <v>15</v>
      </c>
      <c r="B1498" t="str">
        <f>VLOOKUP(A1498,Customers!A:B,2,FALSE)</f>
        <v>CloudScale</v>
      </c>
      <c r="C1498" s="24" t="s">
        <v>1865</v>
      </c>
      <c r="D1498" s="10">
        <v>46061</v>
      </c>
      <c r="E1498" s="10">
        <v>46091</v>
      </c>
      <c r="F1498" s="4">
        <v>2723.15</v>
      </c>
      <c r="G1498" s="3">
        <f>SUMIF(Customer_Payments!B:B,C1498,Customer_Payments!E:E)</f>
        <v>2723.15</v>
      </c>
      <c r="H1498" s="3">
        <f t="shared" si="69"/>
        <v>0</v>
      </c>
      <c r="I1498" s="29">
        <f t="shared" si="70"/>
        <v>0</v>
      </c>
      <c r="J1498" s="31" t="str">
        <f t="shared" si="71"/>
        <v>Current</v>
      </c>
      <c r="K1498"/>
    </row>
    <row r="1499" spans="1:11" x14ac:dyDescent="0.3">
      <c r="A1499" s="21" t="s">
        <v>9</v>
      </c>
      <c r="B1499" t="str">
        <f>VLOOKUP(A1499,Customers!A:B,2,FALSE)</f>
        <v>UrbanRetail</v>
      </c>
      <c r="C1499" s="25" t="s">
        <v>1866</v>
      </c>
      <c r="D1499" s="11">
        <v>46063</v>
      </c>
      <c r="E1499" s="11">
        <v>46093</v>
      </c>
      <c r="F1499" s="5">
        <v>9738.75</v>
      </c>
      <c r="G1499" s="3">
        <f>SUMIF(Customer_Payments!B:B,C1499,Customer_Payments!E:E)</f>
        <v>0</v>
      </c>
      <c r="H1499" s="3">
        <f t="shared" si="69"/>
        <v>9738.75</v>
      </c>
      <c r="I1499" s="29">
        <f t="shared" si="70"/>
        <v>-2</v>
      </c>
      <c r="J1499" s="31" t="str">
        <f t="shared" si="71"/>
        <v>Current</v>
      </c>
      <c r="K1499"/>
    </row>
    <row r="1500" spans="1:11" x14ac:dyDescent="0.3">
      <c r="A1500" s="20" t="s">
        <v>104</v>
      </c>
      <c r="B1500" t="str">
        <f>VLOOKUP(A1500,Customers!A:B,2,FALSE)</f>
        <v>RetailCorePro</v>
      </c>
      <c r="C1500" s="24" t="s">
        <v>1867</v>
      </c>
      <c r="D1500" s="10">
        <v>46001</v>
      </c>
      <c r="E1500" s="10">
        <v>46031</v>
      </c>
      <c r="F1500" s="4">
        <v>2554.08</v>
      </c>
      <c r="G1500" s="3">
        <f>SUMIF(Customer_Payments!B:B,C1500,Customer_Payments!E:E)</f>
        <v>2554.08</v>
      </c>
      <c r="H1500" s="3">
        <f t="shared" si="69"/>
        <v>0</v>
      </c>
      <c r="I1500" s="29">
        <f t="shared" si="70"/>
        <v>60</v>
      </c>
      <c r="J1500" s="31" t="str">
        <f t="shared" si="71"/>
        <v>31-60</v>
      </c>
      <c r="K1500"/>
    </row>
    <row r="1501" spans="1:11" x14ac:dyDescent="0.3">
      <c r="A1501" s="21" t="s">
        <v>64</v>
      </c>
      <c r="B1501" t="str">
        <f>VLOOKUP(A1501,Customers!A:B,2,FALSE)</f>
        <v>MarketScale</v>
      </c>
      <c r="C1501" s="25" t="s">
        <v>1868</v>
      </c>
      <c r="D1501" s="11">
        <v>46069</v>
      </c>
      <c r="E1501" s="11">
        <v>46099</v>
      </c>
      <c r="F1501" s="5">
        <v>3712.17</v>
      </c>
      <c r="G1501" s="3">
        <f>SUMIF(Customer_Payments!B:B,C1501,Customer_Payments!E:E)</f>
        <v>3712.17</v>
      </c>
      <c r="H1501" s="3">
        <f t="shared" si="69"/>
        <v>0</v>
      </c>
      <c r="I1501" s="29">
        <f t="shared" si="70"/>
        <v>-8</v>
      </c>
      <c r="J1501" s="31" t="str">
        <f t="shared" si="71"/>
        <v>Current</v>
      </c>
      <c r="K1501"/>
    </row>
    <row r="1502" spans="1:11" x14ac:dyDescent="0.3">
      <c r="A1502" s="20" t="s">
        <v>25</v>
      </c>
      <c r="B1502" t="str">
        <f>VLOOKUP(A1502,Customers!A:B,2,FALSE)</f>
        <v>OrbitEdge</v>
      </c>
      <c r="C1502" s="24" t="s">
        <v>1869</v>
      </c>
      <c r="D1502" s="10">
        <v>45998</v>
      </c>
      <c r="E1502" s="10">
        <v>46028</v>
      </c>
      <c r="F1502" s="4">
        <v>3415.53</v>
      </c>
      <c r="G1502" s="3">
        <f>SUMIF(Customer_Payments!B:B,C1502,Customer_Payments!E:E)</f>
        <v>0</v>
      </c>
      <c r="H1502" s="3">
        <f t="shared" si="69"/>
        <v>3415.53</v>
      </c>
      <c r="I1502" s="29">
        <f t="shared" si="70"/>
        <v>63</v>
      </c>
      <c r="J1502" s="31" t="str">
        <f t="shared" si="71"/>
        <v>61-90</v>
      </c>
      <c r="K1502"/>
    </row>
    <row r="1503" spans="1:11" x14ac:dyDescent="0.3">
      <c r="A1503" s="21" t="s">
        <v>61</v>
      </c>
      <c r="B1503" t="str">
        <f>VLOOKUP(A1503,Customers!A:B,2,FALSE)</f>
        <v>RetailOrbit</v>
      </c>
      <c r="C1503" s="25" t="s">
        <v>1870</v>
      </c>
      <c r="D1503" s="11">
        <v>46055</v>
      </c>
      <c r="E1503" s="11">
        <v>46085</v>
      </c>
      <c r="F1503" s="5">
        <v>2540.44</v>
      </c>
      <c r="G1503" s="3">
        <f>SUMIF(Customer_Payments!B:B,C1503,Customer_Payments!E:E)</f>
        <v>2540.44</v>
      </c>
      <c r="H1503" s="3">
        <f t="shared" si="69"/>
        <v>0</v>
      </c>
      <c r="I1503" s="29">
        <f t="shared" si="70"/>
        <v>6</v>
      </c>
      <c r="J1503" s="31" t="str">
        <f t="shared" si="71"/>
        <v>1-30</v>
      </c>
      <c r="K1503"/>
    </row>
    <row r="1504" spans="1:11" x14ac:dyDescent="0.3">
      <c r="A1504" s="20" t="s">
        <v>86</v>
      </c>
      <c r="B1504" t="str">
        <f>VLOOKUP(A1504,Customers!A:B,2,FALSE)</f>
        <v>RetailNextX</v>
      </c>
      <c r="C1504" s="24" t="s">
        <v>1871</v>
      </c>
      <c r="D1504" s="10">
        <v>45971</v>
      </c>
      <c r="E1504" s="10">
        <v>46001</v>
      </c>
      <c r="F1504" s="4">
        <v>3432.44</v>
      </c>
      <c r="G1504" s="3">
        <f>SUMIF(Customer_Payments!B:B,C1504,Customer_Payments!E:E)</f>
        <v>0</v>
      </c>
      <c r="H1504" s="3">
        <f t="shared" si="69"/>
        <v>3432.44</v>
      </c>
      <c r="I1504" s="29">
        <f t="shared" si="70"/>
        <v>90</v>
      </c>
      <c r="J1504" s="31" t="str">
        <f t="shared" si="71"/>
        <v>61-90</v>
      </c>
      <c r="K1504"/>
    </row>
    <row r="1505" spans="1:11" x14ac:dyDescent="0.3">
      <c r="A1505" s="21" t="s">
        <v>124</v>
      </c>
      <c r="B1505" t="str">
        <f>VLOOKUP(A1505,Customers!A:B,2,FALSE)</f>
        <v>RetailOrbitGlobal</v>
      </c>
      <c r="C1505" s="25" t="s">
        <v>1872</v>
      </c>
      <c r="D1505" s="11">
        <v>46100</v>
      </c>
      <c r="E1505" s="11">
        <v>46130</v>
      </c>
      <c r="F1505" s="5">
        <v>2653.06</v>
      </c>
      <c r="G1505" s="3">
        <f>SUMIF(Customer_Payments!B:B,C1505,Customer_Payments!E:E)</f>
        <v>2653.06</v>
      </c>
      <c r="H1505" s="3">
        <f t="shared" si="69"/>
        <v>0</v>
      </c>
      <c r="I1505" s="29">
        <f t="shared" si="70"/>
        <v>-39</v>
      </c>
      <c r="J1505" s="31" t="str">
        <f t="shared" si="71"/>
        <v>Current</v>
      </c>
      <c r="K1505"/>
    </row>
    <row r="1506" spans="1:11" x14ac:dyDescent="0.3">
      <c r="A1506" s="20" t="s">
        <v>51</v>
      </c>
      <c r="B1506" t="str">
        <f>VLOOKUP(A1506,Customers!A:B,2,FALSE)</f>
        <v>CartMasters</v>
      </c>
      <c r="C1506" s="24" t="s">
        <v>1873</v>
      </c>
      <c r="D1506" s="10">
        <v>45978</v>
      </c>
      <c r="E1506" s="10">
        <v>46008</v>
      </c>
      <c r="F1506" s="4">
        <v>10911.85</v>
      </c>
      <c r="G1506" s="3">
        <f>SUMIF(Customer_Payments!B:B,C1506,Customer_Payments!E:E)</f>
        <v>10911.85</v>
      </c>
      <c r="H1506" s="3">
        <f t="shared" si="69"/>
        <v>0</v>
      </c>
      <c r="I1506" s="29">
        <f t="shared" si="70"/>
        <v>83</v>
      </c>
      <c r="J1506" s="31" t="str">
        <f t="shared" si="71"/>
        <v>61-90</v>
      </c>
      <c r="K1506"/>
    </row>
    <row r="1507" spans="1:11" x14ac:dyDescent="0.3">
      <c r="A1507" s="21" t="s">
        <v>27</v>
      </c>
      <c r="B1507" t="str">
        <f>VLOOKUP(A1507,Customers!A:B,2,FALSE)</f>
        <v>Skyline Commerce</v>
      </c>
      <c r="C1507" s="25" t="s">
        <v>1874</v>
      </c>
      <c r="D1507" s="11">
        <v>46108</v>
      </c>
      <c r="E1507" s="11">
        <v>46138</v>
      </c>
      <c r="F1507" s="5">
        <v>1593.18</v>
      </c>
      <c r="G1507" s="3">
        <f>SUMIF(Customer_Payments!B:B,C1507,Customer_Payments!E:E)</f>
        <v>1593.18</v>
      </c>
      <c r="H1507" s="3">
        <f t="shared" si="69"/>
        <v>0</v>
      </c>
      <c r="I1507" s="29">
        <f t="shared" si="70"/>
        <v>-47</v>
      </c>
      <c r="J1507" s="31" t="str">
        <f t="shared" si="71"/>
        <v>Current</v>
      </c>
      <c r="K1507"/>
    </row>
    <row r="1508" spans="1:11" x14ac:dyDescent="0.3">
      <c r="A1508" s="20" t="s">
        <v>96</v>
      </c>
      <c r="B1508" t="str">
        <f>VLOOKUP(A1508,Customers!A:B,2,FALSE)</f>
        <v>RetailLabs</v>
      </c>
      <c r="C1508" s="24" t="s">
        <v>1875</v>
      </c>
      <c r="D1508" s="10">
        <v>46081</v>
      </c>
      <c r="E1508" s="10">
        <v>46111</v>
      </c>
      <c r="F1508" s="4">
        <v>1824.54</v>
      </c>
      <c r="G1508" s="3">
        <f>SUMIF(Customer_Payments!B:B,C1508,Customer_Payments!E:E)</f>
        <v>1824.54</v>
      </c>
      <c r="H1508" s="3">
        <f t="shared" si="69"/>
        <v>0</v>
      </c>
      <c r="I1508" s="29">
        <f t="shared" si="70"/>
        <v>-20</v>
      </c>
      <c r="J1508" s="31" t="str">
        <f t="shared" si="71"/>
        <v>Current</v>
      </c>
      <c r="K1508"/>
    </row>
    <row r="1509" spans="1:11" x14ac:dyDescent="0.3">
      <c r="A1509" s="21" t="s">
        <v>119</v>
      </c>
      <c r="B1509" t="str">
        <f>VLOOKUP(A1509,Customers!A:B,2,FALSE)</f>
        <v>RetailNovaGlobal</v>
      </c>
      <c r="C1509" s="25" t="s">
        <v>1876</v>
      </c>
      <c r="D1509" s="11">
        <v>45987</v>
      </c>
      <c r="E1509" s="11">
        <v>46017</v>
      </c>
      <c r="F1509" s="5">
        <v>3396.6</v>
      </c>
      <c r="G1509" s="3">
        <f>SUMIF(Customer_Payments!B:B,C1509,Customer_Payments!E:E)</f>
        <v>0</v>
      </c>
      <c r="H1509" s="3">
        <f t="shared" si="69"/>
        <v>3396.6</v>
      </c>
      <c r="I1509" s="29">
        <f t="shared" si="70"/>
        <v>74</v>
      </c>
      <c r="J1509" s="31" t="str">
        <f t="shared" si="71"/>
        <v>61-90</v>
      </c>
      <c r="K1509"/>
    </row>
    <row r="1510" spans="1:11" x14ac:dyDescent="0.3">
      <c r="A1510" s="20" t="s">
        <v>50</v>
      </c>
      <c r="B1510" t="str">
        <f>VLOOKUP(A1510,Customers!A:B,2,FALSE)</f>
        <v>RetailNexus</v>
      </c>
      <c r="C1510" s="24" t="s">
        <v>1877</v>
      </c>
      <c r="D1510" s="10">
        <v>46100</v>
      </c>
      <c r="E1510" s="10">
        <v>46130</v>
      </c>
      <c r="F1510" s="4">
        <v>10612.08</v>
      </c>
      <c r="G1510" s="3">
        <f>SUMIF(Customer_Payments!B:B,C1510,Customer_Payments!E:E)</f>
        <v>0</v>
      </c>
      <c r="H1510" s="3">
        <f t="shared" si="69"/>
        <v>10612.08</v>
      </c>
      <c r="I1510" s="29">
        <f t="shared" si="70"/>
        <v>-39</v>
      </c>
      <c r="J1510" s="31" t="str">
        <f t="shared" si="71"/>
        <v>Current</v>
      </c>
      <c r="K1510"/>
    </row>
    <row r="1511" spans="1:11" x14ac:dyDescent="0.3">
      <c r="A1511" s="21" t="s">
        <v>38</v>
      </c>
      <c r="B1511" t="str">
        <f>VLOOKUP(A1511,Customers!A:B,2,FALSE)</f>
        <v>RetailForge</v>
      </c>
      <c r="C1511" s="25" t="s">
        <v>1878</v>
      </c>
      <c r="D1511" s="11">
        <v>46106</v>
      </c>
      <c r="E1511" s="11">
        <v>46136</v>
      </c>
      <c r="F1511" s="5">
        <v>1628.18</v>
      </c>
      <c r="G1511" s="3">
        <f>SUMIF(Customer_Payments!B:B,C1511,Customer_Payments!E:E)</f>
        <v>1628.18</v>
      </c>
      <c r="H1511" s="3">
        <f t="shared" si="69"/>
        <v>0</v>
      </c>
      <c r="I1511" s="29">
        <f t="shared" si="70"/>
        <v>-45</v>
      </c>
      <c r="J1511" s="31" t="str">
        <f t="shared" si="71"/>
        <v>Current</v>
      </c>
      <c r="K1511"/>
    </row>
    <row r="1512" spans="1:11" x14ac:dyDescent="0.3">
      <c r="A1512" s="20" t="s">
        <v>83</v>
      </c>
      <c r="B1512" t="str">
        <f>VLOOKUP(A1512,Customers!A:B,2,FALSE)</f>
        <v>RetailCoreX</v>
      </c>
      <c r="C1512" s="24" t="s">
        <v>1879</v>
      </c>
      <c r="D1512" s="10">
        <v>46023</v>
      </c>
      <c r="E1512" s="10">
        <v>46053</v>
      </c>
      <c r="F1512" s="4">
        <v>2147.7800000000002</v>
      </c>
      <c r="G1512" s="3">
        <f>SUMIF(Customer_Payments!B:B,C1512,Customer_Payments!E:E)</f>
        <v>2147.7800000000002</v>
      </c>
      <c r="H1512" s="3">
        <f t="shared" si="69"/>
        <v>0</v>
      </c>
      <c r="I1512" s="29">
        <f t="shared" si="70"/>
        <v>38</v>
      </c>
      <c r="J1512" s="31" t="str">
        <f t="shared" si="71"/>
        <v>31-60</v>
      </c>
      <c r="K1512"/>
    </row>
    <row r="1513" spans="1:11" x14ac:dyDescent="0.3">
      <c r="A1513" s="21" t="s">
        <v>7</v>
      </c>
      <c r="B1513" t="str">
        <f>VLOOKUP(A1513,Customers!A:B,2,FALSE)</f>
        <v>BrightCart</v>
      </c>
      <c r="C1513" s="25" t="s">
        <v>1880</v>
      </c>
      <c r="D1513" s="11">
        <v>46089</v>
      </c>
      <c r="E1513" s="11">
        <v>46119</v>
      </c>
      <c r="F1513" s="5">
        <v>2015.87</v>
      </c>
      <c r="G1513" s="3">
        <f>SUMIF(Customer_Payments!B:B,C1513,Customer_Payments!E:E)</f>
        <v>2015.87</v>
      </c>
      <c r="H1513" s="3">
        <f t="shared" si="69"/>
        <v>0</v>
      </c>
      <c r="I1513" s="29">
        <f t="shared" si="70"/>
        <v>-28</v>
      </c>
      <c r="J1513" s="31" t="str">
        <f t="shared" si="71"/>
        <v>Current</v>
      </c>
      <c r="K1513"/>
    </row>
    <row r="1514" spans="1:11" x14ac:dyDescent="0.3">
      <c r="A1514" s="20" t="s">
        <v>78</v>
      </c>
      <c r="B1514" t="str">
        <f>VLOOKUP(A1514,Customers!A:B,2,FALSE)</f>
        <v>RetailOrbitX</v>
      </c>
      <c r="C1514" s="24" t="s">
        <v>1881</v>
      </c>
      <c r="D1514" s="10">
        <v>45967</v>
      </c>
      <c r="E1514" s="10">
        <v>45997</v>
      </c>
      <c r="F1514" s="4">
        <v>3467.14</v>
      </c>
      <c r="G1514" s="3">
        <f>SUMIF(Customer_Payments!B:B,C1514,Customer_Payments!E:E)</f>
        <v>3467.14</v>
      </c>
      <c r="H1514" s="3">
        <f t="shared" si="69"/>
        <v>0</v>
      </c>
      <c r="I1514" s="29">
        <f t="shared" si="70"/>
        <v>94</v>
      </c>
      <c r="J1514" s="31" t="str">
        <f t="shared" si="71"/>
        <v>90+</v>
      </c>
      <c r="K1514"/>
    </row>
    <row r="1515" spans="1:11" x14ac:dyDescent="0.3">
      <c r="A1515" s="21" t="s">
        <v>107</v>
      </c>
      <c r="B1515" t="str">
        <f>VLOOKUP(A1515,Customers!A:B,2,FALSE)</f>
        <v>RetailWorksPro</v>
      </c>
      <c r="C1515" s="25" t="s">
        <v>1882</v>
      </c>
      <c r="D1515" s="11">
        <v>46055</v>
      </c>
      <c r="E1515" s="11">
        <v>46085</v>
      </c>
      <c r="F1515" s="5">
        <v>1946.38</v>
      </c>
      <c r="G1515" s="3">
        <f>SUMIF(Customer_Payments!B:B,C1515,Customer_Payments!E:E)</f>
        <v>1946.38</v>
      </c>
      <c r="H1515" s="3">
        <f t="shared" si="69"/>
        <v>0</v>
      </c>
      <c r="I1515" s="29">
        <f t="shared" si="70"/>
        <v>6</v>
      </c>
      <c r="J1515" s="31" t="str">
        <f t="shared" si="71"/>
        <v>1-30</v>
      </c>
      <c r="K1515"/>
    </row>
    <row r="1516" spans="1:11" x14ac:dyDescent="0.3">
      <c r="A1516" s="20" t="s">
        <v>111</v>
      </c>
      <c r="B1516" t="str">
        <f>VLOOKUP(A1516,Customers!A:B,2,FALSE)</f>
        <v>RetailPulsePro</v>
      </c>
      <c r="C1516" s="24" t="s">
        <v>1883</v>
      </c>
      <c r="D1516" s="10">
        <v>46035</v>
      </c>
      <c r="E1516" s="10">
        <v>46065</v>
      </c>
      <c r="F1516" s="4">
        <v>1908.91</v>
      </c>
      <c r="G1516" s="3">
        <f>SUMIF(Customer_Payments!B:B,C1516,Customer_Payments!E:E)</f>
        <v>0</v>
      </c>
      <c r="H1516" s="3">
        <f t="shared" si="69"/>
        <v>1908.91</v>
      </c>
      <c r="I1516" s="29">
        <f t="shared" si="70"/>
        <v>26</v>
      </c>
      <c r="J1516" s="31" t="str">
        <f t="shared" si="71"/>
        <v>1-30</v>
      </c>
      <c r="K1516"/>
    </row>
    <row r="1517" spans="1:11" x14ac:dyDescent="0.3">
      <c r="A1517" s="21" t="s">
        <v>55</v>
      </c>
      <c r="B1517" t="str">
        <f>VLOOKUP(A1517,Customers!A:B,2,FALSE)</f>
        <v>CommerceLabs</v>
      </c>
      <c r="C1517" s="25" t="s">
        <v>1884</v>
      </c>
      <c r="D1517" s="11">
        <v>45989</v>
      </c>
      <c r="E1517" s="11">
        <v>46019</v>
      </c>
      <c r="F1517" s="5">
        <v>1760.53</v>
      </c>
      <c r="G1517" s="3">
        <f>SUMIF(Customer_Payments!B:B,C1517,Customer_Payments!E:E)</f>
        <v>0</v>
      </c>
      <c r="H1517" s="3">
        <f t="shared" si="69"/>
        <v>1760.53</v>
      </c>
      <c r="I1517" s="29">
        <f t="shared" si="70"/>
        <v>72</v>
      </c>
      <c r="J1517" s="31" t="str">
        <f t="shared" si="71"/>
        <v>61-90</v>
      </c>
      <c r="K1517"/>
    </row>
    <row r="1518" spans="1:11" x14ac:dyDescent="0.3">
      <c r="A1518" s="20" t="s">
        <v>22</v>
      </c>
      <c r="B1518" t="str">
        <f>VLOOKUP(A1518,Customers!A:B,2,FALSE)</f>
        <v>QuantumRetail</v>
      </c>
      <c r="C1518" s="24" t="s">
        <v>1885</v>
      </c>
      <c r="D1518" s="10">
        <v>46042</v>
      </c>
      <c r="E1518" s="10">
        <v>46072</v>
      </c>
      <c r="F1518" s="4">
        <v>3301.15</v>
      </c>
      <c r="G1518" s="3">
        <f>SUMIF(Customer_Payments!B:B,C1518,Customer_Payments!E:E)</f>
        <v>0</v>
      </c>
      <c r="H1518" s="3">
        <f t="shared" si="69"/>
        <v>3301.15</v>
      </c>
      <c r="I1518" s="29">
        <f t="shared" si="70"/>
        <v>19</v>
      </c>
      <c r="J1518" s="31" t="str">
        <f t="shared" si="71"/>
        <v>1-30</v>
      </c>
      <c r="K1518"/>
    </row>
    <row r="1519" spans="1:11" x14ac:dyDescent="0.3">
      <c r="A1519" s="21" t="s">
        <v>102</v>
      </c>
      <c r="B1519" t="str">
        <f>VLOOKUP(A1519,Customers!A:B,2,FALSE)</f>
        <v>RetailPrimePro</v>
      </c>
      <c r="C1519" s="25" t="s">
        <v>1886</v>
      </c>
      <c r="D1519" s="11">
        <v>46010</v>
      </c>
      <c r="E1519" s="11">
        <v>46040</v>
      </c>
      <c r="F1519" s="5">
        <v>11378.31</v>
      </c>
      <c r="G1519" s="3">
        <f>SUMIF(Customer_Payments!B:B,C1519,Customer_Payments!E:E)</f>
        <v>11378.31</v>
      </c>
      <c r="H1519" s="3">
        <f t="shared" si="69"/>
        <v>0</v>
      </c>
      <c r="I1519" s="29">
        <f t="shared" si="70"/>
        <v>51</v>
      </c>
      <c r="J1519" s="31" t="str">
        <f t="shared" si="71"/>
        <v>31-60</v>
      </c>
      <c r="K1519"/>
    </row>
    <row r="1520" spans="1:11" x14ac:dyDescent="0.3">
      <c r="A1520" s="20" t="s">
        <v>18</v>
      </c>
      <c r="B1520" t="str">
        <f>VLOOKUP(A1520,Customers!A:B,2,FALSE)</f>
        <v>BluePeak Systems</v>
      </c>
      <c r="C1520" s="24" t="s">
        <v>1887</v>
      </c>
      <c r="D1520" s="10">
        <v>46069</v>
      </c>
      <c r="E1520" s="10">
        <v>46099</v>
      </c>
      <c r="F1520" s="4">
        <v>3310.11</v>
      </c>
      <c r="G1520" s="3">
        <f>SUMIF(Customer_Payments!B:B,C1520,Customer_Payments!E:E)</f>
        <v>3310.11</v>
      </c>
      <c r="H1520" s="3">
        <f t="shared" si="69"/>
        <v>0</v>
      </c>
      <c r="I1520" s="29">
        <f t="shared" si="70"/>
        <v>-8</v>
      </c>
      <c r="J1520" s="31" t="str">
        <f t="shared" si="71"/>
        <v>Current</v>
      </c>
      <c r="K1520"/>
    </row>
    <row r="1521" spans="1:11" x14ac:dyDescent="0.3">
      <c r="A1521" s="21" t="s">
        <v>70</v>
      </c>
      <c r="B1521" t="str">
        <f>VLOOKUP(A1521,Customers!A:B,2,FALSE)</f>
        <v>RetailPath</v>
      </c>
      <c r="C1521" s="25" t="s">
        <v>1888</v>
      </c>
      <c r="D1521" s="11">
        <v>46056</v>
      </c>
      <c r="E1521" s="11">
        <v>46086</v>
      </c>
      <c r="F1521" s="5">
        <v>3675.33</v>
      </c>
      <c r="G1521" s="3">
        <f>SUMIF(Customer_Payments!B:B,C1521,Customer_Payments!E:E)</f>
        <v>3675.33</v>
      </c>
      <c r="H1521" s="3">
        <f t="shared" si="69"/>
        <v>0</v>
      </c>
      <c r="I1521" s="29">
        <f t="shared" si="70"/>
        <v>5</v>
      </c>
      <c r="J1521" s="31" t="str">
        <f t="shared" si="71"/>
        <v>1-30</v>
      </c>
      <c r="K1521"/>
    </row>
    <row r="1522" spans="1:11" x14ac:dyDescent="0.3">
      <c r="A1522" s="20" t="s">
        <v>33</v>
      </c>
      <c r="B1522" t="str">
        <f>VLOOKUP(A1522,Customers!A:B,2,FALSE)</f>
        <v>CloudCart</v>
      </c>
      <c r="C1522" s="24" t="s">
        <v>1889</v>
      </c>
      <c r="D1522" s="10">
        <v>46094</v>
      </c>
      <c r="E1522" s="10">
        <v>46124</v>
      </c>
      <c r="F1522" s="4">
        <v>2036.8</v>
      </c>
      <c r="G1522" s="3">
        <f>SUMIF(Customer_Payments!B:B,C1522,Customer_Payments!E:E)</f>
        <v>2036.8</v>
      </c>
      <c r="H1522" s="3">
        <f t="shared" si="69"/>
        <v>0</v>
      </c>
      <c r="I1522" s="29">
        <f t="shared" si="70"/>
        <v>-33</v>
      </c>
      <c r="J1522" s="31" t="str">
        <f t="shared" si="71"/>
        <v>Current</v>
      </c>
      <c r="K1522"/>
    </row>
    <row r="1523" spans="1:11" x14ac:dyDescent="0.3">
      <c r="A1523" s="21" t="s">
        <v>118</v>
      </c>
      <c r="B1523" t="str">
        <f>VLOOKUP(A1523,Customers!A:B,2,FALSE)</f>
        <v>RetailEdgeGlobal</v>
      </c>
      <c r="C1523" s="25" t="s">
        <v>1890</v>
      </c>
      <c r="D1523" s="11">
        <v>46005</v>
      </c>
      <c r="E1523" s="11">
        <v>46035</v>
      </c>
      <c r="F1523" s="5">
        <v>2635.3</v>
      </c>
      <c r="G1523" s="3">
        <f>SUMIF(Customer_Payments!B:B,C1523,Customer_Payments!E:E)</f>
        <v>2635.3</v>
      </c>
      <c r="H1523" s="3">
        <f t="shared" si="69"/>
        <v>0</v>
      </c>
      <c r="I1523" s="29">
        <f t="shared" si="70"/>
        <v>56</v>
      </c>
      <c r="J1523" s="31" t="str">
        <f t="shared" si="71"/>
        <v>31-60</v>
      </c>
      <c r="K1523"/>
    </row>
    <row r="1524" spans="1:11" x14ac:dyDescent="0.3">
      <c r="A1524" s="20" t="s">
        <v>91</v>
      </c>
      <c r="B1524" t="str">
        <f>VLOOKUP(A1524,Customers!A:B,2,FALSE)</f>
        <v>RetailBridgeX</v>
      </c>
      <c r="C1524" s="24" t="s">
        <v>1891</v>
      </c>
      <c r="D1524" s="10">
        <v>46004</v>
      </c>
      <c r="E1524" s="10">
        <v>46034</v>
      </c>
      <c r="F1524" s="4">
        <v>2569.1</v>
      </c>
      <c r="G1524" s="3">
        <f>SUMIF(Customer_Payments!B:B,C1524,Customer_Payments!E:E)</f>
        <v>2569.1</v>
      </c>
      <c r="H1524" s="3">
        <f t="shared" si="69"/>
        <v>0</v>
      </c>
      <c r="I1524" s="29">
        <f t="shared" si="70"/>
        <v>57</v>
      </c>
      <c r="J1524" s="31" t="str">
        <f t="shared" si="71"/>
        <v>31-60</v>
      </c>
      <c r="K1524"/>
    </row>
    <row r="1525" spans="1:11" x14ac:dyDescent="0.3">
      <c r="A1525" s="21" t="s">
        <v>15</v>
      </c>
      <c r="B1525" t="str">
        <f>VLOOKUP(A1525,Customers!A:B,2,FALSE)</f>
        <v>CloudScale</v>
      </c>
      <c r="C1525" s="25" t="s">
        <v>1892</v>
      </c>
      <c r="D1525" s="11">
        <v>46110</v>
      </c>
      <c r="E1525" s="11">
        <v>46140</v>
      </c>
      <c r="F1525" s="5">
        <v>1847.31</v>
      </c>
      <c r="G1525" s="3">
        <f>SUMIF(Customer_Payments!B:B,C1525,Customer_Payments!E:E)</f>
        <v>1847.31</v>
      </c>
      <c r="H1525" s="3">
        <f t="shared" si="69"/>
        <v>0</v>
      </c>
      <c r="I1525" s="29">
        <f t="shared" si="70"/>
        <v>-49</v>
      </c>
      <c r="J1525" s="31" t="str">
        <f t="shared" si="71"/>
        <v>Current</v>
      </c>
      <c r="K1525"/>
    </row>
    <row r="1526" spans="1:11" x14ac:dyDescent="0.3">
      <c r="A1526" s="20" t="s">
        <v>79</v>
      </c>
      <c r="B1526" t="str">
        <f>VLOOKUP(A1526,Customers!A:B,2,FALSE)</f>
        <v>RetailBoostX</v>
      </c>
      <c r="C1526" s="24" t="s">
        <v>1893</v>
      </c>
      <c r="D1526" s="10">
        <v>46010</v>
      </c>
      <c r="E1526" s="10">
        <v>46040</v>
      </c>
      <c r="F1526" s="4">
        <v>2979.54</v>
      </c>
      <c r="G1526" s="3">
        <f>SUMIF(Customer_Payments!B:B,C1526,Customer_Payments!E:E)</f>
        <v>2979.54</v>
      </c>
      <c r="H1526" s="3">
        <f t="shared" si="69"/>
        <v>0</v>
      </c>
      <c r="I1526" s="29">
        <f t="shared" si="70"/>
        <v>51</v>
      </c>
      <c r="J1526" s="31" t="str">
        <f t="shared" si="71"/>
        <v>31-60</v>
      </c>
      <c r="K1526"/>
    </row>
    <row r="1527" spans="1:11" x14ac:dyDescent="0.3">
      <c r="A1527" s="21" t="s">
        <v>93</v>
      </c>
      <c r="B1527" t="str">
        <f>VLOOKUP(A1527,Customers!A:B,2,FALSE)</f>
        <v>RetailSphereX</v>
      </c>
      <c r="C1527" s="25" t="s">
        <v>1894</v>
      </c>
      <c r="D1527" s="11">
        <v>46101</v>
      </c>
      <c r="E1527" s="11">
        <v>46131</v>
      </c>
      <c r="F1527" s="5">
        <v>5762.01</v>
      </c>
      <c r="G1527" s="3">
        <f>SUMIF(Customer_Payments!B:B,C1527,Customer_Payments!E:E)</f>
        <v>5762.01</v>
      </c>
      <c r="H1527" s="3">
        <f t="shared" si="69"/>
        <v>0</v>
      </c>
      <c r="I1527" s="29">
        <f t="shared" si="70"/>
        <v>-40</v>
      </c>
      <c r="J1527" s="31" t="str">
        <f t="shared" si="71"/>
        <v>Current</v>
      </c>
      <c r="K1527"/>
    </row>
    <row r="1528" spans="1:11" x14ac:dyDescent="0.3">
      <c r="A1528" s="20" t="s">
        <v>39</v>
      </c>
      <c r="B1528" t="str">
        <f>VLOOKUP(A1528,Customers!A:B,2,FALSE)</f>
        <v>VisionCommerce</v>
      </c>
      <c r="C1528" s="24" t="s">
        <v>1895</v>
      </c>
      <c r="D1528" s="10">
        <v>46017</v>
      </c>
      <c r="E1528" s="10">
        <v>46047</v>
      </c>
      <c r="F1528" s="4">
        <v>3590.34</v>
      </c>
      <c r="G1528" s="3">
        <f>SUMIF(Customer_Payments!B:B,C1528,Customer_Payments!E:E)</f>
        <v>3590.34</v>
      </c>
      <c r="H1528" s="3">
        <f t="shared" si="69"/>
        <v>0</v>
      </c>
      <c r="I1528" s="29">
        <f t="shared" si="70"/>
        <v>44</v>
      </c>
      <c r="J1528" s="31" t="str">
        <f t="shared" si="71"/>
        <v>31-60</v>
      </c>
      <c r="K1528"/>
    </row>
    <row r="1529" spans="1:11" x14ac:dyDescent="0.3">
      <c r="A1529" s="21" t="s">
        <v>89</v>
      </c>
      <c r="B1529" t="str">
        <f>VLOOKUP(A1529,Customers!A:B,2,FALSE)</f>
        <v>RetailAxisX</v>
      </c>
      <c r="C1529" s="25" t="s">
        <v>1896</v>
      </c>
      <c r="D1529" s="11">
        <v>45990</v>
      </c>
      <c r="E1529" s="11">
        <v>46020</v>
      </c>
      <c r="F1529" s="5">
        <v>1843.28</v>
      </c>
      <c r="G1529" s="3">
        <f>SUMIF(Customer_Payments!B:B,C1529,Customer_Payments!E:E)</f>
        <v>0</v>
      </c>
      <c r="H1529" s="3">
        <f t="shared" si="69"/>
        <v>1843.28</v>
      </c>
      <c r="I1529" s="29">
        <f t="shared" si="70"/>
        <v>71</v>
      </c>
      <c r="J1529" s="31" t="str">
        <f t="shared" si="71"/>
        <v>61-90</v>
      </c>
      <c r="K1529"/>
    </row>
    <row r="1530" spans="1:11" x14ac:dyDescent="0.3">
      <c r="A1530" s="20" t="s">
        <v>59</v>
      </c>
      <c r="B1530" t="str">
        <f>VLOOKUP(A1530,Customers!A:B,2,FALSE)</f>
        <v>MarketBridge</v>
      </c>
      <c r="C1530" s="24" t="s">
        <v>1897</v>
      </c>
      <c r="D1530" s="10">
        <v>46079</v>
      </c>
      <c r="E1530" s="10">
        <v>46109</v>
      </c>
      <c r="F1530" s="4">
        <v>2119.0100000000002</v>
      </c>
      <c r="G1530" s="3">
        <f>SUMIF(Customer_Payments!B:B,C1530,Customer_Payments!E:E)</f>
        <v>2119.0100000000002</v>
      </c>
      <c r="H1530" s="3">
        <f t="shared" si="69"/>
        <v>0</v>
      </c>
      <c r="I1530" s="29">
        <f t="shared" si="70"/>
        <v>-18</v>
      </c>
      <c r="J1530" s="31" t="str">
        <f t="shared" si="71"/>
        <v>Current</v>
      </c>
      <c r="K1530"/>
    </row>
    <row r="1531" spans="1:11" x14ac:dyDescent="0.3">
      <c r="A1531" s="21" t="s">
        <v>73</v>
      </c>
      <c r="B1531" t="str">
        <f>VLOOKUP(A1531,Customers!A:B,2,FALSE)</f>
        <v>RetailWave</v>
      </c>
      <c r="C1531" s="25" t="s">
        <v>1898</v>
      </c>
      <c r="D1531" s="11">
        <v>46110</v>
      </c>
      <c r="E1531" s="11">
        <v>46140</v>
      </c>
      <c r="F1531" s="5">
        <v>2121.7199999999998</v>
      </c>
      <c r="G1531" s="3">
        <f>SUMIF(Customer_Payments!B:B,C1531,Customer_Payments!E:E)</f>
        <v>2121.7199999999998</v>
      </c>
      <c r="H1531" s="3">
        <f t="shared" si="69"/>
        <v>0</v>
      </c>
      <c r="I1531" s="29">
        <f t="shared" si="70"/>
        <v>-49</v>
      </c>
      <c r="J1531" s="31" t="str">
        <f t="shared" si="71"/>
        <v>Current</v>
      </c>
      <c r="K1531"/>
    </row>
    <row r="1532" spans="1:11" x14ac:dyDescent="0.3">
      <c r="A1532" s="20" t="s">
        <v>60</v>
      </c>
      <c r="B1532" t="str">
        <f>VLOOKUP(A1532,Customers!A:B,2,FALSE)</f>
        <v>RetailSpark</v>
      </c>
      <c r="C1532" s="24" t="s">
        <v>1899</v>
      </c>
      <c r="D1532" s="10">
        <v>46054</v>
      </c>
      <c r="E1532" s="10">
        <v>46084</v>
      </c>
      <c r="F1532" s="4">
        <v>3460.56</v>
      </c>
      <c r="G1532" s="3">
        <f>SUMIF(Customer_Payments!B:B,C1532,Customer_Payments!E:E)</f>
        <v>3460.56</v>
      </c>
      <c r="H1532" s="3">
        <f t="shared" si="69"/>
        <v>0</v>
      </c>
      <c r="I1532" s="29">
        <f t="shared" si="70"/>
        <v>7</v>
      </c>
      <c r="J1532" s="31" t="str">
        <f t="shared" si="71"/>
        <v>1-30</v>
      </c>
      <c r="K1532"/>
    </row>
    <row r="1533" spans="1:11" x14ac:dyDescent="0.3">
      <c r="A1533" s="21" t="s">
        <v>17</v>
      </c>
      <c r="B1533" t="str">
        <f>VLOOKUP(A1533,Customers!A:B,2,FALSE)</f>
        <v>AlphaCommerce</v>
      </c>
      <c r="C1533" s="25" t="s">
        <v>1900</v>
      </c>
      <c r="D1533" s="11">
        <v>45973</v>
      </c>
      <c r="E1533" s="11">
        <v>46003</v>
      </c>
      <c r="F1533" s="5">
        <v>3428.41</v>
      </c>
      <c r="G1533" s="3">
        <f>SUMIF(Customer_Payments!B:B,C1533,Customer_Payments!E:E)</f>
        <v>3428.41</v>
      </c>
      <c r="H1533" s="3">
        <f t="shared" si="69"/>
        <v>0</v>
      </c>
      <c r="I1533" s="29">
        <f t="shared" si="70"/>
        <v>88</v>
      </c>
      <c r="J1533" s="31" t="str">
        <f t="shared" si="71"/>
        <v>61-90</v>
      </c>
      <c r="K1533"/>
    </row>
    <row r="1534" spans="1:11" x14ac:dyDescent="0.3">
      <c r="A1534" s="20" t="s">
        <v>61</v>
      </c>
      <c r="B1534" t="str">
        <f>VLOOKUP(A1534,Customers!A:B,2,FALSE)</f>
        <v>RetailOrbit</v>
      </c>
      <c r="C1534" s="24" t="s">
        <v>1901</v>
      </c>
      <c r="D1534" s="10">
        <v>46044</v>
      </c>
      <c r="E1534" s="10">
        <v>46074</v>
      </c>
      <c r="F1534" s="4">
        <v>3930.74</v>
      </c>
      <c r="G1534" s="3">
        <f>SUMIF(Customer_Payments!B:B,C1534,Customer_Payments!E:E)</f>
        <v>0</v>
      </c>
      <c r="H1534" s="3">
        <f t="shared" si="69"/>
        <v>3930.74</v>
      </c>
      <c r="I1534" s="29">
        <f t="shared" si="70"/>
        <v>17</v>
      </c>
      <c r="J1534" s="31" t="str">
        <f t="shared" si="71"/>
        <v>1-30</v>
      </c>
      <c r="K1534"/>
    </row>
    <row r="1535" spans="1:11" x14ac:dyDescent="0.3">
      <c r="A1535" s="21" t="s">
        <v>15</v>
      </c>
      <c r="B1535" t="str">
        <f>VLOOKUP(A1535,Customers!A:B,2,FALSE)</f>
        <v>CloudScale</v>
      </c>
      <c r="C1535" s="25" t="s">
        <v>1902</v>
      </c>
      <c r="D1535" s="11">
        <v>45988</v>
      </c>
      <c r="E1535" s="11">
        <v>46018</v>
      </c>
      <c r="F1535" s="5">
        <v>3500.39</v>
      </c>
      <c r="G1535" s="3">
        <f>SUMIF(Customer_Payments!B:B,C1535,Customer_Payments!E:E)</f>
        <v>3500.39</v>
      </c>
      <c r="H1535" s="3">
        <f t="shared" si="69"/>
        <v>0</v>
      </c>
      <c r="I1535" s="29">
        <f t="shared" si="70"/>
        <v>73</v>
      </c>
      <c r="J1535" s="31" t="str">
        <f t="shared" si="71"/>
        <v>61-90</v>
      </c>
      <c r="K1535"/>
    </row>
    <row r="1536" spans="1:11" x14ac:dyDescent="0.3">
      <c r="A1536" s="20" t="s">
        <v>10</v>
      </c>
      <c r="B1536" t="str">
        <f>VLOOKUP(A1536,Customers!A:B,2,FALSE)</f>
        <v>LaunchLabs</v>
      </c>
      <c r="C1536" s="24" t="s">
        <v>1903</v>
      </c>
      <c r="D1536" s="10">
        <v>46064</v>
      </c>
      <c r="E1536" s="10">
        <v>46094</v>
      </c>
      <c r="F1536" s="4">
        <v>1890.21</v>
      </c>
      <c r="G1536" s="3">
        <f>SUMIF(Customer_Payments!B:B,C1536,Customer_Payments!E:E)</f>
        <v>1890.21</v>
      </c>
      <c r="H1536" s="3">
        <f t="shared" si="69"/>
        <v>0</v>
      </c>
      <c r="I1536" s="29">
        <f t="shared" si="70"/>
        <v>-3</v>
      </c>
      <c r="J1536" s="31" t="str">
        <f t="shared" si="71"/>
        <v>Current</v>
      </c>
      <c r="K1536"/>
    </row>
    <row r="1537" spans="1:11" x14ac:dyDescent="0.3">
      <c r="A1537" s="21" t="s">
        <v>67</v>
      </c>
      <c r="B1537" t="str">
        <f>VLOOKUP(A1537,Customers!A:B,2,FALSE)</f>
        <v>RetailDynamics</v>
      </c>
      <c r="C1537" s="25" t="s">
        <v>1904</v>
      </c>
      <c r="D1537" s="11">
        <v>46061</v>
      </c>
      <c r="E1537" s="11">
        <v>46091</v>
      </c>
      <c r="F1537" s="5">
        <v>3916.11</v>
      </c>
      <c r="G1537" s="3">
        <f>SUMIF(Customer_Payments!B:B,C1537,Customer_Payments!E:E)</f>
        <v>3916.11</v>
      </c>
      <c r="H1537" s="3">
        <f t="shared" si="69"/>
        <v>0</v>
      </c>
      <c r="I1537" s="29">
        <f t="shared" si="70"/>
        <v>0</v>
      </c>
      <c r="J1537" s="31" t="str">
        <f t="shared" si="71"/>
        <v>Current</v>
      </c>
      <c r="K1537"/>
    </row>
    <row r="1538" spans="1:11" x14ac:dyDescent="0.3">
      <c r="A1538" s="20" t="s">
        <v>73</v>
      </c>
      <c r="B1538" t="str">
        <f>VLOOKUP(A1538,Customers!A:B,2,FALSE)</f>
        <v>RetailWave</v>
      </c>
      <c r="C1538" s="24" t="s">
        <v>1905</v>
      </c>
      <c r="D1538" s="10">
        <v>46094</v>
      </c>
      <c r="E1538" s="10">
        <v>46124</v>
      </c>
      <c r="F1538" s="4">
        <v>5917.61</v>
      </c>
      <c r="G1538" s="3">
        <f>SUMIF(Customer_Payments!B:B,C1538,Customer_Payments!E:E)</f>
        <v>0</v>
      </c>
      <c r="H1538" s="3">
        <f t="shared" ref="H1538:H1601" si="72">MAX(F1538-G1538,0)</f>
        <v>5917.61</v>
      </c>
      <c r="I1538" s="29">
        <f t="shared" ref="I1538:I1601" si="73">$L$2-E1538</f>
        <v>-33</v>
      </c>
      <c r="J1538" s="31" t="str">
        <f t="shared" si="71"/>
        <v>Current</v>
      </c>
      <c r="K1538"/>
    </row>
    <row r="1539" spans="1:11" x14ac:dyDescent="0.3">
      <c r="A1539" s="21" t="s">
        <v>104</v>
      </c>
      <c r="B1539" t="str">
        <f>VLOOKUP(A1539,Customers!A:B,2,FALSE)</f>
        <v>RetailCorePro</v>
      </c>
      <c r="C1539" s="25" t="s">
        <v>1906</v>
      </c>
      <c r="D1539" s="11">
        <v>45980</v>
      </c>
      <c r="E1539" s="11">
        <v>46010</v>
      </c>
      <c r="F1539" s="5">
        <v>5887.1</v>
      </c>
      <c r="G1539" s="3">
        <f>SUMIF(Customer_Payments!B:B,C1539,Customer_Payments!E:E)</f>
        <v>5887.1</v>
      </c>
      <c r="H1539" s="3">
        <f t="shared" si="72"/>
        <v>0</v>
      </c>
      <c r="I1539" s="29">
        <f t="shared" si="73"/>
        <v>81</v>
      </c>
      <c r="J1539" s="31" t="str">
        <f t="shared" ref="J1539:J1602" si="74">IF(I1539&lt;=0,"Current",
IF(I1539&lt;=30,"1-30",
IF(I1539&lt;=60,"31-60",
IF(I1539&lt;=90,"61-90","90+"))))</f>
        <v>61-90</v>
      </c>
      <c r="K1539"/>
    </row>
    <row r="1540" spans="1:11" x14ac:dyDescent="0.3">
      <c r="A1540" s="20" t="s">
        <v>14</v>
      </c>
      <c r="B1540" t="str">
        <f>VLOOKUP(A1540,Customers!A:B,2,FALSE)</f>
        <v>MarketPulse</v>
      </c>
      <c r="C1540" s="24" t="s">
        <v>1907</v>
      </c>
      <c r="D1540" s="10">
        <v>45975</v>
      </c>
      <c r="E1540" s="10">
        <v>46005</v>
      </c>
      <c r="F1540" s="4">
        <v>3150.42</v>
      </c>
      <c r="G1540" s="3">
        <f>SUMIF(Customer_Payments!B:B,C1540,Customer_Payments!E:E)</f>
        <v>3150.42</v>
      </c>
      <c r="H1540" s="3">
        <f t="shared" si="72"/>
        <v>0</v>
      </c>
      <c r="I1540" s="29">
        <f t="shared" si="73"/>
        <v>86</v>
      </c>
      <c r="J1540" s="31" t="str">
        <f t="shared" si="74"/>
        <v>61-90</v>
      </c>
      <c r="K1540"/>
    </row>
    <row r="1541" spans="1:11" x14ac:dyDescent="0.3">
      <c r="A1541" s="21" t="s">
        <v>23</v>
      </c>
      <c r="B1541" t="str">
        <f>VLOOKUP(A1541,Customers!A:B,2,FALSE)</f>
        <v>VertexCommerce</v>
      </c>
      <c r="C1541" s="25" t="s">
        <v>1908</v>
      </c>
      <c r="D1541" s="11">
        <v>46019</v>
      </c>
      <c r="E1541" s="11">
        <v>46049</v>
      </c>
      <c r="F1541" s="5">
        <v>2852.87</v>
      </c>
      <c r="G1541" s="3">
        <f>SUMIF(Customer_Payments!B:B,C1541,Customer_Payments!E:E)</f>
        <v>2852.87</v>
      </c>
      <c r="H1541" s="3">
        <f t="shared" si="72"/>
        <v>0</v>
      </c>
      <c r="I1541" s="29">
        <f t="shared" si="73"/>
        <v>42</v>
      </c>
      <c r="J1541" s="31" t="str">
        <f t="shared" si="74"/>
        <v>31-60</v>
      </c>
      <c r="K1541"/>
    </row>
    <row r="1542" spans="1:11" x14ac:dyDescent="0.3">
      <c r="A1542" s="20" t="s">
        <v>87</v>
      </c>
      <c r="B1542" t="str">
        <f>VLOOKUP(A1542,Customers!A:B,2,FALSE)</f>
        <v>RetailStreamX</v>
      </c>
      <c r="C1542" s="24" t="s">
        <v>1909</v>
      </c>
      <c r="D1542" s="10">
        <v>46048</v>
      </c>
      <c r="E1542" s="10">
        <v>46078</v>
      </c>
      <c r="F1542" s="4">
        <v>3502.94</v>
      </c>
      <c r="G1542" s="3">
        <f>SUMIF(Customer_Payments!B:B,C1542,Customer_Payments!E:E)</f>
        <v>3502.94</v>
      </c>
      <c r="H1542" s="3">
        <f t="shared" si="72"/>
        <v>0</v>
      </c>
      <c r="I1542" s="29">
        <f t="shared" si="73"/>
        <v>13</v>
      </c>
      <c r="J1542" s="31" t="str">
        <f t="shared" si="74"/>
        <v>1-30</v>
      </c>
      <c r="K1542"/>
    </row>
    <row r="1543" spans="1:11" x14ac:dyDescent="0.3">
      <c r="A1543" s="21" t="s">
        <v>44</v>
      </c>
      <c r="B1543" t="str">
        <f>VLOOKUP(A1543,Customers!A:B,2,FALSE)</f>
        <v>BrightMarket</v>
      </c>
      <c r="C1543" s="25" t="s">
        <v>1910</v>
      </c>
      <c r="D1543" s="11">
        <v>45993</v>
      </c>
      <c r="E1543" s="11">
        <v>46023</v>
      </c>
      <c r="F1543" s="5">
        <v>9915.7900000000009</v>
      </c>
      <c r="G1543" s="3">
        <f>SUMIF(Customer_Payments!B:B,C1543,Customer_Payments!E:E)</f>
        <v>9915.7900000000009</v>
      </c>
      <c r="H1543" s="3">
        <f t="shared" si="72"/>
        <v>0</v>
      </c>
      <c r="I1543" s="29">
        <f t="shared" si="73"/>
        <v>68</v>
      </c>
      <c r="J1543" s="31" t="str">
        <f t="shared" si="74"/>
        <v>61-90</v>
      </c>
      <c r="K1543"/>
    </row>
    <row r="1544" spans="1:11" x14ac:dyDescent="0.3">
      <c r="A1544" s="20" t="s">
        <v>83</v>
      </c>
      <c r="B1544" t="str">
        <f>VLOOKUP(A1544,Customers!A:B,2,FALSE)</f>
        <v>RetailCoreX</v>
      </c>
      <c r="C1544" s="24" t="s">
        <v>1911</v>
      </c>
      <c r="D1544" s="10">
        <v>46086</v>
      </c>
      <c r="E1544" s="10">
        <v>46116</v>
      </c>
      <c r="F1544" s="4">
        <v>11528.08</v>
      </c>
      <c r="G1544" s="3">
        <f>SUMIF(Customer_Payments!B:B,C1544,Customer_Payments!E:E)</f>
        <v>11528.08</v>
      </c>
      <c r="H1544" s="3">
        <f t="shared" si="72"/>
        <v>0</v>
      </c>
      <c r="I1544" s="29">
        <f t="shared" si="73"/>
        <v>-25</v>
      </c>
      <c r="J1544" s="31" t="str">
        <f t="shared" si="74"/>
        <v>Current</v>
      </c>
      <c r="K1544"/>
    </row>
    <row r="1545" spans="1:11" x14ac:dyDescent="0.3">
      <c r="A1545" s="21" t="s">
        <v>61</v>
      </c>
      <c r="B1545" t="str">
        <f>VLOOKUP(A1545,Customers!A:B,2,FALSE)</f>
        <v>RetailOrbit</v>
      </c>
      <c r="C1545" s="25" t="s">
        <v>1912</v>
      </c>
      <c r="D1545" s="11">
        <v>46086</v>
      </c>
      <c r="E1545" s="11">
        <v>46116</v>
      </c>
      <c r="F1545" s="5">
        <v>1889.29</v>
      </c>
      <c r="G1545" s="3">
        <f>SUMIF(Customer_Payments!B:B,C1545,Customer_Payments!E:E)</f>
        <v>1889.29</v>
      </c>
      <c r="H1545" s="3">
        <f t="shared" si="72"/>
        <v>0</v>
      </c>
      <c r="I1545" s="29">
        <f t="shared" si="73"/>
        <v>-25</v>
      </c>
      <c r="J1545" s="31" t="str">
        <f t="shared" si="74"/>
        <v>Current</v>
      </c>
      <c r="K1545"/>
    </row>
    <row r="1546" spans="1:11" x14ac:dyDescent="0.3">
      <c r="A1546" s="20" t="s">
        <v>107</v>
      </c>
      <c r="B1546" t="str">
        <f>VLOOKUP(A1546,Customers!A:B,2,FALSE)</f>
        <v>RetailWorksPro</v>
      </c>
      <c r="C1546" s="24" t="s">
        <v>1913</v>
      </c>
      <c r="D1546" s="10">
        <v>46094</v>
      </c>
      <c r="E1546" s="10">
        <v>46124</v>
      </c>
      <c r="F1546" s="4">
        <v>3666.92</v>
      </c>
      <c r="G1546" s="3">
        <f>SUMIF(Customer_Payments!B:B,C1546,Customer_Payments!E:E)</f>
        <v>0</v>
      </c>
      <c r="H1546" s="3">
        <f t="shared" si="72"/>
        <v>3666.92</v>
      </c>
      <c r="I1546" s="29">
        <f t="shared" si="73"/>
        <v>-33</v>
      </c>
      <c r="J1546" s="31" t="str">
        <f t="shared" si="74"/>
        <v>Current</v>
      </c>
      <c r="K1546"/>
    </row>
    <row r="1547" spans="1:11" x14ac:dyDescent="0.3">
      <c r="A1547" s="21" t="s">
        <v>20</v>
      </c>
      <c r="B1547" t="str">
        <f>VLOOKUP(A1547,Customers!A:B,2,FALSE)</f>
        <v>GrowthSphere</v>
      </c>
      <c r="C1547" s="25" t="s">
        <v>1914</v>
      </c>
      <c r="D1547" s="11">
        <v>46016</v>
      </c>
      <c r="E1547" s="11">
        <v>46046</v>
      </c>
      <c r="F1547" s="5">
        <v>2944.89</v>
      </c>
      <c r="G1547" s="3">
        <f>SUMIF(Customer_Payments!B:B,C1547,Customer_Payments!E:E)</f>
        <v>2944.89</v>
      </c>
      <c r="H1547" s="3">
        <f t="shared" si="72"/>
        <v>0</v>
      </c>
      <c r="I1547" s="29">
        <f t="shared" si="73"/>
        <v>45</v>
      </c>
      <c r="J1547" s="31" t="str">
        <f t="shared" si="74"/>
        <v>31-60</v>
      </c>
      <c r="K1547"/>
    </row>
    <row r="1548" spans="1:11" x14ac:dyDescent="0.3">
      <c r="A1548" s="20" t="s">
        <v>31</v>
      </c>
      <c r="B1548" t="str">
        <f>VLOOKUP(A1548,Customers!A:B,2,FALSE)</f>
        <v>SparkRetail</v>
      </c>
      <c r="C1548" s="24" t="s">
        <v>1915</v>
      </c>
      <c r="D1548" s="10">
        <v>46058</v>
      </c>
      <c r="E1548" s="10">
        <v>46088</v>
      </c>
      <c r="F1548" s="4">
        <v>3114.21</v>
      </c>
      <c r="G1548" s="3">
        <f>SUMIF(Customer_Payments!B:B,C1548,Customer_Payments!E:E)</f>
        <v>0</v>
      </c>
      <c r="H1548" s="3">
        <f t="shared" si="72"/>
        <v>3114.21</v>
      </c>
      <c r="I1548" s="29">
        <f t="shared" si="73"/>
        <v>3</v>
      </c>
      <c r="J1548" s="31" t="str">
        <f t="shared" si="74"/>
        <v>1-30</v>
      </c>
      <c r="K1548"/>
    </row>
    <row r="1549" spans="1:11" x14ac:dyDescent="0.3">
      <c r="A1549" s="21" t="s">
        <v>68</v>
      </c>
      <c r="B1549" t="str">
        <f>VLOOKUP(A1549,Customers!A:B,2,FALSE)</f>
        <v>RetailVision</v>
      </c>
      <c r="C1549" s="25" t="s">
        <v>1916</v>
      </c>
      <c r="D1549" s="11">
        <v>46092</v>
      </c>
      <c r="E1549" s="11">
        <v>46122</v>
      </c>
      <c r="F1549" s="5">
        <v>2976.37</v>
      </c>
      <c r="G1549" s="3">
        <f>SUMIF(Customer_Payments!B:B,C1549,Customer_Payments!E:E)</f>
        <v>2976.37</v>
      </c>
      <c r="H1549" s="3">
        <f t="shared" si="72"/>
        <v>0</v>
      </c>
      <c r="I1549" s="29">
        <f t="shared" si="73"/>
        <v>-31</v>
      </c>
      <c r="J1549" s="31" t="str">
        <f t="shared" si="74"/>
        <v>Current</v>
      </c>
      <c r="K1549"/>
    </row>
    <row r="1550" spans="1:11" x14ac:dyDescent="0.3">
      <c r="A1550" s="20" t="s">
        <v>12</v>
      </c>
      <c r="B1550" t="str">
        <f>VLOOKUP(A1550,Customers!A:B,2,FALSE)</f>
        <v>ShopOrbit</v>
      </c>
      <c r="C1550" s="24" t="s">
        <v>1917</v>
      </c>
      <c r="D1550" s="10">
        <v>46050</v>
      </c>
      <c r="E1550" s="10">
        <v>46080</v>
      </c>
      <c r="F1550" s="4">
        <v>1887.01</v>
      </c>
      <c r="G1550" s="3">
        <f>SUMIF(Customer_Payments!B:B,C1550,Customer_Payments!E:E)</f>
        <v>1887.01</v>
      </c>
      <c r="H1550" s="3">
        <f t="shared" si="72"/>
        <v>0</v>
      </c>
      <c r="I1550" s="29">
        <f t="shared" si="73"/>
        <v>11</v>
      </c>
      <c r="J1550" s="31" t="str">
        <f t="shared" si="74"/>
        <v>1-30</v>
      </c>
      <c r="K1550"/>
    </row>
    <row r="1551" spans="1:11" x14ac:dyDescent="0.3">
      <c r="A1551" s="21" t="s">
        <v>90</v>
      </c>
      <c r="B1551" t="str">
        <f>VLOOKUP(A1551,Customers!A:B,2,FALSE)</f>
        <v>RetailPulseX</v>
      </c>
      <c r="C1551" s="25" t="s">
        <v>1918</v>
      </c>
      <c r="D1551" s="11">
        <v>46098</v>
      </c>
      <c r="E1551" s="11">
        <v>46128</v>
      </c>
      <c r="F1551" s="5">
        <v>2553.2199999999998</v>
      </c>
      <c r="G1551" s="3">
        <f>SUMIF(Customer_Payments!B:B,C1551,Customer_Payments!E:E)</f>
        <v>2553.2199999999998</v>
      </c>
      <c r="H1551" s="3">
        <f t="shared" si="72"/>
        <v>0</v>
      </c>
      <c r="I1551" s="29">
        <f t="shared" si="73"/>
        <v>-37</v>
      </c>
      <c r="J1551" s="31" t="str">
        <f t="shared" si="74"/>
        <v>Current</v>
      </c>
      <c r="K1551"/>
    </row>
    <row r="1552" spans="1:11" x14ac:dyDescent="0.3">
      <c r="A1552" s="20" t="s">
        <v>25</v>
      </c>
      <c r="B1552" t="str">
        <f>VLOOKUP(A1552,Customers!A:B,2,FALSE)</f>
        <v>OrbitEdge</v>
      </c>
      <c r="C1552" s="24" t="s">
        <v>1919</v>
      </c>
      <c r="D1552" s="10">
        <v>46069</v>
      </c>
      <c r="E1552" s="10">
        <v>46099</v>
      </c>
      <c r="F1552" s="4">
        <v>2311.19</v>
      </c>
      <c r="G1552" s="3">
        <f>SUMIF(Customer_Payments!B:B,C1552,Customer_Payments!E:E)</f>
        <v>0</v>
      </c>
      <c r="H1552" s="3">
        <f t="shared" si="72"/>
        <v>2311.19</v>
      </c>
      <c r="I1552" s="29">
        <f t="shared" si="73"/>
        <v>-8</v>
      </c>
      <c r="J1552" s="31" t="str">
        <f t="shared" si="74"/>
        <v>Current</v>
      </c>
      <c r="K1552"/>
    </row>
    <row r="1553" spans="1:11" x14ac:dyDescent="0.3">
      <c r="A1553" s="21" t="s">
        <v>8</v>
      </c>
      <c r="B1553" t="str">
        <f>VLOOKUP(A1553,Customers!A:B,2,FALSE)</f>
        <v>NexaSoft</v>
      </c>
      <c r="C1553" s="25" t="s">
        <v>1920</v>
      </c>
      <c r="D1553" s="11">
        <v>46107</v>
      </c>
      <c r="E1553" s="11">
        <v>46137</v>
      </c>
      <c r="F1553" s="5">
        <v>11081.64</v>
      </c>
      <c r="G1553" s="3">
        <f>SUMIF(Customer_Payments!B:B,C1553,Customer_Payments!E:E)</f>
        <v>11081.64</v>
      </c>
      <c r="H1553" s="3">
        <f t="shared" si="72"/>
        <v>0</v>
      </c>
      <c r="I1553" s="29">
        <f t="shared" si="73"/>
        <v>-46</v>
      </c>
      <c r="J1553" s="31" t="str">
        <f t="shared" si="74"/>
        <v>Current</v>
      </c>
      <c r="K1553"/>
    </row>
    <row r="1554" spans="1:11" x14ac:dyDescent="0.3">
      <c r="A1554" s="20" t="s">
        <v>71</v>
      </c>
      <c r="B1554" t="str">
        <f>VLOOKUP(A1554,Customers!A:B,2,FALSE)</f>
        <v>RetailPulse</v>
      </c>
      <c r="C1554" s="24" t="s">
        <v>1921</v>
      </c>
      <c r="D1554" s="10">
        <v>46110</v>
      </c>
      <c r="E1554" s="10">
        <v>46140</v>
      </c>
      <c r="F1554" s="4">
        <v>3621.02</v>
      </c>
      <c r="G1554" s="3">
        <f>SUMIF(Customer_Payments!B:B,C1554,Customer_Payments!E:E)</f>
        <v>3621.02</v>
      </c>
      <c r="H1554" s="3">
        <f t="shared" si="72"/>
        <v>0</v>
      </c>
      <c r="I1554" s="29">
        <f t="shared" si="73"/>
        <v>-49</v>
      </c>
      <c r="J1554" s="31" t="str">
        <f t="shared" si="74"/>
        <v>Current</v>
      </c>
      <c r="K1554"/>
    </row>
    <row r="1555" spans="1:11" x14ac:dyDescent="0.3">
      <c r="A1555" s="21" t="s">
        <v>32</v>
      </c>
      <c r="B1555" t="str">
        <f>VLOOKUP(A1555,Customers!A:B,2,FALSE)</f>
        <v>RetailVista</v>
      </c>
      <c r="C1555" s="25" t="s">
        <v>1922</v>
      </c>
      <c r="D1555" s="11">
        <v>46081</v>
      </c>
      <c r="E1555" s="11">
        <v>46111</v>
      </c>
      <c r="F1555" s="5">
        <v>4002.18</v>
      </c>
      <c r="G1555" s="3">
        <f>SUMIF(Customer_Payments!B:B,C1555,Customer_Payments!E:E)</f>
        <v>4002.18</v>
      </c>
      <c r="H1555" s="3">
        <f t="shared" si="72"/>
        <v>0</v>
      </c>
      <c r="I1555" s="29">
        <f t="shared" si="73"/>
        <v>-20</v>
      </c>
      <c r="J1555" s="31" t="str">
        <f t="shared" si="74"/>
        <v>Current</v>
      </c>
      <c r="K1555"/>
    </row>
    <row r="1556" spans="1:11" x14ac:dyDescent="0.3">
      <c r="A1556" s="20" t="s">
        <v>92</v>
      </c>
      <c r="B1556" t="str">
        <f>VLOOKUP(A1556,Customers!A:B,2,FALSE)</f>
        <v>RetailMatrixX</v>
      </c>
      <c r="C1556" s="24" t="s">
        <v>1923</v>
      </c>
      <c r="D1556" s="10">
        <v>46033</v>
      </c>
      <c r="E1556" s="10">
        <v>46063</v>
      </c>
      <c r="F1556" s="4">
        <v>2094.12</v>
      </c>
      <c r="G1556" s="3">
        <f>SUMIF(Customer_Payments!B:B,C1556,Customer_Payments!E:E)</f>
        <v>2094.12</v>
      </c>
      <c r="H1556" s="3">
        <f t="shared" si="72"/>
        <v>0</v>
      </c>
      <c r="I1556" s="29">
        <f t="shared" si="73"/>
        <v>28</v>
      </c>
      <c r="J1556" s="31" t="str">
        <f t="shared" si="74"/>
        <v>1-30</v>
      </c>
      <c r="K1556"/>
    </row>
    <row r="1557" spans="1:11" x14ac:dyDescent="0.3">
      <c r="A1557" s="21" t="s">
        <v>116</v>
      </c>
      <c r="B1557" t="str">
        <f>VLOOKUP(A1557,Customers!A:B,2,FALSE)</f>
        <v>RetailLabsPro</v>
      </c>
      <c r="C1557" s="25" t="s">
        <v>1924</v>
      </c>
      <c r="D1557" s="11">
        <v>46075</v>
      </c>
      <c r="E1557" s="11">
        <v>46105</v>
      </c>
      <c r="F1557" s="5">
        <v>12934.95</v>
      </c>
      <c r="G1557" s="3">
        <f>SUMIF(Customer_Payments!B:B,C1557,Customer_Payments!E:E)</f>
        <v>12934.95</v>
      </c>
      <c r="H1557" s="3">
        <f t="shared" si="72"/>
        <v>0</v>
      </c>
      <c r="I1557" s="29">
        <f t="shared" si="73"/>
        <v>-14</v>
      </c>
      <c r="J1557" s="31" t="str">
        <f t="shared" si="74"/>
        <v>Current</v>
      </c>
      <c r="K1557"/>
    </row>
    <row r="1558" spans="1:11" x14ac:dyDescent="0.3">
      <c r="A1558" s="20" t="s">
        <v>49</v>
      </c>
      <c r="B1558" t="str">
        <f>VLOOKUP(A1558,Customers!A:B,2,FALSE)</f>
        <v>CommercePilot</v>
      </c>
      <c r="C1558" s="24" t="s">
        <v>1925</v>
      </c>
      <c r="D1558" s="10">
        <v>45967</v>
      </c>
      <c r="E1558" s="10">
        <v>45997</v>
      </c>
      <c r="F1558" s="4">
        <v>3592.54</v>
      </c>
      <c r="G1558" s="3">
        <f>SUMIF(Customer_Payments!B:B,C1558,Customer_Payments!E:E)</f>
        <v>3592.54</v>
      </c>
      <c r="H1558" s="3">
        <f t="shared" si="72"/>
        <v>0</v>
      </c>
      <c r="I1558" s="29">
        <f t="shared" si="73"/>
        <v>94</v>
      </c>
      <c r="J1558" s="31" t="str">
        <f t="shared" si="74"/>
        <v>90+</v>
      </c>
      <c r="K1558"/>
    </row>
    <row r="1559" spans="1:11" x14ac:dyDescent="0.3">
      <c r="A1559" s="21" t="s">
        <v>124</v>
      </c>
      <c r="B1559" t="str">
        <f>VLOOKUP(A1559,Customers!A:B,2,FALSE)</f>
        <v>RetailOrbitGlobal</v>
      </c>
      <c r="C1559" s="25" t="s">
        <v>1926</v>
      </c>
      <c r="D1559" s="11">
        <v>45989</v>
      </c>
      <c r="E1559" s="11">
        <v>46019</v>
      </c>
      <c r="F1559" s="5">
        <v>4209.7</v>
      </c>
      <c r="G1559" s="3">
        <f>SUMIF(Customer_Payments!B:B,C1559,Customer_Payments!E:E)</f>
        <v>4209.7</v>
      </c>
      <c r="H1559" s="3">
        <f t="shared" si="72"/>
        <v>0</v>
      </c>
      <c r="I1559" s="29">
        <f t="shared" si="73"/>
        <v>72</v>
      </c>
      <c r="J1559" s="31" t="str">
        <f t="shared" si="74"/>
        <v>61-90</v>
      </c>
      <c r="K1559"/>
    </row>
    <row r="1560" spans="1:11" x14ac:dyDescent="0.3">
      <c r="A1560" s="20" t="s">
        <v>34</v>
      </c>
      <c r="B1560" t="str">
        <f>VLOOKUP(A1560,Customers!A:B,2,FALSE)</f>
        <v>OptiCommerce</v>
      </c>
      <c r="C1560" s="24" t="s">
        <v>1927</v>
      </c>
      <c r="D1560" s="10">
        <v>45995</v>
      </c>
      <c r="E1560" s="10">
        <v>46025</v>
      </c>
      <c r="F1560" s="4">
        <v>3166.52</v>
      </c>
      <c r="G1560" s="3">
        <f>SUMIF(Customer_Payments!B:B,C1560,Customer_Payments!E:E)</f>
        <v>3166.52</v>
      </c>
      <c r="H1560" s="3">
        <f t="shared" si="72"/>
        <v>0</v>
      </c>
      <c r="I1560" s="29">
        <f t="shared" si="73"/>
        <v>66</v>
      </c>
      <c r="J1560" s="31" t="str">
        <f t="shared" si="74"/>
        <v>61-90</v>
      </c>
      <c r="K1560"/>
    </row>
    <row r="1561" spans="1:11" x14ac:dyDescent="0.3">
      <c r="A1561" s="21" t="s">
        <v>55</v>
      </c>
      <c r="B1561" t="str">
        <f>VLOOKUP(A1561,Customers!A:B,2,FALSE)</f>
        <v>CommerceLabs</v>
      </c>
      <c r="C1561" s="25" t="s">
        <v>1928</v>
      </c>
      <c r="D1561" s="11">
        <v>46109</v>
      </c>
      <c r="E1561" s="11">
        <v>46139</v>
      </c>
      <c r="F1561" s="5">
        <v>4961.49</v>
      </c>
      <c r="G1561" s="3">
        <f>SUMIF(Customer_Payments!B:B,C1561,Customer_Payments!E:E)</f>
        <v>0</v>
      </c>
      <c r="H1561" s="3">
        <f t="shared" si="72"/>
        <v>4961.49</v>
      </c>
      <c r="I1561" s="29">
        <f t="shared" si="73"/>
        <v>-48</v>
      </c>
      <c r="J1561" s="31" t="str">
        <f t="shared" si="74"/>
        <v>Current</v>
      </c>
      <c r="K1561"/>
    </row>
    <row r="1562" spans="1:11" x14ac:dyDescent="0.3">
      <c r="A1562" s="20" t="s">
        <v>16</v>
      </c>
      <c r="B1562" t="str">
        <f>VLOOKUP(A1562,Customers!A:B,2,FALSE)</f>
        <v>RetailHub</v>
      </c>
      <c r="C1562" s="24" t="s">
        <v>1929</v>
      </c>
      <c r="D1562" s="10">
        <v>46035</v>
      </c>
      <c r="E1562" s="10">
        <v>46065</v>
      </c>
      <c r="F1562" s="4">
        <v>4800.63</v>
      </c>
      <c r="G1562" s="3">
        <f>SUMIF(Customer_Payments!B:B,C1562,Customer_Payments!E:E)</f>
        <v>4800.63</v>
      </c>
      <c r="H1562" s="3">
        <f t="shared" si="72"/>
        <v>0</v>
      </c>
      <c r="I1562" s="29">
        <f t="shared" si="73"/>
        <v>26</v>
      </c>
      <c r="J1562" s="31" t="str">
        <f t="shared" si="74"/>
        <v>1-30</v>
      </c>
      <c r="K1562"/>
    </row>
    <row r="1563" spans="1:11" x14ac:dyDescent="0.3">
      <c r="A1563" s="21" t="s">
        <v>31</v>
      </c>
      <c r="B1563" t="str">
        <f>VLOOKUP(A1563,Customers!A:B,2,FALSE)</f>
        <v>SparkRetail</v>
      </c>
      <c r="C1563" s="25" t="s">
        <v>1930</v>
      </c>
      <c r="D1563" s="11">
        <v>46033</v>
      </c>
      <c r="E1563" s="11">
        <v>46063</v>
      </c>
      <c r="F1563" s="5">
        <v>2030.02</v>
      </c>
      <c r="G1563" s="3">
        <f>SUMIF(Customer_Payments!B:B,C1563,Customer_Payments!E:E)</f>
        <v>2030.02</v>
      </c>
      <c r="H1563" s="3">
        <f t="shared" si="72"/>
        <v>0</v>
      </c>
      <c r="I1563" s="29">
        <f t="shared" si="73"/>
        <v>28</v>
      </c>
      <c r="J1563" s="31" t="str">
        <f t="shared" si="74"/>
        <v>1-30</v>
      </c>
      <c r="K1563"/>
    </row>
    <row r="1564" spans="1:11" x14ac:dyDescent="0.3">
      <c r="A1564" s="20" t="s">
        <v>10</v>
      </c>
      <c r="B1564" t="str">
        <f>VLOOKUP(A1564,Customers!A:B,2,FALSE)</f>
        <v>LaunchLabs</v>
      </c>
      <c r="C1564" s="24" t="s">
        <v>1931</v>
      </c>
      <c r="D1564" s="10">
        <v>46006</v>
      </c>
      <c r="E1564" s="10">
        <v>46036</v>
      </c>
      <c r="F1564" s="4">
        <v>1861.69</v>
      </c>
      <c r="G1564" s="3">
        <f>SUMIF(Customer_Payments!B:B,C1564,Customer_Payments!E:E)</f>
        <v>1861.69</v>
      </c>
      <c r="H1564" s="3">
        <f t="shared" si="72"/>
        <v>0</v>
      </c>
      <c r="I1564" s="29">
        <f t="shared" si="73"/>
        <v>55</v>
      </c>
      <c r="J1564" s="31" t="str">
        <f t="shared" si="74"/>
        <v>31-60</v>
      </c>
      <c r="K1564"/>
    </row>
    <row r="1565" spans="1:11" x14ac:dyDescent="0.3">
      <c r="A1565" s="21" t="s">
        <v>99</v>
      </c>
      <c r="B1565" t="str">
        <f>VLOOKUP(A1565,Customers!A:B,2,FALSE)</f>
        <v>RetailNovaPro</v>
      </c>
      <c r="C1565" s="25" t="s">
        <v>1932</v>
      </c>
      <c r="D1565" s="11">
        <v>46041</v>
      </c>
      <c r="E1565" s="11">
        <v>46071</v>
      </c>
      <c r="F1565" s="5">
        <v>4395.6499999999996</v>
      </c>
      <c r="G1565" s="3">
        <f>SUMIF(Customer_Payments!B:B,C1565,Customer_Payments!E:E)</f>
        <v>0</v>
      </c>
      <c r="H1565" s="3">
        <f t="shared" si="72"/>
        <v>4395.6499999999996</v>
      </c>
      <c r="I1565" s="29">
        <f t="shared" si="73"/>
        <v>20</v>
      </c>
      <c r="J1565" s="31" t="str">
        <f t="shared" si="74"/>
        <v>1-30</v>
      </c>
      <c r="K1565"/>
    </row>
    <row r="1566" spans="1:11" x14ac:dyDescent="0.3">
      <c r="A1566" s="20" t="s">
        <v>9</v>
      </c>
      <c r="B1566" t="str">
        <f>VLOOKUP(A1566,Customers!A:B,2,FALSE)</f>
        <v>UrbanRetail</v>
      </c>
      <c r="C1566" s="24" t="s">
        <v>1933</v>
      </c>
      <c r="D1566" s="10">
        <v>46090</v>
      </c>
      <c r="E1566" s="10">
        <v>46120</v>
      </c>
      <c r="F1566" s="4">
        <v>4679.63</v>
      </c>
      <c r="G1566" s="3">
        <f>SUMIF(Customer_Payments!B:B,C1566,Customer_Payments!E:E)</f>
        <v>4679.63</v>
      </c>
      <c r="H1566" s="3">
        <f t="shared" si="72"/>
        <v>0</v>
      </c>
      <c r="I1566" s="29">
        <f t="shared" si="73"/>
        <v>-29</v>
      </c>
      <c r="J1566" s="31" t="str">
        <f t="shared" si="74"/>
        <v>Current</v>
      </c>
      <c r="K1566"/>
    </row>
    <row r="1567" spans="1:11" x14ac:dyDescent="0.3">
      <c r="A1567" s="21" t="s">
        <v>24</v>
      </c>
      <c r="B1567" t="str">
        <f>VLOOKUP(A1567,Customers!A:B,2,FALSE)</f>
        <v>OmniTrade</v>
      </c>
      <c r="C1567" s="25" t="s">
        <v>1934</v>
      </c>
      <c r="D1567" s="11">
        <v>46053</v>
      </c>
      <c r="E1567" s="11">
        <v>46083</v>
      </c>
      <c r="F1567" s="5">
        <v>5685.76</v>
      </c>
      <c r="G1567" s="3">
        <f>SUMIF(Customer_Payments!B:B,C1567,Customer_Payments!E:E)</f>
        <v>0</v>
      </c>
      <c r="H1567" s="3">
        <f t="shared" si="72"/>
        <v>5685.76</v>
      </c>
      <c r="I1567" s="29">
        <f t="shared" si="73"/>
        <v>8</v>
      </c>
      <c r="J1567" s="31" t="str">
        <f t="shared" si="74"/>
        <v>1-30</v>
      </c>
      <c r="K1567"/>
    </row>
    <row r="1568" spans="1:11" x14ac:dyDescent="0.3">
      <c r="A1568" s="20" t="s">
        <v>33</v>
      </c>
      <c r="B1568" t="str">
        <f>VLOOKUP(A1568,Customers!A:B,2,FALSE)</f>
        <v>CloudCart</v>
      </c>
      <c r="C1568" s="24" t="s">
        <v>1935</v>
      </c>
      <c r="D1568" s="10">
        <v>46052</v>
      </c>
      <c r="E1568" s="10">
        <v>46082</v>
      </c>
      <c r="F1568" s="4">
        <v>12743.37</v>
      </c>
      <c r="G1568" s="3">
        <f>SUMIF(Customer_Payments!B:B,C1568,Customer_Payments!E:E)</f>
        <v>12743.37</v>
      </c>
      <c r="H1568" s="3">
        <f t="shared" si="72"/>
        <v>0</v>
      </c>
      <c r="I1568" s="29">
        <f t="shared" si="73"/>
        <v>9</v>
      </c>
      <c r="J1568" s="31" t="str">
        <f t="shared" si="74"/>
        <v>1-30</v>
      </c>
      <c r="K1568"/>
    </row>
    <row r="1569" spans="1:11" x14ac:dyDescent="0.3">
      <c r="A1569" s="21" t="s">
        <v>74</v>
      </c>
      <c r="B1569" t="str">
        <f>VLOOKUP(A1569,Customers!A:B,2,FALSE)</f>
        <v>RetailPrime</v>
      </c>
      <c r="C1569" s="25" t="s">
        <v>1936</v>
      </c>
      <c r="D1569" s="11">
        <v>46051</v>
      </c>
      <c r="E1569" s="11">
        <v>46081</v>
      </c>
      <c r="F1569" s="5">
        <v>2456.1999999999998</v>
      </c>
      <c r="G1569" s="3">
        <f>SUMIF(Customer_Payments!B:B,C1569,Customer_Payments!E:E)</f>
        <v>2456.1999999999998</v>
      </c>
      <c r="H1569" s="3">
        <f t="shared" si="72"/>
        <v>0</v>
      </c>
      <c r="I1569" s="29">
        <f t="shared" si="73"/>
        <v>10</v>
      </c>
      <c r="J1569" s="31" t="str">
        <f t="shared" si="74"/>
        <v>1-30</v>
      </c>
      <c r="K1569"/>
    </row>
    <row r="1570" spans="1:11" x14ac:dyDescent="0.3">
      <c r="A1570" s="20" t="s">
        <v>25</v>
      </c>
      <c r="B1570" t="str">
        <f>VLOOKUP(A1570,Customers!A:B,2,FALSE)</f>
        <v>OrbitEdge</v>
      </c>
      <c r="C1570" s="24" t="s">
        <v>1937</v>
      </c>
      <c r="D1570" s="10">
        <v>46056</v>
      </c>
      <c r="E1570" s="10">
        <v>46086</v>
      </c>
      <c r="F1570" s="4">
        <v>4034.33</v>
      </c>
      <c r="G1570" s="3">
        <f>SUMIF(Customer_Payments!B:B,C1570,Customer_Payments!E:E)</f>
        <v>4034.33</v>
      </c>
      <c r="H1570" s="3">
        <f t="shared" si="72"/>
        <v>0</v>
      </c>
      <c r="I1570" s="29">
        <f t="shared" si="73"/>
        <v>5</v>
      </c>
      <c r="J1570" s="31" t="str">
        <f t="shared" si="74"/>
        <v>1-30</v>
      </c>
      <c r="K1570"/>
    </row>
    <row r="1571" spans="1:11" x14ac:dyDescent="0.3">
      <c r="A1571" s="21" t="s">
        <v>54</v>
      </c>
      <c r="B1571" t="str">
        <f>VLOOKUP(A1571,Customers!A:B,2,FALSE)</f>
        <v>RetailEdge</v>
      </c>
      <c r="C1571" s="25" t="s">
        <v>1938</v>
      </c>
      <c r="D1571" s="11">
        <v>46051</v>
      </c>
      <c r="E1571" s="11">
        <v>46081</v>
      </c>
      <c r="F1571" s="5">
        <v>5589.8</v>
      </c>
      <c r="G1571" s="3">
        <f>SUMIF(Customer_Payments!B:B,C1571,Customer_Payments!E:E)</f>
        <v>5589.8</v>
      </c>
      <c r="H1571" s="3">
        <f t="shared" si="72"/>
        <v>0</v>
      </c>
      <c r="I1571" s="29">
        <f t="shared" si="73"/>
        <v>10</v>
      </c>
      <c r="J1571" s="31" t="str">
        <f t="shared" si="74"/>
        <v>1-30</v>
      </c>
      <c r="K1571"/>
    </row>
    <row r="1572" spans="1:11" x14ac:dyDescent="0.3">
      <c r="A1572" s="20" t="s">
        <v>104</v>
      </c>
      <c r="B1572" t="str">
        <f>VLOOKUP(A1572,Customers!A:B,2,FALSE)</f>
        <v>RetailCorePro</v>
      </c>
      <c r="C1572" s="24" t="s">
        <v>1939</v>
      </c>
      <c r="D1572" s="10">
        <v>45977</v>
      </c>
      <c r="E1572" s="10">
        <v>46007</v>
      </c>
      <c r="F1572" s="4">
        <v>2599.5500000000002</v>
      </c>
      <c r="G1572" s="3">
        <f>SUMIF(Customer_Payments!B:B,C1572,Customer_Payments!E:E)</f>
        <v>0</v>
      </c>
      <c r="H1572" s="3">
        <f t="shared" si="72"/>
        <v>2599.5500000000002</v>
      </c>
      <c r="I1572" s="29">
        <f t="shared" si="73"/>
        <v>84</v>
      </c>
      <c r="J1572" s="31" t="str">
        <f t="shared" si="74"/>
        <v>61-90</v>
      </c>
      <c r="K1572"/>
    </row>
    <row r="1573" spans="1:11" x14ac:dyDescent="0.3">
      <c r="A1573" s="21" t="s">
        <v>26</v>
      </c>
      <c r="B1573" t="str">
        <f>VLOOKUP(A1573,Customers!A:B,2,FALSE)</f>
        <v>NovaRetail</v>
      </c>
      <c r="C1573" s="25" t="s">
        <v>1940</v>
      </c>
      <c r="D1573" s="11">
        <v>46015</v>
      </c>
      <c r="E1573" s="11">
        <v>46045</v>
      </c>
      <c r="F1573" s="5">
        <v>3622.26</v>
      </c>
      <c r="G1573" s="3">
        <f>SUMIF(Customer_Payments!B:B,C1573,Customer_Payments!E:E)</f>
        <v>3622.26</v>
      </c>
      <c r="H1573" s="3">
        <f t="shared" si="72"/>
        <v>0</v>
      </c>
      <c r="I1573" s="29">
        <f t="shared" si="73"/>
        <v>46</v>
      </c>
      <c r="J1573" s="31" t="str">
        <f t="shared" si="74"/>
        <v>31-60</v>
      </c>
      <c r="K1573"/>
    </row>
    <row r="1574" spans="1:11" x14ac:dyDescent="0.3">
      <c r="A1574" s="20" t="s">
        <v>115</v>
      </c>
      <c r="B1574" t="str">
        <f>VLOOKUP(A1574,Customers!A:B,2,FALSE)</f>
        <v>RetailDynamicsPro</v>
      </c>
      <c r="C1574" s="24" t="s">
        <v>1941</v>
      </c>
      <c r="D1574" s="10">
        <v>46085</v>
      </c>
      <c r="E1574" s="10">
        <v>46115</v>
      </c>
      <c r="F1574" s="4">
        <v>2247.17</v>
      </c>
      <c r="G1574" s="3">
        <f>SUMIF(Customer_Payments!B:B,C1574,Customer_Payments!E:E)</f>
        <v>0</v>
      </c>
      <c r="H1574" s="3">
        <f t="shared" si="72"/>
        <v>2247.17</v>
      </c>
      <c r="I1574" s="29">
        <f t="shared" si="73"/>
        <v>-24</v>
      </c>
      <c r="J1574" s="31" t="str">
        <f t="shared" si="74"/>
        <v>Current</v>
      </c>
      <c r="K1574"/>
    </row>
    <row r="1575" spans="1:11" x14ac:dyDescent="0.3">
      <c r="A1575" s="21" t="s">
        <v>17</v>
      </c>
      <c r="B1575" t="str">
        <f>VLOOKUP(A1575,Customers!A:B,2,FALSE)</f>
        <v>AlphaCommerce</v>
      </c>
      <c r="C1575" s="25" t="s">
        <v>1942</v>
      </c>
      <c r="D1575" s="11">
        <v>46102</v>
      </c>
      <c r="E1575" s="11">
        <v>46132</v>
      </c>
      <c r="F1575" s="5">
        <v>4155.74</v>
      </c>
      <c r="G1575" s="3">
        <f>SUMIF(Customer_Payments!B:B,C1575,Customer_Payments!E:E)</f>
        <v>4155.74</v>
      </c>
      <c r="H1575" s="3">
        <f t="shared" si="72"/>
        <v>0</v>
      </c>
      <c r="I1575" s="29">
        <f t="shared" si="73"/>
        <v>-41</v>
      </c>
      <c r="J1575" s="31" t="str">
        <f t="shared" si="74"/>
        <v>Current</v>
      </c>
      <c r="K1575"/>
    </row>
    <row r="1576" spans="1:11" x14ac:dyDescent="0.3">
      <c r="A1576" s="20" t="s">
        <v>56</v>
      </c>
      <c r="B1576" t="str">
        <f>VLOOKUP(A1576,Customers!A:B,2,FALSE)</f>
        <v>RetailBoost</v>
      </c>
      <c r="C1576" s="24" t="s">
        <v>1943</v>
      </c>
      <c r="D1576" s="10">
        <v>46088</v>
      </c>
      <c r="E1576" s="10">
        <v>46118</v>
      </c>
      <c r="F1576" s="4">
        <v>13396.79</v>
      </c>
      <c r="G1576" s="3">
        <f>SUMIF(Customer_Payments!B:B,C1576,Customer_Payments!E:E)</f>
        <v>13396.79</v>
      </c>
      <c r="H1576" s="3">
        <f t="shared" si="72"/>
        <v>0</v>
      </c>
      <c r="I1576" s="29">
        <f t="shared" si="73"/>
        <v>-27</v>
      </c>
      <c r="J1576" s="31" t="str">
        <f t="shared" si="74"/>
        <v>Current</v>
      </c>
      <c r="K1576"/>
    </row>
    <row r="1577" spans="1:11" x14ac:dyDescent="0.3">
      <c r="A1577" s="21" t="s">
        <v>29</v>
      </c>
      <c r="B1577" t="str">
        <f>VLOOKUP(A1577,Customers!A:B,2,FALSE)</f>
        <v>DigitalBridge</v>
      </c>
      <c r="C1577" s="25" t="s">
        <v>1944</v>
      </c>
      <c r="D1577" s="11">
        <v>46100</v>
      </c>
      <c r="E1577" s="11">
        <v>46130</v>
      </c>
      <c r="F1577" s="5">
        <v>1980.82</v>
      </c>
      <c r="G1577" s="3">
        <f>SUMIF(Customer_Payments!B:B,C1577,Customer_Payments!E:E)</f>
        <v>1980.82</v>
      </c>
      <c r="H1577" s="3">
        <f t="shared" si="72"/>
        <v>0</v>
      </c>
      <c r="I1577" s="29">
        <f t="shared" si="73"/>
        <v>-39</v>
      </c>
      <c r="J1577" s="31" t="str">
        <f t="shared" si="74"/>
        <v>Current</v>
      </c>
      <c r="K1577"/>
    </row>
    <row r="1578" spans="1:11" x14ac:dyDescent="0.3">
      <c r="A1578" s="20" t="s">
        <v>70</v>
      </c>
      <c r="B1578" t="str">
        <f>VLOOKUP(A1578,Customers!A:B,2,FALSE)</f>
        <v>RetailPath</v>
      </c>
      <c r="C1578" s="24" t="s">
        <v>1945</v>
      </c>
      <c r="D1578" s="10">
        <v>46067</v>
      </c>
      <c r="E1578" s="10">
        <v>46097</v>
      </c>
      <c r="F1578" s="4">
        <v>2712.49</v>
      </c>
      <c r="G1578" s="3">
        <f>SUMIF(Customer_Payments!B:B,C1578,Customer_Payments!E:E)</f>
        <v>2712.49</v>
      </c>
      <c r="H1578" s="3">
        <f t="shared" si="72"/>
        <v>0</v>
      </c>
      <c r="I1578" s="29">
        <f t="shared" si="73"/>
        <v>-6</v>
      </c>
      <c r="J1578" s="31" t="str">
        <f t="shared" si="74"/>
        <v>Current</v>
      </c>
      <c r="K1578"/>
    </row>
    <row r="1579" spans="1:11" x14ac:dyDescent="0.3">
      <c r="A1579" s="21" t="s">
        <v>81</v>
      </c>
      <c r="B1579" t="str">
        <f>VLOOKUP(A1579,Customers!A:B,2,FALSE)</f>
        <v>RetailFlowX</v>
      </c>
      <c r="C1579" s="25" t="s">
        <v>1946</v>
      </c>
      <c r="D1579" s="11">
        <v>46052</v>
      </c>
      <c r="E1579" s="11">
        <v>46082</v>
      </c>
      <c r="F1579" s="5">
        <v>10888.01</v>
      </c>
      <c r="G1579" s="3">
        <f>SUMIF(Customer_Payments!B:B,C1579,Customer_Payments!E:E)</f>
        <v>0</v>
      </c>
      <c r="H1579" s="3">
        <f t="shared" si="72"/>
        <v>10888.01</v>
      </c>
      <c r="I1579" s="29">
        <f t="shared" si="73"/>
        <v>9</v>
      </c>
      <c r="J1579" s="31" t="str">
        <f t="shared" si="74"/>
        <v>1-30</v>
      </c>
      <c r="K1579"/>
    </row>
    <row r="1580" spans="1:11" x14ac:dyDescent="0.3">
      <c r="A1580" s="20" t="s">
        <v>37</v>
      </c>
      <c r="B1580" t="str">
        <f>VLOOKUP(A1580,Customers!A:B,2,FALSE)</f>
        <v>SmartCart</v>
      </c>
      <c r="C1580" s="24" t="s">
        <v>1947</v>
      </c>
      <c r="D1580" s="10">
        <v>46041</v>
      </c>
      <c r="E1580" s="10">
        <v>46071</v>
      </c>
      <c r="F1580" s="4">
        <v>1466.36</v>
      </c>
      <c r="G1580" s="3">
        <f>SUMIF(Customer_Payments!B:B,C1580,Customer_Payments!E:E)</f>
        <v>1466.36</v>
      </c>
      <c r="H1580" s="3">
        <f t="shared" si="72"/>
        <v>0</v>
      </c>
      <c r="I1580" s="29">
        <f t="shared" si="73"/>
        <v>20</v>
      </c>
      <c r="J1580" s="31" t="str">
        <f t="shared" si="74"/>
        <v>1-30</v>
      </c>
      <c r="K1580"/>
    </row>
    <row r="1581" spans="1:11" x14ac:dyDescent="0.3">
      <c r="A1581" s="21" t="s">
        <v>114</v>
      </c>
      <c r="B1581" t="str">
        <f>VLOOKUP(A1581,Customers!A:B,2,FALSE)</f>
        <v>RetailScalePro</v>
      </c>
      <c r="C1581" s="25" t="s">
        <v>1948</v>
      </c>
      <c r="D1581" s="11">
        <v>46051</v>
      </c>
      <c r="E1581" s="11">
        <v>46081</v>
      </c>
      <c r="F1581" s="5">
        <v>10649.25</v>
      </c>
      <c r="G1581" s="3">
        <f>SUMIF(Customer_Payments!B:B,C1581,Customer_Payments!E:E)</f>
        <v>10649.25</v>
      </c>
      <c r="H1581" s="3">
        <f t="shared" si="72"/>
        <v>0</v>
      </c>
      <c r="I1581" s="29">
        <f t="shared" si="73"/>
        <v>10</v>
      </c>
      <c r="J1581" s="31" t="str">
        <f t="shared" si="74"/>
        <v>1-30</v>
      </c>
      <c r="K1581"/>
    </row>
    <row r="1582" spans="1:11" x14ac:dyDescent="0.3">
      <c r="A1582" s="20" t="s">
        <v>44</v>
      </c>
      <c r="B1582" t="str">
        <f>VLOOKUP(A1582,Customers!A:B,2,FALSE)</f>
        <v>BrightMarket</v>
      </c>
      <c r="C1582" s="24" t="s">
        <v>1949</v>
      </c>
      <c r="D1582" s="10">
        <v>45969</v>
      </c>
      <c r="E1582" s="10">
        <v>45999</v>
      </c>
      <c r="F1582" s="4">
        <v>2254.5300000000002</v>
      </c>
      <c r="G1582" s="3">
        <f>SUMIF(Customer_Payments!B:B,C1582,Customer_Payments!E:E)</f>
        <v>0</v>
      </c>
      <c r="H1582" s="3">
        <f t="shared" si="72"/>
        <v>2254.5300000000002</v>
      </c>
      <c r="I1582" s="29">
        <f t="shared" si="73"/>
        <v>92</v>
      </c>
      <c r="J1582" s="31" t="str">
        <f t="shared" si="74"/>
        <v>90+</v>
      </c>
      <c r="K1582"/>
    </row>
    <row r="1583" spans="1:11" x14ac:dyDescent="0.3">
      <c r="A1583" s="21" t="s">
        <v>72</v>
      </c>
      <c r="B1583" t="str">
        <f>VLOOKUP(A1583,Customers!A:B,2,FALSE)</f>
        <v>RetailStream</v>
      </c>
      <c r="C1583" s="25" t="s">
        <v>1950</v>
      </c>
      <c r="D1583" s="11">
        <v>45979</v>
      </c>
      <c r="E1583" s="11">
        <v>46009</v>
      </c>
      <c r="F1583" s="5">
        <v>12090.34</v>
      </c>
      <c r="G1583" s="3">
        <f>SUMIF(Customer_Payments!B:B,C1583,Customer_Payments!E:E)</f>
        <v>12090.34</v>
      </c>
      <c r="H1583" s="3">
        <f t="shared" si="72"/>
        <v>0</v>
      </c>
      <c r="I1583" s="29">
        <f t="shared" si="73"/>
        <v>82</v>
      </c>
      <c r="J1583" s="31" t="str">
        <f t="shared" si="74"/>
        <v>61-90</v>
      </c>
      <c r="K1583"/>
    </row>
    <row r="1584" spans="1:11" x14ac:dyDescent="0.3">
      <c r="A1584" s="20" t="s">
        <v>54</v>
      </c>
      <c r="B1584" t="str">
        <f>VLOOKUP(A1584,Customers!A:B,2,FALSE)</f>
        <v>RetailEdge</v>
      </c>
      <c r="C1584" s="24" t="s">
        <v>1951</v>
      </c>
      <c r="D1584" s="10">
        <v>46065</v>
      </c>
      <c r="E1584" s="10">
        <v>46095</v>
      </c>
      <c r="F1584" s="4">
        <v>3270.92</v>
      </c>
      <c r="G1584" s="3">
        <f>SUMIF(Customer_Payments!B:B,C1584,Customer_Payments!E:E)</f>
        <v>3270.92</v>
      </c>
      <c r="H1584" s="3">
        <f t="shared" si="72"/>
        <v>0</v>
      </c>
      <c r="I1584" s="29">
        <f t="shared" si="73"/>
        <v>-4</v>
      </c>
      <c r="J1584" s="31" t="str">
        <f t="shared" si="74"/>
        <v>Current</v>
      </c>
      <c r="K1584"/>
    </row>
    <row r="1585" spans="1:11" x14ac:dyDescent="0.3">
      <c r="A1585" s="21" t="s">
        <v>36</v>
      </c>
      <c r="B1585" t="str">
        <f>VLOOKUP(A1585,Customers!A:B,2,FALSE)</f>
        <v>RapidMarket</v>
      </c>
      <c r="C1585" s="25" t="s">
        <v>1952</v>
      </c>
      <c r="D1585" s="11">
        <v>45994</v>
      </c>
      <c r="E1585" s="11">
        <v>46024</v>
      </c>
      <c r="F1585" s="5">
        <v>11121.7</v>
      </c>
      <c r="G1585" s="3">
        <f>SUMIF(Customer_Payments!B:B,C1585,Customer_Payments!E:E)</f>
        <v>11121.7</v>
      </c>
      <c r="H1585" s="3">
        <f t="shared" si="72"/>
        <v>0</v>
      </c>
      <c r="I1585" s="29">
        <f t="shared" si="73"/>
        <v>67</v>
      </c>
      <c r="J1585" s="31" t="str">
        <f t="shared" si="74"/>
        <v>61-90</v>
      </c>
      <c r="K1585"/>
    </row>
    <row r="1586" spans="1:11" x14ac:dyDescent="0.3">
      <c r="A1586" s="20" t="s">
        <v>71</v>
      </c>
      <c r="B1586" t="str">
        <f>VLOOKUP(A1586,Customers!A:B,2,FALSE)</f>
        <v>RetailPulse</v>
      </c>
      <c r="C1586" s="24" t="s">
        <v>1953</v>
      </c>
      <c r="D1586" s="10">
        <v>46046</v>
      </c>
      <c r="E1586" s="10">
        <v>46076</v>
      </c>
      <c r="F1586" s="4">
        <v>2645.35</v>
      </c>
      <c r="G1586" s="3">
        <f>SUMIF(Customer_Payments!B:B,C1586,Customer_Payments!E:E)</f>
        <v>2645.35</v>
      </c>
      <c r="H1586" s="3">
        <f t="shared" si="72"/>
        <v>0</v>
      </c>
      <c r="I1586" s="29">
        <f t="shared" si="73"/>
        <v>15</v>
      </c>
      <c r="J1586" s="31" t="str">
        <f t="shared" si="74"/>
        <v>1-30</v>
      </c>
      <c r="K1586"/>
    </row>
    <row r="1587" spans="1:11" x14ac:dyDescent="0.3">
      <c r="A1587" s="21" t="s">
        <v>19</v>
      </c>
      <c r="B1587" t="str">
        <f>VLOOKUP(A1587,Customers!A:B,2,FALSE)</f>
        <v>NextWave Digital</v>
      </c>
      <c r="C1587" s="25" t="s">
        <v>1954</v>
      </c>
      <c r="D1587" s="11">
        <v>45966</v>
      </c>
      <c r="E1587" s="11">
        <v>45996</v>
      </c>
      <c r="F1587" s="5">
        <v>3565.31</v>
      </c>
      <c r="G1587" s="3">
        <f>SUMIF(Customer_Payments!B:B,C1587,Customer_Payments!E:E)</f>
        <v>0</v>
      </c>
      <c r="H1587" s="3">
        <f t="shared" si="72"/>
        <v>3565.31</v>
      </c>
      <c r="I1587" s="29">
        <f t="shared" si="73"/>
        <v>95</v>
      </c>
      <c r="J1587" s="31" t="str">
        <f t="shared" si="74"/>
        <v>90+</v>
      </c>
      <c r="K1587"/>
    </row>
    <row r="1588" spans="1:11" x14ac:dyDescent="0.3">
      <c r="A1588" s="20" t="s">
        <v>32</v>
      </c>
      <c r="B1588" t="str">
        <f>VLOOKUP(A1588,Customers!A:B,2,FALSE)</f>
        <v>RetailVista</v>
      </c>
      <c r="C1588" s="24" t="s">
        <v>1955</v>
      </c>
      <c r="D1588" s="10">
        <v>46051</v>
      </c>
      <c r="E1588" s="10">
        <v>46081</v>
      </c>
      <c r="F1588" s="4">
        <v>2485.62</v>
      </c>
      <c r="G1588" s="3">
        <f>SUMIF(Customer_Payments!B:B,C1588,Customer_Payments!E:E)</f>
        <v>2485.62</v>
      </c>
      <c r="H1588" s="3">
        <f t="shared" si="72"/>
        <v>0</v>
      </c>
      <c r="I1588" s="29">
        <f t="shared" si="73"/>
        <v>10</v>
      </c>
      <c r="J1588" s="31" t="str">
        <f t="shared" si="74"/>
        <v>1-30</v>
      </c>
      <c r="K1588"/>
    </row>
    <row r="1589" spans="1:11" x14ac:dyDescent="0.3">
      <c r="A1589" s="21" t="s">
        <v>94</v>
      </c>
      <c r="B1589" t="str">
        <f>VLOOKUP(A1589,Customers!A:B,2,FALSE)</f>
        <v>RetailDynamicsX</v>
      </c>
      <c r="C1589" s="25" t="s">
        <v>1956</v>
      </c>
      <c r="D1589" s="11">
        <v>46042</v>
      </c>
      <c r="E1589" s="11">
        <v>46072</v>
      </c>
      <c r="F1589" s="5">
        <v>1677.05</v>
      </c>
      <c r="G1589" s="3">
        <f>SUMIF(Customer_Payments!B:B,C1589,Customer_Payments!E:E)</f>
        <v>0</v>
      </c>
      <c r="H1589" s="3">
        <f t="shared" si="72"/>
        <v>1677.05</v>
      </c>
      <c r="I1589" s="29">
        <f t="shared" si="73"/>
        <v>19</v>
      </c>
      <c r="J1589" s="31" t="str">
        <f t="shared" si="74"/>
        <v>1-30</v>
      </c>
      <c r="K1589"/>
    </row>
    <row r="1590" spans="1:11" x14ac:dyDescent="0.3">
      <c r="A1590" s="20" t="s">
        <v>103</v>
      </c>
      <c r="B1590" t="str">
        <f>VLOOKUP(A1590,Customers!A:B,2,FALSE)</f>
        <v>RetailVisionPro</v>
      </c>
      <c r="C1590" s="24" t="s">
        <v>1957</v>
      </c>
      <c r="D1590" s="10">
        <v>45999</v>
      </c>
      <c r="E1590" s="10">
        <v>46029</v>
      </c>
      <c r="F1590" s="4">
        <v>2190.64</v>
      </c>
      <c r="G1590" s="3">
        <f>SUMIF(Customer_Payments!B:B,C1590,Customer_Payments!E:E)</f>
        <v>0</v>
      </c>
      <c r="H1590" s="3">
        <f t="shared" si="72"/>
        <v>2190.64</v>
      </c>
      <c r="I1590" s="29">
        <f t="shared" si="73"/>
        <v>62</v>
      </c>
      <c r="J1590" s="31" t="str">
        <f t="shared" si="74"/>
        <v>61-90</v>
      </c>
      <c r="K1590"/>
    </row>
    <row r="1591" spans="1:11" x14ac:dyDescent="0.3">
      <c r="A1591" s="21" t="s">
        <v>43</v>
      </c>
      <c r="B1591" t="str">
        <f>VLOOKUP(A1591,Customers!A:B,2,FALSE)</f>
        <v>CommerceSpark</v>
      </c>
      <c r="C1591" s="25" t="s">
        <v>1958</v>
      </c>
      <c r="D1591" s="11">
        <v>46082</v>
      </c>
      <c r="E1591" s="11">
        <v>46112</v>
      </c>
      <c r="F1591" s="5">
        <v>1972.67</v>
      </c>
      <c r="G1591" s="3">
        <f>SUMIF(Customer_Payments!B:B,C1591,Customer_Payments!E:E)</f>
        <v>0</v>
      </c>
      <c r="H1591" s="3">
        <f t="shared" si="72"/>
        <v>1972.67</v>
      </c>
      <c r="I1591" s="29">
        <f t="shared" si="73"/>
        <v>-21</v>
      </c>
      <c r="J1591" s="31" t="str">
        <f t="shared" si="74"/>
        <v>Current</v>
      </c>
      <c r="K1591"/>
    </row>
    <row r="1592" spans="1:11" x14ac:dyDescent="0.3">
      <c r="A1592" s="20" t="s">
        <v>103</v>
      </c>
      <c r="B1592" t="str">
        <f>VLOOKUP(A1592,Customers!A:B,2,FALSE)</f>
        <v>RetailVisionPro</v>
      </c>
      <c r="C1592" s="24" t="s">
        <v>1959</v>
      </c>
      <c r="D1592" s="10">
        <v>46075</v>
      </c>
      <c r="E1592" s="10">
        <v>46105</v>
      </c>
      <c r="F1592" s="4">
        <v>2783.13</v>
      </c>
      <c r="G1592" s="3">
        <f>SUMIF(Customer_Payments!B:B,C1592,Customer_Payments!E:E)</f>
        <v>0</v>
      </c>
      <c r="H1592" s="3">
        <f t="shared" si="72"/>
        <v>2783.13</v>
      </c>
      <c r="I1592" s="29">
        <f t="shared" si="73"/>
        <v>-14</v>
      </c>
      <c r="J1592" s="31" t="str">
        <f t="shared" si="74"/>
        <v>Current</v>
      </c>
      <c r="K1592"/>
    </row>
    <row r="1593" spans="1:11" x14ac:dyDescent="0.3">
      <c r="A1593" s="21" t="s">
        <v>26</v>
      </c>
      <c r="B1593" t="str">
        <f>VLOOKUP(A1593,Customers!A:B,2,FALSE)</f>
        <v>NovaRetail</v>
      </c>
      <c r="C1593" s="25" t="s">
        <v>1960</v>
      </c>
      <c r="D1593" s="11">
        <v>46079</v>
      </c>
      <c r="E1593" s="11">
        <v>46109</v>
      </c>
      <c r="F1593" s="5">
        <v>1448.56</v>
      </c>
      <c r="G1593" s="3">
        <f>SUMIF(Customer_Payments!B:B,C1593,Customer_Payments!E:E)</f>
        <v>0</v>
      </c>
      <c r="H1593" s="3">
        <f t="shared" si="72"/>
        <v>1448.56</v>
      </c>
      <c r="I1593" s="29">
        <f t="shared" si="73"/>
        <v>-18</v>
      </c>
      <c r="J1593" s="31" t="str">
        <f t="shared" si="74"/>
        <v>Current</v>
      </c>
      <c r="K1593"/>
    </row>
    <row r="1594" spans="1:11" x14ac:dyDescent="0.3">
      <c r="A1594" s="20" t="s">
        <v>36</v>
      </c>
      <c r="B1594" t="str">
        <f>VLOOKUP(A1594,Customers!A:B,2,FALSE)</f>
        <v>RapidMarket</v>
      </c>
      <c r="C1594" s="24" t="s">
        <v>1961</v>
      </c>
      <c r="D1594" s="10">
        <v>46085</v>
      </c>
      <c r="E1594" s="10">
        <v>46115</v>
      </c>
      <c r="F1594" s="4">
        <v>10692.38</v>
      </c>
      <c r="G1594" s="3">
        <f>SUMIF(Customer_Payments!B:B,C1594,Customer_Payments!E:E)</f>
        <v>10692.380000000001</v>
      </c>
      <c r="H1594" s="3">
        <f t="shared" si="72"/>
        <v>0</v>
      </c>
      <c r="I1594" s="29">
        <f t="shared" si="73"/>
        <v>-24</v>
      </c>
      <c r="J1594" s="31" t="str">
        <f t="shared" si="74"/>
        <v>Current</v>
      </c>
      <c r="K1594"/>
    </row>
    <row r="1595" spans="1:11" x14ac:dyDescent="0.3">
      <c r="A1595" s="21" t="s">
        <v>66</v>
      </c>
      <c r="B1595" t="str">
        <f>VLOOKUP(A1595,Customers!A:B,2,FALSE)</f>
        <v>MarketWorks</v>
      </c>
      <c r="C1595" s="25" t="s">
        <v>1962</v>
      </c>
      <c r="D1595" s="11">
        <v>46099</v>
      </c>
      <c r="E1595" s="11">
        <v>46129</v>
      </c>
      <c r="F1595" s="5">
        <v>3621.81</v>
      </c>
      <c r="G1595" s="3">
        <f>SUMIF(Customer_Payments!B:B,C1595,Customer_Payments!E:E)</f>
        <v>3621.81</v>
      </c>
      <c r="H1595" s="3">
        <f t="shared" si="72"/>
        <v>0</v>
      </c>
      <c r="I1595" s="29">
        <f t="shared" si="73"/>
        <v>-38</v>
      </c>
      <c r="J1595" s="31" t="str">
        <f t="shared" si="74"/>
        <v>Current</v>
      </c>
      <c r="K1595"/>
    </row>
    <row r="1596" spans="1:11" x14ac:dyDescent="0.3">
      <c r="A1596" s="20" t="s">
        <v>96</v>
      </c>
      <c r="B1596" t="str">
        <f>VLOOKUP(A1596,Customers!A:B,2,FALSE)</f>
        <v>RetailLabs</v>
      </c>
      <c r="C1596" s="24" t="s">
        <v>1963</v>
      </c>
      <c r="D1596" s="10">
        <v>46019</v>
      </c>
      <c r="E1596" s="10">
        <v>46049</v>
      </c>
      <c r="F1596" s="4">
        <v>2791.91</v>
      </c>
      <c r="G1596" s="3">
        <f>SUMIF(Customer_Payments!B:B,C1596,Customer_Payments!E:E)</f>
        <v>2791.91</v>
      </c>
      <c r="H1596" s="3">
        <f t="shared" si="72"/>
        <v>0</v>
      </c>
      <c r="I1596" s="29">
        <f t="shared" si="73"/>
        <v>42</v>
      </c>
      <c r="J1596" s="31" t="str">
        <f t="shared" si="74"/>
        <v>31-60</v>
      </c>
      <c r="K1596"/>
    </row>
    <row r="1597" spans="1:11" x14ac:dyDescent="0.3">
      <c r="A1597" s="21" t="s">
        <v>24</v>
      </c>
      <c r="B1597" t="str">
        <f>VLOOKUP(A1597,Customers!A:B,2,FALSE)</f>
        <v>OmniTrade</v>
      </c>
      <c r="C1597" s="25" t="s">
        <v>1964</v>
      </c>
      <c r="D1597" s="11">
        <v>45965</v>
      </c>
      <c r="E1597" s="11">
        <v>45995</v>
      </c>
      <c r="F1597" s="5">
        <v>10606.01</v>
      </c>
      <c r="G1597" s="3">
        <f>SUMIF(Customer_Payments!B:B,C1597,Customer_Payments!E:E)</f>
        <v>10606.01</v>
      </c>
      <c r="H1597" s="3">
        <f t="shared" si="72"/>
        <v>0</v>
      </c>
      <c r="I1597" s="29">
        <f t="shared" si="73"/>
        <v>96</v>
      </c>
      <c r="J1597" s="31" t="str">
        <f t="shared" si="74"/>
        <v>90+</v>
      </c>
      <c r="K1597"/>
    </row>
    <row r="1598" spans="1:11" x14ac:dyDescent="0.3">
      <c r="A1598" s="20" t="s">
        <v>110</v>
      </c>
      <c r="B1598" t="str">
        <f>VLOOKUP(A1598,Customers!A:B,2,FALSE)</f>
        <v>RetailAxisPro</v>
      </c>
      <c r="C1598" s="24" t="s">
        <v>1965</v>
      </c>
      <c r="D1598" s="10">
        <v>45988</v>
      </c>
      <c r="E1598" s="10">
        <v>46018</v>
      </c>
      <c r="F1598" s="4">
        <v>4023.25</v>
      </c>
      <c r="G1598" s="3">
        <f>SUMIF(Customer_Payments!B:B,C1598,Customer_Payments!E:E)</f>
        <v>4023.25</v>
      </c>
      <c r="H1598" s="3">
        <f t="shared" si="72"/>
        <v>0</v>
      </c>
      <c r="I1598" s="29">
        <f t="shared" si="73"/>
        <v>73</v>
      </c>
      <c r="J1598" s="31" t="str">
        <f t="shared" si="74"/>
        <v>61-90</v>
      </c>
      <c r="K1598"/>
    </row>
    <row r="1599" spans="1:11" x14ac:dyDescent="0.3">
      <c r="A1599" s="21" t="s">
        <v>94</v>
      </c>
      <c r="B1599" t="str">
        <f>VLOOKUP(A1599,Customers!A:B,2,FALSE)</f>
        <v>RetailDynamicsX</v>
      </c>
      <c r="C1599" s="25" t="s">
        <v>1966</v>
      </c>
      <c r="D1599" s="11">
        <v>46037</v>
      </c>
      <c r="E1599" s="11">
        <v>46067</v>
      </c>
      <c r="F1599" s="5">
        <v>2040.7</v>
      </c>
      <c r="G1599" s="3">
        <f>SUMIF(Customer_Payments!B:B,C1599,Customer_Payments!E:E)</f>
        <v>2040.7</v>
      </c>
      <c r="H1599" s="3">
        <f t="shared" si="72"/>
        <v>0</v>
      </c>
      <c r="I1599" s="29">
        <f t="shared" si="73"/>
        <v>24</v>
      </c>
      <c r="J1599" s="31" t="str">
        <f t="shared" si="74"/>
        <v>1-30</v>
      </c>
      <c r="K1599"/>
    </row>
    <row r="1600" spans="1:11" x14ac:dyDescent="0.3">
      <c r="A1600" s="20" t="s">
        <v>82</v>
      </c>
      <c r="B1600" t="str">
        <f>VLOOKUP(A1600,Customers!A:B,2,FALSE)</f>
        <v>RetailNovaX</v>
      </c>
      <c r="C1600" s="24" t="s">
        <v>1967</v>
      </c>
      <c r="D1600" s="10">
        <v>46108</v>
      </c>
      <c r="E1600" s="10">
        <v>46138</v>
      </c>
      <c r="F1600" s="4">
        <v>13261.64</v>
      </c>
      <c r="G1600" s="3">
        <f>SUMIF(Customer_Payments!B:B,C1600,Customer_Payments!E:E)</f>
        <v>13261.64</v>
      </c>
      <c r="H1600" s="3">
        <f t="shared" si="72"/>
        <v>0</v>
      </c>
      <c r="I1600" s="29">
        <f t="shared" si="73"/>
        <v>-47</v>
      </c>
      <c r="J1600" s="31" t="str">
        <f t="shared" si="74"/>
        <v>Current</v>
      </c>
      <c r="K1600"/>
    </row>
    <row r="1601" spans="1:11" x14ac:dyDescent="0.3">
      <c r="A1601" s="21" t="s">
        <v>49</v>
      </c>
      <c r="B1601" t="str">
        <f>VLOOKUP(A1601,Customers!A:B,2,FALSE)</f>
        <v>CommercePilot</v>
      </c>
      <c r="C1601" s="25" t="s">
        <v>1968</v>
      </c>
      <c r="D1601" s="11">
        <v>45982</v>
      </c>
      <c r="E1601" s="11">
        <v>46012</v>
      </c>
      <c r="F1601" s="5">
        <v>3081.09</v>
      </c>
      <c r="G1601" s="3">
        <f>SUMIF(Customer_Payments!B:B,C1601,Customer_Payments!E:E)</f>
        <v>3081.09</v>
      </c>
      <c r="H1601" s="3">
        <f t="shared" si="72"/>
        <v>0</v>
      </c>
      <c r="I1601" s="29">
        <f t="shared" si="73"/>
        <v>79</v>
      </c>
      <c r="J1601" s="31" t="str">
        <f t="shared" si="74"/>
        <v>61-90</v>
      </c>
      <c r="K1601"/>
    </row>
    <row r="1602" spans="1:11" x14ac:dyDescent="0.3">
      <c r="A1602" s="20" t="s">
        <v>57</v>
      </c>
      <c r="B1602" t="str">
        <f>VLOOKUP(A1602,Customers!A:B,2,FALSE)</f>
        <v>MarketGenius</v>
      </c>
      <c r="C1602" s="24" t="s">
        <v>1969</v>
      </c>
      <c r="D1602" s="10">
        <v>46095</v>
      </c>
      <c r="E1602" s="10">
        <v>46125</v>
      </c>
      <c r="F1602" s="4">
        <v>3681.78</v>
      </c>
      <c r="G1602" s="3">
        <f>SUMIF(Customer_Payments!B:B,C1602,Customer_Payments!E:E)</f>
        <v>3681.78</v>
      </c>
      <c r="H1602" s="3">
        <f t="shared" ref="H1602:H1665" si="75">MAX(F1602-G1602,0)</f>
        <v>0</v>
      </c>
      <c r="I1602" s="29">
        <f t="shared" ref="I1602:I1665" si="76">$L$2-E1602</f>
        <v>-34</v>
      </c>
      <c r="J1602" s="31" t="str">
        <f t="shared" si="74"/>
        <v>Current</v>
      </c>
      <c r="K1602"/>
    </row>
    <row r="1603" spans="1:11" x14ac:dyDescent="0.3">
      <c r="A1603" s="21" t="s">
        <v>31</v>
      </c>
      <c r="B1603" t="str">
        <f>VLOOKUP(A1603,Customers!A:B,2,FALSE)</f>
        <v>SparkRetail</v>
      </c>
      <c r="C1603" s="25" t="s">
        <v>1970</v>
      </c>
      <c r="D1603" s="11">
        <v>45986</v>
      </c>
      <c r="E1603" s="11">
        <v>46016</v>
      </c>
      <c r="F1603" s="5">
        <v>10580.18</v>
      </c>
      <c r="G1603" s="3">
        <f>SUMIF(Customer_Payments!B:B,C1603,Customer_Payments!E:E)</f>
        <v>10580.18</v>
      </c>
      <c r="H1603" s="3">
        <f t="shared" si="75"/>
        <v>0</v>
      </c>
      <c r="I1603" s="29">
        <f t="shared" si="76"/>
        <v>75</v>
      </c>
      <c r="J1603" s="31" t="str">
        <f t="shared" ref="J1603:J1666" si="77">IF(I1603&lt;=0,"Current",
IF(I1603&lt;=30,"1-30",
IF(I1603&lt;=60,"31-60",
IF(I1603&lt;=90,"61-90","90+"))))</f>
        <v>61-90</v>
      </c>
      <c r="K1603"/>
    </row>
    <row r="1604" spans="1:11" x14ac:dyDescent="0.3">
      <c r="A1604" s="20" t="s">
        <v>45</v>
      </c>
      <c r="B1604" t="str">
        <f>VLOOKUP(A1604,Customers!A:B,2,FALSE)</f>
        <v>EdgeRetail</v>
      </c>
      <c r="C1604" s="24" t="s">
        <v>1971</v>
      </c>
      <c r="D1604" s="10">
        <v>45988</v>
      </c>
      <c r="E1604" s="10">
        <v>46018</v>
      </c>
      <c r="F1604" s="4">
        <v>10121.459999999999</v>
      </c>
      <c r="G1604" s="3">
        <f>SUMIF(Customer_Payments!B:B,C1604,Customer_Payments!E:E)</f>
        <v>10121.459999999999</v>
      </c>
      <c r="H1604" s="3">
        <f t="shared" si="75"/>
        <v>0</v>
      </c>
      <c r="I1604" s="29">
        <f t="shared" si="76"/>
        <v>73</v>
      </c>
      <c r="J1604" s="31" t="str">
        <f t="shared" si="77"/>
        <v>61-90</v>
      </c>
      <c r="K1604"/>
    </row>
    <row r="1605" spans="1:11" x14ac:dyDescent="0.3">
      <c r="A1605" s="21" t="s">
        <v>112</v>
      </c>
      <c r="B1605" t="str">
        <f>VLOOKUP(A1605,Customers!A:B,2,FALSE)</f>
        <v>RetailBridgePro</v>
      </c>
      <c r="C1605" s="25" t="s">
        <v>1972</v>
      </c>
      <c r="D1605" s="11">
        <v>46087</v>
      </c>
      <c r="E1605" s="11">
        <v>46117</v>
      </c>
      <c r="F1605" s="5">
        <v>2605.71</v>
      </c>
      <c r="G1605" s="3">
        <f>SUMIF(Customer_Payments!B:B,C1605,Customer_Payments!E:E)</f>
        <v>2605.71</v>
      </c>
      <c r="H1605" s="3">
        <f t="shared" si="75"/>
        <v>0</v>
      </c>
      <c r="I1605" s="29">
        <f t="shared" si="76"/>
        <v>-26</v>
      </c>
      <c r="J1605" s="31" t="str">
        <f t="shared" si="77"/>
        <v>Current</v>
      </c>
      <c r="K1605"/>
    </row>
    <row r="1606" spans="1:11" x14ac:dyDescent="0.3">
      <c r="A1606" s="20" t="s">
        <v>123</v>
      </c>
      <c r="B1606" t="str">
        <f>VLOOKUP(A1606,Customers!A:B,2,FALSE)</f>
        <v>RetailFlowGlobal</v>
      </c>
      <c r="C1606" s="24" t="s">
        <v>1973</v>
      </c>
      <c r="D1606" s="10">
        <v>46045</v>
      </c>
      <c r="E1606" s="10">
        <v>46075</v>
      </c>
      <c r="F1606" s="4">
        <v>1874.42</v>
      </c>
      <c r="G1606" s="3">
        <f>SUMIF(Customer_Payments!B:B,C1606,Customer_Payments!E:E)</f>
        <v>1874.42</v>
      </c>
      <c r="H1606" s="3">
        <f t="shared" si="75"/>
        <v>0</v>
      </c>
      <c r="I1606" s="29">
        <f t="shared" si="76"/>
        <v>16</v>
      </c>
      <c r="J1606" s="31" t="str">
        <f t="shared" si="77"/>
        <v>1-30</v>
      </c>
      <c r="K1606"/>
    </row>
    <row r="1607" spans="1:11" x14ac:dyDescent="0.3">
      <c r="A1607" s="21" t="s">
        <v>15</v>
      </c>
      <c r="B1607" t="str">
        <f>VLOOKUP(A1607,Customers!A:B,2,FALSE)</f>
        <v>CloudScale</v>
      </c>
      <c r="C1607" s="25" t="s">
        <v>1974</v>
      </c>
      <c r="D1607" s="11">
        <v>46052</v>
      </c>
      <c r="E1607" s="11">
        <v>46082</v>
      </c>
      <c r="F1607" s="5">
        <v>10962.32</v>
      </c>
      <c r="G1607" s="3">
        <f>SUMIF(Customer_Payments!B:B,C1607,Customer_Payments!E:E)</f>
        <v>10962.32</v>
      </c>
      <c r="H1607" s="3">
        <f t="shared" si="75"/>
        <v>0</v>
      </c>
      <c r="I1607" s="29">
        <f t="shared" si="76"/>
        <v>9</v>
      </c>
      <c r="J1607" s="31" t="str">
        <f t="shared" si="77"/>
        <v>1-30</v>
      </c>
      <c r="K1607"/>
    </row>
    <row r="1608" spans="1:11" x14ac:dyDescent="0.3">
      <c r="A1608" s="20" t="s">
        <v>117</v>
      </c>
      <c r="B1608" t="str">
        <f>VLOOKUP(A1608,Customers!A:B,2,FALSE)</f>
        <v>RetailSparkPro</v>
      </c>
      <c r="C1608" s="24" t="s">
        <v>1975</v>
      </c>
      <c r="D1608" s="10">
        <v>46053</v>
      </c>
      <c r="E1608" s="10">
        <v>46083</v>
      </c>
      <c r="F1608" s="4">
        <v>9875.7800000000007</v>
      </c>
      <c r="G1608" s="3">
        <f>SUMIF(Customer_Payments!B:B,C1608,Customer_Payments!E:E)</f>
        <v>9875.7800000000007</v>
      </c>
      <c r="H1608" s="3">
        <f t="shared" si="75"/>
        <v>0</v>
      </c>
      <c r="I1608" s="29">
        <f t="shared" si="76"/>
        <v>8</v>
      </c>
      <c r="J1608" s="31" t="str">
        <f t="shared" si="77"/>
        <v>1-30</v>
      </c>
      <c r="K1608"/>
    </row>
    <row r="1609" spans="1:11" x14ac:dyDescent="0.3">
      <c r="A1609" s="21" t="s">
        <v>68</v>
      </c>
      <c r="B1609" t="str">
        <f>VLOOKUP(A1609,Customers!A:B,2,FALSE)</f>
        <v>RetailVision</v>
      </c>
      <c r="C1609" s="25" t="s">
        <v>1976</v>
      </c>
      <c r="D1609" s="11">
        <v>45964</v>
      </c>
      <c r="E1609" s="11">
        <v>45994</v>
      </c>
      <c r="F1609" s="5">
        <v>11477.31</v>
      </c>
      <c r="G1609" s="3">
        <f>SUMIF(Customer_Payments!B:B,C1609,Customer_Payments!E:E)</f>
        <v>11477.31</v>
      </c>
      <c r="H1609" s="3">
        <f t="shared" si="75"/>
        <v>0</v>
      </c>
      <c r="I1609" s="29">
        <f t="shared" si="76"/>
        <v>97</v>
      </c>
      <c r="J1609" s="31" t="str">
        <f t="shared" si="77"/>
        <v>90+</v>
      </c>
      <c r="K1609"/>
    </row>
    <row r="1610" spans="1:11" x14ac:dyDescent="0.3">
      <c r="A1610" s="20" t="s">
        <v>33</v>
      </c>
      <c r="B1610" t="str">
        <f>VLOOKUP(A1610,Customers!A:B,2,FALSE)</f>
        <v>CloudCart</v>
      </c>
      <c r="C1610" s="24" t="s">
        <v>1977</v>
      </c>
      <c r="D1610" s="10">
        <v>46052</v>
      </c>
      <c r="E1610" s="10">
        <v>46082</v>
      </c>
      <c r="F1610" s="4">
        <v>1489.51</v>
      </c>
      <c r="G1610" s="3">
        <f>SUMIF(Customer_Payments!B:B,C1610,Customer_Payments!E:E)</f>
        <v>1489.51</v>
      </c>
      <c r="H1610" s="3">
        <f t="shared" si="75"/>
        <v>0</v>
      </c>
      <c r="I1610" s="29">
        <f t="shared" si="76"/>
        <v>9</v>
      </c>
      <c r="J1610" s="31" t="str">
        <f t="shared" si="77"/>
        <v>1-30</v>
      </c>
      <c r="K1610"/>
    </row>
    <row r="1611" spans="1:11" x14ac:dyDescent="0.3">
      <c r="A1611" s="21" t="s">
        <v>84</v>
      </c>
      <c r="B1611" t="str">
        <f>VLOOKUP(A1611,Customers!A:B,2,FALSE)</f>
        <v>RetailVisionX</v>
      </c>
      <c r="C1611" s="25" t="s">
        <v>1978</v>
      </c>
      <c r="D1611" s="11">
        <v>46056</v>
      </c>
      <c r="E1611" s="11">
        <v>46086</v>
      </c>
      <c r="F1611" s="5">
        <v>2432.1999999999998</v>
      </c>
      <c r="G1611" s="3">
        <f>SUMIF(Customer_Payments!B:B,C1611,Customer_Payments!E:E)</f>
        <v>2432.1999999999998</v>
      </c>
      <c r="H1611" s="3">
        <f t="shared" si="75"/>
        <v>0</v>
      </c>
      <c r="I1611" s="29">
        <f t="shared" si="76"/>
        <v>5</v>
      </c>
      <c r="J1611" s="31" t="str">
        <f t="shared" si="77"/>
        <v>1-30</v>
      </c>
      <c r="K1611"/>
    </row>
    <row r="1612" spans="1:11" x14ac:dyDescent="0.3">
      <c r="A1612" s="20" t="s">
        <v>94</v>
      </c>
      <c r="B1612" t="str">
        <f>VLOOKUP(A1612,Customers!A:B,2,FALSE)</f>
        <v>RetailDynamicsX</v>
      </c>
      <c r="C1612" s="24" t="s">
        <v>1979</v>
      </c>
      <c r="D1612" s="10">
        <v>46014</v>
      </c>
      <c r="E1612" s="10">
        <v>46044</v>
      </c>
      <c r="F1612" s="4">
        <v>4114.82</v>
      </c>
      <c r="G1612" s="3">
        <f>SUMIF(Customer_Payments!B:B,C1612,Customer_Payments!E:E)</f>
        <v>4114.82</v>
      </c>
      <c r="H1612" s="3">
        <f t="shared" si="75"/>
        <v>0</v>
      </c>
      <c r="I1612" s="29">
        <f t="shared" si="76"/>
        <v>47</v>
      </c>
      <c r="J1612" s="31" t="str">
        <f t="shared" si="77"/>
        <v>31-60</v>
      </c>
      <c r="K1612"/>
    </row>
    <row r="1613" spans="1:11" x14ac:dyDescent="0.3">
      <c r="A1613" s="21" t="s">
        <v>112</v>
      </c>
      <c r="B1613" t="str">
        <f>VLOOKUP(A1613,Customers!A:B,2,FALSE)</f>
        <v>RetailBridgePro</v>
      </c>
      <c r="C1613" s="25" t="s">
        <v>1980</v>
      </c>
      <c r="D1613" s="11">
        <v>46047</v>
      </c>
      <c r="E1613" s="11">
        <v>46077</v>
      </c>
      <c r="F1613" s="5">
        <v>10922.12</v>
      </c>
      <c r="G1613" s="3">
        <f>SUMIF(Customer_Payments!B:B,C1613,Customer_Payments!E:E)</f>
        <v>10922.12</v>
      </c>
      <c r="H1613" s="3">
        <f t="shared" si="75"/>
        <v>0</v>
      </c>
      <c r="I1613" s="29">
        <f t="shared" si="76"/>
        <v>14</v>
      </c>
      <c r="J1613" s="31" t="str">
        <f t="shared" si="77"/>
        <v>1-30</v>
      </c>
      <c r="K1613"/>
    </row>
    <row r="1614" spans="1:11" x14ac:dyDescent="0.3">
      <c r="A1614" s="20" t="s">
        <v>79</v>
      </c>
      <c r="B1614" t="str">
        <f>VLOOKUP(A1614,Customers!A:B,2,FALSE)</f>
        <v>RetailBoostX</v>
      </c>
      <c r="C1614" s="24" t="s">
        <v>1981</v>
      </c>
      <c r="D1614" s="10">
        <v>45966</v>
      </c>
      <c r="E1614" s="10">
        <v>45996</v>
      </c>
      <c r="F1614" s="4">
        <v>12503.27</v>
      </c>
      <c r="G1614" s="3">
        <f>SUMIF(Customer_Payments!B:B,C1614,Customer_Payments!E:E)</f>
        <v>12503.27</v>
      </c>
      <c r="H1614" s="3">
        <f t="shared" si="75"/>
        <v>0</v>
      </c>
      <c r="I1614" s="29">
        <f t="shared" si="76"/>
        <v>95</v>
      </c>
      <c r="J1614" s="31" t="str">
        <f t="shared" si="77"/>
        <v>90+</v>
      </c>
      <c r="K1614"/>
    </row>
    <row r="1615" spans="1:11" x14ac:dyDescent="0.3">
      <c r="A1615" s="21" t="s">
        <v>43</v>
      </c>
      <c r="B1615" t="str">
        <f>VLOOKUP(A1615,Customers!A:B,2,FALSE)</f>
        <v>CommerceSpark</v>
      </c>
      <c r="C1615" s="25" t="s">
        <v>1982</v>
      </c>
      <c r="D1615" s="11">
        <v>46026</v>
      </c>
      <c r="E1615" s="11">
        <v>46056</v>
      </c>
      <c r="F1615" s="5">
        <v>11808.98</v>
      </c>
      <c r="G1615" s="3">
        <f>SUMIF(Customer_Payments!B:B,C1615,Customer_Payments!E:E)</f>
        <v>11808.98</v>
      </c>
      <c r="H1615" s="3">
        <f t="shared" si="75"/>
        <v>0</v>
      </c>
      <c r="I1615" s="29">
        <f t="shared" si="76"/>
        <v>35</v>
      </c>
      <c r="J1615" s="31" t="str">
        <f t="shared" si="77"/>
        <v>31-60</v>
      </c>
      <c r="K1615"/>
    </row>
    <row r="1616" spans="1:11" x14ac:dyDescent="0.3">
      <c r="A1616" s="20" t="s">
        <v>98</v>
      </c>
      <c r="B1616" t="str">
        <f>VLOOKUP(A1616,Customers!A:B,2,FALSE)</f>
        <v>RetailEdgePro</v>
      </c>
      <c r="C1616" s="24" t="s">
        <v>1983</v>
      </c>
      <c r="D1616" s="10">
        <v>46066</v>
      </c>
      <c r="E1616" s="10">
        <v>46096</v>
      </c>
      <c r="F1616" s="4">
        <v>2074.3200000000002</v>
      </c>
      <c r="G1616" s="3">
        <f>SUMIF(Customer_Payments!B:B,C1616,Customer_Payments!E:E)</f>
        <v>2074.3200000000002</v>
      </c>
      <c r="H1616" s="3">
        <f t="shared" si="75"/>
        <v>0</v>
      </c>
      <c r="I1616" s="29">
        <f t="shared" si="76"/>
        <v>-5</v>
      </c>
      <c r="J1616" s="31" t="str">
        <f t="shared" si="77"/>
        <v>Current</v>
      </c>
      <c r="K1616"/>
    </row>
    <row r="1617" spans="1:11" x14ac:dyDescent="0.3">
      <c r="A1617" s="21" t="s">
        <v>29</v>
      </c>
      <c r="B1617" t="str">
        <f>VLOOKUP(A1617,Customers!A:B,2,FALSE)</f>
        <v>DigitalBridge</v>
      </c>
      <c r="C1617" s="25" t="s">
        <v>1984</v>
      </c>
      <c r="D1617" s="11">
        <v>46104</v>
      </c>
      <c r="E1617" s="11">
        <v>46134</v>
      </c>
      <c r="F1617" s="5">
        <v>2391.09</v>
      </c>
      <c r="G1617" s="3">
        <f>SUMIF(Customer_Payments!B:B,C1617,Customer_Payments!E:E)</f>
        <v>2391.09</v>
      </c>
      <c r="H1617" s="3">
        <f t="shared" si="75"/>
        <v>0</v>
      </c>
      <c r="I1617" s="29">
        <f t="shared" si="76"/>
        <v>-43</v>
      </c>
      <c r="J1617" s="31" t="str">
        <f t="shared" si="77"/>
        <v>Current</v>
      </c>
      <c r="K1617"/>
    </row>
    <row r="1618" spans="1:11" x14ac:dyDescent="0.3">
      <c r="A1618" s="20" t="s">
        <v>30</v>
      </c>
      <c r="B1618" t="str">
        <f>VLOOKUP(A1618,Customers!A:B,2,FALSE)</f>
        <v>CommerceFlow</v>
      </c>
      <c r="C1618" s="24" t="s">
        <v>1985</v>
      </c>
      <c r="D1618" s="10">
        <v>46108</v>
      </c>
      <c r="E1618" s="10">
        <v>46138</v>
      </c>
      <c r="F1618" s="4">
        <v>3826.54</v>
      </c>
      <c r="G1618" s="3">
        <f>SUMIF(Customer_Payments!B:B,C1618,Customer_Payments!E:E)</f>
        <v>0</v>
      </c>
      <c r="H1618" s="3">
        <f t="shared" si="75"/>
        <v>3826.54</v>
      </c>
      <c r="I1618" s="29">
        <f t="shared" si="76"/>
        <v>-47</v>
      </c>
      <c r="J1618" s="31" t="str">
        <f t="shared" si="77"/>
        <v>Current</v>
      </c>
      <c r="K1618"/>
    </row>
    <row r="1619" spans="1:11" x14ac:dyDescent="0.3">
      <c r="A1619" s="21" t="s">
        <v>37</v>
      </c>
      <c r="B1619" t="str">
        <f>VLOOKUP(A1619,Customers!A:B,2,FALSE)</f>
        <v>SmartCart</v>
      </c>
      <c r="C1619" s="25" t="s">
        <v>1986</v>
      </c>
      <c r="D1619" s="11">
        <v>46019</v>
      </c>
      <c r="E1619" s="11">
        <v>46049</v>
      </c>
      <c r="F1619" s="5">
        <v>1849.4</v>
      </c>
      <c r="G1619" s="3">
        <f>SUMIF(Customer_Payments!B:B,C1619,Customer_Payments!E:E)</f>
        <v>0</v>
      </c>
      <c r="H1619" s="3">
        <f t="shared" si="75"/>
        <v>1849.4</v>
      </c>
      <c r="I1619" s="29">
        <f t="shared" si="76"/>
        <v>42</v>
      </c>
      <c r="J1619" s="31" t="str">
        <f t="shared" si="77"/>
        <v>31-60</v>
      </c>
      <c r="K1619"/>
    </row>
    <row r="1620" spans="1:11" x14ac:dyDescent="0.3">
      <c r="A1620" s="20" t="s">
        <v>124</v>
      </c>
      <c r="B1620" t="str">
        <f>VLOOKUP(A1620,Customers!A:B,2,FALSE)</f>
        <v>RetailOrbitGlobal</v>
      </c>
      <c r="C1620" s="24" t="s">
        <v>1987</v>
      </c>
      <c r="D1620" s="10">
        <v>46060</v>
      </c>
      <c r="E1620" s="10">
        <v>46090</v>
      </c>
      <c r="F1620" s="4">
        <v>4547.55</v>
      </c>
      <c r="G1620" s="3">
        <f>SUMIF(Customer_Payments!B:B,C1620,Customer_Payments!E:E)</f>
        <v>4547.55</v>
      </c>
      <c r="H1620" s="3">
        <f t="shared" si="75"/>
        <v>0</v>
      </c>
      <c r="I1620" s="29">
        <f t="shared" si="76"/>
        <v>1</v>
      </c>
      <c r="J1620" s="31" t="str">
        <f t="shared" si="77"/>
        <v>1-30</v>
      </c>
      <c r="K1620"/>
    </row>
    <row r="1621" spans="1:11" x14ac:dyDescent="0.3">
      <c r="A1621" s="21" t="s">
        <v>59</v>
      </c>
      <c r="B1621" t="str">
        <f>VLOOKUP(A1621,Customers!A:B,2,FALSE)</f>
        <v>MarketBridge</v>
      </c>
      <c r="C1621" s="25" t="s">
        <v>1988</v>
      </c>
      <c r="D1621" s="11">
        <v>45983</v>
      </c>
      <c r="E1621" s="11">
        <v>46013</v>
      </c>
      <c r="F1621" s="5">
        <v>3237.65</v>
      </c>
      <c r="G1621" s="3">
        <f>SUMIF(Customer_Payments!B:B,C1621,Customer_Payments!E:E)</f>
        <v>0</v>
      </c>
      <c r="H1621" s="3">
        <f t="shared" si="75"/>
        <v>3237.65</v>
      </c>
      <c r="I1621" s="29">
        <f t="shared" si="76"/>
        <v>78</v>
      </c>
      <c r="J1621" s="31" t="str">
        <f t="shared" si="77"/>
        <v>61-90</v>
      </c>
      <c r="K1621"/>
    </row>
    <row r="1622" spans="1:11" x14ac:dyDescent="0.3">
      <c r="A1622" s="20" t="s">
        <v>71</v>
      </c>
      <c r="B1622" t="str">
        <f>VLOOKUP(A1622,Customers!A:B,2,FALSE)</f>
        <v>RetailPulse</v>
      </c>
      <c r="C1622" s="24" t="s">
        <v>1989</v>
      </c>
      <c r="D1622" s="10">
        <v>46110</v>
      </c>
      <c r="E1622" s="10">
        <v>46140</v>
      </c>
      <c r="F1622" s="4">
        <v>2969.72</v>
      </c>
      <c r="G1622" s="3">
        <f>SUMIF(Customer_Payments!B:B,C1622,Customer_Payments!E:E)</f>
        <v>0</v>
      </c>
      <c r="H1622" s="3">
        <f t="shared" si="75"/>
        <v>2969.72</v>
      </c>
      <c r="I1622" s="29">
        <f t="shared" si="76"/>
        <v>-49</v>
      </c>
      <c r="J1622" s="31" t="str">
        <f t="shared" si="77"/>
        <v>Current</v>
      </c>
      <c r="K1622"/>
    </row>
    <row r="1623" spans="1:11" x14ac:dyDescent="0.3">
      <c r="A1623" s="21" t="s">
        <v>12</v>
      </c>
      <c r="B1623" t="str">
        <f>VLOOKUP(A1623,Customers!A:B,2,FALSE)</f>
        <v>ShopOrbit</v>
      </c>
      <c r="C1623" s="25" t="s">
        <v>1990</v>
      </c>
      <c r="D1623" s="11">
        <v>46004</v>
      </c>
      <c r="E1623" s="11">
        <v>46034</v>
      </c>
      <c r="F1623" s="5">
        <v>2410.1</v>
      </c>
      <c r="G1623" s="3">
        <f>SUMIF(Customer_Payments!B:B,C1623,Customer_Payments!E:E)</f>
        <v>2410.1</v>
      </c>
      <c r="H1623" s="3">
        <f t="shared" si="75"/>
        <v>0</v>
      </c>
      <c r="I1623" s="29">
        <f t="shared" si="76"/>
        <v>57</v>
      </c>
      <c r="J1623" s="31" t="str">
        <f t="shared" si="77"/>
        <v>31-60</v>
      </c>
      <c r="K1623"/>
    </row>
    <row r="1624" spans="1:11" x14ac:dyDescent="0.3">
      <c r="A1624" s="20" t="s">
        <v>66</v>
      </c>
      <c r="B1624" t="str">
        <f>VLOOKUP(A1624,Customers!A:B,2,FALSE)</f>
        <v>MarketWorks</v>
      </c>
      <c r="C1624" s="24" t="s">
        <v>1991</v>
      </c>
      <c r="D1624" s="10">
        <v>46080</v>
      </c>
      <c r="E1624" s="10">
        <v>46110</v>
      </c>
      <c r="F1624" s="4">
        <v>9728.25</v>
      </c>
      <c r="G1624" s="3">
        <f>SUMIF(Customer_Payments!B:B,C1624,Customer_Payments!E:E)</f>
        <v>9728.25</v>
      </c>
      <c r="H1624" s="3">
        <f t="shared" si="75"/>
        <v>0</v>
      </c>
      <c r="I1624" s="29">
        <f t="shared" si="76"/>
        <v>-19</v>
      </c>
      <c r="J1624" s="31" t="str">
        <f t="shared" si="77"/>
        <v>Current</v>
      </c>
      <c r="K1624"/>
    </row>
    <row r="1625" spans="1:11" x14ac:dyDescent="0.3">
      <c r="A1625" s="21" t="s">
        <v>8</v>
      </c>
      <c r="B1625" t="str">
        <f>VLOOKUP(A1625,Customers!A:B,2,FALSE)</f>
        <v>NexaSoft</v>
      </c>
      <c r="C1625" s="25" t="s">
        <v>1992</v>
      </c>
      <c r="D1625" s="11">
        <v>45969</v>
      </c>
      <c r="E1625" s="11">
        <v>45999</v>
      </c>
      <c r="F1625" s="5">
        <v>11249.56</v>
      </c>
      <c r="G1625" s="3">
        <f>SUMIF(Customer_Payments!B:B,C1625,Customer_Payments!E:E)</f>
        <v>11249.56</v>
      </c>
      <c r="H1625" s="3">
        <f t="shared" si="75"/>
        <v>0</v>
      </c>
      <c r="I1625" s="29">
        <f t="shared" si="76"/>
        <v>92</v>
      </c>
      <c r="J1625" s="31" t="str">
        <f t="shared" si="77"/>
        <v>90+</v>
      </c>
      <c r="K1625"/>
    </row>
    <row r="1626" spans="1:11" x14ac:dyDescent="0.3">
      <c r="A1626" s="20" t="s">
        <v>66</v>
      </c>
      <c r="B1626" t="str">
        <f>VLOOKUP(A1626,Customers!A:B,2,FALSE)</f>
        <v>MarketWorks</v>
      </c>
      <c r="C1626" s="24" t="s">
        <v>1993</v>
      </c>
      <c r="D1626" s="10">
        <v>46017</v>
      </c>
      <c r="E1626" s="10">
        <v>46047</v>
      </c>
      <c r="F1626" s="4">
        <v>2114.6799999999998</v>
      </c>
      <c r="G1626" s="3">
        <f>SUMIF(Customer_Payments!B:B,C1626,Customer_Payments!E:E)</f>
        <v>2114.6799999999998</v>
      </c>
      <c r="H1626" s="3">
        <f t="shared" si="75"/>
        <v>0</v>
      </c>
      <c r="I1626" s="29">
        <f t="shared" si="76"/>
        <v>44</v>
      </c>
      <c r="J1626" s="31" t="str">
        <f t="shared" si="77"/>
        <v>31-60</v>
      </c>
      <c r="K1626"/>
    </row>
    <row r="1627" spans="1:11" x14ac:dyDescent="0.3">
      <c r="A1627" s="21" t="s">
        <v>98</v>
      </c>
      <c r="B1627" t="str">
        <f>VLOOKUP(A1627,Customers!A:B,2,FALSE)</f>
        <v>RetailEdgePro</v>
      </c>
      <c r="C1627" s="25" t="s">
        <v>1994</v>
      </c>
      <c r="D1627" s="11">
        <v>46017</v>
      </c>
      <c r="E1627" s="11">
        <v>46047</v>
      </c>
      <c r="F1627" s="5">
        <v>11814.51</v>
      </c>
      <c r="G1627" s="3">
        <f>SUMIF(Customer_Payments!B:B,C1627,Customer_Payments!E:E)</f>
        <v>11814.51</v>
      </c>
      <c r="H1627" s="3">
        <f t="shared" si="75"/>
        <v>0</v>
      </c>
      <c r="I1627" s="29">
        <f t="shared" si="76"/>
        <v>44</v>
      </c>
      <c r="J1627" s="31" t="str">
        <f t="shared" si="77"/>
        <v>31-60</v>
      </c>
      <c r="K1627"/>
    </row>
    <row r="1628" spans="1:11" x14ac:dyDescent="0.3">
      <c r="A1628" s="20" t="s">
        <v>28</v>
      </c>
      <c r="B1628" t="str">
        <f>VLOOKUP(A1628,Customers!A:B,2,FALSE)</f>
        <v>FutureCart</v>
      </c>
      <c r="C1628" s="24" t="s">
        <v>1995</v>
      </c>
      <c r="D1628" s="10">
        <v>46038</v>
      </c>
      <c r="E1628" s="10">
        <v>46068</v>
      </c>
      <c r="F1628" s="4">
        <v>10273.23</v>
      </c>
      <c r="G1628" s="3">
        <f>SUMIF(Customer_Payments!B:B,C1628,Customer_Payments!E:E)</f>
        <v>0</v>
      </c>
      <c r="H1628" s="3">
        <f t="shared" si="75"/>
        <v>10273.23</v>
      </c>
      <c r="I1628" s="29">
        <f t="shared" si="76"/>
        <v>23</v>
      </c>
      <c r="J1628" s="31" t="str">
        <f t="shared" si="77"/>
        <v>1-30</v>
      </c>
      <c r="K1628"/>
    </row>
    <row r="1629" spans="1:11" x14ac:dyDescent="0.3">
      <c r="A1629" s="21" t="s">
        <v>101</v>
      </c>
      <c r="B1629" t="str">
        <f>VLOOKUP(A1629,Customers!A:B,2,FALSE)</f>
        <v>RetailMatrixPro</v>
      </c>
      <c r="C1629" s="25" t="s">
        <v>1996</v>
      </c>
      <c r="D1629" s="11">
        <v>46103</v>
      </c>
      <c r="E1629" s="11">
        <v>46133</v>
      </c>
      <c r="F1629" s="5">
        <v>3128.39</v>
      </c>
      <c r="G1629" s="3">
        <f>SUMIF(Customer_Payments!B:B,C1629,Customer_Payments!E:E)</f>
        <v>3128.39</v>
      </c>
      <c r="H1629" s="3">
        <f t="shared" si="75"/>
        <v>0</v>
      </c>
      <c r="I1629" s="29">
        <f t="shared" si="76"/>
        <v>-42</v>
      </c>
      <c r="J1629" s="31" t="str">
        <f t="shared" si="77"/>
        <v>Current</v>
      </c>
      <c r="K1629"/>
    </row>
    <row r="1630" spans="1:11" x14ac:dyDescent="0.3">
      <c r="A1630" s="20" t="s">
        <v>26</v>
      </c>
      <c r="B1630" t="str">
        <f>VLOOKUP(A1630,Customers!A:B,2,FALSE)</f>
        <v>NovaRetail</v>
      </c>
      <c r="C1630" s="24" t="s">
        <v>1997</v>
      </c>
      <c r="D1630" s="10">
        <v>46002</v>
      </c>
      <c r="E1630" s="10">
        <v>46032</v>
      </c>
      <c r="F1630" s="4">
        <v>10408.58</v>
      </c>
      <c r="G1630" s="3">
        <f>SUMIF(Customer_Payments!B:B,C1630,Customer_Payments!E:E)</f>
        <v>10408.58</v>
      </c>
      <c r="H1630" s="3">
        <f t="shared" si="75"/>
        <v>0</v>
      </c>
      <c r="I1630" s="29">
        <f t="shared" si="76"/>
        <v>59</v>
      </c>
      <c r="J1630" s="31" t="str">
        <f t="shared" si="77"/>
        <v>31-60</v>
      </c>
      <c r="K1630"/>
    </row>
    <row r="1631" spans="1:11" x14ac:dyDescent="0.3">
      <c r="A1631" s="21" t="s">
        <v>93</v>
      </c>
      <c r="B1631" t="str">
        <f>VLOOKUP(A1631,Customers!A:B,2,FALSE)</f>
        <v>RetailSphereX</v>
      </c>
      <c r="C1631" s="25" t="s">
        <v>1998</v>
      </c>
      <c r="D1631" s="11">
        <v>46092</v>
      </c>
      <c r="E1631" s="11">
        <v>46122</v>
      </c>
      <c r="F1631" s="5">
        <v>11318.82</v>
      </c>
      <c r="G1631" s="3">
        <f>SUMIF(Customer_Payments!B:B,C1631,Customer_Payments!E:E)</f>
        <v>11318.82</v>
      </c>
      <c r="H1631" s="3">
        <f t="shared" si="75"/>
        <v>0</v>
      </c>
      <c r="I1631" s="29">
        <f t="shared" si="76"/>
        <v>-31</v>
      </c>
      <c r="J1631" s="31" t="str">
        <f t="shared" si="77"/>
        <v>Current</v>
      </c>
      <c r="K1631"/>
    </row>
    <row r="1632" spans="1:11" x14ac:dyDescent="0.3">
      <c r="A1632" s="20" t="s">
        <v>110</v>
      </c>
      <c r="B1632" t="str">
        <f>VLOOKUP(A1632,Customers!A:B,2,FALSE)</f>
        <v>RetailAxisPro</v>
      </c>
      <c r="C1632" s="24" t="s">
        <v>1999</v>
      </c>
      <c r="D1632" s="10">
        <v>45994</v>
      </c>
      <c r="E1632" s="10">
        <v>46024</v>
      </c>
      <c r="F1632" s="4">
        <v>3102.63</v>
      </c>
      <c r="G1632" s="3">
        <f>SUMIF(Customer_Payments!B:B,C1632,Customer_Payments!E:E)</f>
        <v>0</v>
      </c>
      <c r="H1632" s="3">
        <f t="shared" si="75"/>
        <v>3102.63</v>
      </c>
      <c r="I1632" s="29">
        <f t="shared" si="76"/>
        <v>67</v>
      </c>
      <c r="J1632" s="31" t="str">
        <f t="shared" si="77"/>
        <v>61-90</v>
      </c>
      <c r="K1632"/>
    </row>
    <row r="1633" spans="1:11" x14ac:dyDescent="0.3">
      <c r="A1633" s="21" t="s">
        <v>56</v>
      </c>
      <c r="B1633" t="str">
        <f>VLOOKUP(A1633,Customers!A:B,2,FALSE)</f>
        <v>RetailBoost</v>
      </c>
      <c r="C1633" s="25" t="s">
        <v>2000</v>
      </c>
      <c r="D1633" s="11">
        <v>46061</v>
      </c>
      <c r="E1633" s="11">
        <v>46091</v>
      </c>
      <c r="F1633" s="5">
        <v>3697.42</v>
      </c>
      <c r="G1633" s="3">
        <f>SUMIF(Customer_Payments!B:B,C1633,Customer_Payments!E:E)</f>
        <v>0</v>
      </c>
      <c r="H1633" s="3">
        <f t="shared" si="75"/>
        <v>3697.42</v>
      </c>
      <c r="I1633" s="29">
        <f t="shared" si="76"/>
        <v>0</v>
      </c>
      <c r="J1633" s="31" t="str">
        <f t="shared" si="77"/>
        <v>Current</v>
      </c>
      <c r="K1633"/>
    </row>
    <row r="1634" spans="1:11" x14ac:dyDescent="0.3">
      <c r="A1634" s="20" t="s">
        <v>105</v>
      </c>
      <c r="B1634" t="str">
        <f>VLOOKUP(A1634,Customers!A:B,2,FALSE)</f>
        <v>RetailFlowPro</v>
      </c>
      <c r="C1634" s="24" t="s">
        <v>2001</v>
      </c>
      <c r="D1634" s="10">
        <v>46028</v>
      </c>
      <c r="E1634" s="10">
        <v>46058</v>
      </c>
      <c r="F1634" s="4">
        <v>1661.99</v>
      </c>
      <c r="G1634" s="3">
        <f>SUMIF(Customer_Payments!B:B,C1634,Customer_Payments!E:E)</f>
        <v>1661.99</v>
      </c>
      <c r="H1634" s="3">
        <f t="shared" si="75"/>
        <v>0</v>
      </c>
      <c r="I1634" s="29">
        <f t="shared" si="76"/>
        <v>33</v>
      </c>
      <c r="J1634" s="31" t="str">
        <f t="shared" si="77"/>
        <v>31-60</v>
      </c>
      <c r="K1634"/>
    </row>
    <row r="1635" spans="1:11" x14ac:dyDescent="0.3">
      <c r="A1635" s="21" t="s">
        <v>32</v>
      </c>
      <c r="B1635" t="str">
        <f>VLOOKUP(A1635,Customers!A:B,2,FALSE)</f>
        <v>RetailVista</v>
      </c>
      <c r="C1635" s="25" t="s">
        <v>2002</v>
      </c>
      <c r="D1635" s="11">
        <v>46103</v>
      </c>
      <c r="E1635" s="11">
        <v>46133</v>
      </c>
      <c r="F1635" s="5">
        <v>13282.15</v>
      </c>
      <c r="G1635" s="3">
        <f>SUMIF(Customer_Payments!B:B,C1635,Customer_Payments!E:E)</f>
        <v>0</v>
      </c>
      <c r="H1635" s="3">
        <f t="shared" si="75"/>
        <v>13282.15</v>
      </c>
      <c r="I1635" s="29">
        <f t="shared" si="76"/>
        <v>-42</v>
      </c>
      <c r="J1635" s="31" t="str">
        <f t="shared" si="77"/>
        <v>Current</v>
      </c>
      <c r="K1635"/>
    </row>
    <row r="1636" spans="1:11" x14ac:dyDescent="0.3">
      <c r="A1636" s="20" t="s">
        <v>31</v>
      </c>
      <c r="B1636" t="str">
        <f>VLOOKUP(A1636,Customers!A:B,2,FALSE)</f>
        <v>SparkRetail</v>
      </c>
      <c r="C1636" s="24" t="s">
        <v>2003</v>
      </c>
      <c r="D1636" s="10">
        <v>46090</v>
      </c>
      <c r="E1636" s="10">
        <v>46120</v>
      </c>
      <c r="F1636" s="4">
        <v>2419.25</v>
      </c>
      <c r="G1636" s="3">
        <f>SUMIF(Customer_Payments!B:B,C1636,Customer_Payments!E:E)</f>
        <v>2419.25</v>
      </c>
      <c r="H1636" s="3">
        <f t="shared" si="75"/>
        <v>0</v>
      </c>
      <c r="I1636" s="29">
        <f t="shared" si="76"/>
        <v>-29</v>
      </c>
      <c r="J1636" s="31" t="str">
        <f t="shared" si="77"/>
        <v>Current</v>
      </c>
      <c r="K1636"/>
    </row>
    <row r="1637" spans="1:11" x14ac:dyDescent="0.3">
      <c r="A1637" s="21" t="s">
        <v>113</v>
      </c>
      <c r="B1637" t="str">
        <f>VLOOKUP(A1637,Customers!A:B,2,FALSE)</f>
        <v>RetailSpherePro</v>
      </c>
      <c r="C1637" s="25" t="s">
        <v>2004</v>
      </c>
      <c r="D1637" s="11">
        <v>46036</v>
      </c>
      <c r="E1637" s="11">
        <v>46066</v>
      </c>
      <c r="F1637" s="5">
        <v>1921.64</v>
      </c>
      <c r="G1637" s="3">
        <f>SUMIF(Customer_Payments!B:B,C1637,Customer_Payments!E:E)</f>
        <v>0</v>
      </c>
      <c r="H1637" s="3">
        <f t="shared" si="75"/>
        <v>1921.64</v>
      </c>
      <c r="I1637" s="29">
        <f t="shared" si="76"/>
        <v>25</v>
      </c>
      <c r="J1637" s="31" t="str">
        <f t="shared" si="77"/>
        <v>1-30</v>
      </c>
      <c r="K1637"/>
    </row>
    <row r="1638" spans="1:11" x14ac:dyDescent="0.3">
      <c r="A1638" s="20" t="s">
        <v>20</v>
      </c>
      <c r="B1638" t="str">
        <f>VLOOKUP(A1638,Customers!A:B,2,FALSE)</f>
        <v>GrowthSphere</v>
      </c>
      <c r="C1638" s="24" t="s">
        <v>2005</v>
      </c>
      <c r="D1638" s="10">
        <v>46025</v>
      </c>
      <c r="E1638" s="10">
        <v>46055</v>
      </c>
      <c r="F1638" s="4">
        <v>1560.88</v>
      </c>
      <c r="G1638" s="3">
        <f>SUMIF(Customer_Payments!B:B,C1638,Customer_Payments!E:E)</f>
        <v>1560.88</v>
      </c>
      <c r="H1638" s="3">
        <f t="shared" si="75"/>
        <v>0</v>
      </c>
      <c r="I1638" s="29">
        <f t="shared" si="76"/>
        <v>36</v>
      </c>
      <c r="J1638" s="31" t="str">
        <f t="shared" si="77"/>
        <v>31-60</v>
      </c>
      <c r="K1638"/>
    </row>
    <row r="1639" spans="1:11" x14ac:dyDescent="0.3">
      <c r="A1639" s="21" t="s">
        <v>76</v>
      </c>
      <c r="B1639" t="str">
        <f>VLOOKUP(A1639,Customers!A:B,2,FALSE)</f>
        <v>RetailSphere</v>
      </c>
      <c r="C1639" s="25" t="s">
        <v>2006</v>
      </c>
      <c r="D1639" s="11">
        <v>45976</v>
      </c>
      <c r="E1639" s="11">
        <v>46006</v>
      </c>
      <c r="F1639" s="5">
        <v>2322.6799999999998</v>
      </c>
      <c r="G1639" s="3">
        <f>SUMIF(Customer_Payments!B:B,C1639,Customer_Payments!E:E)</f>
        <v>2322.6799999999998</v>
      </c>
      <c r="H1639" s="3">
        <f t="shared" si="75"/>
        <v>0</v>
      </c>
      <c r="I1639" s="29">
        <f t="shared" si="76"/>
        <v>85</v>
      </c>
      <c r="J1639" s="31" t="str">
        <f t="shared" si="77"/>
        <v>61-90</v>
      </c>
      <c r="K1639"/>
    </row>
    <row r="1640" spans="1:11" x14ac:dyDescent="0.3">
      <c r="A1640" s="20" t="s">
        <v>52</v>
      </c>
      <c r="B1640" t="str">
        <f>VLOOKUP(A1640,Customers!A:B,2,FALSE)</f>
        <v>RetailShift</v>
      </c>
      <c r="C1640" s="24" t="s">
        <v>2007</v>
      </c>
      <c r="D1640" s="10">
        <v>45962</v>
      </c>
      <c r="E1640" s="10">
        <v>45992</v>
      </c>
      <c r="F1640" s="4">
        <v>14106.83</v>
      </c>
      <c r="G1640" s="3">
        <f>SUMIF(Customer_Payments!B:B,C1640,Customer_Payments!E:E)</f>
        <v>14106.83</v>
      </c>
      <c r="H1640" s="3">
        <f t="shared" si="75"/>
        <v>0</v>
      </c>
      <c r="I1640" s="29">
        <f t="shared" si="76"/>
        <v>99</v>
      </c>
      <c r="J1640" s="31" t="str">
        <f t="shared" si="77"/>
        <v>90+</v>
      </c>
      <c r="K1640"/>
    </row>
    <row r="1641" spans="1:11" x14ac:dyDescent="0.3">
      <c r="A1641" s="21" t="s">
        <v>56</v>
      </c>
      <c r="B1641" t="str">
        <f>VLOOKUP(A1641,Customers!A:B,2,FALSE)</f>
        <v>RetailBoost</v>
      </c>
      <c r="C1641" s="25" t="s">
        <v>2008</v>
      </c>
      <c r="D1641" s="11">
        <v>46026</v>
      </c>
      <c r="E1641" s="11">
        <v>46056</v>
      </c>
      <c r="F1641" s="5">
        <v>2173.62</v>
      </c>
      <c r="G1641" s="3">
        <f>SUMIF(Customer_Payments!B:B,C1641,Customer_Payments!E:E)</f>
        <v>2173.62</v>
      </c>
      <c r="H1641" s="3">
        <f t="shared" si="75"/>
        <v>0</v>
      </c>
      <c r="I1641" s="29">
        <f t="shared" si="76"/>
        <v>35</v>
      </c>
      <c r="J1641" s="31" t="str">
        <f t="shared" si="77"/>
        <v>31-60</v>
      </c>
      <c r="K1641"/>
    </row>
    <row r="1642" spans="1:11" x14ac:dyDescent="0.3">
      <c r="A1642" s="20" t="s">
        <v>90</v>
      </c>
      <c r="B1642" t="str">
        <f>VLOOKUP(A1642,Customers!A:B,2,FALSE)</f>
        <v>RetailPulseX</v>
      </c>
      <c r="C1642" s="24" t="s">
        <v>2009</v>
      </c>
      <c r="D1642" s="10">
        <v>45991</v>
      </c>
      <c r="E1642" s="10">
        <v>46021</v>
      </c>
      <c r="F1642" s="4">
        <v>4917.55</v>
      </c>
      <c r="G1642" s="3">
        <f>SUMIF(Customer_Payments!B:B,C1642,Customer_Payments!E:E)</f>
        <v>0</v>
      </c>
      <c r="H1642" s="3">
        <f t="shared" si="75"/>
        <v>4917.55</v>
      </c>
      <c r="I1642" s="29">
        <f t="shared" si="76"/>
        <v>70</v>
      </c>
      <c r="J1642" s="31" t="str">
        <f t="shared" si="77"/>
        <v>61-90</v>
      </c>
      <c r="K1642"/>
    </row>
    <row r="1643" spans="1:11" x14ac:dyDescent="0.3">
      <c r="A1643" s="21" t="s">
        <v>105</v>
      </c>
      <c r="B1643" t="str">
        <f>VLOOKUP(A1643,Customers!A:B,2,FALSE)</f>
        <v>RetailFlowPro</v>
      </c>
      <c r="C1643" s="25" t="s">
        <v>2010</v>
      </c>
      <c r="D1643" s="11">
        <v>45990</v>
      </c>
      <c r="E1643" s="11">
        <v>46020</v>
      </c>
      <c r="F1643" s="5">
        <v>3316.57</v>
      </c>
      <c r="G1643" s="3">
        <f>SUMIF(Customer_Payments!B:B,C1643,Customer_Payments!E:E)</f>
        <v>3316.57</v>
      </c>
      <c r="H1643" s="3">
        <f t="shared" si="75"/>
        <v>0</v>
      </c>
      <c r="I1643" s="29">
        <f t="shared" si="76"/>
        <v>71</v>
      </c>
      <c r="J1643" s="31" t="str">
        <f t="shared" si="77"/>
        <v>61-90</v>
      </c>
      <c r="K1643"/>
    </row>
    <row r="1644" spans="1:11" x14ac:dyDescent="0.3">
      <c r="A1644" s="20" t="s">
        <v>115</v>
      </c>
      <c r="B1644" t="str">
        <f>VLOOKUP(A1644,Customers!A:B,2,FALSE)</f>
        <v>RetailDynamicsPro</v>
      </c>
      <c r="C1644" s="24" t="s">
        <v>2011</v>
      </c>
      <c r="D1644" s="10">
        <v>46055</v>
      </c>
      <c r="E1644" s="10">
        <v>46085</v>
      </c>
      <c r="F1644" s="4">
        <v>3499.41</v>
      </c>
      <c r="G1644" s="3">
        <f>SUMIF(Customer_Payments!B:B,C1644,Customer_Payments!E:E)</f>
        <v>3499.41</v>
      </c>
      <c r="H1644" s="3">
        <f t="shared" si="75"/>
        <v>0</v>
      </c>
      <c r="I1644" s="29">
        <f t="shared" si="76"/>
        <v>6</v>
      </c>
      <c r="J1644" s="31" t="str">
        <f t="shared" si="77"/>
        <v>1-30</v>
      </c>
      <c r="K1644"/>
    </row>
    <row r="1645" spans="1:11" x14ac:dyDescent="0.3">
      <c r="A1645" s="21" t="s">
        <v>87</v>
      </c>
      <c r="B1645" t="str">
        <f>VLOOKUP(A1645,Customers!A:B,2,FALSE)</f>
        <v>RetailStreamX</v>
      </c>
      <c r="C1645" s="25" t="s">
        <v>2012</v>
      </c>
      <c r="D1645" s="11">
        <v>46055</v>
      </c>
      <c r="E1645" s="11">
        <v>46085</v>
      </c>
      <c r="F1645" s="5">
        <v>3040.04</v>
      </c>
      <c r="G1645" s="3">
        <f>SUMIF(Customer_Payments!B:B,C1645,Customer_Payments!E:E)</f>
        <v>3040.04</v>
      </c>
      <c r="H1645" s="3">
        <f t="shared" si="75"/>
        <v>0</v>
      </c>
      <c r="I1645" s="29">
        <f t="shared" si="76"/>
        <v>6</v>
      </c>
      <c r="J1645" s="31" t="str">
        <f t="shared" si="77"/>
        <v>1-30</v>
      </c>
      <c r="K1645"/>
    </row>
    <row r="1646" spans="1:11" x14ac:dyDescent="0.3">
      <c r="A1646" s="20" t="s">
        <v>29</v>
      </c>
      <c r="B1646" t="str">
        <f>VLOOKUP(A1646,Customers!A:B,2,FALSE)</f>
        <v>DigitalBridge</v>
      </c>
      <c r="C1646" s="24" t="s">
        <v>2013</v>
      </c>
      <c r="D1646" s="10">
        <v>46022</v>
      </c>
      <c r="E1646" s="10">
        <v>46052</v>
      </c>
      <c r="F1646" s="4">
        <v>1719.77</v>
      </c>
      <c r="G1646" s="3">
        <f>SUMIF(Customer_Payments!B:B,C1646,Customer_Payments!E:E)</f>
        <v>1719.77</v>
      </c>
      <c r="H1646" s="3">
        <f t="shared" si="75"/>
        <v>0</v>
      </c>
      <c r="I1646" s="29">
        <f t="shared" si="76"/>
        <v>39</v>
      </c>
      <c r="J1646" s="31" t="str">
        <f t="shared" si="77"/>
        <v>31-60</v>
      </c>
      <c r="K1646"/>
    </row>
    <row r="1647" spans="1:11" x14ac:dyDescent="0.3">
      <c r="A1647" s="21" t="s">
        <v>92</v>
      </c>
      <c r="B1647" t="str">
        <f>VLOOKUP(A1647,Customers!A:B,2,FALSE)</f>
        <v>RetailMatrixX</v>
      </c>
      <c r="C1647" s="25" t="s">
        <v>2014</v>
      </c>
      <c r="D1647" s="11">
        <v>46082</v>
      </c>
      <c r="E1647" s="11">
        <v>46112</v>
      </c>
      <c r="F1647" s="5">
        <v>1988.44</v>
      </c>
      <c r="G1647" s="3">
        <f>SUMIF(Customer_Payments!B:B,C1647,Customer_Payments!E:E)</f>
        <v>0</v>
      </c>
      <c r="H1647" s="3">
        <f t="shared" si="75"/>
        <v>1988.44</v>
      </c>
      <c r="I1647" s="29">
        <f t="shared" si="76"/>
        <v>-21</v>
      </c>
      <c r="J1647" s="31" t="str">
        <f t="shared" si="77"/>
        <v>Current</v>
      </c>
      <c r="K1647"/>
    </row>
    <row r="1648" spans="1:11" x14ac:dyDescent="0.3">
      <c r="A1648" s="20" t="s">
        <v>64</v>
      </c>
      <c r="B1648" t="str">
        <f>VLOOKUP(A1648,Customers!A:B,2,FALSE)</f>
        <v>MarketScale</v>
      </c>
      <c r="C1648" s="24" t="s">
        <v>2015</v>
      </c>
      <c r="D1648" s="10">
        <v>45981</v>
      </c>
      <c r="E1648" s="10">
        <v>46011</v>
      </c>
      <c r="F1648" s="4">
        <v>9924.06</v>
      </c>
      <c r="G1648" s="3">
        <f>SUMIF(Customer_Payments!B:B,C1648,Customer_Payments!E:E)</f>
        <v>0</v>
      </c>
      <c r="H1648" s="3">
        <f t="shared" si="75"/>
        <v>9924.06</v>
      </c>
      <c r="I1648" s="29">
        <f t="shared" si="76"/>
        <v>80</v>
      </c>
      <c r="J1648" s="31" t="str">
        <f t="shared" si="77"/>
        <v>61-90</v>
      </c>
      <c r="K1648"/>
    </row>
    <row r="1649" spans="1:11" x14ac:dyDescent="0.3">
      <c r="A1649" s="21" t="s">
        <v>97</v>
      </c>
      <c r="B1649" t="str">
        <f>VLOOKUP(A1649,Customers!A:B,2,FALSE)</f>
        <v>RetailSparkX</v>
      </c>
      <c r="C1649" s="25" t="s">
        <v>2016</v>
      </c>
      <c r="D1649" s="11">
        <v>46108</v>
      </c>
      <c r="E1649" s="11">
        <v>46138</v>
      </c>
      <c r="F1649" s="5">
        <v>12052.93</v>
      </c>
      <c r="G1649" s="3">
        <f>SUMIF(Customer_Payments!B:B,C1649,Customer_Payments!E:E)</f>
        <v>12052.93</v>
      </c>
      <c r="H1649" s="3">
        <f t="shared" si="75"/>
        <v>0</v>
      </c>
      <c r="I1649" s="29">
        <f t="shared" si="76"/>
        <v>-47</v>
      </c>
      <c r="J1649" s="31" t="str">
        <f t="shared" si="77"/>
        <v>Current</v>
      </c>
      <c r="K1649"/>
    </row>
    <row r="1650" spans="1:11" x14ac:dyDescent="0.3">
      <c r="A1650" s="20" t="s">
        <v>101</v>
      </c>
      <c r="B1650" t="str">
        <f>VLOOKUP(A1650,Customers!A:B,2,FALSE)</f>
        <v>RetailMatrixPro</v>
      </c>
      <c r="C1650" s="24" t="s">
        <v>2017</v>
      </c>
      <c r="D1650" s="10">
        <v>46008</v>
      </c>
      <c r="E1650" s="10">
        <v>46038</v>
      </c>
      <c r="F1650" s="4">
        <v>2679.13</v>
      </c>
      <c r="G1650" s="3">
        <f>SUMIF(Customer_Payments!B:B,C1650,Customer_Payments!E:E)</f>
        <v>2679.13</v>
      </c>
      <c r="H1650" s="3">
        <f t="shared" si="75"/>
        <v>0</v>
      </c>
      <c r="I1650" s="29">
        <f t="shared" si="76"/>
        <v>53</v>
      </c>
      <c r="J1650" s="31" t="str">
        <f t="shared" si="77"/>
        <v>31-60</v>
      </c>
      <c r="K1650"/>
    </row>
    <row r="1651" spans="1:11" x14ac:dyDescent="0.3">
      <c r="A1651" s="21" t="s">
        <v>54</v>
      </c>
      <c r="B1651" t="str">
        <f>VLOOKUP(A1651,Customers!A:B,2,FALSE)</f>
        <v>RetailEdge</v>
      </c>
      <c r="C1651" s="25" t="s">
        <v>2018</v>
      </c>
      <c r="D1651" s="11">
        <v>45969</v>
      </c>
      <c r="E1651" s="11">
        <v>45999</v>
      </c>
      <c r="F1651" s="5">
        <v>13234.78</v>
      </c>
      <c r="G1651" s="3">
        <f>SUMIF(Customer_Payments!B:B,C1651,Customer_Payments!E:E)</f>
        <v>13234.78</v>
      </c>
      <c r="H1651" s="3">
        <f t="shared" si="75"/>
        <v>0</v>
      </c>
      <c r="I1651" s="29">
        <f t="shared" si="76"/>
        <v>92</v>
      </c>
      <c r="J1651" s="31" t="str">
        <f t="shared" si="77"/>
        <v>90+</v>
      </c>
      <c r="K1651"/>
    </row>
    <row r="1652" spans="1:11" x14ac:dyDescent="0.3">
      <c r="A1652" s="20" t="s">
        <v>11</v>
      </c>
      <c r="B1652" t="str">
        <f>VLOOKUP(A1652,Customers!A:B,2,FALSE)</f>
        <v>DataHive</v>
      </c>
      <c r="C1652" s="24" t="s">
        <v>2019</v>
      </c>
      <c r="D1652" s="10">
        <v>45984</v>
      </c>
      <c r="E1652" s="10">
        <v>46014</v>
      </c>
      <c r="F1652" s="4">
        <v>11023.75</v>
      </c>
      <c r="G1652" s="3">
        <f>SUMIF(Customer_Payments!B:B,C1652,Customer_Payments!E:E)</f>
        <v>11023.75</v>
      </c>
      <c r="H1652" s="3">
        <f t="shared" si="75"/>
        <v>0</v>
      </c>
      <c r="I1652" s="29">
        <f t="shared" si="76"/>
        <v>77</v>
      </c>
      <c r="J1652" s="31" t="str">
        <f t="shared" si="77"/>
        <v>61-90</v>
      </c>
      <c r="K1652"/>
    </row>
    <row r="1653" spans="1:11" x14ac:dyDescent="0.3">
      <c r="A1653" s="21" t="s">
        <v>49</v>
      </c>
      <c r="B1653" t="str">
        <f>VLOOKUP(A1653,Customers!A:B,2,FALSE)</f>
        <v>CommercePilot</v>
      </c>
      <c r="C1653" s="25" t="s">
        <v>2020</v>
      </c>
      <c r="D1653" s="11">
        <v>46079</v>
      </c>
      <c r="E1653" s="11">
        <v>46109</v>
      </c>
      <c r="F1653" s="5">
        <v>5846.82</v>
      </c>
      <c r="G1653" s="3">
        <f>SUMIF(Customer_Payments!B:B,C1653,Customer_Payments!E:E)</f>
        <v>5846.82</v>
      </c>
      <c r="H1653" s="3">
        <f t="shared" si="75"/>
        <v>0</v>
      </c>
      <c r="I1653" s="29">
        <f t="shared" si="76"/>
        <v>-18</v>
      </c>
      <c r="J1653" s="31" t="str">
        <f t="shared" si="77"/>
        <v>Current</v>
      </c>
      <c r="K1653"/>
    </row>
    <row r="1654" spans="1:11" x14ac:dyDescent="0.3">
      <c r="A1654" s="20" t="s">
        <v>60</v>
      </c>
      <c r="B1654" t="str">
        <f>VLOOKUP(A1654,Customers!A:B,2,FALSE)</f>
        <v>RetailSpark</v>
      </c>
      <c r="C1654" s="24" t="s">
        <v>2021</v>
      </c>
      <c r="D1654" s="10">
        <v>46094</v>
      </c>
      <c r="E1654" s="10">
        <v>46124</v>
      </c>
      <c r="F1654" s="4">
        <v>4556.25</v>
      </c>
      <c r="G1654" s="3">
        <f>SUMIF(Customer_Payments!B:B,C1654,Customer_Payments!E:E)</f>
        <v>4556.25</v>
      </c>
      <c r="H1654" s="3">
        <f t="shared" si="75"/>
        <v>0</v>
      </c>
      <c r="I1654" s="29">
        <f t="shared" si="76"/>
        <v>-33</v>
      </c>
      <c r="J1654" s="31" t="str">
        <f t="shared" si="77"/>
        <v>Current</v>
      </c>
      <c r="K1654"/>
    </row>
    <row r="1655" spans="1:11" x14ac:dyDescent="0.3">
      <c r="A1655" s="21" t="s">
        <v>100</v>
      </c>
      <c r="B1655" t="str">
        <f>VLOOKUP(A1655,Customers!A:B,2,FALSE)</f>
        <v>RetailBoostPro</v>
      </c>
      <c r="C1655" s="25" t="s">
        <v>2022</v>
      </c>
      <c r="D1655" s="11">
        <v>46073</v>
      </c>
      <c r="E1655" s="11">
        <v>46103</v>
      </c>
      <c r="F1655" s="5">
        <v>2025.15</v>
      </c>
      <c r="G1655" s="3">
        <f>SUMIF(Customer_Payments!B:B,C1655,Customer_Payments!E:E)</f>
        <v>2025.15</v>
      </c>
      <c r="H1655" s="3">
        <f t="shared" si="75"/>
        <v>0</v>
      </c>
      <c r="I1655" s="29">
        <f t="shared" si="76"/>
        <v>-12</v>
      </c>
      <c r="J1655" s="31" t="str">
        <f t="shared" si="77"/>
        <v>Current</v>
      </c>
      <c r="K1655"/>
    </row>
    <row r="1656" spans="1:11" x14ac:dyDescent="0.3">
      <c r="A1656" s="20" t="s">
        <v>124</v>
      </c>
      <c r="B1656" t="str">
        <f>VLOOKUP(A1656,Customers!A:B,2,FALSE)</f>
        <v>RetailOrbitGlobal</v>
      </c>
      <c r="C1656" s="24" t="s">
        <v>2023</v>
      </c>
      <c r="D1656" s="10">
        <v>46002</v>
      </c>
      <c r="E1656" s="10">
        <v>46032</v>
      </c>
      <c r="F1656" s="4">
        <v>2342.73</v>
      </c>
      <c r="G1656" s="3">
        <f>SUMIF(Customer_Payments!B:B,C1656,Customer_Payments!E:E)</f>
        <v>2342.73</v>
      </c>
      <c r="H1656" s="3">
        <f t="shared" si="75"/>
        <v>0</v>
      </c>
      <c r="I1656" s="29">
        <f t="shared" si="76"/>
        <v>59</v>
      </c>
      <c r="J1656" s="31" t="str">
        <f t="shared" si="77"/>
        <v>31-60</v>
      </c>
      <c r="K1656"/>
    </row>
    <row r="1657" spans="1:11" x14ac:dyDescent="0.3">
      <c r="A1657" s="21" t="s">
        <v>35</v>
      </c>
      <c r="B1657" t="str">
        <f>VLOOKUP(A1657,Customers!A:B,2,FALSE)</f>
        <v>FusionRetail</v>
      </c>
      <c r="C1657" s="25" t="s">
        <v>2024</v>
      </c>
      <c r="D1657" s="11">
        <v>45998</v>
      </c>
      <c r="E1657" s="11">
        <v>46028</v>
      </c>
      <c r="F1657" s="5">
        <v>2151.63</v>
      </c>
      <c r="G1657" s="3">
        <f>SUMIF(Customer_Payments!B:B,C1657,Customer_Payments!E:E)</f>
        <v>2151.63</v>
      </c>
      <c r="H1657" s="3">
        <f t="shared" si="75"/>
        <v>0</v>
      </c>
      <c r="I1657" s="29">
        <f t="shared" si="76"/>
        <v>63</v>
      </c>
      <c r="J1657" s="31" t="str">
        <f t="shared" si="77"/>
        <v>61-90</v>
      </c>
      <c r="K1657"/>
    </row>
    <row r="1658" spans="1:11" x14ac:dyDescent="0.3">
      <c r="A1658" s="20" t="s">
        <v>87</v>
      </c>
      <c r="B1658" t="str">
        <f>VLOOKUP(A1658,Customers!A:B,2,FALSE)</f>
        <v>RetailStreamX</v>
      </c>
      <c r="C1658" s="24" t="s">
        <v>2025</v>
      </c>
      <c r="D1658" s="10">
        <v>45994</v>
      </c>
      <c r="E1658" s="10">
        <v>46024</v>
      </c>
      <c r="F1658" s="4">
        <v>4021.79</v>
      </c>
      <c r="G1658" s="3">
        <f>SUMIF(Customer_Payments!B:B,C1658,Customer_Payments!E:E)</f>
        <v>4021.79</v>
      </c>
      <c r="H1658" s="3">
        <f t="shared" si="75"/>
        <v>0</v>
      </c>
      <c r="I1658" s="29">
        <f t="shared" si="76"/>
        <v>67</v>
      </c>
      <c r="J1658" s="31" t="str">
        <f t="shared" si="77"/>
        <v>61-90</v>
      </c>
      <c r="K1658"/>
    </row>
    <row r="1659" spans="1:11" x14ac:dyDescent="0.3">
      <c r="A1659" s="21" t="s">
        <v>13</v>
      </c>
      <c r="B1659" t="str">
        <f>VLOOKUP(A1659,Customers!A:B,2,FALSE)</f>
        <v>EduNova</v>
      </c>
      <c r="C1659" s="25" t="s">
        <v>2026</v>
      </c>
      <c r="D1659" s="11">
        <v>46016</v>
      </c>
      <c r="E1659" s="11">
        <v>46046</v>
      </c>
      <c r="F1659" s="5">
        <v>2477.54</v>
      </c>
      <c r="G1659" s="3">
        <f>SUMIF(Customer_Payments!B:B,C1659,Customer_Payments!E:E)</f>
        <v>0</v>
      </c>
      <c r="H1659" s="3">
        <f t="shared" si="75"/>
        <v>2477.54</v>
      </c>
      <c r="I1659" s="29">
        <f t="shared" si="76"/>
        <v>45</v>
      </c>
      <c r="J1659" s="31" t="str">
        <f t="shared" si="77"/>
        <v>31-60</v>
      </c>
      <c r="K1659"/>
    </row>
    <row r="1660" spans="1:11" x14ac:dyDescent="0.3">
      <c r="A1660" s="20" t="s">
        <v>82</v>
      </c>
      <c r="B1660" t="str">
        <f>VLOOKUP(A1660,Customers!A:B,2,FALSE)</f>
        <v>RetailNovaX</v>
      </c>
      <c r="C1660" s="24" t="s">
        <v>2027</v>
      </c>
      <c r="D1660" s="10">
        <v>46094</v>
      </c>
      <c r="E1660" s="10">
        <v>46124</v>
      </c>
      <c r="F1660" s="4">
        <v>2154.25</v>
      </c>
      <c r="G1660" s="3">
        <f>SUMIF(Customer_Payments!B:B,C1660,Customer_Payments!E:E)</f>
        <v>2154.25</v>
      </c>
      <c r="H1660" s="3">
        <f t="shared" si="75"/>
        <v>0</v>
      </c>
      <c r="I1660" s="29">
        <f t="shared" si="76"/>
        <v>-33</v>
      </c>
      <c r="J1660" s="31" t="str">
        <f t="shared" si="77"/>
        <v>Current</v>
      </c>
      <c r="K1660"/>
    </row>
    <row r="1661" spans="1:11" x14ac:dyDescent="0.3">
      <c r="A1661" s="21" t="s">
        <v>61</v>
      </c>
      <c r="B1661" t="str">
        <f>VLOOKUP(A1661,Customers!A:B,2,FALSE)</f>
        <v>RetailOrbit</v>
      </c>
      <c r="C1661" s="25" t="s">
        <v>2028</v>
      </c>
      <c r="D1661" s="11">
        <v>45972</v>
      </c>
      <c r="E1661" s="11">
        <v>46002</v>
      </c>
      <c r="F1661" s="5">
        <v>3963.71</v>
      </c>
      <c r="G1661" s="3">
        <f>SUMIF(Customer_Payments!B:B,C1661,Customer_Payments!E:E)</f>
        <v>3963.71</v>
      </c>
      <c r="H1661" s="3">
        <f t="shared" si="75"/>
        <v>0</v>
      </c>
      <c r="I1661" s="29">
        <f t="shared" si="76"/>
        <v>89</v>
      </c>
      <c r="J1661" s="31" t="str">
        <f t="shared" si="77"/>
        <v>61-90</v>
      </c>
      <c r="K1661"/>
    </row>
    <row r="1662" spans="1:11" x14ac:dyDescent="0.3">
      <c r="A1662" s="20" t="s">
        <v>61</v>
      </c>
      <c r="B1662" t="str">
        <f>VLOOKUP(A1662,Customers!A:B,2,FALSE)</f>
        <v>RetailOrbit</v>
      </c>
      <c r="C1662" s="24" t="s">
        <v>2029</v>
      </c>
      <c r="D1662" s="10">
        <v>46045</v>
      </c>
      <c r="E1662" s="10">
        <v>46075</v>
      </c>
      <c r="F1662" s="4">
        <v>1776.29</v>
      </c>
      <c r="G1662" s="3">
        <f>SUMIF(Customer_Payments!B:B,C1662,Customer_Payments!E:E)</f>
        <v>1776.29</v>
      </c>
      <c r="H1662" s="3">
        <f t="shared" si="75"/>
        <v>0</v>
      </c>
      <c r="I1662" s="29">
        <f t="shared" si="76"/>
        <v>16</v>
      </c>
      <c r="J1662" s="31" t="str">
        <f t="shared" si="77"/>
        <v>1-30</v>
      </c>
      <c r="K1662"/>
    </row>
    <row r="1663" spans="1:11" x14ac:dyDescent="0.3">
      <c r="A1663" s="21" t="s">
        <v>88</v>
      </c>
      <c r="B1663" t="str">
        <f>VLOOKUP(A1663,Customers!A:B,2,FALSE)</f>
        <v>RetailPrimeX</v>
      </c>
      <c r="C1663" s="25" t="s">
        <v>2030</v>
      </c>
      <c r="D1663" s="11">
        <v>46108</v>
      </c>
      <c r="E1663" s="11">
        <v>46138</v>
      </c>
      <c r="F1663" s="5">
        <v>5211.7</v>
      </c>
      <c r="G1663" s="3">
        <f>SUMIF(Customer_Payments!B:B,C1663,Customer_Payments!E:E)</f>
        <v>5211.7</v>
      </c>
      <c r="H1663" s="3">
        <f t="shared" si="75"/>
        <v>0</v>
      </c>
      <c r="I1663" s="29">
        <f t="shared" si="76"/>
        <v>-47</v>
      </c>
      <c r="J1663" s="31" t="str">
        <f t="shared" si="77"/>
        <v>Current</v>
      </c>
      <c r="K1663"/>
    </row>
    <row r="1664" spans="1:11" x14ac:dyDescent="0.3">
      <c r="A1664" s="20" t="s">
        <v>53</v>
      </c>
      <c r="B1664" t="str">
        <f>VLOOKUP(A1664,Customers!A:B,2,FALSE)</f>
        <v>PrimeCart</v>
      </c>
      <c r="C1664" s="24" t="s">
        <v>2031</v>
      </c>
      <c r="D1664" s="10">
        <v>46056</v>
      </c>
      <c r="E1664" s="10">
        <v>46086</v>
      </c>
      <c r="F1664" s="4">
        <v>4543.72</v>
      </c>
      <c r="G1664" s="3">
        <f>SUMIF(Customer_Payments!B:B,C1664,Customer_Payments!E:E)</f>
        <v>4543.72</v>
      </c>
      <c r="H1664" s="3">
        <f t="shared" si="75"/>
        <v>0</v>
      </c>
      <c r="I1664" s="29">
        <f t="shared" si="76"/>
        <v>5</v>
      </c>
      <c r="J1664" s="31" t="str">
        <f t="shared" si="77"/>
        <v>1-30</v>
      </c>
      <c r="K1664"/>
    </row>
    <row r="1665" spans="1:11" x14ac:dyDescent="0.3">
      <c r="A1665" s="21" t="s">
        <v>85</v>
      </c>
      <c r="B1665" t="str">
        <f>VLOOKUP(A1665,Customers!A:B,2,FALSE)</f>
        <v>RetailWorksX</v>
      </c>
      <c r="C1665" s="25" t="s">
        <v>2032</v>
      </c>
      <c r="D1665" s="11">
        <v>45991</v>
      </c>
      <c r="E1665" s="11">
        <v>46021</v>
      </c>
      <c r="F1665" s="5">
        <v>11413.04</v>
      </c>
      <c r="G1665" s="3">
        <f>SUMIF(Customer_Payments!B:B,C1665,Customer_Payments!E:E)</f>
        <v>11413.04</v>
      </c>
      <c r="H1665" s="3">
        <f t="shared" si="75"/>
        <v>0</v>
      </c>
      <c r="I1665" s="29">
        <f t="shared" si="76"/>
        <v>70</v>
      </c>
      <c r="J1665" s="31" t="str">
        <f t="shared" si="77"/>
        <v>61-90</v>
      </c>
      <c r="K1665"/>
    </row>
    <row r="1666" spans="1:11" x14ac:dyDescent="0.3">
      <c r="A1666" s="20" t="s">
        <v>55</v>
      </c>
      <c r="B1666" t="str">
        <f>VLOOKUP(A1666,Customers!A:B,2,FALSE)</f>
        <v>CommerceLabs</v>
      </c>
      <c r="C1666" s="24" t="s">
        <v>2033</v>
      </c>
      <c r="D1666" s="10">
        <v>46081</v>
      </c>
      <c r="E1666" s="10">
        <v>46111</v>
      </c>
      <c r="F1666" s="4">
        <v>1752.07</v>
      </c>
      <c r="G1666" s="3">
        <f>SUMIF(Customer_Payments!B:B,C1666,Customer_Payments!E:E)</f>
        <v>1752.07</v>
      </c>
      <c r="H1666" s="3">
        <f t="shared" ref="H1666:H1729" si="78">MAX(F1666-G1666,0)</f>
        <v>0</v>
      </c>
      <c r="I1666" s="29">
        <f t="shared" ref="I1666:I1729" si="79">$L$2-E1666</f>
        <v>-20</v>
      </c>
      <c r="J1666" s="31" t="str">
        <f t="shared" si="77"/>
        <v>Current</v>
      </c>
      <c r="K1666"/>
    </row>
    <row r="1667" spans="1:11" x14ac:dyDescent="0.3">
      <c r="A1667" s="21" t="s">
        <v>26</v>
      </c>
      <c r="B1667" t="str">
        <f>VLOOKUP(A1667,Customers!A:B,2,FALSE)</f>
        <v>NovaRetail</v>
      </c>
      <c r="C1667" s="25" t="s">
        <v>2034</v>
      </c>
      <c r="D1667" s="11">
        <v>46043</v>
      </c>
      <c r="E1667" s="11">
        <v>46073</v>
      </c>
      <c r="F1667" s="5">
        <v>13699.4</v>
      </c>
      <c r="G1667" s="3">
        <f>SUMIF(Customer_Payments!B:B,C1667,Customer_Payments!E:E)</f>
        <v>13699.4</v>
      </c>
      <c r="H1667" s="3">
        <f t="shared" si="78"/>
        <v>0</v>
      </c>
      <c r="I1667" s="29">
        <f t="shared" si="79"/>
        <v>18</v>
      </c>
      <c r="J1667" s="31" t="str">
        <f t="shared" ref="J1667:J1730" si="80">IF(I1667&lt;=0,"Current",
IF(I1667&lt;=30,"1-30",
IF(I1667&lt;=60,"31-60",
IF(I1667&lt;=90,"61-90","90+"))))</f>
        <v>1-30</v>
      </c>
      <c r="K1667"/>
    </row>
    <row r="1668" spans="1:11" x14ac:dyDescent="0.3">
      <c r="A1668" s="20" t="s">
        <v>65</v>
      </c>
      <c r="B1668" t="str">
        <f>VLOOKUP(A1668,Customers!A:B,2,FALSE)</f>
        <v>RetailFlow</v>
      </c>
      <c r="C1668" s="24" t="s">
        <v>2035</v>
      </c>
      <c r="D1668" s="10">
        <v>46087</v>
      </c>
      <c r="E1668" s="10">
        <v>46117</v>
      </c>
      <c r="F1668" s="4">
        <v>3817.31</v>
      </c>
      <c r="G1668" s="3">
        <f>SUMIF(Customer_Payments!B:B,C1668,Customer_Payments!E:E)</f>
        <v>3817.31</v>
      </c>
      <c r="H1668" s="3">
        <f t="shared" si="78"/>
        <v>0</v>
      </c>
      <c r="I1668" s="29">
        <f t="shared" si="79"/>
        <v>-26</v>
      </c>
      <c r="J1668" s="31" t="str">
        <f t="shared" si="80"/>
        <v>Current</v>
      </c>
      <c r="K1668"/>
    </row>
    <row r="1669" spans="1:11" x14ac:dyDescent="0.3">
      <c r="A1669" s="21" t="s">
        <v>24</v>
      </c>
      <c r="B1669" t="str">
        <f>VLOOKUP(A1669,Customers!A:B,2,FALSE)</f>
        <v>OmniTrade</v>
      </c>
      <c r="C1669" s="25" t="s">
        <v>2036</v>
      </c>
      <c r="D1669" s="11">
        <v>46084</v>
      </c>
      <c r="E1669" s="11">
        <v>46114</v>
      </c>
      <c r="F1669" s="5">
        <v>2375.15</v>
      </c>
      <c r="G1669" s="3">
        <f>SUMIF(Customer_Payments!B:B,C1669,Customer_Payments!E:E)</f>
        <v>2375.15</v>
      </c>
      <c r="H1669" s="3">
        <f t="shared" si="78"/>
        <v>0</v>
      </c>
      <c r="I1669" s="29">
        <f t="shared" si="79"/>
        <v>-23</v>
      </c>
      <c r="J1669" s="31" t="str">
        <f t="shared" si="80"/>
        <v>Current</v>
      </c>
      <c r="K1669"/>
    </row>
    <row r="1670" spans="1:11" x14ac:dyDescent="0.3">
      <c r="A1670" s="20" t="s">
        <v>117</v>
      </c>
      <c r="B1670" t="str">
        <f>VLOOKUP(A1670,Customers!A:B,2,FALSE)</f>
        <v>RetailSparkPro</v>
      </c>
      <c r="C1670" s="24" t="s">
        <v>2037</v>
      </c>
      <c r="D1670" s="10">
        <v>46022</v>
      </c>
      <c r="E1670" s="10">
        <v>46052</v>
      </c>
      <c r="F1670" s="4">
        <v>1777.87</v>
      </c>
      <c r="G1670" s="3">
        <f>SUMIF(Customer_Payments!B:B,C1670,Customer_Payments!E:E)</f>
        <v>1777.87</v>
      </c>
      <c r="H1670" s="3">
        <f t="shared" si="78"/>
        <v>0</v>
      </c>
      <c r="I1670" s="29">
        <f t="shared" si="79"/>
        <v>39</v>
      </c>
      <c r="J1670" s="31" t="str">
        <f t="shared" si="80"/>
        <v>31-60</v>
      </c>
      <c r="K1670"/>
    </row>
    <row r="1671" spans="1:11" x14ac:dyDescent="0.3">
      <c r="A1671" s="21" t="s">
        <v>60</v>
      </c>
      <c r="B1671" t="str">
        <f>VLOOKUP(A1671,Customers!A:B,2,FALSE)</f>
        <v>RetailSpark</v>
      </c>
      <c r="C1671" s="25" t="s">
        <v>2038</v>
      </c>
      <c r="D1671" s="11">
        <v>46065</v>
      </c>
      <c r="E1671" s="11">
        <v>46095</v>
      </c>
      <c r="F1671" s="5">
        <v>3822.52</v>
      </c>
      <c r="G1671" s="3">
        <f>SUMIF(Customer_Payments!B:B,C1671,Customer_Payments!E:E)</f>
        <v>3822.52</v>
      </c>
      <c r="H1671" s="3">
        <f t="shared" si="78"/>
        <v>0</v>
      </c>
      <c r="I1671" s="29">
        <f t="shared" si="79"/>
        <v>-4</v>
      </c>
      <c r="J1671" s="31" t="str">
        <f t="shared" si="80"/>
        <v>Current</v>
      </c>
      <c r="K1671"/>
    </row>
    <row r="1672" spans="1:11" x14ac:dyDescent="0.3">
      <c r="A1672" s="20" t="s">
        <v>89</v>
      </c>
      <c r="B1672" t="str">
        <f>VLOOKUP(A1672,Customers!A:B,2,FALSE)</f>
        <v>RetailAxisX</v>
      </c>
      <c r="C1672" s="24" t="s">
        <v>2039</v>
      </c>
      <c r="D1672" s="10">
        <v>45962</v>
      </c>
      <c r="E1672" s="10">
        <v>45992</v>
      </c>
      <c r="F1672" s="4">
        <v>14258.36</v>
      </c>
      <c r="G1672" s="3">
        <f>SUMIF(Customer_Payments!B:B,C1672,Customer_Payments!E:E)</f>
        <v>14258.36</v>
      </c>
      <c r="H1672" s="3">
        <f t="shared" si="78"/>
        <v>0</v>
      </c>
      <c r="I1672" s="29">
        <f t="shared" si="79"/>
        <v>99</v>
      </c>
      <c r="J1672" s="31" t="str">
        <f t="shared" si="80"/>
        <v>90+</v>
      </c>
      <c r="K1672"/>
    </row>
    <row r="1673" spans="1:11" x14ac:dyDescent="0.3">
      <c r="A1673" s="21" t="s">
        <v>22</v>
      </c>
      <c r="B1673" t="str">
        <f>VLOOKUP(A1673,Customers!A:B,2,FALSE)</f>
        <v>QuantumRetail</v>
      </c>
      <c r="C1673" s="25" t="s">
        <v>2040</v>
      </c>
      <c r="D1673" s="11">
        <v>46029</v>
      </c>
      <c r="E1673" s="11">
        <v>46059</v>
      </c>
      <c r="F1673" s="5">
        <v>2899.73</v>
      </c>
      <c r="G1673" s="3">
        <f>SUMIF(Customer_Payments!B:B,C1673,Customer_Payments!E:E)</f>
        <v>0</v>
      </c>
      <c r="H1673" s="3">
        <f t="shared" si="78"/>
        <v>2899.73</v>
      </c>
      <c r="I1673" s="29">
        <f t="shared" si="79"/>
        <v>32</v>
      </c>
      <c r="J1673" s="31" t="str">
        <f t="shared" si="80"/>
        <v>31-60</v>
      </c>
      <c r="K1673"/>
    </row>
    <row r="1674" spans="1:11" x14ac:dyDescent="0.3">
      <c r="A1674" s="20" t="s">
        <v>39</v>
      </c>
      <c r="B1674" t="str">
        <f>VLOOKUP(A1674,Customers!A:B,2,FALSE)</f>
        <v>VisionCommerce</v>
      </c>
      <c r="C1674" s="24" t="s">
        <v>2041</v>
      </c>
      <c r="D1674" s="10">
        <v>46094</v>
      </c>
      <c r="E1674" s="10">
        <v>46124</v>
      </c>
      <c r="F1674" s="4">
        <v>14074.22</v>
      </c>
      <c r="G1674" s="3">
        <f>SUMIF(Customer_Payments!B:B,C1674,Customer_Payments!E:E)</f>
        <v>0</v>
      </c>
      <c r="H1674" s="3">
        <f t="shared" si="78"/>
        <v>14074.22</v>
      </c>
      <c r="I1674" s="29">
        <f t="shared" si="79"/>
        <v>-33</v>
      </c>
      <c r="J1674" s="31" t="str">
        <f t="shared" si="80"/>
        <v>Current</v>
      </c>
      <c r="K1674"/>
    </row>
    <row r="1675" spans="1:11" x14ac:dyDescent="0.3">
      <c r="A1675" s="21" t="s">
        <v>54</v>
      </c>
      <c r="B1675" t="str">
        <f>VLOOKUP(A1675,Customers!A:B,2,FALSE)</f>
        <v>RetailEdge</v>
      </c>
      <c r="C1675" s="25" t="s">
        <v>2042</v>
      </c>
      <c r="D1675" s="11">
        <v>46080</v>
      </c>
      <c r="E1675" s="11">
        <v>46110</v>
      </c>
      <c r="F1675" s="5">
        <v>1690.98</v>
      </c>
      <c r="G1675" s="3">
        <f>SUMIF(Customer_Payments!B:B,C1675,Customer_Payments!E:E)</f>
        <v>1690.98</v>
      </c>
      <c r="H1675" s="3">
        <f t="shared" si="78"/>
        <v>0</v>
      </c>
      <c r="I1675" s="29">
        <f t="shared" si="79"/>
        <v>-19</v>
      </c>
      <c r="J1675" s="31" t="str">
        <f t="shared" si="80"/>
        <v>Current</v>
      </c>
      <c r="K1675"/>
    </row>
    <row r="1676" spans="1:11" x14ac:dyDescent="0.3">
      <c r="A1676" s="20" t="s">
        <v>38</v>
      </c>
      <c r="B1676" t="str">
        <f>VLOOKUP(A1676,Customers!A:B,2,FALSE)</f>
        <v>RetailForge</v>
      </c>
      <c r="C1676" s="24" t="s">
        <v>2043</v>
      </c>
      <c r="D1676" s="10">
        <v>45962</v>
      </c>
      <c r="E1676" s="10">
        <v>45992</v>
      </c>
      <c r="F1676" s="4">
        <v>1481.55</v>
      </c>
      <c r="G1676" s="3">
        <f>SUMIF(Customer_Payments!B:B,C1676,Customer_Payments!E:E)</f>
        <v>1481.55</v>
      </c>
      <c r="H1676" s="3">
        <f t="shared" si="78"/>
        <v>0</v>
      </c>
      <c r="I1676" s="29">
        <f t="shared" si="79"/>
        <v>99</v>
      </c>
      <c r="J1676" s="31" t="str">
        <f t="shared" si="80"/>
        <v>90+</v>
      </c>
      <c r="K1676"/>
    </row>
    <row r="1677" spans="1:11" x14ac:dyDescent="0.3">
      <c r="A1677" s="21" t="s">
        <v>93</v>
      </c>
      <c r="B1677" t="str">
        <f>VLOOKUP(A1677,Customers!A:B,2,FALSE)</f>
        <v>RetailSphereX</v>
      </c>
      <c r="C1677" s="25" t="s">
        <v>2044</v>
      </c>
      <c r="D1677" s="11">
        <v>46107</v>
      </c>
      <c r="E1677" s="11">
        <v>46137</v>
      </c>
      <c r="F1677" s="5">
        <v>9765.64</v>
      </c>
      <c r="G1677" s="3">
        <f>SUMIF(Customer_Payments!B:B,C1677,Customer_Payments!E:E)</f>
        <v>9765.64</v>
      </c>
      <c r="H1677" s="3">
        <f t="shared" si="78"/>
        <v>0</v>
      </c>
      <c r="I1677" s="29">
        <f t="shared" si="79"/>
        <v>-46</v>
      </c>
      <c r="J1677" s="31" t="str">
        <f t="shared" si="80"/>
        <v>Current</v>
      </c>
      <c r="K1677"/>
    </row>
    <row r="1678" spans="1:11" x14ac:dyDescent="0.3">
      <c r="A1678" s="20" t="s">
        <v>65</v>
      </c>
      <c r="B1678" t="str">
        <f>VLOOKUP(A1678,Customers!A:B,2,FALSE)</f>
        <v>RetailFlow</v>
      </c>
      <c r="C1678" s="24" t="s">
        <v>2045</v>
      </c>
      <c r="D1678" s="10">
        <v>45987</v>
      </c>
      <c r="E1678" s="10">
        <v>46017</v>
      </c>
      <c r="F1678" s="4">
        <v>3236.97</v>
      </c>
      <c r="G1678" s="3">
        <f>SUMIF(Customer_Payments!B:B,C1678,Customer_Payments!E:E)</f>
        <v>3236.9700000000003</v>
      </c>
      <c r="H1678" s="3">
        <f t="shared" si="78"/>
        <v>0</v>
      </c>
      <c r="I1678" s="29">
        <f t="shared" si="79"/>
        <v>74</v>
      </c>
      <c r="J1678" s="31" t="str">
        <f t="shared" si="80"/>
        <v>61-90</v>
      </c>
      <c r="K1678"/>
    </row>
    <row r="1679" spans="1:11" x14ac:dyDescent="0.3">
      <c r="A1679" s="21" t="s">
        <v>91</v>
      </c>
      <c r="B1679" t="str">
        <f>VLOOKUP(A1679,Customers!A:B,2,FALSE)</f>
        <v>RetailBridgeX</v>
      </c>
      <c r="C1679" s="25" t="s">
        <v>2046</v>
      </c>
      <c r="D1679" s="11">
        <v>46049</v>
      </c>
      <c r="E1679" s="11">
        <v>46079</v>
      </c>
      <c r="F1679" s="5">
        <v>1546.1</v>
      </c>
      <c r="G1679" s="3">
        <f>SUMIF(Customer_Payments!B:B,C1679,Customer_Payments!E:E)</f>
        <v>1546.1</v>
      </c>
      <c r="H1679" s="3">
        <f t="shared" si="78"/>
        <v>0</v>
      </c>
      <c r="I1679" s="29">
        <f t="shared" si="79"/>
        <v>12</v>
      </c>
      <c r="J1679" s="31" t="str">
        <f t="shared" si="80"/>
        <v>1-30</v>
      </c>
      <c r="K1679"/>
    </row>
    <row r="1680" spans="1:11" x14ac:dyDescent="0.3">
      <c r="A1680" s="20" t="s">
        <v>124</v>
      </c>
      <c r="B1680" t="str">
        <f>VLOOKUP(A1680,Customers!A:B,2,FALSE)</f>
        <v>RetailOrbitGlobal</v>
      </c>
      <c r="C1680" s="24" t="s">
        <v>2047</v>
      </c>
      <c r="D1680" s="10">
        <v>46020</v>
      </c>
      <c r="E1680" s="10">
        <v>46050</v>
      </c>
      <c r="F1680" s="4">
        <v>4024.67</v>
      </c>
      <c r="G1680" s="3">
        <f>SUMIF(Customer_Payments!B:B,C1680,Customer_Payments!E:E)</f>
        <v>4024.67</v>
      </c>
      <c r="H1680" s="3">
        <f t="shared" si="78"/>
        <v>0</v>
      </c>
      <c r="I1680" s="29">
        <f t="shared" si="79"/>
        <v>41</v>
      </c>
      <c r="J1680" s="31" t="str">
        <f t="shared" si="80"/>
        <v>31-60</v>
      </c>
      <c r="K1680"/>
    </row>
    <row r="1681" spans="1:11" x14ac:dyDescent="0.3">
      <c r="A1681" s="21" t="s">
        <v>31</v>
      </c>
      <c r="B1681" t="str">
        <f>VLOOKUP(A1681,Customers!A:B,2,FALSE)</f>
        <v>SparkRetail</v>
      </c>
      <c r="C1681" s="25" t="s">
        <v>2048</v>
      </c>
      <c r="D1681" s="11">
        <v>46082</v>
      </c>
      <c r="E1681" s="11">
        <v>46112</v>
      </c>
      <c r="F1681" s="5">
        <v>11508.8</v>
      </c>
      <c r="G1681" s="3">
        <f>SUMIF(Customer_Payments!B:B,C1681,Customer_Payments!E:E)</f>
        <v>11508.8</v>
      </c>
      <c r="H1681" s="3">
        <f t="shared" si="78"/>
        <v>0</v>
      </c>
      <c r="I1681" s="29">
        <f t="shared" si="79"/>
        <v>-21</v>
      </c>
      <c r="J1681" s="31" t="str">
        <f t="shared" si="80"/>
        <v>Current</v>
      </c>
      <c r="K1681"/>
    </row>
    <row r="1682" spans="1:11" x14ac:dyDescent="0.3">
      <c r="A1682" s="20" t="s">
        <v>71</v>
      </c>
      <c r="B1682" t="str">
        <f>VLOOKUP(A1682,Customers!A:B,2,FALSE)</f>
        <v>RetailPulse</v>
      </c>
      <c r="C1682" s="24" t="s">
        <v>2049</v>
      </c>
      <c r="D1682" s="10">
        <v>45966</v>
      </c>
      <c r="E1682" s="10">
        <v>45996</v>
      </c>
      <c r="F1682" s="4">
        <v>10395.950000000001</v>
      </c>
      <c r="G1682" s="3">
        <f>SUMIF(Customer_Payments!B:B,C1682,Customer_Payments!E:E)</f>
        <v>10395.950000000001</v>
      </c>
      <c r="H1682" s="3">
        <f t="shared" si="78"/>
        <v>0</v>
      </c>
      <c r="I1682" s="29">
        <f t="shared" si="79"/>
        <v>95</v>
      </c>
      <c r="J1682" s="31" t="str">
        <f t="shared" si="80"/>
        <v>90+</v>
      </c>
      <c r="K1682"/>
    </row>
    <row r="1683" spans="1:11" x14ac:dyDescent="0.3">
      <c r="A1683" s="21" t="s">
        <v>59</v>
      </c>
      <c r="B1683" t="str">
        <f>VLOOKUP(A1683,Customers!A:B,2,FALSE)</f>
        <v>MarketBridge</v>
      </c>
      <c r="C1683" s="25" t="s">
        <v>2050</v>
      </c>
      <c r="D1683" s="11">
        <v>45995</v>
      </c>
      <c r="E1683" s="11">
        <v>46025</v>
      </c>
      <c r="F1683" s="5">
        <v>3721.88</v>
      </c>
      <c r="G1683" s="3">
        <f>SUMIF(Customer_Payments!B:B,C1683,Customer_Payments!E:E)</f>
        <v>3721.88</v>
      </c>
      <c r="H1683" s="3">
        <f t="shared" si="78"/>
        <v>0</v>
      </c>
      <c r="I1683" s="29">
        <f t="shared" si="79"/>
        <v>66</v>
      </c>
      <c r="J1683" s="31" t="str">
        <f t="shared" si="80"/>
        <v>61-90</v>
      </c>
      <c r="K1683"/>
    </row>
    <row r="1684" spans="1:11" x14ac:dyDescent="0.3">
      <c r="A1684" s="20" t="s">
        <v>109</v>
      </c>
      <c r="B1684" t="str">
        <f>VLOOKUP(A1684,Customers!A:B,2,FALSE)</f>
        <v>RetailStreamPro</v>
      </c>
      <c r="C1684" s="24" t="s">
        <v>2051</v>
      </c>
      <c r="D1684" s="10">
        <v>45992</v>
      </c>
      <c r="E1684" s="10">
        <v>46022</v>
      </c>
      <c r="F1684" s="4">
        <v>2065.98</v>
      </c>
      <c r="G1684" s="3">
        <f>SUMIF(Customer_Payments!B:B,C1684,Customer_Payments!E:E)</f>
        <v>2065.98</v>
      </c>
      <c r="H1684" s="3">
        <f t="shared" si="78"/>
        <v>0</v>
      </c>
      <c r="I1684" s="29">
        <f t="shared" si="79"/>
        <v>69</v>
      </c>
      <c r="J1684" s="31" t="str">
        <f t="shared" si="80"/>
        <v>61-90</v>
      </c>
      <c r="K1684"/>
    </row>
    <row r="1685" spans="1:11" x14ac:dyDescent="0.3">
      <c r="A1685" s="21" t="s">
        <v>102</v>
      </c>
      <c r="B1685" t="str">
        <f>VLOOKUP(A1685,Customers!A:B,2,FALSE)</f>
        <v>RetailPrimePro</v>
      </c>
      <c r="C1685" s="25" t="s">
        <v>2052</v>
      </c>
      <c r="D1685" s="11">
        <v>45980</v>
      </c>
      <c r="E1685" s="11">
        <v>46010</v>
      </c>
      <c r="F1685" s="5">
        <v>2814.23</v>
      </c>
      <c r="G1685" s="3">
        <f>SUMIF(Customer_Payments!B:B,C1685,Customer_Payments!E:E)</f>
        <v>2814.23</v>
      </c>
      <c r="H1685" s="3">
        <f t="shared" si="78"/>
        <v>0</v>
      </c>
      <c r="I1685" s="29">
        <f t="shared" si="79"/>
        <v>81</v>
      </c>
      <c r="J1685" s="31" t="str">
        <f t="shared" si="80"/>
        <v>61-90</v>
      </c>
      <c r="K1685"/>
    </row>
    <row r="1686" spans="1:11" x14ac:dyDescent="0.3">
      <c r="A1686" s="20" t="s">
        <v>7</v>
      </c>
      <c r="B1686" t="str">
        <f>VLOOKUP(A1686,Customers!A:B,2,FALSE)</f>
        <v>BrightCart</v>
      </c>
      <c r="C1686" s="24" t="s">
        <v>2053</v>
      </c>
      <c r="D1686" s="10">
        <v>46037</v>
      </c>
      <c r="E1686" s="10">
        <v>46067</v>
      </c>
      <c r="F1686" s="4">
        <v>12955.24</v>
      </c>
      <c r="G1686" s="3">
        <f>SUMIF(Customer_Payments!B:B,C1686,Customer_Payments!E:E)</f>
        <v>0</v>
      </c>
      <c r="H1686" s="3">
        <f t="shared" si="78"/>
        <v>12955.24</v>
      </c>
      <c r="I1686" s="29">
        <f t="shared" si="79"/>
        <v>24</v>
      </c>
      <c r="J1686" s="31" t="str">
        <f t="shared" si="80"/>
        <v>1-30</v>
      </c>
      <c r="K1686"/>
    </row>
    <row r="1687" spans="1:11" x14ac:dyDescent="0.3">
      <c r="A1687" s="21" t="s">
        <v>90</v>
      </c>
      <c r="B1687" t="str">
        <f>VLOOKUP(A1687,Customers!A:B,2,FALSE)</f>
        <v>RetailPulseX</v>
      </c>
      <c r="C1687" s="25" t="s">
        <v>2054</v>
      </c>
      <c r="D1687" s="11">
        <v>46070</v>
      </c>
      <c r="E1687" s="11">
        <v>46100</v>
      </c>
      <c r="F1687" s="5">
        <v>2483.81</v>
      </c>
      <c r="G1687" s="3">
        <f>SUMIF(Customer_Payments!B:B,C1687,Customer_Payments!E:E)</f>
        <v>2483.81</v>
      </c>
      <c r="H1687" s="3">
        <f t="shared" si="78"/>
        <v>0</v>
      </c>
      <c r="I1687" s="29">
        <f t="shared" si="79"/>
        <v>-9</v>
      </c>
      <c r="J1687" s="31" t="str">
        <f t="shared" si="80"/>
        <v>Current</v>
      </c>
      <c r="K1687"/>
    </row>
    <row r="1688" spans="1:11" x14ac:dyDescent="0.3">
      <c r="A1688" s="20" t="s">
        <v>97</v>
      </c>
      <c r="B1688" t="str">
        <f>VLOOKUP(A1688,Customers!A:B,2,FALSE)</f>
        <v>RetailSparkX</v>
      </c>
      <c r="C1688" s="24" t="s">
        <v>2055</v>
      </c>
      <c r="D1688" s="10">
        <v>46000</v>
      </c>
      <c r="E1688" s="10">
        <v>46030</v>
      </c>
      <c r="F1688" s="4">
        <v>2733.04</v>
      </c>
      <c r="G1688" s="3">
        <f>SUMIF(Customer_Payments!B:B,C1688,Customer_Payments!E:E)</f>
        <v>2733.04</v>
      </c>
      <c r="H1688" s="3">
        <f t="shared" si="78"/>
        <v>0</v>
      </c>
      <c r="I1688" s="29">
        <f t="shared" si="79"/>
        <v>61</v>
      </c>
      <c r="J1688" s="31" t="str">
        <f t="shared" si="80"/>
        <v>61-90</v>
      </c>
      <c r="K1688"/>
    </row>
    <row r="1689" spans="1:11" x14ac:dyDescent="0.3">
      <c r="A1689" s="21" t="s">
        <v>64</v>
      </c>
      <c r="B1689" t="str">
        <f>VLOOKUP(A1689,Customers!A:B,2,FALSE)</f>
        <v>MarketScale</v>
      </c>
      <c r="C1689" s="25" t="s">
        <v>2056</v>
      </c>
      <c r="D1689" s="11">
        <v>46024</v>
      </c>
      <c r="E1689" s="11">
        <v>46054</v>
      </c>
      <c r="F1689" s="5">
        <v>4396.04</v>
      </c>
      <c r="G1689" s="3">
        <f>SUMIF(Customer_Payments!B:B,C1689,Customer_Payments!E:E)</f>
        <v>0</v>
      </c>
      <c r="H1689" s="3">
        <f t="shared" si="78"/>
        <v>4396.04</v>
      </c>
      <c r="I1689" s="29">
        <f t="shared" si="79"/>
        <v>37</v>
      </c>
      <c r="J1689" s="31" t="str">
        <f t="shared" si="80"/>
        <v>31-60</v>
      </c>
      <c r="K1689"/>
    </row>
    <row r="1690" spans="1:11" x14ac:dyDescent="0.3">
      <c r="A1690" s="20" t="s">
        <v>30</v>
      </c>
      <c r="B1690" t="str">
        <f>VLOOKUP(A1690,Customers!A:B,2,FALSE)</f>
        <v>CommerceFlow</v>
      </c>
      <c r="C1690" s="24" t="s">
        <v>2057</v>
      </c>
      <c r="D1690" s="10">
        <v>45987</v>
      </c>
      <c r="E1690" s="10">
        <v>46017</v>
      </c>
      <c r="F1690" s="4">
        <v>3940.12</v>
      </c>
      <c r="G1690" s="3">
        <f>SUMIF(Customer_Payments!B:B,C1690,Customer_Payments!E:E)</f>
        <v>3940.12</v>
      </c>
      <c r="H1690" s="3">
        <f t="shared" si="78"/>
        <v>0</v>
      </c>
      <c r="I1690" s="29">
        <f t="shared" si="79"/>
        <v>74</v>
      </c>
      <c r="J1690" s="31" t="str">
        <f t="shared" si="80"/>
        <v>61-90</v>
      </c>
      <c r="K1690"/>
    </row>
    <row r="1691" spans="1:11" x14ac:dyDescent="0.3">
      <c r="A1691" s="21" t="s">
        <v>123</v>
      </c>
      <c r="B1691" t="str">
        <f>VLOOKUP(A1691,Customers!A:B,2,FALSE)</f>
        <v>RetailFlowGlobal</v>
      </c>
      <c r="C1691" s="25" t="s">
        <v>2058</v>
      </c>
      <c r="D1691" s="11">
        <v>45991</v>
      </c>
      <c r="E1691" s="11">
        <v>46021</v>
      </c>
      <c r="F1691" s="5">
        <v>4518.7</v>
      </c>
      <c r="G1691" s="3">
        <f>SUMIF(Customer_Payments!B:B,C1691,Customer_Payments!E:E)</f>
        <v>4518.7</v>
      </c>
      <c r="H1691" s="3">
        <f t="shared" si="78"/>
        <v>0</v>
      </c>
      <c r="I1691" s="29">
        <f t="shared" si="79"/>
        <v>70</v>
      </c>
      <c r="J1691" s="31" t="str">
        <f t="shared" si="80"/>
        <v>61-90</v>
      </c>
      <c r="K1691"/>
    </row>
    <row r="1692" spans="1:11" x14ac:dyDescent="0.3">
      <c r="A1692" s="20" t="s">
        <v>17</v>
      </c>
      <c r="B1692" t="str">
        <f>VLOOKUP(A1692,Customers!A:B,2,FALSE)</f>
        <v>AlphaCommerce</v>
      </c>
      <c r="C1692" s="24" t="s">
        <v>2059</v>
      </c>
      <c r="D1692" s="10">
        <v>45969</v>
      </c>
      <c r="E1692" s="10">
        <v>45999</v>
      </c>
      <c r="F1692" s="4">
        <v>2952.87</v>
      </c>
      <c r="G1692" s="3">
        <f>SUMIF(Customer_Payments!B:B,C1692,Customer_Payments!E:E)</f>
        <v>2952.87</v>
      </c>
      <c r="H1692" s="3">
        <f t="shared" si="78"/>
        <v>0</v>
      </c>
      <c r="I1692" s="29">
        <f t="shared" si="79"/>
        <v>92</v>
      </c>
      <c r="J1692" s="31" t="str">
        <f t="shared" si="80"/>
        <v>90+</v>
      </c>
      <c r="K1692"/>
    </row>
    <row r="1693" spans="1:11" x14ac:dyDescent="0.3">
      <c r="A1693" s="21" t="s">
        <v>37</v>
      </c>
      <c r="B1693" t="str">
        <f>VLOOKUP(A1693,Customers!A:B,2,FALSE)</f>
        <v>SmartCart</v>
      </c>
      <c r="C1693" s="25" t="s">
        <v>2060</v>
      </c>
      <c r="D1693" s="11">
        <v>46010</v>
      </c>
      <c r="E1693" s="11">
        <v>46040</v>
      </c>
      <c r="F1693" s="5">
        <v>10198.469999999999</v>
      </c>
      <c r="G1693" s="3">
        <f>SUMIF(Customer_Payments!B:B,C1693,Customer_Payments!E:E)</f>
        <v>10198.469999999999</v>
      </c>
      <c r="H1693" s="3">
        <f t="shared" si="78"/>
        <v>0</v>
      </c>
      <c r="I1693" s="29">
        <f t="shared" si="79"/>
        <v>51</v>
      </c>
      <c r="J1693" s="31" t="str">
        <f t="shared" si="80"/>
        <v>31-60</v>
      </c>
      <c r="K1693"/>
    </row>
    <row r="1694" spans="1:11" x14ac:dyDescent="0.3">
      <c r="A1694" s="20" t="s">
        <v>41</v>
      </c>
      <c r="B1694" t="str">
        <f>VLOOKUP(A1694,Customers!A:B,2,FALSE)</f>
        <v>DynamicRetail</v>
      </c>
      <c r="C1694" s="24" t="s">
        <v>2061</v>
      </c>
      <c r="D1694" s="10">
        <v>46089</v>
      </c>
      <c r="E1694" s="10">
        <v>46119</v>
      </c>
      <c r="F1694" s="4">
        <v>11928.93</v>
      </c>
      <c r="G1694" s="3">
        <f>SUMIF(Customer_Payments!B:B,C1694,Customer_Payments!E:E)</f>
        <v>11928.93</v>
      </c>
      <c r="H1694" s="3">
        <f t="shared" si="78"/>
        <v>0</v>
      </c>
      <c r="I1694" s="29">
        <f t="shared" si="79"/>
        <v>-28</v>
      </c>
      <c r="J1694" s="31" t="str">
        <f t="shared" si="80"/>
        <v>Current</v>
      </c>
      <c r="K1694"/>
    </row>
    <row r="1695" spans="1:11" x14ac:dyDescent="0.3">
      <c r="A1695" s="21" t="s">
        <v>73</v>
      </c>
      <c r="B1695" t="str">
        <f>VLOOKUP(A1695,Customers!A:B,2,FALSE)</f>
        <v>RetailWave</v>
      </c>
      <c r="C1695" s="25" t="s">
        <v>2062</v>
      </c>
      <c r="D1695" s="11">
        <v>46006</v>
      </c>
      <c r="E1695" s="11">
        <v>46036</v>
      </c>
      <c r="F1695" s="5">
        <v>3198.39</v>
      </c>
      <c r="G1695" s="3">
        <f>SUMIF(Customer_Payments!B:B,C1695,Customer_Payments!E:E)</f>
        <v>3198.39</v>
      </c>
      <c r="H1695" s="3">
        <f t="shared" si="78"/>
        <v>0</v>
      </c>
      <c r="I1695" s="29">
        <f t="shared" si="79"/>
        <v>55</v>
      </c>
      <c r="J1695" s="31" t="str">
        <f t="shared" si="80"/>
        <v>31-60</v>
      </c>
      <c r="K1695"/>
    </row>
    <row r="1696" spans="1:11" x14ac:dyDescent="0.3">
      <c r="A1696" s="20" t="s">
        <v>67</v>
      </c>
      <c r="B1696" t="str">
        <f>VLOOKUP(A1696,Customers!A:B,2,FALSE)</f>
        <v>RetailDynamics</v>
      </c>
      <c r="C1696" s="24" t="s">
        <v>2063</v>
      </c>
      <c r="D1696" s="10">
        <v>46110</v>
      </c>
      <c r="E1696" s="10">
        <v>46140</v>
      </c>
      <c r="F1696" s="4">
        <v>2850.8</v>
      </c>
      <c r="G1696" s="3">
        <f>SUMIF(Customer_Payments!B:B,C1696,Customer_Payments!E:E)</f>
        <v>0</v>
      </c>
      <c r="H1696" s="3">
        <f t="shared" si="78"/>
        <v>2850.8</v>
      </c>
      <c r="I1696" s="29">
        <f t="shared" si="79"/>
        <v>-49</v>
      </c>
      <c r="J1696" s="31" t="str">
        <f t="shared" si="80"/>
        <v>Current</v>
      </c>
      <c r="K1696"/>
    </row>
    <row r="1697" spans="1:11" x14ac:dyDescent="0.3">
      <c r="A1697" s="21" t="s">
        <v>50</v>
      </c>
      <c r="B1697" t="str">
        <f>VLOOKUP(A1697,Customers!A:B,2,FALSE)</f>
        <v>RetailNexus</v>
      </c>
      <c r="C1697" s="25" t="s">
        <v>2064</v>
      </c>
      <c r="D1697" s="11">
        <v>46090</v>
      </c>
      <c r="E1697" s="11">
        <v>46120</v>
      </c>
      <c r="F1697" s="5">
        <v>2604.37</v>
      </c>
      <c r="G1697" s="3">
        <f>SUMIF(Customer_Payments!B:B,C1697,Customer_Payments!E:E)</f>
        <v>2604.37</v>
      </c>
      <c r="H1697" s="3">
        <f t="shared" si="78"/>
        <v>0</v>
      </c>
      <c r="I1697" s="29">
        <f t="shared" si="79"/>
        <v>-29</v>
      </c>
      <c r="J1697" s="31" t="str">
        <f t="shared" si="80"/>
        <v>Current</v>
      </c>
      <c r="K1697"/>
    </row>
    <row r="1698" spans="1:11" x14ac:dyDescent="0.3">
      <c r="A1698" s="20" t="s">
        <v>85</v>
      </c>
      <c r="B1698" t="str">
        <f>VLOOKUP(A1698,Customers!A:B,2,FALSE)</f>
        <v>RetailWorksX</v>
      </c>
      <c r="C1698" s="24" t="s">
        <v>2065</v>
      </c>
      <c r="D1698" s="10">
        <v>45978</v>
      </c>
      <c r="E1698" s="10">
        <v>46008</v>
      </c>
      <c r="F1698" s="4">
        <v>2816.85</v>
      </c>
      <c r="G1698" s="3">
        <f>SUMIF(Customer_Payments!B:B,C1698,Customer_Payments!E:E)</f>
        <v>2816.85</v>
      </c>
      <c r="H1698" s="3">
        <f t="shared" si="78"/>
        <v>0</v>
      </c>
      <c r="I1698" s="29">
        <f t="shared" si="79"/>
        <v>83</v>
      </c>
      <c r="J1698" s="31" t="str">
        <f t="shared" si="80"/>
        <v>61-90</v>
      </c>
      <c r="K1698"/>
    </row>
    <row r="1699" spans="1:11" x14ac:dyDescent="0.3">
      <c r="A1699" s="21" t="s">
        <v>7</v>
      </c>
      <c r="B1699" t="str">
        <f>VLOOKUP(A1699,Customers!A:B,2,FALSE)</f>
        <v>BrightCart</v>
      </c>
      <c r="C1699" s="25" t="s">
        <v>2066</v>
      </c>
      <c r="D1699" s="11">
        <v>45999</v>
      </c>
      <c r="E1699" s="11">
        <v>46029</v>
      </c>
      <c r="F1699" s="5">
        <v>3570.37</v>
      </c>
      <c r="G1699" s="3">
        <f>SUMIF(Customer_Payments!B:B,C1699,Customer_Payments!E:E)</f>
        <v>0</v>
      </c>
      <c r="H1699" s="3">
        <f t="shared" si="78"/>
        <v>3570.37</v>
      </c>
      <c r="I1699" s="29">
        <f t="shared" si="79"/>
        <v>62</v>
      </c>
      <c r="J1699" s="31" t="str">
        <f t="shared" si="80"/>
        <v>61-90</v>
      </c>
      <c r="K1699"/>
    </row>
    <row r="1700" spans="1:11" x14ac:dyDescent="0.3">
      <c r="A1700" s="20" t="s">
        <v>24</v>
      </c>
      <c r="B1700" t="str">
        <f>VLOOKUP(A1700,Customers!A:B,2,FALSE)</f>
        <v>OmniTrade</v>
      </c>
      <c r="C1700" s="24" t="s">
        <v>2067</v>
      </c>
      <c r="D1700" s="10">
        <v>45969</v>
      </c>
      <c r="E1700" s="10">
        <v>45999</v>
      </c>
      <c r="F1700" s="4">
        <v>13778.6</v>
      </c>
      <c r="G1700" s="3">
        <f>SUMIF(Customer_Payments!B:B,C1700,Customer_Payments!E:E)</f>
        <v>0</v>
      </c>
      <c r="H1700" s="3">
        <f t="shared" si="78"/>
        <v>13778.6</v>
      </c>
      <c r="I1700" s="29">
        <f t="shared" si="79"/>
        <v>92</v>
      </c>
      <c r="J1700" s="31" t="str">
        <f t="shared" si="80"/>
        <v>90+</v>
      </c>
      <c r="K1700"/>
    </row>
    <row r="1701" spans="1:11" x14ac:dyDescent="0.3">
      <c r="A1701" s="21" t="s">
        <v>96</v>
      </c>
      <c r="B1701" t="str">
        <f>VLOOKUP(A1701,Customers!A:B,2,FALSE)</f>
        <v>RetailLabs</v>
      </c>
      <c r="C1701" s="25" t="s">
        <v>2068</v>
      </c>
      <c r="D1701" s="11">
        <v>46048</v>
      </c>
      <c r="E1701" s="11">
        <v>46078</v>
      </c>
      <c r="F1701" s="5">
        <v>3122.29</v>
      </c>
      <c r="G1701" s="3">
        <f>SUMIF(Customer_Payments!B:B,C1701,Customer_Payments!E:E)</f>
        <v>3122.29</v>
      </c>
      <c r="H1701" s="3">
        <f t="shared" si="78"/>
        <v>0</v>
      </c>
      <c r="I1701" s="29">
        <f t="shared" si="79"/>
        <v>13</v>
      </c>
      <c r="J1701" s="31" t="str">
        <f t="shared" si="80"/>
        <v>1-30</v>
      </c>
      <c r="K1701"/>
    </row>
    <row r="1702" spans="1:11" x14ac:dyDescent="0.3">
      <c r="A1702" s="20" t="s">
        <v>67</v>
      </c>
      <c r="B1702" t="str">
        <f>VLOOKUP(A1702,Customers!A:B,2,FALSE)</f>
        <v>RetailDynamics</v>
      </c>
      <c r="C1702" s="24" t="s">
        <v>2069</v>
      </c>
      <c r="D1702" s="10">
        <v>46005</v>
      </c>
      <c r="E1702" s="10">
        <v>46035</v>
      </c>
      <c r="F1702" s="4">
        <v>4736.8599999999997</v>
      </c>
      <c r="G1702" s="3">
        <f>SUMIF(Customer_Payments!B:B,C1702,Customer_Payments!E:E)</f>
        <v>4736.8599999999997</v>
      </c>
      <c r="H1702" s="3">
        <f t="shared" si="78"/>
        <v>0</v>
      </c>
      <c r="I1702" s="29">
        <f t="shared" si="79"/>
        <v>56</v>
      </c>
      <c r="J1702" s="31" t="str">
        <f t="shared" si="80"/>
        <v>31-60</v>
      </c>
      <c r="K1702"/>
    </row>
    <row r="1703" spans="1:11" x14ac:dyDescent="0.3">
      <c r="A1703" s="21" t="s">
        <v>111</v>
      </c>
      <c r="B1703" t="str">
        <f>VLOOKUP(A1703,Customers!A:B,2,FALSE)</f>
        <v>RetailPulsePro</v>
      </c>
      <c r="C1703" s="25" t="s">
        <v>2070</v>
      </c>
      <c r="D1703" s="11">
        <v>46107</v>
      </c>
      <c r="E1703" s="11">
        <v>46137</v>
      </c>
      <c r="F1703" s="5">
        <v>3378.38</v>
      </c>
      <c r="G1703" s="3">
        <f>SUMIF(Customer_Payments!B:B,C1703,Customer_Payments!E:E)</f>
        <v>0</v>
      </c>
      <c r="H1703" s="3">
        <f t="shared" si="78"/>
        <v>3378.38</v>
      </c>
      <c r="I1703" s="29">
        <f t="shared" si="79"/>
        <v>-46</v>
      </c>
      <c r="J1703" s="31" t="str">
        <f t="shared" si="80"/>
        <v>Current</v>
      </c>
      <c r="K1703"/>
    </row>
    <row r="1704" spans="1:11" x14ac:dyDescent="0.3">
      <c r="A1704" s="20" t="s">
        <v>101</v>
      </c>
      <c r="B1704" t="str">
        <f>VLOOKUP(A1704,Customers!A:B,2,FALSE)</f>
        <v>RetailMatrixPro</v>
      </c>
      <c r="C1704" s="24" t="s">
        <v>2071</v>
      </c>
      <c r="D1704" s="10">
        <v>46014</v>
      </c>
      <c r="E1704" s="10">
        <v>46044</v>
      </c>
      <c r="F1704" s="4">
        <v>2016.63</v>
      </c>
      <c r="G1704" s="3">
        <f>SUMIF(Customer_Payments!B:B,C1704,Customer_Payments!E:E)</f>
        <v>0</v>
      </c>
      <c r="H1704" s="3">
        <f t="shared" si="78"/>
        <v>2016.63</v>
      </c>
      <c r="I1704" s="29">
        <f t="shared" si="79"/>
        <v>47</v>
      </c>
      <c r="J1704" s="31" t="str">
        <f t="shared" si="80"/>
        <v>31-60</v>
      </c>
      <c r="K1704"/>
    </row>
    <row r="1705" spans="1:11" x14ac:dyDescent="0.3">
      <c r="A1705" s="21" t="s">
        <v>101</v>
      </c>
      <c r="B1705" t="str">
        <f>VLOOKUP(A1705,Customers!A:B,2,FALSE)</f>
        <v>RetailMatrixPro</v>
      </c>
      <c r="C1705" s="25" t="s">
        <v>2072</v>
      </c>
      <c r="D1705" s="11">
        <v>46098</v>
      </c>
      <c r="E1705" s="11">
        <v>46128</v>
      </c>
      <c r="F1705" s="5">
        <v>2677.93</v>
      </c>
      <c r="G1705" s="3">
        <f>SUMIF(Customer_Payments!B:B,C1705,Customer_Payments!E:E)</f>
        <v>2677.93</v>
      </c>
      <c r="H1705" s="3">
        <f t="shared" si="78"/>
        <v>0</v>
      </c>
      <c r="I1705" s="29">
        <f t="shared" si="79"/>
        <v>-37</v>
      </c>
      <c r="J1705" s="31" t="str">
        <f t="shared" si="80"/>
        <v>Current</v>
      </c>
      <c r="K1705"/>
    </row>
    <row r="1706" spans="1:11" x14ac:dyDescent="0.3">
      <c r="A1706" s="20" t="s">
        <v>67</v>
      </c>
      <c r="B1706" t="str">
        <f>VLOOKUP(A1706,Customers!A:B,2,FALSE)</f>
        <v>RetailDynamics</v>
      </c>
      <c r="C1706" s="24" t="s">
        <v>2073</v>
      </c>
      <c r="D1706" s="10">
        <v>46095</v>
      </c>
      <c r="E1706" s="10">
        <v>46125</v>
      </c>
      <c r="F1706" s="4">
        <v>3911.54</v>
      </c>
      <c r="G1706" s="3">
        <f>SUMIF(Customer_Payments!B:B,C1706,Customer_Payments!E:E)</f>
        <v>0</v>
      </c>
      <c r="H1706" s="3">
        <f t="shared" si="78"/>
        <v>3911.54</v>
      </c>
      <c r="I1706" s="29">
        <f t="shared" si="79"/>
        <v>-34</v>
      </c>
      <c r="J1706" s="31" t="str">
        <f t="shared" si="80"/>
        <v>Current</v>
      </c>
      <c r="K1706"/>
    </row>
    <row r="1707" spans="1:11" x14ac:dyDescent="0.3">
      <c r="A1707" s="21" t="s">
        <v>84</v>
      </c>
      <c r="B1707" t="str">
        <f>VLOOKUP(A1707,Customers!A:B,2,FALSE)</f>
        <v>RetailVisionX</v>
      </c>
      <c r="C1707" s="25" t="s">
        <v>2074</v>
      </c>
      <c r="D1707" s="11">
        <v>46085</v>
      </c>
      <c r="E1707" s="11">
        <v>46115</v>
      </c>
      <c r="F1707" s="5">
        <v>2057.11</v>
      </c>
      <c r="G1707" s="3">
        <f>SUMIF(Customer_Payments!B:B,C1707,Customer_Payments!E:E)</f>
        <v>2057.11</v>
      </c>
      <c r="H1707" s="3">
        <f t="shared" si="78"/>
        <v>0</v>
      </c>
      <c r="I1707" s="29">
        <f t="shared" si="79"/>
        <v>-24</v>
      </c>
      <c r="J1707" s="31" t="str">
        <f t="shared" si="80"/>
        <v>Current</v>
      </c>
      <c r="K1707"/>
    </row>
    <row r="1708" spans="1:11" x14ac:dyDescent="0.3">
      <c r="A1708" s="20" t="s">
        <v>107</v>
      </c>
      <c r="B1708" t="str">
        <f>VLOOKUP(A1708,Customers!A:B,2,FALSE)</f>
        <v>RetailWorksPro</v>
      </c>
      <c r="C1708" s="24" t="s">
        <v>2075</v>
      </c>
      <c r="D1708" s="10">
        <v>46070</v>
      </c>
      <c r="E1708" s="10">
        <v>46100</v>
      </c>
      <c r="F1708" s="4">
        <v>5423.88</v>
      </c>
      <c r="G1708" s="3">
        <f>SUMIF(Customer_Payments!B:B,C1708,Customer_Payments!E:E)</f>
        <v>0</v>
      </c>
      <c r="H1708" s="3">
        <f t="shared" si="78"/>
        <v>5423.88</v>
      </c>
      <c r="I1708" s="29">
        <f t="shared" si="79"/>
        <v>-9</v>
      </c>
      <c r="J1708" s="31" t="str">
        <f t="shared" si="80"/>
        <v>Current</v>
      </c>
      <c r="K1708"/>
    </row>
    <row r="1709" spans="1:11" x14ac:dyDescent="0.3">
      <c r="A1709" s="21" t="s">
        <v>45</v>
      </c>
      <c r="B1709" t="str">
        <f>VLOOKUP(A1709,Customers!A:B,2,FALSE)</f>
        <v>EdgeRetail</v>
      </c>
      <c r="C1709" s="25" t="s">
        <v>2076</v>
      </c>
      <c r="D1709" s="11">
        <v>46103</v>
      </c>
      <c r="E1709" s="11">
        <v>46133</v>
      </c>
      <c r="F1709" s="5">
        <v>1803.34</v>
      </c>
      <c r="G1709" s="3">
        <f>SUMIF(Customer_Payments!B:B,C1709,Customer_Payments!E:E)</f>
        <v>0</v>
      </c>
      <c r="H1709" s="3">
        <f t="shared" si="78"/>
        <v>1803.34</v>
      </c>
      <c r="I1709" s="29">
        <f t="shared" si="79"/>
        <v>-42</v>
      </c>
      <c r="J1709" s="31" t="str">
        <f t="shared" si="80"/>
        <v>Current</v>
      </c>
      <c r="K1709"/>
    </row>
    <row r="1710" spans="1:11" x14ac:dyDescent="0.3">
      <c r="A1710" s="20" t="s">
        <v>64</v>
      </c>
      <c r="B1710" t="str">
        <f>VLOOKUP(A1710,Customers!A:B,2,FALSE)</f>
        <v>MarketScale</v>
      </c>
      <c r="C1710" s="24" t="s">
        <v>2077</v>
      </c>
      <c r="D1710" s="10">
        <v>46064</v>
      </c>
      <c r="E1710" s="10">
        <v>46094</v>
      </c>
      <c r="F1710" s="4">
        <v>2157.34</v>
      </c>
      <c r="G1710" s="3">
        <f>SUMIF(Customer_Payments!B:B,C1710,Customer_Payments!E:E)</f>
        <v>2157.34</v>
      </c>
      <c r="H1710" s="3">
        <f t="shared" si="78"/>
        <v>0</v>
      </c>
      <c r="I1710" s="29">
        <f t="shared" si="79"/>
        <v>-3</v>
      </c>
      <c r="J1710" s="31" t="str">
        <f t="shared" si="80"/>
        <v>Current</v>
      </c>
      <c r="K1710"/>
    </row>
    <row r="1711" spans="1:11" x14ac:dyDescent="0.3">
      <c r="A1711" s="21" t="s">
        <v>28</v>
      </c>
      <c r="B1711" t="str">
        <f>VLOOKUP(A1711,Customers!A:B,2,FALSE)</f>
        <v>FutureCart</v>
      </c>
      <c r="C1711" s="25" t="s">
        <v>2078</v>
      </c>
      <c r="D1711" s="11">
        <v>46070</v>
      </c>
      <c r="E1711" s="11">
        <v>46100</v>
      </c>
      <c r="F1711" s="5">
        <v>2978.6</v>
      </c>
      <c r="G1711" s="3">
        <f>SUMIF(Customer_Payments!B:B,C1711,Customer_Payments!E:E)</f>
        <v>2978.6</v>
      </c>
      <c r="H1711" s="3">
        <f t="shared" si="78"/>
        <v>0</v>
      </c>
      <c r="I1711" s="29">
        <f t="shared" si="79"/>
        <v>-9</v>
      </c>
      <c r="J1711" s="31" t="str">
        <f t="shared" si="80"/>
        <v>Current</v>
      </c>
      <c r="K1711"/>
    </row>
    <row r="1712" spans="1:11" x14ac:dyDescent="0.3">
      <c r="A1712" s="20" t="s">
        <v>10</v>
      </c>
      <c r="B1712" t="str">
        <f>VLOOKUP(A1712,Customers!A:B,2,FALSE)</f>
        <v>LaunchLabs</v>
      </c>
      <c r="C1712" s="24" t="s">
        <v>2079</v>
      </c>
      <c r="D1712" s="10">
        <v>45967</v>
      </c>
      <c r="E1712" s="10">
        <v>45997</v>
      </c>
      <c r="F1712" s="4">
        <v>1943.93</v>
      </c>
      <c r="G1712" s="3">
        <f>SUMIF(Customer_Payments!B:B,C1712,Customer_Payments!E:E)</f>
        <v>0</v>
      </c>
      <c r="H1712" s="3">
        <f t="shared" si="78"/>
        <v>1943.93</v>
      </c>
      <c r="I1712" s="29">
        <f t="shared" si="79"/>
        <v>94</v>
      </c>
      <c r="J1712" s="31" t="str">
        <f t="shared" si="80"/>
        <v>90+</v>
      </c>
      <c r="K1712"/>
    </row>
    <row r="1713" spans="1:11" x14ac:dyDescent="0.3">
      <c r="A1713" s="21" t="s">
        <v>35</v>
      </c>
      <c r="B1713" t="str">
        <f>VLOOKUP(A1713,Customers!A:B,2,FALSE)</f>
        <v>FusionRetail</v>
      </c>
      <c r="C1713" s="25" t="s">
        <v>2080</v>
      </c>
      <c r="D1713" s="11">
        <v>46063</v>
      </c>
      <c r="E1713" s="11">
        <v>46093</v>
      </c>
      <c r="F1713" s="5">
        <v>5858.01</v>
      </c>
      <c r="G1713" s="3">
        <f>SUMIF(Customer_Payments!B:B,C1713,Customer_Payments!E:E)</f>
        <v>0</v>
      </c>
      <c r="H1713" s="3">
        <f t="shared" si="78"/>
        <v>5858.01</v>
      </c>
      <c r="I1713" s="29">
        <f t="shared" si="79"/>
        <v>-2</v>
      </c>
      <c r="J1713" s="31" t="str">
        <f t="shared" si="80"/>
        <v>Current</v>
      </c>
      <c r="K1713"/>
    </row>
    <row r="1714" spans="1:11" x14ac:dyDescent="0.3">
      <c r="A1714" s="20" t="s">
        <v>24</v>
      </c>
      <c r="B1714" t="str">
        <f>VLOOKUP(A1714,Customers!A:B,2,FALSE)</f>
        <v>OmniTrade</v>
      </c>
      <c r="C1714" s="24" t="s">
        <v>2081</v>
      </c>
      <c r="D1714" s="10">
        <v>46021</v>
      </c>
      <c r="E1714" s="10">
        <v>46051</v>
      </c>
      <c r="F1714" s="4">
        <v>1625.49</v>
      </c>
      <c r="G1714" s="3">
        <f>SUMIF(Customer_Payments!B:B,C1714,Customer_Payments!E:E)</f>
        <v>1625.49</v>
      </c>
      <c r="H1714" s="3">
        <f t="shared" si="78"/>
        <v>0</v>
      </c>
      <c r="I1714" s="29">
        <f t="shared" si="79"/>
        <v>40</v>
      </c>
      <c r="J1714" s="31" t="str">
        <f t="shared" si="80"/>
        <v>31-60</v>
      </c>
      <c r="K1714"/>
    </row>
    <row r="1715" spans="1:11" x14ac:dyDescent="0.3">
      <c r="A1715" s="21" t="s">
        <v>49</v>
      </c>
      <c r="B1715" t="str">
        <f>VLOOKUP(A1715,Customers!A:B,2,FALSE)</f>
        <v>CommercePilot</v>
      </c>
      <c r="C1715" s="25" t="s">
        <v>2082</v>
      </c>
      <c r="D1715" s="11">
        <v>46025</v>
      </c>
      <c r="E1715" s="11">
        <v>46055</v>
      </c>
      <c r="F1715" s="5">
        <v>3686.97</v>
      </c>
      <c r="G1715" s="3">
        <f>SUMIF(Customer_Payments!B:B,C1715,Customer_Payments!E:E)</f>
        <v>0</v>
      </c>
      <c r="H1715" s="3">
        <f t="shared" si="78"/>
        <v>3686.97</v>
      </c>
      <c r="I1715" s="29">
        <f t="shared" si="79"/>
        <v>36</v>
      </c>
      <c r="J1715" s="31" t="str">
        <f t="shared" si="80"/>
        <v>31-60</v>
      </c>
      <c r="K1715"/>
    </row>
    <row r="1716" spans="1:11" x14ac:dyDescent="0.3">
      <c r="A1716" s="20" t="s">
        <v>50</v>
      </c>
      <c r="B1716" t="str">
        <f>VLOOKUP(A1716,Customers!A:B,2,FALSE)</f>
        <v>RetailNexus</v>
      </c>
      <c r="C1716" s="24" t="s">
        <v>2083</v>
      </c>
      <c r="D1716" s="10">
        <v>46043</v>
      </c>
      <c r="E1716" s="10">
        <v>46073</v>
      </c>
      <c r="F1716" s="4">
        <v>5863.56</v>
      </c>
      <c r="G1716" s="3">
        <f>SUMIF(Customer_Payments!B:B,C1716,Customer_Payments!E:E)</f>
        <v>5863.56</v>
      </c>
      <c r="H1716" s="3">
        <f t="shared" si="78"/>
        <v>0</v>
      </c>
      <c r="I1716" s="29">
        <f t="shared" si="79"/>
        <v>18</v>
      </c>
      <c r="J1716" s="31" t="str">
        <f t="shared" si="80"/>
        <v>1-30</v>
      </c>
      <c r="K1716"/>
    </row>
    <row r="1717" spans="1:11" x14ac:dyDescent="0.3">
      <c r="A1717" s="21" t="s">
        <v>90</v>
      </c>
      <c r="B1717" t="str">
        <f>VLOOKUP(A1717,Customers!A:B,2,FALSE)</f>
        <v>RetailPulseX</v>
      </c>
      <c r="C1717" s="25" t="s">
        <v>2084</v>
      </c>
      <c r="D1717" s="11">
        <v>46043</v>
      </c>
      <c r="E1717" s="11">
        <v>46073</v>
      </c>
      <c r="F1717" s="5">
        <v>13968.8</v>
      </c>
      <c r="G1717" s="3">
        <f>SUMIF(Customer_Payments!B:B,C1717,Customer_Payments!E:E)</f>
        <v>13968.8</v>
      </c>
      <c r="H1717" s="3">
        <f t="shared" si="78"/>
        <v>0</v>
      </c>
      <c r="I1717" s="29">
        <f t="shared" si="79"/>
        <v>18</v>
      </c>
      <c r="J1717" s="31" t="str">
        <f t="shared" si="80"/>
        <v>1-30</v>
      </c>
      <c r="K1717"/>
    </row>
    <row r="1718" spans="1:11" x14ac:dyDescent="0.3">
      <c r="A1718" s="20" t="s">
        <v>35</v>
      </c>
      <c r="B1718" t="str">
        <f>VLOOKUP(A1718,Customers!A:B,2,FALSE)</f>
        <v>FusionRetail</v>
      </c>
      <c r="C1718" s="24" t="s">
        <v>2085</v>
      </c>
      <c r="D1718" s="10">
        <v>45993</v>
      </c>
      <c r="E1718" s="10">
        <v>46023</v>
      </c>
      <c r="F1718" s="4">
        <v>2005.26</v>
      </c>
      <c r="G1718" s="3">
        <f>SUMIF(Customer_Payments!B:B,C1718,Customer_Payments!E:E)</f>
        <v>0</v>
      </c>
      <c r="H1718" s="3">
        <f t="shared" si="78"/>
        <v>2005.26</v>
      </c>
      <c r="I1718" s="29">
        <f t="shared" si="79"/>
        <v>68</v>
      </c>
      <c r="J1718" s="31" t="str">
        <f t="shared" si="80"/>
        <v>61-90</v>
      </c>
      <c r="K1718"/>
    </row>
    <row r="1719" spans="1:11" x14ac:dyDescent="0.3">
      <c r="A1719" s="21" t="s">
        <v>101</v>
      </c>
      <c r="B1719" t="str">
        <f>VLOOKUP(A1719,Customers!A:B,2,FALSE)</f>
        <v>RetailMatrixPro</v>
      </c>
      <c r="C1719" s="25" t="s">
        <v>2086</v>
      </c>
      <c r="D1719" s="11">
        <v>46055</v>
      </c>
      <c r="E1719" s="11">
        <v>46085</v>
      </c>
      <c r="F1719" s="5">
        <v>2115.69</v>
      </c>
      <c r="G1719" s="3">
        <f>SUMIF(Customer_Payments!B:B,C1719,Customer_Payments!E:E)</f>
        <v>2115.69</v>
      </c>
      <c r="H1719" s="3">
        <f t="shared" si="78"/>
        <v>0</v>
      </c>
      <c r="I1719" s="29">
        <f t="shared" si="79"/>
        <v>6</v>
      </c>
      <c r="J1719" s="31" t="str">
        <f t="shared" si="80"/>
        <v>1-30</v>
      </c>
      <c r="K1719"/>
    </row>
    <row r="1720" spans="1:11" x14ac:dyDescent="0.3">
      <c r="A1720" s="20" t="s">
        <v>23</v>
      </c>
      <c r="B1720" t="str">
        <f>VLOOKUP(A1720,Customers!A:B,2,FALSE)</f>
        <v>VertexCommerce</v>
      </c>
      <c r="C1720" s="24" t="s">
        <v>2087</v>
      </c>
      <c r="D1720" s="10">
        <v>46093</v>
      </c>
      <c r="E1720" s="10">
        <v>46123</v>
      </c>
      <c r="F1720" s="4">
        <v>4112.09</v>
      </c>
      <c r="G1720" s="3">
        <f>SUMIF(Customer_Payments!B:B,C1720,Customer_Payments!E:E)</f>
        <v>4112.09</v>
      </c>
      <c r="H1720" s="3">
        <f t="shared" si="78"/>
        <v>0</v>
      </c>
      <c r="I1720" s="29">
        <f t="shared" si="79"/>
        <v>-32</v>
      </c>
      <c r="J1720" s="31" t="str">
        <f t="shared" si="80"/>
        <v>Current</v>
      </c>
      <c r="K1720"/>
    </row>
    <row r="1721" spans="1:11" x14ac:dyDescent="0.3">
      <c r="A1721" s="21" t="s">
        <v>14</v>
      </c>
      <c r="B1721" t="str">
        <f>VLOOKUP(A1721,Customers!A:B,2,FALSE)</f>
        <v>MarketPulse</v>
      </c>
      <c r="C1721" s="25" t="s">
        <v>2088</v>
      </c>
      <c r="D1721" s="11">
        <v>46017</v>
      </c>
      <c r="E1721" s="11">
        <v>46047</v>
      </c>
      <c r="F1721" s="5">
        <v>2954.07</v>
      </c>
      <c r="G1721" s="3">
        <f>SUMIF(Customer_Payments!B:B,C1721,Customer_Payments!E:E)</f>
        <v>2954.0699999999997</v>
      </c>
      <c r="H1721" s="3">
        <f t="shared" si="78"/>
        <v>4.5474735088646412E-13</v>
      </c>
      <c r="I1721" s="29">
        <f t="shared" si="79"/>
        <v>44</v>
      </c>
      <c r="J1721" s="31" t="str">
        <f t="shared" si="80"/>
        <v>31-60</v>
      </c>
      <c r="K1721"/>
    </row>
    <row r="1722" spans="1:11" x14ac:dyDescent="0.3">
      <c r="A1722" s="20" t="s">
        <v>47</v>
      </c>
      <c r="B1722" t="str">
        <f>VLOOKUP(A1722,Customers!A:B,2,FALSE)</f>
        <v>SmartRetail</v>
      </c>
      <c r="C1722" s="24" t="s">
        <v>2089</v>
      </c>
      <c r="D1722" s="10">
        <v>46073</v>
      </c>
      <c r="E1722" s="10">
        <v>46103</v>
      </c>
      <c r="F1722" s="4">
        <v>3549.84</v>
      </c>
      <c r="G1722" s="3">
        <f>SUMIF(Customer_Payments!B:B,C1722,Customer_Payments!E:E)</f>
        <v>0</v>
      </c>
      <c r="H1722" s="3">
        <f t="shared" si="78"/>
        <v>3549.84</v>
      </c>
      <c r="I1722" s="29">
        <f t="shared" si="79"/>
        <v>-12</v>
      </c>
      <c r="J1722" s="31" t="str">
        <f t="shared" si="80"/>
        <v>Current</v>
      </c>
      <c r="K1722"/>
    </row>
    <row r="1723" spans="1:11" x14ac:dyDescent="0.3">
      <c r="A1723" s="21" t="s">
        <v>84</v>
      </c>
      <c r="B1723" t="str">
        <f>VLOOKUP(A1723,Customers!A:B,2,FALSE)</f>
        <v>RetailVisionX</v>
      </c>
      <c r="C1723" s="25" t="s">
        <v>2090</v>
      </c>
      <c r="D1723" s="11">
        <v>45980</v>
      </c>
      <c r="E1723" s="11">
        <v>46010</v>
      </c>
      <c r="F1723" s="5">
        <v>2797.52</v>
      </c>
      <c r="G1723" s="3">
        <f>SUMIF(Customer_Payments!B:B,C1723,Customer_Payments!E:E)</f>
        <v>2797.52</v>
      </c>
      <c r="H1723" s="3">
        <f t="shared" si="78"/>
        <v>0</v>
      </c>
      <c r="I1723" s="29">
        <f t="shared" si="79"/>
        <v>81</v>
      </c>
      <c r="J1723" s="31" t="str">
        <f t="shared" si="80"/>
        <v>61-90</v>
      </c>
      <c r="K1723"/>
    </row>
    <row r="1724" spans="1:11" x14ac:dyDescent="0.3">
      <c r="A1724" s="20" t="s">
        <v>65</v>
      </c>
      <c r="B1724" t="str">
        <f>VLOOKUP(A1724,Customers!A:B,2,FALSE)</f>
        <v>RetailFlow</v>
      </c>
      <c r="C1724" s="24" t="s">
        <v>2091</v>
      </c>
      <c r="D1724" s="10">
        <v>45995</v>
      </c>
      <c r="E1724" s="10">
        <v>46025</v>
      </c>
      <c r="F1724" s="4">
        <v>3111</v>
      </c>
      <c r="G1724" s="3">
        <f>SUMIF(Customer_Payments!B:B,C1724,Customer_Payments!E:E)</f>
        <v>3111</v>
      </c>
      <c r="H1724" s="3">
        <f t="shared" si="78"/>
        <v>0</v>
      </c>
      <c r="I1724" s="29">
        <f t="shared" si="79"/>
        <v>66</v>
      </c>
      <c r="J1724" s="31" t="str">
        <f t="shared" si="80"/>
        <v>61-90</v>
      </c>
      <c r="K1724"/>
    </row>
    <row r="1725" spans="1:11" x14ac:dyDescent="0.3">
      <c r="A1725" s="21" t="s">
        <v>65</v>
      </c>
      <c r="B1725" t="str">
        <f>VLOOKUP(A1725,Customers!A:B,2,FALSE)</f>
        <v>RetailFlow</v>
      </c>
      <c r="C1725" s="25" t="s">
        <v>2092</v>
      </c>
      <c r="D1725" s="11">
        <v>46004</v>
      </c>
      <c r="E1725" s="11">
        <v>46034</v>
      </c>
      <c r="F1725" s="5">
        <v>2144.6999999999998</v>
      </c>
      <c r="G1725" s="3">
        <f>SUMIF(Customer_Payments!B:B,C1725,Customer_Payments!E:E)</f>
        <v>2144.6999999999998</v>
      </c>
      <c r="H1725" s="3">
        <f t="shared" si="78"/>
        <v>0</v>
      </c>
      <c r="I1725" s="29">
        <f t="shared" si="79"/>
        <v>57</v>
      </c>
      <c r="J1725" s="31" t="str">
        <f t="shared" si="80"/>
        <v>31-60</v>
      </c>
      <c r="K1725"/>
    </row>
    <row r="1726" spans="1:11" x14ac:dyDescent="0.3">
      <c r="A1726" s="20" t="s">
        <v>109</v>
      </c>
      <c r="B1726" t="str">
        <f>VLOOKUP(A1726,Customers!A:B,2,FALSE)</f>
        <v>RetailStreamPro</v>
      </c>
      <c r="C1726" s="24" t="s">
        <v>2093</v>
      </c>
      <c r="D1726" s="10">
        <v>46037</v>
      </c>
      <c r="E1726" s="10">
        <v>46067</v>
      </c>
      <c r="F1726" s="4">
        <v>5202.93</v>
      </c>
      <c r="G1726" s="3">
        <f>SUMIF(Customer_Payments!B:B,C1726,Customer_Payments!E:E)</f>
        <v>5202.93</v>
      </c>
      <c r="H1726" s="3">
        <f t="shared" si="78"/>
        <v>0</v>
      </c>
      <c r="I1726" s="29">
        <f t="shared" si="79"/>
        <v>24</v>
      </c>
      <c r="J1726" s="31" t="str">
        <f t="shared" si="80"/>
        <v>1-30</v>
      </c>
      <c r="K1726"/>
    </row>
    <row r="1727" spans="1:11" x14ac:dyDescent="0.3">
      <c r="A1727" s="21" t="s">
        <v>95</v>
      </c>
      <c r="B1727" t="str">
        <f>VLOOKUP(A1727,Customers!A:B,2,FALSE)</f>
        <v>RetailScaleX</v>
      </c>
      <c r="C1727" s="25" t="s">
        <v>2094</v>
      </c>
      <c r="D1727" s="11">
        <v>46030</v>
      </c>
      <c r="E1727" s="11">
        <v>46060</v>
      </c>
      <c r="F1727" s="5">
        <v>1464.73</v>
      </c>
      <c r="G1727" s="3">
        <f>SUMIF(Customer_Payments!B:B,C1727,Customer_Payments!E:E)</f>
        <v>1464.73</v>
      </c>
      <c r="H1727" s="3">
        <f t="shared" si="78"/>
        <v>0</v>
      </c>
      <c r="I1727" s="29">
        <f t="shared" si="79"/>
        <v>31</v>
      </c>
      <c r="J1727" s="31" t="str">
        <f t="shared" si="80"/>
        <v>31-60</v>
      </c>
      <c r="K1727"/>
    </row>
    <row r="1728" spans="1:11" x14ac:dyDescent="0.3">
      <c r="A1728" s="20" t="s">
        <v>87</v>
      </c>
      <c r="B1728" t="str">
        <f>VLOOKUP(A1728,Customers!A:B,2,FALSE)</f>
        <v>RetailStreamX</v>
      </c>
      <c r="C1728" s="24" t="s">
        <v>2095</v>
      </c>
      <c r="D1728" s="10">
        <v>46064</v>
      </c>
      <c r="E1728" s="10">
        <v>46094</v>
      </c>
      <c r="F1728" s="4">
        <v>2728.14</v>
      </c>
      <c r="G1728" s="3">
        <f>SUMIF(Customer_Payments!B:B,C1728,Customer_Payments!E:E)</f>
        <v>2728.14</v>
      </c>
      <c r="H1728" s="3">
        <f t="shared" si="78"/>
        <v>0</v>
      </c>
      <c r="I1728" s="29">
        <f t="shared" si="79"/>
        <v>-3</v>
      </c>
      <c r="J1728" s="31" t="str">
        <f t="shared" si="80"/>
        <v>Current</v>
      </c>
      <c r="K1728"/>
    </row>
    <row r="1729" spans="1:11" x14ac:dyDescent="0.3">
      <c r="A1729" s="21" t="s">
        <v>110</v>
      </c>
      <c r="B1729" t="str">
        <f>VLOOKUP(A1729,Customers!A:B,2,FALSE)</f>
        <v>RetailAxisPro</v>
      </c>
      <c r="C1729" s="25" t="s">
        <v>2096</v>
      </c>
      <c r="D1729" s="11">
        <v>46024</v>
      </c>
      <c r="E1729" s="11">
        <v>46054</v>
      </c>
      <c r="F1729" s="5">
        <v>4990.05</v>
      </c>
      <c r="G1729" s="3">
        <f>SUMIF(Customer_Payments!B:B,C1729,Customer_Payments!E:E)</f>
        <v>4990.05</v>
      </c>
      <c r="H1729" s="3">
        <f t="shared" si="78"/>
        <v>0</v>
      </c>
      <c r="I1729" s="29">
        <f t="shared" si="79"/>
        <v>37</v>
      </c>
      <c r="J1729" s="31" t="str">
        <f t="shared" si="80"/>
        <v>31-60</v>
      </c>
      <c r="K1729"/>
    </row>
    <row r="1730" spans="1:11" x14ac:dyDescent="0.3">
      <c r="A1730" s="20" t="s">
        <v>110</v>
      </c>
      <c r="B1730" t="str">
        <f>VLOOKUP(A1730,Customers!A:B,2,FALSE)</f>
        <v>RetailAxisPro</v>
      </c>
      <c r="C1730" s="24" t="s">
        <v>2097</v>
      </c>
      <c r="D1730" s="10">
        <v>46078</v>
      </c>
      <c r="E1730" s="10">
        <v>46108</v>
      </c>
      <c r="F1730" s="4">
        <v>2152.6999999999998</v>
      </c>
      <c r="G1730" s="3">
        <f>SUMIF(Customer_Payments!B:B,C1730,Customer_Payments!E:E)</f>
        <v>0</v>
      </c>
      <c r="H1730" s="3">
        <f t="shared" ref="H1730:H1793" si="81">MAX(F1730-G1730,0)</f>
        <v>2152.6999999999998</v>
      </c>
      <c r="I1730" s="29">
        <f t="shared" ref="I1730:I1793" si="82">$L$2-E1730</f>
        <v>-17</v>
      </c>
      <c r="J1730" s="31" t="str">
        <f t="shared" si="80"/>
        <v>Current</v>
      </c>
      <c r="K1730"/>
    </row>
    <row r="1731" spans="1:11" x14ac:dyDescent="0.3">
      <c r="A1731" s="21" t="s">
        <v>100</v>
      </c>
      <c r="B1731" t="str">
        <f>VLOOKUP(A1731,Customers!A:B,2,FALSE)</f>
        <v>RetailBoostPro</v>
      </c>
      <c r="C1731" s="25" t="s">
        <v>2098</v>
      </c>
      <c r="D1731" s="11">
        <v>46023</v>
      </c>
      <c r="E1731" s="11">
        <v>46053</v>
      </c>
      <c r="F1731" s="5">
        <v>5400.81</v>
      </c>
      <c r="G1731" s="3">
        <f>SUMIF(Customer_Payments!B:B,C1731,Customer_Payments!E:E)</f>
        <v>0</v>
      </c>
      <c r="H1731" s="3">
        <f t="shared" si="81"/>
        <v>5400.81</v>
      </c>
      <c r="I1731" s="29">
        <f t="shared" si="82"/>
        <v>38</v>
      </c>
      <c r="J1731" s="31" t="str">
        <f t="shared" ref="J1731:J1794" si="83">IF(I1731&lt;=0,"Current",
IF(I1731&lt;=30,"1-30",
IF(I1731&lt;=60,"31-60",
IF(I1731&lt;=90,"61-90","90+"))))</f>
        <v>31-60</v>
      </c>
      <c r="K1731"/>
    </row>
    <row r="1732" spans="1:11" x14ac:dyDescent="0.3">
      <c r="A1732" s="20" t="s">
        <v>27</v>
      </c>
      <c r="B1732" t="str">
        <f>VLOOKUP(A1732,Customers!A:B,2,FALSE)</f>
        <v>Skyline Commerce</v>
      </c>
      <c r="C1732" s="24" t="s">
        <v>2099</v>
      </c>
      <c r="D1732" s="10">
        <v>46090</v>
      </c>
      <c r="E1732" s="10">
        <v>46120</v>
      </c>
      <c r="F1732" s="4">
        <v>11035.69</v>
      </c>
      <c r="G1732" s="3">
        <f>SUMIF(Customer_Payments!B:B,C1732,Customer_Payments!E:E)</f>
        <v>0</v>
      </c>
      <c r="H1732" s="3">
        <f t="shared" si="81"/>
        <v>11035.69</v>
      </c>
      <c r="I1732" s="29">
        <f t="shared" si="82"/>
        <v>-29</v>
      </c>
      <c r="J1732" s="31" t="str">
        <f t="shared" si="83"/>
        <v>Current</v>
      </c>
      <c r="K1732"/>
    </row>
    <row r="1733" spans="1:11" x14ac:dyDescent="0.3">
      <c r="A1733" s="21" t="s">
        <v>51</v>
      </c>
      <c r="B1733" t="str">
        <f>VLOOKUP(A1733,Customers!A:B,2,FALSE)</f>
        <v>CartMasters</v>
      </c>
      <c r="C1733" s="25" t="s">
        <v>2100</v>
      </c>
      <c r="D1733" s="11">
        <v>46040</v>
      </c>
      <c r="E1733" s="11">
        <v>46070</v>
      </c>
      <c r="F1733" s="5">
        <v>3057.53</v>
      </c>
      <c r="G1733" s="3">
        <f>SUMIF(Customer_Payments!B:B,C1733,Customer_Payments!E:E)</f>
        <v>3057.53</v>
      </c>
      <c r="H1733" s="3">
        <f t="shared" si="81"/>
        <v>0</v>
      </c>
      <c r="I1733" s="29">
        <f t="shared" si="82"/>
        <v>21</v>
      </c>
      <c r="J1733" s="31" t="str">
        <f t="shared" si="83"/>
        <v>1-30</v>
      </c>
      <c r="K1733"/>
    </row>
    <row r="1734" spans="1:11" x14ac:dyDescent="0.3">
      <c r="A1734" s="20" t="s">
        <v>96</v>
      </c>
      <c r="B1734" t="str">
        <f>VLOOKUP(A1734,Customers!A:B,2,FALSE)</f>
        <v>RetailLabs</v>
      </c>
      <c r="C1734" s="24" t="s">
        <v>2101</v>
      </c>
      <c r="D1734" s="10">
        <v>46068</v>
      </c>
      <c r="E1734" s="10">
        <v>46098</v>
      </c>
      <c r="F1734" s="4">
        <v>11477.1</v>
      </c>
      <c r="G1734" s="3">
        <f>SUMIF(Customer_Payments!B:B,C1734,Customer_Payments!E:E)</f>
        <v>11477.1</v>
      </c>
      <c r="H1734" s="3">
        <f t="shared" si="81"/>
        <v>0</v>
      </c>
      <c r="I1734" s="29">
        <f t="shared" si="82"/>
        <v>-7</v>
      </c>
      <c r="J1734" s="31" t="str">
        <f t="shared" si="83"/>
        <v>Current</v>
      </c>
      <c r="K1734"/>
    </row>
    <row r="1735" spans="1:11" x14ac:dyDescent="0.3">
      <c r="A1735" s="21" t="s">
        <v>48</v>
      </c>
      <c r="B1735" t="str">
        <f>VLOOKUP(A1735,Customers!A:B,2,FALSE)</f>
        <v>RetailGenius</v>
      </c>
      <c r="C1735" s="25" t="s">
        <v>2102</v>
      </c>
      <c r="D1735" s="11">
        <v>46091</v>
      </c>
      <c r="E1735" s="11">
        <v>46121</v>
      </c>
      <c r="F1735" s="5">
        <v>5402.22</v>
      </c>
      <c r="G1735" s="3">
        <f>SUMIF(Customer_Payments!B:B,C1735,Customer_Payments!E:E)</f>
        <v>5402.22</v>
      </c>
      <c r="H1735" s="3">
        <f t="shared" si="81"/>
        <v>0</v>
      </c>
      <c r="I1735" s="29">
        <f t="shared" si="82"/>
        <v>-30</v>
      </c>
      <c r="J1735" s="31" t="str">
        <f t="shared" si="83"/>
        <v>Current</v>
      </c>
      <c r="K1735"/>
    </row>
    <row r="1736" spans="1:11" x14ac:dyDescent="0.3">
      <c r="A1736" s="20" t="s">
        <v>90</v>
      </c>
      <c r="B1736" t="str">
        <f>VLOOKUP(A1736,Customers!A:B,2,FALSE)</f>
        <v>RetailPulseX</v>
      </c>
      <c r="C1736" s="24" t="s">
        <v>2103</v>
      </c>
      <c r="D1736" s="10">
        <v>46081</v>
      </c>
      <c r="E1736" s="10">
        <v>46111</v>
      </c>
      <c r="F1736" s="4">
        <v>4012.2</v>
      </c>
      <c r="G1736" s="3">
        <f>SUMIF(Customer_Payments!B:B,C1736,Customer_Payments!E:E)</f>
        <v>4012.2</v>
      </c>
      <c r="H1736" s="3">
        <f t="shared" si="81"/>
        <v>0</v>
      </c>
      <c r="I1736" s="29">
        <f t="shared" si="82"/>
        <v>-20</v>
      </c>
      <c r="J1736" s="31" t="str">
        <f t="shared" si="83"/>
        <v>Current</v>
      </c>
      <c r="K1736"/>
    </row>
    <row r="1737" spans="1:11" x14ac:dyDescent="0.3">
      <c r="A1737" s="21" t="s">
        <v>121</v>
      </c>
      <c r="B1737" t="str">
        <f>VLOOKUP(A1737,Customers!A:B,2,FALSE)</f>
        <v>RetailVisionGlobal</v>
      </c>
      <c r="C1737" s="25" t="s">
        <v>2104</v>
      </c>
      <c r="D1737" s="11">
        <v>46098</v>
      </c>
      <c r="E1737" s="11">
        <v>46128</v>
      </c>
      <c r="F1737" s="5">
        <v>5154.3100000000004</v>
      </c>
      <c r="G1737" s="3">
        <f>SUMIF(Customer_Payments!B:B,C1737,Customer_Payments!E:E)</f>
        <v>5154.3100000000004</v>
      </c>
      <c r="H1737" s="3">
        <f t="shared" si="81"/>
        <v>0</v>
      </c>
      <c r="I1737" s="29">
        <f t="shared" si="82"/>
        <v>-37</v>
      </c>
      <c r="J1737" s="31" t="str">
        <f t="shared" si="83"/>
        <v>Current</v>
      </c>
      <c r="K1737"/>
    </row>
    <row r="1738" spans="1:11" x14ac:dyDescent="0.3">
      <c r="A1738" s="20" t="s">
        <v>90</v>
      </c>
      <c r="B1738" t="str">
        <f>VLOOKUP(A1738,Customers!A:B,2,FALSE)</f>
        <v>RetailPulseX</v>
      </c>
      <c r="C1738" s="24" t="s">
        <v>2105</v>
      </c>
      <c r="D1738" s="10">
        <v>46081</v>
      </c>
      <c r="E1738" s="10">
        <v>46111</v>
      </c>
      <c r="F1738" s="4">
        <v>4419.53</v>
      </c>
      <c r="G1738" s="3">
        <f>SUMIF(Customer_Payments!B:B,C1738,Customer_Payments!E:E)</f>
        <v>4419.53</v>
      </c>
      <c r="H1738" s="3">
        <f t="shared" si="81"/>
        <v>0</v>
      </c>
      <c r="I1738" s="29">
        <f t="shared" si="82"/>
        <v>-20</v>
      </c>
      <c r="J1738" s="31" t="str">
        <f t="shared" si="83"/>
        <v>Current</v>
      </c>
      <c r="K1738"/>
    </row>
    <row r="1739" spans="1:11" x14ac:dyDescent="0.3">
      <c r="A1739" s="21" t="s">
        <v>107</v>
      </c>
      <c r="B1739" t="str">
        <f>VLOOKUP(A1739,Customers!A:B,2,FALSE)</f>
        <v>RetailWorksPro</v>
      </c>
      <c r="C1739" s="25" t="s">
        <v>2106</v>
      </c>
      <c r="D1739" s="11">
        <v>46033</v>
      </c>
      <c r="E1739" s="11">
        <v>46063</v>
      </c>
      <c r="F1739" s="5">
        <v>2834.67</v>
      </c>
      <c r="G1739" s="3">
        <f>SUMIF(Customer_Payments!B:B,C1739,Customer_Payments!E:E)</f>
        <v>2834.67</v>
      </c>
      <c r="H1739" s="3">
        <f t="shared" si="81"/>
        <v>0</v>
      </c>
      <c r="I1739" s="29">
        <f t="shared" si="82"/>
        <v>28</v>
      </c>
      <c r="J1739" s="31" t="str">
        <f t="shared" si="83"/>
        <v>1-30</v>
      </c>
      <c r="K1739"/>
    </row>
    <row r="1740" spans="1:11" x14ac:dyDescent="0.3">
      <c r="A1740" s="20" t="s">
        <v>14</v>
      </c>
      <c r="B1740" t="str">
        <f>VLOOKUP(A1740,Customers!A:B,2,FALSE)</f>
        <v>MarketPulse</v>
      </c>
      <c r="C1740" s="24" t="s">
        <v>2107</v>
      </c>
      <c r="D1740" s="10">
        <v>45974</v>
      </c>
      <c r="E1740" s="10">
        <v>46004</v>
      </c>
      <c r="F1740" s="4">
        <v>4753.1099999999997</v>
      </c>
      <c r="G1740" s="3">
        <f>SUMIF(Customer_Payments!B:B,C1740,Customer_Payments!E:E)</f>
        <v>0</v>
      </c>
      <c r="H1740" s="3">
        <f t="shared" si="81"/>
        <v>4753.1099999999997</v>
      </c>
      <c r="I1740" s="29">
        <f t="shared" si="82"/>
        <v>87</v>
      </c>
      <c r="J1740" s="31" t="str">
        <f t="shared" si="83"/>
        <v>61-90</v>
      </c>
      <c r="K1740"/>
    </row>
    <row r="1741" spans="1:11" x14ac:dyDescent="0.3">
      <c r="A1741" s="21" t="s">
        <v>22</v>
      </c>
      <c r="B1741" t="str">
        <f>VLOOKUP(A1741,Customers!A:B,2,FALSE)</f>
        <v>QuantumRetail</v>
      </c>
      <c r="C1741" s="25" t="s">
        <v>2108</v>
      </c>
      <c r="D1741" s="11">
        <v>46097</v>
      </c>
      <c r="E1741" s="11">
        <v>46127</v>
      </c>
      <c r="F1741" s="5">
        <v>2826.7</v>
      </c>
      <c r="G1741" s="3">
        <f>SUMIF(Customer_Payments!B:B,C1741,Customer_Payments!E:E)</f>
        <v>0</v>
      </c>
      <c r="H1741" s="3">
        <f t="shared" si="81"/>
        <v>2826.7</v>
      </c>
      <c r="I1741" s="29">
        <f t="shared" si="82"/>
        <v>-36</v>
      </c>
      <c r="J1741" s="31" t="str">
        <f t="shared" si="83"/>
        <v>Current</v>
      </c>
      <c r="K1741"/>
    </row>
    <row r="1742" spans="1:11" x14ac:dyDescent="0.3">
      <c r="A1742" s="20" t="s">
        <v>87</v>
      </c>
      <c r="B1742" t="str">
        <f>VLOOKUP(A1742,Customers!A:B,2,FALSE)</f>
        <v>RetailStreamX</v>
      </c>
      <c r="C1742" s="24" t="s">
        <v>2109</v>
      </c>
      <c r="D1742" s="10">
        <v>46057</v>
      </c>
      <c r="E1742" s="10">
        <v>46087</v>
      </c>
      <c r="F1742" s="4">
        <v>3710.14</v>
      </c>
      <c r="G1742" s="3">
        <f>SUMIF(Customer_Payments!B:B,C1742,Customer_Payments!E:E)</f>
        <v>0</v>
      </c>
      <c r="H1742" s="3">
        <f t="shared" si="81"/>
        <v>3710.14</v>
      </c>
      <c r="I1742" s="29">
        <f t="shared" si="82"/>
        <v>4</v>
      </c>
      <c r="J1742" s="31" t="str">
        <f t="shared" si="83"/>
        <v>1-30</v>
      </c>
      <c r="K1742"/>
    </row>
    <row r="1743" spans="1:11" x14ac:dyDescent="0.3">
      <c r="A1743" s="21" t="s">
        <v>69</v>
      </c>
      <c r="B1743" t="str">
        <f>VLOOKUP(A1743,Customers!A:B,2,FALSE)</f>
        <v>RetailNext</v>
      </c>
      <c r="C1743" s="25" t="s">
        <v>2110</v>
      </c>
      <c r="D1743" s="11">
        <v>46024</v>
      </c>
      <c r="E1743" s="11">
        <v>46054</v>
      </c>
      <c r="F1743" s="5">
        <v>1730.88</v>
      </c>
      <c r="G1743" s="3">
        <f>SUMIF(Customer_Payments!B:B,C1743,Customer_Payments!E:E)</f>
        <v>1730.88</v>
      </c>
      <c r="H1743" s="3">
        <f t="shared" si="81"/>
        <v>0</v>
      </c>
      <c r="I1743" s="29">
        <f t="shared" si="82"/>
        <v>37</v>
      </c>
      <c r="J1743" s="31" t="str">
        <f t="shared" si="83"/>
        <v>31-60</v>
      </c>
      <c r="K1743"/>
    </row>
    <row r="1744" spans="1:11" x14ac:dyDescent="0.3">
      <c r="A1744" s="20" t="s">
        <v>106</v>
      </c>
      <c r="B1744" t="str">
        <f>VLOOKUP(A1744,Customers!A:B,2,FALSE)</f>
        <v>RetailOrbitPro</v>
      </c>
      <c r="C1744" s="24" t="s">
        <v>2111</v>
      </c>
      <c r="D1744" s="10">
        <v>46040</v>
      </c>
      <c r="E1744" s="10">
        <v>46070</v>
      </c>
      <c r="F1744" s="4">
        <v>2687.98</v>
      </c>
      <c r="G1744" s="3">
        <f>SUMIF(Customer_Payments!B:B,C1744,Customer_Payments!E:E)</f>
        <v>2687.98</v>
      </c>
      <c r="H1744" s="3">
        <f t="shared" si="81"/>
        <v>0</v>
      </c>
      <c r="I1744" s="29">
        <f t="shared" si="82"/>
        <v>21</v>
      </c>
      <c r="J1744" s="31" t="str">
        <f t="shared" si="83"/>
        <v>1-30</v>
      </c>
      <c r="K1744"/>
    </row>
    <row r="1745" spans="1:11" x14ac:dyDescent="0.3">
      <c r="A1745" s="21" t="s">
        <v>66</v>
      </c>
      <c r="B1745" t="str">
        <f>VLOOKUP(A1745,Customers!A:B,2,FALSE)</f>
        <v>MarketWorks</v>
      </c>
      <c r="C1745" s="25" t="s">
        <v>2112</v>
      </c>
      <c r="D1745" s="11">
        <v>45982</v>
      </c>
      <c r="E1745" s="11">
        <v>46012</v>
      </c>
      <c r="F1745" s="5">
        <v>2153.64</v>
      </c>
      <c r="G1745" s="3">
        <f>SUMIF(Customer_Payments!B:B,C1745,Customer_Payments!E:E)</f>
        <v>2153.64</v>
      </c>
      <c r="H1745" s="3">
        <f t="shared" si="81"/>
        <v>0</v>
      </c>
      <c r="I1745" s="29">
        <f t="shared" si="82"/>
        <v>79</v>
      </c>
      <c r="J1745" s="31" t="str">
        <f t="shared" si="83"/>
        <v>61-90</v>
      </c>
      <c r="K1745"/>
    </row>
    <row r="1746" spans="1:11" x14ac:dyDescent="0.3">
      <c r="A1746" s="20" t="s">
        <v>8</v>
      </c>
      <c r="B1746" t="str">
        <f>VLOOKUP(A1746,Customers!A:B,2,FALSE)</f>
        <v>NexaSoft</v>
      </c>
      <c r="C1746" s="24" t="s">
        <v>2113</v>
      </c>
      <c r="D1746" s="10">
        <v>46049</v>
      </c>
      <c r="E1746" s="10">
        <v>46079</v>
      </c>
      <c r="F1746" s="4">
        <v>1715.11</v>
      </c>
      <c r="G1746" s="3">
        <f>SUMIF(Customer_Payments!B:B,C1746,Customer_Payments!E:E)</f>
        <v>1715.11</v>
      </c>
      <c r="H1746" s="3">
        <f t="shared" si="81"/>
        <v>0</v>
      </c>
      <c r="I1746" s="29">
        <f t="shared" si="82"/>
        <v>12</v>
      </c>
      <c r="J1746" s="31" t="str">
        <f t="shared" si="83"/>
        <v>1-30</v>
      </c>
      <c r="K1746"/>
    </row>
    <row r="1747" spans="1:11" x14ac:dyDescent="0.3">
      <c r="A1747" s="21" t="s">
        <v>123</v>
      </c>
      <c r="B1747" t="str">
        <f>VLOOKUP(A1747,Customers!A:B,2,FALSE)</f>
        <v>RetailFlowGlobal</v>
      </c>
      <c r="C1747" s="25" t="s">
        <v>2114</v>
      </c>
      <c r="D1747" s="11">
        <v>45991</v>
      </c>
      <c r="E1747" s="11">
        <v>46021</v>
      </c>
      <c r="F1747" s="5">
        <v>2539.9499999999998</v>
      </c>
      <c r="G1747" s="3">
        <f>SUMIF(Customer_Payments!B:B,C1747,Customer_Payments!E:E)</f>
        <v>2539.9499999999998</v>
      </c>
      <c r="H1747" s="3">
        <f t="shared" si="81"/>
        <v>0</v>
      </c>
      <c r="I1747" s="29">
        <f t="shared" si="82"/>
        <v>70</v>
      </c>
      <c r="J1747" s="31" t="str">
        <f t="shared" si="83"/>
        <v>61-90</v>
      </c>
      <c r="K1747"/>
    </row>
    <row r="1748" spans="1:11" x14ac:dyDescent="0.3">
      <c r="A1748" s="20" t="s">
        <v>68</v>
      </c>
      <c r="B1748" t="str">
        <f>VLOOKUP(A1748,Customers!A:B,2,FALSE)</f>
        <v>RetailVision</v>
      </c>
      <c r="C1748" s="24" t="s">
        <v>2115</v>
      </c>
      <c r="D1748" s="10">
        <v>46015</v>
      </c>
      <c r="E1748" s="10">
        <v>46045</v>
      </c>
      <c r="F1748" s="4">
        <v>3114.91</v>
      </c>
      <c r="G1748" s="3">
        <f>SUMIF(Customer_Payments!B:B,C1748,Customer_Payments!E:E)</f>
        <v>0</v>
      </c>
      <c r="H1748" s="3">
        <f t="shared" si="81"/>
        <v>3114.91</v>
      </c>
      <c r="I1748" s="29">
        <f t="shared" si="82"/>
        <v>46</v>
      </c>
      <c r="J1748" s="31" t="str">
        <f t="shared" si="83"/>
        <v>31-60</v>
      </c>
      <c r="K1748"/>
    </row>
    <row r="1749" spans="1:11" x14ac:dyDescent="0.3">
      <c r="A1749" s="21" t="s">
        <v>68</v>
      </c>
      <c r="B1749" t="str">
        <f>VLOOKUP(A1749,Customers!A:B,2,FALSE)</f>
        <v>RetailVision</v>
      </c>
      <c r="C1749" s="25" t="s">
        <v>2116</v>
      </c>
      <c r="D1749" s="11">
        <v>46089</v>
      </c>
      <c r="E1749" s="11">
        <v>46119</v>
      </c>
      <c r="F1749" s="5">
        <v>2693.73</v>
      </c>
      <c r="G1749" s="3">
        <f>SUMIF(Customer_Payments!B:B,C1749,Customer_Payments!E:E)</f>
        <v>2693.73</v>
      </c>
      <c r="H1749" s="3">
        <f t="shared" si="81"/>
        <v>0</v>
      </c>
      <c r="I1749" s="29">
        <f t="shared" si="82"/>
        <v>-28</v>
      </c>
      <c r="J1749" s="31" t="str">
        <f t="shared" si="83"/>
        <v>Current</v>
      </c>
      <c r="K1749"/>
    </row>
    <row r="1750" spans="1:11" x14ac:dyDescent="0.3">
      <c r="A1750" s="20" t="s">
        <v>48</v>
      </c>
      <c r="B1750" t="str">
        <f>VLOOKUP(A1750,Customers!A:B,2,FALSE)</f>
        <v>RetailGenius</v>
      </c>
      <c r="C1750" s="24" t="s">
        <v>2117</v>
      </c>
      <c r="D1750" s="10">
        <v>46045</v>
      </c>
      <c r="E1750" s="10">
        <v>46075</v>
      </c>
      <c r="F1750" s="4">
        <v>1945.97</v>
      </c>
      <c r="G1750" s="3">
        <f>SUMIF(Customer_Payments!B:B,C1750,Customer_Payments!E:E)</f>
        <v>1945.97</v>
      </c>
      <c r="H1750" s="3">
        <f t="shared" si="81"/>
        <v>0</v>
      </c>
      <c r="I1750" s="29">
        <f t="shared" si="82"/>
        <v>16</v>
      </c>
      <c r="J1750" s="31" t="str">
        <f t="shared" si="83"/>
        <v>1-30</v>
      </c>
      <c r="K1750"/>
    </row>
    <row r="1751" spans="1:11" x14ac:dyDescent="0.3">
      <c r="A1751" s="21" t="s">
        <v>111</v>
      </c>
      <c r="B1751" t="str">
        <f>VLOOKUP(A1751,Customers!A:B,2,FALSE)</f>
        <v>RetailPulsePro</v>
      </c>
      <c r="C1751" s="25" t="s">
        <v>2118</v>
      </c>
      <c r="D1751" s="11">
        <v>46057</v>
      </c>
      <c r="E1751" s="11">
        <v>46087</v>
      </c>
      <c r="F1751" s="5">
        <v>3256.52</v>
      </c>
      <c r="G1751" s="3">
        <f>SUMIF(Customer_Payments!B:B,C1751,Customer_Payments!E:E)</f>
        <v>3256.5199999999995</v>
      </c>
      <c r="H1751" s="3">
        <f t="shared" si="81"/>
        <v>4.5474735088646412E-13</v>
      </c>
      <c r="I1751" s="29">
        <f t="shared" si="82"/>
        <v>4</v>
      </c>
      <c r="J1751" s="31" t="str">
        <f t="shared" si="83"/>
        <v>1-30</v>
      </c>
      <c r="K1751"/>
    </row>
    <row r="1752" spans="1:11" x14ac:dyDescent="0.3">
      <c r="A1752" s="20" t="s">
        <v>74</v>
      </c>
      <c r="B1752" t="str">
        <f>VLOOKUP(A1752,Customers!A:B,2,FALSE)</f>
        <v>RetailPrime</v>
      </c>
      <c r="C1752" s="24" t="s">
        <v>2119</v>
      </c>
      <c r="D1752" s="10">
        <v>45997</v>
      </c>
      <c r="E1752" s="10">
        <v>46027</v>
      </c>
      <c r="F1752" s="4">
        <v>1454.22</v>
      </c>
      <c r="G1752" s="3">
        <f>SUMIF(Customer_Payments!B:B,C1752,Customer_Payments!E:E)</f>
        <v>0</v>
      </c>
      <c r="H1752" s="3">
        <f t="shared" si="81"/>
        <v>1454.22</v>
      </c>
      <c r="I1752" s="29">
        <f t="shared" si="82"/>
        <v>64</v>
      </c>
      <c r="J1752" s="31" t="str">
        <f t="shared" si="83"/>
        <v>61-90</v>
      </c>
      <c r="K1752"/>
    </row>
    <row r="1753" spans="1:11" x14ac:dyDescent="0.3">
      <c r="A1753" s="21" t="s">
        <v>111</v>
      </c>
      <c r="B1753" t="str">
        <f>VLOOKUP(A1753,Customers!A:B,2,FALSE)</f>
        <v>RetailPulsePro</v>
      </c>
      <c r="C1753" s="25" t="s">
        <v>2120</v>
      </c>
      <c r="D1753" s="11">
        <v>45966</v>
      </c>
      <c r="E1753" s="11">
        <v>45996</v>
      </c>
      <c r="F1753" s="5">
        <v>9906.8700000000008</v>
      </c>
      <c r="G1753" s="3">
        <f>SUMIF(Customer_Payments!B:B,C1753,Customer_Payments!E:E)</f>
        <v>9906.8700000000008</v>
      </c>
      <c r="H1753" s="3">
        <f t="shared" si="81"/>
        <v>0</v>
      </c>
      <c r="I1753" s="29">
        <f t="shared" si="82"/>
        <v>95</v>
      </c>
      <c r="J1753" s="31" t="str">
        <f t="shared" si="83"/>
        <v>90+</v>
      </c>
      <c r="K1753"/>
    </row>
    <row r="1754" spans="1:11" x14ac:dyDescent="0.3">
      <c r="A1754" s="20" t="s">
        <v>121</v>
      </c>
      <c r="B1754" t="str">
        <f>VLOOKUP(A1754,Customers!A:B,2,FALSE)</f>
        <v>RetailVisionGlobal</v>
      </c>
      <c r="C1754" s="24" t="s">
        <v>2121</v>
      </c>
      <c r="D1754" s="10">
        <v>46023</v>
      </c>
      <c r="E1754" s="10">
        <v>46053</v>
      </c>
      <c r="F1754" s="4">
        <v>1529.34</v>
      </c>
      <c r="G1754" s="3">
        <f>SUMIF(Customer_Payments!B:B,C1754,Customer_Payments!E:E)</f>
        <v>0</v>
      </c>
      <c r="H1754" s="3">
        <f t="shared" si="81"/>
        <v>1529.34</v>
      </c>
      <c r="I1754" s="29">
        <f t="shared" si="82"/>
        <v>38</v>
      </c>
      <c r="J1754" s="31" t="str">
        <f t="shared" si="83"/>
        <v>31-60</v>
      </c>
      <c r="K1754"/>
    </row>
    <row r="1755" spans="1:11" x14ac:dyDescent="0.3">
      <c r="A1755" s="21" t="s">
        <v>78</v>
      </c>
      <c r="B1755" t="str">
        <f>VLOOKUP(A1755,Customers!A:B,2,FALSE)</f>
        <v>RetailOrbitX</v>
      </c>
      <c r="C1755" s="25" t="s">
        <v>2122</v>
      </c>
      <c r="D1755" s="11">
        <v>45975</v>
      </c>
      <c r="E1755" s="11">
        <v>46005</v>
      </c>
      <c r="F1755" s="5">
        <v>2616.8000000000002</v>
      </c>
      <c r="G1755" s="3">
        <f>SUMIF(Customer_Payments!B:B,C1755,Customer_Payments!E:E)</f>
        <v>2616.8000000000002</v>
      </c>
      <c r="H1755" s="3">
        <f t="shared" si="81"/>
        <v>0</v>
      </c>
      <c r="I1755" s="29">
        <f t="shared" si="82"/>
        <v>86</v>
      </c>
      <c r="J1755" s="31" t="str">
        <f t="shared" si="83"/>
        <v>61-90</v>
      </c>
      <c r="K1755"/>
    </row>
    <row r="1756" spans="1:11" x14ac:dyDescent="0.3">
      <c r="A1756" s="20" t="s">
        <v>33</v>
      </c>
      <c r="B1756" t="str">
        <f>VLOOKUP(A1756,Customers!A:B,2,FALSE)</f>
        <v>CloudCart</v>
      </c>
      <c r="C1756" s="24" t="s">
        <v>2123</v>
      </c>
      <c r="D1756" s="10">
        <v>46014</v>
      </c>
      <c r="E1756" s="10">
        <v>46044</v>
      </c>
      <c r="F1756" s="4">
        <v>13442.46</v>
      </c>
      <c r="G1756" s="3">
        <f>SUMIF(Customer_Payments!B:B,C1756,Customer_Payments!E:E)</f>
        <v>13442.46</v>
      </c>
      <c r="H1756" s="3">
        <f t="shared" si="81"/>
        <v>0</v>
      </c>
      <c r="I1756" s="29">
        <f t="shared" si="82"/>
        <v>47</v>
      </c>
      <c r="J1756" s="31" t="str">
        <f t="shared" si="83"/>
        <v>31-60</v>
      </c>
      <c r="K1756"/>
    </row>
    <row r="1757" spans="1:11" x14ac:dyDescent="0.3">
      <c r="A1757" s="21" t="s">
        <v>11</v>
      </c>
      <c r="B1757" t="str">
        <f>VLOOKUP(A1757,Customers!A:B,2,FALSE)</f>
        <v>DataHive</v>
      </c>
      <c r="C1757" s="25" t="s">
        <v>2124</v>
      </c>
      <c r="D1757" s="11">
        <v>46015</v>
      </c>
      <c r="E1757" s="11">
        <v>46045</v>
      </c>
      <c r="F1757" s="5">
        <v>1556.07</v>
      </c>
      <c r="G1757" s="3">
        <f>SUMIF(Customer_Payments!B:B,C1757,Customer_Payments!E:E)</f>
        <v>0</v>
      </c>
      <c r="H1757" s="3">
        <f t="shared" si="81"/>
        <v>1556.07</v>
      </c>
      <c r="I1757" s="29">
        <f t="shared" si="82"/>
        <v>46</v>
      </c>
      <c r="J1757" s="31" t="str">
        <f t="shared" si="83"/>
        <v>31-60</v>
      </c>
      <c r="K1757"/>
    </row>
    <row r="1758" spans="1:11" x14ac:dyDescent="0.3">
      <c r="A1758" s="20" t="s">
        <v>76</v>
      </c>
      <c r="B1758" t="str">
        <f>VLOOKUP(A1758,Customers!A:B,2,FALSE)</f>
        <v>RetailSphere</v>
      </c>
      <c r="C1758" s="24" t="s">
        <v>2125</v>
      </c>
      <c r="D1758" s="10">
        <v>45981</v>
      </c>
      <c r="E1758" s="10">
        <v>46011</v>
      </c>
      <c r="F1758" s="4">
        <v>3575.91</v>
      </c>
      <c r="G1758" s="3">
        <f>SUMIF(Customer_Payments!B:B,C1758,Customer_Payments!E:E)</f>
        <v>3575.91</v>
      </c>
      <c r="H1758" s="3">
        <f t="shared" si="81"/>
        <v>0</v>
      </c>
      <c r="I1758" s="29">
        <f t="shared" si="82"/>
        <v>80</v>
      </c>
      <c r="J1758" s="31" t="str">
        <f t="shared" si="83"/>
        <v>61-90</v>
      </c>
      <c r="K1758"/>
    </row>
    <row r="1759" spans="1:11" x14ac:dyDescent="0.3">
      <c r="A1759" s="21" t="s">
        <v>12</v>
      </c>
      <c r="B1759" t="str">
        <f>VLOOKUP(A1759,Customers!A:B,2,FALSE)</f>
        <v>ShopOrbit</v>
      </c>
      <c r="C1759" s="25" t="s">
        <v>2126</v>
      </c>
      <c r="D1759" s="11">
        <v>46085</v>
      </c>
      <c r="E1759" s="11">
        <v>46115</v>
      </c>
      <c r="F1759" s="5">
        <v>4846.1000000000004</v>
      </c>
      <c r="G1759" s="3">
        <f>SUMIF(Customer_Payments!B:B,C1759,Customer_Payments!E:E)</f>
        <v>4846.1000000000004</v>
      </c>
      <c r="H1759" s="3">
        <f t="shared" si="81"/>
        <v>0</v>
      </c>
      <c r="I1759" s="29">
        <f t="shared" si="82"/>
        <v>-24</v>
      </c>
      <c r="J1759" s="31" t="str">
        <f t="shared" si="83"/>
        <v>Current</v>
      </c>
      <c r="K1759"/>
    </row>
    <row r="1760" spans="1:11" x14ac:dyDescent="0.3">
      <c r="A1760" s="20" t="s">
        <v>24</v>
      </c>
      <c r="B1760" t="str">
        <f>VLOOKUP(A1760,Customers!A:B,2,FALSE)</f>
        <v>OmniTrade</v>
      </c>
      <c r="C1760" s="24" t="s">
        <v>2127</v>
      </c>
      <c r="D1760" s="10">
        <v>45968</v>
      </c>
      <c r="E1760" s="10">
        <v>45998</v>
      </c>
      <c r="F1760" s="4">
        <v>4066.47</v>
      </c>
      <c r="G1760" s="3">
        <f>SUMIF(Customer_Payments!B:B,C1760,Customer_Payments!E:E)</f>
        <v>4066.47</v>
      </c>
      <c r="H1760" s="3">
        <f t="shared" si="81"/>
        <v>0</v>
      </c>
      <c r="I1760" s="29">
        <f t="shared" si="82"/>
        <v>93</v>
      </c>
      <c r="J1760" s="31" t="str">
        <f t="shared" si="83"/>
        <v>90+</v>
      </c>
      <c r="K1760"/>
    </row>
    <row r="1761" spans="1:11" x14ac:dyDescent="0.3">
      <c r="A1761" s="21" t="s">
        <v>52</v>
      </c>
      <c r="B1761" t="str">
        <f>VLOOKUP(A1761,Customers!A:B,2,FALSE)</f>
        <v>RetailShift</v>
      </c>
      <c r="C1761" s="25" t="s">
        <v>2128</v>
      </c>
      <c r="D1761" s="11">
        <v>46091</v>
      </c>
      <c r="E1761" s="11">
        <v>46121</v>
      </c>
      <c r="F1761" s="5">
        <v>3486.62</v>
      </c>
      <c r="G1761" s="3">
        <f>SUMIF(Customer_Payments!B:B,C1761,Customer_Payments!E:E)</f>
        <v>0</v>
      </c>
      <c r="H1761" s="3">
        <f t="shared" si="81"/>
        <v>3486.62</v>
      </c>
      <c r="I1761" s="29">
        <f t="shared" si="82"/>
        <v>-30</v>
      </c>
      <c r="J1761" s="31" t="str">
        <f t="shared" si="83"/>
        <v>Current</v>
      </c>
      <c r="K1761"/>
    </row>
    <row r="1762" spans="1:11" x14ac:dyDescent="0.3">
      <c r="A1762" s="20" t="s">
        <v>111</v>
      </c>
      <c r="B1762" t="str">
        <f>VLOOKUP(A1762,Customers!A:B,2,FALSE)</f>
        <v>RetailPulsePro</v>
      </c>
      <c r="C1762" s="24" t="s">
        <v>2129</v>
      </c>
      <c r="D1762" s="10">
        <v>46021</v>
      </c>
      <c r="E1762" s="10">
        <v>46051</v>
      </c>
      <c r="F1762" s="4">
        <v>3553.49</v>
      </c>
      <c r="G1762" s="3">
        <f>SUMIF(Customer_Payments!B:B,C1762,Customer_Payments!E:E)</f>
        <v>3553.49</v>
      </c>
      <c r="H1762" s="3">
        <f t="shared" si="81"/>
        <v>0</v>
      </c>
      <c r="I1762" s="29">
        <f t="shared" si="82"/>
        <v>40</v>
      </c>
      <c r="J1762" s="31" t="str">
        <f t="shared" si="83"/>
        <v>31-60</v>
      </c>
      <c r="K1762"/>
    </row>
    <row r="1763" spans="1:11" x14ac:dyDescent="0.3">
      <c r="A1763" s="21" t="s">
        <v>113</v>
      </c>
      <c r="B1763" t="str">
        <f>VLOOKUP(A1763,Customers!A:B,2,FALSE)</f>
        <v>RetailSpherePro</v>
      </c>
      <c r="C1763" s="25" t="s">
        <v>2130</v>
      </c>
      <c r="D1763" s="11">
        <v>46092</v>
      </c>
      <c r="E1763" s="11">
        <v>46122</v>
      </c>
      <c r="F1763" s="5">
        <v>2684.52</v>
      </c>
      <c r="G1763" s="3">
        <f>SUMIF(Customer_Payments!B:B,C1763,Customer_Payments!E:E)</f>
        <v>2684.52</v>
      </c>
      <c r="H1763" s="3">
        <f t="shared" si="81"/>
        <v>0</v>
      </c>
      <c r="I1763" s="29">
        <f t="shared" si="82"/>
        <v>-31</v>
      </c>
      <c r="J1763" s="31" t="str">
        <f t="shared" si="83"/>
        <v>Current</v>
      </c>
      <c r="K1763"/>
    </row>
    <row r="1764" spans="1:11" x14ac:dyDescent="0.3">
      <c r="A1764" s="20" t="s">
        <v>52</v>
      </c>
      <c r="B1764" t="str">
        <f>VLOOKUP(A1764,Customers!A:B,2,FALSE)</f>
        <v>RetailShift</v>
      </c>
      <c r="C1764" s="24" t="s">
        <v>2131</v>
      </c>
      <c r="D1764" s="10">
        <v>46051</v>
      </c>
      <c r="E1764" s="10">
        <v>46081</v>
      </c>
      <c r="F1764" s="4">
        <v>5914.85</v>
      </c>
      <c r="G1764" s="3">
        <f>SUMIF(Customer_Payments!B:B,C1764,Customer_Payments!E:E)</f>
        <v>5914.85</v>
      </c>
      <c r="H1764" s="3">
        <f t="shared" si="81"/>
        <v>0</v>
      </c>
      <c r="I1764" s="29">
        <f t="shared" si="82"/>
        <v>10</v>
      </c>
      <c r="J1764" s="31" t="str">
        <f t="shared" si="83"/>
        <v>1-30</v>
      </c>
      <c r="K1764"/>
    </row>
    <row r="1765" spans="1:11" x14ac:dyDescent="0.3">
      <c r="A1765" s="21" t="s">
        <v>39</v>
      </c>
      <c r="B1765" t="str">
        <f>VLOOKUP(A1765,Customers!A:B,2,FALSE)</f>
        <v>VisionCommerce</v>
      </c>
      <c r="C1765" s="25" t="s">
        <v>2132</v>
      </c>
      <c r="D1765" s="11">
        <v>45965</v>
      </c>
      <c r="E1765" s="11">
        <v>45995</v>
      </c>
      <c r="F1765" s="5">
        <v>2128.4899999999998</v>
      </c>
      <c r="G1765" s="3">
        <f>SUMIF(Customer_Payments!B:B,C1765,Customer_Payments!E:E)</f>
        <v>2128.4899999999998</v>
      </c>
      <c r="H1765" s="3">
        <f t="shared" si="81"/>
        <v>0</v>
      </c>
      <c r="I1765" s="29">
        <f t="shared" si="82"/>
        <v>96</v>
      </c>
      <c r="J1765" s="31" t="str">
        <f t="shared" si="83"/>
        <v>90+</v>
      </c>
      <c r="K1765"/>
    </row>
    <row r="1766" spans="1:11" x14ac:dyDescent="0.3">
      <c r="A1766" s="20" t="s">
        <v>39</v>
      </c>
      <c r="B1766" t="str">
        <f>VLOOKUP(A1766,Customers!A:B,2,FALSE)</f>
        <v>VisionCommerce</v>
      </c>
      <c r="C1766" s="24" t="s">
        <v>2133</v>
      </c>
      <c r="D1766" s="10">
        <v>46009</v>
      </c>
      <c r="E1766" s="10">
        <v>46039</v>
      </c>
      <c r="F1766" s="4">
        <v>2381.7800000000002</v>
      </c>
      <c r="G1766" s="3">
        <f>SUMIF(Customer_Payments!B:B,C1766,Customer_Payments!E:E)</f>
        <v>2381.7800000000002</v>
      </c>
      <c r="H1766" s="3">
        <f t="shared" si="81"/>
        <v>0</v>
      </c>
      <c r="I1766" s="29">
        <f t="shared" si="82"/>
        <v>52</v>
      </c>
      <c r="J1766" s="31" t="str">
        <f t="shared" si="83"/>
        <v>31-60</v>
      </c>
      <c r="K1766"/>
    </row>
    <row r="1767" spans="1:11" x14ac:dyDescent="0.3">
      <c r="A1767" s="21" t="s">
        <v>16</v>
      </c>
      <c r="B1767" t="str">
        <f>VLOOKUP(A1767,Customers!A:B,2,FALSE)</f>
        <v>RetailHub</v>
      </c>
      <c r="C1767" s="25" t="s">
        <v>2134</v>
      </c>
      <c r="D1767" s="11">
        <v>46002</v>
      </c>
      <c r="E1767" s="11">
        <v>46032</v>
      </c>
      <c r="F1767" s="5">
        <v>1746.25</v>
      </c>
      <c r="G1767" s="3">
        <f>SUMIF(Customer_Payments!B:B,C1767,Customer_Payments!E:E)</f>
        <v>1746.25</v>
      </c>
      <c r="H1767" s="3">
        <f t="shared" si="81"/>
        <v>0</v>
      </c>
      <c r="I1767" s="29">
        <f t="shared" si="82"/>
        <v>59</v>
      </c>
      <c r="J1767" s="31" t="str">
        <f t="shared" si="83"/>
        <v>31-60</v>
      </c>
      <c r="K1767"/>
    </row>
    <row r="1768" spans="1:11" x14ac:dyDescent="0.3">
      <c r="A1768" s="20" t="s">
        <v>98</v>
      </c>
      <c r="B1768" t="str">
        <f>VLOOKUP(A1768,Customers!A:B,2,FALSE)</f>
        <v>RetailEdgePro</v>
      </c>
      <c r="C1768" s="24" t="s">
        <v>2135</v>
      </c>
      <c r="D1768" s="10">
        <v>46112</v>
      </c>
      <c r="E1768" s="10">
        <v>46142</v>
      </c>
      <c r="F1768" s="4">
        <v>1967.53</v>
      </c>
      <c r="G1768" s="3">
        <f>SUMIF(Customer_Payments!B:B,C1768,Customer_Payments!E:E)</f>
        <v>1967.53</v>
      </c>
      <c r="H1768" s="3">
        <f t="shared" si="81"/>
        <v>0</v>
      </c>
      <c r="I1768" s="29">
        <f t="shared" si="82"/>
        <v>-51</v>
      </c>
      <c r="J1768" s="31" t="str">
        <f t="shared" si="83"/>
        <v>Current</v>
      </c>
      <c r="K1768"/>
    </row>
    <row r="1769" spans="1:11" x14ac:dyDescent="0.3">
      <c r="A1769" s="21" t="s">
        <v>60</v>
      </c>
      <c r="B1769" t="str">
        <f>VLOOKUP(A1769,Customers!A:B,2,FALSE)</f>
        <v>RetailSpark</v>
      </c>
      <c r="C1769" s="25" t="s">
        <v>2136</v>
      </c>
      <c r="D1769" s="11">
        <v>46033</v>
      </c>
      <c r="E1769" s="11">
        <v>46063</v>
      </c>
      <c r="F1769" s="5">
        <v>2563.64</v>
      </c>
      <c r="G1769" s="3">
        <f>SUMIF(Customer_Payments!B:B,C1769,Customer_Payments!E:E)</f>
        <v>2563.64</v>
      </c>
      <c r="H1769" s="3">
        <f t="shared" si="81"/>
        <v>0</v>
      </c>
      <c r="I1769" s="29">
        <f t="shared" si="82"/>
        <v>28</v>
      </c>
      <c r="J1769" s="31" t="str">
        <f t="shared" si="83"/>
        <v>1-30</v>
      </c>
      <c r="K1769"/>
    </row>
    <row r="1770" spans="1:11" x14ac:dyDescent="0.3">
      <c r="A1770" s="20" t="s">
        <v>84</v>
      </c>
      <c r="B1770" t="str">
        <f>VLOOKUP(A1770,Customers!A:B,2,FALSE)</f>
        <v>RetailVisionX</v>
      </c>
      <c r="C1770" s="24" t="s">
        <v>2137</v>
      </c>
      <c r="D1770" s="10">
        <v>46102</v>
      </c>
      <c r="E1770" s="10">
        <v>46132</v>
      </c>
      <c r="F1770" s="4">
        <v>4632.72</v>
      </c>
      <c r="G1770" s="3">
        <f>SUMIF(Customer_Payments!B:B,C1770,Customer_Payments!E:E)</f>
        <v>4632.72</v>
      </c>
      <c r="H1770" s="3">
        <f t="shared" si="81"/>
        <v>0</v>
      </c>
      <c r="I1770" s="29">
        <f t="shared" si="82"/>
        <v>-41</v>
      </c>
      <c r="J1770" s="31" t="str">
        <f t="shared" si="83"/>
        <v>Current</v>
      </c>
      <c r="K1770"/>
    </row>
    <row r="1771" spans="1:11" x14ac:dyDescent="0.3">
      <c r="A1771" s="21" t="s">
        <v>77</v>
      </c>
      <c r="B1771" t="str">
        <f>VLOOKUP(A1771,Customers!A:B,2,FALSE)</f>
        <v>RetailBridge</v>
      </c>
      <c r="C1771" s="25" t="s">
        <v>2138</v>
      </c>
      <c r="D1771" s="11">
        <v>45998</v>
      </c>
      <c r="E1771" s="11">
        <v>46028</v>
      </c>
      <c r="F1771" s="5">
        <v>4155.05</v>
      </c>
      <c r="G1771" s="3">
        <f>SUMIF(Customer_Payments!B:B,C1771,Customer_Payments!E:E)</f>
        <v>4155.05</v>
      </c>
      <c r="H1771" s="3">
        <f t="shared" si="81"/>
        <v>0</v>
      </c>
      <c r="I1771" s="29">
        <f t="shared" si="82"/>
        <v>63</v>
      </c>
      <c r="J1771" s="31" t="str">
        <f t="shared" si="83"/>
        <v>61-90</v>
      </c>
      <c r="K1771"/>
    </row>
    <row r="1772" spans="1:11" x14ac:dyDescent="0.3">
      <c r="A1772" s="20" t="s">
        <v>49</v>
      </c>
      <c r="B1772" t="str">
        <f>VLOOKUP(A1772,Customers!A:B,2,FALSE)</f>
        <v>CommercePilot</v>
      </c>
      <c r="C1772" s="24" t="s">
        <v>2139</v>
      </c>
      <c r="D1772" s="10">
        <v>46094</v>
      </c>
      <c r="E1772" s="10">
        <v>46124</v>
      </c>
      <c r="F1772" s="4">
        <v>9916.6</v>
      </c>
      <c r="G1772" s="3">
        <f>SUMIF(Customer_Payments!B:B,C1772,Customer_Payments!E:E)</f>
        <v>9916.6</v>
      </c>
      <c r="H1772" s="3">
        <f t="shared" si="81"/>
        <v>0</v>
      </c>
      <c r="I1772" s="29">
        <f t="shared" si="82"/>
        <v>-33</v>
      </c>
      <c r="J1772" s="31" t="str">
        <f t="shared" si="83"/>
        <v>Current</v>
      </c>
      <c r="K1772"/>
    </row>
    <row r="1773" spans="1:11" x14ac:dyDescent="0.3">
      <c r="A1773" s="21" t="s">
        <v>19</v>
      </c>
      <c r="B1773" t="str">
        <f>VLOOKUP(A1773,Customers!A:B,2,FALSE)</f>
        <v>NextWave Digital</v>
      </c>
      <c r="C1773" s="25" t="s">
        <v>2140</v>
      </c>
      <c r="D1773" s="11">
        <v>45977</v>
      </c>
      <c r="E1773" s="11">
        <v>46007</v>
      </c>
      <c r="F1773" s="5">
        <v>2146.33</v>
      </c>
      <c r="G1773" s="3">
        <f>SUMIF(Customer_Payments!B:B,C1773,Customer_Payments!E:E)</f>
        <v>2146.33</v>
      </c>
      <c r="H1773" s="3">
        <f t="shared" si="81"/>
        <v>0</v>
      </c>
      <c r="I1773" s="29">
        <f t="shared" si="82"/>
        <v>84</v>
      </c>
      <c r="J1773" s="31" t="str">
        <f t="shared" si="83"/>
        <v>61-90</v>
      </c>
      <c r="K1773"/>
    </row>
    <row r="1774" spans="1:11" x14ac:dyDescent="0.3">
      <c r="A1774" s="20" t="s">
        <v>107</v>
      </c>
      <c r="B1774" t="str">
        <f>VLOOKUP(A1774,Customers!A:B,2,FALSE)</f>
        <v>RetailWorksPro</v>
      </c>
      <c r="C1774" s="24" t="s">
        <v>2141</v>
      </c>
      <c r="D1774" s="10">
        <v>46006</v>
      </c>
      <c r="E1774" s="10">
        <v>46036</v>
      </c>
      <c r="F1774" s="4">
        <v>14301.53</v>
      </c>
      <c r="G1774" s="3">
        <f>SUMIF(Customer_Payments!B:B,C1774,Customer_Payments!E:E)</f>
        <v>0</v>
      </c>
      <c r="H1774" s="3">
        <f t="shared" si="81"/>
        <v>14301.53</v>
      </c>
      <c r="I1774" s="29">
        <f t="shared" si="82"/>
        <v>55</v>
      </c>
      <c r="J1774" s="31" t="str">
        <f t="shared" si="83"/>
        <v>31-60</v>
      </c>
      <c r="K1774"/>
    </row>
    <row r="1775" spans="1:11" x14ac:dyDescent="0.3">
      <c r="A1775" s="21" t="s">
        <v>110</v>
      </c>
      <c r="B1775" t="str">
        <f>VLOOKUP(A1775,Customers!A:B,2,FALSE)</f>
        <v>RetailAxisPro</v>
      </c>
      <c r="C1775" s="25" t="s">
        <v>2142</v>
      </c>
      <c r="D1775" s="11">
        <v>46051</v>
      </c>
      <c r="E1775" s="11">
        <v>46081</v>
      </c>
      <c r="F1775" s="5">
        <v>2610.88</v>
      </c>
      <c r="G1775" s="3">
        <f>SUMIF(Customer_Payments!B:B,C1775,Customer_Payments!E:E)</f>
        <v>2610.88</v>
      </c>
      <c r="H1775" s="3">
        <f t="shared" si="81"/>
        <v>0</v>
      </c>
      <c r="I1775" s="29">
        <f t="shared" si="82"/>
        <v>10</v>
      </c>
      <c r="J1775" s="31" t="str">
        <f t="shared" si="83"/>
        <v>1-30</v>
      </c>
      <c r="K1775"/>
    </row>
    <row r="1776" spans="1:11" x14ac:dyDescent="0.3">
      <c r="A1776" s="20" t="s">
        <v>43</v>
      </c>
      <c r="B1776" t="str">
        <f>VLOOKUP(A1776,Customers!A:B,2,FALSE)</f>
        <v>CommerceSpark</v>
      </c>
      <c r="C1776" s="24" t="s">
        <v>2143</v>
      </c>
      <c r="D1776" s="10">
        <v>45995</v>
      </c>
      <c r="E1776" s="10">
        <v>46025</v>
      </c>
      <c r="F1776" s="4">
        <v>10058.59</v>
      </c>
      <c r="G1776" s="3">
        <f>SUMIF(Customer_Payments!B:B,C1776,Customer_Payments!E:E)</f>
        <v>10058.59</v>
      </c>
      <c r="H1776" s="3">
        <f t="shared" si="81"/>
        <v>0</v>
      </c>
      <c r="I1776" s="29">
        <f t="shared" si="82"/>
        <v>66</v>
      </c>
      <c r="J1776" s="31" t="str">
        <f t="shared" si="83"/>
        <v>61-90</v>
      </c>
      <c r="K1776"/>
    </row>
    <row r="1777" spans="1:11" x14ac:dyDescent="0.3">
      <c r="A1777" s="21" t="s">
        <v>103</v>
      </c>
      <c r="B1777" t="str">
        <f>VLOOKUP(A1777,Customers!A:B,2,FALSE)</f>
        <v>RetailVisionPro</v>
      </c>
      <c r="C1777" s="25" t="s">
        <v>2144</v>
      </c>
      <c r="D1777" s="11">
        <v>46099</v>
      </c>
      <c r="E1777" s="11">
        <v>46129</v>
      </c>
      <c r="F1777" s="5">
        <v>3179.48</v>
      </c>
      <c r="G1777" s="3">
        <f>SUMIF(Customer_Payments!B:B,C1777,Customer_Payments!E:E)</f>
        <v>3179.48</v>
      </c>
      <c r="H1777" s="3">
        <f t="shared" si="81"/>
        <v>0</v>
      </c>
      <c r="I1777" s="29">
        <f t="shared" si="82"/>
        <v>-38</v>
      </c>
      <c r="J1777" s="31" t="str">
        <f t="shared" si="83"/>
        <v>Current</v>
      </c>
      <c r="K1777"/>
    </row>
    <row r="1778" spans="1:11" x14ac:dyDescent="0.3">
      <c r="A1778" s="20" t="s">
        <v>107</v>
      </c>
      <c r="B1778" t="str">
        <f>VLOOKUP(A1778,Customers!A:B,2,FALSE)</f>
        <v>RetailWorksPro</v>
      </c>
      <c r="C1778" s="24" t="s">
        <v>2145</v>
      </c>
      <c r="D1778" s="10">
        <v>45979</v>
      </c>
      <c r="E1778" s="10">
        <v>46009</v>
      </c>
      <c r="F1778" s="4">
        <v>10467.23</v>
      </c>
      <c r="G1778" s="3">
        <f>SUMIF(Customer_Payments!B:B,C1778,Customer_Payments!E:E)</f>
        <v>10467.23</v>
      </c>
      <c r="H1778" s="3">
        <f t="shared" si="81"/>
        <v>0</v>
      </c>
      <c r="I1778" s="29">
        <f t="shared" si="82"/>
        <v>82</v>
      </c>
      <c r="J1778" s="31" t="str">
        <f t="shared" si="83"/>
        <v>61-90</v>
      </c>
      <c r="K1778"/>
    </row>
    <row r="1779" spans="1:11" x14ac:dyDescent="0.3">
      <c r="A1779" s="21" t="s">
        <v>23</v>
      </c>
      <c r="B1779" t="str">
        <f>VLOOKUP(A1779,Customers!A:B,2,FALSE)</f>
        <v>VertexCommerce</v>
      </c>
      <c r="C1779" s="25" t="s">
        <v>2146</v>
      </c>
      <c r="D1779" s="11">
        <v>46089</v>
      </c>
      <c r="E1779" s="11">
        <v>46119</v>
      </c>
      <c r="F1779" s="5">
        <v>3572.34</v>
      </c>
      <c r="G1779" s="3">
        <f>SUMIF(Customer_Payments!B:B,C1779,Customer_Payments!E:E)</f>
        <v>3572.34</v>
      </c>
      <c r="H1779" s="3">
        <f t="shared" si="81"/>
        <v>0</v>
      </c>
      <c r="I1779" s="29">
        <f t="shared" si="82"/>
        <v>-28</v>
      </c>
      <c r="J1779" s="31" t="str">
        <f t="shared" si="83"/>
        <v>Current</v>
      </c>
      <c r="K1779"/>
    </row>
    <row r="1780" spans="1:11" x14ac:dyDescent="0.3">
      <c r="A1780" s="20" t="s">
        <v>23</v>
      </c>
      <c r="B1780" t="str">
        <f>VLOOKUP(A1780,Customers!A:B,2,FALSE)</f>
        <v>VertexCommerce</v>
      </c>
      <c r="C1780" s="24" t="s">
        <v>2147</v>
      </c>
      <c r="D1780" s="10">
        <v>46101</v>
      </c>
      <c r="E1780" s="10">
        <v>46131</v>
      </c>
      <c r="F1780" s="4">
        <v>2009.5</v>
      </c>
      <c r="G1780" s="3">
        <f>SUMIF(Customer_Payments!B:B,C1780,Customer_Payments!E:E)</f>
        <v>2009.5</v>
      </c>
      <c r="H1780" s="3">
        <f t="shared" si="81"/>
        <v>0</v>
      </c>
      <c r="I1780" s="29">
        <f t="shared" si="82"/>
        <v>-40</v>
      </c>
      <c r="J1780" s="31" t="str">
        <f t="shared" si="83"/>
        <v>Current</v>
      </c>
      <c r="K1780"/>
    </row>
    <row r="1781" spans="1:11" x14ac:dyDescent="0.3">
      <c r="A1781" s="21" t="s">
        <v>99</v>
      </c>
      <c r="B1781" t="str">
        <f>VLOOKUP(A1781,Customers!A:B,2,FALSE)</f>
        <v>RetailNovaPro</v>
      </c>
      <c r="C1781" s="25" t="s">
        <v>2148</v>
      </c>
      <c r="D1781" s="11">
        <v>45965</v>
      </c>
      <c r="E1781" s="11">
        <v>45995</v>
      </c>
      <c r="F1781" s="5">
        <v>4757.6000000000004</v>
      </c>
      <c r="G1781" s="3">
        <f>SUMIF(Customer_Payments!B:B,C1781,Customer_Payments!E:E)</f>
        <v>4757.6000000000004</v>
      </c>
      <c r="H1781" s="3">
        <f t="shared" si="81"/>
        <v>0</v>
      </c>
      <c r="I1781" s="29">
        <f t="shared" si="82"/>
        <v>96</v>
      </c>
      <c r="J1781" s="31" t="str">
        <f t="shared" si="83"/>
        <v>90+</v>
      </c>
      <c r="K1781"/>
    </row>
    <row r="1782" spans="1:11" x14ac:dyDescent="0.3">
      <c r="A1782" s="20" t="s">
        <v>60</v>
      </c>
      <c r="B1782" t="str">
        <f>VLOOKUP(A1782,Customers!A:B,2,FALSE)</f>
        <v>RetailSpark</v>
      </c>
      <c r="C1782" s="24" t="s">
        <v>2149</v>
      </c>
      <c r="D1782" s="10">
        <v>46048</v>
      </c>
      <c r="E1782" s="10">
        <v>46078</v>
      </c>
      <c r="F1782" s="4">
        <v>2141.64</v>
      </c>
      <c r="G1782" s="3">
        <f>SUMIF(Customer_Payments!B:B,C1782,Customer_Payments!E:E)</f>
        <v>2141.64</v>
      </c>
      <c r="H1782" s="3">
        <f t="shared" si="81"/>
        <v>0</v>
      </c>
      <c r="I1782" s="29">
        <f t="shared" si="82"/>
        <v>13</v>
      </c>
      <c r="J1782" s="31" t="str">
        <f t="shared" si="83"/>
        <v>1-30</v>
      </c>
      <c r="K1782"/>
    </row>
    <row r="1783" spans="1:11" x14ac:dyDescent="0.3">
      <c r="A1783" s="21" t="s">
        <v>71</v>
      </c>
      <c r="B1783" t="str">
        <f>VLOOKUP(A1783,Customers!A:B,2,FALSE)</f>
        <v>RetailPulse</v>
      </c>
      <c r="C1783" s="25" t="s">
        <v>2150</v>
      </c>
      <c r="D1783" s="11">
        <v>46055</v>
      </c>
      <c r="E1783" s="11">
        <v>46085</v>
      </c>
      <c r="F1783" s="5">
        <v>1769.61</v>
      </c>
      <c r="G1783" s="3">
        <f>SUMIF(Customer_Payments!B:B,C1783,Customer_Payments!E:E)</f>
        <v>0</v>
      </c>
      <c r="H1783" s="3">
        <f t="shared" si="81"/>
        <v>1769.61</v>
      </c>
      <c r="I1783" s="29">
        <f t="shared" si="82"/>
        <v>6</v>
      </c>
      <c r="J1783" s="31" t="str">
        <f t="shared" si="83"/>
        <v>1-30</v>
      </c>
      <c r="K1783"/>
    </row>
    <row r="1784" spans="1:11" x14ac:dyDescent="0.3">
      <c r="A1784" s="20" t="s">
        <v>119</v>
      </c>
      <c r="B1784" t="str">
        <f>VLOOKUP(A1784,Customers!A:B,2,FALSE)</f>
        <v>RetailNovaGlobal</v>
      </c>
      <c r="C1784" s="24" t="s">
        <v>2151</v>
      </c>
      <c r="D1784" s="10">
        <v>45972</v>
      </c>
      <c r="E1784" s="10">
        <v>46002</v>
      </c>
      <c r="F1784" s="4">
        <v>2275.8200000000002</v>
      </c>
      <c r="G1784" s="3">
        <f>SUMIF(Customer_Payments!B:B,C1784,Customer_Payments!E:E)</f>
        <v>0</v>
      </c>
      <c r="H1784" s="3">
        <f t="shared" si="81"/>
        <v>2275.8200000000002</v>
      </c>
      <c r="I1784" s="29">
        <f t="shared" si="82"/>
        <v>89</v>
      </c>
      <c r="J1784" s="31" t="str">
        <f t="shared" si="83"/>
        <v>61-90</v>
      </c>
      <c r="K1784"/>
    </row>
    <row r="1785" spans="1:11" x14ac:dyDescent="0.3">
      <c r="A1785" s="21" t="s">
        <v>59</v>
      </c>
      <c r="B1785" t="str">
        <f>VLOOKUP(A1785,Customers!A:B,2,FALSE)</f>
        <v>MarketBridge</v>
      </c>
      <c r="C1785" s="25" t="s">
        <v>2152</v>
      </c>
      <c r="D1785" s="11">
        <v>46013</v>
      </c>
      <c r="E1785" s="11">
        <v>46043</v>
      </c>
      <c r="F1785" s="5">
        <v>4610.37</v>
      </c>
      <c r="G1785" s="3">
        <f>SUMIF(Customer_Payments!B:B,C1785,Customer_Payments!E:E)</f>
        <v>0</v>
      </c>
      <c r="H1785" s="3">
        <f t="shared" si="81"/>
        <v>4610.37</v>
      </c>
      <c r="I1785" s="29">
        <f t="shared" si="82"/>
        <v>48</v>
      </c>
      <c r="J1785" s="31" t="str">
        <f t="shared" si="83"/>
        <v>31-60</v>
      </c>
      <c r="K1785"/>
    </row>
    <row r="1786" spans="1:11" x14ac:dyDescent="0.3">
      <c r="A1786" s="20" t="s">
        <v>37</v>
      </c>
      <c r="B1786" t="str">
        <f>VLOOKUP(A1786,Customers!A:B,2,FALSE)</f>
        <v>SmartCart</v>
      </c>
      <c r="C1786" s="24" t="s">
        <v>2153</v>
      </c>
      <c r="D1786" s="10">
        <v>46098</v>
      </c>
      <c r="E1786" s="10">
        <v>46128</v>
      </c>
      <c r="F1786" s="4">
        <v>2845.25</v>
      </c>
      <c r="G1786" s="3">
        <f>SUMIF(Customer_Payments!B:B,C1786,Customer_Payments!E:E)</f>
        <v>2845.25</v>
      </c>
      <c r="H1786" s="3">
        <f t="shared" si="81"/>
        <v>0</v>
      </c>
      <c r="I1786" s="29">
        <f t="shared" si="82"/>
        <v>-37</v>
      </c>
      <c r="J1786" s="31" t="str">
        <f t="shared" si="83"/>
        <v>Current</v>
      </c>
      <c r="K1786"/>
    </row>
    <row r="1787" spans="1:11" x14ac:dyDescent="0.3">
      <c r="A1787" s="21" t="s">
        <v>77</v>
      </c>
      <c r="B1787" t="str">
        <f>VLOOKUP(A1787,Customers!A:B,2,FALSE)</f>
        <v>RetailBridge</v>
      </c>
      <c r="C1787" s="25" t="s">
        <v>2154</v>
      </c>
      <c r="D1787" s="11">
        <v>45983</v>
      </c>
      <c r="E1787" s="11">
        <v>46013</v>
      </c>
      <c r="F1787" s="5">
        <v>2598.14</v>
      </c>
      <c r="G1787" s="3">
        <f>SUMIF(Customer_Payments!B:B,C1787,Customer_Payments!E:E)</f>
        <v>2598.14</v>
      </c>
      <c r="H1787" s="3">
        <f t="shared" si="81"/>
        <v>0</v>
      </c>
      <c r="I1787" s="29">
        <f t="shared" si="82"/>
        <v>78</v>
      </c>
      <c r="J1787" s="31" t="str">
        <f t="shared" si="83"/>
        <v>61-90</v>
      </c>
      <c r="K1787"/>
    </row>
    <row r="1788" spans="1:11" x14ac:dyDescent="0.3">
      <c r="A1788" s="20" t="s">
        <v>100</v>
      </c>
      <c r="B1788" t="str">
        <f>VLOOKUP(A1788,Customers!A:B,2,FALSE)</f>
        <v>RetailBoostPro</v>
      </c>
      <c r="C1788" s="24" t="s">
        <v>2155</v>
      </c>
      <c r="D1788" s="10">
        <v>45995</v>
      </c>
      <c r="E1788" s="10">
        <v>46025</v>
      </c>
      <c r="F1788" s="4">
        <v>13480.07</v>
      </c>
      <c r="G1788" s="3">
        <f>SUMIF(Customer_Payments!B:B,C1788,Customer_Payments!E:E)</f>
        <v>13480.07</v>
      </c>
      <c r="H1788" s="3">
        <f t="shared" si="81"/>
        <v>0</v>
      </c>
      <c r="I1788" s="29">
        <f t="shared" si="82"/>
        <v>66</v>
      </c>
      <c r="J1788" s="31" t="str">
        <f t="shared" si="83"/>
        <v>61-90</v>
      </c>
      <c r="K1788"/>
    </row>
    <row r="1789" spans="1:11" x14ac:dyDescent="0.3">
      <c r="A1789" s="21" t="s">
        <v>120</v>
      </c>
      <c r="B1789" t="str">
        <f>VLOOKUP(A1789,Customers!A:B,2,FALSE)</f>
        <v>RetailPrimeGlobal</v>
      </c>
      <c r="C1789" s="25" t="s">
        <v>2156</v>
      </c>
      <c r="D1789" s="11">
        <v>45968</v>
      </c>
      <c r="E1789" s="11">
        <v>45998</v>
      </c>
      <c r="F1789" s="5">
        <v>4959.3100000000004</v>
      </c>
      <c r="G1789" s="3">
        <f>SUMIF(Customer_Payments!B:B,C1789,Customer_Payments!E:E)</f>
        <v>0</v>
      </c>
      <c r="H1789" s="3">
        <f t="shared" si="81"/>
        <v>4959.3100000000004</v>
      </c>
      <c r="I1789" s="29">
        <f t="shared" si="82"/>
        <v>93</v>
      </c>
      <c r="J1789" s="31" t="str">
        <f t="shared" si="83"/>
        <v>90+</v>
      </c>
      <c r="K1789"/>
    </row>
    <row r="1790" spans="1:11" x14ac:dyDescent="0.3">
      <c r="A1790" s="20" t="s">
        <v>123</v>
      </c>
      <c r="B1790" t="str">
        <f>VLOOKUP(A1790,Customers!A:B,2,FALSE)</f>
        <v>RetailFlowGlobal</v>
      </c>
      <c r="C1790" s="24" t="s">
        <v>2157</v>
      </c>
      <c r="D1790" s="10">
        <v>46069</v>
      </c>
      <c r="E1790" s="10">
        <v>46099</v>
      </c>
      <c r="F1790" s="4">
        <v>3777.03</v>
      </c>
      <c r="G1790" s="3">
        <f>SUMIF(Customer_Payments!B:B,C1790,Customer_Payments!E:E)</f>
        <v>3777.03</v>
      </c>
      <c r="H1790" s="3">
        <f t="shared" si="81"/>
        <v>0</v>
      </c>
      <c r="I1790" s="29">
        <f t="shared" si="82"/>
        <v>-8</v>
      </c>
      <c r="J1790" s="31" t="str">
        <f t="shared" si="83"/>
        <v>Current</v>
      </c>
      <c r="K1790"/>
    </row>
    <row r="1791" spans="1:11" x14ac:dyDescent="0.3">
      <c r="A1791" s="21" t="s">
        <v>51</v>
      </c>
      <c r="B1791" t="str">
        <f>VLOOKUP(A1791,Customers!A:B,2,FALSE)</f>
        <v>CartMasters</v>
      </c>
      <c r="C1791" s="25" t="s">
        <v>2158</v>
      </c>
      <c r="D1791" s="11">
        <v>46027</v>
      </c>
      <c r="E1791" s="11">
        <v>46057</v>
      </c>
      <c r="F1791" s="5">
        <v>1445.25</v>
      </c>
      <c r="G1791" s="3">
        <f>SUMIF(Customer_Payments!B:B,C1791,Customer_Payments!E:E)</f>
        <v>1445.25</v>
      </c>
      <c r="H1791" s="3">
        <f t="shared" si="81"/>
        <v>0</v>
      </c>
      <c r="I1791" s="29">
        <f t="shared" si="82"/>
        <v>34</v>
      </c>
      <c r="J1791" s="31" t="str">
        <f t="shared" si="83"/>
        <v>31-60</v>
      </c>
      <c r="K1791"/>
    </row>
    <row r="1792" spans="1:11" x14ac:dyDescent="0.3">
      <c r="A1792" s="20" t="s">
        <v>12</v>
      </c>
      <c r="B1792" t="str">
        <f>VLOOKUP(A1792,Customers!A:B,2,FALSE)</f>
        <v>ShopOrbit</v>
      </c>
      <c r="C1792" s="24" t="s">
        <v>2159</v>
      </c>
      <c r="D1792" s="10">
        <v>46079</v>
      </c>
      <c r="E1792" s="10">
        <v>46109</v>
      </c>
      <c r="F1792" s="4">
        <v>5988.44</v>
      </c>
      <c r="G1792" s="3">
        <f>SUMIF(Customer_Payments!B:B,C1792,Customer_Payments!E:E)</f>
        <v>5988.44</v>
      </c>
      <c r="H1792" s="3">
        <f t="shared" si="81"/>
        <v>0</v>
      </c>
      <c r="I1792" s="29">
        <f t="shared" si="82"/>
        <v>-18</v>
      </c>
      <c r="J1792" s="31" t="str">
        <f t="shared" si="83"/>
        <v>Current</v>
      </c>
      <c r="K1792"/>
    </row>
    <row r="1793" spans="1:11" x14ac:dyDescent="0.3">
      <c r="A1793" s="21" t="s">
        <v>104</v>
      </c>
      <c r="B1793" t="str">
        <f>VLOOKUP(A1793,Customers!A:B,2,FALSE)</f>
        <v>RetailCorePro</v>
      </c>
      <c r="C1793" s="25" t="s">
        <v>2160</v>
      </c>
      <c r="D1793" s="11">
        <v>46089</v>
      </c>
      <c r="E1793" s="11">
        <v>46119</v>
      </c>
      <c r="F1793" s="5">
        <v>3428.11</v>
      </c>
      <c r="G1793" s="3">
        <f>SUMIF(Customer_Payments!B:B,C1793,Customer_Payments!E:E)</f>
        <v>0</v>
      </c>
      <c r="H1793" s="3">
        <f t="shared" si="81"/>
        <v>3428.11</v>
      </c>
      <c r="I1793" s="29">
        <f t="shared" si="82"/>
        <v>-28</v>
      </c>
      <c r="J1793" s="31" t="str">
        <f t="shared" si="83"/>
        <v>Current</v>
      </c>
      <c r="K1793"/>
    </row>
    <row r="1794" spans="1:11" x14ac:dyDescent="0.3">
      <c r="A1794" s="20" t="s">
        <v>24</v>
      </c>
      <c r="B1794" t="str">
        <f>VLOOKUP(A1794,Customers!A:B,2,FALSE)</f>
        <v>OmniTrade</v>
      </c>
      <c r="C1794" s="24" t="s">
        <v>2161</v>
      </c>
      <c r="D1794" s="10">
        <v>45965</v>
      </c>
      <c r="E1794" s="10">
        <v>45995</v>
      </c>
      <c r="F1794" s="4">
        <v>4065.32</v>
      </c>
      <c r="G1794" s="3">
        <f>SUMIF(Customer_Payments!B:B,C1794,Customer_Payments!E:E)</f>
        <v>4065.32</v>
      </c>
      <c r="H1794" s="3">
        <f t="shared" ref="H1794:H1857" si="84">MAX(F1794-G1794,0)</f>
        <v>0</v>
      </c>
      <c r="I1794" s="29">
        <f t="shared" ref="I1794:I1857" si="85">$L$2-E1794</f>
        <v>96</v>
      </c>
      <c r="J1794" s="31" t="str">
        <f t="shared" si="83"/>
        <v>90+</v>
      </c>
      <c r="K1794"/>
    </row>
    <row r="1795" spans="1:11" x14ac:dyDescent="0.3">
      <c r="A1795" s="21" t="s">
        <v>28</v>
      </c>
      <c r="B1795" t="str">
        <f>VLOOKUP(A1795,Customers!A:B,2,FALSE)</f>
        <v>FutureCart</v>
      </c>
      <c r="C1795" s="25" t="s">
        <v>2162</v>
      </c>
      <c r="D1795" s="11">
        <v>46100</v>
      </c>
      <c r="E1795" s="11">
        <v>46130</v>
      </c>
      <c r="F1795" s="5">
        <v>3294.61</v>
      </c>
      <c r="G1795" s="3">
        <f>SUMIF(Customer_Payments!B:B,C1795,Customer_Payments!E:E)</f>
        <v>3294.61</v>
      </c>
      <c r="H1795" s="3">
        <f t="shared" si="84"/>
        <v>0</v>
      </c>
      <c r="I1795" s="29">
        <f t="shared" si="85"/>
        <v>-39</v>
      </c>
      <c r="J1795" s="31" t="str">
        <f t="shared" ref="J1795:J1858" si="86">IF(I1795&lt;=0,"Current",
IF(I1795&lt;=30,"1-30",
IF(I1795&lt;=60,"31-60",
IF(I1795&lt;=90,"61-90","90+"))))</f>
        <v>Current</v>
      </c>
      <c r="K1795"/>
    </row>
    <row r="1796" spans="1:11" x14ac:dyDescent="0.3">
      <c r="A1796" s="20" t="s">
        <v>76</v>
      </c>
      <c r="B1796" t="str">
        <f>VLOOKUP(A1796,Customers!A:B,2,FALSE)</f>
        <v>RetailSphere</v>
      </c>
      <c r="C1796" s="24" t="s">
        <v>2163</v>
      </c>
      <c r="D1796" s="10">
        <v>46112</v>
      </c>
      <c r="E1796" s="10">
        <v>46142</v>
      </c>
      <c r="F1796" s="4">
        <v>2969.73</v>
      </c>
      <c r="G1796" s="3">
        <f>SUMIF(Customer_Payments!B:B,C1796,Customer_Payments!E:E)</f>
        <v>2969.7299999999996</v>
      </c>
      <c r="H1796" s="3">
        <f t="shared" si="84"/>
        <v>4.5474735088646412E-13</v>
      </c>
      <c r="I1796" s="29">
        <f t="shared" si="85"/>
        <v>-51</v>
      </c>
      <c r="J1796" s="31" t="str">
        <f t="shared" si="86"/>
        <v>Current</v>
      </c>
      <c r="K1796"/>
    </row>
    <row r="1797" spans="1:11" x14ac:dyDescent="0.3">
      <c r="A1797" s="21" t="s">
        <v>7</v>
      </c>
      <c r="B1797" t="str">
        <f>VLOOKUP(A1797,Customers!A:B,2,FALSE)</f>
        <v>BrightCart</v>
      </c>
      <c r="C1797" s="25" t="s">
        <v>2164</v>
      </c>
      <c r="D1797" s="11">
        <v>45973</v>
      </c>
      <c r="E1797" s="11">
        <v>46003</v>
      </c>
      <c r="F1797" s="5">
        <v>2748.08</v>
      </c>
      <c r="G1797" s="3">
        <f>SUMIF(Customer_Payments!B:B,C1797,Customer_Payments!E:E)</f>
        <v>2748.08</v>
      </c>
      <c r="H1797" s="3">
        <f t="shared" si="84"/>
        <v>0</v>
      </c>
      <c r="I1797" s="29">
        <f t="shared" si="85"/>
        <v>88</v>
      </c>
      <c r="J1797" s="31" t="str">
        <f t="shared" si="86"/>
        <v>61-90</v>
      </c>
      <c r="K1797"/>
    </row>
    <row r="1798" spans="1:11" x14ac:dyDescent="0.3">
      <c r="A1798" s="20" t="s">
        <v>89</v>
      </c>
      <c r="B1798" t="str">
        <f>VLOOKUP(A1798,Customers!A:B,2,FALSE)</f>
        <v>RetailAxisX</v>
      </c>
      <c r="C1798" s="24" t="s">
        <v>2165</v>
      </c>
      <c r="D1798" s="10">
        <v>46106</v>
      </c>
      <c r="E1798" s="10">
        <v>46136</v>
      </c>
      <c r="F1798" s="4">
        <v>1894.45</v>
      </c>
      <c r="G1798" s="3">
        <f>SUMIF(Customer_Payments!B:B,C1798,Customer_Payments!E:E)</f>
        <v>0</v>
      </c>
      <c r="H1798" s="3">
        <f t="shared" si="84"/>
        <v>1894.45</v>
      </c>
      <c r="I1798" s="29">
        <f t="shared" si="85"/>
        <v>-45</v>
      </c>
      <c r="J1798" s="31" t="str">
        <f t="shared" si="86"/>
        <v>Current</v>
      </c>
      <c r="K1798"/>
    </row>
    <row r="1799" spans="1:11" x14ac:dyDescent="0.3">
      <c r="A1799" s="21" t="s">
        <v>115</v>
      </c>
      <c r="B1799" t="str">
        <f>VLOOKUP(A1799,Customers!A:B,2,FALSE)</f>
        <v>RetailDynamicsPro</v>
      </c>
      <c r="C1799" s="25" t="s">
        <v>2166</v>
      </c>
      <c r="D1799" s="11">
        <v>46013</v>
      </c>
      <c r="E1799" s="11">
        <v>46043</v>
      </c>
      <c r="F1799" s="5">
        <v>3956.02</v>
      </c>
      <c r="G1799" s="3">
        <f>SUMIF(Customer_Payments!B:B,C1799,Customer_Payments!E:E)</f>
        <v>0</v>
      </c>
      <c r="H1799" s="3">
        <f t="shared" si="84"/>
        <v>3956.02</v>
      </c>
      <c r="I1799" s="29">
        <f t="shared" si="85"/>
        <v>48</v>
      </c>
      <c r="J1799" s="31" t="str">
        <f t="shared" si="86"/>
        <v>31-60</v>
      </c>
      <c r="K1799"/>
    </row>
    <row r="1800" spans="1:11" x14ac:dyDescent="0.3">
      <c r="A1800" s="20" t="s">
        <v>45</v>
      </c>
      <c r="B1800" t="str">
        <f>VLOOKUP(A1800,Customers!A:B,2,FALSE)</f>
        <v>EdgeRetail</v>
      </c>
      <c r="C1800" s="24" t="s">
        <v>2167</v>
      </c>
      <c r="D1800" s="10">
        <v>46015</v>
      </c>
      <c r="E1800" s="10">
        <v>46045</v>
      </c>
      <c r="F1800" s="4">
        <v>9875.98</v>
      </c>
      <c r="G1800" s="3">
        <f>SUMIF(Customer_Payments!B:B,C1800,Customer_Payments!E:E)</f>
        <v>9875.98</v>
      </c>
      <c r="H1800" s="3">
        <f t="shared" si="84"/>
        <v>0</v>
      </c>
      <c r="I1800" s="29">
        <f t="shared" si="85"/>
        <v>46</v>
      </c>
      <c r="J1800" s="31" t="str">
        <f t="shared" si="86"/>
        <v>31-60</v>
      </c>
      <c r="K1800"/>
    </row>
    <row r="1801" spans="1:11" x14ac:dyDescent="0.3">
      <c r="A1801" s="21" t="s">
        <v>52</v>
      </c>
      <c r="B1801" t="str">
        <f>VLOOKUP(A1801,Customers!A:B,2,FALSE)</f>
        <v>RetailShift</v>
      </c>
      <c r="C1801" s="25" t="s">
        <v>2168</v>
      </c>
      <c r="D1801" s="11">
        <v>46066</v>
      </c>
      <c r="E1801" s="11">
        <v>46096</v>
      </c>
      <c r="F1801" s="5">
        <v>2107.16</v>
      </c>
      <c r="G1801" s="3">
        <f>SUMIF(Customer_Payments!B:B,C1801,Customer_Payments!E:E)</f>
        <v>2107.16</v>
      </c>
      <c r="H1801" s="3">
        <f t="shared" si="84"/>
        <v>0</v>
      </c>
      <c r="I1801" s="29">
        <f t="shared" si="85"/>
        <v>-5</v>
      </c>
      <c r="J1801" s="31" t="str">
        <f t="shared" si="86"/>
        <v>Current</v>
      </c>
      <c r="K1801"/>
    </row>
    <row r="1802" spans="1:11" x14ac:dyDescent="0.3">
      <c r="A1802" s="20" t="s">
        <v>72</v>
      </c>
      <c r="B1802" t="str">
        <f>VLOOKUP(A1802,Customers!A:B,2,FALSE)</f>
        <v>RetailStream</v>
      </c>
      <c r="C1802" s="24" t="s">
        <v>2169</v>
      </c>
      <c r="D1802" s="10">
        <v>45993</v>
      </c>
      <c r="E1802" s="10">
        <v>46023</v>
      </c>
      <c r="F1802" s="4">
        <v>2521.61</v>
      </c>
      <c r="G1802" s="3">
        <f>SUMIF(Customer_Payments!B:B,C1802,Customer_Payments!E:E)</f>
        <v>2521.61</v>
      </c>
      <c r="H1802" s="3">
        <f t="shared" si="84"/>
        <v>0</v>
      </c>
      <c r="I1802" s="29">
        <f t="shared" si="85"/>
        <v>68</v>
      </c>
      <c r="J1802" s="31" t="str">
        <f t="shared" si="86"/>
        <v>61-90</v>
      </c>
      <c r="K1802"/>
    </row>
    <row r="1803" spans="1:11" x14ac:dyDescent="0.3">
      <c r="A1803" s="21" t="s">
        <v>91</v>
      </c>
      <c r="B1803" t="str">
        <f>VLOOKUP(A1803,Customers!A:B,2,FALSE)</f>
        <v>RetailBridgeX</v>
      </c>
      <c r="C1803" s="25" t="s">
        <v>2170</v>
      </c>
      <c r="D1803" s="11">
        <v>46111</v>
      </c>
      <c r="E1803" s="11">
        <v>46141</v>
      </c>
      <c r="F1803" s="5">
        <v>4821.4399999999996</v>
      </c>
      <c r="G1803" s="3">
        <f>SUMIF(Customer_Payments!B:B,C1803,Customer_Payments!E:E)</f>
        <v>4821.4399999999996</v>
      </c>
      <c r="H1803" s="3">
        <f t="shared" si="84"/>
        <v>0</v>
      </c>
      <c r="I1803" s="29">
        <f t="shared" si="85"/>
        <v>-50</v>
      </c>
      <c r="J1803" s="31" t="str">
        <f t="shared" si="86"/>
        <v>Current</v>
      </c>
      <c r="K1803"/>
    </row>
    <row r="1804" spans="1:11" x14ac:dyDescent="0.3">
      <c r="A1804" s="20" t="s">
        <v>61</v>
      </c>
      <c r="B1804" t="str">
        <f>VLOOKUP(A1804,Customers!A:B,2,FALSE)</f>
        <v>RetailOrbit</v>
      </c>
      <c r="C1804" s="24" t="s">
        <v>2171</v>
      </c>
      <c r="D1804" s="10">
        <v>46005</v>
      </c>
      <c r="E1804" s="10">
        <v>46035</v>
      </c>
      <c r="F1804" s="4">
        <v>2226.1</v>
      </c>
      <c r="G1804" s="3">
        <f>SUMIF(Customer_Payments!B:B,C1804,Customer_Payments!E:E)</f>
        <v>2226.1</v>
      </c>
      <c r="H1804" s="3">
        <f t="shared" si="84"/>
        <v>0</v>
      </c>
      <c r="I1804" s="29">
        <f t="shared" si="85"/>
        <v>56</v>
      </c>
      <c r="J1804" s="31" t="str">
        <f t="shared" si="86"/>
        <v>31-60</v>
      </c>
      <c r="K1804"/>
    </row>
    <row r="1805" spans="1:11" x14ac:dyDescent="0.3">
      <c r="A1805" s="21" t="s">
        <v>91</v>
      </c>
      <c r="B1805" t="str">
        <f>VLOOKUP(A1805,Customers!A:B,2,FALSE)</f>
        <v>RetailBridgeX</v>
      </c>
      <c r="C1805" s="25" t="s">
        <v>2172</v>
      </c>
      <c r="D1805" s="11">
        <v>46039</v>
      </c>
      <c r="E1805" s="11">
        <v>46069</v>
      </c>
      <c r="F1805" s="5">
        <v>5072.8500000000004</v>
      </c>
      <c r="G1805" s="3">
        <f>SUMIF(Customer_Payments!B:B,C1805,Customer_Payments!E:E)</f>
        <v>0</v>
      </c>
      <c r="H1805" s="3">
        <f t="shared" si="84"/>
        <v>5072.8500000000004</v>
      </c>
      <c r="I1805" s="29">
        <f t="shared" si="85"/>
        <v>22</v>
      </c>
      <c r="J1805" s="31" t="str">
        <f t="shared" si="86"/>
        <v>1-30</v>
      </c>
      <c r="K1805"/>
    </row>
    <row r="1806" spans="1:11" x14ac:dyDescent="0.3">
      <c r="A1806" s="20" t="s">
        <v>52</v>
      </c>
      <c r="B1806" t="str">
        <f>VLOOKUP(A1806,Customers!A:B,2,FALSE)</f>
        <v>RetailShift</v>
      </c>
      <c r="C1806" s="24" t="s">
        <v>2173</v>
      </c>
      <c r="D1806" s="10">
        <v>45989</v>
      </c>
      <c r="E1806" s="10">
        <v>46019</v>
      </c>
      <c r="F1806" s="4">
        <v>10376.799999999999</v>
      </c>
      <c r="G1806" s="3">
        <f>SUMIF(Customer_Payments!B:B,C1806,Customer_Payments!E:E)</f>
        <v>10376.799999999999</v>
      </c>
      <c r="H1806" s="3">
        <f t="shared" si="84"/>
        <v>0</v>
      </c>
      <c r="I1806" s="29">
        <f t="shared" si="85"/>
        <v>72</v>
      </c>
      <c r="J1806" s="31" t="str">
        <f t="shared" si="86"/>
        <v>61-90</v>
      </c>
      <c r="K1806"/>
    </row>
    <row r="1807" spans="1:11" x14ac:dyDescent="0.3">
      <c r="A1807" s="21" t="s">
        <v>57</v>
      </c>
      <c r="B1807" t="str">
        <f>VLOOKUP(A1807,Customers!A:B,2,FALSE)</f>
        <v>MarketGenius</v>
      </c>
      <c r="C1807" s="25" t="s">
        <v>2174</v>
      </c>
      <c r="D1807" s="11">
        <v>45983</v>
      </c>
      <c r="E1807" s="11">
        <v>46013</v>
      </c>
      <c r="F1807" s="5">
        <v>1582.89</v>
      </c>
      <c r="G1807" s="3">
        <f>SUMIF(Customer_Payments!B:B,C1807,Customer_Payments!E:E)</f>
        <v>1582.89</v>
      </c>
      <c r="H1807" s="3">
        <f t="shared" si="84"/>
        <v>0</v>
      </c>
      <c r="I1807" s="29">
        <f t="shared" si="85"/>
        <v>78</v>
      </c>
      <c r="J1807" s="31" t="str">
        <f t="shared" si="86"/>
        <v>61-90</v>
      </c>
      <c r="K1807"/>
    </row>
    <row r="1808" spans="1:11" x14ac:dyDescent="0.3">
      <c r="A1808" s="20" t="s">
        <v>68</v>
      </c>
      <c r="B1808" t="str">
        <f>VLOOKUP(A1808,Customers!A:B,2,FALSE)</f>
        <v>RetailVision</v>
      </c>
      <c r="C1808" s="24" t="s">
        <v>2175</v>
      </c>
      <c r="D1808" s="10">
        <v>45992</v>
      </c>
      <c r="E1808" s="10">
        <v>46022</v>
      </c>
      <c r="F1808" s="4">
        <v>13170.84</v>
      </c>
      <c r="G1808" s="3">
        <f>SUMIF(Customer_Payments!B:B,C1808,Customer_Payments!E:E)</f>
        <v>13170.84</v>
      </c>
      <c r="H1808" s="3">
        <f t="shared" si="84"/>
        <v>0</v>
      </c>
      <c r="I1808" s="29">
        <f t="shared" si="85"/>
        <v>69</v>
      </c>
      <c r="J1808" s="31" t="str">
        <f t="shared" si="86"/>
        <v>61-90</v>
      </c>
      <c r="K1808"/>
    </row>
    <row r="1809" spans="1:11" x14ac:dyDescent="0.3">
      <c r="A1809" s="21" t="s">
        <v>70</v>
      </c>
      <c r="B1809" t="str">
        <f>VLOOKUP(A1809,Customers!A:B,2,FALSE)</f>
        <v>RetailPath</v>
      </c>
      <c r="C1809" s="25" t="s">
        <v>2176</v>
      </c>
      <c r="D1809" s="11">
        <v>46048</v>
      </c>
      <c r="E1809" s="11">
        <v>46078</v>
      </c>
      <c r="F1809" s="5">
        <v>2147.71</v>
      </c>
      <c r="G1809" s="3">
        <f>SUMIF(Customer_Payments!B:B,C1809,Customer_Payments!E:E)</f>
        <v>2147.71</v>
      </c>
      <c r="H1809" s="3">
        <f t="shared" si="84"/>
        <v>0</v>
      </c>
      <c r="I1809" s="29">
        <f t="shared" si="85"/>
        <v>13</v>
      </c>
      <c r="J1809" s="31" t="str">
        <f t="shared" si="86"/>
        <v>1-30</v>
      </c>
      <c r="K1809"/>
    </row>
    <row r="1810" spans="1:11" x14ac:dyDescent="0.3">
      <c r="A1810" s="20" t="s">
        <v>101</v>
      </c>
      <c r="B1810" t="str">
        <f>VLOOKUP(A1810,Customers!A:B,2,FALSE)</f>
        <v>RetailMatrixPro</v>
      </c>
      <c r="C1810" s="24" t="s">
        <v>2177</v>
      </c>
      <c r="D1810" s="10">
        <v>46048</v>
      </c>
      <c r="E1810" s="10">
        <v>46078</v>
      </c>
      <c r="F1810" s="4">
        <v>1954.31</v>
      </c>
      <c r="G1810" s="3">
        <f>SUMIF(Customer_Payments!B:B,C1810,Customer_Payments!E:E)</f>
        <v>1954.31</v>
      </c>
      <c r="H1810" s="3">
        <f t="shared" si="84"/>
        <v>0</v>
      </c>
      <c r="I1810" s="29">
        <f t="shared" si="85"/>
        <v>13</v>
      </c>
      <c r="J1810" s="31" t="str">
        <f t="shared" si="86"/>
        <v>1-30</v>
      </c>
      <c r="K1810"/>
    </row>
    <row r="1811" spans="1:11" x14ac:dyDescent="0.3">
      <c r="A1811" s="21" t="s">
        <v>51</v>
      </c>
      <c r="B1811" t="str">
        <f>VLOOKUP(A1811,Customers!A:B,2,FALSE)</f>
        <v>CartMasters</v>
      </c>
      <c r="C1811" s="25" t="s">
        <v>2178</v>
      </c>
      <c r="D1811" s="11">
        <v>46035</v>
      </c>
      <c r="E1811" s="11">
        <v>46065</v>
      </c>
      <c r="F1811" s="5">
        <v>10230.799999999999</v>
      </c>
      <c r="G1811" s="3">
        <f>SUMIF(Customer_Payments!B:B,C1811,Customer_Payments!E:E)</f>
        <v>10230.799999999999</v>
      </c>
      <c r="H1811" s="3">
        <f t="shared" si="84"/>
        <v>0</v>
      </c>
      <c r="I1811" s="29">
        <f t="shared" si="85"/>
        <v>26</v>
      </c>
      <c r="J1811" s="31" t="str">
        <f t="shared" si="86"/>
        <v>1-30</v>
      </c>
      <c r="K1811"/>
    </row>
    <row r="1812" spans="1:11" x14ac:dyDescent="0.3">
      <c r="A1812" s="20" t="s">
        <v>113</v>
      </c>
      <c r="B1812" t="str">
        <f>VLOOKUP(A1812,Customers!A:B,2,FALSE)</f>
        <v>RetailSpherePro</v>
      </c>
      <c r="C1812" s="24" t="s">
        <v>2179</v>
      </c>
      <c r="D1812" s="10">
        <v>46098</v>
      </c>
      <c r="E1812" s="10">
        <v>46128</v>
      </c>
      <c r="F1812" s="4">
        <v>2819.11</v>
      </c>
      <c r="G1812" s="3">
        <f>SUMIF(Customer_Payments!B:B,C1812,Customer_Payments!E:E)</f>
        <v>2819.11</v>
      </c>
      <c r="H1812" s="3">
        <f t="shared" si="84"/>
        <v>0</v>
      </c>
      <c r="I1812" s="29">
        <f t="shared" si="85"/>
        <v>-37</v>
      </c>
      <c r="J1812" s="31" t="str">
        <f t="shared" si="86"/>
        <v>Current</v>
      </c>
      <c r="K1812"/>
    </row>
    <row r="1813" spans="1:11" x14ac:dyDescent="0.3">
      <c r="A1813" s="21" t="s">
        <v>68</v>
      </c>
      <c r="B1813" t="str">
        <f>VLOOKUP(A1813,Customers!A:B,2,FALSE)</f>
        <v>RetailVision</v>
      </c>
      <c r="C1813" s="25" t="s">
        <v>2180</v>
      </c>
      <c r="D1813" s="11">
        <v>46089</v>
      </c>
      <c r="E1813" s="11">
        <v>46119</v>
      </c>
      <c r="F1813" s="5">
        <v>2429.67</v>
      </c>
      <c r="G1813" s="3">
        <f>SUMIF(Customer_Payments!B:B,C1813,Customer_Payments!E:E)</f>
        <v>2429.67</v>
      </c>
      <c r="H1813" s="3">
        <f t="shared" si="84"/>
        <v>0</v>
      </c>
      <c r="I1813" s="29">
        <f t="shared" si="85"/>
        <v>-28</v>
      </c>
      <c r="J1813" s="31" t="str">
        <f t="shared" si="86"/>
        <v>Current</v>
      </c>
      <c r="K1813"/>
    </row>
    <row r="1814" spans="1:11" x14ac:dyDescent="0.3">
      <c r="A1814" s="20" t="s">
        <v>26</v>
      </c>
      <c r="B1814" t="str">
        <f>VLOOKUP(A1814,Customers!A:B,2,FALSE)</f>
        <v>NovaRetail</v>
      </c>
      <c r="C1814" s="24" t="s">
        <v>2181</v>
      </c>
      <c r="D1814" s="10">
        <v>46024</v>
      </c>
      <c r="E1814" s="10">
        <v>46054</v>
      </c>
      <c r="F1814" s="4">
        <v>2282.2199999999998</v>
      </c>
      <c r="G1814" s="3">
        <f>SUMIF(Customer_Payments!B:B,C1814,Customer_Payments!E:E)</f>
        <v>2282.2199999999998</v>
      </c>
      <c r="H1814" s="3">
        <f t="shared" si="84"/>
        <v>0</v>
      </c>
      <c r="I1814" s="29">
        <f t="shared" si="85"/>
        <v>37</v>
      </c>
      <c r="J1814" s="31" t="str">
        <f t="shared" si="86"/>
        <v>31-60</v>
      </c>
      <c r="K1814"/>
    </row>
    <row r="1815" spans="1:11" x14ac:dyDescent="0.3">
      <c r="A1815" s="21" t="s">
        <v>117</v>
      </c>
      <c r="B1815" t="str">
        <f>VLOOKUP(A1815,Customers!A:B,2,FALSE)</f>
        <v>RetailSparkPro</v>
      </c>
      <c r="C1815" s="25" t="s">
        <v>2182</v>
      </c>
      <c r="D1815" s="11">
        <v>46028</v>
      </c>
      <c r="E1815" s="11">
        <v>46058</v>
      </c>
      <c r="F1815" s="5">
        <v>1808.09</v>
      </c>
      <c r="G1815" s="3">
        <f>SUMIF(Customer_Payments!B:B,C1815,Customer_Payments!E:E)</f>
        <v>0</v>
      </c>
      <c r="H1815" s="3">
        <f t="shared" si="84"/>
        <v>1808.09</v>
      </c>
      <c r="I1815" s="29">
        <f t="shared" si="85"/>
        <v>33</v>
      </c>
      <c r="J1815" s="31" t="str">
        <f t="shared" si="86"/>
        <v>31-60</v>
      </c>
      <c r="K1815"/>
    </row>
    <row r="1816" spans="1:11" x14ac:dyDescent="0.3">
      <c r="A1816" s="20" t="s">
        <v>32</v>
      </c>
      <c r="B1816" t="str">
        <f>VLOOKUP(A1816,Customers!A:B,2,FALSE)</f>
        <v>RetailVista</v>
      </c>
      <c r="C1816" s="24" t="s">
        <v>2183</v>
      </c>
      <c r="D1816" s="10">
        <v>46000</v>
      </c>
      <c r="E1816" s="10">
        <v>46030</v>
      </c>
      <c r="F1816" s="4">
        <v>2994.26</v>
      </c>
      <c r="G1816" s="3">
        <f>SUMIF(Customer_Payments!B:B,C1816,Customer_Payments!E:E)</f>
        <v>0</v>
      </c>
      <c r="H1816" s="3">
        <f t="shared" si="84"/>
        <v>2994.26</v>
      </c>
      <c r="I1816" s="29">
        <f t="shared" si="85"/>
        <v>61</v>
      </c>
      <c r="J1816" s="31" t="str">
        <f t="shared" si="86"/>
        <v>61-90</v>
      </c>
      <c r="K1816"/>
    </row>
    <row r="1817" spans="1:11" x14ac:dyDescent="0.3">
      <c r="A1817" s="21" t="s">
        <v>71</v>
      </c>
      <c r="B1817" t="str">
        <f>VLOOKUP(A1817,Customers!A:B,2,FALSE)</f>
        <v>RetailPulse</v>
      </c>
      <c r="C1817" s="25" t="s">
        <v>2184</v>
      </c>
      <c r="D1817" s="11">
        <v>46001</v>
      </c>
      <c r="E1817" s="11">
        <v>46031</v>
      </c>
      <c r="F1817" s="5">
        <v>12991.01</v>
      </c>
      <c r="G1817" s="3">
        <f>SUMIF(Customer_Payments!B:B,C1817,Customer_Payments!E:E)</f>
        <v>12991.01</v>
      </c>
      <c r="H1817" s="3">
        <f t="shared" si="84"/>
        <v>0</v>
      </c>
      <c r="I1817" s="29">
        <f t="shared" si="85"/>
        <v>60</v>
      </c>
      <c r="J1817" s="31" t="str">
        <f t="shared" si="86"/>
        <v>31-60</v>
      </c>
      <c r="K1817"/>
    </row>
    <row r="1818" spans="1:11" x14ac:dyDescent="0.3">
      <c r="A1818" s="20" t="s">
        <v>26</v>
      </c>
      <c r="B1818" t="str">
        <f>VLOOKUP(A1818,Customers!A:B,2,FALSE)</f>
        <v>NovaRetail</v>
      </c>
      <c r="C1818" s="24" t="s">
        <v>2185</v>
      </c>
      <c r="D1818" s="10">
        <v>45993</v>
      </c>
      <c r="E1818" s="10">
        <v>46023</v>
      </c>
      <c r="F1818" s="4">
        <v>3053.66</v>
      </c>
      <c r="G1818" s="3">
        <f>SUMIF(Customer_Payments!B:B,C1818,Customer_Payments!E:E)</f>
        <v>3053.66</v>
      </c>
      <c r="H1818" s="3">
        <f t="shared" si="84"/>
        <v>0</v>
      </c>
      <c r="I1818" s="29">
        <f t="shared" si="85"/>
        <v>68</v>
      </c>
      <c r="J1818" s="31" t="str">
        <f t="shared" si="86"/>
        <v>61-90</v>
      </c>
      <c r="K1818"/>
    </row>
    <row r="1819" spans="1:11" x14ac:dyDescent="0.3">
      <c r="A1819" s="21" t="s">
        <v>31</v>
      </c>
      <c r="B1819" t="str">
        <f>VLOOKUP(A1819,Customers!A:B,2,FALSE)</f>
        <v>SparkRetail</v>
      </c>
      <c r="C1819" s="25" t="s">
        <v>2186</v>
      </c>
      <c r="D1819" s="11">
        <v>46069</v>
      </c>
      <c r="E1819" s="11">
        <v>46099</v>
      </c>
      <c r="F1819" s="5">
        <v>4240.92</v>
      </c>
      <c r="G1819" s="3">
        <f>SUMIF(Customer_Payments!B:B,C1819,Customer_Payments!E:E)</f>
        <v>4240.92</v>
      </c>
      <c r="H1819" s="3">
        <f t="shared" si="84"/>
        <v>0</v>
      </c>
      <c r="I1819" s="29">
        <f t="shared" si="85"/>
        <v>-8</v>
      </c>
      <c r="J1819" s="31" t="str">
        <f t="shared" si="86"/>
        <v>Current</v>
      </c>
      <c r="K1819"/>
    </row>
    <row r="1820" spans="1:11" x14ac:dyDescent="0.3">
      <c r="A1820" s="20" t="s">
        <v>13</v>
      </c>
      <c r="B1820" t="str">
        <f>VLOOKUP(A1820,Customers!A:B,2,FALSE)</f>
        <v>EduNova</v>
      </c>
      <c r="C1820" s="24" t="s">
        <v>2187</v>
      </c>
      <c r="D1820" s="10">
        <v>46034</v>
      </c>
      <c r="E1820" s="10">
        <v>46064</v>
      </c>
      <c r="F1820" s="4">
        <v>4852.6099999999997</v>
      </c>
      <c r="G1820" s="3">
        <f>SUMIF(Customer_Payments!B:B,C1820,Customer_Payments!E:E)</f>
        <v>4852.6099999999997</v>
      </c>
      <c r="H1820" s="3">
        <f t="shared" si="84"/>
        <v>0</v>
      </c>
      <c r="I1820" s="29">
        <f t="shared" si="85"/>
        <v>27</v>
      </c>
      <c r="J1820" s="31" t="str">
        <f t="shared" si="86"/>
        <v>1-30</v>
      </c>
      <c r="K1820"/>
    </row>
    <row r="1821" spans="1:11" x14ac:dyDescent="0.3">
      <c r="A1821" s="21" t="s">
        <v>36</v>
      </c>
      <c r="B1821" t="str">
        <f>VLOOKUP(A1821,Customers!A:B,2,FALSE)</f>
        <v>RapidMarket</v>
      </c>
      <c r="C1821" s="25" t="s">
        <v>2188</v>
      </c>
      <c r="D1821" s="11">
        <v>46011</v>
      </c>
      <c r="E1821" s="11">
        <v>46041</v>
      </c>
      <c r="F1821" s="5">
        <v>11555.03</v>
      </c>
      <c r="G1821" s="3">
        <f>SUMIF(Customer_Payments!B:B,C1821,Customer_Payments!E:E)</f>
        <v>11555.03</v>
      </c>
      <c r="H1821" s="3">
        <f t="shared" si="84"/>
        <v>0</v>
      </c>
      <c r="I1821" s="29">
        <f t="shared" si="85"/>
        <v>50</v>
      </c>
      <c r="J1821" s="31" t="str">
        <f t="shared" si="86"/>
        <v>31-60</v>
      </c>
      <c r="K1821"/>
    </row>
    <row r="1822" spans="1:11" x14ac:dyDescent="0.3">
      <c r="A1822" s="20" t="s">
        <v>89</v>
      </c>
      <c r="B1822" t="str">
        <f>VLOOKUP(A1822,Customers!A:B,2,FALSE)</f>
        <v>RetailAxisX</v>
      </c>
      <c r="C1822" s="24" t="s">
        <v>2189</v>
      </c>
      <c r="D1822" s="10">
        <v>46041</v>
      </c>
      <c r="E1822" s="10">
        <v>46071</v>
      </c>
      <c r="F1822" s="4">
        <v>4672.3599999999997</v>
      </c>
      <c r="G1822" s="3">
        <f>SUMIF(Customer_Payments!B:B,C1822,Customer_Payments!E:E)</f>
        <v>4672.3599999999997</v>
      </c>
      <c r="H1822" s="3">
        <f t="shared" si="84"/>
        <v>0</v>
      </c>
      <c r="I1822" s="29">
        <f t="shared" si="85"/>
        <v>20</v>
      </c>
      <c r="J1822" s="31" t="str">
        <f t="shared" si="86"/>
        <v>1-30</v>
      </c>
      <c r="K1822"/>
    </row>
    <row r="1823" spans="1:11" x14ac:dyDescent="0.3">
      <c r="A1823" s="21" t="s">
        <v>51</v>
      </c>
      <c r="B1823" t="str">
        <f>VLOOKUP(A1823,Customers!A:B,2,FALSE)</f>
        <v>CartMasters</v>
      </c>
      <c r="C1823" s="25" t="s">
        <v>2190</v>
      </c>
      <c r="D1823" s="11">
        <v>46047</v>
      </c>
      <c r="E1823" s="11">
        <v>46077</v>
      </c>
      <c r="F1823" s="5">
        <v>2765.15</v>
      </c>
      <c r="G1823" s="3">
        <f>SUMIF(Customer_Payments!B:B,C1823,Customer_Payments!E:E)</f>
        <v>2765.15</v>
      </c>
      <c r="H1823" s="3">
        <f t="shared" si="84"/>
        <v>0</v>
      </c>
      <c r="I1823" s="29">
        <f t="shared" si="85"/>
        <v>14</v>
      </c>
      <c r="J1823" s="31" t="str">
        <f t="shared" si="86"/>
        <v>1-30</v>
      </c>
      <c r="K1823"/>
    </row>
    <row r="1824" spans="1:11" x14ac:dyDescent="0.3">
      <c r="A1824" s="20" t="s">
        <v>7</v>
      </c>
      <c r="B1824" t="str">
        <f>VLOOKUP(A1824,Customers!A:B,2,FALSE)</f>
        <v>BrightCart</v>
      </c>
      <c r="C1824" s="24" t="s">
        <v>2191</v>
      </c>
      <c r="D1824" s="10">
        <v>46001</v>
      </c>
      <c r="E1824" s="10">
        <v>46031</v>
      </c>
      <c r="F1824" s="4">
        <v>1741.01</v>
      </c>
      <c r="G1824" s="3">
        <f>SUMIF(Customer_Payments!B:B,C1824,Customer_Payments!E:E)</f>
        <v>1741.01</v>
      </c>
      <c r="H1824" s="3">
        <f t="shared" si="84"/>
        <v>0</v>
      </c>
      <c r="I1824" s="29">
        <f t="shared" si="85"/>
        <v>60</v>
      </c>
      <c r="J1824" s="31" t="str">
        <f t="shared" si="86"/>
        <v>31-60</v>
      </c>
      <c r="K1824"/>
    </row>
    <row r="1825" spans="1:11" x14ac:dyDescent="0.3">
      <c r="A1825" s="21" t="s">
        <v>42</v>
      </c>
      <c r="B1825" t="str">
        <f>VLOOKUP(A1825,Customers!A:B,2,FALSE)</f>
        <v>RetailWorks</v>
      </c>
      <c r="C1825" s="25" t="s">
        <v>2192</v>
      </c>
      <c r="D1825" s="11">
        <v>46031</v>
      </c>
      <c r="E1825" s="11">
        <v>46061</v>
      </c>
      <c r="F1825" s="5">
        <v>3192.52</v>
      </c>
      <c r="G1825" s="3">
        <f>SUMIF(Customer_Payments!B:B,C1825,Customer_Payments!E:E)</f>
        <v>3192.52</v>
      </c>
      <c r="H1825" s="3">
        <f t="shared" si="84"/>
        <v>0</v>
      </c>
      <c r="I1825" s="29">
        <f t="shared" si="85"/>
        <v>30</v>
      </c>
      <c r="J1825" s="31" t="str">
        <f t="shared" si="86"/>
        <v>1-30</v>
      </c>
      <c r="K1825"/>
    </row>
    <row r="1826" spans="1:11" x14ac:dyDescent="0.3">
      <c r="A1826" s="20" t="s">
        <v>53</v>
      </c>
      <c r="B1826" t="str">
        <f>VLOOKUP(A1826,Customers!A:B,2,FALSE)</f>
        <v>PrimeCart</v>
      </c>
      <c r="C1826" s="24" t="s">
        <v>2193</v>
      </c>
      <c r="D1826" s="10">
        <v>46067</v>
      </c>
      <c r="E1826" s="10">
        <v>46097</v>
      </c>
      <c r="F1826" s="4">
        <v>2941.07</v>
      </c>
      <c r="G1826" s="3">
        <f>SUMIF(Customer_Payments!B:B,C1826,Customer_Payments!E:E)</f>
        <v>0</v>
      </c>
      <c r="H1826" s="3">
        <f t="shared" si="84"/>
        <v>2941.07</v>
      </c>
      <c r="I1826" s="29">
        <f t="shared" si="85"/>
        <v>-6</v>
      </c>
      <c r="J1826" s="31" t="str">
        <f t="shared" si="86"/>
        <v>Current</v>
      </c>
      <c r="K1826"/>
    </row>
    <row r="1827" spans="1:11" x14ac:dyDescent="0.3">
      <c r="A1827" s="21" t="s">
        <v>77</v>
      </c>
      <c r="B1827" t="str">
        <f>VLOOKUP(A1827,Customers!A:B,2,FALSE)</f>
        <v>RetailBridge</v>
      </c>
      <c r="C1827" s="25" t="s">
        <v>2194</v>
      </c>
      <c r="D1827" s="11">
        <v>45967</v>
      </c>
      <c r="E1827" s="11">
        <v>45997</v>
      </c>
      <c r="F1827" s="5">
        <v>2304.36</v>
      </c>
      <c r="G1827" s="3">
        <f>SUMIF(Customer_Payments!B:B,C1827,Customer_Payments!E:E)</f>
        <v>2304.36</v>
      </c>
      <c r="H1827" s="3">
        <f t="shared" si="84"/>
        <v>0</v>
      </c>
      <c r="I1827" s="29">
        <f t="shared" si="85"/>
        <v>94</v>
      </c>
      <c r="J1827" s="31" t="str">
        <f t="shared" si="86"/>
        <v>90+</v>
      </c>
      <c r="K1827"/>
    </row>
    <row r="1828" spans="1:11" x14ac:dyDescent="0.3">
      <c r="A1828" s="20" t="s">
        <v>82</v>
      </c>
      <c r="B1828" t="str">
        <f>VLOOKUP(A1828,Customers!A:B,2,FALSE)</f>
        <v>RetailNovaX</v>
      </c>
      <c r="C1828" s="24" t="s">
        <v>2195</v>
      </c>
      <c r="D1828" s="10">
        <v>45981</v>
      </c>
      <c r="E1828" s="10">
        <v>46011</v>
      </c>
      <c r="F1828" s="4">
        <v>4662.42</v>
      </c>
      <c r="G1828" s="3">
        <f>SUMIF(Customer_Payments!B:B,C1828,Customer_Payments!E:E)</f>
        <v>4662.42</v>
      </c>
      <c r="H1828" s="3">
        <f t="shared" si="84"/>
        <v>0</v>
      </c>
      <c r="I1828" s="29">
        <f t="shared" si="85"/>
        <v>80</v>
      </c>
      <c r="J1828" s="31" t="str">
        <f t="shared" si="86"/>
        <v>61-90</v>
      </c>
      <c r="K1828"/>
    </row>
    <row r="1829" spans="1:11" x14ac:dyDescent="0.3">
      <c r="A1829" s="21" t="s">
        <v>81</v>
      </c>
      <c r="B1829" t="str">
        <f>VLOOKUP(A1829,Customers!A:B,2,FALSE)</f>
        <v>RetailFlowX</v>
      </c>
      <c r="C1829" s="25" t="s">
        <v>2196</v>
      </c>
      <c r="D1829" s="11">
        <v>46051</v>
      </c>
      <c r="E1829" s="11">
        <v>46081</v>
      </c>
      <c r="F1829" s="5">
        <v>3646.6</v>
      </c>
      <c r="G1829" s="3">
        <f>SUMIF(Customer_Payments!B:B,C1829,Customer_Payments!E:E)</f>
        <v>3646.6</v>
      </c>
      <c r="H1829" s="3">
        <f t="shared" si="84"/>
        <v>0</v>
      </c>
      <c r="I1829" s="29">
        <f t="shared" si="85"/>
        <v>10</v>
      </c>
      <c r="J1829" s="31" t="str">
        <f t="shared" si="86"/>
        <v>1-30</v>
      </c>
      <c r="K1829"/>
    </row>
    <row r="1830" spans="1:11" x14ac:dyDescent="0.3">
      <c r="A1830" s="20" t="s">
        <v>84</v>
      </c>
      <c r="B1830" t="str">
        <f>VLOOKUP(A1830,Customers!A:B,2,FALSE)</f>
        <v>RetailVisionX</v>
      </c>
      <c r="C1830" s="24" t="s">
        <v>2197</v>
      </c>
      <c r="D1830" s="10">
        <v>46014</v>
      </c>
      <c r="E1830" s="10">
        <v>46044</v>
      </c>
      <c r="F1830" s="4">
        <v>10018.709999999999</v>
      </c>
      <c r="G1830" s="3">
        <f>SUMIF(Customer_Payments!B:B,C1830,Customer_Payments!E:E)</f>
        <v>10018.709999999999</v>
      </c>
      <c r="H1830" s="3">
        <f t="shared" si="84"/>
        <v>0</v>
      </c>
      <c r="I1830" s="29">
        <f t="shared" si="85"/>
        <v>47</v>
      </c>
      <c r="J1830" s="31" t="str">
        <f t="shared" si="86"/>
        <v>31-60</v>
      </c>
      <c r="K1830"/>
    </row>
    <row r="1831" spans="1:11" x14ac:dyDescent="0.3">
      <c r="A1831" s="21" t="s">
        <v>31</v>
      </c>
      <c r="B1831" t="str">
        <f>VLOOKUP(A1831,Customers!A:B,2,FALSE)</f>
        <v>SparkRetail</v>
      </c>
      <c r="C1831" s="25" t="s">
        <v>2198</v>
      </c>
      <c r="D1831" s="11">
        <v>46076</v>
      </c>
      <c r="E1831" s="11">
        <v>46106</v>
      </c>
      <c r="F1831" s="5">
        <v>2449.25</v>
      </c>
      <c r="G1831" s="3">
        <f>SUMIF(Customer_Payments!B:B,C1831,Customer_Payments!E:E)</f>
        <v>0</v>
      </c>
      <c r="H1831" s="3">
        <f t="shared" si="84"/>
        <v>2449.25</v>
      </c>
      <c r="I1831" s="29">
        <f t="shared" si="85"/>
        <v>-15</v>
      </c>
      <c r="J1831" s="31" t="str">
        <f t="shared" si="86"/>
        <v>Current</v>
      </c>
      <c r="K1831"/>
    </row>
    <row r="1832" spans="1:11" x14ac:dyDescent="0.3">
      <c r="A1832" s="20" t="s">
        <v>86</v>
      </c>
      <c r="B1832" t="str">
        <f>VLOOKUP(A1832,Customers!A:B,2,FALSE)</f>
        <v>RetailNextX</v>
      </c>
      <c r="C1832" s="24" t="s">
        <v>2199</v>
      </c>
      <c r="D1832" s="10">
        <v>45966</v>
      </c>
      <c r="E1832" s="10">
        <v>45996</v>
      </c>
      <c r="F1832" s="4">
        <v>1760.95</v>
      </c>
      <c r="G1832" s="3">
        <f>SUMIF(Customer_Payments!B:B,C1832,Customer_Payments!E:E)</f>
        <v>0</v>
      </c>
      <c r="H1832" s="3">
        <f t="shared" si="84"/>
        <v>1760.95</v>
      </c>
      <c r="I1832" s="29">
        <f t="shared" si="85"/>
        <v>95</v>
      </c>
      <c r="J1832" s="31" t="str">
        <f t="shared" si="86"/>
        <v>90+</v>
      </c>
      <c r="K1832"/>
    </row>
    <row r="1833" spans="1:11" x14ac:dyDescent="0.3">
      <c r="A1833" s="21" t="s">
        <v>26</v>
      </c>
      <c r="B1833" t="str">
        <f>VLOOKUP(A1833,Customers!A:B,2,FALSE)</f>
        <v>NovaRetail</v>
      </c>
      <c r="C1833" s="25" t="s">
        <v>2200</v>
      </c>
      <c r="D1833" s="11">
        <v>45992</v>
      </c>
      <c r="E1833" s="11">
        <v>46022</v>
      </c>
      <c r="F1833" s="5">
        <v>2301.48</v>
      </c>
      <c r="G1833" s="3">
        <f>SUMIF(Customer_Payments!B:B,C1833,Customer_Payments!E:E)</f>
        <v>2301.48</v>
      </c>
      <c r="H1833" s="3">
        <f t="shared" si="84"/>
        <v>0</v>
      </c>
      <c r="I1833" s="29">
        <f t="shared" si="85"/>
        <v>69</v>
      </c>
      <c r="J1833" s="31" t="str">
        <f t="shared" si="86"/>
        <v>61-90</v>
      </c>
      <c r="K1833"/>
    </row>
    <row r="1834" spans="1:11" x14ac:dyDescent="0.3">
      <c r="A1834" s="20" t="s">
        <v>121</v>
      </c>
      <c r="B1834" t="str">
        <f>VLOOKUP(A1834,Customers!A:B,2,FALSE)</f>
        <v>RetailVisionGlobal</v>
      </c>
      <c r="C1834" s="24" t="s">
        <v>2201</v>
      </c>
      <c r="D1834" s="10">
        <v>46072</v>
      </c>
      <c r="E1834" s="10">
        <v>46102</v>
      </c>
      <c r="F1834" s="4">
        <v>2553.4</v>
      </c>
      <c r="G1834" s="3">
        <f>SUMIF(Customer_Payments!B:B,C1834,Customer_Payments!E:E)</f>
        <v>2553.3999999999996</v>
      </c>
      <c r="H1834" s="3">
        <f t="shared" si="84"/>
        <v>4.5474735088646412E-13</v>
      </c>
      <c r="I1834" s="29">
        <f t="shared" si="85"/>
        <v>-11</v>
      </c>
      <c r="J1834" s="31" t="str">
        <f t="shared" si="86"/>
        <v>Current</v>
      </c>
      <c r="K1834"/>
    </row>
    <row r="1835" spans="1:11" x14ac:dyDescent="0.3">
      <c r="A1835" s="21" t="s">
        <v>22</v>
      </c>
      <c r="B1835" t="str">
        <f>VLOOKUP(A1835,Customers!A:B,2,FALSE)</f>
        <v>QuantumRetail</v>
      </c>
      <c r="C1835" s="25" t="s">
        <v>2202</v>
      </c>
      <c r="D1835" s="11">
        <v>45989</v>
      </c>
      <c r="E1835" s="11">
        <v>46019</v>
      </c>
      <c r="F1835" s="5">
        <v>4165.18</v>
      </c>
      <c r="G1835" s="3">
        <f>SUMIF(Customer_Payments!B:B,C1835,Customer_Payments!E:E)</f>
        <v>4165.18</v>
      </c>
      <c r="H1835" s="3">
        <f t="shared" si="84"/>
        <v>0</v>
      </c>
      <c r="I1835" s="29">
        <f t="shared" si="85"/>
        <v>72</v>
      </c>
      <c r="J1835" s="31" t="str">
        <f t="shared" si="86"/>
        <v>61-90</v>
      </c>
      <c r="K1835"/>
    </row>
    <row r="1836" spans="1:11" x14ac:dyDescent="0.3">
      <c r="A1836" s="20" t="s">
        <v>71</v>
      </c>
      <c r="B1836" t="str">
        <f>VLOOKUP(A1836,Customers!A:B,2,FALSE)</f>
        <v>RetailPulse</v>
      </c>
      <c r="C1836" s="24" t="s">
        <v>2203</v>
      </c>
      <c r="D1836" s="10">
        <v>45978</v>
      </c>
      <c r="E1836" s="10">
        <v>46008</v>
      </c>
      <c r="F1836" s="4">
        <v>9925</v>
      </c>
      <c r="G1836" s="3">
        <f>SUMIF(Customer_Payments!B:B,C1836,Customer_Payments!E:E)</f>
        <v>0</v>
      </c>
      <c r="H1836" s="3">
        <f t="shared" si="84"/>
        <v>9925</v>
      </c>
      <c r="I1836" s="29">
        <f t="shared" si="85"/>
        <v>83</v>
      </c>
      <c r="J1836" s="31" t="str">
        <f t="shared" si="86"/>
        <v>61-90</v>
      </c>
      <c r="K1836"/>
    </row>
    <row r="1837" spans="1:11" x14ac:dyDescent="0.3">
      <c r="A1837" s="21" t="s">
        <v>44</v>
      </c>
      <c r="B1837" t="str">
        <f>VLOOKUP(A1837,Customers!A:B,2,FALSE)</f>
        <v>BrightMarket</v>
      </c>
      <c r="C1837" s="25" t="s">
        <v>2204</v>
      </c>
      <c r="D1837" s="11">
        <v>46081</v>
      </c>
      <c r="E1837" s="11">
        <v>46111</v>
      </c>
      <c r="F1837" s="5">
        <v>2600.3200000000002</v>
      </c>
      <c r="G1837" s="3">
        <f>SUMIF(Customer_Payments!B:B,C1837,Customer_Payments!E:E)</f>
        <v>0</v>
      </c>
      <c r="H1837" s="3">
        <f t="shared" si="84"/>
        <v>2600.3200000000002</v>
      </c>
      <c r="I1837" s="29">
        <f t="shared" si="85"/>
        <v>-20</v>
      </c>
      <c r="J1837" s="31" t="str">
        <f t="shared" si="86"/>
        <v>Current</v>
      </c>
      <c r="K1837"/>
    </row>
    <row r="1838" spans="1:11" x14ac:dyDescent="0.3">
      <c r="A1838" s="20" t="s">
        <v>111</v>
      </c>
      <c r="B1838" t="str">
        <f>VLOOKUP(A1838,Customers!A:B,2,FALSE)</f>
        <v>RetailPulsePro</v>
      </c>
      <c r="C1838" s="24" t="s">
        <v>2205</v>
      </c>
      <c r="D1838" s="10">
        <v>46029</v>
      </c>
      <c r="E1838" s="10">
        <v>46059</v>
      </c>
      <c r="F1838" s="4">
        <v>3546.96</v>
      </c>
      <c r="G1838" s="3">
        <f>SUMIF(Customer_Payments!B:B,C1838,Customer_Payments!E:E)</f>
        <v>3546.96</v>
      </c>
      <c r="H1838" s="3">
        <f t="shared" si="84"/>
        <v>0</v>
      </c>
      <c r="I1838" s="29">
        <f t="shared" si="85"/>
        <v>32</v>
      </c>
      <c r="J1838" s="31" t="str">
        <f t="shared" si="86"/>
        <v>31-60</v>
      </c>
      <c r="K1838"/>
    </row>
    <row r="1839" spans="1:11" x14ac:dyDescent="0.3">
      <c r="A1839" s="21" t="s">
        <v>28</v>
      </c>
      <c r="B1839" t="str">
        <f>VLOOKUP(A1839,Customers!A:B,2,FALSE)</f>
        <v>FutureCart</v>
      </c>
      <c r="C1839" s="25" t="s">
        <v>2206</v>
      </c>
      <c r="D1839" s="11">
        <v>46097</v>
      </c>
      <c r="E1839" s="11">
        <v>46127</v>
      </c>
      <c r="F1839" s="5">
        <v>11976.12</v>
      </c>
      <c r="G1839" s="3">
        <f>SUMIF(Customer_Payments!B:B,C1839,Customer_Payments!E:E)</f>
        <v>0</v>
      </c>
      <c r="H1839" s="3">
        <f t="shared" si="84"/>
        <v>11976.12</v>
      </c>
      <c r="I1839" s="29">
        <f t="shared" si="85"/>
        <v>-36</v>
      </c>
      <c r="J1839" s="31" t="str">
        <f t="shared" si="86"/>
        <v>Current</v>
      </c>
      <c r="K1839"/>
    </row>
    <row r="1840" spans="1:11" x14ac:dyDescent="0.3">
      <c r="A1840" s="20" t="s">
        <v>58</v>
      </c>
      <c r="B1840" t="str">
        <f>VLOOKUP(A1840,Customers!A:B,2,FALSE)</f>
        <v>RetailAxis</v>
      </c>
      <c r="C1840" s="24" t="s">
        <v>2207</v>
      </c>
      <c r="D1840" s="10">
        <v>46050</v>
      </c>
      <c r="E1840" s="10">
        <v>46080</v>
      </c>
      <c r="F1840" s="4">
        <v>13203.49</v>
      </c>
      <c r="G1840" s="3">
        <f>SUMIF(Customer_Payments!B:B,C1840,Customer_Payments!E:E)</f>
        <v>0</v>
      </c>
      <c r="H1840" s="3">
        <f t="shared" si="84"/>
        <v>13203.49</v>
      </c>
      <c r="I1840" s="29">
        <f t="shared" si="85"/>
        <v>11</v>
      </c>
      <c r="J1840" s="31" t="str">
        <f t="shared" si="86"/>
        <v>1-30</v>
      </c>
      <c r="K1840"/>
    </row>
    <row r="1841" spans="1:11" x14ac:dyDescent="0.3">
      <c r="A1841" s="21" t="s">
        <v>34</v>
      </c>
      <c r="B1841" t="str">
        <f>VLOOKUP(A1841,Customers!A:B,2,FALSE)</f>
        <v>OptiCommerce</v>
      </c>
      <c r="C1841" s="25" t="s">
        <v>2208</v>
      </c>
      <c r="D1841" s="11">
        <v>45992</v>
      </c>
      <c r="E1841" s="11">
        <v>46022</v>
      </c>
      <c r="F1841" s="5">
        <v>3180.09</v>
      </c>
      <c r="G1841" s="3">
        <f>SUMIF(Customer_Payments!B:B,C1841,Customer_Payments!E:E)</f>
        <v>3180.09</v>
      </c>
      <c r="H1841" s="3">
        <f t="shared" si="84"/>
        <v>0</v>
      </c>
      <c r="I1841" s="29">
        <f t="shared" si="85"/>
        <v>69</v>
      </c>
      <c r="J1841" s="31" t="str">
        <f t="shared" si="86"/>
        <v>61-90</v>
      </c>
      <c r="K1841"/>
    </row>
    <row r="1842" spans="1:11" x14ac:dyDescent="0.3">
      <c r="A1842" s="20" t="s">
        <v>97</v>
      </c>
      <c r="B1842" t="str">
        <f>VLOOKUP(A1842,Customers!A:B,2,FALSE)</f>
        <v>RetailSparkX</v>
      </c>
      <c r="C1842" s="24" t="s">
        <v>2209</v>
      </c>
      <c r="D1842" s="10">
        <v>46014</v>
      </c>
      <c r="E1842" s="10">
        <v>46044</v>
      </c>
      <c r="F1842" s="4">
        <v>3775.41</v>
      </c>
      <c r="G1842" s="3">
        <f>SUMIF(Customer_Payments!B:B,C1842,Customer_Payments!E:E)</f>
        <v>3775.41</v>
      </c>
      <c r="H1842" s="3">
        <f t="shared" si="84"/>
        <v>0</v>
      </c>
      <c r="I1842" s="29">
        <f t="shared" si="85"/>
        <v>47</v>
      </c>
      <c r="J1842" s="31" t="str">
        <f t="shared" si="86"/>
        <v>31-60</v>
      </c>
      <c r="K1842"/>
    </row>
    <row r="1843" spans="1:11" x14ac:dyDescent="0.3">
      <c r="A1843" s="21" t="s">
        <v>41</v>
      </c>
      <c r="B1843" t="str">
        <f>VLOOKUP(A1843,Customers!A:B,2,FALSE)</f>
        <v>DynamicRetail</v>
      </c>
      <c r="C1843" s="25" t="s">
        <v>2210</v>
      </c>
      <c r="D1843" s="11">
        <v>46001</v>
      </c>
      <c r="E1843" s="11">
        <v>46031</v>
      </c>
      <c r="F1843" s="5">
        <v>1818.05</v>
      </c>
      <c r="G1843" s="3">
        <f>SUMIF(Customer_Payments!B:B,C1843,Customer_Payments!E:E)</f>
        <v>1818.05</v>
      </c>
      <c r="H1843" s="3">
        <f t="shared" si="84"/>
        <v>0</v>
      </c>
      <c r="I1843" s="29">
        <f t="shared" si="85"/>
        <v>60</v>
      </c>
      <c r="J1843" s="31" t="str">
        <f t="shared" si="86"/>
        <v>31-60</v>
      </c>
      <c r="K1843"/>
    </row>
    <row r="1844" spans="1:11" x14ac:dyDescent="0.3">
      <c r="A1844" s="20" t="s">
        <v>44</v>
      </c>
      <c r="B1844" t="str">
        <f>VLOOKUP(A1844,Customers!A:B,2,FALSE)</f>
        <v>BrightMarket</v>
      </c>
      <c r="C1844" s="24" t="s">
        <v>2211</v>
      </c>
      <c r="D1844" s="10">
        <v>46106</v>
      </c>
      <c r="E1844" s="10">
        <v>46136</v>
      </c>
      <c r="F1844" s="4">
        <v>2966.74</v>
      </c>
      <c r="G1844" s="3">
        <f>SUMIF(Customer_Payments!B:B,C1844,Customer_Payments!E:E)</f>
        <v>2966.74</v>
      </c>
      <c r="H1844" s="3">
        <f t="shared" si="84"/>
        <v>0</v>
      </c>
      <c r="I1844" s="29">
        <f t="shared" si="85"/>
        <v>-45</v>
      </c>
      <c r="J1844" s="31" t="str">
        <f t="shared" si="86"/>
        <v>Current</v>
      </c>
      <c r="K1844"/>
    </row>
    <row r="1845" spans="1:11" x14ac:dyDescent="0.3">
      <c r="A1845" s="21" t="s">
        <v>41</v>
      </c>
      <c r="B1845" t="str">
        <f>VLOOKUP(A1845,Customers!A:B,2,FALSE)</f>
        <v>DynamicRetail</v>
      </c>
      <c r="C1845" s="25" t="s">
        <v>2212</v>
      </c>
      <c r="D1845" s="11">
        <v>46071</v>
      </c>
      <c r="E1845" s="11">
        <v>46101</v>
      </c>
      <c r="F1845" s="5">
        <v>3167.54</v>
      </c>
      <c r="G1845" s="3">
        <f>SUMIF(Customer_Payments!B:B,C1845,Customer_Payments!E:E)</f>
        <v>0</v>
      </c>
      <c r="H1845" s="3">
        <f t="shared" si="84"/>
        <v>3167.54</v>
      </c>
      <c r="I1845" s="29">
        <f t="shared" si="85"/>
        <v>-10</v>
      </c>
      <c r="J1845" s="31" t="str">
        <f t="shared" si="86"/>
        <v>Current</v>
      </c>
      <c r="K1845"/>
    </row>
    <row r="1846" spans="1:11" x14ac:dyDescent="0.3">
      <c r="A1846" s="20" t="s">
        <v>7</v>
      </c>
      <c r="B1846" t="str">
        <f>VLOOKUP(A1846,Customers!A:B,2,FALSE)</f>
        <v>BrightCart</v>
      </c>
      <c r="C1846" s="24" t="s">
        <v>2213</v>
      </c>
      <c r="D1846" s="10">
        <v>46067</v>
      </c>
      <c r="E1846" s="10">
        <v>46097</v>
      </c>
      <c r="F1846" s="4">
        <v>3170.9</v>
      </c>
      <c r="G1846" s="3">
        <f>SUMIF(Customer_Payments!B:B,C1846,Customer_Payments!E:E)</f>
        <v>3170.9</v>
      </c>
      <c r="H1846" s="3">
        <f t="shared" si="84"/>
        <v>0</v>
      </c>
      <c r="I1846" s="29">
        <f t="shared" si="85"/>
        <v>-6</v>
      </c>
      <c r="J1846" s="31" t="str">
        <f t="shared" si="86"/>
        <v>Current</v>
      </c>
      <c r="K1846"/>
    </row>
    <row r="1847" spans="1:11" x14ac:dyDescent="0.3">
      <c r="A1847" s="21" t="s">
        <v>97</v>
      </c>
      <c r="B1847" t="str">
        <f>VLOOKUP(A1847,Customers!A:B,2,FALSE)</f>
        <v>RetailSparkX</v>
      </c>
      <c r="C1847" s="25" t="s">
        <v>2214</v>
      </c>
      <c r="D1847" s="11">
        <v>45988</v>
      </c>
      <c r="E1847" s="11">
        <v>46018</v>
      </c>
      <c r="F1847" s="5">
        <v>1690.17</v>
      </c>
      <c r="G1847" s="3">
        <f>SUMIF(Customer_Payments!B:B,C1847,Customer_Payments!E:E)</f>
        <v>1690.17</v>
      </c>
      <c r="H1847" s="3">
        <f t="shared" si="84"/>
        <v>0</v>
      </c>
      <c r="I1847" s="29">
        <f t="shared" si="85"/>
        <v>73</v>
      </c>
      <c r="J1847" s="31" t="str">
        <f t="shared" si="86"/>
        <v>61-90</v>
      </c>
      <c r="K1847"/>
    </row>
    <row r="1848" spans="1:11" x14ac:dyDescent="0.3">
      <c r="A1848" s="20" t="s">
        <v>44</v>
      </c>
      <c r="B1848" t="str">
        <f>VLOOKUP(A1848,Customers!A:B,2,FALSE)</f>
        <v>BrightMarket</v>
      </c>
      <c r="C1848" s="24" t="s">
        <v>2215</v>
      </c>
      <c r="D1848" s="10">
        <v>45974</v>
      </c>
      <c r="E1848" s="10">
        <v>46004</v>
      </c>
      <c r="F1848" s="4">
        <v>3169.65</v>
      </c>
      <c r="G1848" s="3">
        <f>SUMIF(Customer_Payments!B:B,C1848,Customer_Payments!E:E)</f>
        <v>0</v>
      </c>
      <c r="H1848" s="3">
        <f t="shared" si="84"/>
        <v>3169.65</v>
      </c>
      <c r="I1848" s="29">
        <f t="shared" si="85"/>
        <v>87</v>
      </c>
      <c r="J1848" s="31" t="str">
        <f t="shared" si="86"/>
        <v>61-90</v>
      </c>
      <c r="K1848"/>
    </row>
    <row r="1849" spans="1:11" x14ac:dyDescent="0.3">
      <c r="A1849" s="21" t="s">
        <v>35</v>
      </c>
      <c r="B1849" t="str">
        <f>VLOOKUP(A1849,Customers!A:B,2,FALSE)</f>
        <v>FusionRetail</v>
      </c>
      <c r="C1849" s="25" t="s">
        <v>2216</v>
      </c>
      <c r="D1849" s="11">
        <v>46095</v>
      </c>
      <c r="E1849" s="11">
        <v>46125</v>
      </c>
      <c r="F1849" s="5">
        <v>2985.26</v>
      </c>
      <c r="G1849" s="3">
        <f>SUMIF(Customer_Payments!B:B,C1849,Customer_Payments!E:E)</f>
        <v>0</v>
      </c>
      <c r="H1849" s="3">
        <f t="shared" si="84"/>
        <v>2985.26</v>
      </c>
      <c r="I1849" s="29">
        <f t="shared" si="85"/>
        <v>-34</v>
      </c>
      <c r="J1849" s="31" t="str">
        <f t="shared" si="86"/>
        <v>Current</v>
      </c>
      <c r="K1849"/>
    </row>
    <row r="1850" spans="1:11" x14ac:dyDescent="0.3">
      <c r="A1850" s="20" t="s">
        <v>75</v>
      </c>
      <c r="B1850" t="str">
        <f>VLOOKUP(A1850,Customers!A:B,2,FALSE)</f>
        <v>RetailMatrix</v>
      </c>
      <c r="C1850" s="24" t="s">
        <v>2217</v>
      </c>
      <c r="D1850" s="10">
        <v>46009</v>
      </c>
      <c r="E1850" s="10">
        <v>46039</v>
      </c>
      <c r="F1850" s="4">
        <v>2134.96</v>
      </c>
      <c r="G1850" s="3">
        <f>SUMIF(Customer_Payments!B:B,C1850,Customer_Payments!E:E)</f>
        <v>0</v>
      </c>
      <c r="H1850" s="3">
        <f t="shared" si="84"/>
        <v>2134.96</v>
      </c>
      <c r="I1850" s="29">
        <f t="shared" si="85"/>
        <v>52</v>
      </c>
      <c r="J1850" s="31" t="str">
        <f t="shared" si="86"/>
        <v>31-60</v>
      </c>
      <c r="K1850"/>
    </row>
    <row r="1851" spans="1:11" x14ac:dyDescent="0.3">
      <c r="A1851" s="21" t="s">
        <v>102</v>
      </c>
      <c r="B1851" t="str">
        <f>VLOOKUP(A1851,Customers!A:B,2,FALSE)</f>
        <v>RetailPrimePro</v>
      </c>
      <c r="C1851" s="25" t="s">
        <v>2218</v>
      </c>
      <c r="D1851" s="11">
        <v>46018</v>
      </c>
      <c r="E1851" s="11">
        <v>46048</v>
      </c>
      <c r="F1851" s="5">
        <v>2144.71</v>
      </c>
      <c r="G1851" s="3">
        <f>SUMIF(Customer_Payments!B:B,C1851,Customer_Payments!E:E)</f>
        <v>2144.71</v>
      </c>
      <c r="H1851" s="3">
        <f t="shared" si="84"/>
        <v>0</v>
      </c>
      <c r="I1851" s="29">
        <f t="shared" si="85"/>
        <v>43</v>
      </c>
      <c r="J1851" s="31" t="str">
        <f t="shared" si="86"/>
        <v>31-60</v>
      </c>
      <c r="K1851"/>
    </row>
    <row r="1852" spans="1:11" x14ac:dyDescent="0.3">
      <c r="A1852" s="20" t="s">
        <v>88</v>
      </c>
      <c r="B1852" t="str">
        <f>VLOOKUP(A1852,Customers!A:B,2,FALSE)</f>
        <v>RetailPrimeX</v>
      </c>
      <c r="C1852" s="24" t="s">
        <v>2219</v>
      </c>
      <c r="D1852" s="10">
        <v>46074</v>
      </c>
      <c r="E1852" s="10">
        <v>46104</v>
      </c>
      <c r="F1852" s="4">
        <v>1715.03</v>
      </c>
      <c r="G1852" s="3">
        <f>SUMIF(Customer_Payments!B:B,C1852,Customer_Payments!E:E)</f>
        <v>0</v>
      </c>
      <c r="H1852" s="3">
        <f t="shared" si="84"/>
        <v>1715.03</v>
      </c>
      <c r="I1852" s="29">
        <f t="shared" si="85"/>
        <v>-13</v>
      </c>
      <c r="J1852" s="31" t="str">
        <f t="shared" si="86"/>
        <v>Current</v>
      </c>
      <c r="K1852"/>
    </row>
    <row r="1853" spans="1:11" x14ac:dyDescent="0.3">
      <c r="A1853" s="21" t="s">
        <v>41</v>
      </c>
      <c r="B1853" t="str">
        <f>VLOOKUP(A1853,Customers!A:B,2,FALSE)</f>
        <v>DynamicRetail</v>
      </c>
      <c r="C1853" s="25" t="s">
        <v>2220</v>
      </c>
      <c r="D1853" s="11">
        <v>46004</v>
      </c>
      <c r="E1853" s="11">
        <v>46034</v>
      </c>
      <c r="F1853" s="5">
        <v>3571.23</v>
      </c>
      <c r="G1853" s="3">
        <f>SUMIF(Customer_Payments!B:B,C1853,Customer_Payments!E:E)</f>
        <v>3571.23</v>
      </c>
      <c r="H1853" s="3">
        <f t="shared" si="84"/>
        <v>0</v>
      </c>
      <c r="I1853" s="29">
        <f t="shared" si="85"/>
        <v>57</v>
      </c>
      <c r="J1853" s="31" t="str">
        <f t="shared" si="86"/>
        <v>31-60</v>
      </c>
      <c r="K1853"/>
    </row>
    <row r="1854" spans="1:11" x14ac:dyDescent="0.3">
      <c r="A1854" s="20" t="s">
        <v>36</v>
      </c>
      <c r="B1854" t="str">
        <f>VLOOKUP(A1854,Customers!A:B,2,FALSE)</f>
        <v>RapidMarket</v>
      </c>
      <c r="C1854" s="24" t="s">
        <v>2221</v>
      </c>
      <c r="D1854" s="10">
        <v>46092</v>
      </c>
      <c r="E1854" s="10">
        <v>46122</v>
      </c>
      <c r="F1854" s="4">
        <v>5163.33</v>
      </c>
      <c r="G1854" s="3">
        <f>SUMIF(Customer_Payments!B:B,C1854,Customer_Payments!E:E)</f>
        <v>5163.33</v>
      </c>
      <c r="H1854" s="3">
        <f t="shared" si="84"/>
        <v>0</v>
      </c>
      <c r="I1854" s="29">
        <f t="shared" si="85"/>
        <v>-31</v>
      </c>
      <c r="J1854" s="31" t="str">
        <f t="shared" si="86"/>
        <v>Current</v>
      </c>
      <c r="K1854"/>
    </row>
    <row r="1855" spans="1:11" x14ac:dyDescent="0.3">
      <c r="A1855" s="21" t="s">
        <v>18</v>
      </c>
      <c r="B1855" t="str">
        <f>VLOOKUP(A1855,Customers!A:B,2,FALSE)</f>
        <v>BluePeak Systems</v>
      </c>
      <c r="C1855" s="25" t="s">
        <v>2222</v>
      </c>
      <c r="D1855" s="11">
        <v>46085</v>
      </c>
      <c r="E1855" s="11">
        <v>46115</v>
      </c>
      <c r="F1855" s="5">
        <v>1962.93</v>
      </c>
      <c r="G1855" s="3">
        <f>SUMIF(Customer_Payments!B:B,C1855,Customer_Payments!E:E)</f>
        <v>0</v>
      </c>
      <c r="H1855" s="3">
        <f t="shared" si="84"/>
        <v>1962.93</v>
      </c>
      <c r="I1855" s="29">
        <f t="shared" si="85"/>
        <v>-24</v>
      </c>
      <c r="J1855" s="31" t="str">
        <f t="shared" si="86"/>
        <v>Current</v>
      </c>
      <c r="K1855"/>
    </row>
    <row r="1856" spans="1:11" x14ac:dyDescent="0.3">
      <c r="A1856" s="20" t="s">
        <v>69</v>
      </c>
      <c r="B1856" t="str">
        <f>VLOOKUP(A1856,Customers!A:B,2,FALSE)</f>
        <v>RetailNext</v>
      </c>
      <c r="C1856" s="24" t="s">
        <v>2223</v>
      </c>
      <c r="D1856" s="10">
        <v>46004</v>
      </c>
      <c r="E1856" s="10">
        <v>46034</v>
      </c>
      <c r="F1856" s="4">
        <v>10471.27</v>
      </c>
      <c r="G1856" s="3">
        <f>SUMIF(Customer_Payments!B:B,C1856,Customer_Payments!E:E)</f>
        <v>10471.27</v>
      </c>
      <c r="H1856" s="3">
        <f t="shared" si="84"/>
        <v>0</v>
      </c>
      <c r="I1856" s="29">
        <f t="shared" si="85"/>
        <v>57</v>
      </c>
      <c r="J1856" s="31" t="str">
        <f t="shared" si="86"/>
        <v>31-60</v>
      </c>
      <c r="K1856"/>
    </row>
    <row r="1857" spans="1:11" x14ac:dyDescent="0.3">
      <c r="A1857" s="21" t="s">
        <v>120</v>
      </c>
      <c r="B1857" t="str">
        <f>VLOOKUP(A1857,Customers!A:B,2,FALSE)</f>
        <v>RetailPrimeGlobal</v>
      </c>
      <c r="C1857" s="25" t="s">
        <v>2224</v>
      </c>
      <c r="D1857" s="11">
        <v>46022</v>
      </c>
      <c r="E1857" s="11">
        <v>46052</v>
      </c>
      <c r="F1857" s="5">
        <v>1569.89</v>
      </c>
      <c r="G1857" s="3">
        <f>SUMIF(Customer_Payments!B:B,C1857,Customer_Payments!E:E)</f>
        <v>1569.89</v>
      </c>
      <c r="H1857" s="3">
        <f t="shared" si="84"/>
        <v>0</v>
      </c>
      <c r="I1857" s="29">
        <f t="shared" si="85"/>
        <v>39</v>
      </c>
      <c r="J1857" s="31" t="str">
        <f t="shared" si="86"/>
        <v>31-60</v>
      </c>
      <c r="K1857"/>
    </row>
    <row r="1858" spans="1:11" x14ac:dyDescent="0.3">
      <c r="A1858" s="20" t="s">
        <v>25</v>
      </c>
      <c r="B1858" t="str">
        <f>VLOOKUP(A1858,Customers!A:B,2,FALSE)</f>
        <v>OrbitEdge</v>
      </c>
      <c r="C1858" s="24" t="s">
        <v>2225</v>
      </c>
      <c r="D1858" s="10">
        <v>45988</v>
      </c>
      <c r="E1858" s="10">
        <v>46018</v>
      </c>
      <c r="F1858" s="4">
        <v>5635</v>
      </c>
      <c r="G1858" s="3">
        <f>SUMIF(Customer_Payments!B:B,C1858,Customer_Payments!E:E)</f>
        <v>5635</v>
      </c>
      <c r="H1858" s="3">
        <f t="shared" ref="H1858:H1921" si="87">MAX(F1858-G1858,0)</f>
        <v>0</v>
      </c>
      <c r="I1858" s="29">
        <f t="shared" ref="I1858:I1921" si="88">$L$2-E1858</f>
        <v>73</v>
      </c>
      <c r="J1858" s="31" t="str">
        <f t="shared" si="86"/>
        <v>61-90</v>
      </c>
      <c r="K1858"/>
    </row>
    <row r="1859" spans="1:11" x14ac:dyDescent="0.3">
      <c r="A1859" s="21" t="s">
        <v>19</v>
      </c>
      <c r="B1859" t="str">
        <f>VLOOKUP(A1859,Customers!A:B,2,FALSE)</f>
        <v>NextWave Digital</v>
      </c>
      <c r="C1859" s="25" t="s">
        <v>2226</v>
      </c>
      <c r="D1859" s="11">
        <v>46044</v>
      </c>
      <c r="E1859" s="11">
        <v>46074</v>
      </c>
      <c r="F1859" s="5">
        <v>2911.67</v>
      </c>
      <c r="G1859" s="3">
        <f>SUMIF(Customer_Payments!B:B,C1859,Customer_Payments!E:E)</f>
        <v>0</v>
      </c>
      <c r="H1859" s="3">
        <f t="shared" si="87"/>
        <v>2911.67</v>
      </c>
      <c r="I1859" s="29">
        <f t="shared" si="88"/>
        <v>17</v>
      </c>
      <c r="J1859" s="31" t="str">
        <f t="shared" ref="J1859:J1922" si="89">IF(I1859&lt;=0,"Current",
IF(I1859&lt;=30,"1-30",
IF(I1859&lt;=60,"31-60",
IF(I1859&lt;=90,"61-90","90+"))))</f>
        <v>1-30</v>
      </c>
      <c r="K1859"/>
    </row>
    <row r="1860" spans="1:11" x14ac:dyDescent="0.3">
      <c r="A1860" s="20" t="s">
        <v>55</v>
      </c>
      <c r="B1860" t="str">
        <f>VLOOKUP(A1860,Customers!A:B,2,FALSE)</f>
        <v>CommerceLabs</v>
      </c>
      <c r="C1860" s="24" t="s">
        <v>2227</v>
      </c>
      <c r="D1860" s="10">
        <v>46020</v>
      </c>
      <c r="E1860" s="10">
        <v>46050</v>
      </c>
      <c r="F1860" s="4">
        <v>1819.28</v>
      </c>
      <c r="G1860" s="3">
        <f>SUMIF(Customer_Payments!B:B,C1860,Customer_Payments!E:E)</f>
        <v>1819.28</v>
      </c>
      <c r="H1860" s="3">
        <f t="shared" si="87"/>
        <v>0</v>
      </c>
      <c r="I1860" s="29">
        <f t="shared" si="88"/>
        <v>41</v>
      </c>
      <c r="J1860" s="31" t="str">
        <f t="shared" si="89"/>
        <v>31-60</v>
      </c>
      <c r="K1860"/>
    </row>
    <row r="1861" spans="1:11" x14ac:dyDescent="0.3">
      <c r="A1861" s="21" t="s">
        <v>89</v>
      </c>
      <c r="B1861" t="str">
        <f>VLOOKUP(A1861,Customers!A:B,2,FALSE)</f>
        <v>RetailAxisX</v>
      </c>
      <c r="C1861" s="25" t="s">
        <v>2228</v>
      </c>
      <c r="D1861" s="11">
        <v>46108</v>
      </c>
      <c r="E1861" s="11">
        <v>46138</v>
      </c>
      <c r="F1861" s="5">
        <v>9699.44</v>
      </c>
      <c r="G1861" s="3">
        <f>SUMIF(Customer_Payments!B:B,C1861,Customer_Payments!E:E)</f>
        <v>0</v>
      </c>
      <c r="H1861" s="3">
        <f t="shared" si="87"/>
        <v>9699.44</v>
      </c>
      <c r="I1861" s="29">
        <f t="shared" si="88"/>
        <v>-47</v>
      </c>
      <c r="J1861" s="31" t="str">
        <f t="shared" si="89"/>
        <v>Current</v>
      </c>
      <c r="K1861"/>
    </row>
    <row r="1862" spans="1:11" x14ac:dyDescent="0.3">
      <c r="A1862" s="20" t="s">
        <v>87</v>
      </c>
      <c r="B1862" t="str">
        <f>VLOOKUP(A1862,Customers!A:B,2,FALSE)</f>
        <v>RetailStreamX</v>
      </c>
      <c r="C1862" s="24" t="s">
        <v>2229</v>
      </c>
      <c r="D1862" s="10">
        <v>46085</v>
      </c>
      <c r="E1862" s="10">
        <v>46115</v>
      </c>
      <c r="F1862" s="4">
        <v>2558.61</v>
      </c>
      <c r="G1862" s="3">
        <f>SUMIF(Customer_Payments!B:B,C1862,Customer_Payments!E:E)</f>
        <v>2558.61</v>
      </c>
      <c r="H1862" s="3">
        <f t="shared" si="87"/>
        <v>0</v>
      </c>
      <c r="I1862" s="29">
        <f t="shared" si="88"/>
        <v>-24</v>
      </c>
      <c r="J1862" s="31" t="str">
        <f t="shared" si="89"/>
        <v>Current</v>
      </c>
      <c r="K1862"/>
    </row>
    <row r="1863" spans="1:11" x14ac:dyDescent="0.3">
      <c r="A1863" s="21" t="s">
        <v>111</v>
      </c>
      <c r="B1863" t="str">
        <f>VLOOKUP(A1863,Customers!A:B,2,FALSE)</f>
        <v>RetailPulsePro</v>
      </c>
      <c r="C1863" s="25" t="s">
        <v>2230</v>
      </c>
      <c r="D1863" s="11">
        <v>46080</v>
      </c>
      <c r="E1863" s="11">
        <v>46110</v>
      </c>
      <c r="F1863" s="5">
        <v>2818.9</v>
      </c>
      <c r="G1863" s="3">
        <f>SUMIF(Customer_Payments!B:B,C1863,Customer_Payments!E:E)</f>
        <v>2818.9</v>
      </c>
      <c r="H1863" s="3">
        <f t="shared" si="87"/>
        <v>0</v>
      </c>
      <c r="I1863" s="29">
        <f t="shared" si="88"/>
        <v>-19</v>
      </c>
      <c r="J1863" s="31" t="str">
        <f t="shared" si="89"/>
        <v>Current</v>
      </c>
      <c r="K1863"/>
    </row>
    <row r="1864" spans="1:11" x14ac:dyDescent="0.3">
      <c r="A1864" s="20" t="s">
        <v>104</v>
      </c>
      <c r="B1864" t="str">
        <f>VLOOKUP(A1864,Customers!A:B,2,FALSE)</f>
        <v>RetailCorePro</v>
      </c>
      <c r="C1864" s="24" t="s">
        <v>2231</v>
      </c>
      <c r="D1864" s="10">
        <v>46055</v>
      </c>
      <c r="E1864" s="10">
        <v>46085</v>
      </c>
      <c r="F1864" s="4">
        <v>2852.72</v>
      </c>
      <c r="G1864" s="3">
        <f>SUMIF(Customer_Payments!B:B,C1864,Customer_Payments!E:E)</f>
        <v>2852.72</v>
      </c>
      <c r="H1864" s="3">
        <f t="shared" si="87"/>
        <v>0</v>
      </c>
      <c r="I1864" s="29">
        <f t="shared" si="88"/>
        <v>6</v>
      </c>
      <c r="J1864" s="31" t="str">
        <f t="shared" si="89"/>
        <v>1-30</v>
      </c>
      <c r="K1864"/>
    </row>
    <row r="1865" spans="1:11" x14ac:dyDescent="0.3">
      <c r="A1865" s="21" t="s">
        <v>68</v>
      </c>
      <c r="B1865" t="str">
        <f>VLOOKUP(A1865,Customers!A:B,2,FALSE)</f>
        <v>RetailVision</v>
      </c>
      <c r="C1865" s="25" t="s">
        <v>2232</v>
      </c>
      <c r="D1865" s="11">
        <v>45993</v>
      </c>
      <c r="E1865" s="11">
        <v>46023</v>
      </c>
      <c r="F1865" s="5">
        <v>4049.35</v>
      </c>
      <c r="G1865" s="3">
        <f>SUMIF(Customer_Payments!B:B,C1865,Customer_Payments!E:E)</f>
        <v>4049.35</v>
      </c>
      <c r="H1865" s="3">
        <f t="shared" si="87"/>
        <v>0</v>
      </c>
      <c r="I1865" s="29">
        <f t="shared" si="88"/>
        <v>68</v>
      </c>
      <c r="J1865" s="31" t="str">
        <f t="shared" si="89"/>
        <v>61-90</v>
      </c>
      <c r="K1865"/>
    </row>
    <row r="1866" spans="1:11" x14ac:dyDescent="0.3">
      <c r="A1866" s="20" t="s">
        <v>76</v>
      </c>
      <c r="B1866" t="str">
        <f>VLOOKUP(A1866,Customers!A:B,2,FALSE)</f>
        <v>RetailSphere</v>
      </c>
      <c r="C1866" s="24" t="s">
        <v>2233</v>
      </c>
      <c r="D1866" s="10">
        <v>46065</v>
      </c>
      <c r="E1866" s="10">
        <v>46095</v>
      </c>
      <c r="F1866" s="4">
        <v>4487.62</v>
      </c>
      <c r="G1866" s="3">
        <f>SUMIF(Customer_Payments!B:B,C1866,Customer_Payments!E:E)</f>
        <v>4487.62</v>
      </c>
      <c r="H1866" s="3">
        <f t="shared" si="87"/>
        <v>0</v>
      </c>
      <c r="I1866" s="29">
        <f t="shared" si="88"/>
        <v>-4</v>
      </c>
      <c r="J1866" s="31" t="str">
        <f t="shared" si="89"/>
        <v>Current</v>
      </c>
      <c r="K1866"/>
    </row>
    <row r="1867" spans="1:11" x14ac:dyDescent="0.3">
      <c r="A1867" s="21" t="s">
        <v>20</v>
      </c>
      <c r="B1867" t="str">
        <f>VLOOKUP(A1867,Customers!A:B,2,FALSE)</f>
        <v>GrowthSphere</v>
      </c>
      <c r="C1867" s="25" t="s">
        <v>2234</v>
      </c>
      <c r="D1867" s="11">
        <v>46051</v>
      </c>
      <c r="E1867" s="11">
        <v>46081</v>
      </c>
      <c r="F1867" s="5">
        <v>2425.4499999999998</v>
      </c>
      <c r="G1867" s="3">
        <f>SUMIF(Customer_Payments!B:B,C1867,Customer_Payments!E:E)</f>
        <v>2425.4499999999998</v>
      </c>
      <c r="H1867" s="3">
        <f t="shared" si="87"/>
        <v>0</v>
      </c>
      <c r="I1867" s="29">
        <f t="shared" si="88"/>
        <v>10</v>
      </c>
      <c r="J1867" s="31" t="str">
        <f t="shared" si="89"/>
        <v>1-30</v>
      </c>
      <c r="K1867"/>
    </row>
    <row r="1868" spans="1:11" x14ac:dyDescent="0.3">
      <c r="A1868" s="20" t="s">
        <v>35</v>
      </c>
      <c r="B1868" t="str">
        <f>VLOOKUP(A1868,Customers!A:B,2,FALSE)</f>
        <v>FusionRetail</v>
      </c>
      <c r="C1868" s="24" t="s">
        <v>2235</v>
      </c>
      <c r="D1868" s="10">
        <v>46055</v>
      </c>
      <c r="E1868" s="10">
        <v>46085</v>
      </c>
      <c r="F1868" s="4">
        <v>4041.04</v>
      </c>
      <c r="G1868" s="3">
        <f>SUMIF(Customer_Payments!B:B,C1868,Customer_Payments!E:E)</f>
        <v>4041.04</v>
      </c>
      <c r="H1868" s="3">
        <f t="shared" si="87"/>
        <v>0</v>
      </c>
      <c r="I1868" s="29">
        <f t="shared" si="88"/>
        <v>6</v>
      </c>
      <c r="J1868" s="31" t="str">
        <f t="shared" si="89"/>
        <v>1-30</v>
      </c>
      <c r="K1868"/>
    </row>
    <row r="1869" spans="1:11" x14ac:dyDescent="0.3">
      <c r="A1869" s="21" t="s">
        <v>43</v>
      </c>
      <c r="B1869" t="str">
        <f>VLOOKUP(A1869,Customers!A:B,2,FALSE)</f>
        <v>CommerceSpark</v>
      </c>
      <c r="C1869" s="25" t="s">
        <v>2236</v>
      </c>
      <c r="D1869" s="11">
        <v>45977</v>
      </c>
      <c r="E1869" s="11">
        <v>46007</v>
      </c>
      <c r="F1869" s="5">
        <v>2672.01</v>
      </c>
      <c r="G1869" s="3">
        <f>SUMIF(Customer_Payments!B:B,C1869,Customer_Payments!E:E)</f>
        <v>2672.01</v>
      </c>
      <c r="H1869" s="3">
        <f t="shared" si="87"/>
        <v>0</v>
      </c>
      <c r="I1869" s="29">
        <f t="shared" si="88"/>
        <v>84</v>
      </c>
      <c r="J1869" s="31" t="str">
        <f t="shared" si="89"/>
        <v>61-90</v>
      </c>
      <c r="K1869"/>
    </row>
    <row r="1870" spans="1:11" x14ac:dyDescent="0.3">
      <c r="A1870" s="20" t="s">
        <v>98</v>
      </c>
      <c r="B1870" t="str">
        <f>VLOOKUP(A1870,Customers!A:B,2,FALSE)</f>
        <v>RetailEdgePro</v>
      </c>
      <c r="C1870" s="24" t="s">
        <v>2237</v>
      </c>
      <c r="D1870" s="10">
        <v>45974</v>
      </c>
      <c r="E1870" s="10">
        <v>46004</v>
      </c>
      <c r="F1870" s="4">
        <v>5843.38</v>
      </c>
      <c r="G1870" s="3">
        <f>SUMIF(Customer_Payments!B:B,C1870,Customer_Payments!E:E)</f>
        <v>5843.38</v>
      </c>
      <c r="H1870" s="3">
        <f t="shared" si="87"/>
        <v>0</v>
      </c>
      <c r="I1870" s="29">
        <f t="shared" si="88"/>
        <v>87</v>
      </c>
      <c r="J1870" s="31" t="str">
        <f t="shared" si="89"/>
        <v>61-90</v>
      </c>
      <c r="K1870"/>
    </row>
    <row r="1871" spans="1:11" x14ac:dyDescent="0.3">
      <c r="A1871" s="21" t="s">
        <v>43</v>
      </c>
      <c r="B1871" t="str">
        <f>VLOOKUP(A1871,Customers!A:B,2,FALSE)</f>
        <v>CommerceSpark</v>
      </c>
      <c r="C1871" s="25" t="s">
        <v>2238</v>
      </c>
      <c r="D1871" s="11">
        <v>46020</v>
      </c>
      <c r="E1871" s="11">
        <v>46050</v>
      </c>
      <c r="F1871" s="5">
        <v>2990.18</v>
      </c>
      <c r="G1871" s="3">
        <f>SUMIF(Customer_Payments!B:B,C1871,Customer_Payments!E:E)</f>
        <v>2990.1800000000003</v>
      </c>
      <c r="H1871" s="3">
        <f t="shared" si="87"/>
        <v>0</v>
      </c>
      <c r="I1871" s="29">
        <f t="shared" si="88"/>
        <v>41</v>
      </c>
      <c r="J1871" s="31" t="str">
        <f t="shared" si="89"/>
        <v>31-60</v>
      </c>
      <c r="K1871"/>
    </row>
    <row r="1872" spans="1:11" x14ac:dyDescent="0.3">
      <c r="A1872" s="20" t="s">
        <v>124</v>
      </c>
      <c r="B1872" t="str">
        <f>VLOOKUP(A1872,Customers!A:B,2,FALSE)</f>
        <v>RetailOrbitGlobal</v>
      </c>
      <c r="C1872" s="24" t="s">
        <v>2239</v>
      </c>
      <c r="D1872" s="10">
        <v>45992</v>
      </c>
      <c r="E1872" s="10">
        <v>46022</v>
      </c>
      <c r="F1872" s="4">
        <v>2076.29</v>
      </c>
      <c r="G1872" s="3">
        <f>SUMIF(Customer_Payments!B:B,C1872,Customer_Payments!E:E)</f>
        <v>2076.29</v>
      </c>
      <c r="H1872" s="3">
        <f t="shared" si="87"/>
        <v>0</v>
      </c>
      <c r="I1872" s="29">
        <f t="shared" si="88"/>
        <v>69</v>
      </c>
      <c r="J1872" s="31" t="str">
        <f t="shared" si="89"/>
        <v>61-90</v>
      </c>
      <c r="K1872"/>
    </row>
    <row r="1873" spans="1:11" x14ac:dyDescent="0.3">
      <c r="A1873" s="21" t="s">
        <v>74</v>
      </c>
      <c r="B1873" t="str">
        <f>VLOOKUP(A1873,Customers!A:B,2,FALSE)</f>
        <v>RetailPrime</v>
      </c>
      <c r="C1873" s="25" t="s">
        <v>2240</v>
      </c>
      <c r="D1873" s="11">
        <v>45967</v>
      </c>
      <c r="E1873" s="11">
        <v>45997</v>
      </c>
      <c r="F1873" s="5">
        <v>3474.7</v>
      </c>
      <c r="G1873" s="3">
        <f>SUMIF(Customer_Payments!B:B,C1873,Customer_Payments!E:E)</f>
        <v>3474.7</v>
      </c>
      <c r="H1873" s="3">
        <f t="shared" si="87"/>
        <v>0</v>
      </c>
      <c r="I1873" s="29">
        <f t="shared" si="88"/>
        <v>94</v>
      </c>
      <c r="J1873" s="31" t="str">
        <f t="shared" si="89"/>
        <v>90+</v>
      </c>
      <c r="K1873"/>
    </row>
    <row r="1874" spans="1:11" x14ac:dyDescent="0.3">
      <c r="A1874" s="20" t="s">
        <v>92</v>
      </c>
      <c r="B1874" t="str">
        <f>VLOOKUP(A1874,Customers!A:B,2,FALSE)</f>
        <v>RetailMatrixX</v>
      </c>
      <c r="C1874" s="24" t="s">
        <v>2241</v>
      </c>
      <c r="D1874" s="10">
        <v>45989</v>
      </c>
      <c r="E1874" s="10">
        <v>46019</v>
      </c>
      <c r="F1874" s="4">
        <v>2599.61</v>
      </c>
      <c r="G1874" s="3">
        <f>SUMIF(Customer_Payments!B:B,C1874,Customer_Payments!E:E)</f>
        <v>2599.61</v>
      </c>
      <c r="H1874" s="3">
        <f t="shared" si="87"/>
        <v>0</v>
      </c>
      <c r="I1874" s="29">
        <f t="shared" si="88"/>
        <v>72</v>
      </c>
      <c r="J1874" s="31" t="str">
        <f t="shared" si="89"/>
        <v>61-90</v>
      </c>
      <c r="K1874"/>
    </row>
    <row r="1875" spans="1:11" x14ac:dyDescent="0.3">
      <c r="A1875" s="21" t="s">
        <v>20</v>
      </c>
      <c r="B1875" t="str">
        <f>VLOOKUP(A1875,Customers!A:B,2,FALSE)</f>
        <v>GrowthSphere</v>
      </c>
      <c r="C1875" s="25" t="s">
        <v>2242</v>
      </c>
      <c r="D1875" s="11">
        <v>46107</v>
      </c>
      <c r="E1875" s="11">
        <v>46137</v>
      </c>
      <c r="F1875" s="5">
        <v>1657.13</v>
      </c>
      <c r="G1875" s="3">
        <f>SUMIF(Customer_Payments!B:B,C1875,Customer_Payments!E:E)</f>
        <v>1657.13</v>
      </c>
      <c r="H1875" s="3">
        <f t="shared" si="87"/>
        <v>0</v>
      </c>
      <c r="I1875" s="29">
        <f t="shared" si="88"/>
        <v>-46</v>
      </c>
      <c r="J1875" s="31" t="str">
        <f t="shared" si="89"/>
        <v>Current</v>
      </c>
      <c r="K1875"/>
    </row>
    <row r="1876" spans="1:11" x14ac:dyDescent="0.3">
      <c r="A1876" s="20" t="s">
        <v>110</v>
      </c>
      <c r="B1876" t="str">
        <f>VLOOKUP(A1876,Customers!A:B,2,FALSE)</f>
        <v>RetailAxisPro</v>
      </c>
      <c r="C1876" s="24" t="s">
        <v>2243</v>
      </c>
      <c r="D1876" s="10">
        <v>46027</v>
      </c>
      <c r="E1876" s="10">
        <v>46057</v>
      </c>
      <c r="F1876" s="4">
        <v>2916.23</v>
      </c>
      <c r="G1876" s="3">
        <f>SUMIF(Customer_Payments!B:B,C1876,Customer_Payments!E:E)</f>
        <v>0</v>
      </c>
      <c r="H1876" s="3">
        <f t="shared" si="87"/>
        <v>2916.23</v>
      </c>
      <c r="I1876" s="29">
        <f t="shared" si="88"/>
        <v>34</v>
      </c>
      <c r="J1876" s="31" t="str">
        <f t="shared" si="89"/>
        <v>31-60</v>
      </c>
      <c r="K1876"/>
    </row>
    <row r="1877" spans="1:11" x14ac:dyDescent="0.3">
      <c r="A1877" s="21" t="s">
        <v>26</v>
      </c>
      <c r="B1877" t="str">
        <f>VLOOKUP(A1877,Customers!A:B,2,FALSE)</f>
        <v>NovaRetail</v>
      </c>
      <c r="C1877" s="25" t="s">
        <v>2244</v>
      </c>
      <c r="D1877" s="11">
        <v>46092</v>
      </c>
      <c r="E1877" s="11">
        <v>46122</v>
      </c>
      <c r="F1877" s="5">
        <v>2015.05</v>
      </c>
      <c r="G1877" s="3">
        <f>SUMIF(Customer_Payments!B:B,C1877,Customer_Payments!E:E)</f>
        <v>0</v>
      </c>
      <c r="H1877" s="3">
        <f t="shared" si="87"/>
        <v>2015.05</v>
      </c>
      <c r="I1877" s="29">
        <f t="shared" si="88"/>
        <v>-31</v>
      </c>
      <c r="J1877" s="31" t="str">
        <f t="shared" si="89"/>
        <v>Current</v>
      </c>
      <c r="K1877"/>
    </row>
    <row r="1878" spans="1:11" x14ac:dyDescent="0.3">
      <c r="A1878" s="20" t="s">
        <v>108</v>
      </c>
      <c r="B1878" t="str">
        <f>VLOOKUP(A1878,Customers!A:B,2,FALSE)</f>
        <v>RetailNextPro</v>
      </c>
      <c r="C1878" s="24" t="s">
        <v>2245</v>
      </c>
      <c r="D1878" s="10">
        <v>46051</v>
      </c>
      <c r="E1878" s="10">
        <v>46081</v>
      </c>
      <c r="F1878" s="4">
        <v>1545.54</v>
      </c>
      <c r="G1878" s="3">
        <f>SUMIF(Customer_Payments!B:B,C1878,Customer_Payments!E:E)</f>
        <v>1545.54</v>
      </c>
      <c r="H1878" s="3">
        <f t="shared" si="87"/>
        <v>0</v>
      </c>
      <c r="I1878" s="29">
        <f t="shared" si="88"/>
        <v>10</v>
      </c>
      <c r="J1878" s="31" t="str">
        <f t="shared" si="89"/>
        <v>1-30</v>
      </c>
      <c r="K1878"/>
    </row>
    <row r="1879" spans="1:11" x14ac:dyDescent="0.3">
      <c r="A1879" s="21" t="s">
        <v>100</v>
      </c>
      <c r="B1879" t="str">
        <f>VLOOKUP(A1879,Customers!A:B,2,FALSE)</f>
        <v>RetailBoostPro</v>
      </c>
      <c r="C1879" s="25" t="s">
        <v>2246</v>
      </c>
      <c r="D1879" s="11">
        <v>46078</v>
      </c>
      <c r="E1879" s="11">
        <v>46108</v>
      </c>
      <c r="F1879" s="5">
        <v>13510.32</v>
      </c>
      <c r="G1879" s="3">
        <f>SUMIF(Customer_Payments!B:B,C1879,Customer_Payments!E:E)</f>
        <v>13510.32</v>
      </c>
      <c r="H1879" s="3">
        <f t="shared" si="87"/>
        <v>0</v>
      </c>
      <c r="I1879" s="29">
        <f t="shared" si="88"/>
        <v>-17</v>
      </c>
      <c r="J1879" s="31" t="str">
        <f t="shared" si="89"/>
        <v>Current</v>
      </c>
      <c r="K1879"/>
    </row>
    <row r="1880" spans="1:11" x14ac:dyDescent="0.3">
      <c r="A1880" s="20" t="s">
        <v>56</v>
      </c>
      <c r="B1880" t="str">
        <f>VLOOKUP(A1880,Customers!A:B,2,FALSE)</f>
        <v>RetailBoost</v>
      </c>
      <c r="C1880" s="24" t="s">
        <v>2247</v>
      </c>
      <c r="D1880" s="10">
        <v>46002</v>
      </c>
      <c r="E1880" s="10">
        <v>46032</v>
      </c>
      <c r="F1880" s="4">
        <v>2144.67</v>
      </c>
      <c r="G1880" s="3">
        <f>SUMIF(Customer_Payments!B:B,C1880,Customer_Payments!E:E)</f>
        <v>2144.67</v>
      </c>
      <c r="H1880" s="3">
        <f t="shared" si="87"/>
        <v>0</v>
      </c>
      <c r="I1880" s="29">
        <f t="shared" si="88"/>
        <v>59</v>
      </c>
      <c r="J1880" s="31" t="str">
        <f t="shared" si="89"/>
        <v>31-60</v>
      </c>
      <c r="K1880"/>
    </row>
    <row r="1881" spans="1:11" x14ac:dyDescent="0.3">
      <c r="A1881" s="21" t="s">
        <v>59</v>
      </c>
      <c r="B1881" t="str">
        <f>VLOOKUP(A1881,Customers!A:B,2,FALSE)</f>
        <v>MarketBridge</v>
      </c>
      <c r="C1881" s="25" t="s">
        <v>2248</v>
      </c>
      <c r="D1881" s="11">
        <v>45992</v>
      </c>
      <c r="E1881" s="11">
        <v>46022</v>
      </c>
      <c r="F1881" s="5">
        <v>2319.3200000000002</v>
      </c>
      <c r="G1881" s="3">
        <f>SUMIF(Customer_Payments!B:B,C1881,Customer_Payments!E:E)</f>
        <v>2319.3200000000002</v>
      </c>
      <c r="H1881" s="3">
        <f t="shared" si="87"/>
        <v>0</v>
      </c>
      <c r="I1881" s="29">
        <f t="shared" si="88"/>
        <v>69</v>
      </c>
      <c r="J1881" s="31" t="str">
        <f t="shared" si="89"/>
        <v>61-90</v>
      </c>
      <c r="K1881"/>
    </row>
    <row r="1882" spans="1:11" x14ac:dyDescent="0.3">
      <c r="A1882" s="20" t="s">
        <v>90</v>
      </c>
      <c r="B1882" t="str">
        <f>VLOOKUP(A1882,Customers!A:B,2,FALSE)</f>
        <v>RetailPulseX</v>
      </c>
      <c r="C1882" s="24" t="s">
        <v>2249</v>
      </c>
      <c r="D1882" s="10">
        <v>46097</v>
      </c>
      <c r="E1882" s="10">
        <v>46127</v>
      </c>
      <c r="F1882" s="4">
        <v>3910.9</v>
      </c>
      <c r="G1882" s="3">
        <f>SUMIF(Customer_Payments!B:B,C1882,Customer_Payments!E:E)</f>
        <v>0</v>
      </c>
      <c r="H1882" s="3">
        <f t="shared" si="87"/>
        <v>3910.9</v>
      </c>
      <c r="I1882" s="29">
        <f t="shared" si="88"/>
        <v>-36</v>
      </c>
      <c r="J1882" s="31" t="str">
        <f t="shared" si="89"/>
        <v>Current</v>
      </c>
      <c r="K1882"/>
    </row>
    <row r="1883" spans="1:11" x14ac:dyDescent="0.3">
      <c r="A1883" s="21" t="s">
        <v>70</v>
      </c>
      <c r="B1883" t="str">
        <f>VLOOKUP(A1883,Customers!A:B,2,FALSE)</f>
        <v>RetailPath</v>
      </c>
      <c r="C1883" s="25" t="s">
        <v>2250</v>
      </c>
      <c r="D1883" s="11">
        <v>45978</v>
      </c>
      <c r="E1883" s="11">
        <v>46008</v>
      </c>
      <c r="F1883" s="5">
        <v>4766.37</v>
      </c>
      <c r="G1883" s="3">
        <f>SUMIF(Customer_Payments!B:B,C1883,Customer_Payments!E:E)</f>
        <v>4766.37</v>
      </c>
      <c r="H1883" s="3">
        <f t="shared" si="87"/>
        <v>0</v>
      </c>
      <c r="I1883" s="29">
        <f t="shared" si="88"/>
        <v>83</v>
      </c>
      <c r="J1883" s="31" t="str">
        <f t="shared" si="89"/>
        <v>61-90</v>
      </c>
      <c r="K1883"/>
    </row>
    <row r="1884" spans="1:11" x14ac:dyDescent="0.3">
      <c r="A1884" s="20" t="s">
        <v>98</v>
      </c>
      <c r="B1884" t="str">
        <f>VLOOKUP(A1884,Customers!A:B,2,FALSE)</f>
        <v>RetailEdgePro</v>
      </c>
      <c r="C1884" s="24" t="s">
        <v>2251</v>
      </c>
      <c r="D1884" s="10">
        <v>46092</v>
      </c>
      <c r="E1884" s="10">
        <v>46122</v>
      </c>
      <c r="F1884" s="4">
        <v>3550.7</v>
      </c>
      <c r="G1884" s="3">
        <f>SUMIF(Customer_Payments!B:B,C1884,Customer_Payments!E:E)</f>
        <v>3550.7</v>
      </c>
      <c r="H1884" s="3">
        <f t="shared" si="87"/>
        <v>0</v>
      </c>
      <c r="I1884" s="29">
        <f t="shared" si="88"/>
        <v>-31</v>
      </c>
      <c r="J1884" s="31" t="str">
        <f t="shared" si="89"/>
        <v>Current</v>
      </c>
      <c r="K1884"/>
    </row>
    <row r="1885" spans="1:11" x14ac:dyDescent="0.3">
      <c r="A1885" s="21" t="s">
        <v>35</v>
      </c>
      <c r="B1885" t="str">
        <f>VLOOKUP(A1885,Customers!A:B,2,FALSE)</f>
        <v>FusionRetail</v>
      </c>
      <c r="C1885" s="25" t="s">
        <v>2252</v>
      </c>
      <c r="D1885" s="11">
        <v>46023</v>
      </c>
      <c r="E1885" s="11">
        <v>46053</v>
      </c>
      <c r="F1885" s="5">
        <v>12129.34</v>
      </c>
      <c r="G1885" s="3">
        <f>SUMIF(Customer_Payments!B:B,C1885,Customer_Payments!E:E)</f>
        <v>0</v>
      </c>
      <c r="H1885" s="3">
        <f t="shared" si="87"/>
        <v>12129.34</v>
      </c>
      <c r="I1885" s="29">
        <f t="shared" si="88"/>
        <v>38</v>
      </c>
      <c r="J1885" s="31" t="str">
        <f t="shared" si="89"/>
        <v>31-60</v>
      </c>
      <c r="K1885"/>
    </row>
    <row r="1886" spans="1:11" x14ac:dyDescent="0.3">
      <c r="A1886" s="20" t="s">
        <v>115</v>
      </c>
      <c r="B1886" t="str">
        <f>VLOOKUP(A1886,Customers!A:B,2,FALSE)</f>
        <v>RetailDynamicsPro</v>
      </c>
      <c r="C1886" s="24" t="s">
        <v>2253</v>
      </c>
      <c r="D1886" s="10">
        <v>46101</v>
      </c>
      <c r="E1886" s="10">
        <v>46131</v>
      </c>
      <c r="F1886" s="4">
        <v>1502.82</v>
      </c>
      <c r="G1886" s="3">
        <f>SUMIF(Customer_Payments!B:B,C1886,Customer_Payments!E:E)</f>
        <v>1502.82</v>
      </c>
      <c r="H1886" s="3">
        <f t="shared" si="87"/>
        <v>0</v>
      </c>
      <c r="I1886" s="29">
        <f t="shared" si="88"/>
        <v>-40</v>
      </c>
      <c r="J1886" s="31" t="str">
        <f t="shared" si="89"/>
        <v>Current</v>
      </c>
      <c r="K1886"/>
    </row>
    <row r="1887" spans="1:11" x14ac:dyDescent="0.3">
      <c r="A1887" s="21" t="s">
        <v>14</v>
      </c>
      <c r="B1887" t="str">
        <f>VLOOKUP(A1887,Customers!A:B,2,FALSE)</f>
        <v>MarketPulse</v>
      </c>
      <c r="C1887" s="25" t="s">
        <v>2254</v>
      </c>
      <c r="D1887" s="11">
        <v>45984</v>
      </c>
      <c r="E1887" s="11">
        <v>46014</v>
      </c>
      <c r="F1887" s="5">
        <v>2834.88</v>
      </c>
      <c r="G1887" s="3">
        <f>SUMIF(Customer_Payments!B:B,C1887,Customer_Payments!E:E)</f>
        <v>0</v>
      </c>
      <c r="H1887" s="3">
        <f t="shared" si="87"/>
        <v>2834.88</v>
      </c>
      <c r="I1887" s="29">
        <f t="shared" si="88"/>
        <v>77</v>
      </c>
      <c r="J1887" s="31" t="str">
        <f t="shared" si="89"/>
        <v>61-90</v>
      </c>
      <c r="K1887"/>
    </row>
    <row r="1888" spans="1:11" x14ac:dyDescent="0.3">
      <c r="A1888" s="20" t="s">
        <v>25</v>
      </c>
      <c r="B1888" t="str">
        <f>VLOOKUP(A1888,Customers!A:B,2,FALSE)</f>
        <v>OrbitEdge</v>
      </c>
      <c r="C1888" s="24" t="s">
        <v>2255</v>
      </c>
      <c r="D1888" s="10">
        <v>45982</v>
      </c>
      <c r="E1888" s="10">
        <v>46012</v>
      </c>
      <c r="F1888" s="4">
        <v>2360.86</v>
      </c>
      <c r="G1888" s="3">
        <f>SUMIF(Customer_Payments!B:B,C1888,Customer_Payments!E:E)</f>
        <v>2360.8599999999997</v>
      </c>
      <c r="H1888" s="3">
        <f t="shared" si="87"/>
        <v>4.5474735088646412E-13</v>
      </c>
      <c r="I1888" s="29">
        <f t="shared" si="88"/>
        <v>79</v>
      </c>
      <c r="J1888" s="31" t="str">
        <f t="shared" si="89"/>
        <v>61-90</v>
      </c>
      <c r="K1888"/>
    </row>
    <row r="1889" spans="1:11" x14ac:dyDescent="0.3">
      <c r="A1889" s="21" t="s">
        <v>35</v>
      </c>
      <c r="B1889" t="str">
        <f>VLOOKUP(A1889,Customers!A:B,2,FALSE)</f>
        <v>FusionRetail</v>
      </c>
      <c r="C1889" s="25" t="s">
        <v>2256</v>
      </c>
      <c r="D1889" s="11">
        <v>46060</v>
      </c>
      <c r="E1889" s="11">
        <v>46090</v>
      </c>
      <c r="F1889" s="5">
        <v>4160.55</v>
      </c>
      <c r="G1889" s="3">
        <f>SUMIF(Customer_Payments!B:B,C1889,Customer_Payments!E:E)</f>
        <v>4160.55</v>
      </c>
      <c r="H1889" s="3">
        <f t="shared" si="87"/>
        <v>0</v>
      </c>
      <c r="I1889" s="29">
        <f t="shared" si="88"/>
        <v>1</v>
      </c>
      <c r="J1889" s="31" t="str">
        <f t="shared" si="89"/>
        <v>1-30</v>
      </c>
      <c r="K1889"/>
    </row>
    <row r="1890" spans="1:11" x14ac:dyDescent="0.3">
      <c r="A1890" s="20" t="s">
        <v>55</v>
      </c>
      <c r="B1890" t="str">
        <f>VLOOKUP(A1890,Customers!A:B,2,FALSE)</f>
        <v>CommerceLabs</v>
      </c>
      <c r="C1890" s="24" t="s">
        <v>2257</v>
      </c>
      <c r="D1890" s="10">
        <v>46002</v>
      </c>
      <c r="E1890" s="10">
        <v>46032</v>
      </c>
      <c r="F1890" s="4">
        <v>3296.39</v>
      </c>
      <c r="G1890" s="3">
        <f>SUMIF(Customer_Payments!B:B,C1890,Customer_Payments!E:E)</f>
        <v>3296.39</v>
      </c>
      <c r="H1890" s="3">
        <f t="shared" si="87"/>
        <v>0</v>
      </c>
      <c r="I1890" s="29">
        <f t="shared" si="88"/>
        <v>59</v>
      </c>
      <c r="J1890" s="31" t="str">
        <f t="shared" si="89"/>
        <v>31-60</v>
      </c>
      <c r="K1890"/>
    </row>
    <row r="1891" spans="1:11" x14ac:dyDescent="0.3">
      <c r="A1891" s="21" t="s">
        <v>20</v>
      </c>
      <c r="B1891" t="str">
        <f>VLOOKUP(A1891,Customers!A:B,2,FALSE)</f>
        <v>GrowthSphere</v>
      </c>
      <c r="C1891" s="25" t="s">
        <v>2258</v>
      </c>
      <c r="D1891" s="11">
        <v>45964</v>
      </c>
      <c r="E1891" s="11">
        <v>45994</v>
      </c>
      <c r="F1891" s="5">
        <v>1458.97</v>
      </c>
      <c r="G1891" s="3">
        <f>SUMIF(Customer_Payments!B:B,C1891,Customer_Payments!E:E)</f>
        <v>1458.97</v>
      </c>
      <c r="H1891" s="3">
        <f t="shared" si="87"/>
        <v>0</v>
      </c>
      <c r="I1891" s="29">
        <f t="shared" si="88"/>
        <v>97</v>
      </c>
      <c r="J1891" s="31" t="str">
        <f t="shared" si="89"/>
        <v>90+</v>
      </c>
      <c r="K1891"/>
    </row>
    <row r="1892" spans="1:11" x14ac:dyDescent="0.3">
      <c r="A1892" s="20" t="s">
        <v>10</v>
      </c>
      <c r="B1892" t="str">
        <f>VLOOKUP(A1892,Customers!A:B,2,FALSE)</f>
        <v>LaunchLabs</v>
      </c>
      <c r="C1892" s="24" t="s">
        <v>2259</v>
      </c>
      <c r="D1892" s="10">
        <v>46004</v>
      </c>
      <c r="E1892" s="10">
        <v>46034</v>
      </c>
      <c r="F1892" s="4">
        <v>1858.76</v>
      </c>
      <c r="G1892" s="3">
        <f>SUMIF(Customer_Payments!B:B,C1892,Customer_Payments!E:E)</f>
        <v>0</v>
      </c>
      <c r="H1892" s="3">
        <f t="shared" si="87"/>
        <v>1858.76</v>
      </c>
      <c r="I1892" s="29">
        <f t="shared" si="88"/>
        <v>57</v>
      </c>
      <c r="J1892" s="31" t="str">
        <f t="shared" si="89"/>
        <v>31-60</v>
      </c>
      <c r="K1892"/>
    </row>
    <row r="1893" spans="1:11" x14ac:dyDescent="0.3">
      <c r="A1893" s="21" t="s">
        <v>79</v>
      </c>
      <c r="B1893" t="str">
        <f>VLOOKUP(A1893,Customers!A:B,2,FALSE)</f>
        <v>RetailBoostX</v>
      </c>
      <c r="C1893" s="25" t="s">
        <v>2260</v>
      </c>
      <c r="D1893" s="11">
        <v>46107</v>
      </c>
      <c r="E1893" s="11">
        <v>46137</v>
      </c>
      <c r="F1893" s="5">
        <v>4730.49</v>
      </c>
      <c r="G1893" s="3">
        <f>SUMIF(Customer_Payments!B:B,C1893,Customer_Payments!E:E)</f>
        <v>4730.49</v>
      </c>
      <c r="H1893" s="3">
        <f t="shared" si="87"/>
        <v>0</v>
      </c>
      <c r="I1893" s="29">
        <f t="shared" si="88"/>
        <v>-46</v>
      </c>
      <c r="J1893" s="31" t="str">
        <f t="shared" si="89"/>
        <v>Current</v>
      </c>
      <c r="K1893"/>
    </row>
    <row r="1894" spans="1:11" x14ac:dyDescent="0.3">
      <c r="A1894" s="20" t="s">
        <v>102</v>
      </c>
      <c r="B1894" t="str">
        <f>VLOOKUP(A1894,Customers!A:B,2,FALSE)</f>
        <v>RetailPrimePro</v>
      </c>
      <c r="C1894" s="24" t="s">
        <v>2261</v>
      </c>
      <c r="D1894" s="10">
        <v>45973</v>
      </c>
      <c r="E1894" s="10">
        <v>46003</v>
      </c>
      <c r="F1894" s="4">
        <v>10318.64</v>
      </c>
      <c r="G1894" s="3">
        <f>SUMIF(Customer_Payments!B:B,C1894,Customer_Payments!E:E)</f>
        <v>10318.64</v>
      </c>
      <c r="H1894" s="3">
        <f t="shared" si="87"/>
        <v>0</v>
      </c>
      <c r="I1894" s="29">
        <f t="shared" si="88"/>
        <v>88</v>
      </c>
      <c r="J1894" s="31" t="str">
        <f t="shared" si="89"/>
        <v>61-90</v>
      </c>
      <c r="K1894"/>
    </row>
    <row r="1895" spans="1:11" x14ac:dyDescent="0.3">
      <c r="A1895" s="21" t="s">
        <v>50</v>
      </c>
      <c r="B1895" t="str">
        <f>VLOOKUP(A1895,Customers!A:B,2,FALSE)</f>
        <v>RetailNexus</v>
      </c>
      <c r="C1895" s="25" t="s">
        <v>2262</v>
      </c>
      <c r="D1895" s="11">
        <v>46090</v>
      </c>
      <c r="E1895" s="11">
        <v>46120</v>
      </c>
      <c r="F1895" s="5">
        <v>3777.99</v>
      </c>
      <c r="G1895" s="3">
        <f>SUMIF(Customer_Payments!B:B,C1895,Customer_Payments!E:E)</f>
        <v>3777.99</v>
      </c>
      <c r="H1895" s="3">
        <f t="shared" si="87"/>
        <v>0</v>
      </c>
      <c r="I1895" s="29">
        <f t="shared" si="88"/>
        <v>-29</v>
      </c>
      <c r="J1895" s="31" t="str">
        <f t="shared" si="89"/>
        <v>Current</v>
      </c>
      <c r="K1895"/>
    </row>
    <row r="1896" spans="1:11" x14ac:dyDescent="0.3">
      <c r="A1896" s="20" t="s">
        <v>26</v>
      </c>
      <c r="B1896" t="str">
        <f>VLOOKUP(A1896,Customers!A:B,2,FALSE)</f>
        <v>NovaRetail</v>
      </c>
      <c r="C1896" s="24" t="s">
        <v>2263</v>
      </c>
      <c r="D1896" s="10">
        <v>46097</v>
      </c>
      <c r="E1896" s="10">
        <v>46127</v>
      </c>
      <c r="F1896" s="4">
        <v>13350.71</v>
      </c>
      <c r="G1896" s="3">
        <f>SUMIF(Customer_Payments!B:B,C1896,Customer_Payments!E:E)</f>
        <v>13350.71</v>
      </c>
      <c r="H1896" s="3">
        <f t="shared" si="87"/>
        <v>0</v>
      </c>
      <c r="I1896" s="29">
        <f t="shared" si="88"/>
        <v>-36</v>
      </c>
      <c r="J1896" s="31" t="str">
        <f t="shared" si="89"/>
        <v>Current</v>
      </c>
      <c r="K1896"/>
    </row>
    <row r="1897" spans="1:11" x14ac:dyDescent="0.3">
      <c r="A1897" s="21" t="s">
        <v>71</v>
      </c>
      <c r="B1897" t="str">
        <f>VLOOKUP(A1897,Customers!A:B,2,FALSE)</f>
        <v>RetailPulse</v>
      </c>
      <c r="C1897" s="25" t="s">
        <v>2264</v>
      </c>
      <c r="D1897" s="11">
        <v>45979</v>
      </c>
      <c r="E1897" s="11">
        <v>46009</v>
      </c>
      <c r="F1897" s="5">
        <v>3457.39</v>
      </c>
      <c r="G1897" s="3">
        <f>SUMIF(Customer_Payments!B:B,C1897,Customer_Payments!E:E)</f>
        <v>0</v>
      </c>
      <c r="H1897" s="3">
        <f t="shared" si="87"/>
        <v>3457.39</v>
      </c>
      <c r="I1897" s="29">
        <f t="shared" si="88"/>
        <v>82</v>
      </c>
      <c r="J1897" s="31" t="str">
        <f t="shared" si="89"/>
        <v>61-90</v>
      </c>
      <c r="K1897"/>
    </row>
    <row r="1898" spans="1:11" x14ac:dyDescent="0.3">
      <c r="A1898" s="20" t="s">
        <v>119</v>
      </c>
      <c r="B1898" t="str">
        <f>VLOOKUP(A1898,Customers!A:B,2,FALSE)</f>
        <v>RetailNovaGlobal</v>
      </c>
      <c r="C1898" s="24" t="s">
        <v>2265</v>
      </c>
      <c r="D1898" s="10">
        <v>46095</v>
      </c>
      <c r="E1898" s="10">
        <v>46125</v>
      </c>
      <c r="F1898" s="4">
        <v>4021.74</v>
      </c>
      <c r="G1898" s="3">
        <f>SUMIF(Customer_Payments!B:B,C1898,Customer_Payments!E:E)</f>
        <v>4021.74</v>
      </c>
      <c r="H1898" s="3">
        <f t="shared" si="87"/>
        <v>0</v>
      </c>
      <c r="I1898" s="29">
        <f t="shared" si="88"/>
        <v>-34</v>
      </c>
      <c r="J1898" s="31" t="str">
        <f t="shared" si="89"/>
        <v>Current</v>
      </c>
      <c r="K1898"/>
    </row>
    <row r="1899" spans="1:11" x14ac:dyDescent="0.3">
      <c r="A1899" s="21" t="s">
        <v>71</v>
      </c>
      <c r="B1899" t="str">
        <f>VLOOKUP(A1899,Customers!A:B,2,FALSE)</f>
        <v>RetailPulse</v>
      </c>
      <c r="C1899" s="25" t="s">
        <v>2266</v>
      </c>
      <c r="D1899" s="11">
        <v>46014</v>
      </c>
      <c r="E1899" s="11">
        <v>46044</v>
      </c>
      <c r="F1899" s="5">
        <v>12259.95</v>
      </c>
      <c r="G1899" s="3">
        <f>SUMIF(Customer_Payments!B:B,C1899,Customer_Payments!E:E)</f>
        <v>0</v>
      </c>
      <c r="H1899" s="3">
        <f t="shared" si="87"/>
        <v>12259.95</v>
      </c>
      <c r="I1899" s="29">
        <f t="shared" si="88"/>
        <v>47</v>
      </c>
      <c r="J1899" s="31" t="str">
        <f t="shared" si="89"/>
        <v>31-60</v>
      </c>
      <c r="K1899"/>
    </row>
    <row r="1900" spans="1:11" x14ac:dyDescent="0.3">
      <c r="A1900" s="20" t="s">
        <v>18</v>
      </c>
      <c r="B1900" t="str">
        <f>VLOOKUP(A1900,Customers!A:B,2,FALSE)</f>
        <v>BluePeak Systems</v>
      </c>
      <c r="C1900" s="24" t="s">
        <v>2267</v>
      </c>
      <c r="D1900" s="10">
        <v>45967</v>
      </c>
      <c r="E1900" s="10">
        <v>45997</v>
      </c>
      <c r="F1900" s="4">
        <v>2709.35</v>
      </c>
      <c r="G1900" s="3">
        <f>SUMIF(Customer_Payments!B:B,C1900,Customer_Payments!E:E)</f>
        <v>2709.35</v>
      </c>
      <c r="H1900" s="3">
        <f t="shared" si="87"/>
        <v>0</v>
      </c>
      <c r="I1900" s="29">
        <f t="shared" si="88"/>
        <v>94</v>
      </c>
      <c r="J1900" s="31" t="str">
        <f t="shared" si="89"/>
        <v>90+</v>
      </c>
      <c r="K1900"/>
    </row>
    <row r="1901" spans="1:11" x14ac:dyDescent="0.3">
      <c r="A1901" s="21" t="s">
        <v>86</v>
      </c>
      <c r="B1901" t="str">
        <f>VLOOKUP(A1901,Customers!A:B,2,FALSE)</f>
        <v>RetailNextX</v>
      </c>
      <c r="C1901" s="25" t="s">
        <v>2268</v>
      </c>
      <c r="D1901" s="11">
        <v>46052</v>
      </c>
      <c r="E1901" s="11">
        <v>46082</v>
      </c>
      <c r="F1901" s="5">
        <v>3328.58</v>
      </c>
      <c r="G1901" s="3">
        <f>SUMIF(Customer_Payments!B:B,C1901,Customer_Payments!E:E)</f>
        <v>3328.58</v>
      </c>
      <c r="H1901" s="3">
        <f t="shared" si="87"/>
        <v>0</v>
      </c>
      <c r="I1901" s="29">
        <f t="shared" si="88"/>
        <v>9</v>
      </c>
      <c r="J1901" s="31" t="str">
        <f t="shared" si="89"/>
        <v>1-30</v>
      </c>
      <c r="K1901"/>
    </row>
    <row r="1902" spans="1:11" x14ac:dyDescent="0.3">
      <c r="A1902" s="20" t="s">
        <v>84</v>
      </c>
      <c r="B1902" t="str">
        <f>VLOOKUP(A1902,Customers!A:B,2,FALSE)</f>
        <v>RetailVisionX</v>
      </c>
      <c r="C1902" s="24" t="s">
        <v>2269</v>
      </c>
      <c r="D1902" s="10">
        <v>46073</v>
      </c>
      <c r="E1902" s="10">
        <v>46103</v>
      </c>
      <c r="F1902" s="4">
        <v>2662.69</v>
      </c>
      <c r="G1902" s="3">
        <f>SUMIF(Customer_Payments!B:B,C1902,Customer_Payments!E:E)</f>
        <v>0</v>
      </c>
      <c r="H1902" s="3">
        <f t="shared" si="87"/>
        <v>2662.69</v>
      </c>
      <c r="I1902" s="29">
        <f t="shared" si="88"/>
        <v>-12</v>
      </c>
      <c r="J1902" s="31" t="str">
        <f t="shared" si="89"/>
        <v>Current</v>
      </c>
      <c r="K1902"/>
    </row>
    <row r="1903" spans="1:11" x14ac:dyDescent="0.3">
      <c r="A1903" s="21" t="s">
        <v>89</v>
      </c>
      <c r="B1903" t="str">
        <f>VLOOKUP(A1903,Customers!A:B,2,FALSE)</f>
        <v>RetailAxisX</v>
      </c>
      <c r="C1903" s="25" t="s">
        <v>2270</v>
      </c>
      <c r="D1903" s="11">
        <v>45967</v>
      </c>
      <c r="E1903" s="11">
        <v>45997</v>
      </c>
      <c r="F1903" s="5">
        <v>3379.87</v>
      </c>
      <c r="G1903" s="3">
        <f>SUMIF(Customer_Payments!B:B,C1903,Customer_Payments!E:E)</f>
        <v>3379.87</v>
      </c>
      <c r="H1903" s="3">
        <f t="shared" si="87"/>
        <v>0</v>
      </c>
      <c r="I1903" s="29">
        <f t="shared" si="88"/>
        <v>94</v>
      </c>
      <c r="J1903" s="31" t="str">
        <f t="shared" si="89"/>
        <v>90+</v>
      </c>
      <c r="K1903"/>
    </row>
    <row r="1904" spans="1:11" x14ac:dyDescent="0.3">
      <c r="A1904" s="20" t="s">
        <v>89</v>
      </c>
      <c r="B1904" t="str">
        <f>VLOOKUP(A1904,Customers!A:B,2,FALSE)</f>
        <v>RetailAxisX</v>
      </c>
      <c r="C1904" s="24" t="s">
        <v>2271</v>
      </c>
      <c r="D1904" s="10">
        <v>45993</v>
      </c>
      <c r="E1904" s="10">
        <v>46023</v>
      </c>
      <c r="F1904" s="4">
        <v>13570.82</v>
      </c>
      <c r="G1904" s="3">
        <f>SUMIF(Customer_Payments!B:B,C1904,Customer_Payments!E:E)</f>
        <v>0</v>
      </c>
      <c r="H1904" s="3">
        <f t="shared" si="87"/>
        <v>13570.82</v>
      </c>
      <c r="I1904" s="29">
        <f t="shared" si="88"/>
        <v>68</v>
      </c>
      <c r="J1904" s="31" t="str">
        <f t="shared" si="89"/>
        <v>61-90</v>
      </c>
      <c r="K1904"/>
    </row>
    <row r="1905" spans="1:11" x14ac:dyDescent="0.3">
      <c r="A1905" s="21" t="s">
        <v>84</v>
      </c>
      <c r="B1905" t="str">
        <f>VLOOKUP(A1905,Customers!A:B,2,FALSE)</f>
        <v>RetailVisionX</v>
      </c>
      <c r="C1905" s="25" t="s">
        <v>2272</v>
      </c>
      <c r="D1905" s="11">
        <v>46031</v>
      </c>
      <c r="E1905" s="11">
        <v>46061</v>
      </c>
      <c r="F1905" s="5">
        <v>10534.71</v>
      </c>
      <c r="G1905" s="3">
        <f>SUMIF(Customer_Payments!B:B,C1905,Customer_Payments!E:E)</f>
        <v>10534.71</v>
      </c>
      <c r="H1905" s="3">
        <f t="shared" si="87"/>
        <v>0</v>
      </c>
      <c r="I1905" s="29">
        <f t="shared" si="88"/>
        <v>30</v>
      </c>
      <c r="J1905" s="31" t="str">
        <f t="shared" si="89"/>
        <v>1-30</v>
      </c>
      <c r="K1905"/>
    </row>
    <row r="1906" spans="1:11" x14ac:dyDescent="0.3">
      <c r="A1906" s="20" t="s">
        <v>15</v>
      </c>
      <c r="B1906" t="str">
        <f>VLOOKUP(A1906,Customers!A:B,2,FALSE)</f>
        <v>CloudScale</v>
      </c>
      <c r="C1906" s="24" t="s">
        <v>2273</v>
      </c>
      <c r="D1906" s="10">
        <v>46039</v>
      </c>
      <c r="E1906" s="10">
        <v>46069</v>
      </c>
      <c r="F1906" s="4">
        <v>2028.05</v>
      </c>
      <c r="G1906" s="3">
        <f>SUMIF(Customer_Payments!B:B,C1906,Customer_Payments!E:E)</f>
        <v>2028.05</v>
      </c>
      <c r="H1906" s="3">
        <f t="shared" si="87"/>
        <v>0</v>
      </c>
      <c r="I1906" s="29">
        <f t="shared" si="88"/>
        <v>22</v>
      </c>
      <c r="J1906" s="31" t="str">
        <f t="shared" si="89"/>
        <v>1-30</v>
      </c>
      <c r="K1906"/>
    </row>
    <row r="1907" spans="1:11" x14ac:dyDescent="0.3">
      <c r="A1907" s="21" t="s">
        <v>32</v>
      </c>
      <c r="B1907" t="str">
        <f>VLOOKUP(A1907,Customers!A:B,2,FALSE)</f>
        <v>RetailVista</v>
      </c>
      <c r="C1907" s="25" t="s">
        <v>2274</v>
      </c>
      <c r="D1907" s="11">
        <v>45964</v>
      </c>
      <c r="E1907" s="11">
        <v>45994</v>
      </c>
      <c r="F1907" s="5">
        <v>5194.22</v>
      </c>
      <c r="G1907" s="3">
        <f>SUMIF(Customer_Payments!B:B,C1907,Customer_Payments!E:E)</f>
        <v>5194.22</v>
      </c>
      <c r="H1907" s="3">
        <f t="shared" si="87"/>
        <v>0</v>
      </c>
      <c r="I1907" s="29">
        <f t="shared" si="88"/>
        <v>97</v>
      </c>
      <c r="J1907" s="31" t="str">
        <f t="shared" si="89"/>
        <v>90+</v>
      </c>
      <c r="K1907"/>
    </row>
    <row r="1908" spans="1:11" x14ac:dyDescent="0.3">
      <c r="A1908" s="20" t="s">
        <v>79</v>
      </c>
      <c r="B1908" t="str">
        <f>VLOOKUP(A1908,Customers!A:B,2,FALSE)</f>
        <v>RetailBoostX</v>
      </c>
      <c r="C1908" s="24" t="s">
        <v>2275</v>
      </c>
      <c r="D1908" s="10">
        <v>45973</v>
      </c>
      <c r="E1908" s="10">
        <v>46003</v>
      </c>
      <c r="F1908" s="4">
        <v>2109.0300000000002</v>
      </c>
      <c r="G1908" s="3">
        <f>SUMIF(Customer_Payments!B:B,C1908,Customer_Payments!E:E)</f>
        <v>2109.0300000000002</v>
      </c>
      <c r="H1908" s="3">
        <f t="shared" si="87"/>
        <v>0</v>
      </c>
      <c r="I1908" s="29">
        <f t="shared" si="88"/>
        <v>88</v>
      </c>
      <c r="J1908" s="31" t="str">
        <f t="shared" si="89"/>
        <v>61-90</v>
      </c>
      <c r="K1908"/>
    </row>
    <row r="1909" spans="1:11" x14ac:dyDescent="0.3">
      <c r="A1909" s="21" t="s">
        <v>47</v>
      </c>
      <c r="B1909" t="str">
        <f>VLOOKUP(A1909,Customers!A:B,2,FALSE)</f>
        <v>SmartRetail</v>
      </c>
      <c r="C1909" s="25" t="s">
        <v>2276</v>
      </c>
      <c r="D1909" s="11">
        <v>46042</v>
      </c>
      <c r="E1909" s="11">
        <v>46072</v>
      </c>
      <c r="F1909" s="5">
        <v>2862.82</v>
      </c>
      <c r="G1909" s="3">
        <f>SUMIF(Customer_Payments!B:B,C1909,Customer_Payments!E:E)</f>
        <v>2862.82</v>
      </c>
      <c r="H1909" s="3">
        <f t="shared" si="87"/>
        <v>0</v>
      </c>
      <c r="I1909" s="29">
        <f t="shared" si="88"/>
        <v>19</v>
      </c>
      <c r="J1909" s="31" t="str">
        <f t="shared" si="89"/>
        <v>1-30</v>
      </c>
      <c r="K1909"/>
    </row>
    <row r="1910" spans="1:11" x14ac:dyDescent="0.3">
      <c r="A1910" s="20" t="s">
        <v>57</v>
      </c>
      <c r="B1910" t="str">
        <f>VLOOKUP(A1910,Customers!A:B,2,FALSE)</f>
        <v>MarketGenius</v>
      </c>
      <c r="C1910" s="24" t="s">
        <v>2277</v>
      </c>
      <c r="D1910" s="10">
        <v>46053</v>
      </c>
      <c r="E1910" s="10">
        <v>46083</v>
      </c>
      <c r="F1910" s="4">
        <v>3532.21</v>
      </c>
      <c r="G1910" s="3">
        <f>SUMIF(Customer_Payments!B:B,C1910,Customer_Payments!E:E)</f>
        <v>0</v>
      </c>
      <c r="H1910" s="3">
        <f t="shared" si="87"/>
        <v>3532.21</v>
      </c>
      <c r="I1910" s="29">
        <f t="shared" si="88"/>
        <v>8</v>
      </c>
      <c r="J1910" s="31" t="str">
        <f t="shared" si="89"/>
        <v>1-30</v>
      </c>
      <c r="K1910"/>
    </row>
    <row r="1911" spans="1:11" x14ac:dyDescent="0.3">
      <c r="A1911" s="21" t="s">
        <v>23</v>
      </c>
      <c r="B1911" t="str">
        <f>VLOOKUP(A1911,Customers!A:B,2,FALSE)</f>
        <v>VertexCommerce</v>
      </c>
      <c r="C1911" s="25" t="s">
        <v>2278</v>
      </c>
      <c r="D1911" s="11">
        <v>46069</v>
      </c>
      <c r="E1911" s="11">
        <v>46099</v>
      </c>
      <c r="F1911" s="5">
        <v>3072.84</v>
      </c>
      <c r="G1911" s="3">
        <f>SUMIF(Customer_Payments!B:B,C1911,Customer_Payments!E:E)</f>
        <v>3072.84</v>
      </c>
      <c r="H1911" s="3">
        <f t="shared" si="87"/>
        <v>0</v>
      </c>
      <c r="I1911" s="29">
        <f t="shared" si="88"/>
        <v>-8</v>
      </c>
      <c r="J1911" s="31" t="str">
        <f t="shared" si="89"/>
        <v>Current</v>
      </c>
      <c r="K1911"/>
    </row>
    <row r="1912" spans="1:11" x14ac:dyDescent="0.3">
      <c r="A1912" s="20" t="s">
        <v>71</v>
      </c>
      <c r="B1912" t="str">
        <f>VLOOKUP(A1912,Customers!A:B,2,FALSE)</f>
        <v>RetailPulse</v>
      </c>
      <c r="C1912" s="24" t="s">
        <v>2279</v>
      </c>
      <c r="D1912" s="10">
        <v>46102</v>
      </c>
      <c r="E1912" s="10">
        <v>46132</v>
      </c>
      <c r="F1912" s="4">
        <v>1925.77</v>
      </c>
      <c r="G1912" s="3">
        <f>SUMIF(Customer_Payments!B:B,C1912,Customer_Payments!E:E)</f>
        <v>0</v>
      </c>
      <c r="H1912" s="3">
        <f t="shared" si="87"/>
        <v>1925.77</v>
      </c>
      <c r="I1912" s="29">
        <f t="shared" si="88"/>
        <v>-41</v>
      </c>
      <c r="J1912" s="31" t="str">
        <f t="shared" si="89"/>
        <v>Current</v>
      </c>
      <c r="K1912"/>
    </row>
    <row r="1913" spans="1:11" x14ac:dyDescent="0.3">
      <c r="A1913" s="21" t="s">
        <v>108</v>
      </c>
      <c r="B1913" t="str">
        <f>VLOOKUP(A1913,Customers!A:B,2,FALSE)</f>
        <v>RetailNextPro</v>
      </c>
      <c r="C1913" s="25" t="s">
        <v>2280</v>
      </c>
      <c r="D1913" s="11">
        <v>46055</v>
      </c>
      <c r="E1913" s="11">
        <v>46085</v>
      </c>
      <c r="F1913" s="5">
        <v>3002.61</v>
      </c>
      <c r="G1913" s="3">
        <f>SUMIF(Customer_Payments!B:B,C1913,Customer_Payments!E:E)</f>
        <v>3002.61</v>
      </c>
      <c r="H1913" s="3">
        <f t="shared" si="87"/>
        <v>0</v>
      </c>
      <c r="I1913" s="29">
        <f t="shared" si="88"/>
        <v>6</v>
      </c>
      <c r="J1913" s="31" t="str">
        <f t="shared" si="89"/>
        <v>1-30</v>
      </c>
      <c r="K1913"/>
    </row>
    <row r="1914" spans="1:11" x14ac:dyDescent="0.3">
      <c r="A1914" s="20" t="s">
        <v>26</v>
      </c>
      <c r="B1914" t="str">
        <f>VLOOKUP(A1914,Customers!A:B,2,FALSE)</f>
        <v>NovaRetail</v>
      </c>
      <c r="C1914" s="24" t="s">
        <v>2281</v>
      </c>
      <c r="D1914" s="10">
        <v>45970</v>
      </c>
      <c r="E1914" s="10">
        <v>46000</v>
      </c>
      <c r="F1914" s="4">
        <v>11889.37</v>
      </c>
      <c r="G1914" s="3">
        <f>SUMIF(Customer_Payments!B:B,C1914,Customer_Payments!E:E)</f>
        <v>11889.37</v>
      </c>
      <c r="H1914" s="3">
        <f t="shared" si="87"/>
        <v>0</v>
      </c>
      <c r="I1914" s="29">
        <f t="shared" si="88"/>
        <v>91</v>
      </c>
      <c r="J1914" s="31" t="str">
        <f t="shared" si="89"/>
        <v>90+</v>
      </c>
      <c r="K1914"/>
    </row>
    <row r="1915" spans="1:11" x14ac:dyDescent="0.3">
      <c r="A1915" s="21" t="s">
        <v>98</v>
      </c>
      <c r="B1915" t="str">
        <f>VLOOKUP(A1915,Customers!A:B,2,FALSE)</f>
        <v>RetailEdgePro</v>
      </c>
      <c r="C1915" s="25" t="s">
        <v>2282</v>
      </c>
      <c r="D1915" s="11">
        <v>46040</v>
      </c>
      <c r="E1915" s="11">
        <v>46070</v>
      </c>
      <c r="F1915" s="5">
        <v>1773.44</v>
      </c>
      <c r="G1915" s="3">
        <f>SUMIF(Customer_Payments!B:B,C1915,Customer_Payments!E:E)</f>
        <v>1773.44</v>
      </c>
      <c r="H1915" s="3">
        <f t="shared" si="87"/>
        <v>0</v>
      </c>
      <c r="I1915" s="29">
        <f t="shared" si="88"/>
        <v>21</v>
      </c>
      <c r="J1915" s="31" t="str">
        <f t="shared" si="89"/>
        <v>1-30</v>
      </c>
      <c r="K1915"/>
    </row>
    <row r="1916" spans="1:11" x14ac:dyDescent="0.3">
      <c r="A1916" s="20" t="s">
        <v>105</v>
      </c>
      <c r="B1916" t="str">
        <f>VLOOKUP(A1916,Customers!A:B,2,FALSE)</f>
        <v>RetailFlowPro</v>
      </c>
      <c r="C1916" s="24" t="s">
        <v>2283</v>
      </c>
      <c r="D1916" s="10">
        <v>45962</v>
      </c>
      <c r="E1916" s="10">
        <v>45992</v>
      </c>
      <c r="F1916" s="4">
        <v>5768.8</v>
      </c>
      <c r="G1916" s="3">
        <f>SUMIF(Customer_Payments!B:B,C1916,Customer_Payments!E:E)</f>
        <v>5768.8</v>
      </c>
      <c r="H1916" s="3">
        <f t="shared" si="87"/>
        <v>0</v>
      </c>
      <c r="I1916" s="29">
        <f t="shared" si="88"/>
        <v>99</v>
      </c>
      <c r="J1916" s="31" t="str">
        <f t="shared" si="89"/>
        <v>90+</v>
      </c>
      <c r="K1916"/>
    </row>
    <row r="1917" spans="1:11" x14ac:dyDescent="0.3">
      <c r="A1917" s="21" t="s">
        <v>84</v>
      </c>
      <c r="B1917" t="str">
        <f>VLOOKUP(A1917,Customers!A:B,2,FALSE)</f>
        <v>RetailVisionX</v>
      </c>
      <c r="C1917" s="25" t="s">
        <v>2284</v>
      </c>
      <c r="D1917" s="11">
        <v>45970</v>
      </c>
      <c r="E1917" s="11">
        <v>46000</v>
      </c>
      <c r="F1917" s="5">
        <v>1555.95</v>
      </c>
      <c r="G1917" s="3">
        <f>SUMIF(Customer_Payments!B:B,C1917,Customer_Payments!E:E)</f>
        <v>0</v>
      </c>
      <c r="H1917" s="3">
        <f t="shared" si="87"/>
        <v>1555.95</v>
      </c>
      <c r="I1917" s="29">
        <f t="shared" si="88"/>
        <v>91</v>
      </c>
      <c r="J1917" s="31" t="str">
        <f t="shared" si="89"/>
        <v>90+</v>
      </c>
      <c r="K1917"/>
    </row>
    <row r="1918" spans="1:11" x14ac:dyDescent="0.3">
      <c r="A1918" s="20" t="s">
        <v>23</v>
      </c>
      <c r="B1918" t="str">
        <f>VLOOKUP(A1918,Customers!A:B,2,FALSE)</f>
        <v>VertexCommerce</v>
      </c>
      <c r="C1918" s="24" t="s">
        <v>2285</v>
      </c>
      <c r="D1918" s="10">
        <v>46084</v>
      </c>
      <c r="E1918" s="10">
        <v>46114</v>
      </c>
      <c r="F1918" s="4">
        <v>1816.77</v>
      </c>
      <c r="G1918" s="3">
        <f>SUMIF(Customer_Payments!B:B,C1918,Customer_Payments!E:E)</f>
        <v>1816.77</v>
      </c>
      <c r="H1918" s="3">
        <f t="shared" si="87"/>
        <v>0</v>
      </c>
      <c r="I1918" s="29">
        <f t="shared" si="88"/>
        <v>-23</v>
      </c>
      <c r="J1918" s="31" t="str">
        <f t="shared" si="89"/>
        <v>Current</v>
      </c>
      <c r="K1918"/>
    </row>
    <row r="1919" spans="1:11" x14ac:dyDescent="0.3">
      <c r="A1919" s="21" t="s">
        <v>98</v>
      </c>
      <c r="B1919" t="str">
        <f>VLOOKUP(A1919,Customers!A:B,2,FALSE)</f>
        <v>RetailEdgePro</v>
      </c>
      <c r="C1919" s="25" t="s">
        <v>2286</v>
      </c>
      <c r="D1919" s="11">
        <v>46103</v>
      </c>
      <c r="E1919" s="11">
        <v>46133</v>
      </c>
      <c r="F1919" s="5">
        <v>2290.84</v>
      </c>
      <c r="G1919" s="3">
        <f>SUMIF(Customer_Payments!B:B,C1919,Customer_Payments!E:E)</f>
        <v>2290.84</v>
      </c>
      <c r="H1919" s="3">
        <f t="shared" si="87"/>
        <v>0</v>
      </c>
      <c r="I1919" s="29">
        <f t="shared" si="88"/>
        <v>-42</v>
      </c>
      <c r="J1919" s="31" t="str">
        <f t="shared" si="89"/>
        <v>Current</v>
      </c>
      <c r="K1919"/>
    </row>
    <row r="1920" spans="1:11" x14ac:dyDescent="0.3">
      <c r="A1920" s="20" t="s">
        <v>26</v>
      </c>
      <c r="B1920" t="str">
        <f>VLOOKUP(A1920,Customers!A:B,2,FALSE)</f>
        <v>NovaRetail</v>
      </c>
      <c r="C1920" s="24" t="s">
        <v>2287</v>
      </c>
      <c r="D1920" s="10">
        <v>46018</v>
      </c>
      <c r="E1920" s="10">
        <v>46048</v>
      </c>
      <c r="F1920" s="4">
        <v>1719.1</v>
      </c>
      <c r="G1920" s="3">
        <f>SUMIF(Customer_Payments!B:B,C1920,Customer_Payments!E:E)</f>
        <v>1719.1</v>
      </c>
      <c r="H1920" s="3">
        <f t="shared" si="87"/>
        <v>0</v>
      </c>
      <c r="I1920" s="29">
        <f t="shared" si="88"/>
        <v>43</v>
      </c>
      <c r="J1920" s="31" t="str">
        <f t="shared" si="89"/>
        <v>31-60</v>
      </c>
      <c r="K1920"/>
    </row>
    <row r="1921" spans="1:11" x14ac:dyDescent="0.3">
      <c r="A1921" s="21" t="s">
        <v>25</v>
      </c>
      <c r="B1921" t="str">
        <f>VLOOKUP(A1921,Customers!A:B,2,FALSE)</f>
        <v>OrbitEdge</v>
      </c>
      <c r="C1921" s="25" t="s">
        <v>2288</v>
      </c>
      <c r="D1921" s="11">
        <v>45972</v>
      </c>
      <c r="E1921" s="11">
        <v>46002</v>
      </c>
      <c r="F1921" s="5">
        <v>3678.91</v>
      </c>
      <c r="G1921" s="3">
        <f>SUMIF(Customer_Payments!B:B,C1921,Customer_Payments!E:E)</f>
        <v>0</v>
      </c>
      <c r="H1921" s="3">
        <f t="shared" si="87"/>
        <v>3678.91</v>
      </c>
      <c r="I1921" s="29">
        <f t="shared" si="88"/>
        <v>89</v>
      </c>
      <c r="J1921" s="31" t="str">
        <f t="shared" si="89"/>
        <v>61-90</v>
      </c>
      <c r="K1921"/>
    </row>
    <row r="1922" spans="1:11" x14ac:dyDescent="0.3">
      <c r="A1922" s="20" t="s">
        <v>65</v>
      </c>
      <c r="B1922" t="str">
        <f>VLOOKUP(A1922,Customers!A:B,2,FALSE)</f>
        <v>RetailFlow</v>
      </c>
      <c r="C1922" s="24" t="s">
        <v>2289</v>
      </c>
      <c r="D1922" s="10">
        <v>46089</v>
      </c>
      <c r="E1922" s="10">
        <v>46119</v>
      </c>
      <c r="F1922" s="4">
        <v>2547.14</v>
      </c>
      <c r="G1922" s="3">
        <f>SUMIF(Customer_Payments!B:B,C1922,Customer_Payments!E:E)</f>
        <v>2547.14</v>
      </c>
      <c r="H1922" s="3">
        <f t="shared" ref="H1922:H1985" si="90">MAX(F1922-G1922,0)</f>
        <v>0</v>
      </c>
      <c r="I1922" s="29">
        <f t="shared" ref="I1922:I1985" si="91">$L$2-E1922</f>
        <v>-28</v>
      </c>
      <c r="J1922" s="31" t="str">
        <f t="shared" si="89"/>
        <v>Current</v>
      </c>
      <c r="K1922"/>
    </row>
    <row r="1923" spans="1:11" x14ac:dyDescent="0.3">
      <c r="A1923" s="21" t="s">
        <v>80</v>
      </c>
      <c r="B1923" t="str">
        <f>VLOOKUP(A1923,Customers!A:B,2,FALSE)</f>
        <v>RetailEdgeX</v>
      </c>
      <c r="C1923" s="25" t="s">
        <v>2290</v>
      </c>
      <c r="D1923" s="11">
        <v>46103</v>
      </c>
      <c r="E1923" s="11">
        <v>46133</v>
      </c>
      <c r="F1923" s="5">
        <v>2169.7199999999998</v>
      </c>
      <c r="G1923" s="3">
        <f>SUMIF(Customer_Payments!B:B,C1923,Customer_Payments!E:E)</f>
        <v>2169.7199999999998</v>
      </c>
      <c r="H1923" s="3">
        <f t="shared" si="90"/>
        <v>0</v>
      </c>
      <c r="I1923" s="29">
        <f t="shared" si="91"/>
        <v>-42</v>
      </c>
      <c r="J1923" s="31" t="str">
        <f t="shared" ref="J1923:J1986" si="92">IF(I1923&lt;=0,"Current",
IF(I1923&lt;=30,"1-30",
IF(I1923&lt;=60,"31-60",
IF(I1923&lt;=90,"61-90","90+"))))</f>
        <v>Current</v>
      </c>
      <c r="K1923"/>
    </row>
    <row r="1924" spans="1:11" x14ac:dyDescent="0.3">
      <c r="A1924" s="20" t="s">
        <v>65</v>
      </c>
      <c r="B1924" t="str">
        <f>VLOOKUP(A1924,Customers!A:B,2,FALSE)</f>
        <v>RetailFlow</v>
      </c>
      <c r="C1924" s="24" t="s">
        <v>2291</v>
      </c>
      <c r="D1924" s="10">
        <v>45988</v>
      </c>
      <c r="E1924" s="10">
        <v>46018</v>
      </c>
      <c r="F1924" s="4">
        <v>2353.37</v>
      </c>
      <c r="G1924" s="3">
        <f>SUMIF(Customer_Payments!B:B,C1924,Customer_Payments!E:E)</f>
        <v>2353.37</v>
      </c>
      <c r="H1924" s="3">
        <f t="shared" si="90"/>
        <v>0</v>
      </c>
      <c r="I1924" s="29">
        <f t="shared" si="91"/>
        <v>73</v>
      </c>
      <c r="J1924" s="31" t="str">
        <f t="shared" si="92"/>
        <v>61-90</v>
      </c>
      <c r="K1924"/>
    </row>
    <row r="1925" spans="1:11" x14ac:dyDescent="0.3">
      <c r="A1925" s="21" t="s">
        <v>24</v>
      </c>
      <c r="B1925" t="str">
        <f>VLOOKUP(A1925,Customers!A:B,2,FALSE)</f>
        <v>OmniTrade</v>
      </c>
      <c r="C1925" s="25" t="s">
        <v>2292</v>
      </c>
      <c r="D1925" s="11">
        <v>46089</v>
      </c>
      <c r="E1925" s="11">
        <v>46119</v>
      </c>
      <c r="F1925" s="5">
        <v>2986.14</v>
      </c>
      <c r="G1925" s="3">
        <f>SUMIF(Customer_Payments!B:B,C1925,Customer_Payments!E:E)</f>
        <v>2986.14</v>
      </c>
      <c r="H1925" s="3">
        <f t="shared" si="90"/>
        <v>0</v>
      </c>
      <c r="I1925" s="29">
        <f t="shared" si="91"/>
        <v>-28</v>
      </c>
      <c r="J1925" s="31" t="str">
        <f t="shared" si="92"/>
        <v>Current</v>
      </c>
      <c r="K1925"/>
    </row>
    <row r="1926" spans="1:11" x14ac:dyDescent="0.3">
      <c r="A1926" s="20" t="s">
        <v>43</v>
      </c>
      <c r="B1926" t="str">
        <f>VLOOKUP(A1926,Customers!A:B,2,FALSE)</f>
        <v>CommerceSpark</v>
      </c>
      <c r="C1926" s="24" t="s">
        <v>2293</v>
      </c>
      <c r="D1926" s="10">
        <v>46091</v>
      </c>
      <c r="E1926" s="10">
        <v>46121</v>
      </c>
      <c r="F1926" s="4">
        <v>3566.02</v>
      </c>
      <c r="G1926" s="3">
        <f>SUMIF(Customer_Payments!B:B,C1926,Customer_Payments!E:E)</f>
        <v>3566.0200000000004</v>
      </c>
      <c r="H1926" s="3">
        <f t="shared" si="90"/>
        <v>0</v>
      </c>
      <c r="I1926" s="29">
        <f t="shared" si="91"/>
        <v>-30</v>
      </c>
      <c r="J1926" s="31" t="str">
        <f t="shared" si="92"/>
        <v>Current</v>
      </c>
      <c r="K1926"/>
    </row>
    <row r="1927" spans="1:11" x14ac:dyDescent="0.3">
      <c r="A1927" s="21" t="s">
        <v>53</v>
      </c>
      <c r="B1927" t="str">
        <f>VLOOKUP(A1927,Customers!A:B,2,FALSE)</f>
        <v>PrimeCart</v>
      </c>
      <c r="C1927" s="25" t="s">
        <v>2294</v>
      </c>
      <c r="D1927" s="11">
        <v>46081</v>
      </c>
      <c r="E1927" s="11">
        <v>46111</v>
      </c>
      <c r="F1927" s="5">
        <v>11563.36</v>
      </c>
      <c r="G1927" s="3">
        <f>SUMIF(Customer_Payments!B:B,C1927,Customer_Payments!E:E)</f>
        <v>11563.36</v>
      </c>
      <c r="H1927" s="3">
        <f t="shared" si="90"/>
        <v>0</v>
      </c>
      <c r="I1927" s="29">
        <f t="shared" si="91"/>
        <v>-20</v>
      </c>
      <c r="J1927" s="31" t="str">
        <f t="shared" si="92"/>
        <v>Current</v>
      </c>
      <c r="K1927"/>
    </row>
    <row r="1928" spans="1:11" x14ac:dyDescent="0.3">
      <c r="A1928" s="20" t="s">
        <v>59</v>
      </c>
      <c r="B1928" t="str">
        <f>VLOOKUP(A1928,Customers!A:B,2,FALSE)</f>
        <v>MarketBridge</v>
      </c>
      <c r="C1928" s="24" t="s">
        <v>2295</v>
      </c>
      <c r="D1928" s="10">
        <v>45966</v>
      </c>
      <c r="E1928" s="10">
        <v>45996</v>
      </c>
      <c r="F1928" s="4">
        <v>3982.77</v>
      </c>
      <c r="G1928" s="3">
        <f>SUMIF(Customer_Payments!B:B,C1928,Customer_Payments!E:E)</f>
        <v>3982.77</v>
      </c>
      <c r="H1928" s="3">
        <f t="shared" si="90"/>
        <v>0</v>
      </c>
      <c r="I1928" s="29">
        <f t="shared" si="91"/>
        <v>95</v>
      </c>
      <c r="J1928" s="31" t="str">
        <f t="shared" si="92"/>
        <v>90+</v>
      </c>
      <c r="K1928"/>
    </row>
    <row r="1929" spans="1:11" x14ac:dyDescent="0.3">
      <c r="A1929" s="21" t="s">
        <v>89</v>
      </c>
      <c r="B1929" t="str">
        <f>VLOOKUP(A1929,Customers!A:B,2,FALSE)</f>
        <v>RetailAxisX</v>
      </c>
      <c r="C1929" s="25" t="s">
        <v>2296</v>
      </c>
      <c r="D1929" s="11">
        <v>46081</v>
      </c>
      <c r="E1929" s="11">
        <v>46111</v>
      </c>
      <c r="F1929" s="5">
        <v>3430.13</v>
      </c>
      <c r="G1929" s="3">
        <f>SUMIF(Customer_Payments!B:B,C1929,Customer_Payments!E:E)</f>
        <v>3430.13</v>
      </c>
      <c r="H1929" s="3">
        <f t="shared" si="90"/>
        <v>0</v>
      </c>
      <c r="I1929" s="29">
        <f t="shared" si="91"/>
        <v>-20</v>
      </c>
      <c r="J1929" s="31" t="str">
        <f t="shared" si="92"/>
        <v>Current</v>
      </c>
      <c r="K1929"/>
    </row>
    <row r="1930" spans="1:11" x14ac:dyDescent="0.3">
      <c r="A1930" s="20" t="s">
        <v>8</v>
      </c>
      <c r="B1930" t="str">
        <f>VLOOKUP(A1930,Customers!A:B,2,FALSE)</f>
        <v>NexaSoft</v>
      </c>
      <c r="C1930" s="24" t="s">
        <v>2297</v>
      </c>
      <c r="D1930" s="10">
        <v>45980</v>
      </c>
      <c r="E1930" s="10">
        <v>46010</v>
      </c>
      <c r="F1930" s="4">
        <v>3289.25</v>
      </c>
      <c r="G1930" s="3">
        <f>SUMIF(Customer_Payments!B:B,C1930,Customer_Payments!E:E)</f>
        <v>0</v>
      </c>
      <c r="H1930" s="3">
        <f t="shared" si="90"/>
        <v>3289.25</v>
      </c>
      <c r="I1930" s="29">
        <f t="shared" si="91"/>
        <v>81</v>
      </c>
      <c r="J1930" s="31" t="str">
        <f t="shared" si="92"/>
        <v>61-90</v>
      </c>
      <c r="K1930"/>
    </row>
    <row r="1931" spans="1:11" x14ac:dyDescent="0.3">
      <c r="A1931" s="21" t="s">
        <v>58</v>
      </c>
      <c r="B1931" t="str">
        <f>VLOOKUP(A1931,Customers!A:B,2,FALSE)</f>
        <v>RetailAxis</v>
      </c>
      <c r="C1931" s="25" t="s">
        <v>2298</v>
      </c>
      <c r="D1931" s="11">
        <v>46083</v>
      </c>
      <c r="E1931" s="11">
        <v>46113</v>
      </c>
      <c r="F1931" s="5">
        <v>5706.12</v>
      </c>
      <c r="G1931" s="3">
        <f>SUMIF(Customer_Payments!B:B,C1931,Customer_Payments!E:E)</f>
        <v>5706.12</v>
      </c>
      <c r="H1931" s="3">
        <f t="shared" si="90"/>
        <v>0</v>
      </c>
      <c r="I1931" s="29">
        <f t="shared" si="91"/>
        <v>-22</v>
      </c>
      <c r="J1931" s="31" t="str">
        <f t="shared" si="92"/>
        <v>Current</v>
      </c>
      <c r="K1931"/>
    </row>
    <row r="1932" spans="1:11" x14ac:dyDescent="0.3">
      <c r="A1932" s="20" t="s">
        <v>51</v>
      </c>
      <c r="B1932" t="str">
        <f>VLOOKUP(A1932,Customers!A:B,2,FALSE)</f>
        <v>CartMasters</v>
      </c>
      <c r="C1932" s="24" t="s">
        <v>2299</v>
      </c>
      <c r="D1932" s="10">
        <v>46106</v>
      </c>
      <c r="E1932" s="10">
        <v>46136</v>
      </c>
      <c r="F1932" s="4">
        <v>2667.66</v>
      </c>
      <c r="G1932" s="3">
        <f>SUMIF(Customer_Payments!B:B,C1932,Customer_Payments!E:E)</f>
        <v>2667.66</v>
      </c>
      <c r="H1932" s="3">
        <f t="shared" si="90"/>
        <v>0</v>
      </c>
      <c r="I1932" s="29">
        <f t="shared" si="91"/>
        <v>-45</v>
      </c>
      <c r="J1932" s="31" t="str">
        <f t="shared" si="92"/>
        <v>Current</v>
      </c>
      <c r="K1932"/>
    </row>
    <row r="1933" spans="1:11" x14ac:dyDescent="0.3">
      <c r="A1933" s="21" t="s">
        <v>30</v>
      </c>
      <c r="B1933" t="str">
        <f>VLOOKUP(A1933,Customers!A:B,2,FALSE)</f>
        <v>CommerceFlow</v>
      </c>
      <c r="C1933" s="25" t="s">
        <v>2300</v>
      </c>
      <c r="D1933" s="11">
        <v>45981</v>
      </c>
      <c r="E1933" s="11">
        <v>46011</v>
      </c>
      <c r="F1933" s="5">
        <v>11848.75</v>
      </c>
      <c r="G1933" s="3">
        <f>SUMIF(Customer_Payments!B:B,C1933,Customer_Payments!E:E)</f>
        <v>11848.75</v>
      </c>
      <c r="H1933" s="3">
        <f t="shared" si="90"/>
        <v>0</v>
      </c>
      <c r="I1933" s="29">
        <f t="shared" si="91"/>
        <v>80</v>
      </c>
      <c r="J1933" s="31" t="str">
        <f t="shared" si="92"/>
        <v>61-90</v>
      </c>
      <c r="K1933"/>
    </row>
    <row r="1934" spans="1:11" x14ac:dyDescent="0.3">
      <c r="A1934" s="20" t="s">
        <v>49</v>
      </c>
      <c r="B1934" t="str">
        <f>VLOOKUP(A1934,Customers!A:B,2,FALSE)</f>
        <v>CommercePilot</v>
      </c>
      <c r="C1934" s="24" t="s">
        <v>2301</v>
      </c>
      <c r="D1934" s="10">
        <v>46053</v>
      </c>
      <c r="E1934" s="10">
        <v>46083</v>
      </c>
      <c r="F1934" s="4">
        <v>1518.01</v>
      </c>
      <c r="G1934" s="3">
        <f>SUMIF(Customer_Payments!B:B,C1934,Customer_Payments!E:E)</f>
        <v>1518.01</v>
      </c>
      <c r="H1934" s="3">
        <f t="shared" si="90"/>
        <v>0</v>
      </c>
      <c r="I1934" s="29">
        <f t="shared" si="91"/>
        <v>8</v>
      </c>
      <c r="J1934" s="31" t="str">
        <f t="shared" si="92"/>
        <v>1-30</v>
      </c>
      <c r="K1934"/>
    </row>
    <row r="1935" spans="1:11" x14ac:dyDescent="0.3">
      <c r="A1935" s="21" t="s">
        <v>101</v>
      </c>
      <c r="B1935" t="str">
        <f>VLOOKUP(A1935,Customers!A:B,2,FALSE)</f>
        <v>RetailMatrixPro</v>
      </c>
      <c r="C1935" s="25" t="s">
        <v>2302</v>
      </c>
      <c r="D1935" s="11">
        <v>45963</v>
      </c>
      <c r="E1935" s="11">
        <v>45993</v>
      </c>
      <c r="F1935" s="5">
        <v>2780.74</v>
      </c>
      <c r="G1935" s="3">
        <f>SUMIF(Customer_Payments!B:B,C1935,Customer_Payments!E:E)</f>
        <v>2780.74</v>
      </c>
      <c r="H1935" s="3">
        <f t="shared" si="90"/>
        <v>0</v>
      </c>
      <c r="I1935" s="29">
        <f t="shared" si="91"/>
        <v>98</v>
      </c>
      <c r="J1935" s="31" t="str">
        <f t="shared" si="92"/>
        <v>90+</v>
      </c>
      <c r="K1935"/>
    </row>
    <row r="1936" spans="1:11" x14ac:dyDescent="0.3">
      <c r="A1936" s="20" t="s">
        <v>67</v>
      </c>
      <c r="B1936" t="str">
        <f>VLOOKUP(A1936,Customers!A:B,2,FALSE)</f>
        <v>RetailDynamics</v>
      </c>
      <c r="C1936" s="24" t="s">
        <v>2303</v>
      </c>
      <c r="D1936" s="10">
        <v>46033</v>
      </c>
      <c r="E1936" s="10">
        <v>46063</v>
      </c>
      <c r="F1936" s="4">
        <v>10148.77</v>
      </c>
      <c r="G1936" s="3">
        <f>SUMIF(Customer_Payments!B:B,C1936,Customer_Payments!E:E)</f>
        <v>10148.77</v>
      </c>
      <c r="H1936" s="3">
        <f t="shared" si="90"/>
        <v>0</v>
      </c>
      <c r="I1936" s="29">
        <f t="shared" si="91"/>
        <v>28</v>
      </c>
      <c r="J1936" s="31" t="str">
        <f t="shared" si="92"/>
        <v>1-30</v>
      </c>
      <c r="K1936"/>
    </row>
    <row r="1937" spans="1:11" x14ac:dyDescent="0.3">
      <c r="A1937" s="21" t="s">
        <v>83</v>
      </c>
      <c r="B1937" t="str">
        <f>VLOOKUP(A1937,Customers!A:B,2,FALSE)</f>
        <v>RetailCoreX</v>
      </c>
      <c r="C1937" s="25" t="s">
        <v>2304</v>
      </c>
      <c r="D1937" s="11">
        <v>46083</v>
      </c>
      <c r="E1937" s="11">
        <v>46113</v>
      </c>
      <c r="F1937" s="5">
        <v>5280.43</v>
      </c>
      <c r="G1937" s="3">
        <f>SUMIF(Customer_Payments!B:B,C1937,Customer_Payments!E:E)</f>
        <v>5280.43</v>
      </c>
      <c r="H1937" s="3">
        <f t="shared" si="90"/>
        <v>0</v>
      </c>
      <c r="I1937" s="29">
        <f t="shared" si="91"/>
        <v>-22</v>
      </c>
      <c r="J1937" s="31" t="str">
        <f t="shared" si="92"/>
        <v>Current</v>
      </c>
      <c r="K1937"/>
    </row>
    <row r="1938" spans="1:11" x14ac:dyDescent="0.3">
      <c r="A1938" s="20" t="s">
        <v>67</v>
      </c>
      <c r="B1938" t="str">
        <f>VLOOKUP(A1938,Customers!A:B,2,FALSE)</f>
        <v>RetailDynamics</v>
      </c>
      <c r="C1938" s="24" t="s">
        <v>2305</v>
      </c>
      <c r="D1938" s="10">
        <v>46037</v>
      </c>
      <c r="E1938" s="10">
        <v>46067</v>
      </c>
      <c r="F1938" s="4">
        <v>9899.52</v>
      </c>
      <c r="G1938" s="3">
        <f>SUMIF(Customer_Payments!B:B,C1938,Customer_Payments!E:E)</f>
        <v>0</v>
      </c>
      <c r="H1938" s="3">
        <f t="shared" si="90"/>
        <v>9899.52</v>
      </c>
      <c r="I1938" s="29">
        <f t="shared" si="91"/>
        <v>24</v>
      </c>
      <c r="J1938" s="31" t="str">
        <f t="shared" si="92"/>
        <v>1-30</v>
      </c>
      <c r="K1938"/>
    </row>
    <row r="1939" spans="1:11" x14ac:dyDescent="0.3">
      <c r="A1939" s="21" t="s">
        <v>94</v>
      </c>
      <c r="B1939" t="str">
        <f>VLOOKUP(A1939,Customers!A:B,2,FALSE)</f>
        <v>RetailDynamicsX</v>
      </c>
      <c r="C1939" s="25" t="s">
        <v>2306</v>
      </c>
      <c r="D1939" s="11">
        <v>45989</v>
      </c>
      <c r="E1939" s="11">
        <v>46019</v>
      </c>
      <c r="F1939" s="5">
        <v>4108.16</v>
      </c>
      <c r="G1939" s="3">
        <f>SUMIF(Customer_Payments!B:B,C1939,Customer_Payments!E:E)</f>
        <v>0</v>
      </c>
      <c r="H1939" s="3">
        <f t="shared" si="90"/>
        <v>4108.16</v>
      </c>
      <c r="I1939" s="29">
        <f t="shared" si="91"/>
        <v>72</v>
      </c>
      <c r="J1939" s="31" t="str">
        <f t="shared" si="92"/>
        <v>61-90</v>
      </c>
      <c r="K1939"/>
    </row>
    <row r="1940" spans="1:11" x14ac:dyDescent="0.3">
      <c r="A1940" s="20" t="s">
        <v>15</v>
      </c>
      <c r="B1940" t="str">
        <f>VLOOKUP(A1940,Customers!A:B,2,FALSE)</f>
        <v>CloudScale</v>
      </c>
      <c r="C1940" s="24" t="s">
        <v>2307</v>
      </c>
      <c r="D1940" s="10">
        <v>46051</v>
      </c>
      <c r="E1940" s="10">
        <v>46081</v>
      </c>
      <c r="F1940" s="4">
        <v>10895.27</v>
      </c>
      <c r="G1940" s="3">
        <f>SUMIF(Customer_Payments!B:B,C1940,Customer_Payments!E:E)</f>
        <v>10895.27</v>
      </c>
      <c r="H1940" s="3">
        <f t="shared" si="90"/>
        <v>0</v>
      </c>
      <c r="I1940" s="29">
        <f t="shared" si="91"/>
        <v>10</v>
      </c>
      <c r="J1940" s="31" t="str">
        <f t="shared" si="92"/>
        <v>1-30</v>
      </c>
      <c r="K1940"/>
    </row>
    <row r="1941" spans="1:11" x14ac:dyDescent="0.3">
      <c r="A1941" s="21" t="s">
        <v>60</v>
      </c>
      <c r="B1941" t="str">
        <f>VLOOKUP(A1941,Customers!A:B,2,FALSE)</f>
        <v>RetailSpark</v>
      </c>
      <c r="C1941" s="25" t="s">
        <v>2308</v>
      </c>
      <c r="D1941" s="11">
        <v>46022</v>
      </c>
      <c r="E1941" s="11">
        <v>46052</v>
      </c>
      <c r="F1941" s="5">
        <v>2405.0700000000002</v>
      </c>
      <c r="G1941" s="3">
        <f>SUMIF(Customer_Payments!B:B,C1941,Customer_Payments!E:E)</f>
        <v>2405.0700000000002</v>
      </c>
      <c r="H1941" s="3">
        <f t="shared" si="90"/>
        <v>0</v>
      </c>
      <c r="I1941" s="29">
        <f t="shared" si="91"/>
        <v>39</v>
      </c>
      <c r="J1941" s="31" t="str">
        <f t="shared" si="92"/>
        <v>31-60</v>
      </c>
      <c r="K1941"/>
    </row>
    <row r="1942" spans="1:11" x14ac:dyDescent="0.3">
      <c r="A1942" s="20" t="s">
        <v>18</v>
      </c>
      <c r="B1942" t="str">
        <f>VLOOKUP(A1942,Customers!A:B,2,FALSE)</f>
        <v>BluePeak Systems</v>
      </c>
      <c r="C1942" s="24" t="s">
        <v>2309</v>
      </c>
      <c r="D1942" s="10">
        <v>46055</v>
      </c>
      <c r="E1942" s="10">
        <v>46085</v>
      </c>
      <c r="F1942" s="4">
        <v>3099.75</v>
      </c>
      <c r="G1942" s="3">
        <f>SUMIF(Customer_Payments!B:B,C1942,Customer_Payments!E:E)</f>
        <v>0</v>
      </c>
      <c r="H1942" s="3">
        <f t="shared" si="90"/>
        <v>3099.75</v>
      </c>
      <c r="I1942" s="29">
        <f t="shared" si="91"/>
        <v>6</v>
      </c>
      <c r="J1942" s="31" t="str">
        <f t="shared" si="92"/>
        <v>1-30</v>
      </c>
      <c r="K1942"/>
    </row>
    <row r="1943" spans="1:11" x14ac:dyDescent="0.3">
      <c r="A1943" s="21" t="s">
        <v>51</v>
      </c>
      <c r="B1943" t="str">
        <f>VLOOKUP(A1943,Customers!A:B,2,FALSE)</f>
        <v>CartMasters</v>
      </c>
      <c r="C1943" s="25" t="s">
        <v>2310</v>
      </c>
      <c r="D1943" s="11">
        <v>45997</v>
      </c>
      <c r="E1943" s="11">
        <v>46027</v>
      </c>
      <c r="F1943" s="5">
        <v>11241.69</v>
      </c>
      <c r="G1943" s="3">
        <f>SUMIF(Customer_Payments!B:B,C1943,Customer_Payments!E:E)</f>
        <v>11241.69</v>
      </c>
      <c r="H1943" s="3">
        <f t="shared" si="90"/>
        <v>0</v>
      </c>
      <c r="I1943" s="29">
        <f t="shared" si="91"/>
        <v>64</v>
      </c>
      <c r="J1943" s="31" t="str">
        <f t="shared" si="92"/>
        <v>61-90</v>
      </c>
      <c r="K1943"/>
    </row>
    <row r="1944" spans="1:11" x14ac:dyDescent="0.3">
      <c r="A1944" s="20" t="s">
        <v>96</v>
      </c>
      <c r="B1944" t="str">
        <f>VLOOKUP(A1944,Customers!A:B,2,FALSE)</f>
        <v>RetailLabs</v>
      </c>
      <c r="C1944" s="24" t="s">
        <v>2311</v>
      </c>
      <c r="D1944" s="10">
        <v>46047</v>
      </c>
      <c r="E1944" s="10">
        <v>46077</v>
      </c>
      <c r="F1944" s="4">
        <v>11911.8</v>
      </c>
      <c r="G1944" s="3">
        <f>SUMIF(Customer_Payments!B:B,C1944,Customer_Payments!E:E)</f>
        <v>0</v>
      </c>
      <c r="H1944" s="3">
        <f t="shared" si="90"/>
        <v>11911.8</v>
      </c>
      <c r="I1944" s="29">
        <f t="shared" si="91"/>
        <v>14</v>
      </c>
      <c r="J1944" s="31" t="str">
        <f t="shared" si="92"/>
        <v>1-30</v>
      </c>
      <c r="K1944"/>
    </row>
    <row r="1945" spans="1:11" x14ac:dyDescent="0.3">
      <c r="A1945" s="21" t="s">
        <v>8</v>
      </c>
      <c r="B1945" t="str">
        <f>VLOOKUP(A1945,Customers!A:B,2,FALSE)</f>
        <v>NexaSoft</v>
      </c>
      <c r="C1945" s="25" t="s">
        <v>2312</v>
      </c>
      <c r="D1945" s="11">
        <v>45998</v>
      </c>
      <c r="E1945" s="11">
        <v>46028</v>
      </c>
      <c r="F1945" s="5">
        <v>11302.52</v>
      </c>
      <c r="G1945" s="3">
        <f>SUMIF(Customer_Payments!B:B,C1945,Customer_Payments!E:E)</f>
        <v>11302.52</v>
      </c>
      <c r="H1945" s="3">
        <f t="shared" si="90"/>
        <v>0</v>
      </c>
      <c r="I1945" s="29">
        <f t="shared" si="91"/>
        <v>63</v>
      </c>
      <c r="J1945" s="31" t="str">
        <f t="shared" si="92"/>
        <v>61-90</v>
      </c>
      <c r="K1945"/>
    </row>
    <row r="1946" spans="1:11" x14ac:dyDescent="0.3">
      <c r="A1946" s="20" t="s">
        <v>92</v>
      </c>
      <c r="B1946" t="str">
        <f>VLOOKUP(A1946,Customers!A:B,2,FALSE)</f>
        <v>RetailMatrixX</v>
      </c>
      <c r="C1946" s="24" t="s">
        <v>2313</v>
      </c>
      <c r="D1946" s="10">
        <v>46005</v>
      </c>
      <c r="E1946" s="10">
        <v>46035</v>
      </c>
      <c r="F1946" s="4">
        <v>3896.3</v>
      </c>
      <c r="G1946" s="3">
        <f>SUMIF(Customer_Payments!B:B,C1946,Customer_Payments!E:E)</f>
        <v>3896.3</v>
      </c>
      <c r="H1946" s="3">
        <f t="shared" si="90"/>
        <v>0</v>
      </c>
      <c r="I1946" s="29">
        <f t="shared" si="91"/>
        <v>56</v>
      </c>
      <c r="J1946" s="31" t="str">
        <f t="shared" si="92"/>
        <v>31-60</v>
      </c>
      <c r="K1946"/>
    </row>
    <row r="1947" spans="1:11" x14ac:dyDescent="0.3">
      <c r="A1947" s="21" t="s">
        <v>100</v>
      </c>
      <c r="B1947" t="str">
        <f>VLOOKUP(A1947,Customers!A:B,2,FALSE)</f>
        <v>RetailBoostPro</v>
      </c>
      <c r="C1947" s="25" t="s">
        <v>2314</v>
      </c>
      <c r="D1947" s="11">
        <v>46098</v>
      </c>
      <c r="E1947" s="11">
        <v>46128</v>
      </c>
      <c r="F1947" s="5">
        <v>3663.12</v>
      </c>
      <c r="G1947" s="3">
        <f>SUMIF(Customer_Payments!B:B,C1947,Customer_Payments!E:E)</f>
        <v>0</v>
      </c>
      <c r="H1947" s="3">
        <f t="shared" si="90"/>
        <v>3663.12</v>
      </c>
      <c r="I1947" s="29">
        <f t="shared" si="91"/>
        <v>-37</v>
      </c>
      <c r="J1947" s="31" t="str">
        <f t="shared" si="92"/>
        <v>Current</v>
      </c>
      <c r="K1947"/>
    </row>
    <row r="1948" spans="1:11" x14ac:dyDescent="0.3">
      <c r="A1948" s="20" t="s">
        <v>121</v>
      </c>
      <c r="B1948" t="str">
        <f>VLOOKUP(A1948,Customers!A:B,2,FALSE)</f>
        <v>RetailVisionGlobal</v>
      </c>
      <c r="C1948" s="24" t="s">
        <v>2315</v>
      </c>
      <c r="D1948" s="10">
        <v>46071</v>
      </c>
      <c r="E1948" s="10">
        <v>46101</v>
      </c>
      <c r="F1948" s="4">
        <v>2034.17</v>
      </c>
      <c r="G1948" s="3">
        <f>SUMIF(Customer_Payments!B:B,C1948,Customer_Payments!E:E)</f>
        <v>2034.17</v>
      </c>
      <c r="H1948" s="3">
        <f t="shared" si="90"/>
        <v>0</v>
      </c>
      <c r="I1948" s="29">
        <f t="shared" si="91"/>
        <v>-10</v>
      </c>
      <c r="J1948" s="31" t="str">
        <f t="shared" si="92"/>
        <v>Current</v>
      </c>
      <c r="K1948"/>
    </row>
    <row r="1949" spans="1:11" x14ac:dyDescent="0.3">
      <c r="A1949" s="21" t="s">
        <v>93</v>
      </c>
      <c r="B1949" t="str">
        <f>VLOOKUP(A1949,Customers!A:B,2,FALSE)</f>
        <v>RetailSphereX</v>
      </c>
      <c r="C1949" s="25" t="s">
        <v>2316</v>
      </c>
      <c r="D1949" s="11">
        <v>46088</v>
      </c>
      <c r="E1949" s="11">
        <v>46118</v>
      </c>
      <c r="F1949" s="5">
        <v>14082.33</v>
      </c>
      <c r="G1949" s="3">
        <f>SUMIF(Customer_Payments!B:B,C1949,Customer_Payments!E:E)</f>
        <v>14082.33</v>
      </c>
      <c r="H1949" s="3">
        <f t="shared" si="90"/>
        <v>0</v>
      </c>
      <c r="I1949" s="29">
        <f t="shared" si="91"/>
        <v>-27</v>
      </c>
      <c r="J1949" s="31" t="str">
        <f t="shared" si="92"/>
        <v>Current</v>
      </c>
      <c r="K1949"/>
    </row>
    <row r="1950" spans="1:11" x14ac:dyDescent="0.3">
      <c r="A1950" s="20" t="s">
        <v>113</v>
      </c>
      <c r="B1950" t="str">
        <f>VLOOKUP(A1950,Customers!A:B,2,FALSE)</f>
        <v>RetailSpherePro</v>
      </c>
      <c r="C1950" s="24" t="s">
        <v>2317</v>
      </c>
      <c r="D1950" s="10">
        <v>46046</v>
      </c>
      <c r="E1950" s="10">
        <v>46076</v>
      </c>
      <c r="F1950" s="4">
        <v>10861.45</v>
      </c>
      <c r="G1950" s="3">
        <f>SUMIF(Customer_Payments!B:B,C1950,Customer_Payments!E:E)</f>
        <v>0</v>
      </c>
      <c r="H1950" s="3">
        <f t="shared" si="90"/>
        <v>10861.45</v>
      </c>
      <c r="I1950" s="29">
        <f t="shared" si="91"/>
        <v>15</v>
      </c>
      <c r="J1950" s="31" t="str">
        <f t="shared" si="92"/>
        <v>1-30</v>
      </c>
      <c r="K1950"/>
    </row>
    <row r="1951" spans="1:11" x14ac:dyDescent="0.3">
      <c r="A1951" s="21" t="s">
        <v>34</v>
      </c>
      <c r="B1951" t="str">
        <f>VLOOKUP(A1951,Customers!A:B,2,FALSE)</f>
        <v>OptiCommerce</v>
      </c>
      <c r="C1951" s="25" t="s">
        <v>2318</v>
      </c>
      <c r="D1951" s="11">
        <v>46100</v>
      </c>
      <c r="E1951" s="11">
        <v>46130</v>
      </c>
      <c r="F1951" s="5">
        <v>5268.59</v>
      </c>
      <c r="G1951" s="3">
        <f>SUMIF(Customer_Payments!B:B,C1951,Customer_Payments!E:E)</f>
        <v>5268.59</v>
      </c>
      <c r="H1951" s="3">
        <f t="shared" si="90"/>
        <v>0</v>
      </c>
      <c r="I1951" s="29">
        <f t="shared" si="91"/>
        <v>-39</v>
      </c>
      <c r="J1951" s="31" t="str">
        <f t="shared" si="92"/>
        <v>Current</v>
      </c>
      <c r="K1951"/>
    </row>
    <row r="1952" spans="1:11" x14ac:dyDescent="0.3">
      <c r="A1952" s="20" t="s">
        <v>28</v>
      </c>
      <c r="B1952" t="str">
        <f>VLOOKUP(A1952,Customers!A:B,2,FALSE)</f>
        <v>FutureCart</v>
      </c>
      <c r="C1952" s="24" t="s">
        <v>2319</v>
      </c>
      <c r="D1952" s="10">
        <v>46082</v>
      </c>
      <c r="E1952" s="10">
        <v>46112</v>
      </c>
      <c r="F1952" s="4">
        <v>2144.9</v>
      </c>
      <c r="G1952" s="3">
        <f>SUMIF(Customer_Payments!B:B,C1952,Customer_Payments!E:E)</f>
        <v>2144.9</v>
      </c>
      <c r="H1952" s="3">
        <f t="shared" si="90"/>
        <v>0</v>
      </c>
      <c r="I1952" s="29">
        <f t="shared" si="91"/>
        <v>-21</v>
      </c>
      <c r="J1952" s="31" t="str">
        <f t="shared" si="92"/>
        <v>Current</v>
      </c>
      <c r="K1952"/>
    </row>
    <row r="1953" spans="1:11" x14ac:dyDescent="0.3">
      <c r="A1953" s="21" t="s">
        <v>93</v>
      </c>
      <c r="B1953" t="str">
        <f>VLOOKUP(A1953,Customers!A:B,2,FALSE)</f>
        <v>RetailSphereX</v>
      </c>
      <c r="C1953" s="25" t="s">
        <v>2320</v>
      </c>
      <c r="D1953" s="11">
        <v>46068</v>
      </c>
      <c r="E1953" s="11">
        <v>46098</v>
      </c>
      <c r="F1953" s="5">
        <v>3328.58</v>
      </c>
      <c r="G1953" s="3">
        <f>SUMIF(Customer_Payments!B:B,C1953,Customer_Payments!E:E)</f>
        <v>0</v>
      </c>
      <c r="H1953" s="3">
        <f t="shared" si="90"/>
        <v>3328.58</v>
      </c>
      <c r="I1953" s="29">
        <f t="shared" si="91"/>
        <v>-7</v>
      </c>
      <c r="J1953" s="31" t="str">
        <f t="shared" si="92"/>
        <v>Current</v>
      </c>
      <c r="K1953"/>
    </row>
    <row r="1954" spans="1:11" x14ac:dyDescent="0.3">
      <c r="A1954" s="20" t="s">
        <v>121</v>
      </c>
      <c r="B1954" t="str">
        <f>VLOOKUP(A1954,Customers!A:B,2,FALSE)</f>
        <v>RetailVisionGlobal</v>
      </c>
      <c r="C1954" s="24" t="s">
        <v>2321</v>
      </c>
      <c r="D1954" s="10">
        <v>46094</v>
      </c>
      <c r="E1954" s="10">
        <v>46124</v>
      </c>
      <c r="F1954" s="4">
        <v>4137.1499999999996</v>
      </c>
      <c r="G1954" s="3">
        <f>SUMIF(Customer_Payments!B:B,C1954,Customer_Payments!E:E)</f>
        <v>4137.1499999999996</v>
      </c>
      <c r="H1954" s="3">
        <f t="shared" si="90"/>
        <v>0</v>
      </c>
      <c r="I1954" s="29">
        <f t="shared" si="91"/>
        <v>-33</v>
      </c>
      <c r="J1954" s="31" t="str">
        <f t="shared" si="92"/>
        <v>Current</v>
      </c>
      <c r="K1954"/>
    </row>
    <row r="1955" spans="1:11" x14ac:dyDescent="0.3">
      <c r="A1955" s="21" t="s">
        <v>90</v>
      </c>
      <c r="B1955" t="str">
        <f>VLOOKUP(A1955,Customers!A:B,2,FALSE)</f>
        <v>RetailPulseX</v>
      </c>
      <c r="C1955" s="25" t="s">
        <v>2322</v>
      </c>
      <c r="D1955" s="11">
        <v>46106</v>
      </c>
      <c r="E1955" s="11">
        <v>46136</v>
      </c>
      <c r="F1955" s="5">
        <v>2502.09</v>
      </c>
      <c r="G1955" s="3">
        <f>SUMIF(Customer_Payments!B:B,C1955,Customer_Payments!E:E)</f>
        <v>2502.09</v>
      </c>
      <c r="H1955" s="3">
        <f t="shared" si="90"/>
        <v>0</v>
      </c>
      <c r="I1955" s="29">
        <f t="shared" si="91"/>
        <v>-45</v>
      </c>
      <c r="J1955" s="31" t="str">
        <f t="shared" si="92"/>
        <v>Current</v>
      </c>
      <c r="K1955"/>
    </row>
    <row r="1956" spans="1:11" x14ac:dyDescent="0.3">
      <c r="A1956" s="20" t="s">
        <v>61</v>
      </c>
      <c r="B1956" t="str">
        <f>VLOOKUP(A1956,Customers!A:B,2,FALSE)</f>
        <v>RetailOrbit</v>
      </c>
      <c r="C1956" s="24" t="s">
        <v>2323</v>
      </c>
      <c r="D1956" s="10">
        <v>46061</v>
      </c>
      <c r="E1956" s="10">
        <v>46091</v>
      </c>
      <c r="F1956" s="4">
        <v>11587.46</v>
      </c>
      <c r="G1956" s="3">
        <f>SUMIF(Customer_Payments!B:B,C1956,Customer_Payments!E:E)</f>
        <v>0</v>
      </c>
      <c r="H1956" s="3">
        <f t="shared" si="90"/>
        <v>11587.46</v>
      </c>
      <c r="I1956" s="29">
        <f t="shared" si="91"/>
        <v>0</v>
      </c>
      <c r="J1956" s="31" t="str">
        <f t="shared" si="92"/>
        <v>Current</v>
      </c>
      <c r="K1956"/>
    </row>
    <row r="1957" spans="1:11" x14ac:dyDescent="0.3">
      <c r="A1957" s="21" t="s">
        <v>65</v>
      </c>
      <c r="B1957" t="str">
        <f>VLOOKUP(A1957,Customers!A:B,2,FALSE)</f>
        <v>RetailFlow</v>
      </c>
      <c r="C1957" s="25" t="s">
        <v>2324</v>
      </c>
      <c r="D1957" s="11">
        <v>45997</v>
      </c>
      <c r="E1957" s="11">
        <v>46027</v>
      </c>
      <c r="F1957" s="5">
        <v>4163.7</v>
      </c>
      <c r="G1957" s="3">
        <f>SUMIF(Customer_Payments!B:B,C1957,Customer_Payments!E:E)</f>
        <v>0</v>
      </c>
      <c r="H1957" s="3">
        <f t="shared" si="90"/>
        <v>4163.7</v>
      </c>
      <c r="I1957" s="29">
        <f t="shared" si="91"/>
        <v>64</v>
      </c>
      <c r="J1957" s="31" t="str">
        <f t="shared" si="92"/>
        <v>61-90</v>
      </c>
      <c r="K1957"/>
    </row>
    <row r="1958" spans="1:11" x14ac:dyDescent="0.3">
      <c r="A1958" s="20" t="s">
        <v>62</v>
      </c>
      <c r="B1958" t="str">
        <f>VLOOKUP(A1958,Customers!A:B,2,FALSE)</f>
        <v>MarketNova</v>
      </c>
      <c r="C1958" s="24" t="s">
        <v>2325</v>
      </c>
      <c r="D1958" s="10">
        <v>46047</v>
      </c>
      <c r="E1958" s="10">
        <v>46077</v>
      </c>
      <c r="F1958" s="4">
        <v>11390.98</v>
      </c>
      <c r="G1958" s="3">
        <f>SUMIF(Customer_Payments!B:B,C1958,Customer_Payments!E:E)</f>
        <v>11390.98</v>
      </c>
      <c r="H1958" s="3">
        <f t="shared" si="90"/>
        <v>0</v>
      </c>
      <c r="I1958" s="29">
        <f t="shared" si="91"/>
        <v>14</v>
      </c>
      <c r="J1958" s="31" t="str">
        <f t="shared" si="92"/>
        <v>1-30</v>
      </c>
      <c r="K1958"/>
    </row>
    <row r="1959" spans="1:11" x14ac:dyDescent="0.3">
      <c r="A1959" s="21" t="s">
        <v>88</v>
      </c>
      <c r="B1959" t="str">
        <f>VLOOKUP(A1959,Customers!A:B,2,FALSE)</f>
        <v>RetailPrimeX</v>
      </c>
      <c r="C1959" s="25" t="s">
        <v>2326</v>
      </c>
      <c r="D1959" s="11">
        <v>46064</v>
      </c>
      <c r="E1959" s="11">
        <v>46094</v>
      </c>
      <c r="F1959" s="5">
        <v>10968.13</v>
      </c>
      <c r="G1959" s="3">
        <f>SUMIF(Customer_Payments!B:B,C1959,Customer_Payments!E:E)</f>
        <v>10968.13</v>
      </c>
      <c r="H1959" s="3">
        <f t="shared" si="90"/>
        <v>0</v>
      </c>
      <c r="I1959" s="29">
        <f t="shared" si="91"/>
        <v>-3</v>
      </c>
      <c r="J1959" s="31" t="str">
        <f t="shared" si="92"/>
        <v>Current</v>
      </c>
      <c r="K1959"/>
    </row>
    <row r="1960" spans="1:11" x14ac:dyDescent="0.3">
      <c r="A1960" s="20" t="s">
        <v>110</v>
      </c>
      <c r="B1960" t="str">
        <f>VLOOKUP(A1960,Customers!A:B,2,FALSE)</f>
        <v>RetailAxisPro</v>
      </c>
      <c r="C1960" s="24" t="s">
        <v>2327</v>
      </c>
      <c r="D1960" s="10">
        <v>45975</v>
      </c>
      <c r="E1960" s="10">
        <v>46005</v>
      </c>
      <c r="F1960" s="4">
        <v>2702.09</v>
      </c>
      <c r="G1960" s="3">
        <f>SUMIF(Customer_Payments!B:B,C1960,Customer_Payments!E:E)</f>
        <v>0</v>
      </c>
      <c r="H1960" s="3">
        <f t="shared" si="90"/>
        <v>2702.09</v>
      </c>
      <c r="I1960" s="29">
        <f t="shared" si="91"/>
        <v>86</v>
      </c>
      <c r="J1960" s="31" t="str">
        <f t="shared" si="92"/>
        <v>61-90</v>
      </c>
      <c r="K1960"/>
    </row>
    <row r="1961" spans="1:11" x14ac:dyDescent="0.3">
      <c r="A1961" s="21" t="s">
        <v>20</v>
      </c>
      <c r="B1961" t="str">
        <f>VLOOKUP(A1961,Customers!A:B,2,FALSE)</f>
        <v>GrowthSphere</v>
      </c>
      <c r="C1961" s="25" t="s">
        <v>2328</v>
      </c>
      <c r="D1961" s="11">
        <v>46009</v>
      </c>
      <c r="E1961" s="11">
        <v>46039</v>
      </c>
      <c r="F1961" s="5">
        <v>2507.5700000000002</v>
      </c>
      <c r="G1961" s="3">
        <f>SUMIF(Customer_Payments!B:B,C1961,Customer_Payments!E:E)</f>
        <v>0</v>
      </c>
      <c r="H1961" s="3">
        <f t="shared" si="90"/>
        <v>2507.5700000000002</v>
      </c>
      <c r="I1961" s="29">
        <f t="shared" si="91"/>
        <v>52</v>
      </c>
      <c r="J1961" s="31" t="str">
        <f t="shared" si="92"/>
        <v>31-60</v>
      </c>
      <c r="K1961"/>
    </row>
    <row r="1962" spans="1:11" x14ac:dyDescent="0.3">
      <c r="A1962" s="20" t="s">
        <v>63</v>
      </c>
      <c r="B1962" t="str">
        <f>VLOOKUP(A1962,Customers!A:B,2,FALSE)</f>
        <v>RetailCore</v>
      </c>
      <c r="C1962" s="24" t="s">
        <v>2329</v>
      </c>
      <c r="D1962" s="10">
        <v>46038</v>
      </c>
      <c r="E1962" s="10">
        <v>46068</v>
      </c>
      <c r="F1962" s="4">
        <v>13199.73</v>
      </c>
      <c r="G1962" s="3">
        <f>SUMIF(Customer_Payments!B:B,C1962,Customer_Payments!E:E)</f>
        <v>13199.73</v>
      </c>
      <c r="H1962" s="3">
        <f t="shared" si="90"/>
        <v>0</v>
      </c>
      <c r="I1962" s="29">
        <f t="shared" si="91"/>
        <v>23</v>
      </c>
      <c r="J1962" s="31" t="str">
        <f t="shared" si="92"/>
        <v>1-30</v>
      </c>
      <c r="K1962"/>
    </row>
    <row r="1963" spans="1:11" x14ac:dyDescent="0.3">
      <c r="A1963" s="21" t="s">
        <v>60</v>
      </c>
      <c r="B1963" t="str">
        <f>VLOOKUP(A1963,Customers!A:B,2,FALSE)</f>
        <v>RetailSpark</v>
      </c>
      <c r="C1963" s="25" t="s">
        <v>2330</v>
      </c>
      <c r="D1963" s="11">
        <v>45972</v>
      </c>
      <c r="E1963" s="11">
        <v>46002</v>
      </c>
      <c r="F1963" s="5">
        <v>3613.73</v>
      </c>
      <c r="G1963" s="3">
        <f>SUMIF(Customer_Payments!B:B,C1963,Customer_Payments!E:E)</f>
        <v>3613.73</v>
      </c>
      <c r="H1963" s="3">
        <f t="shared" si="90"/>
        <v>0</v>
      </c>
      <c r="I1963" s="29">
        <f t="shared" si="91"/>
        <v>89</v>
      </c>
      <c r="J1963" s="31" t="str">
        <f t="shared" si="92"/>
        <v>61-90</v>
      </c>
      <c r="K1963"/>
    </row>
    <row r="1964" spans="1:11" x14ac:dyDescent="0.3">
      <c r="A1964" s="20" t="s">
        <v>32</v>
      </c>
      <c r="B1964" t="str">
        <f>VLOOKUP(A1964,Customers!A:B,2,FALSE)</f>
        <v>RetailVista</v>
      </c>
      <c r="C1964" s="24" t="s">
        <v>2331</v>
      </c>
      <c r="D1964" s="10">
        <v>45988</v>
      </c>
      <c r="E1964" s="10">
        <v>46018</v>
      </c>
      <c r="F1964" s="4">
        <v>4445.76</v>
      </c>
      <c r="G1964" s="3">
        <f>SUMIF(Customer_Payments!B:B,C1964,Customer_Payments!E:E)</f>
        <v>4445.76</v>
      </c>
      <c r="H1964" s="3">
        <f t="shared" si="90"/>
        <v>0</v>
      </c>
      <c r="I1964" s="29">
        <f t="shared" si="91"/>
        <v>73</v>
      </c>
      <c r="J1964" s="31" t="str">
        <f t="shared" si="92"/>
        <v>61-90</v>
      </c>
      <c r="K1964"/>
    </row>
    <row r="1965" spans="1:11" x14ac:dyDescent="0.3">
      <c r="A1965" s="21" t="s">
        <v>112</v>
      </c>
      <c r="B1965" t="str">
        <f>VLOOKUP(A1965,Customers!A:B,2,FALSE)</f>
        <v>RetailBridgePro</v>
      </c>
      <c r="C1965" s="25" t="s">
        <v>2332</v>
      </c>
      <c r="D1965" s="11">
        <v>46079</v>
      </c>
      <c r="E1965" s="11">
        <v>46109</v>
      </c>
      <c r="F1965" s="5">
        <v>14162.65</v>
      </c>
      <c r="G1965" s="3">
        <f>SUMIF(Customer_Payments!B:B,C1965,Customer_Payments!E:E)</f>
        <v>14162.65</v>
      </c>
      <c r="H1965" s="3">
        <f t="shared" si="90"/>
        <v>0</v>
      </c>
      <c r="I1965" s="29">
        <f t="shared" si="91"/>
        <v>-18</v>
      </c>
      <c r="J1965" s="31" t="str">
        <f t="shared" si="92"/>
        <v>Current</v>
      </c>
      <c r="K1965"/>
    </row>
    <row r="1966" spans="1:11" x14ac:dyDescent="0.3">
      <c r="A1966" s="20" t="s">
        <v>54</v>
      </c>
      <c r="B1966" t="str">
        <f>VLOOKUP(A1966,Customers!A:B,2,FALSE)</f>
        <v>RetailEdge</v>
      </c>
      <c r="C1966" s="24" t="s">
        <v>2333</v>
      </c>
      <c r="D1966" s="10">
        <v>46106</v>
      </c>
      <c r="E1966" s="10">
        <v>46136</v>
      </c>
      <c r="F1966" s="4">
        <v>1946.76</v>
      </c>
      <c r="G1966" s="3">
        <f>SUMIF(Customer_Payments!B:B,C1966,Customer_Payments!E:E)</f>
        <v>1946.76</v>
      </c>
      <c r="H1966" s="3">
        <f t="shared" si="90"/>
        <v>0</v>
      </c>
      <c r="I1966" s="29">
        <f t="shared" si="91"/>
        <v>-45</v>
      </c>
      <c r="J1966" s="31" t="str">
        <f t="shared" si="92"/>
        <v>Current</v>
      </c>
      <c r="K1966"/>
    </row>
    <row r="1967" spans="1:11" x14ac:dyDescent="0.3">
      <c r="A1967" s="21" t="s">
        <v>114</v>
      </c>
      <c r="B1967" t="str">
        <f>VLOOKUP(A1967,Customers!A:B,2,FALSE)</f>
        <v>RetailScalePro</v>
      </c>
      <c r="C1967" s="25" t="s">
        <v>2334</v>
      </c>
      <c r="D1967" s="11">
        <v>46080</v>
      </c>
      <c r="E1967" s="11">
        <v>46110</v>
      </c>
      <c r="F1967" s="5">
        <v>5015.12</v>
      </c>
      <c r="G1967" s="3">
        <f>SUMIF(Customer_Payments!B:B,C1967,Customer_Payments!E:E)</f>
        <v>5015.12</v>
      </c>
      <c r="H1967" s="3">
        <f t="shared" si="90"/>
        <v>0</v>
      </c>
      <c r="I1967" s="29">
        <f t="shared" si="91"/>
        <v>-19</v>
      </c>
      <c r="J1967" s="31" t="str">
        <f t="shared" si="92"/>
        <v>Current</v>
      </c>
      <c r="K1967"/>
    </row>
    <row r="1968" spans="1:11" x14ac:dyDescent="0.3">
      <c r="A1968" s="20" t="s">
        <v>10</v>
      </c>
      <c r="B1968" t="str">
        <f>VLOOKUP(A1968,Customers!A:B,2,FALSE)</f>
        <v>LaunchLabs</v>
      </c>
      <c r="C1968" s="24" t="s">
        <v>2335</v>
      </c>
      <c r="D1968" s="10">
        <v>46065</v>
      </c>
      <c r="E1968" s="10">
        <v>46095</v>
      </c>
      <c r="F1968" s="4">
        <v>12831.84</v>
      </c>
      <c r="G1968" s="3">
        <f>SUMIF(Customer_Payments!B:B,C1968,Customer_Payments!E:E)</f>
        <v>12831.84</v>
      </c>
      <c r="H1968" s="3">
        <f t="shared" si="90"/>
        <v>0</v>
      </c>
      <c r="I1968" s="29">
        <f t="shared" si="91"/>
        <v>-4</v>
      </c>
      <c r="J1968" s="31" t="str">
        <f t="shared" si="92"/>
        <v>Current</v>
      </c>
      <c r="K1968"/>
    </row>
    <row r="1969" spans="1:11" x14ac:dyDescent="0.3">
      <c r="A1969" s="21" t="s">
        <v>83</v>
      </c>
      <c r="B1969" t="str">
        <f>VLOOKUP(A1969,Customers!A:B,2,FALSE)</f>
        <v>RetailCoreX</v>
      </c>
      <c r="C1969" s="25" t="s">
        <v>2336</v>
      </c>
      <c r="D1969" s="11">
        <v>46112</v>
      </c>
      <c r="E1969" s="11">
        <v>46142</v>
      </c>
      <c r="F1969" s="5">
        <v>5581.02</v>
      </c>
      <c r="G1969" s="3">
        <f>SUMIF(Customer_Payments!B:B,C1969,Customer_Payments!E:E)</f>
        <v>0</v>
      </c>
      <c r="H1969" s="3">
        <f t="shared" si="90"/>
        <v>5581.02</v>
      </c>
      <c r="I1969" s="29">
        <f t="shared" si="91"/>
        <v>-51</v>
      </c>
      <c r="J1969" s="31" t="str">
        <f t="shared" si="92"/>
        <v>Current</v>
      </c>
      <c r="K1969"/>
    </row>
    <row r="1970" spans="1:11" x14ac:dyDescent="0.3">
      <c r="A1970" s="20" t="s">
        <v>57</v>
      </c>
      <c r="B1970" t="str">
        <f>VLOOKUP(A1970,Customers!A:B,2,FALSE)</f>
        <v>MarketGenius</v>
      </c>
      <c r="C1970" s="24" t="s">
        <v>2337</v>
      </c>
      <c r="D1970" s="10">
        <v>46069</v>
      </c>
      <c r="E1970" s="10">
        <v>46099</v>
      </c>
      <c r="F1970" s="4">
        <v>2335.09</v>
      </c>
      <c r="G1970" s="3">
        <f>SUMIF(Customer_Payments!B:B,C1970,Customer_Payments!E:E)</f>
        <v>2335.09</v>
      </c>
      <c r="H1970" s="3">
        <f t="shared" si="90"/>
        <v>0</v>
      </c>
      <c r="I1970" s="29">
        <f t="shared" si="91"/>
        <v>-8</v>
      </c>
      <c r="J1970" s="31" t="str">
        <f t="shared" si="92"/>
        <v>Current</v>
      </c>
      <c r="K1970"/>
    </row>
    <row r="1971" spans="1:11" x14ac:dyDescent="0.3">
      <c r="A1971" s="21" t="s">
        <v>80</v>
      </c>
      <c r="B1971" t="str">
        <f>VLOOKUP(A1971,Customers!A:B,2,FALSE)</f>
        <v>RetailEdgeX</v>
      </c>
      <c r="C1971" s="25" t="s">
        <v>2338</v>
      </c>
      <c r="D1971" s="11">
        <v>45964</v>
      </c>
      <c r="E1971" s="11">
        <v>45994</v>
      </c>
      <c r="F1971" s="5">
        <v>5232.54</v>
      </c>
      <c r="G1971" s="3">
        <f>SUMIF(Customer_Payments!B:B,C1971,Customer_Payments!E:E)</f>
        <v>0</v>
      </c>
      <c r="H1971" s="3">
        <f t="shared" si="90"/>
        <v>5232.54</v>
      </c>
      <c r="I1971" s="29">
        <f t="shared" si="91"/>
        <v>97</v>
      </c>
      <c r="J1971" s="31" t="str">
        <f t="shared" si="92"/>
        <v>90+</v>
      </c>
      <c r="K1971"/>
    </row>
    <row r="1972" spans="1:11" x14ac:dyDescent="0.3">
      <c r="A1972" s="20" t="s">
        <v>29</v>
      </c>
      <c r="B1972" t="str">
        <f>VLOOKUP(A1972,Customers!A:B,2,FALSE)</f>
        <v>DigitalBridge</v>
      </c>
      <c r="C1972" s="24" t="s">
        <v>2339</v>
      </c>
      <c r="D1972" s="10">
        <v>45981</v>
      </c>
      <c r="E1972" s="10">
        <v>46011</v>
      </c>
      <c r="F1972" s="4">
        <v>10218.58</v>
      </c>
      <c r="G1972" s="3">
        <f>SUMIF(Customer_Payments!B:B,C1972,Customer_Payments!E:E)</f>
        <v>0</v>
      </c>
      <c r="H1972" s="3">
        <f t="shared" si="90"/>
        <v>10218.58</v>
      </c>
      <c r="I1972" s="29">
        <f t="shared" si="91"/>
        <v>80</v>
      </c>
      <c r="J1972" s="31" t="str">
        <f t="shared" si="92"/>
        <v>61-90</v>
      </c>
      <c r="K1972"/>
    </row>
    <row r="1973" spans="1:11" x14ac:dyDescent="0.3">
      <c r="A1973" s="21" t="s">
        <v>19</v>
      </c>
      <c r="B1973" t="str">
        <f>VLOOKUP(A1973,Customers!A:B,2,FALSE)</f>
        <v>NextWave Digital</v>
      </c>
      <c r="C1973" s="25" t="s">
        <v>2340</v>
      </c>
      <c r="D1973" s="11">
        <v>46074</v>
      </c>
      <c r="E1973" s="11">
        <v>46104</v>
      </c>
      <c r="F1973" s="5">
        <v>13940.02</v>
      </c>
      <c r="G1973" s="3">
        <f>SUMIF(Customer_Payments!B:B,C1973,Customer_Payments!E:E)</f>
        <v>13940.02</v>
      </c>
      <c r="H1973" s="3">
        <f t="shared" si="90"/>
        <v>0</v>
      </c>
      <c r="I1973" s="29">
        <f t="shared" si="91"/>
        <v>-13</v>
      </c>
      <c r="J1973" s="31" t="str">
        <f t="shared" si="92"/>
        <v>Current</v>
      </c>
      <c r="K1973"/>
    </row>
    <row r="1974" spans="1:11" x14ac:dyDescent="0.3">
      <c r="A1974" s="20" t="s">
        <v>107</v>
      </c>
      <c r="B1974" t="str">
        <f>VLOOKUP(A1974,Customers!A:B,2,FALSE)</f>
        <v>RetailWorksPro</v>
      </c>
      <c r="C1974" s="24" t="s">
        <v>2341</v>
      </c>
      <c r="D1974" s="10">
        <v>46067</v>
      </c>
      <c r="E1974" s="10">
        <v>46097</v>
      </c>
      <c r="F1974" s="4">
        <v>2016.84</v>
      </c>
      <c r="G1974" s="3">
        <f>SUMIF(Customer_Payments!B:B,C1974,Customer_Payments!E:E)</f>
        <v>2016.84</v>
      </c>
      <c r="H1974" s="3">
        <f t="shared" si="90"/>
        <v>0</v>
      </c>
      <c r="I1974" s="29">
        <f t="shared" si="91"/>
        <v>-6</v>
      </c>
      <c r="J1974" s="31" t="str">
        <f t="shared" si="92"/>
        <v>Current</v>
      </c>
      <c r="K1974"/>
    </row>
    <row r="1975" spans="1:11" x14ac:dyDescent="0.3">
      <c r="A1975" s="21" t="s">
        <v>27</v>
      </c>
      <c r="B1975" t="str">
        <f>VLOOKUP(A1975,Customers!A:B,2,FALSE)</f>
        <v>Skyline Commerce</v>
      </c>
      <c r="C1975" s="25" t="s">
        <v>2342</v>
      </c>
      <c r="D1975" s="11">
        <v>46087</v>
      </c>
      <c r="E1975" s="11">
        <v>46117</v>
      </c>
      <c r="F1975" s="5">
        <v>13646.55</v>
      </c>
      <c r="G1975" s="3">
        <f>SUMIF(Customer_Payments!B:B,C1975,Customer_Payments!E:E)</f>
        <v>0</v>
      </c>
      <c r="H1975" s="3">
        <f t="shared" si="90"/>
        <v>13646.55</v>
      </c>
      <c r="I1975" s="29">
        <f t="shared" si="91"/>
        <v>-26</v>
      </c>
      <c r="J1975" s="31" t="str">
        <f t="shared" si="92"/>
        <v>Current</v>
      </c>
      <c r="K1975"/>
    </row>
    <row r="1976" spans="1:11" x14ac:dyDescent="0.3">
      <c r="A1976" s="20" t="s">
        <v>87</v>
      </c>
      <c r="B1976" t="str">
        <f>VLOOKUP(A1976,Customers!A:B,2,FALSE)</f>
        <v>RetailStreamX</v>
      </c>
      <c r="C1976" s="24" t="s">
        <v>2343</v>
      </c>
      <c r="D1976" s="10">
        <v>46072</v>
      </c>
      <c r="E1976" s="10">
        <v>46102</v>
      </c>
      <c r="F1976" s="4">
        <v>2203.7600000000002</v>
      </c>
      <c r="G1976" s="3">
        <f>SUMIF(Customer_Payments!B:B,C1976,Customer_Payments!E:E)</f>
        <v>2203.7600000000002</v>
      </c>
      <c r="H1976" s="3">
        <f t="shared" si="90"/>
        <v>0</v>
      </c>
      <c r="I1976" s="29">
        <f t="shared" si="91"/>
        <v>-11</v>
      </c>
      <c r="J1976" s="31" t="str">
        <f t="shared" si="92"/>
        <v>Current</v>
      </c>
      <c r="K1976"/>
    </row>
    <row r="1977" spans="1:11" x14ac:dyDescent="0.3">
      <c r="A1977" s="21" t="s">
        <v>17</v>
      </c>
      <c r="B1977" t="str">
        <f>VLOOKUP(A1977,Customers!A:B,2,FALSE)</f>
        <v>AlphaCommerce</v>
      </c>
      <c r="C1977" s="25" t="s">
        <v>2344</v>
      </c>
      <c r="D1977" s="11">
        <v>46022</v>
      </c>
      <c r="E1977" s="11">
        <v>46052</v>
      </c>
      <c r="F1977" s="5">
        <v>3014.27</v>
      </c>
      <c r="G1977" s="3">
        <f>SUMIF(Customer_Payments!B:B,C1977,Customer_Payments!E:E)</f>
        <v>3014.27</v>
      </c>
      <c r="H1977" s="3">
        <f t="shared" si="90"/>
        <v>0</v>
      </c>
      <c r="I1977" s="29">
        <f t="shared" si="91"/>
        <v>39</v>
      </c>
      <c r="J1977" s="31" t="str">
        <f t="shared" si="92"/>
        <v>31-60</v>
      </c>
      <c r="K1977"/>
    </row>
    <row r="1978" spans="1:11" x14ac:dyDescent="0.3">
      <c r="A1978" s="20" t="s">
        <v>65</v>
      </c>
      <c r="B1978" t="str">
        <f>VLOOKUP(A1978,Customers!A:B,2,FALSE)</f>
        <v>RetailFlow</v>
      </c>
      <c r="C1978" s="24" t="s">
        <v>2345</v>
      </c>
      <c r="D1978" s="10">
        <v>46095</v>
      </c>
      <c r="E1978" s="10">
        <v>46125</v>
      </c>
      <c r="F1978" s="4">
        <v>3335.37</v>
      </c>
      <c r="G1978" s="3">
        <f>SUMIF(Customer_Payments!B:B,C1978,Customer_Payments!E:E)</f>
        <v>3335.37</v>
      </c>
      <c r="H1978" s="3">
        <f t="shared" si="90"/>
        <v>0</v>
      </c>
      <c r="I1978" s="29">
        <f t="shared" si="91"/>
        <v>-34</v>
      </c>
      <c r="J1978" s="31" t="str">
        <f t="shared" si="92"/>
        <v>Current</v>
      </c>
      <c r="K1978"/>
    </row>
    <row r="1979" spans="1:11" x14ac:dyDescent="0.3">
      <c r="A1979" s="21" t="s">
        <v>121</v>
      </c>
      <c r="B1979" t="str">
        <f>VLOOKUP(A1979,Customers!A:B,2,FALSE)</f>
        <v>RetailVisionGlobal</v>
      </c>
      <c r="C1979" s="25" t="s">
        <v>2346</v>
      </c>
      <c r="D1979" s="11">
        <v>46065</v>
      </c>
      <c r="E1979" s="11">
        <v>46095</v>
      </c>
      <c r="F1979" s="5">
        <v>1894.68</v>
      </c>
      <c r="G1979" s="3">
        <f>SUMIF(Customer_Payments!B:B,C1979,Customer_Payments!E:E)</f>
        <v>1894.68</v>
      </c>
      <c r="H1979" s="3">
        <f t="shared" si="90"/>
        <v>0</v>
      </c>
      <c r="I1979" s="29">
        <f t="shared" si="91"/>
        <v>-4</v>
      </c>
      <c r="J1979" s="31" t="str">
        <f t="shared" si="92"/>
        <v>Current</v>
      </c>
      <c r="K1979"/>
    </row>
    <row r="1980" spans="1:11" x14ac:dyDescent="0.3">
      <c r="A1980" s="20" t="s">
        <v>110</v>
      </c>
      <c r="B1980" t="str">
        <f>VLOOKUP(A1980,Customers!A:B,2,FALSE)</f>
        <v>RetailAxisPro</v>
      </c>
      <c r="C1980" s="24" t="s">
        <v>2347</v>
      </c>
      <c r="D1980" s="10">
        <v>46039</v>
      </c>
      <c r="E1980" s="10">
        <v>46069</v>
      </c>
      <c r="F1980" s="4">
        <v>4593.8500000000004</v>
      </c>
      <c r="G1980" s="3">
        <f>SUMIF(Customer_Payments!B:B,C1980,Customer_Payments!E:E)</f>
        <v>4593.8500000000004</v>
      </c>
      <c r="H1980" s="3">
        <f t="shared" si="90"/>
        <v>0</v>
      </c>
      <c r="I1980" s="29">
        <f t="shared" si="91"/>
        <v>22</v>
      </c>
      <c r="J1980" s="31" t="str">
        <f t="shared" si="92"/>
        <v>1-30</v>
      </c>
      <c r="K1980"/>
    </row>
    <row r="1981" spans="1:11" x14ac:dyDescent="0.3">
      <c r="A1981" s="21" t="s">
        <v>25</v>
      </c>
      <c r="B1981" t="str">
        <f>VLOOKUP(A1981,Customers!A:B,2,FALSE)</f>
        <v>OrbitEdge</v>
      </c>
      <c r="C1981" s="25" t="s">
        <v>2348</v>
      </c>
      <c r="D1981" s="11">
        <v>46089</v>
      </c>
      <c r="E1981" s="11">
        <v>46119</v>
      </c>
      <c r="F1981" s="5">
        <v>13297.88</v>
      </c>
      <c r="G1981" s="3">
        <f>SUMIF(Customer_Payments!B:B,C1981,Customer_Payments!E:E)</f>
        <v>13297.88</v>
      </c>
      <c r="H1981" s="3">
        <f t="shared" si="90"/>
        <v>0</v>
      </c>
      <c r="I1981" s="29">
        <f t="shared" si="91"/>
        <v>-28</v>
      </c>
      <c r="J1981" s="31" t="str">
        <f t="shared" si="92"/>
        <v>Current</v>
      </c>
      <c r="K1981"/>
    </row>
    <row r="1982" spans="1:11" x14ac:dyDescent="0.3">
      <c r="A1982" s="20" t="s">
        <v>83</v>
      </c>
      <c r="B1982" t="str">
        <f>VLOOKUP(A1982,Customers!A:B,2,FALSE)</f>
        <v>RetailCoreX</v>
      </c>
      <c r="C1982" s="24" t="s">
        <v>2349</v>
      </c>
      <c r="D1982" s="10">
        <v>46108</v>
      </c>
      <c r="E1982" s="10">
        <v>46138</v>
      </c>
      <c r="F1982" s="4">
        <v>1456.66</v>
      </c>
      <c r="G1982" s="3">
        <f>SUMIF(Customer_Payments!B:B,C1982,Customer_Payments!E:E)</f>
        <v>1456.66</v>
      </c>
      <c r="H1982" s="3">
        <f t="shared" si="90"/>
        <v>0</v>
      </c>
      <c r="I1982" s="29">
        <f t="shared" si="91"/>
        <v>-47</v>
      </c>
      <c r="J1982" s="31" t="str">
        <f t="shared" si="92"/>
        <v>Current</v>
      </c>
      <c r="K1982"/>
    </row>
    <row r="1983" spans="1:11" x14ac:dyDescent="0.3">
      <c r="A1983" s="21" t="s">
        <v>18</v>
      </c>
      <c r="B1983" t="str">
        <f>VLOOKUP(A1983,Customers!A:B,2,FALSE)</f>
        <v>BluePeak Systems</v>
      </c>
      <c r="C1983" s="25" t="s">
        <v>2350</v>
      </c>
      <c r="D1983" s="11">
        <v>46087</v>
      </c>
      <c r="E1983" s="11">
        <v>46117</v>
      </c>
      <c r="F1983" s="5">
        <v>2528.4899999999998</v>
      </c>
      <c r="G1983" s="3">
        <f>SUMIF(Customer_Payments!B:B,C1983,Customer_Payments!E:E)</f>
        <v>0</v>
      </c>
      <c r="H1983" s="3">
        <f t="shared" si="90"/>
        <v>2528.4899999999998</v>
      </c>
      <c r="I1983" s="29">
        <f t="shared" si="91"/>
        <v>-26</v>
      </c>
      <c r="J1983" s="31" t="str">
        <f t="shared" si="92"/>
        <v>Current</v>
      </c>
      <c r="K1983"/>
    </row>
    <row r="1984" spans="1:11" x14ac:dyDescent="0.3">
      <c r="A1984" s="20" t="s">
        <v>69</v>
      </c>
      <c r="B1984" t="str">
        <f>VLOOKUP(A1984,Customers!A:B,2,FALSE)</f>
        <v>RetailNext</v>
      </c>
      <c r="C1984" s="24" t="s">
        <v>2351</v>
      </c>
      <c r="D1984" s="10">
        <v>46090</v>
      </c>
      <c r="E1984" s="10">
        <v>46120</v>
      </c>
      <c r="F1984" s="4">
        <v>2993.09</v>
      </c>
      <c r="G1984" s="3">
        <f>SUMIF(Customer_Payments!B:B,C1984,Customer_Payments!E:E)</f>
        <v>2993.09</v>
      </c>
      <c r="H1984" s="3">
        <f t="shared" si="90"/>
        <v>0</v>
      </c>
      <c r="I1984" s="29">
        <f t="shared" si="91"/>
        <v>-29</v>
      </c>
      <c r="J1984" s="31" t="str">
        <f t="shared" si="92"/>
        <v>Current</v>
      </c>
      <c r="K1984"/>
    </row>
    <row r="1985" spans="1:11" x14ac:dyDescent="0.3">
      <c r="A1985" s="21" t="s">
        <v>94</v>
      </c>
      <c r="B1985" t="str">
        <f>VLOOKUP(A1985,Customers!A:B,2,FALSE)</f>
        <v>RetailDynamicsX</v>
      </c>
      <c r="C1985" s="25" t="s">
        <v>2352</v>
      </c>
      <c r="D1985" s="11">
        <v>46098</v>
      </c>
      <c r="E1985" s="11">
        <v>46128</v>
      </c>
      <c r="F1985" s="5">
        <v>2896.49</v>
      </c>
      <c r="G1985" s="3">
        <f>SUMIF(Customer_Payments!B:B,C1985,Customer_Payments!E:E)</f>
        <v>2896.49</v>
      </c>
      <c r="H1985" s="3">
        <f t="shared" si="90"/>
        <v>0</v>
      </c>
      <c r="I1985" s="29">
        <f t="shared" si="91"/>
        <v>-37</v>
      </c>
      <c r="J1985" s="31" t="str">
        <f t="shared" si="92"/>
        <v>Current</v>
      </c>
      <c r="K1985"/>
    </row>
    <row r="1986" spans="1:11" x14ac:dyDescent="0.3">
      <c r="A1986" s="20" t="s">
        <v>110</v>
      </c>
      <c r="B1986" t="str">
        <f>VLOOKUP(A1986,Customers!A:B,2,FALSE)</f>
        <v>RetailAxisPro</v>
      </c>
      <c r="C1986" s="24" t="s">
        <v>2353</v>
      </c>
      <c r="D1986" s="10">
        <v>45995</v>
      </c>
      <c r="E1986" s="10">
        <v>46025</v>
      </c>
      <c r="F1986" s="4">
        <v>11401.22</v>
      </c>
      <c r="G1986" s="3">
        <f>SUMIF(Customer_Payments!B:B,C1986,Customer_Payments!E:E)</f>
        <v>0</v>
      </c>
      <c r="H1986" s="3">
        <f t="shared" ref="H1986:H2049" si="93">MAX(F1986-G1986,0)</f>
        <v>11401.22</v>
      </c>
      <c r="I1986" s="29">
        <f t="shared" ref="I1986:I2049" si="94">$L$2-E1986</f>
        <v>66</v>
      </c>
      <c r="J1986" s="31" t="str">
        <f t="shared" si="92"/>
        <v>61-90</v>
      </c>
      <c r="K1986"/>
    </row>
    <row r="1987" spans="1:11" x14ac:dyDescent="0.3">
      <c r="A1987" s="21" t="s">
        <v>87</v>
      </c>
      <c r="B1987" t="str">
        <f>VLOOKUP(A1987,Customers!A:B,2,FALSE)</f>
        <v>RetailStreamX</v>
      </c>
      <c r="C1987" s="25" t="s">
        <v>2354</v>
      </c>
      <c r="D1987" s="11">
        <v>45997</v>
      </c>
      <c r="E1987" s="11">
        <v>46027</v>
      </c>
      <c r="F1987" s="5">
        <v>4359.6099999999997</v>
      </c>
      <c r="G1987" s="3">
        <f>SUMIF(Customer_Payments!B:B,C1987,Customer_Payments!E:E)</f>
        <v>4359.6099999999997</v>
      </c>
      <c r="H1987" s="3">
        <f t="shared" si="93"/>
        <v>0</v>
      </c>
      <c r="I1987" s="29">
        <f t="shared" si="94"/>
        <v>64</v>
      </c>
      <c r="J1987" s="31" t="str">
        <f t="shared" ref="J1987:J2050" si="95">IF(I1987&lt;=0,"Current",
IF(I1987&lt;=30,"1-30",
IF(I1987&lt;=60,"31-60",
IF(I1987&lt;=90,"61-90","90+"))))</f>
        <v>61-90</v>
      </c>
      <c r="K1987"/>
    </row>
    <row r="1988" spans="1:11" x14ac:dyDescent="0.3">
      <c r="A1988" s="20" t="s">
        <v>68</v>
      </c>
      <c r="B1988" t="str">
        <f>VLOOKUP(A1988,Customers!A:B,2,FALSE)</f>
        <v>RetailVision</v>
      </c>
      <c r="C1988" s="24" t="s">
        <v>2355</v>
      </c>
      <c r="D1988" s="10">
        <v>45981</v>
      </c>
      <c r="E1988" s="10">
        <v>46011</v>
      </c>
      <c r="F1988" s="4">
        <v>3996.73</v>
      </c>
      <c r="G1988" s="3">
        <f>SUMIF(Customer_Payments!B:B,C1988,Customer_Payments!E:E)</f>
        <v>0</v>
      </c>
      <c r="H1988" s="3">
        <f t="shared" si="93"/>
        <v>3996.73</v>
      </c>
      <c r="I1988" s="29">
        <f t="shared" si="94"/>
        <v>80</v>
      </c>
      <c r="J1988" s="31" t="str">
        <f t="shared" si="95"/>
        <v>61-90</v>
      </c>
      <c r="K1988"/>
    </row>
    <row r="1989" spans="1:11" x14ac:dyDescent="0.3">
      <c r="A1989" s="21" t="s">
        <v>39</v>
      </c>
      <c r="B1989" t="str">
        <f>VLOOKUP(A1989,Customers!A:B,2,FALSE)</f>
        <v>VisionCommerce</v>
      </c>
      <c r="C1989" s="25" t="s">
        <v>2356</v>
      </c>
      <c r="D1989" s="11">
        <v>46044</v>
      </c>
      <c r="E1989" s="11">
        <v>46074</v>
      </c>
      <c r="F1989" s="5">
        <v>3639.99</v>
      </c>
      <c r="G1989" s="3">
        <f>SUMIF(Customer_Payments!B:B,C1989,Customer_Payments!E:E)</f>
        <v>3639.99</v>
      </c>
      <c r="H1989" s="3">
        <f t="shared" si="93"/>
        <v>0</v>
      </c>
      <c r="I1989" s="29">
        <f t="shared" si="94"/>
        <v>17</v>
      </c>
      <c r="J1989" s="31" t="str">
        <f t="shared" si="95"/>
        <v>1-30</v>
      </c>
      <c r="K1989"/>
    </row>
    <row r="1990" spans="1:11" x14ac:dyDescent="0.3">
      <c r="A1990" s="20" t="s">
        <v>72</v>
      </c>
      <c r="B1990" t="str">
        <f>VLOOKUP(A1990,Customers!A:B,2,FALSE)</f>
        <v>RetailStream</v>
      </c>
      <c r="C1990" s="24" t="s">
        <v>2357</v>
      </c>
      <c r="D1990" s="10">
        <v>45978</v>
      </c>
      <c r="E1990" s="10">
        <v>46008</v>
      </c>
      <c r="F1990" s="4">
        <v>2631.41</v>
      </c>
      <c r="G1990" s="3">
        <f>SUMIF(Customer_Payments!B:B,C1990,Customer_Payments!E:E)</f>
        <v>2631.41</v>
      </c>
      <c r="H1990" s="3">
        <f t="shared" si="93"/>
        <v>0</v>
      </c>
      <c r="I1990" s="29">
        <f t="shared" si="94"/>
        <v>83</v>
      </c>
      <c r="J1990" s="31" t="str">
        <f t="shared" si="95"/>
        <v>61-90</v>
      </c>
      <c r="K1990"/>
    </row>
    <row r="1991" spans="1:11" x14ac:dyDescent="0.3">
      <c r="A1991" s="21" t="s">
        <v>10</v>
      </c>
      <c r="B1991" t="str">
        <f>VLOOKUP(A1991,Customers!A:B,2,FALSE)</f>
        <v>LaunchLabs</v>
      </c>
      <c r="C1991" s="25" t="s">
        <v>2358</v>
      </c>
      <c r="D1991" s="11">
        <v>46014</v>
      </c>
      <c r="E1991" s="11">
        <v>46044</v>
      </c>
      <c r="F1991" s="5">
        <v>4432.6099999999997</v>
      </c>
      <c r="G1991" s="3">
        <f>SUMIF(Customer_Payments!B:B,C1991,Customer_Payments!E:E)</f>
        <v>0</v>
      </c>
      <c r="H1991" s="3">
        <f t="shared" si="93"/>
        <v>4432.6099999999997</v>
      </c>
      <c r="I1991" s="29">
        <f t="shared" si="94"/>
        <v>47</v>
      </c>
      <c r="J1991" s="31" t="str">
        <f t="shared" si="95"/>
        <v>31-60</v>
      </c>
      <c r="K1991"/>
    </row>
    <row r="1992" spans="1:11" x14ac:dyDescent="0.3">
      <c r="A1992" s="20" t="s">
        <v>23</v>
      </c>
      <c r="B1992" t="str">
        <f>VLOOKUP(A1992,Customers!A:B,2,FALSE)</f>
        <v>VertexCommerce</v>
      </c>
      <c r="C1992" s="24" t="s">
        <v>2359</v>
      </c>
      <c r="D1992" s="10">
        <v>45965</v>
      </c>
      <c r="E1992" s="10">
        <v>45995</v>
      </c>
      <c r="F1992" s="4">
        <v>2138.5700000000002</v>
      </c>
      <c r="G1992" s="3">
        <f>SUMIF(Customer_Payments!B:B,C1992,Customer_Payments!E:E)</f>
        <v>2138.5700000000002</v>
      </c>
      <c r="H1992" s="3">
        <f t="shared" si="93"/>
        <v>0</v>
      </c>
      <c r="I1992" s="29">
        <f t="shared" si="94"/>
        <v>96</v>
      </c>
      <c r="J1992" s="31" t="str">
        <f t="shared" si="95"/>
        <v>90+</v>
      </c>
      <c r="K1992"/>
    </row>
    <row r="1993" spans="1:11" x14ac:dyDescent="0.3">
      <c r="A1993" s="21" t="s">
        <v>77</v>
      </c>
      <c r="B1993" t="str">
        <f>VLOOKUP(A1993,Customers!A:B,2,FALSE)</f>
        <v>RetailBridge</v>
      </c>
      <c r="C1993" s="25" t="s">
        <v>2360</v>
      </c>
      <c r="D1993" s="11">
        <v>45987</v>
      </c>
      <c r="E1993" s="11">
        <v>46017</v>
      </c>
      <c r="F1993" s="5">
        <v>2273.67</v>
      </c>
      <c r="G1993" s="3">
        <f>SUMIF(Customer_Payments!B:B,C1993,Customer_Payments!E:E)</f>
        <v>2273.67</v>
      </c>
      <c r="H1993" s="3">
        <f t="shared" si="93"/>
        <v>0</v>
      </c>
      <c r="I1993" s="29">
        <f t="shared" si="94"/>
        <v>74</v>
      </c>
      <c r="J1993" s="31" t="str">
        <f t="shared" si="95"/>
        <v>61-90</v>
      </c>
      <c r="K1993"/>
    </row>
    <row r="1994" spans="1:11" x14ac:dyDescent="0.3">
      <c r="A1994" s="20" t="s">
        <v>58</v>
      </c>
      <c r="B1994" t="str">
        <f>VLOOKUP(A1994,Customers!A:B,2,FALSE)</f>
        <v>RetailAxis</v>
      </c>
      <c r="C1994" s="24" t="s">
        <v>2361</v>
      </c>
      <c r="D1994" s="10">
        <v>46109</v>
      </c>
      <c r="E1994" s="10">
        <v>46139</v>
      </c>
      <c r="F1994" s="4">
        <v>1651.91</v>
      </c>
      <c r="G1994" s="3">
        <f>SUMIF(Customer_Payments!B:B,C1994,Customer_Payments!E:E)</f>
        <v>1651.91</v>
      </c>
      <c r="H1994" s="3">
        <f t="shared" si="93"/>
        <v>0</v>
      </c>
      <c r="I1994" s="29">
        <f t="shared" si="94"/>
        <v>-48</v>
      </c>
      <c r="J1994" s="31" t="str">
        <f t="shared" si="95"/>
        <v>Current</v>
      </c>
      <c r="K1994"/>
    </row>
    <row r="1995" spans="1:11" x14ac:dyDescent="0.3">
      <c r="A1995" s="21" t="s">
        <v>98</v>
      </c>
      <c r="B1995" t="str">
        <f>VLOOKUP(A1995,Customers!A:B,2,FALSE)</f>
        <v>RetailEdgePro</v>
      </c>
      <c r="C1995" s="25" t="s">
        <v>2362</v>
      </c>
      <c r="D1995" s="11">
        <v>46077</v>
      </c>
      <c r="E1995" s="11">
        <v>46107</v>
      </c>
      <c r="F1995" s="5">
        <v>4500.1899999999996</v>
      </c>
      <c r="G1995" s="3">
        <f>SUMIF(Customer_Payments!B:B,C1995,Customer_Payments!E:E)</f>
        <v>0</v>
      </c>
      <c r="H1995" s="3">
        <f t="shared" si="93"/>
        <v>4500.1899999999996</v>
      </c>
      <c r="I1995" s="29">
        <f t="shared" si="94"/>
        <v>-16</v>
      </c>
      <c r="J1995" s="31" t="str">
        <f t="shared" si="95"/>
        <v>Current</v>
      </c>
      <c r="K1995"/>
    </row>
    <row r="1996" spans="1:11" x14ac:dyDescent="0.3">
      <c r="A1996" s="20" t="s">
        <v>82</v>
      </c>
      <c r="B1996" t="str">
        <f>VLOOKUP(A1996,Customers!A:B,2,FALSE)</f>
        <v>RetailNovaX</v>
      </c>
      <c r="C1996" s="24" t="s">
        <v>2363</v>
      </c>
      <c r="D1996" s="10">
        <v>45963</v>
      </c>
      <c r="E1996" s="10">
        <v>45993</v>
      </c>
      <c r="F1996" s="4">
        <v>2961.87</v>
      </c>
      <c r="G1996" s="3">
        <f>SUMIF(Customer_Payments!B:B,C1996,Customer_Payments!E:E)</f>
        <v>0</v>
      </c>
      <c r="H1996" s="3">
        <f t="shared" si="93"/>
        <v>2961.87</v>
      </c>
      <c r="I1996" s="29">
        <f t="shared" si="94"/>
        <v>98</v>
      </c>
      <c r="J1996" s="31" t="str">
        <f t="shared" si="95"/>
        <v>90+</v>
      </c>
      <c r="K1996"/>
    </row>
    <row r="1997" spans="1:11" x14ac:dyDescent="0.3">
      <c r="A1997" s="21" t="s">
        <v>120</v>
      </c>
      <c r="B1997" t="str">
        <f>VLOOKUP(A1997,Customers!A:B,2,FALSE)</f>
        <v>RetailPrimeGlobal</v>
      </c>
      <c r="C1997" s="25" t="s">
        <v>2364</v>
      </c>
      <c r="D1997" s="11">
        <v>46040</v>
      </c>
      <c r="E1997" s="11">
        <v>46070</v>
      </c>
      <c r="F1997" s="5">
        <v>2165.65</v>
      </c>
      <c r="G1997" s="3">
        <f>SUMIF(Customer_Payments!B:B,C1997,Customer_Payments!E:E)</f>
        <v>2165.65</v>
      </c>
      <c r="H1997" s="3">
        <f t="shared" si="93"/>
        <v>0</v>
      </c>
      <c r="I1997" s="29">
        <f t="shared" si="94"/>
        <v>21</v>
      </c>
      <c r="J1997" s="31" t="str">
        <f t="shared" si="95"/>
        <v>1-30</v>
      </c>
      <c r="K1997"/>
    </row>
    <row r="1998" spans="1:11" x14ac:dyDescent="0.3">
      <c r="A1998" s="20" t="s">
        <v>86</v>
      </c>
      <c r="B1998" t="str">
        <f>VLOOKUP(A1998,Customers!A:B,2,FALSE)</f>
        <v>RetailNextX</v>
      </c>
      <c r="C1998" s="24" t="s">
        <v>2365</v>
      </c>
      <c r="D1998" s="10">
        <v>46105</v>
      </c>
      <c r="E1998" s="10">
        <v>46135</v>
      </c>
      <c r="F1998" s="4">
        <v>11633.94</v>
      </c>
      <c r="G1998" s="3">
        <f>SUMIF(Customer_Payments!B:B,C1998,Customer_Payments!E:E)</f>
        <v>0</v>
      </c>
      <c r="H1998" s="3">
        <f t="shared" si="93"/>
        <v>11633.94</v>
      </c>
      <c r="I1998" s="29">
        <f t="shared" si="94"/>
        <v>-44</v>
      </c>
      <c r="J1998" s="31" t="str">
        <f t="shared" si="95"/>
        <v>Current</v>
      </c>
      <c r="K1998"/>
    </row>
    <row r="1999" spans="1:11" x14ac:dyDescent="0.3">
      <c r="A1999" s="21" t="s">
        <v>54</v>
      </c>
      <c r="B1999" t="str">
        <f>VLOOKUP(A1999,Customers!A:B,2,FALSE)</f>
        <v>RetailEdge</v>
      </c>
      <c r="C1999" s="25" t="s">
        <v>2366</v>
      </c>
      <c r="D1999" s="11">
        <v>46056</v>
      </c>
      <c r="E1999" s="11">
        <v>46086</v>
      </c>
      <c r="F1999" s="5">
        <v>3128.75</v>
      </c>
      <c r="G1999" s="3">
        <f>SUMIF(Customer_Payments!B:B,C1999,Customer_Payments!E:E)</f>
        <v>3128.75</v>
      </c>
      <c r="H1999" s="3">
        <f t="shared" si="93"/>
        <v>0</v>
      </c>
      <c r="I1999" s="29">
        <f t="shared" si="94"/>
        <v>5</v>
      </c>
      <c r="J1999" s="31" t="str">
        <f t="shared" si="95"/>
        <v>1-30</v>
      </c>
      <c r="K1999"/>
    </row>
    <row r="2000" spans="1:11" x14ac:dyDescent="0.3">
      <c r="A2000" s="20" t="s">
        <v>72</v>
      </c>
      <c r="B2000" t="str">
        <f>VLOOKUP(A2000,Customers!A:B,2,FALSE)</f>
        <v>RetailStream</v>
      </c>
      <c r="C2000" s="24" t="s">
        <v>2367</v>
      </c>
      <c r="D2000" s="10">
        <v>46016</v>
      </c>
      <c r="E2000" s="10">
        <v>46046</v>
      </c>
      <c r="F2000" s="4">
        <v>2029.93</v>
      </c>
      <c r="G2000" s="3">
        <f>SUMIF(Customer_Payments!B:B,C2000,Customer_Payments!E:E)</f>
        <v>0</v>
      </c>
      <c r="H2000" s="3">
        <f t="shared" si="93"/>
        <v>2029.93</v>
      </c>
      <c r="I2000" s="29">
        <f t="shared" si="94"/>
        <v>45</v>
      </c>
      <c r="J2000" s="31" t="str">
        <f t="shared" si="95"/>
        <v>31-60</v>
      </c>
      <c r="K2000"/>
    </row>
    <row r="2001" spans="1:11" x14ac:dyDescent="0.3">
      <c r="A2001" s="21" t="s">
        <v>89</v>
      </c>
      <c r="B2001" t="str">
        <f>VLOOKUP(A2001,Customers!A:B,2,FALSE)</f>
        <v>RetailAxisX</v>
      </c>
      <c r="C2001" s="25" t="s">
        <v>2368</v>
      </c>
      <c r="D2001" s="11">
        <v>46103</v>
      </c>
      <c r="E2001" s="11">
        <v>46133</v>
      </c>
      <c r="F2001" s="5">
        <v>2586.87</v>
      </c>
      <c r="G2001" s="3">
        <f>SUMIF(Customer_Payments!B:B,C2001,Customer_Payments!E:E)</f>
        <v>0</v>
      </c>
      <c r="H2001" s="3">
        <f t="shared" si="93"/>
        <v>2586.87</v>
      </c>
      <c r="I2001" s="29">
        <f t="shared" si="94"/>
        <v>-42</v>
      </c>
      <c r="J2001" s="31" t="str">
        <f t="shared" si="95"/>
        <v>Current</v>
      </c>
      <c r="K2001"/>
    </row>
    <row r="2002" spans="1:11" x14ac:dyDescent="0.3">
      <c r="A2002" s="20" t="s">
        <v>48</v>
      </c>
      <c r="B2002" t="str">
        <f>VLOOKUP(A2002,Customers!A:B,2,FALSE)</f>
        <v>RetailGenius</v>
      </c>
      <c r="C2002" s="24" t="s">
        <v>2369</v>
      </c>
      <c r="D2002" s="10">
        <v>46046</v>
      </c>
      <c r="E2002" s="10">
        <v>46076</v>
      </c>
      <c r="F2002" s="4">
        <v>3293.15</v>
      </c>
      <c r="G2002" s="3">
        <f>SUMIF(Customer_Payments!B:B,C2002,Customer_Payments!E:E)</f>
        <v>3293.15</v>
      </c>
      <c r="H2002" s="3">
        <f t="shared" si="93"/>
        <v>0</v>
      </c>
      <c r="I2002" s="29">
        <f t="shared" si="94"/>
        <v>15</v>
      </c>
      <c r="J2002" s="31" t="str">
        <f t="shared" si="95"/>
        <v>1-30</v>
      </c>
      <c r="K2002"/>
    </row>
    <row r="2003" spans="1:11" x14ac:dyDescent="0.3">
      <c r="A2003" s="21" t="s">
        <v>91</v>
      </c>
      <c r="B2003" t="str">
        <f>VLOOKUP(A2003,Customers!A:B,2,FALSE)</f>
        <v>RetailBridgeX</v>
      </c>
      <c r="C2003" s="25" t="s">
        <v>2370</v>
      </c>
      <c r="D2003" s="11">
        <v>46096</v>
      </c>
      <c r="E2003" s="11">
        <v>46126</v>
      </c>
      <c r="F2003" s="5">
        <v>13396.3</v>
      </c>
      <c r="G2003" s="3">
        <f>SUMIF(Customer_Payments!B:B,C2003,Customer_Payments!E:E)</f>
        <v>13396.3</v>
      </c>
      <c r="H2003" s="3">
        <f t="shared" si="93"/>
        <v>0</v>
      </c>
      <c r="I2003" s="29">
        <f t="shared" si="94"/>
        <v>-35</v>
      </c>
      <c r="J2003" s="31" t="str">
        <f t="shared" si="95"/>
        <v>Current</v>
      </c>
      <c r="K2003"/>
    </row>
    <row r="2004" spans="1:11" x14ac:dyDescent="0.3">
      <c r="A2004" s="20" t="s">
        <v>47</v>
      </c>
      <c r="B2004" t="str">
        <f>VLOOKUP(A2004,Customers!A:B,2,FALSE)</f>
        <v>SmartRetail</v>
      </c>
      <c r="C2004" s="24" t="s">
        <v>2371</v>
      </c>
      <c r="D2004" s="10">
        <v>46021</v>
      </c>
      <c r="E2004" s="10">
        <v>46051</v>
      </c>
      <c r="F2004" s="4">
        <v>2371.96</v>
      </c>
      <c r="G2004" s="3">
        <f>SUMIF(Customer_Payments!B:B,C2004,Customer_Payments!E:E)</f>
        <v>2371.96</v>
      </c>
      <c r="H2004" s="3">
        <f t="shared" si="93"/>
        <v>0</v>
      </c>
      <c r="I2004" s="29">
        <f t="shared" si="94"/>
        <v>40</v>
      </c>
      <c r="J2004" s="31" t="str">
        <f t="shared" si="95"/>
        <v>31-60</v>
      </c>
      <c r="K2004"/>
    </row>
    <row r="2005" spans="1:11" x14ac:dyDescent="0.3">
      <c r="A2005" s="21" t="s">
        <v>108</v>
      </c>
      <c r="B2005" t="str">
        <f>VLOOKUP(A2005,Customers!A:B,2,FALSE)</f>
        <v>RetailNextPro</v>
      </c>
      <c r="C2005" s="25" t="s">
        <v>2372</v>
      </c>
      <c r="D2005" s="11">
        <v>46010</v>
      </c>
      <c r="E2005" s="11">
        <v>46040</v>
      </c>
      <c r="F2005" s="5">
        <v>1447.85</v>
      </c>
      <c r="G2005" s="3">
        <f>SUMIF(Customer_Payments!B:B,C2005,Customer_Payments!E:E)</f>
        <v>1447.85</v>
      </c>
      <c r="H2005" s="3">
        <f t="shared" si="93"/>
        <v>0</v>
      </c>
      <c r="I2005" s="29">
        <f t="shared" si="94"/>
        <v>51</v>
      </c>
      <c r="J2005" s="31" t="str">
        <f t="shared" si="95"/>
        <v>31-60</v>
      </c>
      <c r="K2005"/>
    </row>
    <row r="2006" spans="1:11" x14ac:dyDescent="0.3">
      <c r="A2006" s="20" t="s">
        <v>84</v>
      </c>
      <c r="B2006" t="str">
        <f>VLOOKUP(A2006,Customers!A:B,2,FALSE)</f>
        <v>RetailVisionX</v>
      </c>
      <c r="C2006" s="24" t="s">
        <v>2373</v>
      </c>
      <c r="D2006" s="10">
        <v>46056</v>
      </c>
      <c r="E2006" s="10">
        <v>46086</v>
      </c>
      <c r="F2006" s="4">
        <v>2898.74</v>
      </c>
      <c r="G2006" s="3">
        <f>SUMIF(Customer_Payments!B:B,C2006,Customer_Payments!E:E)</f>
        <v>2898.74</v>
      </c>
      <c r="H2006" s="3">
        <f t="shared" si="93"/>
        <v>0</v>
      </c>
      <c r="I2006" s="29">
        <f t="shared" si="94"/>
        <v>5</v>
      </c>
      <c r="J2006" s="31" t="str">
        <f t="shared" si="95"/>
        <v>1-30</v>
      </c>
      <c r="K2006"/>
    </row>
    <row r="2007" spans="1:11" x14ac:dyDescent="0.3">
      <c r="A2007" s="21" t="s">
        <v>84</v>
      </c>
      <c r="B2007" t="str">
        <f>VLOOKUP(A2007,Customers!A:B,2,FALSE)</f>
        <v>RetailVisionX</v>
      </c>
      <c r="C2007" s="25" t="s">
        <v>2374</v>
      </c>
      <c r="D2007" s="11">
        <v>46079</v>
      </c>
      <c r="E2007" s="11">
        <v>46109</v>
      </c>
      <c r="F2007" s="5">
        <v>5054.5200000000004</v>
      </c>
      <c r="G2007" s="3">
        <f>SUMIF(Customer_Payments!B:B,C2007,Customer_Payments!E:E)</f>
        <v>5054.5200000000004</v>
      </c>
      <c r="H2007" s="3">
        <f t="shared" si="93"/>
        <v>0</v>
      </c>
      <c r="I2007" s="29">
        <f t="shared" si="94"/>
        <v>-18</v>
      </c>
      <c r="J2007" s="31" t="str">
        <f t="shared" si="95"/>
        <v>Current</v>
      </c>
      <c r="K2007"/>
    </row>
    <row r="2008" spans="1:11" x14ac:dyDescent="0.3">
      <c r="A2008" s="20" t="s">
        <v>62</v>
      </c>
      <c r="B2008" t="str">
        <f>VLOOKUP(A2008,Customers!A:B,2,FALSE)</f>
        <v>MarketNova</v>
      </c>
      <c r="C2008" s="24" t="s">
        <v>2375</v>
      </c>
      <c r="D2008" s="10">
        <v>46044</v>
      </c>
      <c r="E2008" s="10">
        <v>46074</v>
      </c>
      <c r="F2008" s="4">
        <v>1493.87</v>
      </c>
      <c r="G2008" s="3">
        <f>SUMIF(Customer_Payments!B:B,C2008,Customer_Payments!E:E)</f>
        <v>1493.87</v>
      </c>
      <c r="H2008" s="3">
        <f t="shared" si="93"/>
        <v>0</v>
      </c>
      <c r="I2008" s="29">
        <f t="shared" si="94"/>
        <v>17</v>
      </c>
      <c r="J2008" s="31" t="str">
        <f t="shared" si="95"/>
        <v>1-30</v>
      </c>
      <c r="K2008"/>
    </row>
    <row r="2009" spans="1:11" x14ac:dyDescent="0.3">
      <c r="A2009" s="21" t="s">
        <v>70</v>
      </c>
      <c r="B2009" t="str">
        <f>VLOOKUP(A2009,Customers!A:B,2,FALSE)</f>
        <v>RetailPath</v>
      </c>
      <c r="C2009" s="25" t="s">
        <v>2376</v>
      </c>
      <c r="D2009" s="11">
        <v>46040</v>
      </c>
      <c r="E2009" s="11">
        <v>46070</v>
      </c>
      <c r="F2009" s="5">
        <v>2813.39</v>
      </c>
      <c r="G2009" s="3">
        <f>SUMIF(Customer_Payments!B:B,C2009,Customer_Payments!E:E)</f>
        <v>2813.39</v>
      </c>
      <c r="H2009" s="3">
        <f t="shared" si="93"/>
        <v>0</v>
      </c>
      <c r="I2009" s="29">
        <f t="shared" si="94"/>
        <v>21</v>
      </c>
      <c r="J2009" s="31" t="str">
        <f t="shared" si="95"/>
        <v>1-30</v>
      </c>
      <c r="K2009"/>
    </row>
    <row r="2010" spans="1:11" x14ac:dyDescent="0.3">
      <c r="A2010" s="20" t="s">
        <v>64</v>
      </c>
      <c r="B2010" t="str">
        <f>VLOOKUP(A2010,Customers!A:B,2,FALSE)</f>
        <v>MarketScale</v>
      </c>
      <c r="C2010" s="24" t="s">
        <v>2377</v>
      </c>
      <c r="D2010" s="10">
        <v>46096</v>
      </c>
      <c r="E2010" s="10">
        <v>46126</v>
      </c>
      <c r="F2010" s="4">
        <v>9824.6</v>
      </c>
      <c r="G2010" s="3">
        <f>SUMIF(Customer_Payments!B:B,C2010,Customer_Payments!E:E)</f>
        <v>9824.6</v>
      </c>
      <c r="H2010" s="3">
        <f t="shared" si="93"/>
        <v>0</v>
      </c>
      <c r="I2010" s="29">
        <f t="shared" si="94"/>
        <v>-35</v>
      </c>
      <c r="J2010" s="31" t="str">
        <f t="shared" si="95"/>
        <v>Current</v>
      </c>
      <c r="K2010"/>
    </row>
    <row r="2011" spans="1:11" x14ac:dyDescent="0.3">
      <c r="A2011" s="21" t="s">
        <v>9</v>
      </c>
      <c r="B2011" t="str">
        <f>VLOOKUP(A2011,Customers!A:B,2,FALSE)</f>
        <v>UrbanRetail</v>
      </c>
      <c r="C2011" s="25" t="s">
        <v>2378</v>
      </c>
      <c r="D2011" s="11">
        <v>46109</v>
      </c>
      <c r="E2011" s="11">
        <v>46139</v>
      </c>
      <c r="F2011" s="5">
        <v>5202.8599999999997</v>
      </c>
      <c r="G2011" s="3">
        <f>SUMIF(Customer_Payments!B:B,C2011,Customer_Payments!E:E)</f>
        <v>5202.8599999999997</v>
      </c>
      <c r="H2011" s="3">
        <f t="shared" si="93"/>
        <v>0</v>
      </c>
      <c r="I2011" s="29">
        <f t="shared" si="94"/>
        <v>-48</v>
      </c>
      <c r="J2011" s="31" t="str">
        <f t="shared" si="95"/>
        <v>Current</v>
      </c>
      <c r="K2011"/>
    </row>
    <row r="2012" spans="1:11" x14ac:dyDescent="0.3">
      <c r="A2012" s="20" t="s">
        <v>123</v>
      </c>
      <c r="B2012" t="str">
        <f>VLOOKUP(A2012,Customers!A:B,2,FALSE)</f>
        <v>RetailFlowGlobal</v>
      </c>
      <c r="C2012" s="24" t="s">
        <v>2379</v>
      </c>
      <c r="D2012" s="10">
        <v>46014</v>
      </c>
      <c r="E2012" s="10">
        <v>46044</v>
      </c>
      <c r="F2012" s="4">
        <v>2017.84</v>
      </c>
      <c r="G2012" s="3">
        <f>SUMIF(Customer_Payments!B:B,C2012,Customer_Payments!E:E)</f>
        <v>0</v>
      </c>
      <c r="H2012" s="3">
        <f t="shared" si="93"/>
        <v>2017.84</v>
      </c>
      <c r="I2012" s="29">
        <f t="shared" si="94"/>
        <v>47</v>
      </c>
      <c r="J2012" s="31" t="str">
        <f t="shared" si="95"/>
        <v>31-60</v>
      </c>
      <c r="K2012"/>
    </row>
    <row r="2013" spans="1:11" x14ac:dyDescent="0.3">
      <c r="A2013" s="21" t="s">
        <v>75</v>
      </c>
      <c r="B2013" t="str">
        <f>VLOOKUP(A2013,Customers!A:B,2,FALSE)</f>
        <v>RetailMatrix</v>
      </c>
      <c r="C2013" s="25" t="s">
        <v>2380</v>
      </c>
      <c r="D2013" s="11">
        <v>46034</v>
      </c>
      <c r="E2013" s="11">
        <v>46064</v>
      </c>
      <c r="F2013" s="5">
        <v>10964.96</v>
      </c>
      <c r="G2013" s="3">
        <f>SUMIF(Customer_Payments!B:B,C2013,Customer_Payments!E:E)</f>
        <v>10964.96</v>
      </c>
      <c r="H2013" s="3">
        <f t="shared" si="93"/>
        <v>0</v>
      </c>
      <c r="I2013" s="29">
        <f t="shared" si="94"/>
        <v>27</v>
      </c>
      <c r="J2013" s="31" t="str">
        <f t="shared" si="95"/>
        <v>1-30</v>
      </c>
      <c r="K2013"/>
    </row>
    <row r="2014" spans="1:11" x14ac:dyDescent="0.3">
      <c r="A2014" s="20" t="s">
        <v>19</v>
      </c>
      <c r="B2014" t="str">
        <f>VLOOKUP(A2014,Customers!A:B,2,FALSE)</f>
        <v>NextWave Digital</v>
      </c>
      <c r="C2014" s="24" t="s">
        <v>2381</v>
      </c>
      <c r="D2014" s="10">
        <v>46101</v>
      </c>
      <c r="E2014" s="10">
        <v>46131</v>
      </c>
      <c r="F2014" s="4">
        <v>2854.77</v>
      </c>
      <c r="G2014" s="3">
        <f>SUMIF(Customer_Payments!B:B,C2014,Customer_Payments!E:E)</f>
        <v>2854.77</v>
      </c>
      <c r="H2014" s="3">
        <f t="shared" si="93"/>
        <v>0</v>
      </c>
      <c r="I2014" s="29">
        <f t="shared" si="94"/>
        <v>-40</v>
      </c>
      <c r="J2014" s="31" t="str">
        <f t="shared" si="95"/>
        <v>Current</v>
      </c>
      <c r="K2014"/>
    </row>
    <row r="2015" spans="1:11" x14ac:dyDescent="0.3">
      <c r="A2015" s="21" t="s">
        <v>58</v>
      </c>
      <c r="B2015" t="str">
        <f>VLOOKUP(A2015,Customers!A:B,2,FALSE)</f>
        <v>RetailAxis</v>
      </c>
      <c r="C2015" s="25" t="s">
        <v>2382</v>
      </c>
      <c r="D2015" s="11">
        <v>45992</v>
      </c>
      <c r="E2015" s="11">
        <v>46022</v>
      </c>
      <c r="F2015" s="5">
        <v>13071.62</v>
      </c>
      <c r="G2015" s="3">
        <f>SUMIF(Customer_Payments!B:B,C2015,Customer_Payments!E:E)</f>
        <v>0</v>
      </c>
      <c r="H2015" s="3">
        <f t="shared" si="93"/>
        <v>13071.62</v>
      </c>
      <c r="I2015" s="29">
        <f t="shared" si="94"/>
        <v>69</v>
      </c>
      <c r="J2015" s="31" t="str">
        <f t="shared" si="95"/>
        <v>61-90</v>
      </c>
      <c r="K2015"/>
    </row>
    <row r="2016" spans="1:11" x14ac:dyDescent="0.3">
      <c r="A2016" s="20" t="s">
        <v>57</v>
      </c>
      <c r="B2016" t="str">
        <f>VLOOKUP(A2016,Customers!A:B,2,FALSE)</f>
        <v>MarketGenius</v>
      </c>
      <c r="C2016" s="24" t="s">
        <v>2383</v>
      </c>
      <c r="D2016" s="10">
        <v>46046</v>
      </c>
      <c r="E2016" s="10">
        <v>46076</v>
      </c>
      <c r="F2016" s="4">
        <v>3067.74</v>
      </c>
      <c r="G2016" s="3">
        <f>SUMIF(Customer_Payments!B:B,C2016,Customer_Payments!E:E)</f>
        <v>3067.74</v>
      </c>
      <c r="H2016" s="3">
        <f t="shared" si="93"/>
        <v>0</v>
      </c>
      <c r="I2016" s="29">
        <f t="shared" si="94"/>
        <v>15</v>
      </c>
      <c r="J2016" s="31" t="str">
        <f t="shared" si="95"/>
        <v>1-30</v>
      </c>
      <c r="K2016"/>
    </row>
    <row r="2017" spans="1:11" x14ac:dyDescent="0.3">
      <c r="A2017" s="21" t="s">
        <v>123</v>
      </c>
      <c r="B2017" t="str">
        <f>VLOOKUP(A2017,Customers!A:B,2,FALSE)</f>
        <v>RetailFlowGlobal</v>
      </c>
      <c r="C2017" s="25" t="s">
        <v>2384</v>
      </c>
      <c r="D2017" s="11">
        <v>46006</v>
      </c>
      <c r="E2017" s="11">
        <v>46036</v>
      </c>
      <c r="F2017" s="5">
        <v>2696.46</v>
      </c>
      <c r="G2017" s="3">
        <f>SUMIF(Customer_Payments!B:B,C2017,Customer_Payments!E:E)</f>
        <v>0</v>
      </c>
      <c r="H2017" s="3">
        <f t="shared" si="93"/>
        <v>2696.46</v>
      </c>
      <c r="I2017" s="29">
        <f t="shared" si="94"/>
        <v>55</v>
      </c>
      <c r="J2017" s="31" t="str">
        <f t="shared" si="95"/>
        <v>31-60</v>
      </c>
      <c r="K2017"/>
    </row>
    <row r="2018" spans="1:11" x14ac:dyDescent="0.3">
      <c r="A2018" s="20" t="s">
        <v>13</v>
      </c>
      <c r="B2018" t="str">
        <f>VLOOKUP(A2018,Customers!A:B,2,FALSE)</f>
        <v>EduNova</v>
      </c>
      <c r="C2018" s="24" t="s">
        <v>2385</v>
      </c>
      <c r="D2018" s="10">
        <v>46022</v>
      </c>
      <c r="E2018" s="10">
        <v>46052</v>
      </c>
      <c r="F2018" s="4">
        <v>3411.69</v>
      </c>
      <c r="G2018" s="3">
        <f>SUMIF(Customer_Payments!B:B,C2018,Customer_Payments!E:E)</f>
        <v>3411.69</v>
      </c>
      <c r="H2018" s="3">
        <f t="shared" si="93"/>
        <v>0</v>
      </c>
      <c r="I2018" s="29">
        <f t="shared" si="94"/>
        <v>39</v>
      </c>
      <c r="J2018" s="31" t="str">
        <f t="shared" si="95"/>
        <v>31-60</v>
      </c>
      <c r="K2018"/>
    </row>
    <row r="2019" spans="1:11" x14ac:dyDescent="0.3">
      <c r="A2019" s="21" t="s">
        <v>35</v>
      </c>
      <c r="B2019" t="str">
        <f>VLOOKUP(A2019,Customers!A:B,2,FALSE)</f>
        <v>FusionRetail</v>
      </c>
      <c r="C2019" s="25" t="s">
        <v>2386</v>
      </c>
      <c r="D2019" s="11">
        <v>46008</v>
      </c>
      <c r="E2019" s="11">
        <v>46038</v>
      </c>
      <c r="F2019" s="5">
        <v>2566.48</v>
      </c>
      <c r="G2019" s="3">
        <f>SUMIF(Customer_Payments!B:B,C2019,Customer_Payments!E:E)</f>
        <v>2566.48</v>
      </c>
      <c r="H2019" s="3">
        <f t="shared" si="93"/>
        <v>0</v>
      </c>
      <c r="I2019" s="29">
        <f t="shared" si="94"/>
        <v>53</v>
      </c>
      <c r="J2019" s="31" t="str">
        <f t="shared" si="95"/>
        <v>31-60</v>
      </c>
      <c r="K2019"/>
    </row>
    <row r="2020" spans="1:11" x14ac:dyDescent="0.3">
      <c r="A2020" s="20" t="s">
        <v>75</v>
      </c>
      <c r="B2020" t="str">
        <f>VLOOKUP(A2020,Customers!A:B,2,FALSE)</f>
        <v>RetailMatrix</v>
      </c>
      <c r="C2020" s="24" t="s">
        <v>2387</v>
      </c>
      <c r="D2020" s="10">
        <v>45991</v>
      </c>
      <c r="E2020" s="10">
        <v>46021</v>
      </c>
      <c r="F2020" s="4">
        <v>4176.03</v>
      </c>
      <c r="G2020" s="3">
        <f>SUMIF(Customer_Payments!B:B,C2020,Customer_Payments!E:E)</f>
        <v>0</v>
      </c>
      <c r="H2020" s="3">
        <f t="shared" si="93"/>
        <v>4176.03</v>
      </c>
      <c r="I2020" s="29">
        <f t="shared" si="94"/>
        <v>70</v>
      </c>
      <c r="J2020" s="31" t="str">
        <f t="shared" si="95"/>
        <v>61-90</v>
      </c>
      <c r="K2020"/>
    </row>
    <row r="2021" spans="1:11" x14ac:dyDescent="0.3">
      <c r="A2021" s="21" t="s">
        <v>107</v>
      </c>
      <c r="B2021" t="str">
        <f>VLOOKUP(A2021,Customers!A:B,2,FALSE)</f>
        <v>RetailWorksPro</v>
      </c>
      <c r="C2021" s="25" t="s">
        <v>2388</v>
      </c>
      <c r="D2021" s="11">
        <v>45976</v>
      </c>
      <c r="E2021" s="11">
        <v>46006</v>
      </c>
      <c r="F2021" s="5">
        <v>3520.93</v>
      </c>
      <c r="G2021" s="3">
        <f>SUMIF(Customer_Payments!B:B,C2021,Customer_Payments!E:E)</f>
        <v>3520.93</v>
      </c>
      <c r="H2021" s="3">
        <f t="shared" si="93"/>
        <v>0</v>
      </c>
      <c r="I2021" s="29">
        <f t="shared" si="94"/>
        <v>85</v>
      </c>
      <c r="J2021" s="31" t="str">
        <f t="shared" si="95"/>
        <v>61-90</v>
      </c>
      <c r="K2021"/>
    </row>
    <row r="2022" spans="1:11" x14ac:dyDescent="0.3">
      <c r="A2022" s="20" t="s">
        <v>95</v>
      </c>
      <c r="B2022" t="str">
        <f>VLOOKUP(A2022,Customers!A:B,2,FALSE)</f>
        <v>RetailScaleX</v>
      </c>
      <c r="C2022" s="24" t="s">
        <v>2389</v>
      </c>
      <c r="D2022" s="10">
        <v>46068</v>
      </c>
      <c r="E2022" s="10">
        <v>46098</v>
      </c>
      <c r="F2022" s="4">
        <v>2532.96</v>
      </c>
      <c r="G2022" s="3">
        <f>SUMIF(Customer_Payments!B:B,C2022,Customer_Payments!E:E)</f>
        <v>2532.96</v>
      </c>
      <c r="H2022" s="3">
        <f t="shared" si="93"/>
        <v>0</v>
      </c>
      <c r="I2022" s="29">
        <f t="shared" si="94"/>
        <v>-7</v>
      </c>
      <c r="J2022" s="31" t="str">
        <f t="shared" si="95"/>
        <v>Current</v>
      </c>
      <c r="K2022"/>
    </row>
    <row r="2023" spans="1:11" x14ac:dyDescent="0.3">
      <c r="A2023" s="21" t="s">
        <v>24</v>
      </c>
      <c r="B2023" t="str">
        <f>VLOOKUP(A2023,Customers!A:B,2,FALSE)</f>
        <v>OmniTrade</v>
      </c>
      <c r="C2023" s="25" t="s">
        <v>2390</v>
      </c>
      <c r="D2023" s="11">
        <v>45997</v>
      </c>
      <c r="E2023" s="11">
        <v>46027</v>
      </c>
      <c r="F2023" s="5">
        <v>3908.28</v>
      </c>
      <c r="G2023" s="3">
        <f>SUMIF(Customer_Payments!B:B,C2023,Customer_Payments!E:E)</f>
        <v>3908.28</v>
      </c>
      <c r="H2023" s="3">
        <f t="shared" si="93"/>
        <v>0</v>
      </c>
      <c r="I2023" s="29">
        <f t="shared" si="94"/>
        <v>64</v>
      </c>
      <c r="J2023" s="31" t="str">
        <f t="shared" si="95"/>
        <v>61-90</v>
      </c>
      <c r="K2023"/>
    </row>
    <row r="2024" spans="1:11" x14ac:dyDescent="0.3">
      <c r="A2024" s="20" t="s">
        <v>103</v>
      </c>
      <c r="B2024" t="str">
        <f>VLOOKUP(A2024,Customers!A:B,2,FALSE)</f>
        <v>RetailVisionPro</v>
      </c>
      <c r="C2024" s="24" t="s">
        <v>2391</v>
      </c>
      <c r="D2024" s="10">
        <v>46104</v>
      </c>
      <c r="E2024" s="10">
        <v>46134</v>
      </c>
      <c r="F2024" s="4">
        <v>3444.97</v>
      </c>
      <c r="G2024" s="3">
        <f>SUMIF(Customer_Payments!B:B,C2024,Customer_Payments!E:E)</f>
        <v>0</v>
      </c>
      <c r="H2024" s="3">
        <f t="shared" si="93"/>
        <v>3444.97</v>
      </c>
      <c r="I2024" s="29">
        <f t="shared" si="94"/>
        <v>-43</v>
      </c>
      <c r="J2024" s="31" t="str">
        <f t="shared" si="95"/>
        <v>Current</v>
      </c>
      <c r="K2024"/>
    </row>
    <row r="2025" spans="1:11" x14ac:dyDescent="0.3">
      <c r="A2025" s="21" t="s">
        <v>22</v>
      </c>
      <c r="B2025" t="str">
        <f>VLOOKUP(A2025,Customers!A:B,2,FALSE)</f>
        <v>QuantumRetail</v>
      </c>
      <c r="C2025" s="25" t="s">
        <v>2392</v>
      </c>
      <c r="D2025" s="11">
        <v>46107</v>
      </c>
      <c r="E2025" s="11">
        <v>46137</v>
      </c>
      <c r="F2025" s="5">
        <v>4042.92</v>
      </c>
      <c r="G2025" s="3">
        <f>SUMIF(Customer_Payments!B:B,C2025,Customer_Payments!E:E)</f>
        <v>4042.92</v>
      </c>
      <c r="H2025" s="3">
        <f t="shared" si="93"/>
        <v>0</v>
      </c>
      <c r="I2025" s="29">
        <f t="shared" si="94"/>
        <v>-46</v>
      </c>
      <c r="J2025" s="31" t="str">
        <f t="shared" si="95"/>
        <v>Current</v>
      </c>
      <c r="K2025"/>
    </row>
    <row r="2026" spans="1:11" x14ac:dyDescent="0.3">
      <c r="A2026" s="20" t="s">
        <v>42</v>
      </c>
      <c r="B2026" t="str">
        <f>VLOOKUP(A2026,Customers!A:B,2,FALSE)</f>
        <v>RetailWorks</v>
      </c>
      <c r="C2026" s="24" t="s">
        <v>2393</v>
      </c>
      <c r="D2026" s="10">
        <v>46104</v>
      </c>
      <c r="E2026" s="10">
        <v>46134</v>
      </c>
      <c r="F2026" s="4">
        <v>3538.62</v>
      </c>
      <c r="G2026" s="3">
        <f>SUMIF(Customer_Payments!B:B,C2026,Customer_Payments!E:E)</f>
        <v>3538.62</v>
      </c>
      <c r="H2026" s="3">
        <f t="shared" si="93"/>
        <v>0</v>
      </c>
      <c r="I2026" s="29">
        <f t="shared" si="94"/>
        <v>-43</v>
      </c>
      <c r="J2026" s="31" t="str">
        <f t="shared" si="95"/>
        <v>Current</v>
      </c>
      <c r="K2026"/>
    </row>
    <row r="2027" spans="1:11" x14ac:dyDescent="0.3">
      <c r="A2027" s="21" t="s">
        <v>105</v>
      </c>
      <c r="B2027" t="str">
        <f>VLOOKUP(A2027,Customers!A:B,2,FALSE)</f>
        <v>RetailFlowPro</v>
      </c>
      <c r="C2027" s="25" t="s">
        <v>2394</v>
      </c>
      <c r="D2027" s="11">
        <v>45985</v>
      </c>
      <c r="E2027" s="11">
        <v>46015</v>
      </c>
      <c r="F2027" s="5">
        <v>2772.64</v>
      </c>
      <c r="G2027" s="3">
        <f>SUMIF(Customer_Payments!B:B,C2027,Customer_Payments!E:E)</f>
        <v>2772.64</v>
      </c>
      <c r="H2027" s="3">
        <f t="shared" si="93"/>
        <v>0</v>
      </c>
      <c r="I2027" s="29">
        <f t="shared" si="94"/>
        <v>76</v>
      </c>
      <c r="J2027" s="31" t="str">
        <f t="shared" si="95"/>
        <v>61-90</v>
      </c>
      <c r="K2027"/>
    </row>
    <row r="2028" spans="1:11" x14ac:dyDescent="0.3">
      <c r="A2028" s="20" t="s">
        <v>38</v>
      </c>
      <c r="B2028" t="str">
        <f>VLOOKUP(A2028,Customers!A:B,2,FALSE)</f>
        <v>RetailForge</v>
      </c>
      <c r="C2028" s="24" t="s">
        <v>2395</v>
      </c>
      <c r="D2028" s="10">
        <v>46008</v>
      </c>
      <c r="E2028" s="10">
        <v>46038</v>
      </c>
      <c r="F2028" s="4">
        <v>2711.38</v>
      </c>
      <c r="G2028" s="3">
        <f>SUMIF(Customer_Payments!B:B,C2028,Customer_Payments!E:E)</f>
        <v>0</v>
      </c>
      <c r="H2028" s="3">
        <f t="shared" si="93"/>
        <v>2711.38</v>
      </c>
      <c r="I2028" s="29">
        <f t="shared" si="94"/>
        <v>53</v>
      </c>
      <c r="J2028" s="31" t="str">
        <f t="shared" si="95"/>
        <v>31-60</v>
      </c>
      <c r="K2028"/>
    </row>
    <row r="2029" spans="1:11" x14ac:dyDescent="0.3">
      <c r="A2029" s="21" t="s">
        <v>16</v>
      </c>
      <c r="B2029" t="str">
        <f>VLOOKUP(A2029,Customers!A:B,2,FALSE)</f>
        <v>RetailHub</v>
      </c>
      <c r="C2029" s="25" t="s">
        <v>2396</v>
      </c>
      <c r="D2029" s="11">
        <v>46013</v>
      </c>
      <c r="E2029" s="11">
        <v>46043</v>
      </c>
      <c r="F2029" s="5">
        <v>1905.94</v>
      </c>
      <c r="G2029" s="3">
        <f>SUMIF(Customer_Payments!B:B,C2029,Customer_Payments!E:E)</f>
        <v>1905.94</v>
      </c>
      <c r="H2029" s="3">
        <f t="shared" si="93"/>
        <v>0</v>
      </c>
      <c r="I2029" s="29">
        <f t="shared" si="94"/>
        <v>48</v>
      </c>
      <c r="J2029" s="31" t="str">
        <f t="shared" si="95"/>
        <v>31-60</v>
      </c>
      <c r="K2029"/>
    </row>
    <row r="2030" spans="1:11" x14ac:dyDescent="0.3">
      <c r="A2030" s="20" t="s">
        <v>111</v>
      </c>
      <c r="B2030" t="str">
        <f>VLOOKUP(A2030,Customers!A:B,2,FALSE)</f>
        <v>RetailPulsePro</v>
      </c>
      <c r="C2030" s="24" t="s">
        <v>2397</v>
      </c>
      <c r="D2030" s="10">
        <v>45986</v>
      </c>
      <c r="E2030" s="10">
        <v>46016</v>
      </c>
      <c r="F2030" s="4">
        <v>9889.2800000000007</v>
      </c>
      <c r="G2030" s="3">
        <f>SUMIF(Customer_Payments!B:B,C2030,Customer_Payments!E:E)</f>
        <v>9889.2800000000007</v>
      </c>
      <c r="H2030" s="3">
        <f t="shared" si="93"/>
        <v>0</v>
      </c>
      <c r="I2030" s="29">
        <f t="shared" si="94"/>
        <v>75</v>
      </c>
      <c r="J2030" s="31" t="str">
        <f t="shared" si="95"/>
        <v>61-90</v>
      </c>
      <c r="K2030"/>
    </row>
    <row r="2031" spans="1:11" x14ac:dyDescent="0.3">
      <c r="A2031" s="21" t="s">
        <v>82</v>
      </c>
      <c r="B2031" t="str">
        <f>VLOOKUP(A2031,Customers!A:B,2,FALSE)</f>
        <v>RetailNovaX</v>
      </c>
      <c r="C2031" s="25" t="s">
        <v>2398</v>
      </c>
      <c r="D2031" s="11">
        <v>45976</v>
      </c>
      <c r="E2031" s="11">
        <v>46006</v>
      </c>
      <c r="F2031" s="5">
        <v>10502</v>
      </c>
      <c r="G2031" s="3">
        <f>SUMIF(Customer_Payments!B:B,C2031,Customer_Payments!E:E)</f>
        <v>10502</v>
      </c>
      <c r="H2031" s="3">
        <f t="shared" si="93"/>
        <v>0</v>
      </c>
      <c r="I2031" s="29">
        <f t="shared" si="94"/>
        <v>85</v>
      </c>
      <c r="J2031" s="31" t="str">
        <f t="shared" si="95"/>
        <v>61-90</v>
      </c>
      <c r="K2031"/>
    </row>
    <row r="2032" spans="1:11" x14ac:dyDescent="0.3">
      <c r="A2032" s="20" t="s">
        <v>90</v>
      </c>
      <c r="B2032" t="str">
        <f>VLOOKUP(A2032,Customers!A:B,2,FALSE)</f>
        <v>RetailPulseX</v>
      </c>
      <c r="C2032" s="24" t="s">
        <v>2399</v>
      </c>
      <c r="D2032" s="10">
        <v>46029</v>
      </c>
      <c r="E2032" s="10">
        <v>46059</v>
      </c>
      <c r="F2032" s="4">
        <v>3519.5</v>
      </c>
      <c r="G2032" s="3">
        <f>SUMIF(Customer_Payments!B:B,C2032,Customer_Payments!E:E)</f>
        <v>3519.5</v>
      </c>
      <c r="H2032" s="3">
        <f t="shared" si="93"/>
        <v>0</v>
      </c>
      <c r="I2032" s="29">
        <f t="shared" si="94"/>
        <v>32</v>
      </c>
      <c r="J2032" s="31" t="str">
        <f t="shared" si="95"/>
        <v>31-60</v>
      </c>
      <c r="K2032"/>
    </row>
    <row r="2033" spans="1:11" x14ac:dyDescent="0.3">
      <c r="A2033" s="21" t="s">
        <v>53</v>
      </c>
      <c r="B2033" t="str">
        <f>VLOOKUP(A2033,Customers!A:B,2,FALSE)</f>
        <v>PrimeCart</v>
      </c>
      <c r="C2033" s="25" t="s">
        <v>2400</v>
      </c>
      <c r="D2033" s="11">
        <v>46110</v>
      </c>
      <c r="E2033" s="11">
        <v>46140</v>
      </c>
      <c r="F2033" s="5">
        <v>5695.61</v>
      </c>
      <c r="G2033" s="3">
        <f>SUMIF(Customer_Payments!B:B,C2033,Customer_Payments!E:E)</f>
        <v>5695.61</v>
      </c>
      <c r="H2033" s="3">
        <f t="shared" si="93"/>
        <v>0</v>
      </c>
      <c r="I2033" s="29">
        <f t="shared" si="94"/>
        <v>-49</v>
      </c>
      <c r="J2033" s="31" t="str">
        <f t="shared" si="95"/>
        <v>Current</v>
      </c>
      <c r="K2033"/>
    </row>
    <row r="2034" spans="1:11" x14ac:dyDescent="0.3">
      <c r="A2034" s="20" t="s">
        <v>106</v>
      </c>
      <c r="B2034" t="str">
        <f>VLOOKUP(A2034,Customers!A:B,2,FALSE)</f>
        <v>RetailOrbitPro</v>
      </c>
      <c r="C2034" s="24" t="s">
        <v>2401</v>
      </c>
      <c r="D2034" s="10">
        <v>45989</v>
      </c>
      <c r="E2034" s="10">
        <v>46019</v>
      </c>
      <c r="F2034" s="4">
        <v>14280.31</v>
      </c>
      <c r="G2034" s="3">
        <f>SUMIF(Customer_Payments!B:B,C2034,Customer_Payments!E:E)</f>
        <v>14280.31</v>
      </c>
      <c r="H2034" s="3">
        <f t="shared" si="93"/>
        <v>0</v>
      </c>
      <c r="I2034" s="29">
        <f t="shared" si="94"/>
        <v>72</v>
      </c>
      <c r="J2034" s="31" t="str">
        <f t="shared" si="95"/>
        <v>61-90</v>
      </c>
      <c r="K2034"/>
    </row>
    <row r="2035" spans="1:11" x14ac:dyDescent="0.3">
      <c r="A2035" s="21" t="s">
        <v>46</v>
      </c>
      <c r="B2035" t="str">
        <f>VLOOKUP(A2035,Customers!A:B,2,FALSE)</f>
        <v>NovaMarket</v>
      </c>
      <c r="C2035" s="25" t="s">
        <v>2402</v>
      </c>
      <c r="D2035" s="11">
        <v>45972</v>
      </c>
      <c r="E2035" s="11">
        <v>46002</v>
      </c>
      <c r="F2035" s="5">
        <v>10502.18</v>
      </c>
      <c r="G2035" s="3">
        <f>SUMIF(Customer_Payments!B:B,C2035,Customer_Payments!E:E)</f>
        <v>10502.18</v>
      </c>
      <c r="H2035" s="3">
        <f t="shared" si="93"/>
        <v>0</v>
      </c>
      <c r="I2035" s="29">
        <f t="shared" si="94"/>
        <v>89</v>
      </c>
      <c r="J2035" s="31" t="str">
        <f t="shared" si="95"/>
        <v>61-90</v>
      </c>
      <c r="K2035"/>
    </row>
    <row r="2036" spans="1:11" x14ac:dyDescent="0.3">
      <c r="A2036" s="20" t="s">
        <v>102</v>
      </c>
      <c r="B2036" t="str">
        <f>VLOOKUP(A2036,Customers!A:B,2,FALSE)</f>
        <v>RetailPrimePro</v>
      </c>
      <c r="C2036" s="24" t="s">
        <v>2403</v>
      </c>
      <c r="D2036" s="10">
        <v>46021</v>
      </c>
      <c r="E2036" s="10">
        <v>46051</v>
      </c>
      <c r="F2036" s="4">
        <v>3707.74</v>
      </c>
      <c r="G2036" s="3">
        <f>SUMIF(Customer_Payments!B:B,C2036,Customer_Payments!E:E)</f>
        <v>0</v>
      </c>
      <c r="H2036" s="3">
        <f t="shared" si="93"/>
        <v>3707.74</v>
      </c>
      <c r="I2036" s="29">
        <f t="shared" si="94"/>
        <v>40</v>
      </c>
      <c r="J2036" s="31" t="str">
        <f t="shared" si="95"/>
        <v>31-60</v>
      </c>
      <c r="K2036"/>
    </row>
    <row r="2037" spans="1:11" x14ac:dyDescent="0.3">
      <c r="A2037" s="21" t="s">
        <v>67</v>
      </c>
      <c r="B2037" t="str">
        <f>VLOOKUP(A2037,Customers!A:B,2,FALSE)</f>
        <v>RetailDynamics</v>
      </c>
      <c r="C2037" s="25" t="s">
        <v>2404</v>
      </c>
      <c r="D2037" s="11">
        <v>46014</v>
      </c>
      <c r="E2037" s="11">
        <v>46044</v>
      </c>
      <c r="F2037" s="5">
        <v>2688.67</v>
      </c>
      <c r="G2037" s="3">
        <f>SUMIF(Customer_Payments!B:B,C2037,Customer_Payments!E:E)</f>
        <v>2688.67</v>
      </c>
      <c r="H2037" s="3">
        <f t="shared" si="93"/>
        <v>0</v>
      </c>
      <c r="I2037" s="29">
        <f t="shared" si="94"/>
        <v>47</v>
      </c>
      <c r="J2037" s="31" t="str">
        <f t="shared" si="95"/>
        <v>31-60</v>
      </c>
      <c r="K2037"/>
    </row>
    <row r="2038" spans="1:11" x14ac:dyDescent="0.3">
      <c r="A2038" s="20" t="s">
        <v>77</v>
      </c>
      <c r="B2038" t="str">
        <f>VLOOKUP(A2038,Customers!A:B,2,FALSE)</f>
        <v>RetailBridge</v>
      </c>
      <c r="C2038" s="24" t="s">
        <v>2405</v>
      </c>
      <c r="D2038" s="10">
        <v>46069</v>
      </c>
      <c r="E2038" s="10">
        <v>46099</v>
      </c>
      <c r="F2038" s="4">
        <v>1822.24</v>
      </c>
      <c r="G2038" s="3">
        <f>SUMIF(Customer_Payments!B:B,C2038,Customer_Payments!E:E)</f>
        <v>1822.24</v>
      </c>
      <c r="H2038" s="3">
        <f t="shared" si="93"/>
        <v>0</v>
      </c>
      <c r="I2038" s="29">
        <f t="shared" si="94"/>
        <v>-8</v>
      </c>
      <c r="J2038" s="31" t="str">
        <f t="shared" si="95"/>
        <v>Current</v>
      </c>
      <c r="K2038"/>
    </row>
    <row r="2039" spans="1:11" x14ac:dyDescent="0.3">
      <c r="A2039" s="21" t="s">
        <v>62</v>
      </c>
      <c r="B2039" t="str">
        <f>VLOOKUP(A2039,Customers!A:B,2,FALSE)</f>
        <v>MarketNova</v>
      </c>
      <c r="C2039" s="25" t="s">
        <v>2406</v>
      </c>
      <c r="D2039" s="11">
        <v>45996</v>
      </c>
      <c r="E2039" s="11">
        <v>46026</v>
      </c>
      <c r="F2039" s="5">
        <v>2825.31</v>
      </c>
      <c r="G2039" s="3">
        <f>SUMIF(Customer_Payments!B:B,C2039,Customer_Payments!E:E)</f>
        <v>2825.31</v>
      </c>
      <c r="H2039" s="3">
        <f t="shared" si="93"/>
        <v>0</v>
      </c>
      <c r="I2039" s="29">
        <f t="shared" si="94"/>
        <v>65</v>
      </c>
      <c r="J2039" s="31" t="str">
        <f t="shared" si="95"/>
        <v>61-90</v>
      </c>
      <c r="K2039"/>
    </row>
    <row r="2040" spans="1:11" x14ac:dyDescent="0.3">
      <c r="A2040" s="20" t="s">
        <v>13</v>
      </c>
      <c r="B2040" t="str">
        <f>VLOOKUP(A2040,Customers!A:B,2,FALSE)</f>
        <v>EduNova</v>
      </c>
      <c r="C2040" s="24" t="s">
        <v>2407</v>
      </c>
      <c r="D2040" s="10">
        <v>46020</v>
      </c>
      <c r="E2040" s="10">
        <v>46050</v>
      </c>
      <c r="F2040" s="4">
        <v>3267.24</v>
      </c>
      <c r="G2040" s="3">
        <f>SUMIF(Customer_Payments!B:B,C2040,Customer_Payments!E:E)</f>
        <v>3267.24</v>
      </c>
      <c r="H2040" s="3">
        <f t="shared" si="93"/>
        <v>0</v>
      </c>
      <c r="I2040" s="29">
        <f t="shared" si="94"/>
        <v>41</v>
      </c>
      <c r="J2040" s="31" t="str">
        <f t="shared" si="95"/>
        <v>31-60</v>
      </c>
      <c r="K2040"/>
    </row>
    <row r="2041" spans="1:11" x14ac:dyDescent="0.3">
      <c r="A2041" s="21" t="s">
        <v>58</v>
      </c>
      <c r="B2041" t="str">
        <f>VLOOKUP(A2041,Customers!A:B,2,FALSE)</f>
        <v>RetailAxis</v>
      </c>
      <c r="C2041" s="25" t="s">
        <v>2408</v>
      </c>
      <c r="D2041" s="11">
        <v>46026</v>
      </c>
      <c r="E2041" s="11">
        <v>46056</v>
      </c>
      <c r="F2041" s="5">
        <v>1715.42</v>
      </c>
      <c r="G2041" s="3">
        <f>SUMIF(Customer_Payments!B:B,C2041,Customer_Payments!E:E)</f>
        <v>1715.42</v>
      </c>
      <c r="H2041" s="3">
        <f t="shared" si="93"/>
        <v>0</v>
      </c>
      <c r="I2041" s="29">
        <f t="shared" si="94"/>
        <v>35</v>
      </c>
      <c r="J2041" s="31" t="str">
        <f t="shared" si="95"/>
        <v>31-60</v>
      </c>
      <c r="K2041"/>
    </row>
    <row r="2042" spans="1:11" x14ac:dyDescent="0.3">
      <c r="A2042" s="20" t="s">
        <v>62</v>
      </c>
      <c r="B2042" t="str">
        <f>VLOOKUP(A2042,Customers!A:B,2,FALSE)</f>
        <v>MarketNova</v>
      </c>
      <c r="C2042" s="24" t="s">
        <v>2409</v>
      </c>
      <c r="D2042" s="10">
        <v>46086</v>
      </c>
      <c r="E2042" s="10">
        <v>46116</v>
      </c>
      <c r="F2042" s="4">
        <v>5188.1000000000004</v>
      </c>
      <c r="G2042" s="3">
        <f>SUMIF(Customer_Payments!B:B,C2042,Customer_Payments!E:E)</f>
        <v>5188.1000000000004</v>
      </c>
      <c r="H2042" s="3">
        <f t="shared" si="93"/>
        <v>0</v>
      </c>
      <c r="I2042" s="29">
        <f t="shared" si="94"/>
        <v>-25</v>
      </c>
      <c r="J2042" s="31" t="str">
        <f t="shared" si="95"/>
        <v>Current</v>
      </c>
      <c r="K2042"/>
    </row>
    <row r="2043" spans="1:11" x14ac:dyDescent="0.3">
      <c r="A2043" s="21" t="s">
        <v>35</v>
      </c>
      <c r="B2043" t="str">
        <f>VLOOKUP(A2043,Customers!A:B,2,FALSE)</f>
        <v>FusionRetail</v>
      </c>
      <c r="C2043" s="25" t="s">
        <v>2410</v>
      </c>
      <c r="D2043" s="11">
        <v>45964</v>
      </c>
      <c r="E2043" s="11">
        <v>45994</v>
      </c>
      <c r="F2043" s="5">
        <v>3217.39</v>
      </c>
      <c r="G2043" s="3">
        <f>SUMIF(Customer_Payments!B:B,C2043,Customer_Payments!E:E)</f>
        <v>0</v>
      </c>
      <c r="H2043" s="3">
        <f t="shared" si="93"/>
        <v>3217.39</v>
      </c>
      <c r="I2043" s="29">
        <f t="shared" si="94"/>
        <v>97</v>
      </c>
      <c r="J2043" s="31" t="str">
        <f t="shared" si="95"/>
        <v>90+</v>
      </c>
      <c r="K2043"/>
    </row>
    <row r="2044" spans="1:11" x14ac:dyDescent="0.3">
      <c r="A2044" s="20" t="s">
        <v>15</v>
      </c>
      <c r="B2044" t="str">
        <f>VLOOKUP(A2044,Customers!A:B,2,FALSE)</f>
        <v>CloudScale</v>
      </c>
      <c r="C2044" s="24" t="s">
        <v>2411</v>
      </c>
      <c r="D2044" s="10">
        <v>45990</v>
      </c>
      <c r="E2044" s="10">
        <v>46020</v>
      </c>
      <c r="F2044" s="4">
        <v>2463.77</v>
      </c>
      <c r="G2044" s="3">
        <f>SUMIF(Customer_Payments!B:B,C2044,Customer_Payments!E:E)</f>
        <v>2463.77</v>
      </c>
      <c r="H2044" s="3">
        <f t="shared" si="93"/>
        <v>0</v>
      </c>
      <c r="I2044" s="29">
        <f t="shared" si="94"/>
        <v>71</v>
      </c>
      <c r="J2044" s="31" t="str">
        <f t="shared" si="95"/>
        <v>61-90</v>
      </c>
      <c r="K2044"/>
    </row>
    <row r="2045" spans="1:11" x14ac:dyDescent="0.3">
      <c r="A2045" s="21" t="s">
        <v>58</v>
      </c>
      <c r="B2045" t="str">
        <f>VLOOKUP(A2045,Customers!A:B,2,FALSE)</f>
        <v>RetailAxis</v>
      </c>
      <c r="C2045" s="25" t="s">
        <v>2412</v>
      </c>
      <c r="D2045" s="11">
        <v>46078</v>
      </c>
      <c r="E2045" s="11">
        <v>46108</v>
      </c>
      <c r="F2045" s="5">
        <v>2941.44</v>
      </c>
      <c r="G2045" s="3">
        <f>SUMIF(Customer_Payments!B:B,C2045,Customer_Payments!E:E)</f>
        <v>2941.44</v>
      </c>
      <c r="H2045" s="3">
        <f t="shared" si="93"/>
        <v>0</v>
      </c>
      <c r="I2045" s="29">
        <f t="shared" si="94"/>
        <v>-17</v>
      </c>
      <c r="J2045" s="31" t="str">
        <f t="shared" si="95"/>
        <v>Current</v>
      </c>
      <c r="K2045"/>
    </row>
    <row r="2046" spans="1:11" x14ac:dyDescent="0.3">
      <c r="A2046" s="20" t="s">
        <v>95</v>
      </c>
      <c r="B2046" t="str">
        <f>VLOOKUP(A2046,Customers!A:B,2,FALSE)</f>
        <v>RetailScaleX</v>
      </c>
      <c r="C2046" s="24" t="s">
        <v>2413</v>
      </c>
      <c r="D2046" s="10">
        <v>46025</v>
      </c>
      <c r="E2046" s="10">
        <v>46055</v>
      </c>
      <c r="F2046" s="4">
        <v>11485.85</v>
      </c>
      <c r="G2046" s="3">
        <f>SUMIF(Customer_Payments!B:B,C2046,Customer_Payments!E:E)</f>
        <v>0</v>
      </c>
      <c r="H2046" s="3">
        <f t="shared" si="93"/>
        <v>11485.85</v>
      </c>
      <c r="I2046" s="29">
        <f t="shared" si="94"/>
        <v>36</v>
      </c>
      <c r="J2046" s="31" t="str">
        <f t="shared" si="95"/>
        <v>31-60</v>
      </c>
      <c r="K2046"/>
    </row>
    <row r="2047" spans="1:11" x14ac:dyDescent="0.3">
      <c r="A2047" s="21" t="s">
        <v>43</v>
      </c>
      <c r="B2047" t="str">
        <f>VLOOKUP(A2047,Customers!A:B,2,FALSE)</f>
        <v>CommerceSpark</v>
      </c>
      <c r="C2047" s="25" t="s">
        <v>2414</v>
      </c>
      <c r="D2047" s="11">
        <v>46086</v>
      </c>
      <c r="E2047" s="11">
        <v>46116</v>
      </c>
      <c r="F2047" s="5">
        <v>2495.17</v>
      </c>
      <c r="G2047" s="3">
        <f>SUMIF(Customer_Payments!B:B,C2047,Customer_Payments!E:E)</f>
        <v>2495.17</v>
      </c>
      <c r="H2047" s="3">
        <f t="shared" si="93"/>
        <v>0</v>
      </c>
      <c r="I2047" s="29">
        <f t="shared" si="94"/>
        <v>-25</v>
      </c>
      <c r="J2047" s="31" t="str">
        <f t="shared" si="95"/>
        <v>Current</v>
      </c>
      <c r="K2047"/>
    </row>
    <row r="2048" spans="1:11" x14ac:dyDescent="0.3">
      <c r="A2048" s="20" t="s">
        <v>71</v>
      </c>
      <c r="B2048" t="str">
        <f>VLOOKUP(A2048,Customers!A:B,2,FALSE)</f>
        <v>RetailPulse</v>
      </c>
      <c r="C2048" s="24" t="s">
        <v>2415</v>
      </c>
      <c r="D2048" s="10">
        <v>46073</v>
      </c>
      <c r="E2048" s="10">
        <v>46103</v>
      </c>
      <c r="F2048" s="4">
        <v>1869.35</v>
      </c>
      <c r="G2048" s="3">
        <f>SUMIF(Customer_Payments!B:B,C2048,Customer_Payments!E:E)</f>
        <v>1869.35</v>
      </c>
      <c r="H2048" s="3">
        <f t="shared" si="93"/>
        <v>0</v>
      </c>
      <c r="I2048" s="29">
        <f t="shared" si="94"/>
        <v>-12</v>
      </c>
      <c r="J2048" s="31" t="str">
        <f t="shared" si="95"/>
        <v>Current</v>
      </c>
      <c r="K2048"/>
    </row>
    <row r="2049" spans="1:11" x14ac:dyDescent="0.3">
      <c r="A2049" s="21" t="s">
        <v>95</v>
      </c>
      <c r="B2049" t="str">
        <f>VLOOKUP(A2049,Customers!A:B,2,FALSE)</f>
        <v>RetailScaleX</v>
      </c>
      <c r="C2049" s="25" t="s">
        <v>2416</v>
      </c>
      <c r="D2049" s="11">
        <v>45969</v>
      </c>
      <c r="E2049" s="11">
        <v>45999</v>
      </c>
      <c r="F2049" s="5">
        <v>1887.93</v>
      </c>
      <c r="G2049" s="3">
        <f>SUMIF(Customer_Payments!B:B,C2049,Customer_Payments!E:E)</f>
        <v>0</v>
      </c>
      <c r="H2049" s="3">
        <f t="shared" si="93"/>
        <v>1887.93</v>
      </c>
      <c r="I2049" s="29">
        <f t="shared" si="94"/>
        <v>92</v>
      </c>
      <c r="J2049" s="31" t="str">
        <f t="shared" si="95"/>
        <v>90+</v>
      </c>
      <c r="K2049"/>
    </row>
    <row r="2050" spans="1:11" x14ac:dyDescent="0.3">
      <c r="A2050" s="20" t="s">
        <v>49</v>
      </c>
      <c r="B2050" t="str">
        <f>VLOOKUP(A2050,Customers!A:B,2,FALSE)</f>
        <v>CommercePilot</v>
      </c>
      <c r="C2050" s="24" t="s">
        <v>2417</v>
      </c>
      <c r="D2050" s="10">
        <v>46006</v>
      </c>
      <c r="E2050" s="10">
        <v>46036</v>
      </c>
      <c r="F2050" s="4">
        <v>4340.47</v>
      </c>
      <c r="G2050" s="3">
        <f>SUMIF(Customer_Payments!B:B,C2050,Customer_Payments!E:E)</f>
        <v>4340.47</v>
      </c>
      <c r="H2050" s="3">
        <f t="shared" ref="H2050:H2113" si="96">MAX(F2050-G2050,0)</f>
        <v>0</v>
      </c>
      <c r="I2050" s="29">
        <f t="shared" ref="I2050:I2113" si="97">$L$2-E2050</f>
        <v>55</v>
      </c>
      <c r="J2050" s="31" t="str">
        <f t="shared" si="95"/>
        <v>31-60</v>
      </c>
      <c r="K2050"/>
    </row>
    <row r="2051" spans="1:11" x14ac:dyDescent="0.3">
      <c r="A2051" s="21" t="s">
        <v>49</v>
      </c>
      <c r="B2051" t="str">
        <f>VLOOKUP(A2051,Customers!A:B,2,FALSE)</f>
        <v>CommercePilot</v>
      </c>
      <c r="C2051" s="25" t="s">
        <v>2418</v>
      </c>
      <c r="D2051" s="11">
        <v>46014</v>
      </c>
      <c r="E2051" s="11">
        <v>46044</v>
      </c>
      <c r="F2051" s="5">
        <v>10280.799999999999</v>
      </c>
      <c r="G2051" s="3">
        <f>SUMIF(Customer_Payments!B:B,C2051,Customer_Payments!E:E)</f>
        <v>10280.799999999999</v>
      </c>
      <c r="H2051" s="3">
        <f t="shared" si="96"/>
        <v>0</v>
      </c>
      <c r="I2051" s="29">
        <f t="shared" si="97"/>
        <v>47</v>
      </c>
      <c r="J2051" s="31" t="str">
        <f t="shared" ref="J2051:J2114" si="98">IF(I2051&lt;=0,"Current",
IF(I2051&lt;=30,"1-30",
IF(I2051&lt;=60,"31-60",
IF(I2051&lt;=90,"61-90","90+"))))</f>
        <v>31-60</v>
      </c>
      <c r="K2051"/>
    </row>
    <row r="2052" spans="1:11" x14ac:dyDescent="0.3">
      <c r="A2052" s="20" t="s">
        <v>104</v>
      </c>
      <c r="B2052" t="str">
        <f>VLOOKUP(A2052,Customers!A:B,2,FALSE)</f>
        <v>RetailCorePro</v>
      </c>
      <c r="C2052" s="24" t="s">
        <v>2419</v>
      </c>
      <c r="D2052" s="10">
        <v>46110</v>
      </c>
      <c r="E2052" s="10">
        <v>46140</v>
      </c>
      <c r="F2052" s="4">
        <v>2613.02</v>
      </c>
      <c r="G2052" s="3">
        <f>SUMIF(Customer_Payments!B:B,C2052,Customer_Payments!E:E)</f>
        <v>2613.02</v>
      </c>
      <c r="H2052" s="3">
        <f t="shared" si="96"/>
        <v>0</v>
      </c>
      <c r="I2052" s="29">
        <f t="shared" si="97"/>
        <v>-49</v>
      </c>
      <c r="J2052" s="31" t="str">
        <f t="shared" si="98"/>
        <v>Current</v>
      </c>
      <c r="K2052"/>
    </row>
    <row r="2053" spans="1:11" x14ac:dyDescent="0.3">
      <c r="A2053" s="21" t="s">
        <v>118</v>
      </c>
      <c r="B2053" t="str">
        <f>VLOOKUP(A2053,Customers!A:B,2,FALSE)</f>
        <v>RetailEdgeGlobal</v>
      </c>
      <c r="C2053" s="25" t="s">
        <v>2420</v>
      </c>
      <c r="D2053" s="11">
        <v>45967</v>
      </c>
      <c r="E2053" s="11">
        <v>45997</v>
      </c>
      <c r="F2053" s="5">
        <v>3112.81</v>
      </c>
      <c r="G2053" s="3">
        <f>SUMIF(Customer_Payments!B:B,C2053,Customer_Payments!E:E)</f>
        <v>3112.8100000000004</v>
      </c>
      <c r="H2053" s="3">
        <f t="shared" si="96"/>
        <v>0</v>
      </c>
      <c r="I2053" s="29">
        <f t="shared" si="97"/>
        <v>94</v>
      </c>
      <c r="J2053" s="31" t="str">
        <f t="shared" si="98"/>
        <v>90+</v>
      </c>
      <c r="K2053"/>
    </row>
    <row r="2054" spans="1:11" x14ac:dyDescent="0.3">
      <c r="A2054" s="20" t="s">
        <v>44</v>
      </c>
      <c r="B2054" t="str">
        <f>VLOOKUP(A2054,Customers!A:B,2,FALSE)</f>
        <v>BrightMarket</v>
      </c>
      <c r="C2054" s="24" t="s">
        <v>2421</v>
      </c>
      <c r="D2054" s="10">
        <v>46051</v>
      </c>
      <c r="E2054" s="10">
        <v>46081</v>
      </c>
      <c r="F2054" s="4">
        <v>4945.1400000000003</v>
      </c>
      <c r="G2054" s="3">
        <f>SUMIF(Customer_Payments!B:B,C2054,Customer_Payments!E:E)</f>
        <v>4945.1400000000003</v>
      </c>
      <c r="H2054" s="3">
        <f t="shared" si="96"/>
        <v>0</v>
      </c>
      <c r="I2054" s="29">
        <f t="shared" si="97"/>
        <v>10</v>
      </c>
      <c r="J2054" s="31" t="str">
        <f t="shared" si="98"/>
        <v>1-30</v>
      </c>
      <c r="K2054"/>
    </row>
    <row r="2055" spans="1:11" x14ac:dyDescent="0.3">
      <c r="A2055" s="21" t="s">
        <v>19</v>
      </c>
      <c r="B2055" t="str">
        <f>VLOOKUP(A2055,Customers!A:B,2,FALSE)</f>
        <v>NextWave Digital</v>
      </c>
      <c r="C2055" s="25" t="s">
        <v>2422</v>
      </c>
      <c r="D2055" s="11">
        <v>46017</v>
      </c>
      <c r="E2055" s="11">
        <v>46047</v>
      </c>
      <c r="F2055" s="5">
        <v>5050.54</v>
      </c>
      <c r="G2055" s="3">
        <f>SUMIF(Customer_Payments!B:B,C2055,Customer_Payments!E:E)</f>
        <v>0</v>
      </c>
      <c r="H2055" s="3">
        <f t="shared" si="96"/>
        <v>5050.54</v>
      </c>
      <c r="I2055" s="29">
        <f t="shared" si="97"/>
        <v>44</v>
      </c>
      <c r="J2055" s="31" t="str">
        <f t="shared" si="98"/>
        <v>31-60</v>
      </c>
      <c r="K2055"/>
    </row>
    <row r="2056" spans="1:11" x14ac:dyDescent="0.3">
      <c r="A2056" s="20" t="s">
        <v>51</v>
      </c>
      <c r="B2056" t="str">
        <f>VLOOKUP(A2056,Customers!A:B,2,FALSE)</f>
        <v>CartMasters</v>
      </c>
      <c r="C2056" s="24" t="s">
        <v>2423</v>
      </c>
      <c r="D2056" s="10">
        <v>46042</v>
      </c>
      <c r="E2056" s="10">
        <v>46072</v>
      </c>
      <c r="F2056" s="4">
        <v>2803.89</v>
      </c>
      <c r="G2056" s="3">
        <f>SUMIF(Customer_Payments!B:B,C2056,Customer_Payments!E:E)</f>
        <v>2803.89</v>
      </c>
      <c r="H2056" s="3">
        <f t="shared" si="96"/>
        <v>0</v>
      </c>
      <c r="I2056" s="29">
        <f t="shared" si="97"/>
        <v>19</v>
      </c>
      <c r="J2056" s="31" t="str">
        <f t="shared" si="98"/>
        <v>1-30</v>
      </c>
      <c r="K2056"/>
    </row>
    <row r="2057" spans="1:11" x14ac:dyDescent="0.3">
      <c r="A2057" s="21" t="s">
        <v>8</v>
      </c>
      <c r="B2057" t="str">
        <f>VLOOKUP(A2057,Customers!A:B,2,FALSE)</f>
        <v>NexaSoft</v>
      </c>
      <c r="C2057" s="25" t="s">
        <v>2424</v>
      </c>
      <c r="D2057" s="11">
        <v>46107</v>
      </c>
      <c r="E2057" s="11">
        <v>46137</v>
      </c>
      <c r="F2057" s="5">
        <v>3160.28</v>
      </c>
      <c r="G2057" s="3">
        <f>SUMIF(Customer_Payments!B:B,C2057,Customer_Payments!E:E)</f>
        <v>3160.28</v>
      </c>
      <c r="H2057" s="3">
        <f t="shared" si="96"/>
        <v>0</v>
      </c>
      <c r="I2057" s="29">
        <f t="shared" si="97"/>
        <v>-46</v>
      </c>
      <c r="J2057" s="31" t="str">
        <f t="shared" si="98"/>
        <v>Current</v>
      </c>
      <c r="K2057"/>
    </row>
    <row r="2058" spans="1:11" x14ac:dyDescent="0.3">
      <c r="A2058" s="20" t="s">
        <v>116</v>
      </c>
      <c r="B2058" t="str">
        <f>VLOOKUP(A2058,Customers!A:B,2,FALSE)</f>
        <v>RetailLabsPro</v>
      </c>
      <c r="C2058" s="24" t="s">
        <v>2425</v>
      </c>
      <c r="D2058" s="10">
        <v>46086</v>
      </c>
      <c r="E2058" s="10">
        <v>46116</v>
      </c>
      <c r="F2058" s="4">
        <v>2301.13</v>
      </c>
      <c r="G2058" s="3">
        <f>SUMIF(Customer_Payments!B:B,C2058,Customer_Payments!E:E)</f>
        <v>0</v>
      </c>
      <c r="H2058" s="3">
        <f t="shared" si="96"/>
        <v>2301.13</v>
      </c>
      <c r="I2058" s="29">
        <f t="shared" si="97"/>
        <v>-25</v>
      </c>
      <c r="J2058" s="31" t="str">
        <f t="shared" si="98"/>
        <v>Current</v>
      </c>
      <c r="K2058"/>
    </row>
    <row r="2059" spans="1:11" x14ac:dyDescent="0.3">
      <c r="A2059" s="21" t="s">
        <v>88</v>
      </c>
      <c r="B2059" t="str">
        <f>VLOOKUP(A2059,Customers!A:B,2,FALSE)</f>
        <v>RetailPrimeX</v>
      </c>
      <c r="C2059" s="25" t="s">
        <v>2426</v>
      </c>
      <c r="D2059" s="11">
        <v>46073</v>
      </c>
      <c r="E2059" s="11">
        <v>46103</v>
      </c>
      <c r="F2059" s="5">
        <v>3478.1</v>
      </c>
      <c r="G2059" s="3">
        <f>SUMIF(Customer_Payments!B:B,C2059,Customer_Payments!E:E)</f>
        <v>3478.1</v>
      </c>
      <c r="H2059" s="3">
        <f t="shared" si="96"/>
        <v>0</v>
      </c>
      <c r="I2059" s="29">
        <f t="shared" si="97"/>
        <v>-12</v>
      </c>
      <c r="J2059" s="31" t="str">
        <f t="shared" si="98"/>
        <v>Current</v>
      </c>
      <c r="K2059"/>
    </row>
    <row r="2060" spans="1:11" x14ac:dyDescent="0.3">
      <c r="A2060" s="20" t="s">
        <v>25</v>
      </c>
      <c r="B2060" t="str">
        <f>VLOOKUP(A2060,Customers!A:B,2,FALSE)</f>
        <v>OrbitEdge</v>
      </c>
      <c r="C2060" s="24" t="s">
        <v>2427</v>
      </c>
      <c r="D2060" s="10">
        <v>46034</v>
      </c>
      <c r="E2060" s="10">
        <v>46064</v>
      </c>
      <c r="F2060" s="4">
        <v>2577.48</v>
      </c>
      <c r="G2060" s="3">
        <f>SUMIF(Customer_Payments!B:B,C2060,Customer_Payments!E:E)</f>
        <v>2577.48</v>
      </c>
      <c r="H2060" s="3">
        <f t="shared" si="96"/>
        <v>0</v>
      </c>
      <c r="I2060" s="29">
        <f t="shared" si="97"/>
        <v>27</v>
      </c>
      <c r="J2060" s="31" t="str">
        <f t="shared" si="98"/>
        <v>1-30</v>
      </c>
      <c r="K2060"/>
    </row>
    <row r="2061" spans="1:11" x14ac:dyDescent="0.3">
      <c r="A2061" s="21" t="s">
        <v>62</v>
      </c>
      <c r="B2061" t="str">
        <f>VLOOKUP(A2061,Customers!A:B,2,FALSE)</f>
        <v>MarketNova</v>
      </c>
      <c r="C2061" s="25" t="s">
        <v>2428</v>
      </c>
      <c r="D2061" s="11">
        <v>46108</v>
      </c>
      <c r="E2061" s="11">
        <v>46138</v>
      </c>
      <c r="F2061" s="5">
        <v>2497.83</v>
      </c>
      <c r="G2061" s="3">
        <f>SUMIF(Customer_Payments!B:B,C2061,Customer_Payments!E:E)</f>
        <v>2497.83</v>
      </c>
      <c r="H2061" s="3">
        <f t="shared" si="96"/>
        <v>0</v>
      </c>
      <c r="I2061" s="29">
        <f t="shared" si="97"/>
        <v>-47</v>
      </c>
      <c r="J2061" s="31" t="str">
        <f t="shared" si="98"/>
        <v>Current</v>
      </c>
      <c r="K2061"/>
    </row>
    <row r="2062" spans="1:11" x14ac:dyDescent="0.3">
      <c r="A2062" s="20" t="s">
        <v>55</v>
      </c>
      <c r="B2062" t="str">
        <f>VLOOKUP(A2062,Customers!A:B,2,FALSE)</f>
        <v>CommerceLabs</v>
      </c>
      <c r="C2062" s="24" t="s">
        <v>2429</v>
      </c>
      <c r="D2062" s="10">
        <v>45965</v>
      </c>
      <c r="E2062" s="10">
        <v>45995</v>
      </c>
      <c r="F2062" s="4">
        <v>2206.31</v>
      </c>
      <c r="G2062" s="3">
        <f>SUMIF(Customer_Payments!B:B,C2062,Customer_Payments!E:E)</f>
        <v>0</v>
      </c>
      <c r="H2062" s="3">
        <f t="shared" si="96"/>
        <v>2206.31</v>
      </c>
      <c r="I2062" s="29">
        <f t="shared" si="97"/>
        <v>96</v>
      </c>
      <c r="J2062" s="31" t="str">
        <f t="shared" si="98"/>
        <v>90+</v>
      </c>
      <c r="K2062"/>
    </row>
    <row r="2063" spans="1:11" x14ac:dyDescent="0.3">
      <c r="A2063" s="21" t="s">
        <v>122</v>
      </c>
      <c r="B2063" t="str">
        <f>VLOOKUP(A2063,Customers!A:B,2,FALSE)</f>
        <v>RetailCoreGlobal</v>
      </c>
      <c r="C2063" s="25" t="s">
        <v>2430</v>
      </c>
      <c r="D2063" s="11">
        <v>45967</v>
      </c>
      <c r="E2063" s="11">
        <v>45997</v>
      </c>
      <c r="F2063" s="5">
        <v>1517.71</v>
      </c>
      <c r="G2063" s="3">
        <f>SUMIF(Customer_Payments!B:B,C2063,Customer_Payments!E:E)</f>
        <v>1517.71</v>
      </c>
      <c r="H2063" s="3">
        <f t="shared" si="96"/>
        <v>0</v>
      </c>
      <c r="I2063" s="29">
        <f t="shared" si="97"/>
        <v>94</v>
      </c>
      <c r="J2063" s="31" t="str">
        <f t="shared" si="98"/>
        <v>90+</v>
      </c>
      <c r="K2063"/>
    </row>
    <row r="2064" spans="1:11" x14ac:dyDescent="0.3">
      <c r="A2064" s="20" t="s">
        <v>123</v>
      </c>
      <c r="B2064" t="str">
        <f>VLOOKUP(A2064,Customers!A:B,2,FALSE)</f>
        <v>RetailFlowGlobal</v>
      </c>
      <c r="C2064" s="24" t="s">
        <v>2431</v>
      </c>
      <c r="D2064" s="10">
        <v>46098</v>
      </c>
      <c r="E2064" s="10">
        <v>46128</v>
      </c>
      <c r="F2064" s="4">
        <v>14339.19</v>
      </c>
      <c r="G2064" s="3">
        <f>SUMIF(Customer_Payments!B:B,C2064,Customer_Payments!E:E)</f>
        <v>14339.19</v>
      </c>
      <c r="H2064" s="3">
        <f t="shared" si="96"/>
        <v>0</v>
      </c>
      <c r="I2064" s="29">
        <f t="shared" si="97"/>
        <v>-37</v>
      </c>
      <c r="J2064" s="31" t="str">
        <f t="shared" si="98"/>
        <v>Current</v>
      </c>
      <c r="K2064"/>
    </row>
    <row r="2065" spans="1:11" x14ac:dyDescent="0.3">
      <c r="A2065" s="21" t="s">
        <v>42</v>
      </c>
      <c r="B2065" t="str">
        <f>VLOOKUP(A2065,Customers!A:B,2,FALSE)</f>
        <v>RetailWorks</v>
      </c>
      <c r="C2065" s="25" t="s">
        <v>2432</v>
      </c>
      <c r="D2065" s="11">
        <v>46035</v>
      </c>
      <c r="E2065" s="11">
        <v>46065</v>
      </c>
      <c r="F2065" s="5">
        <v>1691.17</v>
      </c>
      <c r="G2065" s="3">
        <f>SUMIF(Customer_Payments!B:B,C2065,Customer_Payments!E:E)</f>
        <v>1691.17</v>
      </c>
      <c r="H2065" s="3">
        <f t="shared" si="96"/>
        <v>0</v>
      </c>
      <c r="I2065" s="29">
        <f t="shared" si="97"/>
        <v>26</v>
      </c>
      <c r="J2065" s="31" t="str">
        <f t="shared" si="98"/>
        <v>1-30</v>
      </c>
      <c r="K2065"/>
    </row>
    <row r="2066" spans="1:11" x14ac:dyDescent="0.3">
      <c r="A2066" s="20" t="s">
        <v>113</v>
      </c>
      <c r="B2066" t="str">
        <f>VLOOKUP(A2066,Customers!A:B,2,FALSE)</f>
        <v>RetailSpherePro</v>
      </c>
      <c r="C2066" s="24" t="s">
        <v>2433</v>
      </c>
      <c r="D2066" s="10">
        <v>46007</v>
      </c>
      <c r="E2066" s="10">
        <v>46037</v>
      </c>
      <c r="F2066" s="4">
        <v>2190.5700000000002</v>
      </c>
      <c r="G2066" s="3">
        <f>SUMIF(Customer_Payments!B:B,C2066,Customer_Payments!E:E)</f>
        <v>2190.5700000000002</v>
      </c>
      <c r="H2066" s="3">
        <f t="shared" si="96"/>
        <v>0</v>
      </c>
      <c r="I2066" s="29">
        <f t="shared" si="97"/>
        <v>54</v>
      </c>
      <c r="J2066" s="31" t="str">
        <f t="shared" si="98"/>
        <v>31-60</v>
      </c>
      <c r="K2066"/>
    </row>
    <row r="2067" spans="1:11" x14ac:dyDescent="0.3">
      <c r="A2067" s="21" t="s">
        <v>108</v>
      </c>
      <c r="B2067" t="str">
        <f>VLOOKUP(A2067,Customers!A:B,2,FALSE)</f>
        <v>RetailNextPro</v>
      </c>
      <c r="C2067" s="25" t="s">
        <v>2434</v>
      </c>
      <c r="D2067" s="11">
        <v>46069</v>
      </c>
      <c r="E2067" s="11">
        <v>46099</v>
      </c>
      <c r="F2067" s="5">
        <v>2972.15</v>
      </c>
      <c r="G2067" s="3">
        <f>SUMIF(Customer_Payments!B:B,C2067,Customer_Payments!E:E)</f>
        <v>2972.15</v>
      </c>
      <c r="H2067" s="3">
        <f t="shared" si="96"/>
        <v>0</v>
      </c>
      <c r="I2067" s="29">
        <f t="shared" si="97"/>
        <v>-8</v>
      </c>
      <c r="J2067" s="31" t="str">
        <f t="shared" si="98"/>
        <v>Current</v>
      </c>
      <c r="K2067"/>
    </row>
    <row r="2068" spans="1:11" x14ac:dyDescent="0.3">
      <c r="A2068" s="20" t="s">
        <v>25</v>
      </c>
      <c r="B2068" t="str">
        <f>VLOOKUP(A2068,Customers!A:B,2,FALSE)</f>
        <v>OrbitEdge</v>
      </c>
      <c r="C2068" s="24" t="s">
        <v>2435</v>
      </c>
      <c r="D2068" s="10">
        <v>46096</v>
      </c>
      <c r="E2068" s="10">
        <v>46126</v>
      </c>
      <c r="F2068" s="4">
        <v>2288.41</v>
      </c>
      <c r="G2068" s="3">
        <f>SUMIF(Customer_Payments!B:B,C2068,Customer_Payments!E:E)</f>
        <v>0</v>
      </c>
      <c r="H2068" s="3">
        <f t="shared" si="96"/>
        <v>2288.41</v>
      </c>
      <c r="I2068" s="29">
        <f t="shared" si="97"/>
        <v>-35</v>
      </c>
      <c r="J2068" s="31" t="str">
        <f t="shared" si="98"/>
        <v>Current</v>
      </c>
      <c r="K2068"/>
    </row>
    <row r="2069" spans="1:11" x14ac:dyDescent="0.3">
      <c r="A2069" s="21" t="s">
        <v>92</v>
      </c>
      <c r="B2069" t="str">
        <f>VLOOKUP(A2069,Customers!A:B,2,FALSE)</f>
        <v>RetailMatrixX</v>
      </c>
      <c r="C2069" s="25" t="s">
        <v>2436</v>
      </c>
      <c r="D2069" s="11">
        <v>46060</v>
      </c>
      <c r="E2069" s="11">
        <v>46090</v>
      </c>
      <c r="F2069" s="5">
        <v>12868.43</v>
      </c>
      <c r="G2069" s="3">
        <f>SUMIF(Customer_Payments!B:B,C2069,Customer_Payments!E:E)</f>
        <v>12868.43</v>
      </c>
      <c r="H2069" s="3">
        <f t="shared" si="96"/>
        <v>0</v>
      </c>
      <c r="I2069" s="29">
        <f t="shared" si="97"/>
        <v>1</v>
      </c>
      <c r="J2069" s="31" t="str">
        <f t="shared" si="98"/>
        <v>1-30</v>
      </c>
      <c r="K2069"/>
    </row>
    <row r="2070" spans="1:11" x14ac:dyDescent="0.3">
      <c r="A2070" s="20" t="s">
        <v>8</v>
      </c>
      <c r="B2070" t="str">
        <f>VLOOKUP(A2070,Customers!A:B,2,FALSE)</f>
        <v>NexaSoft</v>
      </c>
      <c r="C2070" s="24" t="s">
        <v>2437</v>
      </c>
      <c r="D2070" s="10">
        <v>46015</v>
      </c>
      <c r="E2070" s="10">
        <v>46045</v>
      </c>
      <c r="F2070" s="4">
        <v>4607.29</v>
      </c>
      <c r="G2070" s="3">
        <f>SUMIF(Customer_Payments!B:B,C2070,Customer_Payments!E:E)</f>
        <v>0</v>
      </c>
      <c r="H2070" s="3">
        <f t="shared" si="96"/>
        <v>4607.29</v>
      </c>
      <c r="I2070" s="29">
        <f t="shared" si="97"/>
        <v>46</v>
      </c>
      <c r="J2070" s="31" t="str">
        <f t="shared" si="98"/>
        <v>31-60</v>
      </c>
      <c r="K2070"/>
    </row>
    <row r="2071" spans="1:11" x14ac:dyDescent="0.3">
      <c r="A2071" s="21" t="s">
        <v>69</v>
      </c>
      <c r="B2071" t="str">
        <f>VLOOKUP(A2071,Customers!A:B,2,FALSE)</f>
        <v>RetailNext</v>
      </c>
      <c r="C2071" s="25" t="s">
        <v>2438</v>
      </c>
      <c r="D2071" s="11">
        <v>46065</v>
      </c>
      <c r="E2071" s="11">
        <v>46095</v>
      </c>
      <c r="F2071" s="5">
        <v>9796.57</v>
      </c>
      <c r="G2071" s="3">
        <f>SUMIF(Customer_Payments!B:B,C2071,Customer_Payments!E:E)</f>
        <v>9796.57</v>
      </c>
      <c r="H2071" s="3">
        <f t="shared" si="96"/>
        <v>0</v>
      </c>
      <c r="I2071" s="29">
        <f t="shared" si="97"/>
        <v>-4</v>
      </c>
      <c r="J2071" s="31" t="str">
        <f t="shared" si="98"/>
        <v>Current</v>
      </c>
      <c r="K2071"/>
    </row>
    <row r="2072" spans="1:11" x14ac:dyDescent="0.3">
      <c r="A2072" s="20" t="s">
        <v>13</v>
      </c>
      <c r="B2072" t="str">
        <f>VLOOKUP(A2072,Customers!A:B,2,FALSE)</f>
        <v>EduNova</v>
      </c>
      <c r="C2072" s="24" t="s">
        <v>2439</v>
      </c>
      <c r="D2072" s="10">
        <v>45989</v>
      </c>
      <c r="E2072" s="10">
        <v>46019</v>
      </c>
      <c r="F2072" s="4">
        <v>2005.09</v>
      </c>
      <c r="G2072" s="3">
        <f>SUMIF(Customer_Payments!B:B,C2072,Customer_Payments!E:E)</f>
        <v>0</v>
      </c>
      <c r="H2072" s="3">
        <f t="shared" si="96"/>
        <v>2005.09</v>
      </c>
      <c r="I2072" s="29">
        <f t="shared" si="97"/>
        <v>72</v>
      </c>
      <c r="J2072" s="31" t="str">
        <f t="shared" si="98"/>
        <v>61-90</v>
      </c>
      <c r="K2072"/>
    </row>
    <row r="2073" spans="1:11" x14ac:dyDescent="0.3">
      <c r="A2073" s="21" t="s">
        <v>71</v>
      </c>
      <c r="B2073" t="str">
        <f>VLOOKUP(A2073,Customers!A:B,2,FALSE)</f>
        <v>RetailPulse</v>
      </c>
      <c r="C2073" s="25" t="s">
        <v>2440</v>
      </c>
      <c r="D2073" s="11">
        <v>46064</v>
      </c>
      <c r="E2073" s="11">
        <v>46094</v>
      </c>
      <c r="F2073" s="5">
        <v>2137.7199999999998</v>
      </c>
      <c r="G2073" s="3">
        <f>SUMIF(Customer_Payments!B:B,C2073,Customer_Payments!E:E)</f>
        <v>0</v>
      </c>
      <c r="H2073" s="3">
        <f t="shared" si="96"/>
        <v>2137.7199999999998</v>
      </c>
      <c r="I2073" s="29">
        <f t="shared" si="97"/>
        <v>-3</v>
      </c>
      <c r="J2073" s="31" t="str">
        <f t="shared" si="98"/>
        <v>Current</v>
      </c>
      <c r="K2073"/>
    </row>
    <row r="2074" spans="1:11" x14ac:dyDescent="0.3">
      <c r="A2074" s="20" t="s">
        <v>98</v>
      </c>
      <c r="B2074" t="str">
        <f>VLOOKUP(A2074,Customers!A:B,2,FALSE)</f>
        <v>RetailEdgePro</v>
      </c>
      <c r="C2074" s="24" t="s">
        <v>2441</v>
      </c>
      <c r="D2074" s="10">
        <v>46111</v>
      </c>
      <c r="E2074" s="10">
        <v>46141</v>
      </c>
      <c r="F2074" s="4">
        <v>2130.14</v>
      </c>
      <c r="G2074" s="3">
        <f>SUMIF(Customer_Payments!B:B,C2074,Customer_Payments!E:E)</f>
        <v>0</v>
      </c>
      <c r="H2074" s="3">
        <f t="shared" si="96"/>
        <v>2130.14</v>
      </c>
      <c r="I2074" s="29">
        <f t="shared" si="97"/>
        <v>-50</v>
      </c>
      <c r="J2074" s="31" t="str">
        <f t="shared" si="98"/>
        <v>Current</v>
      </c>
      <c r="K2074"/>
    </row>
    <row r="2075" spans="1:11" x14ac:dyDescent="0.3">
      <c r="A2075" s="21" t="s">
        <v>124</v>
      </c>
      <c r="B2075" t="str">
        <f>VLOOKUP(A2075,Customers!A:B,2,FALSE)</f>
        <v>RetailOrbitGlobal</v>
      </c>
      <c r="C2075" s="25" t="s">
        <v>2442</v>
      </c>
      <c r="D2075" s="11">
        <v>46039</v>
      </c>
      <c r="E2075" s="11">
        <v>46069</v>
      </c>
      <c r="F2075" s="5">
        <v>2142.64</v>
      </c>
      <c r="G2075" s="3">
        <f>SUMIF(Customer_Payments!B:B,C2075,Customer_Payments!E:E)</f>
        <v>2142.64</v>
      </c>
      <c r="H2075" s="3">
        <f t="shared" si="96"/>
        <v>0</v>
      </c>
      <c r="I2075" s="29">
        <f t="shared" si="97"/>
        <v>22</v>
      </c>
      <c r="J2075" s="31" t="str">
        <f t="shared" si="98"/>
        <v>1-30</v>
      </c>
      <c r="K2075"/>
    </row>
    <row r="2076" spans="1:11" x14ac:dyDescent="0.3">
      <c r="A2076" s="20" t="s">
        <v>38</v>
      </c>
      <c r="B2076" t="str">
        <f>VLOOKUP(A2076,Customers!A:B,2,FALSE)</f>
        <v>RetailForge</v>
      </c>
      <c r="C2076" s="24" t="s">
        <v>2443</v>
      </c>
      <c r="D2076" s="10">
        <v>45988</v>
      </c>
      <c r="E2076" s="10">
        <v>46018</v>
      </c>
      <c r="F2076" s="4">
        <v>2748.96</v>
      </c>
      <c r="G2076" s="3">
        <f>SUMIF(Customer_Payments!B:B,C2076,Customer_Payments!E:E)</f>
        <v>0</v>
      </c>
      <c r="H2076" s="3">
        <f t="shared" si="96"/>
        <v>2748.96</v>
      </c>
      <c r="I2076" s="29">
        <f t="shared" si="97"/>
        <v>73</v>
      </c>
      <c r="J2076" s="31" t="str">
        <f t="shared" si="98"/>
        <v>61-90</v>
      </c>
      <c r="K2076"/>
    </row>
    <row r="2077" spans="1:11" x14ac:dyDescent="0.3">
      <c r="A2077" s="21" t="s">
        <v>19</v>
      </c>
      <c r="B2077" t="str">
        <f>VLOOKUP(A2077,Customers!A:B,2,FALSE)</f>
        <v>NextWave Digital</v>
      </c>
      <c r="C2077" s="25" t="s">
        <v>2444</v>
      </c>
      <c r="D2077" s="11">
        <v>46095</v>
      </c>
      <c r="E2077" s="11">
        <v>46125</v>
      </c>
      <c r="F2077" s="5">
        <v>1898.67</v>
      </c>
      <c r="G2077" s="3">
        <f>SUMIF(Customer_Payments!B:B,C2077,Customer_Payments!E:E)</f>
        <v>0</v>
      </c>
      <c r="H2077" s="3">
        <f t="shared" si="96"/>
        <v>1898.67</v>
      </c>
      <c r="I2077" s="29">
        <f t="shared" si="97"/>
        <v>-34</v>
      </c>
      <c r="J2077" s="31" t="str">
        <f t="shared" si="98"/>
        <v>Current</v>
      </c>
      <c r="K2077"/>
    </row>
    <row r="2078" spans="1:11" x14ac:dyDescent="0.3">
      <c r="A2078" s="20" t="s">
        <v>62</v>
      </c>
      <c r="B2078" t="str">
        <f>VLOOKUP(A2078,Customers!A:B,2,FALSE)</f>
        <v>MarketNova</v>
      </c>
      <c r="C2078" s="24" t="s">
        <v>2445</v>
      </c>
      <c r="D2078" s="10">
        <v>46108</v>
      </c>
      <c r="E2078" s="10">
        <v>46138</v>
      </c>
      <c r="F2078" s="4">
        <v>2920.19</v>
      </c>
      <c r="G2078" s="3">
        <f>SUMIF(Customer_Payments!B:B,C2078,Customer_Payments!E:E)</f>
        <v>2920.19</v>
      </c>
      <c r="H2078" s="3">
        <f t="shared" si="96"/>
        <v>0</v>
      </c>
      <c r="I2078" s="29">
        <f t="shared" si="97"/>
        <v>-47</v>
      </c>
      <c r="J2078" s="31" t="str">
        <f t="shared" si="98"/>
        <v>Current</v>
      </c>
      <c r="K2078"/>
    </row>
    <row r="2079" spans="1:11" x14ac:dyDescent="0.3">
      <c r="A2079" s="21" t="s">
        <v>105</v>
      </c>
      <c r="B2079" t="str">
        <f>VLOOKUP(A2079,Customers!A:B,2,FALSE)</f>
        <v>RetailFlowPro</v>
      </c>
      <c r="C2079" s="25" t="s">
        <v>2446</v>
      </c>
      <c r="D2079" s="11">
        <v>45986</v>
      </c>
      <c r="E2079" s="11">
        <v>46016</v>
      </c>
      <c r="F2079" s="5">
        <v>2070.67</v>
      </c>
      <c r="G2079" s="3">
        <f>SUMIF(Customer_Payments!B:B,C2079,Customer_Payments!E:E)</f>
        <v>2070.67</v>
      </c>
      <c r="H2079" s="3">
        <f t="shared" si="96"/>
        <v>0</v>
      </c>
      <c r="I2079" s="29">
        <f t="shared" si="97"/>
        <v>75</v>
      </c>
      <c r="J2079" s="31" t="str">
        <f t="shared" si="98"/>
        <v>61-90</v>
      </c>
      <c r="K2079"/>
    </row>
    <row r="2080" spans="1:11" x14ac:dyDescent="0.3">
      <c r="A2080" s="20" t="s">
        <v>46</v>
      </c>
      <c r="B2080" t="str">
        <f>VLOOKUP(A2080,Customers!A:B,2,FALSE)</f>
        <v>NovaMarket</v>
      </c>
      <c r="C2080" s="24" t="s">
        <v>2447</v>
      </c>
      <c r="D2080" s="10">
        <v>46112</v>
      </c>
      <c r="E2080" s="10">
        <v>46142</v>
      </c>
      <c r="F2080" s="4">
        <v>4500.04</v>
      </c>
      <c r="G2080" s="3">
        <f>SUMIF(Customer_Payments!B:B,C2080,Customer_Payments!E:E)</f>
        <v>4500.04</v>
      </c>
      <c r="H2080" s="3">
        <f t="shared" si="96"/>
        <v>0</v>
      </c>
      <c r="I2080" s="29">
        <f t="shared" si="97"/>
        <v>-51</v>
      </c>
      <c r="J2080" s="31" t="str">
        <f t="shared" si="98"/>
        <v>Current</v>
      </c>
      <c r="K2080"/>
    </row>
    <row r="2081" spans="1:11" x14ac:dyDescent="0.3">
      <c r="A2081" s="21" t="s">
        <v>55</v>
      </c>
      <c r="B2081" t="str">
        <f>VLOOKUP(A2081,Customers!A:B,2,FALSE)</f>
        <v>CommerceLabs</v>
      </c>
      <c r="C2081" s="25" t="s">
        <v>2448</v>
      </c>
      <c r="D2081" s="11">
        <v>46081</v>
      </c>
      <c r="E2081" s="11">
        <v>46111</v>
      </c>
      <c r="F2081" s="5">
        <v>2756.8</v>
      </c>
      <c r="G2081" s="3">
        <f>SUMIF(Customer_Payments!B:B,C2081,Customer_Payments!E:E)</f>
        <v>2756.8</v>
      </c>
      <c r="H2081" s="3">
        <f t="shared" si="96"/>
        <v>0</v>
      </c>
      <c r="I2081" s="29">
        <f t="shared" si="97"/>
        <v>-20</v>
      </c>
      <c r="J2081" s="31" t="str">
        <f t="shared" si="98"/>
        <v>Current</v>
      </c>
      <c r="K2081"/>
    </row>
    <row r="2082" spans="1:11" x14ac:dyDescent="0.3">
      <c r="A2082" s="20" t="s">
        <v>71</v>
      </c>
      <c r="B2082" t="str">
        <f>VLOOKUP(A2082,Customers!A:B,2,FALSE)</f>
        <v>RetailPulse</v>
      </c>
      <c r="C2082" s="24" t="s">
        <v>2449</v>
      </c>
      <c r="D2082" s="10">
        <v>46041</v>
      </c>
      <c r="E2082" s="10">
        <v>46071</v>
      </c>
      <c r="F2082" s="4">
        <v>10061</v>
      </c>
      <c r="G2082" s="3">
        <f>SUMIF(Customer_Payments!B:B,C2082,Customer_Payments!E:E)</f>
        <v>10061</v>
      </c>
      <c r="H2082" s="3">
        <f t="shared" si="96"/>
        <v>0</v>
      </c>
      <c r="I2082" s="29">
        <f t="shared" si="97"/>
        <v>20</v>
      </c>
      <c r="J2082" s="31" t="str">
        <f t="shared" si="98"/>
        <v>1-30</v>
      </c>
      <c r="K2082"/>
    </row>
    <row r="2083" spans="1:11" x14ac:dyDescent="0.3">
      <c r="A2083" s="21" t="s">
        <v>60</v>
      </c>
      <c r="B2083" t="str">
        <f>VLOOKUP(A2083,Customers!A:B,2,FALSE)</f>
        <v>RetailSpark</v>
      </c>
      <c r="C2083" s="25" t="s">
        <v>2450</v>
      </c>
      <c r="D2083" s="11">
        <v>46096</v>
      </c>
      <c r="E2083" s="11">
        <v>46126</v>
      </c>
      <c r="F2083" s="5">
        <v>1953.07</v>
      </c>
      <c r="G2083" s="3">
        <f>SUMIF(Customer_Payments!B:B,C2083,Customer_Payments!E:E)</f>
        <v>1953.07</v>
      </c>
      <c r="H2083" s="3">
        <f t="shared" si="96"/>
        <v>0</v>
      </c>
      <c r="I2083" s="29">
        <f t="shared" si="97"/>
        <v>-35</v>
      </c>
      <c r="J2083" s="31" t="str">
        <f t="shared" si="98"/>
        <v>Current</v>
      </c>
      <c r="K2083"/>
    </row>
    <row r="2084" spans="1:11" x14ac:dyDescent="0.3">
      <c r="A2084" s="20" t="s">
        <v>60</v>
      </c>
      <c r="B2084" t="str">
        <f>VLOOKUP(A2084,Customers!A:B,2,FALSE)</f>
        <v>RetailSpark</v>
      </c>
      <c r="C2084" s="24" t="s">
        <v>2451</v>
      </c>
      <c r="D2084" s="10">
        <v>46112</v>
      </c>
      <c r="E2084" s="10">
        <v>46142</v>
      </c>
      <c r="F2084" s="4">
        <v>11814.16</v>
      </c>
      <c r="G2084" s="3">
        <f>SUMIF(Customer_Payments!B:B,C2084,Customer_Payments!E:E)</f>
        <v>0</v>
      </c>
      <c r="H2084" s="3">
        <f t="shared" si="96"/>
        <v>11814.16</v>
      </c>
      <c r="I2084" s="29">
        <f t="shared" si="97"/>
        <v>-51</v>
      </c>
      <c r="J2084" s="31" t="str">
        <f t="shared" si="98"/>
        <v>Current</v>
      </c>
      <c r="K2084"/>
    </row>
    <row r="2085" spans="1:11" x14ac:dyDescent="0.3">
      <c r="A2085" s="21" t="s">
        <v>81</v>
      </c>
      <c r="B2085" t="str">
        <f>VLOOKUP(A2085,Customers!A:B,2,FALSE)</f>
        <v>RetailFlowX</v>
      </c>
      <c r="C2085" s="25" t="s">
        <v>2452</v>
      </c>
      <c r="D2085" s="11">
        <v>46054</v>
      </c>
      <c r="E2085" s="11">
        <v>46084</v>
      </c>
      <c r="F2085" s="5">
        <v>3307.03</v>
      </c>
      <c r="G2085" s="3">
        <f>SUMIF(Customer_Payments!B:B,C2085,Customer_Payments!E:E)</f>
        <v>0</v>
      </c>
      <c r="H2085" s="3">
        <f t="shared" si="96"/>
        <v>3307.03</v>
      </c>
      <c r="I2085" s="29">
        <f t="shared" si="97"/>
        <v>7</v>
      </c>
      <c r="J2085" s="31" t="str">
        <f t="shared" si="98"/>
        <v>1-30</v>
      </c>
      <c r="K2085"/>
    </row>
    <row r="2086" spans="1:11" x14ac:dyDescent="0.3">
      <c r="A2086" s="20" t="s">
        <v>119</v>
      </c>
      <c r="B2086" t="str">
        <f>VLOOKUP(A2086,Customers!A:B,2,FALSE)</f>
        <v>RetailNovaGlobal</v>
      </c>
      <c r="C2086" s="24" t="s">
        <v>2453</v>
      </c>
      <c r="D2086" s="10">
        <v>46037</v>
      </c>
      <c r="E2086" s="10">
        <v>46067</v>
      </c>
      <c r="F2086" s="4">
        <v>3322.36</v>
      </c>
      <c r="G2086" s="3">
        <f>SUMIF(Customer_Payments!B:B,C2086,Customer_Payments!E:E)</f>
        <v>0</v>
      </c>
      <c r="H2086" s="3">
        <f t="shared" si="96"/>
        <v>3322.36</v>
      </c>
      <c r="I2086" s="29">
        <f t="shared" si="97"/>
        <v>24</v>
      </c>
      <c r="J2086" s="31" t="str">
        <f t="shared" si="98"/>
        <v>1-30</v>
      </c>
      <c r="K2086"/>
    </row>
    <row r="2087" spans="1:11" x14ac:dyDescent="0.3">
      <c r="A2087" s="21" t="s">
        <v>92</v>
      </c>
      <c r="B2087" t="str">
        <f>VLOOKUP(A2087,Customers!A:B,2,FALSE)</f>
        <v>RetailMatrixX</v>
      </c>
      <c r="C2087" s="25" t="s">
        <v>2454</v>
      </c>
      <c r="D2087" s="11">
        <v>46059</v>
      </c>
      <c r="E2087" s="11">
        <v>46089</v>
      </c>
      <c r="F2087" s="5">
        <v>2053.54</v>
      </c>
      <c r="G2087" s="3">
        <f>SUMIF(Customer_Payments!B:B,C2087,Customer_Payments!E:E)</f>
        <v>2053.54</v>
      </c>
      <c r="H2087" s="3">
        <f t="shared" si="96"/>
        <v>0</v>
      </c>
      <c r="I2087" s="29">
        <f t="shared" si="97"/>
        <v>2</v>
      </c>
      <c r="J2087" s="31" t="str">
        <f t="shared" si="98"/>
        <v>1-30</v>
      </c>
      <c r="K2087"/>
    </row>
    <row r="2088" spans="1:11" x14ac:dyDescent="0.3">
      <c r="A2088" s="20" t="s">
        <v>13</v>
      </c>
      <c r="B2088" t="str">
        <f>VLOOKUP(A2088,Customers!A:B,2,FALSE)</f>
        <v>EduNova</v>
      </c>
      <c r="C2088" s="24" t="s">
        <v>2455</v>
      </c>
      <c r="D2088" s="10">
        <v>46063</v>
      </c>
      <c r="E2088" s="10">
        <v>46093</v>
      </c>
      <c r="F2088" s="4">
        <v>2955.37</v>
      </c>
      <c r="G2088" s="3">
        <f>SUMIF(Customer_Payments!B:B,C2088,Customer_Payments!E:E)</f>
        <v>2955.37</v>
      </c>
      <c r="H2088" s="3">
        <f t="shared" si="96"/>
        <v>0</v>
      </c>
      <c r="I2088" s="29">
        <f t="shared" si="97"/>
        <v>-2</v>
      </c>
      <c r="J2088" s="31" t="str">
        <f t="shared" si="98"/>
        <v>Current</v>
      </c>
      <c r="K2088"/>
    </row>
    <row r="2089" spans="1:11" x14ac:dyDescent="0.3">
      <c r="A2089" s="21" t="s">
        <v>83</v>
      </c>
      <c r="B2089" t="str">
        <f>VLOOKUP(A2089,Customers!A:B,2,FALSE)</f>
        <v>RetailCoreX</v>
      </c>
      <c r="C2089" s="25" t="s">
        <v>2456</v>
      </c>
      <c r="D2089" s="11">
        <v>46043</v>
      </c>
      <c r="E2089" s="11">
        <v>46073</v>
      </c>
      <c r="F2089" s="5">
        <v>2465.63</v>
      </c>
      <c r="G2089" s="3">
        <f>SUMIF(Customer_Payments!B:B,C2089,Customer_Payments!E:E)</f>
        <v>2465.63</v>
      </c>
      <c r="H2089" s="3">
        <f t="shared" si="96"/>
        <v>0</v>
      </c>
      <c r="I2089" s="29">
        <f t="shared" si="97"/>
        <v>18</v>
      </c>
      <c r="J2089" s="31" t="str">
        <f t="shared" si="98"/>
        <v>1-30</v>
      </c>
      <c r="K2089"/>
    </row>
    <row r="2090" spans="1:11" x14ac:dyDescent="0.3">
      <c r="A2090" s="20" t="s">
        <v>117</v>
      </c>
      <c r="B2090" t="str">
        <f>VLOOKUP(A2090,Customers!A:B,2,FALSE)</f>
        <v>RetailSparkPro</v>
      </c>
      <c r="C2090" s="24" t="s">
        <v>2457</v>
      </c>
      <c r="D2090" s="10">
        <v>45971</v>
      </c>
      <c r="E2090" s="10">
        <v>46001</v>
      </c>
      <c r="F2090" s="4">
        <v>3386.33</v>
      </c>
      <c r="G2090" s="3">
        <f>SUMIF(Customer_Payments!B:B,C2090,Customer_Payments!E:E)</f>
        <v>3386.33</v>
      </c>
      <c r="H2090" s="3">
        <f t="shared" si="96"/>
        <v>0</v>
      </c>
      <c r="I2090" s="29">
        <f t="shared" si="97"/>
        <v>90</v>
      </c>
      <c r="J2090" s="31" t="str">
        <f t="shared" si="98"/>
        <v>61-90</v>
      </c>
      <c r="K2090"/>
    </row>
    <row r="2091" spans="1:11" x14ac:dyDescent="0.3">
      <c r="A2091" s="21" t="s">
        <v>98</v>
      </c>
      <c r="B2091" t="str">
        <f>VLOOKUP(A2091,Customers!A:B,2,FALSE)</f>
        <v>RetailEdgePro</v>
      </c>
      <c r="C2091" s="25" t="s">
        <v>2458</v>
      </c>
      <c r="D2091" s="11">
        <v>45969</v>
      </c>
      <c r="E2091" s="11">
        <v>45999</v>
      </c>
      <c r="F2091" s="5">
        <v>2545.73</v>
      </c>
      <c r="G2091" s="3">
        <f>SUMIF(Customer_Payments!B:B,C2091,Customer_Payments!E:E)</f>
        <v>2545.73</v>
      </c>
      <c r="H2091" s="3">
        <f t="shared" si="96"/>
        <v>0</v>
      </c>
      <c r="I2091" s="29">
        <f t="shared" si="97"/>
        <v>92</v>
      </c>
      <c r="J2091" s="31" t="str">
        <f t="shared" si="98"/>
        <v>90+</v>
      </c>
      <c r="K2091"/>
    </row>
    <row r="2092" spans="1:11" x14ac:dyDescent="0.3">
      <c r="A2092" s="20" t="s">
        <v>70</v>
      </c>
      <c r="B2092" t="str">
        <f>VLOOKUP(A2092,Customers!A:B,2,FALSE)</f>
        <v>RetailPath</v>
      </c>
      <c r="C2092" s="24" t="s">
        <v>2459</v>
      </c>
      <c r="D2092" s="10">
        <v>46063</v>
      </c>
      <c r="E2092" s="10">
        <v>46093</v>
      </c>
      <c r="F2092" s="4">
        <v>3241.89</v>
      </c>
      <c r="G2092" s="3">
        <f>SUMIF(Customer_Payments!B:B,C2092,Customer_Payments!E:E)</f>
        <v>3241.89</v>
      </c>
      <c r="H2092" s="3">
        <f t="shared" si="96"/>
        <v>0</v>
      </c>
      <c r="I2092" s="29">
        <f t="shared" si="97"/>
        <v>-2</v>
      </c>
      <c r="J2092" s="31" t="str">
        <f t="shared" si="98"/>
        <v>Current</v>
      </c>
      <c r="K2092"/>
    </row>
    <row r="2093" spans="1:11" x14ac:dyDescent="0.3">
      <c r="A2093" s="21" t="s">
        <v>45</v>
      </c>
      <c r="B2093" t="str">
        <f>VLOOKUP(A2093,Customers!A:B,2,FALSE)</f>
        <v>EdgeRetail</v>
      </c>
      <c r="C2093" s="25" t="s">
        <v>2460</v>
      </c>
      <c r="D2093" s="11">
        <v>46031</v>
      </c>
      <c r="E2093" s="11">
        <v>46061</v>
      </c>
      <c r="F2093" s="5">
        <v>4447.09</v>
      </c>
      <c r="G2093" s="3">
        <f>SUMIF(Customer_Payments!B:B,C2093,Customer_Payments!E:E)</f>
        <v>0</v>
      </c>
      <c r="H2093" s="3">
        <f t="shared" si="96"/>
        <v>4447.09</v>
      </c>
      <c r="I2093" s="29">
        <f t="shared" si="97"/>
        <v>30</v>
      </c>
      <c r="J2093" s="31" t="str">
        <f t="shared" si="98"/>
        <v>1-30</v>
      </c>
      <c r="K2093"/>
    </row>
    <row r="2094" spans="1:11" x14ac:dyDescent="0.3">
      <c r="A2094" s="20" t="s">
        <v>32</v>
      </c>
      <c r="B2094" t="str">
        <f>VLOOKUP(A2094,Customers!A:B,2,FALSE)</f>
        <v>RetailVista</v>
      </c>
      <c r="C2094" s="24" t="s">
        <v>2461</v>
      </c>
      <c r="D2094" s="10">
        <v>46001</v>
      </c>
      <c r="E2094" s="10">
        <v>46031</v>
      </c>
      <c r="F2094" s="4">
        <v>1663.84</v>
      </c>
      <c r="G2094" s="3">
        <f>SUMIF(Customer_Payments!B:B,C2094,Customer_Payments!E:E)</f>
        <v>1663.84</v>
      </c>
      <c r="H2094" s="3">
        <f t="shared" si="96"/>
        <v>0</v>
      </c>
      <c r="I2094" s="29">
        <f t="shared" si="97"/>
        <v>60</v>
      </c>
      <c r="J2094" s="31" t="str">
        <f t="shared" si="98"/>
        <v>31-60</v>
      </c>
      <c r="K2094"/>
    </row>
    <row r="2095" spans="1:11" x14ac:dyDescent="0.3">
      <c r="A2095" s="21" t="s">
        <v>73</v>
      </c>
      <c r="B2095" t="str">
        <f>VLOOKUP(A2095,Customers!A:B,2,FALSE)</f>
        <v>RetailWave</v>
      </c>
      <c r="C2095" s="25" t="s">
        <v>2462</v>
      </c>
      <c r="D2095" s="11">
        <v>46048</v>
      </c>
      <c r="E2095" s="11">
        <v>46078</v>
      </c>
      <c r="F2095" s="5">
        <v>2480.5700000000002</v>
      </c>
      <c r="G2095" s="3">
        <f>SUMIF(Customer_Payments!B:B,C2095,Customer_Payments!E:E)</f>
        <v>0</v>
      </c>
      <c r="H2095" s="3">
        <f t="shared" si="96"/>
        <v>2480.5700000000002</v>
      </c>
      <c r="I2095" s="29">
        <f t="shared" si="97"/>
        <v>13</v>
      </c>
      <c r="J2095" s="31" t="str">
        <f t="shared" si="98"/>
        <v>1-30</v>
      </c>
      <c r="K2095"/>
    </row>
    <row r="2096" spans="1:11" x14ac:dyDescent="0.3">
      <c r="A2096" s="20" t="s">
        <v>71</v>
      </c>
      <c r="B2096" t="str">
        <f>VLOOKUP(A2096,Customers!A:B,2,FALSE)</f>
        <v>RetailPulse</v>
      </c>
      <c r="C2096" s="24" t="s">
        <v>2463</v>
      </c>
      <c r="D2096" s="10">
        <v>46001</v>
      </c>
      <c r="E2096" s="10">
        <v>46031</v>
      </c>
      <c r="F2096" s="4">
        <v>2696.65</v>
      </c>
      <c r="G2096" s="3">
        <f>SUMIF(Customer_Payments!B:B,C2096,Customer_Payments!E:E)</f>
        <v>2696.65</v>
      </c>
      <c r="H2096" s="3">
        <f t="shared" si="96"/>
        <v>0</v>
      </c>
      <c r="I2096" s="29">
        <f t="shared" si="97"/>
        <v>60</v>
      </c>
      <c r="J2096" s="31" t="str">
        <f t="shared" si="98"/>
        <v>31-60</v>
      </c>
      <c r="K2096"/>
    </row>
    <row r="2097" spans="1:11" x14ac:dyDescent="0.3">
      <c r="A2097" s="21" t="s">
        <v>30</v>
      </c>
      <c r="B2097" t="str">
        <f>VLOOKUP(A2097,Customers!A:B,2,FALSE)</f>
        <v>CommerceFlow</v>
      </c>
      <c r="C2097" s="25" t="s">
        <v>2464</v>
      </c>
      <c r="D2097" s="11">
        <v>46064</v>
      </c>
      <c r="E2097" s="11">
        <v>46094</v>
      </c>
      <c r="F2097" s="5">
        <v>11475.43</v>
      </c>
      <c r="G2097" s="3">
        <f>SUMIF(Customer_Payments!B:B,C2097,Customer_Payments!E:E)</f>
        <v>11475.43</v>
      </c>
      <c r="H2097" s="3">
        <f t="shared" si="96"/>
        <v>0</v>
      </c>
      <c r="I2097" s="29">
        <f t="shared" si="97"/>
        <v>-3</v>
      </c>
      <c r="J2097" s="31" t="str">
        <f t="shared" si="98"/>
        <v>Current</v>
      </c>
      <c r="K2097"/>
    </row>
    <row r="2098" spans="1:11" x14ac:dyDescent="0.3">
      <c r="A2098" s="20" t="s">
        <v>94</v>
      </c>
      <c r="B2098" t="str">
        <f>VLOOKUP(A2098,Customers!A:B,2,FALSE)</f>
        <v>RetailDynamicsX</v>
      </c>
      <c r="C2098" s="24" t="s">
        <v>2465</v>
      </c>
      <c r="D2098" s="10">
        <v>46008</v>
      </c>
      <c r="E2098" s="10">
        <v>46038</v>
      </c>
      <c r="F2098" s="4">
        <v>5683.44</v>
      </c>
      <c r="G2098" s="3">
        <f>SUMIF(Customer_Payments!B:B,C2098,Customer_Payments!E:E)</f>
        <v>0</v>
      </c>
      <c r="H2098" s="3">
        <f t="shared" si="96"/>
        <v>5683.44</v>
      </c>
      <c r="I2098" s="29">
        <f t="shared" si="97"/>
        <v>53</v>
      </c>
      <c r="J2098" s="31" t="str">
        <f t="shared" si="98"/>
        <v>31-60</v>
      </c>
      <c r="K2098"/>
    </row>
    <row r="2099" spans="1:11" x14ac:dyDescent="0.3">
      <c r="A2099" s="21" t="s">
        <v>88</v>
      </c>
      <c r="B2099" t="str">
        <f>VLOOKUP(A2099,Customers!A:B,2,FALSE)</f>
        <v>RetailPrimeX</v>
      </c>
      <c r="C2099" s="25" t="s">
        <v>2466</v>
      </c>
      <c r="D2099" s="11">
        <v>45967</v>
      </c>
      <c r="E2099" s="11">
        <v>45997</v>
      </c>
      <c r="F2099" s="5">
        <v>13724.71</v>
      </c>
      <c r="G2099" s="3">
        <f>SUMIF(Customer_Payments!B:B,C2099,Customer_Payments!E:E)</f>
        <v>13724.71</v>
      </c>
      <c r="H2099" s="3">
        <f t="shared" si="96"/>
        <v>0</v>
      </c>
      <c r="I2099" s="29">
        <f t="shared" si="97"/>
        <v>94</v>
      </c>
      <c r="J2099" s="31" t="str">
        <f t="shared" si="98"/>
        <v>90+</v>
      </c>
      <c r="K2099"/>
    </row>
    <row r="2100" spans="1:11" x14ac:dyDescent="0.3">
      <c r="A2100" s="20" t="s">
        <v>28</v>
      </c>
      <c r="B2100" t="str">
        <f>VLOOKUP(A2100,Customers!A:B,2,FALSE)</f>
        <v>FutureCart</v>
      </c>
      <c r="C2100" s="24" t="s">
        <v>2467</v>
      </c>
      <c r="D2100" s="10">
        <v>45987</v>
      </c>
      <c r="E2100" s="10">
        <v>46017</v>
      </c>
      <c r="F2100" s="4">
        <v>2621.77</v>
      </c>
      <c r="G2100" s="3">
        <f>SUMIF(Customer_Payments!B:B,C2100,Customer_Payments!E:E)</f>
        <v>2621.77</v>
      </c>
      <c r="H2100" s="3">
        <f t="shared" si="96"/>
        <v>0</v>
      </c>
      <c r="I2100" s="29">
        <f t="shared" si="97"/>
        <v>74</v>
      </c>
      <c r="J2100" s="31" t="str">
        <f t="shared" si="98"/>
        <v>61-90</v>
      </c>
      <c r="K2100"/>
    </row>
    <row r="2101" spans="1:11" x14ac:dyDescent="0.3">
      <c r="A2101" s="21" t="s">
        <v>44</v>
      </c>
      <c r="B2101" t="str">
        <f>VLOOKUP(A2101,Customers!A:B,2,FALSE)</f>
        <v>BrightMarket</v>
      </c>
      <c r="C2101" s="25" t="s">
        <v>2468</v>
      </c>
      <c r="D2101" s="11">
        <v>46103</v>
      </c>
      <c r="E2101" s="11">
        <v>46133</v>
      </c>
      <c r="F2101" s="5">
        <v>3838.33</v>
      </c>
      <c r="G2101" s="3">
        <f>SUMIF(Customer_Payments!B:B,C2101,Customer_Payments!E:E)</f>
        <v>3838.33</v>
      </c>
      <c r="H2101" s="3">
        <f t="shared" si="96"/>
        <v>0</v>
      </c>
      <c r="I2101" s="29">
        <f t="shared" si="97"/>
        <v>-42</v>
      </c>
      <c r="J2101" s="31" t="str">
        <f t="shared" si="98"/>
        <v>Current</v>
      </c>
      <c r="K2101"/>
    </row>
    <row r="2102" spans="1:11" x14ac:dyDescent="0.3">
      <c r="A2102" s="20" t="s">
        <v>42</v>
      </c>
      <c r="B2102" t="str">
        <f>VLOOKUP(A2102,Customers!A:B,2,FALSE)</f>
        <v>RetailWorks</v>
      </c>
      <c r="C2102" s="24" t="s">
        <v>2469</v>
      </c>
      <c r="D2102" s="10">
        <v>46101</v>
      </c>
      <c r="E2102" s="10">
        <v>46131</v>
      </c>
      <c r="F2102" s="4">
        <v>2667.54</v>
      </c>
      <c r="G2102" s="3">
        <f>SUMIF(Customer_Payments!B:B,C2102,Customer_Payments!E:E)</f>
        <v>2667.54</v>
      </c>
      <c r="H2102" s="3">
        <f t="shared" si="96"/>
        <v>0</v>
      </c>
      <c r="I2102" s="29">
        <f t="shared" si="97"/>
        <v>-40</v>
      </c>
      <c r="J2102" s="31" t="str">
        <f t="shared" si="98"/>
        <v>Current</v>
      </c>
      <c r="K2102"/>
    </row>
    <row r="2103" spans="1:11" x14ac:dyDescent="0.3">
      <c r="A2103" s="21" t="s">
        <v>111</v>
      </c>
      <c r="B2103" t="str">
        <f>VLOOKUP(A2103,Customers!A:B,2,FALSE)</f>
        <v>RetailPulsePro</v>
      </c>
      <c r="C2103" s="25" t="s">
        <v>2470</v>
      </c>
      <c r="D2103" s="11">
        <v>45973</v>
      </c>
      <c r="E2103" s="11">
        <v>46003</v>
      </c>
      <c r="F2103" s="5">
        <v>11451.94</v>
      </c>
      <c r="G2103" s="3">
        <f>SUMIF(Customer_Payments!B:B,C2103,Customer_Payments!E:E)</f>
        <v>11451.94</v>
      </c>
      <c r="H2103" s="3">
        <f t="shared" si="96"/>
        <v>0</v>
      </c>
      <c r="I2103" s="29">
        <f t="shared" si="97"/>
        <v>88</v>
      </c>
      <c r="J2103" s="31" t="str">
        <f t="shared" si="98"/>
        <v>61-90</v>
      </c>
      <c r="K2103"/>
    </row>
    <row r="2104" spans="1:11" x14ac:dyDescent="0.3">
      <c r="A2104" s="20" t="s">
        <v>56</v>
      </c>
      <c r="B2104" t="str">
        <f>VLOOKUP(A2104,Customers!A:B,2,FALSE)</f>
        <v>RetailBoost</v>
      </c>
      <c r="C2104" s="24" t="s">
        <v>2471</v>
      </c>
      <c r="D2104" s="10">
        <v>45975</v>
      </c>
      <c r="E2104" s="10">
        <v>46005</v>
      </c>
      <c r="F2104" s="4">
        <v>10311.200000000001</v>
      </c>
      <c r="G2104" s="3">
        <f>SUMIF(Customer_Payments!B:B,C2104,Customer_Payments!E:E)</f>
        <v>10311.200000000001</v>
      </c>
      <c r="H2104" s="3">
        <f t="shared" si="96"/>
        <v>0</v>
      </c>
      <c r="I2104" s="29">
        <f t="shared" si="97"/>
        <v>86</v>
      </c>
      <c r="J2104" s="31" t="str">
        <f t="shared" si="98"/>
        <v>61-90</v>
      </c>
      <c r="K2104"/>
    </row>
    <row r="2105" spans="1:11" x14ac:dyDescent="0.3">
      <c r="A2105" s="21" t="s">
        <v>91</v>
      </c>
      <c r="B2105" t="str">
        <f>VLOOKUP(A2105,Customers!A:B,2,FALSE)</f>
        <v>RetailBridgeX</v>
      </c>
      <c r="C2105" s="25" t="s">
        <v>2472</v>
      </c>
      <c r="D2105" s="11">
        <v>45974</v>
      </c>
      <c r="E2105" s="11">
        <v>46004</v>
      </c>
      <c r="F2105" s="5">
        <v>3096.65</v>
      </c>
      <c r="G2105" s="3">
        <f>SUMIF(Customer_Payments!B:B,C2105,Customer_Payments!E:E)</f>
        <v>3096.65</v>
      </c>
      <c r="H2105" s="3">
        <f t="shared" si="96"/>
        <v>0</v>
      </c>
      <c r="I2105" s="29">
        <f t="shared" si="97"/>
        <v>87</v>
      </c>
      <c r="J2105" s="31" t="str">
        <f t="shared" si="98"/>
        <v>61-90</v>
      </c>
      <c r="K2105"/>
    </row>
    <row r="2106" spans="1:11" x14ac:dyDescent="0.3">
      <c r="A2106" s="20" t="s">
        <v>99</v>
      </c>
      <c r="B2106" t="str">
        <f>VLOOKUP(A2106,Customers!A:B,2,FALSE)</f>
        <v>RetailNovaPro</v>
      </c>
      <c r="C2106" s="24" t="s">
        <v>2473</v>
      </c>
      <c r="D2106" s="10">
        <v>46051</v>
      </c>
      <c r="E2106" s="10">
        <v>46081</v>
      </c>
      <c r="F2106" s="4">
        <v>3422.27</v>
      </c>
      <c r="G2106" s="3">
        <f>SUMIF(Customer_Payments!B:B,C2106,Customer_Payments!E:E)</f>
        <v>3422.27</v>
      </c>
      <c r="H2106" s="3">
        <f t="shared" si="96"/>
        <v>0</v>
      </c>
      <c r="I2106" s="29">
        <f t="shared" si="97"/>
        <v>10</v>
      </c>
      <c r="J2106" s="31" t="str">
        <f t="shared" si="98"/>
        <v>1-30</v>
      </c>
      <c r="K2106"/>
    </row>
    <row r="2107" spans="1:11" x14ac:dyDescent="0.3">
      <c r="A2107" s="21" t="s">
        <v>117</v>
      </c>
      <c r="B2107" t="str">
        <f>VLOOKUP(A2107,Customers!A:B,2,FALSE)</f>
        <v>RetailSparkPro</v>
      </c>
      <c r="C2107" s="25" t="s">
        <v>2474</v>
      </c>
      <c r="D2107" s="11">
        <v>46051</v>
      </c>
      <c r="E2107" s="11">
        <v>46081</v>
      </c>
      <c r="F2107" s="5">
        <v>10929.14</v>
      </c>
      <c r="G2107" s="3">
        <f>SUMIF(Customer_Payments!B:B,C2107,Customer_Payments!E:E)</f>
        <v>10929.14</v>
      </c>
      <c r="H2107" s="3">
        <f t="shared" si="96"/>
        <v>0</v>
      </c>
      <c r="I2107" s="29">
        <f t="shared" si="97"/>
        <v>10</v>
      </c>
      <c r="J2107" s="31" t="str">
        <f t="shared" si="98"/>
        <v>1-30</v>
      </c>
      <c r="K2107"/>
    </row>
    <row r="2108" spans="1:11" x14ac:dyDescent="0.3">
      <c r="A2108" s="20" t="s">
        <v>15</v>
      </c>
      <c r="B2108" t="str">
        <f>VLOOKUP(A2108,Customers!A:B,2,FALSE)</f>
        <v>CloudScale</v>
      </c>
      <c r="C2108" s="24" t="s">
        <v>2475</v>
      </c>
      <c r="D2108" s="10">
        <v>46090</v>
      </c>
      <c r="E2108" s="10">
        <v>46120</v>
      </c>
      <c r="F2108" s="4">
        <v>3095.09</v>
      </c>
      <c r="G2108" s="3">
        <f>SUMIF(Customer_Payments!B:B,C2108,Customer_Payments!E:E)</f>
        <v>3095.09</v>
      </c>
      <c r="H2108" s="3">
        <f t="shared" si="96"/>
        <v>0</v>
      </c>
      <c r="I2108" s="29">
        <f t="shared" si="97"/>
        <v>-29</v>
      </c>
      <c r="J2108" s="31" t="str">
        <f t="shared" si="98"/>
        <v>Current</v>
      </c>
      <c r="K2108"/>
    </row>
    <row r="2109" spans="1:11" x14ac:dyDescent="0.3">
      <c r="A2109" s="21" t="s">
        <v>50</v>
      </c>
      <c r="B2109" t="str">
        <f>VLOOKUP(A2109,Customers!A:B,2,FALSE)</f>
        <v>RetailNexus</v>
      </c>
      <c r="C2109" s="25" t="s">
        <v>2476</v>
      </c>
      <c r="D2109" s="11">
        <v>46005</v>
      </c>
      <c r="E2109" s="11">
        <v>46035</v>
      </c>
      <c r="F2109" s="5">
        <v>5311.84</v>
      </c>
      <c r="G2109" s="3">
        <f>SUMIF(Customer_Payments!B:B,C2109,Customer_Payments!E:E)</f>
        <v>5311.84</v>
      </c>
      <c r="H2109" s="3">
        <f t="shared" si="96"/>
        <v>0</v>
      </c>
      <c r="I2109" s="29">
        <f t="shared" si="97"/>
        <v>56</v>
      </c>
      <c r="J2109" s="31" t="str">
        <f t="shared" si="98"/>
        <v>31-60</v>
      </c>
      <c r="K2109"/>
    </row>
    <row r="2110" spans="1:11" x14ac:dyDescent="0.3">
      <c r="A2110" s="20" t="s">
        <v>104</v>
      </c>
      <c r="B2110" t="str">
        <f>VLOOKUP(A2110,Customers!A:B,2,FALSE)</f>
        <v>RetailCorePro</v>
      </c>
      <c r="C2110" s="24" t="s">
        <v>2477</v>
      </c>
      <c r="D2110" s="10">
        <v>46068</v>
      </c>
      <c r="E2110" s="10">
        <v>46098</v>
      </c>
      <c r="F2110" s="4">
        <v>13032.88</v>
      </c>
      <c r="G2110" s="3">
        <f>SUMIF(Customer_Payments!B:B,C2110,Customer_Payments!E:E)</f>
        <v>13032.88</v>
      </c>
      <c r="H2110" s="3">
        <f t="shared" si="96"/>
        <v>0</v>
      </c>
      <c r="I2110" s="29">
        <f t="shared" si="97"/>
        <v>-7</v>
      </c>
      <c r="J2110" s="31" t="str">
        <f t="shared" si="98"/>
        <v>Current</v>
      </c>
      <c r="K2110"/>
    </row>
    <row r="2111" spans="1:11" x14ac:dyDescent="0.3">
      <c r="A2111" s="21" t="s">
        <v>89</v>
      </c>
      <c r="B2111" t="str">
        <f>VLOOKUP(A2111,Customers!A:B,2,FALSE)</f>
        <v>RetailAxisX</v>
      </c>
      <c r="C2111" s="25" t="s">
        <v>2478</v>
      </c>
      <c r="D2111" s="11">
        <v>46044</v>
      </c>
      <c r="E2111" s="11">
        <v>46074</v>
      </c>
      <c r="F2111" s="5">
        <v>1658.11</v>
      </c>
      <c r="G2111" s="3">
        <f>SUMIF(Customer_Payments!B:B,C2111,Customer_Payments!E:E)</f>
        <v>0</v>
      </c>
      <c r="H2111" s="3">
        <f t="shared" si="96"/>
        <v>1658.11</v>
      </c>
      <c r="I2111" s="29">
        <f t="shared" si="97"/>
        <v>17</v>
      </c>
      <c r="J2111" s="31" t="str">
        <f t="shared" si="98"/>
        <v>1-30</v>
      </c>
      <c r="K2111"/>
    </row>
    <row r="2112" spans="1:11" x14ac:dyDescent="0.3">
      <c r="A2112" s="20" t="s">
        <v>80</v>
      </c>
      <c r="B2112" t="str">
        <f>VLOOKUP(A2112,Customers!A:B,2,FALSE)</f>
        <v>RetailEdgeX</v>
      </c>
      <c r="C2112" s="24" t="s">
        <v>2479</v>
      </c>
      <c r="D2112" s="10">
        <v>46067</v>
      </c>
      <c r="E2112" s="10">
        <v>46097</v>
      </c>
      <c r="F2112" s="4">
        <v>11407.31</v>
      </c>
      <c r="G2112" s="3">
        <f>SUMIF(Customer_Payments!B:B,C2112,Customer_Payments!E:E)</f>
        <v>11407.31</v>
      </c>
      <c r="H2112" s="3">
        <f t="shared" si="96"/>
        <v>0</v>
      </c>
      <c r="I2112" s="29">
        <f t="shared" si="97"/>
        <v>-6</v>
      </c>
      <c r="J2112" s="31" t="str">
        <f t="shared" si="98"/>
        <v>Current</v>
      </c>
      <c r="K2112"/>
    </row>
    <row r="2113" spans="1:11" x14ac:dyDescent="0.3">
      <c r="A2113" s="21" t="s">
        <v>23</v>
      </c>
      <c r="B2113" t="str">
        <f>VLOOKUP(A2113,Customers!A:B,2,FALSE)</f>
        <v>VertexCommerce</v>
      </c>
      <c r="C2113" s="25" t="s">
        <v>2480</v>
      </c>
      <c r="D2113" s="11">
        <v>45991</v>
      </c>
      <c r="E2113" s="11">
        <v>46021</v>
      </c>
      <c r="F2113" s="5">
        <v>2107.7399999999998</v>
      </c>
      <c r="G2113" s="3">
        <f>SUMIF(Customer_Payments!B:B,C2113,Customer_Payments!E:E)</f>
        <v>2107.7399999999998</v>
      </c>
      <c r="H2113" s="3">
        <f t="shared" si="96"/>
        <v>0</v>
      </c>
      <c r="I2113" s="29">
        <f t="shared" si="97"/>
        <v>70</v>
      </c>
      <c r="J2113" s="31" t="str">
        <f t="shared" si="98"/>
        <v>61-90</v>
      </c>
      <c r="K2113"/>
    </row>
    <row r="2114" spans="1:11" x14ac:dyDescent="0.3">
      <c r="A2114" s="20" t="s">
        <v>113</v>
      </c>
      <c r="B2114" t="str">
        <f>VLOOKUP(A2114,Customers!A:B,2,FALSE)</f>
        <v>RetailSpherePro</v>
      </c>
      <c r="C2114" s="24" t="s">
        <v>2481</v>
      </c>
      <c r="D2114" s="10">
        <v>46005</v>
      </c>
      <c r="E2114" s="10">
        <v>46035</v>
      </c>
      <c r="F2114" s="4">
        <v>1673.34</v>
      </c>
      <c r="G2114" s="3">
        <f>SUMIF(Customer_Payments!B:B,C2114,Customer_Payments!E:E)</f>
        <v>1673.34</v>
      </c>
      <c r="H2114" s="3">
        <f t="shared" ref="H2114:H2177" si="99">MAX(F2114-G2114,0)</f>
        <v>0</v>
      </c>
      <c r="I2114" s="29">
        <f t="shared" ref="I2114:I2177" si="100">$L$2-E2114</f>
        <v>56</v>
      </c>
      <c r="J2114" s="31" t="str">
        <f t="shared" si="98"/>
        <v>31-60</v>
      </c>
      <c r="K2114"/>
    </row>
    <row r="2115" spans="1:11" x14ac:dyDescent="0.3">
      <c r="A2115" s="21" t="s">
        <v>19</v>
      </c>
      <c r="B2115" t="str">
        <f>VLOOKUP(A2115,Customers!A:B,2,FALSE)</f>
        <v>NextWave Digital</v>
      </c>
      <c r="C2115" s="25" t="s">
        <v>2482</v>
      </c>
      <c r="D2115" s="11">
        <v>46017</v>
      </c>
      <c r="E2115" s="11">
        <v>46047</v>
      </c>
      <c r="F2115" s="5">
        <v>9924.34</v>
      </c>
      <c r="G2115" s="3">
        <f>SUMIF(Customer_Payments!B:B,C2115,Customer_Payments!E:E)</f>
        <v>9924.34</v>
      </c>
      <c r="H2115" s="3">
        <f t="shared" si="99"/>
        <v>0</v>
      </c>
      <c r="I2115" s="29">
        <f t="shared" si="100"/>
        <v>44</v>
      </c>
      <c r="J2115" s="31" t="str">
        <f t="shared" ref="J2115:J2178" si="101">IF(I2115&lt;=0,"Current",
IF(I2115&lt;=30,"1-30",
IF(I2115&lt;=60,"31-60",
IF(I2115&lt;=90,"61-90","90+"))))</f>
        <v>31-60</v>
      </c>
      <c r="K2115"/>
    </row>
    <row r="2116" spans="1:11" x14ac:dyDescent="0.3">
      <c r="A2116" s="20" t="s">
        <v>36</v>
      </c>
      <c r="B2116" t="str">
        <f>VLOOKUP(A2116,Customers!A:B,2,FALSE)</f>
        <v>RapidMarket</v>
      </c>
      <c r="C2116" s="24" t="s">
        <v>2483</v>
      </c>
      <c r="D2116" s="10">
        <v>46003</v>
      </c>
      <c r="E2116" s="10">
        <v>46033</v>
      </c>
      <c r="F2116" s="4">
        <v>1516.48</v>
      </c>
      <c r="G2116" s="3">
        <f>SUMIF(Customer_Payments!B:B,C2116,Customer_Payments!E:E)</f>
        <v>1516.48</v>
      </c>
      <c r="H2116" s="3">
        <f t="shared" si="99"/>
        <v>0</v>
      </c>
      <c r="I2116" s="29">
        <f t="shared" si="100"/>
        <v>58</v>
      </c>
      <c r="J2116" s="31" t="str">
        <f t="shared" si="101"/>
        <v>31-60</v>
      </c>
      <c r="K2116"/>
    </row>
    <row r="2117" spans="1:11" x14ac:dyDescent="0.3">
      <c r="A2117" s="21" t="s">
        <v>56</v>
      </c>
      <c r="B2117" t="str">
        <f>VLOOKUP(A2117,Customers!A:B,2,FALSE)</f>
        <v>RetailBoost</v>
      </c>
      <c r="C2117" s="25" t="s">
        <v>2484</v>
      </c>
      <c r="D2117" s="11">
        <v>46105</v>
      </c>
      <c r="E2117" s="11">
        <v>46135</v>
      </c>
      <c r="F2117" s="5">
        <v>2012.84</v>
      </c>
      <c r="G2117" s="3">
        <f>SUMIF(Customer_Payments!B:B,C2117,Customer_Payments!E:E)</f>
        <v>2012.84</v>
      </c>
      <c r="H2117" s="3">
        <f t="shared" si="99"/>
        <v>0</v>
      </c>
      <c r="I2117" s="29">
        <f t="shared" si="100"/>
        <v>-44</v>
      </c>
      <c r="J2117" s="31" t="str">
        <f t="shared" si="101"/>
        <v>Current</v>
      </c>
      <c r="K2117"/>
    </row>
    <row r="2118" spans="1:11" x14ac:dyDescent="0.3">
      <c r="A2118" s="20" t="s">
        <v>11</v>
      </c>
      <c r="B2118" t="str">
        <f>VLOOKUP(A2118,Customers!A:B,2,FALSE)</f>
        <v>DataHive</v>
      </c>
      <c r="C2118" s="24" t="s">
        <v>2485</v>
      </c>
      <c r="D2118" s="10">
        <v>46057</v>
      </c>
      <c r="E2118" s="10">
        <v>46087</v>
      </c>
      <c r="F2118" s="4">
        <v>14027.4</v>
      </c>
      <c r="G2118" s="3">
        <f>SUMIF(Customer_Payments!B:B,C2118,Customer_Payments!E:E)</f>
        <v>14027.4</v>
      </c>
      <c r="H2118" s="3">
        <f t="shared" si="99"/>
        <v>0</v>
      </c>
      <c r="I2118" s="29">
        <f t="shared" si="100"/>
        <v>4</v>
      </c>
      <c r="J2118" s="31" t="str">
        <f t="shared" si="101"/>
        <v>1-30</v>
      </c>
      <c r="K2118"/>
    </row>
    <row r="2119" spans="1:11" x14ac:dyDescent="0.3">
      <c r="A2119" s="21" t="s">
        <v>114</v>
      </c>
      <c r="B2119" t="str">
        <f>VLOOKUP(A2119,Customers!A:B,2,FALSE)</f>
        <v>RetailScalePro</v>
      </c>
      <c r="C2119" s="25" t="s">
        <v>2486</v>
      </c>
      <c r="D2119" s="11">
        <v>46093</v>
      </c>
      <c r="E2119" s="11">
        <v>46123</v>
      </c>
      <c r="F2119" s="5">
        <v>1492.47</v>
      </c>
      <c r="G2119" s="3">
        <f>SUMIF(Customer_Payments!B:B,C2119,Customer_Payments!E:E)</f>
        <v>1492.47</v>
      </c>
      <c r="H2119" s="3">
        <f t="shared" si="99"/>
        <v>0</v>
      </c>
      <c r="I2119" s="29">
        <f t="shared" si="100"/>
        <v>-32</v>
      </c>
      <c r="J2119" s="31" t="str">
        <f t="shared" si="101"/>
        <v>Current</v>
      </c>
      <c r="K2119"/>
    </row>
    <row r="2120" spans="1:11" x14ac:dyDescent="0.3">
      <c r="A2120" s="20" t="s">
        <v>55</v>
      </c>
      <c r="B2120" t="str">
        <f>VLOOKUP(A2120,Customers!A:B,2,FALSE)</f>
        <v>CommerceLabs</v>
      </c>
      <c r="C2120" s="24" t="s">
        <v>2487</v>
      </c>
      <c r="D2120" s="10">
        <v>45968</v>
      </c>
      <c r="E2120" s="10">
        <v>45998</v>
      </c>
      <c r="F2120" s="4">
        <v>3508.26</v>
      </c>
      <c r="G2120" s="3">
        <f>SUMIF(Customer_Payments!B:B,C2120,Customer_Payments!E:E)</f>
        <v>3508.26</v>
      </c>
      <c r="H2120" s="3">
        <f t="shared" si="99"/>
        <v>0</v>
      </c>
      <c r="I2120" s="29">
        <f t="shared" si="100"/>
        <v>93</v>
      </c>
      <c r="J2120" s="31" t="str">
        <f t="shared" si="101"/>
        <v>90+</v>
      </c>
      <c r="K2120"/>
    </row>
    <row r="2121" spans="1:11" x14ac:dyDescent="0.3">
      <c r="A2121" s="21" t="s">
        <v>39</v>
      </c>
      <c r="B2121" t="str">
        <f>VLOOKUP(A2121,Customers!A:B,2,FALSE)</f>
        <v>VisionCommerce</v>
      </c>
      <c r="C2121" s="25" t="s">
        <v>2488</v>
      </c>
      <c r="D2121" s="11">
        <v>46020</v>
      </c>
      <c r="E2121" s="11">
        <v>46050</v>
      </c>
      <c r="F2121" s="5">
        <v>5977.74</v>
      </c>
      <c r="G2121" s="3">
        <f>SUMIF(Customer_Payments!B:B,C2121,Customer_Payments!E:E)</f>
        <v>5977.74</v>
      </c>
      <c r="H2121" s="3">
        <f t="shared" si="99"/>
        <v>0</v>
      </c>
      <c r="I2121" s="29">
        <f t="shared" si="100"/>
        <v>41</v>
      </c>
      <c r="J2121" s="31" t="str">
        <f t="shared" si="101"/>
        <v>31-60</v>
      </c>
      <c r="K2121"/>
    </row>
    <row r="2122" spans="1:11" x14ac:dyDescent="0.3">
      <c r="A2122" s="20" t="s">
        <v>27</v>
      </c>
      <c r="B2122" t="str">
        <f>VLOOKUP(A2122,Customers!A:B,2,FALSE)</f>
        <v>Skyline Commerce</v>
      </c>
      <c r="C2122" s="24" t="s">
        <v>2489</v>
      </c>
      <c r="D2122" s="10">
        <v>46073</v>
      </c>
      <c r="E2122" s="10">
        <v>46103</v>
      </c>
      <c r="F2122" s="4">
        <v>11700.07</v>
      </c>
      <c r="G2122" s="3">
        <f>SUMIF(Customer_Payments!B:B,C2122,Customer_Payments!E:E)</f>
        <v>11700.07</v>
      </c>
      <c r="H2122" s="3">
        <f t="shared" si="99"/>
        <v>0</v>
      </c>
      <c r="I2122" s="29">
        <f t="shared" si="100"/>
        <v>-12</v>
      </c>
      <c r="J2122" s="31" t="str">
        <f t="shared" si="101"/>
        <v>Current</v>
      </c>
      <c r="K2122"/>
    </row>
    <row r="2123" spans="1:11" x14ac:dyDescent="0.3">
      <c r="A2123" s="21" t="s">
        <v>10</v>
      </c>
      <c r="B2123" t="str">
        <f>VLOOKUP(A2123,Customers!A:B,2,FALSE)</f>
        <v>LaunchLabs</v>
      </c>
      <c r="C2123" s="25" t="s">
        <v>2490</v>
      </c>
      <c r="D2123" s="11">
        <v>46086</v>
      </c>
      <c r="E2123" s="11">
        <v>46116</v>
      </c>
      <c r="F2123" s="5">
        <v>13506.42</v>
      </c>
      <c r="G2123" s="3">
        <f>SUMIF(Customer_Payments!B:B,C2123,Customer_Payments!E:E)</f>
        <v>13506.42</v>
      </c>
      <c r="H2123" s="3">
        <f t="shared" si="99"/>
        <v>0</v>
      </c>
      <c r="I2123" s="29">
        <f t="shared" si="100"/>
        <v>-25</v>
      </c>
      <c r="J2123" s="31" t="str">
        <f t="shared" si="101"/>
        <v>Current</v>
      </c>
      <c r="K2123"/>
    </row>
    <row r="2124" spans="1:11" x14ac:dyDescent="0.3">
      <c r="A2124" s="20" t="s">
        <v>24</v>
      </c>
      <c r="B2124" t="str">
        <f>VLOOKUP(A2124,Customers!A:B,2,FALSE)</f>
        <v>OmniTrade</v>
      </c>
      <c r="C2124" s="24" t="s">
        <v>2491</v>
      </c>
      <c r="D2124" s="10">
        <v>46045</v>
      </c>
      <c r="E2124" s="10">
        <v>46075</v>
      </c>
      <c r="F2124" s="4">
        <v>2131.08</v>
      </c>
      <c r="G2124" s="3">
        <f>SUMIF(Customer_Payments!B:B,C2124,Customer_Payments!E:E)</f>
        <v>2131.08</v>
      </c>
      <c r="H2124" s="3">
        <f t="shared" si="99"/>
        <v>0</v>
      </c>
      <c r="I2124" s="29">
        <f t="shared" si="100"/>
        <v>16</v>
      </c>
      <c r="J2124" s="31" t="str">
        <f t="shared" si="101"/>
        <v>1-30</v>
      </c>
      <c r="K2124"/>
    </row>
    <row r="2125" spans="1:11" x14ac:dyDescent="0.3">
      <c r="A2125" s="21" t="s">
        <v>16</v>
      </c>
      <c r="B2125" t="str">
        <f>VLOOKUP(A2125,Customers!A:B,2,FALSE)</f>
        <v>RetailHub</v>
      </c>
      <c r="C2125" s="25" t="s">
        <v>2492</v>
      </c>
      <c r="D2125" s="11">
        <v>45969</v>
      </c>
      <c r="E2125" s="11">
        <v>45999</v>
      </c>
      <c r="F2125" s="5">
        <v>2831.47</v>
      </c>
      <c r="G2125" s="3">
        <f>SUMIF(Customer_Payments!B:B,C2125,Customer_Payments!E:E)</f>
        <v>2831.47</v>
      </c>
      <c r="H2125" s="3">
        <f t="shared" si="99"/>
        <v>0</v>
      </c>
      <c r="I2125" s="29">
        <f t="shared" si="100"/>
        <v>92</v>
      </c>
      <c r="J2125" s="31" t="str">
        <f t="shared" si="101"/>
        <v>90+</v>
      </c>
      <c r="K2125"/>
    </row>
    <row r="2126" spans="1:11" x14ac:dyDescent="0.3">
      <c r="A2126" s="20" t="s">
        <v>70</v>
      </c>
      <c r="B2126" t="str">
        <f>VLOOKUP(A2126,Customers!A:B,2,FALSE)</f>
        <v>RetailPath</v>
      </c>
      <c r="C2126" s="24" t="s">
        <v>2493</v>
      </c>
      <c r="D2126" s="10">
        <v>46068</v>
      </c>
      <c r="E2126" s="10">
        <v>46098</v>
      </c>
      <c r="F2126" s="4">
        <v>2185.3000000000002</v>
      </c>
      <c r="G2126" s="3">
        <f>SUMIF(Customer_Payments!B:B,C2126,Customer_Payments!E:E)</f>
        <v>2185.3000000000002</v>
      </c>
      <c r="H2126" s="3">
        <f t="shared" si="99"/>
        <v>0</v>
      </c>
      <c r="I2126" s="29">
        <f t="shared" si="100"/>
        <v>-7</v>
      </c>
      <c r="J2126" s="31" t="str">
        <f t="shared" si="101"/>
        <v>Current</v>
      </c>
      <c r="K2126"/>
    </row>
    <row r="2127" spans="1:11" x14ac:dyDescent="0.3">
      <c r="A2127" s="21" t="s">
        <v>52</v>
      </c>
      <c r="B2127" t="str">
        <f>VLOOKUP(A2127,Customers!A:B,2,FALSE)</f>
        <v>RetailShift</v>
      </c>
      <c r="C2127" s="25" t="s">
        <v>2494</v>
      </c>
      <c r="D2127" s="11">
        <v>46046</v>
      </c>
      <c r="E2127" s="11">
        <v>46076</v>
      </c>
      <c r="F2127" s="5">
        <v>5664.81</v>
      </c>
      <c r="G2127" s="3">
        <f>SUMIF(Customer_Payments!B:B,C2127,Customer_Payments!E:E)</f>
        <v>5664.81</v>
      </c>
      <c r="H2127" s="3">
        <f t="shared" si="99"/>
        <v>0</v>
      </c>
      <c r="I2127" s="29">
        <f t="shared" si="100"/>
        <v>15</v>
      </c>
      <c r="J2127" s="31" t="str">
        <f t="shared" si="101"/>
        <v>1-30</v>
      </c>
      <c r="K2127"/>
    </row>
    <row r="2128" spans="1:11" x14ac:dyDescent="0.3">
      <c r="A2128" s="20" t="s">
        <v>63</v>
      </c>
      <c r="B2128" t="str">
        <f>VLOOKUP(A2128,Customers!A:B,2,FALSE)</f>
        <v>RetailCore</v>
      </c>
      <c r="C2128" s="24" t="s">
        <v>2495</v>
      </c>
      <c r="D2128" s="10">
        <v>46039</v>
      </c>
      <c r="E2128" s="10">
        <v>46069</v>
      </c>
      <c r="F2128" s="4">
        <v>4059.66</v>
      </c>
      <c r="G2128" s="3">
        <f>SUMIF(Customer_Payments!B:B,C2128,Customer_Payments!E:E)</f>
        <v>0</v>
      </c>
      <c r="H2128" s="3">
        <f t="shared" si="99"/>
        <v>4059.66</v>
      </c>
      <c r="I2128" s="29">
        <f t="shared" si="100"/>
        <v>22</v>
      </c>
      <c r="J2128" s="31" t="str">
        <f t="shared" si="101"/>
        <v>1-30</v>
      </c>
      <c r="K2128"/>
    </row>
    <row r="2129" spans="1:11" x14ac:dyDescent="0.3">
      <c r="A2129" s="21" t="s">
        <v>23</v>
      </c>
      <c r="B2129" t="str">
        <f>VLOOKUP(A2129,Customers!A:B,2,FALSE)</f>
        <v>VertexCommerce</v>
      </c>
      <c r="C2129" s="25" t="s">
        <v>2496</v>
      </c>
      <c r="D2129" s="11">
        <v>46061</v>
      </c>
      <c r="E2129" s="11">
        <v>46091</v>
      </c>
      <c r="F2129" s="5">
        <v>12602.26</v>
      </c>
      <c r="G2129" s="3">
        <f>SUMIF(Customer_Payments!B:B,C2129,Customer_Payments!E:E)</f>
        <v>12602.26</v>
      </c>
      <c r="H2129" s="3">
        <f t="shared" si="99"/>
        <v>0</v>
      </c>
      <c r="I2129" s="29">
        <f t="shared" si="100"/>
        <v>0</v>
      </c>
      <c r="J2129" s="31" t="str">
        <f t="shared" si="101"/>
        <v>Current</v>
      </c>
      <c r="K2129"/>
    </row>
    <row r="2130" spans="1:11" x14ac:dyDescent="0.3">
      <c r="A2130" s="20" t="s">
        <v>83</v>
      </c>
      <c r="B2130" t="str">
        <f>VLOOKUP(A2130,Customers!A:B,2,FALSE)</f>
        <v>RetailCoreX</v>
      </c>
      <c r="C2130" s="24" t="s">
        <v>2497</v>
      </c>
      <c r="D2130" s="10">
        <v>46031</v>
      </c>
      <c r="E2130" s="10">
        <v>46061</v>
      </c>
      <c r="F2130" s="4">
        <v>3217.52</v>
      </c>
      <c r="G2130" s="3">
        <f>SUMIF(Customer_Payments!B:B,C2130,Customer_Payments!E:E)</f>
        <v>3217.52</v>
      </c>
      <c r="H2130" s="3">
        <f t="shared" si="99"/>
        <v>0</v>
      </c>
      <c r="I2130" s="29">
        <f t="shared" si="100"/>
        <v>30</v>
      </c>
      <c r="J2130" s="31" t="str">
        <f t="shared" si="101"/>
        <v>1-30</v>
      </c>
      <c r="K2130"/>
    </row>
    <row r="2131" spans="1:11" x14ac:dyDescent="0.3">
      <c r="A2131" s="21" t="s">
        <v>39</v>
      </c>
      <c r="B2131" t="str">
        <f>VLOOKUP(A2131,Customers!A:B,2,FALSE)</f>
        <v>VisionCommerce</v>
      </c>
      <c r="C2131" s="25" t="s">
        <v>2498</v>
      </c>
      <c r="D2131" s="11">
        <v>46089</v>
      </c>
      <c r="E2131" s="11">
        <v>46119</v>
      </c>
      <c r="F2131" s="5">
        <v>3263.29</v>
      </c>
      <c r="G2131" s="3">
        <f>SUMIF(Customer_Payments!B:B,C2131,Customer_Payments!E:E)</f>
        <v>0</v>
      </c>
      <c r="H2131" s="3">
        <f t="shared" si="99"/>
        <v>3263.29</v>
      </c>
      <c r="I2131" s="29">
        <f t="shared" si="100"/>
        <v>-28</v>
      </c>
      <c r="J2131" s="31" t="str">
        <f t="shared" si="101"/>
        <v>Current</v>
      </c>
      <c r="K2131"/>
    </row>
    <row r="2132" spans="1:11" x14ac:dyDescent="0.3">
      <c r="A2132" s="20" t="s">
        <v>16</v>
      </c>
      <c r="B2132" t="str">
        <f>VLOOKUP(A2132,Customers!A:B,2,FALSE)</f>
        <v>RetailHub</v>
      </c>
      <c r="C2132" s="24" t="s">
        <v>2499</v>
      </c>
      <c r="D2132" s="10">
        <v>46033</v>
      </c>
      <c r="E2132" s="10">
        <v>46063</v>
      </c>
      <c r="F2132" s="4">
        <v>12975.71</v>
      </c>
      <c r="G2132" s="3">
        <f>SUMIF(Customer_Payments!B:B,C2132,Customer_Payments!E:E)</f>
        <v>0</v>
      </c>
      <c r="H2132" s="3">
        <f t="shared" si="99"/>
        <v>12975.71</v>
      </c>
      <c r="I2132" s="29">
        <f t="shared" si="100"/>
        <v>28</v>
      </c>
      <c r="J2132" s="31" t="str">
        <f t="shared" si="101"/>
        <v>1-30</v>
      </c>
      <c r="K2132"/>
    </row>
    <row r="2133" spans="1:11" x14ac:dyDescent="0.3">
      <c r="A2133" s="21" t="s">
        <v>71</v>
      </c>
      <c r="B2133" t="str">
        <f>VLOOKUP(A2133,Customers!A:B,2,FALSE)</f>
        <v>RetailPulse</v>
      </c>
      <c r="C2133" s="25" t="s">
        <v>2500</v>
      </c>
      <c r="D2133" s="11">
        <v>46071</v>
      </c>
      <c r="E2133" s="11">
        <v>46101</v>
      </c>
      <c r="F2133" s="5">
        <v>3605.5</v>
      </c>
      <c r="G2133" s="3">
        <f>SUMIF(Customer_Payments!B:B,C2133,Customer_Payments!E:E)</f>
        <v>0</v>
      </c>
      <c r="H2133" s="3">
        <f t="shared" si="99"/>
        <v>3605.5</v>
      </c>
      <c r="I2133" s="29">
        <f t="shared" si="100"/>
        <v>-10</v>
      </c>
      <c r="J2133" s="31" t="str">
        <f t="shared" si="101"/>
        <v>Current</v>
      </c>
      <c r="K2133"/>
    </row>
    <row r="2134" spans="1:11" x14ac:dyDescent="0.3">
      <c r="A2134" s="20" t="s">
        <v>21</v>
      </c>
      <c r="B2134" t="str">
        <f>VLOOKUP(A2134,Customers!A:B,2,FALSE)</f>
        <v>InsightLoop</v>
      </c>
      <c r="C2134" s="24" t="s">
        <v>2501</v>
      </c>
      <c r="D2134" s="10">
        <v>46007</v>
      </c>
      <c r="E2134" s="10">
        <v>46037</v>
      </c>
      <c r="F2134" s="4">
        <v>2399.2199999999998</v>
      </c>
      <c r="G2134" s="3">
        <f>SUMIF(Customer_Payments!B:B,C2134,Customer_Payments!E:E)</f>
        <v>2399.2199999999998</v>
      </c>
      <c r="H2134" s="3">
        <f t="shared" si="99"/>
        <v>0</v>
      </c>
      <c r="I2134" s="29">
        <f t="shared" si="100"/>
        <v>54</v>
      </c>
      <c r="J2134" s="31" t="str">
        <f t="shared" si="101"/>
        <v>31-60</v>
      </c>
      <c r="K2134"/>
    </row>
    <row r="2135" spans="1:11" x14ac:dyDescent="0.3">
      <c r="A2135" s="21" t="s">
        <v>50</v>
      </c>
      <c r="B2135" t="str">
        <f>VLOOKUP(A2135,Customers!A:B,2,FALSE)</f>
        <v>RetailNexus</v>
      </c>
      <c r="C2135" s="25" t="s">
        <v>2502</v>
      </c>
      <c r="D2135" s="11">
        <v>45964</v>
      </c>
      <c r="E2135" s="11">
        <v>45994</v>
      </c>
      <c r="F2135" s="5">
        <v>3459.37</v>
      </c>
      <c r="G2135" s="3">
        <f>SUMIF(Customer_Payments!B:B,C2135,Customer_Payments!E:E)</f>
        <v>3459.37</v>
      </c>
      <c r="H2135" s="3">
        <f t="shared" si="99"/>
        <v>0</v>
      </c>
      <c r="I2135" s="29">
        <f t="shared" si="100"/>
        <v>97</v>
      </c>
      <c r="J2135" s="31" t="str">
        <f t="shared" si="101"/>
        <v>90+</v>
      </c>
      <c r="K2135"/>
    </row>
    <row r="2136" spans="1:11" x14ac:dyDescent="0.3">
      <c r="A2136" s="20" t="s">
        <v>77</v>
      </c>
      <c r="B2136" t="str">
        <f>VLOOKUP(A2136,Customers!A:B,2,FALSE)</f>
        <v>RetailBridge</v>
      </c>
      <c r="C2136" s="24" t="s">
        <v>2503</v>
      </c>
      <c r="D2136" s="10">
        <v>46089</v>
      </c>
      <c r="E2136" s="10">
        <v>46119</v>
      </c>
      <c r="F2136" s="4">
        <v>10852.23</v>
      </c>
      <c r="G2136" s="3">
        <f>SUMIF(Customer_Payments!B:B,C2136,Customer_Payments!E:E)</f>
        <v>10852.23</v>
      </c>
      <c r="H2136" s="3">
        <f t="shared" si="99"/>
        <v>0</v>
      </c>
      <c r="I2136" s="29">
        <f t="shared" si="100"/>
        <v>-28</v>
      </c>
      <c r="J2136" s="31" t="str">
        <f t="shared" si="101"/>
        <v>Current</v>
      </c>
      <c r="K2136"/>
    </row>
    <row r="2137" spans="1:11" x14ac:dyDescent="0.3">
      <c r="A2137" s="21" t="s">
        <v>14</v>
      </c>
      <c r="B2137" t="str">
        <f>VLOOKUP(A2137,Customers!A:B,2,FALSE)</f>
        <v>MarketPulse</v>
      </c>
      <c r="C2137" s="25" t="s">
        <v>2504</v>
      </c>
      <c r="D2137" s="11">
        <v>46045</v>
      </c>
      <c r="E2137" s="11">
        <v>46075</v>
      </c>
      <c r="F2137" s="5">
        <v>1677.32</v>
      </c>
      <c r="G2137" s="3">
        <f>SUMIF(Customer_Payments!B:B,C2137,Customer_Payments!E:E)</f>
        <v>0</v>
      </c>
      <c r="H2137" s="3">
        <f t="shared" si="99"/>
        <v>1677.32</v>
      </c>
      <c r="I2137" s="29">
        <f t="shared" si="100"/>
        <v>16</v>
      </c>
      <c r="J2137" s="31" t="str">
        <f t="shared" si="101"/>
        <v>1-30</v>
      </c>
      <c r="K2137"/>
    </row>
    <row r="2138" spans="1:11" x14ac:dyDescent="0.3">
      <c r="A2138" s="20" t="s">
        <v>96</v>
      </c>
      <c r="B2138" t="str">
        <f>VLOOKUP(A2138,Customers!A:B,2,FALSE)</f>
        <v>RetailLabs</v>
      </c>
      <c r="C2138" s="24" t="s">
        <v>2505</v>
      </c>
      <c r="D2138" s="10">
        <v>46035</v>
      </c>
      <c r="E2138" s="10">
        <v>46065</v>
      </c>
      <c r="F2138" s="4">
        <v>4987.1099999999997</v>
      </c>
      <c r="G2138" s="3">
        <f>SUMIF(Customer_Payments!B:B,C2138,Customer_Payments!E:E)</f>
        <v>0</v>
      </c>
      <c r="H2138" s="3">
        <f t="shared" si="99"/>
        <v>4987.1099999999997</v>
      </c>
      <c r="I2138" s="29">
        <f t="shared" si="100"/>
        <v>26</v>
      </c>
      <c r="J2138" s="31" t="str">
        <f t="shared" si="101"/>
        <v>1-30</v>
      </c>
      <c r="K2138"/>
    </row>
    <row r="2139" spans="1:11" x14ac:dyDescent="0.3">
      <c r="A2139" s="21" t="s">
        <v>85</v>
      </c>
      <c r="B2139" t="str">
        <f>VLOOKUP(A2139,Customers!A:B,2,FALSE)</f>
        <v>RetailWorksX</v>
      </c>
      <c r="C2139" s="25" t="s">
        <v>2506</v>
      </c>
      <c r="D2139" s="11">
        <v>46048</v>
      </c>
      <c r="E2139" s="11">
        <v>46078</v>
      </c>
      <c r="F2139" s="5">
        <v>2815.01</v>
      </c>
      <c r="G2139" s="3">
        <f>SUMIF(Customer_Payments!B:B,C2139,Customer_Payments!E:E)</f>
        <v>2815.01</v>
      </c>
      <c r="H2139" s="3">
        <f t="shared" si="99"/>
        <v>0</v>
      </c>
      <c r="I2139" s="29">
        <f t="shared" si="100"/>
        <v>13</v>
      </c>
      <c r="J2139" s="31" t="str">
        <f t="shared" si="101"/>
        <v>1-30</v>
      </c>
      <c r="K2139"/>
    </row>
    <row r="2140" spans="1:11" x14ac:dyDescent="0.3">
      <c r="A2140" s="20" t="s">
        <v>12</v>
      </c>
      <c r="B2140" t="str">
        <f>VLOOKUP(A2140,Customers!A:B,2,FALSE)</f>
        <v>ShopOrbit</v>
      </c>
      <c r="C2140" s="24" t="s">
        <v>2507</v>
      </c>
      <c r="D2140" s="10">
        <v>46100</v>
      </c>
      <c r="E2140" s="10">
        <v>46130</v>
      </c>
      <c r="F2140" s="4">
        <v>3465.02</v>
      </c>
      <c r="G2140" s="3">
        <f>SUMIF(Customer_Payments!B:B,C2140,Customer_Payments!E:E)</f>
        <v>3465.02</v>
      </c>
      <c r="H2140" s="3">
        <f t="shared" si="99"/>
        <v>0</v>
      </c>
      <c r="I2140" s="29">
        <f t="shared" si="100"/>
        <v>-39</v>
      </c>
      <c r="J2140" s="31" t="str">
        <f t="shared" si="101"/>
        <v>Current</v>
      </c>
      <c r="K2140"/>
    </row>
    <row r="2141" spans="1:11" x14ac:dyDescent="0.3">
      <c r="A2141" s="21" t="s">
        <v>62</v>
      </c>
      <c r="B2141" t="str">
        <f>VLOOKUP(A2141,Customers!A:B,2,FALSE)</f>
        <v>MarketNova</v>
      </c>
      <c r="C2141" s="25" t="s">
        <v>2508</v>
      </c>
      <c r="D2141" s="11">
        <v>46110</v>
      </c>
      <c r="E2141" s="11">
        <v>46140</v>
      </c>
      <c r="F2141" s="5">
        <v>2442.7199999999998</v>
      </c>
      <c r="G2141" s="3">
        <f>SUMIF(Customer_Payments!B:B,C2141,Customer_Payments!E:E)</f>
        <v>2442.7199999999998</v>
      </c>
      <c r="H2141" s="3">
        <f t="shared" si="99"/>
        <v>0</v>
      </c>
      <c r="I2141" s="29">
        <f t="shared" si="100"/>
        <v>-49</v>
      </c>
      <c r="J2141" s="31" t="str">
        <f t="shared" si="101"/>
        <v>Current</v>
      </c>
      <c r="K2141"/>
    </row>
    <row r="2142" spans="1:11" x14ac:dyDescent="0.3">
      <c r="A2142" s="20" t="s">
        <v>14</v>
      </c>
      <c r="B2142" t="str">
        <f>VLOOKUP(A2142,Customers!A:B,2,FALSE)</f>
        <v>MarketPulse</v>
      </c>
      <c r="C2142" s="24" t="s">
        <v>2509</v>
      </c>
      <c r="D2142" s="10">
        <v>46111</v>
      </c>
      <c r="E2142" s="10">
        <v>46141</v>
      </c>
      <c r="F2142" s="4">
        <v>11056.41</v>
      </c>
      <c r="G2142" s="3">
        <f>SUMIF(Customer_Payments!B:B,C2142,Customer_Payments!E:E)</f>
        <v>11056.41</v>
      </c>
      <c r="H2142" s="3">
        <f t="shared" si="99"/>
        <v>0</v>
      </c>
      <c r="I2142" s="29">
        <f t="shared" si="100"/>
        <v>-50</v>
      </c>
      <c r="J2142" s="31" t="str">
        <f t="shared" si="101"/>
        <v>Current</v>
      </c>
      <c r="K2142"/>
    </row>
    <row r="2143" spans="1:11" x14ac:dyDescent="0.3">
      <c r="A2143" s="21" t="s">
        <v>117</v>
      </c>
      <c r="B2143" t="str">
        <f>VLOOKUP(A2143,Customers!A:B,2,FALSE)</f>
        <v>RetailSparkPro</v>
      </c>
      <c r="C2143" s="25" t="s">
        <v>2510</v>
      </c>
      <c r="D2143" s="11">
        <v>46042</v>
      </c>
      <c r="E2143" s="11">
        <v>46072</v>
      </c>
      <c r="F2143" s="5">
        <v>3328.34</v>
      </c>
      <c r="G2143" s="3">
        <f>SUMIF(Customer_Payments!B:B,C2143,Customer_Payments!E:E)</f>
        <v>3328.34</v>
      </c>
      <c r="H2143" s="3">
        <f t="shared" si="99"/>
        <v>0</v>
      </c>
      <c r="I2143" s="29">
        <f t="shared" si="100"/>
        <v>19</v>
      </c>
      <c r="J2143" s="31" t="str">
        <f t="shared" si="101"/>
        <v>1-30</v>
      </c>
      <c r="K2143"/>
    </row>
    <row r="2144" spans="1:11" x14ac:dyDescent="0.3">
      <c r="A2144" s="20" t="s">
        <v>13</v>
      </c>
      <c r="B2144" t="str">
        <f>VLOOKUP(A2144,Customers!A:B,2,FALSE)</f>
        <v>EduNova</v>
      </c>
      <c r="C2144" s="24" t="s">
        <v>2511</v>
      </c>
      <c r="D2144" s="10">
        <v>46001</v>
      </c>
      <c r="E2144" s="10">
        <v>46031</v>
      </c>
      <c r="F2144" s="4">
        <v>12873.32</v>
      </c>
      <c r="G2144" s="3">
        <f>SUMIF(Customer_Payments!B:B,C2144,Customer_Payments!E:E)</f>
        <v>12873.32</v>
      </c>
      <c r="H2144" s="3">
        <f t="shared" si="99"/>
        <v>0</v>
      </c>
      <c r="I2144" s="29">
        <f t="shared" si="100"/>
        <v>60</v>
      </c>
      <c r="J2144" s="31" t="str">
        <f t="shared" si="101"/>
        <v>31-60</v>
      </c>
      <c r="K2144"/>
    </row>
    <row r="2145" spans="1:11" x14ac:dyDescent="0.3">
      <c r="A2145" s="21" t="s">
        <v>61</v>
      </c>
      <c r="B2145" t="str">
        <f>VLOOKUP(A2145,Customers!A:B,2,FALSE)</f>
        <v>RetailOrbit</v>
      </c>
      <c r="C2145" s="25" t="s">
        <v>2512</v>
      </c>
      <c r="D2145" s="11">
        <v>46070</v>
      </c>
      <c r="E2145" s="11">
        <v>46100</v>
      </c>
      <c r="F2145" s="5">
        <v>13275.27</v>
      </c>
      <c r="G2145" s="3">
        <f>SUMIF(Customer_Payments!B:B,C2145,Customer_Payments!E:E)</f>
        <v>13275.27</v>
      </c>
      <c r="H2145" s="3">
        <f t="shared" si="99"/>
        <v>0</v>
      </c>
      <c r="I2145" s="29">
        <f t="shared" si="100"/>
        <v>-9</v>
      </c>
      <c r="J2145" s="31" t="str">
        <f t="shared" si="101"/>
        <v>Current</v>
      </c>
      <c r="K2145"/>
    </row>
    <row r="2146" spans="1:11" x14ac:dyDescent="0.3">
      <c r="A2146" s="20" t="s">
        <v>122</v>
      </c>
      <c r="B2146" t="str">
        <f>VLOOKUP(A2146,Customers!A:B,2,FALSE)</f>
        <v>RetailCoreGlobal</v>
      </c>
      <c r="C2146" s="24" t="s">
        <v>2513</v>
      </c>
      <c r="D2146" s="10">
        <v>46049</v>
      </c>
      <c r="E2146" s="10">
        <v>46079</v>
      </c>
      <c r="F2146" s="4">
        <v>2992.88</v>
      </c>
      <c r="G2146" s="3">
        <f>SUMIF(Customer_Payments!B:B,C2146,Customer_Payments!E:E)</f>
        <v>0</v>
      </c>
      <c r="H2146" s="3">
        <f t="shared" si="99"/>
        <v>2992.88</v>
      </c>
      <c r="I2146" s="29">
        <f t="shared" si="100"/>
        <v>12</v>
      </c>
      <c r="J2146" s="31" t="str">
        <f t="shared" si="101"/>
        <v>1-30</v>
      </c>
      <c r="K2146"/>
    </row>
    <row r="2147" spans="1:11" x14ac:dyDescent="0.3">
      <c r="A2147" s="21" t="s">
        <v>37</v>
      </c>
      <c r="B2147" t="str">
        <f>VLOOKUP(A2147,Customers!A:B,2,FALSE)</f>
        <v>SmartCart</v>
      </c>
      <c r="C2147" s="25" t="s">
        <v>2514</v>
      </c>
      <c r="D2147" s="11">
        <v>46045</v>
      </c>
      <c r="E2147" s="11">
        <v>46075</v>
      </c>
      <c r="F2147" s="5">
        <v>2351.79</v>
      </c>
      <c r="G2147" s="3">
        <f>SUMIF(Customer_Payments!B:B,C2147,Customer_Payments!E:E)</f>
        <v>0</v>
      </c>
      <c r="H2147" s="3">
        <f t="shared" si="99"/>
        <v>2351.79</v>
      </c>
      <c r="I2147" s="29">
        <f t="shared" si="100"/>
        <v>16</v>
      </c>
      <c r="J2147" s="31" t="str">
        <f t="shared" si="101"/>
        <v>1-30</v>
      </c>
      <c r="K2147"/>
    </row>
    <row r="2148" spans="1:11" x14ac:dyDescent="0.3">
      <c r="A2148" s="20" t="s">
        <v>103</v>
      </c>
      <c r="B2148" t="str">
        <f>VLOOKUP(A2148,Customers!A:B,2,FALSE)</f>
        <v>RetailVisionPro</v>
      </c>
      <c r="C2148" s="24" t="s">
        <v>2515</v>
      </c>
      <c r="D2148" s="10">
        <v>46024</v>
      </c>
      <c r="E2148" s="10">
        <v>46054</v>
      </c>
      <c r="F2148" s="4">
        <v>4183.9799999999996</v>
      </c>
      <c r="G2148" s="3">
        <f>SUMIF(Customer_Payments!B:B,C2148,Customer_Payments!E:E)</f>
        <v>4183.9799999999996</v>
      </c>
      <c r="H2148" s="3">
        <f t="shared" si="99"/>
        <v>0</v>
      </c>
      <c r="I2148" s="29">
        <f t="shared" si="100"/>
        <v>37</v>
      </c>
      <c r="J2148" s="31" t="str">
        <f t="shared" si="101"/>
        <v>31-60</v>
      </c>
      <c r="K2148"/>
    </row>
    <row r="2149" spans="1:11" x14ac:dyDescent="0.3">
      <c r="A2149" s="21" t="s">
        <v>38</v>
      </c>
      <c r="B2149" t="str">
        <f>VLOOKUP(A2149,Customers!A:B,2,FALSE)</f>
        <v>RetailForge</v>
      </c>
      <c r="C2149" s="25" t="s">
        <v>2516</v>
      </c>
      <c r="D2149" s="11">
        <v>45971</v>
      </c>
      <c r="E2149" s="11">
        <v>46001</v>
      </c>
      <c r="F2149" s="5">
        <v>3595.27</v>
      </c>
      <c r="G2149" s="3">
        <f>SUMIF(Customer_Payments!B:B,C2149,Customer_Payments!E:E)</f>
        <v>0</v>
      </c>
      <c r="H2149" s="3">
        <f t="shared" si="99"/>
        <v>3595.27</v>
      </c>
      <c r="I2149" s="29">
        <f t="shared" si="100"/>
        <v>90</v>
      </c>
      <c r="J2149" s="31" t="str">
        <f t="shared" si="101"/>
        <v>61-90</v>
      </c>
      <c r="K2149"/>
    </row>
    <row r="2150" spans="1:11" x14ac:dyDescent="0.3">
      <c r="A2150" s="20" t="s">
        <v>12</v>
      </c>
      <c r="B2150" t="str">
        <f>VLOOKUP(A2150,Customers!A:B,2,FALSE)</f>
        <v>ShopOrbit</v>
      </c>
      <c r="C2150" s="24" t="s">
        <v>2517</v>
      </c>
      <c r="D2150" s="10">
        <v>46038</v>
      </c>
      <c r="E2150" s="10">
        <v>46068</v>
      </c>
      <c r="F2150" s="4">
        <v>2491.9299999999998</v>
      </c>
      <c r="G2150" s="3">
        <f>SUMIF(Customer_Payments!B:B,C2150,Customer_Payments!E:E)</f>
        <v>2491.9299999999998</v>
      </c>
      <c r="H2150" s="3">
        <f t="shared" si="99"/>
        <v>0</v>
      </c>
      <c r="I2150" s="29">
        <f t="shared" si="100"/>
        <v>23</v>
      </c>
      <c r="J2150" s="31" t="str">
        <f t="shared" si="101"/>
        <v>1-30</v>
      </c>
      <c r="K2150"/>
    </row>
    <row r="2151" spans="1:11" x14ac:dyDescent="0.3">
      <c r="A2151" s="21" t="s">
        <v>23</v>
      </c>
      <c r="B2151" t="str">
        <f>VLOOKUP(A2151,Customers!A:B,2,FALSE)</f>
        <v>VertexCommerce</v>
      </c>
      <c r="C2151" s="25" t="s">
        <v>2518</v>
      </c>
      <c r="D2151" s="11">
        <v>46103</v>
      </c>
      <c r="E2151" s="11">
        <v>46133</v>
      </c>
      <c r="F2151" s="5">
        <v>2349.67</v>
      </c>
      <c r="G2151" s="3">
        <f>SUMIF(Customer_Payments!B:B,C2151,Customer_Payments!E:E)</f>
        <v>0</v>
      </c>
      <c r="H2151" s="3">
        <f t="shared" si="99"/>
        <v>2349.67</v>
      </c>
      <c r="I2151" s="29">
        <f t="shared" si="100"/>
        <v>-42</v>
      </c>
      <c r="J2151" s="31" t="str">
        <f t="shared" si="101"/>
        <v>Current</v>
      </c>
      <c r="K2151"/>
    </row>
    <row r="2152" spans="1:11" x14ac:dyDescent="0.3">
      <c r="A2152" s="20" t="s">
        <v>16</v>
      </c>
      <c r="B2152" t="str">
        <f>VLOOKUP(A2152,Customers!A:B,2,FALSE)</f>
        <v>RetailHub</v>
      </c>
      <c r="C2152" s="24" t="s">
        <v>2519</v>
      </c>
      <c r="D2152" s="10">
        <v>46064</v>
      </c>
      <c r="E2152" s="10">
        <v>46094</v>
      </c>
      <c r="F2152" s="4">
        <v>3356.95</v>
      </c>
      <c r="G2152" s="3">
        <f>SUMIF(Customer_Payments!B:B,C2152,Customer_Payments!E:E)</f>
        <v>3356.95</v>
      </c>
      <c r="H2152" s="3">
        <f t="shared" si="99"/>
        <v>0</v>
      </c>
      <c r="I2152" s="29">
        <f t="shared" si="100"/>
        <v>-3</v>
      </c>
      <c r="J2152" s="31" t="str">
        <f t="shared" si="101"/>
        <v>Current</v>
      </c>
      <c r="K2152"/>
    </row>
    <row r="2153" spans="1:11" x14ac:dyDescent="0.3">
      <c r="A2153" s="21" t="s">
        <v>111</v>
      </c>
      <c r="B2153" t="str">
        <f>VLOOKUP(A2153,Customers!A:B,2,FALSE)</f>
        <v>RetailPulsePro</v>
      </c>
      <c r="C2153" s="25" t="s">
        <v>2520</v>
      </c>
      <c r="D2153" s="11">
        <v>46038</v>
      </c>
      <c r="E2153" s="11">
        <v>46068</v>
      </c>
      <c r="F2153" s="5">
        <v>2938.37</v>
      </c>
      <c r="G2153" s="3">
        <f>SUMIF(Customer_Payments!B:B,C2153,Customer_Payments!E:E)</f>
        <v>2938.37</v>
      </c>
      <c r="H2153" s="3">
        <f t="shared" si="99"/>
        <v>0</v>
      </c>
      <c r="I2153" s="29">
        <f t="shared" si="100"/>
        <v>23</v>
      </c>
      <c r="J2153" s="31" t="str">
        <f t="shared" si="101"/>
        <v>1-30</v>
      </c>
      <c r="K2153"/>
    </row>
    <row r="2154" spans="1:11" x14ac:dyDescent="0.3">
      <c r="A2154" s="20" t="s">
        <v>45</v>
      </c>
      <c r="B2154" t="str">
        <f>VLOOKUP(A2154,Customers!A:B,2,FALSE)</f>
        <v>EdgeRetail</v>
      </c>
      <c r="C2154" s="24" t="s">
        <v>2521</v>
      </c>
      <c r="D2154" s="10">
        <v>46099</v>
      </c>
      <c r="E2154" s="10">
        <v>46129</v>
      </c>
      <c r="F2154" s="4">
        <v>2897.64</v>
      </c>
      <c r="G2154" s="3">
        <f>SUMIF(Customer_Payments!B:B,C2154,Customer_Payments!E:E)</f>
        <v>2897.64</v>
      </c>
      <c r="H2154" s="3">
        <f t="shared" si="99"/>
        <v>0</v>
      </c>
      <c r="I2154" s="29">
        <f t="shared" si="100"/>
        <v>-38</v>
      </c>
      <c r="J2154" s="31" t="str">
        <f t="shared" si="101"/>
        <v>Current</v>
      </c>
      <c r="K2154"/>
    </row>
    <row r="2155" spans="1:11" x14ac:dyDescent="0.3">
      <c r="A2155" s="21" t="s">
        <v>121</v>
      </c>
      <c r="B2155" t="str">
        <f>VLOOKUP(A2155,Customers!A:B,2,FALSE)</f>
        <v>RetailVisionGlobal</v>
      </c>
      <c r="C2155" s="25" t="s">
        <v>2522</v>
      </c>
      <c r="D2155" s="11">
        <v>46093</v>
      </c>
      <c r="E2155" s="11">
        <v>46123</v>
      </c>
      <c r="F2155" s="5">
        <v>2780.21</v>
      </c>
      <c r="G2155" s="3">
        <f>SUMIF(Customer_Payments!B:B,C2155,Customer_Payments!E:E)</f>
        <v>2780.21</v>
      </c>
      <c r="H2155" s="3">
        <f t="shared" si="99"/>
        <v>0</v>
      </c>
      <c r="I2155" s="29">
        <f t="shared" si="100"/>
        <v>-32</v>
      </c>
      <c r="J2155" s="31" t="str">
        <f t="shared" si="101"/>
        <v>Current</v>
      </c>
      <c r="K2155"/>
    </row>
    <row r="2156" spans="1:11" x14ac:dyDescent="0.3">
      <c r="A2156" s="20" t="s">
        <v>51</v>
      </c>
      <c r="B2156" t="str">
        <f>VLOOKUP(A2156,Customers!A:B,2,FALSE)</f>
        <v>CartMasters</v>
      </c>
      <c r="C2156" s="24" t="s">
        <v>2523</v>
      </c>
      <c r="D2156" s="10">
        <v>46084</v>
      </c>
      <c r="E2156" s="10">
        <v>46114</v>
      </c>
      <c r="F2156" s="4">
        <v>2318.86</v>
      </c>
      <c r="G2156" s="3">
        <f>SUMIF(Customer_Payments!B:B,C2156,Customer_Payments!E:E)</f>
        <v>2318.86</v>
      </c>
      <c r="H2156" s="3">
        <f t="shared" si="99"/>
        <v>0</v>
      </c>
      <c r="I2156" s="29">
        <f t="shared" si="100"/>
        <v>-23</v>
      </c>
      <c r="J2156" s="31" t="str">
        <f t="shared" si="101"/>
        <v>Current</v>
      </c>
      <c r="K2156"/>
    </row>
    <row r="2157" spans="1:11" x14ac:dyDescent="0.3">
      <c r="A2157" s="21" t="s">
        <v>33</v>
      </c>
      <c r="B2157" t="str">
        <f>VLOOKUP(A2157,Customers!A:B,2,FALSE)</f>
        <v>CloudCart</v>
      </c>
      <c r="C2157" s="25" t="s">
        <v>2524</v>
      </c>
      <c r="D2157" s="11">
        <v>46059</v>
      </c>
      <c r="E2157" s="11">
        <v>46089</v>
      </c>
      <c r="F2157" s="5">
        <v>12986.41</v>
      </c>
      <c r="G2157" s="3">
        <f>SUMIF(Customer_Payments!B:B,C2157,Customer_Payments!E:E)</f>
        <v>12986.41</v>
      </c>
      <c r="H2157" s="3">
        <f t="shared" si="99"/>
        <v>0</v>
      </c>
      <c r="I2157" s="29">
        <f t="shared" si="100"/>
        <v>2</v>
      </c>
      <c r="J2157" s="31" t="str">
        <f t="shared" si="101"/>
        <v>1-30</v>
      </c>
      <c r="K2157"/>
    </row>
    <row r="2158" spans="1:11" x14ac:dyDescent="0.3">
      <c r="A2158" s="20" t="s">
        <v>77</v>
      </c>
      <c r="B2158" t="str">
        <f>VLOOKUP(A2158,Customers!A:B,2,FALSE)</f>
        <v>RetailBridge</v>
      </c>
      <c r="C2158" s="24" t="s">
        <v>2525</v>
      </c>
      <c r="D2158" s="10">
        <v>45971</v>
      </c>
      <c r="E2158" s="10">
        <v>46001</v>
      </c>
      <c r="F2158" s="4">
        <v>5682.85</v>
      </c>
      <c r="G2158" s="3">
        <f>SUMIF(Customer_Payments!B:B,C2158,Customer_Payments!E:E)</f>
        <v>5682.85</v>
      </c>
      <c r="H2158" s="3">
        <f t="shared" si="99"/>
        <v>0</v>
      </c>
      <c r="I2158" s="29">
        <f t="shared" si="100"/>
        <v>90</v>
      </c>
      <c r="J2158" s="31" t="str">
        <f t="shared" si="101"/>
        <v>61-90</v>
      </c>
      <c r="K2158"/>
    </row>
    <row r="2159" spans="1:11" x14ac:dyDescent="0.3">
      <c r="A2159" s="21" t="s">
        <v>37</v>
      </c>
      <c r="B2159" t="str">
        <f>VLOOKUP(A2159,Customers!A:B,2,FALSE)</f>
        <v>SmartCart</v>
      </c>
      <c r="C2159" s="25" t="s">
        <v>2526</v>
      </c>
      <c r="D2159" s="11">
        <v>45983</v>
      </c>
      <c r="E2159" s="11">
        <v>46013</v>
      </c>
      <c r="F2159" s="5">
        <v>4245.5</v>
      </c>
      <c r="G2159" s="3">
        <f>SUMIF(Customer_Payments!B:B,C2159,Customer_Payments!E:E)</f>
        <v>4245.5</v>
      </c>
      <c r="H2159" s="3">
        <f t="shared" si="99"/>
        <v>0</v>
      </c>
      <c r="I2159" s="29">
        <f t="shared" si="100"/>
        <v>78</v>
      </c>
      <c r="J2159" s="31" t="str">
        <f t="shared" si="101"/>
        <v>61-90</v>
      </c>
      <c r="K2159"/>
    </row>
    <row r="2160" spans="1:11" x14ac:dyDescent="0.3">
      <c r="A2160" s="20" t="s">
        <v>9</v>
      </c>
      <c r="B2160" t="str">
        <f>VLOOKUP(A2160,Customers!A:B,2,FALSE)</f>
        <v>UrbanRetail</v>
      </c>
      <c r="C2160" s="24" t="s">
        <v>2527</v>
      </c>
      <c r="D2160" s="10">
        <v>46046</v>
      </c>
      <c r="E2160" s="10">
        <v>46076</v>
      </c>
      <c r="F2160" s="4">
        <v>1757</v>
      </c>
      <c r="G2160" s="3">
        <f>SUMIF(Customer_Payments!B:B,C2160,Customer_Payments!E:E)</f>
        <v>0</v>
      </c>
      <c r="H2160" s="3">
        <f t="shared" si="99"/>
        <v>1757</v>
      </c>
      <c r="I2160" s="29">
        <f t="shared" si="100"/>
        <v>15</v>
      </c>
      <c r="J2160" s="31" t="str">
        <f t="shared" si="101"/>
        <v>1-30</v>
      </c>
      <c r="K2160"/>
    </row>
    <row r="2161" spans="1:11" x14ac:dyDescent="0.3">
      <c r="A2161" s="21" t="s">
        <v>45</v>
      </c>
      <c r="B2161" t="str">
        <f>VLOOKUP(A2161,Customers!A:B,2,FALSE)</f>
        <v>EdgeRetail</v>
      </c>
      <c r="C2161" s="25" t="s">
        <v>2528</v>
      </c>
      <c r="D2161" s="11">
        <v>45990</v>
      </c>
      <c r="E2161" s="11">
        <v>46020</v>
      </c>
      <c r="F2161" s="5">
        <v>13614.36</v>
      </c>
      <c r="G2161" s="3">
        <f>SUMIF(Customer_Payments!B:B,C2161,Customer_Payments!E:E)</f>
        <v>13614.36</v>
      </c>
      <c r="H2161" s="3">
        <f t="shared" si="99"/>
        <v>0</v>
      </c>
      <c r="I2161" s="29">
        <f t="shared" si="100"/>
        <v>71</v>
      </c>
      <c r="J2161" s="31" t="str">
        <f t="shared" si="101"/>
        <v>61-90</v>
      </c>
      <c r="K2161"/>
    </row>
    <row r="2162" spans="1:11" x14ac:dyDescent="0.3">
      <c r="A2162" s="20" t="s">
        <v>9</v>
      </c>
      <c r="B2162" t="str">
        <f>VLOOKUP(A2162,Customers!A:B,2,FALSE)</f>
        <v>UrbanRetail</v>
      </c>
      <c r="C2162" s="24" t="s">
        <v>2529</v>
      </c>
      <c r="D2162" s="10">
        <v>46105</v>
      </c>
      <c r="E2162" s="10">
        <v>46135</v>
      </c>
      <c r="F2162" s="4">
        <v>2471.66</v>
      </c>
      <c r="G2162" s="3">
        <f>SUMIF(Customer_Payments!B:B,C2162,Customer_Payments!E:E)</f>
        <v>2471.66</v>
      </c>
      <c r="H2162" s="3">
        <f t="shared" si="99"/>
        <v>0</v>
      </c>
      <c r="I2162" s="29">
        <f t="shared" si="100"/>
        <v>-44</v>
      </c>
      <c r="J2162" s="31" t="str">
        <f t="shared" si="101"/>
        <v>Current</v>
      </c>
      <c r="K2162"/>
    </row>
    <row r="2163" spans="1:11" x14ac:dyDescent="0.3">
      <c r="A2163" s="21" t="s">
        <v>30</v>
      </c>
      <c r="B2163" t="str">
        <f>VLOOKUP(A2163,Customers!A:B,2,FALSE)</f>
        <v>CommerceFlow</v>
      </c>
      <c r="C2163" s="25" t="s">
        <v>2530</v>
      </c>
      <c r="D2163" s="11">
        <v>46109</v>
      </c>
      <c r="E2163" s="11">
        <v>46139</v>
      </c>
      <c r="F2163" s="5">
        <v>11446.38</v>
      </c>
      <c r="G2163" s="3">
        <f>SUMIF(Customer_Payments!B:B,C2163,Customer_Payments!E:E)</f>
        <v>11446.38</v>
      </c>
      <c r="H2163" s="3">
        <f t="shared" si="99"/>
        <v>0</v>
      </c>
      <c r="I2163" s="29">
        <f t="shared" si="100"/>
        <v>-48</v>
      </c>
      <c r="J2163" s="31" t="str">
        <f t="shared" si="101"/>
        <v>Current</v>
      </c>
      <c r="K2163"/>
    </row>
    <row r="2164" spans="1:11" x14ac:dyDescent="0.3">
      <c r="A2164" s="20" t="s">
        <v>76</v>
      </c>
      <c r="B2164" t="str">
        <f>VLOOKUP(A2164,Customers!A:B,2,FALSE)</f>
        <v>RetailSphere</v>
      </c>
      <c r="C2164" s="24" t="s">
        <v>2531</v>
      </c>
      <c r="D2164" s="10">
        <v>46037</v>
      </c>
      <c r="E2164" s="10">
        <v>46067</v>
      </c>
      <c r="F2164" s="4">
        <v>1750.38</v>
      </c>
      <c r="G2164" s="3">
        <f>SUMIF(Customer_Payments!B:B,C2164,Customer_Payments!E:E)</f>
        <v>1750.38</v>
      </c>
      <c r="H2164" s="3">
        <f t="shared" si="99"/>
        <v>0</v>
      </c>
      <c r="I2164" s="29">
        <f t="shared" si="100"/>
        <v>24</v>
      </c>
      <c r="J2164" s="31" t="str">
        <f t="shared" si="101"/>
        <v>1-30</v>
      </c>
      <c r="K2164"/>
    </row>
    <row r="2165" spans="1:11" x14ac:dyDescent="0.3">
      <c r="A2165" s="21" t="s">
        <v>123</v>
      </c>
      <c r="B2165" t="str">
        <f>VLOOKUP(A2165,Customers!A:B,2,FALSE)</f>
        <v>RetailFlowGlobal</v>
      </c>
      <c r="C2165" s="25" t="s">
        <v>2532</v>
      </c>
      <c r="D2165" s="11">
        <v>46056</v>
      </c>
      <c r="E2165" s="11">
        <v>46086</v>
      </c>
      <c r="F2165" s="5">
        <v>2937.22</v>
      </c>
      <c r="G2165" s="3">
        <f>SUMIF(Customer_Payments!B:B,C2165,Customer_Payments!E:E)</f>
        <v>0</v>
      </c>
      <c r="H2165" s="3">
        <f t="shared" si="99"/>
        <v>2937.22</v>
      </c>
      <c r="I2165" s="29">
        <f t="shared" si="100"/>
        <v>5</v>
      </c>
      <c r="J2165" s="31" t="str">
        <f t="shared" si="101"/>
        <v>1-30</v>
      </c>
      <c r="K2165"/>
    </row>
    <row r="2166" spans="1:11" x14ac:dyDescent="0.3">
      <c r="A2166" s="20" t="s">
        <v>50</v>
      </c>
      <c r="B2166" t="str">
        <f>VLOOKUP(A2166,Customers!A:B,2,FALSE)</f>
        <v>RetailNexus</v>
      </c>
      <c r="C2166" s="24" t="s">
        <v>2533</v>
      </c>
      <c r="D2166" s="10">
        <v>46032</v>
      </c>
      <c r="E2166" s="10">
        <v>46062</v>
      </c>
      <c r="F2166" s="4">
        <v>2810.24</v>
      </c>
      <c r="G2166" s="3">
        <f>SUMIF(Customer_Payments!B:B,C2166,Customer_Payments!E:E)</f>
        <v>0</v>
      </c>
      <c r="H2166" s="3">
        <f t="shared" si="99"/>
        <v>2810.24</v>
      </c>
      <c r="I2166" s="29">
        <f t="shared" si="100"/>
        <v>29</v>
      </c>
      <c r="J2166" s="31" t="str">
        <f t="shared" si="101"/>
        <v>1-30</v>
      </c>
      <c r="K2166"/>
    </row>
    <row r="2167" spans="1:11" x14ac:dyDescent="0.3">
      <c r="A2167" s="21" t="s">
        <v>101</v>
      </c>
      <c r="B2167" t="str">
        <f>VLOOKUP(A2167,Customers!A:B,2,FALSE)</f>
        <v>RetailMatrixPro</v>
      </c>
      <c r="C2167" s="25" t="s">
        <v>2534</v>
      </c>
      <c r="D2167" s="11">
        <v>45994</v>
      </c>
      <c r="E2167" s="11">
        <v>46024</v>
      </c>
      <c r="F2167" s="5">
        <v>2037.05</v>
      </c>
      <c r="G2167" s="3">
        <f>SUMIF(Customer_Payments!B:B,C2167,Customer_Payments!E:E)</f>
        <v>0</v>
      </c>
      <c r="H2167" s="3">
        <f t="shared" si="99"/>
        <v>2037.05</v>
      </c>
      <c r="I2167" s="29">
        <f t="shared" si="100"/>
        <v>67</v>
      </c>
      <c r="J2167" s="31" t="str">
        <f t="shared" si="101"/>
        <v>61-90</v>
      </c>
      <c r="K2167"/>
    </row>
    <row r="2168" spans="1:11" x14ac:dyDescent="0.3">
      <c r="A2168" s="20" t="s">
        <v>93</v>
      </c>
      <c r="B2168" t="str">
        <f>VLOOKUP(A2168,Customers!A:B,2,FALSE)</f>
        <v>RetailSphereX</v>
      </c>
      <c r="C2168" s="24" t="s">
        <v>2535</v>
      </c>
      <c r="D2168" s="10">
        <v>45967</v>
      </c>
      <c r="E2168" s="10">
        <v>45997</v>
      </c>
      <c r="F2168" s="4">
        <v>3368.88</v>
      </c>
      <c r="G2168" s="3">
        <f>SUMIF(Customer_Payments!B:B,C2168,Customer_Payments!E:E)</f>
        <v>0</v>
      </c>
      <c r="H2168" s="3">
        <f t="shared" si="99"/>
        <v>3368.88</v>
      </c>
      <c r="I2168" s="29">
        <f t="shared" si="100"/>
        <v>94</v>
      </c>
      <c r="J2168" s="31" t="str">
        <f t="shared" si="101"/>
        <v>90+</v>
      </c>
      <c r="K2168"/>
    </row>
    <row r="2169" spans="1:11" x14ac:dyDescent="0.3">
      <c r="A2169" s="21" t="s">
        <v>99</v>
      </c>
      <c r="B2169" t="str">
        <f>VLOOKUP(A2169,Customers!A:B,2,FALSE)</f>
        <v>RetailNovaPro</v>
      </c>
      <c r="C2169" s="25" t="s">
        <v>2536</v>
      </c>
      <c r="D2169" s="11">
        <v>45990</v>
      </c>
      <c r="E2169" s="11">
        <v>46020</v>
      </c>
      <c r="F2169" s="5">
        <v>2858.51</v>
      </c>
      <c r="G2169" s="3">
        <f>SUMIF(Customer_Payments!B:B,C2169,Customer_Payments!E:E)</f>
        <v>2858.51</v>
      </c>
      <c r="H2169" s="3">
        <f t="shared" si="99"/>
        <v>0</v>
      </c>
      <c r="I2169" s="29">
        <f t="shared" si="100"/>
        <v>71</v>
      </c>
      <c r="J2169" s="31" t="str">
        <f t="shared" si="101"/>
        <v>61-90</v>
      </c>
      <c r="K2169"/>
    </row>
    <row r="2170" spans="1:11" x14ac:dyDescent="0.3">
      <c r="A2170" s="20" t="s">
        <v>66</v>
      </c>
      <c r="B2170" t="str">
        <f>VLOOKUP(A2170,Customers!A:B,2,FALSE)</f>
        <v>MarketWorks</v>
      </c>
      <c r="C2170" s="24" t="s">
        <v>2537</v>
      </c>
      <c r="D2170" s="10">
        <v>45966</v>
      </c>
      <c r="E2170" s="10">
        <v>45996</v>
      </c>
      <c r="F2170" s="4">
        <v>3876.62</v>
      </c>
      <c r="G2170" s="3">
        <f>SUMIF(Customer_Payments!B:B,C2170,Customer_Payments!E:E)</f>
        <v>0</v>
      </c>
      <c r="H2170" s="3">
        <f t="shared" si="99"/>
        <v>3876.62</v>
      </c>
      <c r="I2170" s="29">
        <f t="shared" si="100"/>
        <v>95</v>
      </c>
      <c r="J2170" s="31" t="str">
        <f t="shared" si="101"/>
        <v>90+</v>
      </c>
      <c r="K2170"/>
    </row>
    <row r="2171" spans="1:11" x14ac:dyDescent="0.3">
      <c r="A2171" s="21" t="s">
        <v>42</v>
      </c>
      <c r="B2171" t="str">
        <f>VLOOKUP(A2171,Customers!A:B,2,FALSE)</f>
        <v>RetailWorks</v>
      </c>
      <c r="C2171" s="25" t="s">
        <v>2538</v>
      </c>
      <c r="D2171" s="11">
        <v>46054</v>
      </c>
      <c r="E2171" s="11">
        <v>46084</v>
      </c>
      <c r="F2171" s="5">
        <v>2154.6799999999998</v>
      </c>
      <c r="G2171" s="3">
        <f>SUMIF(Customer_Payments!B:B,C2171,Customer_Payments!E:E)</f>
        <v>0</v>
      </c>
      <c r="H2171" s="3">
        <f t="shared" si="99"/>
        <v>2154.6799999999998</v>
      </c>
      <c r="I2171" s="29">
        <f t="shared" si="100"/>
        <v>7</v>
      </c>
      <c r="J2171" s="31" t="str">
        <f t="shared" si="101"/>
        <v>1-30</v>
      </c>
      <c r="K2171"/>
    </row>
    <row r="2172" spans="1:11" x14ac:dyDescent="0.3">
      <c r="A2172" s="20" t="s">
        <v>44</v>
      </c>
      <c r="B2172" t="str">
        <f>VLOOKUP(A2172,Customers!A:B,2,FALSE)</f>
        <v>BrightMarket</v>
      </c>
      <c r="C2172" s="24" t="s">
        <v>2539</v>
      </c>
      <c r="D2172" s="10">
        <v>46095</v>
      </c>
      <c r="E2172" s="10">
        <v>46125</v>
      </c>
      <c r="F2172" s="4">
        <v>2124.6999999999998</v>
      </c>
      <c r="G2172" s="3">
        <f>SUMIF(Customer_Payments!B:B,C2172,Customer_Payments!E:E)</f>
        <v>0</v>
      </c>
      <c r="H2172" s="3">
        <f t="shared" si="99"/>
        <v>2124.6999999999998</v>
      </c>
      <c r="I2172" s="29">
        <f t="shared" si="100"/>
        <v>-34</v>
      </c>
      <c r="J2172" s="31" t="str">
        <f t="shared" si="101"/>
        <v>Current</v>
      </c>
      <c r="K2172"/>
    </row>
    <row r="2173" spans="1:11" x14ac:dyDescent="0.3">
      <c r="A2173" s="21" t="s">
        <v>41</v>
      </c>
      <c r="B2173" t="str">
        <f>VLOOKUP(A2173,Customers!A:B,2,FALSE)</f>
        <v>DynamicRetail</v>
      </c>
      <c r="C2173" s="25" t="s">
        <v>2540</v>
      </c>
      <c r="D2173" s="11">
        <v>45976</v>
      </c>
      <c r="E2173" s="11">
        <v>46006</v>
      </c>
      <c r="F2173" s="5">
        <v>2571.08</v>
      </c>
      <c r="G2173" s="3">
        <f>SUMIF(Customer_Payments!B:B,C2173,Customer_Payments!E:E)</f>
        <v>2571.08</v>
      </c>
      <c r="H2173" s="3">
        <f t="shared" si="99"/>
        <v>0</v>
      </c>
      <c r="I2173" s="29">
        <f t="shared" si="100"/>
        <v>85</v>
      </c>
      <c r="J2173" s="31" t="str">
        <f t="shared" si="101"/>
        <v>61-90</v>
      </c>
      <c r="K2173"/>
    </row>
    <row r="2174" spans="1:11" x14ac:dyDescent="0.3">
      <c r="A2174" s="20" t="s">
        <v>46</v>
      </c>
      <c r="B2174" t="str">
        <f>VLOOKUP(A2174,Customers!A:B,2,FALSE)</f>
        <v>NovaMarket</v>
      </c>
      <c r="C2174" s="24" t="s">
        <v>2541</v>
      </c>
      <c r="D2174" s="10">
        <v>46035</v>
      </c>
      <c r="E2174" s="10">
        <v>46065</v>
      </c>
      <c r="F2174" s="4">
        <v>1620.37</v>
      </c>
      <c r="G2174" s="3">
        <f>SUMIF(Customer_Payments!B:B,C2174,Customer_Payments!E:E)</f>
        <v>1620.37</v>
      </c>
      <c r="H2174" s="3">
        <f t="shared" si="99"/>
        <v>0</v>
      </c>
      <c r="I2174" s="29">
        <f t="shared" si="100"/>
        <v>26</v>
      </c>
      <c r="J2174" s="31" t="str">
        <f t="shared" si="101"/>
        <v>1-30</v>
      </c>
      <c r="K2174"/>
    </row>
    <row r="2175" spans="1:11" x14ac:dyDescent="0.3">
      <c r="A2175" s="21" t="s">
        <v>63</v>
      </c>
      <c r="B2175" t="str">
        <f>VLOOKUP(A2175,Customers!A:B,2,FALSE)</f>
        <v>RetailCore</v>
      </c>
      <c r="C2175" s="25" t="s">
        <v>2542</v>
      </c>
      <c r="D2175" s="11">
        <v>46021</v>
      </c>
      <c r="E2175" s="11">
        <v>46051</v>
      </c>
      <c r="F2175" s="5">
        <v>3725.09</v>
      </c>
      <c r="G2175" s="3">
        <f>SUMIF(Customer_Payments!B:B,C2175,Customer_Payments!E:E)</f>
        <v>0</v>
      </c>
      <c r="H2175" s="3">
        <f t="shared" si="99"/>
        <v>3725.09</v>
      </c>
      <c r="I2175" s="29">
        <f t="shared" si="100"/>
        <v>40</v>
      </c>
      <c r="J2175" s="31" t="str">
        <f t="shared" si="101"/>
        <v>31-60</v>
      </c>
      <c r="K2175"/>
    </row>
    <row r="2176" spans="1:11" x14ac:dyDescent="0.3">
      <c r="A2176" s="20" t="s">
        <v>52</v>
      </c>
      <c r="B2176" t="str">
        <f>VLOOKUP(A2176,Customers!A:B,2,FALSE)</f>
        <v>RetailShift</v>
      </c>
      <c r="C2176" s="24" t="s">
        <v>2543</v>
      </c>
      <c r="D2176" s="10">
        <v>46042</v>
      </c>
      <c r="E2176" s="10">
        <v>46072</v>
      </c>
      <c r="F2176" s="4">
        <v>9682.8799999999992</v>
      </c>
      <c r="G2176" s="3">
        <f>SUMIF(Customer_Payments!B:B,C2176,Customer_Payments!E:E)</f>
        <v>9682.8799999999992</v>
      </c>
      <c r="H2176" s="3">
        <f t="shared" si="99"/>
        <v>0</v>
      </c>
      <c r="I2176" s="29">
        <f t="shared" si="100"/>
        <v>19</v>
      </c>
      <c r="J2176" s="31" t="str">
        <f t="shared" si="101"/>
        <v>1-30</v>
      </c>
      <c r="K2176"/>
    </row>
    <row r="2177" spans="1:11" x14ac:dyDescent="0.3">
      <c r="A2177" s="21" t="s">
        <v>81</v>
      </c>
      <c r="B2177" t="str">
        <f>VLOOKUP(A2177,Customers!A:B,2,FALSE)</f>
        <v>RetailFlowX</v>
      </c>
      <c r="C2177" s="25" t="s">
        <v>2544</v>
      </c>
      <c r="D2177" s="11">
        <v>46048</v>
      </c>
      <c r="E2177" s="11">
        <v>46078</v>
      </c>
      <c r="F2177" s="5">
        <v>12661.17</v>
      </c>
      <c r="G2177" s="3">
        <f>SUMIF(Customer_Payments!B:B,C2177,Customer_Payments!E:E)</f>
        <v>12661.17</v>
      </c>
      <c r="H2177" s="3">
        <f t="shared" si="99"/>
        <v>0</v>
      </c>
      <c r="I2177" s="29">
        <f t="shared" si="100"/>
        <v>13</v>
      </c>
      <c r="J2177" s="31" t="str">
        <f t="shared" si="101"/>
        <v>1-30</v>
      </c>
      <c r="K2177"/>
    </row>
    <row r="2178" spans="1:11" x14ac:dyDescent="0.3">
      <c r="A2178" s="20" t="s">
        <v>15</v>
      </c>
      <c r="B2178" t="str">
        <f>VLOOKUP(A2178,Customers!A:B,2,FALSE)</f>
        <v>CloudScale</v>
      </c>
      <c r="C2178" s="24" t="s">
        <v>2545</v>
      </c>
      <c r="D2178" s="10">
        <v>46018</v>
      </c>
      <c r="E2178" s="10">
        <v>46048</v>
      </c>
      <c r="F2178" s="4">
        <v>2731.73</v>
      </c>
      <c r="G2178" s="3">
        <f>SUMIF(Customer_Payments!B:B,C2178,Customer_Payments!E:E)</f>
        <v>2731.73</v>
      </c>
      <c r="H2178" s="3">
        <f t="shared" ref="H2178:H2241" si="102">MAX(F2178-G2178,0)</f>
        <v>0</v>
      </c>
      <c r="I2178" s="29">
        <f t="shared" ref="I2178:I2241" si="103">$L$2-E2178</f>
        <v>43</v>
      </c>
      <c r="J2178" s="31" t="str">
        <f t="shared" si="101"/>
        <v>31-60</v>
      </c>
      <c r="K2178"/>
    </row>
    <row r="2179" spans="1:11" x14ac:dyDescent="0.3">
      <c r="A2179" s="21" t="s">
        <v>70</v>
      </c>
      <c r="B2179" t="str">
        <f>VLOOKUP(A2179,Customers!A:B,2,FALSE)</f>
        <v>RetailPath</v>
      </c>
      <c r="C2179" s="25" t="s">
        <v>2546</v>
      </c>
      <c r="D2179" s="11">
        <v>46097</v>
      </c>
      <c r="E2179" s="11">
        <v>46127</v>
      </c>
      <c r="F2179" s="5">
        <v>10463.06</v>
      </c>
      <c r="G2179" s="3">
        <f>SUMIF(Customer_Payments!B:B,C2179,Customer_Payments!E:E)</f>
        <v>10463.06</v>
      </c>
      <c r="H2179" s="3">
        <f t="shared" si="102"/>
        <v>0</v>
      </c>
      <c r="I2179" s="29">
        <f t="shared" si="103"/>
        <v>-36</v>
      </c>
      <c r="J2179" s="31" t="str">
        <f t="shared" ref="J2179:J2242" si="104">IF(I2179&lt;=0,"Current",
IF(I2179&lt;=30,"1-30",
IF(I2179&lt;=60,"31-60",
IF(I2179&lt;=90,"61-90","90+"))))</f>
        <v>Current</v>
      </c>
      <c r="K2179"/>
    </row>
    <row r="2180" spans="1:11" x14ac:dyDescent="0.3">
      <c r="A2180" s="20" t="s">
        <v>90</v>
      </c>
      <c r="B2180" t="str">
        <f>VLOOKUP(A2180,Customers!A:B,2,FALSE)</f>
        <v>RetailPulseX</v>
      </c>
      <c r="C2180" s="24" t="s">
        <v>2547</v>
      </c>
      <c r="D2180" s="10">
        <v>46070</v>
      </c>
      <c r="E2180" s="10">
        <v>46100</v>
      </c>
      <c r="F2180" s="4">
        <v>4454.84</v>
      </c>
      <c r="G2180" s="3">
        <f>SUMIF(Customer_Payments!B:B,C2180,Customer_Payments!E:E)</f>
        <v>0</v>
      </c>
      <c r="H2180" s="3">
        <f t="shared" si="102"/>
        <v>4454.84</v>
      </c>
      <c r="I2180" s="29">
        <f t="shared" si="103"/>
        <v>-9</v>
      </c>
      <c r="J2180" s="31" t="str">
        <f t="shared" si="104"/>
        <v>Current</v>
      </c>
      <c r="K2180"/>
    </row>
    <row r="2181" spans="1:11" x14ac:dyDescent="0.3">
      <c r="A2181" s="21" t="s">
        <v>71</v>
      </c>
      <c r="B2181" t="str">
        <f>VLOOKUP(A2181,Customers!A:B,2,FALSE)</f>
        <v>RetailPulse</v>
      </c>
      <c r="C2181" s="25" t="s">
        <v>2548</v>
      </c>
      <c r="D2181" s="11">
        <v>46052</v>
      </c>
      <c r="E2181" s="11">
        <v>46082</v>
      </c>
      <c r="F2181" s="5">
        <v>2679.21</v>
      </c>
      <c r="G2181" s="3">
        <f>SUMIF(Customer_Payments!B:B,C2181,Customer_Payments!E:E)</f>
        <v>2679.21</v>
      </c>
      <c r="H2181" s="3">
        <f t="shared" si="102"/>
        <v>0</v>
      </c>
      <c r="I2181" s="29">
        <f t="shared" si="103"/>
        <v>9</v>
      </c>
      <c r="J2181" s="31" t="str">
        <f t="shared" si="104"/>
        <v>1-30</v>
      </c>
      <c r="K2181"/>
    </row>
    <row r="2182" spans="1:11" x14ac:dyDescent="0.3">
      <c r="A2182" s="20" t="s">
        <v>14</v>
      </c>
      <c r="B2182" t="str">
        <f>VLOOKUP(A2182,Customers!A:B,2,FALSE)</f>
        <v>MarketPulse</v>
      </c>
      <c r="C2182" s="24" t="s">
        <v>2549</v>
      </c>
      <c r="D2182" s="10">
        <v>45970</v>
      </c>
      <c r="E2182" s="10">
        <v>46000</v>
      </c>
      <c r="F2182" s="4">
        <v>12383.48</v>
      </c>
      <c r="G2182" s="3">
        <f>SUMIF(Customer_Payments!B:B,C2182,Customer_Payments!E:E)</f>
        <v>12383.48</v>
      </c>
      <c r="H2182" s="3">
        <f t="shared" si="102"/>
        <v>0</v>
      </c>
      <c r="I2182" s="29">
        <f t="shared" si="103"/>
        <v>91</v>
      </c>
      <c r="J2182" s="31" t="str">
        <f t="shared" si="104"/>
        <v>90+</v>
      </c>
      <c r="K2182"/>
    </row>
    <row r="2183" spans="1:11" x14ac:dyDescent="0.3">
      <c r="A2183" s="21" t="s">
        <v>116</v>
      </c>
      <c r="B2183" t="str">
        <f>VLOOKUP(A2183,Customers!A:B,2,FALSE)</f>
        <v>RetailLabsPro</v>
      </c>
      <c r="C2183" s="25" t="s">
        <v>2550</v>
      </c>
      <c r="D2183" s="11">
        <v>46097</v>
      </c>
      <c r="E2183" s="11">
        <v>46127</v>
      </c>
      <c r="F2183" s="5">
        <v>2154.2199999999998</v>
      </c>
      <c r="G2183" s="3">
        <f>SUMIF(Customer_Payments!B:B,C2183,Customer_Payments!E:E)</f>
        <v>2154.2199999999998</v>
      </c>
      <c r="H2183" s="3">
        <f t="shared" si="102"/>
        <v>0</v>
      </c>
      <c r="I2183" s="29">
        <f t="shared" si="103"/>
        <v>-36</v>
      </c>
      <c r="J2183" s="31" t="str">
        <f t="shared" si="104"/>
        <v>Current</v>
      </c>
      <c r="K2183"/>
    </row>
    <row r="2184" spans="1:11" x14ac:dyDescent="0.3">
      <c r="A2184" s="20" t="s">
        <v>20</v>
      </c>
      <c r="B2184" t="str">
        <f>VLOOKUP(A2184,Customers!A:B,2,FALSE)</f>
        <v>GrowthSphere</v>
      </c>
      <c r="C2184" s="24" t="s">
        <v>2551</v>
      </c>
      <c r="D2184" s="10">
        <v>46081</v>
      </c>
      <c r="E2184" s="10">
        <v>46111</v>
      </c>
      <c r="F2184" s="4">
        <v>2540.44</v>
      </c>
      <c r="G2184" s="3">
        <f>SUMIF(Customer_Payments!B:B,C2184,Customer_Payments!E:E)</f>
        <v>2540.44</v>
      </c>
      <c r="H2184" s="3">
        <f t="shared" si="102"/>
        <v>0</v>
      </c>
      <c r="I2184" s="29">
        <f t="shared" si="103"/>
        <v>-20</v>
      </c>
      <c r="J2184" s="31" t="str">
        <f t="shared" si="104"/>
        <v>Current</v>
      </c>
      <c r="K2184"/>
    </row>
    <row r="2185" spans="1:11" x14ac:dyDescent="0.3">
      <c r="A2185" s="21" t="s">
        <v>33</v>
      </c>
      <c r="B2185" t="str">
        <f>VLOOKUP(A2185,Customers!A:B,2,FALSE)</f>
        <v>CloudCart</v>
      </c>
      <c r="C2185" s="25" t="s">
        <v>2552</v>
      </c>
      <c r="D2185" s="11">
        <v>46045</v>
      </c>
      <c r="E2185" s="11">
        <v>46075</v>
      </c>
      <c r="F2185" s="5">
        <v>3008.33</v>
      </c>
      <c r="G2185" s="3">
        <f>SUMIF(Customer_Payments!B:B,C2185,Customer_Payments!E:E)</f>
        <v>3008.33</v>
      </c>
      <c r="H2185" s="3">
        <f t="shared" si="102"/>
        <v>0</v>
      </c>
      <c r="I2185" s="29">
        <f t="shared" si="103"/>
        <v>16</v>
      </c>
      <c r="J2185" s="31" t="str">
        <f t="shared" si="104"/>
        <v>1-30</v>
      </c>
      <c r="K2185"/>
    </row>
    <row r="2186" spans="1:11" x14ac:dyDescent="0.3">
      <c r="A2186" s="20" t="s">
        <v>89</v>
      </c>
      <c r="B2186" t="str">
        <f>VLOOKUP(A2186,Customers!A:B,2,FALSE)</f>
        <v>RetailAxisX</v>
      </c>
      <c r="C2186" s="24" t="s">
        <v>2553</v>
      </c>
      <c r="D2186" s="10">
        <v>46058</v>
      </c>
      <c r="E2186" s="10">
        <v>46088</v>
      </c>
      <c r="F2186" s="4">
        <v>2570.37</v>
      </c>
      <c r="G2186" s="3">
        <f>SUMIF(Customer_Payments!B:B,C2186,Customer_Payments!E:E)</f>
        <v>2570.37</v>
      </c>
      <c r="H2186" s="3">
        <f t="shared" si="102"/>
        <v>0</v>
      </c>
      <c r="I2186" s="29">
        <f t="shared" si="103"/>
        <v>3</v>
      </c>
      <c r="J2186" s="31" t="str">
        <f t="shared" si="104"/>
        <v>1-30</v>
      </c>
      <c r="K2186"/>
    </row>
    <row r="2187" spans="1:11" x14ac:dyDescent="0.3">
      <c r="A2187" s="21" t="s">
        <v>107</v>
      </c>
      <c r="B2187" t="str">
        <f>VLOOKUP(A2187,Customers!A:B,2,FALSE)</f>
        <v>RetailWorksPro</v>
      </c>
      <c r="C2187" s="25" t="s">
        <v>2554</v>
      </c>
      <c r="D2187" s="11">
        <v>46021</v>
      </c>
      <c r="E2187" s="11">
        <v>46051</v>
      </c>
      <c r="F2187" s="5">
        <v>13804.1</v>
      </c>
      <c r="G2187" s="3">
        <f>SUMIF(Customer_Payments!B:B,C2187,Customer_Payments!E:E)</f>
        <v>13804.1</v>
      </c>
      <c r="H2187" s="3">
        <f t="shared" si="102"/>
        <v>0</v>
      </c>
      <c r="I2187" s="29">
        <f t="shared" si="103"/>
        <v>40</v>
      </c>
      <c r="J2187" s="31" t="str">
        <f t="shared" si="104"/>
        <v>31-60</v>
      </c>
      <c r="K2187"/>
    </row>
    <row r="2188" spans="1:11" x14ac:dyDescent="0.3">
      <c r="A2188" s="20" t="s">
        <v>44</v>
      </c>
      <c r="B2188" t="str">
        <f>VLOOKUP(A2188,Customers!A:B,2,FALSE)</f>
        <v>BrightMarket</v>
      </c>
      <c r="C2188" s="24" t="s">
        <v>2555</v>
      </c>
      <c r="D2188" s="10">
        <v>46070</v>
      </c>
      <c r="E2188" s="10">
        <v>46100</v>
      </c>
      <c r="F2188" s="4">
        <v>2334.9899999999998</v>
      </c>
      <c r="G2188" s="3">
        <f>SUMIF(Customer_Payments!B:B,C2188,Customer_Payments!E:E)</f>
        <v>2334.9899999999998</v>
      </c>
      <c r="H2188" s="3">
        <f t="shared" si="102"/>
        <v>0</v>
      </c>
      <c r="I2188" s="29">
        <f t="shared" si="103"/>
        <v>-9</v>
      </c>
      <c r="J2188" s="31" t="str">
        <f t="shared" si="104"/>
        <v>Current</v>
      </c>
      <c r="K2188"/>
    </row>
    <row r="2189" spans="1:11" x14ac:dyDescent="0.3">
      <c r="A2189" s="21" t="s">
        <v>26</v>
      </c>
      <c r="B2189" t="str">
        <f>VLOOKUP(A2189,Customers!A:B,2,FALSE)</f>
        <v>NovaRetail</v>
      </c>
      <c r="C2189" s="25" t="s">
        <v>2556</v>
      </c>
      <c r="D2189" s="11">
        <v>46081</v>
      </c>
      <c r="E2189" s="11">
        <v>46111</v>
      </c>
      <c r="F2189" s="5">
        <v>2843.62</v>
      </c>
      <c r="G2189" s="3">
        <f>SUMIF(Customer_Payments!B:B,C2189,Customer_Payments!E:E)</f>
        <v>2843.62</v>
      </c>
      <c r="H2189" s="3">
        <f t="shared" si="102"/>
        <v>0</v>
      </c>
      <c r="I2189" s="29">
        <f t="shared" si="103"/>
        <v>-20</v>
      </c>
      <c r="J2189" s="31" t="str">
        <f t="shared" si="104"/>
        <v>Current</v>
      </c>
      <c r="K2189"/>
    </row>
    <row r="2190" spans="1:11" x14ac:dyDescent="0.3">
      <c r="A2190" s="20" t="s">
        <v>72</v>
      </c>
      <c r="B2190" t="str">
        <f>VLOOKUP(A2190,Customers!A:B,2,FALSE)</f>
        <v>RetailStream</v>
      </c>
      <c r="C2190" s="24" t="s">
        <v>2557</v>
      </c>
      <c r="D2190" s="10">
        <v>46044</v>
      </c>
      <c r="E2190" s="10">
        <v>46074</v>
      </c>
      <c r="F2190" s="4">
        <v>2835.75</v>
      </c>
      <c r="G2190" s="3">
        <f>SUMIF(Customer_Payments!B:B,C2190,Customer_Payments!E:E)</f>
        <v>0</v>
      </c>
      <c r="H2190" s="3">
        <f t="shared" si="102"/>
        <v>2835.75</v>
      </c>
      <c r="I2190" s="29">
        <f t="shared" si="103"/>
        <v>17</v>
      </c>
      <c r="J2190" s="31" t="str">
        <f t="shared" si="104"/>
        <v>1-30</v>
      </c>
      <c r="K2190"/>
    </row>
    <row r="2191" spans="1:11" x14ac:dyDescent="0.3">
      <c r="A2191" s="21" t="s">
        <v>34</v>
      </c>
      <c r="B2191" t="str">
        <f>VLOOKUP(A2191,Customers!A:B,2,FALSE)</f>
        <v>OptiCommerce</v>
      </c>
      <c r="C2191" s="25" t="s">
        <v>2558</v>
      </c>
      <c r="D2191" s="11">
        <v>46056</v>
      </c>
      <c r="E2191" s="11">
        <v>46086</v>
      </c>
      <c r="F2191" s="5">
        <v>2002.23</v>
      </c>
      <c r="G2191" s="3">
        <f>SUMIF(Customer_Payments!B:B,C2191,Customer_Payments!E:E)</f>
        <v>2002.23</v>
      </c>
      <c r="H2191" s="3">
        <f t="shared" si="102"/>
        <v>0</v>
      </c>
      <c r="I2191" s="29">
        <f t="shared" si="103"/>
        <v>5</v>
      </c>
      <c r="J2191" s="31" t="str">
        <f t="shared" si="104"/>
        <v>1-30</v>
      </c>
      <c r="K2191"/>
    </row>
    <row r="2192" spans="1:11" x14ac:dyDescent="0.3">
      <c r="A2192" s="20" t="s">
        <v>55</v>
      </c>
      <c r="B2192" t="str">
        <f>VLOOKUP(A2192,Customers!A:B,2,FALSE)</f>
        <v>CommerceLabs</v>
      </c>
      <c r="C2192" s="24" t="s">
        <v>2559</v>
      </c>
      <c r="D2192" s="10">
        <v>46021</v>
      </c>
      <c r="E2192" s="10">
        <v>46051</v>
      </c>
      <c r="F2192" s="4">
        <v>13587.49</v>
      </c>
      <c r="G2192" s="3">
        <f>SUMIF(Customer_Payments!B:B,C2192,Customer_Payments!E:E)</f>
        <v>13587.49</v>
      </c>
      <c r="H2192" s="3">
        <f t="shared" si="102"/>
        <v>0</v>
      </c>
      <c r="I2192" s="29">
        <f t="shared" si="103"/>
        <v>40</v>
      </c>
      <c r="J2192" s="31" t="str">
        <f t="shared" si="104"/>
        <v>31-60</v>
      </c>
      <c r="K2192"/>
    </row>
    <row r="2193" spans="1:11" x14ac:dyDescent="0.3">
      <c r="A2193" s="21" t="s">
        <v>80</v>
      </c>
      <c r="B2193" t="str">
        <f>VLOOKUP(A2193,Customers!A:B,2,FALSE)</f>
        <v>RetailEdgeX</v>
      </c>
      <c r="C2193" s="25" t="s">
        <v>2560</v>
      </c>
      <c r="D2193" s="11">
        <v>46032</v>
      </c>
      <c r="E2193" s="11">
        <v>46062</v>
      </c>
      <c r="F2193" s="5">
        <v>1496.48</v>
      </c>
      <c r="G2193" s="3">
        <f>SUMIF(Customer_Payments!B:B,C2193,Customer_Payments!E:E)</f>
        <v>1496.48</v>
      </c>
      <c r="H2193" s="3">
        <f t="shared" si="102"/>
        <v>0</v>
      </c>
      <c r="I2193" s="29">
        <f t="shared" si="103"/>
        <v>29</v>
      </c>
      <c r="J2193" s="31" t="str">
        <f t="shared" si="104"/>
        <v>1-30</v>
      </c>
      <c r="K2193"/>
    </row>
    <row r="2194" spans="1:11" x14ac:dyDescent="0.3">
      <c r="A2194" s="20" t="s">
        <v>115</v>
      </c>
      <c r="B2194" t="str">
        <f>VLOOKUP(A2194,Customers!A:B,2,FALSE)</f>
        <v>RetailDynamicsPro</v>
      </c>
      <c r="C2194" s="24" t="s">
        <v>2561</v>
      </c>
      <c r="D2194" s="10">
        <v>46013</v>
      </c>
      <c r="E2194" s="10">
        <v>46043</v>
      </c>
      <c r="F2194" s="4">
        <v>1834.73</v>
      </c>
      <c r="G2194" s="3">
        <f>SUMIF(Customer_Payments!B:B,C2194,Customer_Payments!E:E)</f>
        <v>1834.73</v>
      </c>
      <c r="H2194" s="3">
        <f t="shared" si="102"/>
        <v>0</v>
      </c>
      <c r="I2194" s="29">
        <f t="shared" si="103"/>
        <v>48</v>
      </c>
      <c r="J2194" s="31" t="str">
        <f t="shared" si="104"/>
        <v>31-60</v>
      </c>
      <c r="K2194"/>
    </row>
    <row r="2195" spans="1:11" x14ac:dyDescent="0.3">
      <c r="A2195" s="21" t="s">
        <v>73</v>
      </c>
      <c r="B2195" t="str">
        <f>VLOOKUP(A2195,Customers!A:B,2,FALSE)</f>
        <v>RetailWave</v>
      </c>
      <c r="C2195" s="25" t="s">
        <v>2562</v>
      </c>
      <c r="D2195" s="11">
        <v>45986</v>
      </c>
      <c r="E2195" s="11">
        <v>46016</v>
      </c>
      <c r="F2195" s="5">
        <v>3917.49</v>
      </c>
      <c r="G2195" s="3">
        <f>SUMIF(Customer_Payments!B:B,C2195,Customer_Payments!E:E)</f>
        <v>3917.49</v>
      </c>
      <c r="H2195" s="3">
        <f t="shared" si="102"/>
        <v>0</v>
      </c>
      <c r="I2195" s="29">
        <f t="shared" si="103"/>
        <v>75</v>
      </c>
      <c r="J2195" s="31" t="str">
        <f t="shared" si="104"/>
        <v>61-90</v>
      </c>
      <c r="K2195"/>
    </row>
    <row r="2196" spans="1:11" x14ac:dyDescent="0.3">
      <c r="A2196" s="20" t="s">
        <v>38</v>
      </c>
      <c r="B2196" t="str">
        <f>VLOOKUP(A2196,Customers!A:B,2,FALSE)</f>
        <v>RetailForge</v>
      </c>
      <c r="C2196" s="24" t="s">
        <v>2563</v>
      </c>
      <c r="D2196" s="10">
        <v>46070</v>
      </c>
      <c r="E2196" s="10">
        <v>46100</v>
      </c>
      <c r="F2196" s="4">
        <v>11121.31</v>
      </c>
      <c r="G2196" s="3">
        <f>SUMIF(Customer_Payments!B:B,C2196,Customer_Payments!E:E)</f>
        <v>11121.31</v>
      </c>
      <c r="H2196" s="3">
        <f t="shared" si="102"/>
        <v>0</v>
      </c>
      <c r="I2196" s="29">
        <f t="shared" si="103"/>
        <v>-9</v>
      </c>
      <c r="J2196" s="31" t="str">
        <f t="shared" si="104"/>
        <v>Current</v>
      </c>
      <c r="K2196"/>
    </row>
    <row r="2197" spans="1:11" x14ac:dyDescent="0.3">
      <c r="A2197" s="21" t="s">
        <v>47</v>
      </c>
      <c r="B2197" t="str">
        <f>VLOOKUP(A2197,Customers!A:B,2,FALSE)</f>
        <v>SmartRetail</v>
      </c>
      <c r="C2197" s="25" t="s">
        <v>2564</v>
      </c>
      <c r="D2197" s="11">
        <v>46028</v>
      </c>
      <c r="E2197" s="11">
        <v>46058</v>
      </c>
      <c r="F2197" s="5">
        <v>2243.0700000000002</v>
      </c>
      <c r="G2197" s="3">
        <f>SUMIF(Customer_Payments!B:B,C2197,Customer_Payments!E:E)</f>
        <v>2243.0700000000002</v>
      </c>
      <c r="H2197" s="3">
        <f t="shared" si="102"/>
        <v>0</v>
      </c>
      <c r="I2197" s="29">
        <f t="shared" si="103"/>
        <v>33</v>
      </c>
      <c r="J2197" s="31" t="str">
        <f t="shared" si="104"/>
        <v>31-60</v>
      </c>
      <c r="K2197"/>
    </row>
    <row r="2198" spans="1:11" x14ac:dyDescent="0.3">
      <c r="A2198" s="20" t="s">
        <v>119</v>
      </c>
      <c r="B2198" t="str">
        <f>VLOOKUP(A2198,Customers!A:B,2,FALSE)</f>
        <v>RetailNovaGlobal</v>
      </c>
      <c r="C2198" s="24" t="s">
        <v>2565</v>
      </c>
      <c r="D2198" s="10">
        <v>46089</v>
      </c>
      <c r="E2198" s="10">
        <v>46119</v>
      </c>
      <c r="F2198" s="4">
        <v>2140.13</v>
      </c>
      <c r="G2198" s="3">
        <f>SUMIF(Customer_Payments!B:B,C2198,Customer_Payments!E:E)</f>
        <v>2140.13</v>
      </c>
      <c r="H2198" s="3">
        <f t="shared" si="102"/>
        <v>0</v>
      </c>
      <c r="I2198" s="29">
        <f t="shared" si="103"/>
        <v>-28</v>
      </c>
      <c r="J2198" s="31" t="str">
        <f t="shared" si="104"/>
        <v>Current</v>
      </c>
      <c r="K2198"/>
    </row>
    <row r="2199" spans="1:11" x14ac:dyDescent="0.3">
      <c r="A2199" s="21" t="s">
        <v>124</v>
      </c>
      <c r="B2199" t="str">
        <f>VLOOKUP(A2199,Customers!A:B,2,FALSE)</f>
        <v>RetailOrbitGlobal</v>
      </c>
      <c r="C2199" s="25" t="s">
        <v>2566</v>
      </c>
      <c r="D2199" s="11">
        <v>46098</v>
      </c>
      <c r="E2199" s="11">
        <v>46128</v>
      </c>
      <c r="F2199" s="5">
        <v>11337.03</v>
      </c>
      <c r="G2199" s="3">
        <f>SUMIF(Customer_Payments!B:B,C2199,Customer_Payments!E:E)</f>
        <v>11337.03</v>
      </c>
      <c r="H2199" s="3">
        <f t="shared" si="102"/>
        <v>0</v>
      </c>
      <c r="I2199" s="29">
        <f t="shared" si="103"/>
        <v>-37</v>
      </c>
      <c r="J2199" s="31" t="str">
        <f t="shared" si="104"/>
        <v>Current</v>
      </c>
      <c r="K2199"/>
    </row>
    <row r="2200" spans="1:11" x14ac:dyDescent="0.3">
      <c r="A2200" s="20" t="s">
        <v>60</v>
      </c>
      <c r="B2200" t="str">
        <f>VLOOKUP(A2200,Customers!A:B,2,FALSE)</f>
        <v>RetailSpark</v>
      </c>
      <c r="C2200" s="24" t="s">
        <v>2567</v>
      </c>
      <c r="D2200" s="10">
        <v>46043</v>
      </c>
      <c r="E2200" s="10">
        <v>46073</v>
      </c>
      <c r="F2200" s="4">
        <v>2653.33</v>
      </c>
      <c r="G2200" s="3">
        <f>SUMIF(Customer_Payments!B:B,C2200,Customer_Payments!E:E)</f>
        <v>2653.33</v>
      </c>
      <c r="H2200" s="3">
        <f t="shared" si="102"/>
        <v>0</v>
      </c>
      <c r="I2200" s="29">
        <f t="shared" si="103"/>
        <v>18</v>
      </c>
      <c r="J2200" s="31" t="str">
        <f t="shared" si="104"/>
        <v>1-30</v>
      </c>
      <c r="K2200"/>
    </row>
    <row r="2201" spans="1:11" x14ac:dyDescent="0.3">
      <c r="A2201" s="21" t="s">
        <v>38</v>
      </c>
      <c r="B2201" t="str">
        <f>VLOOKUP(A2201,Customers!A:B,2,FALSE)</f>
        <v>RetailForge</v>
      </c>
      <c r="C2201" s="25" t="s">
        <v>2568</v>
      </c>
      <c r="D2201" s="11">
        <v>46082</v>
      </c>
      <c r="E2201" s="11">
        <v>46112</v>
      </c>
      <c r="F2201" s="5">
        <v>5138.68</v>
      </c>
      <c r="G2201" s="3">
        <f>SUMIF(Customer_Payments!B:B,C2201,Customer_Payments!E:E)</f>
        <v>0</v>
      </c>
      <c r="H2201" s="3">
        <f t="shared" si="102"/>
        <v>5138.68</v>
      </c>
      <c r="I2201" s="29">
        <f t="shared" si="103"/>
        <v>-21</v>
      </c>
      <c r="J2201" s="31" t="str">
        <f t="shared" si="104"/>
        <v>Current</v>
      </c>
      <c r="K2201"/>
    </row>
    <row r="2202" spans="1:11" x14ac:dyDescent="0.3">
      <c r="A2202" s="20" t="s">
        <v>108</v>
      </c>
      <c r="B2202" t="str">
        <f>VLOOKUP(A2202,Customers!A:B,2,FALSE)</f>
        <v>RetailNextPro</v>
      </c>
      <c r="C2202" s="24" t="s">
        <v>2569</v>
      </c>
      <c r="D2202" s="10">
        <v>45986</v>
      </c>
      <c r="E2202" s="10">
        <v>46016</v>
      </c>
      <c r="F2202" s="4">
        <v>12835.7</v>
      </c>
      <c r="G2202" s="3">
        <f>SUMIF(Customer_Payments!B:B,C2202,Customer_Payments!E:E)</f>
        <v>12835.7</v>
      </c>
      <c r="H2202" s="3">
        <f t="shared" si="102"/>
        <v>0</v>
      </c>
      <c r="I2202" s="29">
        <f t="shared" si="103"/>
        <v>75</v>
      </c>
      <c r="J2202" s="31" t="str">
        <f t="shared" si="104"/>
        <v>61-90</v>
      </c>
      <c r="K2202"/>
    </row>
    <row r="2203" spans="1:11" x14ac:dyDescent="0.3">
      <c r="A2203" s="21" t="s">
        <v>71</v>
      </c>
      <c r="B2203" t="str">
        <f>VLOOKUP(A2203,Customers!A:B,2,FALSE)</f>
        <v>RetailPulse</v>
      </c>
      <c r="C2203" s="25" t="s">
        <v>2570</v>
      </c>
      <c r="D2203" s="11">
        <v>45969</v>
      </c>
      <c r="E2203" s="11">
        <v>45999</v>
      </c>
      <c r="F2203" s="5">
        <v>2341.5700000000002</v>
      </c>
      <c r="G2203" s="3">
        <f>SUMIF(Customer_Payments!B:B,C2203,Customer_Payments!E:E)</f>
        <v>2341.5700000000002</v>
      </c>
      <c r="H2203" s="3">
        <f t="shared" si="102"/>
        <v>0</v>
      </c>
      <c r="I2203" s="29">
        <f t="shared" si="103"/>
        <v>92</v>
      </c>
      <c r="J2203" s="31" t="str">
        <f t="shared" si="104"/>
        <v>90+</v>
      </c>
      <c r="K2203"/>
    </row>
    <row r="2204" spans="1:11" x14ac:dyDescent="0.3">
      <c r="A2204" s="20" t="s">
        <v>119</v>
      </c>
      <c r="B2204" t="str">
        <f>VLOOKUP(A2204,Customers!A:B,2,FALSE)</f>
        <v>RetailNovaGlobal</v>
      </c>
      <c r="C2204" s="24" t="s">
        <v>2571</v>
      </c>
      <c r="D2204" s="10">
        <v>46092</v>
      </c>
      <c r="E2204" s="10">
        <v>46122</v>
      </c>
      <c r="F2204" s="4">
        <v>5152.0200000000004</v>
      </c>
      <c r="G2204" s="3">
        <f>SUMIF(Customer_Payments!B:B,C2204,Customer_Payments!E:E)</f>
        <v>0</v>
      </c>
      <c r="H2204" s="3">
        <f t="shared" si="102"/>
        <v>5152.0200000000004</v>
      </c>
      <c r="I2204" s="29">
        <f t="shared" si="103"/>
        <v>-31</v>
      </c>
      <c r="J2204" s="31" t="str">
        <f t="shared" si="104"/>
        <v>Current</v>
      </c>
      <c r="K2204"/>
    </row>
    <row r="2205" spans="1:11" x14ac:dyDescent="0.3">
      <c r="A2205" s="21" t="s">
        <v>77</v>
      </c>
      <c r="B2205" t="str">
        <f>VLOOKUP(A2205,Customers!A:B,2,FALSE)</f>
        <v>RetailBridge</v>
      </c>
      <c r="C2205" s="25" t="s">
        <v>2572</v>
      </c>
      <c r="D2205" s="11">
        <v>46013</v>
      </c>
      <c r="E2205" s="11">
        <v>46043</v>
      </c>
      <c r="F2205" s="5">
        <v>9674.4599999999991</v>
      </c>
      <c r="G2205" s="3">
        <f>SUMIF(Customer_Payments!B:B,C2205,Customer_Payments!E:E)</f>
        <v>9674.4599999999991</v>
      </c>
      <c r="H2205" s="3">
        <f t="shared" si="102"/>
        <v>0</v>
      </c>
      <c r="I2205" s="29">
        <f t="shared" si="103"/>
        <v>48</v>
      </c>
      <c r="J2205" s="31" t="str">
        <f t="shared" si="104"/>
        <v>31-60</v>
      </c>
      <c r="K2205"/>
    </row>
    <row r="2206" spans="1:11" x14ac:dyDescent="0.3">
      <c r="A2206" s="20" t="s">
        <v>11</v>
      </c>
      <c r="B2206" t="str">
        <f>VLOOKUP(A2206,Customers!A:B,2,FALSE)</f>
        <v>DataHive</v>
      </c>
      <c r="C2206" s="24" t="s">
        <v>2573</v>
      </c>
      <c r="D2206" s="10">
        <v>46070</v>
      </c>
      <c r="E2206" s="10">
        <v>46100</v>
      </c>
      <c r="F2206" s="4">
        <v>2109.69</v>
      </c>
      <c r="G2206" s="3">
        <f>SUMIF(Customer_Payments!B:B,C2206,Customer_Payments!E:E)</f>
        <v>2109.69</v>
      </c>
      <c r="H2206" s="3">
        <f t="shared" si="102"/>
        <v>0</v>
      </c>
      <c r="I2206" s="29">
        <f t="shared" si="103"/>
        <v>-9</v>
      </c>
      <c r="J2206" s="31" t="str">
        <f t="shared" si="104"/>
        <v>Current</v>
      </c>
      <c r="K2206"/>
    </row>
    <row r="2207" spans="1:11" x14ac:dyDescent="0.3">
      <c r="A2207" s="21" t="s">
        <v>117</v>
      </c>
      <c r="B2207" t="str">
        <f>VLOOKUP(A2207,Customers!A:B,2,FALSE)</f>
        <v>RetailSparkPro</v>
      </c>
      <c r="C2207" s="25" t="s">
        <v>2574</v>
      </c>
      <c r="D2207" s="11">
        <v>46013</v>
      </c>
      <c r="E2207" s="11">
        <v>46043</v>
      </c>
      <c r="F2207" s="5">
        <v>9714.8700000000008</v>
      </c>
      <c r="G2207" s="3">
        <f>SUMIF(Customer_Payments!B:B,C2207,Customer_Payments!E:E)</f>
        <v>9714.8700000000008</v>
      </c>
      <c r="H2207" s="3">
        <f t="shared" si="102"/>
        <v>0</v>
      </c>
      <c r="I2207" s="29">
        <f t="shared" si="103"/>
        <v>48</v>
      </c>
      <c r="J2207" s="31" t="str">
        <f t="shared" si="104"/>
        <v>31-60</v>
      </c>
      <c r="K2207"/>
    </row>
    <row r="2208" spans="1:11" x14ac:dyDescent="0.3">
      <c r="A2208" s="20" t="s">
        <v>96</v>
      </c>
      <c r="B2208" t="str">
        <f>VLOOKUP(A2208,Customers!A:B,2,FALSE)</f>
        <v>RetailLabs</v>
      </c>
      <c r="C2208" s="24" t="s">
        <v>2575</v>
      </c>
      <c r="D2208" s="10">
        <v>46005</v>
      </c>
      <c r="E2208" s="10">
        <v>46035</v>
      </c>
      <c r="F2208" s="4">
        <v>4086.07</v>
      </c>
      <c r="G2208" s="3">
        <f>SUMIF(Customer_Payments!B:B,C2208,Customer_Payments!E:E)</f>
        <v>4086.07</v>
      </c>
      <c r="H2208" s="3">
        <f t="shared" si="102"/>
        <v>0</v>
      </c>
      <c r="I2208" s="29">
        <f t="shared" si="103"/>
        <v>56</v>
      </c>
      <c r="J2208" s="31" t="str">
        <f t="shared" si="104"/>
        <v>31-60</v>
      </c>
      <c r="K2208"/>
    </row>
    <row r="2209" spans="1:11" x14ac:dyDescent="0.3">
      <c r="A2209" s="21" t="s">
        <v>112</v>
      </c>
      <c r="B2209" t="str">
        <f>VLOOKUP(A2209,Customers!A:B,2,FALSE)</f>
        <v>RetailBridgePro</v>
      </c>
      <c r="C2209" s="25" t="s">
        <v>2576</v>
      </c>
      <c r="D2209" s="11">
        <v>45973</v>
      </c>
      <c r="E2209" s="11">
        <v>46003</v>
      </c>
      <c r="F2209" s="5">
        <v>3138.01</v>
      </c>
      <c r="G2209" s="3">
        <f>SUMIF(Customer_Payments!B:B,C2209,Customer_Payments!E:E)</f>
        <v>3138.01</v>
      </c>
      <c r="H2209" s="3">
        <f t="shared" si="102"/>
        <v>0</v>
      </c>
      <c r="I2209" s="29">
        <f t="shared" si="103"/>
        <v>88</v>
      </c>
      <c r="J2209" s="31" t="str">
        <f t="shared" si="104"/>
        <v>61-90</v>
      </c>
      <c r="K2209"/>
    </row>
    <row r="2210" spans="1:11" x14ac:dyDescent="0.3">
      <c r="A2210" s="20" t="s">
        <v>12</v>
      </c>
      <c r="B2210" t="str">
        <f>VLOOKUP(A2210,Customers!A:B,2,FALSE)</f>
        <v>ShopOrbit</v>
      </c>
      <c r="C2210" s="24" t="s">
        <v>2577</v>
      </c>
      <c r="D2210" s="10">
        <v>45965</v>
      </c>
      <c r="E2210" s="10">
        <v>45995</v>
      </c>
      <c r="F2210" s="4">
        <v>2591.48</v>
      </c>
      <c r="G2210" s="3">
        <f>SUMIF(Customer_Payments!B:B,C2210,Customer_Payments!E:E)</f>
        <v>0</v>
      </c>
      <c r="H2210" s="3">
        <f t="shared" si="102"/>
        <v>2591.48</v>
      </c>
      <c r="I2210" s="29">
        <f t="shared" si="103"/>
        <v>96</v>
      </c>
      <c r="J2210" s="31" t="str">
        <f t="shared" si="104"/>
        <v>90+</v>
      </c>
      <c r="K2210"/>
    </row>
    <row r="2211" spans="1:11" x14ac:dyDescent="0.3">
      <c r="A2211" s="21" t="s">
        <v>87</v>
      </c>
      <c r="B2211" t="str">
        <f>VLOOKUP(A2211,Customers!A:B,2,FALSE)</f>
        <v>RetailStreamX</v>
      </c>
      <c r="C2211" s="25" t="s">
        <v>2578</v>
      </c>
      <c r="D2211" s="11">
        <v>45979</v>
      </c>
      <c r="E2211" s="11">
        <v>46009</v>
      </c>
      <c r="F2211" s="5">
        <v>3286.5</v>
      </c>
      <c r="G2211" s="3">
        <f>SUMIF(Customer_Payments!B:B,C2211,Customer_Payments!E:E)</f>
        <v>0</v>
      </c>
      <c r="H2211" s="3">
        <f t="shared" si="102"/>
        <v>3286.5</v>
      </c>
      <c r="I2211" s="29">
        <f t="shared" si="103"/>
        <v>82</v>
      </c>
      <c r="J2211" s="31" t="str">
        <f t="shared" si="104"/>
        <v>61-90</v>
      </c>
      <c r="K2211"/>
    </row>
    <row r="2212" spans="1:11" x14ac:dyDescent="0.3">
      <c r="A2212" s="20" t="s">
        <v>96</v>
      </c>
      <c r="B2212" t="str">
        <f>VLOOKUP(A2212,Customers!A:B,2,FALSE)</f>
        <v>RetailLabs</v>
      </c>
      <c r="C2212" s="24" t="s">
        <v>2579</v>
      </c>
      <c r="D2212" s="10">
        <v>45982</v>
      </c>
      <c r="E2212" s="10">
        <v>46012</v>
      </c>
      <c r="F2212" s="4">
        <v>13155.35</v>
      </c>
      <c r="G2212" s="3">
        <f>SUMIF(Customer_Payments!B:B,C2212,Customer_Payments!E:E)</f>
        <v>0</v>
      </c>
      <c r="H2212" s="3">
        <f t="shared" si="102"/>
        <v>13155.35</v>
      </c>
      <c r="I2212" s="29">
        <f t="shared" si="103"/>
        <v>79</v>
      </c>
      <c r="J2212" s="31" t="str">
        <f t="shared" si="104"/>
        <v>61-90</v>
      </c>
      <c r="K2212"/>
    </row>
    <row r="2213" spans="1:11" x14ac:dyDescent="0.3">
      <c r="A2213" s="21" t="s">
        <v>72</v>
      </c>
      <c r="B2213" t="str">
        <f>VLOOKUP(A2213,Customers!A:B,2,FALSE)</f>
        <v>RetailStream</v>
      </c>
      <c r="C2213" s="25" t="s">
        <v>2580</v>
      </c>
      <c r="D2213" s="11">
        <v>46032</v>
      </c>
      <c r="E2213" s="11">
        <v>46062</v>
      </c>
      <c r="F2213" s="5">
        <v>5466.89</v>
      </c>
      <c r="G2213" s="3">
        <f>SUMIF(Customer_Payments!B:B,C2213,Customer_Payments!E:E)</f>
        <v>0</v>
      </c>
      <c r="H2213" s="3">
        <f t="shared" si="102"/>
        <v>5466.89</v>
      </c>
      <c r="I2213" s="29">
        <f t="shared" si="103"/>
        <v>29</v>
      </c>
      <c r="J2213" s="31" t="str">
        <f t="shared" si="104"/>
        <v>1-30</v>
      </c>
      <c r="K2213"/>
    </row>
    <row r="2214" spans="1:11" x14ac:dyDescent="0.3">
      <c r="A2214" s="20" t="s">
        <v>93</v>
      </c>
      <c r="B2214" t="str">
        <f>VLOOKUP(A2214,Customers!A:B,2,FALSE)</f>
        <v>RetailSphereX</v>
      </c>
      <c r="C2214" s="24" t="s">
        <v>2581</v>
      </c>
      <c r="D2214" s="10">
        <v>46039</v>
      </c>
      <c r="E2214" s="10">
        <v>46069</v>
      </c>
      <c r="F2214" s="4">
        <v>2582.71</v>
      </c>
      <c r="G2214" s="3">
        <f>SUMIF(Customer_Payments!B:B,C2214,Customer_Payments!E:E)</f>
        <v>2582.71</v>
      </c>
      <c r="H2214" s="3">
        <f t="shared" si="102"/>
        <v>0</v>
      </c>
      <c r="I2214" s="29">
        <f t="shared" si="103"/>
        <v>22</v>
      </c>
      <c r="J2214" s="31" t="str">
        <f t="shared" si="104"/>
        <v>1-30</v>
      </c>
      <c r="K2214"/>
    </row>
    <row r="2215" spans="1:11" x14ac:dyDescent="0.3">
      <c r="A2215" s="21" t="s">
        <v>99</v>
      </c>
      <c r="B2215" t="str">
        <f>VLOOKUP(A2215,Customers!A:B,2,FALSE)</f>
        <v>RetailNovaPro</v>
      </c>
      <c r="C2215" s="25" t="s">
        <v>2582</v>
      </c>
      <c r="D2215" s="11">
        <v>46053</v>
      </c>
      <c r="E2215" s="11">
        <v>46083</v>
      </c>
      <c r="F2215" s="5">
        <v>1766.54</v>
      </c>
      <c r="G2215" s="3">
        <f>SUMIF(Customer_Payments!B:B,C2215,Customer_Payments!E:E)</f>
        <v>1766.54</v>
      </c>
      <c r="H2215" s="3">
        <f t="shared" si="102"/>
        <v>0</v>
      </c>
      <c r="I2215" s="29">
        <f t="shared" si="103"/>
        <v>8</v>
      </c>
      <c r="J2215" s="31" t="str">
        <f t="shared" si="104"/>
        <v>1-30</v>
      </c>
      <c r="K2215"/>
    </row>
    <row r="2216" spans="1:11" x14ac:dyDescent="0.3">
      <c r="A2216" s="20" t="s">
        <v>70</v>
      </c>
      <c r="B2216" t="str">
        <f>VLOOKUP(A2216,Customers!A:B,2,FALSE)</f>
        <v>RetailPath</v>
      </c>
      <c r="C2216" s="24" t="s">
        <v>2583</v>
      </c>
      <c r="D2216" s="10">
        <v>46075</v>
      </c>
      <c r="E2216" s="10">
        <v>46105</v>
      </c>
      <c r="F2216" s="4">
        <v>3191.02</v>
      </c>
      <c r="G2216" s="3">
        <f>SUMIF(Customer_Payments!B:B,C2216,Customer_Payments!E:E)</f>
        <v>3191.02</v>
      </c>
      <c r="H2216" s="3">
        <f t="shared" si="102"/>
        <v>0</v>
      </c>
      <c r="I2216" s="29">
        <f t="shared" si="103"/>
        <v>-14</v>
      </c>
      <c r="J2216" s="31" t="str">
        <f t="shared" si="104"/>
        <v>Current</v>
      </c>
      <c r="K2216"/>
    </row>
    <row r="2217" spans="1:11" x14ac:dyDescent="0.3">
      <c r="A2217" s="21" t="s">
        <v>115</v>
      </c>
      <c r="B2217" t="str">
        <f>VLOOKUP(A2217,Customers!A:B,2,FALSE)</f>
        <v>RetailDynamicsPro</v>
      </c>
      <c r="C2217" s="25" t="s">
        <v>2584</v>
      </c>
      <c r="D2217" s="11">
        <v>46003</v>
      </c>
      <c r="E2217" s="11">
        <v>46033</v>
      </c>
      <c r="F2217" s="5">
        <v>2048.29</v>
      </c>
      <c r="G2217" s="3">
        <f>SUMIF(Customer_Payments!B:B,C2217,Customer_Payments!E:E)</f>
        <v>2048.29</v>
      </c>
      <c r="H2217" s="3">
        <f t="shared" si="102"/>
        <v>0</v>
      </c>
      <c r="I2217" s="29">
        <f t="shared" si="103"/>
        <v>58</v>
      </c>
      <c r="J2217" s="31" t="str">
        <f t="shared" si="104"/>
        <v>31-60</v>
      </c>
      <c r="K2217"/>
    </row>
    <row r="2218" spans="1:11" x14ac:dyDescent="0.3">
      <c r="A2218" s="20" t="s">
        <v>25</v>
      </c>
      <c r="B2218" t="str">
        <f>VLOOKUP(A2218,Customers!A:B,2,FALSE)</f>
        <v>OrbitEdge</v>
      </c>
      <c r="C2218" s="24" t="s">
        <v>2585</v>
      </c>
      <c r="D2218" s="10">
        <v>46040</v>
      </c>
      <c r="E2218" s="10">
        <v>46070</v>
      </c>
      <c r="F2218" s="4">
        <v>10969.23</v>
      </c>
      <c r="G2218" s="3">
        <f>SUMIF(Customer_Payments!B:B,C2218,Customer_Payments!E:E)</f>
        <v>0</v>
      </c>
      <c r="H2218" s="3">
        <f t="shared" si="102"/>
        <v>10969.23</v>
      </c>
      <c r="I2218" s="29">
        <f t="shared" si="103"/>
        <v>21</v>
      </c>
      <c r="J2218" s="31" t="str">
        <f t="shared" si="104"/>
        <v>1-30</v>
      </c>
      <c r="K2218"/>
    </row>
    <row r="2219" spans="1:11" x14ac:dyDescent="0.3">
      <c r="A2219" s="21" t="s">
        <v>73</v>
      </c>
      <c r="B2219" t="str">
        <f>VLOOKUP(A2219,Customers!A:B,2,FALSE)</f>
        <v>RetailWave</v>
      </c>
      <c r="C2219" s="25" t="s">
        <v>2586</v>
      </c>
      <c r="D2219" s="11">
        <v>46024</v>
      </c>
      <c r="E2219" s="11">
        <v>46054</v>
      </c>
      <c r="F2219" s="5">
        <v>3376.78</v>
      </c>
      <c r="G2219" s="3">
        <f>SUMIF(Customer_Payments!B:B,C2219,Customer_Payments!E:E)</f>
        <v>3376.78</v>
      </c>
      <c r="H2219" s="3">
        <f t="shared" si="102"/>
        <v>0</v>
      </c>
      <c r="I2219" s="29">
        <f t="shared" si="103"/>
        <v>37</v>
      </c>
      <c r="J2219" s="31" t="str">
        <f t="shared" si="104"/>
        <v>31-60</v>
      </c>
      <c r="K2219"/>
    </row>
    <row r="2220" spans="1:11" x14ac:dyDescent="0.3">
      <c r="A2220" s="20" t="s">
        <v>43</v>
      </c>
      <c r="B2220" t="str">
        <f>VLOOKUP(A2220,Customers!A:B,2,FALSE)</f>
        <v>CommerceSpark</v>
      </c>
      <c r="C2220" s="24" t="s">
        <v>2587</v>
      </c>
      <c r="D2220" s="10">
        <v>46078</v>
      </c>
      <c r="E2220" s="10">
        <v>46108</v>
      </c>
      <c r="F2220" s="4">
        <v>2575.14</v>
      </c>
      <c r="G2220" s="3">
        <f>SUMIF(Customer_Payments!B:B,C2220,Customer_Payments!E:E)</f>
        <v>2575.14</v>
      </c>
      <c r="H2220" s="3">
        <f t="shared" si="102"/>
        <v>0</v>
      </c>
      <c r="I2220" s="29">
        <f t="shared" si="103"/>
        <v>-17</v>
      </c>
      <c r="J2220" s="31" t="str">
        <f t="shared" si="104"/>
        <v>Current</v>
      </c>
      <c r="K2220"/>
    </row>
    <row r="2221" spans="1:11" x14ac:dyDescent="0.3">
      <c r="A2221" s="21" t="s">
        <v>120</v>
      </c>
      <c r="B2221" t="str">
        <f>VLOOKUP(A2221,Customers!A:B,2,FALSE)</f>
        <v>RetailPrimeGlobal</v>
      </c>
      <c r="C2221" s="25" t="s">
        <v>2588</v>
      </c>
      <c r="D2221" s="11">
        <v>46110</v>
      </c>
      <c r="E2221" s="11">
        <v>46140</v>
      </c>
      <c r="F2221" s="5">
        <v>4237.1000000000004</v>
      </c>
      <c r="G2221" s="3">
        <f>SUMIF(Customer_Payments!B:B,C2221,Customer_Payments!E:E)</f>
        <v>4237.1000000000004</v>
      </c>
      <c r="H2221" s="3">
        <f t="shared" si="102"/>
        <v>0</v>
      </c>
      <c r="I2221" s="29">
        <f t="shared" si="103"/>
        <v>-49</v>
      </c>
      <c r="J2221" s="31" t="str">
        <f t="shared" si="104"/>
        <v>Current</v>
      </c>
      <c r="K2221"/>
    </row>
    <row r="2222" spans="1:11" x14ac:dyDescent="0.3">
      <c r="A2222" s="20" t="s">
        <v>36</v>
      </c>
      <c r="B2222" t="str">
        <f>VLOOKUP(A2222,Customers!A:B,2,FALSE)</f>
        <v>RapidMarket</v>
      </c>
      <c r="C2222" s="24" t="s">
        <v>2589</v>
      </c>
      <c r="D2222" s="10">
        <v>45965</v>
      </c>
      <c r="E2222" s="10">
        <v>45995</v>
      </c>
      <c r="F2222" s="4">
        <v>4576.96</v>
      </c>
      <c r="G2222" s="3">
        <f>SUMIF(Customer_Payments!B:B,C2222,Customer_Payments!E:E)</f>
        <v>0</v>
      </c>
      <c r="H2222" s="3">
        <f t="shared" si="102"/>
        <v>4576.96</v>
      </c>
      <c r="I2222" s="29">
        <f t="shared" si="103"/>
        <v>96</v>
      </c>
      <c r="J2222" s="31" t="str">
        <f t="shared" si="104"/>
        <v>90+</v>
      </c>
      <c r="K2222"/>
    </row>
    <row r="2223" spans="1:11" x14ac:dyDescent="0.3">
      <c r="A2223" s="21" t="s">
        <v>72</v>
      </c>
      <c r="B2223" t="str">
        <f>VLOOKUP(A2223,Customers!A:B,2,FALSE)</f>
        <v>RetailStream</v>
      </c>
      <c r="C2223" s="25" t="s">
        <v>2590</v>
      </c>
      <c r="D2223" s="11">
        <v>45974</v>
      </c>
      <c r="E2223" s="11">
        <v>46004</v>
      </c>
      <c r="F2223" s="5">
        <v>1640.61</v>
      </c>
      <c r="G2223" s="3">
        <f>SUMIF(Customer_Payments!B:B,C2223,Customer_Payments!E:E)</f>
        <v>1640.6100000000001</v>
      </c>
      <c r="H2223" s="3">
        <f t="shared" si="102"/>
        <v>0</v>
      </c>
      <c r="I2223" s="29">
        <f t="shared" si="103"/>
        <v>87</v>
      </c>
      <c r="J2223" s="31" t="str">
        <f t="shared" si="104"/>
        <v>61-90</v>
      </c>
      <c r="K2223"/>
    </row>
    <row r="2224" spans="1:11" x14ac:dyDescent="0.3">
      <c r="A2224" s="20" t="s">
        <v>31</v>
      </c>
      <c r="B2224" t="str">
        <f>VLOOKUP(A2224,Customers!A:B,2,FALSE)</f>
        <v>SparkRetail</v>
      </c>
      <c r="C2224" s="24" t="s">
        <v>2591</v>
      </c>
      <c r="D2224" s="10">
        <v>46037</v>
      </c>
      <c r="E2224" s="10">
        <v>46067</v>
      </c>
      <c r="F2224" s="4">
        <v>4054.7</v>
      </c>
      <c r="G2224" s="3">
        <f>SUMIF(Customer_Payments!B:B,C2224,Customer_Payments!E:E)</f>
        <v>4054.7</v>
      </c>
      <c r="H2224" s="3">
        <f t="shared" si="102"/>
        <v>0</v>
      </c>
      <c r="I2224" s="29">
        <f t="shared" si="103"/>
        <v>24</v>
      </c>
      <c r="J2224" s="31" t="str">
        <f t="shared" si="104"/>
        <v>1-30</v>
      </c>
      <c r="K2224"/>
    </row>
    <row r="2225" spans="1:11" x14ac:dyDescent="0.3">
      <c r="A2225" s="21" t="s">
        <v>43</v>
      </c>
      <c r="B2225" t="str">
        <f>VLOOKUP(A2225,Customers!A:B,2,FALSE)</f>
        <v>CommerceSpark</v>
      </c>
      <c r="C2225" s="25" t="s">
        <v>2592</v>
      </c>
      <c r="D2225" s="11">
        <v>46047</v>
      </c>
      <c r="E2225" s="11">
        <v>46077</v>
      </c>
      <c r="F2225" s="5">
        <v>2986.04</v>
      </c>
      <c r="G2225" s="3">
        <f>SUMIF(Customer_Payments!B:B,C2225,Customer_Payments!E:E)</f>
        <v>2986.04</v>
      </c>
      <c r="H2225" s="3">
        <f t="shared" si="102"/>
        <v>0</v>
      </c>
      <c r="I2225" s="29">
        <f t="shared" si="103"/>
        <v>14</v>
      </c>
      <c r="J2225" s="31" t="str">
        <f t="shared" si="104"/>
        <v>1-30</v>
      </c>
      <c r="K2225"/>
    </row>
    <row r="2226" spans="1:11" x14ac:dyDescent="0.3">
      <c r="A2226" s="20" t="s">
        <v>65</v>
      </c>
      <c r="B2226" t="str">
        <f>VLOOKUP(A2226,Customers!A:B,2,FALSE)</f>
        <v>RetailFlow</v>
      </c>
      <c r="C2226" s="24" t="s">
        <v>2593</v>
      </c>
      <c r="D2226" s="10">
        <v>46038</v>
      </c>
      <c r="E2226" s="10">
        <v>46068</v>
      </c>
      <c r="F2226" s="4">
        <v>3397.1</v>
      </c>
      <c r="G2226" s="3">
        <f>SUMIF(Customer_Payments!B:B,C2226,Customer_Payments!E:E)</f>
        <v>3397.1</v>
      </c>
      <c r="H2226" s="3">
        <f t="shared" si="102"/>
        <v>0</v>
      </c>
      <c r="I2226" s="29">
        <f t="shared" si="103"/>
        <v>23</v>
      </c>
      <c r="J2226" s="31" t="str">
        <f t="shared" si="104"/>
        <v>1-30</v>
      </c>
      <c r="K2226"/>
    </row>
    <row r="2227" spans="1:11" x14ac:dyDescent="0.3">
      <c r="A2227" s="21" t="s">
        <v>22</v>
      </c>
      <c r="B2227" t="str">
        <f>VLOOKUP(A2227,Customers!A:B,2,FALSE)</f>
        <v>QuantumRetail</v>
      </c>
      <c r="C2227" s="25" t="s">
        <v>2594</v>
      </c>
      <c r="D2227" s="11">
        <v>46032</v>
      </c>
      <c r="E2227" s="11">
        <v>46062</v>
      </c>
      <c r="F2227" s="5">
        <v>2918</v>
      </c>
      <c r="G2227" s="3">
        <f>SUMIF(Customer_Payments!B:B,C2227,Customer_Payments!E:E)</f>
        <v>0</v>
      </c>
      <c r="H2227" s="3">
        <f t="shared" si="102"/>
        <v>2918</v>
      </c>
      <c r="I2227" s="29">
        <f t="shared" si="103"/>
        <v>29</v>
      </c>
      <c r="J2227" s="31" t="str">
        <f t="shared" si="104"/>
        <v>1-30</v>
      </c>
      <c r="K2227"/>
    </row>
    <row r="2228" spans="1:11" x14ac:dyDescent="0.3">
      <c r="A2228" s="20" t="s">
        <v>24</v>
      </c>
      <c r="B2228" t="str">
        <f>VLOOKUP(A2228,Customers!A:B,2,FALSE)</f>
        <v>OmniTrade</v>
      </c>
      <c r="C2228" s="24" t="s">
        <v>2595</v>
      </c>
      <c r="D2228" s="10">
        <v>46020</v>
      </c>
      <c r="E2228" s="10">
        <v>46050</v>
      </c>
      <c r="F2228" s="4">
        <v>13866.62</v>
      </c>
      <c r="G2228" s="3">
        <f>SUMIF(Customer_Payments!B:B,C2228,Customer_Payments!E:E)</f>
        <v>13866.62</v>
      </c>
      <c r="H2228" s="3">
        <f t="shared" si="102"/>
        <v>0</v>
      </c>
      <c r="I2228" s="29">
        <f t="shared" si="103"/>
        <v>41</v>
      </c>
      <c r="J2228" s="31" t="str">
        <f t="shared" si="104"/>
        <v>31-60</v>
      </c>
      <c r="K2228"/>
    </row>
    <row r="2229" spans="1:11" x14ac:dyDescent="0.3">
      <c r="A2229" s="21" t="s">
        <v>102</v>
      </c>
      <c r="B2229" t="str">
        <f>VLOOKUP(A2229,Customers!A:B,2,FALSE)</f>
        <v>RetailPrimePro</v>
      </c>
      <c r="C2229" s="25" t="s">
        <v>2596</v>
      </c>
      <c r="D2229" s="11">
        <v>45964</v>
      </c>
      <c r="E2229" s="11">
        <v>45994</v>
      </c>
      <c r="F2229" s="5">
        <v>2731.63</v>
      </c>
      <c r="G2229" s="3">
        <f>SUMIF(Customer_Payments!B:B,C2229,Customer_Payments!E:E)</f>
        <v>0</v>
      </c>
      <c r="H2229" s="3">
        <f t="shared" si="102"/>
        <v>2731.63</v>
      </c>
      <c r="I2229" s="29">
        <f t="shared" si="103"/>
        <v>97</v>
      </c>
      <c r="J2229" s="31" t="str">
        <f t="shared" si="104"/>
        <v>90+</v>
      </c>
      <c r="K2229"/>
    </row>
    <row r="2230" spans="1:11" x14ac:dyDescent="0.3">
      <c r="A2230" s="20" t="s">
        <v>42</v>
      </c>
      <c r="B2230" t="str">
        <f>VLOOKUP(A2230,Customers!A:B,2,FALSE)</f>
        <v>RetailWorks</v>
      </c>
      <c r="C2230" s="24" t="s">
        <v>2597</v>
      </c>
      <c r="D2230" s="10">
        <v>46052</v>
      </c>
      <c r="E2230" s="10">
        <v>46082</v>
      </c>
      <c r="F2230" s="4">
        <v>5454.72</v>
      </c>
      <c r="G2230" s="3">
        <f>SUMIF(Customer_Payments!B:B,C2230,Customer_Payments!E:E)</f>
        <v>5454.72</v>
      </c>
      <c r="H2230" s="3">
        <f t="shared" si="102"/>
        <v>0</v>
      </c>
      <c r="I2230" s="29">
        <f t="shared" si="103"/>
        <v>9</v>
      </c>
      <c r="J2230" s="31" t="str">
        <f t="shared" si="104"/>
        <v>1-30</v>
      </c>
      <c r="K2230"/>
    </row>
    <row r="2231" spans="1:11" x14ac:dyDescent="0.3">
      <c r="A2231" s="21" t="s">
        <v>97</v>
      </c>
      <c r="B2231" t="str">
        <f>VLOOKUP(A2231,Customers!A:B,2,FALSE)</f>
        <v>RetailSparkX</v>
      </c>
      <c r="C2231" s="25" t="s">
        <v>2598</v>
      </c>
      <c r="D2231" s="11">
        <v>46087</v>
      </c>
      <c r="E2231" s="11">
        <v>46117</v>
      </c>
      <c r="F2231" s="5">
        <v>12626.99</v>
      </c>
      <c r="G2231" s="3">
        <f>SUMIF(Customer_Payments!B:B,C2231,Customer_Payments!E:E)</f>
        <v>0</v>
      </c>
      <c r="H2231" s="3">
        <f t="shared" si="102"/>
        <v>12626.99</v>
      </c>
      <c r="I2231" s="29">
        <f t="shared" si="103"/>
        <v>-26</v>
      </c>
      <c r="J2231" s="31" t="str">
        <f t="shared" si="104"/>
        <v>Current</v>
      </c>
      <c r="K2231"/>
    </row>
    <row r="2232" spans="1:11" x14ac:dyDescent="0.3">
      <c r="A2232" s="20" t="s">
        <v>97</v>
      </c>
      <c r="B2232" t="str">
        <f>VLOOKUP(A2232,Customers!A:B,2,FALSE)</f>
        <v>RetailSparkX</v>
      </c>
      <c r="C2232" s="24" t="s">
        <v>2599</v>
      </c>
      <c r="D2232" s="10">
        <v>46102</v>
      </c>
      <c r="E2232" s="10">
        <v>46132</v>
      </c>
      <c r="F2232" s="4">
        <v>1666.66</v>
      </c>
      <c r="G2232" s="3">
        <f>SUMIF(Customer_Payments!B:B,C2232,Customer_Payments!E:E)</f>
        <v>1666.66</v>
      </c>
      <c r="H2232" s="3">
        <f t="shared" si="102"/>
        <v>0</v>
      </c>
      <c r="I2232" s="29">
        <f t="shared" si="103"/>
        <v>-41</v>
      </c>
      <c r="J2232" s="31" t="str">
        <f t="shared" si="104"/>
        <v>Current</v>
      </c>
      <c r="K2232"/>
    </row>
    <row r="2233" spans="1:11" x14ac:dyDescent="0.3">
      <c r="A2233" s="21" t="s">
        <v>119</v>
      </c>
      <c r="B2233" t="str">
        <f>VLOOKUP(A2233,Customers!A:B,2,FALSE)</f>
        <v>RetailNovaGlobal</v>
      </c>
      <c r="C2233" s="25" t="s">
        <v>2600</v>
      </c>
      <c r="D2233" s="11">
        <v>46053</v>
      </c>
      <c r="E2233" s="11">
        <v>46083</v>
      </c>
      <c r="F2233" s="5">
        <v>3244.54</v>
      </c>
      <c r="G2233" s="3">
        <f>SUMIF(Customer_Payments!B:B,C2233,Customer_Payments!E:E)</f>
        <v>3244.54</v>
      </c>
      <c r="H2233" s="3">
        <f t="shared" si="102"/>
        <v>0</v>
      </c>
      <c r="I2233" s="29">
        <f t="shared" si="103"/>
        <v>8</v>
      </c>
      <c r="J2233" s="31" t="str">
        <f t="shared" si="104"/>
        <v>1-30</v>
      </c>
      <c r="K2233"/>
    </row>
    <row r="2234" spans="1:11" x14ac:dyDescent="0.3">
      <c r="A2234" s="20" t="s">
        <v>24</v>
      </c>
      <c r="B2234" t="str">
        <f>VLOOKUP(A2234,Customers!A:B,2,FALSE)</f>
        <v>OmniTrade</v>
      </c>
      <c r="C2234" s="24" t="s">
        <v>2601</v>
      </c>
      <c r="D2234" s="10">
        <v>46089</v>
      </c>
      <c r="E2234" s="10">
        <v>46119</v>
      </c>
      <c r="F2234" s="4">
        <v>1465.66</v>
      </c>
      <c r="G2234" s="3">
        <f>SUMIF(Customer_Payments!B:B,C2234,Customer_Payments!E:E)</f>
        <v>1465.66</v>
      </c>
      <c r="H2234" s="3">
        <f t="shared" si="102"/>
        <v>0</v>
      </c>
      <c r="I2234" s="29">
        <f t="shared" si="103"/>
        <v>-28</v>
      </c>
      <c r="J2234" s="31" t="str">
        <f t="shared" si="104"/>
        <v>Current</v>
      </c>
      <c r="K2234"/>
    </row>
    <row r="2235" spans="1:11" x14ac:dyDescent="0.3">
      <c r="A2235" s="21" t="s">
        <v>67</v>
      </c>
      <c r="B2235" t="str">
        <f>VLOOKUP(A2235,Customers!A:B,2,FALSE)</f>
        <v>RetailDynamics</v>
      </c>
      <c r="C2235" s="25" t="s">
        <v>2602</v>
      </c>
      <c r="D2235" s="11">
        <v>46074</v>
      </c>
      <c r="E2235" s="11">
        <v>46104</v>
      </c>
      <c r="F2235" s="5">
        <v>3326.69</v>
      </c>
      <c r="G2235" s="3">
        <f>SUMIF(Customer_Payments!B:B,C2235,Customer_Payments!E:E)</f>
        <v>3326.69</v>
      </c>
      <c r="H2235" s="3">
        <f t="shared" si="102"/>
        <v>0</v>
      </c>
      <c r="I2235" s="29">
        <f t="shared" si="103"/>
        <v>-13</v>
      </c>
      <c r="J2235" s="31" t="str">
        <f t="shared" si="104"/>
        <v>Current</v>
      </c>
      <c r="K2235"/>
    </row>
    <row r="2236" spans="1:11" x14ac:dyDescent="0.3">
      <c r="A2236" s="20" t="s">
        <v>23</v>
      </c>
      <c r="B2236" t="str">
        <f>VLOOKUP(A2236,Customers!A:B,2,FALSE)</f>
        <v>VertexCommerce</v>
      </c>
      <c r="C2236" s="24" t="s">
        <v>2603</v>
      </c>
      <c r="D2236" s="10">
        <v>46037</v>
      </c>
      <c r="E2236" s="10">
        <v>46067</v>
      </c>
      <c r="F2236" s="4">
        <v>4969.01</v>
      </c>
      <c r="G2236" s="3">
        <f>SUMIF(Customer_Payments!B:B,C2236,Customer_Payments!E:E)</f>
        <v>4969.01</v>
      </c>
      <c r="H2236" s="3">
        <f t="shared" si="102"/>
        <v>0</v>
      </c>
      <c r="I2236" s="29">
        <f t="shared" si="103"/>
        <v>24</v>
      </c>
      <c r="J2236" s="31" t="str">
        <f t="shared" si="104"/>
        <v>1-30</v>
      </c>
      <c r="K2236"/>
    </row>
    <row r="2237" spans="1:11" x14ac:dyDescent="0.3">
      <c r="A2237" s="21" t="s">
        <v>102</v>
      </c>
      <c r="B2237" t="str">
        <f>VLOOKUP(A2237,Customers!A:B,2,FALSE)</f>
        <v>RetailPrimePro</v>
      </c>
      <c r="C2237" s="25" t="s">
        <v>2604</v>
      </c>
      <c r="D2237" s="11">
        <v>46022</v>
      </c>
      <c r="E2237" s="11">
        <v>46052</v>
      </c>
      <c r="F2237" s="5">
        <v>5269.55</v>
      </c>
      <c r="G2237" s="3">
        <f>SUMIF(Customer_Payments!B:B,C2237,Customer_Payments!E:E)</f>
        <v>0</v>
      </c>
      <c r="H2237" s="3">
        <f t="shared" si="102"/>
        <v>5269.55</v>
      </c>
      <c r="I2237" s="29">
        <f t="shared" si="103"/>
        <v>39</v>
      </c>
      <c r="J2237" s="31" t="str">
        <f t="shared" si="104"/>
        <v>31-60</v>
      </c>
      <c r="K2237"/>
    </row>
    <row r="2238" spans="1:11" x14ac:dyDescent="0.3">
      <c r="A2238" s="20" t="s">
        <v>33</v>
      </c>
      <c r="B2238" t="str">
        <f>VLOOKUP(A2238,Customers!A:B,2,FALSE)</f>
        <v>CloudCart</v>
      </c>
      <c r="C2238" s="24" t="s">
        <v>2605</v>
      </c>
      <c r="D2238" s="10">
        <v>45973</v>
      </c>
      <c r="E2238" s="10">
        <v>46003</v>
      </c>
      <c r="F2238" s="4">
        <v>4006.4</v>
      </c>
      <c r="G2238" s="3">
        <f>SUMIF(Customer_Payments!B:B,C2238,Customer_Payments!E:E)</f>
        <v>4006.4</v>
      </c>
      <c r="H2238" s="3">
        <f t="shared" si="102"/>
        <v>0</v>
      </c>
      <c r="I2238" s="29">
        <f t="shared" si="103"/>
        <v>88</v>
      </c>
      <c r="J2238" s="31" t="str">
        <f t="shared" si="104"/>
        <v>61-90</v>
      </c>
      <c r="K2238"/>
    </row>
    <row r="2239" spans="1:11" x14ac:dyDescent="0.3">
      <c r="A2239" s="21" t="s">
        <v>55</v>
      </c>
      <c r="B2239" t="str">
        <f>VLOOKUP(A2239,Customers!A:B,2,FALSE)</f>
        <v>CommerceLabs</v>
      </c>
      <c r="C2239" s="25" t="s">
        <v>2606</v>
      </c>
      <c r="D2239" s="11">
        <v>46084</v>
      </c>
      <c r="E2239" s="11">
        <v>46114</v>
      </c>
      <c r="F2239" s="5">
        <v>1568.24</v>
      </c>
      <c r="G2239" s="3">
        <f>SUMIF(Customer_Payments!B:B,C2239,Customer_Payments!E:E)</f>
        <v>1568.24</v>
      </c>
      <c r="H2239" s="3">
        <f t="shared" si="102"/>
        <v>0</v>
      </c>
      <c r="I2239" s="29">
        <f t="shared" si="103"/>
        <v>-23</v>
      </c>
      <c r="J2239" s="31" t="str">
        <f t="shared" si="104"/>
        <v>Current</v>
      </c>
      <c r="K2239"/>
    </row>
    <row r="2240" spans="1:11" x14ac:dyDescent="0.3">
      <c r="A2240" s="20" t="s">
        <v>91</v>
      </c>
      <c r="B2240" t="str">
        <f>VLOOKUP(A2240,Customers!A:B,2,FALSE)</f>
        <v>RetailBridgeX</v>
      </c>
      <c r="C2240" s="24" t="s">
        <v>2607</v>
      </c>
      <c r="D2240" s="10">
        <v>46063</v>
      </c>
      <c r="E2240" s="10">
        <v>46093</v>
      </c>
      <c r="F2240" s="4">
        <v>1860.41</v>
      </c>
      <c r="G2240" s="3">
        <f>SUMIF(Customer_Payments!B:B,C2240,Customer_Payments!E:E)</f>
        <v>1860.4099999999999</v>
      </c>
      <c r="H2240" s="3">
        <f t="shared" si="102"/>
        <v>2.2737367544323206E-13</v>
      </c>
      <c r="I2240" s="29">
        <f t="shared" si="103"/>
        <v>-2</v>
      </c>
      <c r="J2240" s="31" t="str">
        <f t="shared" si="104"/>
        <v>Current</v>
      </c>
      <c r="K2240"/>
    </row>
    <row r="2241" spans="1:11" x14ac:dyDescent="0.3">
      <c r="A2241" s="21" t="s">
        <v>92</v>
      </c>
      <c r="B2241" t="str">
        <f>VLOOKUP(A2241,Customers!A:B,2,FALSE)</f>
        <v>RetailMatrixX</v>
      </c>
      <c r="C2241" s="25" t="s">
        <v>2608</v>
      </c>
      <c r="D2241" s="11">
        <v>46035</v>
      </c>
      <c r="E2241" s="11">
        <v>46065</v>
      </c>
      <c r="F2241" s="5">
        <v>5755.78</v>
      </c>
      <c r="G2241" s="3">
        <f>SUMIF(Customer_Payments!B:B,C2241,Customer_Payments!E:E)</f>
        <v>0</v>
      </c>
      <c r="H2241" s="3">
        <f t="shared" si="102"/>
        <v>5755.78</v>
      </c>
      <c r="I2241" s="29">
        <f t="shared" si="103"/>
        <v>26</v>
      </c>
      <c r="J2241" s="31" t="str">
        <f t="shared" si="104"/>
        <v>1-30</v>
      </c>
      <c r="K2241"/>
    </row>
    <row r="2242" spans="1:11" x14ac:dyDescent="0.3">
      <c r="A2242" s="20" t="s">
        <v>76</v>
      </c>
      <c r="B2242" t="str">
        <f>VLOOKUP(A2242,Customers!A:B,2,FALSE)</f>
        <v>RetailSphere</v>
      </c>
      <c r="C2242" s="24" t="s">
        <v>2609</v>
      </c>
      <c r="D2242" s="10">
        <v>46050</v>
      </c>
      <c r="E2242" s="10">
        <v>46080</v>
      </c>
      <c r="F2242" s="4">
        <v>11953.07</v>
      </c>
      <c r="G2242" s="3">
        <f>SUMIF(Customer_Payments!B:B,C2242,Customer_Payments!E:E)</f>
        <v>11953.07</v>
      </c>
      <c r="H2242" s="3">
        <f t="shared" ref="H2242:H2305" si="105">MAX(F2242-G2242,0)</f>
        <v>0</v>
      </c>
      <c r="I2242" s="29">
        <f t="shared" ref="I2242:I2305" si="106">$L$2-E2242</f>
        <v>11</v>
      </c>
      <c r="J2242" s="31" t="str">
        <f t="shared" si="104"/>
        <v>1-30</v>
      </c>
      <c r="K2242"/>
    </row>
    <row r="2243" spans="1:11" x14ac:dyDescent="0.3">
      <c r="A2243" s="21" t="s">
        <v>121</v>
      </c>
      <c r="B2243" t="str">
        <f>VLOOKUP(A2243,Customers!A:B,2,FALSE)</f>
        <v>RetailVisionGlobal</v>
      </c>
      <c r="C2243" s="25" t="s">
        <v>2610</v>
      </c>
      <c r="D2243" s="11">
        <v>46004</v>
      </c>
      <c r="E2243" s="11">
        <v>46034</v>
      </c>
      <c r="F2243" s="5">
        <v>11018</v>
      </c>
      <c r="G2243" s="3">
        <f>SUMIF(Customer_Payments!B:B,C2243,Customer_Payments!E:E)</f>
        <v>0</v>
      </c>
      <c r="H2243" s="3">
        <f t="shared" si="105"/>
        <v>11018</v>
      </c>
      <c r="I2243" s="29">
        <f t="shared" si="106"/>
        <v>57</v>
      </c>
      <c r="J2243" s="31" t="str">
        <f t="shared" ref="J2243:J2306" si="107">IF(I2243&lt;=0,"Current",
IF(I2243&lt;=30,"1-30",
IF(I2243&lt;=60,"31-60",
IF(I2243&lt;=90,"61-90","90+"))))</f>
        <v>31-60</v>
      </c>
      <c r="K2243"/>
    </row>
    <row r="2244" spans="1:11" x14ac:dyDescent="0.3">
      <c r="A2244" s="20" t="s">
        <v>61</v>
      </c>
      <c r="B2244" t="str">
        <f>VLOOKUP(A2244,Customers!A:B,2,FALSE)</f>
        <v>RetailOrbit</v>
      </c>
      <c r="C2244" s="24" t="s">
        <v>2611</v>
      </c>
      <c r="D2244" s="10">
        <v>46097</v>
      </c>
      <c r="E2244" s="10">
        <v>46127</v>
      </c>
      <c r="F2244" s="4">
        <v>2419.59</v>
      </c>
      <c r="G2244" s="3">
        <f>SUMIF(Customer_Payments!B:B,C2244,Customer_Payments!E:E)</f>
        <v>2419.59</v>
      </c>
      <c r="H2244" s="3">
        <f t="shared" si="105"/>
        <v>0</v>
      </c>
      <c r="I2244" s="29">
        <f t="shared" si="106"/>
        <v>-36</v>
      </c>
      <c r="J2244" s="31" t="str">
        <f t="shared" si="107"/>
        <v>Current</v>
      </c>
      <c r="K2244"/>
    </row>
    <row r="2245" spans="1:11" x14ac:dyDescent="0.3">
      <c r="A2245" s="21" t="s">
        <v>96</v>
      </c>
      <c r="B2245" t="str">
        <f>VLOOKUP(A2245,Customers!A:B,2,FALSE)</f>
        <v>RetailLabs</v>
      </c>
      <c r="C2245" s="25" t="s">
        <v>2612</v>
      </c>
      <c r="D2245" s="11">
        <v>46037</v>
      </c>
      <c r="E2245" s="11">
        <v>46067</v>
      </c>
      <c r="F2245" s="5">
        <v>2611.4299999999998</v>
      </c>
      <c r="G2245" s="3">
        <f>SUMIF(Customer_Payments!B:B,C2245,Customer_Payments!E:E)</f>
        <v>2611.4299999999998</v>
      </c>
      <c r="H2245" s="3">
        <f t="shared" si="105"/>
        <v>0</v>
      </c>
      <c r="I2245" s="29">
        <f t="shared" si="106"/>
        <v>24</v>
      </c>
      <c r="J2245" s="31" t="str">
        <f t="shared" si="107"/>
        <v>1-30</v>
      </c>
      <c r="K2245"/>
    </row>
    <row r="2246" spans="1:11" x14ac:dyDescent="0.3">
      <c r="A2246" s="20" t="s">
        <v>117</v>
      </c>
      <c r="B2246" t="str">
        <f>VLOOKUP(A2246,Customers!A:B,2,FALSE)</f>
        <v>RetailSparkPro</v>
      </c>
      <c r="C2246" s="24" t="s">
        <v>2613</v>
      </c>
      <c r="D2246" s="10">
        <v>46000</v>
      </c>
      <c r="E2246" s="10">
        <v>46030</v>
      </c>
      <c r="F2246" s="4">
        <v>12983.13</v>
      </c>
      <c r="G2246" s="3">
        <f>SUMIF(Customer_Payments!B:B,C2246,Customer_Payments!E:E)</f>
        <v>0</v>
      </c>
      <c r="H2246" s="3">
        <f t="shared" si="105"/>
        <v>12983.13</v>
      </c>
      <c r="I2246" s="29">
        <f t="shared" si="106"/>
        <v>61</v>
      </c>
      <c r="J2246" s="31" t="str">
        <f t="shared" si="107"/>
        <v>61-90</v>
      </c>
      <c r="K2246"/>
    </row>
    <row r="2247" spans="1:11" x14ac:dyDescent="0.3">
      <c r="A2247" s="21" t="s">
        <v>41</v>
      </c>
      <c r="B2247" t="str">
        <f>VLOOKUP(A2247,Customers!A:B,2,FALSE)</f>
        <v>DynamicRetail</v>
      </c>
      <c r="C2247" s="25" t="s">
        <v>2614</v>
      </c>
      <c r="D2247" s="11">
        <v>46100</v>
      </c>
      <c r="E2247" s="11">
        <v>46130</v>
      </c>
      <c r="F2247" s="5">
        <v>12485.08</v>
      </c>
      <c r="G2247" s="3">
        <f>SUMIF(Customer_Payments!B:B,C2247,Customer_Payments!E:E)</f>
        <v>12485.08</v>
      </c>
      <c r="H2247" s="3">
        <f t="shared" si="105"/>
        <v>0</v>
      </c>
      <c r="I2247" s="29">
        <f t="shared" si="106"/>
        <v>-39</v>
      </c>
      <c r="J2247" s="31" t="str">
        <f t="shared" si="107"/>
        <v>Current</v>
      </c>
      <c r="K2247"/>
    </row>
    <row r="2248" spans="1:11" x14ac:dyDescent="0.3">
      <c r="A2248" s="20" t="s">
        <v>105</v>
      </c>
      <c r="B2248" t="str">
        <f>VLOOKUP(A2248,Customers!A:B,2,FALSE)</f>
        <v>RetailFlowPro</v>
      </c>
      <c r="C2248" s="24" t="s">
        <v>2615</v>
      </c>
      <c r="D2248" s="10">
        <v>46063</v>
      </c>
      <c r="E2248" s="10">
        <v>46093</v>
      </c>
      <c r="F2248" s="4">
        <v>3101.15</v>
      </c>
      <c r="G2248" s="3">
        <f>SUMIF(Customer_Payments!B:B,C2248,Customer_Payments!E:E)</f>
        <v>3101.15</v>
      </c>
      <c r="H2248" s="3">
        <f t="shared" si="105"/>
        <v>0</v>
      </c>
      <c r="I2248" s="29">
        <f t="shared" si="106"/>
        <v>-2</v>
      </c>
      <c r="J2248" s="31" t="str">
        <f t="shared" si="107"/>
        <v>Current</v>
      </c>
      <c r="K2248"/>
    </row>
    <row r="2249" spans="1:11" x14ac:dyDescent="0.3">
      <c r="A2249" s="21" t="s">
        <v>63</v>
      </c>
      <c r="B2249" t="str">
        <f>VLOOKUP(A2249,Customers!A:B,2,FALSE)</f>
        <v>RetailCore</v>
      </c>
      <c r="C2249" s="25" t="s">
        <v>2616</v>
      </c>
      <c r="D2249" s="11">
        <v>46083</v>
      </c>
      <c r="E2249" s="11">
        <v>46113</v>
      </c>
      <c r="F2249" s="5">
        <v>2261.61</v>
      </c>
      <c r="G2249" s="3">
        <f>SUMIF(Customer_Payments!B:B,C2249,Customer_Payments!E:E)</f>
        <v>2261.61</v>
      </c>
      <c r="H2249" s="3">
        <f t="shared" si="105"/>
        <v>0</v>
      </c>
      <c r="I2249" s="29">
        <f t="shared" si="106"/>
        <v>-22</v>
      </c>
      <c r="J2249" s="31" t="str">
        <f t="shared" si="107"/>
        <v>Current</v>
      </c>
      <c r="K2249"/>
    </row>
    <row r="2250" spans="1:11" x14ac:dyDescent="0.3">
      <c r="A2250" s="20" t="s">
        <v>35</v>
      </c>
      <c r="B2250" t="str">
        <f>VLOOKUP(A2250,Customers!A:B,2,FALSE)</f>
        <v>FusionRetail</v>
      </c>
      <c r="C2250" s="24" t="s">
        <v>2617</v>
      </c>
      <c r="D2250" s="10">
        <v>46036</v>
      </c>
      <c r="E2250" s="10">
        <v>46066</v>
      </c>
      <c r="F2250" s="4">
        <v>11513.66</v>
      </c>
      <c r="G2250" s="3">
        <f>SUMIF(Customer_Payments!B:B,C2250,Customer_Payments!E:E)</f>
        <v>11513.66</v>
      </c>
      <c r="H2250" s="3">
        <f t="shared" si="105"/>
        <v>0</v>
      </c>
      <c r="I2250" s="29">
        <f t="shared" si="106"/>
        <v>25</v>
      </c>
      <c r="J2250" s="31" t="str">
        <f t="shared" si="107"/>
        <v>1-30</v>
      </c>
      <c r="K2250"/>
    </row>
    <row r="2251" spans="1:11" x14ac:dyDescent="0.3">
      <c r="A2251" s="21" t="s">
        <v>35</v>
      </c>
      <c r="B2251" t="str">
        <f>VLOOKUP(A2251,Customers!A:B,2,FALSE)</f>
        <v>FusionRetail</v>
      </c>
      <c r="C2251" s="25" t="s">
        <v>2618</v>
      </c>
      <c r="D2251" s="11">
        <v>46007</v>
      </c>
      <c r="E2251" s="11">
        <v>46037</v>
      </c>
      <c r="F2251" s="5">
        <v>2636.27</v>
      </c>
      <c r="G2251" s="3">
        <f>SUMIF(Customer_Payments!B:B,C2251,Customer_Payments!E:E)</f>
        <v>2636.27</v>
      </c>
      <c r="H2251" s="3">
        <f t="shared" si="105"/>
        <v>0</v>
      </c>
      <c r="I2251" s="29">
        <f t="shared" si="106"/>
        <v>54</v>
      </c>
      <c r="J2251" s="31" t="str">
        <f t="shared" si="107"/>
        <v>31-60</v>
      </c>
      <c r="K2251"/>
    </row>
    <row r="2252" spans="1:11" x14ac:dyDescent="0.3">
      <c r="A2252" s="20" t="s">
        <v>21</v>
      </c>
      <c r="B2252" t="str">
        <f>VLOOKUP(A2252,Customers!A:B,2,FALSE)</f>
        <v>InsightLoop</v>
      </c>
      <c r="C2252" s="24" t="s">
        <v>2619</v>
      </c>
      <c r="D2252" s="10">
        <v>46016</v>
      </c>
      <c r="E2252" s="10">
        <v>46046</v>
      </c>
      <c r="F2252" s="4">
        <v>4025.87</v>
      </c>
      <c r="G2252" s="3">
        <f>SUMIF(Customer_Payments!B:B,C2252,Customer_Payments!E:E)</f>
        <v>0</v>
      </c>
      <c r="H2252" s="3">
        <f t="shared" si="105"/>
        <v>4025.87</v>
      </c>
      <c r="I2252" s="29">
        <f t="shared" si="106"/>
        <v>45</v>
      </c>
      <c r="J2252" s="31" t="str">
        <f t="shared" si="107"/>
        <v>31-60</v>
      </c>
      <c r="K2252"/>
    </row>
    <row r="2253" spans="1:11" x14ac:dyDescent="0.3">
      <c r="A2253" s="21" t="s">
        <v>99</v>
      </c>
      <c r="B2253" t="str">
        <f>VLOOKUP(A2253,Customers!A:B,2,FALSE)</f>
        <v>RetailNovaPro</v>
      </c>
      <c r="C2253" s="25" t="s">
        <v>2620</v>
      </c>
      <c r="D2253" s="11">
        <v>46052</v>
      </c>
      <c r="E2253" s="11">
        <v>46082</v>
      </c>
      <c r="F2253" s="5">
        <v>3655.05</v>
      </c>
      <c r="G2253" s="3">
        <f>SUMIF(Customer_Payments!B:B,C2253,Customer_Payments!E:E)</f>
        <v>3655.05</v>
      </c>
      <c r="H2253" s="3">
        <f t="shared" si="105"/>
        <v>0</v>
      </c>
      <c r="I2253" s="29">
        <f t="shared" si="106"/>
        <v>9</v>
      </c>
      <c r="J2253" s="31" t="str">
        <f t="shared" si="107"/>
        <v>1-30</v>
      </c>
      <c r="K2253"/>
    </row>
    <row r="2254" spans="1:11" x14ac:dyDescent="0.3">
      <c r="A2254" s="20" t="s">
        <v>52</v>
      </c>
      <c r="B2254" t="str">
        <f>VLOOKUP(A2254,Customers!A:B,2,FALSE)</f>
        <v>RetailShift</v>
      </c>
      <c r="C2254" s="24" t="s">
        <v>2621</v>
      </c>
      <c r="D2254" s="10">
        <v>46110</v>
      </c>
      <c r="E2254" s="10">
        <v>46140</v>
      </c>
      <c r="F2254" s="4">
        <v>3362.9</v>
      </c>
      <c r="G2254" s="3">
        <f>SUMIF(Customer_Payments!B:B,C2254,Customer_Payments!E:E)</f>
        <v>3362.9</v>
      </c>
      <c r="H2254" s="3">
        <f t="shared" si="105"/>
        <v>0</v>
      </c>
      <c r="I2254" s="29">
        <f t="shared" si="106"/>
        <v>-49</v>
      </c>
      <c r="J2254" s="31" t="str">
        <f t="shared" si="107"/>
        <v>Current</v>
      </c>
      <c r="K2254"/>
    </row>
    <row r="2255" spans="1:11" x14ac:dyDescent="0.3">
      <c r="A2255" s="21" t="s">
        <v>75</v>
      </c>
      <c r="B2255" t="str">
        <f>VLOOKUP(A2255,Customers!A:B,2,FALSE)</f>
        <v>RetailMatrix</v>
      </c>
      <c r="C2255" s="25" t="s">
        <v>2622</v>
      </c>
      <c r="D2255" s="11">
        <v>46090</v>
      </c>
      <c r="E2255" s="11">
        <v>46120</v>
      </c>
      <c r="F2255" s="5">
        <v>2888.85</v>
      </c>
      <c r="G2255" s="3">
        <f>SUMIF(Customer_Payments!B:B,C2255,Customer_Payments!E:E)</f>
        <v>2888.85</v>
      </c>
      <c r="H2255" s="3">
        <f t="shared" si="105"/>
        <v>0</v>
      </c>
      <c r="I2255" s="29">
        <f t="shared" si="106"/>
        <v>-29</v>
      </c>
      <c r="J2255" s="31" t="str">
        <f t="shared" si="107"/>
        <v>Current</v>
      </c>
      <c r="K2255"/>
    </row>
    <row r="2256" spans="1:11" x14ac:dyDescent="0.3">
      <c r="A2256" s="20" t="s">
        <v>98</v>
      </c>
      <c r="B2256" t="str">
        <f>VLOOKUP(A2256,Customers!A:B,2,FALSE)</f>
        <v>RetailEdgePro</v>
      </c>
      <c r="C2256" s="24" t="s">
        <v>2623</v>
      </c>
      <c r="D2256" s="10">
        <v>46064</v>
      </c>
      <c r="E2256" s="10">
        <v>46094</v>
      </c>
      <c r="F2256" s="4">
        <v>5970.43</v>
      </c>
      <c r="G2256" s="3">
        <f>SUMIF(Customer_Payments!B:B,C2256,Customer_Payments!E:E)</f>
        <v>5970.43</v>
      </c>
      <c r="H2256" s="3">
        <f t="shared" si="105"/>
        <v>0</v>
      </c>
      <c r="I2256" s="29">
        <f t="shared" si="106"/>
        <v>-3</v>
      </c>
      <c r="J2256" s="31" t="str">
        <f t="shared" si="107"/>
        <v>Current</v>
      </c>
      <c r="K2256"/>
    </row>
    <row r="2257" spans="1:11" x14ac:dyDescent="0.3">
      <c r="A2257" s="21" t="s">
        <v>34</v>
      </c>
      <c r="B2257" t="str">
        <f>VLOOKUP(A2257,Customers!A:B,2,FALSE)</f>
        <v>OptiCommerce</v>
      </c>
      <c r="C2257" s="25" t="s">
        <v>2624</v>
      </c>
      <c r="D2257" s="11">
        <v>46085</v>
      </c>
      <c r="E2257" s="11">
        <v>46115</v>
      </c>
      <c r="F2257" s="5">
        <v>4580.37</v>
      </c>
      <c r="G2257" s="3">
        <f>SUMIF(Customer_Payments!B:B,C2257,Customer_Payments!E:E)</f>
        <v>4580.37</v>
      </c>
      <c r="H2257" s="3">
        <f t="shared" si="105"/>
        <v>0</v>
      </c>
      <c r="I2257" s="29">
        <f t="shared" si="106"/>
        <v>-24</v>
      </c>
      <c r="J2257" s="31" t="str">
        <f t="shared" si="107"/>
        <v>Current</v>
      </c>
      <c r="K2257"/>
    </row>
    <row r="2258" spans="1:11" x14ac:dyDescent="0.3">
      <c r="A2258" s="20" t="s">
        <v>103</v>
      </c>
      <c r="B2258" t="str">
        <f>VLOOKUP(A2258,Customers!A:B,2,FALSE)</f>
        <v>RetailVisionPro</v>
      </c>
      <c r="C2258" s="24" t="s">
        <v>2625</v>
      </c>
      <c r="D2258" s="10">
        <v>46014</v>
      </c>
      <c r="E2258" s="10">
        <v>46044</v>
      </c>
      <c r="F2258" s="4">
        <v>3826.67</v>
      </c>
      <c r="G2258" s="3">
        <f>SUMIF(Customer_Payments!B:B,C2258,Customer_Payments!E:E)</f>
        <v>0</v>
      </c>
      <c r="H2258" s="3">
        <f t="shared" si="105"/>
        <v>3826.67</v>
      </c>
      <c r="I2258" s="29">
        <f t="shared" si="106"/>
        <v>47</v>
      </c>
      <c r="J2258" s="31" t="str">
        <f t="shared" si="107"/>
        <v>31-60</v>
      </c>
      <c r="K2258"/>
    </row>
    <row r="2259" spans="1:11" x14ac:dyDescent="0.3">
      <c r="A2259" s="21" t="s">
        <v>43</v>
      </c>
      <c r="B2259" t="str">
        <f>VLOOKUP(A2259,Customers!A:B,2,FALSE)</f>
        <v>CommerceSpark</v>
      </c>
      <c r="C2259" s="25" t="s">
        <v>2626</v>
      </c>
      <c r="D2259" s="11">
        <v>46104</v>
      </c>
      <c r="E2259" s="11">
        <v>46134</v>
      </c>
      <c r="F2259" s="5">
        <v>2943.53</v>
      </c>
      <c r="G2259" s="3">
        <f>SUMIF(Customer_Payments!B:B,C2259,Customer_Payments!E:E)</f>
        <v>2943.53</v>
      </c>
      <c r="H2259" s="3">
        <f t="shared" si="105"/>
        <v>0</v>
      </c>
      <c r="I2259" s="29">
        <f t="shared" si="106"/>
        <v>-43</v>
      </c>
      <c r="J2259" s="31" t="str">
        <f t="shared" si="107"/>
        <v>Current</v>
      </c>
      <c r="K2259"/>
    </row>
    <row r="2260" spans="1:11" x14ac:dyDescent="0.3">
      <c r="A2260" s="20" t="s">
        <v>41</v>
      </c>
      <c r="B2260" t="str">
        <f>VLOOKUP(A2260,Customers!A:B,2,FALSE)</f>
        <v>DynamicRetail</v>
      </c>
      <c r="C2260" s="24" t="s">
        <v>2627</v>
      </c>
      <c r="D2260" s="10">
        <v>46083</v>
      </c>
      <c r="E2260" s="10">
        <v>46113</v>
      </c>
      <c r="F2260" s="4">
        <v>2024.24</v>
      </c>
      <c r="G2260" s="3">
        <f>SUMIF(Customer_Payments!B:B,C2260,Customer_Payments!E:E)</f>
        <v>2024.24</v>
      </c>
      <c r="H2260" s="3">
        <f t="shared" si="105"/>
        <v>0</v>
      </c>
      <c r="I2260" s="29">
        <f t="shared" si="106"/>
        <v>-22</v>
      </c>
      <c r="J2260" s="31" t="str">
        <f t="shared" si="107"/>
        <v>Current</v>
      </c>
      <c r="K2260"/>
    </row>
    <row r="2261" spans="1:11" x14ac:dyDescent="0.3">
      <c r="A2261" s="21" t="s">
        <v>23</v>
      </c>
      <c r="B2261" t="str">
        <f>VLOOKUP(A2261,Customers!A:B,2,FALSE)</f>
        <v>VertexCommerce</v>
      </c>
      <c r="C2261" s="25" t="s">
        <v>2628</v>
      </c>
      <c r="D2261" s="11">
        <v>46048</v>
      </c>
      <c r="E2261" s="11">
        <v>46078</v>
      </c>
      <c r="F2261" s="5">
        <v>1529.02</v>
      </c>
      <c r="G2261" s="3">
        <f>SUMIF(Customer_Payments!B:B,C2261,Customer_Payments!E:E)</f>
        <v>1529.02</v>
      </c>
      <c r="H2261" s="3">
        <f t="shared" si="105"/>
        <v>0</v>
      </c>
      <c r="I2261" s="29">
        <f t="shared" si="106"/>
        <v>13</v>
      </c>
      <c r="J2261" s="31" t="str">
        <f t="shared" si="107"/>
        <v>1-30</v>
      </c>
      <c r="K2261"/>
    </row>
    <row r="2262" spans="1:11" x14ac:dyDescent="0.3">
      <c r="A2262" s="20" t="s">
        <v>71</v>
      </c>
      <c r="B2262" t="str">
        <f>VLOOKUP(A2262,Customers!A:B,2,FALSE)</f>
        <v>RetailPulse</v>
      </c>
      <c r="C2262" s="24" t="s">
        <v>2629</v>
      </c>
      <c r="D2262" s="10">
        <v>46032</v>
      </c>
      <c r="E2262" s="10">
        <v>46062</v>
      </c>
      <c r="F2262" s="4">
        <v>2071.17</v>
      </c>
      <c r="G2262" s="3">
        <f>SUMIF(Customer_Payments!B:B,C2262,Customer_Payments!E:E)</f>
        <v>2071.17</v>
      </c>
      <c r="H2262" s="3">
        <f t="shared" si="105"/>
        <v>0</v>
      </c>
      <c r="I2262" s="29">
        <f t="shared" si="106"/>
        <v>29</v>
      </c>
      <c r="J2262" s="31" t="str">
        <f t="shared" si="107"/>
        <v>1-30</v>
      </c>
      <c r="K2262"/>
    </row>
    <row r="2263" spans="1:11" x14ac:dyDescent="0.3">
      <c r="A2263" s="21" t="s">
        <v>102</v>
      </c>
      <c r="B2263" t="str">
        <f>VLOOKUP(A2263,Customers!A:B,2,FALSE)</f>
        <v>RetailPrimePro</v>
      </c>
      <c r="C2263" s="25" t="s">
        <v>2630</v>
      </c>
      <c r="D2263" s="11">
        <v>46058</v>
      </c>
      <c r="E2263" s="11">
        <v>46088</v>
      </c>
      <c r="F2263" s="5">
        <v>1946.51</v>
      </c>
      <c r="G2263" s="3">
        <f>SUMIF(Customer_Payments!B:B,C2263,Customer_Payments!E:E)</f>
        <v>1946.51</v>
      </c>
      <c r="H2263" s="3">
        <f t="shared" si="105"/>
        <v>0</v>
      </c>
      <c r="I2263" s="29">
        <f t="shared" si="106"/>
        <v>3</v>
      </c>
      <c r="J2263" s="31" t="str">
        <f t="shared" si="107"/>
        <v>1-30</v>
      </c>
      <c r="K2263"/>
    </row>
    <row r="2264" spans="1:11" x14ac:dyDescent="0.3">
      <c r="A2264" s="20" t="s">
        <v>108</v>
      </c>
      <c r="B2264" t="str">
        <f>VLOOKUP(A2264,Customers!A:B,2,FALSE)</f>
        <v>RetailNextPro</v>
      </c>
      <c r="C2264" s="24" t="s">
        <v>2631</v>
      </c>
      <c r="D2264" s="10">
        <v>45979</v>
      </c>
      <c r="E2264" s="10">
        <v>46009</v>
      </c>
      <c r="F2264" s="4">
        <v>3646.82</v>
      </c>
      <c r="G2264" s="3">
        <f>SUMIF(Customer_Payments!B:B,C2264,Customer_Payments!E:E)</f>
        <v>3646.82</v>
      </c>
      <c r="H2264" s="3">
        <f t="shared" si="105"/>
        <v>0</v>
      </c>
      <c r="I2264" s="29">
        <f t="shared" si="106"/>
        <v>82</v>
      </c>
      <c r="J2264" s="31" t="str">
        <f t="shared" si="107"/>
        <v>61-90</v>
      </c>
      <c r="K2264"/>
    </row>
    <row r="2265" spans="1:11" x14ac:dyDescent="0.3">
      <c r="A2265" s="21" t="s">
        <v>61</v>
      </c>
      <c r="B2265" t="str">
        <f>VLOOKUP(A2265,Customers!A:B,2,FALSE)</f>
        <v>RetailOrbit</v>
      </c>
      <c r="C2265" s="25" t="s">
        <v>2632</v>
      </c>
      <c r="D2265" s="11">
        <v>45973</v>
      </c>
      <c r="E2265" s="11">
        <v>46003</v>
      </c>
      <c r="F2265" s="5">
        <v>10532.56</v>
      </c>
      <c r="G2265" s="3">
        <f>SUMIF(Customer_Payments!B:B,C2265,Customer_Payments!E:E)</f>
        <v>0</v>
      </c>
      <c r="H2265" s="3">
        <f t="shared" si="105"/>
        <v>10532.56</v>
      </c>
      <c r="I2265" s="29">
        <f t="shared" si="106"/>
        <v>88</v>
      </c>
      <c r="J2265" s="31" t="str">
        <f t="shared" si="107"/>
        <v>61-90</v>
      </c>
      <c r="K2265"/>
    </row>
    <row r="2266" spans="1:11" x14ac:dyDescent="0.3">
      <c r="A2266" s="20" t="s">
        <v>19</v>
      </c>
      <c r="B2266" t="str">
        <f>VLOOKUP(A2266,Customers!A:B,2,FALSE)</f>
        <v>NextWave Digital</v>
      </c>
      <c r="C2266" s="24" t="s">
        <v>2633</v>
      </c>
      <c r="D2266" s="10">
        <v>46014</v>
      </c>
      <c r="E2266" s="10">
        <v>46044</v>
      </c>
      <c r="F2266" s="4">
        <v>3840.88</v>
      </c>
      <c r="G2266" s="3">
        <f>SUMIF(Customer_Payments!B:B,C2266,Customer_Payments!E:E)</f>
        <v>3840.88</v>
      </c>
      <c r="H2266" s="3">
        <f t="shared" si="105"/>
        <v>0</v>
      </c>
      <c r="I2266" s="29">
        <f t="shared" si="106"/>
        <v>47</v>
      </c>
      <c r="J2266" s="31" t="str">
        <f t="shared" si="107"/>
        <v>31-60</v>
      </c>
      <c r="K2266"/>
    </row>
    <row r="2267" spans="1:11" x14ac:dyDescent="0.3">
      <c r="A2267" s="21" t="s">
        <v>61</v>
      </c>
      <c r="B2267" t="str">
        <f>VLOOKUP(A2267,Customers!A:B,2,FALSE)</f>
        <v>RetailOrbit</v>
      </c>
      <c r="C2267" s="25" t="s">
        <v>2634</v>
      </c>
      <c r="D2267" s="11">
        <v>45972</v>
      </c>
      <c r="E2267" s="11">
        <v>46002</v>
      </c>
      <c r="F2267" s="5">
        <v>2969.26</v>
      </c>
      <c r="G2267" s="3">
        <f>SUMIF(Customer_Payments!B:B,C2267,Customer_Payments!E:E)</f>
        <v>2969.26</v>
      </c>
      <c r="H2267" s="3">
        <f t="shared" si="105"/>
        <v>0</v>
      </c>
      <c r="I2267" s="29">
        <f t="shared" si="106"/>
        <v>89</v>
      </c>
      <c r="J2267" s="31" t="str">
        <f t="shared" si="107"/>
        <v>61-90</v>
      </c>
      <c r="K2267"/>
    </row>
    <row r="2268" spans="1:11" x14ac:dyDescent="0.3">
      <c r="A2268" s="20" t="s">
        <v>43</v>
      </c>
      <c r="B2268" t="str">
        <f>VLOOKUP(A2268,Customers!A:B,2,FALSE)</f>
        <v>CommerceSpark</v>
      </c>
      <c r="C2268" s="24" t="s">
        <v>2635</v>
      </c>
      <c r="D2268" s="10">
        <v>46055</v>
      </c>
      <c r="E2268" s="10">
        <v>46085</v>
      </c>
      <c r="F2268" s="4">
        <v>2666.7</v>
      </c>
      <c r="G2268" s="3">
        <f>SUMIF(Customer_Payments!B:B,C2268,Customer_Payments!E:E)</f>
        <v>2666.7</v>
      </c>
      <c r="H2268" s="3">
        <f t="shared" si="105"/>
        <v>0</v>
      </c>
      <c r="I2268" s="29">
        <f t="shared" si="106"/>
        <v>6</v>
      </c>
      <c r="J2268" s="31" t="str">
        <f t="shared" si="107"/>
        <v>1-30</v>
      </c>
      <c r="K2268"/>
    </row>
    <row r="2269" spans="1:11" x14ac:dyDescent="0.3">
      <c r="A2269" s="21" t="s">
        <v>70</v>
      </c>
      <c r="B2269" t="str">
        <f>VLOOKUP(A2269,Customers!A:B,2,FALSE)</f>
        <v>RetailPath</v>
      </c>
      <c r="C2269" s="25" t="s">
        <v>2636</v>
      </c>
      <c r="D2269" s="11">
        <v>45986</v>
      </c>
      <c r="E2269" s="11">
        <v>46016</v>
      </c>
      <c r="F2269" s="5">
        <v>1823.91</v>
      </c>
      <c r="G2269" s="3">
        <f>SUMIF(Customer_Payments!B:B,C2269,Customer_Payments!E:E)</f>
        <v>1823.91</v>
      </c>
      <c r="H2269" s="3">
        <f t="shared" si="105"/>
        <v>0</v>
      </c>
      <c r="I2269" s="29">
        <f t="shared" si="106"/>
        <v>75</v>
      </c>
      <c r="J2269" s="31" t="str">
        <f t="shared" si="107"/>
        <v>61-90</v>
      </c>
      <c r="K2269"/>
    </row>
    <row r="2270" spans="1:11" x14ac:dyDescent="0.3">
      <c r="A2270" s="20" t="s">
        <v>64</v>
      </c>
      <c r="B2270" t="str">
        <f>VLOOKUP(A2270,Customers!A:B,2,FALSE)</f>
        <v>MarketScale</v>
      </c>
      <c r="C2270" s="24" t="s">
        <v>2637</v>
      </c>
      <c r="D2270" s="10">
        <v>45989</v>
      </c>
      <c r="E2270" s="10">
        <v>46019</v>
      </c>
      <c r="F2270" s="4">
        <v>1723.42</v>
      </c>
      <c r="G2270" s="3">
        <f>SUMIF(Customer_Payments!B:B,C2270,Customer_Payments!E:E)</f>
        <v>1723.42</v>
      </c>
      <c r="H2270" s="3">
        <f t="shared" si="105"/>
        <v>0</v>
      </c>
      <c r="I2270" s="29">
        <f t="shared" si="106"/>
        <v>72</v>
      </c>
      <c r="J2270" s="31" t="str">
        <f t="shared" si="107"/>
        <v>61-90</v>
      </c>
      <c r="K2270"/>
    </row>
    <row r="2271" spans="1:11" x14ac:dyDescent="0.3">
      <c r="A2271" s="21" t="s">
        <v>64</v>
      </c>
      <c r="B2271" t="str">
        <f>VLOOKUP(A2271,Customers!A:B,2,FALSE)</f>
        <v>MarketScale</v>
      </c>
      <c r="C2271" s="25" t="s">
        <v>2638</v>
      </c>
      <c r="D2271" s="11">
        <v>46057</v>
      </c>
      <c r="E2271" s="11">
        <v>46087</v>
      </c>
      <c r="F2271" s="5">
        <v>5155.76</v>
      </c>
      <c r="G2271" s="3">
        <f>SUMIF(Customer_Payments!B:B,C2271,Customer_Payments!E:E)</f>
        <v>0</v>
      </c>
      <c r="H2271" s="3">
        <f t="shared" si="105"/>
        <v>5155.76</v>
      </c>
      <c r="I2271" s="29">
        <f t="shared" si="106"/>
        <v>4</v>
      </c>
      <c r="J2271" s="31" t="str">
        <f t="shared" si="107"/>
        <v>1-30</v>
      </c>
      <c r="K2271"/>
    </row>
    <row r="2272" spans="1:11" x14ac:dyDescent="0.3">
      <c r="A2272" s="20" t="s">
        <v>25</v>
      </c>
      <c r="B2272" t="str">
        <f>VLOOKUP(A2272,Customers!A:B,2,FALSE)</f>
        <v>OrbitEdge</v>
      </c>
      <c r="C2272" s="24" t="s">
        <v>2639</v>
      </c>
      <c r="D2272" s="10">
        <v>45982</v>
      </c>
      <c r="E2272" s="10">
        <v>46012</v>
      </c>
      <c r="F2272" s="4">
        <v>2476.81</v>
      </c>
      <c r="G2272" s="3">
        <f>SUMIF(Customer_Payments!B:B,C2272,Customer_Payments!E:E)</f>
        <v>2476.81</v>
      </c>
      <c r="H2272" s="3">
        <f t="shared" si="105"/>
        <v>0</v>
      </c>
      <c r="I2272" s="29">
        <f t="shared" si="106"/>
        <v>79</v>
      </c>
      <c r="J2272" s="31" t="str">
        <f t="shared" si="107"/>
        <v>61-90</v>
      </c>
      <c r="K2272"/>
    </row>
    <row r="2273" spans="1:11" x14ac:dyDescent="0.3">
      <c r="A2273" s="21" t="s">
        <v>117</v>
      </c>
      <c r="B2273" t="str">
        <f>VLOOKUP(A2273,Customers!A:B,2,FALSE)</f>
        <v>RetailSparkPro</v>
      </c>
      <c r="C2273" s="25" t="s">
        <v>2640</v>
      </c>
      <c r="D2273" s="11">
        <v>46070</v>
      </c>
      <c r="E2273" s="11">
        <v>46100</v>
      </c>
      <c r="F2273" s="5">
        <v>2142.59</v>
      </c>
      <c r="G2273" s="3">
        <f>SUMIF(Customer_Payments!B:B,C2273,Customer_Payments!E:E)</f>
        <v>2142.59</v>
      </c>
      <c r="H2273" s="3">
        <f t="shared" si="105"/>
        <v>0</v>
      </c>
      <c r="I2273" s="29">
        <f t="shared" si="106"/>
        <v>-9</v>
      </c>
      <c r="J2273" s="31" t="str">
        <f t="shared" si="107"/>
        <v>Current</v>
      </c>
      <c r="K2273"/>
    </row>
    <row r="2274" spans="1:11" x14ac:dyDescent="0.3">
      <c r="A2274" s="20" t="s">
        <v>114</v>
      </c>
      <c r="B2274" t="str">
        <f>VLOOKUP(A2274,Customers!A:B,2,FALSE)</f>
        <v>RetailScalePro</v>
      </c>
      <c r="C2274" s="24" t="s">
        <v>2641</v>
      </c>
      <c r="D2274" s="10">
        <v>46074</v>
      </c>
      <c r="E2274" s="10">
        <v>46104</v>
      </c>
      <c r="F2274" s="4">
        <v>12448.37</v>
      </c>
      <c r="G2274" s="3">
        <f>SUMIF(Customer_Payments!B:B,C2274,Customer_Payments!E:E)</f>
        <v>12448.37</v>
      </c>
      <c r="H2274" s="3">
        <f t="shared" si="105"/>
        <v>0</v>
      </c>
      <c r="I2274" s="29">
        <f t="shared" si="106"/>
        <v>-13</v>
      </c>
      <c r="J2274" s="31" t="str">
        <f t="shared" si="107"/>
        <v>Current</v>
      </c>
      <c r="K2274"/>
    </row>
    <row r="2275" spans="1:11" x14ac:dyDescent="0.3">
      <c r="A2275" s="21" t="s">
        <v>14</v>
      </c>
      <c r="B2275" t="str">
        <f>VLOOKUP(A2275,Customers!A:B,2,FALSE)</f>
        <v>MarketPulse</v>
      </c>
      <c r="C2275" s="25" t="s">
        <v>2642</v>
      </c>
      <c r="D2275" s="11">
        <v>46061</v>
      </c>
      <c r="E2275" s="11">
        <v>46091</v>
      </c>
      <c r="F2275" s="5">
        <v>12112.35</v>
      </c>
      <c r="G2275" s="3">
        <f>SUMIF(Customer_Payments!B:B,C2275,Customer_Payments!E:E)</f>
        <v>0</v>
      </c>
      <c r="H2275" s="3">
        <f t="shared" si="105"/>
        <v>12112.35</v>
      </c>
      <c r="I2275" s="29">
        <f t="shared" si="106"/>
        <v>0</v>
      </c>
      <c r="J2275" s="31" t="str">
        <f t="shared" si="107"/>
        <v>Current</v>
      </c>
      <c r="K2275"/>
    </row>
    <row r="2276" spans="1:11" x14ac:dyDescent="0.3">
      <c r="A2276" s="20" t="s">
        <v>26</v>
      </c>
      <c r="B2276" t="str">
        <f>VLOOKUP(A2276,Customers!A:B,2,FALSE)</f>
        <v>NovaRetail</v>
      </c>
      <c r="C2276" s="24" t="s">
        <v>2643</v>
      </c>
      <c r="D2276" s="10">
        <v>46112</v>
      </c>
      <c r="E2276" s="10">
        <v>46142</v>
      </c>
      <c r="F2276" s="4">
        <v>10809.71</v>
      </c>
      <c r="G2276" s="3">
        <f>SUMIF(Customer_Payments!B:B,C2276,Customer_Payments!E:E)</f>
        <v>10809.71</v>
      </c>
      <c r="H2276" s="3">
        <f t="shared" si="105"/>
        <v>0</v>
      </c>
      <c r="I2276" s="29">
        <f t="shared" si="106"/>
        <v>-51</v>
      </c>
      <c r="J2276" s="31" t="str">
        <f t="shared" si="107"/>
        <v>Current</v>
      </c>
      <c r="K2276"/>
    </row>
    <row r="2277" spans="1:11" x14ac:dyDescent="0.3">
      <c r="A2277" s="21" t="s">
        <v>7</v>
      </c>
      <c r="B2277" t="str">
        <f>VLOOKUP(A2277,Customers!A:B,2,FALSE)</f>
        <v>BrightCart</v>
      </c>
      <c r="C2277" s="25" t="s">
        <v>2644</v>
      </c>
      <c r="D2277" s="11">
        <v>46001</v>
      </c>
      <c r="E2277" s="11">
        <v>46031</v>
      </c>
      <c r="F2277" s="5">
        <v>2785.73</v>
      </c>
      <c r="G2277" s="3">
        <f>SUMIF(Customer_Payments!B:B,C2277,Customer_Payments!E:E)</f>
        <v>2785.73</v>
      </c>
      <c r="H2277" s="3">
        <f t="shared" si="105"/>
        <v>0</v>
      </c>
      <c r="I2277" s="29">
        <f t="shared" si="106"/>
        <v>60</v>
      </c>
      <c r="J2277" s="31" t="str">
        <f t="shared" si="107"/>
        <v>31-60</v>
      </c>
      <c r="K2277"/>
    </row>
    <row r="2278" spans="1:11" x14ac:dyDescent="0.3">
      <c r="A2278" s="20" t="s">
        <v>76</v>
      </c>
      <c r="B2278" t="str">
        <f>VLOOKUP(A2278,Customers!A:B,2,FALSE)</f>
        <v>RetailSphere</v>
      </c>
      <c r="C2278" s="24" t="s">
        <v>2645</v>
      </c>
      <c r="D2278" s="10">
        <v>46022</v>
      </c>
      <c r="E2278" s="10">
        <v>46052</v>
      </c>
      <c r="F2278" s="4">
        <v>2690.4</v>
      </c>
      <c r="G2278" s="3">
        <f>SUMIF(Customer_Payments!B:B,C2278,Customer_Payments!E:E)</f>
        <v>0</v>
      </c>
      <c r="H2278" s="3">
        <f t="shared" si="105"/>
        <v>2690.4</v>
      </c>
      <c r="I2278" s="29">
        <f t="shared" si="106"/>
        <v>39</v>
      </c>
      <c r="J2278" s="31" t="str">
        <f t="shared" si="107"/>
        <v>31-60</v>
      </c>
      <c r="K2278"/>
    </row>
    <row r="2279" spans="1:11" x14ac:dyDescent="0.3">
      <c r="A2279" s="21" t="s">
        <v>97</v>
      </c>
      <c r="B2279" t="str">
        <f>VLOOKUP(A2279,Customers!A:B,2,FALSE)</f>
        <v>RetailSparkX</v>
      </c>
      <c r="C2279" s="25" t="s">
        <v>2646</v>
      </c>
      <c r="D2279" s="11">
        <v>45993</v>
      </c>
      <c r="E2279" s="11">
        <v>46023</v>
      </c>
      <c r="F2279" s="5">
        <v>11102.48</v>
      </c>
      <c r="G2279" s="3">
        <f>SUMIF(Customer_Payments!B:B,C2279,Customer_Payments!E:E)</f>
        <v>11102.48</v>
      </c>
      <c r="H2279" s="3">
        <f t="shared" si="105"/>
        <v>0</v>
      </c>
      <c r="I2279" s="29">
        <f t="shared" si="106"/>
        <v>68</v>
      </c>
      <c r="J2279" s="31" t="str">
        <f t="shared" si="107"/>
        <v>61-90</v>
      </c>
      <c r="K2279"/>
    </row>
    <row r="2280" spans="1:11" x14ac:dyDescent="0.3">
      <c r="A2280" s="20" t="s">
        <v>17</v>
      </c>
      <c r="B2280" t="str">
        <f>VLOOKUP(A2280,Customers!A:B,2,FALSE)</f>
        <v>AlphaCommerce</v>
      </c>
      <c r="C2280" s="24" t="s">
        <v>2647</v>
      </c>
      <c r="D2280" s="10">
        <v>46037</v>
      </c>
      <c r="E2280" s="10">
        <v>46067</v>
      </c>
      <c r="F2280" s="4">
        <v>12069.27</v>
      </c>
      <c r="G2280" s="3">
        <f>SUMIF(Customer_Payments!B:B,C2280,Customer_Payments!E:E)</f>
        <v>0</v>
      </c>
      <c r="H2280" s="3">
        <f t="shared" si="105"/>
        <v>12069.27</v>
      </c>
      <c r="I2280" s="29">
        <f t="shared" si="106"/>
        <v>24</v>
      </c>
      <c r="J2280" s="31" t="str">
        <f t="shared" si="107"/>
        <v>1-30</v>
      </c>
      <c r="K2280"/>
    </row>
    <row r="2281" spans="1:11" x14ac:dyDescent="0.3">
      <c r="A2281" s="21" t="s">
        <v>8</v>
      </c>
      <c r="B2281" t="str">
        <f>VLOOKUP(A2281,Customers!A:B,2,FALSE)</f>
        <v>NexaSoft</v>
      </c>
      <c r="C2281" s="25" t="s">
        <v>2648</v>
      </c>
      <c r="D2281" s="11">
        <v>46079</v>
      </c>
      <c r="E2281" s="11">
        <v>46109</v>
      </c>
      <c r="F2281" s="5">
        <v>2910.84</v>
      </c>
      <c r="G2281" s="3">
        <f>SUMIF(Customer_Payments!B:B,C2281,Customer_Payments!E:E)</f>
        <v>2910.84</v>
      </c>
      <c r="H2281" s="3">
        <f t="shared" si="105"/>
        <v>0</v>
      </c>
      <c r="I2281" s="29">
        <f t="shared" si="106"/>
        <v>-18</v>
      </c>
      <c r="J2281" s="31" t="str">
        <f t="shared" si="107"/>
        <v>Current</v>
      </c>
      <c r="K2281"/>
    </row>
    <row r="2282" spans="1:11" x14ac:dyDescent="0.3">
      <c r="A2282" s="20" t="s">
        <v>118</v>
      </c>
      <c r="B2282" t="str">
        <f>VLOOKUP(A2282,Customers!A:B,2,FALSE)</f>
        <v>RetailEdgeGlobal</v>
      </c>
      <c r="C2282" s="24" t="s">
        <v>2649</v>
      </c>
      <c r="D2282" s="10">
        <v>46004</v>
      </c>
      <c r="E2282" s="10">
        <v>46034</v>
      </c>
      <c r="F2282" s="4">
        <v>5039.88</v>
      </c>
      <c r="G2282" s="3">
        <f>SUMIF(Customer_Payments!B:B,C2282,Customer_Payments!E:E)</f>
        <v>5039.88</v>
      </c>
      <c r="H2282" s="3">
        <f t="shared" si="105"/>
        <v>0</v>
      </c>
      <c r="I2282" s="29">
        <f t="shared" si="106"/>
        <v>57</v>
      </c>
      <c r="J2282" s="31" t="str">
        <f t="shared" si="107"/>
        <v>31-60</v>
      </c>
      <c r="K2282"/>
    </row>
    <row r="2283" spans="1:11" x14ac:dyDescent="0.3">
      <c r="A2283" s="21" t="s">
        <v>109</v>
      </c>
      <c r="B2283" t="str">
        <f>VLOOKUP(A2283,Customers!A:B,2,FALSE)</f>
        <v>RetailStreamPro</v>
      </c>
      <c r="C2283" s="25" t="s">
        <v>2650</v>
      </c>
      <c r="D2283" s="11">
        <v>46095</v>
      </c>
      <c r="E2283" s="11">
        <v>46125</v>
      </c>
      <c r="F2283" s="5">
        <v>2446.87</v>
      </c>
      <c r="G2283" s="3">
        <f>SUMIF(Customer_Payments!B:B,C2283,Customer_Payments!E:E)</f>
        <v>2446.87</v>
      </c>
      <c r="H2283" s="3">
        <f t="shared" si="105"/>
        <v>0</v>
      </c>
      <c r="I2283" s="29">
        <f t="shared" si="106"/>
        <v>-34</v>
      </c>
      <c r="J2283" s="31" t="str">
        <f t="shared" si="107"/>
        <v>Current</v>
      </c>
      <c r="K2283"/>
    </row>
    <row r="2284" spans="1:11" x14ac:dyDescent="0.3">
      <c r="A2284" s="20" t="s">
        <v>8</v>
      </c>
      <c r="B2284" t="str">
        <f>VLOOKUP(A2284,Customers!A:B,2,FALSE)</f>
        <v>NexaSoft</v>
      </c>
      <c r="C2284" s="24" t="s">
        <v>2651</v>
      </c>
      <c r="D2284" s="10">
        <v>46033</v>
      </c>
      <c r="E2284" s="10">
        <v>46063</v>
      </c>
      <c r="F2284" s="4">
        <v>3482.07</v>
      </c>
      <c r="G2284" s="3">
        <f>SUMIF(Customer_Payments!B:B,C2284,Customer_Payments!E:E)</f>
        <v>3482.07</v>
      </c>
      <c r="H2284" s="3">
        <f t="shared" si="105"/>
        <v>0</v>
      </c>
      <c r="I2284" s="29">
        <f t="shared" si="106"/>
        <v>28</v>
      </c>
      <c r="J2284" s="31" t="str">
        <f t="shared" si="107"/>
        <v>1-30</v>
      </c>
      <c r="K2284"/>
    </row>
    <row r="2285" spans="1:11" x14ac:dyDescent="0.3">
      <c r="A2285" s="21" t="s">
        <v>93</v>
      </c>
      <c r="B2285" t="str">
        <f>VLOOKUP(A2285,Customers!A:B,2,FALSE)</f>
        <v>RetailSphereX</v>
      </c>
      <c r="C2285" s="25" t="s">
        <v>2652</v>
      </c>
      <c r="D2285" s="11">
        <v>46081</v>
      </c>
      <c r="E2285" s="11">
        <v>46111</v>
      </c>
      <c r="F2285" s="5">
        <v>2117.58</v>
      </c>
      <c r="G2285" s="3">
        <f>SUMIF(Customer_Payments!B:B,C2285,Customer_Payments!E:E)</f>
        <v>0</v>
      </c>
      <c r="H2285" s="3">
        <f t="shared" si="105"/>
        <v>2117.58</v>
      </c>
      <c r="I2285" s="29">
        <f t="shared" si="106"/>
        <v>-20</v>
      </c>
      <c r="J2285" s="31" t="str">
        <f t="shared" si="107"/>
        <v>Current</v>
      </c>
      <c r="K2285"/>
    </row>
    <row r="2286" spans="1:11" x14ac:dyDescent="0.3">
      <c r="A2286" s="20" t="s">
        <v>28</v>
      </c>
      <c r="B2286" t="str">
        <f>VLOOKUP(A2286,Customers!A:B,2,FALSE)</f>
        <v>FutureCart</v>
      </c>
      <c r="C2286" s="24" t="s">
        <v>2653</v>
      </c>
      <c r="D2286" s="10">
        <v>46069</v>
      </c>
      <c r="E2286" s="10">
        <v>46099</v>
      </c>
      <c r="F2286" s="4">
        <v>2522.48</v>
      </c>
      <c r="G2286" s="3">
        <f>SUMIF(Customer_Payments!B:B,C2286,Customer_Payments!E:E)</f>
        <v>2522.48</v>
      </c>
      <c r="H2286" s="3">
        <f t="shared" si="105"/>
        <v>0</v>
      </c>
      <c r="I2286" s="29">
        <f t="shared" si="106"/>
        <v>-8</v>
      </c>
      <c r="J2286" s="31" t="str">
        <f t="shared" si="107"/>
        <v>Current</v>
      </c>
      <c r="K2286"/>
    </row>
    <row r="2287" spans="1:11" x14ac:dyDescent="0.3">
      <c r="A2287" s="21" t="s">
        <v>98</v>
      </c>
      <c r="B2287" t="str">
        <f>VLOOKUP(A2287,Customers!A:B,2,FALSE)</f>
        <v>RetailEdgePro</v>
      </c>
      <c r="C2287" s="25" t="s">
        <v>2654</v>
      </c>
      <c r="D2287" s="11">
        <v>46044</v>
      </c>
      <c r="E2287" s="11">
        <v>46074</v>
      </c>
      <c r="F2287" s="5">
        <v>4580.3900000000003</v>
      </c>
      <c r="G2287" s="3">
        <f>SUMIF(Customer_Payments!B:B,C2287,Customer_Payments!E:E)</f>
        <v>0</v>
      </c>
      <c r="H2287" s="3">
        <f t="shared" si="105"/>
        <v>4580.3900000000003</v>
      </c>
      <c r="I2287" s="29">
        <f t="shared" si="106"/>
        <v>17</v>
      </c>
      <c r="J2287" s="31" t="str">
        <f t="shared" si="107"/>
        <v>1-30</v>
      </c>
      <c r="K2287"/>
    </row>
    <row r="2288" spans="1:11" x14ac:dyDescent="0.3">
      <c r="A2288" s="20" t="s">
        <v>49</v>
      </c>
      <c r="B2288" t="str">
        <f>VLOOKUP(A2288,Customers!A:B,2,FALSE)</f>
        <v>CommercePilot</v>
      </c>
      <c r="C2288" s="24" t="s">
        <v>2655</v>
      </c>
      <c r="D2288" s="10">
        <v>46015</v>
      </c>
      <c r="E2288" s="10">
        <v>46045</v>
      </c>
      <c r="F2288" s="4">
        <v>2519.38</v>
      </c>
      <c r="G2288" s="3">
        <f>SUMIF(Customer_Payments!B:B,C2288,Customer_Payments!E:E)</f>
        <v>2519.38</v>
      </c>
      <c r="H2288" s="3">
        <f t="shared" si="105"/>
        <v>0</v>
      </c>
      <c r="I2288" s="29">
        <f t="shared" si="106"/>
        <v>46</v>
      </c>
      <c r="J2288" s="31" t="str">
        <f t="shared" si="107"/>
        <v>31-60</v>
      </c>
      <c r="K2288"/>
    </row>
    <row r="2289" spans="1:11" x14ac:dyDescent="0.3">
      <c r="A2289" s="21" t="s">
        <v>98</v>
      </c>
      <c r="B2289" t="str">
        <f>VLOOKUP(A2289,Customers!A:B,2,FALSE)</f>
        <v>RetailEdgePro</v>
      </c>
      <c r="C2289" s="25" t="s">
        <v>2656</v>
      </c>
      <c r="D2289" s="11">
        <v>45995</v>
      </c>
      <c r="E2289" s="11">
        <v>46025</v>
      </c>
      <c r="F2289" s="5">
        <v>1958.49</v>
      </c>
      <c r="G2289" s="3">
        <f>SUMIF(Customer_Payments!B:B,C2289,Customer_Payments!E:E)</f>
        <v>1958.49</v>
      </c>
      <c r="H2289" s="3">
        <f t="shared" si="105"/>
        <v>0</v>
      </c>
      <c r="I2289" s="29">
        <f t="shared" si="106"/>
        <v>66</v>
      </c>
      <c r="J2289" s="31" t="str">
        <f t="shared" si="107"/>
        <v>61-90</v>
      </c>
      <c r="K2289"/>
    </row>
    <row r="2290" spans="1:11" x14ac:dyDescent="0.3">
      <c r="A2290" s="20" t="s">
        <v>15</v>
      </c>
      <c r="B2290" t="str">
        <f>VLOOKUP(A2290,Customers!A:B,2,FALSE)</f>
        <v>CloudScale</v>
      </c>
      <c r="C2290" s="24" t="s">
        <v>2657</v>
      </c>
      <c r="D2290" s="10">
        <v>46037</v>
      </c>
      <c r="E2290" s="10">
        <v>46067</v>
      </c>
      <c r="F2290" s="4">
        <v>9647.14</v>
      </c>
      <c r="G2290" s="3">
        <f>SUMIF(Customer_Payments!B:B,C2290,Customer_Payments!E:E)</f>
        <v>9647.14</v>
      </c>
      <c r="H2290" s="3">
        <f t="shared" si="105"/>
        <v>0</v>
      </c>
      <c r="I2290" s="29">
        <f t="shared" si="106"/>
        <v>24</v>
      </c>
      <c r="J2290" s="31" t="str">
        <f t="shared" si="107"/>
        <v>1-30</v>
      </c>
      <c r="K2290"/>
    </row>
    <row r="2291" spans="1:11" x14ac:dyDescent="0.3">
      <c r="A2291" s="21" t="s">
        <v>75</v>
      </c>
      <c r="B2291" t="str">
        <f>VLOOKUP(A2291,Customers!A:B,2,FALSE)</f>
        <v>RetailMatrix</v>
      </c>
      <c r="C2291" s="25" t="s">
        <v>2658</v>
      </c>
      <c r="D2291" s="11">
        <v>46040</v>
      </c>
      <c r="E2291" s="11">
        <v>46070</v>
      </c>
      <c r="F2291" s="5">
        <v>2774.21</v>
      </c>
      <c r="G2291" s="3">
        <f>SUMIF(Customer_Payments!B:B,C2291,Customer_Payments!E:E)</f>
        <v>2774.21</v>
      </c>
      <c r="H2291" s="3">
        <f t="shared" si="105"/>
        <v>0</v>
      </c>
      <c r="I2291" s="29">
        <f t="shared" si="106"/>
        <v>21</v>
      </c>
      <c r="J2291" s="31" t="str">
        <f t="shared" si="107"/>
        <v>1-30</v>
      </c>
      <c r="K2291"/>
    </row>
    <row r="2292" spans="1:11" x14ac:dyDescent="0.3">
      <c r="A2292" s="20" t="s">
        <v>27</v>
      </c>
      <c r="B2292" t="str">
        <f>VLOOKUP(A2292,Customers!A:B,2,FALSE)</f>
        <v>Skyline Commerce</v>
      </c>
      <c r="C2292" s="24" t="s">
        <v>2659</v>
      </c>
      <c r="D2292" s="10">
        <v>45986</v>
      </c>
      <c r="E2292" s="10">
        <v>46016</v>
      </c>
      <c r="F2292" s="4">
        <v>11188.97</v>
      </c>
      <c r="G2292" s="3">
        <f>SUMIF(Customer_Payments!B:B,C2292,Customer_Payments!E:E)</f>
        <v>11188.97</v>
      </c>
      <c r="H2292" s="3">
        <f t="shared" si="105"/>
        <v>0</v>
      </c>
      <c r="I2292" s="29">
        <f t="shared" si="106"/>
        <v>75</v>
      </c>
      <c r="J2292" s="31" t="str">
        <f t="shared" si="107"/>
        <v>61-90</v>
      </c>
      <c r="K2292"/>
    </row>
    <row r="2293" spans="1:11" x14ac:dyDescent="0.3">
      <c r="A2293" s="21" t="s">
        <v>8</v>
      </c>
      <c r="B2293" t="str">
        <f>VLOOKUP(A2293,Customers!A:B,2,FALSE)</f>
        <v>NexaSoft</v>
      </c>
      <c r="C2293" s="25" t="s">
        <v>2660</v>
      </c>
      <c r="D2293" s="11">
        <v>45990</v>
      </c>
      <c r="E2293" s="11">
        <v>46020</v>
      </c>
      <c r="F2293" s="5">
        <v>2820.54</v>
      </c>
      <c r="G2293" s="3">
        <f>SUMIF(Customer_Payments!B:B,C2293,Customer_Payments!E:E)</f>
        <v>2820.54</v>
      </c>
      <c r="H2293" s="3">
        <f t="shared" si="105"/>
        <v>0</v>
      </c>
      <c r="I2293" s="29">
        <f t="shared" si="106"/>
        <v>71</v>
      </c>
      <c r="J2293" s="31" t="str">
        <f t="shared" si="107"/>
        <v>61-90</v>
      </c>
      <c r="K2293"/>
    </row>
    <row r="2294" spans="1:11" x14ac:dyDescent="0.3">
      <c r="A2294" s="20" t="s">
        <v>46</v>
      </c>
      <c r="B2294" t="str">
        <f>VLOOKUP(A2294,Customers!A:B,2,FALSE)</f>
        <v>NovaMarket</v>
      </c>
      <c r="C2294" s="24" t="s">
        <v>2661</v>
      </c>
      <c r="D2294" s="10">
        <v>45992</v>
      </c>
      <c r="E2294" s="10">
        <v>46022</v>
      </c>
      <c r="F2294" s="4">
        <v>4549.16</v>
      </c>
      <c r="G2294" s="3">
        <f>SUMIF(Customer_Payments!B:B,C2294,Customer_Payments!E:E)</f>
        <v>4549.16</v>
      </c>
      <c r="H2294" s="3">
        <f t="shared" si="105"/>
        <v>0</v>
      </c>
      <c r="I2294" s="29">
        <f t="shared" si="106"/>
        <v>69</v>
      </c>
      <c r="J2294" s="31" t="str">
        <f t="shared" si="107"/>
        <v>61-90</v>
      </c>
      <c r="K2294"/>
    </row>
    <row r="2295" spans="1:11" x14ac:dyDescent="0.3">
      <c r="A2295" s="21" t="s">
        <v>89</v>
      </c>
      <c r="B2295" t="str">
        <f>VLOOKUP(A2295,Customers!A:B,2,FALSE)</f>
        <v>RetailAxisX</v>
      </c>
      <c r="C2295" s="25" t="s">
        <v>2662</v>
      </c>
      <c r="D2295" s="11">
        <v>46042</v>
      </c>
      <c r="E2295" s="11">
        <v>46072</v>
      </c>
      <c r="F2295" s="5">
        <v>2624.5</v>
      </c>
      <c r="G2295" s="3">
        <f>SUMIF(Customer_Payments!B:B,C2295,Customer_Payments!E:E)</f>
        <v>2624.5</v>
      </c>
      <c r="H2295" s="3">
        <f t="shared" si="105"/>
        <v>0</v>
      </c>
      <c r="I2295" s="29">
        <f t="shared" si="106"/>
        <v>19</v>
      </c>
      <c r="J2295" s="31" t="str">
        <f t="shared" si="107"/>
        <v>1-30</v>
      </c>
      <c r="K2295"/>
    </row>
    <row r="2296" spans="1:11" x14ac:dyDescent="0.3">
      <c r="A2296" s="20" t="s">
        <v>34</v>
      </c>
      <c r="B2296" t="str">
        <f>VLOOKUP(A2296,Customers!A:B,2,FALSE)</f>
        <v>OptiCommerce</v>
      </c>
      <c r="C2296" s="24" t="s">
        <v>2663</v>
      </c>
      <c r="D2296" s="10">
        <v>46095</v>
      </c>
      <c r="E2296" s="10">
        <v>46125</v>
      </c>
      <c r="F2296" s="4">
        <v>1585.86</v>
      </c>
      <c r="G2296" s="3">
        <f>SUMIF(Customer_Payments!B:B,C2296,Customer_Payments!E:E)</f>
        <v>1585.86</v>
      </c>
      <c r="H2296" s="3">
        <f t="shared" si="105"/>
        <v>0</v>
      </c>
      <c r="I2296" s="29">
        <f t="shared" si="106"/>
        <v>-34</v>
      </c>
      <c r="J2296" s="31" t="str">
        <f t="shared" si="107"/>
        <v>Current</v>
      </c>
      <c r="K2296"/>
    </row>
    <row r="2297" spans="1:11" x14ac:dyDescent="0.3">
      <c r="A2297" s="21" t="s">
        <v>73</v>
      </c>
      <c r="B2297" t="str">
        <f>VLOOKUP(A2297,Customers!A:B,2,FALSE)</f>
        <v>RetailWave</v>
      </c>
      <c r="C2297" s="25" t="s">
        <v>2664</v>
      </c>
      <c r="D2297" s="11">
        <v>45974</v>
      </c>
      <c r="E2297" s="11">
        <v>46004</v>
      </c>
      <c r="F2297" s="5">
        <v>2178.33</v>
      </c>
      <c r="G2297" s="3">
        <f>SUMIF(Customer_Payments!B:B,C2297,Customer_Payments!E:E)</f>
        <v>2178.33</v>
      </c>
      <c r="H2297" s="3">
        <f t="shared" si="105"/>
        <v>0</v>
      </c>
      <c r="I2297" s="29">
        <f t="shared" si="106"/>
        <v>87</v>
      </c>
      <c r="J2297" s="31" t="str">
        <f t="shared" si="107"/>
        <v>61-90</v>
      </c>
      <c r="K2297"/>
    </row>
    <row r="2298" spans="1:11" x14ac:dyDescent="0.3">
      <c r="A2298" s="20" t="s">
        <v>116</v>
      </c>
      <c r="B2298" t="str">
        <f>VLOOKUP(A2298,Customers!A:B,2,FALSE)</f>
        <v>RetailLabsPro</v>
      </c>
      <c r="C2298" s="24" t="s">
        <v>2665</v>
      </c>
      <c r="D2298" s="10">
        <v>46079</v>
      </c>
      <c r="E2298" s="10">
        <v>46109</v>
      </c>
      <c r="F2298" s="4">
        <v>3702.76</v>
      </c>
      <c r="G2298" s="3">
        <f>SUMIF(Customer_Payments!B:B,C2298,Customer_Payments!E:E)</f>
        <v>3702.76</v>
      </c>
      <c r="H2298" s="3">
        <f t="shared" si="105"/>
        <v>0</v>
      </c>
      <c r="I2298" s="29">
        <f t="shared" si="106"/>
        <v>-18</v>
      </c>
      <c r="J2298" s="31" t="str">
        <f t="shared" si="107"/>
        <v>Current</v>
      </c>
      <c r="K2298"/>
    </row>
    <row r="2299" spans="1:11" x14ac:dyDescent="0.3">
      <c r="A2299" s="21" t="s">
        <v>92</v>
      </c>
      <c r="B2299" t="str">
        <f>VLOOKUP(A2299,Customers!A:B,2,FALSE)</f>
        <v>RetailMatrixX</v>
      </c>
      <c r="C2299" s="25" t="s">
        <v>2666</v>
      </c>
      <c r="D2299" s="11">
        <v>46030</v>
      </c>
      <c r="E2299" s="11">
        <v>46060</v>
      </c>
      <c r="F2299" s="5">
        <v>3646.69</v>
      </c>
      <c r="G2299" s="3">
        <f>SUMIF(Customer_Payments!B:B,C2299,Customer_Payments!E:E)</f>
        <v>0</v>
      </c>
      <c r="H2299" s="3">
        <f t="shared" si="105"/>
        <v>3646.69</v>
      </c>
      <c r="I2299" s="29">
        <f t="shared" si="106"/>
        <v>31</v>
      </c>
      <c r="J2299" s="31" t="str">
        <f t="shared" si="107"/>
        <v>31-60</v>
      </c>
      <c r="K2299"/>
    </row>
    <row r="2300" spans="1:11" x14ac:dyDescent="0.3">
      <c r="A2300" s="20" t="s">
        <v>18</v>
      </c>
      <c r="B2300" t="str">
        <f>VLOOKUP(A2300,Customers!A:B,2,FALSE)</f>
        <v>BluePeak Systems</v>
      </c>
      <c r="C2300" s="24" t="s">
        <v>2667</v>
      </c>
      <c r="D2300" s="10">
        <v>46070</v>
      </c>
      <c r="E2300" s="10">
        <v>46100</v>
      </c>
      <c r="F2300" s="4">
        <v>10604.67</v>
      </c>
      <c r="G2300" s="3">
        <f>SUMIF(Customer_Payments!B:B,C2300,Customer_Payments!E:E)</f>
        <v>0</v>
      </c>
      <c r="H2300" s="3">
        <f t="shared" si="105"/>
        <v>10604.67</v>
      </c>
      <c r="I2300" s="29">
        <f t="shared" si="106"/>
        <v>-9</v>
      </c>
      <c r="J2300" s="31" t="str">
        <f t="shared" si="107"/>
        <v>Current</v>
      </c>
      <c r="K2300"/>
    </row>
    <row r="2301" spans="1:11" x14ac:dyDescent="0.3">
      <c r="A2301" s="21" t="s">
        <v>48</v>
      </c>
      <c r="B2301" t="str">
        <f>VLOOKUP(A2301,Customers!A:B,2,FALSE)</f>
        <v>RetailGenius</v>
      </c>
      <c r="C2301" s="25" t="s">
        <v>2668</v>
      </c>
      <c r="D2301" s="11">
        <v>46030</v>
      </c>
      <c r="E2301" s="11">
        <v>46060</v>
      </c>
      <c r="F2301" s="5">
        <v>3005.09</v>
      </c>
      <c r="G2301" s="3">
        <f>SUMIF(Customer_Payments!B:B,C2301,Customer_Payments!E:E)</f>
        <v>0</v>
      </c>
      <c r="H2301" s="3">
        <f t="shared" si="105"/>
        <v>3005.09</v>
      </c>
      <c r="I2301" s="29">
        <f t="shared" si="106"/>
        <v>31</v>
      </c>
      <c r="J2301" s="31" t="str">
        <f t="shared" si="107"/>
        <v>31-60</v>
      </c>
      <c r="K2301"/>
    </row>
    <row r="2302" spans="1:11" x14ac:dyDescent="0.3">
      <c r="A2302" s="20" t="s">
        <v>63</v>
      </c>
      <c r="B2302" t="str">
        <f>VLOOKUP(A2302,Customers!A:B,2,FALSE)</f>
        <v>RetailCore</v>
      </c>
      <c r="C2302" s="24" t="s">
        <v>2669</v>
      </c>
      <c r="D2302" s="10">
        <v>45998</v>
      </c>
      <c r="E2302" s="10">
        <v>46028</v>
      </c>
      <c r="F2302" s="4">
        <v>3475.14</v>
      </c>
      <c r="G2302" s="3">
        <f>SUMIF(Customer_Payments!B:B,C2302,Customer_Payments!E:E)</f>
        <v>3475.14</v>
      </c>
      <c r="H2302" s="3">
        <f t="shared" si="105"/>
        <v>0</v>
      </c>
      <c r="I2302" s="29">
        <f t="shared" si="106"/>
        <v>63</v>
      </c>
      <c r="J2302" s="31" t="str">
        <f t="shared" si="107"/>
        <v>61-90</v>
      </c>
      <c r="K2302"/>
    </row>
    <row r="2303" spans="1:11" x14ac:dyDescent="0.3">
      <c r="A2303" s="21" t="s">
        <v>22</v>
      </c>
      <c r="B2303" t="str">
        <f>VLOOKUP(A2303,Customers!A:B,2,FALSE)</f>
        <v>QuantumRetail</v>
      </c>
      <c r="C2303" s="25" t="s">
        <v>2670</v>
      </c>
      <c r="D2303" s="11">
        <v>46002</v>
      </c>
      <c r="E2303" s="11">
        <v>46032</v>
      </c>
      <c r="F2303" s="5">
        <v>12791.24</v>
      </c>
      <c r="G2303" s="3">
        <f>SUMIF(Customer_Payments!B:B,C2303,Customer_Payments!E:E)</f>
        <v>12791.24</v>
      </c>
      <c r="H2303" s="3">
        <f t="shared" si="105"/>
        <v>0</v>
      </c>
      <c r="I2303" s="29">
        <f t="shared" si="106"/>
        <v>59</v>
      </c>
      <c r="J2303" s="31" t="str">
        <f t="shared" si="107"/>
        <v>31-60</v>
      </c>
      <c r="K2303"/>
    </row>
    <row r="2304" spans="1:11" x14ac:dyDescent="0.3">
      <c r="A2304" s="20" t="s">
        <v>52</v>
      </c>
      <c r="B2304" t="str">
        <f>VLOOKUP(A2304,Customers!A:B,2,FALSE)</f>
        <v>RetailShift</v>
      </c>
      <c r="C2304" s="24" t="s">
        <v>2671</v>
      </c>
      <c r="D2304" s="10">
        <v>46112</v>
      </c>
      <c r="E2304" s="10">
        <v>46142</v>
      </c>
      <c r="F2304" s="4">
        <v>5120.29</v>
      </c>
      <c r="G2304" s="3">
        <f>SUMIF(Customer_Payments!B:B,C2304,Customer_Payments!E:E)</f>
        <v>5120.29</v>
      </c>
      <c r="H2304" s="3">
        <f t="shared" si="105"/>
        <v>0</v>
      </c>
      <c r="I2304" s="29">
        <f t="shared" si="106"/>
        <v>-51</v>
      </c>
      <c r="J2304" s="31" t="str">
        <f t="shared" si="107"/>
        <v>Current</v>
      </c>
      <c r="K2304"/>
    </row>
    <row r="2305" spans="1:11" x14ac:dyDescent="0.3">
      <c r="A2305" s="21" t="s">
        <v>84</v>
      </c>
      <c r="B2305" t="str">
        <f>VLOOKUP(A2305,Customers!A:B,2,FALSE)</f>
        <v>RetailVisionX</v>
      </c>
      <c r="C2305" s="25" t="s">
        <v>2672</v>
      </c>
      <c r="D2305" s="11">
        <v>46046</v>
      </c>
      <c r="E2305" s="11">
        <v>46076</v>
      </c>
      <c r="F2305" s="5">
        <v>2838.65</v>
      </c>
      <c r="G2305" s="3">
        <f>SUMIF(Customer_Payments!B:B,C2305,Customer_Payments!E:E)</f>
        <v>2838.65</v>
      </c>
      <c r="H2305" s="3">
        <f t="shared" si="105"/>
        <v>0</v>
      </c>
      <c r="I2305" s="29">
        <f t="shared" si="106"/>
        <v>15</v>
      </c>
      <c r="J2305" s="31" t="str">
        <f t="shared" si="107"/>
        <v>1-30</v>
      </c>
      <c r="K2305"/>
    </row>
    <row r="2306" spans="1:11" x14ac:dyDescent="0.3">
      <c r="A2306" s="20" t="s">
        <v>114</v>
      </c>
      <c r="B2306" t="str">
        <f>VLOOKUP(A2306,Customers!A:B,2,FALSE)</f>
        <v>RetailScalePro</v>
      </c>
      <c r="C2306" s="24" t="s">
        <v>2673</v>
      </c>
      <c r="D2306" s="10">
        <v>46088</v>
      </c>
      <c r="E2306" s="10">
        <v>46118</v>
      </c>
      <c r="F2306" s="4">
        <v>5910.72</v>
      </c>
      <c r="G2306" s="3">
        <f>SUMIF(Customer_Payments!B:B,C2306,Customer_Payments!E:E)</f>
        <v>5910.72</v>
      </c>
      <c r="H2306" s="3">
        <f t="shared" ref="H2306:H2369" si="108">MAX(F2306-G2306,0)</f>
        <v>0</v>
      </c>
      <c r="I2306" s="29">
        <f t="shared" ref="I2306:I2369" si="109">$L$2-E2306</f>
        <v>-27</v>
      </c>
      <c r="J2306" s="31" t="str">
        <f t="shared" si="107"/>
        <v>Current</v>
      </c>
      <c r="K2306"/>
    </row>
    <row r="2307" spans="1:11" x14ac:dyDescent="0.3">
      <c r="A2307" s="21" t="s">
        <v>94</v>
      </c>
      <c r="B2307" t="str">
        <f>VLOOKUP(A2307,Customers!A:B,2,FALSE)</f>
        <v>RetailDynamicsX</v>
      </c>
      <c r="C2307" s="25" t="s">
        <v>2674</v>
      </c>
      <c r="D2307" s="11">
        <v>46066</v>
      </c>
      <c r="E2307" s="11">
        <v>46096</v>
      </c>
      <c r="F2307" s="5">
        <v>12290.33</v>
      </c>
      <c r="G2307" s="3">
        <f>SUMIF(Customer_Payments!B:B,C2307,Customer_Payments!E:E)</f>
        <v>0</v>
      </c>
      <c r="H2307" s="3">
        <f t="shared" si="108"/>
        <v>12290.33</v>
      </c>
      <c r="I2307" s="29">
        <f t="shared" si="109"/>
        <v>-5</v>
      </c>
      <c r="J2307" s="31" t="str">
        <f t="shared" ref="J2307:J2370" si="110">IF(I2307&lt;=0,"Current",
IF(I2307&lt;=30,"1-30",
IF(I2307&lt;=60,"31-60",
IF(I2307&lt;=90,"61-90","90+"))))</f>
        <v>Current</v>
      </c>
      <c r="K2307"/>
    </row>
    <row r="2308" spans="1:11" x14ac:dyDescent="0.3">
      <c r="A2308" s="20" t="s">
        <v>10</v>
      </c>
      <c r="B2308" t="str">
        <f>VLOOKUP(A2308,Customers!A:B,2,FALSE)</f>
        <v>LaunchLabs</v>
      </c>
      <c r="C2308" s="24" t="s">
        <v>2675</v>
      </c>
      <c r="D2308" s="10">
        <v>45990</v>
      </c>
      <c r="E2308" s="10">
        <v>46020</v>
      </c>
      <c r="F2308" s="4">
        <v>3069.49</v>
      </c>
      <c r="G2308" s="3">
        <f>SUMIF(Customer_Payments!B:B,C2308,Customer_Payments!E:E)</f>
        <v>3069.49</v>
      </c>
      <c r="H2308" s="3">
        <f t="shared" si="108"/>
        <v>0</v>
      </c>
      <c r="I2308" s="29">
        <f t="shared" si="109"/>
        <v>71</v>
      </c>
      <c r="J2308" s="31" t="str">
        <f t="shared" si="110"/>
        <v>61-90</v>
      </c>
      <c r="K2308"/>
    </row>
    <row r="2309" spans="1:11" x14ac:dyDescent="0.3">
      <c r="A2309" s="21" t="s">
        <v>61</v>
      </c>
      <c r="B2309" t="str">
        <f>VLOOKUP(A2309,Customers!A:B,2,FALSE)</f>
        <v>RetailOrbit</v>
      </c>
      <c r="C2309" s="25" t="s">
        <v>2676</v>
      </c>
      <c r="D2309" s="11">
        <v>45997</v>
      </c>
      <c r="E2309" s="11">
        <v>46027</v>
      </c>
      <c r="F2309" s="5">
        <v>2855.37</v>
      </c>
      <c r="G2309" s="3">
        <f>SUMIF(Customer_Payments!B:B,C2309,Customer_Payments!E:E)</f>
        <v>2855.37</v>
      </c>
      <c r="H2309" s="3">
        <f t="shared" si="108"/>
        <v>0</v>
      </c>
      <c r="I2309" s="29">
        <f t="shared" si="109"/>
        <v>64</v>
      </c>
      <c r="J2309" s="31" t="str">
        <f t="shared" si="110"/>
        <v>61-90</v>
      </c>
      <c r="K2309"/>
    </row>
    <row r="2310" spans="1:11" x14ac:dyDescent="0.3">
      <c r="A2310" s="20" t="s">
        <v>29</v>
      </c>
      <c r="B2310" t="str">
        <f>VLOOKUP(A2310,Customers!A:B,2,FALSE)</f>
        <v>DigitalBridge</v>
      </c>
      <c r="C2310" s="24" t="s">
        <v>2677</v>
      </c>
      <c r="D2310" s="10">
        <v>46101</v>
      </c>
      <c r="E2310" s="10">
        <v>46131</v>
      </c>
      <c r="F2310" s="4">
        <v>5233.95</v>
      </c>
      <c r="G2310" s="3">
        <f>SUMIF(Customer_Payments!B:B,C2310,Customer_Payments!E:E)</f>
        <v>5233.95</v>
      </c>
      <c r="H2310" s="3">
        <f t="shared" si="108"/>
        <v>0</v>
      </c>
      <c r="I2310" s="29">
        <f t="shared" si="109"/>
        <v>-40</v>
      </c>
      <c r="J2310" s="31" t="str">
        <f t="shared" si="110"/>
        <v>Current</v>
      </c>
      <c r="K2310"/>
    </row>
    <row r="2311" spans="1:11" x14ac:dyDescent="0.3">
      <c r="A2311" s="21" t="s">
        <v>31</v>
      </c>
      <c r="B2311" t="str">
        <f>VLOOKUP(A2311,Customers!A:B,2,FALSE)</f>
        <v>SparkRetail</v>
      </c>
      <c r="C2311" s="25" t="s">
        <v>2678</v>
      </c>
      <c r="D2311" s="11">
        <v>46002</v>
      </c>
      <c r="E2311" s="11">
        <v>46032</v>
      </c>
      <c r="F2311" s="5">
        <v>2156.7199999999998</v>
      </c>
      <c r="G2311" s="3">
        <f>SUMIF(Customer_Payments!B:B,C2311,Customer_Payments!E:E)</f>
        <v>2156.7200000000003</v>
      </c>
      <c r="H2311" s="3">
        <f t="shared" si="108"/>
        <v>0</v>
      </c>
      <c r="I2311" s="29">
        <f t="shared" si="109"/>
        <v>59</v>
      </c>
      <c r="J2311" s="31" t="str">
        <f t="shared" si="110"/>
        <v>31-60</v>
      </c>
      <c r="K2311"/>
    </row>
    <row r="2312" spans="1:11" x14ac:dyDescent="0.3">
      <c r="A2312" s="20" t="s">
        <v>124</v>
      </c>
      <c r="B2312" t="str">
        <f>VLOOKUP(A2312,Customers!A:B,2,FALSE)</f>
        <v>RetailOrbitGlobal</v>
      </c>
      <c r="C2312" s="24" t="s">
        <v>2679</v>
      </c>
      <c r="D2312" s="10">
        <v>45992</v>
      </c>
      <c r="E2312" s="10">
        <v>46022</v>
      </c>
      <c r="F2312" s="4">
        <v>3103.43</v>
      </c>
      <c r="G2312" s="3">
        <f>SUMIF(Customer_Payments!B:B,C2312,Customer_Payments!E:E)</f>
        <v>0</v>
      </c>
      <c r="H2312" s="3">
        <f t="shared" si="108"/>
        <v>3103.43</v>
      </c>
      <c r="I2312" s="29">
        <f t="shared" si="109"/>
        <v>69</v>
      </c>
      <c r="J2312" s="31" t="str">
        <f t="shared" si="110"/>
        <v>61-90</v>
      </c>
      <c r="K2312"/>
    </row>
    <row r="2313" spans="1:11" x14ac:dyDescent="0.3">
      <c r="A2313" s="21" t="s">
        <v>89</v>
      </c>
      <c r="B2313" t="str">
        <f>VLOOKUP(A2313,Customers!A:B,2,FALSE)</f>
        <v>RetailAxisX</v>
      </c>
      <c r="C2313" s="25" t="s">
        <v>2680</v>
      </c>
      <c r="D2313" s="11">
        <v>46099</v>
      </c>
      <c r="E2313" s="11">
        <v>46129</v>
      </c>
      <c r="F2313" s="5">
        <v>2502.79</v>
      </c>
      <c r="G2313" s="3">
        <f>SUMIF(Customer_Payments!B:B,C2313,Customer_Payments!E:E)</f>
        <v>2502.79</v>
      </c>
      <c r="H2313" s="3">
        <f t="shared" si="108"/>
        <v>0</v>
      </c>
      <c r="I2313" s="29">
        <f t="shared" si="109"/>
        <v>-38</v>
      </c>
      <c r="J2313" s="31" t="str">
        <f t="shared" si="110"/>
        <v>Current</v>
      </c>
      <c r="K2313"/>
    </row>
    <row r="2314" spans="1:11" x14ac:dyDescent="0.3">
      <c r="A2314" s="20" t="s">
        <v>97</v>
      </c>
      <c r="B2314" t="str">
        <f>VLOOKUP(A2314,Customers!A:B,2,FALSE)</f>
        <v>RetailSparkX</v>
      </c>
      <c r="C2314" s="24" t="s">
        <v>2681</v>
      </c>
      <c r="D2314" s="10">
        <v>46030</v>
      </c>
      <c r="E2314" s="10">
        <v>46060</v>
      </c>
      <c r="F2314" s="4">
        <v>2641.67</v>
      </c>
      <c r="G2314" s="3">
        <f>SUMIF(Customer_Payments!B:B,C2314,Customer_Payments!E:E)</f>
        <v>0</v>
      </c>
      <c r="H2314" s="3">
        <f t="shared" si="108"/>
        <v>2641.67</v>
      </c>
      <c r="I2314" s="29">
        <f t="shared" si="109"/>
        <v>31</v>
      </c>
      <c r="J2314" s="31" t="str">
        <f t="shared" si="110"/>
        <v>31-60</v>
      </c>
      <c r="K2314"/>
    </row>
    <row r="2315" spans="1:11" x14ac:dyDescent="0.3">
      <c r="A2315" s="21" t="s">
        <v>117</v>
      </c>
      <c r="B2315" t="str">
        <f>VLOOKUP(A2315,Customers!A:B,2,FALSE)</f>
        <v>RetailSparkPro</v>
      </c>
      <c r="C2315" s="25" t="s">
        <v>2682</v>
      </c>
      <c r="D2315" s="11">
        <v>46077</v>
      </c>
      <c r="E2315" s="11">
        <v>46107</v>
      </c>
      <c r="F2315" s="5">
        <v>2274.17</v>
      </c>
      <c r="G2315" s="3">
        <f>SUMIF(Customer_Payments!B:B,C2315,Customer_Payments!E:E)</f>
        <v>0</v>
      </c>
      <c r="H2315" s="3">
        <f t="shared" si="108"/>
        <v>2274.17</v>
      </c>
      <c r="I2315" s="29">
        <f t="shared" si="109"/>
        <v>-16</v>
      </c>
      <c r="J2315" s="31" t="str">
        <f t="shared" si="110"/>
        <v>Current</v>
      </c>
      <c r="K2315"/>
    </row>
    <row r="2316" spans="1:11" x14ac:dyDescent="0.3">
      <c r="A2316" s="20" t="s">
        <v>29</v>
      </c>
      <c r="B2316" t="str">
        <f>VLOOKUP(A2316,Customers!A:B,2,FALSE)</f>
        <v>DigitalBridge</v>
      </c>
      <c r="C2316" s="24" t="s">
        <v>2683</v>
      </c>
      <c r="D2316" s="10">
        <v>46101</v>
      </c>
      <c r="E2316" s="10">
        <v>46131</v>
      </c>
      <c r="F2316" s="4">
        <v>2107.85</v>
      </c>
      <c r="G2316" s="3">
        <f>SUMIF(Customer_Payments!B:B,C2316,Customer_Payments!E:E)</f>
        <v>2107.85</v>
      </c>
      <c r="H2316" s="3">
        <f t="shared" si="108"/>
        <v>0</v>
      </c>
      <c r="I2316" s="29">
        <f t="shared" si="109"/>
        <v>-40</v>
      </c>
      <c r="J2316" s="31" t="str">
        <f t="shared" si="110"/>
        <v>Current</v>
      </c>
      <c r="K2316"/>
    </row>
    <row r="2317" spans="1:11" x14ac:dyDescent="0.3">
      <c r="A2317" s="21" t="s">
        <v>11</v>
      </c>
      <c r="B2317" t="str">
        <f>VLOOKUP(A2317,Customers!A:B,2,FALSE)</f>
        <v>DataHive</v>
      </c>
      <c r="C2317" s="25" t="s">
        <v>2684</v>
      </c>
      <c r="D2317" s="11">
        <v>46026</v>
      </c>
      <c r="E2317" s="11">
        <v>46056</v>
      </c>
      <c r="F2317" s="5">
        <v>13199.69</v>
      </c>
      <c r="G2317" s="3">
        <f>SUMIF(Customer_Payments!B:B,C2317,Customer_Payments!E:E)</f>
        <v>0</v>
      </c>
      <c r="H2317" s="3">
        <f t="shared" si="108"/>
        <v>13199.69</v>
      </c>
      <c r="I2317" s="29">
        <f t="shared" si="109"/>
        <v>35</v>
      </c>
      <c r="J2317" s="31" t="str">
        <f t="shared" si="110"/>
        <v>31-60</v>
      </c>
      <c r="K2317"/>
    </row>
    <row r="2318" spans="1:11" x14ac:dyDescent="0.3">
      <c r="A2318" s="20" t="s">
        <v>29</v>
      </c>
      <c r="B2318" t="str">
        <f>VLOOKUP(A2318,Customers!A:B,2,FALSE)</f>
        <v>DigitalBridge</v>
      </c>
      <c r="C2318" s="24" t="s">
        <v>2685</v>
      </c>
      <c r="D2318" s="10">
        <v>45997</v>
      </c>
      <c r="E2318" s="10">
        <v>46027</v>
      </c>
      <c r="F2318" s="4">
        <v>2028.84</v>
      </c>
      <c r="G2318" s="3">
        <f>SUMIF(Customer_Payments!B:B,C2318,Customer_Payments!E:E)</f>
        <v>2028.84</v>
      </c>
      <c r="H2318" s="3">
        <f t="shared" si="108"/>
        <v>0</v>
      </c>
      <c r="I2318" s="29">
        <f t="shared" si="109"/>
        <v>64</v>
      </c>
      <c r="J2318" s="31" t="str">
        <f t="shared" si="110"/>
        <v>61-90</v>
      </c>
      <c r="K2318"/>
    </row>
    <row r="2319" spans="1:11" x14ac:dyDescent="0.3">
      <c r="A2319" s="21" t="s">
        <v>88</v>
      </c>
      <c r="B2319" t="str">
        <f>VLOOKUP(A2319,Customers!A:B,2,FALSE)</f>
        <v>RetailPrimeX</v>
      </c>
      <c r="C2319" s="25" t="s">
        <v>2686</v>
      </c>
      <c r="D2319" s="11">
        <v>46074</v>
      </c>
      <c r="E2319" s="11">
        <v>46104</v>
      </c>
      <c r="F2319" s="5">
        <v>4165.6499999999996</v>
      </c>
      <c r="G2319" s="3">
        <f>SUMIF(Customer_Payments!B:B,C2319,Customer_Payments!E:E)</f>
        <v>4165.6499999999996</v>
      </c>
      <c r="H2319" s="3">
        <f t="shared" si="108"/>
        <v>0</v>
      </c>
      <c r="I2319" s="29">
        <f t="shared" si="109"/>
        <v>-13</v>
      </c>
      <c r="J2319" s="31" t="str">
        <f t="shared" si="110"/>
        <v>Current</v>
      </c>
      <c r="K2319"/>
    </row>
    <row r="2320" spans="1:11" x14ac:dyDescent="0.3">
      <c r="A2320" s="20" t="s">
        <v>116</v>
      </c>
      <c r="B2320" t="str">
        <f>VLOOKUP(A2320,Customers!A:B,2,FALSE)</f>
        <v>RetailLabsPro</v>
      </c>
      <c r="C2320" s="24" t="s">
        <v>2687</v>
      </c>
      <c r="D2320" s="10">
        <v>45992</v>
      </c>
      <c r="E2320" s="10">
        <v>46022</v>
      </c>
      <c r="F2320" s="4">
        <v>1484.87</v>
      </c>
      <c r="G2320" s="3">
        <f>SUMIF(Customer_Payments!B:B,C2320,Customer_Payments!E:E)</f>
        <v>1484.87</v>
      </c>
      <c r="H2320" s="3">
        <f t="shared" si="108"/>
        <v>0</v>
      </c>
      <c r="I2320" s="29">
        <f t="shared" si="109"/>
        <v>69</v>
      </c>
      <c r="J2320" s="31" t="str">
        <f t="shared" si="110"/>
        <v>61-90</v>
      </c>
      <c r="K2320"/>
    </row>
    <row r="2321" spans="1:11" x14ac:dyDescent="0.3">
      <c r="A2321" s="21" t="s">
        <v>93</v>
      </c>
      <c r="B2321" t="str">
        <f>VLOOKUP(A2321,Customers!A:B,2,FALSE)</f>
        <v>RetailSphereX</v>
      </c>
      <c r="C2321" s="25" t="s">
        <v>2688</v>
      </c>
      <c r="D2321" s="11">
        <v>46061</v>
      </c>
      <c r="E2321" s="11">
        <v>46091</v>
      </c>
      <c r="F2321" s="5">
        <v>5310.21</v>
      </c>
      <c r="G2321" s="3">
        <f>SUMIF(Customer_Payments!B:B,C2321,Customer_Payments!E:E)</f>
        <v>5310.21</v>
      </c>
      <c r="H2321" s="3">
        <f t="shared" si="108"/>
        <v>0</v>
      </c>
      <c r="I2321" s="29">
        <f t="shared" si="109"/>
        <v>0</v>
      </c>
      <c r="J2321" s="31" t="str">
        <f t="shared" si="110"/>
        <v>Current</v>
      </c>
      <c r="K2321"/>
    </row>
    <row r="2322" spans="1:11" x14ac:dyDescent="0.3">
      <c r="A2322" s="20" t="s">
        <v>53</v>
      </c>
      <c r="B2322" t="str">
        <f>VLOOKUP(A2322,Customers!A:B,2,FALSE)</f>
        <v>PrimeCart</v>
      </c>
      <c r="C2322" s="24" t="s">
        <v>2689</v>
      </c>
      <c r="D2322" s="10">
        <v>46011</v>
      </c>
      <c r="E2322" s="10">
        <v>46041</v>
      </c>
      <c r="F2322" s="4">
        <v>2897.74</v>
      </c>
      <c r="G2322" s="3">
        <f>SUMIF(Customer_Payments!B:B,C2322,Customer_Payments!E:E)</f>
        <v>2897.74</v>
      </c>
      <c r="H2322" s="3">
        <f t="shared" si="108"/>
        <v>0</v>
      </c>
      <c r="I2322" s="29">
        <f t="shared" si="109"/>
        <v>50</v>
      </c>
      <c r="J2322" s="31" t="str">
        <f t="shared" si="110"/>
        <v>31-60</v>
      </c>
      <c r="K2322"/>
    </row>
    <row r="2323" spans="1:11" x14ac:dyDescent="0.3">
      <c r="A2323" s="21" t="s">
        <v>92</v>
      </c>
      <c r="B2323" t="str">
        <f>VLOOKUP(A2323,Customers!A:B,2,FALSE)</f>
        <v>RetailMatrixX</v>
      </c>
      <c r="C2323" s="25" t="s">
        <v>2690</v>
      </c>
      <c r="D2323" s="11">
        <v>45987</v>
      </c>
      <c r="E2323" s="11">
        <v>46017</v>
      </c>
      <c r="F2323" s="5">
        <v>2819.84</v>
      </c>
      <c r="G2323" s="3">
        <f>SUMIF(Customer_Payments!B:B,C2323,Customer_Payments!E:E)</f>
        <v>2819.84</v>
      </c>
      <c r="H2323" s="3">
        <f t="shared" si="108"/>
        <v>0</v>
      </c>
      <c r="I2323" s="29">
        <f t="shared" si="109"/>
        <v>74</v>
      </c>
      <c r="J2323" s="31" t="str">
        <f t="shared" si="110"/>
        <v>61-90</v>
      </c>
      <c r="K2323"/>
    </row>
    <row r="2324" spans="1:11" x14ac:dyDescent="0.3">
      <c r="A2324" s="20" t="s">
        <v>41</v>
      </c>
      <c r="B2324" t="str">
        <f>VLOOKUP(A2324,Customers!A:B,2,FALSE)</f>
        <v>DynamicRetail</v>
      </c>
      <c r="C2324" s="24" t="s">
        <v>2691</v>
      </c>
      <c r="D2324" s="10">
        <v>46055</v>
      </c>
      <c r="E2324" s="10">
        <v>46085</v>
      </c>
      <c r="F2324" s="4">
        <v>1484.27</v>
      </c>
      <c r="G2324" s="3">
        <f>SUMIF(Customer_Payments!B:B,C2324,Customer_Payments!E:E)</f>
        <v>1484.27</v>
      </c>
      <c r="H2324" s="3">
        <f t="shared" si="108"/>
        <v>0</v>
      </c>
      <c r="I2324" s="29">
        <f t="shared" si="109"/>
        <v>6</v>
      </c>
      <c r="J2324" s="31" t="str">
        <f t="shared" si="110"/>
        <v>1-30</v>
      </c>
      <c r="K2324"/>
    </row>
    <row r="2325" spans="1:11" x14ac:dyDescent="0.3">
      <c r="A2325" s="21" t="s">
        <v>95</v>
      </c>
      <c r="B2325" t="str">
        <f>VLOOKUP(A2325,Customers!A:B,2,FALSE)</f>
        <v>RetailScaleX</v>
      </c>
      <c r="C2325" s="25" t="s">
        <v>2692</v>
      </c>
      <c r="D2325" s="11">
        <v>46046</v>
      </c>
      <c r="E2325" s="11">
        <v>46076</v>
      </c>
      <c r="F2325" s="5">
        <v>2607.1</v>
      </c>
      <c r="G2325" s="3">
        <f>SUMIF(Customer_Payments!B:B,C2325,Customer_Payments!E:E)</f>
        <v>2607.1</v>
      </c>
      <c r="H2325" s="3">
        <f t="shared" si="108"/>
        <v>0</v>
      </c>
      <c r="I2325" s="29">
        <f t="shared" si="109"/>
        <v>15</v>
      </c>
      <c r="J2325" s="31" t="str">
        <f t="shared" si="110"/>
        <v>1-30</v>
      </c>
      <c r="K2325"/>
    </row>
    <row r="2326" spans="1:11" x14ac:dyDescent="0.3">
      <c r="A2326" s="20" t="s">
        <v>7</v>
      </c>
      <c r="B2326" t="str">
        <f>VLOOKUP(A2326,Customers!A:B,2,FALSE)</f>
        <v>BrightCart</v>
      </c>
      <c r="C2326" s="24" t="s">
        <v>2693</v>
      </c>
      <c r="D2326" s="10">
        <v>46075</v>
      </c>
      <c r="E2326" s="10">
        <v>46105</v>
      </c>
      <c r="F2326" s="4">
        <v>3372.95</v>
      </c>
      <c r="G2326" s="3">
        <f>SUMIF(Customer_Payments!B:B,C2326,Customer_Payments!E:E)</f>
        <v>0</v>
      </c>
      <c r="H2326" s="3">
        <f t="shared" si="108"/>
        <v>3372.95</v>
      </c>
      <c r="I2326" s="29">
        <f t="shared" si="109"/>
        <v>-14</v>
      </c>
      <c r="J2326" s="31" t="str">
        <f t="shared" si="110"/>
        <v>Current</v>
      </c>
      <c r="K2326"/>
    </row>
    <row r="2327" spans="1:11" x14ac:dyDescent="0.3">
      <c r="A2327" s="21" t="s">
        <v>79</v>
      </c>
      <c r="B2327" t="str">
        <f>VLOOKUP(A2327,Customers!A:B,2,FALSE)</f>
        <v>RetailBoostX</v>
      </c>
      <c r="C2327" s="25" t="s">
        <v>2694</v>
      </c>
      <c r="D2327" s="11">
        <v>46083</v>
      </c>
      <c r="E2327" s="11">
        <v>46113</v>
      </c>
      <c r="F2327" s="5">
        <v>2273.7600000000002</v>
      </c>
      <c r="G2327" s="3">
        <f>SUMIF(Customer_Payments!B:B,C2327,Customer_Payments!E:E)</f>
        <v>2273.7600000000002</v>
      </c>
      <c r="H2327" s="3">
        <f t="shared" si="108"/>
        <v>0</v>
      </c>
      <c r="I2327" s="29">
        <f t="shared" si="109"/>
        <v>-22</v>
      </c>
      <c r="J2327" s="31" t="str">
        <f t="shared" si="110"/>
        <v>Current</v>
      </c>
      <c r="K2327"/>
    </row>
    <row r="2328" spans="1:11" x14ac:dyDescent="0.3">
      <c r="A2328" s="20" t="s">
        <v>18</v>
      </c>
      <c r="B2328" t="str">
        <f>VLOOKUP(A2328,Customers!A:B,2,FALSE)</f>
        <v>BluePeak Systems</v>
      </c>
      <c r="C2328" s="24" t="s">
        <v>2695</v>
      </c>
      <c r="D2328" s="10">
        <v>45991</v>
      </c>
      <c r="E2328" s="10">
        <v>46021</v>
      </c>
      <c r="F2328" s="4">
        <v>1501.99</v>
      </c>
      <c r="G2328" s="3">
        <f>SUMIF(Customer_Payments!B:B,C2328,Customer_Payments!E:E)</f>
        <v>1501.99</v>
      </c>
      <c r="H2328" s="3">
        <f t="shared" si="108"/>
        <v>0</v>
      </c>
      <c r="I2328" s="29">
        <f t="shared" si="109"/>
        <v>70</v>
      </c>
      <c r="J2328" s="31" t="str">
        <f t="shared" si="110"/>
        <v>61-90</v>
      </c>
      <c r="K2328"/>
    </row>
    <row r="2329" spans="1:11" x14ac:dyDescent="0.3">
      <c r="A2329" s="21" t="s">
        <v>9</v>
      </c>
      <c r="B2329" t="str">
        <f>VLOOKUP(A2329,Customers!A:B,2,FALSE)</f>
        <v>UrbanRetail</v>
      </c>
      <c r="C2329" s="25" t="s">
        <v>2696</v>
      </c>
      <c r="D2329" s="11">
        <v>46001</v>
      </c>
      <c r="E2329" s="11">
        <v>46031</v>
      </c>
      <c r="F2329" s="5">
        <v>5459.1</v>
      </c>
      <c r="G2329" s="3">
        <f>SUMIF(Customer_Payments!B:B,C2329,Customer_Payments!E:E)</f>
        <v>5459.1</v>
      </c>
      <c r="H2329" s="3">
        <f t="shared" si="108"/>
        <v>0</v>
      </c>
      <c r="I2329" s="29">
        <f t="shared" si="109"/>
        <v>60</v>
      </c>
      <c r="J2329" s="31" t="str">
        <f t="shared" si="110"/>
        <v>31-60</v>
      </c>
      <c r="K2329"/>
    </row>
    <row r="2330" spans="1:11" x14ac:dyDescent="0.3">
      <c r="A2330" s="20" t="s">
        <v>17</v>
      </c>
      <c r="B2330" t="str">
        <f>VLOOKUP(A2330,Customers!A:B,2,FALSE)</f>
        <v>AlphaCommerce</v>
      </c>
      <c r="C2330" s="24" t="s">
        <v>2697</v>
      </c>
      <c r="D2330" s="10">
        <v>45971</v>
      </c>
      <c r="E2330" s="10">
        <v>46001</v>
      </c>
      <c r="F2330" s="4">
        <v>5577.47</v>
      </c>
      <c r="G2330" s="3">
        <f>SUMIF(Customer_Payments!B:B,C2330,Customer_Payments!E:E)</f>
        <v>5577.47</v>
      </c>
      <c r="H2330" s="3">
        <f t="shared" si="108"/>
        <v>0</v>
      </c>
      <c r="I2330" s="29">
        <f t="shared" si="109"/>
        <v>90</v>
      </c>
      <c r="J2330" s="31" t="str">
        <f t="shared" si="110"/>
        <v>61-90</v>
      </c>
      <c r="K2330"/>
    </row>
    <row r="2331" spans="1:11" x14ac:dyDescent="0.3">
      <c r="A2331" s="21" t="s">
        <v>122</v>
      </c>
      <c r="B2331" t="str">
        <f>VLOOKUP(A2331,Customers!A:B,2,FALSE)</f>
        <v>RetailCoreGlobal</v>
      </c>
      <c r="C2331" s="25" t="s">
        <v>2698</v>
      </c>
      <c r="D2331" s="11">
        <v>45993</v>
      </c>
      <c r="E2331" s="11">
        <v>46023</v>
      </c>
      <c r="F2331" s="5">
        <v>2119.13</v>
      </c>
      <c r="G2331" s="3">
        <f>SUMIF(Customer_Payments!B:B,C2331,Customer_Payments!E:E)</f>
        <v>2119.13</v>
      </c>
      <c r="H2331" s="3">
        <f t="shared" si="108"/>
        <v>0</v>
      </c>
      <c r="I2331" s="29">
        <f t="shared" si="109"/>
        <v>68</v>
      </c>
      <c r="J2331" s="31" t="str">
        <f t="shared" si="110"/>
        <v>61-90</v>
      </c>
      <c r="K2331"/>
    </row>
    <row r="2332" spans="1:11" x14ac:dyDescent="0.3">
      <c r="A2332" s="20" t="s">
        <v>55</v>
      </c>
      <c r="B2332" t="str">
        <f>VLOOKUP(A2332,Customers!A:B,2,FALSE)</f>
        <v>CommerceLabs</v>
      </c>
      <c r="C2332" s="24" t="s">
        <v>2699</v>
      </c>
      <c r="D2332" s="10">
        <v>46080</v>
      </c>
      <c r="E2332" s="10">
        <v>46110</v>
      </c>
      <c r="F2332" s="4">
        <v>5494.82</v>
      </c>
      <c r="G2332" s="3">
        <f>SUMIF(Customer_Payments!B:B,C2332,Customer_Payments!E:E)</f>
        <v>5494.82</v>
      </c>
      <c r="H2332" s="3">
        <f t="shared" si="108"/>
        <v>0</v>
      </c>
      <c r="I2332" s="29">
        <f t="shared" si="109"/>
        <v>-19</v>
      </c>
      <c r="J2332" s="31" t="str">
        <f t="shared" si="110"/>
        <v>Current</v>
      </c>
      <c r="K2332"/>
    </row>
    <row r="2333" spans="1:11" x14ac:dyDescent="0.3">
      <c r="A2333" s="21" t="s">
        <v>59</v>
      </c>
      <c r="B2333" t="str">
        <f>VLOOKUP(A2333,Customers!A:B,2,FALSE)</f>
        <v>MarketBridge</v>
      </c>
      <c r="C2333" s="25" t="s">
        <v>2700</v>
      </c>
      <c r="D2333" s="11">
        <v>46083</v>
      </c>
      <c r="E2333" s="11">
        <v>46113</v>
      </c>
      <c r="F2333" s="5">
        <v>1646.7</v>
      </c>
      <c r="G2333" s="3">
        <f>SUMIF(Customer_Payments!B:B,C2333,Customer_Payments!E:E)</f>
        <v>1646.7</v>
      </c>
      <c r="H2333" s="3">
        <f t="shared" si="108"/>
        <v>0</v>
      </c>
      <c r="I2333" s="29">
        <f t="shared" si="109"/>
        <v>-22</v>
      </c>
      <c r="J2333" s="31" t="str">
        <f t="shared" si="110"/>
        <v>Current</v>
      </c>
      <c r="K2333"/>
    </row>
    <row r="2334" spans="1:11" x14ac:dyDescent="0.3">
      <c r="A2334" s="20" t="s">
        <v>44</v>
      </c>
      <c r="B2334" t="str">
        <f>VLOOKUP(A2334,Customers!A:B,2,FALSE)</f>
        <v>BrightMarket</v>
      </c>
      <c r="C2334" s="24" t="s">
        <v>2701</v>
      </c>
      <c r="D2334" s="10">
        <v>46068</v>
      </c>
      <c r="E2334" s="10">
        <v>46098</v>
      </c>
      <c r="F2334" s="4">
        <v>5670.55</v>
      </c>
      <c r="G2334" s="3">
        <f>SUMIF(Customer_Payments!B:B,C2334,Customer_Payments!E:E)</f>
        <v>5670.55</v>
      </c>
      <c r="H2334" s="3">
        <f t="shared" si="108"/>
        <v>0</v>
      </c>
      <c r="I2334" s="29">
        <f t="shared" si="109"/>
        <v>-7</v>
      </c>
      <c r="J2334" s="31" t="str">
        <f t="shared" si="110"/>
        <v>Current</v>
      </c>
      <c r="K2334"/>
    </row>
    <row r="2335" spans="1:11" x14ac:dyDescent="0.3">
      <c r="A2335" s="21" t="s">
        <v>81</v>
      </c>
      <c r="B2335" t="str">
        <f>VLOOKUP(A2335,Customers!A:B,2,FALSE)</f>
        <v>RetailFlowX</v>
      </c>
      <c r="C2335" s="25" t="s">
        <v>2702</v>
      </c>
      <c r="D2335" s="11">
        <v>46086</v>
      </c>
      <c r="E2335" s="11">
        <v>46116</v>
      </c>
      <c r="F2335" s="5">
        <v>2697.56</v>
      </c>
      <c r="G2335" s="3">
        <f>SUMIF(Customer_Payments!B:B,C2335,Customer_Payments!E:E)</f>
        <v>2697.56</v>
      </c>
      <c r="H2335" s="3">
        <f t="shared" si="108"/>
        <v>0</v>
      </c>
      <c r="I2335" s="29">
        <f t="shared" si="109"/>
        <v>-25</v>
      </c>
      <c r="J2335" s="31" t="str">
        <f t="shared" si="110"/>
        <v>Current</v>
      </c>
      <c r="K2335"/>
    </row>
    <row r="2336" spans="1:11" x14ac:dyDescent="0.3">
      <c r="A2336" s="20" t="s">
        <v>87</v>
      </c>
      <c r="B2336" t="str">
        <f>VLOOKUP(A2336,Customers!A:B,2,FALSE)</f>
        <v>RetailStreamX</v>
      </c>
      <c r="C2336" s="24" t="s">
        <v>2703</v>
      </c>
      <c r="D2336" s="10">
        <v>46078</v>
      </c>
      <c r="E2336" s="10">
        <v>46108</v>
      </c>
      <c r="F2336" s="4">
        <v>2348.86</v>
      </c>
      <c r="G2336" s="3">
        <f>SUMIF(Customer_Payments!B:B,C2336,Customer_Payments!E:E)</f>
        <v>2348.86</v>
      </c>
      <c r="H2336" s="3">
        <f t="shared" si="108"/>
        <v>0</v>
      </c>
      <c r="I2336" s="29">
        <f t="shared" si="109"/>
        <v>-17</v>
      </c>
      <c r="J2336" s="31" t="str">
        <f t="shared" si="110"/>
        <v>Current</v>
      </c>
      <c r="K2336"/>
    </row>
    <row r="2337" spans="1:11" x14ac:dyDescent="0.3">
      <c r="A2337" s="21" t="s">
        <v>75</v>
      </c>
      <c r="B2337" t="str">
        <f>VLOOKUP(A2337,Customers!A:B,2,FALSE)</f>
        <v>RetailMatrix</v>
      </c>
      <c r="C2337" s="25" t="s">
        <v>2704</v>
      </c>
      <c r="D2337" s="11">
        <v>46090</v>
      </c>
      <c r="E2337" s="11">
        <v>46120</v>
      </c>
      <c r="F2337" s="5">
        <v>2038.85</v>
      </c>
      <c r="G2337" s="3">
        <f>SUMIF(Customer_Payments!B:B,C2337,Customer_Payments!E:E)</f>
        <v>2038.85</v>
      </c>
      <c r="H2337" s="3">
        <f t="shared" si="108"/>
        <v>0</v>
      </c>
      <c r="I2337" s="29">
        <f t="shared" si="109"/>
        <v>-29</v>
      </c>
      <c r="J2337" s="31" t="str">
        <f t="shared" si="110"/>
        <v>Current</v>
      </c>
      <c r="K2337"/>
    </row>
    <row r="2338" spans="1:11" x14ac:dyDescent="0.3">
      <c r="A2338" s="20" t="s">
        <v>110</v>
      </c>
      <c r="B2338" t="str">
        <f>VLOOKUP(A2338,Customers!A:B,2,FALSE)</f>
        <v>RetailAxisPro</v>
      </c>
      <c r="C2338" s="24" t="s">
        <v>2705</v>
      </c>
      <c r="D2338" s="10">
        <v>46090</v>
      </c>
      <c r="E2338" s="10">
        <v>46120</v>
      </c>
      <c r="F2338" s="4">
        <v>3094.93</v>
      </c>
      <c r="G2338" s="3">
        <f>SUMIF(Customer_Payments!B:B,C2338,Customer_Payments!E:E)</f>
        <v>3094.93</v>
      </c>
      <c r="H2338" s="3">
        <f t="shared" si="108"/>
        <v>0</v>
      </c>
      <c r="I2338" s="29">
        <f t="shared" si="109"/>
        <v>-29</v>
      </c>
      <c r="J2338" s="31" t="str">
        <f t="shared" si="110"/>
        <v>Current</v>
      </c>
      <c r="K2338"/>
    </row>
    <row r="2339" spans="1:11" x14ac:dyDescent="0.3">
      <c r="A2339" s="21" t="s">
        <v>71</v>
      </c>
      <c r="B2339" t="str">
        <f>VLOOKUP(A2339,Customers!A:B,2,FALSE)</f>
        <v>RetailPulse</v>
      </c>
      <c r="C2339" s="25" t="s">
        <v>2706</v>
      </c>
      <c r="D2339" s="11">
        <v>46016</v>
      </c>
      <c r="E2339" s="11">
        <v>46046</v>
      </c>
      <c r="F2339" s="5">
        <v>2013.32</v>
      </c>
      <c r="G2339" s="3">
        <f>SUMIF(Customer_Payments!B:B,C2339,Customer_Payments!E:E)</f>
        <v>2013.32</v>
      </c>
      <c r="H2339" s="3">
        <f t="shared" si="108"/>
        <v>0</v>
      </c>
      <c r="I2339" s="29">
        <f t="shared" si="109"/>
        <v>45</v>
      </c>
      <c r="J2339" s="31" t="str">
        <f t="shared" si="110"/>
        <v>31-60</v>
      </c>
      <c r="K2339"/>
    </row>
    <row r="2340" spans="1:11" x14ac:dyDescent="0.3">
      <c r="A2340" s="20" t="s">
        <v>105</v>
      </c>
      <c r="B2340" t="str">
        <f>VLOOKUP(A2340,Customers!A:B,2,FALSE)</f>
        <v>RetailFlowPro</v>
      </c>
      <c r="C2340" s="24" t="s">
        <v>2707</v>
      </c>
      <c r="D2340" s="10">
        <v>46000</v>
      </c>
      <c r="E2340" s="10">
        <v>46030</v>
      </c>
      <c r="F2340" s="4">
        <v>3961.8</v>
      </c>
      <c r="G2340" s="3">
        <f>SUMIF(Customer_Payments!B:B,C2340,Customer_Payments!E:E)</f>
        <v>3961.8</v>
      </c>
      <c r="H2340" s="3">
        <f t="shared" si="108"/>
        <v>0</v>
      </c>
      <c r="I2340" s="29">
        <f t="shared" si="109"/>
        <v>61</v>
      </c>
      <c r="J2340" s="31" t="str">
        <f t="shared" si="110"/>
        <v>61-90</v>
      </c>
      <c r="K2340"/>
    </row>
    <row r="2341" spans="1:11" x14ac:dyDescent="0.3">
      <c r="A2341" s="21" t="s">
        <v>21</v>
      </c>
      <c r="B2341" t="str">
        <f>VLOOKUP(A2341,Customers!A:B,2,FALSE)</f>
        <v>InsightLoop</v>
      </c>
      <c r="C2341" s="25" t="s">
        <v>2708</v>
      </c>
      <c r="D2341" s="11">
        <v>46085</v>
      </c>
      <c r="E2341" s="11">
        <v>46115</v>
      </c>
      <c r="F2341" s="5">
        <v>4516.43</v>
      </c>
      <c r="G2341" s="3">
        <f>SUMIF(Customer_Payments!B:B,C2341,Customer_Payments!E:E)</f>
        <v>4516.43</v>
      </c>
      <c r="H2341" s="3">
        <f t="shared" si="108"/>
        <v>0</v>
      </c>
      <c r="I2341" s="29">
        <f t="shared" si="109"/>
        <v>-24</v>
      </c>
      <c r="J2341" s="31" t="str">
        <f t="shared" si="110"/>
        <v>Current</v>
      </c>
      <c r="K2341"/>
    </row>
    <row r="2342" spans="1:11" x14ac:dyDescent="0.3">
      <c r="A2342" s="20" t="s">
        <v>82</v>
      </c>
      <c r="B2342" t="str">
        <f>VLOOKUP(A2342,Customers!A:B,2,FALSE)</f>
        <v>RetailNovaX</v>
      </c>
      <c r="C2342" s="24" t="s">
        <v>2709</v>
      </c>
      <c r="D2342" s="10">
        <v>45975</v>
      </c>
      <c r="E2342" s="10">
        <v>46005</v>
      </c>
      <c r="F2342" s="4">
        <v>3721.67</v>
      </c>
      <c r="G2342" s="3">
        <f>SUMIF(Customer_Payments!B:B,C2342,Customer_Payments!E:E)</f>
        <v>3721.67</v>
      </c>
      <c r="H2342" s="3">
        <f t="shared" si="108"/>
        <v>0</v>
      </c>
      <c r="I2342" s="29">
        <f t="shared" si="109"/>
        <v>86</v>
      </c>
      <c r="J2342" s="31" t="str">
        <f t="shared" si="110"/>
        <v>61-90</v>
      </c>
      <c r="K2342"/>
    </row>
    <row r="2343" spans="1:11" x14ac:dyDescent="0.3">
      <c r="A2343" s="21" t="s">
        <v>11</v>
      </c>
      <c r="B2343" t="str">
        <f>VLOOKUP(A2343,Customers!A:B,2,FALSE)</f>
        <v>DataHive</v>
      </c>
      <c r="C2343" s="25" t="s">
        <v>2710</v>
      </c>
      <c r="D2343" s="11">
        <v>46111</v>
      </c>
      <c r="E2343" s="11">
        <v>46141</v>
      </c>
      <c r="F2343" s="5">
        <v>2372.2800000000002</v>
      </c>
      <c r="G2343" s="3">
        <f>SUMIF(Customer_Payments!B:B,C2343,Customer_Payments!E:E)</f>
        <v>2372.2800000000002</v>
      </c>
      <c r="H2343" s="3">
        <f t="shared" si="108"/>
        <v>0</v>
      </c>
      <c r="I2343" s="29">
        <f t="shared" si="109"/>
        <v>-50</v>
      </c>
      <c r="J2343" s="31" t="str">
        <f t="shared" si="110"/>
        <v>Current</v>
      </c>
      <c r="K2343"/>
    </row>
    <row r="2344" spans="1:11" x14ac:dyDescent="0.3">
      <c r="A2344" s="20" t="s">
        <v>8</v>
      </c>
      <c r="B2344" t="str">
        <f>VLOOKUP(A2344,Customers!A:B,2,FALSE)</f>
        <v>NexaSoft</v>
      </c>
      <c r="C2344" s="24" t="s">
        <v>2711</v>
      </c>
      <c r="D2344" s="10">
        <v>45998</v>
      </c>
      <c r="E2344" s="10">
        <v>46028</v>
      </c>
      <c r="F2344" s="4">
        <v>2701.29</v>
      </c>
      <c r="G2344" s="3">
        <f>SUMIF(Customer_Payments!B:B,C2344,Customer_Payments!E:E)</f>
        <v>0</v>
      </c>
      <c r="H2344" s="3">
        <f t="shared" si="108"/>
        <v>2701.29</v>
      </c>
      <c r="I2344" s="29">
        <f t="shared" si="109"/>
        <v>63</v>
      </c>
      <c r="J2344" s="31" t="str">
        <f t="shared" si="110"/>
        <v>61-90</v>
      </c>
      <c r="K2344"/>
    </row>
    <row r="2345" spans="1:11" x14ac:dyDescent="0.3">
      <c r="A2345" s="21" t="s">
        <v>19</v>
      </c>
      <c r="B2345" t="str">
        <f>VLOOKUP(A2345,Customers!A:B,2,FALSE)</f>
        <v>NextWave Digital</v>
      </c>
      <c r="C2345" s="25" t="s">
        <v>2712</v>
      </c>
      <c r="D2345" s="11">
        <v>46037</v>
      </c>
      <c r="E2345" s="11">
        <v>46067</v>
      </c>
      <c r="F2345" s="5">
        <v>4842.82</v>
      </c>
      <c r="G2345" s="3">
        <f>SUMIF(Customer_Payments!B:B,C2345,Customer_Payments!E:E)</f>
        <v>4842.82</v>
      </c>
      <c r="H2345" s="3">
        <f t="shared" si="108"/>
        <v>0</v>
      </c>
      <c r="I2345" s="29">
        <f t="shared" si="109"/>
        <v>24</v>
      </c>
      <c r="J2345" s="31" t="str">
        <f t="shared" si="110"/>
        <v>1-30</v>
      </c>
      <c r="K2345"/>
    </row>
    <row r="2346" spans="1:11" x14ac:dyDescent="0.3">
      <c r="A2346" s="20" t="s">
        <v>30</v>
      </c>
      <c r="B2346" t="str">
        <f>VLOOKUP(A2346,Customers!A:B,2,FALSE)</f>
        <v>CommerceFlow</v>
      </c>
      <c r="C2346" s="24" t="s">
        <v>2713</v>
      </c>
      <c r="D2346" s="10">
        <v>46013</v>
      </c>
      <c r="E2346" s="10">
        <v>46043</v>
      </c>
      <c r="F2346" s="4">
        <v>5826.3</v>
      </c>
      <c r="G2346" s="3">
        <f>SUMIF(Customer_Payments!B:B,C2346,Customer_Payments!E:E)</f>
        <v>5826.3</v>
      </c>
      <c r="H2346" s="3">
        <f t="shared" si="108"/>
        <v>0</v>
      </c>
      <c r="I2346" s="29">
        <f t="shared" si="109"/>
        <v>48</v>
      </c>
      <c r="J2346" s="31" t="str">
        <f t="shared" si="110"/>
        <v>31-60</v>
      </c>
      <c r="K2346"/>
    </row>
    <row r="2347" spans="1:11" x14ac:dyDescent="0.3">
      <c r="A2347" s="21" t="s">
        <v>95</v>
      </c>
      <c r="B2347" t="str">
        <f>VLOOKUP(A2347,Customers!A:B,2,FALSE)</f>
        <v>RetailScaleX</v>
      </c>
      <c r="C2347" s="25" t="s">
        <v>2714</v>
      </c>
      <c r="D2347" s="11">
        <v>46110</v>
      </c>
      <c r="E2347" s="11">
        <v>46140</v>
      </c>
      <c r="F2347" s="5">
        <v>2926.81</v>
      </c>
      <c r="G2347" s="3">
        <f>SUMIF(Customer_Payments!B:B,C2347,Customer_Payments!E:E)</f>
        <v>2926.81</v>
      </c>
      <c r="H2347" s="3">
        <f t="shared" si="108"/>
        <v>0</v>
      </c>
      <c r="I2347" s="29">
        <f t="shared" si="109"/>
        <v>-49</v>
      </c>
      <c r="J2347" s="31" t="str">
        <f t="shared" si="110"/>
        <v>Current</v>
      </c>
      <c r="K2347"/>
    </row>
    <row r="2348" spans="1:11" x14ac:dyDescent="0.3">
      <c r="A2348" s="20" t="s">
        <v>54</v>
      </c>
      <c r="B2348" t="str">
        <f>VLOOKUP(A2348,Customers!A:B,2,FALSE)</f>
        <v>RetailEdge</v>
      </c>
      <c r="C2348" s="24" t="s">
        <v>2715</v>
      </c>
      <c r="D2348" s="10">
        <v>46108</v>
      </c>
      <c r="E2348" s="10">
        <v>46138</v>
      </c>
      <c r="F2348" s="4">
        <v>13108.58</v>
      </c>
      <c r="G2348" s="3">
        <f>SUMIF(Customer_Payments!B:B,C2348,Customer_Payments!E:E)</f>
        <v>13108.58</v>
      </c>
      <c r="H2348" s="3">
        <f t="shared" si="108"/>
        <v>0</v>
      </c>
      <c r="I2348" s="29">
        <f t="shared" si="109"/>
        <v>-47</v>
      </c>
      <c r="J2348" s="31" t="str">
        <f t="shared" si="110"/>
        <v>Current</v>
      </c>
      <c r="K2348"/>
    </row>
    <row r="2349" spans="1:11" x14ac:dyDescent="0.3">
      <c r="A2349" s="21" t="s">
        <v>119</v>
      </c>
      <c r="B2349" t="str">
        <f>VLOOKUP(A2349,Customers!A:B,2,FALSE)</f>
        <v>RetailNovaGlobal</v>
      </c>
      <c r="C2349" s="25" t="s">
        <v>2716</v>
      </c>
      <c r="D2349" s="11">
        <v>46085</v>
      </c>
      <c r="E2349" s="11">
        <v>46115</v>
      </c>
      <c r="F2349" s="5">
        <v>3273.03</v>
      </c>
      <c r="G2349" s="3">
        <f>SUMIF(Customer_Payments!B:B,C2349,Customer_Payments!E:E)</f>
        <v>3273.03</v>
      </c>
      <c r="H2349" s="3">
        <f t="shared" si="108"/>
        <v>0</v>
      </c>
      <c r="I2349" s="29">
        <f t="shared" si="109"/>
        <v>-24</v>
      </c>
      <c r="J2349" s="31" t="str">
        <f t="shared" si="110"/>
        <v>Current</v>
      </c>
      <c r="K2349"/>
    </row>
    <row r="2350" spans="1:11" x14ac:dyDescent="0.3">
      <c r="A2350" s="20" t="s">
        <v>106</v>
      </c>
      <c r="B2350" t="str">
        <f>VLOOKUP(A2350,Customers!A:B,2,FALSE)</f>
        <v>RetailOrbitPro</v>
      </c>
      <c r="C2350" s="24" t="s">
        <v>2717</v>
      </c>
      <c r="D2350" s="10">
        <v>45966</v>
      </c>
      <c r="E2350" s="10">
        <v>45996</v>
      </c>
      <c r="F2350" s="4">
        <v>5526.35</v>
      </c>
      <c r="G2350" s="3">
        <f>SUMIF(Customer_Payments!B:B,C2350,Customer_Payments!E:E)</f>
        <v>5526.35</v>
      </c>
      <c r="H2350" s="3">
        <f t="shared" si="108"/>
        <v>0</v>
      </c>
      <c r="I2350" s="29">
        <f t="shared" si="109"/>
        <v>95</v>
      </c>
      <c r="J2350" s="31" t="str">
        <f t="shared" si="110"/>
        <v>90+</v>
      </c>
      <c r="K2350"/>
    </row>
    <row r="2351" spans="1:11" x14ac:dyDescent="0.3">
      <c r="A2351" s="21" t="s">
        <v>72</v>
      </c>
      <c r="B2351" t="str">
        <f>VLOOKUP(A2351,Customers!A:B,2,FALSE)</f>
        <v>RetailStream</v>
      </c>
      <c r="C2351" s="25" t="s">
        <v>2718</v>
      </c>
      <c r="D2351" s="11">
        <v>46078</v>
      </c>
      <c r="E2351" s="11">
        <v>46108</v>
      </c>
      <c r="F2351" s="5">
        <v>2953.98</v>
      </c>
      <c r="G2351" s="3">
        <f>SUMIF(Customer_Payments!B:B,C2351,Customer_Payments!E:E)</f>
        <v>2953.98</v>
      </c>
      <c r="H2351" s="3">
        <f t="shared" si="108"/>
        <v>0</v>
      </c>
      <c r="I2351" s="29">
        <f t="shared" si="109"/>
        <v>-17</v>
      </c>
      <c r="J2351" s="31" t="str">
        <f t="shared" si="110"/>
        <v>Current</v>
      </c>
      <c r="K2351"/>
    </row>
    <row r="2352" spans="1:11" x14ac:dyDescent="0.3">
      <c r="A2352" s="20" t="s">
        <v>74</v>
      </c>
      <c r="B2352" t="str">
        <f>VLOOKUP(A2352,Customers!A:B,2,FALSE)</f>
        <v>RetailPrime</v>
      </c>
      <c r="C2352" s="24" t="s">
        <v>2719</v>
      </c>
      <c r="D2352" s="10">
        <v>46042</v>
      </c>
      <c r="E2352" s="10">
        <v>46072</v>
      </c>
      <c r="F2352" s="4">
        <v>5844.71</v>
      </c>
      <c r="G2352" s="3">
        <f>SUMIF(Customer_Payments!B:B,C2352,Customer_Payments!E:E)</f>
        <v>0</v>
      </c>
      <c r="H2352" s="3">
        <f t="shared" si="108"/>
        <v>5844.71</v>
      </c>
      <c r="I2352" s="29">
        <f t="shared" si="109"/>
        <v>19</v>
      </c>
      <c r="J2352" s="31" t="str">
        <f t="shared" si="110"/>
        <v>1-30</v>
      </c>
      <c r="K2352"/>
    </row>
    <row r="2353" spans="1:11" x14ac:dyDescent="0.3">
      <c r="A2353" s="21" t="s">
        <v>49</v>
      </c>
      <c r="B2353" t="str">
        <f>VLOOKUP(A2353,Customers!A:B,2,FALSE)</f>
        <v>CommercePilot</v>
      </c>
      <c r="C2353" s="25" t="s">
        <v>2720</v>
      </c>
      <c r="D2353" s="11">
        <v>45978</v>
      </c>
      <c r="E2353" s="11">
        <v>46008</v>
      </c>
      <c r="F2353" s="5">
        <v>5902.99</v>
      </c>
      <c r="G2353" s="3">
        <f>SUMIF(Customer_Payments!B:B,C2353,Customer_Payments!E:E)</f>
        <v>5902.99</v>
      </c>
      <c r="H2353" s="3">
        <f t="shared" si="108"/>
        <v>0</v>
      </c>
      <c r="I2353" s="29">
        <f t="shared" si="109"/>
        <v>83</v>
      </c>
      <c r="J2353" s="31" t="str">
        <f t="shared" si="110"/>
        <v>61-90</v>
      </c>
      <c r="K2353"/>
    </row>
    <row r="2354" spans="1:11" x14ac:dyDescent="0.3">
      <c r="A2354" s="20" t="s">
        <v>65</v>
      </c>
      <c r="B2354" t="str">
        <f>VLOOKUP(A2354,Customers!A:B,2,FALSE)</f>
        <v>RetailFlow</v>
      </c>
      <c r="C2354" s="24" t="s">
        <v>2721</v>
      </c>
      <c r="D2354" s="10">
        <v>46098</v>
      </c>
      <c r="E2354" s="10">
        <v>46128</v>
      </c>
      <c r="F2354" s="4">
        <v>3564.39</v>
      </c>
      <c r="G2354" s="3">
        <f>SUMIF(Customer_Payments!B:B,C2354,Customer_Payments!E:E)</f>
        <v>0</v>
      </c>
      <c r="H2354" s="3">
        <f t="shared" si="108"/>
        <v>3564.39</v>
      </c>
      <c r="I2354" s="29">
        <f t="shared" si="109"/>
        <v>-37</v>
      </c>
      <c r="J2354" s="31" t="str">
        <f t="shared" si="110"/>
        <v>Current</v>
      </c>
      <c r="K2354"/>
    </row>
    <row r="2355" spans="1:11" x14ac:dyDescent="0.3">
      <c r="A2355" s="21" t="s">
        <v>120</v>
      </c>
      <c r="B2355" t="str">
        <f>VLOOKUP(A2355,Customers!A:B,2,FALSE)</f>
        <v>RetailPrimeGlobal</v>
      </c>
      <c r="C2355" s="25" t="s">
        <v>2722</v>
      </c>
      <c r="D2355" s="11">
        <v>46013</v>
      </c>
      <c r="E2355" s="11">
        <v>46043</v>
      </c>
      <c r="F2355" s="5">
        <v>10393.64</v>
      </c>
      <c r="G2355" s="3">
        <f>SUMIF(Customer_Payments!B:B,C2355,Customer_Payments!E:E)</f>
        <v>10393.64</v>
      </c>
      <c r="H2355" s="3">
        <f t="shared" si="108"/>
        <v>0</v>
      </c>
      <c r="I2355" s="29">
        <f t="shared" si="109"/>
        <v>48</v>
      </c>
      <c r="J2355" s="31" t="str">
        <f t="shared" si="110"/>
        <v>31-60</v>
      </c>
      <c r="K2355"/>
    </row>
    <row r="2356" spans="1:11" x14ac:dyDescent="0.3">
      <c r="A2356" s="20" t="s">
        <v>33</v>
      </c>
      <c r="B2356" t="str">
        <f>VLOOKUP(A2356,Customers!A:B,2,FALSE)</f>
        <v>CloudCart</v>
      </c>
      <c r="C2356" s="24" t="s">
        <v>2723</v>
      </c>
      <c r="D2356" s="10">
        <v>46029</v>
      </c>
      <c r="E2356" s="10">
        <v>46059</v>
      </c>
      <c r="F2356" s="4">
        <v>4602.5600000000004</v>
      </c>
      <c r="G2356" s="3">
        <f>SUMIF(Customer_Payments!B:B,C2356,Customer_Payments!E:E)</f>
        <v>4602.5600000000004</v>
      </c>
      <c r="H2356" s="3">
        <f t="shared" si="108"/>
        <v>0</v>
      </c>
      <c r="I2356" s="29">
        <f t="shared" si="109"/>
        <v>32</v>
      </c>
      <c r="J2356" s="31" t="str">
        <f t="shared" si="110"/>
        <v>31-60</v>
      </c>
      <c r="K2356"/>
    </row>
    <row r="2357" spans="1:11" x14ac:dyDescent="0.3">
      <c r="A2357" s="21" t="s">
        <v>115</v>
      </c>
      <c r="B2357" t="str">
        <f>VLOOKUP(A2357,Customers!A:B,2,FALSE)</f>
        <v>RetailDynamicsPro</v>
      </c>
      <c r="C2357" s="25" t="s">
        <v>2724</v>
      </c>
      <c r="D2357" s="11">
        <v>46014</v>
      </c>
      <c r="E2357" s="11">
        <v>46044</v>
      </c>
      <c r="F2357" s="5">
        <v>10032.799999999999</v>
      </c>
      <c r="G2357" s="3">
        <f>SUMIF(Customer_Payments!B:B,C2357,Customer_Payments!E:E)</f>
        <v>10032.799999999999</v>
      </c>
      <c r="H2357" s="3">
        <f t="shared" si="108"/>
        <v>0</v>
      </c>
      <c r="I2357" s="29">
        <f t="shared" si="109"/>
        <v>47</v>
      </c>
      <c r="J2357" s="31" t="str">
        <f t="shared" si="110"/>
        <v>31-60</v>
      </c>
      <c r="K2357"/>
    </row>
    <row r="2358" spans="1:11" x14ac:dyDescent="0.3">
      <c r="A2358" s="20" t="s">
        <v>77</v>
      </c>
      <c r="B2358" t="str">
        <f>VLOOKUP(A2358,Customers!A:B,2,FALSE)</f>
        <v>RetailBridge</v>
      </c>
      <c r="C2358" s="24" t="s">
        <v>2725</v>
      </c>
      <c r="D2358" s="10">
        <v>45963</v>
      </c>
      <c r="E2358" s="10">
        <v>45993</v>
      </c>
      <c r="F2358" s="4">
        <v>2004.94</v>
      </c>
      <c r="G2358" s="3">
        <f>SUMIF(Customer_Payments!B:B,C2358,Customer_Payments!E:E)</f>
        <v>2004.94</v>
      </c>
      <c r="H2358" s="3">
        <f t="shared" si="108"/>
        <v>0</v>
      </c>
      <c r="I2358" s="29">
        <f t="shared" si="109"/>
        <v>98</v>
      </c>
      <c r="J2358" s="31" t="str">
        <f t="shared" si="110"/>
        <v>90+</v>
      </c>
      <c r="K2358"/>
    </row>
    <row r="2359" spans="1:11" x14ac:dyDescent="0.3">
      <c r="A2359" s="21" t="s">
        <v>113</v>
      </c>
      <c r="B2359" t="str">
        <f>VLOOKUP(A2359,Customers!A:B,2,FALSE)</f>
        <v>RetailSpherePro</v>
      </c>
      <c r="C2359" s="25" t="s">
        <v>2726</v>
      </c>
      <c r="D2359" s="11">
        <v>45982</v>
      </c>
      <c r="E2359" s="11">
        <v>46012</v>
      </c>
      <c r="F2359" s="5">
        <v>1723.71</v>
      </c>
      <c r="G2359" s="3">
        <f>SUMIF(Customer_Payments!B:B,C2359,Customer_Payments!E:E)</f>
        <v>1723.71</v>
      </c>
      <c r="H2359" s="3">
        <f t="shared" si="108"/>
        <v>0</v>
      </c>
      <c r="I2359" s="29">
        <f t="shared" si="109"/>
        <v>79</v>
      </c>
      <c r="J2359" s="31" t="str">
        <f t="shared" si="110"/>
        <v>61-90</v>
      </c>
      <c r="K2359"/>
    </row>
    <row r="2360" spans="1:11" x14ac:dyDescent="0.3">
      <c r="A2360" s="20" t="s">
        <v>47</v>
      </c>
      <c r="B2360" t="str">
        <f>VLOOKUP(A2360,Customers!A:B,2,FALSE)</f>
        <v>SmartRetail</v>
      </c>
      <c r="C2360" s="24" t="s">
        <v>2727</v>
      </c>
      <c r="D2360" s="10">
        <v>46064</v>
      </c>
      <c r="E2360" s="10">
        <v>46094</v>
      </c>
      <c r="F2360" s="4">
        <v>12989.88</v>
      </c>
      <c r="G2360" s="3">
        <f>SUMIF(Customer_Payments!B:B,C2360,Customer_Payments!E:E)</f>
        <v>12989.88</v>
      </c>
      <c r="H2360" s="3">
        <f t="shared" si="108"/>
        <v>0</v>
      </c>
      <c r="I2360" s="29">
        <f t="shared" si="109"/>
        <v>-3</v>
      </c>
      <c r="J2360" s="31" t="str">
        <f t="shared" si="110"/>
        <v>Current</v>
      </c>
      <c r="K2360"/>
    </row>
    <row r="2361" spans="1:11" x14ac:dyDescent="0.3">
      <c r="A2361" s="21" t="s">
        <v>100</v>
      </c>
      <c r="B2361" t="str">
        <f>VLOOKUP(A2361,Customers!A:B,2,FALSE)</f>
        <v>RetailBoostPro</v>
      </c>
      <c r="C2361" s="25" t="s">
        <v>2728</v>
      </c>
      <c r="D2361" s="11">
        <v>45984</v>
      </c>
      <c r="E2361" s="11">
        <v>46014</v>
      </c>
      <c r="F2361" s="5">
        <v>4799.7700000000004</v>
      </c>
      <c r="G2361" s="3">
        <f>SUMIF(Customer_Payments!B:B,C2361,Customer_Payments!E:E)</f>
        <v>0</v>
      </c>
      <c r="H2361" s="3">
        <f t="shared" si="108"/>
        <v>4799.7700000000004</v>
      </c>
      <c r="I2361" s="29">
        <f t="shared" si="109"/>
        <v>77</v>
      </c>
      <c r="J2361" s="31" t="str">
        <f t="shared" si="110"/>
        <v>61-90</v>
      </c>
      <c r="K2361"/>
    </row>
    <row r="2362" spans="1:11" x14ac:dyDescent="0.3">
      <c r="A2362" s="20" t="s">
        <v>92</v>
      </c>
      <c r="B2362" t="str">
        <f>VLOOKUP(A2362,Customers!A:B,2,FALSE)</f>
        <v>RetailMatrixX</v>
      </c>
      <c r="C2362" s="24" t="s">
        <v>2729</v>
      </c>
      <c r="D2362" s="10">
        <v>45983</v>
      </c>
      <c r="E2362" s="10">
        <v>46013</v>
      </c>
      <c r="F2362" s="4">
        <v>12465.31</v>
      </c>
      <c r="G2362" s="3">
        <f>SUMIF(Customer_Payments!B:B,C2362,Customer_Payments!E:E)</f>
        <v>12465.31</v>
      </c>
      <c r="H2362" s="3">
        <f t="shared" si="108"/>
        <v>0</v>
      </c>
      <c r="I2362" s="29">
        <f t="shared" si="109"/>
        <v>78</v>
      </c>
      <c r="J2362" s="31" t="str">
        <f t="shared" si="110"/>
        <v>61-90</v>
      </c>
      <c r="K2362"/>
    </row>
    <row r="2363" spans="1:11" x14ac:dyDescent="0.3">
      <c r="A2363" s="21" t="s">
        <v>29</v>
      </c>
      <c r="B2363" t="str">
        <f>VLOOKUP(A2363,Customers!A:B,2,FALSE)</f>
        <v>DigitalBridge</v>
      </c>
      <c r="C2363" s="25" t="s">
        <v>2730</v>
      </c>
      <c r="D2363" s="11">
        <v>46045</v>
      </c>
      <c r="E2363" s="11">
        <v>46075</v>
      </c>
      <c r="F2363" s="5">
        <v>2138.56</v>
      </c>
      <c r="G2363" s="3">
        <f>SUMIF(Customer_Payments!B:B,C2363,Customer_Payments!E:E)</f>
        <v>0</v>
      </c>
      <c r="H2363" s="3">
        <f t="shared" si="108"/>
        <v>2138.56</v>
      </c>
      <c r="I2363" s="29">
        <f t="shared" si="109"/>
        <v>16</v>
      </c>
      <c r="J2363" s="31" t="str">
        <f t="shared" si="110"/>
        <v>1-30</v>
      </c>
      <c r="K2363"/>
    </row>
    <row r="2364" spans="1:11" x14ac:dyDescent="0.3">
      <c r="A2364" s="20" t="s">
        <v>85</v>
      </c>
      <c r="B2364" t="str">
        <f>VLOOKUP(A2364,Customers!A:B,2,FALSE)</f>
        <v>RetailWorksX</v>
      </c>
      <c r="C2364" s="24" t="s">
        <v>2731</v>
      </c>
      <c r="D2364" s="10">
        <v>46030</v>
      </c>
      <c r="E2364" s="10">
        <v>46060</v>
      </c>
      <c r="F2364" s="4">
        <v>4738.2700000000004</v>
      </c>
      <c r="G2364" s="3">
        <f>SUMIF(Customer_Payments!B:B,C2364,Customer_Payments!E:E)</f>
        <v>0</v>
      </c>
      <c r="H2364" s="3">
        <f t="shared" si="108"/>
        <v>4738.2700000000004</v>
      </c>
      <c r="I2364" s="29">
        <f t="shared" si="109"/>
        <v>31</v>
      </c>
      <c r="J2364" s="31" t="str">
        <f t="shared" si="110"/>
        <v>31-60</v>
      </c>
      <c r="K2364"/>
    </row>
    <row r="2365" spans="1:11" x14ac:dyDescent="0.3">
      <c r="A2365" s="21" t="s">
        <v>70</v>
      </c>
      <c r="B2365" t="str">
        <f>VLOOKUP(A2365,Customers!A:B,2,FALSE)</f>
        <v>RetailPath</v>
      </c>
      <c r="C2365" s="25" t="s">
        <v>2732</v>
      </c>
      <c r="D2365" s="11">
        <v>45975</v>
      </c>
      <c r="E2365" s="11">
        <v>46005</v>
      </c>
      <c r="F2365" s="5">
        <v>3852.36</v>
      </c>
      <c r="G2365" s="3">
        <f>SUMIF(Customer_Payments!B:B,C2365,Customer_Payments!E:E)</f>
        <v>3852.36</v>
      </c>
      <c r="H2365" s="3">
        <f t="shared" si="108"/>
        <v>0</v>
      </c>
      <c r="I2365" s="29">
        <f t="shared" si="109"/>
        <v>86</v>
      </c>
      <c r="J2365" s="31" t="str">
        <f t="shared" si="110"/>
        <v>61-90</v>
      </c>
      <c r="K2365"/>
    </row>
    <row r="2366" spans="1:11" x14ac:dyDescent="0.3">
      <c r="A2366" s="20" t="s">
        <v>56</v>
      </c>
      <c r="B2366" t="str">
        <f>VLOOKUP(A2366,Customers!A:B,2,FALSE)</f>
        <v>RetailBoost</v>
      </c>
      <c r="C2366" s="24" t="s">
        <v>2733</v>
      </c>
      <c r="D2366" s="10">
        <v>45975</v>
      </c>
      <c r="E2366" s="10">
        <v>46005</v>
      </c>
      <c r="F2366" s="4">
        <v>4088.5</v>
      </c>
      <c r="G2366" s="3">
        <f>SUMIF(Customer_Payments!B:B,C2366,Customer_Payments!E:E)</f>
        <v>4088.5</v>
      </c>
      <c r="H2366" s="3">
        <f t="shared" si="108"/>
        <v>0</v>
      </c>
      <c r="I2366" s="29">
        <f t="shared" si="109"/>
        <v>86</v>
      </c>
      <c r="J2366" s="31" t="str">
        <f t="shared" si="110"/>
        <v>61-90</v>
      </c>
      <c r="K2366"/>
    </row>
    <row r="2367" spans="1:11" x14ac:dyDescent="0.3">
      <c r="A2367" s="21" t="s">
        <v>93</v>
      </c>
      <c r="B2367" t="str">
        <f>VLOOKUP(A2367,Customers!A:B,2,FALSE)</f>
        <v>RetailSphereX</v>
      </c>
      <c r="C2367" s="25" t="s">
        <v>2734</v>
      </c>
      <c r="D2367" s="11">
        <v>46016</v>
      </c>
      <c r="E2367" s="11">
        <v>46046</v>
      </c>
      <c r="F2367" s="5">
        <v>1569.51</v>
      </c>
      <c r="G2367" s="3">
        <f>SUMIF(Customer_Payments!B:B,C2367,Customer_Payments!E:E)</f>
        <v>1569.51</v>
      </c>
      <c r="H2367" s="3">
        <f t="shared" si="108"/>
        <v>0</v>
      </c>
      <c r="I2367" s="29">
        <f t="shared" si="109"/>
        <v>45</v>
      </c>
      <c r="J2367" s="31" t="str">
        <f t="shared" si="110"/>
        <v>31-60</v>
      </c>
      <c r="K2367"/>
    </row>
    <row r="2368" spans="1:11" x14ac:dyDescent="0.3">
      <c r="A2368" s="20" t="s">
        <v>94</v>
      </c>
      <c r="B2368" t="str">
        <f>VLOOKUP(A2368,Customers!A:B,2,FALSE)</f>
        <v>RetailDynamicsX</v>
      </c>
      <c r="C2368" s="24" t="s">
        <v>2735</v>
      </c>
      <c r="D2368" s="10">
        <v>46033</v>
      </c>
      <c r="E2368" s="10">
        <v>46063</v>
      </c>
      <c r="F2368" s="4">
        <v>9767.17</v>
      </c>
      <c r="G2368" s="3">
        <f>SUMIF(Customer_Payments!B:B,C2368,Customer_Payments!E:E)</f>
        <v>9767.17</v>
      </c>
      <c r="H2368" s="3">
        <f t="shared" si="108"/>
        <v>0</v>
      </c>
      <c r="I2368" s="29">
        <f t="shared" si="109"/>
        <v>28</v>
      </c>
      <c r="J2368" s="31" t="str">
        <f t="shared" si="110"/>
        <v>1-30</v>
      </c>
      <c r="K2368"/>
    </row>
    <row r="2369" spans="1:11" x14ac:dyDescent="0.3">
      <c r="A2369" s="21" t="s">
        <v>100</v>
      </c>
      <c r="B2369" t="str">
        <f>VLOOKUP(A2369,Customers!A:B,2,FALSE)</f>
        <v>RetailBoostPro</v>
      </c>
      <c r="C2369" s="25" t="s">
        <v>2736</v>
      </c>
      <c r="D2369" s="11">
        <v>46092</v>
      </c>
      <c r="E2369" s="11">
        <v>46122</v>
      </c>
      <c r="F2369" s="5">
        <v>3967.93</v>
      </c>
      <c r="G2369" s="3">
        <f>SUMIF(Customer_Payments!B:B,C2369,Customer_Payments!E:E)</f>
        <v>3967.93</v>
      </c>
      <c r="H2369" s="3">
        <f t="shared" si="108"/>
        <v>0</v>
      </c>
      <c r="I2369" s="29">
        <f t="shared" si="109"/>
        <v>-31</v>
      </c>
      <c r="J2369" s="31" t="str">
        <f t="shared" si="110"/>
        <v>Current</v>
      </c>
      <c r="K2369"/>
    </row>
    <row r="2370" spans="1:11" x14ac:dyDescent="0.3">
      <c r="A2370" s="20" t="s">
        <v>23</v>
      </c>
      <c r="B2370" t="str">
        <f>VLOOKUP(A2370,Customers!A:B,2,FALSE)</f>
        <v>VertexCommerce</v>
      </c>
      <c r="C2370" s="24" t="s">
        <v>2737</v>
      </c>
      <c r="D2370" s="10">
        <v>45989</v>
      </c>
      <c r="E2370" s="10">
        <v>46019</v>
      </c>
      <c r="F2370" s="4">
        <v>3187.04</v>
      </c>
      <c r="G2370" s="3">
        <f>SUMIF(Customer_Payments!B:B,C2370,Customer_Payments!E:E)</f>
        <v>3187.04</v>
      </c>
      <c r="H2370" s="3">
        <f t="shared" ref="H2370:H2433" si="111">MAX(F2370-G2370,0)</f>
        <v>0</v>
      </c>
      <c r="I2370" s="29">
        <f t="shared" ref="I2370:I2433" si="112">$L$2-E2370</f>
        <v>72</v>
      </c>
      <c r="J2370" s="31" t="str">
        <f t="shared" si="110"/>
        <v>61-90</v>
      </c>
      <c r="K2370"/>
    </row>
    <row r="2371" spans="1:11" x14ac:dyDescent="0.3">
      <c r="A2371" s="21" t="s">
        <v>90</v>
      </c>
      <c r="B2371" t="str">
        <f>VLOOKUP(A2371,Customers!A:B,2,FALSE)</f>
        <v>RetailPulseX</v>
      </c>
      <c r="C2371" s="25" t="s">
        <v>2738</v>
      </c>
      <c r="D2371" s="11">
        <v>45999</v>
      </c>
      <c r="E2371" s="11">
        <v>46029</v>
      </c>
      <c r="F2371" s="5">
        <v>3509.76</v>
      </c>
      <c r="G2371" s="3">
        <f>SUMIF(Customer_Payments!B:B,C2371,Customer_Payments!E:E)</f>
        <v>3509.76</v>
      </c>
      <c r="H2371" s="3">
        <f t="shared" si="111"/>
        <v>0</v>
      </c>
      <c r="I2371" s="29">
        <f t="shared" si="112"/>
        <v>62</v>
      </c>
      <c r="J2371" s="31" t="str">
        <f t="shared" ref="J2371:J2434" si="113">IF(I2371&lt;=0,"Current",
IF(I2371&lt;=30,"1-30",
IF(I2371&lt;=60,"31-60",
IF(I2371&lt;=90,"61-90","90+"))))</f>
        <v>61-90</v>
      </c>
      <c r="K2371"/>
    </row>
    <row r="2372" spans="1:11" x14ac:dyDescent="0.3">
      <c r="A2372" s="20" t="s">
        <v>40</v>
      </c>
      <c r="B2372" t="str">
        <f>VLOOKUP(A2372,Customers!A:B,2,FALSE)</f>
        <v>GlobalCart</v>
      </c>
      <c r="C2372" s="24" t="s">
        <v>2739</v>
      </c>
      <c r="D2372" s="10">
        <v>46101</v>
      </c>
      <c r="E2372" s="10">
        <v>46131</v>
      </c>
      <c r="F2372" s="4">
        <v>1729.23</v>
      </c>
      <c r="G2372" s="3">
        <f>SUMIF(Customer_Payments!B:B,C2372,Customer_Payments!E:E)</f>
        <v>1729.23</v>
      </c>
      <c r="H2372" s="3">
        <f t="shared" si="111"/>
        <v>0</v>
      </c>
      <c r="I2372" s="29">
        <f t="shared" si="112"/>
        <v>-40</v>
      </c>
      <c r="J2372" s="31" t="str">
        <f t="shared" si="113"/>
        <v>Current</v>
      </c>
      <c r="K2372"/>
    </row>
    <row r="2373" spans="1:11" x14ac:dyDescent="0.3">
      <c r="A2373" s="21" t="s">
        <v>106</v>
      </c>
      <c r="B2373" t="str">
        <f>VLOOKUP(A2373,Customers!A:B,2,FALSE)</f>
        <v>RetailOrbitPro</v>
      </c>
      <c r="C2373" s="25" t="s">
        <v>2740</v>
      </c>
      <c r="D2373" s="11">
        <v>46058</v>
      </c>
      <c r="E2373" s="11">
        <v>46088</v>
      </c>
      <c r="F2373" s="5">
        <v>1896.56</v>
      </c>
      <c r="G2373" s="3">
        <f>SUMIF(Customer_Payments!B:B,C2373,Customer_Payments!E:E)</f>
        <v>1896.56</v>
      </c>
      <c r="H2373" s="3">
        <f t="shared" si="111"/>
        <v>0</v>
      </c>
      <c r="I2373" s="29">
        <f t="shared" si="112"/>
        <v>3</v>
      </c>
      <c r="J2373" s="31" t="str">
        <f t="shared" si="113"/>
        <v>1-30</v>
      </c>
      <c r="K2373"/>
    </row>
    <row r="2374" spans="1:11" x14ac:dyDescent="0.3">
      <c r="A2374" s="20" t="s">
        <v>21</v>
      </c>
      <c r="B2374" t="str">
        <f>VLOOKUP(A2374,Customers!A:B,2,FALSE)</f>
        <v>InsightLoop</v>
      </c>
      <c r="C2374" s="24" t="s">
        <v>2741</v>
      </c>
      <c r="D2374" s="10">
        <v>46021</v>
      </c>
      <c r="E2374" s="10">
        <v>46051</v>
      </c>
      <c r="F2374" s="4">
        <v>13017.71</v>
      </c>
      <c r="G2374" s="3">
        <f>SUMIF(Customer_Payments!B:B,C2374,Customer_Payments!E:E)</f>
        <v>0</v>
      </c>
      <c r="H2374" s="3">
        <f t="shared" si="111"/>
        <v>13017.71</v>
      </c>
      <c r="I2374" s="29">
        <f t="shared" si="112"/>
        <v>40</v>
      </c>
      <c r="J2374" s="31" t="str">
        <f t="shared" si="113"/>
        <v>31-60</v>
      </c>
      <c r="K2374"/>
    </row>
    <row r="2375" spans="1:11" x14ac:dyDescent="0.3">
      <c r="A2375" s="21" t="s">
        <v>17</v>
      </c>
      <c r="B2375" t="str">
        <f>VLOOKUP(A2375,Customers!A:B,2,FALSE)</f>
        <v>AlphaCommerce</v>
      </c>
      <c r="C2375" s="25" t="s">
        <v>2742</v>
      </c>
      <c r="D2375" s="11">
        <v>46061</v>
      </c>
      <c r="E2375" s="11">
        <v>46091</v>
      </c>
      <c r="F2375" s="5">
        <v>5961.47</v>
      </c>
      <c r="G2375" s="3">
        <f>SUMIF(Customer_Payments!B:B,C2375,Customer_Payments!E:E)</f>
        <v>0</v>
      </c>
      <c r="H2375" s="3">
        <f t="shared" si="111"/>
        <v>5961.47</v>
      </c>
      <c r="I2375" s="29">
        <f t="shared" si="112"/>
        <v>0</v>
      </c>
      <c r="J2375" s="31" t="str">
        <f t="shared" si="113"/>
        <v>Current</v>
      </c>
      <c r="K2375"/>
    </row>
    <row r="2376" spans="1:11" x14ac:dyDescent="0.3">
      <c r="A2376" s="20" t="s">
        <v>72</v>
      </c>
      <c r="B2376" t="str">
        <f>VLOOKUP(A2376,Customers!A:B,2,FALSE)</f>
        <v>RetailStream</v>
      </c>
      <c r="C2376" s="24" t="s">
        <v>2743</v>
      </c>
      <c r="D2376" s="10">
        <v>45996</v>
      </c>
      <c r="E2376" s="10">
        <v>46026</v>
      </c>
      <c r="F2376" s="4">
        <v>4013.91</v>
      </c>
      <c r="G2376" s="3">
        <f>SUMIF(Customer_Payments!B:B,C2376,Customer_Payments!E:E)</f>
        <v>4013.91</v>
      </c>
      <c r="H2376" s="3">
        <f t="shared" si="111"/>
        <v>0</v>
      </c>
      <c r="I2376" s="29">
        <f t="shared" si="112"/>
        <v>65</v>
      </c>
      <c r="J2376" s="31" t="str">
        <f t="shared" si="113"/>
        <v>61-90</v>
      </c>
      <c r="K2376"/>
    </row>
    <row r="2377" spans="1:11" x14ac:dyDescent="0.3">
      <c r="A2377" s="21" t="s">
        <v>43</v>
      </c>
      <c r="B2377" t="str">
        <f>VLOOKUP(A2377,Customers!A:B,2,FALSE)</f>
        <v>CommerceSpark</v>
      </c>
      <c r="C2377" s="25" t="s">
        <v>2744</v>
      </c>
      <c r="D2377" s="11">
        <v>46079</v>
      </c>
      <c r="E2377" s="11">
        <v>46109</v>
      </c>
      <c r="F2377" s="5">
        <v>3818.68</v>
      </c>
      <c r="G2377" s="3">
        <f>SUMIF(Customer_Payments!B:B,C2377,Customer_Payments!E:E)</f>
        <v>3818.68</v>
      </c>
      <c r="H2377" s="3">
        <f t="shared" si="111"/>
        <v>0</v>
      </c>
      <c r="I2377" s="29">
        <f t="shared" si="112"/>
        <v>-18</v>
      </c>
      <c r="J2377" s="31" t="str">
        <f t="shared" si="113"/>
        <v>Current</v>
      </c>
      <c r="K2377"/>
    </row>
    <row r="2378" spans="1:11" x14ac:dyDescent="0.3">
      <c r="A2378" s="20" t="s">
        <v>120</v>
      </c>
      <c r="B2378" t="str">
        <f>VLOOKUP(A2378,Customers!A:B,2,FALSE)</f>
        <v>RetailPrimeGlobal</v>
      </c>
      <c r="C2378" s="24" t="s">
        <v>2745</v>
      </c>
      <c r="D2378" s="10">
        <v>46094</v>
      </c>
      <c r="E2378" s="10">
        <v>46124</v>
      </c>
      <c r="F2378" s="4">
        <v>2545.86</v>
      </c>
      <c r="G2378" s="3">
        <f>SUMIF(Customer_Payments!B:B,C2378,Customer_Payments!E:E)</f>
        <v>2545.86</v>
      </c>
      <c r="H2378" s="3">
        <f t="shared" si="111"/>
        <v>0</v>
      </c>
      <c r="I2378" s="29">
        <f t="shared" si="112"/>
        <v>-33</v>
      </c>
      <c r="J2378" s="31" t="str">
        <f t="shared" si="113"/>
        <v>Current</v>
      </c>
      <c r="K2378"/>
    </row>
    <row r="2379" spans="1:11" x14ac:dyDescent="0.3">
      <c r="A2379" s="21" t="s">
        <v>44</v>
      </c>
      <c r="B2379" t="str">
        <f>VLOOKUP(A2379,Customers!A:B,2,FALSE)</f>
        <v>BrightMarket</v>
      </c>
      <c r="C2379" s="25" t="s">
        <v>2746</v>
      </c>
      <c r="D2379" s="11">
        <v>46095</v>
      </c>
      <c r="E2379" s="11">
        <v>46125</v>
      </c>
      <c r="F2379" s="5">
        <v>3760.94</v>
      </c>
      <c r="G2379" s="3">
        <f>SUMIF(Customer_Payments!B:B,C2379,Customer_Payments!E:E)</f>
        <v>3760.94</v>
      </c>
      <c r="H2379" s="3">
        <f t="shared" si="111"/>
        <v>0</v>
      </c>
      <c r="I2379" s="29">
        <f t="shared" si="112"/>
        <v>-34</v>
      </c>
      <c r="J2379" s="31" t="str">
        <f t="shared" si="113"/>
        <v>Current</v>
      </c>
      <c r="K2379"/>
    </row>
    <row r="2380" spans="1:11" x14ac:dyDescent="0.3">
      <c r="A2380" s="20" t="s">
        <v>9</v>
      </c>
      <c r="B2380" t="str">
        <f>VLOOKUP(A2380,Customers!A:B,2,FALSE)</f>
        <v>UrbanRetail</v>
      </c>
      <c r="C2380" s="24" t="s">
        <v>2747</v>
      </c>
      <c r="D2380" s="10">
        <v>46006</v>
      </c>
      <c r="E2380" s="10">
        <v>46036</v>
      </c>
      <c r="F2380" s="4">
        <v>3051.3</v>
      </c>
      <c r="G2380" s="3">
        <f>SUMIF(Customer_Payments!B:B,C2380,Customer_Payments!E:E)</f>
        <v>3051.3</v>
      </c>
      <c r="H2380" s="3">
        <f t="shared" si="111"/>
        <v>0</v>
      </c>
      <c r="I2380" s="29">
        <f t="shared" si="112"/>
        <v>55</v>
      </c>
      <c r="J2380" s="31" t="str">
        <f t="shared" si="113"/>
        <v>31-60</v>
      </c>
      <c r="K2380"/>
    </row>
    <row r="2381" spans="1:11" x14ac:dyDescent="0.3">
      <c r="A2381" s="21" t="s">
        <v>52</v>
      </c>
      <c r="B2381" t="str">
        <f>VLOOKUP(A2381,Customers!A:B,2,FALSE)</f>
        <v>RetailShift</v>
      </c>
      <c r="C2381" s="25" t="s">
        <v>2748</v>
      </c>
      <c r="D2381" s="11">
        <v>45982</v>
      </c>
      <c r="E2381" s="11">
        <v>46012</v>
      </c>
      <c r="F2381" s="5">
        <v>11158.24</v>
      </c>
      <c r="G2381" s="3">
        <f>SUMIF(Customer_Payments!B:B,C2381,Customer_Payments!E:E)</f>
        <v>11158.24</v>
      </c>
      <c r="H2381" s="3">
        <f t="shared" si="111"/>
        <v>0</v>
      </c>
      <c r="I2381" s="29">
        <f t="shared" si="112"/>
        <v>79</v>
      </c>
      <c r="J2381" s="31" t="str">
        <f t="shared" si="113"/>
        <v>61-90</v>
      </c>
      <c r="K2381"/>
    </row>
    <row r="2382" spans="1:11" x14ac:dyDescent="0.3">
      <c r="A2382" s="20" t="s">
        <v>17</v>
      </c>
      <c r="B2382" t="str">
        <f>VLOOKUP(A2382,Customers!A:B,2,FALSE)</f>
        <v>AlphaCommerce</v>
      </c>
      <c r="C2382" s="24" t="s">
        <v>2749</v>
      </c>
      <c r="D2382" s="10">
        <v>46050</v>
      </c>
      <c r="E2382" s="10">
        <v>46080</v>
      </c>
      <c r="F2382" s="4">
        <v>1466.36</v>
      </c>
      <c r="G2382" s="3">
        <f>SUMIF(Customer_Payments!B:B,C2382,Customer_Payments!E:E)</f>
        <v>1466.36</v>
      </c>
      <c r="H2382" s="3">
        <f t="shared" si="111"/>
        <v>0</v>
      </c>
      <c r="I2382" s="29">
        <f t="shared" si="112"/>
        <v>11</v>
      </c>
      <c r="J2382" s="31" t="str">
        <f t="shared" si="113"/>
        <v>1-30</v>
      </c>
      <c r="K2382"/>
    </row>
    <row r="2383" spans="1:11" x14ac:dyDescent="0.3">
      <c r="A2383" s="21" t="s">
        <v>62</v>
      </c>
      <c r="B2383" t="str">
        <f>VLOOKUP(A2383,Customers!A:B,2,FALSE)</f>
        <v>MarketNova</v>
      </c>
      <c r="C2383" s="25" t="s">
        <v>2750</v>
      </c>
      <c r="D2383" s="11">
        <v>46102</v>
      </c>
      <c r="E2383" s="11">
        <v>46132</v>
      </c>
      <c r="F2383" s="5">
        <v>2932.4</v>
      </c>
      <c r="G2383" s="3">
        <f>SUMIF(Customer_Payments!B:B,C2383,Customer_Payments!E:E)</f>
        <v>2932.4</v>
      </c>
      <c r="H2383" s="3">
        <f t="shared" si="111"/>
        <v>0</v>
      </c>
      <c r="I2383" s="29">
        <f t="shared" si="112"/>
        <v>-41</v>
      </c>
      <c r="J2383" s="31" t="str">
        <f t="shared" si="113"/>
        <v>Current</v>
      </c>
      <c r="K2383"/>
    </row>
    <row r="2384" spans="1:11" x14ac:dyDescent="0.3">
      <c r="A2384" s="20" t="s">
        <v>124</v>
      </c>
      <c r="B2384" t="str">
        <f>VLOOKUP(A2384,Customers!A:B,2,FALSE)</f>
        <v>RetailOrbitGlobal</v>
      </c>
      <c r="C2384" s="24" t="s">
        <v>2751</v>
      </c>
      <c r="D2384" s="10">
        <v>45971</v>
      </c>
      <c r="E2384" s="10">
        <v>46001</v>
      </c>
      <c r="F2384" s="4">
        <v>2345.39</v>
      </c>
      <c r="G2384" s="3">
        <f>SUMIF(Customer_Payments!B:B,C2384,Customer_Payments!E:E)</f>
        <v>2345.39</v>
      </c>
      <c r="H2384" s="3">
        <f t="shared" si="111"/>
        <v>0</v>
      </c>
      <c r="I2384" s="29">
        <f t="shared" si="112"/>
        <v>90</v>
      </c>
      <c r="J2384" s="31" t="str">
        <f t="shared" si="113"/>
        <v>61-90</v>
      </c>
      <c r="K2384"/>
    </row>
    <row r="2385" spans="1:11" x14ac:dyDescent="0.3">
      <c r="A2385" s="21" t="s">
        <v>48</v>
      </c>
      <c r="B2385" t="str">
        <f>VLOOKUP(A2385,Customers!A:B,2,FALSE)</f>
        <v>RetailGenius</v>
      </c>
      <c r="C2385" s="25" t="s">
        <v>2752</v>
      </c>
      <c r="D2385" s="11">
        <v>45963</v>
      </c>
      <c r="E2385" s="11">
        <v>45993</v>
      </c>
      <c r="F2385" s="5">
        <v>2030.75</v>
      </c>
      <c r="G2385" s="3">
        <f>SUMIF(Customer_Payments!B:B,C2385,Customer_Payments!E:E)</f>
        <v>2030.75</v>
      </c>
      <c r="H2385" s="3">
        <f t="shared" si="111"/>
        <v>0</v>
      </c>
      <c r="I2385" s="29">
        <f t="shared" si="112"/>
        <v>98</v>
      </c>
      <c r="J2385" s="31" t="str">
        <f t="shared" si="113"/>
        <v>90+</v>
      </c>
      <c r="K2385"/>
    </row>
    <row r="2386" spans="1:11" x14ac:dyDescent="0.3">
      <c r="A2386" s="20" t="s">
        <v>119</v>
      </c>
      <c r="B2386" t="str">
        <f>VLOOKUP(A2386,Customers!A:B,2,FALSE)</f>
        <v>RetailNovaGlobal</v>
      </c>
      <c r="C2386" s="24" t="s">
        <v>2753</v>
      </c>
      <c r="D2386" s="10">
        <v>46001</v>
      </c>
      <c r="E2386" s="10">
        <v>46031</v>
      </c>
      <c r="F2386" s="4">
        <v>2038.29</v>
      </c>
      <c r="G2386" s="3">
        <f>SUMIF(Customer_Payments!B:B,C2386,Customer_Payments!E:E)</f>
        <v>2038.29</v>
      </c>
      <c r="H2386" s="3">
        <f t="shared" si="111"/>
        <v>0</v>
      </c>
      <c r="I2386" s="29">
        <f t="shared" si="112"/>
        <v>60</v>
      </c>
      <c r="J2386" s="31" t="str">
        <f t="shared" si="113"/>
        <v>31-60</v>
      </c>
      <c r="K2386"/>
    </row>
    <row r="2387" spans="1:11" x14ac:dyDescent="0.3">
      <c r="A2387" s="21" t="s">
        <v>88</v>
      </c>
      <c r="B2387" t="str">
        <f>VLOOKUP(A2387,Customers!A:B,2,FALSE)</f>
        <v>RetailPrimeX</v>
      </c>
      <c r="C2387" s="25" t="s">
        <v>2754</v>
      </c>
      <c r="D2387" s="11">
        <v>45972</v>
      </c>
      <c r="E2387" s="11">
        <v>46002</v>
      </c>
      <c r="F2387" s="5">
        <v>2858.3</v>
      </c>
      <c r="G2387" s="3">
        <f>SUMIF(Customer_Payments!B:B,C2387,Customer_Payments!E:E)</f>
        <v>2858.3</v>
      </c>
      <c r="H2387" s="3">
        <f t="shared" si="111"/>
        <v>0</v>
      </c>
      <c r="I2387" s="29">
        <f t="shared" si="112"/>
        <v>89</v>
      </c>
      <c r="J2387" s="31" t="str">
        <f t="shared" si="113"/>
        <v>61-90</v>
      </c>
      <c r="K2387"/>
    </row>
    <row r="2388" spans="1:11" x14ac:dyDescent="0.3">
      <c r="A2388" s="20" t="s">
        <v>102</v>
      </c>
      <c r="B2388" t="str">
        <f>VLOOKUP(A2388,Customers!A:B,2,FALSE)</f>
        <v>RetailPrimePro</v>
      </c>
      <c r="C2388" s="24" t="s">
        <v>2755</v>
      </c>
      <c r="D2388" s="10">
        <v>46106</v>
      </c>
      <c r="E2388" s="10">
        <v>46136</v>
      </c>
      <c r="F2388" s="4">
        <v>1657.43</v>
      </c>
      <c r="G2388" s="3">
        <f>SUMIF(Customer_Payments!B:B,C2388,Customer_Payments!E:E)</f>
        <v>1657.43</v>
      </c>
      <c r="H2388" s="3">
        <f t="shared" si="111"/>
        <v>0</v>
      </c>
      <c r="I2388" s="29">
        <f t="shared" si="112"/>
        <v>-45</v>
      </c>
      <c r="J2388" s="31" t="str">
        <f t="shared" si="113"/>
        <v>Current</v>
      </c>
      <c r="K2388"/>
    </row>
    <row r="2389" spans="1:11" x14ac:dyDescent="0.3">
      <c r="A2389" s="21" t="s">
        <v>62</v>
      </c>
      <c r="B2389" t="str">
        <f>VLOOKUP(A2389,Customers!A:B,2,FALSE)</f>
        <v>MarketNova</v>
      </c>
      <c r="C2389" s="25" t="s">
        <v>2756</v>
      </c>
      <c r="D2389" s="11">
        <v>46052</v>
      </c>
      <c r="E2389" s="11">
        <v>46082</v>
      </c>
      <c r="F2389" s="5">
        <v>2721.59</v>
      </c>
      <c r="G2389" s="3">
        <f>SUMIF(Customer_Payments!B:B,C2389,Customer_Payments!E:E)</f>
        <v>0</v>
      </c>
      <c r="H2389" s="3">
        <f t="shared" si="111"/>
        <v>2721.59</v>
      </c>
      <c r="I2389" s="29">
        <f t="shared" si="112"/>
        <v>9</v>
      </c>
      <c r="J2389" s="31" t="str">
        <f t="shared" si="113"/>
        <v>1-30</v>
      </c>
      <c r="K2389"/>
    </row>
    <row r="2390" spans="1:11" x14ac:dyDescent="0.3">
      <c r="A2390" s="20" t="s">
        <v>85</v>
      </c>
      <c r="B2390" t="str">
        <f>VLOOKUP(A2390,Customers!A:B,2,FALSE)</f>
        <v>RetailWorksX</v>
      </c>
      <c r="C2390" s="24" t="s">
        <v>2757</v>
      </c>
      <c r="D2390" s="10">
        <v>46091</v>
      </c>
      <c r="E2390" s="10">
        <v>46121</v>
      </c>
      <c r="F2390" s="4">
        <v>3352.37</v>
      </c>
      <c r="G2390" s="3">
        <f>SUMIF(Customer_Payments!B:B,C2390,Customer_Payments!E:E)</f>
        <v>0</v>
      </c>
      <c r="H2390" s="3">
        <f t="shared" si="111"/>
        <v>3352.37</v>
      </c>
      <c r="I2390" s="29">
        <f t="shared" si="112"/>
        <v>-30</v>
      </c>
      <c r="J2390" s="31" t="str">
        <f t="shared" si="113"/>
        <v>Current</v>
      </c>
      <c r="K2390"/>
    </row>
    <row r="2391" spans="1:11" x14ac:dyDescent="0.3">
      <c r="A2391" s="21" t="s">
        <v>13</v>
      </c>
      <c r="B2391" t="str">
        <f>VLOOKUP(A2391,Customers!A:B,2,FALSE)</f>
        <v>EduNova</v>
      </c>
      <c r="C2391" s="25" t="s">
        <v>2758</v>
      </c>
      <c r="D2391" s="11">
        <v>45985</v>
      </c>
      <c r="E2391" s="11">
        <v>46015</v>
      </c>
      <c r="F2391" s="5">
        <v>3554.82</v>
      </c>
      <c r="G2391" s="3">
        <f>SUMIF(Customer_Payments!B:B,C2391,Customer_Payments!E:E)</f>
        <v>3554.82</v>
      </c>
      <c r="H2391" s="3">
        <f t="shared" si="111"/>
        <v>0</v>
      </c>
      <c r="I2391" s="29">
        <f t="shared" si="112"/>
        <v>76</v>
      </c>
      <c r="J2391" s="31" t="str">
        <f t="shared" si="113"/>
        <v>61-90</v>
      </c>
      <c r="K2391"/>
    </row>
    <row r="2392" spans="1:11" x14ac:dyDescent="0.3">
      <c r="A2392" s="20" t="s">
        <v>95</v>
      </c>
      <c r="B2392" t="str">
        <f>VLOOKUP(A2392,Customers!A:B,2,FALSE)</f>
        <v>RetailScaleX</v>
      </c>
      <c r="C2392" s="24" t="s">
        <v>2759</v>
      </c>
      <c r="D2392" s="10">
        <v>46098</v>
      </c>
      <c r="E2392" s="10">
        <v>46128</v>
      </c>
      <c r="F2392" s="4">
        <v>2573.34</v>
      </c>
      <c r="G2392" s="3">
        <f>SUMIF(Customer_Payments!B:B,C2392,Customer_Payments!E:E)</f>
        <v>2573.34</v>
      </c>
      <c r="H2392" s="3">
        <f t="shared" si="111"/>
        <v>0</v>
      </c>
      <c r="I2392" s="29">
        <f t="shared" si="112"/>
        <v>-37</v>
      </c>
      <c r="J2392" s="31" t="str">
        <f t="shared" si="113"/>
        <v>Current</v>
      </c>
      <c r="K2392"/>
    </row>
    <row r="2393" spans="1:11" x14ac:dyDescent="0.3">
      <c r="A2393" s="21" t="s">
        <v>123</v>
      </c>
      <c r="B2393" t="str">
        <f>VLOOKUP(A2393,Customers!A:B,2,FALSE)</f>
        <v>RetailFlowGlobal</v>
      </c>
      <c r="C2393" s="25" t="s">
        <v>2760</v>
      </c>
      <c r="D2393" s="11">
        <v>46019</v>
      </c>
      <c r="E2393" s="11">
        <v>46049</v>
      </c>
      <c r="F2393" s="5">
        <v>4553.71</v>
      </c>
      <c r="G2393" s="3">
        <f>SUMIF(Customer_Payments!B:B,C2393,Customer_Payments!E:E)</f>
        <v>4553.71</v>
      </c>
      <c r="H2393" s="3">
        <f t="shared" si="111"/>
        <v>0</v>
      </c>
      <c r="I2393" s="29">
        <f t="shared" si="112"/>
        <v>42</v>
      </c>
      <c r="J2393" s="31" t="str">
        <f t="shared" si="113"/>
        <v>31-60</v>
      </c>
      <c r="K2393"/>
    </row>
    <row r="2394" spans="1:11" x14ac:dyDescent="0.3">
      <c r="A2394" s="20" t="s">
        <v>9</v>
      </c>
      <c r="B2394" t="str">
        <f>VLOOKUP(A2394,Customers!A:B,2,FALSE)</f>
        <v>UrbanRetail</v>
      </c>
      <c r="C2394" s="24" t="s">
        <v>2761</v>
      </c>
      <c r="D2394" s="10">
        <v>46098</v>
      </c>
      <c r="E2394" s="10">
        <v>46128</v>
      </c>
      <c r="F2394" s="4">
        <v>5356.42</v>
      </c>
      <c r="G2394" s="3">
        <f>SUMIF(Customer_Payments!B:B,C2394,Customer_Payments!E:E)</f>
        <v>5356.42</v>
      </c>
      <c r="H2394" s="3">
        <f t="shared" si="111"/>
        <v>0</v>
      </c>
      <c r="I2394" s="29">
        <f t="shared" si="112"/>
        <v>-37</v>
      </c>
      <c r="J2394" s="31" t="str">
        <f t="shared" si="113"/>
        <v>Current</v>
      </c>
      <c r="K2394"/>
    </row>
    <row r="2395" spans="1:11" x14ac:dyDescent="0.3">
      <c r="A2395" s="21" t="s">
        <v>108</v>
      </c>
      <c r="B2395" t="str">
        <f>VLOOKUP(A2395,Customers!A:B,2,FALSE)</f>
        <v>RetailNextPro</v>
      </c>
      <c r="C2395" s="25" t="s">
        <v>2762</v>
      </c>
      <c r="D2395" s="11">
        <v>46101</v>
      </c>
      <c r="E2395" s="11">
        <v>46131</v>
      </c>
      <c r="F2395" s="5">
        <v>12754.62</v>
      </c>
      <c r="G2395" s="3">
        <f>SUMIF(Customer_Payments!B:B,C2395,Customer_Payments!E:E)</f>
        <v>12754.62</v>
      </c>
      <c r="H2395" s="3">
        <f t="shared" si="111"/>
        <v>0</v>
      </c>
      <c r="I2395" s="29">
        <f t="shared" si="112"/>
        <v>-40</v>
      </c>
      <c r="J2395" s="31" t="str">
        <f t="shared" si="113"/>
        <v>Current</v>
      </c>
      <c r="K2395"/>
    </row>
    <row r="2396" spans="1:11" x14ac:dyDescent="0.3">
      <c r="A2396" s="20" t="s">
        <v>48</v>
      </c>
      <c r="B2396" t="str">
        <f>VLOOKUP(A2396,Customers!A:B,2,FALSE)</f>
        <v>RetailGenius</v>
      </c>
      <c r="C2396" s="24" t="s">
        <v>2763</v>
      </c>
      <c r="D2396" s="10">
        <v>46018</v>
      </c>
      <c r="E2396" s="10">
        <v>46048</v>
      </c>
      <c r="F2396" s="4">
        <v>1669.07</v>
      </c>
      <c r="G2396" s="3">
        <f>SUMIF(Customer_Payments!B:B,C2396,Customer_Payments!E:E)</f>
        <v>1669.07</v>
      </c>
      <c r="H2396" s="3">
        <f t="shared" si="111"/>
        <v>0</v>
      </c>
      <c r="I2396" s="29">
        <f t="shared" si="112"/>
        <v>43</v>
      </c>
      <c r="J2396" s="31" t="str">
        <f t="shared" si="113"/>
        <v>31-60</v>
      </c>
      <c r="K2396"/>
    </row>
    <row r="2397" spans="1:11" x14ac:dyDescent="0.3">
      <c r="A2397" s="21" t="s">
        <v>112</v>
      </c>
      <c r="B2397" t="str">
        <f>VLOOKUP(A2397,Customers!A:B,2,FALSE)</f>
        <v>RetailBridgePro</v>
      </c>
      <c r="C2397" s="25" t="s">
        <v>2764</v>
      </c>
      <c r="D2397" s="11">
        <v>45963</v>
      </c>
      <c r="E2397" s="11">
        <v>45993</v>
      </c>
      <c r="F2397" s="5">
        <v>4127.4399999999996</v>
      </c>
      <c r="G2397" s="3">
        <f>SUMIF(Customer_Payments!B:B,C2397,Customer_Payments!E:E)</f>
        <v>4127.4399999999996</v>
      </c>
      <c r="H2397" s="3">
        <f t="shared" si="111"/>
        <v>0</v>
      </c>
      <c r="I2397" s="29">
        <f t="shared" si="112"/>
        <v>98</v>
      </c>
      <c r="J2397" s="31" t="str">
        <f t="shared" si="113"/>
        <v>90+</v>
      </c>
      <c r="K2397"/>
    </row>
    <row r="2398" spans="1:11" x14ac:dyDescent="0.3">
      <c r="A2398" s="20" t="s">
        <v>56</v>
      </c>
      <c r="B2398" t="str">
        <f>VLOOKUP(A2398,Customers!A:B,2,FALSE)</f>
        <v>RetailBoost</v>
      </c>
      <c r="C2398" s="24" t="s">
        <v>2765</v>
      </c>
      <c r="D2398" s="10">
        <v>46036</v>
      </c>
      <c r="E2398" s="10">
        <v>46066</v>
      </c>
      <c r="F2398" s="4">
        <v>12421.99</v>
      </c>
      <c r="G2398" s="3">
        <f>SUMIF(Customer_Payments!B:B,C2398,Customer_Payments!E:E)</f>
        <v>12421.99</v>
      </c>
      <c r="H2398" s="3">
        <f t="shared" si="111"/>
        <v>0</v>
      </c>
      <c r="I2398" s="29">
        <f t="shared" si="112"/>
        <v>25</v>
      </c>
      <c r="J2398" s="31" t="str">
        <f t="shared" si="113"/>
        <v>1-30</v>
      </c>
      <c r="K2398"/>
    </row>
    <row r="2399" spans="1:11" x14ac:dyDescent="0.3">
      <c r="A2399" s="21" t="s">
        <v>51</v>
      </c>
      <c r="B2399" t="str">
        <f>VLOOKUP(A2399,Customers!A:B,2,FALSE)</f>
        <v>CartMasters</v>
      </c>
      <c r="C2399" s="25" t="s">
        <v>2766</v>
      </c>
      <c r="D2399" s="11">
        <v>45979</v>
      </c>
      <c r="E2399" s="11">
        <v>46009</v>
      </c>
      <c r="F2399" s="5">
        <v>14063.39</v>
      </c>
      <c r="G2399" s="3">
        <f>SUMIF(Customer_Payments!B:B,C2399,Customer_Payments!E:E)</f>
        <v>14063.39</v>
      </c>
      <c r="H2399" s="3">
        <f t="shared" si="111"/>
        <v>0</v>
      </c>
      <c r="I2399" s="29">
        <f t="shared" si="112"/>
        <v>82</v>
      </c>
      <c r="J2399" s="31" t="str">
        <f t="shared" si="113"/>
        <v>61-90</v>
      </c>
      <c r="K2399"/>
    </row>
    <row r="2400" spans="1:11" x14ac:dyDescent="0.3">
      <c r="A2400" s="20" t="s">
        <v>75</v>
      </c>
      <c r="B2400" t="str">
        <f>VLOOKUP(A2400,Customers!A:B,2,FALSE)</f>
        <v>RetailMatrix</v>
      </c>
      <c r="C2400" s="24" t="s">
        <v>2767</v>
      </c>
      <c r="D2400" s="10">
        <v>46091</v>
      </c>
      <c r="E2400" s="10">
        <v>46121</v>
      </c>
      <c r="F2400" s="4">
        <v>10328.540000000001</v>
      </c>
      <c r="G2400" s="3">
        <f>SUMIF(Customer_Payments!B:B,C2400,Customer_Payments!E:E)</f>
        <v>10328.540000000001</v>
      </c>
      <c r="H2400" s="3">
        <f t="shared" si="111"/>
        <v>0</v>
      </c>
      <c r="I2400" s="29">
        <f t="shared" si="112"/>
        <v>-30</v>
      </c>
      <c r="J2400" s="31" t="str">
        <f t="shared" si="113"/>
        <v>Current</v>
      </c>
      <c r="K2400"/>
    </row>
    <row r="2401" spans="1:11" x14ac:dyDescent="0.3">
      <c r="A2401" s="21" t="s">
        <v>91</v>
      </c>
      <c r="B2401" t="str">
        <f>VLOOKUP(A2401,Customers!A:B,2,FALSE)</f>
        <v>RetailBridgeX</v>
      </c>
      <c r="C2401" s="25" t="s">
        <v>2768</v>
      </c>
      <c r="D2401" s="11">
        <v>46107</v>
      </c>
      <c r="E2401" s="11">
        <v>46137</v>
      </c>
      <c r="F2401" s="5">
        <v>1562.41</v>
      </c>
      <c r="G2401" s="3">
        <f>SUMIF(Customer_Payments!B:B,C2401,Customer_Payments!E:E)</f>
        <v>1562.41</v>
      </c>
      <c r="H2401" s="3">
        <f t="shared" si="111"/>
        <v>0</v>
      </c>
      <c r="I2401" s="29">
        <f t="shared" si="112"/>
        <v>-46</v>
      </c>
      <c r="J2401" s="31" t="str">
        <f t="shared" si="113"/>
        <v>Current</v>
      </c>
      <c r="K2401"/>
    </row>
    <row r="2402" spans="1:11" x14ac:dyDescent="0.3">
      <c r="A2402" s="20" t="s">
        <v>51</v>
      </c>
      <c r="B2402" t="str">
        <f>VLOOKUP(A2402,Customers!A:B,2,FALSE)</f>
        <v>CartMasters</v>
      </c>
      <c r="C2402" s="24" t="s">
        <v>2769</v>
      </c>
      <c r="D2402" s="10">
        <v>46079</v>
      </c>
      <c r="E2402" s="10">
        <v>46109</v>
      </c>
      <c r="F2402" s="4">
        <v>4154.8100000000004</v>
      </c>
      <c r="G2402" s="3">
        <f>SUMIF(Customer_Payments!B:B,C2402,Customer_Payments!E:E)</f>
        <v>4154.8100000000004</v>
      </c>
      <c r="H2402" s="3">
        <f t="shared" si="111"/>
        <v>0</v>
      </c>
      <c r="I2402" s="29">
        <f t="shared" si="112"/>
        <v>-18</v>
      </c>
      <c r="J2402" s="31" t="str">
        <f t="shared" si="113"/>
        <v>Current</v>
      </c>
      <c r="K2402"/>
    </row>
    <row r="2403" spans="1:11" x14ac:dyDescent="0.3">
      <c r="A2403" s="21" t="s">
        <v>103</v>
      </c>
      <c r="B2403" t="str">
        <f>VLOOKUP(A2403,Customers!A:B,2,FALSE)</f>
        <v>RetailVisionPro</v>
      </c>
      <c r="C2403" s="25" t="s">
        <v>2770</v>
      </c>
      <c r="D2403" s="11">
        <v>46059</v>
      </c>
      <c r="E2403" s="11">
        <v>46089</v>
      </c>
      <c r="F2403" s="5">
        <v>2649.06</v>
      </c>
      <c r="G2403" s="3">
        <f>SUMIF(Customer_Payments!B:B,C2403,Customer_Payments!E:E)</f>
        <v>2649.06</v>
      </c>
      <c r="H2403" s="3">
        <f t="shared" si="111"/>
        <v>0</v>
      </c>
      <c r="I2403" s="29">
        <f t="shared" si="112"/>
        <v>2</v>
      </c>
      <c r="J2403" s="31" t="str">
        <f t="shared" si="113"/>
        <v>1-30</v>
      </c>
      <c r="K2403"/>
    </row>
    <row r="2404" spans="1:11" x14ac:dyDescent="0.3">
      <c r="A2404" s="20" t="s">
        <v>81</v>
      </c>
      <c r="B2404" t="str">
        <f>VLOOKUP(A2404,Customers!A:B,2,FALSE)</f>
        <v>RetailFlowX</v>
      </c>
      <c r="C2404" s="24" t="s">
        <v>2771</v>
      </c>
      <c r="D2404" s="10">
        <v>45980</v>
      </c>
      <c r="E2404" s="10">
        <v>46010</v>
      </c>
      <c r="F2404" s="4">
        <v>2451.5</v>
      </c>
      <c r="G2404" s="3">
        <f>SUMIF(Customer_Payments!B:B,C2404,Customer_Payments!E:E)</f>
        <v>2451.5</v>
      </c>
      <c r="H2404" s="3">
        <f t="shared" si="111"/>
        <v>0</v>
      </c>
      <c r="I2404" s="29">
        <f t="shared" si="112"/>
        <v>81</v>
      </c>
      <c r="J2404" s="31" t="str">
        <f t="shared" si="113"/>
        <v>61-90</v>
      </c>
      <c r="K2404"/>
    </row>
    <row r="2405" spans="1:11" x14ac:dyDescent="0.3">
      <c r="A2405" s="21" t="s">
        <v>104</v>
      </c>
      <c r="B2405" t="str">
        <f>VLOOKUP(A2405,Customers!A:B,2,FALSE)</f>
        <v>RetailCorePro</v>
      </c>
      <c r="C2405" s="25" t="s">
        <v>2772</v>
      </c>
      <c r="D2405" s="11">
        <v>46043</v>
      </c>
      <c r="E2405" s="11">
        <v>46073</v>
      </c>
      <c r="F2405" s="5">
        <v>5248.53</v>
      </c>
      <c r="G2405" s="3">
        <f>SUMIF(Customer_Payments!B:B,C2405,Customer_Payments!E:E)</f>
        <v>5248.53</v>
      </c>
      <c r="H2405" s="3">
        <f t="shared" si="111"/>
        <v>0</v>
      </c>
      <c r="I2405" s="29">
        <f t="shared" si="112"/>
        <v>18</v>
      </c>
      <c r="J2405" s="31" t="str">
        <f t="shared" si="113"/>
        <v>1-30</v>
      </c>
      <c r="K2405"/>
    </row>
    <row r="2406" spans="1:11" x14ac:dyDescent="0.3">
      <c r="A2406" s="20" t="s">
        <v>37</v>
      </c>
      <c r="B2406" t="str">
        <f>VLOOKUP(A2406,Customers!A:B,2,FALSE)</f>
        <v>SmartCart</v>
      </c>
      <c r="C2406" s="24" t="s">
        <v>2773</v>
      </c>
      <c r="D2406" s="10">
        <v>46083</v>
      </c>
      <c r="E2406" s="10">
        <v>46113</v>
      </c>
      <c r="F2406" s="4">
        <v>3301.67</v>
      </c>
      <c r="G2406" s="3">
        <f>SUMIF(Customer_Payments!B:B,C2406,Customer_Payments!E:E)</f>
        <v>3301.67</v>
      </c>
      <c r="H2406" s="3">
        <f t="shared" si="111"/>
        <v>0</v>
      </c>
      <c r="I2406" s="29">
        <f t="shared" si="112"/>
        <v>-22</v>
      </c>
      <c r="J2406" s="31" t="str">
        <f t="shared" si="113"/>
        <v>Current</v>
      </c>
      <c r="K2406"/>
    </row>
    <row r="2407" spans="1:11" x14ac:dyDescent="0.3">
      <c r="A2407" s="21" t="s">
        <v>115</v>
      </c>
      <c r="B2407" t="str">
        <f>VLOOKUP(A2407,Customers!A:B,2,FALSE)</f>
        <v>RetailDynamicsPro</v>
      </c>
      <c r="C2407" s="25" t="s">
        <v>2774</v>
      </c>
      <c r="D2407" s="11">
        <v>45986</v>
      </c>
      <c r="E2407" s="11">
        <v>46016</v>
      </c>
      <c r="F2407" s="5">
        <v>14021.65</v>
      </c>
      <c r="G2407" s="3">
        <f>SUMIF(Customer_Payments!B:B,C2407,Customer_Payments!E:E)</f>
        <v>14021.65</v>
      </c>
      <c r="H2407" s="3">
        <f t="shared" si="111"/>
        <v>0</v>
      </c>
      <c r="I2407" s="29">
        <f t="shared" si="112"/>
        <v>75</v>
      </c>
      <c r="J2407" s="31" t="str">
        <f t="shared" si="113"/>
        <v>61-90</v>
      </c>
      <c r="K2407"/>
    </row>
    <row r="2408" spans="1:11" x14ac:dyDescent="0.3">
      <c r="A2408" s="20" t="s">
        <v>80</v>
      </c>
      <c r="B2408" t="str">
        <f>VLOOKUP(A2408,Customers!A:B,2,FALSE)</f>
        <v>RetailEdgeX</v>
      </c>
      <c r="C2408" s="24" t="s">
        <v>2775</v>
      </c>
      <c r="D2408" s="10">
        <v>46029</v>
      </c>
      <c r="E2408" s="10">
        <v>46059</v>
      </c>
      <c r="F2408" s="4">
        <v>2516.38</v>
      </c>
      <c r="G2408" s="3">
        <f>SUMIF(Customer_Payments!B:B,C2408,Customer_Payments!E:E)</f>
        <v>0</v>
      </c>
      <c r="H2408" s="3">
        <f t="shared" si="111"/>
        <v>2516.38</v>
      </c>
      <c r="I2408" s="29">
        <f t="shared" si="112"/>
        <v>32</v>
      </c>
      <c r="J2408" s="31" t="str">
        <f t="shared" si="113"/>
        <v>31-60</v>
      </c>
      <c r="K2408"/>
    </row>
    <row r="2409" spans="1:11" x14ac:dyDescent="0.3">
      <c r="A2409" s="21" t="s">
        <v>77</v>
      </c>
      <c r="B2409" t="str">
        <f>VLOOKUP(A2409,Customers!A:B,2,FALSE)</f>
        <v>RetailBridge</v>
      </c>
      <c r="C2409" s="25" t="s">
        <v>2776</v>
      </c>
      <c r="D2409" s="11">
        <v>45978</v>
      </c>
      <c r="E2409" s="11">
        <v>46008</v>
      </c>
      <c r="F2409" s="5">
        <v>2178.62</v>
      </c>
      <c r="G2409" s="3">
        <f>SUMIF(Customer_Payments!B:B,C2409,Customer_Payments!E:E)</f>
        <v>0</v>
      </c>
      <c r="H2409" s="3">
        <f t="shared" si="111"/>
        <v>2178.62</v>
      </c>
      <c r="I2409" s="29">
        <f t="shared" si="112"/>
        <v>83</v>
      </c>
      <c r="J2409" s="31" t="str">
        <f t="shared" si="113"/>
        <v>61-90</v>
      </c>
      <c r="K2409"/>
    </row>
    <row r="2410" spans="1:11" x14ac:dyDescent="0.3">
      <c r="A2410" s="20" t="s">
        <v>42</v>
      </c>
      <c r="B2410" t="str">
        <f>VLOOKUP(A2410,Customers!A:B,2,FALSE)</f>
        <v>RetailWorks</v>
      </c>
      <c r="C2410" s="24" t="s">
        <v>2777</v>
      </c>
      <c r="D2410" s="10">
        <v>45982</v>
      </c>
      <c r="E2410" s="10">
        <v>46012</v>
      </c>
      <c r="F2410" s="4">
        <v>11289.72</v>
      </c>
      <c r="G2410" s="3">
        <f>SUMIF(Customer_Payments!B:B,C2410,Customer_Payments!E:E)</f>
        <v>0</v>
      </c>
      <c r="H2410" s="3">
        <f t="shared" si="111"/>
        <v>11289.72</v>
      </c>
      <c r="I2410" s="29">
        <f t="shared" si="112"/>
        <v>79</v>
      </c>
      <c r="J2410" s="31" t="str">
        <f t="shared" si="113"/>
        <v>61-90</v>
      </c>
      <c r="K2410"/>
    </row>
    <row r="2411" spans="1:11" x14ac:dyDescent="0.3">
      <c r="A2411" s="21" t="s">
        <v>94</v>
      </c>
      <c r="B2411" t="str">
        <f>VLOOKUP(A2411,Customers!A:B,2,FALSE)</f>
        <v>RetailDynamicsX</v>
      </c>
      <c r="C2411" s="25" t="s">
        <v>2778</v>
      </c>
      <c r="D2411" s="11">
        <v>46067</v>
      </c>
      <c r="E2411" s="11">
        <v>46097</v>
      </c>
      <c r="F2411" s="5">
        <v>2770.5</v>
      </c>
      <c r="G2411" s="3">
        <f>SUMIF(Customer_Payments!B:B,C2411,Customer_Payments!E:E)</f>
        <v>2770.5</v>
      </c>
      <c r="H2411" s="3">
        <f t="shared" si="111"/>
        <v>0</v>
      </c>
      <c r="I2411" s="29">
        <f t="shared" si="112"/>
        <v>-6</v>
      </c>
      <c r="J2411" s="31" t="str">
        <f t="shared" si="113"/>
        <v>Current</v>
      </c>
      <c r="K2411"/>
    </row>
    <row r="2412" spans="1:11" x14ac:dyDescent="0.3">
      <c r="A2412" s="20" t="s">
        <v>57</v>
      </c>
      <c r="B2412" t="str">
        <f>VLOOKUP(A2412,Customers!A:B,2,FALSE)</f>
        <v>MarketGenius</v>
      </c>
      <c r="C2412" s="24" t="s">
        <v>2779</v>
      </c>
      <c r="D2412" s="10">
        <v>45981</v>
      </c>
      <c r="E2412" s="10">
        <v>46011</v>
      </c>
      <c r="F2412" s="4">
        <v>1988.46</v>
      </c>
      <c r="G2412" s="3">
        <f>SUMIF(Customer_Payments!B:B,C2412,Customer_Payments!E:E)</f>
        <v>1988.46</v>
      </c>
      <c r="H2412" s="3">
        <f t="shared" si="111"/>
        <v>0</v>
      </c>
      <c r="I2412" s="29">
        <f t="shared" si="112"/>
        <v>80</v>
      </c>
      <c r="J2412" s="31" t="str">
        <f t="shared" si="113"/>
        <v>61-90</v>
      </c>
      <c r="K2412"/>
    </row>
    <row r="2413" spans="1:11" x14ac:dyDescent="0.3">
      <c r="A2413" s="21" t="s">
        <v>64</v>
      </c>
      <c r="B2413" t="str">
        <f>VLOOKUP(A2413,Customers!A:B,2,FALSE)</f>
        <v>MarketScale</v>
      </c>
      <c r="C2413" s="25" t="s">
        <v>2780</v>
      </c>
      <c r="D2413" s="11">
        <v>45963</v>
      </c>
      <c r="E2413" s="11">
        <v>45993</v>
      </c>
      <c r="F2413" s="5">
        <v>5718.11</v>
      </c>
      <c r="G2413" s="3">
        <f>SUMIF(Customer_Payments!B:B,C2413,Customer_Payments!E:E)</f>
        <v>5718.11</v>
      </c>
      <c r="H2413" s="3">
        <f t="shared" si="111"/>
        <v>0</v>
      </c>
      <c r="I2413" s="29">
        <f t="shared" si="112"/>
        <v>98</v>
      </c>
      <c r="J2413" s="31" t="str">
        <f t="shared" si="113"/>
        <v>90+</v>
      </c>
      <c r="K2413"/>
    </row>
    <row r="2414" spans="1:11" x14ac:dyDescent="0.3">
      <c r="A2414" s="20" t="s">
        <v>75</v>
      </c>
      <c r="B2414" t="str">
        <f>VLOOKUP(A2414,Customers!A:B,2,FALSE)</f>
        <v>RetailMatrix</v>
      </c>
      <c r="C2414" s="24" t="s">
        <v>2781</v>
      </c>
      <c r="D2414" s="10">
        <v>46072</v>
      </c>
      <c r="E2414" s="10">
        <v>46102</v>
      </c>
      <c r="F2414" s="4">
        <v>5847.82</v>
      </c>
      <c r="G2414" s="3">
        <f>SUMIF(Customer_Payments!B:B,C2414,Customer_Payments!E:E)</f>
        <v>5847.82</v>
      </c>
      <c r="H2414" s="3">
        <f t="shared" si="111"/>
        <v>0</v>
      </c>
      <c r="I2414" s="29">
        <f t="shared" si="112"/>
        <v>-11</v>
      </c>
      <c r="J2414" s="31" t="str">
        <f t="shared" si="113"/>
        <v>Current</v>
      </c>
      <c r="K2414"/>
    </row>
    <row r="2415" spans="1:11" x14ac:dyDescent="0.3">
      <c r="A2415" s="21" t="s">
        <v>19</v>
      </c>
      <c r="B2415" t="str">
        <f>VLOOKUP(A2415,Customers!A:B,2,FALSE)</f>
        <v>NextWave Digital</v>
      </c>
      <c r="C2415" s="25" t="s">
        <v>2782</v>
      </c>
      <c r="D2415" s="11">
        <v>45976</v>
      </c>
      <c r="E2415" s="11">
        <v>46006</v>
      </c>
      <c r="F2415" s="5">
        <v>2762.93</v>
      </c>
      <c r="G2415" s="3">
        <f>SUMIF(Customer_Payments!B:B,C2415,Customer_Payments!E:E)</f>
        <v>2762.93</v>
      </c>
      <c r="H2415" s="3">
        <f t="shared" si="111"/>
        <v>0</v>
      </c>
      <c r="I2415" s="29">
        <f t="shared" si="112"/>
        <v>85</v>
      </c>
      <c r="J2415" s="31" t="str">
        <f t="shared" si="113"/>
        <v>61-90</v>
      </c>
      <c r="K2415"/>
    </row>
    <row r="2416" spans="1:11" x14ac:dyDescent="0.3">
      <c r="A2416" s="20" t="s">
        <v>88</v>
      </c>
      <c r="B2416" t="str">
        <f>VLOOKUP(A2416,Customers!A:B,2,FALSE)</f>
        <v>RetailPrimeX</v>
      </c>
      <c r="C2416" s="24" t="s">
        <v>2783</v>
      </c>
      <c r="D2416" s="10">
        <v>46069</v>
      </c>
      <c r="E2416" s="10">
        <v>46099</v>
      </c>
      <c r="F2416" s="4">
        <v>12384.76</v>
      </c>
      <c r="G2416" s="3">
        <f>SUMIF(Customer_Payments!B:B,C2416,Customer_Payments!E:E)</f>
        <v>12384.76</v>
      </c>
      <c r="H2416" s="3">
        <f t="shared" si="111"/>
        <v>0</v>
      </c>
      <c r="I2416" s="29">
        <f t="shared" si="112"/>
        <v>-8</v>
      </c>
      <c r="J2416" s="31" t="str">
        <f t="shared" si="113"/>
        <v>Current</v>
      </c>
      <c r="K2416"/>
    </row>
    <row r="2417" spans="1:11" x14ac:dyDescent="0.3">
      <c r="A2417" s="21" t="s">
        <v>17</v>
      </c>
      <c r="B2417" t="str">
        <f>VLOOKUP(A2417,Customers!A:B,2,FALSE)</f>
        <v>AlphaCommerce</v>
      </c>
      <c r="C2417" s="25" t="s">
        <v>2784</v>
      </c>
      <c r="D2417" s="11">
        <v>46055</v>
      </c>
      <c r="E2417" s="11">
        <v>46085</v>
      </c>
      <c r="F2417" s="5">
        <v>3142.65</v>
      </c>
      <c r="G2417" s="3">
        <f>SUMIF(Customer_Payments!B:B,C2417,Customer_Payments!E:E)</f>
        <v>3142.65</v>
      </c>
      <c r="H2417" s="3">
        <f t="shared" si="111"/>
        <v>0</v>
      </c>
      <c r="I2417" s="29">
        <f t="shared" si="112"/>
        <v>6</v>
      </c>
      <c r="J2417" s="31" t="str">
        <f t="shared" si="113"/>
        <v>1-30</v>
      </c>
      <c r="K2417"/>
    </row>
    <row r="2418" spans="1:11" x14ac:dyDescent="0.3">
      <c r="A2418" s="20" t="s">
        <v>38</v>
      </c>
      <c r="B2418" t="str">
        <f>VLOOKUP(A2418,Customers!A:B,2,FALSE)</f>
        <v>RetailForge</v>
      </c>
      <c r="C2418" s="24" t="s">
        <v>2785</v>
      </c>
      <c r="D2418" s="10">
        <v>46102</v>
      </c>
      <c r="E2418" s="10">
        <v>46132</v>
      </c>
      <c r="F2418" s="4">
        <v>3598.82</v>
      </c>
      <c r="G2418" s="3">
        <f>SUMIF(Customer_Payments!B:B,C2418,Customer_Payments!E:E)</f>
        <v>3598.82</v>
      </c>
      <c r="H2418" s="3">
        <f t="shared" si="111"/>
        <v>0</v>
      </c>
      <c r="I2418" s="29">
        <f t="shared" si="112"/>
        <v>-41</v>
      </c>
      <c r="J2418" s="31" t="str">
        <f t="shared" si="113"/>
        <v>Current</v>
      </c>
      <c r="K2418"/>
    </row>
    <row r="2419" spans="1:11" x14ac:dyDescent="0.3">
      <c r="A2419" s="21" t="s">
        <v>54</v>
      </c>
      <c r="B2419" t="str">
        <f>VLOOKUP(A2419,Customers!A:B,2,FALSE)</f>
        <v>RetailEdge</v>
      </c>
      <c r="C2419" s="25" t="s">
        <v>2786</v>
      </c>
      <c r="D2419" s="11">
        <v>45971</v>
      </c>
      <c r="E2419" s="11">
        <v>46001</v>
      </c>
      <c r="F2419" s="5">
        <v>5138.6099999999997</v>
      </c>
      <c r="G2419" s="3">
        <f>SUMIF(Customer_Payments!B:B,C2419,Customer_Payments!E:E)</f>
        <v>5138.6099999999997</v>
      </c>
      <c r="H2419" s="3">
        <f t="shared" si="111"/>
        <v>0</v>
      </c>
      <c r="I2419" s="29">
        <f t="shared" si="112"/>
        <v>90</v>
      </c>
      <c r="J2419" s="31" t="str">
        <f t="shared" si="113"/>
        <v>61-90</v>
      </c>
      <c r="K2419"/>
    </row>
    <row r="2420" spans="1:11" x14ac:dyDescent="0.3">
      <c r="A2420" s="20" t="s">
        <v>72</v>
      </c>
      <c r="B2420" t="str">
        <f>VLOOKUP(A2420,Customers!A:B,2,FALSE)</f>
        <v>RetailStream</v>
      </c>
      <c r="C2420" s="24" t="s">
        <v>2787</v>
      </c>
      <c r="D2420" s="10">
        <v>46083</v>
      </c>
      <c r="E2420" s="10">
        <v>46113</v>
      </c>
      <c r="F2420" s="4">
        <v>3291.56</v>
      </c>
      <c r="G2420" s="3">
        <f>SUMIF(Customer_Payments!B:B,C2420,Customer_Payments!E:E)</f>
        <v>3291.56</v>
      </c>
      <c r="H2420" s="3">
        <f t="shared" si="111"/>
        <v>0</v>
      </c>
      <c r="I2420" s="29">
        <f t="shared" si="112"/>
        <v>-22</v>
      </c>
      <c r="J2420" s="31" t="str">
        <f t="shared" si="113"/>
        <v>Current</v>
      </c>
      <c r="K2420"/>
    </row>
    <row r="2421" spans="1:11" x14ac:dyDescent="0.3">
      <c r="A2421" s="21" t="s">
        <v>118</v>
      </c>
      <c r="B2421" t="str">
        <f>VLOOKUP(A2421,Customers!A:B,2,FALSE)</f>
        <v>RetailEdgeGlobal</v>
      </c>
      <c r="C2421" s="25" t="s">
        <v>2788</v>
      </c>
      <c r="D2421" s="11">
        <v>46001</v>
      </c>
      <c r="E2421" s="11">
        <v>46031</v>
      </c>
      <c r="F2421" s="5">
        <v>5700.62</v>
      </c>
      <c r="G2421" s="3">
        <f>SUMIF(Customer_Payments!B:B,C2421,Customer_Payments!E:E)</f>
        <v>5700.62</v>
      </c>
      <c r="H2421" s="3">
        <f t="shared" si="111"/>
        <v>0</v>
      </c>
      <c r="I2421" s="29">
        <f t="shared" si="112"/>
        <v>60</v>
      </c>
      <c r="J2421" s="31" t="str">
        <f t="shared" si="113"/>
        <v>31-60</v>
      </c>
      <c r="K2421"/>
    </row>
    <row r="2422" spans="1:11" x14ac:dyDescent="0.3">
      <c r="A2422" s="20" t="s">
        <v>44</v>
      </c>
      <c r="B2422" t="str">
        <f>VLOOKUP(A2422,Customers!A:B,2,FALSE)</f>
        <v>BrightMarket</v>
      </c>
      <c r="C2422" s="24" t="s">
        <v>2789</v>
      </c>
      <c r="D2422" s="10">
        <v>46005</v>
      </c>
      <c r="E2422" s="10">
        <v>46035</v>
      </c>
      <c r="F2422" s="4">
        <v>4350.42</v>
      </c>
      <c r="G2422" s="3">
        <f>SUMIF(Customer_Payments!B:B,C2422,Customer_Payments!E:E)</f>
        <v>4350.42</v>
      </c>
      <c r="H2422" s="3">
        <f t="shared" si="111"/>
        <v>0</v>
      </c>
      <c r="I2422" s="29">
        <f t="shared" si="112"/>
        <v>56</v>
      </c>
      <c r="J2422" s="31" t="str">
        <f t="shared" si="113"/>
        <v>31-60</v>
      </c>
      <c r="K2422"/>
    </row>
    <row r="2423" spans="1:11" x14ac:dyDescent="0.3">
      <c r="A2423" s="21" t="s">
        <v>38</v>
      </c>
      <c r="B2423" t="str">
        <f>VLOOKUP(A2423,Customers!A:B,2,FALSE)</f>
        <v>RetailForge</v>
      </c>
      <c r="C2423" s="25" t="s">
        <v>2790</v>
      </c>
      <c r="D2423" s="11">
        <v>46008</v>
      </c>
      <c r="E2423" s="11">
        <v>46038</v>
      </c>
      <c r="F2423" s="5">
        <v>3473.33</v>
      </c>
      <c r="G2423" s="3">
        <f>SUMIF(Customer_Payments!B:B,C2423,Customer_Payments!E:E)</f>
        <v>3473.33</v>
      </c>
      <c r="H2423" s="3">
        <f t="shared" si="111"/>
        <v>0</v>
      </c>
      <c r="I2423" s="29">
        <f t="shared" si="112"/>
        <v>53</v>
      </c>
      <c r="J2423" s="31" t="str">
        <f t="shared" si="113"/>
        <v>31-60</v>
      </c>
      <c r="K2423"/>
    </row>
    <row r="2424" spans="1:11" x14ac:dyDescent="0.3">
      <c r="A2424" s="20" t="s">
        <v>71</v>
      </c>
      <c r="B2424" t="str">
        <f>VLOOKUP(A2424,Customers!A:B,2,FALSE)</f>
        <v>RetailPulse</v>
      </c>
      <c r="C2424" s="24" t="s">
        <v>2791</v>
      </c>
      <c r="D2424" s="10">
        <v>46104</v>
      </c>
      <c r="E2424" s="10">
        <v>46134</v>
      </c>
      <c r="F2424" s="4">
        <v>1874.34</v>
      </c>
      <c r="G2424" s="3">
        <f>SUMIF(Customer_Payments!B:B,C2424,Customer_Payments!E:E)</f>
        <v>0</v>
      </c>
      <c r="H2424" s="3">
        <f t="shared" si="111"/>
        <v>1874.34</v>
      </c>
      <c r="I2424" s="29">
        <f t="shared" si="112"/>
        <v>-43</v>
      </c>
      <c r="J2424" s="31" t="str">
        <f t="shared" si="113"/>
        <v>Current</v>
      </c>
      <c r="K2424"/>
    </row>
    <row r="2425" spans="1:11" x14ac:dyDescent="0.3">
      <c r="A2425" s="21" t="s">
        <v>123</v>
      </c>
      <c r="B2425" t="str">
        <f>VLOOKUP(A2425,Customers!A:B,2,FALSE)</f>
        <v>RetailFlowGlobal</v>
      </c>
      <c r="C2425" s="25" t="s">
        <v>2792</v>
      </c>
      <c r="D2425" s="11">
        <v>46084</v>
      </c>
      <c r="E2425" s="11">
        <v>46114</v>
      </c>
      <c r="F2425" s="5">
        <v>1520.03</v>
      </c>
      <c r="G2425" s="3">
        <f>SUMIF(Customer_Payments!B:B,C2425,Customer_Payments!E:E)</f>
        <v>0</v>
      </c>
      <c r="H2425" s="3">
        <f t="shared" si="111"/>
        <v>1520.03</v>
      </c>
      <c r="I2425" s="29">
        <f t="shared" si="112"/>
        <v>-23</v>
      </c>
      <c r="J2425" s="31" t="str">
        <f t="shared" si="113"/>
        <v>Current</v>
      </c>
      <c r="K2425"/>
    </row>
    <row r="2426" spans="1:11" x14ac:dyDescent="0.3">
      <c r="A2426" s="20" t="s">
        <v>11</v>
      </c>
      <c r="B2426" t="str">
        <f>VLOOKUP(A2426,Customers!A:B,2,FALSE)</f>
        <v>DataHive</v>
      </c>
      <c r="C2426" s="24" t="s">
        <v>2793</v>
      </c>
      <c r="D2426" s="10">
        <v>46034</v>
      </c>
      <c r="E2426" s="10">
        <v>46064</v>
      </c>
      <c r="F2426" s="4">
        <v>4489.7299999999996</v>
      </c>
      <c r="G2426" s="3">
        <f>SUMIF(Customer_Payments!B:B,C2426,Customer_Payments!E:E)</f>
        <v>4489.7299999999996</v>
      </c>
      <c r="H2426" s="3">
        <f t="shared" si="111"/>
        <v>0</v>
      </c>
      <c r="I2426" s="29">
        <f t="shared" si="112"/>
        <v>27</v>
      </c>
      <c r="J2426" s="31" t="str">
        <f t="shared" si="113"/>
        <v>1-30</v>
      </c>
      <c r="K2426"/>
    </row>
    <row r="2427" spans="1:11" x14ac:dyDescent="0.3">
      <c r="A2427" s="21" t="s">
        <v>117</v>
      </c>
      <c r="B2427" t="str">
        <f>VLOOKUP(A2427,Customers!A:B,2,FALSE)</f>
        <v>RetailSparkPro</v>
      </c>
      <c r="C2427" s="25" t="s">
        <v>2794</v>
      </c>
      <c r="D2427" s="11">
        <v>46103</v>
      </c>
      <c r="E2427" s="11">
        <v>46133</v>
      </c>
      <c r="F2427" s="5">
        <v>1927.35</v>
      </c>
      <c r="G2427" s="3">
        <f>SUMIF(Customer_Payments!B:B,C2427,Customer_Payments!E:E)</f>
        <v>0</v>
      </c>
      <c r="H2427" s="3">
        <f t="shared" si="111"/>
        <v>1927.35</v>
      </c>
      <c r="I2427" s="29">
        <f t="shared" si="112"/>
        <v>-42</v>
      </c>
      <c r="J2427" s="31" t="str">
        <f t="shared" si="113"/>
        <v>Current</v>
      </c>
      <c r="K2427"/>
    </row>
    <row r="2428" spans="1:11" x14ac:dyDescent="0.3">
      <c r="A2428" s="20" t="s">
        <v>75</v>
      </c>
      <c r="B2428" t="str">
        <f>VLOOKUP(A2428,Customers!A:B,2,FALSE)</f>
        <v>RetailMatrix</v>
      </c>
      <c r="C2428" s="24" t="s">
        <v>2795</v>
      </c>
      <c r="D2428" s="10">
        <v>46002</v>
      </c>
      <c r="E2428" s="10">
        <v>46032</v>
      </c>
      <c r="F2428" s="4">
        <v>9937.75</v>
      </c>
      <c r="G2428" s="3">
        <f>SUMIF(Customer_Payments!B:B,C2428,Customer_Payments!E:E)</f>
        <v>0</v>
      </c>
      <c r="H2428" s="3">
        <f t="shared" si="111"/>
        <v>9937.75</v>
      </c>
      <c r="I2428" s="29">
        <f t="shared" si="112"/>
        <v>59</v>
      </c>
      <c r="J2428" s="31" t="str">
        <f t="shared" si="113"/>
        <v>31-60</v>
      </c>
      <c r="K2428"/>
    </row>
    <row r="2429" spans="1:11" x14ac:dyDescent="0.3">
      <c r="A2429" s="21" t="s">
        <v>98</v>
      </c>
      <c r="B2429" t="str">
        <f>VLOOKUP(A2429,Customers!A:B,2,FALSE)</f>
        <v>RetailEdgePro</v>
      </c>
      <c r="C2429" s="25" t="s">
        <v>2796</v>
      </c>
      <c r="D2429" s="11">
        <v>45988</v>
      </c>
      <c r="E2429" s="11">
        <v>46018</v>
      </c>
      <c r="F2429" s="5">
        <v>3258.95</v>
      </c>
      <c r="G2429" s="3">
        <f>SUMIF(Customer_Payments!B:B,C2429,Customer_Payments!E:E)</f>
        <v>0</v>
      </c>
      <c r="H2429" s="3">
        <f t="shared" si="111"/>
        <v>3258.95</v>
      </c>
      <c r="I2429" s="29">
        <f t="shared" si="112"/>
        <v>73</v>
      </c>
      <c r="J2429" s="31" t="str">
        <f t="shared" si="113"/>
        <v>61-90</v>
      </c>
      <c r="K2429"/>
    </row>
    <row r="2430" spans="1:11" x14ac:dyDescent="0.3">
      <c r="A2430" s="20" t="s">
        <v>110</v>
      </c>
      <c r="B2430" t="str">
        <f>VLOOKUP(A2430,Customers!A:B,2,FALSE)</f>
        <v>RetailAxisPro</v>
      </c>
      <c r="C2430" s="24" t="s">
        <v>2797</v>
      </c>
      <c r="D2430" s="10">
        <v>45966</v>
      </c>
      <c r="E2430" s="10">
        <v>45996</v>
      </c>
      <c r="F2430" s="4">
        <v>2926.23</v>
      </c>
      <c r="G2430" s="3">
        <f>SUMIF(Customer_Payments!B:B,C2430,Customer_Payments!E:E)</f>
        <v>2926.23</v>
      </c>
      <c r="H2430" s="3">
        <f t="shared" si="111"/>
        <v>0</v>
      </c>
      <c r="I2430" s="29">
        <f t="shared" si="112"/>
        <v>95</v>
      </c>
      <c r="J2430" s="31" t="str">
        <f t="shared" si="113"/>
        <v>90+</v>
      </c>
      <c r="K2430"/>
    </row>
    <row r="2431" spans="1:11" x14ac:dyDescent="0.3">
      <c r="A2431" s="21" t="s">
        <v>98</v>
      </c>
      <c r="B2431" t="str">
        <f>VLOOKUP(A2431,Customers!A:B,2,FALSE)</f>
        <v>RetailEdgePro</v>
      </c>
      <c r="C2431" s="25" t="s">
        <v>2798</v>
      </c>
      <c r="D2431" s="11">
        <v>46045</v>
      </c>
      <c r="E2431" s="11">
        <v>46075</v>
      </c>
      <c r="F2431" s="5">
        <v>13575.88</v>
      </c>
      <c r="G2431" s="3">
        <f>SUMIF(Customer_Payments!B:B,C2431,Customer_Payments!E:E)</f>
        <v>13575.880000000001</v>
      </c>
      <c r="H2431" s="3">
        <f t="shared" si="111"/>
        <v>0</v>
      </c>
      <c r="I2431" s="29">
        <f t="shared" si="112"/>
        <v>16</v>
      </c>
      <c r="J2431" s="31" t="str">
        <f t="shared" si="113"/>
        <v>1-30</v>
      </c>
      <c r="K2431"/>
    </row>
    <row r="2432" spans="1:11" x14ac:dyDescent="0.3">
      <c r="A2432" s="20" t="s">
        <v>20</v>
      </c>
      <c r="B2432" t="str">
        <f>VLOOKUP(A2432,Customers!A:B,2,FALSE)</f>
        <v>GrowthSphere</v>
      </c>
      <c r="C2432" s="24" t="s">
        <v>2799</v>
      </c>
      <c r="D2432" s="10">
        <v>46093</v>
      </c>
      <c r="E2432" s="10">
        <v>46123</v>
      </c>
      <c r="F2432" s="4">
        <v>3680.98</v>
      </c>
      <c r="G2432" s="3">
        <f>SUMIF(Customer_Payments!B:B,C2432,Customer_Payments!E:E)</f>
        <v>0</v>
      </c>
      <c r="H2432" s="3">
        <f t="shared" si="111"/>
        <v>3680.98</v>
      </c>
      <c r="I2432" s="29">
        <f t="shared" si="112"/>
        <v>-32</v>
      </c>
      <c r="J2432" s="31" t="str">
        <f t="shared" si="113"/>
        <v>Current</v>
      </c>
      <c r="K2432"/>
    </row>
    <row r="2433" spans="1:11" x14ac:dyDescent="0.3">
      <c r="A2433" s="21" t="s">
        <v>21</v>
      </c>
      <c r="B2433" t="str">
        <f>VLOOKUP(A2433,Customers!A:B,2,FALSE)</f>
        <v>InsightLoop</v>
      </c>
      <c r="C2433" s="25" t="s">
        <v>2800</v>
      </c>
      <c r="D2433" s="11">
        <v>46048</v>
      </c>
      <c r="E2433" s="11">
        <v>46078</v>
      </c>
      <c r="F2433" s="5">
        <v>5694.14</v>
      </c>
      <c r="G2433" s="3">
        <f>SUMIF(Customer_Payments!B:B,C2433,Customer_Payments!E:E)</f>
        <v>0</v>
      </c>
      <c r="H2433" s="3">
        <f t="shared" si="111"/>
        <v>5694.14</v>
      </c>
      <c r="I2433" s="29">
        <f t="shared" si="112"/>
        <v>13</v>
      </c>
      <c r="J2433" s="31" t="str">
        <f t="shared" si="113"/>
        <v>1-30</v>
      </c>
      <c r="K2433"/>
    </row>
    <row r="2434" spans="1:11" x14ac:dyDescent="0.3">
      <c r="A2434" s="20" t="s">
        <v>123</v>
      </c>
      <c r="B2434" t="str">
        <f>VLOOKUP(A2434,Customers!A:B,2,FALSE)</f>
        <v>RetailFlowGlobal</v>
      </c>
      <c r="C2434" s="24" t="s">
        <v>2801</v>
      </c>
      <c r="D2434" s="10">
        <v>46058</v>
      </c>
      <c r="E2434" s="10">
        <v>46088</v>
      </c>
      <c r="F2434" s="4">
        <v>1561.65</v>
      </c>
      <c r="G2434" s="3">
        <f>SUMIF(Customer_Payments!B:B,C2434,Customer_Payments!E:E)</f>
        <v>1561.65</v>
      </c>
      <c r="H2434" s="3">
        <f t="shared" ref="H2434:H2497" si="114">MAX(F2434-G2434,0)</f>
        <v>0</v>
      </c>
      <c r="I2434" s="29">
        <f t="shared" ref="I2434:I2497" si="115">$L$2-E2434</f>
        <v>3</v>
      </c>
      <c r="J2434" s="31" t="str">
        <f t="shared" si="113"/>
        <v>1-30</v>
      </c>
      <c r="K2434"/>
    </row>
    <row r="2435" spans="1:11" x14ac:dyDescent="0.3">
      <c r="A2435" s="21" t="s">
        <v>89</v>
      </c>
      <c r="B2435" t="str">
        <f>VLOOKUP(A2435,Customers!A:B,2,FALSE)</f>
        <v>RetailAxisX</v>
      </c>
      <c r="C2435" s="25" t="s">
        <v>2802</v>
      </c>
      <c r="D2435" s="11">
        <v>45964</v>
      </c>
      <c r="E2435" s="11">
        <v>45994</v>
      </c>
      <c r="F2435" s="5">
        <v>5591.11</v>
      </c>
      <c r="G2435" s="3">
        <f>SUMIF(Customer_Payments!B:B,C2435,Customer_Payments!E:E)</f>
        <v>5591.1100000000006</v>
      </c>
      <c r="H2435" s="3">
        <f t="shared" si="114"/>
        <v>0</v>
      </c>
      <c r="I2435" s="29">
        <f t="shared" si="115"/>
        <v>97</v>
      </c>
      <c r="J2435" s="31" t="str">
        <f t="shared" ref="J2435:J2498" si="116">IF(I2435&lt;=0,"Current",
IF(I2435&lt;=30,"1-30",
IF(I2435&lt;=60,"31-60",
IF(I2435&lt;=90,"61-90","90+"))))</f>
        <v>90+</v>
      </c>
      <c r="K2435"/>
    </row>
    <row r="2436" spans="1:11" x14ac:dyDescent="0.3">
      <c r="A2436" s="20" t="s">
        <v>103</v>
      </c>
      <c r="B2436" t="str">
        <f>VLOOKUP(A2436,Customers!A:B,2,FALSE)</f>
        <v>RetailVisionPro</v>
      </c>
      <c r="C2436" s="24" t="s">
        <v>2803</v>
      </c>
      <c r="D2436" s="10">
        <v>46049</v>
      </c>
      <c r="E2436" s="10">
        <v>46079</v>
      </c>
      <c r="F2436" s="4">
        <v>1493.33</v>
      </c>
      <c r="G2436" s="3">
        <f>SUMIF(Customer_Payments!B:B,C2436,Customer_Payments!E:E)</f>
        <v>0</v>
      </c>
      <c r="H2436" s="3">
        <f t="shared" si="114"/>
        <v>1493.33</v>
      </c>
      <c r="I2436" s="29">
        <f t="shared" si="115"/>
        <v>12</v>
      </c>
      <c r="J2436" s="31" t="str">
        <f t="shared" si="116"/>
        <v>1-30</v>
      </c>
      <c r="K2436"/>
    </row>
    <row r="2437" spans="1:11" x14ac:dyDescent="0.3">
      <c r="A2437" s="21" t="s">
        <v>64</v>
      </c>
      <c r="B2437" t="str">
        <f>VLOOKUP(A2437,Customers!A:B,2,FALSE)</f>
        <v>MarketScale</v>
      </c>
      <c r="C2437" s="25" t="s">
        <v>2804</v>
      </c>
      <c r="D2437" s="11">
        <v>46056</v>
      </c>
      <c r="E2437" s="11">
        <v>46086</v>
      </c>
      <c r="F2437" s="5">
        <v>2342.44</v>
      </c>
      <c r="G2437" s="3">
        <f>SUMIF(Customer_Payments!B:B,C2437,Customer_Payments!E:E)</f>
        <v>2342.44</v>
      </c>
      <c r="H2437" s="3">
        <f t="shared" si="114"/>
        <v>0</v>
      </c>
      <c r="I2437" s="29">
        <f t="shared" si="115"/>
        <v>5</v>
      </c>
      <c r="J2437" s="31" t="str">
        <f t="shared" si="116"/>
        <v>1-30</v>
      </c>
      <c r="K2437"/>
    </row>
    <row r="2438" spans="1:11" x14ac:dyDescent="0.3">
      <c r="A2438" s="20" t="s">
        <v>24</v>
      </c>
      <c r="B2438" t="str">
        <f>VLOOKUP(A2438,Customers!A:B,2,FALSE)</f>
        <v>OmniTrade</v>
      </c>
      <c r="C2438" s="24" t="s">
        <v>2805</v>
      </c>
      <c r="D2438" s="10">
        <v>46011</v>
      </c>
      <c r="E2438" s="10">
        <v>46041</v>
      </c>
      <c r="F2438" s="4">
        <v>1625.7</v>
      </c>
      <c r="G2438" s="3">
        <f>SUMIF(Customer_Payments!B:B,C2438,Customer_Payments!E:E)</f>
        <v>1625.6999999999998</v>
      </c>
      <c r="H2438" s="3">
        <f t="shared" si="114"/>
        <v>2.2737367544323206E-13</v>
      </c>
      <c r="I2438" s="29">
        <f t="shared" si="115"/>
        <v>50</v>
      </c>
      <c r="J2438" s="31" t="str">
        <f t="shared" si="116"/>
        <v>31-60</v>
      </c>
      <c r="K2438"/>
    </row>
    <row r="2439" spans="1:11" x14ac:dyDescent="0.3">
      <c r="A2439" s="21" t="s">
        <v>79</v>
      </c>
      <c r="B2439" t="str">
        <f>VLOOKUP(A2439,Customers!A:B,2,FALSE)</f>
        <v>RetailBoostX</v>
      </c>
      <c r="C2439" s="25" t="s">
        <v>2806</v>
      </c>
      <c r="D2439" s="11">
        <v>46097</v>
      </c>
      <c r="E2439" s="11">
        <v>46127</v>
      </c>
      <c r="F2439" s="5">
        <v>5043.5600000000004</v>
      </c>
      <c r="G2439" s="3">
        <f>SUMIF(Customer_Payments!B:B,C2439,Customer_Payments!E:E)</f>
        <v>0</v>
      </c>
      <c r="H2439" s="3">
        <f t="shared" si="114"/>
        <v>5043.5600000000004</v>
      </c>
      <c r="I2439" s="29">
        <f t="shared" si="115"/>
        <v>-36</v>
      </c>
      <c r="J2439" s="31" t="str">
        <f t="shared" si="116"/>
        <v>Current</v>
      </c>
      <c r="K2439"/>
    </row>
    <row r="2440" spans="1:11" x14ac:dyDescent="0.3">
      <c r="A2440" s="20" t="s">
        <v>88</v>
      </c>
      <c r="B2440" t="str">
        <f>VLOOKUP(A2440,Customers!A:B,2,FALSE)</f>
        <v>RetailPrimeX</v>
      </c>
      <c r="C2440" s="24" t="s">
        <v>2807</v>
      </c>
      <c r="D2440" s="10">
        <v>45979</v>
      </c>
      <c r="E2440" s="10">
        <v>46009</v>
      </c>
      <c r="F2440" s="4">
        <v>2713.8</v>
      </c>
      <c r="G2440" s="3">
        <f>SUMIF(Customer_Payments!B:B,C2440,Customer_Payments!E:E)</f>
        <v>2713.8</v>
      </c>
      <c r="H2440" s="3">
        <f t="shared" si="114"/>
        <v>0</v>
      </c>
      <c r="I2440" s="29">
        <f t="shared" si="115"/>
        <v>82</v>
      </c>
      <c r="J2440" s="31" t="str">
        <f t="shared" si="116"/>
        <v>61-90</v>
      </c>
      <c r="K2440"/>
    </row>
    <row r="2441" spans="1:11" x14ac:dyDescent="0.3">
      <c r="A2441" s="21" t="s">
        <v>102</v>
      </c>
      <c r="B2441" t="str">
        <f>VLOOKUP(A2441,Customers!A:B,2,FALSE)</f>
        <v>RetailPrimePro</v>
      </c>
      <c r="C2441" s="25" t="s">
        <v>2808</v>
      </c>
      <c r="D2441" s="11">
        <v>46069</v>
      </c>
      <c r="E2441" s="11">
        <v>46099</v>
      </c>
      <c r="F2441" s="5">
        <v>2475.2800000000002</v>
      </c>
      <c r="G2441" s="3">
        <f>SUMIF(Customer_Payments!B:B,C2441,Customer_Payments!E:E)</f>
        <v>2475.2799999999997</v>
      </c>
      <c r="H2441" s="3">
        <f t="shared" si="114"/>
        <v>4.5474735088646412E-13</v>
      </c>
      <c r="I2441" s="29">
        <f t="shared" si="115"/>
        <v>-8</v>
      </c>
      <c r="J2441" s="31" t="str">
        <f t="shared" si="116"/>
        <v>Current</v>
      </c>
      <c r="K2441"/>
    </row>
    <row r="2442" spans="1:11" x14ac:dyDescent="0.3">
      <c r="A2442" s="20" t="s">
        <v>39</v>
      </c>
      <c r="B2442" t="str">
        <f>VLOOKUP(A2442,Customers!A:B,2,FALSE)</f>
        <v>VisionCommerce</v>
      </c>
      <c r="C2442" s="24" t="s">
        <v>2809</v>
      </c>
      <c r="D2442" s="10">
        <v>45968</v>
      </c>
      <c r="E2442" s="10">
        <v>45998</v>
      </c>
      <c r="F2442" s="4">
        <v>1532.56</v>
      </c>
      <c r="G2442" s="3">
        <f>SUMIF(Customer_Payments!B:B,C2442,Customer_Payments!E:E)</f>
        <v>0</v>
      </c>
      <c r="H2442" s="3">
        <f t="shared" si="114"/>
        <v>1532.56</v>
      </c>
      <c r="I2442" s="29">
        <f t="shared" si="115"/>
        <v>93</v>
      </c>
      <c r="J2442" s="31" t="str">
        <f t="shared" si="116"/>
        <v>90+</v>
      </c>
      <c r="K2442"/>
    </row>
    <row r="2443" spans="1:11" x14ac:dyDescent="0.3">
      <c r="A2443" s="21" t="s">
        <v>25</v>
      </c>
      <c r="B2443" t="str">
        <f>VLOOKUP(A2443,Customers!A:B,2,FALSE)</f>
        <v>OrbitEdge</v>
      </c>
      <c r="C2443" s="25" t="s">
        <v>2810</v>
      </c>
      <c r="D2443" s="11">
        <v>46068</v>
      </c>
      <c r="E2443" s="11">
        <v>46098</v>
      </c>
      <c r="F2443" s="5">
        <v>1604.1</v>
      </c>
      <c r="G2443" s="3">
        <f>SUMIF(Customer_Payments!B:B,C2443,Customer_Payments!E:E)</f>
        <v>1604.1</v>
      </c>
      <c r="H2443" s="3">
        <f t="shared" si="114"/>
        <v>0</v>
      </c>
      <c r="I2443" s="29">
        <f t="shared" si="115"/>
        <v>-7</v>
      </c>
      <c r="J2443" s="31" t="str">
        <f t="shared" si="116"/>
        <v>Current</v>
      </c>
      <c r="K2443"/>
    </row>
    <row r="2444" spans="1:11" x14ac:dyDescent="0.3">
      <c r="A2444" s="20" t="s">
        <v>118</v>
      </c>
      <c r="B2444" t="str">
        <f>VLOOKUP(A2444,Customers!A:B,2,FALSE)</f>
        <v>RetailEdgeGlobal</v>
      </c>
      <c r="C2444" s="24" t="s">
        <v>2811</v>
      </c>
      <c r="D2444" s="10">
        <v>46087</v>
      </c>
      <c r="E2444" s="10">
        <v>46117</v>
      </c>
      <c r="F2444" s="4">
        <v>2816.89</v>
      </c>
      <c r="G2444" s="3">
        <f>SUMIF(Customer_Payments!B:B,C2444,Customer_Payments!E:E)</f>
        <v>2816.89</v>
      </c>
      <c r="H2444" s="3">
        <f t="shared" si="114"/>
        <v>0</v>
      </c>
      <c r="I2444" s="29">
        <f t="shared" si="115"/>
        <v>-26</v>
      </c>
      <c r="J2444" s="31" t="str">
        <f t="shared" si="116"/>
        <v>Current</v>
      </c>
      <c r="K2444"/>
    </row>
    <row r="2445" spans="1:11" x14ac:dyDescent="0.3">
      <c r="A2445" s="21" t="s">
        <v>89</v>
      </c>
      <c r="B2445" t="str">
        <f>VLOOKUP(A2445,Customers!A:B,2,FALSE)</f>
        <v>RetailAxisX</v>
      </c>
      <c r="C2445" s="25" t="s">
        <v>2812</v>
      </c>
      <c r="D2445" s="11">
        <v>46002</v>
      </c>
      <c r="E2445" s="11">
        <v>46032</v>
      </c>
      <c r="F2445" s="5">
        <v>3368.18</v>
      </c>
      <c r="G2445" s="3">
        <f>SUMIF(Customer_Payments!B:B,C2445,Customer_Payments!E:E)</f>
        <v>0</v>
      </c>
      <c r="H2445" s="3">
        <f t="shared" si="114"/>
        <v>3368.18</v>
      </c>
      <c r="I2445" s="29">
        <f t="shared" si="115"/>
        <v>59</v>
      </c>
      <c r="J2445" s="31" t="str">
        <f t="shared" si="116"/>
        <v>31-60</v>
      </c>
      <c r="K2445"/>
    </row>
    <row r="2446" spans="1:11" x14ac:dyDescent="0.3">
      <c r="A2446" s="20" t="s">
        <v>55</v>
      </c>
      <c r="B2446" t="str">
        <f>VLOOKUP(A2446,Customers!A:B,2,FALSE)</f>
        <v>CommerceLabs</v>
      </c>
      <c r="C2446" s="24" t="s">
        <v>2813</v>
      </c>
      <c r="D2446" s="10">
        <v>46111</v>
      </c>
      <c r="E2446" s="10">
        <v>46141</v>
      </c>
      <c r="F2446" s="4">
        <v>5174.2700000000004</v>
      </c>
      <c r="G2446" s="3">
        <f>SUMIF(Customer_Payments!B:B,C2446,Customer_Payments!E:E)</f>
        <v>5174.2700000000004</v>
      </c>
      <c r="H2446" s="3">
        <f t="shared" si="114"/>
        <v>0</v>
      </c>
      <c r="I2446" s="29">
        <f t="shared" si="115"/>
        <v>-50</v>
      </c>
      <c r="J2446" s="31" t="str">
        <f t="shared" si="116"/>
        <v>Current</v>
      </c>
      <c r="K2446"/>
    </row>
    <row r="2447" spans="1:11" x14ac:dyDescent="0.3">
      <c r="A2447" s="21" t="s">
        <v>68</v>
      </c>
      <c r="B2447" t="str">
        <f>VLOOKUP(A2447,Customers!A:B,2,FALSE)</f>
        <v>RetailVision</v>
      </c>
      <c r="C2447" s="25" t="s">
        <v>2814</v>
      </c>
      <c r="D2447" s="11">
        <v>45962</v>
      </c>
      <c r="E2447" s="11">
        <v>45992</v>
      </c>
      <c r="F2447" s="5">
        <v>12712.21</v>
      </c>
      <c r="G2447" s="3">
        <f>SUMIF(Customer_Payments!B:B,C2447,Customer_Payments!E:E)</f>
        <v>12712.21</v>
      </c>
      <c r="H2447" s="3">
        <f t="shared" si="114"/>
        <v>0</v>
      </c>
      <c r="I2447" s="29">
        <f t="shared" si="115"/>
        <v>99</v>
      </c>
      <c r="J2447" s="31" t="str">
        <f t="shared" si="116"/>
        <v>90+</v>
      </c>
      <c r="K2447"/>
    </row>
    <row r="2448" spans="1:11" x14ac:dyDescent="0.3">
      <c r="A2448" s="20" t="s">
        <v>33</v>
      </c>
      <c r="B2448" t="str">
        <f>VLOOKUP(A2448,Customers!A:B,2,FALSE)</f>
        <v>CloudCart</v>
      </c>
      <c r="C2448" s="24" t="s">
        <v>2815</v>
      </c>
      <c r="D2448" s="10">
        <v>46029</v>
      </c>
      <c r="E2448" s="10">
        <v>46059</v>
      </c>
      <c r="F2448" s="4">
        <v>9668.32</v>
      </c>
      <c r="G2448" s="3">
        <f>SUMIF(Customer_Payments!B:B,C2448,Customer_Payments!E:E)</f>
        <v>9668.32</v>
      </c>
      <c r="H2448" s="3">
        <f t="shared" si="114"/>
        <v>0</v>
      </c>
      <c r="I2448" s="29">
        <f t="shared" si="115"/>
        <v>32</v>
      </c>
      <c r="J2448" s="31" t="str">
        <f t="shared" si="116"/>
        <v>31-60</v>
      </c>
      <c r="K2448"/>
    </row>
    <row r="2449" spans="1:11" x14ac:dyDescent="0.3">
      <c r="A2449" s="21" t="s">
        <v>90</v>
      </c>
      <c r="B2449" t="str">
        <f>VLOOKUP(A2449,Customers!A:B,2,FALSE)</f>
        <v>RetailPulseX</v>
      </c>
      <c r="C2449" s="25" t="s">
        <v>2816</v>
      </c>
      <c r="D2449" s="11">
        <v>46002</v>
      </c>
      <c r="E2449" s="11">
        <v>46032</v>
      </c>
      <c r="F2449" s="5">
        <v>4300.18</v>
      </c>
      <c r="G2449" s="3">
        <f>SUMIF(Customer_Payments!B:B,C2449,Customer_Payments!E:E)</f>
        <v>0</v>
      </c>
      <c r="H2449" s="3">
        <f t="shared" si="114"/>
        <v>4300.18</v>
      </c>
      <c r="I2449" s="29">
        <f t="shared" si="115"/>
        <v>59</v>
      </c>
      <c r="J2449" s="31" t="str">
        <f t="shared" si="116"/>
        <v>31-60</v>
      </c>
      <c r="K2449"/>
    </row>
    <row r="2450" spans="1:11" x14ac:dyDescent="0.3">
      <c r="A2450" s="20" t="s">
        <v>123</v>
      </c>
      <c r="B2450" t="str">
        <f>VLOOKUP(A2450,Customers!A:B,2,FALSE)</f>
        <v>RetailFlowGlobal</v>
      </c>
      <c r="C2450" s="24" t="s">
        <v>2817</v>
      </c>
      <c r="D2450" s="10">
        <v>46022</v>
      </c>
      <c r="E2450" s="10">
        <v>46052</v>
      </c>
      <c r="F2450" s="4">
        <v>4713</v>
      </c>
      <c r="G2450" s="3">
        <f>SUMIF(Customer_Payments!B:B,C2450,Customer_Payments!E:E)</f>
        <v>0</v>
      </c>
      <c r="H2450" s="3">
        <f t="shared" si="114"/>
        <v>4713</v>
      </c>
      <c r="I2450" s="29">
        <f t="shared" si="115"/>
        <v>39</v>
      </c>
      <c r="J2450" s="31" t="str">
        <f t="shared" si="116"/>
        <v>31-60</v>
      </c>
      <c r="K2450"/>
    </row>
    <row r="2451" spans="1:11" x14ac:dyDescent="0.3">
      <c r="A2451" s="21" t="s">
        <v>101</v>
      </c>
      <c r="B2451" t="str">
        <f>VLOOKUP(A2451,Customers!A:B,2,FALSE)</f>
        <v>RetailMatrixPro</v>
      </c>
      <c r="C2451" s="25" t="s">
        <v>2818</v>
      </c>
      <c r="D2451" s="11">
        <v>46102</v>
      </c>
      <c r="E2451" s="11">
        <v>46132</v>
      </c>
      <c r="F2451" s="5">
        <v>3407.97</v>
      </c>
      <c r="G2451" s="3">
        <f>SUMIF(Customer_Payments!B:B,C2451,Customer_Payments!E:E)</f>
        <v>0</v>
      </c>
      <c r="H2451" s="3">
        <f t="shared" si="114"/>
        <v>3407.97</v>
      </c>
      <c r="I2451" s="29">
        <f t="shared" si="115"/>
        <v>-41</v>
      </c>
      <c r="J2451" s="31" t="str">
        <f t="shared" si="116"/>
        <v>Current</v>
      </c>
      <c r="K2451"/>
    </row>
    <row r="2452" spans="1:11" x14ac:dyDescent="0.3">
      <c r="A2452" s="20" t="s">
        <v>49</v>
      </c>
      <c r="B2452" t="str">
        <f>VLOOKUP(A2452,Customers!A:B,2,FALSE)</f>
        <v>CommercePilot</v>
      </c>
      <c r="C2452" s="24" t="s">
        <v>2819</v>
      </c>
      <c r="D2452" s="10">
        <v>46092</v>
      </c>
      <c r="E2452" s="10">
        <v>46122</v>
      </c>
      <c r="F2452" s="4">
        <v>4727.12</v>
      </c>
      <c r="G2452" s="3">
        <f>SUMIF(Customer_Payments!B:B,C2452,Customer_Payments!E:E)</f>
        <v>4727.12</v>
      </c>
      <c r="H2452" s="3">
        <f t="shared" si="114"/>
        <v>0</v>
      </c>
      <c r="I2452" s="29">
        <f t="shared" si="115"/>
        <v>-31</v>
      </c>
      <c r="J2452" s="31" t="str">
        <f t="shared" si="116"/>
        <v>Current</v>
      </c>
      <c r="K2452"/>
    </row>
    <row r="2453" spans="1:11" x14ac:dyDescent="0.3">
      <c r="A2453" s="21" t="s">
        <v>75</v>
      </c>
      <c r="B2453" t="str">
        <f>VLOOKUP(A2453,Customers!A:B,2,FALSE)</f>
        <v>RetailMatrix</v>
      </c>
      <c r="C2453" s="25" t="s">
        <v>2820</v>
      </c>
      <c r="D2453" s="11">
        <v>45970</v>
      </c>
      <c r="E2453" s="11">
        <v>46000</v>
      </c>
      <c r="F2453" s="5">
        <v>2894.08</v>
      </c>
      <c r="G2453" s="3">
        <f>SUMIF(Customer_Payments!B:B,C2453,Customer_Payments!E:E)</f>
        <v>0</v>
      </c>
      <c r="H2453" s="3">
        <f t="shared" si="114"/>
        <v>2894.08</v>
      </c>
      <c r="I2453" s="29">
        <f t="shared" si="115"/>
        <v>91</v>
      </c>
      <c r="J2453" s="31" t="str">
        <f t="shared" si="116"/>
        <v>90+</v>
      </c>
      <c r="K2453"/>
    </row>
    <row r="2454" spans="1:11" x14ac:dyDescent="0.3">
      <c r="A2454" s="20" t="s">
        <v>38</v>
      </c>
      <c r="B2454" t="str">
        <f>VLOOKUP(A2454,Customers!A:B,2,FALSE)</f>
        <v>RetailForge</v>
      </c>
      <c r="C2454" s="24" t="s">
        <v>2821</v>
      </c>
      <c r="D2454" s="10">
        <v>45980</v>
      </c>
      <c r="E2454" s="10">
        <v>46010</v>
      </c>
      <c r="F2454" s="4">
        <v>3564.52</v>
      </c>
      <c r="G2454" s="3">
        <f>SUMIF(Customer_Payments!B:B,C2454,Customer_Payments!E:E)</f>
        <v>3564.52</v>
      </c>
      <c r="H2454" s="3">
        <f t="shared" si="114"/>
        <v>0</v>
      </c>
      <c r="I2454" s="29">
        <f t="shared" si="115"/>
        <v>81</v>
      </c>
      <c r="J2454" s="31" t="str">
        <f t="shared" si="116"/>
        <v>61-90</v>
      </c>
      <c r="K2454"/>
    </row>
    <row r="2455" spans="1:11" x14ac:dyDescent="0.3">
      <c r="A2455" s="21" t="s">
        <v>90</v>
      </c>
      <c r="B2455" t="str">
        <f>VLOOKUP(A2455,Customers!A:B,2,FALSE)</f>
        <v>RetailPulseX</v>
      </c>
      <c r="C2455" s="25" t="s">
        <v>2822</v>
      </c>
      <c r="D2455" s="11">
        <v>46032</v>
      </c>
      <c r="E2455" s="11">
        <v>46062</v>
      </c>
      <c r="F2455" s="5">
        <v>4512.1400000000003</v>
      </c>
      <c r="G2455" s="3">
        <f>SUMIF(Customer_Payments!B:B,C2455,Customer_Payments!E:E)</f>
        <v>4512.1400000000003</v>
      </c>
      <c r="H2455" s="3">
        <f t="shared" si="114"/>
        <v>0</v>
      </c>
      <c r="I2455" s="29">
        <f t="shared" si="115"/>
        <v>29</v>
      </c>
      <c r="J2455" s="31" t="str">
        <f t="shared" si="116"/>
        <v>1-30</v>
      </c>
      <c r="K2455"/>
    </row>
    <row r="2456" spans="1:11" x14ac:dyDescent="0.3">
      <c r="A2456" s="20" t="s">
        <v>84</v>
      </c>
      <c r="B2456" t="str">
        <f>VLOOKUP(A2456,Customers!A:B,2,FALSE)</f>
        <v>RetailVisionX</v>
      </c>
      <c r="C2456" s="24" t="s">
        <v>2823</v>
      </c>
      <c r="D2456" s="10">
        <v>46089</v>
      </c>
      <c r="E2456" s="10">
        <v>46119</v>
      </c>
      <c r="F2456" s="4">
        <v>4456.68</v>
      </c>
      <c r="G2456" s="3">
        <f>SUMIF(Customer_Payments!B:B,C2456,Customer_Payments!E:E)</f>
        <v>4456.68</v>
      </c>
      <c r="H2456" s="3">
        <f t="shared" si="114"/>
        <v>0</v>
      </c>
      <c r="I2456" s="29">
        <f t="shared" si="115"/>
        <v>-28</v>
      </c>
      <c r="J2456" s="31" t="str">
        <f t="shared" si="116"/>
        <v>Current</v>
      </c>
      <c r="K2456"/>
    </row>
    <row r="2457" spans="1:11" x14ac:dyDescent="0.3">
      <c r="A2457" s="21" t="s">
        <v>113</v>
      </c>
      <c r="B2457" t="str">
        <f>VLOOKUP(A2457,Customers!A:B,2,FALSE)</f>
        <v>RetailSpherePro</v>
      </c>
      <c r="C2457" s="25" t="s">
        <v>2824</v>
      </c>
      <c r="D2457" s="11">
        <v>46017</v>
      </c>
      <c r="E2457" s="11">
        <v>46047</v>
      </c>
      <c r="F2457" s="5">
        <v>2551.98</v>
      </c>
      <c r="G2457" s="3">
        <f>SUMIF(Customer_Payments!B:B,C2457,Customer_Payments!E:E)</f>
        <v>2551.98</v>
      </c>
      <c r="H2457" s="3">
        <f t="shared" si="114"/>
        <v>0</v>
      </c>
      <c r="I2457" s="29">
        <f t="shared" si="115"/>
        <v>44</v>
      </c>
      <c r="J2457" s="31" t="str">
        <f t="shared" si="116"/>
        <v>31-60</v>
      </c>
      <c r="K2457"/>
    </row>
    <row r="2458" spans="1:11" x14ac:dyDescent="0.3">
      <c r="A2458" s="20" t="s">
        <v>33</v>
      </c>
      <c r="B2458" t="str">
        <f>VLOOKUP(A2458,Customers!A:B,2,FALSE)</f>
        <v>CloudCart</v>
      </c>
      <c r="C2458" s="24" t="s">
        <v>2825</v>
      </c>
      <c r="D2458" s="10">
        <v>45990</v>
      </c>
      <c r="E2458" s="10">
        <v>46020</v>
      </c>
      <c r="F2458" s="4">
        <v>3487.37</v>
      </c>
      <c r="G2458" s="3">
        <f>SUMIF(Customer_Payments!B:B,C2458,Customer_Payments!E:E)</f>
        <v>3487.37</v>
      </c>
      <c r="H2458" s="3">
        <f t="shared" si="114"/>
        <v>0</v>
      </c>
      <c r="I2458" s="29">
        <f t="shared" si="115"/>
        <v>71</v>
      </c>
      <c r="J2458" s="31" t="str">
        <f t="shared" si="116"/>
        <v>61-90</v>
      </c>
      <c r="K2458"/>
    </row>
    <row r="2459" spans="1:11" x14ac:dyDescent="0.3">
      <c r="A2459" s="21" t="s">
        <v>19</v>
      </c>
      <c r="B2459" t="str">
        <f>VLOOKUP(A2459,Customers!A:B,2,FALSE)</f>
        <v>NextWave Digital</v>
      </c>
      <c r="C2459" s="25" t="s">
        <v>2826</v>
      </c>
      <c r="D2459" s="11">
        <v>46072</v>
      </c>
      <c r="E2459" s="11">
        <v>46102</v>
      </c>
      <c r="F2459" s="5">
        <v>4487.88</v>
      </c>
      <c r="G2459" s="3">
        <f>SUMIF(Customer_Payments!B:B,C2459,Customer_Payments!E:E)</f>
        <v>4487.88</v>
      </c>
      <c r="H2459" s="3">
        <f t="shared" si="114"/>
        <v>0</v>
      </c>
      <c r="I2459" s="29">
        <f t="shared" si="115"/>
        <v>-11</v>
      </c>
      <c r="J2459" s="31" t="str">
        <f t="shared" si="116"/>
        <v>Current</v>
      </c>
      <c r="K2459"/>
    </row>
    <row r="2460" spans="1:11" x14ac:dyDescent="0.3">
      <c r="A2460" s="20" t="s">
        <v>16</v>
      </c>
      <c r="B2460" t="str">
        <f>VLOOKUP(A2460,Customers!A:B,2,FALSE)</f>
        <v>RetailHub</v>
      </c>
      <c r="C2460" s="24" t="s">
        <v>2827</v>
      </c>
      <c r="D2460" s="10">
        <v>45996</v>
      </c>
      <c r="E2460" s="10">
        <v>46026</v>
      </c>
      <c r="F2460" s="4">
        <v>4034.3</v>
      </c>
      <c r="G2460" s="3">
        <f>SUMIF(Customer_Payments!B:B,C2460,Customer_Payments!E:E)</f>
        <v>0</v>
      </c>
      <c r="H2460" s="3">
        <f t="shared" si="114"/>
        <v>4034.3</v>
      </c>
      <c r="I2460" s="29">
        <f t="shared" si="115"/>
        <v>65</v>
      </c>
      <c r="J2460" s="31" t="str">
        <f t="shared" si="116"/>
        <v>61-90</v>
      </c>
      <c r="K2460"/>
    </row>
    <row r="2461" spans="1:11" x14ac:dyDescent="0.3">
      <c r="A2461" s="21" t="s">
        <v>19</v>
      </c>
      <c r="B2461" t="str">
        <f>VLOOKUP(A2461,Customers!A:B,2,FALSE)</f>
        <v>NextWave Digital</v>
      </c>
      <c r="C2461" s="25" t="s">
        <v>2828</v>
      </c>
      <c r="D2461" s="11">
        <v>46094</v>
      </c>
      <c r="E2461" s="11">
        <v>46124</v>
      </c>
      <c r="F2461" s="5">
        <v>4956.6000000000004</v>
      </c>
      <c r="G2461" s="3">
        <f>SUMIF(Customer_Payments!B:B,C2461,Customer_Payments!E:E)</f>
        <v>4956.6000000000004</v>
      </c>
      <c r="H2461" s="3">
        <f t="shared" si="114"/>
        <v>0</v>
      </c>
      <c r="I2461" s="29">
        <f t="shared" si="115"/>
        <v>-33</v>
      </c>
      <c r="J2461" s="31" t="str">
        <f t="shared" si="116"/>
        <v>Current</v>
      </c>
      <c r="K2461"/>
    </row>
    <row r="2462" spans="1:11" x14ac:dyDescent="0.3">
      <c r="A2462" s="20" t="s">
        <v>8</v>
      </c>
      <c r="B2462" t="str">
        <f>VLOOKUP(A2462,Customers!A:B,2,FALSE)</f>
        <v>NexaSoft</v>
      </c>
      <c r="C2462" s="24" t="s">
        <v>2829</v>
      </c>
      <c r="D2462" s="10">
        <v>45997</v>
      </c>
      <c r="E2462" s="10">
        <v>46027</v>
      </c>
      <c r="F2462" s="4">
        <v>3625.13</v>
      </c>
      <c r="G2462" s="3">
        <f>SUMIF(Customer_Payments!B:B,C2462,Customer_Payments!E:E)</f>
        <v>3625.13</v>
      </c>
      <c r="H2462" s="3">
        <f t="shared" si="114"/>
        <v>0</v>
      </c>
      <c r="I2462" s="29">
        <f t="shared" si="115"/>
        <v>64</v>
      </c>
      <c r="J2462" s="31" t="str">
        <f t="shared" si="116"/>
        <v>61-90</v>
      </c>
      <c r="K2462"/>
    </row>
    <row r="2463" spans="1:11" x14ac:dyDescent="0.3">
      <c r="A2463" s="21" t="s">
        <v>106</v>
      </c>
      <c r="B2463" t="str">
        <f>VLOOKUP(A2463,Customers!A:B,2,FALSE)</f>
        <v>RetailOrbitPro</v>
      </c>
      <c r="C2463" s="25" t="s">
        <v>2830</v>
      </c>
      <c r="D2463" s="11">
        <v>46022</v>
      </c>
      <c r="E2463" s="11">
        <v>46052</v>
      </c>
      <c r="F2463" s="5">
        <v>3401.66</v>
      </c>
      <c r="G2463" s="3">
        <f>SUMIF(Customer_Payments!B:B,C2463,Customer_Payments!E:E)</f>
        <v>0</v>
      </c>
      <c r="H2463" s="3">
        <f t="shared" si="114"/>
        <v>3401.66</v>
      </c>
      <c r="I2463" s="29">
        <f t="shared" si="115"/>
        <v>39</v>
      </c>
      <c r="J2463" s="31" t="str">
        <f t="shared" si="116"/>
        <v>31-60</v>
      </c>
      <c r="K2463"/>
    </row>
    <row r="2464" spans="1:11" x14ac:dyDescent="0.3">
      <c r="A2464" s="20" t="s">
        <v>65</v>
      </c>
      <c r="B2464" t="str">
        <f>VLOOKUP(A2464,Customers!A:B,2,FALSE)</f>
        <v>RetailFlow</v>
      </c>
      <c r="C2464" s="24" t="s">
        <v>2831</v>
      </c>
      <c r="D2464" s="10">
        <v>46096</v>
      </c>
      <c r="E2464" s="10">
        <v>46126</v>
      </c>
      <c r="F2464" s="4">
        <v>1580.26</v>
      </c>
      <c r="G2464" s="3">
        <f>SUMIF(Customer_Payments!B:B,C2464,Customer_Payments!E:E)</f>
        <v>1580.26</v>
      </c>
      <c r="H2464" s="3">
        <f t="shared" si="114"/>
        <v>0</v>
      </c>
      <c r="I2464" s="29">
        <f t="shared" si="115"/>
        <v>-35</v>
      </c>
      <c r="J2464" s="31" t="str">
        <f t="shared" si="116"/>
        <v>Current</v>
      </c>
      <c r="K2464"/>
    </row>
    <row r="2465" spans="1:11" x14ac:dyDescent="0.3">
      <c r="A2465" s="21" t="s">
        <v>87</v>
      </c>
      <c r="B2465" t="str">
        <f>VLOOKUP(A2465,Customers!A:B,2,FALSE)</f>
        <v>RetailStreamX</v>
      </c>
      <c r="C2465" s="25" t="s">
        <v>2832</v>
      </c>
      <c r="D2465" s="11">
        <v>46048</v>
      </c>
      <c r="E2465" s="11">
        <v>46078</v>
      </c>
      <c r="F2465" s="5">
        <v>2702.1</v>
      </c>
      <c r="G2465" s="3">
        <f>SUMIF(Customer_Payments!B:B,C2465,Customer_Payments!E:E)</f>
        <v>2702.1</v>
      </c>
      <c r="H2465" s="3">
        <f t="shared" si="114"/>
        <v>0</v>
      </c>
      <c r="I2465" s="29">
        <f t="shared" si="115"/>
        <v>13</v>
      </c>
      <c r="J2465" s="31" t="str">
        <f t="shared" si="116"/>
        <v>1-30</v>
      </c>
      <c r="K2465"/>
    </row>
    <row r="2466" spans="1:11" x14ac:dyDescent="0.3">
      <c r="A2466" s="20" t="s">
        <v>89</v>
      </c>
      <c r="B2466" t="str">
        <f>VLOOKUP(A2466,Customers!A:B,2,FALSE)</f>
        <v>RetailAxisX</v>
      </c>
      <c r="C2466" s="24" t="s">
        <v>2833</v>
      </c>
      <c r="D2466" s="10">
        <v>46047</v>
      </c>
      <c r="E2466" s="10">
        <v>46077</v>
      </c>
      <c r="F2466" s="4">
        <v>4657.28</v>
      </c>
      <c r="G2466" s="3">
        <f>SUMIF(Customer_Payments!B:B,C2466,Customer_Payments!E:E)</f>
        <v>4657.28</v>
      </c>
      <c r="H2466" s="3">
        <f t="shared" si="114"/>
        <v>0</v>
      </c>
      <c r="I2466" s="29">
        <f t="shared" si="115"/>
        <v>14</v>
      </c>
      <c r="J2466" s="31" t="str">
        <f t="shared" si="116"/>
        <v>1-30</v>
      </c>
      <c r="K2466"/>
    </row>
    <row r="2467" spans="1:11" x14ac:dyDescent="0.3">
      <c r="A2467" s="21" t="s">
        <v>93</v>
      </c>
      <c r="B2467" t="str">
        <f>VLOOKUP(A2467,Customers!A:B,2,FALSE)</f>
        <v>RetailSphereX</v>
      </c>
      <c r="C2467" s="25" t="s">
        <v>2834</v>
      </c>
      <c r="D2467" s="11">
        <v>46004</v>
      </c>
      <c r="E2467" s="11">
        <v>46034</v>
      </c>
      <c r="F2467" s="5">
        <v>2264.1999999999998</v>
      </c>
      <c r="G2467" s="3">
        <f>SUMIF(Customer_Payments!B:B,C2467,Customer_Payments!E:E)</f>
        <v>2264.1999999999998</v>
      </c>
      <c r="H2467" s="3">
        <f t="shared" si="114"/>
        <v>0</v>
      </c>
      <c r="I2467" s="29">
        <f t="shared" si="115"/>
        <v>57</v>
      </c>
      <c r="J2467" s="31" t="str">
        <f t="shared" si="116"/>
        <v>31-60</v>
      </c>
      <c r="K2467"/>
    </row>
    <row r="2468" spans="1:11" x14ac:dyDescent="0.3">
      <c r="A2468" s="20" t="s">
        <v>103</v>
      </c>
      <c r="B2468" t="str">
        <f>VLOOKUP(A2468,Customers!A:B,2,FALSE)</f>
        <v>RetailVisionPro</v>
      </c>
      <c r="C2468" s="24" t="s">
        <v>2835</v>
      </c>
      <c r="D2468" s="10">
        <v>45984</v>
      </c>
      <c r="E2468" s="10">
        <v>46014</v>
      </c>
      <c r="F2468" s="4">
        <v>3504.29</v>
      </c>
      <c r="G2468" s="3">
        <f>SUMIF(Customer_Payments!B:B,C2468,Customer_Payments!E:E)</f>
        <v>3504.29</v>
      </c>
      <c r="H2468" s="3">
        <f t="shared" si="114"/>
        <v>0</v>
      </c>
      <c r="I2468" s="29">
        <f t="shared" si="115"/>
        <v>77</v>
      </c>
      <c r="J2468" s="31" t="str">
        <f t="shared" si="116"/>
        <v>61-90</v>
      </c>
      <c r="K2468"/>
    </row>
    <row r="2469" spans="1:11" x14ac:dyDescent="0.3">
      <c r="A2469" s="21" t="s">
        <v>27</v>
      </c>
      <c r="B2469" t="str">
        <f>VLOOKUP(A2469,Customers!A:B,2,FALSE)</f>
        <v>Skyline Commerce</v>
      </c>
      <c r="C2469" s="25" t="s">
        <v>2836</v>
      </c>
      <c r="D2469" s="11">
        <v>46103</v>
      </c>
      <c r="E2469" s="11">
        <v>46133</v>
      </c>
      <c r="F2469" s="5">
        <v>4975.16</v>
      </c>
      <c r="G2469" s="3">
        <f>SUMIF(Customer_Payments!B:B,C2469,Customer_Payments!E:E)</f>
        <v>4975.16</v>
      </c>
      <c r="H2469" s="3">
        <f t="shared" si="114"/>
        <v>0</v>
      </c>
      <c r="I2469" s="29">
        <f t="shared" si="115"/>
        <v>-42</v>
      </c>
      <c r="J2469" s="31" t="str">
        <f t="shared" si="116"/>
        <v>Current</v>
      </c>
      <c r="K2469"/>
    </row>
    <row r="2470" spans="1:11" x14ac:dyDescent="0.3">
      <c r="A2470" s="20" t="s">
        <v>117</v>
      </c>
      <c r="B2470" t="str">
        <f>VLOOKUP(A2470,Customers!A:B,2,FALSE)</f>
        <v>RetailSparkPro</v>
      </c>
      <c r="C2470" s="24" t="s">
        <v>2837</v>
      </c>
      <c r="D2470" s="10">
        <v>45970</v>
      </c>
      <c r="E2470" s="10">
        <v>46000</v>
      </c>
      <c r="F2470" s="4">
        <v>4131.12</v>
      </c>
      <c r="G2470" s="3">
        <f>SUMIF(Customer_Payments!B:B,C2470,Customer_Payments!E:E)</f>
        <v>4131.12</v>
      </c>
      <c r="H2470" s="3">
        <f t="shared" si="114"/>
        <v>0</v>
      </c>
      <c r="I2470" s="29">
        <f t="shared" si="115"/>
        <v>91</v>
      </c>
      <c r="J2470" s="31" t="str">
        <f t="shared" si="116"/>
        <v>90+</v>
      </c>
      <c r="K2470"/>
    </row>
    <row r="2471" spans="1:11" x14ac:dyDescent="0.3">
      <c r="A2471" s="21" t="s">
        <v>31</v>
      </c>
      <c r="B2471" t="str">
        <f>VLOOKUP(A2471,Customers!A:B,2,FALSE)</f>
        <v>SparkRetail</v>
      </c>
      <c r="C2471" s="25" t="s">
        <v>2838</v>
      </c>
      <c r="D2471" s="11">
        <v>46020</v>
      </c>
      <c r="E2471" s="11">
        <v>46050</v>
      </c>
      <c r="F2471" s="5">
        <v>11243.67</v>
      </c>
      <c r="G2471" s="3">
        <f>SUMIF(Customer_Payments!B:B,C2471,Customer_Payments!E:E)</f>
        <v>0</v>
      </c>
      <c r="H2471" s="3">
        <f t="shared" si="114"/>
        <v>11243.67</v>
      </c>
      <c r="I2471" s="29">
        <f t="shared" si="115"/>
        <v>41</v>
      </c>
      <c r="J2471" s="31" t="str">
        <f t="shared" si="116"/>
        <v>31-60</v>
      </c>
      <c r="K2471"/>
    </row>
    <row r="2472" spans="1:11" x14ac:dyDescent="0.3">
      <c r="A2472" s="20" t="s">
        <v>47</v>
      </c>
      <c r="B2472" t="str">
        <f>VLOOKUP(A2472,Customers!A:B,2,FALSE)</f>
        <v>SmartRetail</v>
      </c>
      <c r="C2472" s="24" t="s">
        <v>2839</v>
      </c>
      <c r="D2472" s="10">
        <v>46060</v>
      </c>
      <c r="E2472" s="10">
        <v>46090</v>
      </c>
      <c r="F2472" s="4">
        <v>3315.42</v>
      </c>
      <c r="G2472" s="3">
        <f>SUMIF(Customer_Payments!B:B,C2472,Customer_Payments!E:E)</f>
        <v>3315.42</v>
      </c>
      <c r="H2472" s="3">
        <f t="shared" si="114"/>
        <v>0</v>
      </c>
      <c r="I2472" s="29">
        <f t="shared" si="115"/>
        <v>1</v>
      </c>
      <c r="J2472" s="31" t="str">
        <f t="shared" si="116"/>
        <v>1-30</v>
      </c>
      <c r="K2472"/>
    </row>
    <row r="2473" spans="1:11" x14ac:dyDescent="0.3">
      <c r="A2473" s="21" t="s">
        <v>33</v>
      </c>
      <c r="B2473" t="str">
        <f>VLOOKUP(A2473,Customers!A:B,2,FALSE)</f>
        <v>CloudCart</v>
      </c>
      <c r="C2473" s="25" t="s">
        <v>2840</v>
      </c>
      <c r="D2473" s="11">
        <v>46103</v>
      </c>
      <c r="E2473" s="11">
        <v>46133</v>
      </c>
      <c r="F2473" s="5">
        <v>3460.63</v>
      </c>
      <c r="G2473" s="3">
        <f>SUMIF(Customer_Payments!B:B,C2473,Customer_Payments!E:E)</f>
        <v>0</v>
      </c>
      <c r="H2473" s="3">
        <f t="shared" si="114"/>
        <v>3460.63</v>
      </c>
      <c r="I2473" s="29">
        <f t="shared" si="115"/>
        <v>-42</v>
      </c>
      <c r="J2473" s="31" t="str">
        <f t="shared" si="116"/>
        <v>Current</v>
      </c>
      <c r="K2473"/>
    </row>
    <row r="2474" spans="1:11" x14ac:dyDescent="0.3">
      <c r="A2474" s="20" t="s">
        <v>57</v>
      </c>
      <c r="B2474" t="str">
        <f>VLOOKUP(A2474,Customers!A:B,2,FALSE)</f>
        <v>MarketGenius</v>
      </c>
      <c r="C2474" s="24" t="s">
        <v>2841</v>
      </c>
      <c r="D2474" s="10">
        <v>45983</v>
      </c>
      <c r="E2474" s="10">
        <v>46013</v>
      </c>
      <c r="F2474" s="4">
        <v>3740.64</v>
      </c>
      <c r="G2474" s="3">
        <f>SUMIF(Customer_Payments!B:B,C2474,Customer_Payments!E:E)</f>
        <v>3740.64</v>
      </c>
      <c r="H2474" s="3">
        <f t="shared" si="114"/>
        <v>0</v>
      </c>
      <c r="I2474" s="29">
        <f t="shared" si="115"/>
        <v>78</v>
      </c>
      <c r="J2474" s="31" t="str">
        <f t="shared" si="116"/>
        <v>61-90</v>
      </c>
      <c r="K2474"/>
    </row>
    <row r="2475" spans="1:11" x14ac:dyDescent="0.3">
      <c r="A2475" s="21" t="s">
        <v>73</v>
      </c>
      <c r="B2475" t="str">
        <f>VLOOKUP(A2475,Customers!A:B,2,FALSE)</f>
        <v>RetailWave</v>
      </c>
      <c r="C2475" s="25" t="s">
        <v>2842</v>
      </c>
      <c r="D2475" s="11">
        <v>46032</v>
      </c>
      <c r="E2475" s="11">
        <v>46062</v>
      </c>
      <c r="F2475" s="5">
        <v>5704.71</v>
      </c>
      <c r="G2475" s="3">
        <f>SUMIF(Customer_Payments!B:B,C2475,Customer_Payments!E:E)</f>
        <v>5704.71</v>
      </c>
      <c r="H2475" s="3">
        <f t="shared" si="114"/>
        <v>0</v>
      </c>
      <c r="I2475" s="29">
        <f t="shared" si="115"/>
        <v>29</v>
      </c>
      <c r="J2475" s="31" t="str">
        <f t="shared" si="116"/>
        <v>1-30</v>
      </c>
      <c r="K2475"/>
    </row>
    <row r="2476" spans="1:11" x14ac:dyDescent="0.3">
      <c r="A2476" s="20" t="s">
        <v>41</v>
      </c>
      <c r="B2476" t="str">
        <f>VLOOKUP(A2476,Customers!A:B,2,FALSE)</f>
        <v>DynamicRetail</v>
      </c>
      <c r="C2476" s="24" t="s">
        <v>2843</v>
      </c>
      <c r="D2476" s="10">
        <v>45987</v>
      </c>
      <c r="E2476" s="10">
        <v>46017</v>
      </c>
      <c r="F2476" s="4">
        <v>12736.76</v>
      </c>
      <c r="G2476" s="3">
        <f>SUMIF(Customer_Payments!B:B,C2476,Customer_Payments!E:E)</f>
        <v>0</v>
      </c>
      <c r="H2476" s="3">
        <f t="shared" si="114"/>
        <v>12736.76</v>
      </c>
      <c r="I2476" s="29">
        <f t="shared" si="115"/>
        <v>74</v>
      </c>
      <c r="J2476" s="31" t="str">
        <f t="shared" si="116"/>
        <v>61-90</v>
      </c>
      <c r="K2476"/>
    </row>
    <row r="2477" spans="1:11" x14ac:dyDescent="0.3">
      <c r="A2477" s="21" t="s">
        <v>46</v>
      </c>
      <c r="B2477" t="str">
        <f>VLOOKUP(A2477,Customers!A:B,2,FALSE)</f>
        <v>NovaMarket</v>
      </c>
      <c r="C2477" s="25" t="s">
        <v>2844</v>
      </c>
      <c r="D2477" s="11">
        <v>46065</v>
      </c>
      <c r="E2477" s="11">
        <v>46095</v>
      </c>
      <c r="F2477" s="5">
        <v>5865.69</v>
      </c>
      <c r="G2477" s="3">
        <f>SUMIF(Customer_Payments!B:B,C2477,Customer_Payments!E:E)</f>
        <v>5865.69</v>
      </c>
      <c r="H2477" s="3">
        <f t="shared" si="114"/>
        <v>0</v>
      </c>
      <c r="I2477" s="29">
        <f t="shared" si="115"/>
        <v>-4</v>
      </c>
      <c r="J2477" s="31" t="str">
        <f t="shared" si="116"/>
        <v>Current</v>
      </c>
      <c r="K2477"/>
    </row>
    <row r="2478" spans="1:11" x14ac:dyDescent="0.3">
      <c r="A2478" s="20" t="s">
        <v>46</v>
      </c>
      <c r="B2478" t="str">
        <f>VLOOKUP(A2478,Customers!A:B,2,FALSE)</f>
        <v>NovaMarket</v>
      </c>
      <c r="C2478" s="24" t="s">
        <v>2845</v>
      </c>
      <c r="D2478" s="10">
        <v>46070</v>
      </c>
      <c r="E2478" s="10">
        <v>46100</v>
      </c>
      <c r="F2478" s="4">
        <v>2726.71</v>
      </c>
      <c r="G2478" s="3">
        <f>SUMIF(Customer_Payments!B:B,C2478,Customer_Payments!E:E)</f>
        <v>2726.71</v>
      </c>
      <c r="H2478" s="3">
        <f t="shared" si="114"/>
        <v>0</v>
      </c>
      <c r="I2478" s="29">
        <f t="shared" si="115"/>
        <v>-9</v>
      </c>
      <c r="J2478" s="31" t="str">
        <f t="shared" si="116"/>
        <v>Current</v>
      </c>
      <c r="K2478"/>
    </row>
    <row r="2479" spans="1:11" x14ac:dyDescent="0.3">
      <c r="A2479" s="21" t="s">
        <v>58</v>
      </c>
      <c r="B2479" t="str">
        <f>VLOOKUP(A2479,Customers!A:B,2,FALSE)</f>
        <v>RetailAxis</v>
      </c>
      <c r="C2479" s="25" t="s">
        <v>2846</v>
      </c>
      <c r="D2479" s="11">
        <v>46073</v>
      </c>
      <c r="E2479" s="11">
        <v>46103</v>
      </c>
      <c r="F2479" s="5">
        <v>12303.77</v>
      </c>
      <c r="G2479" s="3">
        <f>SUMIF(Customer_Payments!B:B,C2479,Customer_Payments!E:E)</f>
        <v>12303.77</v>
      </c>
      <c r="H2479" s="3">
        <f t="shared" si="114"/>
        <v>0</v>
      </c>
      <c r="I2479" s="29">
        <f t="shared" si="115"/>
        <v>-12</v>
      </c>
      <c r="J2479" s="31" t="str">
        <f t="shared" si="116"/>
        <v>Current</v>
      </c>
      <c r="K2479"/>
    </row>
    <row r="2480" spans="1:11" x14ac:dyDescent="0.3">
      <c r="A2480" s="20" t="s">
        <v>65</v>
      </c>
      <c r="B2480" t="str">
        <f>VLOOKUP(A2480,Customers!A:B,2,FALSE)</f>
        <v>RetailFlow</v>
      </c>
      <c r="C2480" s="24" t="s">
        <v>2847</v>
      </c>
      <c r="D2480" s="10">
        <v>46001</v>
      </c>
      <c r="E2480" s="10">
        <v>46031</v>
      </c>
      <c r="F2480" s="4">
        <v>3562.42</v>
      </c>
      <c r="G2480" s="3">
        <f>SUMIF(Customer_Payments!B:B,C2480,Customer_Payments!E:E)</f>
        <v>0</v>
      </c>
      <c r="H2480" s="3">
        <f t="shared" si="114"/>
        <v>3562.42</v>
      </c>
      <c r="I2480" s="29">
        <f t="shared" si="115"/>
        <v>60</v>
      </c>
      <c r="J2480" s="31" t="str">
        <f t="shared" si="116"/>
        <v>31-60</v>
      </c>
      <c r="K2480"/>
    </row>
    <row r="2481" spans="1:11" x14ac:dyDescent="0.3">
      <c r="A2481" s="21" t="s">
        <v>98</v>
      </c>
      <c r="B2481" t="str">
        <f>VLOOKUP(A2481,Customers!A:B,2,FALSE)</f>
        <v>RetailEdgePro</v>
      </c>
      <c r="C2481" s="25" t="s">
        <v>2848</v>
      </c>
      <c r="D2481" s="11">
        <v>46043</v>
      </c>
      <c r="E2481" s="11">
        <v>46073</v>
      </c>
      <c r="F2481" s="5">
        <v>2019.48</v>
      </c>
      <c r="G2481" s="3">
        <f>SUMIF(Customer_Payments!B:B,C2481,Customer_Payments!E:E)</f>
        <v>2019.48</v>
      </c>
      <c r="H2481" s="3">
        <f t="shared" si="114"/>
        <v>0</v>
      </c>
      <c r="I2481" s="29">
        <f t="shared" si="115"/>
        <v>18</v>
      </c>
      <c r="J2481" s="31" t="str">
        <f t="shared" si="116"/>
        <v>1-30</v>
      </c>
      <c r="K2481"/>
    </row>
    <row r="2482" spans="1:11" x14ac:dyDescent="0.3">
      <c r="A2482" s="20" t="s">
        <v>108</v>
      </c>
      <c r="B2482" t="str">
        <f>VLOOKUP(A2482,Customers!A:B,2,FALSE)</f>
        <v>RetailNextPro</v>
      </c>
      <c r="C2482" s="24" t="s">
        <v>2849</v>
      </c>
      <c r="D2482" s="10">
        <v>46100</v>
      </c>
      <c r="E2482" s="10">
        <v>46130</v>
      </c>
      <c r="F2482" s="4">
        <v>2294.8000000000002</v>
      </c>
      <c r="G2482" s="3">
        <f>SUMIF(Customer_Payments!B:B,C2482,Customer_Payments!E:E)</f>
        <v>2294.8000000000002</v>
      </c>
      <c r="H2482" s="3">
        <f t="shared" si="114"/>
        <v>0</v>
      </c>
      <c r="I2482" s="29">
        <f t="shared" si="115"/>
        <v>-39</v>
      </c>
      <c r="J2482" s="31" t="str">
        <f t="shared" si="116"/>
        <v>Current</v>
      </c>
      <c r="K2482"/>
    </row>
    <row r="2483" spans="1:11" x14ac:dyDescent="0.3">
      <c r="A2483" s="21" t="s">
        <v>34</v>
      </c>
      <c r="B2483" t="str">
        <f>VLOOKUP(A2483,Customers!A:B,2,FALSE)</f>
        <v>OptiCommerce</v>
      </c>
      <c r="C2483" s="25" t="s">
        <v>2850</v>
      </c>
      <c r="D2483" s="11">
        <v>46069</v>
      </c>
      <c r="E2483" s="11">
        <v>46099</v>
      </c>
      <c r="F2483" s="5">
        <v>11163.29</v>
      </c>
      <c r="G2483" s="3">
        <f>SUMIF(Customer_Payments!B:B,C2483,Customer_Payments!E:E)</f>
        <v>11163.29</v>
      </c>
      <c r="H2483" s="3">
        <f t="shared" si="114"/>
        <v>0</v>
      </c>
      <c r="I2483" s="29">
        <f t="shared" si="115"/>
        <v>-8</v>
      </c>
      <c r="J2483" s="31" t="str">
        <f t="shared" si="116"/>
        <v>Current</v>
      </c>
      <c r="K2483"/>
    </row>
    <row r="2484" spans="1:11" x14ac:dyDescent="0.3">
      <c r="A2484" s="20" t="s">
        <v>38</v>
      </c>
      <c r="B2484" t="str">
        <f>VLOOKUP(A2484,Customers!A:B,2,FALSE)</f>
        <v>RetailForge</v>
      </c>
      <c r="C2484" s="24" t="s">
        <v>2851</v>
      </c>
      <c r="D2484" s="10">
        <v>46084</v>
      </c>
      <c r="E2484" s="10">
        <v>46114</v>
      </c>
      <c r="F2484" s="4">
        <v>3504.12</v>
      </c>
      <c r="G2484" s="3">
        <f>SUMIF(Customer_Payments!B:B,C2484,Customer_Payments!E:E)</f>
        <v>3504.12</v>
      </c>
      <c r="H2484" s="3">
        <f t="shared" si="114"/>
        <v>0</v>
      </c>
      <c r="I2484" s="29">
        <f t="shared" si="115"/>
        <v>-23</v>
      </c>
      <c r="J2484" s="31" t="str">
        <f t="shared" si="116"/>
        <v>Current</v>
      </c>
      <c r="K2484"/>
    </row>
    <row r="2485" spans="1:11" x14ac:dyDescent="0.3">
      <c r="A2485" s="21" t="s">
        <v>12</v>
      </c>
      <c r="B2485" t="str">
        <f>VLOOKUP(A2485,Customers!A:B,2,FALSE)</f>
        <v>ShopOrbit</v>
      </c>
      <c r="C2485" s="25" t="s">
        <v>2852</v>
      </c>
      <c r="D2485" s="11">
        <v>45969</v>
      </c>
      <c r="E2485" s="11">
        <v>45999</v>
      </c>
      <c r="F2485" s="5">
        <v>4650.97</v>
      </c>
      <c r="G2485" s="3">
        <f>SUMIF(Customer_Payments!B:B,C2485,Customer_Payments!E:E)</f>
        <v>4650.97</v>
      </c>
      <c r="H2485" s="3">
        <f t="shared" si="114"/>
        <v>0</v>
      </c>
      <c r="I2485" s="29">
        <f t="shared" si="115"/>
        <v>92</v>
      </c>
      <c r="J2485" s="31" t="str">
        <f t="shared" si="116"/>
        <v>90+</v>
      </c>
      <c r="K2485"/>
    </row>
    <row r="2486" spans="1:11" x14ac:dyDescent="0.3">
      <c r="A2486" s="20" t="s">
        <v>84</v>
      </c>
      <c r="B2486" t="str">
        <f>VLOOKUP(A2486,Customers!A:B,2,FALSE)</f>
        <v>RetailVisionX</v>
      </c>
      <c r="C2486" s="24" t="s">
        <v>2853</v>
      </c>
      <c r="D2486" s="10">
        <v>46101</v>
      </c>
      <c r="E2486" s="10">
        <v>46131</v>
      </c>
      <c r="F2486" s="4">
        <v>1720.85</v>
      </c>
      <c r="G2486" s="3">
        <f>SUMIF(Customer_Payments!B:B,C2486,Customer_Payments!E:E)</f>
        <v>1720.85</v>
      </c>
      <c r="H2486" s="3">
        <f t="shared" si="114"/>
        <v>0</v>
      </c>
      <c r="I2486" s="29">
        <f t="shared" si="115"/>
        <v>-40</v>
      </c>
      <c r="J2486" s="31" t="str">
        <f t="shared" si="116"/>
        <v>Current</v>
      </c>
      <c r="K2486"/>
    </row>
    <row r="2487" spans="1:11" x14ac:dyDescent="0.3">
      <c r="A2487" s="21" t="s">
        <v>42</v>
      </c>
      <c r="B2487" t="str">
        <f>VLOOKUP(A2487,Customers!A:B,2,FALSE)</f>
        <v>RetailWorks</v>
      </c>
      <c r="C2487" s="25" t="s">
        <v>2854</v>
      </c>
      <c r="D2487" s="11">
        <v>45970</v>
      </c>
      <c r="E2487" s="11">
        <v>46000</v>
      </c>
      <c r="F2487" s="5">
        <v>3325.03</v>
      </c>
      <c r="G2487" s="3">
        <f>SUMIF(Customer_Payments!B:B,C2487,Customer_Payments!E:E)</f>
        <v>3325.03</v>
      </c>
      <c r="H2487" s="3">
        <f t="shared" si="114"/>
        <v>0</v>
      </c>
      <c r="I2487" s="29">
        <f t="shared" si="115"/>
        <v>91</v>
      </c>
      <c r="J2487" s="31" t="str">
        <f t="shared" si="116"/>
        <v>90+</v>
      </c>
      <c r="K2487"/>
    </row>
    <row r="2488" spans="1:11" x14ac:dyDescent="0.3">
      <c r="A2488" s="20" t="s">
        <v>119</v>
      </c>
      <c r="B2488" t="str">
        <f>VLOOKUP(A2488,Customers!A:B,2,FALSE)</f>
        <v>RetailNovaGlobal</v>
      </c>
      <c r="C2488" s="24" t="s">
        <v>2855</v>
      </c>
      <c r="D2488" s="10">
        <v>45987</v>
      </c>
      <c r="E2488" s="10">
        <v>46017</v>
      </c>
      <c r="F2488" s="4">
        <v>3317.23</v>
      </c>
      <c r="G2488" s="3">
        <f>SUMIF(Customer_Payments!B:B,C2488,Customer_Payments!E:E)</f>
        <v>3317.23</v>
      </c>
      <c r="H2488" s="3">
        <f t="shared" si="114"/>
        <v>0</v>
      </c>
      <c r="I2488" s="29">
        <f t="shared" si="115"/>
        <v>74</v>
      </c>
      <c r="J2488" s="31" t="str">
        <f t="shared" si="116"/>
        <v>61-90</v>
      </c>
      <c r="K2488"/>
    </row>
    <row r="2489" spans="1:11" x14ac:dyDescent="0.3">
      <c r="A2489" s="21" t="s">
        <v>26</v>
      </c>
      <c r="B2489" t="str">
        <f>VLOOKUP(A2489,Customers!A:B,2,FALSE)</f>
        <v>NovaRetail</v>
      </c>
      <c r="C2489" s="25" t="s">
        <v>2856</v>
      </c>
      <c r="D2489" s="11">
        <v>46090</v>
      </c>
      <c r="E2489" s="11">
        <v>46120</v>
      </c>
      <c r="F2489" s="5">
        <v>1493.27</v>
      </c>
      <c r="G2489" s="3">
        <f>SUMIF(Customer_Payments!B:B,C2489,Customer_Payments!E:E)</f>
        <v>1493.27</v>
      </c>
      <c r="H2489" s="3">
        <f t="shared" si="114"/>
        <v>0</v>
      </c>
      <c r="I2489" s="29">
        <f t="shared" si="115"/>
        <v>-29</v>
      </c>
      <c r="J2489" s="31" t="str">
        <f t="shared" si="116"/>
        <v>Current</v>
      </c>
      <c r="K2489"/>
    </row>
    <row r="2490" spans="1:11" x14ac:dyDescent="0.3">
      <c r="A2490" s="20" t="s">
        <v>63</v>
      </c>
      <c r="B2490" t="str">
        <f>VLOOKUP(A2490,Customers!A:B,2,FALSE)</f>
        <v>RetailCore</v>
      </c>
      <c r="C2490" s="24" t="s">
        <v>2857</v>
      </c>
      <c r="D2490" s="10">
        <v>46044</v>
      </c>
      <c r="E2490" s="10">
        <v>46074</v>
      </c>
      <c r="F2490" s="4">
        <v>5179.62</v>
      </c>
      <c r="G2490" s="3">
        <f>SUMIF(Customer_Payments!B:B,C2490,Customer_Payments!E:E)</f>
        <v>5179.62</v>
      </c>
      <c r="H2490" s="3">
        <f t="shared" si="114"/>
        <v>0</v>
      </c>
      <c r="I2490" s="29">
        <f t="shared" si="115"/>
        <v>17</v>
      </c>
      <c r="J2490" s="31" t="str">
        <f t="shared" si="116"/>
        <v>1-30</v>
      </c>
      <c r="K2490"/>
    </row>
    <row r="2491" spans="1:11" x14ac:dyDescent="0.3">
      <c r="A2491" s="21" t="s">
        <v>74</v>
      </c>
      <c r="B2491" t="str">
        <f>VLOOKUP(A2491,Customers!A:B,2,FALSE)</f>
        <v>RetailPrime</v>
      </c>
      <c r="C2491" s="25" t="s">
        <v>2858</v>
      </c>
      <c r="D2491" s="11">
        <v>46108</v>
      </c>
      <c r="E2491" s="11">
        <v>46138</v>
      </c>
      <c r="F2491" s="5">
        <v>4655.68</v>
      </c>
      <c r="G2491" s="3">
        <f>SUMIF(Customer_Payments!B:B,C2491,Customer_Payments!E:E)</f>
        <v>4655.68</v>
      </c>
      <c r="H2491" s="3">
        <f t="shared" si="114"/>
        <v>0</v>
      </c>
      <c r="I2491" s="29">
        <f t="shared" si="115"/>
        <v>-47</v>
      </c>
      <c r="J2491" s="31" t="str">
        <f t="shared" si="116"/>
        <v>Current</v>
      </c>
      <c r="K2491"/>
    </row>
    <row r="2492" spans="1:11" x14ac:dyDescent="0.3">
      <c r="A2492" s="20" t="s">
        <v>96</v>
      </c>
      <c r="B2492" t="str">
        <f>VLOOKUP(A2492,Customers!A:B,2,FALSE)</f>
        <v>RetailLabs</v>
      </c>
      <c r="C2492" s="24" t="s">
        <v>2859</v>
      </c>
      <c r="D2492" s="10">
        <v>46085</v>
      </c>
      <c r="E2492" s="10">
        <v>46115</v>
      </c>
      <c r="F2492" s="4">
        <v>2689.57</v>
      </c>
      <c r="G2492" s="3">
        <f>SUMIF(Customer_Payments!B:B,C2492,Customer_Payments!E:E)</f>
        <v>0</v>
      </c>
      <c r="H2492" s="3">
        <f t="shared" si="114"/>
        <v>2689.57</v>
      </c>
      <c r="I2492" s="29">
        <f t="shared" si="115"/>
        <v>-24</v>
      </c>
      <c r="J2492" s="31" t="str">
        <f t="shared" si="116"/>
        <v>Current</v>
      </c>
      <c r="K2492"/>
    </row>
    <row r="2493" spans="1:11" x14ac:dyDescent="0.3">
      <c r="A2493" s="21" t="s">
        <v>64</v>
      </c>
      <c r="B2493" t="str">
        <f>VLOOKUP(A2493,Customers!A:B,2,FALSE)</f>
        <v>MarketScale</v>
      </c>
      <c r="C2493" s="25" t="s">
        <v>2860</v>
      </c>
      <c r="D2493" s="11">
        <v>46010</v>
      </c>
      <c r="E2493" s="11">
        <v>46040</v>
      </c>
      <c r="F2493" s="5">
        <v>1972.12</v>
      </c>
      <c r="G2493" s="3">
        <f>SUMIF(Customer_Payments!B:B,C2493,Customer_Payments!E:E)</f>
        <v>0</v>
      </c>
      <c r="H2493" s="3">
        <f t="shared" si="114"/>
        <v>1972.12</v>
      </c>
      <c r="I2493" s="29">
        <f t="shared" si="115"/>
        <v>51</v>
      </c>
      <c r="J2493" s="31" t="str">
        <f t="shared" si="116"/>
        <v>31-60</v>
      </c>
      <c r="K2493"/>
    </row>
    <row r="2494" spans="1:11" x14ac:dyDescent="0.3">
      <c r="A2494" s="20" t="s">
        <v>65</v>
      </c>
      <c r="B2494" t="str">
        <f>VLOOKUP(A2494,Customers!A:B,2,FALSE)</f>
        <v>RetailFlow</v>
      </c>
      <c r="C2494" s="24" t="s">
        <v>2861</v>
      </c>
      <c r="D2494" s="10">
        <v>45981</v>
      </c>
      <c r="E2494" s="10">
        <v>46011</v>
      </c>
      <c r="F2494" s="4">
        <v>2076.9</v>
      </c>
      <c r="G2494" s="3">
        <f>SUMIF(Customer_Payments!B:B,C2494,Customer_Payments!E:E)</f>
        <v>2076.9</v>
      </c>
      <c r="H2494" s="3">
        <f t="shared" si="114"/>
        <v>0</v>
      </c>
      <c r="I2494" s="29">
        <f t="shared" si="115"/>
        <v>80</v>
      </c>
      <c r="J2494" s="31" t="str">
        <f t="shared" si="116"/>
        <v>61-90</v>
      </c>
      <c r="K2494"/>
    </row>
    <row r="2495" spans="1:11" x14ac:dyDescent="0.3">
      <c r="A2495" s="21" t="s">
        <v>84</v>
      </c>
      <c r="B2495" t="str">
        <f>VLOOKUP(A2495,Customers!A:B,2,FALSE)</f>
        <v>RetailVisionX</v>
      </c>
      <c r="C2495" s="25" t="s">
        <v>2862</v>
      </c>
      <c r="D2495" s="11">
        <v>46064</v>
      </c>
      <c r="E2495" s="11">
        <v>46094</v>
      </c>
      <c r="F2495" s="5">
        <v>2333.0100000000002</v>
      </c>
      <c r="G2495" s="3">
        <f>SUMIF(Customer_Payments!B:B,C2495,Customer_Payments!E:E)</f>
        <v>2333.0100000000002</v>
      </c>
      <c r="H2495" s="3">
        <f t="shared" si="114"/>
        <v>0</v>
      </c>
      <c r="I2495" s="29">
        <f t="shared" si="115"/>
        <v>-3</v>
      </c>
      <c r="J2495" s="31" t="str">
        <f t="shared" si="116"/>
        <v>Current</v>
      </c>
      <c r="K2495"/>
    </row>
    <row r="2496" spans="1:11" x14ac:dyDescent="0.3">
      <c r="A2496" s="20" t="s">
        <v>61</v>
      </c>
      <c r="B2496" t="str">
        <f>VLOOKUP(A2496,Customers!A:B,2,FALSE)</f>
        <v>RetailOrbit</v>
      </c>
      <c r="C2496" s="24" t="s">
        <v>2863</v>
      </c>
      <c r="D2496" s="10">
        <v>46049</v>
      </c>
      <c r="E2496" s="10">
        <v>46079</v>
      </c>
      <c r="F2496" s="4">
        <v>2111.5300000000002</v>
      </c>
      <c r="G2496" s="3">
        <f>SUMIF(Customer_Payments!B:B,C2496,Customer_Payments!E:E)</f>
        <v>2111.5300000000002</v>
      </c>
      <c r="H2496" s="3">
        <f t="shared" si="114"/>
        <v>0</v>
      </c>
      <c r="I2496" s="29">
        <f t="shared" si="115"/>
        <v>12</v>
      </c>
      <c r="J2496" s="31" t="str">
        <f t="shared" si="116"/>
        <v>1-30</v>
      </c>
      <c r="K2496"/>
    </row>
    <row r="2497" spans="1:11" x14ac:dyDescent="0.3">
      <c r="A2497" s="21" t="s">
        <v>14</v>
      </c>
      <c r="B2497" t="str">
        <f>VLOOKUP(A2497,Customers!A:B,2,FALSE)</f>
        <v>MarketPulse</v>
      </c>
      <c r="C2497" s="25" t="s">
        <v>2864</v>
      </c>
      <c r="D2497" s="11">
        <v>46098</v>
      </c>
      <c r="E2497" s="11">
        <v>46128</v>
      </c>
      <c r="F2497" s="5">
        <v>13469.11</v>
      </c>
      <c r="G2497" s="3">
        <f>SUMIF(Customer_Payments!B:B,C2497,Customer_Payments!E:E)</f>
        <v>0</v>
      </c>
      <c r="H2497" s="3">
        <f t="shared" si="114"/>
        <v>13469.11</v>
      </c>
      <c r="I2497" s="29">
        <f t="shared" si="115"/>
        <v>-37</v>
      </c>
      <c r="J2497" s="31" t="str">
        <f t="shared" si="116"/>
        <v>Current</v>
      </c>
      <c r="K2497"/>
    </row>
    <row r="2498" spans="1:11" x14ac:dyDescent="0.3">
      <c r="A2498" s="20" t="s">
        <v>71</v>
      </c>
      <c r="B2498" t="str">
        <f>VLOOKUP(A2498,Customers!A:B,2,FALSE)</f>
        <v>RetailPulse</v>
      </c>
      <c r="C2498" s="24" t="s">
        <v>2865</v>
      </c>
      <c r="D2498" s="10">
        <v>46097</v>
      </c>
      <c r="E2498" s="10">
        <v>46127</v>
      </c>
      <c r="F2498" s="4">
        <v>3322.86</v>
      </c>
      <c r="G2498" s="3">
        <f>SUMIF(Customer_Payments!B:B,C2498,Customer_Payments!E:E)</f>
        <v>0</v>
      </c>
      <c r="H2498" s="3">
        <f t="shared" ref="H2498:H2561" si="117">MAX(F2498-G2498,0)</f>
        <v>3322.86</v>
      </c>
      <c r="I2498" s="29">
        <f t="shared" ref="I2498:I2561" si="118">$L$2-E2498</f>
        <v>-36</v>
      </c>
      <c r="J2498" s="31" t="str">
        <f t="shared" si="116"/>
        <v>Current</v>
      </c>
      <c r="K2498"/>
    </row>
    <row r="2499" spans="1:11" x14ac:dyDescent="0.3">
      <c r="A2499" s="21" t="s">
        <v>88</v>
      </c>
      <c r="B2499" t="str">
        <f>VLOOKUP(A2499,Customers!A:B,2,FALSE)</f>
        <v>RetailPrimeX</v>
      </c>
      <c r="C2499" s="25" t="s">
        <v>2866</v>
      </c>
      <c r="D2499" s="11">
        <v>45983</v>
      </c>
      <c r="E2499" s="11">
        <v>46013</v>
      </c>
      <c r="F2499" s="5">
        <v>2790.14</v>
      </c>
      <c r="G2499" s="3">
        <f>SUMIF(Customer_Payments!B:B,C2499,Customer_Payments!E:E)</f>
        <v>2790.14</v>
      </c>
      <c r="H2499" s="3">
        <f t="shared" si="117"/>
        <v>0</v>
      </c>
      <c r="I2499" s="29">
        <f t="shared" si="118"/>
        <v>78</v>
      </c>
      <c r="J2499" s="31" t="str">
        <f t="shared" ref="J2499:J2562" si="119">IF(I2499&lt;=0,"Current",
IF(I2499&lt;=30,"1-30",
IF(I2499&lt;=60,"31-60",
IF(I2499&lt;=90,"61-90","90+"))))</f>
        <v>61-90</v>
      </c>
      <c r="K2499"/>
    </row>
    <row r="2500" spans="1:11" x14ac:dyDescent="0.3">
      <c r="A2500" s="20" t="s">
        <v>106</v>
      </c>
      <c r="B2500" t="str">
        <f>VLOOKUP(A2500,Customers!A:B,2,FALSE)</f>
        <v>RetailOrbitPro</v>
      </c>
      <c r="C2500" s="24" t="s">
        <v>2867</v>
      </c>
      <c r="D2500" s="10">
        <v>46001</v>
      </c>
      <c r="E2500" s="10">
        <v>46031</v>
      </c>
      <c r="F2500" s="4">
        <v>3281.32</v>
      </c>
      <c r="G2500" s="3">
        <f>SUMIF(Customer_Payments!B:B,C2500,Customer_Payments!E:E)</f>
        <v>0</v>
      </c>
      <c r="H2500" s="3">
        <f t="shared" si="117"/>
        <v>3281.32</v>
      </c>
      <c r="I2500" s="29">
        <f t="shared" si="118"/>
        <v>60</v>
      </c>
      <c r="J2500" s="31" t="str">
        <f t="shared" si="119"/>
        <v>31-60</v>
      </c>
      <c r="K2500"/>
    </row>
    <row r="2501" spans="1:11" x14ac:dyDescent="0.3">
      <c r="A2501" s="21" t="s">
        <v>18</v>
      </c>
      <c r="B2501" t="str">
        <f>VLOOKUP(A2501,Customers!A:B,2,FALSE)</f>
        <v>BluePeak Systems</v>
      </c>
      <c r="C2501" s="25" t="s">
        <v>2868</v>
      </c>
      <c r="D2501" s="11">
        <v>46069</v>
      </c>
      <c r="E2501" s="11">
        <v>46099</v>
      </c>
      <c r="F2501" s="5">
        <v>3038.11</v>
      </c>
      <c r="G2501" s="3">
        <f>SUMIF(Customer_Payments!B:B,C2501,Customer_Payments!E:E)</f>
        <v>0</v>
      </c>
      <c r="H2501" s="3">
        <f t="shared" si="117"/>
        <v>3038.11</v>
      </c>
      <c r="I2501" s="29">
        <f t="shared" si="118"/>
        <v>-8</v>
      </c>
      <c r="J2501" s="31" t="str">
        <f t="shared" si="119"/>
        <v>Current</v>
      </c>
      <c r="K2501"/>
    </row>
    <row r="2502" spans="1:11" x14ac:dyDescent="0.3">
      <c r="A2502" s="20" t="s">
        <v>103</v>
      </c>
      <c r="B2502" t="str">
        <f>VLOOKUP(A2502,Customers!A:B,2,FALSE)</f>
        <v>RetailVisionPro</v>
      </c>
      <c r="C2502" s="24" t="s">
        <v>2869</v>
      </c>
      <c r="D2502" s="10">
        <v>46076</v>
      </c>
      <c r="E2502" s="10">
        <v>46106</v>
      </c>
      <c r="F2502" s="4">
        <v>4091.5</v>
      </c>
      <c r="G2502" s="3">
        <f>SUMIF(Customer_Payments!B:B,C2502,Customer_Payments!E:E)</f>
        <v>0</v>
      </c>
      <c r="H2502" s="3">
        <f t="shared" si="117"/>
        <v>4091.5</v>
      </c>
      <c r="I2502" s="29">
        <f t="shared" si="118"/>
        <v>-15</v>
      </c>
      <c r="J2502" s="31" t="str">
        <f t="shared" si="119"/>
        <v>Current</v>
      </c>
      <c r="K2502"/>
    </row>
    <row r="2503" spans="1:11" x14ac:dyDescent="0.3">
      <c r="A2503" s="21" t="s">
        <v>120</v>
      </c>
      <c r="B2503" t="str">
        <f>VLOOKUP(A2503,Customers!A:B,2,FALSE)</f>
        <v>RetailPrimeGlobal</v>
      </c>
      <c r="C2503" s="25" t="s">
        <v>2870</v>
      </c>
      <c r="D2503" s="11">
        <v>46074</v>
      </c>
      <c r="E2503" s="11">
        <v>46104</v>
      </c>
      <c r="F2503" s="5">
        <v>3320.54</v>
      </c>
      <c r="G2503" s="3">
        <f>SUMIF(Customer_Payments!B:B,C2503,Customer_Payments!E:E)</f>
        <v>3320.54</v>
      </c>
      <c r="H2503" s="3">
        <f t="shared" si="117"/>
        <v>0</v>
      </c>
      <c r="I2503" s="29">
        <f t="shared" si="118"/>
        <v>-13</v>
      </c>
      <c r="J2503" s="31" t="str">
        <f t="shared" si="119"/>
        <v>Current</v>
      </c>
      <c r="K2503"/>
    </row>
    <row r="2504" spans="1:11" x14ac:dyDescent="0.3">
      <c r="A2504" s="20" t="s">
        <v>80</v>
      </c>
      <c r="B2504" t="str">
        <f>VLOOKUP(A2504,Customers!A:B,2,FALSE)</f>
        <v>RetailEdgeX</v>
      </c>
      <c r="C2504" s="24" t="s">
        <v>2871</v>
      </c>
      <c r="D2504" s="10">
        <v>46088</v>
      </c>
      <c r="E2504" s="10">
        <v>46118</v>
      </c>
      <c r="F2504" s="4">
        <v>1549.59</v>
      </c>
      <c r="G2504" s="3">
        <f>SUMIF(Customer_Payments!B:B,C2504,Customer_Payments!E:E)</f>
        <v>1549.59</v>
      </c>
      <c r="H2504" s="3">
        <f t="shared" si="117"/>
        <v>0</v>
      </c>
      <c r="I2504" s="29">
        <f t="shared" si="118"/>
        <v>-27</v>
      </c>
      <c r="J2504" s="31" t="str">
        <f t="shared" si="119"/>
        <v>Current</v>
      </c>
      <c r="K2504"/>
    </row>
    <row r="2505" spans="1:11" x14ac:dyDescent="0.3">
      <c r="A2505" s="21" t="s">
        <v>62</v>
      </c>
      <c r="B2505" t="str">
        <f>VLOOKUP(A2505,Customers!A:B,2,FALSE)</f>
        <v>MarketNova</v>
      </c>
      <c r="C2505" s="25" t="s">
        <v>2872</v>
      </c>
      <c r="D2505" s="11">
        <v>45973</v>
      </c>
      <c r="E2505" s="11">
        <v>46003</v>
      </c>
      <c r="F2505" s="5">
        <v>2454.0500000000002</v>
      </c>
      <c r="G2505" s="3">
        <f>SUMIF(Customer_Payments!B:B,C2505,Customer_Payments!E:E)</f>
        <v>2454.0500000000002</v>
      </c>
      <c r="H2505" s="3">
        <f t="shared" si="117"/>
        <v>0</v>
      </c>
      <c r="I2505" s="29">
        <f t="shared" si="118"/>
        <v>88</v>
      </c>
      <c r="J2505" s="31" t="str">
        <f t="shared" si="119"/>
        <v>61-90</v>
      </c>
      <c r="K2505"/>
    </row>
    <row r="2506" spans="1:11" x14ac:dyDescent="0.3">
      <c r="A2506" s="20" t="s">
        <v>56</v>
      </c>
      <c r="B2506" t="str">
        <f>VLOOKUP(A2506,Customers!A:B,2,FALSE)</f>
        <v>RetailBoost</v>
      </c>
      <c r="C2506" s="24" t="s">
        <v>2873</v>
      </c>
      <c r="D2506" s="10">
        <v>45997</v>
      </c>
      <c r="E2506" s="10">
        <v>46027</v>
      </c>
      <c r="F2506" s="4">
        <v>2881.76</v>
      </c>
      <c r="G2506" s="3">
        <f>SUMIF(Customer_Payments!B:B,C2506,Customer_Payments!E:E)</f>
        <v>2881.76</v>
      </c>
      <c r="H2506" s="3">
        <f t="shared" si="117"/>
        <v>0</v>
      </c>
      <c r="I2506" s="29">
        <f t="shared" si="118"/>
        <v>64</v>
      </c>
      <c r="J2506" s="31" t="str">
        <f t="shared" si="119"/>
        <v>61-90</v>
      </c>
      <c r="K2506"/>
    </row>
    <row r="2507" spans="1:11" x14ac:dyDescent="0.3">
      <c r="A2507" s="21" t="s">
        <v>116</v>
      </c>
      <c r="B2507" t="str">
        <f>VLOOKUP(A2507,Customers!A:B,2,FALSE)</f>
        <v>RetailLabsPro</v>
      </c>
      <c r="C2507" s="25" t="s">
        <v>2874</v>
      </c>
      <c r="D2507" s="11">
        <v>45969</v>
      </c>
      <c r="E2507" s="11">
        <v>45999</v>
      </c>
      <c r="F2507" s="5">
        <v>2410.25</v>
      </c>
      <c r="G2507" s="3">
        <f>SUMIF(Customer_Payments!B:B,C2507,Customer_Payments!E:E)</f>
        <v>2410.25</v>
      </c>
      <c r="H2507" s="3">
        <f t="shared" si="117"/>
        <v>0</v>
      </c>
      <c r="I2507" s="29">
        <f t="shared" si="118"/>
        <v>92</v>
      </c>
      <c r="J2507" s="31" t="str">
        <f t="shared" si="119"/>
        <v>90+</v>
      </c>
      <c r="K2507"/>
    </row>
    <row r="2508" spans="1:11" x14ac:dyDescent="0.3">
      <c r="A2508" s="20" t="s">
        <v>90</v>
      </c>
      <c r="B2508" t="str">
        <f>VLOOKUP(A2508,Customers!A:B,2,FALSE)</f>
        <v>RetailPulseX</v>
      </c>
      <c r="C2508" s="24" t="s">
        <v>2875</v>
      </c>
      <c r="D2508" s="10">
        <v>46108</v>
      </c>
      <c r="E2508" s="10">
        <v>46138</v>
      </c>
      <c r="F2508" s="4">
        <v>5168.75</v>
      </c>
      <c r="G2508" s="3">
        <f>SUMIF(Customer_Payments!B:B,C2508,Customer_Payments!E:E)</f>
        <v>5168.75</v>
      </c>
      <c r="H2508" s="3">
        <f t="shared" si="117"/>
        <v>0</v>
      </c>
      <c r="I2508" s="29">
        <f t="shared" si="118"/>
        <v>-47</v>
      </c>
      <c r="J2508" s="31" t="str">
        <f t="shared" si="119"/>
        <v>Current</v>
      </c>
      <c r="K2508"/>
    </row>
    <row r="2509" spans="1:11" x14ac:dyDescent="0.3">
      <c r="A2509" s="21" t="s">
        <v>121</v>
      </c>
      <c r="B2509" t="str">
        <f>VLOOKUP(A2509,Customers!A:B,2,FALSE)</f>
        <v>RetailVisionGlobal</v>
      </c>
      <c r="C2509" s="25" t="s">
        <v>2876</v>
      </c>
      <c r="D2509" s="11">
        <v>46027</v>
      </c>
      <c r="E2509" s="11">
        <v>46057</v>
      </c>
      <c r="F2509" s="5">
        <v>1584.24</v>
      </c>
      <c r="G2509" s="3">
        <f>SUMIF(Customer_Payments!B:B,C2509,Customer_Payments!E:E)</f>
        <v>0</v>
      </c>
      <c r="H2509" s="3">
        <f t="shared" si="117"/>
        <v>1584.24</v>
      </c>
      <c r="I2509" s="29">
        <f t="shared" si="118"/>
        <v>34</v>
      </c>
      <c r="J2509" s="31" t="str">
        <f t="shared" si="119"/>
        <v>31-60</v>
      </c>
      <c r="K2509"/>
    </row>
    <row r="2510" spans="1:11" x14ac:dyDescent="0.3">
      <c r="A2510" s="20" t="s">
        <v>33</v>
      </c>
      <c r="B2510" t="str">
        <f>VLOOKUP(A2510,Customers!A:B,2,FALSE)</f>
        <v>CloudCart</v>
      </c>
      <c r="C2510" s="24" t="s">
        <v>2877</v>
      </c>
      <c r="D2510" s="10">
        <v>46063</v>
      </c>
      <c r="E2510" s="10">
        <v>46093</v>
      </c>
      <c r="F2510" s="4">
        <v>2064.42</v>
      </c>
      <c r="G2510" s="3">
        <f>SUMIF(Customer_Payments!B:B,C2510,Customer_Payments!E:E)</f>
        <v>0</v>
      </c>
      <c r="H2510" s="3">
        <f t="shared" si="117"/>
        <v>2064.42</v>
      </c>
      <c r="I2510" s="29">
        <f t="shared" si="118"/>
        <v>-2</v>
      </c>
      <c r="J2510" s="31" t="str">
        <f t="shared" si="119"/>
        <v>Current</v>
      </c>
      <c r="K2510"/>
    </row>
    <row r="2511" spans="1:11" x14ac:dyDescent="0.3">
      <c r="A2511" s="21" t="s">
        <v>115</v>
      </c>
      <c r="B2511" t="str">
        <f>VLOOKUP(A2511,Customers!A:B,2,FALSE)</f>
        <v>RetailDynamicsPro</v>
      </c>
      <c r="C2511" s="25" t="s">
        <v>2878</v>
      </c>
      <c r="D2511" s="11">
        <v>46108</v>
      </c>
      <c r="E2511" s="11">
        <v>46138</v>
      </c>
      <c r="F2511" s="5">
        <v>2181.59</v>
      </c>
      <c r="G2511" s="3">
        <f>SUMIF(Customer_Payments!B:B,C2511,Customer_Payments!E:E)</f>
        <v>2181.59</v>
      </c>
      <c r="H2511" s="3">
        <f t="shared" si="117"/>
        <v>0</v>
      </c>
      <c r="I2511" s="29">
        <f t="shared" si="118"/>
        <v>-47</v>
      </c>
      <c r="J2511" s="31" t="str">
        <f t="shared" si="119"/>
        <v>Current</v>
      </c>
      <c r="K2511"/>
    </row>
    <row r="2512" spans="1:11" x14ac:dyDescent="0.3">
      <c r="A2512" s="20" t="s">
        <v>48</v>
      </c>
      <c r="B2512" t="str">
        <f>VLOOKUP(A2512,Customers!A:B,2,FALSE)</f>
        <v>RetailGenius</v>
      </c>
      <c r="C2512" s="24" t="s">
        <v>2879</v>
      </c>
      <c r="D2512" s="10">
        <v>46020</v>
      </c>
      <c r="E2512" s="10">
        <v>46050</v>
      </c>
      <c r="F2512" s="4">
        <v>3335.36</v>
      </c>
      <c r="G2512" s="3">
        <f>SUMIF(Customer_Payments!B:B,C2512,Customer_Payments!E:E)</f>
        <v>0</v>
      </c>
      <c r="H2512" s="3">
        <f t="shared" si="117"/>
        <v>3335.36</v>
      </c>
      <c r="I2512" s="29">
        <f t="shared" si="118"/>
        <v>41</v>
      </c>
      <c r="J2512" s="31" t="str">
        <f t="shared" si="119"/>
        <v>31-60</v>
      </c>
      <c r="K2512"/>
    </row>
    <row r="2513" spans="1:11" x14ac:dyDescent="0.3">
      <c r="A2513" s="21" t="s">
        <v>27</v>
      </c>
      <c r="B2513" t="str">
        <f>VLOOKUP(A2513,Customers!A:B,2,FALSE)</f>
        <v>Skyline Commerce</v>
      </c>
      <c r="C2513" s="25" t="s">
        <v>2880</v>
      </c>
      <c r="D2513" s="11">
        <v>46086</v>
      </c>
      <c r="E2513" s="11">
        <v>46116</v>
      </c>
      <c r="F2513" s="5">
        <v>2928.47</v>
      </c>
      <c r="G2513" s="3">
        <f>SUMIF(Customer_Payments!B:B,C2513,Customer_Payments!E:E)</f>
        <v>2928.47</v>
      </c>
      <c r="H2513" s="3">
        <f t="shared" si="117"/>
        <v>0</v>
      </c>
      <c r="I2513" s="29">
        <f t="shared" si="118"/>
        <v>-25</v>
      </c>
      <c r="J2513" s="31" t="str">
        <f t="shared" si="119"/>
        <v>Current</v>
      </c>
      <c r="K2513"/>
    </row>
    <row r="2514" spans="1:11" x14ac:dyDescent="0.3">
      <c r="A2514" s="20" t="s">
        <v>10</v>
      </c>
      <c r="B2514" t="str">
        <f>VLOOKUP(A2514,Customers!A:B,2,FALSE)</f>
        <v>LaunchLabs</v>
      </c>
      <c r="C2514" s="24" t="s">
        <v>2881</v>
      </c>
      <c r="D2514" s="10">
        <v>45973</v>
      </c>
      <c r="E2514" s="10">
        <v>46003</v>
      </c>
      <c r="F2514" s="4">
        <v>14356.82</v>
      </c>
      <c r="G2514" s="3">
        <f>SUMIF(Customer_Payments!B:B,C2514,Customer_Payments!E:E)</f>
        <v>0</v>
      </c>
      <c r="H2514" s="3">
        <f t="shared" si="117"/>
        <v>14356.82</v>
      </c>
      <c r="I2514" s="29">
        <f t="shared" si="118"/>
        <v>88</v>
      </c>
      <c r="J2514" s="31" t="str">
        <f t="shared" si="119"/>
        <v>61-90</v>
      </c>
      <c r="K2514"/>
    </row>
    <row r="2515" spans="1:11" x14ac:dyDescent="0.3">
      <c r="A2515" s="21" t="s">
        <v>55</v>
      </c>
      <c r="B2515" t="str">
        <f>VLOOKUP(A2515,Customers!A:B,2,FALSE)</f>
        <v>CommerceLabs</v>
      </c>
      <c r="C2515" s="25" t="s">
        <v>2882</v>
      </c>
      <c r="D2515" s="11">
        <v>46054</v>
      </c>
      <c r="E2515" s="11">
        <v>46084</v>
      </c>
      <c r="F2515" s="5">
        <v>5755.28</v>
      </c>
      <c r="G2515" s="3">
        <f>SUMIF(Customer_Payments!B:B,C2515,Customer_Payments!E:E)</f>
        <v>0</v>
      </c>
      <c r="H2515" s="3">
        <f t="shared" si="117"/>
        <v>5755.28</v>
      </c>
      <c r="I2515" s="29">
        <f t="shared" si="118"/>
        <v>7</v>
      </c>
      <c r="J2515" s="31" t="str">
        <f t="shared" si="119"/>
        <v>1-30</v>
      </c>
      <c r="K2515"/>
    </row>
    <row r="2516" spans="1:11" x14ac:dyDescent="0.3">
      <c r="A2516" s="20" t="s">
        <v>13</v>
      </c>
      <c r="B2516" t="str">
        <f>VLOOKUP(A2516,Customers!A:B,2,FALSE)</f>
        <v>EduNova</v>
      </c>
      <c r="C2516" s="24" t="s">
        <v>2883</v>
      </c>
      <c r="D2516" s="10">
        <v>46086</v>
      </c>
      <c r="E2516" s="10">
        <v>46116</v>
      </c>
      <c r="F2516" s="4">
        <v>2932.74</v>
      </c>
      <c r="G2516" s="3">
        <f>SUMIF(Customer_Payments!B:B,C2516,Customer_Payments!E:E)</f>
        <v>2932.74</v>
      </c>
      <c r="H2516" s="3">
        <f t="shared" si="117"/>
        <v>0</v>
      </c>
      <c r="I2516" s="29">
        <f t="shared" si="118"/>
        <v>-25</v>
      </c>
      <c r="J2516" s="31" t="str">
        <f t="shared" si="119"/>
        <v>Current</v>
      </c>
      <c r="K2516"/>
    </row>
    <row r="2517" spans="1:11" x14ac:dyDescent="0.3">
      <c r="A2517" s="21" t="s">
        <v>82</v>
      </c>
      <c r="B2517" t="str">
        <f>VLOOKUP(A2517,Customers!A:B,2,FALSE)</f>
        <v>RetailNovaX</v>
      </c>
      <c r="C2517" s="25" t="s">
        <v>2884</v>
      </c>
      <c r="D2517" s="11">
        <v>46072</v>
      </c>
      <c r="E2517" s="11">
        <v>46102</v>
      </c>
      <c r="F2517" s="5">
        <v>11705.02</v>
      </c>
      <c r="G2517" s="3">
        <f>SUMIF(Customer_Payments!B:B,C2517,Customer_Payments!E:E)</f>
        <v>0</v>
      </c>
      <c r="H2517" s="3">
        <f t="shared" si="117"/>
        <v>11705.02</v>
      </c>
      <c r="I2517" s="29">
        <f t="shared" si="118"/>
        <v>-11</v>
      </c>
      <c r="J2517" s="31" t="str">
        <f t="shared" si="119"/>
        <v>Current</v>
      </c>
      <c r="K2517"/>
    </row>
    <row r="2518" spans="1:11" x14ac:dyDescent="0.3">
      <c r="A2518" s="20" t="s">
        <v>99</v>
      </c>
      <c r="B2518" t="str">
        <f>VLOOKUP(A2518,Customers!A:B,2,FALSE)</f>
        <v>RetailNovaPro</v>
      </c>
      <c r="C2518" s="24" t="s">
        <v>2885</v>
      </c>
      <c r="D2518" s="10">
        <v>46055</v>
      </c>
      <c r="E2518" s="10">
        <v>46085</v>
      </c>
      <c r="F2518" s="4">
        <v>2511.42</v>
      </c>
      <c r="G2518" s="3">
        <f>SUMIF(Customer_Payments!B:B,C2518,Customer_Payments!E:E)</f>
        <v>0</v>
      </c>
      <c r="H2518" s="3">
        <f t="shared" si="117"/>
        <v>2511.42</v>
      </c>
      <c r="I2518" s="29">
        <f t="shared" si="118"/>
        <v>6</v>
      </c>
      <c r="J2518" s="31" t="str">
        <f t="shared" si="119"/>
        <v>1-30</v>
      </c>
      <c r="K2518"/>
    </row>
    <row r="2519" spans="1:11" x14ac:dyDescent="0.3">
      <c r="A2519" s="21" t="s">
        <v>69</v>
      </c>
      <c r="B2519" t="str">
        <f>VLOOKUP(A2519,Customers!A:B,2,FALSE)</f>
        <v>RetailNext</v>
      </c>
      <c r="C2519" s="25" t="s">
        <v>2886</v>
      </c>
      <c r="D2519" s="11">
        <v>46099</v>
      </c>
      <c r="E2519" s="11">
        <v>46129</v>
      </c>
      <c r="F2519" s="5">
        <v>2970.39</v>
      </c>
      <c r="G2519" s="3">
        <f>SUMIF(Customer_Payments!B:B,C2519,Customer_Payments!E:E)</f>
        <v>2970.39</v>
      </c>
      <c r="H2519" s="3">
        <f t="shared" si="117"/>
        <v>0</v>
      </c>
      <c r="I2519" s="29">
        <f t="shared" si="118"/>
        <v>-38</v>
      </c>
      <c r="J2519" s="31" t="str">
        <f t="shared" si="119"/>
        <v>Current</v>
      </c>
      <c r="K2519"/>
    </row>
    <row r="2520" spans="1:11" x14ac:dyDescent="0.3">
      <c r="A2520" s="20" t="s">
        <v>33</v>
      </c>
      <c r="B2520" t="str">
        <f>VLOOKUP(A2520,Customers!A:B,2,FALSE)</f>
        <v>CloudCart</v>
      </c>
      <c r="C2520" s="24" t="s">
        <v>2887</v>
      </c>
      <c r="D2520" s="10">
        <v>46070</v>
      </c>
      <c r="E2520" s="10">
        <v>46100</v>
      </c>
      <c r="F2520" s="4">
        <v>1875.49</v>
      </c>
      <c r="G2520" s="3">
        <f>SUMIF(Customer_Payments!B:B,C2520,Customer_Payments!E:E)</f>
        <v>1875.49</v>
      </c>
      <c r="H2520" s="3">
        <f t="shared" si="117"/>
        <v>0</v>
      </c>
      <c r="I2520" s="29">
        <f t="shared" si="118"/>
        <v>-9</v>
      </c>
      <c r="J2520" s="31" t="str">
        <f t="shared" si="119"/>
        <v>Current</v>
      </c>
      <c r="K2520"/>
    </row>
    <row r="2521" spans="1:11" x14ac:dyDescent="0.3">
      <c r="A2521" s="21" t="s">
        <v>21</v>
      </c>
      <c r="B2521" t="str">
        <f>VLOOKUP(A2521,Customers!A:B,2,FALSE)</f>
        <v>InsightLoop</v>
      </c>
      <c r="C2521" s="25" t="s">
        <v>2888</v>
      </c>
      <c r="D2521" s="11">
        <v>46029</v>
      </c>
      <c r="E2521" s="11">
        <v>46059</v>
      </c>
      <c r="F2521" s="5">
        <v>3359.75</v>
      </c>
      <c r="G2521" s="3">
        <f>SUMIF(Customer_Payments!B:B,C2521,Customer_Payments!E:E)</f>
        <v>3359.75</v>
      </c>
      <c r="H2521" s="3">
        <f t="shared" si="117"/>
        <v>0</v>
      </c>
      <c r="I2521" s="29">
        <f t="shared" si="118"/>
        <v>32</v>
      </c>
      <c r="J2521" s="31" t="str">
        <f t="shared" si="119"/>
        <v>31-60</v>
      </c>
      <c r="K2521"/>
    </row>
    <row r="2522" spans="1:11" x14ac:dyDescent="0.3">
      <c r="A2522" s="20" t="s">
        <v>116</v>
      </c>
      <c r="B2522" t="str">
        <f>VLOOKUP(A2522,Customers!A:B,2,FALSE)</f>
        <v>RetailLabsPro</v>
      </c>
      <c r="C2522" s="24" t="s">
        <v>2889</v>
      </c>
      <c r="D2522" s="10">
        <v>45966</v>
      </c>
      <c r="E2522" s="10">
        <v>45996</v>
      </c>
      <c r="F2522" s="4">
        <v>9677.5</v>
      </c>
      <c r="G2522" s="3">
        <f>SUMIF(Customer_Payments!B:B,C2522,Customer_Payments!E:E)</f>
        <v>9677.5</v>
      </c>
      <c r="H2522" s="3">
        <f t="shared" si="117"/>
        <v>0</v>
      </c>
      <c r="I2522" s="29">
        <f t="shared" si="118"/>
        <v>95</v>
      </c>
      <c r="J2522" s="31" t="str">
        <f t="shared" si="119"/>
        <v>90+</v>
      </c>
      <c r="K2522"/>
    </row>
    <row r="2523" spans="1:11" x14ac:dyDescent="0.3">
      <c r="A2523" s="21" t="s">
        <v>115</v>
      </c>
      <c r="B2523" t="str">
        <f>VLOOKUP(A2523,Customers!A:B,2,FALSE)</f>
        <v>RetailDynamicsPro</v>
      </c>
      <c r="C2523" s="25" t="s">
        <v>2890</v>
      </c>
      <c r="D2523" s="11">
        <v>45967</v>
      </c>
      <c r="E2523" s="11">
        <v>45997</v>
      </c>
      <c r="F2523" s="5">
        <v>2825.62</v>
      </c>
      <c r="G2523" s="3">
        <f>SUMIF(Customer_Payments!B:B,C2523,Customer_Payments!E:E)</f>
        <v>2825.62</v>
      </c>
      <c r="H2523" s="3">
        <f t="shared" si="117"/>
        <v>0</v>
      </c>
      <c r="I2523" s="29">
        <f t="shared" si="118"/>
        <v>94</v>
      </c>
      <c r="J2523" s="31" t="str">
        <f t="shared" si="119"/>
        <v>90+</v>
      </c>
      <c r="K2523"/>
    </row>
    <row r="2524" spans="1:11" x14ac:dyDescent="0.3">
      <c r="A2524" s="20" t="s">
        <v>110</v>
      </c>
      <c r="B2524" t="str">
        <f>VLOOKUP(A2524,Customers!A:B,2,FALSE)</f>
        <v>RetailAxisPro</v>
      </c>
      <c r="C2524" s="24" t="s">
        <v>2891</v>
      </c>
      <c r="D2524" s="10">
        <v>46085</v>
      </c>
      <c r="E2524" s="10">
        <v>46115</v>
      </c>
      <c r="F2524" s="4">
        <v>1656.5</v>
      </c>
      <c r="G2524" s="3">
        <f>SUMIF(Customer_Payments!B:B,C2524,Customer_Payments!E:E)</f>
        <v>1656.5</v>
      </c>
      <c r="H2524" s="3">
        <f t="shared" si="117"/>
        <v>0</v>
      </c>
      <c r="I2524" s="29">
        <f t="shared" si="118"/>
        <v>-24</v>
      </c>
      <c r="J2524" s="31" t="str">
        <f t="shared" si="119"/>
        <v>Current</v>
      </c>
      <c r="K2524"/>
    </row>
    <row r="2525" spans="1:11" x14ac:dyDescent="0.3">
      <c r="A2525" s="21" t="s">
        <v>121</v>
      </c>
      <c r="B2525" t="str">
        <f>VLOOKUP(A2525,Customers!A:B,2,FALSE)</f>
        <v>RetailVisionGlobal</v>
      </c>
      <c r="C2525" s="25" t="s">
        <v>2892</v>
      </c>
      <c r="D2525" s="11">
        <v>46027</v>
      </c>
      <c r="E2525" s="11">
        <v>46057</v>
      </c>
      <c r="F2525" s="5">
        <v>13804.52</v>
      </c>
      <c r="G2525" s="3">
        <f>SUMIF(Customer_Payments!B:B,C2525,Customer_Payments!E:E)</f>
        <v>13804.52</v>
      </c>
      <c r="H2525" s="3">
        <f t="shared" si="117"/>
        <v>0</v>
      </c>
      <c r="I2525" s="29">
        <f t="shared" si="118"/>
        <v>34</v>
      </c>
      <c r="J2525" s="31" t="str">
        <f t="shared" si="119"/>
        <v>31-60</v>
      </c>
      <c r="K2525"/>
    </row>
    <row r="2526" spans="1:11" x14ac:dyDescent="0.3">
      <c r="A2526" s="20" t="s">
        <v>8</v>
      </c>
      <c r="B2526" t="str">
        <f>VLOOKUP(A2526,Customers!A:B,2,FALSE)</f>
        <v>NexaSoft</v>
      </c>
      <c r="C2526" s="24" t="s">
        <v>2893</v>
      </c>
      <c r="D2526" s="10">
        <v>46015</v>
      </c>
      <c r="E2526" s="10">
        <v>46045</v>
      </c>
      <c r="F2526" s="4">
        <v>2045.37</v>
      </c>
      <c r="G2526" s="3">
        <f>SUMIF(Customer_Payments!B:B,C2526,Customer_Payments!E:E)</f>
        <v>2045.37</v>
      </c>
      <c r="H2526" s="3">
        <f t="shared" si="117"/>
        <v>0</v>
      </c>
      <c r="I2526" s="29">
        <f t="shared" si="118"/>
        <v>46</v>
      </c>
      <c r="J2526" s="31" t="str">
        <f t="shared" si="119"/>
        <v>31-60</v>
      </c>
      <c r="K2526"/>
    </row>
    <row r="2527" spans="1:11" x14ac:dyDescent="0.3">
      <c r="A2527" s="21" t="s">
        <v>11</v>
      </c>
      <c r="B2527" t="str">
        <f>VLOOKUP(A2527,Customers!A:B,2,FALSE)</f>
        <v>DataHive</v>
      </c>
      <c r="C2527" s="25" t="s">
        <v>2894</v>
      </c>
      <c r="D2527" s="11">
        <v>46008</v>
      </c>
      <c r="E2527" s="11">
        <v>46038</v>
      </c>
      <c r="F2527" s="5">
        <v>5037.24</v>
      </c>
      <c r="G2527" s="3">
        <f>SUMIF(Customer_Payments!B:B,C2527,Customer_Payments!E:E)</f>
        <v>5037.24</v>
      </c>
      <c r="H2527" s="3">
        <f t="shared" si="117"/>
        <v>0</v>
      </c>
      <c r="I2527" s="29">
        <f t="shared" si="118"/>
        <v>53</v>
      </c>
      <c r="J2527" s="31" t="str">
        <f t="shared" si="119"/>
        <v>31-60</v>
      </c>
      <c r="K2527"/>
    </row>
    <row r="2528" spans="1:11" x14ac:dyDescent="0.3">
      <c r="A2528" s="20" t="s">
        <v>54</v>
      </c>
      <c r="B2528" t="str">
        <f>VLOOKUP(A2528,Customers!A:B,2,FALSE)</f>
        <v>RetailEdge</v>
      </c>
      <c r="C2528" s="24" t="s">
        <v>2895</v>
      </c>
      <c r="D2528" s="10">
        <v>45973</v>
      </c>
      <c r="E2528" s="10">
        <v>46003</v>
      </c>
      <c r="F2528" s="4">
        <v>3115.45</v>
      </c>
      <c r="G2528" s="3">
        <f>SUMIF(Customer_Payments!B:B,C2528,Customer_Payments!E:E)</f>
        <v>3115.45</v>
      </c>
      <c r="H2528" s="3">
        <f t="shared" si="117"/>
        <v>0</v>
      </c>
      <c r="I2528" s="29">
        <f t="shared" si="118"/>
        <v>88</v>
      </c>
      <c r="J2528" s="31" t="str">
        <f t="shared" si="119"/>
        <v>61-90</v>
      </c>
      <c r="K2528"/>
    </row>
    <row r="2529" spans="1:11" x14ac:dyDescent="0.3">
      <c r="A2529" s="21" t="s">
        <v>73</v>
      </c>
      <c r="B2529" t="str">
        <f>VLOOKUP(A2529,Customers!A:B,2,FALSE)</f>
        <v>RetailWave</v>
      </c>
      <c r="C2529" s="25" t="s">
        <v>2896</v>
      </c>
      <c r="D2529" s="11">
        <v>45962</v>
      </c>
      <c r="E2529" s="11">
        <v>45992</v>
      </c>
      <c r="F2529" s="5">
        <v>3380.83</v>
      </c>
      <c r="G2529" s="3">
        <f>SUMIF(Customer_Payments!B:B,C2529,Customer_Payments!E:E)</f>
        <v>3380.83</v>
      </c>
      <c r="H2529" s="3">
        <f t="shared" si="117"/>
        <v>0</v>
      </c>
      <c r="I2529" s="29">
        <f t="shared" si="118"/>
        <v>99</v>
      </c>
      <c r="J2529" s="31" t="str">
        <f t="shared" si="119"/>
        <v>90+</v>
      </c>
      <c r="K2529"/>
    </row>
    <row r="2530" spans="1:11" x14ac:dyDescent="0.3">
      <c r="A2530" s="20" t="s">
        <v>119</v>
      </c>
      <c r="B2530" t="str">
        <f>VLOOKUP(A2530,Customers!A:B,2,FALSE)</f>
        <v>RetailNovaGlobal</v>
      </c>
      <c r="C2530" s="24" t="s">
        <v>2897</v>
      </c>
      <c r="D2530" s="10">
        <v>46052</v>
      </c>
      <c r="E2530" s="10">
        <v>46082</v>
      </c>
      <c r="F2530" s="4">
        <v>5483.93</v>
      </c>
      <c r="G2530" s="3">
        <f>SUMIF(Customer_Payments!B:B,C2530,Customer_Payments!E:E)</f>
        <v>5483.93</v>
      </c>
      <c r="H2530" s="3">
        <f t="shared" si="117"/>
        <v>0</v>
      </c>
      <c r="I2530" s="29">
        <f t="shared" si="118"/>
        <v>9</v>
      </c>
      <c r="J2530" s="31" t="str">
        <f t="shared" si="119"/>
        <v>1-30</v>
      </c>
      <c r="K2530"/>
    </row>
    <row r="2531" spans="1:11" x14ac:dyDescent="0.3">
      <c r="A2531" s="21" t="s">
        <v>58</v>
      </c>
      <c r="B2531" t="str">
        <f>VLOOKUP(A2531,Customers!A:B,2,FALSE)</f>
        <v>RetailAxis</v>
      </c>
      <c r="C2531" s="25" t="s">
        <v>2898</v>
      </c>
      <c r="D2531" s="11">
        <v>46102</v>
      </c>
      <c r="E2531" s="11">
        <v>46132</v>
      </c>
      <c r="F2531" s="5">
        <v>3343.87</v>
      </c>
      <c r="G2531" s="3">
        <f>SUMIF(Customer_Payments!B:B,C2531,Customer_Payments!E:E)</f>
        <v>3343.87</v>
      </c>
      <c r="H2531" s="3">
        <f t="shared" si="117"/>
        <v>0</v>
      </c>
      <c r="I2531" s="29">
        <f t="shared" si="118"/>
        <v>-41</v>
      </c>
      <c r="J2531" s="31" t="str">
        <f t="shared" si="119"/>
        <v>Current</v>
      </c>
      <c r="K2531"/>
    </row>
    <row r="2532" spans="1:11" x14ac:dyDescent="0.3">
      <c r="A2532" s="20" t="s">
        <v>10</v>
      </c>
      <c r="B2532" t="str">
        <f>VLOOKUP(A2532,Customers!A:B,2,FALSE)</f>
        <v>LaunchLabs</v>
      </c>
      <c r="C2532" s="24" t="s">
        <v>2899</v>
      </c>
      <c r="D2532" s="10">
        <v>46054</v>
      </c>
      <c r="E2532" s="10">
        <v>46084</v>
      </c>
      <c r="F2532" s="4">
        <v>1708.69</v>
      </c>
      <c r="G2532" s="3">
        <f>SUMIF(Customer_Payments!B:B,C2532,Customer_Payments!E:E)</f>
        <v>1708.69</v>
      </c>
      <c r="H2532" s="3">
        <f t="shared" si="117"/>
        <v>0</v>
      </c>
      <c r="I2532" s="29">
        <f t="shared" si="118"/>
        <v>7</v>
      </c>
      <c r="J2532" s="31" t="str">
        <f t="shared" si="119"/>
        <v>1-30</v>
      </c>
      <c r="K2532"/>
    </row>
    <row r="2533" spans="1:11" x14ac:dyDescent="0.3">
      <c r="A2533" s="21" t="s">
        <v>25</v>
      </c>
      <c r="B2533" t="str">
        <f>VLOOKUP(A2533,Customers!A:B,2,FALSE)</f>
        <v>OrbitEdge</v>
      </c>
      <c r="C2533" s="25" t="s">
        <v>2900</v>
      </c>
      <c r="D2533" s="11">
        <v>45965</v>
      </c>
      <c r="E2533" s="11">
        <v>45995</v>
      </c>
      <c r="F2533" s="5">
        <v>2797.9</v>
      </c>
      <c r="G2533" s="3">
        <f>SUMIF(Customer_Payments!B:B,C2533,Customer_Payments!E:E)</f>
        <v>2797.9</v>
      </c>
      <c r="H2533" s="3">
        <f t="shared" si="117"/>
        <v>0</v>
      </c>
      <c r="I2533" s="29">
        <f t="shared" si="118"/>
        <v>96</v>
      </c>
      <c r="J2533" s="31" t="str">
        <f t="shared" si="119"/>
        <v>90+</v>
      </c>
      <c r="K2533"/>
    </row>
    <row r="2534" spans="1:11" x14ac:dyDescent="0.3">
      <c r="A2534" s="20" t="s">
        <v>28</v>
      </c>
      <c r="B2534" t="str">
        <f>VLOOKUP(A2534,Customers!A:B,2,FALSE)</f>
        <v>FutureCart</v>
      </c>
      <c r="C2534" s="24" t="s">
        <v>2901</v>
      </c>
      <c r="D2534" s="10">
        <v>45975</v>
      </c>
      <c r="E2534" s="10">
        <v>46005</v>
      </c>
      <c r="F2534" s="4">
        <v>9823.2000000000007</v>
      </c>
      <c r="G2534" s="3">
        <f>SUMIF(Customer_Payments!B:B,C2534,Customer_Payments!E:E)</f>
        <v>9823.2000000000007</v>
      </c>
      <c r="H2534" s="3">
        <f t="shared" si="117"/>
        <v>0</v>
      </c>
      <c r="I2534" s="29">
        <f t="shared" si="118"/>
        <v>86</v>
      </c>
      <c r="J2534" s="31" t="str">
        <f t="shared" si="119"/>
        <v>61-90</v>
      </c>
      <c r="K2534"/>
    </row>
    <row r="2535" spans="1:11" x14ac:dyDescent="0.3">
      <c r="A2535" s="21" t="s">
        <v>15</v>
      </c>
      <c r="B2535" t="str">
        <f>VLOOKUP(A2535,Customers!A:B,2,FALSE)</f>
        <v>CloudScale</v>
      </c>
      <c r="C2535" s="25" t="s">
        <v>2902</v>
      </c>
      <c r="D2535" s="11">
        <v>46065</v>
      </c>
      <c r="E2535" s="11">
        <v>46095</v>
      </c>
      <c r="F2535" s="5">
        <v>4200.2299999999996</v>
      </c>
      <c r="G2535" s="3">
        <f>SUMIF(Customer_Payments!B:B,C2535,Customer_Payments!E:E)</f>
        <v>4200.2299999999996</v>
      </c>
      <c r="H2535" s="3">
        <f t="shared" si="117"/>
        <v>0</v>
      </c>
      <c r="I2535" s="29">
        <f t="shared" si="118"/>
        <v>-4</v>
      </c>
      <c r="J2535" s="31" t="str">
        <f t="shared" si="119"/>
        <v>Current</v>
      </c>
      <c r="K2535"/>
    </row>
    <row r="2536" spans="1:11" x14ac:dyDescent="0.3">
      <c r="A2536" s="20" t="s">
        <v>75</v>
      </c>
      <c r="B2536" t="str">
        <f>VLOOKUP(A2536,Customers!A:B,2,FALSE)</f>
        <v>RetailMatrix</v>
      </c>
      <c r="C2536" s="24" t="s">
        <v>2903</v>
      </c>
      <c r="D2536" s="10">
        <v>45983</v>
      </c>
      <c r="E2536" s="10">
        <v>46013</v>
      </c>
      <c r="F2536" s="4">
        <v>3562.48</v>
      </c>
      <c r="G2536" s="3">
        <f>SUMIF(Customer_Payments!B:B,C2536,Customer_Payments!E:E)</f>
        <v>0</v>
      </c>
      <c r="H2536" s="3">
        <f t="shared" si="117"/>
        <v>3562.48</v>
      </c>
      <c r="I2536" s="29">
        <f t="shared" si="118"/>
        <v>78</v>
      </c>
      <c r="J2536" s="31" t="str">
        <f t="shared" si="119"/>
        <v>61-90</v>
      </c>
      <c r="K2536"/>
    </row>
    <row r="2537" spans="1:11" x14ac:dyDescent="0.3">
      <c r="A2537" s="21" t="s">
        <v>67</v>
      </c>
      <c r="B2537" t="str">
        <f>VLOOKUP(A2537,Customers!A:B,2,FALSE)</f>
        <v>RetailDynamics</v>
      </c>
      <c r="C2537" s="25" t="s">
        <v>2904</v>
      </c>
      <c r="D2537" s="11">
        <v>45970</v>
      </c>
      <c r="E2537" s="11">
        <v>46000</v>
      </c>
      <c r="F2537" s="5">
        <v>10245.15</v>
      </c>
      <c r="G2537" s="3">
        <f>SUMIF(Customer_Payments!B:B,C2537,Customer_Payments!E:E)</f>
        <v>10245.15</v>
      </c>
      <c r="H2537" s="3">
        <f t="shared" si="117"/>
        <v>0</v>
      </c>
      <c r="I2537" s="29">
        <f t="shared" si="118"/>
        <v>91</v>
      </c>
      <c r="J2537" s="31" t="str">
        <f t="shared" si="119"/>
        <v>90+</v>
      </c>
      <c r="K2537"/>
    </row>
    <row r="2538" spans="1:11" x14ac:dyDescent="0.3">
      <c r="A2538" s="20" t="s">
        <v>76</v>
      </c>
      <c r="B2538" t="str">
        <f>VLOOKUP(A2538,Customers!A:B,2,FALSE)</f>
        <v>RetailSphere</v>
      </c>
      <c r="C2538" s="24" t="s">
        <v>2905</v>
      </c>
      <c r="D2538" s="10">
        <v>46096</v>
      </c>
      <c r="E2538" s="10">
        <v>46126</v>
      </c>
      <c r="F2538" s="4">
        <v>13917.84</v>
      </c>
      <c r="G2538" s="3">
        <f>SUMIF(Customer_Payments!B:B,C2538,Customer_Payments!E:E)</f>
        <v>13917.84</v>
      </c>
      <c r="H2538" s="3">
        <f t="shared" si="117"/>
        <v>0</v>
      </c>
      <c r="I2538" s="29">
        <f t="shared" si="118"/>
        <v>-35</v>
      </c>
      <c r="J2538" s="31" t="str">
        <f t="shared" si="119"/>
        <v>Current</v>
      </c>
      <c r="K2538"/>
    </row>
    <row r="2539" spans="1:11" x14ac:dyDescent="0.3">
      <c r="A2539" s="21" t="s">
        <v>70</v>
      </c>
      <c r="B2539" t="str">
        <f>VLOOKUP(A2539,Customers!A:B,2,FALSE)</f>
        <v>RetailPath</v>
      </c>
      <c r="C2539" s="25" t="s">
        <v>2906</v>
      </c>
      <c r="D2539" s="11">
        <v>46065</v>
      </c>
      <c r="E2539" s="11">
        <v>46095</v>
      </c>
      <c r="F2539" s="5">
        <v>2956.91</v>
      </c>
      <c r="G2539" s="3">
        <f>SUMIF(Customer_Payments!B:B,C2539,Customer_Payments!E:E)</f>
        <v>2956.91</v>
      </c>
      <c r="H2539" s="3">
        <f t="shared" si="117"/>
        <v>0</v>
      </c>
      <c r="I2539" s="29">
        <f t="shared" si="118"/>
        <v>-4</v>
      </c>
      <c r="J2539" s="31" t="str">
        <f t="shared" si="119"/>
        <v>Current</v>
      </c>
      <c r="K2539"/>
    </row>
    <row r="2540" spans="1:11" x14ac:dyDescent="0.3">
      <c r="A2540" s="20" t="s">
        <v>72</v>
      </c>
      <c r="B2540" t="str">
        <f>VLOOKUP(A2540,Customers!A:B,2,FALSE)</f>
        <v>RetailStream</v>
      </c>
      <c r="C2540" s="24" t="s">
        <v>2907</v>
      </c>
      <c r="D2540" s="10">
        <v>45966</v>
      </c>
      <c r="E2540" s="10">
        <v>45996</v>
      </c>
      <c r="F2540" s="4">
        <v>2038.38</v>
      </c>
      <c r="G2540" s="3">
        <f>SUMIF(Customer_Payments!B:B,C2540,Customer_Payments!E:E)</f>
        <v>2038.38</v>
      </c>
      <c r="H2540" s="3">
        <f t="shared" si="117"/>
        <v>0</v>
      </c>
      <c r="I2540" s="29">
        <f t="shared" si="118"/>
        <v>95</v>
      </c>
      <c r="J2540" s="31" t="str">
        <f t="shared" si="119"/>
        <v>90+</v>
      </c>
      <c r="K2540"/>
    </row>
    <row r="2541" spans="1:11" x14ac:dyDescent="0.3">
      <c r="A2541" s="21" t="s">
        <v>102</v>
      </c>
      <c r="B2541" t="str">
        <f>VLOOKUP(A2541,Customers!A:B,2,FALSE)</f>
        <v>RetailPrimePro</v>
      </c>
      <c r="C2541" s="25" t="s">
        <v>2908</v>
      </c>
      <c r="D2541" s="11">
        <v>45980</v>
      </c>
      <c r="E2541" s="11">
        <v>46010</v>
      </c>
      <c r="F2541" s="5">
        <v>5610.89</v>
      </c>
      <c r="G2541" s="3">
        <f>SUMIF(Customer_Payments!B:B,C2541,Customer_Payments!E:E)</f>
        <v>5610.89</v>
      </c>
      <c r="H2541" s="3">
        <f t="shared" si="117"/>
        <v>0</v>
      </c>
      <c r="I2541" s="29">
        <f t="shared" si="118"/>
        <v>81</v>
      </c>
      <c r="J2541" s="31" t="str">
        <f t="shared" si="119"/>
        <v>61-90</v>
      </c>
      <c r="K2541"/>
    </row>
    <row r="2542" spans="1:11" x14ac:dyDescent="0.3">
      <c r="A2542" s="20" t="s">
        <v>35</v>
      </c>
      <c r="B2542" t="str">
        <f>VLOOKUP(A2542,Customers!A:B,2,FALSE)</f>
        <v>FusionRetail</v>
      </c>
      <c r="C2542" s="24" t="s">
        <v>2909</v>
      </c>
      <c r="D2542" s="10">
        <v>46036</v>
      </c>
      <c r="E2542" s="10">
        <v>46066</v>
      </c>
      <c r="F2542" s="4">
        <v>3260.72</v>
      </c>
      <c r="G2542" s="3">
        <f>SUMIF(Customer_Payments!B:B,C2542,Customer_Payments!E:E)</f>
        <v>3260.72</v>
      </c>
      <c r="H2542" s="3">
        <f t="shared" si="117"/>
        <v>0</v>
      </c>
      <c r="I2542" s="29">
        <f t="shared" si="118"/>
        <v>25</v>
      </c>
      <c r="J2542" s="31" t="str">
        <f t="shared" si="119"/>
        <v>1-30</v>
      </c>
      <c r="K2542"/>
    </row>
    <row r="2543" spans="1:11" x14ac:dyDescent="0.3">
      <c r="A2543" s="21" t="s">
        <v>66</v>
      </c>
      <c r="B2543" t="str">
        <f>VLOOKUP(A2543,Customers!A:B,2,FALSE)</f>
        <v>MarketWorks</v>
      </c>
      <c r="C2543" s="25" t="s">
        <v>2910</v>
      </c>
      <c r="D2543" s="11">
        <v>46023</v>
      </c>
      <c r="E2543" s="11">
        <v>46053</v>
      </c>
      <c r="F2543" s="5">
        <v>2184.63</v>
      </c>
      <c r="G2543" s="3">
        <f>SUMIF(Customer_Payments!B:B,C2543,Customer_Payments!E:E)</f>
        <v>2184.63</v>
      </c>
      <c r="H2543" s="3">
        <f t="shared" si="117"/>
        <v>0</v>
      </c>
      <c r="I2543" s="29">
        <f t="shared" si="118"/>
        <v>38</v>
      </c>
      <c r="J2543" s="31" t="str">
        <f t="shared" si="119"/>
        <v>31-60</v>
      </c>
      <c r="K2543"/>
    </row>
    <row r="2544" spans="1:11" x14ac:dyDescent="0.3">
      <c r="A2544" s="20" t="s">
        <v>41</v>
      </c>
      <c r="B2544" t="str">
        <f>VLOOKUP(A2544,Customers!A:B,2,FALSE)</f>
        <v>DynamicRetail</v>
      </c>
      <c r="C2544" s="24" t="s">
        <v>2911</v>
      </c>
      <c r="D2544" s="10">
        <v>46089</v>
      </c>
      <c r="E2544" s="10">
        <v>46119</v>
      </c>
      <c r="F2544" s="4">
        <v>1865.36</v>
      </c>
      <c r="G2544" s="3">
        <f>SUMIF(Customer_Payments!B:B,C2544,Customer_Payments!E:E)</f>
        <v>0</v>
      </c>
      <c r="H2544" s="3">
        <f t="shared" si="117"/>
        <v>1865.36</v>
      </c>
      <c r="I2544" s="29">
        <f t="shared" si="118"/>
        <v>-28</v>
      </c>
      <c r="J2544" s="31" t="str">
        <f t="shared" si="119"/>
        <v>Current</v>
      </c>
      <c r="K2544"/>
    </row>
    <row r="2545" spans="1:11" x14ac:dyDescent="0.3">
      <c r="A2545" s="21" t="s">
        <v>101</v>
      </c>
      <c r="B2545" t="str">
        <f>VLOOKUP(A2545,Customers!A:B,2,FALSE)</f>
        <v>RetailMatrixPro</v>
      </c>
      <c r="C2545" s="25" t="s">
        <v>2912</v>
      </c>
      <c r="D2545" s="11">
        <v>46005</v>
      </c>
      <c r="E2545" s="11">
        <v>46035</v>
      </c>
      <c r="F2545" s="5">
        <v>4655.8900000000003</v>
      </c>
      <c r="G2545" s="3">
        <f>SUMIF(Customer_Payments!B:B,C2545,Customer_Payments!E:E)</f>
        <v>4655.8900000000003</v>
      </c>
      <c r="H2545" s="3">
        <f t="shared" si="117"/>
        <v>0</v>
      </c>
      <c r="I2545" s="29">
        <f t="shared" si="118"/>
        <v>56</v>
      </c>
      <c r="J2545" s="31" t="str">
        <f t="shared" si="119"/>
        <v>31-60</v>
      </c>
      <c r="K2545"/>
    </row>
    <row r="2546" spans="1:11" x14ac:dyDescent="0.3">
      <c r="A2546" s="20" t="s">
        <v>108</v>
      </c>
      <c r="B2546" t="str">
        <f>VLOOKUP(A2546,Customers!A:B,2,FALSE)</f>
        <v>RetailNextPro</v>
      </c>
      <c r="C2546" s="24" t="s">
        <v>2913</v>
      </c>
      <c r="D2546" s="10">
        <v>46021</v>
      </c>
      <c r="E2546" s="10">
        <v>46051</v>
      </c>
      <c r="F2546" s="4">
        <v>3297.52</v>
      </c>
      <c r="G2546" s="3">
        <f>SUMIF(Customer_Payments!B:B,C2546,Customer_Payments!E:E)</f>
        <v>3297.5200000000004</v>
      </c>
      <c r="H2546" s="3">
        <f t="shared" si="117"/>
        <v>0</v>
      </c>
      <c r="I2546" s="29">
        <f t="shared" si="118"/>
        <v>40</v>
      </c>
      <c r="J2546" s="31" t="str">
        <f t="shared" si="119"/>
        <v>31-60</v>
      </c>
      <c r="K2546"/>
    </row>
    <row r="2547" spans="1:11" x14ac:dyDescent="0.3">
      <c r="A2547" s="21" t="s">
        <v>113</v>
      </c>
      <c r="B2547" t="str">
        <f>VLOOKUP(A2547,Customers!A:B,2,FALSE)</f>
        <v>RetailSpherePro</v>
      </c>
      <c r="C2547" s="25" t="s">
        <v>2914</v>
      </c>
      <c r="D2547" s="11">
        <v>46081</v>
      </c>
      <c r="E2547" s="11">
        <v>46111</v>
      </c>
      <c r="F2547" s="5">
        <v>5959.06</v>
      </c>
      <c r="G2547" s="3">
        <f>SUMIF(Customer_Payments!B:B,C2547,Customer_Payments!E:E)</f>
        <v>5959.06</v>
      </c>
      <c r="H2547" s="3">
        <f t="shared" si="117"/>
        <v>0</v>
      </c>
      <c r="I2547" s="29">
        <f t="shared" si="118"/>
        <v>-20</v>
      </c>
      <c r="J2547" s="31" t="str">
        <f t="shared" si="119"/>
        <v>Current</v>
      </c>
      <c r="K2547"/>
    </row>
    <row r="2548" spans="1:11" x14ac:dyDescent="0.3">
      <c r="A2548" s="20" t="s">
        <v>68</v>
      </c>
      <c r="B2548" t="str">
        <f>VLOOKUP(A2548,Customers!A:B,2,FALSE)</f>
        <v>RetailVision</v>
      </c>
      <c r="C2548" s="24" t="s">
        <v>2915</v>
      </c>
      <c r="D2548" s="10">
        <v>46090</v>
      </c>
      <c r="E2548" s="10">
        <v>46120</v>
      </c>
      <c r="F2548" s="4">
        <v>4323.7700000000004</v>
      </c>
      <c r="G2548" s="3">
        <f>SUMIF(Customer_Payments!B:B,C2548,Customer_Payments!E:E)</f>
        <v>4323.7700000000004</v>
      </c>
      <c r="H2548" s="3">
        <f t="shared" si="117"/>
        <v>0</v>
      </c>
      <c r="I2548" s="29">
        <f t="shared" si="118"/>
        <v>-29</v>
      </c>
      <c r="J2548" s="31" t="str">
        <f t="shared" si="119"/>
        <v>Current</v>
      </c>
      <c r="K2548"/>
    </row>
    <row r="2549" spans="1:11" x14ac:dyDescent="0.3">
      <c r="A2549" s="21" t="s">
        <v>34</v>
      </c>
      <c r="B2549" t="str">
        <f>VLOOKUP(A2549,Customers!A:B,2,FALSE)</f>
        <v>OptiCommerce</v>
      </c>
      <c r="C2549" s="25" t="s">
        <v>2916</v>
      </c>
      <c r="D2549" s="11">
        <v>46102</v>
      </c>
      <c r="E2549" s="11">
        <v>46132</v>
      </c>
      <c r="F2549" s="5">
        <v>2187.75</v>
      </c>
      <c r="G2549" s="3">
        <f>SUMIF(Customer_Payments!B:B,C2549,Customer_Payments!E:E)</f>
        <v>2187.75</v>
      </c>
      <c r="H2549" s="3">
        <f t="shared" si="117"/>
        <v>0</v>
      </c>
      <c r="I2549" s="29">
        <f t="shared" si="118"/>
        <v>-41</v>
      </c>
      <c r="J2549" s="31" t="str">
        <f t="shared" si="119"/>
        <v>Current</v>
      </c>
      <c r="K2549"/>
    </row>
    <row r="2550" spans="1:11" x14ac:dyDescent="0.3">
      <c r="A2550" s="20" t="s">
        <v>42</v>
      </c>
      <c r="B2550" t="str">
        <f>VLOOKUP(A2550,Customers!A:B,2,FALSE)</f>
        <v>RetailWorks</v>
      </c>
      <c r="C2550" s="24" t="s">
        <v>2917</v>
      </c>
      <c r="D2550" s="10">
        <v>46094</v>
      </c>
      <c r="E2550" s="10">
        <v>46124</v>
      </c>
      <c r="F2550" s="4">
        <v>12582.3</v>
      </c>
      <c r="G2550" s="3">
        <f>SUMIF(Customer_Payments!B:B,C2550,Customer_Payments!E:E)</f>
        <v>12582.3</v>
      </c>
      <c r="H2550" s="3">
        <f t="shared" si="117"/>
        <v>0</v>
      </c>
      <c r="I2550" s="29">
        <f t="shared" si="118"/>
        <v>-33</v>
      </c>
      <c r="J2550" s="31" t="str">
        <f t="shared" si="119"/>
        <v>Current</v>
      </c>
      <c r="K2550"/>
    </row>
    <row r="2551" spans="1:11" x14ac:dyDescent="0.3">
      <c r="A2551" s="21" t="s">
        <v>30</v>
      </c>
      <c r="B2551" t="str">
        <f>VLOOKUP(A2551,Customers!A:B,2,FALSE)</f>
        <v>CommerceFlow</v>
      </c>
      <c r="C2551" s="25" t="s">
        <v>2918</v>
      </c>
      <c r="D2551" s="11">
        <v>46000</v>
      </c>
      <c r="E2551" s="11">
        <v>46030</v>
      </c>
      <c r="F2551" s="5">
        <v>1993.33</v>
      </c>
      <c r="G2551" s="3">
        <f>SUMIF(Customer_Payments!B:B,C2551,Customer_Payments!E:E)</f>
        <v>0</v>
      </c>
      <c r="H2551" s="3">
        <f t="shared" si="117"/>
        <v>1993.33</v>
      </c>
      <c r="I2551" s="29">
        <f t="shared" si="118"/>
        <v>61</v>
      </c>
      <c r="J2551" s="31" t="str">
        <f t="shared" si="119"/>
        <v>61-90</v>
      </c>
      <c r="K2551"/>
    </row>
    <row r="2552" spans="1:11" x14ac:dyDescent="0.3">
      <c r="A2552" s="20" t="s">
        <v>65</v>
      </c>
      <c r="B2552" t="str">
        <f>VLOOKUP(A2552,Customers!A:B,2,FALSE)</f>
        <v>RetailFlow</v>
      </c>
      <c r="C2552" s="24" t="s">
        <v>2919</v>
      </c>
      <c r="D2552" s="10">
        <v>46016</v>
      </c>
      <c r="E2552" s="10">
        <v>46046</v>
      </c>
      <c r="F2552" s="4">
        <v>2340.98</v>
      </c>
      <c r="G2552" s="3">
        <f>SUMIF(Customer_Payments!B:B,C2552,Customer_Payments!E:E)</f>
        <v>0</v>
      </c>
      <c r="H2552" s="3">
        <f t="shared" si="117"/>
        <v>2340.98</v>
      </c>
      <c r="I2552" s="29">
        <f t="shared" si="118"/>
        <v>45</v>
      </c>
      <c r="J2552" s="31" t="str">
        <f t="shared" si="119"/>
        <v>31-60</v>
      </c>
      <c r="K2552"/>
    </row>
    <row r="2553" spans="1:11" x14ac:dyDescent="0.3">
      <c r="A2553" s="21" t="s">
        <v>40</v>
      </c>
      <c r="B2553" t="str">
        <f>VLOOKUP(A2553,Customers!A:B,2,FALSE)</f>
        <v>GlobalCart</v>
      </c>
      <c r="C2553" s="25" t="s">
        <v>2920</v>
      </c>
      <c r="D2553" s="11">
        <v>45981</v>
      </c>
      <c r="E2553" s="11">
        <v>46011</v>
      </c>
      <c r="F2553" s="5">
        <v>1509.48</v>
      </c>
      <c r="G2553" s="3">
        <f>SUMIF(Customer_Payments!B:B,C2553,Customer_Payments!E:E)</f>
        <v>0</v>
      </c>
      <c r="H2553" s="3">
        <f t="shared" si="117"/>
        <v>1509.48</v>
      </c>
      <c r="I2553" s="29">
        <f t="shared" si="118"/>
        <v>80</v>
      </c>
      <c r="J2553" s="31" t="str">
        <f t="shared" si="119"/>
        <v>61-90</v>
      </c>
      <c r="K2553"/>
    </row>
    <row r="2554" spans="1:11" x14ac:dyDescent="0.3">
      <c r="A2554" s="20" t="s">
        <v>76</v>
      </c>
      <c r="B2554" t="str">
        <f>VLOOKUP(A2554,Customers!A:B,2,FALSE)</f>
        <v>RetailSphere</v>
      </c>
      <c r="C2554" s="24" t="s">
        <v>2921</v>
      </c>
      <c r="D2554" s="10">
        <v>45993</v>
      </c>
      <c r="E2554" s="10">
        <v>46023</v>
      </c>
      <c r="F2554" s="4">
        <v>3338.35</v>
      </c>
      <c r="G2554" s="3">
        <f>SUMIF(Customer_Payments!B:B,C2554,Customer_Payments!E:E)</f>
        <v>3338.35</v>
      </c>
      <c r="H2554" s="3">
        <f t="shared" si="117"/>
        <v>0</v>
      </c>
      <c r="I2554" s="29">
        <f t="shared" si="118"/>
        <v>68</v>
      </c>
      <c r="J2554" s="31" t="str">
        <f t="shared" si="119"/>
        <v>61-90</v>
      </c>
      <c r="K2554"/>
    </row>
    <row r="2555" spans="1:11" x14ac:dyDescent="0.3">
      <c r="A2555" s="21" t="s">
        <v>98</v>
      </c>
      <c r="B2555" t="str">
        <f>VLOOKUP(A2555,Customers!A:B,2,FALSE)</f>
        <v>RetailEdgePro</v>
      </c>
      <c r="C2555" s="25" t="s">
        <v>2922</v>
      </c>
      <c r="D2555" s="11">
        <v>46083</v>
      </c>
      <c r="E2555" s="11">
        <v>46113</v>
      </c>
      <c r="F2555" s="5">
        <v>4189.17</v>
      </c>
      <c r="G2555" s="3">
        <f>SUMIF(Customer_Payments!B:B,C2555,Customer_Payments!E:E)</f>
        <v>4189.17</v>
      </c>
      <c r="H2555" s="3">
        <f t="shared" si="117"/>
        <v>0</v>
      </c>
      <c r="I2555" s="29">
        <f t="shared" si="118"/>
        <v>-22</v>
      </c>
      <c r="J2555" s="31" t="str">
        <f t="shared" si="119"/>
        <v>Current</v>
      </c>
      <c r="K2555"/>
    </row>
    <row r="2556" spans="1:11" x14ac:dyDescent="0.3">
      <c r="A2556" s="20" t="s">
        <v>77</v>
      </c>
      <c r="B2556" t="str">
        <f>VLOOKUP(A2556,Customers!A:B,2,FALSE)</f>
        <v>RetailBridge</v>
      </c>
      <c r="C2556" s="24" t="s">
        <v>2923</v>
      </c>
      <c r="D2556" s="10">
        <v>46048</v>
      </c>
      <c r="E2556" s="10">
        <v>46078</v>
      </c>
      <c r="F2556" s="4">
        <v>2126.3000000000002</v>
      </c>
      <c r="G2556" s="3">
        <f>SUMIF(Customer_Payments!B:B,C2556,Customer_Payments!E:E)</f>
        <v>2126.3000000000002</v>
      </c>
      <c r="H2556" s="3">
        <f t="shared" si="117"/>
        <v>0</v>
      </c>
      <c r="I2556" s="29">
        <f t="shared" si="118"/>
        <v>13</v>
      </c>
      <c r="J2556" s="31" t="str">
        <f t="shared" si="119"/>
        <v>1-30</v>
      </c>
      <c r="K2556"/>
    </row>
    <row r="2557" spans="1:11" x14ac:dyDescent="0.3">
      <c r="A2557" s="21" t="s">
        <v>120</v>
      </c>
      <c r="B2557" t="str">
        <f>VLOOKUP(A2557,Customers!A:B,2,FALSE)</f>
        <v>RetailPrimeGlobal</v>
      </c>
      <c r="C2557" s="25" t="s">
        <v>2924</v>
      </c>
      <c r="D2557" s="11">
        <v>46002</v>
      </c>
      <c r="E2557" s="11">
        <v>46032</v>
      </c>
      <c r="F2557" s="5">
        <v>3559.55</v>
      </c>
      <c r="G2557" s="3">
        <f>SUMIF(Customer_Payments!B:B,C2557,Customer_Payments!E:E)</f>
        <v>3559.55</v>
      </c>
      <c r="H2557" s="3">
        <f t="shared" si="117"/>
        <v>0</v>
      </c>
      <c r="I2557" s="29">
        <f t="shared" si="118"/>
        <v>59</v>
      </c>
      <c r="J2557" s="31" t="str">
        <f t="shared" si="119"/>
        <v>31-60</v>
      </c>
      <c r="K2557"/>
    </row>
    <row r="2558" spans="1:11" x14ac:dyDescent="0.3">
      <c r="A2558" s="20" t="s">
        <v>9</v>
      </c>
      <c r="B2558" t="str">
        <f>VLOOKUP(A2558,Customers!A:B,2,FALSE)</f>
        <v>UrbanRetail</v>
      </c>
      <c r="C2558" s="24" t="s">
        <v>2925</v>
      </c>
      <c r="D2558" s="10">
        <v>46017</v>
      </c>
      <c r="E2558" s="10">
        <v>46047</v>
      </c>
      <c r="F2558" s="4">
        <v>3072.83</v>
      </c>
      <c r="G2558" s="3">
        <f>SUMIF(Customer_Payments!B:B,C2558,Customer_Payments!E:E)</f>
        <v>3072.83</v>
      </c>
      <c r="H2558" s="3">
        <f t="shared" si="117"/>
        <v>0</v>
      </c>
      <c r="I2558" s="29">
        <f t="shared" si="118"/>
        <v>44</v>
      </c>
      <c r="J2558" s="31" t="str">
        <f t="shared" si="119"/>
        <v>31-60</v>
      </c>
      <c r="K2558"/>
    </row>
    <row r="2559" spans="1:11" x14ac:dyDescent="0.3">
      <c r="A2559" s="21" t="s">
        <v>26</v>
      </c>
      <c r="B2559" t="str">
        <f>VLOOKUP(A2559,Customers!A:B,2,FALSE)</f>
        <v>NovaRetail</v>
      </c>
      <c r="C2559" s="25" t="s">
        <v>2926</v>
      </c>
      <c r="D2559" s="11">
        <v>45981</v>
      </c>
      <c r="E2559" s="11">
        <v>46011</v>
      </c>
      <c r="F2559" s="5">
        <v>5466.82</v>
      </c>
      <c r="G2559" s="3">
        <f>SUMIF(Customer_Payments!B:B,C2559,Customer_Payments!E:E)</f>
        <v>5466.82</v>
      </c>
      <c r="H2559" s="3">
        <f t="shared" si="117"/>
        <v>0</v>
      </c>
      <c r="I2559" s="29">
        <f t="shared" si="118"/>
        <v>80</v>
      </c>
      <c r="J2559" s="31" t="str">
        <f t="shared" si="119"/>
        <v>61-90</v>
      </c>
      <c r="K2559"/>
    </row>
    <row r="2560" spans="1:11" x14ac:dyDescent="0.3">
      <c r="A2560" s="20" t="s">
        <v>53</v>
      </c>
      <c r="B2560" t="str">
        <f>VLOOKUP(A2560,Customers!A:B,2,FALSE)</f>
        <v>PrimeCart</v>
      </c>
      <c r="C2560" s="24" t="s">
        <v>2927</v>
      </c>
      <c r="D2560" s="10">
        <v>46001</v>
      </c>
      <c r="E2560" s="10">
        <v>46031</v>
      </c>
      <c r="F2560" s="4">
        <v>4003.9</v>
      </c>
      <c r="G2560" s="3">
        <f>SUMIF(Customer_Payments!B:B,C2560,Customer_Payments!E:E)</f>
        <v>0</v>
      </c>
      <c r="H2560" s="3">
        <f t="shared" si="117"/>
        <v>4003.9</v>
      </c>
      <c r="I2560" s="29">
        <f t="shared" si="118"/>
        <v>60</v>
      </c>
      <c r="J2560" s="31" t="str">
        <f t="shared" si="119"/>
        <v>31-60</v>
      </c>
      <c r="K2560"/>
    </row>
    <row r="2561" spans="1:11" x14ac:dyDescent="0.3">
      <c r="A2561" s="21" t="s">
        <v>19</v>
      </c>
      <c r="B2561" t="str">
        <f>VLOOKUP(A2561,Customers!A:B,2,FALSE)</f>
        <v>NextWave Digital</v>
      </c>
      <c r="C2561" s="25" t="s">
        <v>2928</v>
      </c>
      <c r="D2561" s="11">
        <v>46035</v>
      </c>
      <c r="E2561" s="11">
        <v>46065</v>
      </c>
      <c r="F2561" s="5">
        <v>3122.59</v>
      </c>
      <c r="G2561" s="3">
        <f>SUMIF(Customer_Payments!B:B,C2561,Customer_Payments!E:E)</f>
        <v>3122.59</v>
      </c>
      <c r="H2561" s="3">
        <f t="shared" si="117"/>
        <v>0</v>
      </c>
      <c r="I2561" s="29">
        <f t="shared" si="118"/>
        <v>26</v>
      </c>
      <c r="J2561" s="31" t="str">
        <f t="shared" si="119"/>
        <v>1-30</v>
      </c>
      <c r="K2561"/>
    </row>
    <row r="2562" spans="1:11" x14ac:dyDescent="0.3">
      <c r="A2562" s="20" t="s">
        <v>103</v>
      </c>
      <c r="B2562" t="str">
        <f>VLOOKUP(A2562,Customers!A:B,2,FALSE)</f>
        <v>RetailVisionPro</v>
      </c>
      <c r="C2562" s="24" t="s">
        <v>2929</v>
      </c>
      <c r="D2562" s="10">
        <v>46055</v>
      </c>
      <c r="E2562" s="10">
        <v>46085</v>
      </c>
      <c r="F2562" s="4">
        <v>1559.26</v>
      </c>
      <c r="G2562" s="3">
        <f>SUMIF(Customer_Payments!B:B,C2562,Customer_Payments!E:E)</f>
        <v>1559.26</v>
      </c>
      <c r="H2562" s="3">
        <f t="shared" ref="H2562:H2625" si="120">MAX(F2562-G2562,0)</f>
        <v>0</v>
      </c>
      <c r="I2562" s="29">
        <f t="shared" ref="I2562:I2625" si="121">$L$2-E2562</f>
        <v>6</v>
      </c>
      <c r="J2562" s="31" t="str">
        <f t="shared" si="119"/>
        <v>1-30</v>
      </c>
      <c r="K2562"/>
    </row>
    <row r="2563" spans="1:11" x14ac:dyDescent="0.3">
      <c r="A2563" s="21" t="s">
        <v>42</v>
      </c>
      <c r="B2563" t="str">
        <f>VLOOKUP(A2563,Customers!A:B,2,FALSE)</f>
        <v>RetailWorks</v>
      </c>
      <c r="C2563" s="25" t="s">
        <v>2930</v>
      </c>
      <c r="D2563" s="11">
        <v>45972</v>
      </c>
      <c r="E2563" s="11">
        <v>46002</v>
      </c>
      <c r="F2563" s="5">
        <v>1549.48</v>
      </c>
      <c r="G2563" s="3">
        <f>SUMIF(Customer_Payments!B:B,C2563,Customer_Payments!E:E)</f>
        <v>0</v>
      </c>
      <c r="H2563" s="3">
        <f t="shared" si="120"/>
        <v>1549.48</v>
      </c>
      <c r="I2563" s="29">
        <f t="shared" si="121"/>
        <v>89</v>
      </c>
      <c r="J2563" s="31" t="str">
        <f t="shared" ref="J2563:J2626" si="122">IF(I2563&lt;=0,"Current",
IF(I2563&lt;=30,"1-30",
IF(I2563&lt;=60,"31-60",
IF(I2563&lt;=90,"61-90","90+"))))</f>
        <v>61-90</v>
      </c>
      <c r="K2563"/>
    </row>
    <row r="2564" spans="1:11" x14ac:dyDescent="0.3">
      <c r="A2564" s="20" t="s">
        <v>73</v>
      </c>
      <c r="B2564" t="str">
        <f>VLOOKUP(A2564,Customers!A:B,2,FALSE)</f>
        <v>RetailWave</v>
      </c>
      <c r="C2564" s="24" t="s">
        <v>2931</v>
      </c>
      <c r="D2564" s="10">
        <v>46060</v>
      </c>
      <c r="E2564" s="10">
        <v>46090</v>
      </c>
      <c r="F2564" s="4">
        <v>3550.87</v>
      </c>
      <c r="G2564" s="3">
        <f>SUMIF(Customer_Payments!B:B,C2564,Customer_Payments!E:E)</f>
        <v>3550.87</v>
      </c>
      <c r="H2564" s="3">
        <f t="shared" si="120"/>
        <v>0</v>
      </c>
      <c r="I2564" s="29">
        <f t="shared" si="121"/>
        <v>1</v>
      </c>
      <c r="J2564" s="31" t="str">
        <f t="shared" si="122"/>
        <v>1-30</v>
      </c>
      <c r="K2564"/>
    </row>
    <row r="2565" spans="1:11" x14ac:dyDescent="0.3">
      <c r="A2565" s="21" t="s">
        <v>45</v>
      </c>
      <c r="B2565" t="str">
        <f>VLOOKUP(A2565,Customers!A:B,2,FALSE)</f>
        <v>EdgeRetail</v>
      </c>
      <c r="C2565" s="25" t="s">
        <v>2932</v>
      </c>
      <c r="D2565" s="11">
        <v>46014</v>
      </c>
      <c r="E2565" s="11">
        <v>46044</v>
      </c>
      <c r="F2565" s="5">
        <v>13889.97</v>
      </c>
      <c r="G2565" s="3">
        <f>SUMIF(Customer_Payments!B:B,C2565,Customer_Payments!E:E)</f>
        <v>13889.97</v>
      </c>
      <c r="H2565" s="3">
        <f t="shared" si="120"/>
        <v>0</v>
      </c>
      <c r="I2565" s="29">
        <f t="shared" si="121"/>
        <v>47</v>
      </c>
      <c r="J2565" s="31" t="str">
        <f t="shared" si="122"/>
        <v>31-60</v>
      </c>
      <c r="K2565"/>
    </row>
    <row r="2566" spans="1:11" x14ac:dyDescent="0.3">
      <c r="A2566" s="20" t="s">
        <v>33</v>
      </c>
      <c r="B2566" t="str">
        <f>VLOOKUP(A2566,Customers!A:B,2,FALSE)</f>
        <v>CloudCart</v>
      </c>
      <c r="C2566" s="24" t="s">
        <v>2933</v>
      </c>
      <c r="D2566" s="10">
        <v>46040</v>
      </c>
      <c r="E2566" s="10">
        <v>46070</v>
      </c>
      <c r="F2566" s="4">
        <v>2489.84</v>
      </c>
      <c r="G2566" s="3">
        <f>SUMIF(Customer_Payments!B:B,C2566,Customer_Payments!E:E)</f>
        <v>2489.84</v>
      </c>
      <c r="H2566" s="3">
        <f t="shared" si="120"/>
        <v>0</v>
      </c>
      <c r="I2566" s="29">
        <f t="shared" si="121"/>
        <v>21</v>
      </c>
      <c r="J2566" s="31" t="str">
        <f t="shared" si="122"/>
        <v>1-30</v>
      </c>
      <c r="K2566"/>
    </row>
    <row r="2567" spans="1:11" x14ac:dyDescent="0.3">
      <c r="A2567" s="21" t="s">
        <v>24</v>
      </c>
      <c r="B2567" t="str">
        <f>VLOOKUP(A2567,Customers!A:B,2,FALSE)</f>
        <v>OmniTrade</v>
      </c>
      <c r="C2567" s="25" t="s">
        <v>2934</v>
      </c>
      <c r="D2567" s="11">
        <v>46013</v>
      </c>
      <c r="E2567" s="11">
        <v>46043</v>
      </c>
      <c r="F2567" s="5">
        <v>1881.44</v>
      </c>
      <c r="G2567" s="3">
        <f>SUMIF(Customer_Payments!B:B,C2567,Customer_Payments!E:E)</f>
        <v>0</v>
      </c>
      <c r="H2567" s="3">
        <f t="shared" si="120"/>
        <v>1881.44</v>
      </c>
      <c r="I2567" s="29">
        <f t="shared" si="121"/>
        <v>48</v>
      </c>
      <c r="J2567" s="31" t="str">
        <f t="shared" si="122"/>
        <v>31-60</v>
      </c>
      <c r="K2567"/>
    </row>
    <row r="2568" spans="1:11" x14ac:dyDescent="0.3">
      <c r="A2568" s="20" t="s">
        <v>27</v>
      </c>
      <c r="B2568" t="str">
        <f>VLOOKUP(A2568,Customers!A:B,2,FALSE)</f>
        <v>Skyline Commerce</v>
      </c>
      <c r="C2568" s="24" t="s">
        <v>2935</v>
      </c>
      <c r="D2568" s="10">
        <v>45982</v>
      </c>
      <c r="E2568" s="10">
        <v>46012</v>
      </c>
      <c r="F2568" s="4">
        <v>4961.8599999999997</v>
      </c>
      <c r="G2568" s="3">
        <f>SUMIF(Customer_Payments!B:B,C2568,Customer_Payments!E:E)</f>
        <v>4961.8599999999997</v>
      </c>
      <c r="H2568" s="3">
        <f t="shared" si="120"/>
        <v>0</v>
      </c>
      <c r="I2568" s="29">
        <f t="shared" si="121"/>
        <v>79</v>
      </c>
      <c r="J2568" s="31" t="str">
        <f t="shared" si="122"/>
        <v>61-90</v>
      </c>
      <c r="K2568"/>
    </row>
    <row r="2569" spans="1:11" x14ac:dyDescent="0.3">
      <c r="A2569" s="21" t="s">
        <v>51</v>
      </c>
      <c r="B2569" t="str">
        <f>VLOOKUP(A2569,Customers!A:B,2,FALSE)</f>
        <v>CartMasters</v>
      </c>
      <c r="C2569" s="25" t="s">
        <v>2936</v>
      </c>
      <c r="D2569" s="11">
        <v>46061</v>
      </c>
      <c r="E2569" s="11">
        <v>46091</v>
      </c>
      <c r="F2569" s="5">
        <v>1741.69</v>
      </c>
      <c r="G2569" s="3">
        <f>SUMIF(Customer_Payments!B:B,C2569,Customer_Payments!E:E)</f>
        <v>1741.69</v>
      </c>
      <c r="H2569" s="3">
        <f t="shared" si="120"/>
        <v>0</v>
      </c>
      <c r="I2569" s="29">
        <f t="shared" si="121"/>
        <v>0</v>
      </c>
      <c r="J2569" s="31" t="str">
        <f t="shared" si="122"/>
        <v>Current</v>
      </c>
      <c r="K2569"/>
    </row>
    <row r="2570" spans="1:11" x14ac:dyDescent="0.3">
      <c r="A2570" s="20" t="s">
        <v>22</v>
      </c>
      <c r="B2570" t="str">
        <f>VLOOKUP(A2570,Customers!A:B,2,FALSE)</f>
        <v>QuantumRetail</v>
      </c>
      <c r="C2570" s="24" t="s">
        <v>2937</v>
      </c>
      <c r="D2570" s="10">
        <v>46013</v>
      </c>
      <c r="E2570" s="10">
        <v>46043</v>
      </c>
      <c r="F2570" s="4">
        <v>2671.57</v>
      </c>
      <c r="G2570" s="3">
        <f>SUMIF(Customer_Payments!B:B,C2570,Customer_Payments!E:E)</f>
        <v>0</v>
      </c>
      <c r="H2570" s="3">
        <f t="shared" si="120"/>
        <v>2671.57</v>
      </c>
      <c r="I2570" s="29">
        <f t="shared" si="121"/>
        <v>48</v>
      </c>
      <c r="J2570" s="31" t="str">
        <f t="shared" si="122"/>
        <v>31-60</v>
      </c>
      <c r="K2570"/>
    </row>
    <row r="2571" spans="1:11" x14ac:dyDescent="0.3">
      <c r="A2571" s="21" t="s">
        <v>25</v>
      </c>
      <c r="B2571" t="str">
        <f>VLOOKUP(A2571,Customers!A:B,2,FALSE)</f>
        <v>OrbitEdge</v>
      </c>
      <c r="C2571" s="25" t="s">
        <v>2938</v>
      </c>
      <c r="D2571" s="11">
        <v>45977</v>
      </c>
      <c r="E2571" s="11">
        <v>46007</v>
      </c>
      <c r="F2571" s="5">
        <v>1972.55</v>
      </c>
      <c r="G2571" s="3">
        <f>SUMIF(Customer_Payments!B:B,C2571,Customer_Payments!E:E)</f>
        <v>1972.55</v>
      </c>
      <c r="H2571" s="3">
        <f t="shared" si="120"/>
        <v>0</v>
      </c>
      <c r="I2571" s="29">
        <f t="shared" si="121"/>
        <v>84</v>
      </c>
      <c r="J2571" s="31" t="str">
        <f t="shared" si="122"/>
        <v>61-90</v>
      </c>
      <c r="K2571"/>
    </row>
    <row r="2572" spans="1:11" x14ac:dyDescent="0.3">
      <c r="A2572" s="20" t="s">
        <v>73</v>
      </c>
      <c r="B2572" t="str">
        <f>VLOOKUP(A2572,Customers!A:B,2,FALSE)</f>
        <v>RetailWave</v>
      </c>
      <c r="C2572" s="24" t="s">
        <v>2939</v>
      </c>
      <c r="D2572" s="10">
        <v>46071</v>
      </c>
      <c r="E2572" s="10">
        <v>46101</v>
      </c>
      <c r="F2572" s="4">
        <v>1638.34</v>
      </c>
      <c r="G2572" s="3">
        <f>SUMIF(Customer_Payments!B:B,C2572,Customer_Payments!E:E)</f>
        <v>1638.34</v>
      </c>
      <c r="H2572" s="3">
        <f t="shared" si="120"/>
        <v>0</v>
      </c>
      <c r="I2572" s="29">
        <f t="shared" si="121"/>
        <v>-10</v>
      </c>
      <c r="J2572" s="31" t="str">
        <f t="shared" si="122"/>
        <v>Current</v>
      </c>
      <c r="K2572"/>
    </row>
    <row r="2573" spans="1:11" x14ac:dyDescent="0.3">
      <c r="A2573" s="21" t="s">
        <v>36</v>
      </c>
      <c r="B2573" t="str">
        <f>VLOOKUP(A2573,Customers!A:B,2,FALSE)</f>
        <v>RapidMarket</v>
      </c>
      <c r="C2573" s="25" t="s">
        <v>2940</v>
      </c>
      <c r="D2573" s="11">
        <v>46008</v>
      </c>
      <c r="E2573" s="11">
        <v>46038</v>
      </c>
      <c r="F2573" s="5">
        <v>2524.2399999999998</v>
      </c>
      <c r="G2573" s="3">
        <f>SUMIF(Customer_Payments!B:B,C2573,Customer_Payments!E:E)</f>
        <v>2524.2399999999998</v>
      </c>
      <c r="H2573" s="3">
        <f t="shared" si="120"/>
        <v>0</v>
      </c>
      <c r="I2573" s="29">
        <f t="shared" si="121"/>
        <v>53</v>
      </c>
      <c r="J2573" s="31" t="str">
        <f t="shared" si="122"/>
        <v>31-60</v>
      </c>
      <c r="K2573"/>
    </row>
    <row r="2574" spans="1:11" x14ac:dyDescent="0.3">
      <c r="A2574" s="20" t="s">
        <v>85</v>
      </c>
      <c r="B2574" t="str">
        <f>VLOOKUP(A2574,Customers!A:B,2,FALSE)</f>
        <v>RetailWorksX</v>
      </c>
      <c r="C2574" s="24" t="s">
        <v>2941</v>
      </c>
      <c r="D2574" s="10">
        <v>46061</v>
      </c>
      <c r="E2574" s="10">
        <v>46091</v>
      </c>
      <c r="F2574" s="4">
        <v>1755.56</v>
      </c>
      <c r="G2574" s="3">
        <f>SUMIF(Customer_Payments!B:B,C2574,Customer_Payments!E:E)</f>
        <v>1755.56</v>
      </c>
      <c r="H2574" s="3">
        <f t="shared" si="120"/>
        <v>0</v>
      </c>
      <c r="I2574" s="29">
        <f t="shared" si="121"/>
        <v>0</v>
      </c>
      <c r="J2574" s="31" t="str">
        <f t="shared" si="122"/>
        <v>Current</v>
      </c>
      <c r="K2574"/>
    </row>
    <row r="2575" spans="1:11" x14ac:dyDescent="0.3">
      <c r="A2575" s="21" t="s">
        <v>41</v>
      </c>
      <c r="B2575" t="str">
        <f>VLOOKUP(A2575,Customers!A:B,2,FALSE)</f>
        <v>DynamicRetail</v>
      </c>
      <c r="C2575" s="25" t="s">
        <v>2942</v>
      </c>
      <c r="D2575" s="11">
        <v>46042</v>
      </c>
      <c r="E2575" s="11">
        <v>46072</v>
      </c>
      <c r="F2575" s="5">
        <v>10337.65</v>
      </c>
      <c r="G2575" s="3">
        <f>SUMIF(Customer_Payments!B:B,C2575,Customer_Payments!E:E)</f>
        <v>10337.65</v>
      </c>
      <c r="H2575" s="3">
        <f t="shared" si="120"/>
        <v>0</v>
      </c>
      <c r="I2575" s="29">
        <f t="shared" si="121"/>
        <v>19</v>
      </c>
      <c r="J2575" s="31" t="str">
        <f t="shared" si="122"/>
        <v>1-30</v>
      </c>
      <c r="K2575"/>
    </row>
    <row r="2576" spans="1:11" x14ac:dyDescent="0.3">
      <c r="A2576" s="20" t="s">
        <v>61</v>
      </c>
      <c r="B2576" t="str">
        <f>VLOOKUP(A2576,Customers!A:B,2,FALSE)</f>
        <v>RetailOrbit</v>
      </c>
      <c r="C2576" s="24" t="s">
        <v>2943</v>
      </c>
      <c r="D2576" s="10">
        <v>46024</v>
      </c>
      <c r="E2576" s="10">
        <v>46054</v>
      </c>
      <c r="F2576" s="4">
        <v>2857.8</v>
      </c>
      <c r="G2576" s="3">
        <f>SUMIF(Customer_Payments!B:B,C2576,Customer_Payments!E:E)</f>
        <v>2857.8</v>
      </c>
      <c r="H2576" s="3">
        <f t="shared" si="120"/>
        <v>0</v>
      </c>
      <c r="I2576" s="29">
        <f t="shared" si="121"/>
        <v>37</v>
      </c>
      <c r="J2576" s="31" t="str">
        <f t="shared" si="122"/>
        <v>31-60</v>
      </c>
      <c r="K2576"/>
    </row>
    <row r="2577" spans="1:11" x14ac:dyDescent="0.3">
      <c r="A2577" s="21" t="s">
        <v>69</v>
      </c>
      <c r="B2577" t="str">
        <f>VLOOKUP(A2577,Customers!A:B,2,FALSE)</f>
        <v>RetailNext</v>
      </c>
      <c r="C2577" s="25" t="s">
        <v>2944</v>
      </c>
      <c r="D2577" s="11">
        <v>45983</v>
      </c>
      <c r="E2577" s="11">
        <v>46013</v>
      </c>
      <c r="F2577" s="5">
        <v>3035.84</v>
      </c>
      <c r="G2577" s="3">
        <f>SUMIF(Customer_Payments!B:B,C2577,Customer_Payments!E:E)</f>
        <v>0</v>
      </c>
      <c r="H2577" s="3">
        <f t="shared" si="120"/>
        <v>3035.84</v>
      </c>
      <c r="I2577" s="29">
        <f t="shared" si="121"/>
        <v>78</v>
      </c>
      <c r="J2577" s="31" t="str">
        <f t="shared" si="122"/>
        <v>61-90</v>
      </c>
      <c r="K2577"/>
    </row>
    <row r="2578" spans="1:11" x14ac:dyDescent="0.3">
      <c r="A2578" s="20" t="s">
        <v>84</v>
      </c>
      <c r="B2578" t="str">
        <f>VLOOKUP(A2578,Customers!A:B,2,FALSE)</f>
        <v>RetailVisionX</v>
      </c>
      <c r="C2578" s="24" t="s">
        <v>2945</v>
      </c>
      <c r="D2578" s="10">
        <v>46029</v>
      </c>
      <c r="E2578" s="10">
        <v>46059</v>
      </c>
      <c r="F2578" s="4">
        <v>2224.63</v>
      </c>
      <c r="G2578" s="3">
        <f>SUMIF(Customer_Payments!B:B,C2578,Customer_Payments!E:E)</f>
        <v>0</v>
      </c>
      <c r="H2578" s="3">
        <f t="shared" si="120"/>
        <v>2224.63</v>
      </c>
      <c r="I2578" s="29">
        <f t="shared" si="121"/>
        <v>32</v>
      </c>
      <c r="J2578" s="31" t="str">
        <f t="shared" si="122"/>
        <v>31-60</v>
      </c>
      <c r="K2578"/>
    </row>
    <row r="2579" spans="1:11" x14ac:dyDescent="0.3">
      <c r="A2579" s="21" t="s">
        <v>96</v>
      </c>
      <c r="B2579" t="str">
        <f>VLOOKUP(A2579,Customers!A:B,2,FALSE)</f>
        <v>RetailLabs</v>
      </c>
      <c r="C2579" s="25" t="s">
        <v>2946</v>
      </c>
      <c r="D2579" s="11">
        <v>46082</v>
      </c>
      <c r="E2579" s="11">
        <v>46112</v>
      </c>
      <c r="F2579" s="5">
        <v>4011.12</v>
      </c>
      <c r="G2579" s="3">
        <f>SUMIF(Customer_Payments!B:B,C2579,Customer_Payments!E:E)</f>
        <v>4011.12</v>
      </c>
      <c r="H2579" s="3">
        <f t="shared" si="120"/>
        <v>0</v>
      </c>
      <c r="I2579" s="29">
        <f t="shared" si="121"/>
        <v>-21</v>
      </c>
      <c r="J2579" s="31" t="str">
        <f t="shared" si="122"/>
        <v>Current</v>
      </c>
      <c r="K2579"/>
    </row>
    <row r="2580" spans="1:11" x14ac:dyDescent="0.3">
      <c r="A2580" s="20" t="s">
        <v>42</v>
      </c>
      <c r="B2580" t="str">
        <f>VLOOKUP(A2580,Customers!A:B,2,FALSE)</f>
        <v>RetailWorks</v>
      </c>
      <c r="C2580" s="24" t="s">
        <v>2947</v>
      </c>
      <c r="D2580" s="10">
        <v>45969</v>
      </c>
      <c r="E2580" s="10">
        <v>45999</v>
      </c>
      <c r="F2580" s="4">
        <v>11624.04</v>
      </c>
      <c r="G2580" s="3">
        <f>SUMIF(Customer_Payments!B:B,C2580,Customer_Payments!E:E)</f>
        <v>0</v>
      </c>
      <c r="H2580" s="3">
        <f t="shared" si="120"/>
        <v>11624.04</v>
      </c>
      <c r="I2580" s="29">
        <f t="shared" si="121"/>
        <v>92</v>
      </c>
      <c r="J2580" s="31" t="str">
        <f t="shared" si="122"/>
        <v>90+</v>
      </c>
      <c r="K2580"/>
    </row>
    <row r="2581" spans="1:11" x14ac:dyDescent="0.3">
      <c r="A2581" s="21" t="s">
        <v>60</v>
      </c>
      <c r="B2581" t="str">
        <f>VLOOKUP(A2581,Customers!A:B,2,FALSE)</f>
        <v>RetailSpark</v>
      </c>
      <c r="C2581" s="25" t="s">
        <v>2948</v>
      </c>
      <c r="D2581" s="11">
        <v>46026</v>
      </c>
      <c r="E2581" s="11">
        <v>46056</v>
      </c>
      <c r="F2581" s="5">
        <v>1967.36</v>
      </c>
      <c r="G2581" s="3">
        <f>SUMIF(Customer_Payments!B:B,C2581,Customer_Payments!E:E)</f>
        <v>1967.36</v>
      </c>
      <c r="H2581" s="3">
        <f t="shared" si="120"/>
        <v>0</v>
      </c>
      <c r="I2581" s="29">
        <f t="shared" si="121"/>
        <v>35</v>
      </c>
      <c r="J2581" s="31" t="str">
        <f t="shared" si="122"/>
        <v>31-60</v>
      </c>
      <c r="K2581"/>
    </row>
    <row r="2582" spans="1:11" x14ac:dyDescent="0.3">
      <c r="A2582" s="20" t="s">
        <v>98</v>
      </c>
      <c r="B2582" t="str">
        <f>VLOOKUP(A2582,Customers!A:B,2,FALSE)</f>
        <v>RetailEdgePro</v>
      </c>
      <c r="C2582" s="24" t="s">
        <v>2949</v>
      </c>
      <c r="D2582" s="10">
        <v>46095</v>
      </c>
      <c r="E2582" s="10">
        <v>46125</v>
      </c>
      <c r="F2582" s="4">
        <v>2042.13</v>
      </c>
      <c r="G2582" s="3">
        <f>SUMIF(Customer_Payments!B:B,C2582,Customer_Payments!E:E)</f>
        <v>2042.13</v>
      </c>
      <c r="H2582" s="3">
        <f t="shared" si="120"/>
        <v>0</v>
      </c>
      <c r="I2582" s="29">
        <f t="shared" si="121"/>
        <v>-34</v>
      </c>
      <c r="J2582" s="31" t="str">
        <f t="shared" si="122"/>
        <v>Current</v>
      </c>
      <c r="K2582"/>
    </row>
    <row r="2583" spans="1:11" x14ac:dyDescent="0.3">
      <c r="A2583" s="21" t="s">
        <v>92</v>
      </c>
      <c r="B2583" t="str">
        <f>VLOOKUP(A2583,Customers!A:B,2,FALSE)</f>
        <v>RetailMatrixX</v>
      </c>
      <c r="C2583" s="25" t="s">
        <v>2950</v>
      </c>
      <c r="D2583" s="11">
        <v>46032</v>
      </c>
      <c r="E2583" s="11">
        <v>46062</v>
      </c>
      <c r="F2583" s="5">
        <v>10765.17</v>
      </c>
      <c r="G2583" s="3">
        <f>SUMIF(Customer_Payments!B:B,C2583,Customer_Payments!E:E)</f>
        <v>10765.17</v>
      </c>
      <c r="H2583" s="3">
        <f t="shared" si="120"/>
        <v>0</v>
      </c>
      <c r="I2583" s="29">
        <f t="shared" si="121"/>
        <v>29</v>
      </c>
      <c r="J2583" s="31" t="str">
        <f t="shared" si="122"/>
        <v>1-30</v>
      </c>
      <c r="K2583"/>
    </row>
    <row r="2584" spans="1:11" x14ac:dyDescent="0.3">
      <c r="A2584" s="20" t="s">
        <v>84</v>
      </c>
      <c r="B2584" t="str">
        <f>VLOOKUP(A2584,Customers!A:B,2,FALSE)</f>
        <v>RetailVisionX</v>
      </c>
      <c r="C2584" s="24" t="s">
        <v>2951</v>
      </c>
      <c r="D2584" s="10">
        <v>46091</v>
      </c>
      <c r="E2584" s="10">
        <v>46121</v>
      </c>
      <c r="F2584" s="4">
        <v>2103.9699999999998</v>
      </c>
      <c r="G2584" s="3">
        <f>SUMIF(Customer_Payments!B:B,C2584,Customer_Payments!E:E)</f>
        <v>2103.9699999999998</v>
      </c>
      <c r="H2584" s="3">
        <f t="shared" si="120"/>
        <v>0</v>
      </c>
      <c r="I2584" s="29">
        <f t="shared" si="121"/>
        <v>-30</v>
      </c>
      <c r="J2584" s="31" t="str">
        <f t="shared" si="122"/>
        <v>Current</v>
      </c>
      <c r="K2584"/>
    </row>
    <row r="2585" spans="1:11" x14ac:dyDescent="0.3">
      <c r="A2585" s="21" t="s">
        <v>84</v>
      </c>
      <c r="B2585" t="str">
        <f>VLOOKUP(A2585,Customers!A:B,2,FALSE)</f>
        <v>RetailVisionX</v>
      </c>
      <c r="C2585" s="25" t="s">
        <v>2952</v>
      </c>
      <c r="D2585" s="11">
        <v>46091</v>
      </c>
      <c r="E2585" s="11">
        <v>46121</v>
      </c>
      <c r="F2585" s="5">
        <v>3326.15</v>
      </c>
      <c r="G2585" s="3">
        <f>SUMIF(Customer_Payments!B:B,C2585,Customer_Payments!E:E)</f>
        <v>3326.15</v>
      </c>
      <c r="H2585" s="3">
        <f t="shared" si="120"/>
        <v>0</v>
      </c>
      <c r="I2585" s="29">
        <f t="shared" si="121"/>
        <v>-30</v>
      </c>
      <c r="J2585" s="31" t="str">
        <f t="shared" si="122"/>
        <v>Current</v>
      </c>
      <c r="K2585"/>
    </row>
    <row r="2586" spans="1:11" x14ac:dyDescent="0.3">
      <c r="A2586" s="20" t="s">
        <v>80</v>
      </c>
      <c r="B2586" t="str">
        <f>VLOOKUP(A2586,Customers!A:B,2,FALSE)</f>
        <v>RetailEdgeX</v>
      </c>
      <c r="C2586" s="24" t="s">
        <v>2953</v>
      </c>
      <c r="D2586" s="10">
        <v>45965</v>
      </c>
      <c r="E2586" s="10">
        <v>45995</v>
      </c>
      <c r="F2586" s="4">
        <v>3108.41</v>
      </c>
      <c r="G2586" s="3">
        <f>SUMIF(Customer_Payments!B:B,C2586,Customer_Payments!E:E)</f>
        <v>0</v>
      </c>
      <c r="H2586" s="3">
        <f t="shared" si="120"/>
        <v>3108.41</v>
      </c>
      <c r="I2586" s="29">
        <f t="shared" si="121"/>
        <v>96</v>
      </c>
      <c r="J2586" s="31" t="str">
        <f t="shared" si="122"/>
        <v>90+</v>
      </c>
      <c r="K2586"/>
    </row>
    <row r="2587" spans="1:11" x14ac:dyDescent="0.3">
      <c r="A2587" s="21" t="s">
        <v>93</v>
      </c>
      <c r="B2587" t="str">
        <f>VLOOKUP(A2587,Customers!A:B,2,FALSE)</f>
        <v>RetailSphereX</v>
      </c>
      <c r="C2587" s="25" t="s">
        <v>2954</v>
      </c>
      <c r="D2587" s="11">
        <v>46069</v>
      </c>
      <c r="E2587" s="11">
        <v>46099</v>
      </c>
      <c r="F2587" s="5">
        <v>2540.9699999999998</v>
      </c>
      <c r="G2587" s="3">
        <f>SUMIF(Customer_Payments!B:B,C2587,Customer_Payments!E:E)</f>
        <v>2540.9699999999998</v>
      </c>
      <c r="H2587" s="3">
        <f t="shared" si="120"/>
        <v>0</v>
      </c>
      <c r="I2587" s="29">
        <f t="shared" si="121"/>
        <v>-8</v>
      </c>
      <c r="J2587" s="31" t="str">
        <f t="shared" si="122"/>
        <v>Current</v>
      </c>
      <c r="K2587"/>
    </row>
    <row r="2588" spans="1:11" x14ac:dyDescent="0.3">
      <c r="A2588" s="20" t="s">
        <v>12</v>
      </c>
      <c r="B2588" t="str">
        <f>VLOOKUP(A2588,Customers!A:B,2,FALSE)</f>
        <v>ShopOrbit</v>
      </c>
      <c r="C2588" s="24" t="s">
        <v>2955</v>
      </c>
      <c r="D2588" s="10">
        <v>45976</v>
      </c>
      <c r="E2588" s="10">
        <v>46006</v>
      </c>
      <c r="F2588" s="4">
        <v>2090.73</v>
      </c>
      <c r="G2588" s="3">
        <f>SUMIF(Customer_Payments!B:B,C2588,Customer_Payments!E:E)</f>
        <v>2090.73</v>
      </c>
      <c r="H2588" s="3">
        <f t="shared" si="120"/>
        <v>0</v>
      </c>
      <c r="I2588" s="29">
        <f t="shared" si="121"/>
        <v>85</v>
      </c>
      <c r="J2588" s="31" t="str">
        <f t="shared" si="122"/>
        <v>61-90</v>
      </c>
      <c r="K2588"/>
    </row>
    <row r="2589" spans="1:11" x14ac:dyDescent="0.3">
      <c r="A2589" s="21" t="s">
        <v>73</v>
      </c>
      <c r="B2589" t="str">
        <f>VLOOKUP(A2589,Customers!A:B,2,FALSE)</f>
        <v>RetailWave</v>
      </c>
      <c r="C2589" s="25" t="s">
        <v>2956</v>
      </c>
      <c r="D2589" s="11">
        <v>46112</v>
      </c>
      <c r="E2589" s="11">
        <v>46142</v>
      </c>
      <c r="F2589" s="5">
        <v>2647.09</v>
      </c>
      <c r="G2589" s="3">
        <f>SUMIF(Customer_Payments!B:B,C2589,Customer_Payments!E:E)</f>
        <v>2647.09</v>
      </c>
      <c r="H2589" s="3">
        <f t="shared" si="120"/>
        <v>0</v>
      </c>
      <c r="I2589" s="29">
        <f t="shared" si="121"/>
        <v>-51</v>
      </c>
      <c r="J2589" s="31" t="str">
        <f t="shared" si="122"/>
        <v>Current</v>
      </c>
      <c r="K2589"/>
    </row>
    <row r="2590" spans="1:11" x14ac:dyDescent="0.3">
      <c r="A2590" s="20" t="s">
        <v>62</v>
      </c>
      <c r="B2590" t="str">
        <f>VLOOKUP(A2590,Customers!A:B,2,FALSE)</f>
        <v>MarketNova</v>
      </c>
      <c r="C2590" s="24" t="s">
        <v>2957</v>
      </c>
      <c r="D2590" s="10">
        <v>46077</v>
      </c>
      <c r="E2590" s="10">
        <v>46107</v>
      </c>
      <c r="F2590" s="4">
        <v>3528.24</v>
      </c>
      <c r="G2590" s="3">
        <f>SUMIF(Customer_Payments!B:B,C2590,Customer_Payments!E:E)</f>
        <v>3528.24</v>
      </c>
      <c r="H2590" s="3">
        <f t="shared" si="120"/>
        <v>0</v>
      </c>
      <c r="I2590" s="29">
        <f t="shared" si="121"/>
        <v>-16</v>
      </c>
      <c r="J2590" s="31" t="str">
        <f t="shared" si="122"/>
        <v>Current</v>
      </c>
      <c r="K2590"/>
    </row>
    <row r="2591" spans="1:11" x14ac:dyDescent="0.3">
      <c r="A2591" s="21" t="s">
        <v>87</v>
      </c>
      <c r="B2591" t="str">
        <f>VLOOKUP(A2591,Customers!A:B,2,FALSE)</f>
        <v>RetailStreamX</v>
      </c>
      <c r="C2591" s="25" t="s">
        <v>2958</v>
      </c>
      <c r="D2591" s="11">
        <v>45997</v>
      </c>
      <c r="E2591" s="11">
        <v>46027</v>
      </c>
      <c r="F2591" s="5">
        <v>2093.8200000000002</v>
      </c>
      <c r="G2591" s="3">
        <f>SUMIF(Customer_Payments!B:B,C2591,Customer_Payments!E:E)</f>
        <v>2093.8200000000002</v>
      </c>
      <c r="H2591" s="3">
        <f t="shared" si="120"/>
        <v>0</v>
      </c>
      <c r="I2591" s="29">
        <f t="shared" si="121"/>
        <v>64</v>
      </c>
      <c r="J2591" s="31" t="str">
        <f t="shared" si="122"/>
        <v>61-90</v>
      </c>
      <c r="K2591"/>
    </row>
    <row r="2592" spans="1:11" x14ac:dyDescent="0.3">
      <c r="A2592" s="20" t="s">
        <v>115</v>
      </c>
      <c r="B2592" t="str">
        <f>VLOOKUP(A2592,Customers!A:B,2,FALSE)</f>
        <v>RetailDynamicsPro</v>
      </c>
      <c r="C2592" s="24" t="s">
        <v>2959</v>
      </c>
      <c r="D2592" s="10">
        <v>46108</v>
      </c>
      <c r="E2592" s="10">
        <v>46138</v>
      </c>
      <c r="F2592" s="4">
        <v>2098.8000000000002</v>
      </c>
      <c r="G2592" s="3">
        <f>SUMIF(Customer_Payments!B:B,C2592,Customer_Payments!E:E)</f>
        <v>2098.8000000000002</v>
      </c>
      <c r="H2592" s="3">
        <f t="shared" si="120"/>
        <v>0</v>
      </c>
      <c r="I2592" s="29">
        <f t="shared" si="121"/>
        <v>-47</v>
      </c>
      <c r="J2592" s="31" t="str">
        <f t="shared" si="122"/>
        <v>Current</v>
      </c>
      <c r="K2592"/>
    </row>
    <row r="2593" spans="1:11" x14ac:dyDescent="0.3">
      <c r="A2593" s="21" t="s">
        <v>38</v>
      </c>
      <c r="B2593" t="str">
        <f>VLOOKUP(A2593,Customers!A:B,2,FALSE)</f>
        <v>RetailForge</v>
      </c>
      <c r="C2593" s="25" t="s">
        <v>2960</v>
      </c>
      <c r="D2593" s="11">
        <v>45965</v>
      </c>
      <c r="E2593" s="11">
        <v>45995</v>
      </c>
      <c r="F2593" s="5">
        <v>2358.59</v>
      </c>
      <c r="G2593" s="3">
        <f>SUMIF(Customer_Payments!B:B,C2593,Customer_Payments!E:E)</f>
        <v>2358.59</v>
      </c>
      <c r="H2593" s="3">
        <f t="shared" si="120"/>
        <v>0</v>
      </c>
      <c r="I2593" s="29">
        <f t="shared" si="121"/>
        <v>96</v>
      </c>
      <c r="J2593" s="31" t="str">
        <f t="shared" si="122"/>
        <v>90+</v>
      </c>
      <c r="K2593"/>
    </row>
    <row r="2594" spans="1:11" x14ac:dyDescent="0.3">
      <c r="A2594" s="20" t="s">
        <v>88</v>
      </c>
      <c r="B2594" t="str">
        <f>VLOOKUP(A2594,Customers!A:B,2,FALSE)</f>
        <v>RetailPrimeX</v>
      </c>
      <c r="C2594" s="24" t="s">
        <v>2961</v>
      </c>
      <c r="D2594" s="10">
        <v>46109</v>
      </c>
      <c r="E2594" s="10">
        <v>46139</v>
      </c>
      <c r="F2594" s="4">
        <v>2446.0100000000002</v>
      </c>
      <c r="G2594" s="3">
        <f>SUMIF(Customer_Payments!B:B,C2594,Customer_Payments!E:E)</f>
        <v>2446.0100000000002</v>
      </c>
      <c r="H2594" s="3">
        <f t="shared" si="120"/>
        <v>0</v>
      </c>
      <c r="I2594" s="29">
        <f t="shared" si="121"/>
        <v>-48</v>
      </c>
      <c r="J2594" s="31" t="str">
        <f t="shared" si="122"/>
        <v>Current</v>
      </c>
      <c r="K2594"/>
    </row>
    <row r="2595" spans="1:11" x14ac:dyDescent="0.3">
      <c r="A2595" s="21" t="s">
        <v>117</v>
      </c>
      <c r="B2595" t="str">
        <f>VLOOKUP(A2595,Customers!A:B,2,FALSE)</f>
        <v>RetailSparkPro</v>
      </c>
      <c r="C2595" s="25" t="s">
        <v>2962</v>
      </c>
      <c r="D2595" s="11">
        <v>46005</v>
      </c>
      <c r="E2595" s="11">
        <v>46035</v>
      </c>
      <c r="F2595" s="5">
        <v>2768.61</v>
      </c>
      <c r="G2595" s="3">
        <f>SUMIF(Customer_Payments!B:B,C2595,Customer_Payments!E:E)</f>
        <v>2768.61</v>
      </c>
      <c r="H2595" s="3">
        <f t="shared" si="120"/>
        <v>0</v>
      </c>
      <c r="I2595" s="29">
        <f t="shared" si="121"/>
        <v>56</v>
      </c>
      <c r="J2595" s="31" t="str">
        <f t="shared" si="122"/>
        <v>31-60</v>
      </c>
      <c r="K2595"/>
    </row>
    <row r="2596" spans="1:11" x14ac:dyDescent="0.3">
      <c r="A2596" s="20" t="s">
        <v>106</v>
      </c>
      <c r="B2596" t="str">
        <f>VLOOKUP(A2596,Customers!A:B,2,FALSE)</f>
        <v>RetailOrbitPro</v>
      </c>
      <c r="C2596" s="24" t="s">
        <v>2963</v>
      </c>
      <c r="D2596" s="10">
        <v>46106</v>
      </c>
      <c r="E2596" s="10">
        <v>46136</v>
      </c>
      <c r="F2596" s="4">
        <v>3707.6</v>
      </c>
      <c r="G2596" s="3">
        <f>SUMIF(Customer_Payments!B:B,C2596,Customer_Payments!E:E)</f>
        <v>0</v>
      </c>
      <c r="H2596" s="3">
        <f t="shared" si="120"/>
        <v>3707.6</v>
      </c>
      <c r="I2596" s="29">
        <f t="shared" si="121"/>
        <v>-45</v>
      </c>
      <c r="J2596" s="31" t="str">
        <f t="shared" si="122"/>
        <v>Current</v>
      </c>
      <c r="K2596"/>
    </row>
    <row r="2597" spans="1:11" x14ac:dyDescent="0.3">
      <c r="A2597" s="21" t="s">
        <v>85</v>
      </c>
      <c r="B2597" t="str">
        <f>VLOOKUP(A2597,Customers!A:B,2,FALSE)</f>
        <v>RetailWorksX</v>
      </c>
      <c r="C2597" s="25" t="s">
        <v>2964</v>
      </c>
      <c r="D2597" s="11">
        <v>46091</v>
      </c>
      <c r="E2597" s="11">
        <v>46121</v>
      </c>
      <c r="F2597" s="5">
        <v>5689.44</v>
      </c>
      <c r="G2597" s="3">
        <f>SUMIF(Customer_Payments!B:B,C2597,Customer_Payments!E:E)</f>
        <v>5689.44</v>
      </c>
      <c r="H2597" s="3">
        <f t="shared" si="120"/>
        <v>0</v>
      </c>
      <c r="I2597" s="29">
        <f t="shared" si="121"/>
        <v>-30</v>
      </c>
      <c r="J2597" s="31" t="str">
        <f t="shared" si="122"/>
        <v>Current</v>
      </c>
      <c r="K2597"/>
    </row>
    <row r="2598" spans="1:11" x14ac:dyDescent="0.3">
      <c r="A2598" s="20" t="s">
        <v>46</v>
      </c>
      <c r="B2598" t="str">
        <f>VLOOKUP(A2598,Customers!A:B,2,FALSE)</f>
        <v>NovaMarket</v>
      </c>
      <c r="C2598" s="24" t="s">
        <v>2965</v>
      </c>
      <c r="D2598" s="10">
        <v>46058</v>
      </c>
      <c r="E2598" s="10">
        <v>46088</v>
      </c>
      <c r="F2598" s="4">
        <v>3835.8</v>
      </c>
      <c r="G2598" s="3">
        <f>SUMIF(Customer_Payments!B:B,C2598,Customer_Payments!E:E)</f>
        <v>3835.8</v>
      </c>
      <c r="H2598" s="3">
        <f t="shared" si="120"/>
        <v>0</v>
      </c>
      <c r="I2598" s="29">
        <f t="shared" si="121"/>
        <v>3</v>
      </c>
      <c r="J2598" s="31" t="str">
        <f t="shared" si="122"/>
        <v>1-30</v>
      </c>
      <c r="K2598"/>
    </row>
    <row r="2599" spans="1:11" x14ac:dyDescent="0.3">
      <c r="A2599" s="21" t="s">
        <v>86</v>
      </c>
      <c r="B2599" t="str">
        <f>VLOOKUP(A2599,Customers!A:B,2,FALSE)</f>
        <v>RetailNextX</v>
      </c>
      <c r="C2599" s="25" t="s">
        <v>2966</v>
      </c>
      <c r="D2599" s="11">
        <v>46024</v>
      </c>
      <c r="E2599" s="11">
        <v>46054</v>
      </c>
      <c r="F2599" s="5">
        <v>3497.01</v>
      </c>
      <c r="G2599" s="3">
        <f>SUMIF(Customer_Payments!B:B,C2599,Customer_Payments!E:E)</f>
        <v>3497.01</v>
      </c>
      <c r="H2599" s="3">
        <f t="shared" si="120"/>
        <v>0</v>
      </c>
      <c r="I2599" s="29">
        <f t="shared" si="121"/>
        <v>37</v>
      </c>
      <c r="J2599" s="31" t="str">
        <f t="shared" si="122"/>
        <v>31-60</v>
      </c>
      <c r="K2599"/>
    </row>
    <row r="2600" spans="1:11" x14ac:dyDescent="0.3">
      <c r="A2600" s="20" t="s">
        <v>116</v>
      </c>
      <c r="B2600" t="str">
        <f>VLOOKUP(A2600,Customers!A:B,2,FALSE)</f>
        <v>RetailLabsPro</v>
      </c>
      <c r="C2600" s="24" t="s">
        <v>2967</v>
      </c>
      <c r="D2600" s="10">
        <v>45993</v>
      </c>
      <c r="E2600" s="10">
        <v>46023</v>
      </c>
      <c r="F2600" s="4">
        <v>12669.48</v>
      </c>
      <c r="G2600" s="3">
        <f>SUMIF(Customer_Payments!B:B,C2600,Customer_Payments!E:E)</f>
        <v>12669.48</v>
      </c>
      <c r="H2600" s="3">
        <f t="shared" si="120"/>
        <v>0</v>
      </c>
      <c r="I2600" s="29">
        <f t="shared" si="121"/>
        <v>68</v>
      </c>
      <c r="J2600" s="31" t="str">
        <f t="shared" si="122"/>
        <v>61-90</v>
      </c>
      <c r="K2600"/>
    </row>
    <row r="2601" spans="1:11" x14ac:dyDescent="0.3">
      <c r="A2601" s="21" t="s">
        <v>103</v>
      </c>
      <c r="B2601" t="str">
        <f>VLOOKUP(A2601,Customers!A:B,2,FALSE)</f>
        <v>RetailVisionPro</v>
      </c>
      <c r="C2601" s="25" t="s">
        <v>2968</v>
      </c>
      <c r="D2601" s="11">
        <v>45985</v>
      </c>
      <c r="E2601" s="11">
        <v>46015</v>
      </c>
      <c r="F2601" s="5">
        <v>1789.52</v>
      </c>
      <c r="G2601" s="3">
        <f>SUMIF(Customer_Payments!B:B,C2601,Customer_Payments!E:E)</f>
        <v>0</v>
      </c>
      <c r="H2601" s="3">
        <f t="shared" si="120"/>
        <v>1789.52</v>
      </c>
      <c r="I2601" s="29">
        <f t="shared" si="121"/>
        <v>76</v>
      </c>
      <c r="J2601" s="31" t="str">
        <f t="shared" si="122"/>
        <v>61-90</v>
      </c>
      <c r="K2601"/>
    </row>
    <row r="2602" spans="1:11" x14ac:dyDescent="0.3">
      <c r="A2602" s="20" t="s">
        <v>81</v>
      </c>
      <c r="B2602" t="str">
        <f>VLOOKUP(A2602,Customers!A:B,2,FALSE)</f>
        <v>RetailFlowX</v>
      </c>
      <c r="C2602" s="24" t="s">
        <v>2969</v>
      </c>
      <c r="D2602" s="10">
        <v>46021</v>
      </c>
      <c r="E2602" s="10">
        <v>46051</v>
      </c>
      <c r="F2602" s="4">
        <v>5918.62</v>
      </c>
      <c r="G2602" s="3">
        <f>SUMIF(Customer_Payments!B:B,C2602,Customer_Payments!E:E)</f>
        <v>5918.62</v>
      </c>
      <c r="H2602" s="3">
        <f t="shared" si="120"/>
        <v>0</v>
      </c>
      <c r="I2602" s="29">
        <f t="shared" si="121"/>
        <v>40</v>
      </c>
      <c r="J2602" s="31" t="str">
        <f t="shared" si="122"/>
        <v>31-60</v>
      </c>
      <c r="K2602"/>
    </row>
    <row r="2603" spans="1:11" x14ac:dyDescent="0.3">
      <c r="A2603" s="21" t="s">
        <v>103</v>
      </c>
      <c r="B2603" t="str">
        <f>VLOOKUP(A2603,Customers!A:B,2,FALSE)</f>
        <v>RetailVisionPro</v>
      </c>
      <c r="C2603" s="25" t="s">
        <v>2970</v>
      </c>
      <c r="D2603" s="11">
        <v>45997</v>
      </c>
      <c r="E2603" s="11">
        <v>46027</v>
      </c>
      <c r="F2603" s="5">
        <v>2908.83</v>
      </c>
      <c r="G2603" s="3">
        <f>SUMIF(Customer_Payments!B:B,C2603,Customer_Payments!E:E)</f>
        <v>2908.83</v>
      </c>
      <c r="H2603" s="3">
        <f t="shared" si="120"/>
        <v>0</v>
      </c>
      <c r="I2603" s="29">
        <f t="shared" si="121"/>
        <v>64</v>
      </c>
      <c r="J2603" s="31" t="str">
        <f t="shared" si="122"/>
        <v>61-90</v>
      </c>
      <c r="K2603"/>
    </row>
    <row r="2604" spans="1:11" x14ac:dyDescent="0.3">
      <c r="A2604" s="20" t="s">
        <v>32</v>
      </c>
      <c r="B2604" t="str">
        <f>VLOOKUP(A2604,Customers!A:B,2,FALSE)</f>
        <v>RetailVista</v>
      </c>
      <c r="C2604" s="24" t="s">
        <v>2971</v>
      </c>
      <c r="D2604" s="10">
        <v>46107</v>
      </c>
      <c r="E2604" s="10">
        <v>46137</v>
      </c>
      <c r="F2604" s="4">
        <v>3553.56</v>
      </c>
      <c r="G2604" s="3">
        <f>SUMIF(Customer_Payments!B:B,C2604,Customer_Payments!E:E)</f>
        <v>3553.56</v>
      </c>
      <c r="H2604" s="3">
        <f t="shared" si="120"/>
        <v>0</v>
      </c>
      <c r="I2604" s="29">
        <f t="shared" si="121"/>
        <v>-46</v>
      </c>
      <c r="J2604" s="31" t="str">
        <f t="shared" si="122"/>
        <v>Current</v>
      </c>
      <c r="K2604"/>
    </row>
    <row r="2605" spans="1:11" x14ac:dyDescent="0.3">
      <c r="A2605" s="21" t="s">
        <v>40</v>
      </c>
      <c r="B2605" t="str">
        <f>VLOOKUP(A2605,Customers!A:B,2,FALSE)</f>
        <v>GlobalCart</v>
      </c>
      <c r="C2605" s="25" t="s">
        <v>2972</v>
      </c>
      <c r="D2605" s="11">
        <v>46052</v>
      </c>
      <c r="E2605" s="11">
        <v>46082</v>
      </c>
      <c r="F2605" s="5">
        <v>2508.65</v>
      </c>
      <c r="G2605" s="3">
        <f>SUMIF(Customer_Payments!B:B,C2605,Customer_Payments!E:E)</f>
        <v>2508.65</v>
      </c>
      <c r="H2605" s="3">
        <f t="shared" si="120"/>
        <v>0</v>
      </c>
      <c r="I2605" s="29">
        <f t="shared" si="121"/>
        <v>9</v>
      </c>
      <c r="J2605" s="31" t="str">
        <f t="shared" si="122"/>
        <v>1-30</v>
      </c>
      <c r="K2605"/>
    </row>
    <row r="2606" spans="1:11" x14ac:dyDescent="0.3">
      <c r="A2606" s="20" t="s">
        <v>124</v>
      </c>
      <c r="B2606" t="str">
        <f>VLOOKUP(A2606,Customers!A:B,2,FALSE)</f>
        <v>RetailOrbitGlobal</v>
      </c>
      <c r="C2606" s="24" t="s">
        <v>2973</v>
      </c>
      <c r="D2606" s="10">
        <v>45990</v>
      </c>
      <c r="E2606" s="10">
        <v>46020</v>
      </c>
      <c r="F2606" s="4">
        <v>5431.78</v>
      </c>
      <c r="G2606" s="3">
        <f>SUMIF(Customer_Payments!B:B,C2606,Customer_Payments!E:E)</f>
        <v>5431.78</v>
      </c>
      <c r="H2606" s="3">
        <f t="shared" si="120"/>
        <v>0</v>
      </c>
      <c r="I2606" s="29">
        <f t="shared" si="121"/>
        <v>71</v>
      </c>
      <c r="J2606" s="31" t="str">
        <f t="shared" si="122"/>
        <v>61-90</v>
      </c>
      <c r="K2606"/>
    </row>
    <row r="2607" spans="1:11" x14ac:dyDescent="0.3">
      <c r="A2607" s="21" t="s">
        <v>17</v>
      </c>
      <c r="B2607" t="str">
        <f>VLOOKUP(A2607,Customers!A:B,2,FALSE)</f>
        <v>AlphaCommerce</v>
      </c>
      <c r="C2607" s="25" t="s">
        <v>2974</v>
      </c>
      <c r="D2607" s="11">
        <v>46082</v>
      </c>
      <c r="E2607" s="11">
        <v>46112</v>
      </c>
      <c r="F2607" s="5">
        <v>10097.4</v>
      </c>
      <c r="G2607" s="3">
        <f>SUMIF(Customer_Payments!B:B,C2607,Customer_Payments!E:E)</f>
        <v>10097.4</v>
      </c>
      <c r="H2607" s="3">
        <f t="shared" si="120"/>
        <v>0</v>
      </c>
      <c r="I2607" s="29">
        <f t="shared" si="121"/>
        <v>-21</v>
      </c>
      <c r="J2607" s="31" t="str">
        <f t="shared" si="122"/>
        <v>Current</v>
      </c>
      <c r="K2607"/>
    </row>
    <row r="2608" spans="1:11" x14ac:dyDescent="0.3">
      <c r="A2608" s="20" t="s">
        <v>26</v>
      </c>
      <c r="B2608" t="str">
        <f>VLOOKUP(A2608,Customers!A:B,2,FALSE)</f>
        <v>NovaRetail</v>
      </c>
      <c r="C2608" s="24" t="s">
        <v>2975</v>
      </c>
      <c r="D2608" s="10">
        <v>46031</v>
      </c>
      <c r="E2608" s="10">
        <v>46061</v>
      </c>
      <c r="F2608" s="4">
        <v>2999.44</v>
      </c>
      <c r="G2608" s="3">
        <f>SUMIF(Customer_Payments!B:B,C2608,Customer_Payments!E:E)</f>
        <v>2999.44</v>
      </c>
      <c r="H2608" s="3">
        <f t="shared" si="120"/>
        <v>0</v>
      </c>
      <c r="I2608" s="29">
        <f t="shared" si="121"/>
        <v>30</v>
      </c>
      <c r="J2608" s="31" t="str">
        <f t="shared" si="122"/>
        <v>1-30</v>
      </c>
      <c r="K2608"/>
    </row>
    <row r="2609" spans="1:11" x14ac:dyDescent="0.3">
      <c r="A2609" s="21" t="s">
        <v>95</v>
      </c>
      <c r="B2609" t="str">
        <f>VLOOKUP(A2609,Customers!A:B,2,FALSE)</f>
        <v>RetailScaleX</v>
      </c>
      <c r="C2609" s="25" t="s">
        <v>2976</v>
      </c>
      <c r="D2609" s="11">
        <v>46095</v>
      </c>
      <c r="E2609" s="11">
        <v>46125</v>
      </c>
      <c r="F2609" s="5">
        <v>2154.73</v>
      </c>
      <c r="G2609" s="3">
        <f>SUMIF(Customer_Payments!B:B,C2609,Customer_Payments!E:E)</f>
        <v>2154.73</v>
      </c>
      <c r="H2609" s="3">
        <f t="shared" si="120"/>
        <v>0</v>
      </c>
      <c r="I2609" s="29">
        <f t="shared" si="121"/>
        <v>-34</v>
      </c>
      <c r="J2609" s="31" t="str">
        <f t="shared" si="122"/>
        <v>Current</v>
      </c>
      <c r="K2609"/>
    </row>
    <row r="2610" spans="1:11" x14ac:dyDescent="0.3">
      <c r="A2610" s="20" t="s">
        <v>34</v>
      </c>
      <c r="B2610" t="str">
        <f>VLOOKUP(A2610,Customers!A:B,2,FALSE)</f>
        <v>OptiCommerce</v>
      </c>
      <c r="C2610" s="24" t="s">
        <v>2977</v>
      </c>
      <c r="D2610" s="10">
        <v>46035</v>
      </c>
      <c r="E2610" s="10">
        <v>46065</v>
      </c>
      <c r="F2610" s="4">
        <v>4490.7</v>
      </c>
      <c r="G2610" s="3">
        <f>SUMIF(Customer_Payments!B:B,C2610,Customer_Payments!E:E)</f>
        <v>4490.7</v>
      </c>
      <c r="H2610" s="3">
        <f t="shared" si="120"/>
        <v>0</v>
      </c>
      <c r="I2610" s="29">
        <f t="shared" si="121"/>
        <v>26</v>
      </c>
      <c r="J2610" s="31" t="str">
        <f t="shared" si="122"/>
        <v>1-30</v>
      </c>
      <c r="K2610"/>
    </row>
    <row r="2611" spans="1:11" x14ac:dyDescent="0.3">
      <c r="A2611" s="21" t="s">
        <v>68</v>
      </c>
      <c r="B2611" t="str">
        <f>VLOOKUP(A2611,Customers!A:B,2,FALSE)</f>
        <v>RetailVision</v>
      </c>
      <c r="C2611" s="25" t="s">
        <v>2978</v>
      </c>
      <c r="D2611" s="11">
        <v>45976</v>
      </c>
      <c r="E2611" s="11">
        <v>46006</v>
      </c>
      <c r="F2611" s="5">
        <v>4024.84</v>
      </c>
      <c r="G2611" s="3">
        <f>SUMIF(Customer_Payments!B:B,C2611,Customer_Payments!E:E)</f>
        <v>0</v>
      </c>
      <c r="H2611" s="3">
        <f t="shared" si="120"/>
        <v>4024.84</v>
      </c>
      <c r="I2611" s="29">
        <f t="shared" si="121"/>
        <v>85</v>
      </c>
      <c r="J2611" s="31" t="str">
        <f t="shared" si="122"/>
        <v>61-90</v>
      </c>
      <c r="K2611"/>
    </row>
    <row r="2612" spans="1:11" x14ac:dyDescent="0.3">
      <c r="A2612" s="20" t="s">
        <v>30</v>
      </c>
      <c r="B2612" t="str">
        <f>VLOOKUP(A2612,Customers!A:B,2,FALSE)</f>
        <v>CommerceFlow</v>
      </c>
      <c r="C2612" s="24" t="s">
        <v>2979</v>
      </c>
      <c r="D2612" s="10">
        <v>45997</v>
      </c>
      <c r="E2612" s="10">
        <v>46027</v>
      </c>
      <c r="F2612" s="4">
        <v>11589.72</v>
      </c>
      <c r="G2612" s="3">
        <f>SUMIF(Customer_Payments!B:B,C2612,Customer_Payments!E:E)</f>
        <v>11589.72</v>
      </c>
      <c r="H2612" s="3">
        <f t="shared" si="120"/>
        <v>0</v>
      </c>
      <c r="I2612" s="29">
        <f t="shared" si="121"/>
        <v>64</v>
      </c>
      <c r="J2612" s="31" t="str">
        <f t="shared" si="122"/>
        <v>61-90</v>
      </c>
      <c r="K2612"/>
    </row>
    <row r="2613" spans="1:11" x14ac:dyDescent="0.3">
      <c r="A2613" s="21" t="s">
        <v>56</v>
      </c>
      <c r="B2613" t="str">
        <f>VLOOKUP(A2613,Customers!A:B,2,FALSE)</f>
        <v>RetailBoost</v>
      </c>
      <c r="C2613" s="25" t="s">
        <v>2980</v>
      </c>
      <c r="D2613" s="11">
        <v>46041</v>
      </c>
      <c r="E2613" s="11">
        <v>46071</v>
      </c>
      <c r="F2613" s="5">
        <v>3613.25</v>
      </c>
      <c r="G2613" s="3">
        <f>SUMIF(Customer_Payments!B:B,C2613,Customer_Payments!E:E)</f>
        <v>0</v>
      </c>
      <c r="H2613" s="3">
        <f t="shared" si="120"/>
        <v>3613.25</v>
      </c>
      <c r="I2613" s="29">
        <f t="shared" si="121"/>
        <v>20</v>
      </c>
      <c r="J2613" s="31" t="str">
        <f t="shared" si="122"/>
        <v>1-30</v>
      </c>
      <c r="K2613"/>
    </row>
    <row r="2614" spans="1:11" x14ac:dyDescent="0.3">
      <c r="A2614" s="20" t="s">
        <v>40</v>
      </c>
      <c r="B2614" t="str">
        <f>VLOOKUP(A2614,Customers!A:B,2,FALSE)</f>
        <v>GlobalCart</v>
      </c>
      <c r="C2614" s="24" t="s">
        <v>2981</v>
      </c>
      <c r="D2614" s="10">
        <v>46054</v>
      </c>
      <c r="E2614" s="10">
        <v>46084</v>
      </c>
      <c r="F2614" s="4">
        <v>1628.27</v>
      </c>
      <c r="G2614" s="3">
        <f>SUMIF(Customer_Payments!B:B,C2614,Customer_Payments!E:E)</f>
        <v>0</v>
      </c>
      <c r="H2614" s="3">
        <f t="shared" si="120"/>
        <v>1628.27</v>
      </c>
      <c r="I2614" s="29">
        <f t="shared" si="121"/>
        <v>7</v>
      </c>
      <c r="J2614" s="31" t="str">
        <f t="shared" si="122"/>
        <v>1-30</v>
      </c>
      <c r="K2614"/>
    </row>
    <row r="2615" spans="1:11" x14ac:dyDescent="0.3">
      <c r="A2615" s="21" t="s">
        <v>16</v>
      </c>
      <c r="B2615" t="str">
        <f>VLOOKUP(A2615,Customers!A:B,2,FALSE)</f>
        <v>RetailHub</v>
      </c>
      <c r="C2615" s="25" t="s">
        <v>2982</v>
      </c>
      <c r="D2615" s="11">
        <v>45996</v>
      </c>
      <c r="E2615" s="11">
        <v>46026</v>
      </c>
      <c r="F2615" s="5">
        <v>11377.1</v>
      </c>
      <c r="G2615" s="3">
        <f>SUMIF(Customer_Payments!B:B,C2615,Customer_Payments!E:E)</f>
        <v>11377.1</v>
      </c>
      <c r="H2615" s="3">
        <f t="shared" si="120"/>
        <v>0</v>
      </c>
      <c r="I2615" s="29">
        <f t="shared" si="121"/>
        <v>65</v>
      </c>
      <c r="J2615" s="31" t="str">
        <f t="shared" si="122"/>
        <v>61-90</v>
      </c>
      <c r="K2615"/>
    </row>
    <row r="2616" spans="1:11" x14ac:dyDescent="0.3">
      <c r="A2616" s="20" t="s">
        <v>75</v>
      </c>
      <c r="B2616" t="str">
        <f>VLOOKUP(A2616,Customers!A:B,2,FALSE)</f>
        <v>RetailMatrix</v>
      </c>
      <c r="C2616" s="24" t="s">
        <v>2983</v>
      </c>
      <c r="D2616" s="10">
        <v>46082</v>
      </c>
      <c r="E2616" s="10">
        <v>46112</v>
      </c>
      <c r="F2616" s="4">
        <v>1536.83</v>
      </c>
      <c r="G2616" s="3">
        <f>SUMIF(Customer_Payments!B:B,C2616,Customer_Payments!E:E)</f>
        <v>1536.83</v>
      </c>
      <c r="H2616" s="3">
        <f t="shared" si="120"/>
        <v>0</v>
      </c>
      <c r="I2616" s="29">
        <f t="shared" si="121"/>
        <v>-21</v>
      </c>
      <c r="J2616" s="31" t="str">
        <f t="shared" si="122"/>
        <v>Current</v>
      </c>
      <c r="K2616"/>
    </row>
    <row r="2617" spans="1:11" x14ac:dyDescent="0.3">
      <c r="A2617" s="21" t="s">
        <v>75</v>
      </c>
      <c r="B2617" t="str">
        <f>VLOOKUP(A2617,Customers!A:B,2,FALSE)</f>
        <v>RetailMatrix</v>
      </c>
      <c r="C2617" s="25" t="s">
        <v>2984</v>
      </c>
      <c r="D2617" s="11">
        <v>46086</v>
      </c>
      <c r="E2617" s="11">
        <v>46116</v>
      </c>
      <c r="F2617" s="5">
        <v>2980.27</v>
      </c>
      <c r="G2617" s="3">
        <f>SUMIF(Customer_Payments!B:B,C2617,Customer_Payments!E:E)</f>
        <v>2980.27</v>
      </c>
      <c r="H2617" s="3">
        <f t="shared" si="120"/>
        <v>0</v>
      </c>
      <c r="I2617" s="29">
        <f t="shared" si="121"/>
        <v>-25</v>
      </c>
      <c r="J2617" s="31" t="str">
        <f t="shared" si="122"/>
        <v>Current</v>
      </c>
      <c r="K2617"/>
    </row>
    <row r="2618" spans="1:11" x14ac:dyDescent="0.3">
      <c r="A2618" s="20" t="s">
        <v>51</v>
      </c>
      <c r="B2618" t="str">
        <f>VLOOKUP(A2618,Customers!A:B,2,FALSE)</f>
        <v>CartMasters</v>
      </c>
      <c r="C2618" s="24" t="s">
        <v>2985</v>
      </c>
      <c r="D2618" s="10">
        <v>46098</v>
      </c>
      <c r="E2618" s="10">
        <v>46128</v>
      </c>
      <c r="F2618" s="4">
        <v>2104.81</v>
      </c>
      <c r="G2618" s="3">
        <f>SUMIF(Customer_Payments!B:B,C2618,Customer_Payments!E:E)</f>
        <v>2104.81</v>
      </c>
      <c r="H2618" s="3">
        <f t="shared" si="120"/>
        <v>0</v>
      </c>
      <c r="I2618" s="29">
        <f t="shared" si="121"/>
        <v>-37</v>
      </c>
      <c r="J2618" s="31" t="str">
        <f t="shared" si="122"/>
        <v>Current</v>
      </c>
      <c r="K2618"/>
    </row>
    <row r="2619" spans="1:11" x14ac:dyDescent="0.3">
      <c r="A2619" s="21" t="s">
        <v>80</v>
      </c>
      <c r="B2619" t="str">
        <f>VLOOKUP(A2619,Customers!A:B,2,FALSE)</f>
        <v>RetailEdgeX</v>
      </c>
      <c r="C2619" s="25" t="s">
        <v>2986</v>
      </c>
      <c r="D2619" s="11">
        <v>46110</v>
      </c>
      <c r="E2619" s="11">
        <v>46140</v>
      </c>
      <c r="F2619" s="5">
        <v>1945.54</v>
      </c>
      <c r="G2619" s="3">
        <f>SUMIF(Customer_Payments!B:B,C2619,Customer_Payments!E:E)</f>
        <v>1945.54</v>
      </c>
      <c r="H2619" s="3">
        <f t="shared" si="120"/>
        <v>0</v>
      </c>
      <c r="I2619" s="29">
        <f t="shared" si="121"/>
        <v>-49</v>
      </c>
      <c r="J2619" s="31" t="str">
        <f t="shared" si="122"/>
        <v>Current</v>
      </c>
      <c r="K2619"/>
    </row>
    <row r="2620" spans="1:11" x14ac:dyDescent="0.3">
      <c r="A2620" s="20" t="s">
        <v>15</v>
      </c>
      <c r="B2620" t="str">
        <f>VLOOKUP(A2620,Customers!A:B,2,FALSE)</f>
        <v>CloudScale</v>
      </c>
      <c r="C2620" s="24" t="s">
        <v>2987</v>
      </c>
      <c r="D2620" s="10">
        <v>46044</v>
      </c>
      <c r="E2620" s="10">
        <v>46074</v>
      </c>
      <c r="F2620" s="4">
        <v>2952.29</v>
      </c>
      <c r="G2620" s="3">
        <f>SUMIF(Customer_Payments!B:B,C2620,Customer_Payments!E:E)</f>
        <v>2952.29</v>
      </c>
      <c r="H2620" s="3">
        <f t="shared" si="120"/>
        <v>0</v>
      </c>
      <c r="I2620" s="29">
        <f t="shared" si="121"/>
        <v>17</v>
      </c>
      <c r="J2620" s="31" t="str">
        <f t="shared" si="122"/>
        <v>1-30</v>
      </c>
      <c r="K2620"/>
    </row>
    <row r="2621" spans="1:11" x14ac:dyDescent="0.3">
      <c r="A2621" s="21" t="s">
        <v>121</v>
      </c>
      <c r="B2621" t="str">
        <f>VLOOKUP(A2621,Customers!A:B,2,FALSE)</f>
        <v>RetailVisionGlobal</v>
      </c>
      <c r="C2621" s="25" t="s">
        <v>2988</v>
      </c>
      <c r="D2621" s="11">
        <v>45998</v>
      </c>
      <c r="E2621" s="11">
        <v>46028</v>
      </c>
      <c r="F2621" s="5">
        <v>4044.23</v>
      </c>
      <c r="G2621" s="3">
        <f>SUMIF(Customer_Payments!B:B,C2621,Customer_Payments!E:E)</f>
        <v>4044.23</v>
      </c>
      <c r="H2621" s="3">
        <f t="shared" si="120"/>
        <v>0</v>
      </c>
      <c r="I2621" s="29">
        <f t="shared" si="121"/>
        <v>63</v>
      </c>
      <c r="J2621" s="31" t="str">
        <f t="shared" si="122"/>
        <v>61-90</v>
      </c>
      <c r="K2621"/>
    </row>
    <row r="2622" spans="1:11" x14ac:dyDescent="0.3">
      <c r="A2622" s="20" t="s">
        <v>52</v>
      </c>
      <c r="B2622" t="str">
        <f>VLOOKUP(A2622,Customers!A:B,2,FALSE)</f>
        <v>RetailShift</v>
      </c>
      <c r="C2622" s="24" t="s">
        <v>2989</v>
      </c>
      <c r="D2622" s="10">
        <v>46024</v>
      </c>
      <c r="E2622" s="10">
        <v>46054</v>
      </c>
      <c r="F2622" s="4">
        <v>2476.63</v>
      </c>
      <c r="G2622" s="3">
        <f>SUMIF(Customer_Payments!B:B,C2622,Customer_Payments!E:E)</f>
        <v>2476.63</v>
      </c>
      <c r="H2622" s="3">
        <f t="shared" si="120"/>
        <v>0</v>
      </c>
      <c r="I2622" s="29">
        <f t="shared" si="121"/>
        <v>37</v>
      </c>
      <c r="J2622" s="31" t="str">
        <f t="shared" si="122"/>
        <v>31-60</v>
      </c>
      <c r="K2622"/>
    </row>
    <row r="2623" spans="1:11" x14ac:dyDescent="0.3">
      <c r="A2623" s="21" t="s">
        <v>121</v>
      </c>
      <c r="B2623" t="str">
        <f>VLOOKUP(A2623,Customers!A:B,2,FALSE)</f>
        <v>RetailVisionGlobal</v>
      </c>
      <c r="C2623" s="25" t="s">
        <v>2990</v>
      </c>
      <c r="D2623" s="11">
        <v>46084</v>
      </c>
      <c r="E2623" s="11">
        <v>46114</v>
      </c>
      <c r="F2623" s="5">
        <v>3545.68</v>
      </c>
      <c r="G2623" s="3">
        <f>SUMIF(Customer_Payments!B:B,C2623,Customer_Payments!E:E)</f>
        <v>3545.68</v>
      </c>
      <c r="H2623" s="3">
        <f t="shared" si="120"/>
        <v>0</v>
      </c>
      <c r="I2623" s="29">
        <f t="shared" si="121"/>
        <v>-23</v>
      </c>
      <c r="J2623" s="31" t="str">
        <f t="shared" si="122"/>
        <v>Current</v>
      </c>
      <c r="K2623"/>
    </row>
    <row r="2624" spans="1:11" x14ac:dyDescent="0.3">
      <c r="A2624" s="20" t="s">
        <v>104</v>
      </c>
      <c r="B2624" t="str">
        <f>VLOOKUP(A2624,Customers!A:B,2,FALSE)</f>
        <v>RetailCorePro</v>
      </c>
      <c r="C2624" s="24" t="s">
        <v>2991</v>
      </c>
      <c r="D2624" s="10">
        <v>45975</v>
      </c>
      <c r="E2624" s="10">
        <v>46005</v>
      </c>
      <c r="F2624" s="4">
        <v>1459.86</v>
      </c>
      <c r="G2624" s="3">
        <f>SUMIF(Customer_Payments!B:B,C2624,Customer_Payments!E:E)</f>
        <v>1459.86</v>
      </c>
      <c r="H2624" s="3">
        <f t="shared" si="120"/>
        <v>0</v>
      </c>
      <c r="I2624" s="29">
        <f t="shared" si="121"/>
        <v>86</v>
      </c>
      <c r="J2624" s="31" t="str">
        <f t="shared" si="122"/>
        <v>61-90</v>
      </c>
      <c r="K2624"/>
    </row>
    <row r="2625" spans="1:11" x14ac:dyDescent="0.3">
      <c r="A2625" s="21" t="s">
        <v>75</v>
      </c>
      <c r="B2625" t="str">
        <f>VLOOKUP(A2625,Customers!A:B,2,FALSE)</f>
        <v>RetailMatrix</v>
      </c>
      <c r="C2625" s="25" t="s">
        <v>2992</v>
      </c>
      <c r="D2625" s="11">
        <v>46022</v>
      </c>
      <c r="E2625" s="11">
        <v>46052</v>
      </c>
      <c r="F2625" s="5">
        <v>5972.41</v>
      </c>
      <c r="G2625" s="3">
        <f>SUMIF(Customer_Payments!B:B,C2625,Customer_Payments!E:E)</f>
        <v>5972.41</v>
      </c>
      <c r="H2625" s="3">
        <f t="shared" si="120"/>
        <v>0</v>
      </c>
      <c r="I2625" s="29">
        <f t="shared" si="121"/>
        <v>39</v>
      </c>
      <c r="J2625" s="31" t="str">
        <f t="shared" si="122"/>
        <v>31-60</v>
      </c>
      <c r="K2625"/>
    </row>
    <row r="2626" spans="1:11" x14ac:dyDescent="0.3">
      <c r="A2626" s="20" t="s">
        <v>119</v>
      </c>
      <c r="B2626" t="str">
        <f>VLOOKUP(A2626,Customers!A:B,2,FALSE)</f>
        <v>RetailNovaGlobal</v>
      </c>
      <c r="C2626" s="24" t="s">
        <v>2993</v>
      </c>
      <c r="D2626" s="10">
        <v>46038</v>
      </c>
      <c r="E2626" s="10">
        <v>46068</v>
      </c>
      <c r="F2626" s="4">
        <v>1925.76</v>
      </c>
      <c r="G2626" s="3">
        <f>SUMIF(Customer_Payments!B:B,C2626,Customer_Payments!E:E)</f>
        <v>1925.76</v>
      </c>
      <c r="H2626" s="3">
        <f t="shared" ref="H2626:H2689" si="123">MAX(F2626-G2626,0)</f>
        <v>0</v>
      </c>
      <c r="I2626" s="29">
        <f t="shared" ref="I2626:I2689" si="124">$L$2-E2626</f>
        <v>23</v>
      </c>
      <c r="J2626" s="31" t="str">
        <f t="shared" si="122"/>
        <v>1-30</v>
      </c>
      <c r="K2626"/>
    </row>
    <row r="2627" spans="1:11" x14ac:dyDescent="0.3">
      <c r="A2627" s="21" t="s">
        <v>82</v>
      </c>
      <c r="B2627" t="str">
        <f>VLOOKUP(A2627,Customers!A:B,2,FALSE)</f>
        <v>RetailNovaX</v>
      </c>
      <c r="C2627" s="25" t="s">
        <v>2994</v>
      </c>
      <c r="D2627" s="11">
        <v>46021</v>
      </c>
      <c r="E2627" s="11">
        <v>46051</v>
      </c>
      <c r="F2627" s="5">
        <v>4124.7700000000004</v>
      </c>
      <c r="G2627" s="3">
        <f>SUMIF(Customer_Payments!B:B,C2627,Customer_Payments!E:E)</f>
        <v>0</v>
      </c>
      <c r="H2627" s="3">
        <f t="shared" si="123"/>
        <v>4124.7700000000004</v>
      </c>
      <c r="I2627" s="29">
        <f t="shared" si="124"/>
        <v>40</v>
      </c>
      <c r="J2627" s="31" t="str">
        <f t="shared" ref="J2627:J2690" si="125">IF(I2627&lt;=0,"Current",
IF(I2627&lt;=30,"1-30",
IF(I2627&lt;=60,"31-60",
IF(I2627&lt;=90,"61-90","90+"))))</f>
        <v>31-60</v>
      </c>
      <c r="K2627"/>
    </row>
    <row r="2628" spans="1:11" x14ac:dyDescent="0.3">
      <c r="A2628" s="20" t="s">
        <v>52</v>
      </c>
      <c r="B2628" t="str">
        <f>VLOOKUP(A2628,Customers!A:B,2,FALSE)</f>
        <v>RetailShift</v>
      </c>
      <c r="C2628" s="24" t="s">
        <v>2995</v>
      </c>
      <c r="D2628" s="10">
        <v>46053</v>
      </c>
      <c r="E2628" s="10">
        <v>46083</v>
      </c>
      <c r="F2628" s="4">
        <v>2862.73</v>
      </c>
      <c r="G2628" s="3">
        <f>SUMIF(Customer_Payments!B:B,C2628,Customer_Payments!E:E)</f>
        <v>2862.73</v>
      </c>
      <c r="H2628" s="3">
        <f t="shared" si="123"/>
        <v>0</v>
      </c>
      <c r="I2628" s="29">
        <f t="shared" si="124"/>
        <v>8</v>
      </c>
      <c r="J2628" s="31" t="str">
        <f t="shared" si="125"/>
        <v>1-30</v>
      </c>
      <c r="K2628"/>
    </row>
    <row r="2629" spans="1:11" x14ac:dyDescent="0.3">
      <c r="A2629" s="21" t="s">
        <v>59</v>
      </c>
      <c r="B2629" t="str">
        <f>VLOOKUP(A2629,Customers!A:B,2,FALSE)</f>
        <v>MarketBridge</v>
      </c>
      <c r="C2629" s="25" t="s">
        <v>2996</v>
      </c>
      <c r="D2629" s="11">
        <v>46067</v>
      </c>
      <c r="E2629" s="11">
        <v>46097</v>
      </c>
      <c r="F2629" s="5">
        <v>2967.56</v>
      </c>
      <c r="G2629" s="3">
        <f>SUMIF(Customer_Payments!B:B,C2629,Customer_Payments!E:E)</f>
        <v>2967.56</v>
      </c>
      <c r="H2629" s="3">
        <f t="shared" si="123"/>
        <v>0</v>
      </c>
      <c r="I2629" s="29">
        <f t="shared" si="124"/>
        <v>-6</v>
      </c>
      <c r="J2629" s="31" t="str">
        <f t="shared" si="125"/>
        <v>Current</v>
      </c>
      <c r="K2629"/>
    </row>
    <row r="2630" spans="1:11" x14ac:dyDescent="0.3">
      <c r="A2630" s="20" t="s">
        <v>106</v>
      </c>
      <c r="B2630" t="str">
        <f>VLOOKUP(A2630,Customers!A:B,2,FALSE)</f>
        <v>RetailOrbitPro</v>
      </c>
      <c r="C2630" s="24" t="s">
        <v>2997</v>
      </c>
      <c r="D2630" s="10">
        <v>46007</v>
      </c>
      <c r="E2630" s="10">
        <v>46037</v>
      </c>
      <c r="F2630" s="4">
        <v>1556.07</v>
      </c>
      <c r="G2630" s="3">
        <f>SUMIF(Customer_Payments!B:B,C2630,Customer_Payments!E:E)</f>
        <v>0</v>
      </c>
      <c r="H2630" s="3">
        <f t="shared" si="123"/>
        <v>1556.07</v>
      </c>
      <c r="I2630" s="29">
        <f t="shared" si="124"/>
        <v>54</v>
      </c>
      <c r="J2630" s="31" t="str">
        <f t="shared" si="125"/>
        <v>31-60</v>
      </c>
      <c r="K2630"/>
    </row>
    <row r="2631" spans="1:11" x14ac:dyDescent="0.3">
      <c r="A2631" s="21" t="s">
        <v>100</v>
      </c>
      <c r="B2631" t="str">
        <f>VLOOKUP(A2631,Customers!A:B,2,FALSE)</f>
        <v>RetailBoostPro</v>
      </c>
      <c r="C2631" s="25" t="s">
        <v>2998</v>
      </c>
      <c r="D2631" s="11">
        <v>46105</v>
      </c>
      <c r="E2631" s="11">
        <v>46135</v>
      </c>
      <c r="F2631" s="5">
        <v>5671.48</v>
      </c>
      <c r="G2631" s="3">
        <f>SUMIF(Customer_Payments!B:B,C2631,Customer_Payments!E:E)</f>
        <v>0</v>
      </c>
      <c r="H2631" s="3">
        <f t="shared" si="123"/>
        <v>5671.48</v>
      </c>
      <c r="I2631" s="29">
        <f t="shared" si="124"/>
        <v>-44</v>
      </c>
      <c r="J2631" s="31" t="str">
        <f t="shared" si="125"/>
        <v>Current</v>
      </c>
      <c r="K2631"/>
    </row>
    <row r="2632" spans="1:11" x14ac:dyDescent="0.3">
      <c r="A2632" s="20" t="s">
        <v>94</v>
      </c>
      <c r="B2632" t="str">
        <f>VLOOKUP(A2632,Customers!A:B,2,FALSE)</f>
        <v>RetailDynamicsX</v>
      </c>
      <c r="C2632" s="24" t="s">
        <v>2999</v>
      </c>
      <c r="D2632" s="10">
        <v>45993</v>
      </c>
      <c r="E2632" s="10">
        <v>46023</v>
      </c>
      <c r="F2632" s="4">
        <v>2798.15</v>
      </c>
      <c r="G2632" s="3">
        <f>SUMIF(Customer_Payments!B:B,C2632,Customer_Payments!E:E)</f>
        <v>2798.15</v>
      </c>
      <c r="H2632" s="3">
        <f t="shared" si="123"/>
        <v>0</v>
      </c>
      <c r="I2632" s="29">
        <f t="shared" si="124"/>
        <v>68</v>
      </c>
      <c r="J2632" s="31" t="str">
        <f t="shared" si="125"/>
        <v>61-90</v>
      </c>
      <c r="K2632"/>
    </row>
    <row r="2633" spans="1:11" x14ac:dyDescent="0.3">
      <c r="A2633" s="21" t="s">
        <v>115</v>
      </c>
      <c r="B2633" t="str">
        <f>VLOOKUP(A2633,Customers!A:B,2,FALSE)</f>
        <v>RetailDynamicsPro</v>
      </c>
      <c r="C2633" s="25" t="s">
        <v>3000</v>
      </c>
      <c r="D2633" s="11">
        <v>46065</v>
      </c>
      <c r="E2633" s="11">
        <v>46095</v>
      </c>
      <c r="F2633" s="5">
        <v>13463.59</v>
      </c>
      <c r="G2633" s="3">
        <f>SUMIF(Customer_Payments!B:B,C2633,Customer_Payments!E:E)</f>
        <v>13463.59</v>
      </c>
      <c r="H2633" s="3">
        <f t="shared" si="123"/>
        <v>0</v>
      </c>
      <c r="I2633" s="29">
        <f t="shared" si="124"/>
        <v>-4</v>
      </c>
      <c r="J2633" s="31" t="str">
        <f t="shared" si="125"/>
        <v>Current</v>
      </c>
      <c r="K2633"/>
    </row>
    <row r="2634" spans="1:11" x14ac:dyDescent="0.3">
      <c r="A2634" s="20" t="s">
        <v>62</v>
      </c>
      <c r="B2634" t="str">
        <f>VLOOKUP(A2634,Customers!A:B,2,FALSE)</f>
        <v>MarketNova</v>
      </c>
      <c r="C2634" s="24" t="s">
        <v>3001</v>
      </c>
      <c r="D2634" s="10">
        <v>46065</v>
      </c>
      <c r="E2634" s="10">
        <v>46095</v>
      </c>
      <c r="F2634" s="4">
        <v>2182.9899999999998</v>
      </c>
      <c r="G2634" s="3">
        <f>SUMIF(Customer_Payments!B:B,C2634,Customer_Payments!E:E)</f>
        <v>2182.9899999999998</v>
      </c>
      <c r="H2634" s="3">
        <f t="shared" si="123"/>
        <v>0</v>
      </c>
      <c r="I2634" s="29">
        <f t="shared" si="124"/>
        <v>-4</v>
      </c>
      <c r="J2634" s="31" t="str">
        <f t="shared" si="125"/>
        <v>Current</v>
      </c>
      <c r="K2634"/>
    </row>
    <row r="2635" spans="1:11" x14ac:dyDescent="0.3">
      <c r="A2635" s="21" t="s">
        <v>36</v>
      </c>
      <c r="B2635" t="str">
        <f>VLOOKUP(A2635,Customers!A:B,2,FALSE)</f>
        <v>RapidMarket</v>
      </c>
      <c r="C2635" s="25" t="s">
        <v>3002</v>
      </c>
      <c r="D2635" s="11">
        <v>46076</v>
      </c>
      <c r="E2635" s="11">
        <v>46106</v>
      </c>
      <c r="F2635" s="5">
        <v>2499.6799999999998</v>
      </c>
      <c r="G2635" s="3">
        <f>SUMIF(Customer_Payments!B:B,C2635,Customer_Payments!E:E)</f>
        <v>2499.6799999999998</v>
      </c>
      <c r="H2635" s="3">
        <f t="shared" si="123"/>
        <v>0</v>
      </c>
      <c r="I2635" s="29">
        <f t="shared" si="124"/>
        <v>-15</v>
      </c>
      <c r="J2635" s="31" t="str">
        <f t="shared" si="125"/>
        <v>Current</v>
      </c>
      <c r="K2635"/>
    </row>
    <row r="2636" spans="1:11" x14ac:dyDescent="0.3">
      <c r="A2636" s="20" t="s">
        <v>103</v>
      </c>
      <c r="B2636" t="str">
        <f>VLOOKUP(A2636,Customers!A:B,2,FALSE)</f>
        <v>RetailVisionPro</v>
      </c>
      <c r="C2636" s="24" t="s">
        <v>3003</v>
      </c>
      <c r="D2636" s="10">
        <v>45995</v>
      </c>
      <c r="E2636" s="10">
        <v>46025</v>
      </c>
      <c r="F2636" s="4">
        <v>2985.64</v>
      </c>
      <c r="G2636" s="3">
        <f>SUMIF(Customer_Payments!B:B,C2636,Customer_Payments!E:E)</f>
        <v>2985.64</v>
      </c>
      <c r="H2636" s="3">
        <f t="shared" si="123"/>
        <v>0</v>
      </c>
      <c r="I2636" s="29">
        <f t="shared" si="124"/>
        <v>66</v>
      </c>
      <c r="J2636" s="31" t="str">
        <f t="shared" si="125"/>
        <v>61-90</v>
      </c>
      <c r="K2636"/>
    </row>
    <row r="2637" spans="1:11" x14ac:dyDescent="0.3">
      <c r="A2637" s="21" t="s">
        <v>78</v>
      </c>
      <c r="B2637" t="str">
        <f>VLOOKUP(A2637,Customers!A:B,2,FALSE)</f>
        <v>RetailOrbitX</v>
      </c>
      <c r="C2637" s="25" t="s">
        <v>3004</v>
      </c>
      <c r="D2637" s="11">
        <v>46021</v>
      </c>
      <c r="E2637" s="11">
        <v>46051</v>
      </c>
      <c r="F2637" s="5">
        <v>3028.64</v>
      </c>
      <c r="G2637" s="3">
        <f>SUMIF(Customer_Payments!B:B,C2637,Customer_Payments!E:E)</f>
        <v>3028.64</v>
      </c>
      <c r="H2637" s="3">
        <f t="shared" si="123"/>
        <v>0</v>
      </c>
      <c r="I2637" s="29">
        <f t="shared" si="124"/>
        <v>40</v>
      </c>
      <c r="J2637" s="31" t="str">
        <f t="shared" si="125"/>
        <v>31-60</v>
      </c>
      <c r="K2637"/>
    </row>
    <row r="2638" spans="1:11" x14ac:dyDescent="0.3">
      <c r="A2638" s="20" t="s">
        <v>74</v>
      </c>
      <c r="B2638" t="str">
        <f>VLOOKUP(A2638,Customers!A:B,2,FALSE)</f>
        <v>RetailPrime</v>
      </c>
      <c r="C2638" s="24" t="s">
        <v>3005</v>
      </c>
      <c r="D2638" s="10">
        <v>46104</v>
      </c>
      <c r="E2638" s="10">
        <v>46134</v>
      </c>
      <c r="F2638" s="4">
        <v>3219.25</v>
      </c>
      <c r="G2638" s="3">
        <f>SUMIF(Customer_Payments!B:B,C2638,Customer_Payments!E:E)</f>
        <v>3219.25</v>
      </c>
      <c r="H2638" s="3">
        <f t="shared" si="123"/>
        <v>0</v>
      </c>
      <c r="I2638" s="29">
        <f t="shared" si="124"/>
        <v>-43</v>
      </c>
      <c r="J2638" s="31" t="str">
        <f t="shared" si="125"/>
        <v>Current</v>
      </c>
      <c r="K2638"/>
    </row>
    <row r="2639" spans="1:11" x14ac:dyDescent="0.3">
      <c r="A2639" s="21" t="s">
        <v>122</v>
      </c>
      <c r="B2639" t="str">
        <f>VLOOKUP(A2639,Customers!A:B,2,FALSE)</f>
        <v>RetailCoreGlobal</v>
      </c>
      <c r="C2639" s="25" t="s">
        <v>3006</v>
      </c>
      <c r="D2639" s="11">
        <v>46068</v>
      </c>
      <c r="E2639" s="11">
        <v>46098</v>
      </c>
      <c r="F2639" s="5">
        <v>2405.59</v>
      </c>
      <c r="G2639" s="3">
        <f>SUMIF(Customer_Payments!B:B,C2639,Customer_Payments!E:E)</f>
        <v>2405.59</v>
      </c>
      <c r="H2639" s="3">
        <f t="shared" si="123"/>
        <v>0</v>
      </c>
      <c r="I2639" s="29">
        <f t="shared" si="124"/>
        <v>-7</v>
      </c>
      <c r="J2639" s="31" t="str">
        <f t="shared" si="125"/>
        <v>Current</v>
      </c>
      <c r="K2639"/>
    </row>
    <row r="2640" spans="1:11" x14ac:dyDescent="0.3">
      <c r="A2640" s="20" t="s">
        <v>31</v>
      </c>
      <c r="B2640" t="str">
        <f>VLOOKUP(A2640,Customers!A:B,2,FALSE)</f>
        <v>SparkRetail</v>
      </c>
      <c r="C2640" s="24" t="s">
        <v>3007</v>
      </c>
      <c r="D2640" s="10">
        <v>45975</v>
      </c>
      <c r="E2640" s="10">
        <v>46005</v>
      </c>
      <c r="F2640" s="4">
        <v>3588.71</v>
      </c>
      <c r="G2640" s="3">
        <f>SUMIF(Customer_Payments!B:B,C2640,Customer_Payments!E:E)</f>
        <v>0</v>
      </c>
      <c r="H2640" s="3">
        <f t="shared" si="123"/>
        <v>3588.71</v>
      </c>
      <c r="I2640" s="29">
        <f t="shared" si="124"/>
        <v>86</v>
      </c>
      <c r="J2640" s="31" t="str">
        <f t="shared" si="125"/>
        <v>61-90</v>
      </c>
      <c r="K2640"/>
    </row>
    <row r="2641" spans="1:11" x14ac:dyDescent="0.3">
      <c r="A2641" s="21" t="s">
        <v>51</v>
      </c>
      <c r="B2641" t="str">
        <f>VLOOKUP(A2641,Customers!A:B,2,FALSE)</f>
        <v>CartMasters</v>
      </c>
      <c r="C2641" s="25" t="s">
        <v>3008</v>
      </c>
      <c r="D2641" s="11">
        <v>46083</v>
      </c>
      <c r="E2641" s="11">
        <v>46113</v>
      </c>
      <c r="F2641" s="5">
        <v>1887.03</v>
      </c>
      <c r="G2641" s="3">
        <f>SUMIF(Customer_Payments!B:B,C2641,Customer_Payments!E:E)</f>
        <v>1887.03</v>
      </c>
      <c r="H2641" s="3">
        <f t="shared" si="123"/>
        <v>0</v>
      </c>
      <c r="I2641" s="29">
        <f t="shared" si="124"/>
        <v>-22</v>
      </c>
      <c r="J2641" s="31" t="str">
        <f t="shared" si="125"/>
        <v>Current</v>
      </c>
      <c r="K2641"/>
    </row>
    <row r="2642" spans="1:11" x14ac:dyDescent="0.3">
      <c r="A2642" s="20" t="s">
        <v>29</v>
      </c>
      <c r="B2642" t="str">
        <f>VLOOKUP(A2642,Customers!A:B,2,FALSE)</f>
        <v>DigitalBridge</v>
      </c>
      <c r="C2642" s="24" t="s">
        <v>3009</v>
      </c>
      <c r="D2642" s="10">
        <v>46094</v>
      </c>
      <c r="E2642" s="10">
        <v>46124</v>
      </c>
      <c r="F2642" s="4">
        <v>3446.52</v>
      </c>
      <c r="G2642" s="3">
        <f>SUMIF(Customer_Payments!B:B,C2642,Customer_Payments!E:E)</f>
        <v>3446.52</v>
      </c>
      <c r="H2642" s="3">
        <f t="shared" si="123"/>
        <v>0</v>
      </c>
      <c r="I2642" s="29">
        <f t="shared" si="124"/>
        <v>-33</v>
      </c>
      <c r="J2642" s="31" t="str">
        <f t="shared" si="125"/>
        <v>Current</v>
      </c>
      <c r="K2642"/>
    </row>
    <row r="2643" spans="1:11" x14ac:dyDescent="0.3">
      <c r="A2643" s="21" t="s">
        <v>111</v>
      </c>
      <c r="B2643" t="str">
        <f>VLOOKUP(A2643,Customers!A:B,2,FALSE)</f>
        <v>RetailPulsePro</v>
      </c>
      <c r="C2643" s="25" t="s">
        <v>3010</v>
      </c>
      <c r="D2643" s="11">
        <v>46001</v>
      </c>
      <c r="E2643" s="11">
        <v>46031</v>
      </c>
      <c r="F2643" s="5">
        <v>12990.56</v>
      </c>
      <c r="G2643" s="3">
        <f>SUMIF(Customer_Payments!B:B,C2643,Customer_Payments!E:E)</f>
        <v>12990.56</v>
      </c>
      <c r="H2643" s="3">
        <f t="shared" si="123"/>
        <v>0</v>
      </c>
      <c r="I2643" s="29">
        <f t="shared" si="124"/>
        <v>60</v>
      </c>
      <c r="J2643" s="31" t="str">
        <f t="shared" si="125"/>
        <v>31-60</v>
      </c>
      <c r="K2643"/>
    </row>
    <row r="2644" spans="1:11" x14ac:dyDescent="0.3">
      <c r="A2644" s="20" t="s">
        <v>108</v>
      </c>
      <c r="B2644" t="str">
        <f>VLOOKUP(A2644,Customers!A:B,2,FALSE)</f>
        <v>RetailNextPro</v>
      </c>
      <c r="C2644" s="24" t="s">
        <v>3011</v>
      </c>
      <c r="D2644" s="10">
        <v>45994</v>
      </c>
      <c r="E2644" s="10">
        <v>46024</v>
      </c>
      <c r="F2644" s="4">
        <v>9745.64</v>
      </c>
      <c r="G2644" s="3">
        <f>SUMIF(Customer_Payments!B:B,C2644,Customer_Payments!E:E)</f>
        <v>0</v>
      </c>
      <c r="H2644" s="3">
        <f t="shared" si="123"/>
        <v>9745.64</v>
      </c>
      <c r="I2644" s="29">
        <f t="shared" si="124"/>
        <v>67</v>
      </c>
      <c r="J2644" s="31" t="str">
        <f t="shared" si="125"/>
        <v>61-90</v>
      </c>
      <c r="K2644"/>
    </row>
    <row r="2645" spans="1:11" x14ac:dyDescent="0.3">
      <c r="A2645" s="21" t="s">
        <v>94</v>
      </c>
      <c r="B2645" t="str">
        <f>VLOOKUP(A2645,Customers!A:B,2,FALSE)</f>
        <v>RetailDynamicsX</v>
      </c>
      <c r="C2645" s="25" t="s">
        <v>3012</v>
      </c>
      <c r="D2645" s="11">
        <v>45971</v>
      </c>
      <c r="E2645" s="11">
        <v>46001</v>
      </c>
      <c r="F2645" s="5">
        <v>3368.65</v>
      </c>
      <c r="G2645" s="3">
        <f>SUMIF(Customer_Payments!B:B,C2645,Customer_Payments!E:E)</f>
        <v>3368.65</v>
      </c>
      <c r="H2645" s="3">
        <f t="shared" si="123"/>
        <v>0</v>
      </c>
      <c r="I2645" s="29">
        <f t="shared" si="124"/>
        <v>90</v>
      </c>
      <c r="J2645" s="31" t="str">
        <f t="shared" si="125"/>
        <v>61-90</v>
      </c>
      <c r="K2645"/>
    </row>
    <row r="2646" spans="1:11" x14ac:dyDescent="0.3">
      <c r="A2646" s="20" t="s">
        <v>84</v>
      </c>
      <c r="B2646" t="str">
        <f>VLOOKUP(A2646,Customers!A:B,2,FALSE)</f>
        <v>RetailVisionX</v>
      </c>
      <c r="C2646" s="24" t="s">
        <v>3013</v>
      </c>
      <c r="D2646" s="10">
        <v>46088</v>
      </c>
      <c r="E2646" s="10">
        <v>46118</v>
      </c>
      <c r="F2646" s="4">
        <v>5180.21</v>
      </c>
      <c r="G2646" s="3">
        <f>SUMIF(Customer_Payments!B:B,C2646,Customer_Payments!E:E)</f>
        <v>5180.21</v>
      </c>
      <c r="H2646" s="3">
        <f t="shared" si="123"/>
        <v>0</v>
      </c>
      <c r="I2646" s="29">
        <f t="shared" si="124"/>
        <v>-27</v>
      </c>
      <c r="J2646" s="31" t="str">
        <f t="shared" si="125"/>
        <v>Current</v>
      </c>
      <c r="K2646"/>
    </row>
    <row r="2647" spans="1:11" x14ac:dyDescent="0.3">
      <c r="A2647" s="21" t="s">
        <v>77</v>
      </c>
      <c r="B2647" t="str">
        <f>VLOOKUP(A2647,Customers!A:B,2,FALSE)</f>
        <v>RetailBridge</v>
      </c>
      <c r="C2647" s="25" t="s">
        <v>3014</v>
      </c>
      <c r="D2647" s="11">
        <v>46062</v>
      </c>
      <c r="E2647" s="11">
        <v>46092</v>
      </c>
      <c r="F2647" s="5">
        <v>5994.68</v>
      </c>
      <c r="G2647" s="3">
        <f>SUMIF(Customer_Payments!B:B,C2647,Customer_Payments!E:E)</f>
        <v>0</v>
      </c>
      <c r="H2647" s="3">
        <f t="shared" si="123"/>
        <v>5994.68</v>
      </c>
      <c r="I2647" s="29">
        <f t="shared" si="124"/>
        <v>-1</v>
      </c>
      <c r="J2647" s="31" t="str">
        <f t="shared" si="125"/>
        <v>Current</v>
      </c>
      <c r="K2647"/>
    </row>
    <row r="2648" spans="1:11" x14ac:dyDescent="0.3">
      <c r="A2648" s="20" t="s">
        <v>50</v>
      </c>
      <c r="B2648" t="str">
        <f>VLOOKUP(A2648,Customers!A:B,2,FALSE)</f>
        <v>RetailNexus</v>
      </c>
      <c r="C2648" s="24" t="s">
        <v>3015</v>
      </c>
      <c r="D2648" s="10">
        <v>45996</v>
      </c>
      <c r="E2648" s="10">
        <v>46026</v>
      </c>
      <c r="F2648" s="4">
        <v>13363.5</v>
      </c>
      <c r="G2648" s="3">
        <f>SUMIF(Customer_Payments!B:B,C2648,Customer_Payments!E:E)</f>
        <v>13363.5</v>
      </c>
      <c r="H2648" s="3">
        <f t="shared" si="123"/>
        <v>0</v>
      </c>
      <c r="I2648" s="29">
        <f t="shared" si="124"/>
        <v>65</v>
      </c>
      <c r="J2648" s="31" t="str">
        <f t="shared" si="125"/>
        <v>61-90</v>
      </c>
      <c r="K2648"/>
    </row>
    <row r="2649" spans="1:11" x14ac:dyDescent="0.3">
      <c r="A2649" s="21" t="s">
        <v>58</v>
      </c>
      <c r="B2649" t="str">
        <f>VLOOKUP(A2649,Customers!A:B,2,FALSE)</f>
        <v>RetailAxis</v>
      </c>
      <c r="C2649" s="25" t="s">
        <v>3016</v>
      </c>
      <c r="D2649" s="11">
        <v>46098</v>
      </c>
      <c r="E2649" s="11">
        <v>46128</v>
      </c>
      <c r="F2649" s="5">
        <v>4731.3900000000003</v>
      </c>
      <c r="G2649" s="3">
        <f>SUMIF(Customer_Payments!B:B,C2649,Customer_Payments!E:E)</f>
        <v>4731.3900000000003</v>
      </c>
      <c r="H2649" s="3">
        <f t="shared" si="123"/>
        <v>0</v>
      </c>
      <c r="I2649" s="29">
        <f t="shared" si="124"/>
        <v>-37</v>
      </c>
      <c r="J2649" s="31" t="str">
        <f t="shared" si="125"/>
        <v>Current</v>
      </c>
      <c r="K2649"/>
    </row>
    <row r="2650" spans="1:11" x14ac:dyDescent="0.3">
      <c r="A2650" s="20" t="s">
        <v>114</v>
      </c>
      <c r="B2650" t="str">
        <f>VLOOKUP(A2650,Customers!A:B,2,FALSE)</f>
        <v>RetailScalePro</v>
      </c>
      <c r="C2650" s="24" t="s">
        <v>3017</v>
      </c>
      <c r="D2650" s="10">
        <v>46076</v>
      </c>
      <c r="E2650" s="10">
        <v>46106</v>
      </c>
      <c r="F2650" s="4">
        <v>2829.99</v>
      </c>
      <c r="G2650" s="3">
        <f>SUMIF(Customer_Payments!B:B,C2650,Customer_Payments!E:E)</f>
        <v>2829.99</v>
      </c>
      <c r="H2650" s="3">
        <f t="shared" si="123"/>
        <v>0</v>
      </c>
      <c r="I2650" s="29">
        <f t="shared" si="124"/>
        <v>-15</v>
      </c>
      <c r="J2650" s="31" t="str">
        <f t="shared" si="125"/>
        <v>Current</v>
      </c>
      <c r="K2650"/>
    </row>
    <row r="2651" spans="1:11" x14ac:dyDescent="0.3">
      <c r="A2651" s="21" t="s">
        <v>48</v>
      </c>
      <c r="B2651" t="str">
        <f>VLOOKUP(A2651,Customers!A:B,2,FALSE)</f>
        <v>RetailGenius</v>
      </c>
      <c r="C2651" s="25" t="s">
        <v>3018</v>
      </c>
      <c r="D2651" s="11">
        <v>45971</v>
      </c>
      <c r="E2651" s="11">
        <v>46001</v>
      </c>
      <c r="F2651" s="5">
        <v>2938.29</v>
      </c>
      <c r="G2651" s="3">
        <f>SUMIF(Customer_Payments!B:B,C2651,Customer_Payments!E:E)</f>
        <v>2938.29</v>
      </c>
      <c r="H2651" s="3">
        <f t="shared" si="123"/>
        <v>0</v>
      </c>
      <c r="I2651" s="29">
        <f t="shared" si="124"/>
        <v>90</v>
      </c>
      <c r="J2651" s="31" t="str">
        <f t="shared" si="125"/>
        <v>61-90</v>
      </c>
      <c r="K2651"/>
    </row>
    <row r="2652" spans="1:11" x14ac:dyDescent="0.3">
      <c r="A2652" s="20" t="s">
        <v>103</v>
      </c>
      <c r="B2652" t="str">
        <f>VLOOKUP(A2652,Customers!A:B,2,FALSE)</f>
        <v>RetailVisionPro</v>
      </c>
      <c r="C2652" s="24" t="s">
        <v>3019</v>
      </c>
      <c r="D2652" s="10">
        <v>46018</v>
      </c>
      <c r="E2652" s="10">
        <v>46048</v>
      </c>
      <c r="F2652" s="4">
        <v>3588.2</v>
      </c>
      <c r="G2652" s="3">
        <f>SUMIF(Customer_Payments!B:B,C2652,Customer_Payments!E:E)</f>
        <v>3588.2</v>
      </c>
      <c r="H2652" s="3">
        <f t="shared" si="123"/>
        <v>0</v>
      </c>
      <c r="I2652" s="29">
        <f t="shared" si="124"/>
        <v>43</v>
      </c>
      <c r="J2652" s="31" t="str">
        <f t="shared" si="125"/>
        <v>31-60</v>
      </c>
      <c r="K2652"/>
    </row>
    <row r="2653" spans="1:11" x14ac:dyDescent="0.3">
      <c r="A2653" s="21" t="s">
        <v>104</v>
      </c>
      <c r="B2653" t="str">
        <f>VLOOKUP(A2653,Customers!A:B,2,FALSE)</f>
        <v>RetailCorePro</v>
      </c>
      <c r="C2653" s="25" t="s">
        <v>3020</v>
      </c>
      <c r="D2653" s="11">
        <v>46071</v>
      </c>
      <c r="E2653" s="11">
        <v>46101</v>
      </c>
      <c r="F2653" s="5">
        <v>3700.48</v>
      </c>
      <c r="G2653" s="3">
        <f>SUMIF(Customer_Payments!B:B,C2653,Customer_Payments!E:E)</f>
        <v>3700.48</v>
      </c>
      <c r="H2653" s="3">
        <f t="shared" si="123"/>
        <v>0</v>
      </c>
      <c r="I2653" s="29">
        <f t="shared" si="124"/>
        <v>-10</v>
      </c>
      <c r="J2653" s="31" t="str">
        <f t="shared" si="125"/>
        <v>Current</v>
      </c>
      <c r="K2653"/>
    </row>
    <row r="2654" spans="1:11" x14ac:dyDescent="0.3">
      <c r="A2654" s="20" t="s">
        <v>55</v>
      </c>
      <c r="B2654" t="str">
        <f>VLOOKUP(A2654,Customers!A:B,2,FALSE)</f>
        <v>CommerceLabs</v>
      </c>
      <c r="C2654" s="24" t="s">
        <v>3021</v>
      </c>
      <c r="D2654" s="10">
        <v>45998</v>
      </c>
      <c r="E2654" s="10">
        <v>46028</v>
      </c>
      <c r="F2654" s="4">
        <v>4585.92</v>
      </c>
      <c r="G2654" s="3">
        <f>SUMIF(Customer_Payments!B:B,C2654,Customer_Payments!E:E)</f>
        <v>4585.92</v>
      </c>
      <c r="H2654" s="3">
        <f t="shared" si="123"/>
        <v>0</v>
      </c>
      <c r="I2654" s="29">
        <f t="shared" si="124"/>
        <v>63</v>
      </c>
      <c r="J2654" s="31" t="str">
        <f t="shared" si="125"/>
        <v>61-90</v>
      </c>
      <c r="K2654"/>
    </row>
    <row r="2655" spans="1:11" x14ac:dyDescent="0.3">
      <c r="A2655" s="21" t="s">
        <v>68</v>
      </c>
      <c r="B2655" t="str">
        <f>VLOOKUP(A2655,Customers!A:B,2,FALSE)</f>
        <v>RetailVision</v>
      </c>
      <c r="C2655" s="25" t="s">
        <v>3022</v>
      </c>
      <c r="D2655" s="11">
        <v>46095</v>
      </c>
      <c r="E2655" s="11">
        <v>46125</v>
      </c>
      <c r="F2655" s="5">
        <v>2988.56</v>
      </c>
      <c r="G2655" s="3">
        <f>SUMIF(Customer_Payments!B:B,C2655,Customer_Payments!E:E)</f>
        <v>2988.56</v>
      </c>
      <c r="H2655" s="3">
        <f t="shared" si="123"/>
        <v>0</v>
      </c>
      <c r="I2655" s="29">
        <f t="shared" si="124"/>
        <v>-34</v>
      </c>
      <c r="J2655" s="31" t="str">
        <f t="shared" si="125"/>
        <v>Current</v>
      </c>
      <c r="K2655"/>
    </row>
    <row r="2656" spans="1:11" x14ac:dyDescent="0.3">
      <c r="A2656" s="20" t="s">
        <v>96</v>
      </c>
      <c r="B2656" t="str">
        <f>VLOOKUP(A2656,Customers!A:B,2,FALSE)</f>
        <v>RetailLabs</v>
      </c>
      <c r="C2656" s="24" t="s">
        <v>3023</v>
      </c>
      <c r="D2656" s="10">
        <v>46020</v>
      </c>
      <c r="E2656" s="10">
        <v>46050</v>
      </c>
      <c r="F2656" s="4">
        <v>3344.33</v>
      </c>
      <c r="G2656" s="3">
        <f>SUMIF(Customer_Payments!B:B,C2656,Customer_Payments!E:E)</f>
        <v>0</v>
      </c>
      <c r="H2656" s="3">
        <f t="shared" si="123"/>
        <v>3344.33</v>
      </c>
      <c r="I2656" s="29">
        <f t="shared" si="124"/>
        <v>41</v>
      </c>
      <c r="J2656" s="31" t="str">
        <f t="shared" si="125"/>
        <v>31-60</v>
      </c>
      <c r="K2656"/>
    </row>
    <row r="2657" spans="1:11" x14ac:dyDescent="0.3">
      <c r="A2657" s="21" t="s">
        <v>46</v>
      </c>
      <c r="B2657" t="str">
        <f>VLOOKUP(A2657,Customers!A:B,2,FALSE)</f>
        <v>NovaMarket</v>
      </c>
      <c r="C2657" s="25" t="s">
        <v>3024</v>
      </c>
      <c r="D2657" s="11">
        <v>46062</v>
      </c>
      <c r="E2657" s="11">
        <v>46092</v>
      </c>
      <c r="F2657" s="5">
        <v>3033.06</v>
      </c>
      <c r="G2657" s="3">
        <f>SUMIF(Customer_Payments!B:B,C2657,Customer_Payments!E:E)</f>
        <v>0</v>
      </c>
      <c r="H2657" s="3">
        <f t="shared" si="123"/>
        <v>3033.06</v>
      </c>
      <c r="I2657" s="29">
        <f t="shared" si="124"/>
        <v>-1</v>
      </c>
      <c r="J2657" s="31" t="str">
        <f t="shared" si="125"/>
        <v>Current</v>
      </c>
      <c r="K2657"/>
    </row>
    <row r="2658" spans="1:11" x14ac:dyDescent="0.3">
      <c r="A2658" s="20" t="s">
        <v>47</v>
      </c>
      <c r="B2658" t="str">
        <f>VLOOKUP(A2658,Customers!A:B,2,FALSE)</f>
        <v>SmartRetail</v>
      </c>
      <c r="C2658" s="24" t="s">
        <v>3025</v>
      </c>
      <c r="D2658" s="10">
        <v>46046</v>
      </c>
      <c r="E2658" s="10">
        <v>46076</v>
      </c>
      <c r="F2658" s="4">
        <v>3846.99</v>
      </c>
      <c r="G2658" s="3">
        <f>SUMIF(Customer_Payments!B:B,C2658,Customer_Payments!E:E)</f>
        <v>3846.99</v>
      </c>
      <c r="H2658" s="3">
        <f t="shared" si="123"/>
        <v>0</v>
      </c>
      <c r="I2658" s="29">
        <f t="shared" si="124"/>
        <v>15</v>
      </c>
      <c r="J2658" s="31" t="str">
        <f t="shared" si="125"/>
        <v>1-30</v>
      </c>
      <c r="K2658"/>
    </row>
    <row r="2659" spans="1:11" x14ac:dyDescent="0.3">
      <c r="A2659" s="21" t="s">
        <v>56</v>
      </c>
      <c r="B2659" t="str">
        <f>VLOOKUP(A2659,Customers!A:B,2,FALSE)</f>
        <v>RetailBoost</v>
      </c>
      <c r="C2659" s="25" t="s">
        <v>3026</v>
      </c>
      <c r="D2659" s="11">
        <v>46086</v>
      </c>
      <c r="E2659" s="11">
        <v>46116</v>
      </c>
      <c r="F2659" s="5">
        <v>1474.53</v>
      </c>
      <c r="G2659" s="3">
        <f>SUMIF(Customer_Payments!B:B,C2659,Customer_Payments!E:E)</f>
        <v>0</v>
      </c>
      <c r="H2659" s="3">
        <f t="shared" si="123"/>
        <v>1474.53</v>
      </c>
      <c r="I2659" s="29">
        <f t="shared" si="124"/>
        <v>-25</v>
      </c>
      <c r="J2659" s="31" t="str">
        <f t="shared" si="125"/>
        <v>Current</v>
      </c>
      <c r="K2659"/>
    </row>
    <row r="2660" spans="1:11" x14ac:dyDescent="0.3">
      <c r="A2660" s="20" t="s">
        <v>94</v>
      </c>
      <c r="B2660" t="str">
        <f>VLOOKUP(A2660,Customers!A:B,2,FALSE)</f>
        <v>RetailDynamicsX</v>
      </c>
      <c r="C2660" s="24" t="s">
        <v>3027</v>
      </c>
      <c r="D2660" s="10">
        <v>46045</v>
      </c>
      <c r="E2660" s="10">
        <v>46075</v>
      </c>
      <c r="F2660" s="4">
        <v>4703.53</v>
      </c>
      <c r="G2660" s="3">
        <f>SUMIF(Customer_Payments!B:B,C2660,Customer_Payments!E:E)</f>
        <v>0</v>
      </c>
      <c r="H2660" s="3">
        <f t="shared" si="123"/>
        <v>4703.53</v>
      </c>
      <c r="I2660" s="29">
        <f t="shared" si="124"/>
        <v>16</v>
      </c>
      <c r="J2660" s="31" t="str">
        <f t="shared" si="125"/>
        <v>1-30</v>
      </c>
      <c r="K2660"/>
    </row>
    <row r="2661" spans="1:11" x14ac:dyDescent="0.3">
      <c r="A2661" s="21" t="s">
        <v>94</v>
      </c>
      <c r="B2661" t="str">
        <f>VLOOKUP(A2661,Customers!A:B,2,FALSE)</f>
        <v>RetailDynamicsX</v>
      </c>
      <c r="C2661" s="25" t="s">
        <v>3028</v>
      </c>
      <c r="D2661" s="11">
        <v>46025</v>
      </c>
      <c r="E2661" s="11">
        <v>46055</v>
      </c>
      <c r="F2661" s="5">
        <v>13144.99</v>
      </c>
      <c r="G2661" s="3">
        <f>SUMIF(Customer_Payments!B:B,C2661,Customer_Payments!E:E)</f>
        <v>13144.99</v>
      </c>
      <c r="H2661" s="3">
        <f t="shared" si="123"/>
        <v>0</v>
      </c>
      <c r="I2661" s="29">
        <f t="shared" si="124"/>
        <v>36</v>
      </c>
      <c r="J2661" s="31" t="str">
        <f t="shared" si="125"/>
        <v>31-60</v>
      </c>
      <c r="K2661"/>
    </row>
    <row r="2662" spans="1:11" x14ac:dyDescent="0.3">
      <c r="A2662" s="20" t="s">
        <v>30</v>
      </c>
      <c r="B2662" t="str">
        <f>VLOOKUP(A2662,Customers!A:B,2,FALSE)</f>
        <v>CommerceFlow</v>
      </c>
      <c r="C2662" s="24" t="s">
        <v>3029</v>
      </c>
      <c r="D2662" s="10">
        <v>45999</v>
      </c>
      <c r="E2662" s="10">
        <v>46029</v>
      </c>
      <c r="F2662" s="4">
        <v>1472.2</v>
      </c>
      <c r="G2662" s="3">
        <f>SUMIF(Customer_Payments!B:B,C2662,Customer_Payments!E:E)</f>
        <v>1472.2</v>
      </c>
      <c r="H2662" s="3">
        <f t="shared" si="123"/>
        <v>0</v>
      </c>
      <c r="I2662" s="29">
        <f t="shared" si="124"/>
        <v>62</v>
      </c>
      <c r="J2662" s="31" t="str">
        <f t="shared" si="125"/>
        <v>61-90</v>
      </c>
      <c r="K2662"/>
    </row>
    <row r="2663" spans="1:11" x14ac:dyDescent="0.3">
      <c r="A2663" s="21" t="s">
        <v>33</v>
      </c>
      <c r="B2663" t="str">
        <f>VLOOKUP(A2663,Customers!A:B,2,FALSE)</f>
        <v>CloudCart</v>
      </c>
      <c r="C2663" s="25" t="s">
        <v>3030</v>
      </c>
      <c r="D2663" s="11">
        <v>46095</v>
      </c>
      <c r="E2663" s="11">
        <v>46125</v>
      </c>
      <c r="F2663" s="5">
        <v>5424.82</v>
      </c>
      <c r="G2663" s="3">
        <f>SUMIF(Customer_Payments!B:B,C2663,Customer_Payments!E:E)</f>
        <v>5424.82</v>
      </c>
      <c r="H2663" s="3">
        <f t="shared" si="123"/>
        <v>0</v>
      </c>
      <c r="I2663" s="29">
        <f t="shared" si="124"/>
        <v>-34</v>
      </c>
      <c r="J2663" s="31" t="str">
        <f t="shared" si="125"/>
        <v>Current</v>
      </c>
      <c r="K2663"/>
    </row>
    <row r="2664" spans="1:11" x14ac:dyDescent="0.3">
      <c r="A2664" s="20" t="s">
        <v>33</v>
      </c>
      <c r="B2664" t="str">
        <f>VLOOKUP(A2664,Customers!A:B,2,FALSE)</f>
        <v>CloudCart</v>
      </c>
      <c r="C2664" s="24" t="s">
        <v>3031</v>
      </c>
      <c r="D2664" s="10">
        <v>46013</v>
      </c>
      <c r="E2664" s="10">
        <v>46043</v>
      </c>
      <c r="F2664" s="4">
        <v>3696.59</v>
      </c>
      <c r="G2664" s="3">
        <f>SUMIF(Customer_Payments!B:B,C2664,Customer_Payments!E:E)</f>
        <v>0</v>
      </c>
      <c r="H2664" s="3">
        <f t="shared" si="123"/>
        <v>3696.59</v>
      </c>
      <c r="I2664" s="29">
        <f t="shared" si="124"/>
        <v>48</v>
      </c>
      <c r="J2664" s="31" t="str">
        <f t="shared" si="125"/>
        <v>31-60</v>
      </c>
      <c r="K2664"/>
    </row>
    <row r="2665" spans="1:11" x14ac:dyDescent="0.3">
      <c r="A2665" s="21" t="s">
        <v>91</v>
      </c>
      <c r="B2665" t="str">
        <f>VLOOKUP(A2665,Customers!A:B,2,FALSE)</f>
        <v>RetailBridgeX</v>
      </c>
      <c r="C2665" s="25" t="s">
        <v>3032</v>
      </c>
      <c r="D2665" s="11">
        <v>46018</v>
      </c>
      <c r="E2665" s="11">
        <v>46048</v>
      </c>
      <c r="F2665" s="5">
        <v>1523.76</v>
      </c>
      <c r="G2665" s="3">
        <f>SUMIF(Customer_Payments!B:B,C2665,Customer_Payments!E:E)</f>
        <v>0</v>
      </c>
      <c r="H2665" s="3">
        <f t="shared" si="123"/>
        <v>1523.76</v>
      </c>
      <c r="I2665" s="29">
        <f t="shared" si="124"/>
        <v>43</v>
      </c>
      <c r="J2665" s="31" t="str">
        <f t="shared" si="125"/>
        <v>31-60</v>
      </c>
      <c r="K2665"/>
    </row>
    <row r="2666" spans="1:11" x14ac:dyDescent="0.3">
      <c r="A2666" s="20" t="s">
        <v>114</v>
      </c>
      <c r="B2666" t="str">
        <f>VLOOKUP(A2666,Customers!A:B,2,FALSE)</f>
        <v>RetailScalePro</v>
      </c>
      <c r="C2666" s="24" t="s">
        <v>3033</v>
      </c>
      <c r="D2666" s="10">
        <v>45982</v>
      </c>
      <c r="E2666" s="10">
        <v>46012</v>
      </c>
      <c r="F2666" s="4">
        <v>2984.4</v>
      </c>
      <c r="G2666" s="3">
        <f>SUMIF(Customer_Payments!B:B,C2666,Customer_Payments!E:E)</f>
        <v>2984.4</v>
      </c>
      <c r="H2666" s="3">
        <f t="shared" si="123"/>
        <v>0</v>
      </c>
      <c r="I2666" s="29">
        <f t="shared" si="124"/>
        <v>79</v>
      </c>
      <c r="J2666" s="31" t="str">
        <f t="shared" si="125"/>
        <v>61-90</v>
      </c>
      <c r="K2666"/>
    </row>
    <row r="2667" spans="1:11" x14ac:dyDescent="0.3">
      <c r="A2667" s="21" t="s">
        <v>92</v>
      </c>
      <c r="B2667" t="str">
        <f>VLOOKUP(A2667,Customers!A:B,2,FALSE)</f>
        <v>RetailMatrixX</v>
      </c>
      <c r="C2667" s="25" t="s">
        <v>3034</v>
      </c>
      <c r="D2667" s="11">
        <v>46055</v>
      </c>
      <c r="E2667" s="11">
        <v>46085</v>
      </c>
      <c r="F2667" s="5">
        <v>9814.83</v>
      </c>
      <c r="G2667" s="3">
        <f>SUMIF(Customer_Payments!B:B,C2667,Customer_Payments!E:E)</f>
        <v>9814.83</v>
      </c>
      <c r="H2667" s="3">
        <f t="shared" si="123"/>
        <v>0</v>
      </c>
      <c r="I2667" s="29">
        <f t="shared" si="124"/>
        <v>6</v>
      </c>
      <c r="J2667" s="31" t="str">
        <f t="shared" si="125"/>
        <v>1-30</v>
      </c>
      <c r="K2667"/>
    </row>
    <row r="2668" spans="1:11" x14ac:dyDescent="0.3">
      <c r="A2668" s="20" t="s">
        <v>117</v>
      </c>
      <c r="B2668" t="str">
        <f>VLOOKUP(A2668,Customers!A:B,2,FALSE)</f>
        <v>RetailSparkPro</v>
      </c>
      <c r="C2668" s="24" t="s">
        <v>3035</v>
      </c>
      <c r="D2668" s="10">
        <v>46013</v>
      </c>
      <c r="E2668" s="10">
        <v>46043</v>
      </c>
      <c r="F2668" s="4">
        <v>2881.94</v>
      </c>
      <c r="G2668" s="3">
        <f>SUMIF(Customer_Payments!B:B,C2668,Customer_Payments!E:E)</f>
        <v>2881.94</v>
      </c>
      <c r="H2668" s="3">
        <f t="shared" si="123"/>
        <v>0</v>
      </c>
      <c r="I2668" s="29">
        <f t="shared" si="124"/>
        <v>48</v>
      </c>
      <c r="J2668" s="31" t="str">
        <f t="shared" si="125"/>
        <v>31-60</v>
      </c>
      <c r="K2668"/>
    </row>
    <row r="2669" spans="1:11" x14ac:dyDescent="0.3">
      <c r="A2669" s="21" t="s">
        <v>41</v>
      </c>
      <c r="B2669" t="str">
        <f>VLOOKUP(A2669,Customers!A:B,2,FALSE)</f>
        <v>DynamicRetail</v>
      </c>
      <c r="C2669" s="25" t="s">
        <v>3036</v>
      </c>
      <c r="D2669" s="11">
        <v>46032</v>
      </c>
      <c r="E2669" s="11">
        <v>46062</v>
      </c>
      <c r="F2669" s="5">
        <v>1663.01</v>
      </c>
      <c r="G2669" s="3">
        <f>SUMIF(Customer_Payments!B:B,C2669,Customer_Payments!E:E)</f>
        <v>1663.01</v>
      </c>
      <c r="H2669" s="3">
        <f t="shared" si="123"/>
        <v>0</v>
      </c>
      <c r="I2669" s="29">
        <f t="shared" si="124"/>
        <v>29</v>
      </c>
      <c r="J2669" s="31" t="str">
        <f t="shared" si="125"/>
        <v>1-30</v>
      </c>
      <c r="K2669"/>
    </row>
    <row r="2670" spans="1:11" x14ac:dyDescent="0.3">
      <c r="A2670" s="20" t="s">
        <v>114</v>
      </c>
      <c r="B2670" t="str">
        <f>VLOOKUP(A2670,Customers!A:B,2,FALSE)</f>
        <v>RetailScalePro</v>
      </c>
      <c r="C2670" s="24" t="s">
        <v>3037</v>
      </c>
      <c r="D2670" s="10">
        <v>46006</v>
      </c>
      <c r="E2670" s="10">
        <v>46036</v>
      </c>
      <c r="F2670" s="4">
        <v>12913.35</v>
      </c>
      <c r="G2670" s="3">
        <f>SUMIF(Customer_Payments!B:B,C2670,Customer_Payments!E:E)</f>
        <v>12913.35</v>
      </c>
      <c r="H2670" s="3">
        <f t="shared" si="123"/>
        <v>0</v>
      </c>
      <c r="I2670" s="29">
        <f t="shared" si="124"/>
        <v>55</v>
      </c>
      <c r="J2670" s="31" t="str">
        <f t="shared" si="125"/>
        <v>31-60</v>
      </c>
      <c r="K2670"/>
    </row>
    <row r="2671" spans="1:11" x14ac:dyDescent="0.3">
      <c r="A2671" s="21" t="s">
        <v>87</v>
      </c>
      <c r="B2671" t="str">
        <f>VLOOKUP(A2671,Customers!A:B,2,FALSE)</f>
        <v>RetailStreamX</v>
      </c>
      <c r="C2671" s="25" t="s">
        <v>3038</v>
      </c>
      <c r="D2671" s="11">
        <v>46099</v>
      </c>
      <c r="E2671" s="11">
        <v>46129</v>
      </c>
      <c r="F2671" s="5">
        <v>5633.45</v>
      </c>
      <c r="G2671" s="3">
        <f>SUMIF(Customer_Payments!B:B,C2671,Customer_Payments!E:E)</f>
        <v>5633.45</v>
      </c>
      <c r="H2671" s="3">
        <f t="shared" si="123"/>
        <v>0</v>
      </c>
      <c r="I2671" s="29">
        <f t="shared" si="124"/>
        <v>-38</v>
      </c>
      <c r="J2671" s="31" t="str">
        <f t="shared" si="125"/>
        <v>Current</v>
      </c>
      <c r="K2671"/>
    </row>
    <row r="2672" spans="1:11" x14ac:dyDescent="0.3">
      <c r="A2672" s="20" t="s">
        <v>95</v>
      </c>
      <c r="B2672" t="str">
        <f>VLOOKUP(A2672,Customers!A:B,2,FALSE)</f>
        <v>RetailScaleX</v>
      </c>
      <c r="C2672" s="24" t="s">
        <v>3039</v>
      </c>
      <c r="D2672" s="10">
        <v>45980</v>
      </c>
      <c r="E2672" s="10">
        <v>46010</v>
      </c>
      <c r="F2672" s="4">
        <v>1724.74</v>
      </c>
      <c r="G2672" s="3">
        <f>SUMIF(Customer_Payments!B:B,C2672,Customer_Payments!E:E)</f>
        <v>1724.74</v>
      </c>
      <c r="H2672" s="3">
        <f t="shared" si="123"/>
        <v>0</v>
      </c>
      <c r="I2672" s="29">
        <f t="shared" si="124"/>
        <v>81</v>
      </c>
      <c r="J2672" s="31" t="str">
        <f t="shared" si="125"/>
        <v>61-90</v>
      </c>
      <c r="K2672"/>
    </row>
    <row r="2673" spans="1:11" x14ac:dyDescent="0.3">
      <c r="A2673" s="21" t="s">
        <v>108</v>
      </c>
      <c r="B2673" t="str">
        <f>VLOOKUP(A2673,Customers!A:B,2,FALSE)</f>
        <v>RetailNextPro</v>
      </c>
      <c r="C2673" s="25" t="s">
        <v>3040</v>
      </c>
      <c r="D2673" s="11">
        <v>45989</v>
      </c>
      <c r="E2673" s="11">
        <v>46019</v>
      </c>
      <c r="F2673" s="5">
        <v>4141.05</v>
      </c>
      <c r="G2673" s="3">
        <f>SUMIF(Customer_Payments!B:B,C2673,Customer_Payments!E:E)</f>
        <v>4141.05</v>
      </c>
      <c r="H2673" s="3">
        <f t="shared" si="123"/>
        <v>0</v>
      </c>
      <c r="I2673" s="29">
        <f t="shared" si="124"/>
        <v>72</v>
      </c>
      <c r="J2673" s="31" t="str">
        <f t="shared" si="125"/>
        <v>61-90</v>
      </c>
      <c r="K2673"/>
    </row>
    <row r="2674" spans="1:11" x14ac:dyDescent="0.3">
      <c r="A2674" s="20" t="s">
        <v>101</v>
      </c>
      <c r="B2674" t="str">
        <f>VLOOKUP(A2674,Customers!A:B,2,FALSE)</f>
        <v>RetailMatrixPro</v>
      </c>
      <c r="C2674" s="24" t="s">
        <v>3041</v>
      </c>
      <c r="D2674" s="10">
        <v>46011</v>
      </c>
      <c r="E2674" s="10">
        <v>46041</v>
      </c>
      <c r="F2674" s="4">
        <v>9919.2000000000007</v>
      </c>
      <c r="G2674" s="3">
        <f>SUMIF(Customer_Payments!B:B,C2674,Customer_Payments!E:E)</f>
        <v>9919.2000000000007</v>
      </c>
      <c r="H2674" s="3">
        <f t="shared" si="123"/>
        <v>0</v>
      </c>
      <c r="I2674" s="29">
        <f t="shared" si="124"/>
        <v>50</v>
      </c>
      <c r="J2674" s="31" t="str">
        <f t="shared" si="125"/>
        <v>31-60</v>
      </c>
      <c r="K2674"/>
    </row>
    <row r="2675" spans="1:11" x14ac:dyDescent="0.3">
      <c r="A2675" s="21" t="s">
        <v>75</v>
      </c>
      <c r="B2675" t="str">
        <f>VLOOKUP(A2675,Customers!A:B,2,FALSE)</f>
        <v>RetailMatrix</v>
      </c>
      <c r="C2675" s="25" t="s">
        <v>3042</v>
      </c>
      <c r="D2675" s="11">
        <v>46106</v>
      </c>
      <c r="E2675" s="11">
        <v>46136</v>
      </c>
      <c r="F2675" s="5">
        <v>2955.32</v>
      </c>
      <c r="G2675" s="3">
        <f>SUMIF(Customer_Payments!B:B,C2675,Customer_Payments!E:E)</f>
        <v>2955.32</v>
      </c>
      <c r="H2675" s="3">
        <f t="shared" si="123"/>
        <v>0</v>
      </c>
      <c r="I2675" s="29">
        <f t="shared" si="124"/>
        <v>-45</v>
      </c>
      <c r="J2675" s="31" t="str">
        <f t="shared" si="125"/>
        <v>Current</v>
      </c>
      <c r="K2675"/>
    </row>
    <row r="2676" spans="1:11" x14ac:dyDescent="0.3">
      <c r="A2676" s="20" t="s">
        <v>22</v>
      </c>
      <c r="B2676" t="str">
        <f>VLOOKUP(A2676,Customers!A:B,2,FALSE)</f>
        <v>QuantumRetail</v>
      </c>
      <c r="C2676" s="24" t="s">
        <v>3043</v>
      </c>
      <c r="D2676" s="10">
        <v>46018</v>
      </c>
      <c r="E2676" s="10">
        <v>46048</v>
      </c>
      <c r="F2676" s="4">
        <v>2284.6999999999998</v>
      </c>
      <c r="G2676" s="3">
        <f>SUMIF(Customer_Payments!B:B,C2676,Customer_Payments!E:E)</f>
        <v>2284.6999999999998</v>
      </c>
      <c r="H2676" s="3">
        <f t="shared" si="123"/>
        <v>0</v>
      </c>
      <c r="I2676" s="29">
        <f t="shared" si="124"/>
        <v>43</v>
      </c>
      <c r="J2676" s="31" t="str">
        <f t="shared" si="125"/>
        <v>31-60</v>
      </c>
      <c r="K2676"/>
    </row>
    <row r="2677" spans="1:11" x14ac:dyDescent="0.3">
      <c r="A2677" s="21" t="s">
        <v>78</v>
      </c>
      <c r="B2677" t="str">
        <f>VLOOKUP(A2677,Customers!A:B,2,FALSE)</f>
        <v>RetailOrbitX</v>
      </c>
      <c r="C2677" s="25" t="s">
        <v>3044</v>
      </c>
      <c r="D2677" s="11">
        <v>46032</v>
      </c>
      <c r="E2677" s="11">
        <v>46062</v>
      </c>
      <c r="F2677" s="5">
        <v>13549.81</v>
      </c>
      <c r="G2677" s="3">
        <f>SUMIF(Customer_Payments!B:B,C2677,Customer_Payments!E:E)</f>
        <v>0</v>
      </c>
      <c r="H2677" s="3">
        <f t="shared" si="123"/>
        <v>13549.81</v>
      </c>
      <c r="I2677" s="29">
        <f t="shared" si="124"/>
        <v>29</v>
      </c>
      <c r="J2677" s="31" t="str">
        <f t="shared" si="125"/>
        <v>1-30</v>
      </c>
      <c r="K2677"/>
    </row>
    <row r="2678" spans="1:11" x14ac:dyDescent="0.3">
      <c r="A2678" s="20" t="s">
        <v>20</v>
      </c>
      <c r="B2678" t="str">
        <f>VLOOKUP(A2678,Customers!A:B,2,FALSE)</f>
        <v>GrowthSphere</v>
      </c>
      <c r="C2678" s="24" t="s">
        <v>3045</v>
      </c>
      <c r="D2678" s="10">
        <v>46087</v>
      </c>
      <c r="E2678" s="10">
        <v>46117</v>
      </c>
      <c r="F2678" s="4">
        <v>10563.78</v>
      </c>
      <c r="G2678" s="3">
        <f>SUMIF(Customer_Payments!B:B,C2678,Customer_Payments!E:E)</f>
        <v>10563.78</v>
      </c>
      <c r="H2678" s="3">
        <f t="shared" si="123"/>
        <v>0</v>
      </c>
      <c r="I2678" s="29">
        <f t="shared" si="124"/>
        <v>-26</v>
      </c>
      <c r="J2678" s="31" t="str">
        <f t="shared" si="125"/>
        <v>Current</v>
      </c>
      <c r="K2678"/>
    </row>
    <row r="2679" spans="1:11" x14ac:dyDescent="0.3">
      <c r="A2679" s="21" t="s">
        <v>104</v>
      </c>
      <c r="B2679" t="str">
        <f>VLOOKUP(A2679,Customers!A:B,2,FALSE)</f>
        <v>RetailCorePro</v>
      </c>
      <c r="C2679" s="25" t="s">
        <v>3046</v>
      </c>
      <c r="D2679" s="11">
        <v>46054</v>
      </c>
      <c r="E2679" s="11">
        <v>46084</v>
      </c>
      <c r="F2679" s="5">
        <v>2674.37</v>
      </c>
      <c r="G2679" s="3">
        <f>SUMIF(Customer_Payments!B:B,C2679,Customer_Payments!E:E)</f>
        <v>2674.37</v>
      </c>
      <c r="H2679" s="3">
        <f t="shared" si="123"/>
        <v>0</v>
      </c>
      <c r="I2679" s="29">
        <f t="shared" si="124"/>
        <v>7</v>
      </c>
      <c r="J2679" s="31" t="str">
        <f t="shared" si="125"/>
        <v>1-30</v>
      </c>
      <c r="K2679"/>
    </row>
    <row r="2680" spans="1:11" x14ac:dyDescent="0.3">
      <c r="A2680" s="20" t="s">
        <v>63</v>
      </c>
      <c r="B2680" t="str">
        <f>VLOOKUP(A2680,Customers!A:B,2,FALSE)</f>
        <v>RetailCore</v>
      </c>
      <c r="C2680" s="24" t="s">
        <v>3047</v>
      </c>
      <c r="D2680" s="10">
        <v>46010</v>
      </c>
      <c r="E2680" s="10">
        <v>46040</v>
      </c>
      <c r="F2680" s="4">
        <v>2020.61</v>
      </c>
      <c r="G2680" s="3">
        <f>SUMIF(Customer_Payments!B:B,C2680,Customer_Payments!E:E)</f>
        <v>2020.61</v>
      </c>
      <c r="H2680" s="3">
        <f t="shared" si="123"/>
        <v>0</v>
      </c>
      <c r="I2680" s="29">
        <f t="shared" si="124"/>
        <v>51</v>
      </c>
      <c r="J2680" s="31" t="str">
        <f t="shared" si="125"/>
        <v>31-60</v>
      </c>
      <c r="K2680"/>
    </row>
    <row r="2681" spans="1:11" x14ac:dyDescent="0.3">
      <c r="A2681" s="21" t="s">
        <v>71</v>
      </c>
      <c r="B2681" t="str">
        <f>VLOOKUP(A2681,Customers!A:B,2,FALSE)</f>
        <v>RetailPulse</v>
      </c>
      <c r="C2681" s="25" t="s">
        <v>3048</v>
      </c>
      <c r="D2681" s="11">
        <v>46091</v>
      </c>
      <c r="E2681" s="11">
        <v>46121</v>
      </c>
      <c r="F2681" s="5">
        <v>1542.79</v>
      </c>
      <c r="G2681" s="3">
        <f>SUMIF(Customer_Payments!B:B,C2681,Customer_Payments!E:E)</f>
        <v>1542.79</v>
      </c>
      <c r="H2681" s="3">
        <f t="shared" si="123"/>
        <v>0</v>
      </c>
      <c r="I2681" s="29">
        <f t="shared" si="124"/>
        <v>-30</v>
      </c>
      <c r="J2681" s="31" t="str">
        <f t="shared" si="125"/>
        <v>Current</v>
      </c>
      <c r="K2681"/>
    </row>
    <row r="2682" spans="1:11" x14ac:dyDescent="0.3">
      <c r="A2682" s="20" t="s">
        <v>8</v>
      </c>
      <c r="B2682" t="str">
        <f>VLOOKUP(A2682,Customers!A:B,2,FALSE)</f>
        <v>NexaSoft</v>
      </c>
      <c r="C2682" s="24" t="s">
        <v>3049</v>
      </c>
      <c r="D2682" s="10">
        <v>46020</v>
      </c>
      <c r="E2682" s="10">
        <v>46050</v>
      </c>
      <c r="F2682" s="4">
        <v>5537.1</v>
      </c>
      <c r="G2682" s="3">
        <f>SUMIF(Customer_Payments!B:B,C2682,Customer_Payments!E:E)</f>
        <v>5537.1</v>
      </c>
      <c r="H2682" s="3">
        <f t="shared" si="123"/>
        <v>0</v>
      </c>
      <c r="I2682" s="29">
        <f t="shared" si="124"/>
        <v>41</v>
      </c>
      <c r="J2682" s="31" t="str">
        <f t="shared" si="125"/>
        <v>31-60</v>
      </c>
      <c r="K2682"/>
    </row>
    <row r="2683" spans="1:11" x14ac:dyDescent="0.3">
      <c r="A2683" s="21" t="s">
        <v>32</v>
      </c>
      <c r="B2683" t="str">
        <f>VLOOKUP(A2683,Customers!A:B,2,FALSE)</f>
        <v>RetailVista</v>
      </c>
      <c r="C2683" s="25" t="s">
        <v>3050</v>
      </c>
      <c r="D2683" s="11">
        <v>46020</v>
      </c>
      <c r="E2683" s="11">
        <v>46050</v>
      </c>
      <c r="F2683" s="5">
        <v>4682.6899999999996</v>
      </c>
      <c r="G2683" s="3">
        <f>SUMIF(Customer_Payments!B:B,C2683,Customer_Payments!E:E)</f>
        <v>4682.6899999999996</v>
      </c>
      <c r="H2683" s="3">
        <f t="shared" si="123"/>
        <v>0</v>
      </c>
      <c r="I2683" s="29">
        <f t="shared" si="124"/>
        <v>41</v>
      </c>
      <c r="J2683" s="31" t="str">
        <f t="shared" si="125"/>
        <v>31-60</v>
      </c>
      <c r="K2683"/>
    </row>
    <row r="2684" spans="1:11" x14ac:dyDescent="0.3">
      <c r="A2684" s="20" t="s">
        <v>71</v>
      </c>
      <c r="B2684" t="str">
        <f>VLOOKUP(A2684,Customers!A:B,2,FALSE)</f>
        <v>RetailPulse</v>
      </c>
      <c r="C2684" s="24" t="s">
        <v>3051</v>
      </c>
      <c r="D2684" s="10">
        <v>46032</v>
      </c>
      <c r="E2684" s="10">
        <v>46062</v>
      </c>
      <c r="F2684" s="4">
        <v>1480.63</v>
      </c>
      <c r="G2684" s="3">
        <f>SUMIF(Customer_Payments!B:B,C2684,Customer_Payments!E:E)</f>
        <v>0</v>
      </c>
      <c r="H2684" s="3">
        <f t="shared" si="123"/>
        <v>1480.63</v>
      </c>
      <c r="I2684" s="29">
        <f t="shared" si="124"/>
        <v>29</v>
      </c>
      <c r="J2684" s="31" t="str">
        <f t="shared" si="125"/>
        <v>1-30</v>
      </c>
      <c r="K2684"/>
    </row>
    <row r="2685" spans="1:11" x14ac:dyDescent="0.3">
      <c r="A2685" s="21" t="s">
        <v>99</v>
      </c>
      <c r="B2685" t="str">
        <f>VLOOKUP(A2685,Customers!A:B,2,FALSE)</f>
        <v>RetailNovaPro</v>
      </c>
      <c r="C2685" s="25" t="s">
        <v>3052</v>
      </c>
      <c r="D2685" s="11">
        <v>46074</v>
      </c>
      <c r="E2685" s="11">
        <v>46104</v>
      </c>
      <c r="F2685" s="5">
        <v>2670.28</v>
      </c>
      <c r="G2685" s="3">
        <f>SUMIF(Customer_Payments!B:B,C2685,Customer_Payments!E:E)</f>
        <v>2670.28</v>
      </c>
      <c r="H2685" s="3">
        <f t="shared" si="123"/>
        <v>0</v>
      </c>
      <c r="I2685" s="29">
        <f t="shared" si="124"/>
        <v>-13</v>
      </c>
      <c r="J2685" s="31" t="str">
        <f t="shared" si="125"/>
        <v>Current</v>
      </c>
      <c r="K2685"/>
    </row>
    <row r="2686" spans="1:11" x14ac:dyDescent="0.3">
      <c r="A2686" s="20" t="s">
        <v>84</v>
      </c>
      <c r="B2686" t="str">
        <f>VLOOKUP(A2686,Customers!A:B,2,FALSE)</f>
        <v>RetailVisionX</v>
      </c>
      <c r="C2686" s="24" t="s">
        <v>3053</v>
      </c>
      <c r="D2686" s="10">
        <v>46032</v>
      </c>
      <c r="E2686" s="10">
        <v>46062</v>
      </c>
      <c r="F2686" s="4">
        <v>9721.49</v>
      </c>
      <c r="G2686" s="3">
        <f>SUMIF(Customer_Payments!B:B,C2686,Customer_Payments!E:E)</f>
        <v>0</v>
      </c>
      <c r="H2686" s="3">
        <f t="shared" si="123"/>
        <v>9721.49</v>
      </c>
      <c r="I2686" s="29">
        <f t="shared" si="124"/>
        <v>29</v>
      </c>
      <c r="J2686" s="31" t="str">
        <f t="shared" si="125"/>
        <v>1-30</v>
      </c>
      <c r="K2686"/>
    </row>
    <row r="2687" spans="1:11" x14ac:dyDescent="0.3">
      <c r="A2687" s="21" t="s">
        <v>47</v>
      </c>
      <c r="B2687" t="str">
        <f>VLOOKUP(A2687,Customers!A:B,2,FALSE)</f>
        <v>SmartRetail</v>
      </c>
      <c r="C2687" s="25" t="s">
        <v>3054</v>
      </c>
      <c r="D2687" s="11">
        <v>46028</v>
      </c>
      <c r="E2687" s="11">
        <v>46058</v>
      </c>
      <c r="F2687" s="5">
        <v>3202.93</v>
      </c>
      <c r="G2687" s="3">
        <f>SUMIF(Customer_Payments!B:B,C2687,Customer_Payments!E:E)</f>
        <v>3202.93</v>
      </c>
      <c r="H2687" s="3">
        <f t="shared" si="123"/>
        <v>0</v>
      </c>
      <c r="I2687" s="29">
        <f t="shared" si="124"/>
        <v>33</v>
      </c>
      <c r="J2687" s="31" t="str">
        <f t="shared" si="125"/>
        <v>31-60</v>
      </c>
      <c r="K2687"/>
    </row>
    <row r="2688" spans="1:11" x14ac:dyDescent="0.3">
      <c r="A2688" s="20" t="s">
        <v>9</v>
      </c>
      <c r="B2688" t="str">
        <f>VLOOKUP(A2688,Customers!A:B,2,FALSE)</f>
        <v>UrbanRetail</v>
      </c>
      <c r="C2688" s="24" t="s">
        <v>3055</v>
      </c>
      <c r="D2688" s="10">
        <v>45964</v>
      </c>
      <c r="E2688" s="10">
        <v>45994</v>
      </c>
      <c r="F2688" s="4">
        <v>2533.64</v>
      </c>
      <c r="G2688" s="3">
        <f>SUMIF(Customer_Payments!B:B,C2688,Customer_Payments!E:E)</f>
        <v>2533.64</v>
      </c>
      <c r="H2688" s="3">
        <f t="shared" si="123"/>
        <v>0</v>
      </c>
      <c r="I2688" s="29">
        <f t="shared" si="124"/>
        <v>97</v>
      </c>
      <c r="J2688" s="31" t="str">
        <f t="shared" si="125"/>
        <v>90+</v>
      </c>
      <c r="K2688"/>
    </row>
    <row r="2689" spans="1:11" x14ac:dyDescent="0.3">
      <c r="A2689" s="21" t="s">
        <v>25</v>
      </c>
      <c r="B2689" t="str">
        <f>VLOOKUP(A2689,Customers!A:B,2,FALSE)</f>
        <v>OrbitEdge</v>
      </c>
      <c r="C2689" s="25" t="s">
        <v>3056</v>
      </c>
      <c r="D2689" s="11">
        <v>46040</v>
      </c>
      <c r="E2689" s="11">
        <v>46070</v>
      </c>
      <c r="F2689" s="5">
        <v>3808.68</v>
      </c>
      <c r="G2689" s="3">
        <f>SUMIF(Customer_Payments!B:B,C2689,Customer_Payments!E:E)</f>
        <v>3808.68</v>
      </c>
      <c r="H2689" s="3">
        <f t="shared" si="123"/>
        <v>0</v>
      </c>
      <c r="I2689" s="29">
        <f t="shared" si="124"/>
        <v>21</v>
      </c>
      <c r="J2689" s="31" t="str">
        <f t="shared" si="125"/>
        <v>1-30</v>
      </c>
      <c r="K2689"/>
    </row>
    <row r="2690" spans="1:11" x14ac:dyDescent="0.3">
      <c r="A2690" s="20" t="s">
        <v>14</v>
      </c>
      <c r="B2690" t="str">
        <f>VLOOKUP(A2690,Customers!A:B,2,FALSE)</f>
        <v>MarketPulse</v>
      </c>
      <c r="C2690" s="24" t="s">
        <v>3057</v>
      </c>
      <c r="D2690" s="10">
        <v>46022</v>
      </c>
      <c r="E2690" s="10">
        <v>46052</v>
      </c>
      <c r="F2690" s="4">
        <v>3221.18</v>
      </c>
      <c r="G2690" s="3">
        <f>SUMIF(Customer_Payments!B:B,C2690,Customer_Payments!E:E)</f>
        <v>3221.18</v>
      </c>
      <c r="H2690" s="3">
        <f t="shared" ref="H2690:H2753" si="126">MAX(F2690-G2690,0)</f>
        <v>0</v>
      </c>
      <c r="I2690" s="29">
        <f t="shared" ref="I2690:I2753" si="127">$L$2-E2690</f>
        <v>39</v>
      </c>
      <c r="J2690" s="31" t="str">
        <f t="shared" si="125"/>
        <v>31-60</v>
      </c>
      <c r="K2690"/>
    </row>
    <row r="2691" spans="1:11" x14ac:dyDescent="0.3">
      <c r="A2691" s="21" t="s">
        <v>11</v>
      </c>
      <c r="B2691" t="str">
        <f>VLOOKUP(A2691,Customers!A:B,2,FALSE)</f>
        <v>DataHive</v>
      </c>
      <c r="C2691" s="25" t="s">
        <v>3058</v>
      </c>
      <c r="D2691" s="11">
        <v>46083</v>
      </c>
      <c r="E2691" s="11">
        <v>46113</v>
      </c>
      <c r="F2691" s="5">
        <v>13289.74</v>
      </c>
      <c r="G2691" s="3">
        <f>SUMIF(Customer_Payments!B:B,C2691,Customer_Payments!E:E)</f>
        <v>0</v>
      </c>
      <c r="H2691" s="3">
        <f t="shared" si="126"/>
        <v>13289.74</v>
      </c>
      <c r="I2691" s="29">
        <f t="shared" si="127"/>
        <v>-22</v>
      </c>
      <c r="J2691" s="31" t="str">
        <f t="shared" ref="J2691:J2754" si="128">IF(I2691&lt;=0,"Current",
IF(I2691&lt;=30,"1-30",
IF(I2691&lt;=60,"31-60",
IF(I2691&lt;=90,"61-90","90+"))))</f>
        <v>Current</v>
      </c>
      <c r="K2691"/>
    </row>
    <row r="2692" spans="1:11" x14ac:dyDescent="0.3">
      <c r="A2692" s="20" t="s">
        <v>67</v>
      </c>
      <c r="B2692" t="str">
        <f>VLOOKUP(A2692,Customers!A:B,2,FALSE)</f>
        <v>RetailDynamics</v>
      </c>
      <c r="C2692" s="24" t="s">
        <v>3059</v>
      </c>
      <c r="D2692" s="10">
        <v>46031</v>
      </c>
      <c r="E2692" s="10">
        <v>46061</v>
      </c>
      <c r="F2692" s="4">
        <v>3563.82</v>
      </c>
      <c r="G2692" s="3">
        <f>SUMIF(Customer_Payments!B:B,C2692,Customer_Payments!E:E)</f>
        <v>0</v>
      </c>
      <c r="H2692" s="3">
        <f t="shared" si="126"/>
        <v>3563.82</v>
      </c>
      <c r="I2692" s="29">
        <f t="shared" si="127"/>
        <v>30</v>
      </c>
      <c r="J2692" s="31" t="str">
        <f t="shared" si="128"/>
        <v>1-30</v>
      </c>
      <c r="K2692"/>
    </row>
    <row r="2693" spans="1:11" x14ac:dyDescent="0.3">
      <c r="A2693" s="21" t="s">
        <v>64</v>
      </c>
      <c r="B2693" t="str">
        <f>VLOOKUP(A2693,Customers!A:B,2,FALSE)</f>
        <v>MarketScale</v>
      </c>
      <c r="C2693" s="25" t="s">
        <v>3060</v>
      </c>
      <c r="D2693" s="11">
        <v>46111</v>
      </c>
      <c r="E2693" s="11">
        <v>46141</v>
      </c>
      <c r="F2693" s="5">
        <v>3702.71</v>
      </c>
      <c r="G2693" s="3">
        <f>SUMIF(Customer_Payments!B:B,C2693,Customer_Payments!E:E)</f>
        <v>3702.71</v>
      </c>
      <c r="H2693" s="3">
        <f t="shared" si="126"/>
        <v>0</v>
      </c>
      <c r="I2693" s="29">
        <f t="shared" si="127"/>
        <v>-50</v>
      </c>
      <c r="J2693" s="31" t="str">
        <f t="shared" si="128"/>
        <v>Current</v>
      </c>
      <c r="K2693"/>
    </row>
    <row r="2694" spans="1:11" x14ac:dyDescent="0.3">
      <c r="A2694" s="20" t="s">
        <v>88</v>
      </c>
      <c r="B2694" t="str">
        <f>VLOOKUP(A2694,Customers!A:B,2,FALSE)</f>
        <v>RetailPrimeX</v>
      </c>
      <c r="C2694" s="24" t="s">
        <v>3061</v>
      </c>
      <c r="D2694" s="10">
        <v>46102</v>
      </c>
      <c r="E2694" s="10">
        <v>46132</v>
      </c>
      <c r="F2694" s="4">
        <v>1611.12</v>
      </c>
      <c r="G2694" s="3">
        <f>SUMIF(Customer_Payments!B:B,C2694,Customer_Payments!E:E)</f>
        <v>1611.12</v>
      </c>
      <c r="H2694" s="3">
        <f t="shared" si="126"/>
        <v>0</v>
      </c>
      <c r="I2694" s="29">
        <f t="shared" si="127"/>
        <v>-41</v>
      </c>
      <c r="J2694" s="31" t="str">
        <f t="shared" si="128"/>
        <v>Current</v>
      </c>
      <c r="K2694"/>
    </row>
    <row r="2695" spans="1:11" x14ac:dyDescent="0.3">
      <c r="A2695" s="21" t="s">
        <v>53</v>
      </c>
      <c r="B2695" t="str">
        <f>VLOOKUP(A2695,Customers!A:B,2,FALSE)</f>
        <v>PrimeCart</v>
      </c>
      <c r="C2695" s="25" t="s">
        <v>3062</v>
      </c>
      <c r="D2695" s="11">
        <v>45986</v>
      </c>
      <c r="E2695" s="11">
        <v>46016</v>
      </c>
      <c r="F2695" s="5">
        <v>11899.82</v>
      </c>
      <c r="G2695" s="3">
        <f>SUMIF(Customer_Payments!B:B,C2695,Customer_Payments!E:E)</f>
        <v>11899.82</v>
      </c>
      <c r="H2695" s="3">
        <f t="shared" si="126"/>
        <v>0</v>
      </c>
      <c r="I2695" s="29">
        <f t="shared" si="127"/>
        <v>75</v>
      </c>
      <c r="J2695" s="31" t="str">
        <f t="shared" si="128"/>
        <v>61-90</v>
      </c>
      <c r="K2695"/>
    </row>
    <row r="2696" spans="1:11" x14ac:dyDescent="0.3">
      <c r="A2696" s="20" t="s">
        <v>56</v>
      </c>
      <c r="B2696" t="str">
        <f>VLOOKUP(A2696,Customers!A:B,2,FALSE)</f>
        <v>RetailBoost</v>
      </c>
      <c r="C2696" s="24" t="s">
        <v>3063</v>
      </c>
      <c r="D2696" s="10">
        <v>46006</v>
      </c>
      <c r="E2696" s="10">
        <v>46036</v>
      </c>
      <c r="F2696" s="4">
        <v>4288.8100000000004</v>
      </c>
      <c r="G2696" s="3">
        <f>SUMIF(Customer_Payments!B:B,C2696,Customer_Payments!E:E)</f>
        <v>4288.8100000000004</v>
      </c>
      <c r="H2696" s="3">
        <f t="shared" si="126"/>
        <v>0</v>
      </c>
      <c r="I2696" s="29">
        <f t="shared" si="127"/>
        <v>55</v>
      </c>
      <c r="J2696" s="31" t="str">
        <f t="shared" si="128"/>
        <v>31-60</v>
      </c>
      <c r="K2696"/>
    </row>
    <row r="2697" spans="1:11" x14ac:dyDescent="0.3">
      <c r="A2697" s="21" t="s">
        <v>110</v>
      </c>
      <c r="B2697" t="str">
        <f>VLOOKUP(A2697,Customers!A:B,2,FALSE)</f>
        <v>RetailAxisPro</v>
      </c>
      <c r="C2697" s="25" t="s">
        <v>3064</v>
      </c>
      <c r="D2697" s="11">
        <v>45994</v>
      </c>
      <c r="E2697" s="11">
        <v>46024</v>
      </c>
      <c r="F2697" s="5">
        <v>2881.94</v>
      </c>
      <c r="G2697" s="3">
        <f>SUMIF(Customer_Payments!B:B,C2697,Customer_Payments!E:E)</f>
        <v>2881.94</v>
      </c>
      <c r="H2697" s="3">
        <f t="shared" si="126"/>
        <v>0</v>
      </c>
      <c r="I2697" s="29">
        <f t="shared" si="127"/>
        <v>67</v>
      </c>
      <c r="J2697" s="31" t="str">
        <f t="shared" si="128"/>
        <v>61-90</v>
      </c>
      <c r="K2697"/>
    </row>
    <row r="2698" spans="1:11" x14ac:dyDescent="0.3">
      <c r="A2698" s="20" t="s">
        <v>76</v>
      </c>
      <c r="B2698" t="str">
        <f>VLOOKUP(A2698,Customers!A:B,2,FALSE)</f>
        <v>RetailSphere</v>
      </c>
      <c r="C2698" s="24" t="s">
        <v>3065</v>
      </c>
      <c r="D2698" s="10">
        <v>46032</v>
      </c>
      <c r="E2698" s="10">
        <v>46062</v>
      </c>
      <c r="F2698" s="4">
        <v>2143.98</v>
      </c>
      <c r="G2698" s="3">
        <f>SUMIF(Customer_Payments!B:B,C2698,Customer_Payments!E:E)</f>
        <v>2143.98</v>
      </c>
      <c r="H2698" s="3">
        <f t="shared" si="126"/>
        <v>0</v>
      </c>
      <c r="I2698" s="29">
        <f t="shared" si="127"/>
        <v>29</v>
      </c>
      <c r="J2698" s="31" t="str">
        <f t="shared" si="128"/>
        <v>1-30</v>
      </c>
      <c r="K2698"/>
    </row>
    <row r="2699" spans="1:11" x14ac:dyDescent="0.3">
      <c r="A2699" s="21" t="s">
        <v>58</v>
      </c>
      <c r="B2699" t="str">
        <f>VLOOKUP(A2699,Customers!A:B,2,FALSE)</f>
        <v>RetailAxis</v>
      </c>
      <c r="C2699" s="25" t="s">
        <v>3066</v>
      </c>
      <c r="D2699" s="11">
        <v>45962</v>
      </c>
      <c r="E2699" s="11">
        <v>45992</v>
      </c>
      <c r="F2699" s="5">
        <v>5974.98</v>
      </c>
      <c r="G2699" s="3">
        <f>SUMIF(Customer_Payments!B:B,C2699,Customer_Payments!E:E)</f>
        <v>5974.98</v>
      </c>
      <c r="H2699" s="3">
        <f t="shared" si="126"/>
        <v>0</v>
      </c>
      <c r="I2699" s="29">
        <f t="shared" si="127"/>
        <v>99</v>
      </c>
      <c r="J2699" s="31" t="str">
        <f t="shared" si="128"/>
        <v>90+</v>
      </c>
      <c r="K2699"/>
    </row>
    <row r="2700" spans="1:11" x14ac:dyDescent="0.3">
      <c r="A2700" s="20" t="s">
        <v>56</v>
      </c>
      <c r="B2700" t="str">
        <f>VLOOKUP(A2700,Customers!A:B,2,FALSE)</f>
        <v>RetailBoost</v>
      </c>
      <c r="C2700" s="24" t="s">
        <v>3067</v>
      </c>
      <c r="D2700" s="10">
        <v>46016</v>
      </c>
      <c r="E2700" s="10">
        <v>46046</v>
      </c>
      <c r="F2700" s="4">
        <v>13841.38</v>
      </c>
      <c r="G2700" s="3">
        <f>SUMIF(Customer_Payments!B:B,C2700,Customer_Payments!E:E)</f>
        <v>13841.38</v>
      </c>
      <c r="H2700" s="3">
        <f t="shared" si="126"/>
        <v>0</v>
      </c>
      <c r="I2700" s="29">
        <f t="shared" si="127"/>
        <v>45</v>
      </c>
      <c r="J2700" s="31" t="str">
        <f t="shared" si="128"/>
        <v>31-60</v>
      </c>
      <c r="K2700"/>
    </row>
    <row r="2701" spans="1:11" x14ac:dyDescent="0.3">
      <c r="A2701" s="21" t="s">
        <v>99</v>
      </c>
      <c r="B2701" t="str">
        <f>VLOOKUP(A2701,Customers!A:B,2,FALSE)</f>
        <v>RetailNovaPro</v>
      </c>
      <c r="C2701" s="25" t="s">
        <v>3068</v>
      </c>
      <c r="D2701" s="11">
        <v>46028</v>
      </c>
      <c r="E2701" s="11">
        <v>46058</v>
      </c>
      <c r="F2701" s="5">
        <v>11345.09</v>
      </c>
      <c r="G2701" s="3">
        <f>SUMIF(Customer_Payments!B:B,C2701,Customer_Payments!E:E)</f>
        <v>11345.09</v>
      </c>
      <c r="H2701" s="3">
        <f t="shared" si="126"/>
        <v>0</v>
      </c>
      <c r="I2701" s="29">
        <f t="shared" si="127"/>
        <v>33</v>
      </c>
      <c r="J2701" s="31" t="str">
        <f t="shared" si="128"/>
        <v>31-60</v>
      </c>
      <c r="K2701"/>
    </row>
    <row r="2702" spans="1:11" x14ac:dyDescent="0.3">
      <c r="A2702" s="20" t="s">
        <v>31</v>
      </c>
      <c r="B2702" t="str">
        <f>VLOOKUP(A2702,Customers!A:B,2,FALSE)</f>
        <v>SparkRetail</v>
      </c>
      <c r="C2702" s="24" t="s">
        <v>3069</v>
      </c>
      <c r="D2702" s="10">
        <v>45990</v>
      </c>
      <c r="E2702" s="10">
        <v>46020</v>
      </c>
      <c r="F2702" s="4">
        <v>3088.28</v>
      </c>
      <c r="G2702" s="3">
        <f>SUMIF(Customer_Payments!B:B,C2702,Customer_Payments!E:E)</f>
        <v>3088.28</v>
      </c>
      <c r="H2702" s="3">
        <f t="shared" si="126"/>
        <v>0</v>
      </c>
      <c r="I2702" s="29">
        <f t="shared" si="127"/>
        <v>71</v>
      </c>
      <c r="J2702" s="31" t="str">
        <f t="shared" si="128"/>
        <v>61-90</v>
      </c>
      <c r="K2702"/>
    </row>
    <row r="2703" spans="1:11" x14ac:dyDescent="0.3">
      <c r="A2703" s="21" t="s">
        <v>77</v>
      </c>
      <c r="B2703" t="str">
        <f>VLOOKUP(A2703,Customers!A:B,2,FALSE)</f>
        <v>RetailBridge</v>
      </c>
      <c r="C2703" s="25" t="s">
        <v>3070</v>
      </c>
      <c r="D2703" s="11">
        <v>46096</v>
      </c>
      <c r="E2703" s="11">
        <v>46126</v>
      </c>
      <c r="F2703" s="5">
        <v>1914.71</v>
      </c>
      <c r="G2703" s="3">
        <f>SUMIF(Customer_Payments!B:B,C2703,Customer_Payments!E:E)</f>
        <v>0</v>
      </c>
      <c r="H2703" s="3">
        <f t="shared" si="126"/>
        <v>1914.71</v>
      </c>
      <c r="I2703" s="29">
        <f t="shared" si="127"/>
        <v>-35</v>
      </c>
      <c r="J2703" s="31" t="str">
        <f t="shared" si="128"/>
        <v>Current</v>
      </c>
      <c r="K2703"/>
    </row>
    <row r="2704" spans="1:11" x14ac:dyDescent="0.3">
      <c r="A2704" s="20" t="s">
        <v>67</v>
      </c>
      <c r="B2704" t="str">
        <f>VLOOKUP(A2704,Customers!A:B,2,FALSE)</f>
        <v>RetailDynamics</v>
      </c>
      <c r="C2704" s="24" t="s">
        <v>3071</v>
      </c>
      <c r="D2704" s="10">
        <v>45998</v>
      </c>
      <c r="E2704" s="10">
        <v>46028</v>
      </c>
      <c r="F2704" s="4">
        <v>11399.12</v>
      </c>
      <c r="G2704" s="3">
        <f>SUMIF(Customer_Payments!B:B,C2704,Customer_Payments!E:E)</f>
        <v>11399.12</v>
      </c>
      <c r="H2704" s="3">
        <f t="shared" si="126"/>
        <v>0</v>
      </c>
      <c r="I2704" s="29">
        <f t="shared" si="127"/>
        <v>63</v>
      </c>
      <c r="J2704" s="31" t="str">
        <f t="shared" si="128"/>
        <v>61-90</v>
      </c>
      <c r="K2704"/>
    </row>
    <row r="2705" spans="1:11" x14ac:dyDescent="0.3">
      <c r="A2705" s="21" t="s">
        <v>106</v>
      </c>
      <c r="B2705" t="str">
        <f>VLOOKUP(A2705,Customers!A:B,2,FALSE)</f>
        <v>RetailOrbitPro</v>
      </c>
      <c r="C2705" s="25" t="s">
        <v>3072</v>
      </c>
      <c r="D2705" s="11">
        <v>46020</v>
      </c>
      <c r="E2705" s="11">
        <v>46050</v>
      </c>
      <c r="F2705" s="5">
        <v>3051.39</v>
      </c>
      <c r="G2705" s="3">
        <f>SUMIF(Customer_Payments!B:B,C2705,Customer_Payments!E:E)</f>
        <v>0</v>
      </c>
      <c r="H2705" s="3">
        <f t="shared" si="126"/>
        <v>3051.39</v>
      </c>
      <c r="I2705" s="29">
        <f t="shared" si="127"/>
        <v>41</v>
      </c>
      <c r="J2705" s="31" t="str">
        <f t="shared" si="128"/>
        <v>31-60</v>
      </c>
      <c r="K2705"/>
    </row>
    <row r="2706" spans="1:11" x14ac:dyDescent="0.3">
      <c r="A2706" s="20" t="s">
        <v>120</v>
      </c>
      <c r="B2706" t="str">
        <f>VLOOKUP(A2706,Customers!A:B,2,FALSE)</f>
        <v>RetailPrimeGlobal</v>
      </c>
      <c r="C2706" s="24" t="s">
        <v>3073</v>
      </c>
      <c r="D2706" s="10">
        <v>46053</v>
      </c>
      <c r="E2706" s="10">
        <v>46083</v>
      </c>
      <c r="F2706" s="4">
        <v>3376.96</v>
      </c>
      <c r="G2706" s="3">
        <f>SUMIF(Customer_Payments!B:B,C2706,Customer_Payments!E:E)</f>
        <v>3376.96</v>
      </c>
      <c r="H2706" s="3">
        <f t="shared" si="126"/>
        <v>0</v>
      </c>
      <c r="I2706" s="29">
        <f t="shared" si="127"/>
        <v>8</v>
      </c>
      <c r="J2706" s="31" t="str">
        <f t="shared" si="128"/>
        <v>1-30</v>
      </c>
      <c r="K2706"/>
    </row>
    <row r="2707" spans="1:11" x14ac:dyDescent="0.3">
      <c r="A2707" s="21" t="s">
        <v>63</v>
      </c>
      <c r="B2707" t="str">
        <f>VLOOKUP(A2707,Customers!A:B,2,FALSE)</f>
        <v>RetailCore</v>
      </c>
      <c r="C2707" s="25" t="s">
        <v>3074</v>
      </c>
      <c r="D2707" s="11">
        <v>45999</v>
      </c>
      <c r="E2707" s="11">
        <v>46029</v>
      </c>
      <c r="F2707" s="5">
        <v>5319.3</v>
      </c>
      <c r="G2707" s="3">
        <f>SUMIF(Customer_Payments!B:B,C2707,Customer_Payments!E:E)</f>
        <v>5319.3</v>
      </c>
      <c r="H2707" s="3">
        <f t="shared" si="126"/>
        <v>0</v>
      </c>
      <c r="I2707" s="29">
        <f t="shared" si="127"/>
        <v>62</v>
      </c>
      <c r="J2707" s="31" t="str">
        <f t="shared" si="128"/>
        <v>61-90</v>
      </c>
      <c r="K2707"/>
    </row>
    <row r="2708" spans="1:11" x14ac:dyDescent="0.3">
      <c r="A2708" s="20" t="s">
        <v>41</v>
      </c>
      <c r="B2708" t="str">
        <f>VLOOKUP(A2708,Customers!A:B,2,FALSE)</f>
        <v>DynamicRetail</v>
      </c>
      <c r="C2708" s="24" t="s">
        <v>3075</v>
      </c>
      <c r="D2708" s="10">
        <v>46018</v>
      </c>
      <c r="E2708" s="10">
        <v>46048</v>
      </c>
      <c r="F2708" s="4">
        <v>3232.76</v>
      </c>
      <c r="G2708" s="3">
        <f>SUMIF(Customer_Payments!B:B,C2708,Customer_Payments!E:E)</f>
        <v>3232.76</v>
      </c>
      <c r="H2708" s="3">
        <f t="shared" si="126"/>
        <v>0</v>
      </c>
      <c r="I2708" s="29">
        <f t="shared" si="127"/>
        <v>43</v>
      </c>
      <c r="J2708" s="31" t="str">
        <f t="shared" si="128"/>
        <v>31-60</v>
      </c>
      <c r="K2708"/>
    </row>
    <row r="2709" spans="1:11" x14ac:dyDescent="0.3">
      <c r="A2709" s="21" t="s">
        <v>80</v>
      </c>
      <c r="B2709" t="str">
        <f>VLOOKUP(A2709,Customers!A:B,2,FALSE)</f>
        <v>RetailEdgeX</v>
      </c>
      <c r="C2709" s="25" t="s">
        <v>3076</v>
      </c>
      <c r="D2709" s="11">
        <v>46048</v>
      </c>
      <c r="E2709" s="11">
        <v>46078</v>
      </c>
      <c r="F2709" s="5">
        <v>1930.05</v>
      </c>
      <c r="G2709" s="3">
        <f>SUMIF(Customer_Payments!B:B,C2709,Customer_Payments!E:E)</f>
        <v>1930.05</v>
      </c>
      <c r="H2709" s="3">
        <f t="shared" si="126"/>
        <v>0</v>
      </c>
      <c r="I2709" s="29">
        <f t="shared" si="127"/>
        <v>13</v>
      </c>
      <c r="J2709" s="31" t="str">
        <f t="shared" si="128"/>
        <v>1-30</v>
      </c>
      <c r="K2709"/>
    </row>
    <row r="2710" spans="1:11" x14ac:dyDescent="0.3">
      <c r="A2710" s="20" t="s">
        <v>101</v>
      </c>
      <c r="B2710" t="str">
        <f>VLOOKUP(A2710,Customers!A:B,2,FALSE)</f>
        <v>RetailMatrixPro</v>
      </c>
      <c r="C2710" s="24" t="s">
        <v>3077</v>
      </c>
      <c r="D2710" s="10">
        <v>46109</v>
      </c>
      <c r="E2710" s="10">
        <v>46139</v>
      </c>
      <c r="F2710" s="4">
        <v>4301.37</v>
      </c>
      <c r="G2710" s="3">
        <f>SUMIF(Customer_Payments!B:B,C2710,Customer_Payments!E:E)</f>
        <v>4301.37</v>
      </c>
      <c r="H2710" s="3">
        <f t="shared" si="126"/>
        <v>0</v>
      </c>
      <c r="I2710" s="29">
        <f t="shared" si="127"/>
        <v>-48</v>
      </c>
      <c r="J2710" s="31" t="str">
        <f t="shared" si="128"/>
        <v>Current</v>
      </c>
      <c r="K2710"/>
    </row>
    <row r="2711" spans="1:11" x14ac:dyDescent="0.3">
      <c r="A2711" s="21" t="s">
        <v>104</v>
      </c>
      <c r="B2711" t="str">
        <f>VLOOKUP(A2711,Customers!A:B,2,FALSE)</f>
        <v>RetailCorePro</v>
      </c>
      <c r="C2711" s="25" t="s">
        <v>3078</v>
      </c>
      <c r="D2711" s="11">
        <v>46050</v>
      </c>
      <c r="E2711" s="11">
        <v>46080</v>
      </c>
      <c r="F2711" s="5">
        <v>5525.24</v>
      </c>
      <c r="G2711" s="3">
        <f>SUMIF(Customer_Payments!B:B,C2711,Customer_Payments!E:E)</f>
        <v>5525.24</v>
      </c>
      <c r="H2711" s="3">
        <f t="shared" si="126"/>
        <v>0</v>
      </c>
      <c r="I2711" s="29">
        <f t="shared" si="127"/>
        <v>11</v>
      </c>
      <c r="J2711" s="31" t="str">
        <f t="shared" si="128"/>
        <v>1-30</v>
      </c>
      <c r="K2711"/>
    </row>
    <row r="2712" spans="1:11" x14ac:dyDescent="0.3">
      <c r="A2712" s="20" t="s">
        <v>107</v>
      </c>
      <c r="B2712" t="str">
        <f>VLOOKUP(A2712,Customers!A:B,2,FALSE)</f>
        <v>RetailWorksPro</v>
      </c>
      <c r="C2712" s="24" t="s">
        <v>3079</v>
      </c>
      <c r="D2712" s="10">
        <v>45979</v>
      </c>
      <c r="E2712" s="10">
        <v>46009</v>
      </c>
      <c r="F2712" s="4">
        <v>3542.82</v>
      </c>
      <c r="G2712" s="3">
        <f>SUMIF(Customer_Payments!B:B,C2712,Customer_Payments!E:E)</f>
        <v>3542.82</v>
      </c>
      <c r="H2712" s="3">
        <f t="shared" si="126"/>
        <v>0</v>
      </c>
      <c r="I2712" s="29">
        <f t="shared" si="127"/>
        <v>82</v>
      </c>
      <c r="J2712" s="31" t="str">
        <f t="shared" si="128"/>
        <v>61-90</v>
      </c>
      <c r="K2712"/>
    </row>
    <row r="2713" spans="1:11" x14ac:dyDescent="0.3">
      <c r="A2713" s="21" t="s">
        <v>18</v>
      </c>
      <c r="B2713" t="str">
        <f>VLOOKUP(A2713,Customers!A:B,2,FALSE)</f>
        <v>BluePeak Systems</v>
      </c>
      <c r="C2713" s="25" t="s">
        <v>3080</v>
      </c>
      <c r="D2713" s="11">
        <v>45998</v>
      </c>
      <c r="E2713" s="11">
        <v>46028</v>
      </c>
      <c r="F2713" s="5">
        <v>2502.9</v>
      </c>
      <c r="G2713" s="3">
        <f>SUMIF(Customer_Payments!B:B,C2713,Customer_Payments!E:E)</f>
        <v>2502.8999999999996</v>
      </c>
      <c r="H2713" s="3">
        <f t="shared" si="126"/>
        <v>4.5474735088646412E-13</v>
      </c>
      <c r="I2713" s="29">
        <f t="shared" si="127"/>
        <v>63</v>
      </c>
      <c r="J2713" s="31" t="str">
        <f t="shared" si="128"/>
        <v>61-90</v>
      </c>
      <c r="K2713"/>
    </row>
    <row r="2714" spans="1:11" x14ac:dyDescent="0.3">
      <c r="A2714" s="20" t="s">
        <v>34</v>
      </c>
      <c r="B2714" t="str">
        <f>VLOOKUP(A2714,Customers!A:B,2,FALSE)</f>
        <v>OptiCommerce</v>
      </c>
      <c r="C2714" s="24" t="s">
        <v>3081</v>
      </c>
      <c r="D2714" s="10">
        <v>46089</v>
      </c>
      <c r="E2714" s="10">
        <v>46119</v>
      </c>
      <c r="F2714" s="4">
        <v>2931.56</v>
      </c>
      <c r="G2714" s="3">
        <f>SUMIF(Customer_Payments!B:B,C2714,Customer_Payments!E:E)</f>
        <v>2931.56</v>
      </c>
      <c r="H2714" s="3">
        <f t="shared" si="126"/>
        <v>0</v>
      </c>
      <c r="I2714" s="29">
        <f t="shared" si="127"/>
        <v>-28</v>
      </c>
      <c r="J2714" s="31" t="str">
        <f t="shared" si="128"/>
        <v>Current</v>
      </c>
      <c r="K2714"/>
    </row>
    <row r="2715" spans="1:11" x14ac:dyDescent="0.3">
      <c r="A2715" s="21" t="s">
        <v>81</v>
      </c>
      <c r="B2715" t="str">
        <f>VLOOKUP(A2715,Customers!A:B,2,FALSE)</f>
        <v>RetailFlowX</v>
      </c>
      <c r="C2715" s="25" t="s">
        <v>3082</v>
      </c>
      <c r="D2715" s="11">
        <v>45963</v>
      </c>
      <c r="E2715" s="11">
        <v>45993</v>
      </c>
      <c r="F2715" s="5">
        <v>2840.68</v>
      </c>
      <c r="G2715" s="3">
        <f>SUMIF(Customer_Payments!B:B,C2715,Customer_Payments!E:E)</f>
        <v>0</v>
      </c>
      <c r="H2715" s="3">
        <f t="shared" si="126"/>
        <v>2840.68</v>
      </c>
      <c r="I2715" s="29">
        <f t="shared" si="127"/>
        <v>98</v>
      </c>
      <c r="J2715" s="31" t="str">
        <f t="shared" si="128"/>
        <v>90+</v>
      </c>
      <c r="K2715"/>
    </row>
    <row r="2716" spans="1:11" x14ac:dyDescent="0.3">
      <c r="A2716" s="20" t="s">
        <v>19</v>
      </c>
      <c r="B2716" t="str">
        <f>VLOOKUP(A2716,Customers!A:B,2,FALSE)</f>
        <v>NextWave Digital</v>
      </c>
      <c r="C2716" s="24" t="s">
        <v>3083</v>
      </c>
      <c r="D2716" s="10">
        <v>46051</v>
      </c>
      <c r="E2716" s="10">
        <v>46081</v>
      </c>
      <c r="F2716" s="4">
        <v>11880.42</v>
      </c>
      <c r="G2716" s="3">
        <f>SUMIF(Customer_Payments!B:B,C2716,Customer_Payments!E:E)</f>
        <v>11880.42</v>
      </c>
      <c r="H2716" s="3">
        <f t="shared" si="126"/>
        <v>0</v>
      </c>
      <c r="I2716" s="29">
        <f t="shared" si="127"/>
        <v>10</v>
      </c>
      <c r="J2716" s="31" t="str">
        <f t="shared" si="128"/>
        <v>1-30</v>
      </c>
      <c r="K2716"/>
    </row>
    <row r="2717" spans="1:11" x14ac:dyDescent="0.3">
      <c r="A2717" s="21" t="s">
        <v>22</v>
      </c>
      <c r="B2717" t="str">
        <f>VLOOKUP(A2717,Customers!A:B,2,FALSE)</f>
        <v>QuantumRetail</v>
      </c>
      <c r="C2717" s="25" t="s">
        <v>3084</v>
      </c>
      <c r="D2717" s="11">
        <v>46030</v>
      </c>
      <c r="E2717" s="11">
        <v>46060</v>
      </c>
      <c r="F2717" s="5">
        <v>3023.74</v>
      </c>
      <c r="G2717" s="3">
        <f>SUMIF(Customer_Payments!B:B,C2717,Customer_Payments!E:E)</f>
        <v>3023.74</v>
      </c>
      <c r="H2717" s="3">
        <f t="shared" si="126"/>
        <v>0</v>
      </c>
      <c r="I2717" s="29">
        <f t="shared" si="127"/>
        <v>31</v>
      </c>
      <c r="J2717" s="31" t="str">
        <f t="shared" si="128"/>
        <v>31-60</v>
      </c>
      <c r="K2717"/>
    </row>
    <row r="2718" spans="1:11" x14ac:dyDescent="0.3">
      <c r="A2718" s="20" t="s">
        <v>87</v>
      </c>
      <c r="B2718" t="str">
        <f>VLOOKUP(A2718,Customers!A:B,2,FALSE)</f>
        <v>RetailStreamX</v>
      </c>
      <c r="C2718" s="24" t="s">
        <v>3085</v>
      </c>
      <c r="D2718" s="10">
        <v>46103</v>
      </c>
      <c r="E2718" s="10">
        <v>46133</v>
      </c>
      <c r="F2718" s="4">
        <v>4074.32</v>
      </c>
      <c r="G2718" s="3">
        <f>SUMIF(Customer_Payments!B:B,C2718,Customer_Payments!E:E)</f>
        <v>4074.32</v>
      </c>
      <c r="H2718" s="3">
        <f t="shared" si="126"/>
        <v>0</v>
      </c>
      <c r="I2718" s="29">
        <f t="shared" si="127"/>
        <v>-42</v>
      </c>
      <c r="J2718" s="31" t="str">
        <f t="shared" si="128"/>
        <v>Current</v>
      </c>
      <c r="K2718"/>
    </row>
    <row r="2719" spans="1:11" x14ac:dyDescent="0.3">
      <c r="A2719" s="21" t="s">
        <v>38</v>
      </c>
      <c r="B2719" t="str">
        <f>VLOOKUP(A2719,Customers!A:B,2,FALSE)</f>
        <v>RetailForge</v>
      </c>
      <c r="C2719" s="25" t="s">
        <v>3086</v>
      </c>
      <c r="D2719" s="11">
        <v>46077</v>
      </c>
      <c r="E2719" s="11">
        <v>46107</v>
      </c>
      <c r="F2719" s="5">
        <v>12959.34</v>
      </c>
      <c r="G2719" s="3">
        <f>SUMIF(Customer_Payments!B:B,C2719,Customer_Payments!E:E)</f>
        <v>0</v>
      </c>
      <c r="H2719" s="3">
        <f t="shared" si="126"/>
        <v>12959.34</v>
      </c>
      <c r="I2719" s="29">
        <f t="shared" si="127"/>
        <v>-16</v>
      </c>
      <c r="J2719" s="31" t="str">
        <f t="shared" si="128"/>
        <v>Current</v>
      </c>
      <c r="K2719"/>
    </row>
    <row r="2720" spans="1:11" x14ac:dyDescent="0.3">
      <c r="A2720" s="20" t="s">
        <v>12</v>
      </c>
      <c r="B2720" t="str">
        <f>VLOOKUP(A2720,Customers!A:B,2,FALSE)</f>
        <v>ShopOrbit</v>
      </c>
      <c r="C2720" s="24" t="s">
        <v>3087</v>
      </c>
      <c r="D2720" s="10">
        <v>46041</v>
      </c>
      <c r="E2720" s="10">
        <v>46071</v>
      </c>
      <c r="F2720" s="4">
        <v>3196.64</v>
      </c>
      <c r="G2720" s="3">
        <f>SUMIF(Customer_Payments!B:B,C2720,Customer_Payments!E:E)</f>
        <v>3196.64</v>
      </c>
      <c r="H2720" s="3">
        <f t="shared" si="126"/>
        <v>0</v>
      </c>
      <c r="I2720" s="29">
        <f t="shared" si="127"/>
        <v>20</v>
      </c>
      <c r="J2720" s="31" t="str">
        <f t="shared" si="128"/>
        <v>1-30</v>
      </c>
      <c r="K2720"/>
    </row>
    <row r="2721" spans="1:11" x14ac:dyDescent="0.3">
      <c r="A2721" s="21" t="s">
        <v>105</v>
      </c>
      <c r="B2721" t="str">
        <f>VLOOKUP(A2721,Customers!A:B,2,FALSE)</f>
        <v>RetailFlowPro</v>
      </c>
      <c r="C2721" s="25" t="s">
        <v>3088</v>
      </c>
      <c r="D2721" s="11">
        <v>45980</v>
      </c>
      <c r="E2721" s="11">
        <v>46010</v>
      </c>
      <c r="F2721" s="5">
        <v>5760.46</v>
      </c>
      <c r="G2721" s="3">
        <f>SUMIF(Customer_Payments!B:B,C2721,Customer_Payments!E:E)</f>
        <v>5760.46</v>
      </c>
      <c r="H2721" s="3">
        <f t="shared" si="126"/>
        <v>0</v>
      </c>
      <c r="I2721" s="29">
        <f t="shared" si="127"/>
        <v>81</v>
      </c>
      <c r="J2721" s="31" t="str">
        <f t="shared" si="128"/>
        <v>61-90</v>
      </c>
      <c r="K2721"/>
    </row>
    <row r="2722" spans="1:11" x14ac:dyDescent="0.3">
      <c r="A2722" s="20" t="s">
        <v>81</v>
      </c>
      <c r="B2722" t="str">
        <f>VLOOKUP(A2722,Customers!A:B,2,FALSE)</f>
        <v>RetailFlowX</v>
      </c>
      <c r="C2722" s="24" t="s">
        <v>3089</v>
      </c>
      <c r="D2722" s="10">
        <v>45993</v>
      </c>
      <c r="E2722" s="10">
        <v>46023</v>
      </c>
      <c r="F2722" s="4">
        <v>3103.41</v>
      </c>
      <c r="G2722" s="3">
        <f>SUMIF(Customer_Payments!B:B,C2722,Customer_Payments!E:E)</f>
        <v>0</v>
      </c>
      <c r="H2722" s="3">
        <f t="shared" si="126"/>
        <v>3103.41</v>
      </c>
      <c r="I2722" s="29">
        <f t="shared" si="127"/>
        <v>68</v>
      </c>
      <c r="J2722" s="31" t="str">
        <f t="shared" si="128"/>
        <v>61-90</v>
      </c>
      <c r="K2722"/>
    </row>
    <row r="2723" spans="1:11" x14ac:dyDescent="0.3">
      <c r="A2723" s="21" t="s">
        <v>79</v>
      </c>
      <c r="B2723" t="str">
        <f>VLOOKUP(A2723,Customers!A:B,2,FALSE)</f>
        <v>RetailBoostX</v>
      </c>
      <c r="C2723" s="25" t="s">
        <v>3090</v>
      </c>
      <c r="D2723" s="11">
        <v>46037</v>
      </c>
      <c r="E2723" s="11">
        <v>46067</v>
      </c>
      <c r="F2723" s="5">
        <v>3054.57</v>
      </c>
      <c r="G2723" s="3">
        <f>SUMIF(Customer_Payments!B:B,C2723,Customer_Payments!E:E)</f>
        <v>0</v>
      </c>
      <c r="H2723" s="3">
        <f t="shared" si="126"/>
        <v>3054.57</v>
      </c>
      <c r="I2723" s="29">
        <f t="shared" si="127"/>
        <v>24</v>
      </c>
      <c r="J2723" s="31" t="str">
        <f t="shared" si="128"/>
        <v>1-30</v>
      </c>
      <c r="K2723"/>
    </row>
    <row r="2724" spans="1:11" x14ac:dyDescent="0.3">
      <c r="A2724" s="20" t="s">
        <v>24</v>
      </c>
      <c r="B2724" t="str">
        <f>VLOOKUP(A2724,Customers!A:B,2,FALSE)</f>
        <v>OmniTrade</v>
      </c>
      <c r="C2724" s="24" t="s">
        <v>3091</v>
      </c>
      <c r="D2724" s="10">
        <v>45989</v>
      </c>
      <c r="E2724" s="10">
        <v>46019</v>
      </c>
      <c r="F2724" s="4">
        <v>2885.6</v>
      </c>
      <c r="G2724" s="3">
        <f>SUMIF(Customer_Payments!B:B,C2724,Customer_Payments!E:E)</f>
        <v>2885.6</v>
      </c>
      <c r="H2724" s="3">
        <f t="shared" si="126"/>
        <v>0</v>
      </c>
      <c r="I2724" s="29">
        <f t="shared" si="127"/>
        <v>72</v>
      </c>
      <c r="J2724" s="31" t="str">
        <f t="shared" si="128"/>
        <v>61-90</v>
      </c>
      <c r="K2724"/>
    </row>
    <row r="2725" spans="1:11" x14ac:dyDescent="0.3">
      <c r="A2725" s="21" t="s">
        <v>108</v>
      </c>
      <c r="B2725" t="str">
        <f>VLOOKUP(A2725,Customers!A:B,2,FALSE)</f>
        <v>RetailNextPro</v>
      </c>
      <c r="C2725" s="25" t="s">
        <v>3092</v>
      </c>
      <c r="D2725" s="11">
        <v>46034</v>
      </c>
      <c r="E2725" s="11">
        <v>46064</v>
      </c>
      <c r="F2725" s="5">
        <v>3220.15</v>
      </c>
      <c r="G2725" s="3">
        <f>SUMIF(Customer_Payments!B:B,C2725,Customer_Payments!E:E)</f>
        <v>3220.15</v>
      </c>
      <c r="H2725" s="3">
        <f t="shared" si="126"/>
        <v>0</v>
      </c>
      <c r="I2725" s="29">
        <f t="shared" si="127"/>
        <v>27</v>
      </c>
      <c r="J2725" s="31" t="str">
        <f t="shared" si="128"/>
        <v>1-30</v>
      </c>
      <c r="K2725"/>
    </row>
    <row r="2726" spans="1:11" x14ac:dyDescent="0.3">
      <c r="A2726" s="20" t="s">
        <v>108</v>
      </c>
      <c r="B2726" t="str">
        <f>VLOOKUP(A2726,Customers!A:B,2,FALSE)</f>
        <v>RetailNextPro</v>
      </c>
      <c r="C2726" s="24" t="s">
        <v>3093</v>
      </c>
      <c r="D2726" s="10">
        <v>46018</v>
      </c>
      <c r="E2726" s="10">
        <v>46048</v>
      </c>
      <c r="F2726" s="4">
        <v>1581.93</v>
      </c>
      <c r="G2726" s="3">
        <f>SUMIF(Customer_Payments!B:B,C2726,Customer_Payments!E:E)</f>
        <v>1581.93</v>
      </c>
      <c r="H2726" s="3">
        <f t="shared" si="126"/>
        <v>0</v>
      </c>
      <c r="I2726" s="29">
        <f t="shared" si="127"/>
        <v>43</v>
      </c>
      <c r="J2726" s="31" t="str">
        <f t="shared" si="128"/>
        <v>31-60</v>
      </c>
      <c r="K2726"/>
    </row>
    <row r="2727" spans="1:11" x14ac:dyDescent="0.3">
      <c r="A2727" s="21" t="s">
        <v>121</v>
      </c>
      <c r="B2727" t="str">
        <f>VLOOKUP(A2727,Customers!A:B,2,FALSE)</f>
        <v>RetailVisionGlobal</v>
      </c>
      <c r="C2727" s="25" t="s">
        <v>3094</v>
      </c>
      <c r="D2727" s="11">
        <v>45977</v>
      </c>
      <c r="E2727" s="11">
        <v>46007</v>
      </c>
      <c r="F2727" s="5">
        <v>2825.65</v>
      </c>
      <c r="G2727" s="3">
        <f>SUMIF(Customer_Payments!B:B,C2727,Customer_Payments!E:E)</f>
        <v>2825.65</v>
      </c>
      <c r="H2727" s="3">
        <f t="shared" si="126"/>
        <v>0</v>
      </c>
      <c r="I2727" s="29">
        <f t="shared" si="127"/>
        <v>84</v>
      </c>
      <c r="J2727" s="31" t="str">
        <f t="shared" si="128"/>
        <v>61-90</v>
      </c>
      <c r="K2727"/>
    </row>
    <row r="2728" spans="1:11" x14ac:dyDescent="0.3">
      <c r="A2728" s="20" t="s">
        <v>31</v>
      </c>
      <c r="B2728" t="str">
        <f>VLOOKUP(A2728,Customers!A:B,2,FALSE)</f>
        <v>SparkRetail</v>
      </c>
      <c r="C2728" s="24" t="s">
        <v>3095</v>
      </c>
      <c r="D2728" s="10">
        <v>45963</v>
      </c>
      <c r="E2728" s="10">
        <v>45993</v>
      </c>
      <c r="F2728" s="4">
        <v>3384.83</v>
      </c>
      <c r="G2728" s="3">
        <f>SUMIF(Customer_Payments!B:B,C2728,Customer_Payments!E:E)</f>
        <v>0</v>
      </c>
      <c r="H2728" s="3">
        <f t="shared" si="126"/>
        <v>3384.83</v>
      </c>
      <c r="I2728" s="29">
        <f t="shared" si="127"/>
        <v>98</v>
      </c>
      <c r="J2728" s="31" t="str">
        <f t="shared" si="128"/>
        <v>90+</v>
      </c>
      <c r="K2728"/>
    </row>
    <row r="2729" spans="1:11" x14ac:dyDescent="0.3">
      <c r="A2729" s="21" t="s">
        <v>122</v>
      </c>
      <c r="B2729" t="str">
        <f>VLOOKUP(A2729,Customers!A:B,2,FALSE)</f>
        <v>RetailCoreGlobal</v>
      </c>
      <c r="C2729" s="25" t="s">
        <v>3096</v>
      </c>
      <c r="D2729" s="11">
        <v>46023</v>
      </c>
      <c r="E2729" s="11">
        <v>46053</v>
      </c>
      <c r="F2729" s="5">
        <v>3192.34</v>
      </c>
      <c r="G2729" s="3">
        <f>SUMIF(Customer_Payments!B:B,C2729,Customer_Payments!E:E)</f>
        <v>3192.34</v>
      </c>
      <c r="H2729" s="3">
        <f t="shared" si="126"/>
        <v>0</v>
      </c>
      <c r="I2729" s="29">
        <f t="shared" si="127"/>
        <v>38</v>
      </c>
      <c r="J2729" s="31" t="str">
        <f t="shared" si="128"/>
        <v>31-60</v>
      </c>
      <c r="K2729"/>
    </row>
    <row r="2730" spans="1:11" x14ac:dyDescent="0.3">
      <c r="A2730" s="20" t="s">
        <v>64</v>
      </c>
      <c r="B2730" t="str">
        <f>VLOOKUP(A2730,Customers!A:B,2,FALSE)</f>
        <v>MarketScale</v>
      </c>
      <c r="C2730" s="24" t="s">
        <v>3097</v>
      </c>
      <c r="D2730" s="10">
        <v>46109</v>
      </c>
      <c r="E2730" s="10">
        <v>46139</v>
      </c>
      <c r="F2730" s="4">
        <v>4104.0200000000004</v>
      </c>
      <c r="G2730" s="3">
        <f>SUMIF(Customer_Payments!B:B,C2730,Customer_Payments!E:E)</f>
        <v>4104.0200000000004</v>
      </c>
      <c r="H2730" s="3">
        <f t="shared" si="126"/>
        <v>0</v>
      </c>
      <c r="I2730" s="29">
        <f t="shared" si="127"/>
        <v>-48</v>
      </c>
      <c r="J2730" s="31" t="str">
        <f t="shared" si="128"/>
        <v>Current</v>
      </c>
      <c r="K2730"/>
    </row>
    <row r="2731" spans="1:11" x14ac:dyDescent="0.3">
      <c r="A2731" s="21" t="s">
        <v>91</v>
      </c>
      <c r="B2731" t="str">
        <f>VLOOKUP(A2731,Customers!A:B,2,FALSE)</f>
        <v>RetailBridgeX</v>
      </c>
      <c r="C2731" s="25" t="s">
        <v>3098</v>
      </c>
      <c r="D2731" s="11">
        <v>45965</v>
      </c>
      <c r="E2731" s="11">
        <v>45995</v>
      </c>
      <c r="F2731" s="5">
        <v>11220.09</v>
      </c>
      <c r="G2731" s="3">
        <f>SUMIF(Customer_Payments!B:B,C2731,Customer_Payments!E:E)</f>
        <v>0</v>
      </c>
      <c r="H2731" s="3">
        <f t="shared" si="126"/>
        <v>11220.09</v>
      </c>
      <c r="I2731" s="29">
        <f t="shared" si="127"/>
        <v>96</v>
      </c>
      <c r="J2731" s="31" t="str">
        <f t="shared" si="128"/>
        <v>90+</v>
      </c>
      <c r="K2731"/>
    </row>
    <row r="2732" spans="1:11" x14ac:dyDescent="0.3">
      <c r="A2732" s="20" t="s">
        <v>118</v>
      </c>
      <c r="B2732" t="str">
        <f>VLOOKUP(A2732,Customers!A:B,2,FALSE)</f>
        <v>RetailEdgeGlobal</v>
      </c>
      <c r="C2732" s="24" t="s">
        <v>3099</v>
      </c>
      <c r="D2732" s="10">
        <v>46024</v>
      </c>
      <c r="E2732" s="10">
        <v>46054</v>
      </c>
      <c r="F2732" s="4">
        <v>12765.17</v>
      </c>
      <c r="G2732" s="3">
        <f>SUMIF(Customer_Payments!B:B,C2732,Customer_Payments!E:E)</f>
        <v>12765.17</v>
      </c>
      <c r="H2732" s="3">
        <f t="shared" si="126"/>
        <v>0</v>
      </c>
      <c r="I2732" s="29">
        <f t="shared" si="127"/>
        <v>37</v>
      </c>
      <c r="J2732" s="31" t="str">
        <f t="shared" si="128"/>
        <v>31-60</v>
      </c>
      <c r="K2732"/>
    </row>
    <row r="2733" spans="1:11" x14ac:dyDescent="0.3">
      <c r="A2733" s="21" t="s">
        <v>32</v>
      </c>
      <c r="B2733" t="str">
        <f>VLOOKUP(A2733,Customers!A:B,2,FALSE)</f>
        <v>RetailVista</v>
      </c>
      <c r="C2733" s="25" t="s">
        <v>3100</v>
      </c>
      <c r="D2733" s="11">
        <v>46096</v>
      </c>
      <c r="E2733" s="11">
        <v>46126</v>
      </c>
      <c r="F2733" s="5">
        <v>2814.95</v>
      </c>
      <c r="G2733" s="3">
        <f>SUMIF(Customer_Payments!B:B,C2733,Customer_Payments!E:E)</f>
        <v>2814.95</v>
      </c>
      <c r="H2733" s="3">
        <f t="shared" si="126"/>
        <v>0</v>
      </c>
      <c r="I2733" s="29">
        <f t="shared" si="127"/>
        <v>-35</v>
      </c>
      <c r="J2733" s="31" t="str">
        <f t="shared" si="128"/>
        <v>Current</v>
      </c>
      <c r="K2733"/>
    </row>
    <row r="2734" spans="1:11" x14ac:dyDescent="0.3">
      <c r="A2734" s="20" t="s">
        <v>96</v>
      </c>
      <c r="B2734" t="str">
        <f>VLOOKUP(A2734,Customers!A:B,2,FALSE)</f>
        <v>RetailLabs</v>
      </c>
      <c r="C2734" s="24" t="s">
        <v>3101</v>
      </c>
      <c r="D2734" s="10">
        <v>45987</v>
      </c>
      <c r="E2734" s="10">
        <v>46017</v>
      </c>
      <c r="F2734" s="4">
        <v>11424.08</v>
      </c>
      <c r="G2734" s="3">
        <f>SUMIF(Customer_Payments!B:B,C2734,Customer_Payments!E:E)</f>
        <v>11424.08</v>
      </c>
      <c r="H2734" s="3">
        <f t="shared" si="126"/>
        <v>0</v>
      </c>
      <c r="I2734" s="29">
        <f t="shared" si="127"/>
        <v>74</v>
      </c>
      <c r="J2734" s="31" t="str">
        <f t="shared" si="128"/>
        <v>61-90</v>
      </c>
      <c r="K2734"/>
    </row>
    <row r="2735" spans="1:11" x14ac:dyDescent="0.3">
      <c r="A2735" s="21" t="s">
        <v>107</v>
      </c>
      <c r="B2735" t="str">
        <f>VLOOKUP(A2735,Customers!A:B,2,FALSE)</f>
        <v>RetailWorksPro</v>
      </c>
      <c r="C2735" s="25" t="s">
        <v>3102</v>
      </c>
      <c r="D2735" s="11">
        <v>45986</v>
      </c>
      <c r="E2735" s="11">
        <v>46016</v>
      </c>
      <c r="F2735" s="5">
        <v>11211.05</v>
      </c>
      <c r="G2735" s="3">
        <f>SUMIF(Customer_Payments!B:B,C2735,Customer_Payments!E:E)</f>
        <v>0</v>
      </c>
      <c r="H2735" s="3">
        <f t="shared" si="126"/>
        <v>11211.05</v>
      </c>
      <c r="I2735" s="29">
        <f t="shared" si="127"/>
        <v>75</v>
      </c>
      <c r="J2735" s="31" t="str">
        <f t="shared" si="128"/>
        <v>61-90</v>
      </c>
      <c r="K2735"/>
    </row>
    <row r="2736" spans="1:11" x14ac:dyDescent="0.3">
      <c r="A2736" s="20" t="s">
        <v>99</v>
      </c>
      <c r="B2736" t="str">
        <f>VLOOKUP(A2736,Customers!A:B,2,FALSE)</f>
        <v>RetailNovaPro</v>
      </c>
      <c r="C2736" s="24" t="s">
        <v>3103</v>
      </c>
      <c r="D2736" s="10">
        <v>46046</v>
      </c>
      <c r="E2736" s="10">
        <v>46076</v>
      </c>
      <c r="F2736" s="4">
        <v>11554.54</v>
      </c>
      <c r="G2736" s="3">
        <f>SUMIF(Customer_Payments!B:B,C2736,Customer_Payments!E:E)</f>
        <v>0</v>
      </c>
      <c r="H2736" s="3">
        <f t="shared" si="126"/>
        <v>11554.54</v>
      </c>
      <c r="I2736" s="29">
        <f t="shared" si="127"/>
        <v>15</v>
      </c>
      <c r="J2736" s="31" t="str">
        <f t="shared" si="128"/>
        <v>1-30</v>
      </c>
      <c r="K2736"/>
    </row>
    <row r="2737" spans="1:11" x14ac:dyDescent="0.3">
      <c r="A2737" s="21" t="s">
        <v>123</v>
      </c>
      <c r="B2737" t="str">
        <f>VLOOKUP(A2737,Customers!A:B,2,FALSE)</f>
        <v>RetailFlowGlobal</v>
      </c>
      <c r="C2737" s="25" t="s">
        <v>3104</v>
      </c>
      <c r="D2737" s="11">
        <v>46078</v>
      </c>
      <c r="E2737" s="11">
        <v>46108</v>
      </c>
      <c r="F2737" s="5">
        <v>2552.38</v>
      </c>
      <c r="G2737" s="3">
        <f>SUMIF(Customer_Payments!B:B,C2737,Customer_Payments!E:E)</f>
        <v>2552.38</v>
      </c>
      <c r="H2737" s="3">
        <f t="shared" si="126"/>
        <v>0</v>
      </c>
      <c r="I2737" s="29">
        <f t="shared" si="127"/>
        <v>-17</v>
      </c>
      <c r="J2737" s="31" t="str">
        <f t="shared" si="128"/>
        <v>Current</v>
      </c>
      <c r="K2737"/>
    </row>
    <row r="2738" spans="1:11" x14ac:dyDescent="0.3">
      <c r="A2738" s="20" t="s">
        <v>117</v>
      </c>
      <c r="B2738" t="str">
        <f>VLOOKUP(A2738,Customers!A:B,2,FALSE)</f>
        <v>RetailSparkPro</v>
      </c>
      <c r="C2738" s="24" t="s">
        <v>3105</v>
      </c>
      <c r="D2738" s="10">
        <v>46030</v>
      </c>
      <c r="E2738" s="10">
        <v>46060</v>
      </c>
      <c r="F2738" s="4">
        <v>14010.13</v>
      </c>
      <c r="G2738" s="3">
        <f>SUMIF(Customer_Payments!B:B,C2738,Customer_Payments!E:E)</f>
        <v>0</v>
      </c>
      <c r="H2738" s="3">
        <f t="shared" si="126"/>
        <v>14010.13</v>
      </c>
      <c r="I2738" s="29">
        <f t="shared" si="127"/>
        <v>31</v>
      </c>
      <c r="J2738" s="31" t="str">
        <f t="shared" si="128"/>
        <v>31-60</v>
      </c>
      <c r="K2738"/>
    </row>
    <row r="2739" spans="1:11" x14ac:dyDescent="0.3">
      <c r="A2739" s="21" t="s">
        <v>20</v>
      </c>
      <c r="B2739" t="str">
        <f>VLOOKUP(A2739,Customers!A:B,2,FALSE)</f>
        <v>GrowthSphere</v>
      </c>
      <c r="C2739" s="25" t="s">
        <v>3106</v>
      </c>
      <c r="D2739" s="11">
        <v>45991</v>
      </c>
      <c r="E2739" s="11">
        <v>46021</v>
      </c>
      <c r="F2739" s="5">
        <v>4054.15</v>
      </c>
      <c r="G2739" s="3">
        <f>SUMIF(Customer_Payments!B:B,C2739,Customer_Payments!E:E)</f>
        <v>0</v>
      </c>
      <c r="H2739" s="3">
        <f t="shared" si="126"/>
        <v>4054.15</v>
      </c>
      <c r="I2739" s="29">
        <f t="shared" si="127"/>
        <v>70</v>
      </c>
      <c r="J2739" s="31" t="str">
        <f t="shared" si="128"/>
        <v>61-90</v>
      </c>
      <c r="K2739"/>
    </row>
    <row r="2740" spans="1:11" x14ac:dyDescent="0.3">
      <c r="A2740" s="20" t="s">
        <v>109</v>
      </c>
      <c r="B2740" t="str">
        <f>VLOOKUP(A2740,Customers!A:B,2,FALSE)</f>
        <v>RetailStreamPro</v>
      </c>
      <c r="C2740" s="24" t="s">
        <v>3107</v>
      </c>
      <c r="D2740" s="10">
        <v>45970</v>
      </c>
      <c r="E2740" s="10">
        <v>46000</v>
      </c>
      <c r="F2740" s="4">
        <v>4148.83</v>
      </c>
      <c r="G2740" s="3">
        <f>SUMIF(Customer_Payments!B:B,C2740,Customer_Payments!E:E)</f>
        <v>4148.83</v>
      </c>
      <c r="H2740" s="3">
        <f t="shared" si="126"/>
        <v>0</v>
      </c>
      <c r="I2740" s="29">
        <f t="shared" si="127"/>
        <v>91</v>
      </c>
      <c r="J2740" s="31" t="str">
        <f t="shared" si="128"/>
        <v>90+</v>
      </c>
      <c r="K2740"/>
    </row>
    <row r="2741" spans="1:11" x14ac:dyDescent="0.3">
      <c r="A2741" s="21" t="s">
        <v>8</v>
      </c>
      <c r="B2741" t="str">
        <f>VLOOKUP(A2741,Customers!A:B,2,FALSE)</f>
        <v>NexaSoft</v>
      </c>
      <c r="C2741" s="25" t="s">
        <v>3108</v>
      </c>
      <c r="D2741" s="11">
        <v>46110</v>
      </c>
      <c r="E2741" s="11">
        <v>46140</v>
      </c>
      <c r="F2741" s="5">
        <v>5557.75</v>
      </c>
      <c r="G2741" s="3">
        <f>SUMIF(Customer_Payments!B:B,C2741,Customer_Payments!E:E)</f>
        <v>5557.75</v>
      </c>
      <c r="H2741" s="3">
        <f t="shared" si="126"/>
        <v>0</v>
      </c>
      <c r="I2741" s="29">
        <f t="shared" si="127"/>
        <v>-49</v>
      </c>
      <c r="J2741" s="31" t="str">
        <f t="shared" si="128"/>
        <v>Current</v>
      </c>
      <c r="K2741"/>
    </row>
    <row r="2742" spans="1:11" x14ac:dyDescent="0.3">
      <c r="A2742" s="20" t="s">
        <v>81</v>
      </c>
      <c r="B2742" t="str">
        <f>VLOOKUP(A2742,Customers!A:B,2,FALSE)</f>
        <v>RetailFlowX</v>
      </c>
      <c r="C2742" s="24" t="s">
        <v>3109</v>
      </c>
      <c r="D2742" s="10">
        <v>46079</v>
      </c>
      <c r="E2742" s="10">
        <v>46109</v>
      </c>
      <c r="F2742" s="4">
        <v>2021.03</v>
      </c>
      <c r="G2742" s="3">
        <f>SUMIF(Customer_Payments!B:B,C2742,Customer_Payments!E:E)</f>
        <v>2021.03</v>
      </c>
      <c r="H2742" s="3">
        <f t="shared" si="126"/>
        <v>0</v>
      </c>
      <c r="I2742" s="29">
        <f t="shared" si="127"/>
        <v>-18</v>
      </c>
      <c r="J2742" s="31" t="str">
        <f t="shared" si="128"/>
        <v>Current</v>
      </c>
      <c r="K2742"/>
    </row>
    <row r="2743" spans="1:11" x14ac:dyDescent="0.3">
      <c r="A2743" s="21" t="s">
        <v>107</v>
      </c>
      <c r="B2743" t="str">
        <f>VLOOKUP(A2743,Customers!A:B,2,FALSE)</f>
        <v>RetailWorksPro</v>
      </c>
      <c r="C2743" s="25" t="s">
        <v>3110</v>
      </c>
      <c r="D2743" s="11">
        <v>45977</v>
      </c>
      <c r="E2743" s="11">
        <v>46007</v>
      </c>
      <c r="F2743" s="5">
        <v>2135.2600000000002</v>
      </c>
      <c r="G2743" s="3">
        <f>SUMIF(Customer_Payments!B:B,C2743,Customer_Payments!E:E)</f>
        <v>0</v>
      </c>
      <c r="H2743" s="3">
        <f t="shared" si="126"/>
        <v>2135.2600000000002</v>
      </c>
      <c r="I2743" s="29">
        <f t="shared" si="127"/>
        <v>84</v>
      </c>
      <c r="J2743" s="31" t="str">
        <f t="shared" si="128"/>
        <v>61-90</v>
      </c>
      <c r="K2743"/>
    </row>
    <row r="2744" spans="1:11" x14ac:dyDescent="0.3">
      <c r="A2744" s="20" t="s">
        <v>32</v>
      </c>
      <c r="B2744" t="str">
        <f>VLOOKUP(A2744,Customers!A:B,2,FALSE)</f>
        <v>RetailVista</v>
      </c>
      <c r="C2744" s="24" t="s">
        <v>3111</v>
      </c>
      <c r="D2744" s="10">
        <v>46111</v>
      </c>
      <c r="E2744" s="10">
        <v>46141</v>
      </c>
      <c r="F2744" s="4">
        <v>1516.2</v>
      </c>
      <c r="G2744" s="3">
        <f>SUMIF(Customer_Payments!B:B,C2744,Customer_Payments!E:E)</f>
        <v>1516.2</v>
      </c>
      <c r="H2744" s="3">
        <f t="shared" si="126"/>
        <v>0</v>
      </c>
      <c r="I2744" s="29">
        <f t="shared" si="127"/>
        <v>-50</v>
      </c>
      <c r="J2744" s="31" t="str">
        <f t="shared" si="128"/>
        <v>Current</v>
      </c>
      <c r="K2744"/>
    </row>
    <row r="2745" spans="1:11" x14ac:dyDescent="0.3">
      <c r="A2745" s="21" t="s">
        <v>18</v>
      </c>
      <c r="B2745" t="str">
        <f>VLOOKUP(A2745,Customers!A:B,2,FALSE)</f>
        <v>BluePeak Systems</v>
      </c>
      <c r="C2745" s="25" t="s">
        <v>3112</v>
      </c>
      <c r="D2745" s="11">
        <v>45991</v>
      </c>
      <c r="E2745" s="11">
        <v>46021</v>
      </c>
      <c r="F2745" s="5">
        <v>2107.12</v>
      </c>
      <c r="G2745" s="3">
        <f>SUMIF(Customer_Payments!B:B,C2745,Customer_Payments!E:E)</f>
        <v>2107.12</v>
      </c>
      <c r="H2745" s="3">
        <f t="shared" si="126"/>
        <v>0</v>
      </c>
      <c r="I2745" s="29">
        <f t="shared" si="127"/>
        <v>70</v>
      </c>
      <c r="J2745" s="31" t="str">
        <f t="shared" si="128"/>
        <v>61-90</v>
      </c>
      <c r="K2745"/>
    </row>
    <row r="2746" spans="1:11" x14ac:dyDescent="0.3">
      <c r="A2746" s="20" t="s">
        <v>98</v>
      </c>
      <c r="B2746" t="str">
        <f>VLOOKUP(A2746,Customers!A:B,2,FALSE)</f>
        <v>RetailEdgePro</v>
      </c>
      <c r="C2746" s="24" t="s">
        <v>3113</v>
      </c>
      <c r="D2746" s="10">
        <v>46021</v>
      </c>
      <c r="E2746" s="10">
        <v>46051</v>
      </c>
      <c r="F2746" s="4">
        <v>2919.56</v>
      </c>
      <c r="G2746" s="3">
        <f>SUMIF(Customer_Payments!B:B,C2746,Customer_Payments!E:E)</f>
        <v>2919.56</v>
      </c>
      <c r="H2746" s="3">
        <f t="shared" si="126"/>
        <v>0</v>
      </c>
      <c r="I2746" s="29">
        <f t="shared" si="127"/>
        <v>40</v>
      </c>
      <c r="J2746" s="31" t="str">
        <f t="shared" si="128"/>
        <v>31-60</v>
      </c>
      <c r="K2746"/>
    </row>
    <row r="2747" spans="1:11" x14ac:dyDescent="0.3">
      <c r="A2747" s="21" t="s">
        <v>111</v>
      </c>
      <c r="B2747" t="str">
        <f>VLOOKUP(A2747,Customers!A:B,2,FALSE)</f>
        <v>RetailPulsePro</v>
      </c>
      <c r="C2747" s="25" t="s">
        <v>3114</v>
      </c>
      <c r="D2747" s="11">
        <v>46033</v>
      </c>
      <c r="E2747" s="11">
        <v>46063</v>
      </c>
      <c r="F2747" s="5">
        <v>2864.28</v>
      </c>
      <c r="G2747" s="3">
        <f>SUMIF(Customer_Payments!B:B,C2747,Customer_Payments!E:E)</f>
        <v>2864.28</v>
      </c>
      <c r="H2747" s="3">
        <f t="shared" si="126"/>
        <v>0</v>
      </c>
      <c r="I2747" s="29">
        <f t="shared" si="127"/>
        <v>28</v>
      </c>
      <c r="J2747" s="31" t="str">
        <f t="shared" si="128"/>
        <v>1-30</v>
      </c>
      <c r="K2747"/>
    </row>
    <row r="2748" spans="1:11" x14ac:dyDescent="0.3">
      <c r="A2748" s="20" t="s">
        <v>67</v>
      </c>
      <c r="B2748" t="str">
        <f>VLOOKUP(A2748,Customers!A:B,2,FALSE)</f>
        <v>RetailDynamics</v>
      </c>
      <c r="C2748" s="24" t="s">
        <v>3115</v>
      </c>
      <c r="D2748" s="10">
        <v>45987</v>
      </c>
      <c r="E2748" s="10">
        <v>46017</v>
      </c>
      <c r="F2748" s="4">
        <v>5416.48</v>
      </c>
      <c r="G2748" s="3">
        <f>SUMIF(Customer_Payments!B:B,C2748,Customer_Payments!E:E)</f>
        <v>5416.48</v>
      </c>
      <c r="H2748" s="3">
        <f t="shared" si="126"/>
        <v>0</v>
      </c>
      <c r="I2748" s="29">
        <f t="shared" si="127"/>
        <v>74</v>
      </c>
      <c r="J2748" s="31" t="str">
        <f t="shared" si="128"/>
        <v>61-90</v>
      </c>
      <c r="K2748"/>
    </row>
    <row r="2749" spans="1:11" x14ac:dyDescent="0.3">
      <c r="A2749" s="21" t="s">
        <v>71</v>
      </c>
      <c r="B2749" t="str">
        <f>VLOOKUP(A2749,Customers!A:B,2,FALSE)</f>
        <v>RetailPulse</v>
      </c>
      <c r="C2749" s="25" t="s">
        <v>3116</v>
      </c>
      <c r="D2749" s="11">
        <v>46019</v>
      </c>
      <c r="E2749" s="11">
        <v>46049</v>
      </c>
      <c r="F2749" s="5">
        <v>2731.56</v>
      </c>
      <c r="G2749" s="3">
        <f>SUMIF(Customer_Payments!B:B,C2749,Customer_Payments!E:E)</f>
        <v>2731.56</v>
      </c>
      <c r="H2749" s="3">
        <f t="shared" si="126"/>
        <v>0</v>
      </c>
      <c r="I2749" s="29">
        <f t="shared" si="127"/>
        <v>42</v>
      </c>
      <c r="J2749" s="31" t="str">
        <f t="shared" si="128"/>
        <v>31-60</v>
      </c>
      <c r="K2749"/>
    </row>
    <row r="2750" spans="1:11" x14ac:dyDescent="0.3">
      <c r="A2750" s="20" t="s">
        <v>76</v>
      </c>
      <c r="B2750" t="str">
        <f>VLOOKUP(A2750,Customers!A:B,2,FALSE)</f>
        <v>RetailSphere</v>
      </c>
      <c r="C2750" s="24" t="s">
        <v>3117</v>
      </c>
      <c r="D2750" s="10">
        <v>46020</v>
      </c>
      <c r="E2750" s="10">
        <v>46050</v>
      </c>
      <c r="F2750" s="4">
        <v>2495.4699999999998</v>
      </c>
      <c r="G2750" s="3">
        <f>SUMIF(Customer_Payments!B:B,C2750,Customer_Payments!E:E)</f>
        <v>2495.4699999999998</v>
      </c>
      <c r="H2750" s="3">
        <f t="shared" si="126"/>
        <v>0</v>
      </c>
      <c r="I2750" s="29">
        <f t="shared" si="127"/>
        <v>41</v>
      </c>
      <c r="J2750" s="31" t="str">
        <f t="shared" si="128"/>
        <v>31-60</v>
      </c>
      <c r="K2750"/>
    </row>
    <row r="2751" spans="1:11" x14ac:dyDescent="0.3">
      <c r="A2751" s="21" t="s">
        <v>16</v>
      </c>
      <c r="B2751" t="str">
        <f>VLOOKUP(A2751,Customers!A:B,2,FALSE)</f>
        <v>RetailHub</v>
      </c>
      <c r="C2751" s="25" t="s">
        <v>3118</v>
      </c>
      <c r="D2751" s="11">
        <v>46034</v>
      </c>
      <c r="E2751" s="11">
        <v>46064</v>
      </c>
      <c r="F2751" s="5">
        <v>4161.8100000000004</v>
      </c>
      <c r="G2751" s="3">
        <f>SUMIF(Customer_Payments!B:B,C2751,Customer_Payments!E:E)</f>
        <v>4161.8100000000004</v>
      </c>
      <c r="H2751" s="3">
        <f t="shared" si="126"/>
        <v>0</v>
      </c>
      <c r="I2751" s="29">
        <f t="shared" si="127"/>
        <v>27</v>
      </c>
      <c r="J2751" s="31" t="str">
        <f t="shared" si="128"/>
        <v>1-30</v>
      </c>
      <c r="K2751"/>
    </row>
    <row r="2752" spans="1:11" x14ac:dyDescent="0.3">
      <c r="A2752" s="20" t="s">
        <v>88</v>
      </c>
      <c r="B2752" t="str">
        <f>VLOOKUP(A2752,Customers!A:B,2,FALSE)</f>
        <v>RetailPrimeX</v>
      </c>
      <c r="C2752" s="24" t="s">
        <v>3119</v>
      </c>
      <c r="D2752" s="10">
        <v>45998</v>
      </c>
      <c r="E2752" s="10">
        <v>46028</v>
      </c>
      <c r="F2752" s="4">
        <v>4374.1000000000004</v>
      </c>
      <c r="G2752" s="3">
        <f>SUMIF(Customer_Payments!B:B,C2752,Customer_Payments!E:E)</f>
        <v>4374.1000000000004</v>
      </c>
      <c r="H2752" s="3">
        <f t="shared" si="126"/>
        <v>0</v>
      </c>
      <c r="I2752" s="29">
        <f t="shared" si="127"/>
        <v>63</v>
      </c>
      <c r="J2752" s="31" t="str">
        <f t="shared" si="128"/>
        <v>61-90</v>
      </c>
      <c r="K2752"/>
    </row>
    <row r="2753" spans="1:11" x14ac:dyDescent="0.3">
      <c r="A2753" s="21" t="s">
        <v>34</v>
      </c>
      <c r="B2753" t="str">
        <f>VLOOKUP(A2753,Customers!A:B,2,FALSE)</f>
        <v>OptiCommerce</v>
      </c>
      <c r="C2753" s="25" t="s">
        <v>3120</v>
      </c>
      <c r="D2753" s="11">
        <v>46048</v>
      </c>
      <c r="E2753" s="11">
        <v>46078</v>
      </c>
      <c r="F2753" s="5">
        <v>3215.41</v>
      </c>
      <c r="G2753" s="3">
        <f>SUMIF(Customer_Payments!B:B,C2753,Customer_Payments!E:E)</f>
        <v>3215.41</v>
      </c>
      <c r="H2753" s="3">
        <f t="shared" si="126"/>
        <v>0</v>
      </c>
      <c r="I2753" s="29">
        <f t="shared" si="127"/>
        <v>13</v>
      </c>
      <c r="J2753" s="31" t="str">
        <f t="shared" si="128"/>
        <v>1-30</v>
      </c>
      <c r="K2753"/>
    </row>
    <row r="2754" spans="1:11" x14ac:dyDescent="0.3">
      <c r="A2754" s="20" t="s">
        <v>7</v>
      </c>
      <c r="B2754" t="str">
        <f>VLOOKUP(A2754,Customers!A:B,2,FALSE)</f>
        <v>BrightCart</v>
      </c>
      <c r="C2754" s="24" t="s">
        <v>3121</v>
      </c>
      <c r="D2754" s="10">
        <v>46078</v>
      </c>
      <c r="E2754" s="10">
        <v>46108</v>
      </c>
      <c r="F2754" s="4">
        <v>10804.56</v>
      </c>
      <c r="G2754" s="3">
        <f>SUMIF(Customer_Payments!B:B,C2754,Customer_Payments!E:E)</f>
        <v>10804.56</v>
      </c>
      <c r="H2754" s="3">
        <f t="shared" ref="H2754:H2801" si="129">MAX(F2754-G2754,0)</f>
        <v>0</v>
      </c>
      <c r="I2754" s="29">
        <f t="shared" ref="I2754:I2801" si="130">$L$2-E2754</f>
        <v>-17</v>
      </c>
      <c r="J2754" s="31" t="str">
        <f t="shared" si="128"/>
        <v>Current</v>
      </c>
      <c r="K2754"/>
    </row>
    <row r="2755" spans="1:11" x14ac:dyDescent="0.3">
      <c r="A2755" s="21" t="s">
        <v>27</v>
      </c>
      <c r="B2755" t="str">
        <f>VLOOKUP(A2755,Customers!A:B,2,FALSE)</f>
        <v>Skyline Commerce</v>
      </c>
      <c r="C2755" s="25" t="s">
        <v>3122</v>
      </c>
      <c r="D2755" s="11">
        <v>46016</v>
      </c>
      <c r="E2755" s="11">
        <v>46046</v>
      </c>
      <c r="F2755" s="5">
        <v>2081.1999999999998</v>
      </c>
      <c r="G2755" s="3">
        <f>SUMIF(Customer_Payments!B:B,C2755,Customer_Payments!E:E)</f>
        <v>2081.1999999999998</v>
      </c>
      <c r="H2755" s="3">
        <f t="shared" si="129"/>
        <v>0</v>
      </c>
      <c r="I2755" s="29">
        <f t="shared" si="130"/>
        <v>45</v>
      </c>
      <c r="J2755" s="31" t="str">
        <f t="shared" ref="J2755:J2801" si="131">IF(I2755&lt;=0,"Current",
IF(I2755&lt;=30,"1-30",
IF(I2755&lt;=60,"31-60",
IF(I2755&lt;=90,"61-90","90+"))))</f>
        <v>31-60</v>
      </c>
      <c r="K2755"/>
    </row>
    <row r="2756" spans="1:11" x14ac:dyDescent="0.3">
      <c r="A2756" s="20" t="s">
        <v>14</v>
      </c>
      <c r="B2756" t="str">
        <f>VLOOKUP(A2756,Customers!A:B,2,FALSE)</f>
        <v>MarketPulse</v>
      </c>
      <c r="C2756" s="24" t="s">
        <v>3123</v>
      </c>
      <c r="D2756" s="10">
        <v>46097</v>
      </c>
      <c r="E2756" s="10">
        <v>46127</v>
      </c>
      <c r="F2756" s="4">
        <v>2473.94</v>
      </c>
      <c r="G2756" s="3">
        <f>SUMIF(Customer_Payments!B:B,C2756,Customer_Payments!E:E)</f>
        <v>0</v>
      </c>
      <c r="H2756" s="3">
        <f t="shared" si="129"/>
        <v>2473.94</v>
      </c>
      <c r="I2756" s="29">
        <f t="shared" si="130"/>
        <v>-36</v>
      </c>
      <c r="J2756" s="31" t="str">
        <f t="shared" si="131"/>
        <v>Current</v>
      </c>
      <c r="K2756"/>
    </row>
    <row r="2757" spans="1:11" x14ac:dyDescent="0.3">
      <c r="A2757" s="21" t="s">
        <v>122</v>
      </c>
      <c r="B2757" t="str">
        <f>VLOOKUP(A2757,Customers!A:B,2,FALSE)</f>
        <v>RetailCoreGlobal</v>
      </c>
      <c r="C2757" s="25" t="s">
        <v>3124</v>
      </c>
      <c r="D2757" s="11">
        <v>46081</v>
      </c>
      <c r="E2757" s="11">
        <v>46111</v>
      </c>
      <c r="F2757" s="5">
        <v>3857.91</v>
      </c>
      <c r="G2757" s="3">
        <f>SUMIF(Customer_Payments!B:B,C2757,Customer_Payments!E:E)</f>
        <v>3857.91</v>
      </c>
      <c r="H2757" s="3">
        <f t="shared" si="129"/>
        <v>0</v>
      </c>
      <c r="I2757" s="29">
        <f t="shared" si="130"/>
        <v>-20</v>
      </c>
      <c r="J2757" s="31" t="str">
        <f t="shared" si="131"/>
        <v>Current</v>
      </c>
      <c r="K2757"/>
    </row>
    <row r="2758" spans="1:11" x14ac:dyDescent="0.3">
      <c r="A2758" s="20" t="s">
        <v>82</v>
      </c>
      <c r="B2758" t="str">
        <f>VLOOKUP(A2758,Customers!A:B,2,FALSE)</f>
        <v>RetailNovaX</v>
      </c>
      <c r="C2758" s="24" t="s">
        <v>3125</v>
      </c>
      <c r="D2758" s="10">
        <v>46097</v>
      </c>
      <c r="E2758" s="10">
        <v>46127</v>
      </c>
      <c r="F2758" s="4">
        <v>1761.07</v>
      </c>
      <c r="G2758" s="3">
        <f>SUMIF(Customer_Payments!B:B,C2758,Customer_Payments!E:E)</f>
        <v>1761.07</v>
      </c>
      <c r="H2758" s="3">
        <f t="shared" si="129"/>
        <v>0</v>
      </c>
      <c r="I2758" s="29">
        <f t="shared" si="130"/>
        <v>-36</v>
      </c>
      <c r="J2758" s="31" t="str">
        <f t="shared" si="131"/>
        <v>Current</v>
      </c>
      <c r="K2758"/>
    </row>
    <row r="2759" spans="1:11" x14ac:dyDescent="0.3">
      <c r="A2759" s="21" t="s">
        <v>79</v>
      </c>
      <c r="B2759" t="str">
        <f>VLOOKUP(A2759,Customers!A:B,2,FALSE)</f>
        <v>RetailBoostX</v>
      </c>
      <c r="C2759" s="25" t="s">
        <v>3126</v>
      </c>
      <c r="D2759" s="11">
        <v>46001</v>
      </c>
      <c r="E2759" s="11">
        <v>46031</v>
      </c>
      <c r="F2759" s="5">
        <v>2698.08</v>
      </c>
      <c r="G2759" s="3">
        <f>SUMIF(Customer_Payments!B:B,C2759,Customer_Payments!E:E)</f>
        <v>0</v>
      </c>
      <c r="H2759" s="3">
        <f t="shared" si="129"/>
        <v>2698.08</v>
      </c>
      <c r="I2759" s="29">
        <f t="shared" si="130"/>
        <v>60</v>
      </c>
      <c r="J2759" s="31" t="str">
        <f t="shared" si="131"/>
        <v>31-60</v>
      </c>
      <c r="K2759"/>
    </row>
    <row r="2760" spans="1:11" x14ac:dyDescent="0.3">
      <c r="A2760" s="20" t="s">
        <v>110</v>
      </c>
      <c r="B2760" t="str">
        <f>VLOOKUP(A2760,Customers!A:B,2,FALSE)</f>
        <v>RetailAxisPro</v>
      </c>
      <c r="C2760" s="24" t="s">
        <v>3127</v>
      </c>
      <c r="D2760" s="10">
        <v>46075</v>
      </c>
      <c r="E2760" s="10">
        <v>46105</v>
      </c>
      <c r="F2760" s="4">
        <v>2727.15</v>
      </c>
      <c r="G2760" s="3">
        <f>SUMIF(Customer_Payments!B:B,C2760,Customer_Payments!E:E)</f>
        <v>2727.15</v>
      </c>
      <c r="H2760" s="3">
        <f t="shared" si="129"/>
        <v>0</v>
      </c>
      <c r="I2760" s="29">
        <f t="shared" si="130"/>
        <v>-14</v>
      </c>
      <c r="J2760" s="31" t="str">
        <f t="shared" si="131"/>
        <v>Current</v>
      </c>
      <c r="K2760"/>
    </row>
    <row r="2761" spans="1:11" x14ac:dyDescent="0.3">
      <c r="A2761" s="21" t="s">
        <v>102</v>
      </c>
      <c r="B2761" t="str">
        <f>VLOOKUP(A2761,Customers!A:B,2,FALSE)</f>
        <v>RetailPrimePro</v>
      </c>
      <c r="C2761" s="25" t="s">
        <v>3128</v>
      </c>
      <c r="D2761" s="11">
        <v>46106</v>
      </c>
      <c r="E2761" s="11">
        <v>46136</v>
      </c>
      <c r="F2761" s="5">
        <v>11378.13</v>
      </c>
      <c r="G2761" s="3">
        <f>SUMIF(Customer_Payments!B:B,C2761,Customer_Payments!E:E)</f>
        <v>11378.13</v>
      </c>
      <c r="H2761" s="3">
        <f t="shared" si="129"/>
        <v>0</v>
      </c>
      <c r="I2761" s="29">
        <f t="shared" si="130"/>
        <v>-45</v>
      </c>
      <c r="J2761" s="31" t="str">
        <f t="shared" si="131"/>
        <v>Current</v>
      </c>
      <c r="K2761"/>
    </row>
    <row r="2762" spans="1:11" x14ac:dyDescent="0.3">
      <c r="A2762" s="20" t="s">
        <v>59</v>
      </c>
      <c r="B2762" t="str">
        <f>VLOOKUP(A2762,Customers!A:B,2,FALSE)</f>
        <v>MarketBridge</v>
      </c>
      <c r="C2762" s="24" t="s">
        <v>3129</v>
      </c>
      <c r="D2762" s="10">
        <v>45963</v>
      </c>
      <c r="E2762" s="10">
        <v>45993</v>
      </c>
      <c r="F2762" s="4">
        <v>4456.22</v>
      </c>
      <c r="G2762" s="3">
        <f>SUMIF(Customer_Payments!B:B,C2762,Customer_Payments!E:E)</f>
        <v>4456.22</v>
      </c>
      <c r="H2762" s="3">
        <f t="shared" si="129"/>
        <v>0</v>
      </c>
      <c r="I2762" s="29">
        <f t="shared" si="130"/>
        <v>98</v>
      </c>
      <c r="J2762" s="31" t="str">
        <f t="shared" si="131"/>
        <v>90+</v>
      </c>
      <c r="K2762"/>
    </row>
    <row r="2763" spans="1:11" x14ac:dyDescent="0.3">
      <c r="A2763" s="21" t="s">
        <v>122</v>
      </c>
      <c r="B2763" t="str">
        <f>VLOOKUP(A2763,Customers!A:B,2,FALSE)</f>
        <v>RetailCoreGlobal</v>
      </c>
      <c r="C2763" s="25" t="s">
        <v>3130</v>
      </c>
      <c r="D2763" s="11">
        <v>46111</v>
      </c>
      <c r="E2763" s="11">
        <v>46141</v>
      </c>
      <c r="F2763" s="5">
        <v>13823.88</v>
      </c>
      <c r="G2763" s="3">
        <f>SUMIF(Customer_Payments!B:B,C2763,Customer_Payments!E:E)</f>
        <v>13823.88</v>
      </c>
      <c r="H2763" s="3">
        <f t="shared" si="129"/>
        <v>0</v>
      </c>
      <c r="I2763" s="29">
        <f t="shared" si="130"/>
        <v>-50</v>
      </c>
      <c r="J2763" s="31" t="str">
        <f t="shared" si="131"/>
        <v>Current</v>
      </c>
      <c r="K2763"/>
    </row>
    <row r="2764" spans="1:11" x14ac:dyDescent="0.3">
      <c r="A2764" s="20" t="s">
        <v>60</v>
      </c>
      <c r="B2764" t="str">
        <f>VLOOKUP(A2764,Customers!A:B,2,FALSE)</f>
        <v>RetailSpark</v>
      </c>
      <c r="C2764" s="24" t="s">
        <v>3131</v>
      </c>
      <c r="D2764" s="10">
        <v>46048</v>
      </c>
      <c r="E2764" s="10">
        <v>46078</v>
      </c>
      <c r="F2764" s="4">
        <v>11770.45</v>
      </c>
      <c r="G2764" s="3">
        <f>SUMIF(Customer_Payments!B:B,C2764,Customer_Payments!E:E)</f>
        <v>0</v>
      </c>
      <c r="H2764" s="3">
        <f t="shared" si="129"/>
        <v>11770.45</v>
      </c>
      <c r="I2764" s="29">
        <f t="shared" si="130"/>
        <v>13</v>
      </c>
      <c r="J2764" s="31" t="str">
        <f t="shared" si="131"/>
        <v>1-30</v>
      </c>
      <c r="K2764"/>
    </row>
    <row r="2765" spans="1:11" x14ac:dyDescent="0.3">
      <c r="A2765" s="21" t="s">
        <v>118</v>
      </c>
      <c r="B2765" t="str">
        <f>VLOOKUP(A2765,Customers!A:B,2,FALSE)</f>
        <v>RetailEdgeGlobal</v>
      </c>
      <c r="C2765" s="25" t="s">
        <v>3132</v>
      </c>
      <c r="D2765" s="11">
        <v>45999</v>
      </c>
      <c r="E2765" s="11">
        <v>46029</v>
      </c>
      <c r="F2765" s="5">
        <v>3448.03</v>
      </c>
      <c r="G2765" s="3">
        <f>SUMIF(Customer_Payments!B:B,C2765,Customer_Payments!E:E)</f>
        <v>3448.03</v>
      </c>
      <c r="H2765" s="3">
        <f t="shared" si="129"/>
        <v>0</v>
      </c>
      <c r="I2765" s="29">
        <f t="shared" si="130"/>
        <v>62</v>
      </c>
      <c r="J2765" s="31" t="str">
        <f t="shared" si="131"/>
        <v>61-90</v>
      </c>
      <c r="K2765"/>
    </row>
    <row r="2766" spans="1:11" x14ac:dyDescent="0.3">
      <c r="A2766" s="20" t="s">
        <v>111</v>
      </c>
      <c r="B2766" t="str">
        <f>VLOOKUP(A2766,Customers!A:B,2,FALSE)</f>
        <v>RetailPulsePro</v>
      </c>
      <c r="C2766" s="24" t="s">
        <v>3133</v>
      </c>
      <c r="D2766" s="10">
        <v>46052</v>
      </c>
      <c r="E2766" s="10">
        <v>46082</v>
      </c>
      <c r="F2766" s="4">
        <v>1547.56</v>
      </c>
      <c r="G2766" s="3">
        <f>SUMIF(Customer_Payments!B:B,C2766,Customer_Payments!E:E)</f>
        <v>1547.56</v>
      </c>
      <c r="H2766" s="3">
        <f t="shared" si="129"/>
        <v>0</v>
      </c>
      <c r="I2766" s="29">
        <f t="shared" si="130"/>
        <v>9</v>
      </c>
      <c r="J2766" s="31" t="str">
        <f t="shared" si="131"/>
        <v>1-30</v>
      </c>
      <c r="K2766"/>
    </row>
    <row r="2767" spans="1:11" x14ac:dyDescent="0.3">
      <c r="A2767" s="21" t="s">
        <v>34</v>
      </c>
      <c r="B2767" t="str">
        <f>VLOOKUP(A2767,Customers!A:B,2,FALSE)</f>
        <v>OptiCommerce</v>
      </c>
      <c r="C2767" s="25" t="s">
        <v>3134</v>
      </c>
      <c r="D2767" s="11">
        <v>46062</v>
      </c>
      <c r="E2767" s="11">
        <v>46092</v>
      </c>
      <c r="F2767" s="5">
        <v>2091.86</v>
      </c>
      <c r="G2767" s="3">
        <f>SUMIF(Customer_Payments!B:B,C2767,Customer_Payments!E:E)</f>
        <v>0</v>
      </c>
      <c r="H2767" s="3">
        <f t="shared" si="129"/>
        <v>2091.86</v>
      </c>
      <c r="I2767" s="29">
        <f t="shared" si="130"/>
        <v>-1</v>
      </c>
      <c r="J2767" s="31" t="str">
        <f t="shared" si="131"/>
        <v>Current</v>
      </c>
      <c r="K2767"/>
    </row>
    <row r="2768" spans="1:11" x14ac:dyDescent="0.3">
      <c r="A2768" s="20" t="s">
        <v>32</v>
      </c>
      <c r="B2768" t="str">
        <f>VLOOKUP(A2768,Customers!A:B,2,FALSE)</f>
        <v>RetailVista</v>
      </c>
      <c r="C2768" s="24" t="s">
        <v>3135</v>
      </c>
      <c r="D2768" s="10">
        <v>45999</v>
      </c>
      <c r="E2768" s="10">
        <v>46029</v>
      </c>
      <c r="F2768" s="4">
        <v>2419.67</v>
      </c>
      <c r="G2768" s="3">
        <f>SUMIF(Customer_Payments!B:B,C2768,Customer_Payments!E:E)</f>
        <v>2419.67</v>
      </c>
      <c r="H2768" s="3">
        <f t="shared" si="129"/>
        <v>0</v>
      </c>
      <c r="I2768" s="29">
        <f t="shared" si="130"/>
        <v>62</v>
      </c>
      <c r="J2768" s="31" t="str">
        <f t="shared" si="131"/>
        <v>61-90</v>
      </c>
      <c r="K2768"/>
    </row>
    <row r="2769" spans="1:11" x14ac:dyDescent="0.3">
      <c r="A2769" s="21" t="s">
        <v>116</v>
      </c>
      <c r="B2769" t="str">
        <f>VLOOKUP(A2769,Customers!A:B,2,FALSE)</f>
        <v>RetailLabsPro</v>
      </c>
      <c r="C2769" s="25" t="s">
        <v>3136</v>
      </c>
      <c r="D2769" s="11">
        <v>46043</v>
      </c>
      <c r="E2769" s="11">
        <v>46073</v>
      </c>
      <c r="F2769" s="5">
        <v>2996.79</v>
      </c>
      <c r="G2769" s="3">
        <f>SUMIF(Customer_Payments!B:B,C2769,Customer_Payments!E:E)</f>
        <v>0</v>
      </c>
      <c r="H2769" s="3">
        <f t="shared" si="129"/>
        <v>2996.79</v>
      </c>
      <c r="I2769" s="29">
        <f t="shared" si="130"/>
        <v>18</v>
      </c>
      <c r="J2769" s="31" t="str">
        <f t="shared" si="131"/>
        <v>1-30</v>
      </c>
      <c r="K2769"/>
    </row>
    <row r="2770" spans="1:11" x14ac:dyDescent="0.3">
      <c r="A2770" s="20" t="s">
        <v>70</v>
      </c>
      <c r="B2770" t="str">
        <f>VLOOKUP(A2770,Customers!A:B,2,FALSE)</f>
        <v>RetailPath</v>
      </c>
      <c r="C2770" s="24" t="s">
        <v>3137</v>
      </c>
      <c r="D2770" s="10">
        <v>46093</v>
      </c>
      <c r="E2770" s="10">
        <v>46123</v>
      </c>
      <c r="F2770" s="4">
        <v>3188.74</v>
      </c>
      <c r="G2770" s="3">
        <f>SUMIF(Customer_Payments!B:B,C2770,Customer_Payments!E:E)</f>
        <v>3188.74</v>
      </c>
      <c r="H2770" s="3">
        <f t="shared" si="129"/>
        <v>0</v>
      </c>
      <c r="I2770" s="29">
        <f t="shared" si="130"/>
        <v>-32</v>
      </c>
      <c r="J2770" s="31" t="str">
        <f t="shared" si="131"/>
        <v>Current</v>
      </c>
      <c r="K2770"/>
    </row>
    <row r="2771" spans="1:11" x14ac:dyDescent="0.3">
      <c r="A2771" s="21" t="s">
        <v>92</v>
      </c>
      <c r="B2771" t="str">
        <f>VLOOKUP(A2771,Customers!A:B,2,FALSE)</f>
        <v>RetailMatrixX</v>
      </c>
      <c r="C2771" s="25" t="s">
        <v>3138</v>
      </c>
      <c r="D2771" s="11">
        <v>46037</v>
      </c>
      <c r="E2771" s="11">
        <v>46067</v>
      </c>
      <c r="F2771" s="5">
        <v>11688.52</v>
      </c>
      <c r="G2771" s="3">
        <f>SUMIF(Customer_Payments!B:B,C2771,Customer_Payments!E:E)</f>
        <v>11688.52</v>
      </c>
      <c r="H2771" s="3">
        <f t="shared" si="129"/>
        <v>0</v>
      </c>
      <c r="I2771" s="29">
        <f t="shared" si="130"/>
        <v>24</v>
      </c>
      <c r="J2771" s="31" t="str">
        <f t="shared" si="131"/>
        <v>1-30</v>
      </c>
      <c r="K2771"/>
    </row>
    <row r="2772" spans="1:11" x14ac:dyDescent="0.3">
      <c r="A2772" s="20" t="s">
        <v>97</v>
      </c>
      <c r="B2772" t="str">
        <f>VLOOKUP(A2772,Customers!A:B,2,FALSE)</f>
        <v>RetailSparkX</v>
      </c>
      <c r="C2772" s="24" t="s">
        <v>3139</v>
      </c>
      <c r="D2772" s="10">
        <v>45979</v>
      </c>
      <c r="E2772" s="10">
        <v>46009</v>
      </c>
      <c r="F2772" s="4">
        <v>2824.04</v>
      </c>
      <c r="G2772" s="3">
        <f>SUMIF(Customer_Payments!B:B,C2772,Customer_Payments!E:E)</f>
        <v>0</v>
      </c>
      <c r="H2772" s="3">
        <f t="shared" si="129"/>
        <v>2824.04</v>
      </c>
      <c r="I2772" s="29">
        <f t="shared" si="130"/>
        <v>82</v>
      </c>
      <c r="J2772" s="31" t="str">
        <f t="shared" si="131"/>
        <v>61-90</v>
      </c>
      <c r="K2772"/>
    </row>
    <row r="2773" spans="1:11" x14ac:dyDescent="0.3">
      <c r="A2773" s="21" t="s">
        <v>70</v>
      </c>
      <c r="B2773" t="str">
        <f>VLOOKUP(A2773,Customers!A:B,2,FALSE)</f>
        <v>RetailPath</v>
      </c>
      <c r="C2773" s="25" t="s">
        <v>3140</v>
      </c>
      <c r="D2773" s="11">
        <v>46019</v>
      </c>
      <c r="E2773" s="11">
        <v>46049</v>
      </c>
      <c r="F2773" s="5">
        <v>12517.52</v>
      </c>
      <c r="G2773" s="3">
        <f>SUMIF(Customer_Payments!B:B,C2773,Customer_Payments!E:E)</f>
        <v>12517.52</v>
      </c>
      <c r="H2773" s="3">
        <f t="shared" si="129"/>
        <v>0</v>
      </c>
      <c r="I2773" s="29">
        <f t="shared" si="130"/>
        <v>42</v>
      </c>
      <c r="J2773" s="31" t="str">
        <f t="shared" si="131"/>
        <v>31-60</v>
      </c>
      <c r="K2773"/>
    </row>
    <row r="2774" spans="1:11" x14ac:dyDescent="0.3">
      <c r="A2774" s="20" t="s">
        <v>50</v>
      </c>
      <c r="B2774" t="str">
        <f>VLOOKUP(A2774,Customers!A:B,2,FALSE)</f>
        <v>RetailNexus</v>
      </c>
      <c r="C2774" s="24" t="s">
        <v>3141</v>
      </c>
      <c r="D2774" s="10">
        <v>46077</v>
      </c>
      <c r="E2774" s="10">
        <v>46107</v>
      </c>
      <c r="F2774" s="4">
        <v>4832.6899999999996</v>
      </c>
      <c r="G2774" s="3">
        <f>SUMIF(Customer_Payments!B:B,C2774,Customer_Payments!E:E)</f>
        <v>4832.6899999999996</v>
      </c>
      <c r="H2774" s="3">
        <f t="shared" si="129"/>
        <v>0</v>
      </c>
      <c r="I2774" s="29">
        <f t="shared" si="130"/>
        <v>-16</v>
      </c>
      <c r="J2774" s="31" t="str">
        <f t="shared" si="131"/>
        <v>Current</v>
      </c>
      <c r="K2774"/>
    </row>
    <row r="2775" spans="1:11" x14ac:dyDescent="0.3">
      <c r="A2775" s="21" t="s">
        <v>83</v>
      </c>
      <c r="B2775" t="str">
        <f>VLOOKUP(A2775,Customers!A:B,2,FALSE)</f>
        <v>RetailCoreX</v>
      </c>
      <c r="C2775" s="25" t="s">
        <v>3142</v>
      </c>
      <c r="D2775" s="11">
        <v>45965</v>
      </c>
      <c r="E2775" s="11">
        <v>45995</v>
      </c>
      <c r="F2775" s="5">
        <v>1663.64</v>
      </c>
      <c r="G2775" s="3">
        <f>SUMIF(Customer_Payments!B:B,C2775,Customer_Payments!E:E)</f>
        <v>1663.64</v>
      </c>
      <c r="H2775" s="3">
        <f t="shared" si="129"/>
        <v>0</v>
      </c>
      <c r="I2775" s="29">
        <f t="shared" si="130"/>
        <v>96</v>
      </c>
      <c r="J2775" s="31" t="str">
        <f t="shared" si="131"/>
        <v>90+</v>
      </c>
      <c r="K2775"/>
    </row>
    <row r="2776" spans="1:11" x14ac:dyDescent="0.3">
      <c r="A2776" s="20" t="s">
        <v>95</v>
      </c>
      <c r="B2776" t="str">
        <f>VLOOKUP(A2776,Customers!A:B,2,FALSE)</f>
        <v>RetailScaleX</v>
      </c>
      <c r="C2776" s="24" t="s">
        <v>3143</v>
      </c>
      <c r="D2776" s="10">
        <v>45991</v>
      </c>
      <c r="E2776" s="10">
        <v>46021</v>
      </c>
      <c r="F2776" s="4">
        <v>5059.2700000000004</v>
      </c>
      <c r="G2776" s="3">
        <f>SUMIF(Customer_Payments!B:B,C2776,Customer_Payments!E:E)</f>
        <v>5059.2700000000004</v>
      </c>
      <c r="H2776" s="3">
        <f t="shared" si="129"/>
        <v>0</v>
      </c>
      <c r="I2776" s="29">
        <f t="shared" si="130"/>
        <v>70</v>
      </c>
      <c r="J2776" s="31" t="str">
        <f t="shared" si="131"/>
        <v>61-90</v>
      </c>
      <c r="K2776"/>
    </row>
    <row r="2777" spans="1:11" x14ac:dyDescent="0.3">
      <c r="A2777" s="21" t="s">
        <v>54</v>
      </c>
      <c r="B2777" t="str">
        <f>VLOOKUP(A2777,Customers!A:B,2,FALSE)</f>
        <v>RetailEdge</v>
      </c>
      <c r="C2777" s="25" t="s">
        <v>3144</v>
      </c>
      <c r="D2777" s="11">
        <v>46062</v>
      </c>
      <c r="E2777" s="11">
        <v>46092</v>
      </c>
      <c r="F2777" s="5">
        <v>4739.1400000000003</v>
      </c>
      <c r="G2777" s="3">
        <f>SUMIF(Customer_Payments!B:B,C2777,Customer_Payments!E:E)</f>
        <v>4739.1400000000003</v>
      </c>
      <c r="H2777" s="3">
        <f t="shared" si="129"/>
        <v>0</v>
      </c>
      <c r="I2777" s="29">
        <f t="shared" si="130"/>
        <v>-1</v>
      </c>
      <c r="J2777" s="31" t="str">
        <f t="shared" si="131"/>
        <v>Current</v>
      </c>
      <c r="K2777"/>
    </row>
    <row r="2778" spans="1:11" x14ac:dyDescent="0.3">
      <c r="A2778" s="20" t="s">
        <v>118</v>
      </c>
      <c r="B2778" t="str">
        <f>VLOOKUP(A2778,Customers!A:B,2,FALSE)</f>
        <v>RetailEdgeGlobal</v>
      </c>
      <c r="C2778" s="24" t="s">
        <v>3145</v>
      </c>
      <c r="D2778" s="10">
        <v>46015</v>
      </c>
      <c r="E2778" s="10">
        <v>46045</v>
      </c>
      <c r="F2778" s="4">
        <v>10781.33</v>
      </c>
      <c r="G2778" s="3">
        <f>SUMIF(Customer_Payments!B:B,C2778,Customer_Payments!E:E)</f>
        <v>10781.33</v>
      </c>
      <c r="H2778" s="3">
        <f t="shared" si="129"/>
        <v>0</v>
      </c>
      <c r="I2778" s="29">
        <f t="shared" si="130"/>
        <v>46</v>
      </c>
      <c r="J2778" s="31" t="str">
        <f t="shared" si="131"/>
        <v>31-60</v>
      </c>
      <c r="K2778"/>
    </row>
    <row r="2779" spans="1:11" x14ac:dyDescent="0.3">
      <c r="A2779" s="21" t="s">
        <v>80</v>
      </c>
      <c r="B2779" t="str">
        <f>VLOOKUP(A2779,Customers!A:B,2,FALSE)</f>
        <v>RetailEdgeX</v>
      </c>
      <c r="C2779" s="25" t="s">
        <v>3146</v>
      </c>
      <c r="D2779" s="11">
        <v>45976</v>
      </c>
      <c r="E2779" s="11">
        <v>46006</v>
      </c>
      <c r="F2779" s="5">
        <v>2633.87</v>
      </c>
      <c r="G2779" s="3">
        <f>SUMIF(Customer_Payments!B:B,C2779,Customer_Payments!E:E)</f>
        <v>2633.87</v>
      </c>
      <c r="H2779" s="3">
        <f t="shared" si="129"/>
        <v>0</v>
      </c>
      <c r="I2779" s="29">
        <f t="shared" si="130"/>
        <v>85</v>
      </c>
      <c r="J2779" s="31" t="str">
        <f t="shared" si="131"/>
        <v>61-90</v>
      </c>
      <c r="K2779"/>
    </row>
    <row r="2780" spans="1:11" x14ac:dyDescent="0.3">
      <c r="A2780" s="20" t="s">
        <v>80</v>
      </c>
      <c r="B2780" t="str">
        <f>VLOOKUP(A2780,Customers!A:B,2,FALSE)</f>
        <v>RetailEdgeX</v>
      </c>
      <c r="C2780" s="24" t="s">
        <v>3147</v>
      </c>
      <c r="D2780" s="10">
        <v>46078</v>
      </c>
      <c r="E2780" s="10">
        <v>46108</v>
      </c>
      <c r="F2780" s="4">
        <v>2698.33</v>
      </c>
      <c r="G2780" s="3">
        <f>SUMIF(Customer_Payments!B:B,C2780,Customer_Payments!E:E)</f>
        <v>0</v>
      </c>
      <c r="H2780" s="3">
        <f t="shared" si="129"/>
        <v>2698.33</v>
      </c>
      <c r="I2780" s="29">
        <f t="shared" si="130"/>
        <v>-17</v>
      </c>
      <c r="J2780" s="31" t="str">
        <f t="shared" si="131"/>
        <v>Current</v>
      </c>
      <c r="K2780"/>
    </row>
    <row r="2781" spans="1:11" x14ac:dyDescent="0.3">
      <c r="A2781" s="21" t="s">
        <v>38</v>
      </c>
      <c r="B2781" t="str">
        <f>VLOOKUP(A2781,Customers!A:B,2,FALSE)</f>
        <v>RetailForge</v>
      </c>
      <c r="C2781" s="25" t="s">
        <v>3148</v>
      </c>
      <c r="D2781" s="11">
        <v>46056</v>
      </c>
      <c r="E2781" s="11">
        <v>46086</v>
      </c>
      <c r="F2781" s="5">
        <v>5416.21</v>
      </c>
      <c r="G2781" s="3">
        <f>SUMIF(Customer_Payments!B:B,C2781,Customer_Payments!E:E)</f>
        <v>0</v>
      </c>
      <c r="H2781" s="3">
        <f t="shared" si="129"/>
        <v>5416.21</v>
      </c>
      <c r="I2781" s="29">
        <f t="shared" si="130"/>
        <v>5</v>
      </c>
      <c r="J2781" s="31" t="str">
        <f t="shared" si="131"/>
        <v>1-30</v>
      </c>
      <c r="K2781"/>
    </row>
    <row r="2782" spans="1:11" x14ac:dyDescent="0.3">
      <c r="A2782" s="20" t="s">
        <v>19</v>
      </c>
      <c r="B2782" t="str">
        <f>VLOOKUP(A2782,Customers!A:B,2,FALSE)</f>
        <v>NextWave Digital</v>
      </c>
      <c r="C2782" s="24" t="s">
        <v>3149</v>
      </c>
      <c r="D2782" s="10">
        <v>45995</v>
      </c>
      <c r="E2782" s="10">
        <v>46025</v>
      </c>
      <c r="F2782" s="4">
        <v>12303.83</v>
      </c>
      <c r="G2782" s="3">
        <f>SUMIF(Customer_Payments!B:B,C2782,Customer_Payments!E:E)</f>
        <v>12303.83</v>
      </c>
      <c r="H2782" s="3">
        <f t="shared" si="129"/>
        <v>0</v>
      </c>
      <c r="I2782" s="29">
        <f t="shared" si="130"/>
        <v>66</v>
      </c>
      <c r="J2782" s="31" t="str">
        <f t="shared" si="131"/>
        <v>61-90</v>
      </c>
      <c r="K2782"/>
    </row>
    <row r="2783" spans="1:11" x14ac:dyDescent="0.3">
      <c r="A2783" s="21" t="s">
        <v>69</v>
      </c>
      <c r="B2783" t="str">
        <f>VLOOKUP(A2783,Customers!A:B,2,FALSE)</f>
        <v>RetailNext</v>
      </c>
      <c r="C2783" s="25" t="s">
        <v>3150</v>
      </c>
      <c r="D2783" s="11">
        <v>46087</v>
      </c>
      <c r="E2783" s="11">
        <v>46117</v>
      </c>
      <c r="F2783" s="5">
        <v>13200.92</v>
      </c>
      <c r="G2783" s="3">
        <f>SUMIF(Customer_Payments!B:B,C2783,Customer_Payments!E:E)</f>
        <v>13200.92</v>
      </c>
      <c r="H2783" s="3">
        <f t="shared" si="129"/>
        <v>0</v>
      </c>
      <c r="I2783" s="29">
        <f t="shared" si="130"/>
        <v>-26</v>
      </c>
      <c r="J2783" s="31" t="str">
        <f t="shared" si="131"/>
        <v>Current</v>
      </c>
      <c r="K2783"/>
    </row>
    <row r="2784" spans="1:11" x14ac:dyDescent="0.3">
      <c r="A2784" s="20" t="s">
        <v>56</v>
      </c>
      <c r="B2784" t="str">
        <f>VLOOKUP(A2784,Customers!A:B,2,FALSE)</f>
        <v>RetailBoost</v>
      </c>
      <c r="C2784" s="24" t="s">
        <v>3151</v>
      </c>
      <c r="D2784" s="10">
        <v>46004</v>
      </c>
      <c r="E2784" s="10">
        <v>46034</v>
      </c>
      <c r="F2784" s="4">
        <v>12492.48</v>
      </c>
      <c r="G2784" s="3">
        <f>SUMIF(Customer_Payments!B:B,C2784,Customer_Payments!E:E)</f>
        <v>12492.48</v>
      </c>
      <c r="H2784" s="3">
        <f t="shared" si="129"/>
        <v>0</v>
      </c>
      <c r="I2784" s="29">
        <f t="shared" si="130"/>
        <v>57</v>
      </c>
      <c r="J2784" s="31" t="str">
        <f t="shared" si="131"/>
        <v>31-60</v>
      </c>
      <c r="K2784"/>
    </row>
    <row r="2785" spans="1:11" x14ac:dyDescent="0.3">
      <c r="A2785" s="21" t="s">
        <v>115</v>
      </c>
      <c r="B2785" t="str">
        <f>VLOOKUP(A2785,Customers!A:B,2,FALSE)</f>
        <v>RetailDynamicsPro</v>
      </c>
      <c r="C2785" s="25" t="s">
        <v>3152</v>
      </c>
      <c r="D2785" s="11">
        <v>46079</v>
      </c>
      <c r="E2785" s="11">
        <v>46109</v>
      </c>
      <c r="F2785" s="5">
        <v>5582.56</v>
      </c>
      <c r="G2785" s="3">
        <f>SUMIF(Customer_Payments!B:B,C2785,Customer_Payments!E:E)</f>
        <v>5582.56</v>
      </c>
      <c r="H2785" s="3">
        <f t="shared" si="129"/>
        <v>0</v>
      </c>
      <c r="I2785" s="29">
        <f t="shared" si="130"/>
        <v>-18</v>
      </c>
      <c r="J2785" s="31" t="str">
        <f t="shared" si="131"/>
        <v>Current</v>
      </c>
      <c r="K2785"/>
    </row>
    <row r="2786" spans="1:11" x14ac:dyDescent="0.3">
      <c r="A2786" s="20" t="s">
        <v>52</v>
      </c>
      <c r="B2786" t="str">
        <f>VLOOKUP(A2786,Customers!A:B,2,FALSE)</f>
        <v>RetailShift</v>
      </c>
      <c r="C2786" s="24" t="s">
        <v>3153</v>
      </c>
      <c r="D2786" s="10">
        <v>46006</v>
      </c>
      <c r="E2786" s="10">
        <v>46036</v>
      </c>
      <c r="F2786" s="4">
        <v>2968.5</v>
      </c>
      <c r="G2786" s="3">
        <f>SUMIF(Customer_Payments!B:B,C2786,Customer_Payments!E:E)</f>
        <v>2968.5</v>
      </c>
      <c r="H2786" s="3">
        <f t="shared" si="129"/>
        <v>0</v>
      </c>
      <c r="I2786" s="29">
        <f t="shared" si="130"/>
        <v>55</v>
      </c>
      <c r="J2786" s="31" t="str">
        <f t="shared" si="131"/>
        <v>31-60</v>
      </c>
      <c r="K2786"/>
    </row>
    <row r="2787" spans="1:11" x14ac:dyDescent="0.3">
      <c r="A2787" s="21" t="s">
        <v>69</v>
      </c>
      <c r="B2787" t="str">
        <f>VLOOKUP(A2787,Customers!A:B,2,FALSE)</f>
        <v>RetailNext</v>
      </c>
      <c r="C2787" s="25" t="s">
        <v>3154</v>
      </c>
      <c r="D2787" s="11">
        <v>45969</v>
      </c>
      <c r="E2787" s="11">
        <v>45999</v>
      </c>
      <c r="F2787" s="5">
        <v>3475.57</v>
      </c>
      <c r="G2787" s="3">
        <f>SUMIF(Customer_Payments!B:B,C2787,Customer_Payments!E:E)</f>
        <v>0</v>
      </c>
      <c r="H2787" s="3">
        <f t="shared" si="129"/>
        <v>3475.57</v>
      </c>
      <c r="I2787" s="29">
        <f t="shared" si="130"/>
        <v>92</v>
      </c>
      <c r="J2787" s="31" t="str">
        <f t="shared" si="131"/>
        <v>90+</v>
      </c>
      <c r="K2787"/>
    </row>
    <row r="2788" spans="1:11" x14ac:dyDescent="0.3">
      <c r="A2788" s="20" t="s">
        <v>89</v>
      </c>
      <c r="B2788" t="str">
        <f>VLOOKUP(A2788,Customers!A:B,2,FALSE)</f>
        <v>RetailAxisX</v>
      </c>
      <c r="C2788" s="24" t="s">
        <v>3155</v>
      </c>
      <c r="D2788" s="10">
        <v>46097</v>
      </c>
      <c r="E2788" s="10">
        <v>46127</v>
      </c>
      <c r="F2788" s="4">
        <v>2604.77</v>
      </c>
      <c r="G2788" s="3">
        <f>SUMIF(Customer_Payments!B:B,C2788,Customer_Payments!E:E)</f>
        <v>0</v>
      </c>
      <c r="H2788" s="3">
        <f t="shared" si="129"/>
        <v>2604.77</v>
      </c>
      <c r="I2788" s="29">
        <f t="shared" si="130"/>
        <v>-36</v>
      </c>
      <c r="J2788" s="31" t="str">
        <f t="shared" si="131"/>
        <v>Current</v>
      </c>
      <c r="K2788"/>
    </row>
    <row r="2789" spans="1:11" x14ac:dyDescent="0.3">
      <c r="A2789" s="21" t="s">
        <v>100</v>
      </c>
      <c r="B2789" t="str">
        <f>VLOOKUP(A2789,Customers!A:B,2,FALSE)</f>
        <v>RetailBoostPro</v>
      </c>
      <c r="C2789" s="25" t="s">
        <v>3156</v>
      </c>
      <c r="D2789" s="11">
        <v>46091</v>
      </c>
      <c r="E2789" s="11">
        <v>46121</v>
      </c>
      <c r="F2789" s="5">
        <v>5915.45</v>
      </c>
      <c r="G2789" s="3">
        <f>SUMIF(Customer_Payments!B:B,C2789,Customer_Payments!E:E)</f>
        <v>5915.45</v>
      </c>
      <c r="H2789" s="3">
        <f t="shared" si="129"/>
        <v>0</v>
      </c>
      <c r="I2789" s="29">
        <f t="shared" si="130"/>
        <v>-30</v>
      </c>
      <c r="J2789" s="31" t="str">
        <f t="shared" si="131"/>
        <v>Current</v>
      </c>
      <c r="K2789"/>
    </row>
    <row r="2790" spans="1:11" x14ac:dyDescent="0.3">
      <c r="A2790" s="20" t="s">
        <v>43</v>
      </c>
      <c r="B2790" t="str">
        <f>VLOOKUP(A2790,Customers!A:B,2,FALSE)</f>
        <v>CommerceSpark</v>
      </c>
      <c r="C2790" s="24" t="s">
        <v>3157</v>
      </c>
      <c r="D2790" s="10">
        <v>46044</v>
      </c>
      <c r="E2790" s="10">
        <v>46074</v>
      </c>
      <c r="F2790" s="4">
        <v>3282.59</v>
      </c>
      <c r="G2790" s="3">
        <f>SUMIF(Customer_Payments!B:B,C2790,Customer_Payments!E:E)</f>
        <v>0</v>
      </c>
      <c r="H2790" s="3">
        <f t="shared" si="129"/>
        <v>3282.59</v>
      </c>
      <c r="I2790" s="29">
        <f t="shared" si="130"/>
        <v>17</v>
      </c>
      <c r="J2790" s="31" t="str">
        <f t="shared" si="131"/>
        <v>1-30</v>
      </c>
      <c r="K2790"/>
    </row>
    <row r="2791" spans="1:11" x14ac:dyDescent="0.3">
      <c r="A2791" s="21" t="s">
        <v>8</v>
      </c>
      <c r="B2791" t="str">
        <f>VLOOKUP(A2791,Customers!A:B,2,FALSE)</f>
        <v>NexaSoft</v>
      </c>
      <c r="C2791" s="25" t="s">
        <v>3158</v>
      </c>
      <c r="D2791" s="11">
        <v>45974</v>
      </c>
      <c r="E2791" s="11">
        <v>46004</v>
      </c>
      <c r="F2791" s="5">
        <v>5581.42</v>
      </c>
      <c r="G2791" s="3">
        <f>SUMIF(Customer_Payments!B:B,C2791,Customer_Payments!E:E)</f>
        <v>0</v>
      </c>
      <c r="H2791" s="3">
        <f t="shared" si="129"/>
        <v>5581.42</v>
      </c>
      <c r="I2791" s="29">
        <f t="shared" si="130"/>
        <v>87</v>
      </c>
      <c r="J2791" s="31" t="str">
        <f t="shared" si="131"/>
        <v>61-90</v>
      </c>
      <c r="K2791"/>
    </row>
    <row r="2792" spans="1:11" x14ac:dyDescent="0.3">
      <c r="A2792" s="20" t="s">
        <v>90</v>
      </c>
      <c r="B2792" t="str">
        <f>VLOOKUP(A2792,Customers!A:B,2,FALSE)</f>
        <v>RetailPulseX</v>
      </c>
      <c r="C2792" s="24" t="s">
        <v>3159</v>
      </c>
      <c r="D2792" s="10">
        <v>46076</v>
      </c>
      <c r="E2792" s="10">
        <v>46106</v>
      </c>
      <c r="F2792" s="4">
        <v>2260.9899999999998</v>
      </c>
      <c r="G2792" s="3">
        <f>SUMIF(Customer_Payments!B:B,C2792,Customer_Payments!E:E)</f>
        <v>2260.9899999999998</v>
      </c>
      <c r="H2792" s="3">
        <f t="shared" si="129"/>
        <v>0</v>
      </c>
      <c r="I2792" s="29">
        <f t="shared" si="130"/>
        <v>-15</v>
      </c>
      <c r="J2792" s="31" t="str">
        <f t="shared" si="131"/>
        <v>Current</v>
      </c>
      <c r="K2792"/>
    </row>
    <row r="2793" spans="1:11" x14ac:dyDescent="0.3">
      <c r="A2793" s="21" t="s">
        <v>123</v>
      </c>
      <c r="B2793" t="str">
        <f>VLOOKUP(A2793,Customers!A:B,2,FALSE)</f>
        <v>RetailFlowGlobal</v>
      </c>
      <c r="C2793" s="25" t="s">
        <v>3160</v>
      </c>
      <c r="D2793" s="11">
        <v>46014</v>
      </c>
      <c r="E2793" s="11">
        <v>46044</v>
      </c>
      <c r="F2793" s="5">
        <v>1988.91</v>
      </c>
      <c r="G2793" s="3">
        <f>SUMIF(Customer_Payments!B:B,C2793,Customer_Payments!E:E)</f>
        <v>1988.91</v>
      </c>
      <c r="H2793" s="3">
        <f t="shared" si="129"/>
        <v>0</v>
      </c>
      <c r="I2793" s="29">
        <f t="shared" si="130"/>
        <v>47</v>
      </c>
      <c r="J2793" s="31" t="str">
        <f t="shared" si="131"/>
        <v>31-60</v>
      </c>
      <c r="K2793"/>
    </row>
    <row r="2794" spans="1:11" x14ac:dyDescent="0.3">
      <c r="A2794" s="20" t="s">
        <v>63</v>
      </c>
      <c r="B2794" t="str">
        <f>VLOOKUP(A2794,Customers!A:B,2,FALSE)</f>
        <v>RetailCore</v>
      </c>
      <c r="C2794" s="24" t="s">
        <v>3161</v>
      </c>
      <c r="D2794" s="10">
        <v>46061</v>
      </c>
      <c r="E2794" s="10">
        <v>46091</v>
      </c>
      <c r="F2794" s="4">
        <v>4893.37</v>
      </c>
      <c r="G2794" s="3">
        <f>SUMIF(Customer_Payments!B:B,C2794,Customer_Payments!E:E)</f>
        <v>4893.37</v>
      </c>
      <c r="H2794" s="3">
        <f t="shared" si="129"/>
        <v>0</v>
      </c>
      <c r="I2794" s="29">
        <f t="shared" si="130"/>
        <v>0</v>
      </c>
      <c r="J2794" s="31" t="str">
        <f t="shared" si="131"/>
        <v>Current</v>
      </c>
      <c r="K2794"/>
    </row>
    <row r="2795" spans="1:11" x14ac:dyDescent="0.3">
      <c r="A2795" s="21" t="s">
        <v>97</v>
      </c>
      <c r="B2795" t="str">
        <f>VLOOKUP(A2795,Customers!A:B,2,FALSE)</f>
        <v>RetailSparkX</v>
      </c>
      <c r="C2795" s="25" t="s">
        <v>3162</v>
      </c>
      <c r="D2795" s="11">
        <v>46078</v>
      </c>
      <c r="E2795" s="11">
        <v>46108</v>
      </c>
      <c r="F2795" s="5">
        <v>2107.7399999999998</v>
      </c>
      <c r="G2795" s="3">
        <f>SUMIF(Customer_Payments!B:B,C2795,Customer_Payments!E:E)</f>
        <v>2107.7399999999998</v>
      </c>
      <c r="H2795" s="3">
        <f t="shared" si="129"/>
        <v>0</v>
      </c>
      <c r="I2795" s="29">
        <f t="shared" si="130"/>
        <v>-17</v>
      </c>
      <c r="J2795" s="31" t="str">
        <f t="shared" si="131"/>
        <v>Current</v>
      </c>
      <c r="K2795"/>
    </row>
    <row r="2796" spans="1:11" x14ac:dyDescent="0.3">
      <c r="A2796" s="20" t="s">
        <v>9</v>
      </c>
      <c r="B2796" t="str">
        <f>VLOOKUP(A2796,Customers!A:B,2,FALSE)</f>
        <v>UrbanRetail</v>
      </c>
      <c r="C2796" s="24" t="s">
        <v>3163</v>
      </c>
      <c r="D2796" s="10">
        <v>46014</v>
      </c>
      <c r="E2796" s="10">
        <v>46044</v>
      </c>
      <c r="F2796" s="4">
        <v>3434.67</v>
      </c>
      <c r="G2796" s="3">
        <f>SUMIF(Customer_Payments!B:B,C2796,Customer_Payments!E:E)</f>
        <v>3434.67</v>
      </c>
      <c r="H2796" s="3">
        <f t="shared" si="129"/>
        <v>0</v>
      </c>
      <c r="I2796" s="29">
        <f t="shared" si="130"/>
        <v>47</v>
      </c>
      <c r="J2796" s="31" t="str">
        <f t="shared" si="131"/>
        <v>31-60</v>
      </c>
      <c r="K2796"/>
    </row>
    <row r="2797" spans="1:11" x14ac:dyDescent="0.3">
      <c r="A2797" s="21" t="s">
        <v>25</v>
      </c>
      <c r="B2797" t="str">
        <f>VLOOKUP(A2797,Customers!A:B,2,FALSE)</f>
        <v>OrbitEdge</v>
      </c>
      <c r="C2797" s="25" t="s">
        <v>3164</v>
      </c>
      <c r="D2797" s="11">
        <v>46101</v>
      </c>
      <c r="E2797" s="11">
        <v>46131</v>
      </c>
      <c r="F2797" s="5">
        <v>2462.91</v>
      </c>
      <c r="G2797" s="3">
        <f>SUMIF(Customer_Payments!B:B,C2797,Customer_Payments!E:E)</f>
        <v>2462.91</v>
      </c>
      <c r="H2797" s="3">
        <f t="shared" si="129"/>
        <v>0</v>
      </c>
      <c r="I2797" s="29">
        <f t="shared" si="130"/>
        <v>-40</v>
      </c>
      <c r="J2797" s="31" t="str">
        <f t="shared" si="131"/>
        <v>Current</v>
      </c>
      <c r="K2797"/>
    </row>
    <row r="2798" spans="1:11" x14ac:dyDescent="0.3">
      <c r="A2798" s="20" t="s">
        <v>62</v>
      </c>
      <c r="B2798" t="str">
        <f>VLOOKUP(A2798,Customers!A:B,2,FALSE)</f>
        <v>MarketNova</v>
      </c>
      <c r="C2798" s="24" t="s">
        <v>3165</v>
      </c>
      <c r="D2798" s="10">
        <v>45967</v>
      </c>
      <c r="E2798" s="10">
        <v>45997</v>
      </c>
      <c r="F2798" s="4">
        <v>2831.8</v>
      </c>
      <c r="G2798" s="3">
        <f>SUMIF(Customer_Payments!B:B,C2798,Customer_Payments!E:E)</f>
        <v>2831.8</v>
      </c>
      <c r="H2798" s="3">
        <f t="shared" si="129"/>
        <v>0</v>
      </c>
      <c r="I2798" s="29">
        <f t="shared" si="130"/>
        <v>94</v>
      </c>
      <c r="J2798" s="31" t="str">
        <f t="shared" si="131"/>
        <v>90+</v>
      </c>
      <c r="K2798"/>
    </row>
    <row r="2799" spans="1:11" x14ac:dyDescent="0.3">
      <c r="A2799" s="21" t="s">
        <v>104</v>
      </c>
      <c r="B2799" t="str">
        <f>VLOOKUP(A2799,Customers!A:B,2,FALSE)</f>
        <v>RetailCorePro</v>
      </c>
      <c r="C2799" s="25" t="s">
        <v>3166</v>
      </c>
      <c r="D2799" s="11">
        <v>46046</v>
      </c>
      <c r="E2799" s="11">
        <v>46076</v>
      </c>
      <c r="F2799" s="5">
        <v>1673.2</v>
      </c>
      <c r="G2799" s="3">
        <f>SUMIF(Customer_Payments!B:B,C2799,Customer_Payments!E:E)</f>
        <v>1673.2</v>
      </c>
      <c r="H2799" s="3">
        <f t="shared" si="129"/>
        <v>0</v>
      </c>
      <c r="I2799" s="29">
        <f t="shared" si="130"/>
        <v>15</v>
      </c>
      <c r="J2799" s="31" t="str">
        <f t="shared" si="131"/>
        <v>1-30</v>
      </c>
      <c r="K2799"/>
    </row>
    <row r="2800" spans="1:11" x14ac:dyDescent="0.3">
      <c r="A2800" s="20" t="s">
        <v>12</v>
      </c>
      <c r="B2800" t="str">
        <f>VLOOKUP(A2800,Customers!A:B,2,FALSE)</f>
        <v>ShopOrbit</v>
      </c>
      <c r="C2800" s="24" t="s">
        <v>3167</v>
      </c>
      <c r="D2800" s="10">
        <v>45988</v>
      </c>
      <c r="E2800" s="10">
        <v>46018</v>
      </c>
      <c r="F2800" s="4">
        <v>3172.35</v>
      </c>
      <c r="G2800" s="3">
        <f>SUMIF(Customer_Payments!B:B,C2800,Customer_Payments!E:E)</f>
        <v>0</v>
      </c>
      <c r="H2800" s="3">
        <f t="shared" si="129"/>
        <v>3172.35</v>
      </c>
      <c r="I2800" s="29">
        <f t="shared" si="130"/>
        <v>73</v>
      </c>
      <c r="J2800" s="31" t="str">
        <f t="shared" si="131"/>
        <v>61-90</v>
      </c>
      <c r="K2800"/>
    </row>
    <row r="2801" spans="1:11" x14ac:dyDescent="0.3">
      <c r="A2801" s="22" t="s">
        <v>15</v>
      </c>
      <c r="B2801" t="str">
        <f>VLOOKUP(A2801,Customers!A:B,2,FALSE)</f>
        <v>CloudScale</v>
      </c>
      <c r="C2801" s="26" t="s">
        <v>3168</v>
      </c>
      <c r="D2801" s="18">
        <v>46083</v>
      </c>
      <c r="E2801" s="18">
        <v>46113</v>
      </c>
      <c r="F2801" s="15">
        <v>2878.2</v>
      </c>
      <c r="G2801" s="3">
        <f>SUMIF(Customer_Payments!B:B,C2801,Customer_Payments!E:E)</f>
        <v>2878.2</v>
      </c>
      <c r="H2801" s="3">
        <f t="shared" si="129"/>
        <v>0</v>
      </c>
      <c r="I2801" s="29">
        <f t="shared" si="130"/>
        <v>-22</v>
      </c>
      <c r="J2801" s="31" t="str">
        <f t="shared" si="131"/>
        <v>Current</v>
      </c>
      <c r="K2801"/>
    </row>
  </sheetData>
  <pageMargins left="0.7" right="0.7" top="0.75" bottom="0.75" header="0.3" footer="0.3"/>
  <ignoredErrors>
    <ignoredError sqref="G3" calculatedColumn="1"/>
  </ignoredErrors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showGridLines="0" workbookViewId="0">
      <selection activeCell="E19" sqref="E19"/>
    </sheetView>
  </sheetViews>
  <sheetFormatPr defaultRowHeight="14.4" x14ac:dyDescent="0.3"/>
  <cols>
    <col min="1" max="1" width="18.77734375" customWidth="1"/>
    <col min="2" max="2" width="22.77734375" customWidth="1"/>
    <col min="3" max="3" width="14.77734375" customWidth="1"/>
  </cols>
  <sheetData>
    <row r="1" spans="1:14" ht="25.8" customHeight="1" x14ac:dyDescent="0.35">
      <c r="A1" s="40" t="s">
        <v>7834</v>
      </c>
      <c r="B1" s="40"/>
      <c r="C1" s="40"/>
    </row>
    <row r="2" spans="1:14" ht="15.6" x14ac:dyDescent="0.3">
      <c r="A2" s="59" t="s">
        <v>7829</v>
      </c>
      <c r="B2" s="59"/>
      <c r="C2" s="59"/>
      <c r="N2" s="32"/>
    </row>
    <row r="4" spans="1:14" ht="19.95" customHeight="1" x14ac:dyDescent="0.3">
      <c r="A4" s="58" t="s">
        <v>7824</v>
      </c>
      <c r="B4" s="58" t="s">
        <v>7825</v>
      </c>
      <c r="C4" s="58" t="s">
        <v>7826</v>
      </c>
    </row>
    <row r="5" spans="1:14" x14ac:dyDescent="0.3">
      <c r="A5" s="16" t="s">
        <v>7827</v>
      </c>
      <c r="B5" s="35">
        <f>SUMIF(AR_Aging!J:J,"Current",AR_Aging!H:H)</f>
        <v>1042557.4199999997</v>
      </c>
      <c r="C5" s="38">
        <f>B5/$B$10</f>
        <v>0.32534504373924655</v>
      </c>
    </row>
    <row r="6" spans="1:14" x14ac:dyDescent="0.3">
      <c r="A6" s="33" t="s">
        <v>7830</v>
      </c>
      <c r="B6" s="35">
        <f>SUMIF(AR_Aging!J:J,"1-30",AR_Aging!H:H)</f>
        <v>699592.24750000006</v>
      </c>
      <c r="C6" s="38">
        <f>B6/$B$10</f>
        <v>0.21831782690926066</v>
      </c>
    </row>
    <row r="7" spans="1:14" x14ac:dyDescent="0.3">
      <c r="A7" s="16" t="s">
        <v>7831</v>
      </c>
      <c r="B7" s="35">
        <f>SUMIF(AR_Aging!J:J,"31-60",AR_Aging!H:H)</f>
        <v>589117.49249999982</v>
      </c>
      <c r="C7" s="38">
        <f>B7/$B$10</f>
        <v>0.18384259004647219</v>
      </c>
    </row>
    <row r="8" spans="1:14" x14ac:dyDescent="0.3">
      <c r="A8" s="16" t="s">
        <v>7832</v>
      </c>
      <c r="B8" s="35">
        <f>SUMIF(AR_Aging!J:J,"61-90",AR_Aging!H:H)</f>
        <v>702523.2710000003</v>
      </c>
      <c r="C8" s="38">
        <f>B8/$B$10</f>
        <v>0.21923249496544153</v>
      </c>
    </row>
    <row r="9" spans="1:14" ht="15" thickBot="1" x14ac:dyDescent="0.35">
      <c r="A9" s="36" t="s">
        <v>7833</v>
      </c>
      <c r="B9" s="37">
        <f>SUMIF(AR_Aging!J:J,"90+",AR_Aging!H:H)</f>
        <v>170676.45749999996</v>
      </c>
      <c r="C9" s="39">
        <f>B9/$B$10</f>
        <v>5.3262044339579068E-2</v>
      </c>
    </row>
    <row r="10" spans="1:14" ht="15" thickTop="1" x14ac:dyDescent="0.3">
      <c r="A10" s="60" t="s">
        <v>7828</v>
      </c>
      <c r="B10" s="61">
        <f>SUM(B5:B9)</f>
        <v>3204466.8884999999</v>
      </c>
      <c r="C10" s="62">
        <f>SUM(C5:C9)</f>
        <v>0.99999999999999989</v>
      </c>
    </row>
    <row r="11" spans="1:14" x14ac:dyDescent="0.3">
      <c r="A11" s="16"/>
    </row>
    <row r="20" spans="2:3" ht="15.6" x14ac:dyDescent="0.3">
      <c r="B20" s="58" t="s">
        <v>7824</v>
      </c>
      <c r="C20" s="58" t="s">
        <v>7826</v>
      </c>
    </row>
    <row r="21" spans="2:3" x14ac:dyDescent="0.3">
      <c r="B21" s="16" t="s">
        <v>7827</v>
      </c>
      <c r="C21" s="38">
        <v>0.32534504373924655</v>
      </c>
    </row>
    <row r="22" spans="2:3" x14ac:dyDescent="0.3">
      <c r="B22" s="33" t="s">
        <v>7830</v>
      </c>
      <c r="C22" s="38">
        <v>0.21831782690926066</v>
      </c>
    </row>
    <row r="23" spans="2:3" x14ac:dyDescent="0.3">
      <c r="B23" s="16" t="s">
        <v>7831</v>
      </c>
      <c r="C23" s="38">
        <v>0.18384259004647219</v>
      </c>
    </row>
    <row r="24" spans="2:3" x14ac:dyDescent="0.3">
      <c r="B24" s="16" t="s">
        <v>7832</v>
      </c>
      <c r="C24" s="38">
        <v>0.21923249496544153</v>
      </c>
    </row>
    <row r="25" spans="2:3" ht="15" thickBot="1" x14ac:dyDescent="0.35">
      <c r="B25" s="36" t="s">
        <v>7833</v>
      </c>
      <c r="C25" s="39">
        <v>5.3262044339579068E-2</v>
      </c>
    </row>
    <row r="26" spans="2:3" ht="15" thickTop="1" x14ac:dyDescent="0.3">
      <c r="B26" s="60" t="s">
        <v>7828</v>
      </c>
      <c r="C26" s="62">
        <v>0.99999999999999989</v>
      </c>
    </row>
  </sheetData>
  <mergeCells count="2">
    <mergeCell ref="A1:C1"/>
    <mergeCell ref="A2:C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.109375" style="7" bestFit="1" customWidth="1"/>
    <col min="2" max="2" width="13.44140625" style="7" bestFit="1" customWidth="1"/>
    <col min="3" max="3" width="11.77734375" style="9" bestFit="1" customWidth="1"/>
    <col min="4" max="4" width="12.6640625" style="9" bestFit="1" customWidth="1"/>
    <col min="5" max="5" width="14.77734375" style="3" bestFit="1" customWidth="1"/>
    <col min="6" max="6" width="10.6640625" style="7" bestFit="1" customWidth="1"/>
    <col min="8" max="9" width="10.5546875" bestFit="1" customWidth="1"/>
  </cols>
  <sheetData>
    <row r="1" spans="1:9" x14ac:dyDescent="0.3">
      <c r="A1" s="12" t="s">
        <v>5416</v>
      </c>
      <c r="B1" s="12" t="s">
        <v>257</v>
      </c>
      <c r="C1" s="13" t="s">
        <v>5417</v>
      </c>
      <c r="D1" s="13" t="s">
        <v>363</v>
      </c>
      <c r="E1" s="14" t="s">
        <v>5418</v>
      </c>
      <c r="F1" s="12" t="s">
        <v>365</v>
      </c>
    </row>
    <row r="2" spans="1:9" x14ac:dyDescent="0.3">
      <c r="A2" s="7" t="s">
        <v>5419</v>
      </c>
      <c r="B2" s="7" t="s">
        <v>295</v>
      </c>
      <c r="C2" s="9">
        <v>46065</v>
      </c>
      <c r="D2" s="9">
        <v>46095</v>
      </c>
      <c r="E2" s="3">
        <v>5918.09</v>
      </c>
      <c r="F2" s="7" t="s">
        <v>367</v>
      </c>
      <c r="H2" s="9"/>
      <c r="I2" s="9"/>
    </row>
    <row r="3" spans="1:9" x14ac:dyDescent="0.3">
      <c r="A3" s="7" t="s">
        <v>5420</v>
      </c>
      <c r="B3" s="7" t="s">
        <v>319</v>
      </c>
      <c r="C3" s="9">
        <v>46035</v>
      </c>
      <c r="D3" s="9">
        <v>46065</v>
      </c>
      <c r="E3" s="3">
        <v>6605.3</v>
      </c>
      <c r="F3" s="7" t="s">
        <v>367</v>
      </c>
      <c r="H3" s="9"/>
      <c r="I3" s="9"/>
    </row>
    <row r="4" spans="1:9" x14ac:dyDescent="0.3">
      <c r="A4" s="7" t="s">
        <v>5421</v>
      </c>
      <c r="B4" s="7" t="s">
        <v>287</v>
      </c>
      <c r="C4" s="9">
        <v>45964</v>
      </c>
      <c r="D4" s="9">
        <v>45994</v>
      </c>
      <c r="E4" s="3">
        <v>5834.93</v>
      </c>
      <c r="F4" s="7" t="s">
        <v>367</v>
      </c>
      <c r="H4" s="9"/>
      <c r="I4" s="9"/>
    </row>
    <row r="5" spans="1:9" x14ac:dyDescent="0.3">
      <c r="A5" s="7" t="s">
        <v>5422</v>
      </c>
      <c r="B5" s="7" t="s">
        <v>325</v>
      </c>
      <c r="C5" s="9">
        <v>46004</v>
      </c>
      <c r="D5" s="9">
        <v>46034</v>
      </c>
      <c r="E5" s="3">
        <v>4168.49</v>
      </c>
      <c r="F5" s="7" t="s">
        <v>367</v>
      </c>
      <c r="H5" s="9"/>
      <c r="I5" s="9"/>
    </row>
    <row r="6" spans="1:9" x14ac:dyDescent="0.3">
      <c r="A6" s="7" t="s">
        <v>5423</v>
      </c>
      <c r="B6" s="7" t="s">
        <v>319</v>
      </c>
      <c r="C6" s="9">
        <v>46063</v>
      </c>
      <c r="D6" s="9">
        <v>46093</v>
      </c>
      <c r="E6" s="3">
        <v>1940.52</v>
      </c>
      <c r="F6" s="7" t="s">
        <v>367</v>
      </c>
      <c r="H6" s="9"/>
      <c r="I6" s="9"/>
    </row>
    <row r="7" spans="1:9" x14ac:dyDescent="0.3">
      <c r="A7" s="7" t="s">
        <v>5424</v>
      </c>
      <c r="B7" s="7" t="s">
        <v>279</v>
      </c>
      <c r="C7" s="9">
        <v>46059</v>
      </c>
      <c r="D7" s="9">
        <v>46089</v>
      </c>
      <c r="E7" s="3">
        <v>3560.06</v>
      </c>
      <c r="F7" s="7" t="s">
        <v>367</v>
      </c>
      <c r="H7" s="9"/>
      <c r="I7" s="9"/>
    </row>
    <row r="8" spans="1:9" x14ac:dyDescent="0.3">
      <c r="A8" s="7" t="s">
        <v>5425</v>
      </c>
      <c r="B8" s="7" t="s">
        <v>291</v>
      </c>
      <c r="C8" s="9">
        <v>45986</v>
      </c>
      <c r="D8" s="9">
        <v>46016</v>
      </c>
      <c r="E8" s="3">
        <v>6544.81</v>
      </c>
      <c r="F8" s="7" t="s">
        <v>369</v>
      </c>
      <c r="H8" s="9"/>
      <c r="I8" s="9"/>
    </row>
    <row r="9" spans="1:9" x14ac:dyDescent="0.3">
      <c r="A9" s="7" t="s">
        <v>5426</v>
      </c>
      <c r="B9" s="7" t="s">
        <v>269</v>
      </c>
      <c r="C9" s="9">
        <v>45996</v>
      </c>
      <c r="D9" s="9">
        <v>46026</v>
      </c>
      <c r="E9" s="3">
        <v>1429.47</v>
      </c>
      <c r="F9" s="7" t="s">
        <v>367</v>
      </c>
      <c r="H9" s="9"/>
      <c r="I9" s="9"/>
    </row>
    <row r="10" spans="1:9" x14ac:dyDescent="0.3">
      <c r="A10" s="7" t="s">
        <v>5427</v>
      </c>
      <c r="B10" s="7" t="s">
        <v>319</v>
      </c>
      <c r="C10" s="9">
        <v>45979</v>
      </c>
      <c r="D10" s="9">
        <v>46009</v>
      </c>
      <c r="E10" s="3">
        <v>5050.47</v>
      </c>
      <c r="F10" s="7" t="s">
        <v>367</v>
      </c>
      <c r="H10" s="9"/>
      <c r="I10" s="9"/>
    </row>
    <row r="11" spans="1:9" x14ac:dyDescent="0.3">
      <c r="A11" s="7" t="s">
        <v>5428</v>
      </c>
      <c r="B11" s="7" t="s">
        <v>327</v>
      </c>
      <c r="C11" s="9">
        <v>46002</v>
      </c>
      <c r="D11" s="9">
        <v>46032</v>
      </c>
      <c r="E11" s="3">
        <v>1343.26</v>
      </c>
      <c r="F11" s="7" t="s">
        <v>367</v>
      </c>
      <c r="H11" s="9"/>
      <c r="I11" s="9"/>
    </row>
    <row r="12" spans="1:9" x14ac:dyDescent="0.3">
      <c r="A12" s="7" t="s">
        <v>5429</v>
      </c>
      <c r="B12" s="7" t="s">
        <v>285</v>
      </c>
      <c r="C12" s="9">
        <v>45976</v>
      </c>
      <c r="D12" s="9">
        <v>46006</v>
      </c>
      <c r="E12" s="3">
        <v>4473.4399999999996</v>
      </c>
      <c r="F12" s="7" t="s">
        <v>367</v>
      </c>
      <c r="H12" s="9"/>
      <c r="I12" s="9"/>
    </row>
    <row r="13" spans="1:9" x14ac:dyDescent="0.3">
      <c r="A13" s="7" t="s">
        <v>5430</v>
      </c>
      <c r="B13" s="7" t="s">
        <v>293</v>
      </c>
      <c r="C13" s="9">
        <v>46027</v>
      </c>
      <c r="D13" s="9">
        <v>46057</v>
      </c>
      <c r="E13" s="3">
        <v>2101.38</v>
      </c>
      <c r="F13" s="7" t="s">
        <v>367</v>
      </c>
      <c r="H13" s="9"/>
      <c r="I13" s="9"/>
    </row>
    <row r="14" spans="1:9" x14ac:dyDescent="0.3">
      <c r="A14" s="7" t="s">
        <v>5431</v>
      </c>
      <c r="B14" s="7" t="s">
        <v>337</v>
      </c>
      <c r="C14" s="9">
        <v>46061</v>
      </c>
      <c r="D14" s="9">
        <v>46091</v>
      </c>
      <c r="E14" s="3">
        <v>2393.11</v>
      </c>
      <c r="F14" s="7" t="s">
        <v>367</v>
      </c>
      <c r="H14" s="9"/>
      <c r="I14" s="9"/>
    </row>
    <row r="15" spans="1:9" x14ac:dyDescent="0.3">
      <c r="A15" s="7" t="s">
        <v>5432</v>
      </c>
      <c r="B15" s="7" t="s">
        <v>297</v>
      </c>
      <c r="C15" s="9">
        <v>46033</v>
      </c>
      <c r="D15" s="9">
        <v>46063</v>
      </c>
      <c r="E15" s="3">
        <v>6824.35</v>
      </c>
      <c r="F15" s="7" t="s">
        <v>367</v>
      </c>
      <c r="H15" s="9"/>
      <c r="I15" s="9"/>
    </row>
    <row r="16" spans="1:9" x14ac:dyDescent="0.3">
      <c r="A16" s="7" t="s">
        <v>5433</v>
      </c>
      <c r="B16" s="7" t="s">
        <v>337</v>
      </c>
      <c r="C16" s="9">
        <v>46010</v>
      </c>
      <c r="D16" s="9">
        <v>46040</v>
      </c>
      <c r="E16" s="3">
        <v>4432.1899999999996</v>
      </c>
      <c r="F16" s="7" t="s">
        <v>367</v>
      </c>
      <c r="H16" s="9"/>
      <c r="I16" s="9"/>
    </row>
    <row r="17" spans="1:9" x14ac:dyDescent="0.3">
      <c r="A17" s="7" t="s">
        <v>5434</v>
      </c>
      <c r="B17" s="7" t="s">
        <v>269</v>
      </c>
      <c r="C17" s="9">
        <v>46037</v>
      </c>
      <c r="D17" s="9">
        <v>46067</v>
      </c>
      <c r="E17" s="3">
        <v>4100.05</v>
      </c>
      <c r="F17" s="7" t="s">
        <v>367</v>
      </c>
      <c r="H17" s="9"/>
      <c r="I17" s="9"/>
    </row>
    <row r="18" spans="1:9" x14ac:dyDescent="0.3">
      <c r="A18" s="7" t="s">
        <v>5435</v>
      </c>
      <c r="B18" s="7" t="s">
        <v>337</v>
      </c>
      <c r="C18" s="9">
        <v>46020</v>
      </c>
      <c r="D18" s="9">
        <v>46050</v>
      </c>
      <c r="E18" s="3">
        <v>905.16</v>
      </c>
      <c r="F18" s="7" t="s">
        <v>369</v>
      </c>
      <c r="H18" s="9"/>
      <c r="I18" s="9"/>
    </row>
    <row r="19" spans="1:9" x14ac:dyDescent="0.3">
      <c r="A19" s="7" t="s">
        <v>5436</v>
      </c>
      <c r="B19" s="7" t="s">
        <v>307</v>
      </c>
      <c r="C19" s="9">
        <v>46073</v>
      </c>
      <c r="D19" s="9">
        <v>46103</v>
      </c>
      <c r="E19" s="3">
        <v>1815.1</v>
      </c>
      <c r="F19" s="7" t="s">
        <v>369</v>
      </c>
      <c r="H19" s="9"/>
      <c r="I19" s="9"/>
    </row>
    <row r="20" spans="1:9" x14ac:dyDescent="0.3">
      <c r="A20" s="7" t="s">
        <v>5437</v>
      </c>
      <c r="B20" s="7" t="s">
        <v>317</v>
      </c>
      <c r="C20" s="9">
        <v>45980</v>
      </c>
      <c r="D20" s="9">
        <v>46010</v>
      </c>
      <c r="E20" s="3">
        <v>4914.1400000000003</v>
      </c>
      <c r="F20" s="7" t="s">
        <v>367</v>
      </c>
      <c r="H20" s="9"/>
      <c r="I20" s="9"/>
    </row>
    <row r="21" spans="1:9" x14ac:dyDescent="0.3">
      <c r="A21" s="7" t="s">
        <v>5438</v>
      </c>
      <c r="B21" s="7" t="s">
        <v>301</v>
      </c>
      <c r="C21" s="9">
        <v>46048</v>
      </c>
      <c r="D21" s="9">
        <v>46078</v>
      </c>
      <c r="E21" s="3">
        <v>3217.15</v>
      </c>
      <c r="F21" s="7" t="s">
        <v>369</v>
      </c>
      <c r="H21" s="9"/>
      <c r="I21" s="9"/>
    </row>
    <row r="22" spans="1:9" x14ac:dyDescent="0.3">
      <c r="A22" s="7" t="s">
        <v>5439</v>
      </c>
      <c r="B22" s="7" t="s">
        <v>303</v>
      </c>
      <c r="C22" s="9">
        <v>45992</v>
      </c>
      <c r="D22" s="9">
        <v>46022</v>
      </c>
      <c r="E22" s="3">
        <v>4639.37</v>
      </c>
      <c r="F22" s="7" t="s">
        <v>369</v>
      </c>
      <c r="H22" s="9"/>
      <c r="I22" s="9"/>
    </row>
    <row r="23" spans="1:9" x14ac:dyDescent="0.3">
      <c r="A23" s="7" t="s">
        <v>5440</v>
      </c>
      <c r="B23" s="7" t="s">
        <v>343</v>
      </c>
      <c r="C23" s="9">
        <v>46075</v>
      </c>
      <c r="D23" s="9">
        <v>46105</v>
      </c>
      <c r="E23" s="3">
        <v>5290.02</v>
      </c>
      <c r="F23" s="7" t="s">
        <v>367</v>
      </c>
      <c r="H23" s="9"/>
      <c r="I23" s="9"/>
    </row>
    <row r="24" spans="1:9" x14ac:dyDescent="0.3">
      <c r="A24" s="7" t="s">
        <v>5441</v>
      </c>
      <c r="B24" s="7" t="s">
        <v>335</v>
      </c>
      <c r="C24" s="9">
        <v>45994</v>
      </c>
      <c r="D24" s="9">
        <v>46024</v>
      </c>
      <c r="E24" s="3">
        <v>6447.2</v>
      </c>
      <c r="F24" s="7" t="s">
        <v>367</v>
      </c>
      <c r="H24" s="9"/>
      <c r="I24" s="9"/>
    </row>
    <row r="25" spans="1:9" x14ac:dyDescent="0.3">
      <c r="A25" s="7" t="s">
        <v>5442</v>
      </c>
      <c r="B25" s="7" t="s">
        <v>307</v>
      </c>
      <c r="C25" s="9">
        <v>46075</v>
      </c>
      <c r="D25" s="9">
        <v>46105</v>
      </c>
      <c r="E25" s="3">
        <v>4737.68</v>
      </c>
      <c r="F25" s="7" t="s">
        <v>367</v>
      </c>
      <c r="H25" s="9"/>
      <c r="I25" s="9"/>
    </row>
    <row r="26" spans="1:9" x14ac:dyDescent="0.3">
      <c r="A26" s="7" t="s">
        <v>5443</v>
      </c>
      <c r="B26" s="7" t="s">
        <v>281</v>
      </c>
      <c r="C26" s="9">
        <v>45988</v>
      </c>
      <c r="D26" s="9">
        <v>46018</v>
      </c>
      <c r="E26" s="3">
        <v>6661.78</v>
      </c>
      <c r="F26" s="7" t="s">
        <v>369</v>
      </c>
      <c r="H26" s="9"/>
      <c r="I26" s="9"/>
    </row>
    <row r="27" spans="1:9" x14ac:dyDescent="0.3">
      <c r="A27" s="7" t="s">
        <v>5444</v>
      </c>
      <c r="B27" s="7" t="s">
        <v>269</v>
      </c>
      <c r="C27" s="9">
        <v>46029</v>
      </c>
      <c r="D27" s="9">
        <v>46059</v>
      </c>
      <c r="E27" s="3">
        <v>1910.73</v>
      </c>
      <c r="F27" s="7" t="s">
        <v>367</v>
      </c>
      <c r="H27" s="9"/>
      <c r="I27" s="9"/>
    </row>
    <row r="28" spans="1:9" x14ac:dyDescent="0.3">
      <c r="A28" s="7" t="s">
        <v>5445</v>
      </c>
      <c r="B28" s="7" t="s">
        <v>323</v>
      </c>
      <c r="C28" s="9">
        <v>45971</v>
      </c>
      <c r="D28" s="9">
        <v>46001</v>
      </c>
      <c r="E28" s="3">
        <v>5332.99</v>
      </c>
      <c r="F28" s="7" t="s">
        <v>367</v>
      </c>
      <c r="H28" s="9"/>
      <c r="I28" s="9"/>
    </row>
    <row r="29" spans="1:9" x14ac:dyDescent="0.3">
      <c r="A29" s="7" t="s">
        <v>5446</v>
      </c>
      <c r="B29" s="7" t="s">
        <v>272</v>
      </c>
      <c r="C29" s="9">
        <v>46025</v>
      </c>
      <c r="D29" s="9">
        <v>46055</v>
      </c>
      <c r="E29" s="3">
        <v>5884.01</v>
      </c>
      <c r="F29" s="7" t="s">
        <v>367</v>
      </c>
      <c r="H29" s="9"/>
      <c r="I29" s="9"/>
    </row>
    <row r="30" spans="1:9" x14ac:dyDescent="0.3">
      <c r="A30" s="7" t="s">
        <v>5447</v>
      </c>
      <c r="B30" s="7" t="s">
        <v>341</v>
      </c>
      <c r="C30" s="9">
        <v>46069</v>
      </c>
      <c r="D30" s="9">
        <v>46099</v>
      </c>
      <c r="E30" s="3">
        <v>6425.28</v>
      </c>
      <c r="F30" s="7" t="s">
        <v>367</v>
      </c>
      <c r="H30" s="9"/>
      <c r="I30" s="9"/>
    </row>
    <row r="31" spans="1:9" x14ac:dyDescent="0.3">
      <c r="A31" s="7" t="s">
        <v>5448</v>
      </c>
      <c r="B31" s="7" t="s">
        <v>261</v>
      </c>
      <c r="C31" s="9">
        <v>46036</v>
      </c>
      <c r="D31" s="9">
        <v>46066</v>
      </c>
      <c r="E31" s="3">
        <v>6542.63</v>
      </c>
      <c r="F31" s="7" t="s">
        <v>369</v>
      </c>
      <c r="H31" s="9"/>
      <c r="I31" s="9"/>
    </row>
    <row r="32" spans="1:9" x14ac:dyDescent="0.3">
      <c r="A32" s="7" t="s">
        <v>5449</v>
      </c>
      <c r="B32" s="7" t="s">
        <v>297</v>
      </c>
      <c r="C32" s="9">
        <v>46004</v>
      </c>
      <c r="D32" s="9">
        <v>46034</v>
      </c>
      <c r="E32" s="3">
        <v>6537.73</v>
      </c>
      <c r="F32" s="7" t="s">
        <v>369</v>
      </c>
      <c r="H32" s="9"/>
      <c r="I32" s="9"/>
    </row>
    <row r="33" spans="1:9" x14ac:dyDescent="0.3">
      <c r="A33" s="7" t="s">
        <v>5450</v>
      </c>
      <c r="B33" s="7" t="s">
        <v>291</v>
      </c>
      <c r="C33" s="9">
        <v>46040</v>
      </c>
      <c r="D33" s="9">
        <v>46070</v>
      </c>
      <c r="E33" s="3">
        <v>3437.82</v>
      </c>
      <c r="F33" s="7" t="s">
        <v>369</v>
      </c>
      <c r="H33" s="9"/>
      <c r="I33" s="9"/>
    </row>
    <row r="34" spans="1:9" x14ac:dyDescent="0.3">
      <c r="A34" s="7" t="s">
        <v>5451</v>
      </c>
      <c r="B34" s="7" t="s">
        <v>315</v>
      </c>
      <c r="C34" s="9">
        <v>45965</v>
      </c>
      <c r="D34" s="9">
        <v>45995</v>
      </c>
      <c r="E34" s="3">
        <v>6888.66</v>
      </c>
      <c r="F34" s="7" t="s">
        <v>367</v>
      </c>
      <c r="H34" s="9"/>
      <c r="I34" s="9"/>
    </row>
    <row r="35" spans="1:9" x14ac:dyDescent="0.3">
      <c r="A35" s="7" t="s">
        <v>5452</v>
      </c>
      <c r="B35" s="7" t="s">
        <v>291</v>
      </c>
      <c r="C35" s="9">
        <v>46072</v>
      </c>
      <c r="D35" s="9">
        <v>46102</v>
      </c>
      <c r="E35" s="3">
        <v>4756.8100000000004</v>
      </c>
      <c r="F35" s="7" t="s">
        <v>367</v>
      </c>
      <c r="H35" s="9"/>
      <c r="I35" s="9"/>
    </row>
    <row r="36" spans="1:9" x14ac:dyDescent="0.3">
      <c r="A36" s="7" t="s">
        <v>5453</v>
      </c>
      <c r="B36" s="7" t="s">
        <v>319</v>
      </c>
      <c r="C36" s="9">
        <v>46069</v>
      </c>
      <c r="D36" s="9">
        <v>46099</v>
      </c>
      <c r="E36" s="3">
        <v>6063.31</v>
      </c>
      <c r="F36" s="7" t="s">
        <v>367</v>
      </c>
      <c r="H36" s="9"/>
      <c r="I36" s="9"/>
    </row>
    <row r="37" spans="1:9" x14ac:dyDescent="0.3">
      <c r="A37" s="7" t="s">
        <v>5454</v>
      </c>
      <c r="B37" s="7" t="s">
        <v>295</v>
      </c>
      <c r="C37" s="9">
        <v>46034</v>
      </c>
      <c r="D37" s="9">
        <v>46064</v>
      </c>
      <c r="E37" s="3">
        <v>4580.4799999999996</v>
      </c>
      <c r="F37" s="7" t="s">
        <v>387</v>
      </c>
      <c r="H37" s="9"/>
      <c r="I37" s="9"/>
    </row>
    <row r="38" spans="1:9" x14ac:dyDescent="0.3">
      <c r="A38" s="7" t="s">
        <v>5455</v>
      </c>
      <c r="B38" s="7" t="s">
        <v>274</v>
      </c>
      <c r="C38" s="9">
        <v>45968</v>
      </c>
      <c r="D38" s="9">
        <v>45998</v>
      </c>
      <c r="E38" s="3">
        <v>2505.63</v>
      </c>
      <c r="F38" s="7" t="s">
        <v>369</v>
      </c>
      <c r="H38" s="9"/>
      <c r="I38" s="9"/>
    </row>
    <row r="39" spans="1:9" x14ac:dyDescent="0.3">
      <c r="A39" s="7" t="s">
        <v>5456</v>
      </c>
      <c r="B39" s="7" t="s">
        <v>264</v>
      </c>
      <c r="C39" s="9">
        <v>46021</v>
      </c>
      <c r="D39" s="9">
        <v>46051</v>
      </c>
      <c r="E39" s="3">
        <v>5374.91</v>
      </c>
      <c r="F39" s="7" t="s">
        <v>367</v>
      </c>
      <c r="H39" s="9"/>
      <c r="I39" s="9"/>
    </row>
    <row r="40" spans="1:9" x14ac:dyDescent="0.3">
      <c r="A40" s="7" t="s">
        <v>5457</v>
      </c>
      <c r="B40" s="7" t="s">
        <v>337</v>
      </c>
      <c r="C40" s="9">
        <v>46084</v>
      </c>
      <c r="D40" s="9">
        <v>46114</v>
      </c>
      <c r="E40" s="3">
        <v>4707.71</v>
      </c>
      <c r="F40" s="7" t="s">
        <v>367</v>
      </c>
      <c r="H40" s="9"/>
      <c r="I40" s="9"/>
    </row>
    <row r="41" spans="1:9" x14ac:dyDescent="0.3">
      <c r="A41" s="7" t="s">
        <v>5458</v>
      </c>
      <c r="B41" s="7" t="s">
        <v>323</v>
      </c>
      <c r="C41" s="9">
        <v>45968</v>
      </c>
      <c r="D41" s="9">
        <v>45998</v>
      </c>
      <c r="E41" s="3">
        <v>4377.97</v>
      </c>
      <c r="F41" s="7" t="s">
        <v>367</v>
      </c>
      <c r="H41" s="9"/>
      <c r="I41" s="9"/>
    </row>
    <row r="42" spans="1:9" x14ac:dyDescent="0.3">
      <c r="A42" s="7" t="s">
        <v>5459</v>
      </c>
      <c r="B42" s="7" t="s">
        <v>319</v>
      </c>
      <c r="C42" s="9">
        <v>46079</v>
      </c>
      <c r="D42" s="9">
        <v>46109</v>
      </c>
      <c r="E42" s="3">
        <v>6532.59</v>
      </c>
      <c r="F42" s="7" t="s">
        <v>367</v>
      </c>
      <c r="H42" s="9"/>
      <c r="I42" s="9"/>
    </row>
    <row r="43" spans="1:9" x14ac:dyDescent="0.3">
      <c r="A43" s="7" t="s">
        <v>5460</v>
      </c>
      <c r="B43" s="7" t="s">
        <v>274</v>
      </c>
      <c r="C43" s="9">
        <v>45973</v>
      </c>
      <c r="D43" s="9">
        <v>46003</v>
      </c>
      <c r="E43" s="3">
        <v>4693.63</v>
      </c>
      <c r="F43" s="7" t="s">
        <v>367</v>
      </c>
      <c r="H43" s="9"/>
      <c r="I43" s="9"/>
    </row>
    <row r="44" spans="1:9" x14ac:dyDescent="0.3">
      <c r="A44" s="7" t="s">
        <v>5461</v>
      </c>
      <c r="B44" s="7" t="s">
        <v>333</v>
      </c>
      <c r="C44" s="9">
        <v>45999</v>
      </c>
      <c r="D44" s="9">
        <v>46029</v>
      </c>
      <c r="E44" s="3">
        <v>5455.32</v>
      </c>
      <c r="F44" s="7" t="s">
        <v>369</v>
      </c>
      <c r="H44" s="9"/>
      <c r="I44" s="9"/>
    </row>
    <row r="45" spans="1:9" x14ac:dyDescent="0.3">
      <c r="A45" s="7" t="s">
        <v>5462</v>
      </c>
      <c r="B45" s="7" t="s">
        <v>261</v>
      </c>
      <c r="C45" s="9">
        <v>46058</v>
      </c>
      <c r="D45" s="9">
        <v>46088</v>
      </c>
      <c r="E45" s="3">
        <v>5566.57</v>
      </c>
      <c r="F45" s="7" t="s">
        <v>367</v>
      </c>
      <c r="H45" s="9"/>
      <c r="I45" s="9"/>
    </row>
    <row r="46" spans="1:9" x14ac:dyDescent="0.3">
      <c r="A46" s="7" t="s">
        <v>5463</v>
      </c>
      <c r="B46" s="7" t="s">
        <v>315</v>
      </c>
      <c r="C46" s="9">
        <v>46004</v>
      </c>
      <c r="D46" s="9">
        <v>46034</v>
      </c>
      <c r="E46" s="3">
        <v>923.85</v>
      </c>
      <c r="F46" s="7" t="s">
        <v>369</v>
      </c>
      <c r="H46" s="9"/>
      <c r="I46" s="9"/>
    </row>
    <row r="47" spans="1:9" x14ac:dyDescent="0.3">
      <c r="A47" s="7" t="s">
        <v>5464</v>
      </c>
      <c r="B47" s="7" t="s">
        <v>295</v>
      </c>
      <c r="C47" s="9">
        <v>46084</v>
      </c>
      <c r="D47" s="9">
        <v>46114</v>
      </c>
      <c r="E47" s="3">
        <v>5681.04</v>
      </c>
      <c r="F47" s="7" t="s">
        <v>367</v>
      </c>
      <c r="H47" s="9"/>
      <c r="I47" s="9"/>
    </row>
    <row r="48" spans="1:9" x14ac:dyDescent="0.3">
      <c r="A48" s="7" t="s">
        <v>5465</v>
      </c>
      <c r="B48" s="7" t="s">
        <v>281</v>
      </c>
      <c r="C48" s="9">
        <v>46014</v>
      </c>
      <c r="D48" s="9">
        <v>46044</v>
      </c>
      <c r="E48" s="3">
        <v>6087.55</v>
      </c>
      <c r="F48" s="7" t="s">
        <v>387</v>
      </c>
      <c r="H48" s="9"/>
      <c r="I48" s="9"/>
    </row>
    <row r="49" spans="1:9" x14ac:dyDescent="0.3">
      <c r="A49" s="7" t="s">
        <v>5466</v>
      </c>
      <c r="B49" s="7" t="s">
        <v>305</v>
      </c>
      <c r="C49" s="9">
        <v>46024</v>
      </c>
      <c r="D49" s="9">
        <v>46054</v>
      </c>
      <c r="E49" s="3">
        <v>2967.28</v>
      </c>
      <c r="F49" s="7" t="s">
        <v>367</v>
      </c>
      <c r="H49" s="9"/>
      <c r="I49" s="9"/>
    </row>
    <row r="50" spans="1:9" x14ac:dyDescent="0.3">
      <c r="A50" s="7" t="s">
        <v>5467</v>
      </c>
      <c r="B50" s="7" t="s">
        <v>337</v>
      </c>
      <c r="C50" s="9">
        <v>46089</v>
      </c>
      <c r="D50" s="9">
        <v>46119</v>
      </c>
      <c r="E50" s="3">
        <v>1166.24</v>
      </c>
      <c r="F50" s="7" t="s">
        <v>367</v>
      </c>
      <c r="H50" s="9"/>
      <c r="I50" s="9"/>
    </row>
    <row r="51" spans="1:9" x14ac:dyDescent="0.3">
      <c r="A51" s="7" t="s">
        <v>5468</v>
      </c>
      <c r="B51" s="7" t="s">
        <v>276</v>
      </c>
      <c r="C51" s="9">
        <v>46065</v>
      </c>
      <c r="D51" s="9">
        <v>46095</v>
      </c>
      <c r="E51" s="3">
        <v>6104.63</v>
      </c>
      <c r="F51" s="7" t="s">
        <v>369</v>
      </c>
      <c r="H51" s="9"/>
      <c r="I51" s="9"/>
    </row>
    <row r="52" spans="1:9" x14ac:dyDescent="0.3">
      <c r="A52" s="7" t="s">
        <v>5469</v>
      </c>
      <c r="B52" s="7" t="s">
        <v>305</v>
      </c>
      <c r="C52" s="9">
        <v>46082</v>
      </c>
      <c r="D52" s="9">
        <v>46112</v>
      </c>
      <c r="E52" s="3">
        <v>1178.18</v>
      </c>
      <c r="F52" s="7" t="s">
        <v>367</v>
      </c>
      <c r="H52" s="9"/>
      <c r="I52" s="9"/>
    </row>
    <row r="53" spans="1:9" x14ac:dyDescent="0.3">
      <c r="A53" s="7" t="s">
        <v>5470</v>
      </c>
      <c r="B53" s="7" t="s">
        <v>323</v>
      </c>
      <c r="C53" s="9">
        <v>46044</v>
      </c>
      <c r="D53" s="9">
        <v>46074</v>
      </c>
      <c r="E53" s="3">
        <v>2080.8200000000002</v>
      </c>
      <c r="F53" s="7" t="s">
        <v>367</v>
      </c>
      <c r="H53" s="9"/>
      <c r="I53" s="9"/>
    </row>
    <row r="54" spans="1:9" x14ac:dyDescent="0.3">
      <c r="A54" s="7" t="s">
        <v>5471</v>
      </c>
      <c r="B54" s="7" t="s">
        <v>331</v>
      </c>
      <c r="C54" s="9">
        <v>46081</v>
      </c>
      <c r="D54" s="9">
        <v>46111</v>
      </c>
      <c r="E54" s="3">
        <v>3876.37</v>
      </c>
      <c r="F54" s="7" t="s">
        <v>367</v>
      </c>
      <c r="H54" s="9"/>
      <c r="I54" s="9"/>
    </row>
    <row r="55" spans="1:9" x14ac:dyDescent="0.3">
      <c r="A55" s="7" t="s">
        <v>5472</v>
      </c>
      <c r="B55" s="7" t="s">
        <v>321</v>
      </c>
      <c r="C55" s="9">
        <v>46056</v>
      </c>
      <c r="D55" s="9">
        <v>46086</v>
      </c>
      <c r="E55" s="3">
        <v>1288.97</v>
      </c>
      <c r="F55" s="7" t="s">
        <v>367</v>
      </c>
      <c r="H55" s="9"/>
      <c r="I55" s="9"/>
    </row>
    <row r="56" spans="1:9" x14ac:dyDescent="0.3">
      <c r="A56" s="7" t="s">
        <v>5473</v>
      </c>
      <c r="B56" s="7" t="s">
        <v>341</v>
      </c>
      <c r="C56" s="9">
        <v>45986</v>
      </c>
      <c r="D56" s="9">
        <v>46016</v>
      </c>
      <c r="E56" s="3">
        <v>3285.85</v>
      </c>
      <c r="F56" s="7" t="s">
        <v>367</v>
      </c>
      <c r="H56" s="9"/>
      <c r="I56" s="9"/>
    </row>
    <row r="57" spans="1:9" x14ac:dyDescent="0.3">
      <c r="A57" s="7" t="s">
        <v>5474</v>
      </c>
      <c r="B57" s="7" t="s">
        <v>343</v>
      </c>
      <c r="C57" s="9">
        <v>46087</v>
      </c>
      <c r="D57" s="9">
        <v>46117</v>
      </c>
      <c r="E57" s="3">
        <v>1174.19</v>
      </c>
      <c r="F57" s="7" t="s">
        <v>367</v>
      </c>
      <c r="H57" s="9"/>
      <c r="I57" s="9"/>
    </row>
    <row r="58" spans="1:9" x14ac:dyDescent="0.3">
      <c r="A58" s="7" t="s">
        <v>5475</v>
      </c>
      <c r="B58" s="7" t="s">
        <v>305</v>
      </c>
      <c r="C58" s="9">
        <v>46038</v>
      </c>
      <c r="D58" s="9">
        <v>46068</v>
      </c>
      <c r="E58" s="3">
        <v>6847.65</v>
      </c>
      <c r="F58" s="7" t="s">
        <v>387</v>
      </c>
      <c r="H58" s="9"/>
      <c r="I58" s="9"/>
    </row>
    <row r="59" spans="1:9" x14ac:dyDescent="0.3">
      <c r="A59" s="7" t="s">
        <v>5476</v>
      </c>
      <c r="B59" s="7" t="s">
        <v>274</v>
      </c>
      <c r="C59" s="9">
        <v>46014</v>
      </c>
      <c r="D59" s="9">
        <v>46044</v>
      </c>
      <c r="E59" s="3">
        <v>3073.65</v>
      </c>
      <c r="F59" s="7" t="s">
        <v>387</v>
      </c>
      <c r="H59" s="9"/>
      <c r="I59" s="9"/>
    </row>
    <row r="60" spans="1:9" x14ac:dyDescent="0.3">
      <c r="A60" s="7" t="s">
        <v>5477</v>
      </c>
      <c r="B60" s="7" t="s">
        <v>295</v>
      </c>
      <c r="C60" s="9">
        <v>46048</v>
      </c>
      <c r="D60" s="9">
        <v>46078</v>
      </c>
      <c r="E60" s="3">
        <v>1332.88</v>
      </c>
      <c r="F60" s="7" t="s">
        <v>367</v>
      </c>
      <c r="H60" s="9"/>
      <c r="I60" s="9"/>
    </row>
    <row r="61" spans="1:9" x14ac:dyDescent="0.3">
      <c r="A61" s="7" t="s">
        <v>5478</v>
      </c>
      <c r="B61" s="7" t="s">
        <v>295</v>
      </c>
      <c r="C61" s="9">
        <v>46040</v>
      </c>
      <c r="D61" s="9">
        <v>46070</v>
      </c>
      <c r="E61" s="3">
        <v>4425.66</v>
      </c>
      <c r="F61" s="7" t="s">
        <v>367</v>
      </c>
      <c r="H61" s="9"/>
      <c r="I61" s="9"/>
    </row>
    <row r="62" spans="1:9" x14ac:dyDescent="0.3">
      <c r="A62" s="7" t="s">
        <v>5479</v>
      </c>
      <c r="B62" s="7" t="s">
        <v>279</v>
      </c>
      <c r="C62" s="9">
        <v>45977</v>
      </c>
      <c r="D62" s="9">
        <v>46007</v>
      </c>
      <c r="E62" s="3">
        <v>1427.82</v>
      </c>
      <c r="F62" s="7" t="s">
        <v>367</v>
      </c>
      <c r="H62" s="9"/>
      <c r="I62" s="9"/>
    </row>
    <row r="63" spans="1:9" x14ac:dyDescent="0.3">
      <c r="A63" s="7" t="s">
        <v>5480</v>
      </c>
      <c r="B63" s="7" t="s">
        <v>343</v>
      </c>
      <c r="C63" s="9">
        <v>46071</v>
      </c>
      <c r="D63" s="9">
        <v>46101</v>
      </c>
      <c r="E63" s="3">
        <v>1064.04</v>
      </c>
      <c r="F63" s="7" t="s">
        <v>367</v>
      </c>
      <c r="H63" s="9"/>
      <c r="I63" s="9"/>
    </row>
    <row r="64" spans="1:9" x14ac:dyDescent="0.3">
      <c r="A64" s="7" t="s">
        <v>5481</v>
      </c>
      <c r="B64" s="7" t="s">
        <v>325</v>
      </c>
      <c r="C64" s="9">
        <v>46035</v>
      </c>
      <c r="D64" s="9">
        <v>46065</v>
      </c>
      <c r="E64" s="3">
        <v>3814.19</v>
      </c>
      <c r="F64" s="7" t="s">
        <v>367</v>
      </c>
      <c r="H64" s="9"/>
      <c r="I64" s="9"/>
    </row>
    <row r="65" spans="1:9" x14ac:dyDescent="0.3">
      <c r="A65" s="7" t="s">
        <v>5482</v>
      </c>
      <c r="B65" s="7" t="s">
        <v>333</v>
      </c>
      <c r="C65" s="9">
        <v>46029</v>
      </c>
      <c r="D65" s="9">
        <v>46059</v>
      </c>
      <c r="E65" s="3">
        <v>4485.91</v>
      </c>
      <c r="F65" s="7" t="s">
        <v>387</v>
      </c>
      <c r="H65" s="9"/>
      <c r="I65" s="9"/>
    </row>
    <row r="66" spans="1:9" x14ac:dyDescent="0.3">
      <c r="A66" s="7" t="s">
        <v>5483</v>
      </c>
      <c r="B66" s="7" t="s">
        <v>317</v>
      </c>
      <c r="C66" s="9">
        <v>45973</v>
      </c>
      <c r="D66" s="9">
        <v>46003</v>
      </c>
      <c r="E66" s="3">
        <v>829.05</v>
      </c>
      <c r="F66" s="7" t="s">
        <v>369</v>
      </c>
      <c r="H66" s="9"/>
      <c r="I66" s="9"/>
    </row>
    <row r="67" spans="1:9" x14ac:dyDescent="0.3">
      <c r="A67" s="7" t="s">
        <v>5484</v>
      </c>
      <c r="B67" s="7" t="s">
        <v>331</v>
      </c>
      <c r="C67" s="9">
        <v>46004</v>
      </c>
      <c r="D67" s="9">
        <v>46034</v>
      </c>
      <c r="E67" s="3">
        <v>1309.68</v>
      </c>
      <c r="F67" s="7" t="s">
        <v>369</v>
      </c>
      <c r="H67" s="9"/>
      <c r="I67" s="9"/>
    </row>
    <row r="68" spans="1:9" x14ac:dyDescent="0.3">
      <c r="A68" s="7" t="s">
        <v>5485</v>
      </c>
      <c r="B68" s="7" t="s">
        <v>317</v>
      </c>
      <c r="C68" s="9">
        <v>46034</v>
      </c>
      <c r="D68" s="9">
        <v>46064</v>
      </c>
      <c r="E68" s="3">
        <v>1274.57</v>
      </c>
      <c r="F68" s="7" t="s">
        <v>369</v>
      </c>
      <c r="H68" s="9"/>
      <c r="I68" s="9"/>
    </row>
    <row r="69" spans="1:9" x14ac:dyDescent="0.3">
      <c r="A69" s="7" t="s">
        <v>5486</v>
      </c>
      <c r="B69" s="7" t="s">
        <v>323</v>
      </c>
      <c r="C69" s="9">
        <v>46063</v>
      </c>
      <c r="D69" s="9">
        <v>46093</v>
      </c>
      <c r="E69" s="3">
        <v>6745.18</v>
      </c>
      <c r="F69" s="7" t="s">
        <v>367</v>
      </c>
      <c r="H69" s="9"/>
      <c r="I69" s="9"/>
    </row>
    <row r="70" spans="1:9" x14ac:dyDescent="0.3">
      <c r="A70" s="7" t="s">
        <v>5487</v>
      </c>
      <c r="B70" s="7" t="s">
        <v>333</v>
      </c>
      <c r="C70" s="9">
        <v>45990</v>
      </c>
      <c r="D70" s="9">
        <v>46020</v>
      </c>
      <c r="E70" s="3">
        <v>6207.59</v>
      </c>
      <c r="F70" s="7" t="s">
        <v>367</v>
      </c>
      <c r="H70" s="9"/>
      <c r="I70" s="9"/>
    </row>
    <row r="71" spans="1:9" x14ac:dyDescent="0.3">
      <c r="A71" s="7" t="s">
        <v>5488</v>
      </c>
      <c r="B71" s="7" t="s">
        <v>297</v>
      </c>
      <c r="C71" s="9">
        <v>46064</v>
      </c>
      <c r="D71" s="9">
        <v>46094</v>
      </c>
      <c r="E71" s="3">
        <v>1065.69</v>
      </c>
      <c r="F71" s="7" t="s">
        <v>367</v>
      </c>
      <c r="H71" s="9"/>
      <c r="I71" s="9"/>
    </row>
    <row r="72" spans="1:9" x14ac:dyDescent="0.3">
      <c r="A72" s="7" t="s">
        <v>5489</v>
      </c>
      <c r="B72" s="7" t="s">
        <v>289</v>
      </c>
      <c r="C72" s="9">
        <v>46075</v>
      </c>
      <c r="D72" s="9">
        <v>46105</v>
      </c>
      <c r="E72" s="3">
        <v>4949.53</v>
      </c>
      <c r="F72" s="7" t="s">
        <v>367</v>
      </c>
      <c r="H72" s="9"/>
      <c r="I72" s="9"/>
    </row>
    <row r="73" spans="1:9" x14ac:dyDescent="0.3">
      <c r="A73" s="7" t="s">
        <v>5490</v>
      </c>
      <c r="B73" s="7" t="s">
        <v>291</v>
      </c>
      <c r="C73" s="9">
        <v>46065</v>
      </c>
      <c r="D73" s="9">
        <v>46095</v>
      </c>
      <c r="E73" s="3">
        <v>851.29</v>
      </c>
      <c r="F73" s="7" t="s">
        <v>367</v>
      </c>
      <c r="H73" s="9"/>
      <c r="I73" s="9"/>
    </row>
    <row r="74" spans="1:9" x14ac:dyDescent="0.3">
      <c r="A74" s="7" t="s">
        <v>5491</v>
      </c>
      <c r="B74" s="7" t="s">
        <v>319</v>
      </c>
      <c r="C74" s="9">
        <v>46007</v>
      </c>
      <c r="D74" s="9">
        <v>46037</v>
      </c>
      <c r="E74" s="3">
        <v>1632.79</v>
      </c>
      <c r="F74" s="7" t="s">
        <v>369</v>
      </c>
      <c r="H74" s="9"/>
      <c r="I74" s="9"/>
    </row>
    <row r="75" spans="1:9" x14ac:dyDescent="0.3">
      <c r="A75" s="7" t="s">
        <v>5492</v>
      </c>
      <c r="B75" s="7" t="s">
        <v>297</v>
      </c>
      <c r="C75" s="9">
        <v>46051</v>
      </c>
      <c r="D75" s="9">
        <v>46081</v>
      </c>
      <c r="E75" s="3">
        <v>4729.3100000000004</v>
      </c>
      <c r="F75" s="7" t="s">
        <v>367</v>
      </c>
      <c r="H75" s="9"/>
      <c r="I75" s="9"/>
    </row>
    <row r="76" spans="1:9" x14ac:dyDescent="0.3">
      <c r="A76" s="7" t="s">
        <v>5493</v>
      </c>
      <c r="B76" s="7" t="s">
        <v>331</v>
      </c>
      <c r="C76" s="9">
        <v>45962</v>
      </c>
      <c r="D76" s="9">
        <v>45992</v>
      </c>
      <c r="E76" s="3">
        <v>5480.86</v>
      </c>
      <c r="F76" s="7" t="s">
        <v>367</v>
      </c>
      <c r="H76" s="9"/>
      <c r="I76" s="9"/>
    </row>
    <row r="77" spans="1:9" x14ac:dyDescent="0.3">
      <c r="A77" s="7" t="s">
        <v>5494</v>
      </c>
      <c r="B77" s="7" t="s">
        <v>264</v>
      </c>
      <c r="C77" s="9">
        <v>45963</v>
      </c>
      <c r="D77" s="9">
        <v>45993</v>
      </c>
      <c r="E77" s="3">
        <v>4367.1400000000003</v>
      </c>
      <c r="F77" s="7" t="s">
        <v>367</v>
      </c>
      <c r="H77" s="9"/>
      <c r="I77" s="9"/>
    </row>
    <row r="78" spans="1:9" x14ac:dyDescent="0.3">
      <c r="A78" s="7" t="s">
        <v>5495</v>
      </c>
      <c r="B78" s="7" t="s">
        <v>327</v>
      </c>
      <c r="C78" s="9">
        <v>46075</v>
      </c>
      <c r="D78" s="9">
        <v>46105</v>
      </c>
      <c r="E78" s="3">
        <v>3293.22</v>
      </c>
      <c r="F78" s="7" t="s">
        <v>367</v>
      </c>
      <c r="H78" s="9"/>
      <c r="I78" s="9"/>
    </row>
    <row r="79" spans="1:9" x14ac:dyDescent="0.3">
      <c r="A79" s="7" t="s">
        <v>5496</v>
      </c>
      <c r="B79" s="7" t="s">
        <v>341</v>
      </c>
      <c r="C79" s="9">
        <v>46006</v>
      </c>
      <c r="D79" s="9">
        <v>46036</v>
      </c>
      <c r="E79" s="3">
        <v>4685.5200000000004</v>
      </c>
      <c r="F79" s="7" t="s">
        <v>367</v>
      </c>
      <c r="H79" s="9"/>
      <c r="I79" s="9"/>
    </row>
    <row r="80" spans="1:9" x14ac:dyDescent="0.3">
      <c r="A80" s="7" t="s">
        <v>5497</v>
      </c>
      <c r="B80" s="7" t="s">
        <v>287</v>
      </c>
      <c r="C80" s="9">
        <v>45970</v>
      </c>
      <c r="D80" s="9">
        <v>46000</v>
      </c>
      <c r="E80" s="3">
        <v>1873.43</v>
      </c>
      <c r="F80" s="7" t="s">
        <v>367</v>
      </c>
      <c r="H80" s="9"/>
      <c r="I80" s="9"/>
    </row>
    <row r="81" spans="1:9" x14ac:dyDescent="0.3">
      <c r="A81" s="7" t="s">
        <v>5498</v>
      </c>
      <c r="B81" s="7" t="s">
        <v>343</v>
      </c>
      <c r="C81" s="9">
        <v>46034</v>
      </c>
      <c r="D81" s="9">
        <v>46064</v>
      </c>
      <c r="E81" s="3">
        <v>3956.71</v>
      </c>
      <c r="F81" s="7" t="s">
        <v>369</v>
      </c>
      <c r="H81" s="9"/>
      <c r="I81" s="9"/>
    </row>
    <row r="82" spans="1:9" x14ac:dyDescent="0.3">
      <c r="A82" s="7" t="s">
        <v>5499</v>
      </c>
      <c r="B82" s="7" t="s">
        <v>309</v>
      </c>
      <c r="C82" s="9">
        <v>45977</v>
      </c>
      <c r="D82" s="9">
        <v>46007</v>
      </c>
      <c r="E82" s="3">
        <v>1493.69</v>
      </c>
      <c r="F82" s="7" t="s">
        <v>369</v>
      </c>
      <c r="H82" s="9"/>
      <c r="I82" s="9"/>
    </row>
    <row r="83" spans="1:9" x14ac:dyDescent="0.3">
      <c r="A83" s="7" t="s">
        <v>5500</v>
      </c>
      <c r="B83" s="7" t="s">
        <v>333</v>
      </c>
      <c r="C83" s="9">
        <v>46041</v>
      </c>
      <c r="D83" s="9">
        <v>46071</v>
      </c>
      <c r="E83" s="3">
        <v>5441.42</v>
      </c>
      <c r="F83" s="7" t="s">
        <v>367</v>
      </c>
      <c r="H83" s="9"/>
      <c r="I83" s="9"/>
    </row>
    <row r="84" spans="1:9" x14ac:dyDescent="0.3">
      <c r="A84" s="7" t="s">
        <v>5501</v>
      </c>
      <c r="B84" s="7" t="s">
        <v>279</v>
      </c>
      <c r="C84" s="9">
        <v>46077</v>
      </c>
      <c r="D84" s="9">
        <v>46107</v>
      </c>
      <c r="E84" s="3">
        <v>3611.78</v>
      </c>
      <c r="F84" s="7" t="s">
        <v>369</v>
      </c>
      <c r="H84" s="9"/>
      <c r="I84" s="9"/>
    </row>
    <row r="85" spans="1:9" x14ac:dyDescent="0.3">
      <c r="A85" s="7" t="s">
        <v>5502</v>
      </c>
      <c r="B85" s="7" t="s">
        <v>319</v>
      </c>
      <c r="C85" s="9">
        <v>46087</v>
      </c>
      <c r="D85" s="9">
        <v>46117</v>
      </c>
      <c r="E85" s="3">
        <v>5797.47</v>
      </c>
      <c r="F85" s="7" t="s">
        <v>387</v>
      </c>
      <c r="H85" s="9"/>
      <c r="I85" s="9"/>
    </row>
    <row r="86" spans="1:9" x14ac:dyDescent="0.3">
      <c r="A86" s="7" t="s">
        <v>5503</v>
      </c>
      <c r="B86" s="7" t="s">
        <v>313</v>
      </c>
      <c r="C86" s="9">
        <v>46086</v>
      </c>
      <c r="D86" s="9">
        <v>46116</v>
      </c>
      <c r="E86" s="3">
        <v>6002.69</v>
      </c>
      <c r="F86" s="7" t="s">
        <v>369</v>
      </c>
      <c r="H86" s="9"/>
      <c r="I86" s="9"/>
    </row>
    <row r="87" spans="1:9" x14ac:dyDescent="0.3">
      <c r="A87" s="7" t="s">
        <v>5504</v>
      </c>
      <c r="B87" s="7" t="s">
        <v>267</v>
      </c>
      <c r="C87" s="9">
        <v>46056</v>
      </c>
      <c r="D87" s="9">
        <v>46086</v>
      </c>
      <c r="E87" s="3">
        <v>2059.19</v>
      </c>
      <c r="F87" s="7" t="s">
        <v>369</v>
      </c>
      <c r="H87" s="9"/>
      <c r="I87" s="9"/>
    </row>
    <row r="88" spans="1:9" x14ac:dyDescent="0.3">
      <c r="A88" s="7" t="s">
        <v>5505</v>
      </c>
      <c r="B88" s="7" t="s">
        <v>331</v>
      </c>
      <c r="C88" s="9">
        <v>46055</v>
      </c>
      <c r="D88" s="9">
        <v>46085</v>
      </c>
      <c r="E88" s="3">
        <v>6387.1</v>
      </c>
      <c r="F88" s="7" t="s">
        <v>367</v>
      </c>
      <c r="H88" s="9"/>
      <c r="I88" s="9"/>
    </row>
    <row r="89" spans="1:9" x14ac:dyDescent="0.3">
      <c r="A89" s="7" t="s">
        <v>5506</v>
      </c>
      <c r="B89" s="7" t="s">
        <v>325</v>
      </c>
      <c r="C89" s="9">
        <v>46030</v>
      </c>
      <c r="D89" s="9">
        <v>46060</v>
      </c>
      <c r="E89" s="3">
        <v>3547.76</v>
      </c>
      <c r="F89" s="7" t="s">
        <v>369</v>
      </c>
      <c r="H89" s="9"/>
      <c r="I89" s="9"/>
    </row>
    <row r="90" spans="1:9" x14ac:dyDescent="0.3">
      <c r="A90" s="7" t="s">
        <v>5507</v>
      </c>
      <c r="B90" s="7" t="s">
        <v>293</v>
      </c>
      <c r="C90" s="9">
        <v>45989</v>
      </c>
      <c r="D90" s="9">
        <v>46019</v>
      </c>
      <c r="E90" s="3">
        <v>2129.58</v>
      </c>
      <c r="F90" s="7" t="s">
        <v>367</v>
      </c>
      <c r="H90" s="9"/>
      <c r="I90" s="9"/>
    </row>
    <row r="91" spans="1:9" x14ac:dyDescent="0.3">
      <c r="A91" s="7" t="s">
        <v>5508</v>
      </c>
      <c r="B91" s="7" t="s">
        <v>261</v>
      </c>
      <c r="C91" s="9">
        <v>46034</v>
      </c>
      <c r="D91" s="9">
        <v>46064</v>
      </c>
      <c r="E91" s="3">
        <v>5942.28</v>
      </c>
      <c r="F91" s="7" t="s">
        <v>367</v>
      </c>
      <c r="H91" s="9"/>
      <c r="I91" s="9"/>
    </row>
    <row r="92" spans="1:9" x14ac:dyDescent="0.3">
      <c r="A92" s="7" t="s">
        <v>5509</v>
      </c>
      <c r="B92" s="7" t="s">
        <v>341</v>
      </c>
      <c r="C92" s="9">
        <v>46019</v>
      </c>
      <c r="D92" s="9">
        <v>46049</v>
      </c>
      <c r="E92" s="3">
        <v>877.23</v>
      </c>
      <c r="F92" s="7" t="s">
        <v>369</v>
      </c>
      <c r="H92" s="9"/>
      <c r="I92" s="9"/>
    </row>
    <row r="93" spans="1:9" x14ac:dyDescent="0.3">
      <c r="A93" s="7" t="s">
        <v>5510</v>
      </c>
      <c r="B93" s="7" t="s">
        <v>329</v>
      </c>
      <c r="C93" s="9">
        <v>45978</v>
      </c>
      <c r="D93" s="9">
        <v>46008</v>
      </c>
      <c r="E93" s="3">
        <v>5920.61</v>
      </c>
      <c r="F93" s="7" t="s">
        <v>369</v>
      </c>
      <c r="H93" s="9"/>
      <c r="I93" s="9"/>
    </row>
    <row r="94" spans="1:9" x14ac:dyDescent="0.3">
      <c r="A94" s="7" t="s">
        <v>5511</v>
      </c>
      <c r="B94" s="7" t="s">
        <v>333</v>
      </c>
      <c r="C94" s="9">
        <v>46078</v>
      </c>
      <c r="D94" s="9">
        <v>46108</v>
      </c>
      <c r="E94" s="3">
        <v>1591.84</v>
      </c>
      <c r="F94" s="7" t="s">
        <v>367</v>
      </c>
      <c r="H94" s="9"/>
      <c r="I94" s="9"/>
    </row>
    <row r="95" spans="1:9" x14ac:dyDescent="0.3">
      <c r="A95" s="7" t="s">
        <v>5512</v>
      </c>
      <c r="B95" s="7" t="s">
        <v>267</v>
      </c>
      <c r="C95" s="9">
        <v>46075</v>
      </c>
      <c r="D95" s="9">
        <v>46105</v>
      </c>
      <c r="E95" s="3">
        <v>6527.74</v>
      </c>
      <c r="F95" s="7" t="s">
        <v>367</v>
      </c>
      <c r="H95" s="9"/>
      <c r="I95" s="9"/>
    </row>
    <row r="96" spans="1:9" x14ac:dyDescent="0.3">
      <c r="A96" s="7" t="s">
        <v>5513</v>
      </c>
      <c r="B96" s="7" t="s">
        <v>293</v>
      </c>
      <c r="C96" s="9">
        <v>46001</v>
      </c>
      <c r="D96" s="9">
        <v>46031</v>
      </c>
      <c r="E96" s="3">
        <v>6345.52</v>
      </c>
      <c r="F96" s="7" t="s">
        <v>367</v>
      </c>
      <c r="H96" s="9"/>
      <c r="I96" s="9"/>
    </row>
    <row r="97" spans="1:9" x14ac:dyDescent="0.3">
      <c r="A97" s="7" t="s">
        <v>5514</v>
      </c>
      <c r="B97" s="7" t="s">
        <v>309</v>
      </c>
      <c r="C97" s="9">
        <v>46014</v>
      </c>
      <c r="D97" s="9">
        <v>46044</v>
      </c>
      <c r="E97" s="3">
        <v>3591.3</v>
      </c>
      <c r="F97" s="7" t="s">
        <v>367</v>
      </c>
      <c r="H97" s="9"/>
      <c r="I97" s="9"/>
    </row>
    <row r="98" spans="1:9" x14ac:dyDescent="0.3">
      <c r="A98" s="7" t="s">
        <v>5515</v>
      </c>
      <c r="B98" s="7" t="s">
        <v>272</v>
      </c>
      <c r="C98" s="9">
        <v>46001</v>
      </c>
      <c r="D98" s="9">
        <v>46031</v>
      </c>
      <c r="E98" s="3">
        <v>922.02</v>
      </c>
      <c r="F98" s="7" t="s">
        <v>369</v>
      </c>
      <c r="H98" s="9"/>
      <c r="I98" s="9"/>
    </row>
    <row r="99" spans="1:9" x14ac:dyDescent="0.3">
      <c r="A99" s="7" t="s">
        <v>5516</v>
      </c>
      <c r="B99" s="7" t="s">
        <v>339</v>
      </c>
      <c r="C99" s="9">
        <v>45986</v>
      </c>
      <c r="D99" s="9">
        <v>46016</v>
      </c>
      <c r="E99" s="3">
        <v>6000.97</v>
      </c>
      <c r="F99" s="7" t="s">
        <v>367</v>
      </c>
      <c r="H99" s="9"/>
      <c r="I99" s="9"/>
    </row>
    <row r="100" spans="1:9" x14ac:dyDescent="0.3">
      <c r="A100" s="7" t="s">
        <v>5517</v>
      </c>
      <c r="B100" s="7" t="s">
        <v>285</v>
      </c>
      <c r="C100" s="9">
        <v>46073</v>
      </c>
      <c r="D100" s="9">
        <v>46103</v>
      </c>
      <c r="E100" s="3">
        <v>2478.48</v>
      </c>
      <c r="F100" s="7" t="s">
        <v>387</v>
      </c>
      <c r="H100" s="9"/>
      <c r="I100" s="9"/>
    </row>
    <row r="101" spans="1:9" x14ac:dyDescent="0.3">
      <c r="A101" s="7" t="s">
        <v>5518</v>
      </c>
      <c r="B101" s="7" t="s">
        <v>272</v>
      </c>
      <c r="C101" s="9">
        <v>46078</v>
      </c>
      <c r="D101" s="9">
        <v>46108</v>
      </c>
      <c r="E101" s="3">
        <v>1168.8800000000001</v>
      </c>
      <c r="F101" s="7" t="s">
        <v>367</v>
      </c>
      <c r="H101" s="9"/>
      <c r="I101" s="9"/>
    </row>
    <row r="102" spans="1:9" x14ac:dyDescent="0.3">
      <c r="A102" s="7" t="s">
        <v>5519</v>
      </c>
      <c r="B102" s="7" t="s">
        <v>276</v>
      </c>
      <c r="C102" s="9">
        <v>46046</v>
      </c>
      <c r="D102" s="9">
        <v>46076</v>
      </c>
      <c r="E102" s="3">
        <v>6719.46</v>
      </c>
      <c r="F102" s="7" t="s">
        <v>369</v>
      </c>
      <c r="H102" s="9"/>
      <c r="I102" s="9"/>
    </row>
    <row r="103" spans="1:9" x14ac:dyDescent="0.3">
      <c r="A103" s="7" t="s">
        <v>5520</v>
      </c>
      <c r="B103" s="7" t="s">
        <v>333</v>
      </c>
      <c r="C103" s="9">
        <v>46029</v>
      </c>
      <c r="D103" s="9">
        <v>46059</v>
      </c>
      <c r="E103" s="3">
        <v>6703.13</v>
      </c>
      <c r="F103" s="7" t="s">
        <v>367</v>
      </c>
      <c r="H103" s="9"/>
      <c r="I103" s="9"/>
    </row>
    <row r="104" spans="1:9" x14ac:dyDescent="0.3">
      <c r="A104" s="7" t="s">
        <v>5521</v>
      </c>
      <c r="B104" s="7" t="s">
        <v>335</v>
      </c>
      <c r="C104" s="9">
        <v>46035</v>
      </c>
      <c r="D104" s="9">
        <v>46065</v>
      </c>
      <c r="E104" s="3">
        <v>3742.95</v>
      </c>
      <c r="F104" s="7" t="s">
        <v>369</v>
      </c>
      <c r="H104" s="9"/>
      <c r="I104" s="9"/>
    </row>
    <row r="105" spans="1:9" x14ac:dyDescent="0.3">
      <c r="A105" s="7" t="s">
        <v>5522</v>
      </c>
      <c r="B105" s="7" t="s">
        <v>317</v>
      </c>
      <c r="C105" s="9">
        <v>46032</v>
      </c>
      <c r="D105" s="9">
        <v>46062</v>
      </c>
      <c r="E105" s="3">
        <v>2069.0500000000002</v>
      </c>
      <c r="F105" s="7" t="s">
        <v>367</v>
      </c>
      <c r="H105" s="9"/>
      <c r="I105" s="9"/>
    </row>
    <row r="106" spans="1:9" x14ac:dyDescent="0.3">
      <c r="A106" s="7" t="s">
        <v>5523</v>
      </c>
      <c r="B106" s="7" t="s">
        <v>303</v>
      </c>
      <c r="C106" s="9">
        <v>46063</v>
      </c>
      <c r="D106" s="9">
        <v>46093</v>
      </c>
      <c r="E106" s="3">
        <v>5719.4</v>
      </c>
      <c r="F106" s="7" t="s">
        <v>367</v>
      </c>
      <c r="H106" s="9"/>
      <c r="I106" s="9"/>
    </row>
    <row r="107" spans="1:9" x14ac:dyDescent="0.3">
      <c r="A107" s="7" t="s">
        <v>5524</v>
      </c>
      <c r="B107" s="7" t="s">
        <v>291</v>
      </c>
      <c r="C107" s="9">
        <v>45971</v>
      </c>
      <c r="D107" s="9">
        <v>46001</v>
      </c>
      <c r="E107" s="3">
        <v>1868.83</v>
      </c>
      <c r="F107" s="7" t="s">
        <v>367</v>
      </c>
      <c r="H107" s="9"/>
      <c r="I107" s="9"/>
    </row>
    <row r="108" spans="1:9" x14ac:dyDescent="0.3">
      <c r="A108" s="7" t="s">
        <v>5525</v>
      </c>
      <c r="B108" s="7" t="s">
        <v>269</v>
      </c>
      <c r="C108" s="9">
        <v>46085</v>
      </c>
      <c r="D108" s="9">
        <v>46115</v>
      </c>
      <c r="E108" s="3">
        <v>1019.77</v>
      </c>
      <c r="F108" s="7" t="s">
        <v>367</v>
      </c>
      <c r="H108" s="9"/>
      <c r="I108" s="9"/>
    </row>
    <row r="109" spans="1:9" x14ac:dyDescent="0.3">
      <c r="A109" s="7" t="s">
        <v>5526</v>
      </c>
      <c r="B109" s="7" t="s">
        <v>276</v>
      </c>
      <c r="C109" s="9">
        <v>46040</v>
      </c>
      <c r="D109" s="9">
        <v>46070</v>
      </c>
      <c r="E109" s="3">
        <v>5062.76</v>
      </c>
      <c r="F109" s="7" t="s">
        <v>367</v>
      </c>
      <c r="H109" s="9"/>
      <c r="I109" s="9"/>
    </row>
    <row r="110" spans="1:9" x14ac:dyDescent="0.3">
      <c r="A110" s="7" t="s">
        <v>5527</v>
      </c>
      <c r="B110" s="7" t="s">
        <v>283</v>
      </c>
      <c r="C110" s="9">
        <v>46045</v>
      </c>
      <c r="D110" s="9">
        <v>46075</v>
      </c>
      <c r="E110" s="3">
        <v>4186.16</v>
      </c>
      <c r="F110" s="7" t="s">
        <v>367</v>
      </c>
      <c r="H110" s="9"/>
      <c r="I110" s="9"/>
    </row>
    <row r="111" spans="1:9" x14ac:dyDescent="0.3">
      <c r="A111" s="7" t="s">
        <v>5528</v>
      </c>
      <c r="B111" s="7" t="s">
        <v>269</v>
      </c>
      <c r="C111" s="9">
        <v>45995</v>
      </c>
      <c r="D111" s="9">
        <v>46025</v>
      </c>
      <c r="E111" s="3">
        <v>6592.35</v>
      </c>
      <c r="F111" s="7" t="s">
        <v>367</v>
      </c>
      <c r="H111" s="9"/>
      <c r="I111" s="9"/>
    </row>
    <row r="112" spans="1:9" x14ac:dyDescent="0.3">
      <c r="A112" s="7" t="s">
        <v>5529</v>
      </c>
      <c r="B112" s="7" t="s">
        <v>341</v>
      </c>
      <c r="C112" s="9">
        <v>45972</v>
      </c>
      <c r="D112" s="9">
        <v>46002</v>
      </c>
      <c r="E112" s="3">
        <v>2878.37</v>
      </c>
      <c r="F112" s="7" t="s">
        <v>369</v>
      </c>
      <c r="H112" s="9"/>
      <c r="I112" s="9"/>
    </row>
    <row r="113" spans="1:9" x14ac:dyDescent="0.3">
      <c r="A113" s="7" t="s">
        <v>5530</v>
      </c>
      <c r="B113" s="7" t="s">
        <v>281</v>
      </c>
      <c r="C113" s="9">
        <v>46064</v>
      </c>
      <c r="D113" s="9">
        <v>46094</v>
      </c>
      <c r="E113" s="3">
        <v>1234.49</v>
      </c>
      <c r="F113" s="7" t="s">
        <v>367</v>
      </c>
      <c r="H113" s="9"/>
      <c r="I113" s="9"/>
    </row>
    <row r="114" spans="1:9" x14ac:dyDescent="0.3">
      <c r="A114" s="7" t="s">
        <v>5531</v>
      </c>
      <c r="B114" s="7" t="s">
        <v>339</v>
      </c>
      <c r="C114" s="9">
        <v>45984</v>
      </c>
      <c r="D114" s="9">
        <v>46014</v>
      </c>
      <c r="E114" s="3">
        <v>993.3</v>
      </c>
      <c r="F114" s="7" t="s">
        <v>367</v>
      </c>
      <c r="H114" s="9"/>
      <c r="I114" s="9"/>
    </row>
    <row r="115" spans="1:9" x14ac:dyDescent="0.3">
      <c r="A115" s="7" t="s">
        <v>5532</v>
      </c>
      <c r="B115" s="7" t="s">
        <v>305</v>
      </c>
      <c r="C115" s="9">
        <v>46055</v>
      </c>
      <c r="D115" s="9">
        <v>46085</v>
      </c>
      <c r="E115" s="3">
        <v>986.16</v>
      </c>
      <c r="F115" s="7" t="s">
        <v>367</v>
      </c>
      <c r="H115" s="9"/>
      <c r="I115" s="9"/>
    </row>
    <row r="116" spans="1:9" x14ac:dyDescent="0.3">
      <c r="A116" s="7" t="s">
        <v>5533</v>
      </c>
      <c r="B116" s="7" t="s">
        <v>307</v>
      </c>
      <c r="C116" s="9">
        <v>46040</v>
      </c>
      <c r="D116" s="9">
        <v>46070</v>
      </c>
      <c r="E116" s="3">
        <v>6722.95</v>
      </c>
      <c r="F116" s="7" t="s">
        <v>367</v>
      </c>
      <c r="H116" s="9"/>
      <c r="I116" s="9"/>
    </row>
    <row r="117" spans="1:9" x14ac:dyDescent="0.3">
      <c r="A117" s="7" t="s">
        <v>5534</v>
      </c>
      <c r="B117" s="7" t="s">
        <v>323</v>
      </c>
      <c r="C117" s="9">
        <v>46055</v>
      </c>
      <c r="D117" s="9">
        <v>46085</v>
      </c>
      <c r="E117" s="3">
        <v>2140.36</v>
      </c>
      <c r="F117" s="7" t="s">
        <v>367</v>
      </c>
      <c r="H117" s="9"/>
      <c r="I117" s="9"/>
    </row>
    <row r="118" spans="1:9" x14ac:dyDescent="0.3">
      <c r="A118" s="7" t="s">
        <v>5535</v>
      </c>
      <c r="B118" s="7" t="s">
        <v>321</v>
      </c>
      <c r="C118" s="9">
        <v>46061</v>
      </c>
      <c r="D118" s="9">
        <v>46091</v>
      </c>
      <c r="E118" s="3">
        <v>1864.32</v>
      </c>
      <c r="F118" s="7" t="s">
        <v>367</v>
      </c>
      <c r="H118" s="9"/>
      <c r="I118" s="9"/>
    </row>
    <row r="119" spans="1:9" x14ac:dyDescent="0.3">
      <c r="A119" s="7" t="s">
        <v>5536</v>
      </c>
      <c r="B119" s="7" t="s">
        <v>313</v>
      </c>
      <c r="C119" s="9">
        <v>46085</v>
      </c>
      <c r="D119" s="9">
        <v>46115</v>
      </c>
      <c r="E119" s="3">
        <v>4311.5</v>
      </c>
      <c r="F119" s="7" t="s">
        <v>369</v>
      </c>
      <c r="H119" s="9"/>
      <c r="I119" s="9"/>
    </row>
    <row r="120" spans="1:9" x14ac:dyDescent="0.3">
      <c r="A120" s="7" t="s">
        <v>5537</v>
      </c>
      <c r="B120" s="7" t="s">
        <v>313</v>
      </c>
      <c r="C120" s="9">
        <v>45985</v>
      </c>
      <c r="D120" s="9">
        <v>46015</v>
      </c>
      <c r="E120" s="3">
        <v>3872.81</v>
      </c>
      <c r="F120" s="7" t="s">
        <v>367</v>
      </c>
      <c r="H120" s="9"/>
      <c r="I120" s="9"/>
    </row>
    <row r="121" spans="1:9" x14ac:dyDescent="0.3">
      <c r="A121" s="7" t="s">
        <v>5538</v>
      </c>
      <c r="B121" s="7" t="s">
        <v>305</v>
      </c>
      <c r="C121" s="9">
        <v>45982</v>
      </c>
      <c r="D121" s="9">
        <v>46012</v>
      </c>
      <c r="E121" s="3">
        <v>6194.86</v>
      </c>
      <c r="F121" s="7" t="s">
        <v>369</v>
      </c>
      <c r="H121" s="9"/>
      <c r="I121" s="9"/>
    </row>
    <row r="122" spans="1:9" x14ac:dyDescent="0.3">
      <c r="A122" s="7" t="s">
        <v>5539</v>
      </c>
      <c r="B122" s="7" t="s">
        <v>317</v>
      </c>
      <c r="C122" s="9">
        <v>46078</v>
      </c>
      <c r="D122" s="9">
        <v>46108</v>
      </c>
      <c r="E122" s="3">
        <v>5712.55</v>
      </c>
      <c r="F122" s="7" t="s">
        <v>387</v>
      </c>
      <c r="H122" s="9"/>
      <c r="I122" s="9"/>
    </row>
    <row r="123" spans="1:9" x14ac:dyDescent="0.3">
      <c r="A123" s="7" t="s">
        <v>5540</v>
      </c>
      <c r="B123" s="7" t="s">
        <v>285</v>
      </c>
      <c r="C123" s="9">
        <v>46004</v>
      </c>
      <c r="D123" s="9">
        <v>46034</v>
      </c>
      <c r="E123" s="3">
        <v>4192.38</v>
      </c>
      <c r="F123" s="7" t="s">
        <v>387</v>
      </c>
      <c r="H123" s="9"/>
      <c r="I123" s="9"/>
    </row>
    <row r="124" spans="1:9" x14ac:dyDescent="0.3">
      <c r="A124" s="7" t="s">
        <v>5541</v>
      </c>
      <c r="B124" s="7" t="s">
        <v>261</v>
      </c>
      <c r="C124" s="9">
        <v>46086</v>
      </c>
      <c r="D124" s="9">
        <v>46116</v>
      </c>
      <c r="E124" s="3">
        <v>3619.69</v>
      </c>
      <c r="F124" s="7" t="s">
        <v>367</v>
      </c>
      <c r="H124" s="9"/>
      <c r="I124" s="9"/>
    </row>
    <row r="125" spans="1:9" x14ac:dyDescent="0.3">
      <c r="A125" s="7" t="s">
        <v>5542</v>
      </c>
      <c r="B125" s="7" t="s">
        <v>283</v>
      </c>
      <c r="C125" s="9">
        <v>45977</v>
      </c>
      <c r="D125" s="9">
        <v>46007</v>
      </c>
      <c r="E125" s="3">
        <v>5915.33</v>
      </c>
      <c r="F125" s="7" t="s">
        <v>369</v>
      </c>
      <c r="H125" s="9"/>
      <c r="I125" s="9"/>
    </row>
    <row r="126" spans="1:9" x14ac:dyDescent="0.3">
      <c r="A126" s="7" t="s">
        <v>5543</v>
      </c>
      <c r="B126" s="7" t="s">
        <v>287</v>
      </c>
      <c r="C126" s="9">
        <v>45989</v>
      </c>
      <c r="D126" s="9">
        <v>46019</v>
      </c>
      <c r="E126" s="3">
        <v>3035.38</v>
      </c>
      <c r="F126" s="7" t="s">
        <v>367</v>
      </c>
      <c r="H126" s="9"/>
      <c r="I126" s="9"/>
    </row>
    <row r="127" spans="1:9" x14ac:dyDescent="0.3">
      <c r="A127" s="7" t="s">
        <v>5544</v>
      </c>
      <c r="B127" s="7" t="s">
        <v>283</v>
      </c>
      <c r="C127" s="9">
        <v>46069</v>
      </c>
      <c r="D127" s="9">
        <v>46099</v>
      </c>
      <c r="E127" s="3">
        <v>2922.39</v>
      </c>
      <c r="F127" s="7" t="s">
        <v>367</v>
      </c>
      <c r="H127" s="9"/>
      <c r="I127" s="9"/>
    </row>
    <row r="128" spans="1:9" x14ac:dyDescent="0.3">
      <c r="A128" s="7" t="s">
        <v>5545</v>
      </c>
      <c r="B128" s="7" t="s">
        <v>274</v>
      </c>
      <c r="C128" s="9">
        <v>46024</v>
      </c>
      <c r="D128" s="9">
        <v>46054</v>
      </c>
      <c r="E128" s="3">
        <v>1679.88</v>
      </c>
      <c r="F128" s="7" t="s">
        <v>369</v>
      </c>
      <c r="H128" s="9"/>
      <c r="I128" s="9"/>
    </row>
    <row r="129" spans="1:9" x14ac:dyDescent="0.3">
      <c r="A129" s="7" t="s">
        <v>5546</v>
      </c>
      <c r="B129" s="7" t="s">
        <v>264</v>
      </c>
      <c r="C129" s="9">
        <v>46003</v>
      </c>
      <c r="D129" s="9">
        <v>46033</v>
      </c>
      <c r="E129" s="3">
        <v>4416.71</v>
      </c>
      <c r="F129" s="7" t="s">
        <v>367</v>
      </c>
      <c r="H129" s="9"/>
      <c r="I129" s="9"/>
    </row>
    <row r="130" spans="1:9" x14ac:dyDescent="0.3">
      <c r="A130" s="7" t="s">
        <v>5547</v>
      </c>
      <c r="B130" s="7" t="s">
        <v>325</v>
      </c>
      <c r="C130" s="9">
        <v>46069</v>
      </c>
      <c r="D130" s="9">
        <v>46099</v>
      </c>
      <c r="E130" s="3">
        <v>6276.47</v>
      </c>
      <c r="F130" s="7" t="s">
        <v>367</v>
      </c>
      <c r="H130" s="9"/>
      <c r="I130" s="9"/>
    </row>
    <row r="131" spans="1:9" x14ac:dyDescent="0.3">
      <c r="A131" s="7" t="s">
        <v>5548</v>
      </c>
      <c r="B131" s="7" t="s">
        <v>287</v>
      </c>
      <c r="C131" s="9">
        <v>46078</v>
      </c>
      <c r="D131" s="9">
        <v>46108</v>
      </c>
      <c r="E131" s="3">
        <v>3408.13</v>
      </c>
      <c r="F131" s="7" t="s">
        <v>367</v>
      </c>
      <c r="H131" s="9"/>
      <c r="I131" s="9"/>
    </row>
    <row r="132" spans="1:9" x14ac:dyDescent="0.3">
      <c r="A132" s="7" t="s">
        <v>5549</v>
      </c>
      <c r="B132" s="7" t="s">
        <v>293</v>
      </c>
      <c r="C132" s="9">
        <v>46024</v>
      </c>
      <c r="D132" s="9">
        <v>46054</v>
      </c>
      <c r="E132" s="3">
        <v>6522.29</v>
      </c>
      <c r="F132" s="7" t="s">
        <v>367</v>
      </c>
      <c r="H132" s="9"/>
      <c r="I132" s="9"/>
    </row>
    <row r="133" spans="1:9" x14ac:dyDescent="0.3">
      <c r="A133" s="7" t="s">
        <v>5550</v>
      </c>
      <c r="B133" s="7" t="s">
        <v>323</v>
      </c>
      <c r="C133" s="9">
        <v>46068</v>
      </c>
      <c r="D133" s="9">
        <v>46098</v>
      </c>
      <c r="E133" s="3">
        <v>4536.6000000000004</v>
      </c>
      <c r="F133" s="7" t="s">
        <v>367</v>
      </c>
      <c r="H133" s="9"/>
      <c r="I133" s="9"/>
    </row>
    <row r="134" spans="1:9" x14ac:dyDescent="0.3">
      <c r="A134" s="7" t="s">
        <v>5551</v>
      </c>
      <c r="B134" s="7" t="s">
        <v>281</v>
      </c>
      <c r="C134" s="9">
        <v>45986</v>
      </c>
      <c r="D134" s="9">
        <v>46016</v>
      </c>
      <c r="E134" s="3">
        <v>2476.16</v>
      </c>
      <c r="F134" s="7" t="s">
        <v>367</v>
      </c>
      <c r="H134" s="9"/>
      <c r="I134" s="9"/>
    </row>
    <row r="135" spans="1:9" x14ac:dyDescent="0.3">
      <c r="A135" s="7" t="s">
        <v>5552</v>
      </c>
      <c r="B135" s="7" t="s">
        <v>339</v>
      </c>
      <c r="C135" s="9">
        <v>46033</v>
      </c>
      <c r="D135" s="9">
        <v>46063</v>
      </c>
      <c r="E135" s="3">
        <v>4148.3100000000004</v>
      </c>
      <c r="F135" s="7" t="s">
        <v>367</v>
      </c>
      <c r="H135" s="9"/>
      <c r="I135" s="9"/>
    </row>
    <row r="136" spans="1:9" x14ac:dyDescent="0.3">
      <c r="A136" s="7" t="s">
        <v>5553</v>
      </c>
      <c r="B136" s="7" t="s">
        <v>276</v>
      </c>
      <c r="C136" s="9">
        <v>45967</v>
      </c>
      <c r="D136" s="9">
        <v>45997</v>
      </c>
      <c r="E136" s="3">
        <v>1459.06</v>
      </c>
      <c r="F136" s="7" t="s">
        <v>367</v>
      </c>
      <c r="H136" s="9"/>
      <c r="I136" s="9"/>
    </row>
    <row r="137" spans="1:9" x14ac:dyDescent="0.3">
      <c r="A137" s="7" t="s">
        <v>5554</v>
      </c>
      <c r="B137" s="7" t="s">
        <v>339</v>
      </c>
      <c r="C137" s="9">
        <v>46065</v>
      </c>
      <c r="D137" s="9">
        <v>46095</v>
      </c>
      <c r="E137" s="3">
        <v>6517.56</v>
      </c>
      <c r="F137" s="7" t="s">
        <v>367</v>
      </c>
      <c r="H137" s="9"/>
      <c r="I137" s="9"/>
    </row>
    <row r="138" spans="1:9" x14ac:dyDescent="0.3">
      <c r="A138" s="7" t="s">
        <v>5555</v>
      </c>
      <c r="B138" s="7" t="s">
        <v>333</v>
      </c>
      <c r="C138" s="9">
        <v>46081</v>
      </c>
      <c r="D138" s="9">
        <v>46111</v>
      </c>
      <c r="E138" s="3">
        <v>6261.22</v>
      </c>
      <c r="F138" s="7" t="s">
        <v>387</v>
      </c>
      <c r="H138" s="9"/>
      <c r="I138" s="9"/>
    </row>
    <row r="139" spans="1:9" x14ac:dyDescent="0.3">
      <c r="A139" s="7" t="s">
        <v>5556</v>
      </c>
      <c r="B139" s="7" t="s">
        <v>341</v>
      </c>
      <c r="C139" s="9">
        <v>46081</v>
      </c>
      <c r="D139" s="9">
        <v>46111</v>
      </c>
      <c r="E139" s="3">
        <v>5774.47</v>
      </c>
      <c r="F139" s="7" t="s">
        <v>369</v>
      </c>
      <c r="H139" s="9"/>
      <c r="I139" s="9"/>
    </row>
    <row r="140" spans="1:9" x14ac:dyDescent="0.3">
      <c r="A140" s="7" t="s">
        <v>5557</v>
      </c>
      <c r="B140" s="7" t="s">
        <v>335</v>
      </c>
      <c r="C140" s="9">
        <v>46029</v>
      </c>
      <c r="D140" s="9">
        <v>46059</v>
      </c>
      <c r="E140" s="3">
        <v>3453.35</v>
      </c>
      <c r="F140" s="7" t="s">
        <v>369</v>
      </c>
      <c r="H140" s="9"/>
      <c r="I140" s="9"/>
    </row>
    <row r="141" spans="1:9" x14ac:dyDescent="0.3">
      <c r="A141" s="7" t="s">
        <v>5558</v>
      </c>
      <c r="B141" s="7" t="s">
        <v>317</v>
      </c>
      <c r="C141" s="9">
        <v>45969</v>
      </c>
      <c r="D141" s="9">
        <v>45999</v>
      </c>
      <c r="E141" s="3">
        <v>1586.79</v>
      </c>
      <c r="F141" s="7" t="s">
        <v>367</v>
      </c>
      <c r="H141" s="9"/>
      <c r="I141" s="9"/>
    </row>
    <row r="142" spans="1:9" x14ac:dyDescent="0.3">
      <c r="A142" s="7" t="s">
        <v>5559</v>
      </c>
      <c r="B142" s="7" t="s">
        <v>329</v>
      </c>
      <c r="C142" s="9">
        <v>45970</v>
      </c>
      <c r="D142" s="9">
        <v>46000</v>
      </c>
      <c r="E142" s="3">
        <v>4058.22</v>
      </c>
      <c r="F142" s="7" t="s">
        <v>367</v>
      </c>
      <c r="H142" s="9"/>
      <c r="I142" s="9"/>
    </row>
    <row r="143" spans="1:9" x14ac:dyDescent="0.3">
      <c r="A143" s="7" t="s">
        <v>5560</v>
      </c>
      <c r="B143" s="7" t="s">
        <v>329</v>
      </c>
      <c r="C143" s="9">
        <v>45988</v>
      </c>
      <c r="D143" s="9">
        <v>46018</v>
      </c>
      <c r="E143" s="3">
        <v>5445.05</v>
      </c>
      <c r="F143" s="7" t="s">
        <v>367</v>
      </c>
      <c r="H143" s="9"/>
      <c r="I143" s="9"/>
    </row>
    <row r="144" spans="1:9" x14ac:dyDescent="0.3">
      <c r="A144" s="7" t="s">
        <v>5561</v>
      </c>
      <c r="B144" s="7" t="s">
        <v>274</v>
      </c>
      <c r="C144" s="9">
        <v>46046</v>
      </c>
      <c r="D144" s="9">
        <v>46076</v>
      </c>
      <c r="E144" s="3">
        <v>6855.67</v>
      </c>
      <c r="F144" s="7" t="s">
        <v>367</v>
      </c>
      <c r="H144" s="9"/>
      <c r="I144" s="9"/>
    </row>
    <row r="145" spans="1:9" x14ac:dyDescent="0.3">
      <c r="A145" s="7" t="s">
        <v>5562</v>
      </c>
      <c r="B145" s="7" t="s">
        <v>301</v>
      </c>
      <c r="C145" s="9">
        <v>45965</v>
      </c>
      <c r="D145" s="9">
        <v>45995</v>
      </c>
      <c r="E145" s="3">
        <v>4642.21</v>
      </c>
      <c r="F145" s="7" t="s">
        <v>367</v>
      </c>
      <c r="H145" s="9"/>
      <c r="I145" s="9"/>
    </row>
    <row r="146" spans="1:9" x14ac:dyDescent="0.3">
      <c r="A146" s="7" t="s">
        <v>5563</v>
      </c>
      <c r="B146" s="7" t="s">
        <v>303</v>
      </c>
      <c r="C146" s="9">
        <v>45977</v>
      </c>
      <c r="D146" s="9">
        <v>46007</v>
      </c>
      <c r="E146" s="3">
        <v>1070.3900000000001</v>
      </c>
      <c r="F146" s="7" t="s">
        <v>367</v>
      </c>
      <c r="H146" s="9"/>
      <c r="I146" s="9"/>
    </row>
    <row r="147" spans="1:9" x14ac:dyDescent="0.3">
      <c r="A147" s="7" t="s">
        <v>5564</v>
      </c>
      <c r="B147" s="7" t="s">
        <v>331</v>
      </c>
      <c r="C147" s="9">
        <v>46033</v>
      </c>
      <c r="D147" s="9">
        <v>46063</v>
      </c>
      <c r="E147" s="3">
        <v>6586.4</v>
      </c>
      <c r="F147" s="7" t="s">
        <v>369</v>
      </c>
      <c r="H147" s="9"/>
      <c r="I147" s="9"/>
    </row>
    <row r="148" spans="1:9" x14ac:dyDescent="0.3">
      <c r="A148" s="7" t="s">
        <v>5565</v>
      </c>
      <c r="B148" s="7" t="s">
        <v>341</v>
      </c>
      <c r="C148" s="9">
        <v>46043</v>
      </c>
      <c r="D148" s="9">
        <v>46073</v>
      </c>
      <c r="E148" s="3">
        <v>6764.08</v>
      </c>
      <c r="F148" s="7" t="s">
        <v>367</v>
      </c>
      <c r="H148" s="9"/>
      <c r="I148" s="9"/>
    </row>
    <row r="149" spans="1:9" x14ac:dyDescent="0.3">
      <c r="A149" s="7" t="s">
        <v>5566</v>
      </c>
      <c r="B149" s="7" t="s">
        <v>305</v>
      </c>
      <c r="C149" s="9">
        <v>45970</v>
      </c>
      <c r="D149" s="9">
        <v>46000</v>
      </c>
      <c r="E149" s="3">
        <v>6873.81</v>
      </c>
      <c r="F149" s="7" t="s">
        <v>367</v>
      </c>
      <c r="H149" s="9"/>
      <c r="I149" s="9"/>
    </row>
    <row r="150" spans="1:9" x14ac:dyDescent="0.3">
      <c r="A150" s="7" t="s">
        <v>5567</v>
      </c>
      <c r="B150" s="7" t="s">
        <v>319</v>
      </c>
      <c r="C150" s="9">
        <v>46078</v>
      </c>
      <c r="D150" s="9">
        <v>46108</v>
      </c>
      <c r="E150" s="3">
        <v>2476.6</v>
      </c>
      <c r="F150" s="7" t="s">
        <v>369</v>
      </c>
      <c r="H150" s="9"/>
      <c r="I150" s="9"/>
    </row>
    <row r="151" spans="1:9" x14ac:dyDescent="0.3">
      <c r="A151" s="7" t="s">
        <v>5568</v>
      </c>
      <c r="B151" s="7" t="s">
        <v>285</v>
      </c>
      <c r="C151" s="9">
        <v>45997</v>
      </c>
      <c r="D151" s="9">
        <v>46027</v>
      </c>
      <c r="E151" s="3">
        <v>1527.06</v>
      </c>
      <c r="F151" s="7" t="s">
        <v>367</v>
      </c>
      <c r="H151" s="9"/>
      <c r="I151" s="9"/>
    </row>
    <row r="152" spans="1:9" x14ac:dyDescent="0.3">
      <c r="A152" s="7" t="s">
        <v>5569</v>
      </c>
      <c r="B152" s="7" t="s">
        <v>305</v>
      </c>
      <c r="C152" s="9">
        <v>46077</v>
      </c>
      <c r="D152" s="9">
        <v>46107</v>
      </c>
      <c r="E152" s="3">
        <v>2500.79</v>
      </c>
      <c r="F152" s="7" t="s">
        <v>367</v>
      </c>
      <c r="H152" s="9"/>
      <c r="I152" s="9"/>
    </row>
    <row r="153" spans="1:9" x14ac:dyDescent="0.3">
      <c r="A153" s="7" t="s">
        <v>5570</v>
      </c>
      <c r="B153" s="7" t="s">
        <v>285</v>
      </c>
      <c r="C153" s="9">
        <v>46057</v>
      </c>
      <c r="D153" s="9">
        <v>46087</v>
      </c>
      <c r="E153" s="3">
        <v>1208.69</v>
      </c>
      <c r="F153" s="7" t="s">
        <v>367</v>
      </c>
      <c r="H153" s="9"/>
      <c r="I153" s="9"/>
    </row>
    <row r="154" spans="1:9" x14ac:dyDescent="0.3">
      <c r="A154" s="7" t="s">
        <v>5571</v>
      </c>
      <c r="B154" s="7" t="s">
        <v>327</v>
      </c>
      <c r="C154" s="9">
        <v>46062</v>
      </c>
      <c r="D154" s="9">
        <v>46092</v>
      </c>
      <c r="E154" s="3">
        <v>5055.18</v>
      </c>
      <c r="F154" s="7" t="s">
        <v>369</v>
      </c>
      <c r="H154" s="9"/>
      <c r="I154" s="9"/>
    </row>
    <row r="155" spans="1:9" x14ac:dyDescent="0.3">
      <c r="A155" s="7" t="s">
        <v>5572</v>
      </c>
      <c r="B155" s="7" t="s">
        <v>309</v>
      </c>
      <c r="C155" s="9">
        <v>45987</v>
      </c>
      <c r="D155" s="9">
        <v>46017</v>
      </c>
      <c r="E155" s="3">
        <v>6396.51</v>
      </c>
      <c r="F155" s="7" t="s">
        <v>367</v>
      </c>
      <c r="H155" s="9"/>
      <c r="I155" s="9"/>
    </row>
    <row r="156" spans="1:9" x14ac:dyDescent="0.3">
      <c r="A156" s="7" t="s">
        <v>5573</v>
      </c>
      <c r="B156" s="7" t="s">
        <v>261</v>
      </c>
      <c r="C156" s="9">
        <v>46014</v>
      </c>
      <c r="D156" s="9">
        <v>46044</v>
      </c>
      <c r="E156" s="3">
        <v>1177.95</v>
      </c>
      <c r="F156" s="7" t="s">
        <v>367</v>
      </c>
      <c r="H156" s="9"/>
      <c r="I156" s="9"/>
    </row>
    <row r="157" spans="1:9" x14ac:dyDescent="0.3">
      <c r="A157" s="7" t="s">
        <v>5574</v>
      </c>
      <c r="B157" s="7" t="s">
        <v>295</v>
      </c>
      <c r="C157" s="9">
        <v>46004</v>
      </c>
      <c r="D157" s="9">
        <v>46034</v>
      </c>
      <c r="E157" s="3">
        <v>5718.33</v>
      </c>
      <c r="F157" s="7" t="s">
        <v>369</v>
      </c>
      <c r="H157" s="9"/>
      <c r="I157" s="9"/>
    </row>
    <row r="158" spans="1:9" x14ac:dyDescent="0.3">
      <c r="A158" s="7" t="s">
        <v>5575</v>
      </c>
      <c r="B158" s="7" t="s">
        <v>295</v>
      </c>
      <c r="C158" s="9">
        <v>46074</v>
      </c>
      <c r="D158" s="9">
        <v>46104</v>
      </c>
      <c r="E158" s="3">
        <v>4481.21</v>
      </c>
      <c r="F158" s="7" t="s">
        <v>367</v>
      </c>
      <c r="H158" s="9"/>
      <c r="I158" s="9"/>
    </row>
    <row r="159" spans="1:9" x14ac:dyDescent="0.3">
      <c r="A159" s="7" t="s">
        <v>5576</v>
      </c>
      <c r="B159" s="7" t="s">
        <v>331</v>
      </c>
      <c r="C159" s="9">
        <v>46023</v>
      </c>
      <c r="D159" s="9">
        <v>46053</v>
      </c>
      <c r="E159" s="3">
        <v>4344.7700000000004</v>
      </c>
      <c r="F159" s="7" t="s">
        <v>369</v>
      </c>
      <c r="H159" s="9"/>
      <c r="I159" s="9"/>
    </row>
    <row r="160" spans="1:9" x14ac:dyDescent="0.3">
      <c r="A160" s="7" t="s">
        <v>5577</v>
      </c>
      <c r="B160" s="7" t="s">
        <v>297</v>
      </c>
      <c r="C160" s="9">
        <v>46063</v>
      </c>
      <c r="D160" s="9">
        <v>46093</v>
      </c>
      <c r="E160" s="3">
        <v>1538.49</v>
      </c>
      <c r="F160" s="7" t="s">
        <v>369</v>
      </c>
      <c r="H160" s="9"/>
      <c r="I160" s="9"/>
    </row>
    <row r="161" spans="1:9" x14ac:dyDescent="0.3">
      <c r="A161" s="7" t="s">
        <v>5578</v>
      </c>
      <c r="B161" s="7" t="s">
        <v>274</v>
      </c>
      <c r="C161" s="9">
        <v>46027</v>
      </c>
      <c r="D161" s="9">
        <v>46057</v>
      </c>
      <c r="E161" s="3">
        <v>3183.8</v>
      </c>
      <c r="F161" s="7" t="s">
        <v>369</v>
      </c>
      <c r="H161" s="9"/>
      <c r="I161" s="9"/>
    </row>
    <row r="162" spans="1:9" x14ac:dyDescent="0.3">
      <c r="A162" s="7" t="s">
        <v>5579</v>
      </c>
      <c r="B162" s="7" t="s">
        <v>295</v>
      </c>
      <c r="C162" s="9">
        <v>46086</v>
      </c>
      <c r="D162" s="9">
        <v>46116</v>
      </c>
      <c r="E162" s="3">
        <v>1660.96</v>
      </c>
      <c r="F162" s="7" t="s">
        <v>367</v>
      </c>
      <c r="H162" s="9"/>
      <c r="I162" s="9"/>
    </row>
    <row r="163" spans="1:9" x14ac:dyDescent="0.3">
      <c r="A163" s="7" t="s">
        <v>5580</v>
      </c>
      <c r="B163" s="7" t="s">
        <v>339</v>
      </c>
      <c r="C163" s="9">
        <v>46016</v>
      </c>
      <c r="D163" s="9">
        <v>46046</v>
      </c>
      <c r="E163" s="3">
        <v>4974.18</v>
      </c>
      <c r="F163" s="7" t="s">
        <v>369</v>
      </c>
      <c r="H163" s="9"/>
      <c r="I163" s="9"/>
    </row>
    <row r="164" spans="1:9" x14ac:dyDescent="0.3">
      <c r="A164" s="7" t="s">
        <v>5581</v>
      </c>
      <c r="B164" s="7" t="s">
        <v>323</v>
      </c>
      <c r="C164" s="9">
        <v>46011</v>
      </c>
      <c r="D164" s="9">
        <v>46041</v>
      </c>
      <c r="E164" s="3">
        <v>5388.08</v>
      </c>
      <c r="F164" s="7" t="s">
        <v>367</v>
      </c>
      <c r="H164" s="9"/>
      <c r="I164" s="9"/>
    </row>
    <row r="165" spans="1:9" x14ac:dyDescent="0.3">
      <c r="A165" s="7" t="s">
        <v>5582</v>
      </c>
      <c r="B165" s="7" t="s">
        <v>333</v>
      </c>
      <c r="C165" s="9">
        <v>45983</v>
      </c>
      <c r="D165" s="9">
        <v>46013</v>
      </c>
      <c r="E165" s="3">
        <v>5729.97</v>
      </c>
      <c r="F165" s="7" t="s">
        <v>367</v>
      </c>
      <c r="H165" s="9"/>
      <c r="I165" s="9"/>
    </row>
    <row r="166" spans="1:9" x14ac:dyDescent="0.3">
      <c r="A166" s="7" t="s">
        <v>5583</v>
      </c>
      <c r="B166" s="7" t="s">
        <v>335</v>
      </c>
      <c r="C166" s="9">
        <v>46037</v>
      </c>
      <c r="D166" s="9">
        <v>46067</v>
      </c>
      <c r="E166" s="3">
        <v>3436.6</v>
      </c>
      <c r="F166" s="7" t="s">
        <v>387</v>
      </c>
      <c r="H166" s="9"/>
      <c r="I166" s="9"/>
    </row>
    <row r="167" spans="1:9" x14ac:dyDescent="0.3">
      <c r="A167" s="7" t="s">
        <v>5584</v>
      </c>
      <c r="B167" s="7" t="s">
        <v>267</v>
      </c>
      <c r="C167" s="9">
        <v>46043</v>
      </c>
      <c r="D167" s="9">
        <v>46073</v>
      </c>
      <c r="E167" s="3">
        <v>1114.1099999999999</v>
      </c>
      <c r="F167" s="7" t="s">
        <v>369</v>
      </c>
      <c r="H167" s="9"/>
      <c r="I167" s="9"/>
    </row>
    <row r="168" spans="1:9" x14ac:dyDescent="0.3">
      <c r="A168" s="7" t="s">
        <v>5585</v>
      </c>
      <c r="B168" s="7" t="s">
        <v>329</v>
      </c>
      <c r="C168" s="9">
        <v>46021</v>
      </c>
      <c r="D168" s="9">
        <v>46051</v>
      </c>
      <c r="E168" s="3">
        <v>2519.4499999999998</v>
      </c>
      <c r="F168" s="7" t="s">
        <v>367</v>
      </c>
      <c r="H168" s="9"/>
      <c r="I168" s="9"/>
    </row>
    <row r="169" spans="1:9" x14ac:dyDescent="0.3">
      <c r="A169" s="7" t="s">
        <v>5586</v>
      </c>
      <c r="B169" s="7" t="s">
        <v>276</v>
      </c>
      <c r="C169" s="9">
        <v>46063</v>
      </c>
      <c r="D169" s="9">
        <v>46093</v>
      </c>
      <c r="E169" s="3">
        <v>5282.68</v>
      </c>
      <c r="F169" s="7" t="s">
        <v>367</v>
      </c>
      <c r="H169" s="9"/>
      <c r="I169" s="9"/>
    </row>
    <row r="170" spans="1:9" x14ac:dyDescent="0.3">
      <c r="A170" s="7" t="s">
        <v>5587</v>
      </c>
      <c r="B170" s="7" t="s">
        <v>276</v>
      </c>
      <c r="C170" s="9">
        <v>46008</v>
      </c>
      <c r="D170" s="9">
        <v>46038</v>
      </c>
      <c r="E170" s="3">
        <v>4045.03</v>
      </c>
      <c r="F170" s="7" t="s">
        <v>367</v>
      </c>
      <c r="H170" s="9"/>
      <c r="I170" s="9"/>
    </row>
    <row r="171" spans="1:9" x14ac:dyDescent="0.3">
      <c r="A171" s="7" t="s">
        <v>5588</v>
      </c>
      <c r="B171" s="7" t="s">
        <v>341</v>
      </c>
      <c r="C171" s="9">
        <v>46055</v>
      </c>
      <c r="D171" s="9">
        <v>46085</v>
      </c>
      <c r="E171" s="3">
        <v>4242.83</v>
      </c>
      <c r="F171" s="7" t="s">
        <v>367</v>
      </c>
      <c r="H171" s="9"/>
      <c r="I171" s="9"/>
    </row>
    <row r="172" spans="1:9" x14ac:dyDescent="0.3">
      <c r="A172" s="7" t="s">
        <v>5589</v>
      </c>
      <c r="B172" s="7" t="s">
        <v>329</v>
      </c>
      <c r="C172" s="9">
        <v>45991</v>
      </c>
      <c r="D172" s="9">
        <v>46021</v>
      </c>
      <c r="E172" s="3">
        <v>1677.43</v>
      </c>
      <c r="F172" s="7" t="s">
        <v>367</v>
      </c>
      <c r="H172" s="9"/>
      <c r="I172" s="9"/>
    </row>
    <row r="173" spans="1:9" x14ac:dyDescent="0.3">
      <c r="A173" s="7" t="s">
        <v>5590</v>
      </c>
      <c r="B173" s="7" t="s">
        <v>283</v>
      </c>
      <c r="C173" s="9">
        <v>46052</v>
      </c>
      <c r="D173" s="9">
        <v>46082</v>
      </c>
      <c r="E173" s="3">
        <v>6831.23</v>
      </c>
      <c r="F173" s="7" t="s">
        <v>367</v>
      </c>
      <c r="H173" s="9"/>
      <c r="I173" s="9"/>
    </row>
    <row r="174" spans="1:9" x14ac:dyDescent="0.3">
      <c r="A174" s="7" t="s">
        <v>5591</v>
      </c>
      <c r="B174" s="7" t="s">
        <v>261</v>
      </c>
      <c r="C174" s="9">
        <v>45996</v>
      </c>
      <c r="D174" s="9">
        <v>46026</v>
      </c>
      <c r="E174" s="3">
        <v>1224.1600000000001</v>
      </c>
      <c r="F174" s="7" t="s">
        <v>367</v>
      </c>
      <c r="H174" s="9"/>
      <c r="I174" s="9"/>
    </row>
    <row r="175" spans="1:9" x14ac:dyDescent="0.3">
      <c r="A175" s="7" t="s">
        <v>5592</v>
      </c>
      <c r="B175" s="7" t="s">
        <v>299</v>
      </c>
      <c r="C175" s="9">
        <v>46019</v>
      </c>
      <c r="D175" s="9">
        <v>46049</v>
      </c>
      <c r="E175" s="3">
        <v>3359.81</v>
      </c>
      <c r="F175" s="7" t="s">
        <v>367</v>
      </c>
      <c r="H175" s="9"/>
      <c r="I175" s="9"/>
    </row>
    <row r="176" spans="1:9" x14ac:dyDescent="0.3">
      <c r="A176" s="7" t="s">
        <v>5593</v>
      </c>
      <c r="B176" s="7" t="s">
        <v>337</v>
      </c>
      <c r="C176" s="9">
        <v>45998</v>
      </c>
      <c r="D176" s="9">
        <v>46028</v>
      </c>
      <c r="E176" s="3">
        <v>4564.7</v>
      </c>
      <c r="F176" s="7" t="s">
        <v>367</v>
      </c>
      <c r="H176" s="9"/>
      <c r="I176" s="9"/>
    </row>
    <row r="177" spans="1:9" x14ac:dyDescent="0.3">
      <c r="A177" s="7" t="s">
        <v>5594</v>
      </c>
      <c r="B177" s="7" t="s">
        <v>299</v>
      </c>
      <c r="C177" s="9">
        <v>46075</v>
      </c>
      <c r="D177" s="9">
        <v>46105</v>
      </c>
      <c r="E177" s="3">
        <v>6152.03</v>
      </c>
      <c r="F177" s="7" t="s">
        <v>367</v>
      </c>
      <c r="H177" s="9"/>
      <c r="I177" s="9"/>
    </row>
    <row r="178" spans="1:9" x14ac:dyDescent="0.3">
      <c r="A178" s="7" t="s">
        <v>5595</v>
      </c>
      <c r="B178" s="7" t="s">
        <v>269</v>
      </c>
      <c r="C178" s="9">
        <v>45975</v>
      </c>
      <c r="D178" s="9">
        <v>46005</v>
      </c>
      <c r="E178" s="3">
        <v>1392.04</v>
      </c>
      <c r="F178" s="7" t="s">
        <v>367</v>
      </c>
      <c r="H178" s="9"/>
      <c r="I178" s="9"/>
    </row>
    <row r="179" spans="1:9" x14ac:dyDescent="0.3">
      <c r="A179" s="7" t="s">
        <v>5596</v>
      </c>
      <c r="B179" s="7" t="s">
        <v>264</v>
      </c>
      <c r="C179" s="9">
        <v>46046</v>
      </c>
      <c r="D179" s="9">
        <v>46076</v>
      </c>
      <c r="E179" s="3">
        <v>5822.7</v>
      </c>
      <c r="F179" s="7" t="s">
        <v>369</v>
      </c>
      <c r="H179" s="9"/>
      <c r="I179" s="9"/>
    </row>
    <row r="180" spans="1:9" x14ac:dyDescent="0.3">
      <c r="A180" s="7" t="s">
        <v>5597</v>
      </c>
      <c r="B180" s="7" t="s">
        <v>329</v>
      </c>
      <c r="C180" s="9">
        <v>46085</v>
      </c>
      <c r="D180" s="9">
        <v>46115</v>
      </c>
      <c r="E180" s="3">
        <v>1743.69</v>
      </c>
      <c r="F180" s="7" t="s">
        <v>367</v>
      </c>
      <c r="H180" s="9"/>
      <c r="I180" s="9"/>
    </row>
    <row r="181" spans="1:9" x14ac:dyDescent="0.3">
      <c r="A181" s="7" t="s">
        <v>5598</v>
      </c>
      <c r="B181" s="7" t="s">
        <v>321</v>
      </c>
      <c r="C181" s="9">
        <v>45989</v>
      </c>
      <c r="D181" s="9">
        <v>46019</v>
      </c>
      <c r="E181" s="3">
        <v>4498.07</v>
      </c>
      <c r="F181" s="7" t="s">
        <v>369</v>
      </c>
      <c r="H181" s="9"/>
      <c r="I181" s="9"/>
    </row>
    <row r="182" spans="1:9" x14ac:dyDescent="0.3">
      <c r="A182" s="7" t="s">
        <v>5599</v>
      </c>
      <c r="B182" s="7" t="s">
        <v>315</v>
      </c>
      <c r="C182" s="9">
        <v>46074</v>
      </c>
      <c r="D182" s="9">
        <v>46104</v>
      </c>
      <c r="E182" s="3">
        <v>1672.58</v>
      </c>
      <c r="F182" s="7" t="s">
        <v>367</v>
      </c>
      <c r="H182" s="9"/>
      <c r="I182" s="9"/>
    </row>
    <row r="183" spans="1:9" x14ac:dyDescent="0.3">
      <c r="A183" s="7" t="s">
        <v>5600</v>
      </c>
      <c r="B183" s="7" t="s">
        <v>327</v>
      </c>
      <c r="C183" s="9">
        <v>46088</v>
      </c>
      <c r="D183" s="9">
        <v>46118</v>
      </c>
      <c r="E183" s="3">
        <v>2424.9</v>
      </c>
      <c r="F183" s="7" t="s">
        <v>367</v>
      </c>
      <c r="H183" s="9"/>
      <c r="I183" s="9"/>
    </row>
    <row r="184" spans="1:9" x14ac:dyDescent="0.3">
      <c r="A184" s="7" t="s">
        <v>5601</v>
      </c>
      <c r="B184" s="7" t="s">
        <v>293</v>
      </c>
      <c r="C184" s="9">
        <v>46051</v>
      </c>
      <c r="D184" s="9">
        <v>46081</v>
      </c>
      <c r="E184" s="3">
        <v>5695.95</v>
      </c>
      <c r="F184" s="7" t="s">
        <v>367</v>
      </c>
      <c r="H184" s="9"/>
      <c r="I184" s="9"/>
    </row>
    <row r="185" spans="1:9" x14ac:dyDescent="0.3">
      <c r="A185" s="7" t="s">
        <v>5602</v>
      </c>
      <c r="B185" s="7" t="s">
        <v>303</v>
      </c>
      <c r="C185" s="9">
        <v>46025</v>
      </c>
      <c r="D185" s="9">
        <v>46055</v>
      </c>
      <c r="E185" s="3">
        <v>1790.57</v>
      </c>
      <c r="F185" s="7" t="s">
        <v>369</v>
      </c>
      <c r="H185" s="9"/>
      <c r="I185" s="9"/>
    </row>
    <row r="186" spans="1:9" x14ac:dyDescent="0.3">
      <c r="A186" s="7" t="s">
        <v>5603</v>
      </c>
      <c r="B186" s="7" t="s">
        <v>264</v>
      </c>
      <c r="C186" s="9">
        <v>45982</v>
      </c>
      <c r="D186" s="9">
        <v>46012</v>
      </c>
      <c r="E186" s="3">
        <v>852.21</v>
      </c>
      <c r="F186" s="7" t="s">
        <v>367</v>
      </c>
      <c r="H186" s="9"/>
      <c r="I186" s="9"/>
    </row>
    <row r="187" spans="1:9" x14ac:dyDescent="0.3">
      <c r="A187" s="7" t="s">
        <v>5604</v>
      </c>
      <c r="B187" s="7" t="s">
        <v>335</v>
      </c>
      <c r="C187" s="9">
        <v>45975</v>
      </c>
      <c r="D187" s="9">
        <v>46005</v>
      </c>
      <c r="E187" s="3">
        <v>6692.59</v>
      </c>
      <c r="F187" s="7" t="s">
        <v>367</v>
      </c>
      <c r="H187" s="9"/>
      <c r="I187" s="9"/>
    </row>
    <row r="188" spans="1:9" x14ac:dyDescent="0.3">
      <c r="A188" s="7" t="s">
        <v>5605</v>
      </c>
      <c r="B188" s="7" t="s">
        <v>335</v>
      </c>
      <c r="C188" s="9">
        <v>46020</v>
      </c>
      <c r="D188" s="9">
        <v>46050</v>
      </c>
      <c r="E188" s="3">
        <v>1520.41</v>
      </c>
      <c r="F188" s="7" t="s">
        <v>367</v>
      </c>
      <c r="H188" s="9"/>
      <c r="I188" s="9"/>
    </row>
    <row r="189" spans="1:9" x14ac:dyDescent="0.3">
      <c r="A189" s="7" t="s">
        <v>5606</v>
      </c>
      <c r="B189" s="7" t="s">
        <v>287</v>
      </c>
      <c r="C189" s="9">
        <v>45992</v>
      </c>
      <c r="D189" s="9">
        <v>46022</v>
      </c>
      <c r="E189" s="3">
        <v>5675.07</v>
      </c>
      <c r="F189" s="7" t="s">
        <v>387</v>
      </c>
      <c r="H189" s="9"/>
      <c r="I189" s="9"/>
    </row>
    <row r="190" spans="1:9" x14ac:dyDescent="0.3">
      <c r="A190" s="7" t="s">
        <v>5607</v>
      </c>
      <c r="B190" s="7" t="s">
        <v>264</v>
      </c>
      <c r="C190" s="9">
        <v>46064</v>
      </c>
      <c r="D190" s="9">
        <v>46094</v>
      </c>
      <c r="E190" s="3">
        <v>2578.56</v>
      </c>
      <c r="F190" s="7" t="s">
        <v>369</v>
      </c>
      <c r="H190" s="9"/>
      <c r="I190" s="9"/>
    </row>
    <row r="191" spans="1:9" x14ac:dyDescent="0.3">
      <c r="A191" s="7" t="s">
        <v>5608</v>
      </c>
      <c r="B191" s="7" t="s">
        <v>267</v>
      </c>
      <c r="C191" s="9">
        <v>46024</v>
      </c>
      <c r="D191" s="9">
        <v>46054</v>
      </c>
      <c r="E191" s="3">
        <v>1177.1600000000001</v>
      </c>
      <c r="F191" s="7" t="s">
        <v>367</v>
      </c>
      <c r="H191" s="9"/>
      <c r="I191" s="9"/>
    </row>
    <row r="192" spans="1:9" x14ac:dyDescent="0.3">
      <c r="A192" s="7" t="s">
        <v>5609</v>
      </c>
      <c r="B192" s="7" t="s">
        <v>297</v>
      </c>
      <c r="C192" s="9">
        <v>45997</v>
      </c>
      <c r="D192" s="9">
        <v>46027</v>
      </c>
      <c r="E192" s="3">
        <v>3444.12</v>
      </c>
      <c r="F192" s="7" t="s">
        <v>367</v>
      </c>
      <c r="H192" s="9"/>
      <c r="I192" s="9"/>
    </row>
    <row r="193" spans="1:9" x14ac:dyDescent="0.3">
      <c r="A193" s="7" t="s">
        <v>5610</v>
      </c>
      <c r="B193" s="7" t="s">
        <v>335</v>
      </c>
      <c r="C193" s="9">
        <v>46002</v>
      </c>
      <c r="D193" s="9">
        <v>46032</v>
      </c>
      <c r="E193" s="3">
        <v>2302.2800000000002</v>
      </c>
      <c r="F193" s="7" t="s">
        <v>367</v>
      </c>
      <c r="H193" s="9"/>
      <c r="I193" s="9"/>
    </row>
    <row r="194" spans="1:9" x14ac:dyDescent="0.3">
      <c r="A194" s="7" t="s">
        <v>5611</v>
      </c>
      <c r="B194" s="7" t="s">
        <v>274</v>
      </c>
      <c r="C194" s="9">
        <v>46071</v>
      </c>
      <c r="D194" s="9">
        <v>46101</v>
      </c>
      <c r="E194" s="3">
        <v>5285.12</v>
      </c>
      <c r="F194" s="7" t="s">
        <v>369</v>
      </c>
      <c r="H194" s="9"/>
      <c r="I194" s="9"/>
    </row>
    <row r="195" spans="1:9" x14ac:dyDescent="0.3">
      <c r="A195" s="7" t="s">
        <v>5612</v>
      </c>
      <c r="B195" s="7" t="s">
        <v>281</v>
      </c>
      <c r="C195" s="9">
        <v>45998</v>
      </c>
      <c r="D195" s="9">
        <v>46028</v>
      </c>
      <c r="E195" s="3">
        <v>4320.3500000000004</v>
      </c>
      <c r="F195" s="7" t="s">
        <v>387</v>
      </c>
      <c r="H195" s="9"/>
      <c r="I195" s="9"/>
    </row>
    <row r="196" spans="1:9" x14ac:dyDescent="0.3">
      <c r="A196" s="7" t="s">
        <v>5613</v>
      </c>
      <c r="B196" s="7" t="s">
        <v>272</v>
      </c>
      <c r="C196" s="9">
        <v>46011</v>
      </c>
      <c r="D196" s="9">
        <v>46041</v>
      </c>
      <c r="E196" s="3">
        <v>2975.25</v>
      </c>
      <c r="F196" s="7" t="s">
        <v>367</v>
      </c>
      <c r="H196" s="9"/>
      <c r="I196" s="9"/>
    </row>
    <row r="197" spans="1:9" x14ac:dyDescent="0.3">
      <c r="A197" s="7" t="s">
        <v>5614</v>
      </c>
      <c r="B197" s="7" t="s">
        <v>333</v>
      </c>
      <c r="C197" s="9">
        <v>46013</v>
      </c>
      <c r="D197" s="9">
        <v>46043</v>
      </c>
      <c r="E197" s="3">
        <v>5235.05</v>
      </c>
      <c r="F197" s="7" t="s">
        <v>367</v>
      </c>
      <c r="H197" s="9"/>
      <c r="I197" s="9"/>
    </row>
    <row r="198" spans="1:9" x14ac:dyDescent="0.3">
      <c r="A198" s="7" t="s">
        <v>5615</v>
      </c>
      <c r="B198" s="7" t="s">
        <v>319</v>
      </c>
      <c r="C198" s="9">
        <v>46037</v>
      </c>
      <c r="D198" s="9">
        <v>46067</v>
      </c>
      <c r="E198" s="3">
        <v>5458.87</v>
      </c>
      <c r="F198" s="7" t="s">
        <v>367</v>
      </c>
      <c r="H198" s="9"/>
      <c r="I198" s="9"/>
    </row>
    <row r="199" spans="1:9" x14ac:dyDescent="0.3">
      <c r="A199" s="7" t="s">
        <v>5616</v>
      </c>
      <c r="B199" s="7" t="s">
        <v>297</v>
      </c>
      <c r="C199" s="9">
        <v>45965</v>
      </c>
      <c r="D199" s="9">
        <v>45995</v>
      </c>
      <c r="E199" s="3">
        <v>2734.75</v>
      </c>
      <c r="F199" s="7" t="s">
        <v>369</v>
      </c>
      <c r="H199" s="9"/>
      <c r="I199" s="9"/>
    </row>
    <row r="200" spans="1:9" x14ac:dyDescent="0.3">
      <c r="A200" s="7" t="s">
        <v>5617</v>
      </c>
      <c r="B200" s="7" t="s">
        <v>287</v>
      </c>
      <c r="C200" s="9">
        <v>46038</v>
      </c>
      <c r="D200" s="9">
        <v>46068</v>
      </c>
      <c r="E200" s="3">
        <v>6341.77</v>
      </c>
      <c r="F200" s="7" t="s">
        <v>387</v>
      </c>
      <c r="H200" s="9"/>
      <c r="I200" s="9"/>
    </row>
    <row r="201" spans="1:9" x14ac:dyDescent="0.3">
      <c r="A201" s="7" t="s">
        <v>5618</v>
      </c>
      <c r="B201" s="7" t="s">
        <v>303</v>
      </c>
      <c r="C201" s="9">
        <v>46037</v>
      </c>
      <c r="D201" s="9">
        <v>46067</v>
      </c>
      <c r="E201" s="3">
        <v>3173.48</v>
      </c>
      <c r="F201" s="7" t="s">
        <v>387</v>
      </c>
      <c r="H201" s="9"/>
      <c r="I201" s="9"/>
    </row>
    <row r="202" spans="1:9" x14ac:dyDescent="0.3">
      <c r="A202" s="7" t="s">
        <v>5619</v>
      </c>
      <c r="B202" s="7" t="s">
        <v>274</v>
      </c>
      <c r="C202" s="9">
        <v>45979</v>
      </c>
      <c r="D202" s="9">
        <v>46009</v>
      </c>
      <c r="E202" s="3">
        <v>2863.96</v>
      </c>
      <c r="F202" s="7" t="s">
        <v>367</v>
      </c>
      <c r="H202" s="9"/>
      <c r="I202" s="9"/>
    </row>
    <row r="203" spans="1:9" x14ac:dyDescent="0.3">
      <c r="A203" s="7" t="s">
        <v>5620</v>
      </c>
      <c r="B203" s="7" t="s">
        <v>291</v>
      </c>
      <c r="C203" s="9">
        <v>46002</v>
      </c>
      <c r="D203" s="9">
        <v>46032</v>
      </c>
      <c r="E203" s="3">
        <v>6777.04</v>
      </c>
      <c r="F203" s="7" t="s">
        <v>367</v>
      </c>
      <c r="H203" s="9"/>
      <c r="I203" s="9"/>
    </row>
    <row r="204" spans="1:9" x14ac:dyDescent="0.3">
      <c r="A204" s="7" t="s">
        <v>5621</v>
      </c>
      <c r="B204" s="7" t="s">
        <v>297</v>
      </c>
      <c r="C204" s="9">
        <v>45984</v>
      </c>
      <c r="D204" s="9">
        <v>46014</v>
      </c>
      <c r="E204" s="3">
        <v>2256.25</v>
      </c>
      <c r="F204" s="7" t="s">
        <v>367</v>
      </c>
      <c r="H204" s="9"/>
      <c r="I204" s="9"/>
    </row>
    <row r="205" spans="1:9" x14ac:dyDescent="0.3">
      <c r="A205" s="7" t="s">
        <v>5622</v>
      </c>
      <c r="B205" s="7" t="s">
        <v>327</v>
      </c>
      <c r="C205" s="9">
        <v>46017</v>
      </c>
      <c r="D205" s="9">
        <v>46047</v>
      </c>
      <c r="E205" s="3">
        <v>6994.87</v>
      </c>
      <c r="F205" s="7" t="s">
        <v>367</v>
      </c>
      <c r="H205" s="9"/>
      <c r="I205" s="9"/>
    </row>
    <row r="206" spans="1:9" x14ac:dyDescent="0.3">
      <c r="A206" s="7" t="s">
        <v>5623</v>
      </c>
      <c r="B206" s="7" t="s">
        <v>276</v>
      </c>
      <c r="C206" s="9">
        <v>46069</v>
      </c>
      <c r="D206" s="9">
        <v>46099</v>
      </c>
      <c r="E206" s="3">
        <v>5446.61</v>
      </c>
      <c r="F206" s="7" t="s">
        <v>367</v>
      </c>
      <c r="H206" s="9"/>
      <c r="I206" s="9"/>
    </row>
    <row r="207" spans="1:9" x14ac:dyDescent="0.3">
      <c r="A207" s="7" t="s">
        <v>5624</v>
      </c>
      <c r="B207" s="7" t="s">
        <v>287</v>
      </c>
      <c r="C207" s="9">
        <v>46063</v>
      </c>
      <c r="D207" s="9">
        <v>46093</v>
      </c>
      <c r="E207" s="3">
        <v>3244.29</v>
      </c>
      <c r="F207" s="7" t="s">
        <v>387</v>
      </c>
      <c r="H207" s="9"/>
      <c r="I207" s="9"/>
    </row>
    <row r="208" spans="1:9" x14ac:dyDescent="0.3">
      <c r="A208" s="7" t="s">
        <v>5625</v>
      </c>
      <c r="B208" s="7" t="s">
        <v>317</v>
      </c>
      <c r="C208" s="9">
        <v>45967</v>
      </c>
      <c r="D208" s="9">
        <v>45997</v>
      </c>
      <c r="E208" s="3">
        <v>5162.2700000000004</v>
      </c>
      <c r="F208" s="7" t="s">
        <v>367</v>
      </c>
      <c r="H208" s="9"/>
      <c r="I208" s="9"/>
    </row>
    <row r="209" spans="1:9" x14ac:dyDescent="0.3">
      <c r="A209" s="7" t="s">
        <v>5626</v>
      </c>
      <c r="B209" s="7" t="s">
        <v>315</v>
      </c>
      <c r="C209" s="9">
        <v>45963</v>
      </c>
      <c r="D209" s="9">
        <v>45993</v>
      </c>
      <c r="E209" s="3">
        <v>6706.76</v>
      </c>
      <c r="F209" s="7" t="s">
        <v>369</v>
      </c>
      <c r="H209" s="9"/>
      <c r="I209" s="9"/>
    </row>
    <row r="210" spans="1:9" x14ac:dyDescent="0.3">
      <c r="A210" s="7" t="s">
        <v>5627</v>
      </c>
      <c r="B210" s="7" t="s">
        <v>343</v>
      </c>
      <c r="C210" s="9">
        <v>46065</v>
      </c>
      <c r="D210" s="9">
        <v>46095</v>
      </c>
      <c r="E210" s="3">
        <v>6251.79</v>
      </c>
      <c r="F210" s="7" t="s">
        <v>369</v>
      </c>
      <c r="H210" s="9"/>
      <c r="I210" s="9"/>
    </row>
    <row r="211" spans="1:9" x14ac:dyDescent="0.3">
      <c r="A211" s="7" t="s">
        <v>5628</v>
      </c>
      <c r="B211" s="7" t="s">
        <v>321</v>
      </c>
      <c r="C211" s="9">
        <v>46018</v>
      </c>
      <c r="D211" s="9">
        <v>46048</v>
      </c>
      <c r="E211" s="3">
        <v>3965.95</v>
      </c>
      <c r="F211" s="7" t="s">
        <v>369</v>
      </c>
      <c r="H211" s="9"/>
      <c r="I211" s="9"/>
    </row>
    <row r="212" spans="1:9" x14ac:dyDescent="0.3">
      <c r="A212" s="7" t="s">
        <v>5629</v>
      </c>
      <c r="B212" s="7" t="s">
        <v>301</v>
      </c>
      <c r="C212" s="9">
        <v>46059</v>
      </c>
      <c r="D212" s="9">
        <v>46089</v>
      </c>
      <c r="E212" s="3">
        <v>3734.49</v>
      </c>
      <c r="F212" s="7" t="s">
        <v>369</v>
      </c>
      <c r="H212" s="9"/>
      <c r="I212" s="9"/>
    </row>
    <row r="213" spans="1:9" x14ac:dyDescent="0.3">
      <c r="A213" s="7" t="s">
        <v>5630</v>
      </c>
      <c r="B213" s="7" t="s">
        <v>339</v>
      </c>
      <c r="C213" s="9">
        <v>46012</v>
      </c>
      <c r="D213" s="9">
        <v>46042</v>
      </c>
      <c r="E213" s="3">
        <v>1172.56</v>
      </c>
      <c r="F213" s="7" t="s">
        <v>367</v>
      </c>
      <c r="H213" s="9"/>
      <c r="I213" s="9"/>
    </row>
    <row r="214" spans="1:9" x14ac:dyDescent="0.3">
      <c r="A214" s="7" t="s">
        <v>5631</v>
      </c>
      <c r="B214" s="7" t="s">
        <v>317</v>
      </c>
      <c r="C214" s="9">
        <v>46036</v>
      </c>
      <c r="D214" s="9">
        <v>46066</v>
      </c>
      <c r="E214" s="3">
        <v>6844.8</v>
      </c>
      <c r="F214" s="7" t="s">
        <v>367</v>
      </c>
      <c r="H214" s="9"/>
      <c r="I214" s="9"/>
    </row>
    <row r="215" spans="1:9" x14ac:dyDescent="0.3">
      <c r="A215" s="7" t="s">
        <v>5632</v>
      </c>
      <c r="B215" s="7" t="s">
        <v>329</v>
      </c>
      <c r="C215" s="9">
        <v>46025</v>
      </c>
      <c r="D215" s="9">
        <v>46055</v>
      </c>
      <c r="E215" s="3">
        <v>4306.88</v>
      </c>
      <c r="F215" s="7" t="s">
        <v>387</v>
      </c>
      <c r="H215" s="9"/>
      <c r="I215" s="9"/>
    </row>
    <row r="216" spans="1:9" x14ac:dyDescent="0.3">
      <c r="A216" s="7" t="s">
        <v>5633</v>
      </c>
      <c r="B216" s="7" t="s">
        <v>295</v>
      </c>
      <c r="C216" s="9">
        <v>46080</v>
      </c>
      <c r="D216" s="9">
        <v>46110</v>
      </c>
      <c r="E216" s="3">
        <v>2741.88</v>
      </c>
      <c r="F216" s="7" t="s">
        <v>367</v>
      </c>
      <c r="H216" s="9"/>
      <c r="I216" s="9"/>
    </row>
    <row r="217" spans="1:9" x14ac:dyDescent="0.3">
      <c r="A217" s="7" t="s">
        <v>5634</v>
      </c>
      <c r="B217" s="7" t="s">
        <v>269</v>
      </c>
      <c r="C217" s="9">
        <v>45970</v>
      </c>
      <c r="D217" s="9">
        <v>46000</v>
      </c>
      <c r="E217" s="3">
        <v>2704.88</v>
      </c>
      <c r="F217" s="7" t="s">
        <v>367</v>
      </c>
      <c r="H217" s="9"/>
      <c r="I217" s="9"/>
    </row>
    <row r="218" spans="1:9" x14ac:dyDescent="0.3">
      <c r="A218" s="7" t="s">
        <v>5635</v>
      </c>
      <c r="B218" s="7" t="s">
        <v>335</v>
      </c>
      <c r="C218" s="9">
        <v>45988</v>
      </c>
      <c r="D218" s="9">
        <v>46018</v>
      </c>
      <c r="E218" s="3">
        <v>1744.63</v>
      </c>
      <c r="F218" s="7" t="s">
        <v>367</v>
      </c>
      <c r="H218" s="9"/>
      <c r="I218" s="9"/>
    </row>
    <row r="219" spans="1:9" x14ac:dyDescent="0.3">
      <c r="A219" s="7" t="s">
        <v>5636</v>
      </c>
      <c r="B219" s="7" t="s">
        <v>319</v>
      </c>
      <c r="C219" s="9">
        <v>46034</v>
      </c>
      <c r="D219" s="9">
        <v>46064</v>
      </c>
      <c r="E219" s="3">
        <v>6029.56</v>
      </c>
      <c r="F219" s="7" t="s">
        <v>367</v>
      </c>
      <c r="H219" s="9"/>
      <c r="I219" s="9"/>
    </row>
    <row r="220" spans="1:9" x14ac:dyDescent="0.3">
      <c r="A220" s="7" t="s">
        <v>5637</v>
      </c>
      <c r="B220" s="7" t="s">
        <v>285</v>
      </c>
      <c r="C220" s="9">
        <v>46005</v>
      </c>
      <c r="D220" s="9">
        <v>46035</v>
      </c>
      <c r="E220" s="3">
        <v>3012.89</v>
      </c>
      <c r="F220" s="7" t="s">
        <v>367</v>
      </c>
      <c r="H220" s="9"/>
      <c r="I220" s="9"/>
    </row>
    <row r="221" spans="1:9" x14ac:dyDescent="0.3">
      <c r="A221" s="7" t="s">
        <v>5638</v>
      </c>
      <c r="B221" s="7" t="s">
        <v>315</v>
      </c>
      <c r="C221" s="9">
        <v>46027</v>
      </c>
      <c r="D221" s="9">
        <v>46057</v>
      </c>
      <c r="E221" s="3">
        <v>4891.53</v>
      </c>
      <c r="F221" s="7" t="s">
        <v>367</v>
      </c>
      <c r="H221" s="9"/>
      <c r="I221" s="9"/>
    </row>
    <row r="222" spans="1:9" x14ac:dyDescent="0.3">
      <c r="A222" s="7" t="s">
        <v>5639</v>
      </c>
      <c r="B222" s="7" t="s">
        <v>274</v>
      </c>
      <c r="C222" s="9">
        <v>46045</v>
      </c>
      <c r="D222" s="9">
        <v>46075</v>
      </c>
      <c r="E222" s="3">
        <v>5551.77</v>
      </c>
      <c r="F222" s="7" t="s">
        <v>367</v>
      </c>
      <c r="H222" s="9"/>
      <c r="I222" s="9"/>
    </row>
    <row r="223" spans="1:9" x14ac:dyDescent="0.3">
      <c r="A223" s="7" t="s">
        <v>5640</v>
      </c>
      <c r="B223" s="7" t="s">
        <v>327</v>
      </c>
      <c r="C223" s="9">
        <v>46075</v>
      </c>
      <c r="D223" s="9">
        <v>46105</v>
      </c>
      <c r="E223" s="3">
        <v>5599.48</v>
      </c>
      <c r="F223" s="7" t="s">
        <v>367</v>
      </c>
      <c r="H223" s="9"/>
      <c r="I223" s="9"/>
    </row>
    <row r="224" spans="1:9" x14ac:dyDescent="0.3">
      <c r="A224" s="7" t="s">
        <v>5641</v>
      </c>
      <c r="B224" s="7" t="s">
        <v>283</v>
      </c>
      <c r="C224" s="9">
        <v>45988</v>
      </c>
      <c r="D224" s="9">
        <v>46018</v>
      </c>
      <c r="E224" s="3">
        <v>3674.32</v>
      </c>
      <c r="F224" s="7" t="s">
        <v>367</v>
      </c>
      <c r="H224" s="9"/>
      <c r="I224" s="9"/>
    </row>
    <row r="225" spans="1:9" x14ac:dyDescent="0.3">
      <c r="A225" s="7" t="s">
        <v>5642</v>
      </c>
      <c r="B225" s="7" t="s">
        <v>293</v>
      </c>
      <c r="C225" s="9">
        <v>46070</v>
      </c>
      <c r="D225" s="9">
        <v>46100</v>
      </c>
      <c r="E225" s="3">
        <v>2701.68</v>
      </c>
      <c r="F225" s="7" t="s">
        <v>367</v>
      </c>
      <c r="H225" s="9"/>
      <c r="I225" s="9"/>
    </row>
    <row r="226" spans="1:9" x14ac:dyDescent="0.3">
      <c r="A226" s="7" t="s">
        <v>5643</v>
      </c>
      <c r="B226" s="7" t="s">
        <v>329</v>
      </c>
      <c r="C226" s="9">
        <v>45980</v>
      </c>
      <c r="D226" s="9">
        <v>46010</v>
      </c>
      <c r="E226" s="3">
        <v>6221.48</v>
      </c>
      <c r="F226" s="7" t="s">
        <v>367</v>
      </c>
      <c r="H226" s="9"/>
      <c r="I226" s="9"/>
    </row>
    <row r="227" spans="1:9" x14ac:dyDescent="0.3">
      <c r="A227" s="7" t="s">
        <v>5644</v>
      </c>
      <c r="B227" s="7" t="s">
        <v>272</v>
      </c>
      <c r="C227" s="9">
        <v>46001</v>
      </c>
      <c r="D227" s="9">
        <v>46031</v>
      </c>
      <c r="E227" s="3">
        <v>4075.06</v>
      </c>
      <c r="F227" s="7" t="s">
        <v>367</v>
      </c>
      <c r="H227" s="9"/>
      <c r="I227" s="9"/>
    </row>
    <row r="228" spans="1:9" x14ac:dyDescent="0.3">
      <c r="A228" s="7" t="s">
        <v>5645</v>
      </c>
      <c r="B228" s="7" t="s">
        <v>333</v>
      </c>
      <c r="C228" s="9">
        <v>45981</v>
      </c>
      <c r="D228" s="9">
        <v>46011</v>
      </c>
      <c r="E228" s="3">
        <v>943.83</v>
      </c>
      <c r="F228" s="7" t="s">
        <v>367</v>
      </c>
      <c r="H228" s="9"/>
      <c r="I228" s="9"/>
    </row>
    <row r="229" spans="1:9" x14ac:dyDescent="0.3">
      <c r="A229" s="7" t="s">
        <v>5646</v>
      </c>
      <c r="B229" s="7" t="s">
        <v>309</v>
      </c>
      <c r="C229" s="9">
        <v>46018</v>
      </c>
      <c r="D229" s="9">
        <v>46048</v>
      </c>
      <c r="E229" s="3">
        <v>6049.8</v>
      </c>
      <c r="F229" s="7" t="s">
        <v>369</v>
      </c>
      <c r="H229" s="9"/>
      <c r="I229" s="9"/>
    </row>
    <row r="230" spans="1:9" x14ac:dyDescent="0.3">
      <c r="A230" s="7" t="s">
        <v>5647</v>
      </c>
      <c r="B230" s="7" t="s">
        <v>274</v>
      </c>
      <c r="C230" s="9">
        <v>45986</v>
      </c>
      <c r="D230" s="9">
        <v>46016</v>
      </c>
      <c r="E230" s="3">
        <v>1798.19</v>
      </c>
      <c r="F230" s="7" t="s">
        <v>369</v>
      </c>
      <c r="H230" s="9"/>
      <c r="I230" s="9"/>
    </row>
    <row r="231" spans="1:9" x14ac:dyDescent="0.3">
      <c r="A231" s="7" t="s">
        <v>5648</v>
      </c>
      <c r="B231" s="7" t="s">
        <v>299</v>
      </c>
      <c r="C231" s="9">
        <v>46034</v>
      </c>
      <c r="D231" s="9">
        <v>46064</v>
      </c>
      <c r="E231" s="3">
        <v>1310.02</v>
      </c>
      <c r="F231" s="7" t="s">
        <v>369</v>
      </c>
      <c r="H231" s="9"/>
      <c r="I231" s="9"/>
    </row>
    <row r="232" spans="1:9" x14ac:dyDescent="0.3">
      <c r="A232" s="7" t="s">
        <v>5649</v>
      </c>
      <c r="B232" s="7" t="s">
        <v>279</v>
      </c>
      <c r="C232" s="9">
        <v>46011</v>
      </c>
      <c r="D232" s="9">
        <v>46041</v>
      </c>
      <c r="E232" s="3">
        <v>5191.05</v>
      </c>
      <c r="F232" s="7" t="s">
        <v>367</v>
      </c>
      <c r="H232" s="9"/>
      <c r="I232" s="9"/>
    </row>
    <row r="233" spans="1:9" x14ac:dyDescent="0.3">
      <c r="A233" s="7" t="s">
        <v>5650</v>
      </c>
      <c r="B233" s="7" t="s">
        <v>331</v>
      </c>
      <c r="C233" s="9">
        <v>46058</v>
      </c>
      <c r="D233" s="9">
        <v>46088</v>
      </c>
      <c r="E233" s="3">
        <v>3428.08</v>
      </c>
      <c r="F233" s="7" t="s">
        <v>369</v>
      </c>
      <c r="H233" s="9"/>
      <c r="I233" s="9"/>
    </row>
    <row r="234" spans="1:9" x14ac:dyDescent="0.3">
      <c r="A234" s="7" t="s">
        <v>5651</v>
      </c>
      <c r="B234" s="7" t="s">
        <v>283</v>
      </c>
      <c r="C234" s="9">
        <v>46042</v>
      </c>
      <c r="D234" s="9">
        <v>46072</v>
      </c>
      <c r="E234" s="3">
        <v>1422.98</v>
      </c>
      <c r="F234" s="7" t="s">
        <v>369</v>
      </c>
      <c r="H234" s="9"/>
      <c r="I234" s="9"/>
    </row>
    <row r="235" spans="1:9" x14ac:dyDescent="0.3">
      <c r="A235" s="7" t="s">
        <v>5652</v>
      </c>
      <c r="B235" s="7" t="s">
        <v>313</v>
      </c>
      <c r="C235" s="9">
        <v>45976</v>
      </c>
      <c r="D235" s="9">
        <v>46006</v>
      </c>
      <c r="E235" s="3">
        <v>1127.8</v>
      </c>
      <c r="F235" s="7" t="s">
        <v>367</v>
      </c>
      <c r="H235" s="9"/>
      <c r="I235" s="9"/>
    </row>
    <row r="236" spans="1:9" x14ac:dyDescent="0.3">
      <c r="A236" s="7" t="s">
        <v>5653</v>
      </c>
      <c r="B236" s="7" t="s">
        <v>289</v>
      </c>
      <c r="C236" s="9">
        <v>45985</v>
      </c>
      <c r="D236" s="9">
        <v>46015</v>
      </c>
      <c r="E236" s="3">
        <v>1451.21</v>
      </c>
      <c r="F236" s="7" t="s">
        <v>367</v>
      </c>
      <c r="H236" s="9"/>
      <c r="I236" s="9"/>
    </row>
    <row r="237" spans="1:9" x14ac:dyDescent="0.3">
      <c r="A237" s="7" t="s">
        <v>5654</v>
      </c>
      <c r="B237" s="7" t="s">
        <v>343</v>
      </c>
      <c r="C237" s="9">
        <v>45972</v>
      </c>
      <c r="D237" s="9">
        <v>46002</v>
      </c>
      <c r="E237" s="3">
        <v>4547.22</v>
      </c>
      <c r="F237" s="7" t="s">
        <v>387</v>
      </c>
      <c r="H237" s="9"/>
      <c r="I237" s="9"/>
    </row>
    <row r="238" spans="1:9" x14ac:dyDescent="0.3">
      <c r="A238" s="7" t="s">
        <v>5655</v>
      </c>
      <c r="B238" s="7" t="s">
        <v>299</v>
      </c>
      <c r="C238" s="9">
        <v>45967</v>
      </c>
      <c r="D238" s="9">
        <v>45997</v>
      </c>
      <c r="E238" s="3">
        <v>1001.09</v>
      </c>
      <c r="F238" s="7" t="s">
        <v>367</v>
      </c>
      <c r="H238" s="9"/>
      <c r="I238" s="9"/>
    </row>
    <row r="239" spans="1:9" x14ac:dyDescent="0.3">
      <c r="A239" s="7" t="s">
        <v>5656</v>
      </c>
      <c r="B239" s="7" t="s">
        <v>279</v>
      </c>
      <c r="C239" s="9">
        <v>46025</v>
      </c>
      <c r="D239" s="9">
        <v>46055</v>
      </c>
      <c r="E239" s="3">
        <v>2292.35</v>
      </c>
      <c r="F239" s="7" t="s">
        <v>369</v>
      </c>
      <c r="H239" s="9"/>
      <c r="I239" s="9"/>
    </row>
    <row r="240" spans="1:9" x14ac:dyDescent="0.3">
      <c r="A240" s="7" t="s">
        <v>5657</v>
      </c>
      <c r="B240" s="7" t="s">
        <v>276</v>
      </c>
      <c r="C240" s="9">
        <v>46071</v>
      </c>
      <c r="D240" s="9">
        <v>46101</v>
      </c>
      <c r="E240" s="3">
        <v>4456.1000000000004</v>
      </c>
      <c r="F240" s="7" t="s">
        <v>367</v>
      </c>
      <c r="H240" s="9"/>
      <c r="I240" s="9"/>
    </row>
    <row r="241" spans="1:9" x14ac:dyDescent="0.3">
      <c r="A241" s="7" t="s">
        <v>5658</v>
      </c>
      <c r="B241" s="7" t="s">
        <v>317</v>
      </c>
      <c r="C241" s="9">
        <v>46086</v>
      </c>
      <c r="D241" s="9">
        <v>46116</v>
      </c>
      <c r="E241" s="3">
        <v>1082.6400000000001</v>
      </c>
      <c r="F241" s="7" t="s">
        <v>369</v>
      </c>
      <c r="H241" s="9"/>
      <c r="I241" s="9"/>
    </row>
    <row r="242" spans="1:9" x14ac:dyDescent="0.3">
      <c r="A242" s="7" t="s">
        <v>5659</v>
      </c>
      <c r="B242" s="7" t="s">
        <v>313</v>
      </c>
      <c r="C242" s="9">
        <v>46068</v>
      </c>
      <c r="D242" s="9">
        <v>46098</v>
      </c>
      <c r="E242" s="3">
        <v>6281.46</v>
      </c>
      <c r="F242" s="7" t="s">
        <v>367</v>
      </c>
      <c r="H242" s="9"/>
      <c r="I242" s="9"/>
    </row>
    <row r="243" spans="1:9" x14ac:dyDescent="0.3">
      <c r="A243" s="7" t="s">
        <v>5660</v>
      </c>
      <c r="B243" s="7" t="s">
        <v>343</v>
      </c>
      <c r="C243" s="9">
        <v>46013</v>
      </c>
      <c r="D243" s="9">
        <v>46043</v>
      </c>
      <c r="E243" s="3">
        <v>6862.17</v>
      </c>
      <c r="F243" s="7" t="s">
        <v>387</v>
      </c>
      <c r="H243" s="9"/>
      <c r="I243" s="9"/>
    </row>
    <row r="244" spans="1:9" x14ac:dyDescent="0.3">
      <c r="A244" s="7" t="s">
        <v>5661</v>
      </c>
      <c r="B244" s="7" t="s">
        <v>297</v>
      </c>
      <c r="C244" s="9">
        <v>46079</v>
      </c>
      <c r="D244" s="9">
        <v>46109</v>
      </c>
      <c r="E244" s="3">
        <v>1410.84</v>
      </c>
      <c r="F244" s="7" t="s">
        <v>367</v>
      </c>
      <c r="H244" s="9"/>
      <c r="I244" s="9"/>
    </row>
    <row r="245" spans="1:9" x14ac:dyDescent="0.3">
      <c r="A245" s="7" t="s">
        <v>5662</v>
      </c>
      <c r="B245" s="7" t="s">
        <v>323</v>
      </c>
      <c r="C245" s="9">
        <v>46053</v>
      </c>
      <c r="D245" s="9">
        <v>46083</v>
      </c>
      <c r="E245" s="3">
        <v>5893.15</v>
      </c>
      <c r="F245" s="7" t="s">
        <v>367</v>
      </c>
      <c r="H245" s="9"/>
      <c r="I245" s="9"/>
    </row>
    <row r="246" spans="1:9" x14ac:dyDescent="0.3">
      <c r="A246" s="7" t="s">
        <v>5663</v>
      </c>
      <c r="B246" s="7" t="s">
        <v>279</v>
      </c>
      <c r="C246" s="9">
        <v>45997</v>
      </c>
      <c r="D246" s="9">
        <v>46027</v>
      </c>
      <c r="E246" s="3">
        <v>1277.6600000000001</v>
      </c>
      <c r="F246" s="7" t="s">
        <v>387</v>
      </c>
      <c r="H246" s="9"/>
      <c r="I246" s="9"/>
    </row>
    <row r="247" spans="1:9" x14ac:dyDescent="0.3">
      <c r="A247" s="7" t="s">
        <v>5664</v>
      </c>
      <c r="B247" s="7" t="s">
        <v>307</v>
      </c>
      <c r="C247" s="9">
        <v>45999</v>
      </c>
      <c r="D247" s="9">
        <v>46029</v>
      </c>
      <c r="E247" s="3">
        <v>4086.68</v>
      </c>
      <c r="F247" s="7" t="s">
        <v>369</v>
      </c>
      <c r="H247" s="9"/>
      <c r="I247" s="9"/>
    </row>
    <row r="248" spans="1:9" x14ac:dyDescent="0.3">
      <c r="A248" s="7" t="s">
        <v>5665</v>
      </c>
      <c r="B248" s="7" t="s">
        <v>285</v>
      </c>
      <c r="C248" s="9">
        <v>45974</v>
      </c>
      <c r="D248" s="9">
        <v>46004</v>
      </c>
      <c r="E248" s="3">
        <v>4260.29</v>
      </c>
      <c r="F248" s="7" t="s">
        <v>367</v>
      </c>
      <c r="H248" s="9"/>
      <c r="I248" s="9"/>
    </row>
    <row r="249" spans="1:9" x14ac:dyDescent="0.3">
      <c r="A249" s="7" t="s">
        <v>5666</v>
      </c>
      <c r="B249" s="7" t="s">
        <v>331</v>
      </c>
      <c r="C249" s="9">
        <v>45981</v>
      </c>
      <c r="D249" s="9">
        <v>46011</v>
      </c>
      <c r="E249" s="3">
        <v>5417</v>
      </c>
      <c r="F249" s="7" t="s">
        <v>367</v>
      </c>
      <c r="H249" s="9"/>
      <c r="I249" s="9"/>
    </row>
    <row r="250" spans="1:9" x14ac:dyDescent="0.3">
      <c r="A250" s="7" t="s">
        <v>5667</v>
      </c>
      <c r="B250" s="7" t="s">
        <v>341</v>
      </c>
      <c r="C250" s="9">
        <v>46055</v>
      </c>
      <c r="D250" s="9">
        <v>46085</v>
      </c>
      <c r="E250" s="3">
        <v>5514.81</v>
      </c>
      <c r="F250" s="7" t="s">
        <v>369</v>
      </c>
      <c r="H250" s="9"/>
      <c r="I250" s="9"/>
    </row>
    <row r="251" spans="1:9" x14ac:dyDescent="0.3">
      <c r="A251" s="7" t="s">
        <v>5668</v>
      </c>
      <c r="B251" s="7" t="s">
        <v>317</v>
      </c>
      <c r="C251" s="9">
        <v>46019</v>
      </c>
      <c r="D251" s="9">
        <v>46049</v>
      </c>
      <c r="E251" s="3">
        <v>1455.86</v>
      </c>
      <c r="F251" s="7" t="s">
        <v>367</v>
      </c>
      <c r="H251" s="9"/>
      <c r="I251" s="9"/>
    </row>
    <row r="252" spans="1:9" x14ac:dyDescent="0.3">
      <c r="A252" s="7" t="s">
        <v>5669</v>
      </c>
      <c r="B252" s="7" t="s">
        <v>279</v>
      </c>
      <c r="C252" s="9">
        <v>46012</v>
      </c>
      <c r="D252" s="9">
        <v>46042</v>
      </c>
      <c r="E252" s="3">
        <v>5631.02</v>
      </c>
      <c r="F252" s="7" t="s">
        <v>367</v>
      </c>
      <c r="H252" s="9"/>
      <c r="I252" s="9"/>
    </row>
    <row r="253" spans="1:9" x14ac:dyDescent="0.3">
      <c r="A253" s="7" t="s">
        <v>5670</v>
      </c>
      <c r="B253" s="7" t="s">
        <v>281</v>
      </c>
      <c r="C253" s="9">
        <v>45998</v>
      </c>
      <c r="D253" s="9">
        <v>46028</v>
      </c>
      <c r="E253" s="3">
        <v>6341.3</v>
      </c>
      <c r="F253" s="7" t="s">
        <v>367</v>
      </c>
      <c r="H253" s="9"/>
      <c r="I253" s="9"/>
    </row>
    <row r="254" spans="1:9" x14ac:dyDescent="0.3">
      <c r="A254" s="7" t="s">
        <v>5671</v>
      </c>
      <c r="B254" s="7" t="s">
        <v>313</v>
      </c>
      <c r="C254" s="9">
        <v>45985</v>
      </c>
      <c r="D254" s="9">
        <v>46015</v>
      </c>
      <c r="E254" s="3">
        <v>2358.15</v>
      </c>
      <c r="F254" s="7" t="s">
        <v>367</v>
      </c>
      <c r="H254" s="9"/>
      <c r="I254" s="9"/>
    </row>
    <row r="255" spans="1:9" x14ac:dyDescent="0.3">
      <c r="A255" s="7" t="s">
        <v>5672</v>
      </c>
      <c r="B255" s="7" t="s">
        <v>289</v>
      </c>
      <c r="C255" s="9">
        <v>46061</v>
      </c>
      <c r="D255" s="9">
        <v>46091</v>
      </c>
      <c r="E255" s="3">
        <v>3808.02</v>
      </c>
      <c r="F255" s="7" t="s">
        <v>369</v>
      </c>
      <c r="H255" s="9"/>
      <c r="I255" s="9"/>
    </row>
    <row r="256" spans="1:9" x14ac:dyDescent="0.3">
      <c r="A256" s="7" t="s">
        <v>5673</v>
      </c>
      <c r="B256" s="7" t="s">
        <v>317</v>
      </c>
      <c r="C256" s="9">
        <v>45970</v>
      </c>
      <c r="D256" s="9">
        <v>46000</v>
      </c>
      <c r="E256" s="3">
        <v>4269.88</v>
      </c>
      <c r="F256" s="7" t="s">
        <v>367</v>
      </c>
      <c r="H256" s="9"/>
      <c r="I256" s="9"/>
    </row>
    <row r="257" spans="1:9" x14ac:dyDescent="0.3">
      <c r="A257" s="7" t="s">
        <v>5674</v>
      </c>
      <c r="B257" s="7" t="s">
        <v>301</v>
      </c>
      <c r="C257" s="9">
        <v>46032</v>
      </c>
      <c r="D257" s="9">
        <v>46062</v>
      </c>
      <c r="E257" s="3">
        <v>4191.59</v>
      </c>
      <c r="F257" s="7" t="s">
        <v>367</v>
      </c>
      <c r="H257" s="9"/>
      <c r="I257" s="9"/>
    </row>
    <row r="258" spans="1:9" x14ac:dyDescent="0.3">
      <c r="A258" s="7" t="s">
        <v>5675</v>
      </c>
      <c r="B258" s="7" t="s">
        <v>311</v>
      </c>
      <c r="C258" s="9">
        <v>46022</v>
      </c>
      <c r="D258" s="9">
        <v>46052</v>
      </c>
      <c r="E258" s="3">
        <v>5663.14</v>
      </c>
      <c r="F258" s="7" t="s">
        <v>367</v>
      </c>
      <c r="H258" s="9"/>
      <c r="I258" s="9"/>
    </row>
    <row r="259" spans="1:9" x14ac:dyDescent="0.3">
      <c r="A259" s="7" t="s">
        <v>5676</v>
      </c>
      <c r="B259" s="7" t="s">
        <v>261</v>
      </c>
      <c r="C259" s="9">
        <v>45982</v>
      </c>
      <c r="D259" s="9">
        <v>46012</v>
      </c>
      <c r="E259" s="3">
        <v>1852.24</v>
      </c>
      <c r="F259" s="7" t="s">
        <v>367</v>
      </c>
      <c r="H259" s="9"/>
      <c r="I259" s="9"/>
    </row>
    <row r="260" spans="1:9" x14ac:dyDescent="0.3">
      <c r="A260" s="7" t="s">
        <v>5677</v>
      </c>
      <c r="B260" s="7" t="s">
        <v>289</v>
      </c>
      <c r="C260" s="9">
        <v>45975</v>
      </c>
      <c r="D260" s="9">
        <v>46005</v>
      </c>
      <c r="E260" s="3">
        <v>5750.1</v>
      </c>
      <c r="F260" s="7" t="s">
        <v>367</v>
      </c>
      <c r="H260" s="9"/>
      <c r="I260" s="9"/>
    </row>
    <row r="261" spans="1:9" x14ac:dyDescent="0.3">
      <c r="A261" s="7" t="s">
        <v>5678</v>
      </c>
      <c r="B261" s="7" t="s">
        <v>287</v>
      </c>
      <c r="C261" s="9">
        <v>45973</v>
      </c>
      <c r="D261" s="9">
        <v>46003</v>
      </c>
      <c r="E261" s="3">
        <v>1806.07</v>
      </c>
      <c r="F261" s="7" t="s">
        <v>369</v>
      </c>
      <c r="H261" s="9"/>
      <c r="I261" s="9"/>
    </row>
    <row r="262" spans="1:9" x14ac:dyDescent="0.3">
      <c r="A262" s="7" t="s">
        <v>5679</v>
      </c>
      <c r="B262" s="7" t="s">
        <v>267</v>
      </c>
      <c r="C262" s="9">
        <v>45972</v>
      </c>
      <c r="D262" s="9">
        <v>46002</v>
      </c>
      <c r="E262" s="3">
        <v>5693.92</v>
      </c>
      <c r="F262" s="7" t="s">
        <v>367</v>
      </c>
      <c r="H262" s="9"/>
      <c r="I262" s="9"/>
    </row>
    <row r="263" spans="1:9" x14ac:dyDescent="0.3">
      <c r="A263" s="7" t="s">
        <v>5680</v>
      </c>
      <c r="B263" s="7" t="s">
        <v>335</v>
      </c>
      <c r="C263" s="9">
        <v>46056</v>
      </c>
      <c r="D263" s="9">
        <v>46086</v>
      </c>
      <c r="E263" s="3">
        <v>2984.95</v>
      </c>
      <c r="F263" s="7" t="s">
        <v>367</v>
      </c>
      <c r="H263" s="9"/>
      <c r="I263" s="9"/>
    </row>
    <row r="264" spans="1:9" x14ac:dyDescent="0.3">
      <c r="A264" s="7" t="s">
        <v>5681</v>
      </c>
      <c r="B264" s="7" t="s">
        <v>325</v>
      </c>
      <c r="C264" s="9">
        <v>46022</v>
      </c>
      <c r="D264" s="9">
        <v>46052</v>
      </c>
      <c r="E264" s="3">
        <v>923.52</v>
      </c>
      <c r="F264" s="7" t="s">
        <v>369</v>
      </c>
      <c r="H264" s="9"/>
      <c r="I264" s="9"/>
    </row>
    <row r="265" spans="1:9" x14ac:dyDescent="0.3">
      <c r="A265" s="7" t="s">
        <v>5682</v>
      </c>
      <c r="B265" s="7" t="s">
        <v>309</v>
      </c>
      <c r="C265" s="9">
        <v>46052</v>
      </c>
      <c r="D265" s="9">
        <v>46082</v>
      </c>
      <c r="E265" s="3">
        <v>1211.02</v>
      </c>
      <c r="F265" s="7" t="s">
        <v>367</v>
      </c>
      <c r="H265" s="9"/>
      <c r="I265" s="9"/>
    </row>
    <row r="266" spans="1:9" x14ac:dyDescent="0.3">
      <c r="A266" s="7" t="s">
        <v>5683</v>
      </c>
      <c r="B266" s="7" t="s">
        <v>337</v>
      </c>
      <c r="C266" s="9">
        <v>45998</v>
      </c>
      <c r="D266" s="9">
        <v>46028</v>
      </c>
      <c r="E266" s="3">
        <v>6068.17</v>
      </c>
      <c r="F266" s="7" t="s">
        <v>369</v>
      </c>
      <c r="H266" s="9"/>
      <c r="I266" s="9"/>
    </row>
    <row r="267" spans="1:9" x14ac:dyDescent="0.3">
      <c r="A267" s="7" t="s">
        <v>5684</v>
      </c>
      <c r="B267" s="7" t="s">
        <v>283</v>
      </c>
      <c r="C267" s="9">
        <v>45981</v>
      </c>
      <c r="D267" s="9">
        <v>46011</v>
      </c>
      <c r="E267" s="3">
        <v>1354.54</v>
      </c>
      <c r="F267" s="7" t="s">
        <v>367</v>
      </c>
      <c r="H267" s="9"/>
      <c r="I267" s="9"/>
    </row>
    <row r="268" spans="1:9" x14ac:dyDescent="0.3">
      <c r="A268" s="7" t="s">
        <v>5685</v>
      </c>
      <c r="B268" s="7" t="s">
        <v>303</v>
      </c>
      <c r="C268" s="9">
        <v>45971</v>
      </c>
      <c r="D268" s="9">
        <v>46001</v>
      </c>
      <c r="E268" s="3">
        <v>5905.4</v>
      </c>
      <c r="F268" s="7" t="s">
        <v>367</v>
      </c>
      <c r="H268" s="9"/>
      <c r="I268" s="9"/>
    </row>
    <row r="269" spans="1:9" x14ac:dyDescent="0.3">
      <c r="A269" s="7" t="s">
        <v>5686</v>
      </c>
      <c r="B269" s="7" t="s">
        <v>261</v>
      </c>
      <c r="C269" s="9">
        <v>46037</v>
      </c>
      <c r="D269" s="9">
        <v>46067</v>
      </c>
      <c r="E269" s="3">
        <v>2149.0300000000002</v>
      </c>
      <c r="F269" s="7" t="s">
        <v>367</v>
      </c>
      <c r="H269" s="9"/>
      <c r="I269" s="9"/>
    </row>
    <row r="270" spans="1:9" x14ac:dyDescent="0.3">
      <c r="A270" s="7" t="s">
        <v>5687</v>
      </c>
      <c r="B270" s="7" t="s">
        <v>331</v>
      </c>
      <c r="C270" s="9">
        <v>45996</v>
      </c>
      <c r="D270" s="9">
        <v>46026</v>
      </c>
      <c r="E270" s="3">
        <v>5554.43</v>
      </c>
      <c r="F270" s="7" t="s">
        <v>369</v>
      </c>
      <c r="H270" s="9"/>
      <c r="I270" s="9"/>
    </row>
    <row r="271" spans="1:9" x14ac:dyDescent="0.3">
      <c r="A271" s="7" t="s">
        <v>5688</v>
      </c>
      <c r="B271" s="7" t="s">
        <v>291</v>
      </c>
      <c r="C271" s="9">
        <v>46034</v>
      </c>
      <c r="D271" s="9">
        <v>46064</v>
      </c>
      <c r="E271" s="3">
        <v>5157.46</v>
      </c>
      <c r="F271" s="7" t="s">
        <v>367</v>
      </c>
      <c r="H271" s="9"/>
      <c r="I271" s="9"/>
    </row>
    <row r="272" spans="1:9" x14ac:dyDescent="0.3">
      <c r="A272" s="7" t="s">
        <v>5689</v>
      </c>
      <c r="B272" s="7" t="s">
        <v>293</v>
      </c>
      <c r="C272" s="9">
        <v>46091</v>
      </c>
      <c r="D272" s="9">
        <v>46121</v>
      </c>
      <c r="E272" s="3">
        <v>4382.8999999999996</v>
      </c>
      <c r="F272" s="7" t="s">
        <v>367</v>
      </c>
      <c r="H272" s="9"/>
      <c r="I272" s="9"/>
    </row>
    <row r="273" spans="1:9" x14ac:dyDescent="0.3">
      <c r="A273" s="7" t="s">
        <v>5690</v>
      </c>
      <c r="B273" s="7" t="s">
        <v>329</v>
      </c>
      <c r="C273" s="9">
        <v>45981</v>
      </c>
      <c r="D273" s="9">
        <v>46011</v>
      </c>
      <c r="E273" s="3">
        <v>1208.94</v>
      </c>
      <c r="F273" s="7" t="s">
        <v>367</v>
      </c>
      <c r="H273" s="9"/>
      <c r="I273" s="9"/>
    </row>
    <row r="274" spans="1:9" x14ac:dyDescent="0.3">
      <c r="A274" s="7" t="s">
        <v>5691</v>
      </c>
      <c r="B274" s="7" t="s">
        <v>319</v>
      </c>
      <c r="C274" s="9">
        <v>46003</v>
      </c>
      <c r="D274" s="9">
        <v>46033</v>
      </c>
      <c r="E274" s="3">
        <v>4524.26</v>
      </c>
      <c r="F274" s="7" t="s">
        <v>369</v>
      </c>
      <c r="H274" s="9"/>
      <c r="I274" s="9"/>
    </row>
    <row r="275" spans="1:9" x14ac:dyDescent="0.3">
      <c r="A275" s="7" t="s">
        <v>5692</v>
      </c>
      <c r="B275" s="7" t="s">
        <v>305</v>
      </c>
      <c r="C275" s="9">
        <v>46041</v>
      </c>
      <c r="D275" s="9">
        <v>46071</v>
      </c>
      <c r="E275" s="3">
        <v>6120.54</v>
      </c>
      <c r="F275" s="7" t="s">
        <v>367</v>
      </c>
      <c r="H275" s="9"/>
      <c r="I275" s="9"/>
    </row>
    <row r="276" spans="1:9" x14ac:dyDescent="0.3">
      <c r="A276" s="7" t="s">
        <v>5693</v>
      </c>
      <c r="B276" s="7" t="s">
        <v>272</v>
      </c>
      <c r="C276" s="9">
        <v>46070</v>
      </c>
      <c r="D276" s="9">
        <v>46100</v>
      </c>
      <c r="E276" s="3">
        <v>3137.75</v>
      </c>
      <c r="F276" s="7" t="s">
        <v>369</v>
      </c>
      <c r="H276" s="9"/>
      <c r="I276" s="9"/>
    </row>
    <row r="277" spans="1:9" x14ac:dyDescent="0.3">
      <c r="A277" s="7" t="s">
        <v>5694</v>
      </c>
      <c r="B277" s="7" t="s">
        <v>335</v>
      </c>
      <c r="C277" s="9">
        <v>45972</v>
      </c>
      <c r="D277" s="9">
        <v>46002</v>
      </c>
      <c r="E277" s="3">
        <v>6932.8</v>
      </c>
      <c r="F277" s="7" t="s">
        <v>367</v>
      </c>
      <c r="H277" s="9"/>
      <c r="I277" s="9"/>
    </row>
    <row r="278" spans="1:9" x14ac:dyDescent="0.3">
      <c r="A278" s="7" t="s">
        <v>5695</v>
      </c>
      <c r="B278" s="7" t="s">
        <v>295</v>
      </c>
      <c r="C278" s="9">
        <v>46005</v>
      </c>
      <c r="D278" s="9">
        <v>46035</v>
      </c>
      <c r="E278" s="3">
        <v>2232.75</v>
      </c>
      <c r="F278" s="7" t="s">
        <v>369</v>
      </c>
      <c r="H278" s="9"/>
      <c r="I278" s="9"/>
    </row>
    <row r="279" spans="1:9" x14ac:dyDescent="0.3">
      <c r="A279" s="7" t="s">
        <v>5696</v>
      </c>
      <c r="B279" s="7" t="s">
        <v>293</v>
      </c>
      <c r="C279" s="9">
        <v>46044</v>
      </c>
      <c r="D279" s="9">
        <v>46074</v>
      </c>
      <c r="E279" s="3">
        <v>2721.12</v>
      </c>
      <c r="F279" s="7" t="s">
        <v>367</v>
      </c>
      <c r="H279" s="9"/>
      <c r="I279" s="9"/>
    </row>
    <row r="280" spans="1:9" x14ac:dyDescent="0.3">
      <c r="A280" s="7" t="s">
        <v>5697</v>
      </c>
      <c r="B280" s="7" t="s">
        <v>264</v>
      </c>
      <c r="C280" s="9">
        <v>46065</v>
      </c>
      <c r="D280" s="9">
        <v>46095</v>
      </c>
      <c r="E280" s="3">
        <v>5885.15</v>
      </c>
      <c r="F280" s="7" t="s">
        <v>369</v>
      </c>
      <c r="H280" s="9"/>
      <c r="I280" s="9"/>
    </row>
    <row r="281" spans="1:9" x14ac:dyDescent="0.3">
      <c r="A281" s="7" t="s">
        <v>5698</v>
      </c>
      <c r="B281" s="7" t="s">
        <v>317</v>
      </c>
      <c r="C281" s="9">
        <v>45976</v>
      </c>
      <c r="D281" s="9">
        <v>46006</v>
      </c>
      <c r="E281" s="3">
        <v>2409.38</v>
      </c>
      <c r="F281" s="7" t="s">
        <v>387</v>
      </c>
      <c r="H281" s="9"/>
      <c r="I281" s="9"/>
    </row>
    <row r="282" spans="1:9" x14ac:dyDescent="0.3">
      <c r="A282" s="7" t="s">
        <v>5699</v>
      </c>
      <c r="B282" s="7" t="s">
        <v>339</v>
      </c>
      <c r="C282" s="9">
        <v>45970</v>
      </c>
      <c r="D282" s="9">
        <v>46000</v>
      </c>
      <c r="E282" s="3">
        <v>5680.88</v>
      </c>
      <c r="F282" s="7" t="s">
        <v>369</v>
      </c>
      <c r="H282" s="9"/>
      <c r="I282" s="9"/>
    </row>
    <row r="283" spans="1:9" x14ac:dyDescent="0.3">
      <c r="A283" s="7" t="s">
        <v>5700</v>
      </c>
      <c r="B283" s="7" t="s">
        <v>325</v>
      </c>
      <c r="C283" s="9">
        <v>46026</v>
      </c>
      <c r="D283" s="9">
        <v>46056</v>
      </c>
      <c r="E283" s="3">
        <v>2330.0500000000002</v>
      </c>
      <c r="F283" s="7" t="s">
        <v>367</v>
      </c>
      <c r="H283" s="9"/>
      <c r="I283" s="9"/>
    </row>
    <row r="284" spans="1:9" x14ac:dyDescent="0.3">
      <c r="A284" s="7" t="s">
        <v>5701</v>
      </c>
      <c r="B284" s="7" t="s">
        <v>281</v>
      </c>
      <c r="C284" s="9">
        <v>46024</v>
      </c>
      <c r="D284" s="9">
        <v>46054</v>
      </c>
      <c r="E284" s="3">
        <v>4185.25</v>
      </c>
      <c r="F284" s="7" t="s">
        <v>367</v>
      </c>
      <c r="H284" s="9"/>
      <c r="I284" s="9"/>
    </row>
    <row r="285" spans="1:9" x14ac:dyDescent="0.3">
      <c r="A285" s="7" t="s">
        <v>5702</v>
      </c>
      <c r="B285" s="7" t="s">
        <v>307</v>
      </c>
      <c r="C285" s="9">
        <v>45974</v>
      </c>
      <c r="D285" s="9">
        <v>46004</v>
      </c>
      <c r="E285" s="3">
        <v>5804.52</v>
      </c>
      <c r="F285" s="7" t="s">
        <v>367</v>
      </c>
      <c r="H285" s="9"/>
      <c r="I285" s="9"/>
    </row>
    <row r="286" spans="1:9" x14ac:dyDescent="0.3">
      <c r="A286" s="7" t="s">
        <v>5703</v>
      </c>
      <c r="B286" s="7" t="s">
        <v>337</v>
      </c>
      <c r="C286" s="9">
        <v>46008</v>
      </c>
      <c r="D286" s="9">
        <v>46038</v>
      </c>
      <c r="E286" s="3">
        <v>3886.05</v>
      </c>
      <c r="F286" s="7" t="s">
        <v>367</v>
      </c>
      <c r="H286" s="9"/>
      <c r="I286" s="9"/>
    </row>
    <row r="287" spans="1:9" x14ac:dyDescent="0.3">
      <c r="A287" s="7" t="s">
        <v>5704</v>
      </c>
      <c r="B287" s="7" t="s">
        <v>283</v>
      </c>
      <c r="C287" s="9">
        <v>45969</v>
      </c>
      <c r="D287" s="9">
        <v>45999</v>
      </c>
      <c r="E287" s="3">
        <v>3133.56</v>
      </c>
      <c r="F287" s="7" t="s">
        <v>369</v>
      </c>
      <c r="H287" s="9"/>
      <c r="I287" s="9"/>
    </row>
    <row r="288" spans="1:9" x14ac:dyDescent="0.3">
      <c r="A288" s="7" t="s">
        <v>5705</v>
      </c>
      <c r="B288" s="7" t="s">
        <v>341</v>
      </c>
      <c r="C288" s="9">
        <v>45995</v>
      </c>
      <c r="D288" s="9">
        <v>46025</v>
      </c>
      <c r="E288" s="3">
        <v>3663.53</v>
      </c>
      <c r="F288" s="7" t="s">
        <v>367</v>
      </c>
      <c r="H288" s="9"/>
      <c r="I288" s="9"/>
    </row>
    <row r="289" spans="1:9" x14ac:dyDescent="0.3">
      <c r="A289" s="7" t="s">
        <v>5706</v>
      </c>
      <c r="B289" s="7" t="s">
        <v>283</v>
      </c>
      <c r="C289" s="9">
        <v>46090</v>
      </c>
      <c r="D289" s="9">
        <v>46120</v>
      </c>
      <c r="E289" s="3">
        <v>2632.94</v>
      </c>
      <c r="F289" s="7" t="s">
        <v>367</v>
      </c>
      <c r="H289" s="9"/>
      <c r="I289" s="9"/>
    </row>
    <row r="290" spans="1:9" x14ac:dyDescent="0.3">
      <c r="A290" s="7" t="s">
        <v>5707</v>
      </c>
      <c r="B290" s="7" t="s">
        <v>311</v>
      </c>
      <c r="C290" s="9">
        <v>46017</v>
      </c>
      <c r="D290" s="9">
        <v>46047</v>
      </c>
      <c r="E290" s="3">
        <v>5584.55</v>
      </c>
      <c r="F290" s="7" t="s">
        <v>367</v>
      </c>
      <c r="H290" s="9"/>
      <c r="I290" s="9"/>
    </row>
    <row r="291" spans="1:9" x14ac:dyDescent="0.3">
      <c r="A291" s="7" t="s">
        <v>5708</v>
      </c>
      <c r="B291" s="7" t="s">
        <v>283</v>
      </c>
      <c r="C291" s="9">
        <v>46042</v>
      </c>
      <c r="D291" s="9">
        <v>46072</v>
      </c>
      <c r="E291" s="3">
        <v>1027.4100000000001</v>
      </c>
      <c r="F291" s="7" t="s">
        <v>367</v>
      </c>
      <c r="H291" s="9"/>
      <c r="I291" s="9"/>
    </row>
    <row r="292" spans="1:9" x14ac:dyDescent="0.3">
      <c r="A292" s="7" t="s">
        <v>5709</v>
      </c>
      <c r="B292" s="7" t="s">
        <v>323</v>
      </c>
      <c r="C292" s="9">
        <v>46024</v>
      </c>
      <c r="D292" s="9">
        <v>46054</v>
      </c>
      <c r="E292" s="3">
        <v>2062.16</v>
      </c>
      <c r="F292" s="7" t="s">
        <v>369</v>
      </c>
      <c r="H292" s="9"/>
      <c r="I292" s="9"/>
    </row>
    <row r="293" spans="1:9" x14ac:dyDescent="0.3">
      <c r="A293" s="7" t="s">
        <v>5710</v>
      </c>
      <c r="B293" s="7" t="s">
        <v>311</v>
      </c>
      <c r="C293" s="9">
        <v>45996</v>
      </c>
      <c r="D293" s="9">
        <v>46026</v>
      </c>
      <c r="E293" s="3">
        <v>3182.5</v>
      </c>
      <c r="F293" s="7" t="s">
        <v>367</v>
      </c>
      <c r="H293" s="9"/>
      <c r="I293" s="9"/>
    </row>
    <row r="294" spans="1:9" x14ac:dyDescent="0.3">
      <c r="A294" s="7" t="s">
        <v>5711</v>
      </c>
      <c r="B294" s="7" t="s">
        <v>333</v>
      </c>
      <c r="C294" s="9">
        <v>45990</v>
      </c>
      <c r="D294" s="9">
        <v>46020</v>
      </c>
      <c r="E294" s="3">
        <v>6968.43</v>
      </c>
      <c r="F294" s="7" t="s">
        <v>369</v>
      </c>
      <c r="H294" s="9"/>
      <c r="I294" s="9"/>
    </row>
    <row r="295" spans="1:9" x14ac:dyDescent="0.3">
      <c r="A295" s="7" t="s">
        <v>5712</v>
      </c>
      <c r="B295" s="7" t="s">
        <v>269</v>
      </c>
      <c r="C295" s="9">
        <v>46083</v>
      </c>
      <c r="D295" s="9">
        <v>46113</v>
      </c>
      <c r="E295" s="3">
        <v>2142.38</v>
      </c>
      <c r="F295" s="7" t="s">
        <v>367</v>
      </c>
      <c r="H295" s="9"/>
      <c r="I295" s="9"/>
    </row>
    <row r="296" spans="1:9" x14ac:dyDescent="0.3">
      <c r="A296" s="7" t="s">
        <v>5713</v>
      </c>
      <c r="B296" s="7" t="s">
        <v>331</v>
      </c>
      <c r="C296" s="9">
        <v>45976</v>
      </c>
      <c r="D296" s="9">
        <v>46006</v>
      </c>
      <c r="E296" s="3">
        <v>898.86</v>
      </c>
      <c r="F296" s="7" t="s">
        <v>367</v>
      </c>
      <c r="H296" s="9"/>
      <c r="I296" s="9"/>
    </row>
    <row r="297" spans="1:9" x14ac:dyDescent="0.3">
      <c r="A297" s="7" t="s">
        <v>5714</v>
      </c>
      <c r="B297" s="7" t="s">
        <v>272</v>
      </c>
      <c r="C297" s="9">
        <v>46013</v>
      </c>
      <c r="D297" s="9">
        <v>46043</v>
      </c>
      <c r="E297" s="3">
        <v>6011.33</v>
      </c>
      <c r="F297" s="7" t="s">
        <v>367</v>
      </c>
      <c r="H297" s="9"/>
      <c r="I297" s="9"/>
    </row>
    <row r="298" spans="1:9" x14ac:dyDescent="0.3">
      <c r="A298" s="7" t="s">
        <v>5715</v>
      </c>
      <c r="B298" s="7" t="s">
        <v>323</v>
      </c>
      <c r="C298" s="9">
        <v>46072</v>
      </c>
      <c r="D298" s="9">
        <v>46102</v>
      </c>
      <c r="E298" s="3">
        <v>4964.66</v>
      </c>
      <c r="F298" s="7" t="s">
        <v>367</v>
      </c>
      <c r="H298" s="9"/>
      <c r="I298" s="9"/>
    </row>
    <row r="299" spans="1:9" x14ac:dyDescent="0.3">
      <c r="A299" s="7" t="s">
        <v>5716</v>
      </c>
      <c r="B299" s="7" t="s">
        <v>287</v>
      </c>
      <c r="C299" s="9">
        <v>46047</v>
      </c>
      <c r="D299" s="9">
        <v>46077</v>
      </c>
      <c r="E299" s="3">
        <v>2860.45</v>
      </c>
      <c r="F299" s="7" t="s">
        <v>369</v>
      </c>
      <c r="H299" s="9"/>
      <c r="I299" s="9"/>
    </row>
    <row r="300" spans="1:9" x14ac:dyDescent="0.3">
      <c r="A300" s="7" t="s">
        <v>5717</v>
      </c>
      <c r="B300" s="7" t="s">
        <v>331</v>
      </c>
      <c r="C300" s="9">
        <v>45986</v>
      </c>
      <c r="D300" s="9">
        <v>46016</v>
      </c>
      <c r="E300" s="3">
        <v>3297.53</v>
      </c>
      <c r="F300" s="7" t="s">
        <v>367</v>
      </c>
      <c r="H300" s="9"/>
      <c r="I300" s="9"/>
    </row>
    <row r="301" spans="1:9" x14ac:dyDescent="0.3">
      <c r="A301" s="7" t="s">
        <v>5718</v>
      </c>
      <c r="B301" s="7" t="s">
        <v>335</v>
      </c>
      <c r="C301" s="9">
        <v>45979</v>
      </c>
      <c r="D301" s="9">
        <v>46009</v>
      </c>
      <c r="E301" s="3">
        <v>4000.41</v>
      </c>
      <c r="F301" s="7" t="s">
        <v>367</v>
      </c>
      <c r="H301" s="9"/>
      <c r="I301" s="9"/>
    </row>
    <row r="302" spans="1:9" x14ac:dyDescent="0.3">
      <c r="A302" s="7" t="s">
        <v>5719</v>
      </c>
      <c r="B302" s="7" t="s">
        <v>317</v>
      </c>
      <c r="C302" s="9">
        <v>46089</v>
      </c>
      <c r="D302" s="9">
        <v>46119</v>
      </c>
      <c r="E302" s="3">
        <v>3457.39</v>
      </c>
      <c r="F302" s="7" t="s">
        <v>367</v>
      </c>
      <c r="H302" s="9"/>
      <c r="I302" s="9"/>
    </row>
    <row r="303" spans="1:9" x14ac:dyDescent="0.3">
      <c r="A303" s="7" t="s">
        <v>5720</v>
      </c>
      <c r="B303" s="7" t="s">
        <v>313</v>
      </c>
      <c r="C303" s="9">
        <v>46050</v>
      </c>
      <c r="D303" s="9">
        <v>46080</v>
      </c>
      <c r="E303" s="3">
        <v>5035.79</v>
      </c>
      <c r="F303" s="7" t="s">
        <v>367</v>
      </c>
      <c r="H303" s="9"/>
      <c r="I303" s="9"/>
    </row>
    <row r="304" spans="1:9" x14ac:dyDescent="0.3">
      <c r="A304" s="7" t="s">
        <v>5721</v>
      </c>
      <c r="B304" s="7" t="s">
        <v>291</v>
      </c>
      <c r="C304" s="9">
        <v>45963</v>
      </c>
      <c r="D304" s="9">
        <v>45993</v>
      </c>
      <c r="E304" s="3">
        <v>6647.09</v>
      </c>
      <c r="F304" s="7" t="s">
        <v>367</v>
      </c>
      <c r="H304" s="9"/>
      <c r="I304" s="9"/>
    </row>
    <row r="305" spans="1:9" x14ac:dyDescent="0.3">
      <c r="A305" s="7" t="s">
        <v>5722</v>
      </c>
      <c r="B305" s="7" t="s">
        <v>325</v>
      </c>
      <c r="C305" s="9">
        <v>46030</v>
      </c>
      <c r="D305" s="9">
        <v>46060</v>
      </c>
      <c r="E305" s="3">
        <v>3388.93</v>
      </c>
      <c r="F305" s="7" t="s">
        <v>367</v>
      </c>
      <c r="H305" s="9"/>
      <c r="I305" s="9"/>
    </row>
    <row r="306" spans="1:9" x14ac:dyDescent="0.3">
      <c r="A306" s="7" t="s">
        <v>5723</v>
      </c>
      <c r="B306" s="7" t="s">
        <v>291</v>
      </c>
      <c r="C306" s="9">
        <v>46020</v>
      </c>
      <c r="D306" s="9">
        <v>46050</v>
      </c>
      <c r="E306" s="3">
        <v>6337.32</v>
      </c>
      <c r="F306" s="7" t="s">
        <v>367</v>
      </c>
      <c r="H306" s="9"/>
      <c r="I306" s="9"/>
    </row>
    <row r="307" spans="1:9" x14ac:dyDescent="0.3">
      <c r="A307" s="7" t="s">
        <v>5724</v>
      </c>
      <c r="B307" s="7" t="s">
        <v>341</v>
      </c>
      <c r="C307" s="9">
        <v>45970</v>
      </c>
      <c r="D307" s="9">
        <v>46000</v>
      </c>
      <c r="E307" s="3">
        <v>1123.1300000000001</v>
      </c>
      <c r="F307" s="7" t="s">
        <v>369</v>
      </c>
      <c r="H307" s="9"/>
      <c r="I307" s="9"/>
    </row>
    <row r="308" spans="1:9" x14ac:dyDescent="0.3">
      <c r="A308" s="7" t="s">
        <v>5725</v>
      </c>
      <c r="B308" s="7" t="s">
        <v>297</v>
      </c>
      <c r="C308" s="9">
        <v>45974</v>
      </c>
      <c r="D308" s="9">
        <v>46004</v>
      </c>
      <c r="E308" s="3">
        <v>4005.48</v>
      </c>
      <c r="F308" s="7" t="s">
        <v>369</v>
      </c>
      <c r="H308" s="9"/>
      <c r="I308" s="9"/>
    </row>
    <row r="309" spans="1:9" x14ac:dyDescent="0.3">
      <c r="A309" s="7" t="s">
        <v>5726</v>
      </c>
      <c r="B309" s="7" t="s">
        <v>293</v>
      </c>
      <c r="C309" s="9">
        <v>46075</v>
      </c>
      <c r="D309" s="9">
        <v>46105</v>
      </c>
      <c r="E309" s="3">
        <v>1893.46</v>
      </c>
      <c r="F309" s="7" t="s">
        <v>367</v>
      </c>
      <c r="H309" s="9"/>
      <c r="I309" s="9"/>
    </row>
    <row r="310" spans="1:9" x14ac:dyDescent="0.3">
      <c r="A310" s="7" t="s">
        <v>5727</v>
      </c>
      <c r="B310" s="7" t="s">
        <v>295</v>
      </c>
      <c r="C310" s="9">
        <v>46064</v>
      </c>
      <c r="D310" s="9">
        <v>46094</v>
      </c>
      <c r="E310" s="3">
        <v>2410.19</v>
      </c>
      <c r="F310" s="7" t="s">
        <v>367</v>
      </c>
      <c r="H310" s="9"/>
      <c r="I310" s="9"/>
    </row>
    <row r="311" spans="1:9" x14ac:dyDescent="0.3">
      <c r="A311" s="7" t="s">
        <v>5728</v>
      </c>
      <c r="B311" s="7" t="s">
        <v>331</v>
      </c>
      <c r="C311" s="9">
        <v>45984</v>
      </c>
      <c r="D311" s="9">
        <v>46014</v>
      </c>
      <c r="E311" s="3">
        <v>6650.26</v>
      </c>
      <c r="F311" s="7" t="s">
        <v>367</v>
      </c>
      <c r="H311" s="9"/>
      <c r="I311" s="9"/>
    </row>
    <row r="312" spans="1:9" x14ac:dyDescent="0.3">
      <c r="A312" s="7" t="s">
        <v>5729</v>
      </c>
      <c r="B312" s="7" t="s">
        <v>289</v>
      </c>
      <c r="C312" s="9">
        <v>46086</v>
      </c>
      <c r="D312" s="9">
        <v>46116</v>
      </c>
      <c r="E312" s="3">
        <v>4381.8100000000004</v>
      </c>
      <c r="F312" s="7" t="s">
        <v>369</v>
      </c>
      <c r="H312" s="9"/>
      <c r="I312" s="9"/>
    </row>
    <row r="313" spans="1:9" x14ac:dyDescent="0.3">
      <c r="A313" s="7" t="s">
        <v>5730</v>
      </c>
      <c r="B313" s="7" t="s">
        <v>321</v>
      </c>
      <c r="C313" s="9">
        <v>46073</v>
      </c>
      <c r="D313" s="9">
        <v>46103</v>
      </c>
      <c r="E313" s="3">
        <v>3460.2</v>
      </c>
      <c r="F313" s="7" t="s">
        <v>367</v>
      </c>
      <c r="H313" s="9"/>
      <c r="I313" s="9"/>
    </row>
    <row r="314" spans="1:9" x14ac:dyDescent="0.3">
      <c r="A314" s="7" t="s">
        <v>5731</v>
      </c>
      <c r="B314" s="7" t="s">
        <v>289</v>
      </c>
      <c r="C314" s="9">
        <v>46013</v>
      </c>
      <c r="D314" s="9">
        <v>46043</v>
      </c>
      <c r="E314" s="3">
        <v>5027.2299999999996</v>
      </c>
      <c r="F314" s="7" t="s">
        <v>369</v>
      </c>
      <c r="H314" s="9"/>
      <c r="I314" s="9"/>
    </row>
    <row r="315" spans="1:9" x14ac:dyDescent="0.3">
      <c r="A315" s="7" t="s">
        <v>5732</v>
      </c>
      <c r="B315" s="7" t="s">
        <v>269</v>
      </c>
      <c r="C315" s="9">
        <v>46088</v>
      </c>
      <c r="D315" s="9">
        <v>46118</v>
      </c>
      <c r="E315" s="3">
        <v>5367.82</v>
      </c>
      <c r="F315" s="7" t="s">
        <v>367</v>
      </c>
      <c r="H315" s="9"/>
      <c r="I315" s="9"/>
    </row>
    <row r="316" spans="1:9" x14ac:dyDescent="0.3">
      <c r="A316" s="7" t="s">
        <v>5733</v>
      </c>
      <c r="B316" s="7" t="s">
        <v>327</v>
      </c>
      <c r="C316" s="9">
        <v>46073</v>
      </c>
      <c r="D316" s="9">
        <v>46103</v>
      </c>
      <c r="E316" s="3">
        <v>5206.22</v>
      </c>
      <c r="F316" s="7" t="s">
        <v>367</v>
      </c>
      <c r="H316" s="9"/>
      <c r="I316" s="9"/>
    </row>
    <row r="317" spans="1:9" x14ac:dyDescent="0.3">
      <c r="A317" s="7" t="s">
        <v>5734</v>
      </c>
      <c r="B317" s="7" t="s">
        <v>272</v>
      </c>
      <c r="C317" s="9">
        <v>46029</v>
      </c>
      <c r="D317" s="9">
        <v>46059</v>
      </c>
      <c r="E317" s="3">
        <v>4437.5200000000004</v>
      </c>
      <c r="F317" s="7" t="s">
        <v>369</v>
      </c>
      <c r="H317" s="9"/>
      <c r="I317" s="9"/>
    </row>
    <row r="318" spans="1:9" x14ac:dyDescent="0.3">
      <c r="A318" s="7" t="s">
        <v>5735</v>
      </c>
      <c r="B318" s="7" t="s">
        <v>297</v>
      </c>
      <c r="C318" s="9">
        <v>46001</v>
      </c>
      <c r="D318" s="9">
        <v>46031</v>
      </c>
      <c r="E318" s="3">
        <v>1712.41</v>
      </c>
      <c r="F318" s="7" t="s">
        <v>367</v>
      </c>
      <c r="H318" s="9"/>
      <c r="I318" s="9"/>
    </row>
    <row r="319" spans="1:9" x14ac:dyDescent="0.3">
      <c r="A319" s="7" t="s">
        <v>5736</v>
      </c>
      <c r="B319" s="7" t="s">
        <v>281</v>
      </c>
      <c r="C319" s="9">
        <v>46010</v>
      </c>
      <c r="D319" s="9">
        <v>46040</v>
      </c>
      <c r="E319" s="3">
        <v>3623.74</v>
      </c>
      <c r="F319" s="7" t="s">
        <v>367</v>
      </c>
      <c r="H319" s="9"/>
      <c r="I319" s="9"/>
    </row>
    <row r="320" spans="1:9" x14ac:dyDescent="0.3">
      <c r="A320" s="7" t="s">
        <v>5737</v>
      </c>
      <c r="B320" s="7" t="s">
        <v>287</v>
      </c>
      <c r="C320" s="9">
        <v>46050</v>
      </c>
      <c r="D320" s="9">
        <v>46080</v>
      </c>
      <c r="E320" s="3">
        <v>1887.74</v>
      </c>
      <c r="F320" s="7" t="s">
        <v>367</v>
      </c>
      <c r="H320" s="9"/>
      <c r="I320" s="9"/>
    </row>
    <row r="321" spans="1:9" x14ac:dyDescent="0.3">
      <c r="A321" s="7" t="s">
        <v>5738</v>
      </c>
      <c r="B321" s="7" t="s">
        <v>276</v>
      </c>
      <c r="C321" s="9">
        <v>45964</v>
      </c>
      <c r="D321" s="9">
        <v>45994</v>
      </c>
      <c r="E321" s="3">
        <v>5521.78</v>
      </c>
      <c r="F321" s="7" t="s">
        <v>369</v>
      </c>
      <c r="H321" s="9"/>
      <c r="I321" s="9"/>
    </row>
    <row r="322" spans="1:9" x14ac:dyDescent="0.3">
      <c r="A322" s="7" t="s">
        <v>5739</v>
      </c>
      <c r="B322" s="7" t="s">
        <v>327</v>
      </c>
      <c r="C322" s="9">
        <v>46020</v>
      </c>
      <c r="D322" s="9">
        <v>46050</v>
      </c>
      <c r="E322" s="3">
        <v>3440.74</v>
      </c>
      <c r="F322" s="7" t="s">
        <v>367</v>
      </c>
      <c r="H322" s="9"/>
      <c r="I322" s="9"/>
    </row>
    <row r="323" spans="1:9" x14ac:dyDescent="0.3">
      <c r="A323" s="7" t="s">
        <v>5740</v>
      </c>
      <c r="B323" s="7" t="s">
        <v>319</v>
      </c>
      <c r="C323" s="9">
        <v>45969</v>
      </c>
      <c r="D323" s="9">
        <v>45999</v>
      </c>
      <c r="E323" s="3">
        <v>1819.17</v>
      </c>
      <c r="F323" s="7" t="s">
        <v>369</v>
      </c>
      <c r="H323" s="9"/>
      <c r="I323" s="9"/>
    </row>
    <row r="324" spans="1:9" x14ac:dyDescent="0.3">
      <c r="A324" s="7" t="s">
        <v>5741</v>
      </c>
      <c r="B324" s="7" t="s">
        <v>333</v>
      </c>
      <c r="C324" s="9">
        <v>46078</v>
      </c>
      <c r="D324" s="9">
        <v>46108</v>
      </c>
      <c r="E324" s="3">
        <v>3106.08</v>
      </c>
      <c r="F324" s="7" t="s">
        <v>367</v>
      </c>
      <c r="H324" s="9"/>
      <c r="I324" s="9"/>
    </row>
    <row r="325" spans="1:9" x14ac:dyDescent="0.3">
      <c r="A325" s="7" t="s">
        <v>5742</v>
      </c>
      <c r="B325" s="7" t="s">
        <v>315</v>
      </c>
      <c r="C325" s="9">
        <v>46020</v>
      </c>
      <c r="D325" s="9">
        <v>46050</v>
      </c>
      <c r="E325" s="3">
        <v>4378.17</v>
      </c>
      <c r="F325" s="7" t="s">
        <v>367</v>
      </c>
      <c r="H325" s="9"/>
      <c r="I325" s="9"/>
    </row>
    <row r="326" spans="1:9" x14ac:dyDescent="0.3">
      <c r="A326" s="7" t="s">
        <v>5743</v>
      </c>
      <c r="B326" s="7" t="s">
        <v>276</v>
      </c>
      <c r="C326" s="9">
        <v>46019</v>
      </c>
      <c r="D326" s="9">
        <v>46049</v>
      </c>
      <c r="E326" s="3">
        <v>5980.38</v>
      </c>
      <c r="F326" s="7" t="s">
        <v>387</v>
      </c>
      <c r="H326" s="9"/>
      <c r="I326" s="9"/>
    </row>
    <row r="327" spans="1:9" x14ac:dyDescent="0.3">
      <c r="A327" s="7" t="s">
        <v>5744</v>
      </c>
      <c r="B327" s="7" t="s">
        <v>339</v>
      </c>
      <c r="C327" s="9">
        <v>45998</v>
      </c>
      <c r="D327" s="9">
        <v>46028</v>
      </c>
      <c r="E327" s="3">
        <v>6110.16</v>
      </c>
      <c r="F327" s="7" t="s">
        <v>367</v>
      </c>
      <c r="H327" s="9"/>
      <c r="I327" s="9"/>
    </row>
    <row r="328" spans="1:9" x14ac:dyDescent="0.3">
      <c r="A328" s="7" t="s">
        <v>5745</v>
      </c>
      <c r="B328" s="7" t="s">
        <v>317</v>
      </c>
      <c r="C328" s="9">
        <v>46034</v>
      </c>
      <c r="D328" s="9">
        <v>46064</v>
      </c>
      <c r="E328" s="3">
        <v>6968.39</v>
      </c>
      <c r="F328" s="7" t="s">
        <v>387</v>
      </c>
      <c r="H328" s="9"/>
      <c r="I328" s="9"/>
    </row>
    <row r="329" spans="1:9" x14ac:dyDescent="0.3">
      <c r="A329" s="7" t="s">
        <v>5746</v>
      </c>
      <c r="B329" s="7" t="s">
        <v>261</v>
      </c>
      <c r="C329" s="9">
        <v>46062</v>
      </c>
      <c r="D329" s="9">
        <v>46092</v>
      </c>
      <c r="E329" s="3">
        <v>1393.06</v>
      </c>
      <c r="F329" s="7" t="s">
        <v>387</v>
      </c>
      <c r="H329" s="9"/>
      <c r="I329" s="9"/>
    </row>
    <row r="330" spans="1:9" x14ac:dyDescent="0.3">
      <c r="A330" s="7" t="s">
        <v>5747</v>
      </c>
      <c r="B330" s="7" t="s">
        <v>315</v>
      </c>
      <c r="C330" s="9">
        <v>46055</v>
      </c>
      <c r="D330" s="9">
        <v>46085</v>
      </c>
      <c r="E330" s="3">
        <v>2465.5500000000002</v>
      </c>
      <c r="F330" s="7" t="s">
        <v>369</v>
      </c>
      <c r="H330" s="9"/>
      <c r="I330" s="9"/>
    </row>
    <row r="331" spans="1:9" x14ac:dyDescent="0.3">
      <c r="A331" s="7" t="s">
        <v>5748</v>
      </c>
      <c r="B331" s="7" t="s">
        <v>333</v>
      </c>
      <c r="C331" s="9">
        <v>46049</v>
      </c>
      <c r="D331" s="9">
        <v>46079</v>
      </c>
      <c r="E331" s="3">
        <v>956.69</v>
      </c>
      <c r="F331" s="7" t="s">
        <v>367</v>
      </c>
      <c r="H331" s="9"/>
      <c r="I331" s="9"/>
    </row>
    <row r="332" spans="1:9" x14ac:dyDescent="0.3">
      <c r="A332" s="7" t="s">
        <v>5749</v>
      </c>
      <c r="B332" s="7" t="s">
        <v>291</v>
      </c>
      <c r="C332" s="9">
        <v>45978</v>
      </c>
      <c r="D332" s="9">
        <v>46008</v>
      </c>
      <c r="E332" s="3">
        <v>5798.59</v>
      </c>
      <c r="F332" s="7" t="s">
        <v>367</v>
      </c>
      <c r="H332" s="9"/>
      <c r="I332" s="9"/>
    </row>
    <row r="333" spans="1:9" x14ac:dyDescent="0.3">
      <c r="A333" s="7" t="s">
        <v>5750</v>
      </c>
      <c r="B333" s="7" t="s">
        <v>267</v>
      </c>
      <c r="C333" s="9">
        <v>45973</v>
      </c>
      <c r="D333" s="9">
        <v>46003</v>
      </c>
      <c r="E333" s="3">
        <v>6306.67</v>
      </c>
      <c r="F333" s="7" t="s">
        <v>367</v>
      </c>
      <c r="H333" s="9"/>
      <c r="I333" s="9"/>
    </row>
    <row r="334" spans="1:9" x14ac:dyDescent="0.3">
      <c r="A334" s="7" t="s">
        <v>5751</v>
      </c>
      <c r="B334" s="7" t="s">
        <v>339</v>
      </c>
      <c r="C334" s="9">
        <v>46032</v>
      </c>
      <c r="D334" s="9">
        <v>46062</v>
      </c>
      <c r="E334" s="3">
        <v>2029.36</v>
      </c>
      <c r="F334" s="7" t="s">
        <v>367</v>
      </c>
      <c r="H334" s="9"/>
      <c r="I334" s="9"/>
    </row>
    <row r="335" spans="1:9" x14ac:dyDescent="0.3">
      <c r="A335" s="7" t="s">
        <v>5752</v>
      </c>
      <c r="B335" s="7" t="s">
        <v>287</v>
      </c>
      <c r="C335" s="9">
        <v>46057</v>
      </c>
      <c r="D335" s="9">
        <v>46087</v>
      </c>
      <c r="E335" s="3">
        <v>2373.59</v>
      </c>
      <c r="F335" s="7" t="s">
        <v>367</v>
      </c>
      <c r="H335" s="9"/>
      <c r="I335" s="9"/>
    </row>
    <row r="336" spans="1:9" x14ac:dyDescent="0.3">
      <c r="A336" s="7" t="s">
        <v>5753</v>
      </c>
      <c r="B336" s="7" t="s">
        <v>279</v>
      </c>
      <c r="C336" s="9">
        <v>45965</v>
      </c>
      <c r="D336" s="9">
        <v>45995</v>
      </c>
      <c r="E336" s="3">
        <v>6150.76</v>
      </c>
      <c r="F336" s="7" t="s">
        <v>367</v>
      </c>
      <c r="H336" s="9"/>
      <c r="I336" s="9"/>
    </row>
    <row r="337" spans="1:9" x14ac:dyDescent="0.3">
      <c r="A337" s="7" t="s">
        <v>5754</v>
      </c>
      <c r="B337" s="7" t="s">
        <v>321</v>
      </c>
      <c r="C337" s="9">
        <v>46064</v>
      </c>
      <c r="D337" s="9">
        <v>46094</v>
      </c>
      <c r="E337" s="3">
        <v>3486.03</v>
      </c>
      <c r="F337" s="7" t="s">
        <v>367</v>
      </c>
      <c r="H337" s="9"/>
      <c r="I337" s="9"/>
    </row>
    <row r="338" spans="1:9" x14ac:dyDescent="0.3">
      <c r="A338" s="7" t="s">
        <v>5755</v>
      </c>
      <c r="B338" s="7" t="s">
        <v>333</v>
      </c>
      <c r="C338" s="9">
        <v>46002</v>
      </c>
      <c r="D338" s="9">
        <v>46032</v>
      </c>
      <c r="E338" s="3">
        <v>2178.21</v>
      </c>
      <c r="F338" s="7" t="s">
        <v>367</v>
      </c>
      <c r="H338" s="9"/>
      <c r="I338" s="9"/>
    </row>
    <row r="339" spans="1:9" x14ac:dyDescent="0.3">
      <c r="A339" s="7" t="s">
        <v>5756</v>
      </c>
      <c r="B339" s="7" t="s">
        <v>305</v>
      </c>
      <c r="C339" s="9">
        <v>46048</v>
      </c>
      <c r="D339" s="9">
        <v>46078</v>
      </c>
      <c r="E339" s="3">
        <v>2412.6799999999998</v>
      </c>
      <c r="F339" s="7" t="s">
        <v>367</v>
      </c>
      <c r="H339" s="9"/>
      <c r="I339" s="9"/>
    </row>
    <row r="340" spans="1:9" x14ac:dyDescent="0.3">
      <c r="A340" s="7" t="s">
        <v>5757</v>
      </c>
      <c r="B340" s="7" t="s">
        <v>343</v>
      </c>
      <c r="C340" s="9">
        <v>46087</v>
      </c>
      <c r="D340" s="9">
        <v>46117</v>
      </c>
      <c r="E340" s="3">
        <v>5869.27</v>
      </c>
      <c r="F340" s="7" t="s">
        <v>367</v>
      </c>
      <c r="H340" s="9"/>
      <c r="I340" s="9"/>
    </row>
    <row r="341" spans="1:9" x14ac:dyDescent="0.3">
      <c r="A341" s="7" t="s">
        <v>5758</v>
      </c>
      <c r="B341" s="7" t="s">
        <v>341</v>
      </c>
      <c r="C341" s="9">
        <v>46082</v>
      </c>
      <c r="D341" s="9">
        <v>46112</v>
      </c>
      <c r="E341" s="3">
        <v>2157.6999999999998</v>
      </c>
      <c r="F341" s="7" t="s">
        <v>367</v>
      </c>
      <c r="H341" s="9"/>
      <c r="I341" s="9"/>
    </row>
    <row r="342" spans="1:9" x14ac:dyDescent="0.3">
      <c r="A342" s="7" t="s">
        <v>5759</v>
      </c>
      <c r="B342" s="7" t="s">
        <v>285</v>
      </c>
      <c r="C342" s="9">
        <v>46065</v>
      </c>
      <c r="D342" s="9">
        <v>46095</v>
      </c>
      <c r="E342" s="3">
        <v>6946.1</v>
      </c>
      <c r="F342" s="7" t="s">
        <v>367</v>
      </c>
      <c r="H342" s="9"/>
      <c r="I342" s="9"/>
    </row>
    <row r="343" spans="1:9" x14ac:dyDescent="0.3">
      <c r="A343" s="7" t="s">
        <v>5760</v>
      </c>
      <c r="B343" s="7" t="s">
        <v>285</v>
      </c>
      <c r="C343" s="9">
        <v>46007</v>
      </c>
      <c r="D343" s="9">
        <v>46037</v>
      </c>
      <c r="E343" s="3">
        <v>6347.81</v>
      </c>
      <c r="F343" s="7" t="s">
        <v>367</v>
      </c>
      <c r="H343" s="9"/>
      <c r="I343" s="9"/>
    </row>
    <row r="344" spans="1:9" x14ac:dyDescent="0.3">
      <c r="A344" s="7" t="s">
        <v>5761</v>
      </c>
      <c r="B344" s="7" t="s">
        <v>309</v>
      </c>
      <c r="C344" s="9">
        <v>46038</v>
      </c>
      <c r="D344" s="9">
        <v>46068</v>
      </c>
      <c r="E344" s="3">
        <v>4843.75</v>
      </c>
      <c r="F344" s="7" t="s">
        <v>367</v>
      </c>
      <c r="H344" s="9"/>
      <c r="I344" s="9"/>
    </row>
    <row r="345" spans="1:9" x14ac:dyDescent="0.3">
      <c r="A345" s="7" t="s">
        <v>5762</v>
      </c>
      <c r="B345" s="7" t="s">
        <v>319</v>
      </c>
      <c r="C345" s="9">
        <v>46001</v>
      </c>
      <c r="D345" s="9">
        <v>46031</v>
      </c>
      <c r="E345" s="3">
        <v>1168.9000000000001</v>
      </c>
      <c r="F345" s="7" t="s">
        <v>369</v>
      </c>
      <c r="H345" s="9"/>
      <c r="I345" s="9"/>
    </row>
    <row r="346" spans="1:9" x14ac:dyDescent="0.3">
      <c r="A346" s="7" t="s">
        <v>5763</v>
      </c>
      <c r="B346" s="7" t="s">
        <v>321</v>
      </c>
      <c r="C346" s="9">
        <v>45981</v>
      </c>
      <c r="D346" s="9">
        <v>46011</v>
      </c>
      <c r="E346" s="3">
        <v>3249.82</v>
      </c>
      <c r="F346" s="7" t="s">
        <v>367</v>
      </c>
      <c r="H346" s="9"/>
      <c r="I346" s="9"/>
    </row>
    <row r="347" spans="1:9" x14ac:dyDescent="0.3">
      <c r="A347" s="7" t="s">
        <v>5764</v>
      </c>
      <c r="B347" s="7" t="s">
        <v>285</v>
      </c>
      <c r="C347" s="9">
        <v>45985</v>
      </c>
      <c r="D347" s="9">
        <v>46015</v>
      </c>
      <c r="E347" s="3">
        <v>4228.38</v>
      </c>
      <c r="F347" s="7" t="s">
        <v>367</v>
      </c>
      <c r="H347" s="9"/>
      <c r="I347" s="9"/>
    </row>
    <row r="348" spans="1:9" x14ac:dyDescent="0.3">
      <c r="A348" s="7" t="s">
        <v>5765</v>
      </c>
      <c r="B348" s="7" t="s">
        <v>327</v>
      </c>
      <c r="C348" s="9">
        <v>46033</v>
      </c>
      <c r="D348" s="9">
        <v>46063</v>
      </c>
      <c r="E348" s="3">
        <v>2441.6</v>
      </c>
      <c r="F348" s="7" t="s">
        <v>369</v>
      </c>
      <c r="H348" s="9"/>
      <c r="I348" s="9"/>
    </row>
    <row r="349" spans="1:9" x14ac:dyDescent="0.3">
      <c r="A349" s="7" t="s">
        <v>5766</v>
      </c>
      <c r="B349" s="7" t="s">
        <v>264</v>
      </c>
      <c r="C349" s="9">
        <v>46085</v>
      </c>
      <c r="D349" s="9">
        <v>46115</v>
      </c>
      <c r="E349" s="3">
        <v>3606.39</v>
      </c>
      <c r="F349" s="7" t="s">
        <v>367</v>
      </c>
      <c r="H349" s="9"/>
      <c r="I349" s="9"/>
    </row>
    <row r="350" spans="1:9" x14ac:dyDescent="0.3">
      <c r="A350" s="7" t="s">
        <v>5767</v>
      </c>
      <c r="B350" s="7" t="s">
        <v>319</v>
      </c>
      <c r="C350" s="9">
        <v>46078</v>
      </c>
      <c r="D350" s="9">
        <v>46108</v>
      </c>
      <c r="E350" s="3">
        <v>2668.39</v>
      </c>
      <c r="F350" s="7" t="s">
        <v>367</v>
      </c>
      <c r="H350" s="9"/>
      <c r="I350" s="9"/>
    </row>
    <row r="351" spans="1:9" x14ac:dyDescent="0.3">
      <c r="A351" s="7" t="s">
        <v>5768</v>
      </c>
      <c r="B351" s="7" t="s">
        <v>311</v>
      </c>
      <c r="C351" s="9">
        <v>46022</v>
      </c>
      <c r="D351" s="9">
        <v>46052</v>
      </c>
      <c r="E351" s="3">
        <v>5471.93</v>
      </c>
      <c r="F351" s="7" t="s">
        <v>369</v>
      </c>
      <c r="H351" s="9"/>
      <c r="I351" s="9"/>
    </row>
    <row r="352" spans="1:9" x14ac:dyDescent="0.3">
      <c r="A352" s="7" t="s">
        <v>5769</v>
      </c>
      <c r="B352" s="7" t="s">
        <v>267</v>
      </c>
      <c r="C352" s="9">
        <v>46070</v>
      </c>
      <c r="D352" s="9">
        <v>46100</v>
      </c>
      <c r="E352" s="3">
        <v>4182.97</v>
      </c>
      <c r="F352" s="7" t="s">
        <v>367</v>
      </c>
      <c r="H352" s="9"/>
      <c r="I352" s="9"/>
    </row>
    <row r="353" spans="1:9" x14ac:dyDescent="0.3">
      <c r="A353" s="7" t="s">
        <v>5770</v>
      </c>
      <c r="B353" s="7" t="s">
        <v>285</v>
      </c>
      <c r="C353" s="9">
        <v>45982</v>
      </c>
      <c r="D353" s="9">
        <v>46012</v>
      </c>
      <c r="E353" s="3">
        <v>4489.1400000000003</v>
      </c>
      <c r="F353" s="7" t="s">
        <v>367</v>
      </c>
      <c r="H353" s="9"/>
      <c r="I353" s="9"/>
    </row>
    <row r="354" spans="1:9" x14ac:dyDescent="0.3">
      <c r="A354" s="7" t="s">
        <v>5771</v>
      </c>
      <c r="B354" s="7" t="s">
        <v>311</v>
      </c>
      <c r="C354" s="9">
        <v>46006</v>
      </c>
      <c r="D354" s="9">
        <v>46036</v>
      </c>
      <c r="E354" s="3">
        <v>5615.1</v>
      </c>
      <c r="F354" s="7" t="s">
        <v>369</v>
      </c>
      <c r="H354" s="9"/>
      <c r="I354" s="9"/>
    </row>
    <row r="355" spans="1:9" x14ac:dyDescent="0.3">
      <c r="A355" s="7" t="s">
        <v>5772</v>
      </c>
      <c r="B355" s="7" t="s">
        <v>343</v>
      </c>
      <c r="C355" s="9">
        <v>45975</v>
      </c>
      <c r="D355" s="9">
        <v>46005</v>
      </c>
      <c r="E355" s="3">
        <v>1001.96</v>
      </c>
      <c r="F355" s="7" t="s">
        <v>367</v>
      </c>
      <c r="H355" s="9"/>
      <c r="I355" s="9"/>
    </row>
    <row r="356" spans="1:9" x14ac:dyDescent="0.3">
      <c r="A356" s="7" t="s">
        <v>5773</v>
      </c>
      <c r="B356" s="7" t="s">
        <v>339</v>
      </c>
      <c r="C356" s="9">
        <v>46035</v>
      </c>
      <c r="D356" s="9">
        <v>46065</v>
      </c>
      <c r="E356" s="3">
        <v>2196.06</v>
      </c>
      <c r="F356" s="7" t="s">
        <v>369</v>
      </c>
      <c r="H356" s="9"/>
      <c r="I356" s="9"/>
    </row>
    <row r="357" spans="1:9" x14ac:dyDescent="0.3">
      <c r="A357" s="7" t="s">
        <v>5774</v>
      </c>
      <c r="B357" s="7" t="s">
        <v>295</v>
      </c>
      <c r="C357" s="9">
        <v>45977</v>
      </c>
      <c r="D357" s="9">
        <v>46007</v>
      </c>
      <c r="E357" s="3">
        <v>2079</v>
      </c>
      <c r="F357" s="7" t="s">
        <v>367</v>
      </c>
      <c r="H357" s="9"/>
      <c r="I357" s="9"/>
    </row>
    <row r="358" spans="1:9" x14ac:dyDescent="0.3">
      <c r="A358" s="7" t="s">
        <v>5775</v>
      </c>
      <c r="B358" s="7" t="s">
        <v>309</v>
      </c>
      <c r="C358" s="9">
        <v>46019</v>
      </c>
      <c r="D358" s="9">
        <v>46049</v>
      </c>
      <c r="E358" s="3">
        <v>1216.8599999999999</v>
      </c>
      <c r="F358" s="7" t="s">
        <v>367</v>
      </c>
      <c r="H358" s="9"/>
      <c r="I358" s="9"/>
    </row>
    <row r="359" spans="1:9" x14ac:dyDescent="0.3">
      <c r="A359" s="7" t="s">
        <v>5776</v>
      </c>
      <c r="B359" s="7" t="s">
        <v>307</v>
      </c>
      <c r="C359" s="9">
        <v>45992</v>
      </c>
      <c r="D359" s="9">
        <v>46022</v>
      </c>
      <c r="E359" s="3">
        <v>2933.13</v>
      </c>
      <c r="F359" s="7" t="s">
        <v>387</v>
      </c>
      <c r="H359" s="9"/>
      <c r="I359" s="9"/>
    </row>
    <row r="360" spans="1:9" x14ac:dyDescent="0.3">
      <c r="A360" s="7" t="s">
        <v>5777</v>
      </c>
      <c r="B360" s="7" t="s">
        <v>293</v>
      </c>
      <c r="C360" s="9">
        <v>46035</v>
      </c>
      <c r="D360" s="9">
        <v>46065</v>
      </c>
      <c r="E360" s="3">
        <v>6933.73</v>
      </c>
      <c r="F360" s="7" t="s">
        <v>367</v>
      </c>
      <c r="H360" s="9"/>
      <c r="I360" s="9"/>
    </row>
    <row r="361" spans="1:9" x14ac:dyDescent="0.3">
      <c r="A361" s="7" t="s">
        <v>5778</v>
      </c>
      <c r="B361" s="7" t="s">
        <v>267</v>
      </c>
      <c r="C361" s="9">
        <v>45968</v>
      </c>
      <c r="D361" s="9">
        <v>45998</v>
      </c>
      <c r="E361" s="3">
        <v>2201.4299999999998</v>
      </c>
      <c r="F361" s="7" t="s">
        <v>367</v>
      </c>
      <c r="H361" s="9"/>
      <c r="I361" s="9"/>
    </row>
    <row r="362" spans="1:9" x14ac:dyDescent="0.3">
      <c r="A362" s="7" t="s">
        <v>5779</v>
      </c>
      <c r="B362" s="7" t="s">
        <v>335</v>
      </c>
      <c r="C362" s="9">
        <v>46070</v>
      </c>
      <c r="D362" s="9">
        <v>46100</v>
      </c>
      <c r="E362" s="3">
        <v>2565.9899999999998</v>
      </c>
      <c r="F362" s="7" t="s">
        <v>369</v>
      </c>
      <c r="H362" s="9"/>
      <c r="I362" s="9"/>
    </row>
    <row r="363" spans="1:9" x14ac:dyDescent="0.3">
      <c r="A363" s="7" t="s">
        <v>5780</v>
      </c>
      <c r="B363" s="7" t="s">
        <v>295</v>
      </c>
      <c r="C363" s="9">
        <v>45997</v>
      </c>
      <c r="D363" s="9">
        <v>46027</v>
      </c>
      <c r="E363" s="3">
        <v>1995.04</v>
      </c>
      <c r="F363" s="7" t="s">
        <v>367</v>
      </c>
      <c r="H363" s="9"/>
      <c r="I363" s="9"/>
    </row>
    <row r="364" spans="1:9" x14ac:dyDescent="0.3">
      <c r="A364" s="7" t="s">
        <v>5781</v>
      </c>
      <c r="B364" s="7" t="s">
        <v>315</v>
      </c>
      <c r="C364" s="9">
        <v>46057</v>
      </c>
      <c r="D364" s="9">
        <v>46087</v>
      </c>
      <c r="E364" s="3">
        <v>6498.65</v>
      </c>
      <c r="F364" s="7" t="s">
        <v>367</v>
      </c>
      <c r="H364" s="9"/>
      <c r="I364" s="9"/>
    </row>
    <row r="365" spans="1:9" x14ac:dyDescent="0.3">
      <c r="A365" s="7" t="s">
        <v>5782</v>
      </c>
      <c r="B365" s="7" t="s">
        <v>333</v>
      </c>
      <c r="C365" s="9">
        <v>46049</v>
      </c>
      <c r="D365" s="9">
        <v>46079</v>
      </c>
      <c r="E365" s="3">
        <v>965.24</v>
      </c>
      <c r="F365" s="7" t="s">
        <v>367</v>
      </c>
      <c r="H365" s="9"/>
      <c r="I365" s="9"/>
    </row>
    <row r="366" spans="1:9" x14ac:dyDescent="0.3">
      <c r="A366" s="7" t="s">
        <v>5783</v>
      </c>
      <c r="B366" s="7" t="s">
        <v>293</v>
      </c>
      <c r="C366" s="9">
        <v>45977</v>
      </c>
      <c r="D366" s="9">
        <v>46007</v>
      </c>
      <c r="E366" s="3">
        <v>1559.18</v>
      </c>
      <c r="F366" s="7" t="s">
        <v>369</v>
      </c>
      <c r="H366" s="9"/>
      <c r="I366" s="9"/>
    </row>
    <row r="367" spans="1:9" x14ac:dyDescent="0.3">
      <c r="A367" s="7" t="s">
        <v>5784</v>
      </c>
      <c r="B367" s="7" t="s">
        <v>299</v>
      </c>
      <c r="C367" s="9">
        <v>46079</v>
      </c>
      <c r="D367" s="9">
        <v>46109</v>
      </c>
      <c r="E367" s="3">
        <v>1360.89</v>
      </c>
      <c r="F367" s="7" t="s">
        <v>369</v>
      </c>
      <c r="H367" s="9"/>
      <c r="I367" s="9"/>
    </row>
    <row r="368" spans="1:9" x14ac:dyDescent="0.3">
      <c r="A368" s="7" t="s">
        <v>5785</v>
      </c>
      <c r="B368" s="7" t="s">
        <v>307</v>
      </c>
      <c r="C368" s="9">
        <v>46064</v>
      </c>
      <c r="D368" s="9">
        <v>46094</v>
      </c>
      <c r="E368" s="3">
        <v>5458.41</v>
      </c>
      <c r="F368" s="7" t="s">
        <v>367</v>
      </c>
      <c r="H368" s="9"/>
      <c r="I368" s="9"/>
    </row>
    <row r="369" spans="1:9" x14ac:dyDescent="0.3">
      <c r="A369" s="7" t="s">
        <v>5786</v>
      </c>
      <c r="B369" s="7" t="s">
        <v>341</v>
      </c>
      <c r="C369" s="9">
        <v>46005</v>
      </c>
      <c r="D369" s="9">
        <v>46035</v>
      </c>
      <c r="E369" s="3">
        <v>4611.6899999999996</v>
      </c>
      <c r="F369" s="7" t="s">
        <v>387</v>
      </c>
      <c r="H369" s="9"/>
      <c r="I369" s="9"/>
    </row>
    <row r="370" spans="1:9" x14ac:dyDescent="0.3">
      <c r="A370" s="7" t="s">
        <v>5787</v>
      </c>
      <c r="B370" s="7" t="s">
        <v>295</v>
      </c>
      <c r="C370" s="9">
        <v>46028</v>
      </c>
      <c r="D370" s="9">
        <v>46058</v>
      </c>
      <c r="E370" s="3">
        <v>6795.28</v>
      </c>
      <c r="F370" s="7" t="s">
        <v>367</v>
      </c>
      <c r="H370" s="9"/>
      <c r="I370" s="9"/>
    </row>
    <row r="371" spans="1:9" x14ac:dyDescent="0.3">
      <c r="A371" s="7" t="s">
        <v>5788</v>
      </c>
      <c r="B371" s="7" t="s">
        <v>323</v>
      </c>
      <c r="C371" s="9">
        <v>45995</v>
      </c>
      <c r="D371" s="9">
        <v>46025</v>
      </c>
      <c r="E371" s="3">
        <v>2715.74</v>
      </c>
      <c r="F371" s="7" t="s">
        <v>367</v>
      </c>
      <c r="H371" s="9"/>
      <c r="I371" s="9"/>
    </row>
    <row r="372" spans="1:9" x14ac:dyDescent="0.3">
      <c r="A372" s="7" t="s">
        <v>5789</v>
      </c>
      <c r="B372" s="7" t="s">
        <v>261</v>
      </c>
      <c r="C372" s="9">
        <v>46010</v>
      </c>
      <c r="D372" s="9">
        <v>46040</v>
      </c>
      <c r="E372" s="3">
        <v>3180.37</v>
      </c>
      <c r="F372" s="7" t="s">
        <v>367</v>
      </c>
      <c r="H372" s="9"/>
      <c r="I372" s="9"/>
    </row>
    <row r="373" spans="1:9" x14ac:dyDescent="0.3">
      <c r="A373" s="7" t="s">
        <v>5790</v>
      </c>
      <c r="B373" s="7" t="s">
        <v>274</v>
      </c>
      <c r="C373" s="9">
        <v>46053</v>
      </c>
      <c r="D373" s="9">
        <v>46083</v>
      </c>
      <c r="E373" s="3">
        <v>4311.41</v>
      </c>
      <c r="F373" s="7" t="s">
        <v>369</v>
      </c>
      <c r="H373" s="9"/>
      <c r="I373" s="9"/>
    </row>
    <row r="374" spans="1:9" x14ac:dyDescent="0.3">
      <c r="A374" s="7" t="s">
        <v>5791</v>
      </c>
      <c r="B374" s="7" t="s">
        <v>276</v>
      </c>
      <c r="C374" s="9">
        <v>46081</v>
      </c>
      <c r="D374" s="9">
        <v>46111</v>
      </c>
      <c r="E374" s="3">
        <v>4432.93</v>
      </c>
      <c r="F374" s="7" t="s">
        <v>367</v>
      </c>
      <c r="H374" s="9"/>
      <c r="I374" s="9"/>
    </row>
    <row r="375" spans="1:9" x14ac:dyDescent="0.3">
      <c r="A375" s="7" t="s">
        <v>5792</v>
      </c>
      <c r="B375" s="7" t="s">
        <v>293</v>
      </c>
      <c r="C375" s="9">
        <v>46044</v>
      </c>
      <c r="D375" s="9">
        <v>46074</v>
      </c>
      <c r="E375" s="3">
        <v>1419.22</v>
      </c>
      <c r="F375" s="7" t="s">
        <v>367</v>
      </c>
      <c r="H375" s="9"/>
      <c r="I375" s="9"/>
    </row>
    <row r="376" spans="1:9" x14ac:dyDescent="0.3">
      <c r="A376" s="7" t="s">
        <v>5793</v>
      </c>
      <c r="B376" s="7" t="s">
        <v>281</v>
      </c>
      <c r="C376" s="9">
        <v>46057</v>
      </c>
      <c r="D376" s="9">
        <v>46087</v>
      </c>
      <c r="E376" s="3">
        <v>6653.76</v>
      </c>
      <c r="F376" s="7" t="s">
        <v>369</v>
      </c>
      <c r="H376" s="9"/>
      <c r="I376" s="9"/>
    </row>
    <row r="377" spans="1:9" x14ac:dyDescent="0.3">
      <c r="A377" s="7" t="s">
        <v>5794</v>
      </c>
      <c r="B377" s="7" t="s">
        <v>305</v>
      </c>
      <c r="C377" s="9">
        <v>46016</v>
      </c>
      <c r="D377" s="9">
        <v>46046</v>
      </c>
      <c r="E377" s="3">
        <v>1737.1</v>
      </c>
      <c r="F377" s="7" t="s">
        <v>369</v>
      </c>
      <c r="H377" s="9"/>
      <c r="I377" s="9"/>
    </row>
    <row r="378" spans="1:9" x14ac:dyDescent="0.3">
      <c r="A378" s="7" t="s">
        <v>5795</v>
      </c>
      <c r="B378" s="7" t="s">
        <v>297</v>
      </c>
      <c r="C378" s="9">
        <v>46073</v>
      </c>
      <c r="D378" s="9">
        <v>46103</v>
      </c>
      <c r="E378" s="3">
        <v>3175.19</v>
      </c>
      <c r="F378" s="7" t="s">
        <v>369</v>
      </c>
      <c r="H378" s="9"/>
      <c r="I378" s="9"/>
    </row>
    <row r="379" spans="1:9" x14ac:dyDescent="0.3">
      <c r="A379" s="7" t="s">
        <v>5796</v>
      </c>
      <c r="B379" s="7" t="s">
        <v>264</v>
      </c>
      <c r="C379" s="9">
        <v>46062</v>
      </c>
      <c r="D379" s="9">
        <v>46092</v>
      </c>
      <c r="E379" s="3">
        <v>6320.21</v>
      </c>
      <c r="F379" s="7" t="s">
        <v>367</v>
      </c>
      <c r="H379" s="9"/>
      <c r="I379" s="9"/>
    </row>
    <row r="380" spans="1:9" x14ac:dyDescent="0.3">
      <c r="A380" s="7" t="s">
        <v>5797</v>
      </c>
      <c r="B380" s="7" t="s">
        <v>264</v>
      </c>
      <c r="C380" s="9">
        <v>46088</v>
      </c>
      <c r="D380" s="9">
        <v>46118</v>
      </c>
      <c r="E380" s="3">
        <v>827.96</v>
      </c>
      <c r="F380" s="7" t="s">
        <v>367</v>
      </c>
      <c r="H380" s="9"/>
      <c r="I380" s="9"/>
    </row>
    <row r="381" spans="1:9" x14ac:dyDescent="0.3">
      <c r="A381" s="7" t="s">
        <v>5798</v>
      </c>
      <c r="B381" s="7" t="s">
        <v>333</v>
      </c>
      <c r="C381" s="9">
        <v>45970</v>
      </c>
      <c r="D381" s="9">
        <v>46000</v>
      </c>
      <c r="E381" s="3">
        <v>6394.79</v>
      </c>
      <c r="F381" s="7" t="s">
        <v>367</v>
      </c>
      <c r="H381" s="9"/>
      <c r="I381" s="9"/>
    </row>
    <row r="382" spans="1:9" x14ac:dyDescent="0.3">
      <c r="A382" s="7" t="s">
        <v>5799</v>
      </c>
      <c r="B382" s="7" t="s">
        <v>269</v>
      </c>
      <c r="C382" s="9">
        <v>46091</v>
      </c>
      <c r="D382" s="9">
        <v>46121</v>
      </c>
      <c r="E382" s="3">
        <v>1984.52</v>
      </c>
      <c r="F382" s="7" t="s">
        <v>369</v>
      </c>
      <c r="H382" s="9"/>
      <c r="I382" s="9"/>
    </row>
    <row r="383" spans="1:9" x14ac:dyDescent="0.3">
      <c r="A383" s="7" t="s">
        <v>5800</v>
      </c>
      <c r="B383" s="7" t="s">
        <v>293</v>
      </c>
      <c r="C383" s="9">
        <v>46084</v>
      </c>
      <c r="D383" s="9">
        <v>46114</v>
      </c>
      <c r="E383" s="3">
        <v>6132.37</v>
      </c>
      <c r="F383" s="7" t="s">
        <v>367</v>
      </c>
      <c r="H383" s="9"/>
      <c r="I383" s="9"/>
    </row>
    <row r="384" spans="1:9" x14ac:dyDescent="0.3">
      <c r="A384" s="7" t="s">
        <v>5801</v>
      </c>
      <c r="B384" s="7" t="s">
        <v>299</v>
      </c>
      <c r="C384" s="9">
        <v>46017</v>
      </c>
      <c r="D384" s="9">
        <v>46047</v>
      </c>
      <c r="E384" s="3">
        <v>2101.2800000000002</v>
      </c>
      <c r="F384" s="7" t="s">
        <v>369</v>
      </c>
      <c r="H384" s="9"/>
      <c r="I384" s="9"/>
    </row>
    <row r="385" spans="1:9" x14ac:dyDescent="0.3">
      <c r="A385" s="7" t="s">
        <v>5802</v>
      </c>
      <c r="B385" s="7" t="s">
        <v>276</v>
      </c>
      <c r="C385" s="9">
        <v>45997</v>
      </c>
      <c r="D385" s="9">
        <v>46027</v>
      </c>
      <c r="E385" s="3">
        <v>2656.98</v>
      </c>
      <c r="F385" s="7" t="s">
        <v>367</v>
      </c>
      <c r="H385" s="9"/>
      <c r="I385" s="9"/>
    </row>
    <row r="386" spans="1:9" x14ac:dyDescent="0.3">
      <c r="A386" s="7" t="s">
        <v>5803</v>
      </c>
      <c r="B386" s="7" t="s">
        <v>321</v>
      </c>
      <c r="C386" s="9">
        <v>45971</v>
      </c>
      <c r="D386" s="9">
        <v>46001</v>
      </c>
      <c r="E386" s="3">
        <v>3807.71</v>
      </c>
      <c r="F386" s="7" t="s">
        <v>367</v>
      </c>
      <c r="H386" s="9"/>
      <c r="I386" s="9"/>
    </row>
    <row r="387" spans="1:9" x14ac:dyDescent="0.3">
      <c r="A387" s="7" t="s">
        <v>5804</v>
      </c>
      <c r="B387" s="7" t="s">
        <v>297</v>
      </c>
      <c r="C387" s="9">
        <v>46020</v>
      </c>
      <c r="D387" s="9">
        <v>46050</v>
      </c>
      <c r="E387" s="3">
        <v>3690.05</v>
      </c>
      <c r="F387" s="7" t="s">
        <v>387</v>
      </c>
      <c r="H387" s="9"/>
      <c r="I387" s="9"/>
    </row>
    <row r="388" spans="1:9" x14ac:dyDescent="0.3">
      <c r="A388" s="7" t="s">
        <v>5805</v>
      </c>
      <c r="B388" s="7" t="s">
        <v>297</v>
      </c>
      <c r="C388" s="9">
        <v>46044</v>
      </c>
      <c r="D388" s="9">
        <v>46074</v>
      </c>
      <c r="E388" s="3">
        <v>6131.81</v>
      </c>
      <c r="F388" s="7" t="s">
        <v>367</v>
      </c>
      <c r="H388" s="9"/>
      <c r="I388" s="9"/>
    </row>
    <row r="389" spans="1:9" x14ac:dyDescent="0.3">
      <c r="A389" s="7" t="s">
        <v>5806</v>
      </c>
      <c r="B389" s="7" t="s">
        <v>333</v>
      </c>
      <c r="C389" s="9">
        <v>46046</v>
      </c>
      <c r="D389" s="9">
        <v>46076</v>
      </c>
      <c r="E389" s="3">
        <v>2264.86</v>
      </c>
      <c r="F389" s="7" t="s">
        <v>369</v>
      </c>
      <c r="H389" s="9"/>
      <c r="I389" s="9"/>
    </row>
    <row r="390" spans="1:9" x14ac:dyDescent="0.3">
      <c r="A390" s="7" t="s">
        <v>5807</v>
      </c>
      <c r="B390" s="7" t="s">
        <v>305</v>
      </c>
      <c r="C390" s="9">
        <v>46062</v>
      </c>
      <c r="D390" s="9">
        <v>46092</v>
      </c>
      <c r="E390" s="3">
        <v>5142.55</v>
      </c>
      <c r="F390" s="7" t="s">
        <v>367</v>
      </c>
      <c r="H390" s="9"/>
      <c r="I390" s="9"/>
    </row>
    <row r="391" spans="1:9" x14ac:dyDescent="0.3">
      <c r="A391" s="7" t="s">
        <v>5808</v>
      </c>
      <c r="B391" s="7" t="s">
        <v>287</v>
      </c>
      <c r="C391" s="9">
        <v>45999</v>
      </c>
      <c r="D391" s="9">
        <v>46029</v>
      </c>
      <c r="E391" s="3">
        <v>5362.91</v>
      </c>
      <c r="F391" s="7" t="s">
        <v>387</v>
      </c>
      <c r="H391" s="9"/>
      <c r="I391" s="9"/>
    </row>
    <row r="392" spans="1:9" x14ac:dyDescent="0.3">
      <c r="A392" s="7" t="s">
        <v>5809</v>
      </c>
      <c r="B392" s="7" t="s">
        <v>325</v>
      </c>
      <c r="C392" s="9">
        <v>46017</v>
      </c>
      <c r="D392" s="9">
        <v>46047</v>
      </c>
      <c r="E392" s="3">
        <v>3854.36</v>
      </c>
      <c r="F392" s="7" t="s">
        <v>367</v>
      </c>
      <c r="H392" s="9"/>
      <c r="I392" s="9"/>
    </row>
    <row r="393" spans="1:9" x14ac:dyDescent="0.3">
      <c r="A393" s="7" t="s">
        <v>5810</v>
      </c>
      <c r="B393" s="7" t="s">
        <v>337</v>
      </c>
      <c r="C393" s="9">
        <v>45966</v>
      </c>
      <c r="D393" s="9">
        <v>45996</v>
      </c>
      <c r="E393" s="3">
        <v>2029.3</v>
      </c>
      <c r="F393" s="7" t="s">
        <v>367</v>
      </c>
      <c r="H393" s="9"/>
      <c r="I393" s="9"/>
    </row>
    <row r="394" spans="1:9" x14ac:dyDescent="0.3">
      <c r="A394" s="7" t="s">
        <v>5811</v>
      </c>
      <c r="B394" s="7" t="s">
        <v>339</v>
      </c>
      <c r="C394" s="9">
        <v>46046</v>
      </c>
      <c r="D394" s="9">
        <v>46076</v>
      </c>
      <c r="E394" s="3">
        <v>4455.32</v>
      </c>
      <c r="F394" s="7" t="s">
        <v>367</v>
      </c>
      <c r="H394" s="9"/>
      <c r="I394" s="9"/>
    </row>
    <row r="395" spans="1:9" x14ac:dyDescent="0.3">
      <c r="A395" s="7" t="s">
        <v>5812</v>
      </c>
      <c r="B395" s="7" t="s">
        <v>309</v>
      </c>
      <c r="C395" s="9">
        <v>46086</v>
      </c>
      <c r="D395" s="9">
        <v>46116</v>
      </c>
      <c r="E395" s="3">
        <v>6210.16</v>
      </c>
      <c r="F395" s="7" t="s">
        <v>369</v>
      </c>
      <c r="H395" s="9"/>
      <c r="I395" s="9"/>
    </row>
    <row r="396" spans="1:9" x14ac:dyDescent="0.3">
      <c r="A396" s="7" t="s">
        <v>5813</v>
      </c>
      <c r="B396" s="7" t="s">
        <v>323</v>
      </c>
      <c r="C396" s="9">
        <v>46090</v>
      </c>
      <c r="D396" s="9">
        <v>46120</v>
      </c>
      <c r="E396" s="3">
        <v>5241.75</v>
      </c>
      <c r="F396" s="7" t="s">
        <v>367</v>
      </c>
      <c r="H396" s="9"/>
      <c r="I396" s="9"/>
    </row>
    <row r="397" spans="1:9" x14ac:dyDescent="0.3">
      <c r="A397" s="7" t="s">
        <v>5814</v>
      </c>
      <c r="B397" s="7" t="s">
        <v>269</v>
      </c>
      <c r="C397" s="9">
        <v>46031</v>
      </c>
      <c r="D397" s="9">
        <v>46061</v>
      </c>
      <c r="E397" s="3">
        <v>6277.21</v>
      </c>
      <c r="F397" s="7" t="s">
        <v>367</v>
      </c>
      <c r="H397" s="9"/>
      <c r="I397" s="9"/>
    </row>
    <row r="398" spans="1:9" x14ac:dyDescent="0.3">
      <c r="A398" s="7" t="s">
        <v>5815</v>
      </c>
      <c r="B398" s="7" t="s">
        <v>331</v>
      </c>
      <c r="C398" s="9">
        <v>45964</v>
      </c>
      <c r="D398" s="9">
        <v>45994</v>
      </c>
      <c r="E398" s="3">
        <v>4088.51</v>
      </c>
      <c r="F398" s="7" t="s">
        <v>369</v>
      </c>
      <c r="H398" s="9"/>
      <c r="I398" s="9"/>
    </row>
    <row r="399" spans="1:9" x14ac:dyDescent="0.3">
      <c r="A399" s="7" t="s">
        <v>5816</v>
      </c>
      <c r="B399" s="7" t="s">
        <v>305</v>
      </c>
      <c r="C399" s="9">
        <v>46018</v>
      </c>
      <c r="D399" s="9">
        <v>46048</v>
      </c>
      <c r="E399" s="3">
        <v>5136.72</v>
      </c>
      <c r="F399" s="7" t="s">
        <v>369</v>
      </c>
      <c r="H399" s="9"/>
      <c r="I399" s="9"/>
    </row>
    <row r="400" spans="1:9" x14ac:dyDescent="0.3">
      <c r="A400" s="7" t="s">
        <v>5817</v>
      </c>
      <c r="B400" s="7" t="s">
        <v>315</v>
      </c>
      <c r="C400" s="9">
        <v>46066</v>
      </c>
      <c r="D400" s="9">
        <v>46096</v>
      </c>
      <c r="E400" s="3">
        <v>5688.92</v>
      </c>
      <c r="F400" s="7" t="s">
        <v>367</v>
      </c>
      <c r="H400" s="9"/>
      <c r="I400" s="9"/>
    </row>
    <row r="401" spans="1:9" x14ac:dyDescent="0.3">
      <c r="A401" s="7" t="s">
        <v>5818</v>
      </c>
      <c r="B401" s="7" t="s">
        <v>315</v>
      </c>
      <c r="C401" s="9">
        <v>46061</v>
      </c>
      <c r="D401" s="9">
        <v>46091</v>
      </c>
      <c r="E401" s="3">
        <v>3789.98</v>
      </c>
      <c r="F401" s="7" t="s">
        <v>367</v>
      </c>
      <c r="H401" s="9"/>
      <c r="I401" s="9"/>
    </row>
    <row r="402" spans="1:9" x14ac:dyDescent="0.3">
      <c r="A402" s="7" t="s">
        <v>5819</v>
      </c>
      <c r="B402" s="7" t="s">
        <v>311</v>
      </c>
      <c r="C402" s="9">
        <v>46031</v>
      </c>
      <c r="D402" s="9">
        <v>46061</v>
      </c>
      <c r="E402" s="3">
        <v>2691.89</v>
      </c>
      <c r="F402" s="7" t="s">
        <v>367</v>
      </c>
      <c r="H402" s="9"/>
      <c r="I402" s="9"/>
    </row>
    <row r="403" spans="1:9" x14ac:dyDescent="0.3">
      <c r="A403" s="7" t="s">
        <v>5820</v>
      </c>
      <c r="B403" s="7" t="s">
        <v>305</v>
      </c>
      <c r="C403" s="9">
        <v>46048</v>
      </c>
      <c r="D403" s="9">
        <v>46078</v>
      </c>
      <c r="E403" s="3">
        <v>5370.11</v>
      </c>
      <c r="F403" s="7" t="s">
        <v>367</v>
      </c>
      <c r="H403" s="9"/>
      <c r="I403" s="9"/>
    </row>
    <row r="404" spans="1:9" x14ac:dyDescent="0.3">
      <c r="A404" s="7" t="s">
        <v>5821</v>
      </c>
      <c r="B404" s="7" t="s">
        <v>285</v>
      </c>
      <c r="C404" s="9">
        <v>46002</v>
      </c>
      <c r="D404" s="9">
        <v>46032</v>
      </c>
      <c r="E404" s="3">
        <v>4243.78</v>
      </c>
      <c r="F404" s="7" t="s">
        <v>367</v>
      </c>
      <c r="H404" s="9"/>
      <c r="I404" s="9"/>
    </row>
    <row r="405" spans="1:9" x14ac:dyDescent="0.3">
      <c r="A405" s="7" t="s">
        <v>5822</v>
      </c>
      <c r="B405" s="7" t="s">
        <v>261</v>
      </c>
      <c r="C405" s="9">
        <v>46088</v>
      </c>
      <c r="D405" s="9">
        <v>46118</v>
      </c>
      <c r="E405" s="3">
        <v>5480.89</v>
      </c>
      <c r="F405" s="7" t="s">
        <v>367</v>
      </c>
      <c r="H405" s="9"/>
      <c r="I405" s="9"/>
    </row>
    <row r="406" spans="1:9" x14ac:dyDescent="0.3">
      <c r="A406" s="7" t="s">
        <v>5823</v>
      </c>
      <c r="B406" s="7" t="s">
        <v>315</v>
      </c>
      <c r="C406" s="9">
        <v>45965</v>
      </c>
      <c r="D406" s="9">
        <v>45995</v>
      </c>
      <c r="E406" s="3">
        <v>1841.62</v>
      </c>
      <c r="F406" s="7" t="s">
        <v>369</v>
      </c>
      <c r="H406" s="9"/>
      <c r="I406" s="9"/>
    </row>
    <row r="407" spans="1:9" x14ac:dyDescent="0.3">
      <c r="A407" s="7" t="s">
        <v>5824</v>
      </c>
      <c r="B407" s="7" t="s">
        <v>287</v>
      </c>
      <c r="C407" s="9">
        <v>46089</v>
      </c>
      <c r="D407" s="9">
        <v>46119</v>
      </c>
      <c r="E407" s="3">
        <v>4225.32</v>
      </c>
      <c r="F407" s="7" t="s">
        <v>367</v>
      </c>
      <c r="H407" s="9"/>
      <c r="I407" s="9"/>
    </row>
    <row r="408" spans="1:9" x14ac:dyDescent="0.3">
      <c r="A408" s="7" t="s">
        <v>5825</v>
      </c>
      <c r="B408" s="7" t="s">
        <v>287</v>
      </c>
      <c r="C408" s="9">
        <v>46038</v>
      </c>
      <c r="D408" s="9">
        <v>46068</v>
      </c>
      <c r="E408" s="3">
        <v>4805.9399999999996</v>
      </c>
      <c r="F408" s="7" t="s">
        <v>367</v>
      </c>
      <c r="H408" s="9"/>
      <c r="I408" s="9"/>
    </row>
    <row r="409" spans="1:9" x14ac:dyDescent="0.3">
      <c r="A409" s="7" t="s">
        <v>5826</v>
      </c>
      <c r="B409" s="7" t="s">
        <v>295</v>
      </c>
      <c r="C409" s="9">
        <v>45967</v>
      </c>
      <c r="D409" s="9">
        <v>45997</v>
      </c>
      <c r="E409" s="3">
        <v>6516.76</v>
      </c>
      <c r="F409" s="7" t="s">
        <v>367</v>
      </c>
      <c r="H409" s="9"/>
      <c r="I409" s="9"/>
    </row>
    <row r="410" spans="1:9" x14ac:dyDescent="0.3">
      <c r="A410" s="7" t="s">
        <v>5827</v>
      </c>
      <c r="B410" s="7" t="s">
        <v>287</v>
      </c>
      <c r="C410" s="9">
        <v>46036</v>
      </c>
      <c r="D410" s="9">
        <v>46066</v>
      </c>
      <c r="E410" s="3">
        <v>4482.93</v>
      </c>
      <c r="F410" s="7" t="s">
        <v>369</v>
      </c>
      <c r="H410" s="9"/>
      <c r="I410" s="9"/>
    </row>
    <row r="411" spans="1:9" x14ac:dyDescent="0.3">
      <c r="A411" s="7" t="s">
        <v>5828</v>
      </c>
      <c r="B411" s="7" t="s">
        <v>317</v>
      </c>
      <c r="C411" s="9">
        <v>46049</v>
      </c>
      <c r="D411" s="9">
        <v>46079</v>
      </c>
      <c r="E411" s="3">
        <v>3245.4</v>
      </c>
      <c r="F411" s="7" t="s">
        <v>369</v>
      </c>
      <c r="H411" s="9"/>
      <c r="I411" s="9"/>
    </row>
    <row r="412" spans="1:9" x14ac:dyDescent="0.3">
      <c r="A412" s="7" t="s">
        <v>5829</v>
      </c>
      <c r="B412" s="7" t="s">
        <v>281</v>
      </c>
      <c r="C412" s="9">
        <v>45986</v>
      </c>
      <c r="D412" s="9">
        <v>46016</v>
      </c>
      <c r="E412" s="3">
        <v>3341.44</v>
      </c>
      <c r="F412" s="7" t="s">
        <v>367</v>
      </c>
      <c r="H412" s="9"/>
      <c r="I412" s="9"/>
    </row>
    <row r="413" spans="1:9" x14ac:dyDescent="0.3">
      <c r="A413" s="7" t="s">
        <v>5830</v>
      </c>
      <c r="B413" s="7" t="s">
        <v>269</v>
      </c>
      <c r="C413" s="9">
        <v>45984</v>
      </c>
      <c r="D413" s="9">
        <v>46014</v>
      </c>
      <c r="E413" s="3">
        <v>6769.81</v>
      </c>
      <c r="F413" s="7" t="s">
        <v>367</v>
      </c>
      <c r="H413" s="9"/>
      <c r="I413" s="9"/>
    </row>
    <row r="414" spans="1:9" x14ac:dyDescent="0.3">
      <c r="A414" s="7" t="s">
        <v>5831</v>
      </c>
      <c r="B414" s="7" t="s">
        <v>272</v>
      </c>
      <c r="C414" s="9">
        <v>46031</v>
      </c>
      <c r="D414" s="9">
        <v>46061</v>
      </c>
      <c r="E414" s="3">
        <v>3758.73</v>
      </c>
      <c r="F414" s="7" t="s">
        <v>367</v>
      </c>
      <c r="H414" s="9"/>
      <c r="I414" s="9"/>
    </row>
    <row r="415" spans="1:9" x14ac:dyDescent="0.3">
      <c r="A415" s="7" t="s">
        <v>5832</v>
      </c>
      <c r="B415" s="7" t="s">
        <v>293</v>
      </c>
      <c r="C415" s="9">
        <v>46076</v>
      </c>
      <c r="D415" s="9">
        <v>46106</v>
      </c>
      <c r="E415" s="3">
        <v>4610.04</v>
      </c>
      <c r="F415" s="7" t="s">
        <v>367</v>
      </c>
      <c r="H415" s="9"/>
      <c r="I415" s="9"/>
    </row>
    <row r="416" spans="1:9" x14ac:dyDescent="0.3">
      <c r="A416" s="7" t="s">
        <v>5833</v>
      </c>
      <c r="B416" s="7" t="s">
        <v>337</v>
      </c>
      <c r="C416" s="9">
        <v>46043</v>
      </c>
      <c r="D416" s="9">
        <v>46073</v>
      </c>
      <c r="E416" s="3">
        <v>2161.56</v>
      </c>
      <c r="F416" s="7" t="s">
        <v>367</v>
      </c>
      <c r="H416" s="9"/>
      <c r="I416" s="9"/>
    </row>
    <row r="417" spans="1:9" x14ac:dyDescent="0.3">
      <c r="A417" s="7" t="s">
        <v>5834</v>
      </c>
      <c r="B417" s="7" t="s">
        <v>343</v>
      </c>
      <c r="C417" s="9">
        <v>46070</v>
      </c>
      <c r="D417" s="9">
        <v>46100</v>
      </c>
      <c r="E417" s="3">
        <v>1901.35</v>
      </c>
      <c r="F417" s="7" t="s">
        <v>367</v>
      </c>
      <c r="H417" s="9"/>
      <c r="I417" s="9"/>
    </row>
    <row r="418" spans="1:9" x14ac:dyDescent="0.3">
      <c r="A418" s="7" t="s">
        <v>5835</v>
      </c>
      <c r="B418" s="7" t="s">
        <v>274</v>
      </c>
      <c r="C418" s="9">
        <v>46045</v>
      </c>
      <c r="D418" s="9">
        <v>46075</v>
      </c>
      <c r="E418" s="3">
        <v>1338.43</v>
      </c>
      <c r="F418" s="7" t="s">
        <v>367</v>
      </c>
      <c r="H418" s="9"/>
      <c r="I418" s="9"/>
    </row>
    <row r="419" spans="1:9" x14ac:dyDescent="0.3">
      <c r="A419" s="7" t="s">
        <v>5836</v>
      </c>
      <c r="B419" s="7" t="s">
        <v>267</v>
      </c>
      <c r="C419" s="9">
        <v>46083</v>
      </c>
      <c r="D419" s="9">
        <v>46113</v>
      </c>
      <c r="E419" s="3">
        <v>3403.21</v>
      </c>
      <c r="F419" s="7" t="s">
        <v>367</v>
      </c>
      <c r="H419" s="9"/>
      <c r="I419" s="9"/>
    </row>
    <row r="420" spans="1:9" x14ac:dyDescent="0.3">
      <c r="A420" s="7" t="s">
        <v>5837</v>
      </c>
      <c r="B420" s="7" t="s">
        <v>323</v>
      </c>
      <c r="C420" s="9">
        <v>45972</v>
      </c>
      <c r="D420" s="9">
        <v>46002</v>
      </c>
      <c r="E420" s="3">
        <v>3812.29</v>
      </c>
      <c r="F420" s="7" t="s">
        <v>367</v>
      </c>
      <c r="H420" s="9"/>
      <c r="I420" s="9"/>
    </row>
    <row r="421" spans="1:9" x14ac:dyDescent="0.3">
      <c r="A421" s="7" t="s">
        <v>5838</v>
      </c>
      <c r="B421" s="7" t="s">
        <v>315</v>
      </c>
      <c r="C421" s="9">
        <v>46031</v>
      </c>
      <c r="D421" s="9">
        <v>46061</v>
      </c>
      <c r="E421" s="3">
        <v>1487.56</v>
      </c>
      <c r="F421" s="7" t="s">
        <v>367</v>
      </c>
      <c r="H421" s="9"/>
      <c r="I421" s="9"/>
    </row>
    <row r="422" spans="1:9" x14ac:dyDescent="0.3">
      <c r="A422" s="7" t="s">
        <v>5839</v>
      </c>
      <c r="B422" s="7" t="s">
        <v>325</v>
      </c>
      <c r="C422" s="9">
        <v>45982</v>
      </c>
      <c r="D422" s="9">
        <v>46012</v>
      </c>
      <c r="E422" s="3">
        <v>6848.82</v>
      </c>
      <c r="F422" s="7" t="s">
        <v>369</v>
      </c>
      <c r="H422" s="9"/>
      <c r="I422" s="9"/>
    </row>
    <row r="423" spans="1:9" x14ac:dyDescent="0.3">
      <c r="A423" s="7" t="s">
        <v>5840</v>
      </c>
      <c r="B423" s="7" t="s">
        <v>291</v>
      </c>
      <c r="C423" s="9">
        <v>46084</v>
      </c>
      <c r="D423" s="9">
        <v>46114</v>
      </c>
      <c r="E423" s="3">
        <v>5194.01</v>
      </c>
      <c r="F423" s="7" t="s">
        <v>369</v>
      </c>
      <c r="H423" s="9"/>
      <c r="I423" s="9"/>
    </row>
    <row r="424" spans="1:9" x14ac:dyDescent="0.3">
      <c r="A424" s="7" t="s">
        <v>5841</v>
      </c>
      <c r="B424" s="7" t="s">
        <v>261</v>
      </c>
      <c r="C424" s="9">
        <v>46015</v>
      </c>
      <c r="D424" s="9">
        <v>46045</v>
      </c>
      <c r="E424" s="3">
        <v>4349.1499999999996</v>
      </c>
      <c r="F424" s="7" t="s">
        <v>367</v>
      </c>
      <c r="H424" s="9"/>
      <c r="I424" s="9"/>
    </row>
    <row r="425" spans="1:9" x14ac:dyDescent="0.3">
      <c r="A425" s="7" t="s">
        <v>5842</v>
      </c>
      <c r="B425" s="7" t="s">
        <v>299</v>
      </c>
      <c r="C425" s="9">
        <v>46013</v>
      </c>
      <c r="D425" s="9">
        <v>46043</v>
      </c>
      <c r="E425" s="3">
        <v>3426.69</v>
      </c>
      <c r="F425" s="7" t="s">
        <v>367</v>
      </c>
      <c r="H425" s="9"/>
      <c r="I425" s="9"/>
    </row>
    <row r="426" spans="1:9" x14ac:dyDescent="0.3">
      <c r="A426" s="7" t="s">
        <v>5843</v>
      </c>
      <c r="B426" s="7" t="s">
        <v>283</v>
      </c>
      <c r="C426" s="9">
        <v>46032</v>
      </c>
      <c r="D426" s="9">
        <v>46062</v>
      </c>
      <c r="E426" s="3">
        <v>6115.82</v>
      </c>
      <c r="F426" s="7" t="s">
        <v>367</v>
      </c>
      <c r="H426" s="9"/>
      <c r="I426" s="9"/>
    </row>
    <row r="427" spans="1:9" x14ac:dyDescent="0.3">
      <c r="A427" s="7" t="s">
        <v>5844</v>
      </c>
      <c r="B427" s="7" t="s">
        <v>317</v>
      </c>
      <c r="C427" s="9">
        <v>46060</v>
      </c>
      <c r="D427" s="9">
        <v>46090</v>
      </c>
      <c r="E427" s="3">
        <v>1510.93</v>
      </c>
      <c r="F427" s="7" t="s">
        <v>367</v>
      </c>
      <c r="H427" s="9"/>
      <c r="I427" s="9"/>
    </row>
    <row r="428" spans="1:9" x14ac:dyDescent="0.3">
      <c r="A428" s="7" t="s">
        <v>5845</v>
      </c>
      <c r="B428" s="7" t="s">
        <v>297</v>
      </c>
      <c r="C428" s="9">
        <v>46033</v>
      </c>
      <c r="D428" s="9">
        <v>46063</v>
      </c>
      <c r="E428" s="3">
        <v>2555.31</v>
      </c>
      <c r="F428" s="7" t="s">
        <v>367</v>
      </c>
      <c r="H428" s="9"/>
      <c r="I428" s="9"/>
    </row>
    <row r="429" spans="1:9" x14ac:dyDescent="0.3">
      <c r="A429" s="7" t="s">
        <v>5846</v>
      </c>
      <c r="B429" s="7" t="s">
        <v>281</v>
      </c>
      <c r="C429" s="9">
        <v>45975</v>
      </c>
      <c r="D429" s="9">
        <v>46005</v>
      </c>
      <c r="E429" s="3">
        <v>6619.89</v>
      </c>
      <c r="F429" s="7" t="s">
        <v>369</v>
      </c>
      <c r="H429" s="9"/>
      <c r="I429" s="9"/>
    </row>
    <row r="430" spans="1:9" x14ac:dyDescent="0.3">
      <c r="A430" s="7" t="s">
        <v>5847</v>
      </c>
      <c r="B430" s="7" t="s">
        <v>299</v>
      </c>
      <c r="C430" s="9">
        <v>46007</v>
      </c>
      <c r="D430" s="9">
        <v>46037</v>
      </c>
      <c r="E430" s="3">
        <v>6379.55</v>
      </c>
      <c r="F430" s="7" t="s">
        <v>367</v>
      </c>
      <c r="H430" s="9"/>
      <c r="I430" s="9"/>
    </row>
    <row r="431" spans="1:9" x14ac:dyDescent="0.3">
      <c r="A431" s="7" t="s">
        <v>5848</v>
      </c>
      <c r="B431" s="7" t="s">
        <v>323</v>
      </c>
      <c r="C431" s="9">
        <v>45962</v>
      </c>
      <c r="D431" s="9">
        <v>45992</v>
      </c>
      <c r="E431" s="3">
        <v>1907.8</v>
      </c>
      <c r="F431" s="7" t="s">
        <v>367</v>
      </c>
      <c r="H431" s="9"/>
      <c r="I431" s="9"/>
    </row>
    <row r="432" spans="1:9" x14ac:dyDescent="0.3">
      <c r="A432" s="7" t="s">
        <v>5849</v>
      </c>
      <c r="B432" s="7" t="s">
        <v>311</v>
      </c>
      <c r="C432" s="9">
        <v>46070</v>
      </c>
      <c r="D432" s="9">
        <v>46100</v>
      </c>
      <c r="E432" s="3">
        <v>3754.97</v>
      </c>
      <c r="F432" s="7" t="s">
        <v>367</v>
      </c>
      <c r="H432" s="9"/>
      <c r="I432" s="9"/>
    </row>
    <row r="433" spans="1:9" x14ac:dyDescent="0.3">
      <c r="A433" s="7" t="s">
        <v>5850</v>
      </c>
      <c r="B433" s="7" t="s">
        <v>319</v>
      </c>
      <c r="C433" s="9">
        <v>46044</v>
      </c>
      <c r="D433" s="9">
        <v>46074</v>
      </c>
      <c r="E433" s="3">
        <v>6123.65</v>
      </c>
      <c r="F433" s="7" t="s">
        <v>367</v>
      </c>
      <c r="H433" s="9"/>
      <c r="I433" s="9"/>
    </row>
    <row r="434" spans="1:9" x14ac:dyDescent="0.3">
      <c r="A434" s="7" t="s">
        <v>5851</v>
      </c>
      <c r="B434" s="7" t="s">
        <v>301</v>
      </c>
      <c r="C434" s="9">
        <v>46006</v>
      </c>
      <c r="D434" s="9">
        <v>46036</v>
      </c>
      <c r="E434" s="3">
        <v>1916.38</v>
      </c>
      <c r="F434" s="7" t="s">
        <v>387</v>
      </c>
      <c r="H434" s="9"/>
      <c r="I434" s="9"/>
    </row>
    <row r="435" spans="1:9" x14ac:dyDescent="0.3">
      <c r="A435" s="7" t="s">
        <v>5852</v>
      </c>
      <c r="B435" s="7" t="s">
        <v>319</v>
      </c>
      <c r="C435" s="9">
        <v>45963</v>
      </c>
      <c r="D435" s="9">
        <v>45993</v>
      </c>
      <c r="E435" s="3">
        <v>5814.88</v>
      </c>
      <c r="F435" s="7" t="s">
        <v>367</v>
      </c>
      <c r="H435" s="9"/>
      <c r="I435" s="9"/>
    </row>
    <row r="436" spans="1:9" x14ac:dyDescent="0.3">
      <c r="A436" s="7" t="s">
        <v>5853</v>
      </c>
      <c r="B436" s="7" t="s">
        <v>276</v>
      </c>
      <c r="C436" s="9">
        <v>45997</v>
      </c>
      <c r="D436" s="9">
        <v>46027</v>
      </c>
      <c r="E436" s="3">
        <v>3971.9</v>
      </c>
      <c r="F436" s="7" t="s">
        <v>367</v>
      </c>
      <c r="H436" s="9"/>
      <c r="I436" s="9"/>
    </row>
    <row r="437" spans="1:9" x14ac:dyDescent="0.3">
      <c r="A437" s="7" t="s">
        <v>5854</v>
      </c>
      <c r="B437" s="7" t="s">
        <v>343</v>
      </c>
      <c r="C437" s="9">
        <v>46055</v>
      </c>
      <c r="D437" s="9">
        <v>46085</v>
      </c>
      <c r="E437" s="3">
        <v>4616.07</v>
      </c>
      <c r="F437" s="7" t="s">
        <v>367</v>
      </c>
      <c r="H437" s="9"/>
      <c r="I437" s="9"/>
    </row>
    <row r="438" spans="1:9" x14ac:dyDescent="0.3">
      <c r="A438" s="7" t="s">
        <v>5855</v>
      </c>
      <c r="B438" s="7" t="s">
        <v>287</v>
      </c>
      <c r="C438" s="9">
        <v>46081</v>
      </c>
      <c r="D438" s="9">
        <v>46111</v>
      </c>
      <c r="E438" s="3">
        <v>1055.29</v>
      </c>
      <c r="F438" s="7" t="s">
        <v>367</v>
      </c>
      <c r="H438" s="9"/>
      <c r="I438" s="9"/>
    </row>
    <row r="439" spans="1:9" x14ac:dyDescent="0.3">
      <c r="A439" s="7" t="s">
        <v>5856</v>
      </c>
      <c r="B439" s="7" t="s">
        <v>321</v>
      </c>
      <c r="C439" s="9">
        <v>45990</v>
      </c>
      <c r="D439" s="9">
        <v>46020</v>
      </c>
      <c r="E439" s="3">
        <v>2707.45</v>
      </c>
      <c r="F439" s="7" t="s">
        <v>369</v>
      </c>
      <c r="H439" s="9"/>
      <c r="I439" s="9"/>
    </row>
    <row r="440" spans="1:9" x14ac:dyDescent="0.3">
      <c r="A440" s="7" t="s">
        <v>5857</v>
      </c>
      <c r="B440" s="7" t="s">
        <v>285</v>
      </c>
      <c r="C440" s="9">
        <v>46090</v>
      </c>
      <c r="D440" s="9">
        <v>46120</v>
      </c>
      <c r="E440" s="3">
        <v>2157.9499999999998</v>
      </c>
      <c r="F440" s="7" t="s">
        <v>367</v>
      </c>
      <c r="H440" s="9"/>
      <c r="I440" s="9"/>
    </row>
    <row r="441" spans="1:9" x14ac:dyDescent="0.3">
      <c r="A441" s="7" t="s">
        <v>5858</v>
      </c>
      <c r="B441" s="7" t="s">
        <v>289</v>
      </c>
      <c r="C441" s="9">
        <v>46029</v>
      </c>
      <c r="D441" s="9">
        <v>46059</v>
      </c>
      <c r="E441" s="3">
        <v>3906.1</v>
      </c>
      <c r="F441" s="7" t="s">
        <v>367</v>
      </c>
      <c r="H441" s="9"/>
      <c r="I441" s="9"/>
    </row>
    <row r="442" spans="1:9" x14ac:dyDescent="0.3">
      <c r="A442" s="7" t="s">
        <v>5859</v>
      </c>
      <c r="B442" s="7" t="s">
        <v>337</v>
      </c>
      <c r="C442" s="9">
        <v>46020</v>
      </c>
      <c r="D442" s="9">
        <v>46050</v>
      </c>
      <c r="E442" s="3">
        <v>5517.3</v>
      </c>
      <c r="F442" s="7" t="s">
        <v>367</v>
      </c>
      <c r="H442" s="9"/>
      <c r="I442" s="9"/>
    </row>
    <row r="443" spans="1:9" x14ac:dyDescent="0.3">
      <c r="A443" s="7" t="s">
        <v>5860</v>
      </c>
      <c r="B443" s="7" t="s">
        <v>333</v>
      </c>
      <c r="C443" s="9">
        <v>45999</v>
      </c>
      <c r="D443" s="9">
        <v>46029</v>
      </c>
      <c r="E443" s="3">
        <v>3092.28</v>
      </c>
      <c r="F443" s="7" t="s">
        <v>367</v>
      </c>
      <c r="H443" s="9"/>
      <c r="I443" s="9"/>
    </row>
    <row r="444" spans="1:9" x14ac:dyDescent="0.3">
      <c r="A444" s="7" t="s">
        <v>5861</v>
      </c>
      <c r="B444" s="7" t="s">
        <v>317</v>
      </c>
      <c r="C444" s="9">
        <v>46058</v>
      </c>
      <c r="D444" s="9">
        <v>46088</v>
      </c>
      <c r="E444" s="3">
        <v>4268.3500000000004</v>
      </c>
      <c r="F444" s="7" t="s">
        <v>367</v>
      </c>
      <c r="H444" s="9"/>
      <c r="I444" s="9"/>
    </row>
    <row r="445" spans="1:9" x14ac:dyDescent="0.3">
      <c r="A445" s="7" t="s">
        <v>5862</v>
      </c>
      <c r="B445" s="7" t="s">
        <v>287</v>
      </c>
      <c r="C445" s="9">
        <v>45964</v>
      </c>
      <c r="D445" s="9">
        <v>45994</v>
      </c>
      <c r="E445" s="3">
        <v>2026.73</v>
      </c>
      <c r="F445" s="7" t="s">
        <v>367</v>
      </c>
      <c r="H445" s="9"/>
      <c r="I445" s="9"/>
    </row>
    <row r="446" spans="1:9" x14ac:dyDescent="0.3">
      <c r="A446" s="7" t="s">
        <v>5863</v>
      </c>
      <c r="B446" s="7" t="s">
        <v>272</v>
      </c>
      <c r="C446" s="9">
        <v>45962</v>
      </c>
      <c r="D446" s="9">
        <v>45992</v>
      </c>
      <c r="E446" s="3">
        <v>4847.59</v>
      </c>
      <c r="F446" s="7" t="s">
        <v>387</v>
      </c>
      <c r="H446" s="9"/>
      <c r="I446" s="9"/>
    </row>
    <row r="447" spans="1:9" x14ac:dyDescent="0.3">
      <c r="A447" s="7" t="s">
        <v>5864</v>
      </c>
      <c r="B447" s="7" t="s">
        <v>307</v>
      </c>
      <c r="C447" s="9">
        <v>46074</v>
      </c>
      <c r="D447" s="9">
        <v>46104</v>
      </c>
      <c r="E447" s="3">
        <v>2208.25</v>
      </c>
      <c r="F447" s="7" t="s">
        <v>369</v>
      </c>
      <c r="H447" s="9"/>
      <c r="I447" s="9"/>
    </row>
    <row r="448" spans="1:9" x14ac:dyDescent="0.3">
      <c r="A448" s="7" t="s">
        <v>5865</v>
      </c>
      <c r="B448" s="7" t="s">
        <v>325</v>
      </c>
      <c r="C448" s="9">
        <v>46025</v>
      </c>
      <c r="D448" s="9">
        <v>46055</v>
      </c>
      <c r="E448" s="3">
        <v>5399.89</v>
      </c>
      <c r="F448" s="7" t="s">
        <v>367</v>
      </c>
      <c r="H448" s="9"/>
      <c r="I448" s="9"/>
    </row>
    <row r="449" spans="1:9" x14ac:dyDescent="0.3">
      <c r="A449" s="7" t="s">
        <v>5866</v>
      </c>
      <c r="B449" s="7" t="s">
        <v>299</v>
      </c>
      <c r="C449" s="9">
        <v>46042</v>
      </c>
      <c r="D449" s="9">
        <v>46072</v>
      </c>
      <c r="E449" s="3">
        <v>2253.63</v>
      </c>
      <c r="F449" s="7" t="s">
        <v>369</v>
      </c>
      <c r="H449" s="9"/>
      <c r="I449" s="9"/>
    </row>
    <row r="450" spans="1:9" x14ac:dyDescent="0.3">
      <c r="A450" s="7" t="s">
        <v>5867</v>
      </c>
      <c r="B450" s="7" t="s">
        <v>267</v>
      </c>
      <c r="C450" s="9">
        <v>46008</v>
      </c>
      <c r="D450" s="9">
        <v>46038</v>
      </c>
      <c r="E450" s="3">
        <v>4405.62</v>
      </c>
      <c r="F450" s="7" t="s">
        <v>367</v>
      </c>
      <c r="H450" s="9"/>
      <c r="I450" s="9"/>
    </row>
    <row r="451" spans="1:9" x14ac:dyDescent="0.3">
      <c r="A451" s="7" t="s">
        <v>5868</v>
      </c>
      <c r="B451" s="7" t="s">
        <v>297</v>
      </c>
      <c r="C451" s="9">
        <v>45965</v>
      </c>
      <c r="D451" s="9">
        <v>45995</v>
      </c>
      <c r="E451" s="3">
        <v>4966.16</v>
      </c>
      <c r="F451" s="7" t="s">
        <v>367</v>
      </c>
      <c r="H451" s="9"/>
      <c r="I451" s="9"/>
    </row>
    <row r="452" spans="1:9" x14ac:dyDescent="0.3">
      <c r="A452" s="7" t="s">
        <v>5869</v>
      </c>
      <c r="B452" s="7" t="s">
        <v>317</v>
      </c>
      <c r="C452" s="9">
        <v>45977</v>
      </c>
      <c r="D452" s="9">
        <v>46007</v>
      </c>
      <c r="E452" s="3">
        <v>5369.64</v>
      </c>
      <c r="F452" s="7" t="s">
        <v>367</v>
      </c>
      <c r="H452" s="9"/>
      <c r="I452" s="9"/>
    </row>
    <row r="453" spans="1:9" x14ac:dyDescent="0.3">
      <c r="A453" s="7" t="s">
        <v>5870</v>
      </c>
      <c r="B453" s="7" t="s">
        <v>331</v>
      </c>
      <c r="C453" s="9">
        <v>45972</v>
      </c>
      <c r="D453" s="9">
        <v>46002</v>
      </c>
      <c r="E453" s="3">
        <v>2423.9299999999998</v>
      </c>
      <c r="F453" s="7" t="s">
        <v>367</v>
      </c>
      <c r="H453" s="9"/>
      <c r="I453" s="9"/>
    </row>
    <row r="454" spans="1:9" x14ac:dyDescent="0.3">
      <c r="A454" s="7" t="s">
        <v>5871</v>
      </c>
      <c r="B454" s="7" t="s">
        <v>313</v>
      </c>
      <c r="C454" s="9">
        <v>45996</v>
      </c>
      <c r="D454" s="9">
        <v>46026</v>
      </c>
      <c r="E454" s="3">
        <v>1310.5999999999999</v>
      </c>
      <c r="F454" s="7" t="s">
        <v>369</v>
      </c>
      <c r="H454" s="9"/>
      <c r="I454" s="9"/>
    </row>
    <row r="455" spans="1:9" x14ac:dyDescent="0.3">
      <c r="A455" s="7" t="s">
        <v>5872</v>
      </c>
      <c r="B455" s="7" t="s">
        <v>309</v>
      </c>
      <c r="C455" s="9">
        <v>45991</v>
      </c>
      <c r="D455" s="9">
        <v>46021</v>
      </c>
      <c r="E455" s="3">
        <v>6246.52</v>
      </c>
      <c r="F455" s="7" t="s">
        <v>367</v>
      </c>
      <c r="H455" s="9"/>
      <c r="I455" s="9"/>
    </row>
    <row r="456" spans="1:9" x14ac:dyDescent="0.3">
      <c r="A456" s="7" t="s">
        <v>5873</v>
      </c>
      <c r="B456" s="7" t="s">
        <v>281</v>
      </c>
      <c r="C456" s="9">
        <v>46072</v>
      </c>
      <c r="D456" s="9">
        <v>46102</v>
      </c>
      <c r="E456" s="3">
        <v>5012.51</v>
      </c>
      <c r="F456" s="7" t="s">
        <v>367</v>
      </c>
      <c r="H456" s="9"/>
      <c r="I456" s="9"/>
    </row>
    <row r="457" spans="1:9" x14ac:dyDescent="0.3">
      <c r="A457" s="7" t="s">
        <v>5874</v>
      </c>
      <c r="B457" s="7" t="s">
        <v>335</v>
      </c>
      <c r="C457" s="9">
        <v>45968</v>
      </c>
      <c r="D457" s="9">
        <v>45998</v>
      </c>
      <c r="E457" s="3">
        <v>6532.62</v>
      </c>
      <c r="F457" s="7" t="s">
        <v>369</v>
      </c>
      <c r="H457" s="9"/>
      <c r="I457" s="9"/>
    </row>
    <row r="458" spans="1:9" x14ac:dyDescent="0.3">
      <c r="A458" s="7" t="s">
        <v>5875</v>
      </c>
      <c r="B458" s="7" t="s">
        <v>311</v>
      </c>
      <c r="C458" s="9">
        <v>46030</v>
      </c>
      <c r="D458" s="9">
        <v>46060</v>
      </c>
      <c r="E458" s="3">
        <v>4886.55</v>
      </c>
      <c r="F458" s="7" t="s">
        <v>369</v>
      </c>
      <c r="H458" s="9"/>
      <c r="I458" s="9"/>
    </row>
    <row r="459" spans="1:9" x14ac:dyDescent="0.3">
      <c r="A459" s="7" t="s">
        <v>5876</v>
      </c>
      <c r="B459" s="7" t="s">
        <v>311</v>
      </c>
      <c r="C459" s="9">
        <v>46076</v>
      </c>
      <c r="D459" s="9">
        <v>46106</v>
      </c>
      <c r="E459" s="3">
        <v>5862.15</v>
      </c>
      <c r="F459" s="7" t="s">
        <v>369</v>
      </c>
      <c r="H459" s="9"/>
      <c r="I459" s="9"/>
    </row>
    <row r="460" spans="1:9" x14ac:dyDescent="0.3">
      <c r="A460" s="7" t="s">
        <v>5877</v>
      </c>
      <c r="B460" s="7" t="s">
        <v>269</v>
      </c>
      <c r="C460" s="9">
        <v>46041</v>
      </c>
      <c r="D460" s="9">
        <v>46071</v>
      </c>
      <c r="E460" s="3">
        <v>1724.75</v>
      </c>
      <c r="F460" s="7" t="s">
        <v>367</v>
      </c>
      <c r="H460" s="9"/>
      <c r="I460" s="9"/>
    </row>
    <row r="461" spans="1:9" x14ac:dyDescent="0.3">
      <c r="A461" s="7" t="s">
        <v>5878</v>
      </c>
      <c r="B461" s="7" t="s">
        <v>337</v>
      </c>
      <c r="C461" s="9">
        <v>45999</v>
      </c>
      <c r="D461" s="9">
        <v>46029</v>
      </c>
      <c r="E461" s="3">
        <v>6027.36</v>
      </c>
      <c r="F461" s="7" t="s">
        <v>367</v>
      </c>
      <c r="H461" s="9"/>
      <c r="I461" s="9"/>
    </row>
    <row r="462" spans="1:9" x14ac:dyDescent="0.3">
      <c r="A462" s="7" t="s">
        <v>5879</v>
      </c>
      <c r="B462" s="7" t="s">
        <v>307</v>
      </c>
      <c r="C462" s="9">
        <v>46039</v>
      </c>
      <c r="D462" s="9">
        <v>46069</v>
      </c>
      <c r="E462" s="3">
        <v>1054.26</v>
      </c>
      <c r="F462" s="7" t="s">
        <v>367</v>
      </c>
      <c r="H462" s="9"/>
      <c r="I462" s="9"/>
    </row>
    <row r="463" spans="1:9" x14ac:dyDescent="0.3">
      <c r="A463" s="7" t="s">
        <v>5880</v>
      </c>
      <c r="B463" s="7" t="s">
        <v>313</v>
      </c>
      <c r="C463" s="9">
        <v>46043</v>
      </c>
      <c r="D463" s="9">
        <v>46073</v>
      </c>
      <c r="E463" s="3">
        <v>926.69</v>
      </c>
      <c r="F463" s="7" t="s">
        <v>387</v>
      </c>
      <c r="H463" s="9"/>
      <c r="I463" s="9"/>
    </row>
    <row r="464" spans="1:9" x14ac:dyDescent="0.3">
      <c r="A464" s="7" t="s">
        <v>5881</v>
      </c>
      <c r="B464" s="7" t="s">
        <v>319</v>
      </c>
      <c r="C464" s="9">
        <v>46051</v>
      </c>
      <c r="D464" s="9">
        <v>46081</v>
      </c>
      <c r="E464" s="3">
        <v>1006.25</v>
      </c>
      <c r="F464" s="7" t="s">
        <v>369</v>
      </c>
      <c r="H464" s="9"/>
      <c r="I464" s="9"/>
    </row>
    <row r="465" spans="1:9" x14ac:dyDescent="0.3">
      <c r="A465" s="7" t="s">
        <v>5882</v>
      </c>
      <c r="B465" s="7" t="s">
        <v>295</v>
      </c>
      <c r="C465" s="9">
        <v>45982</v>
      </c>
      <c r="D465" s="9">
        <v>46012</v>
      </c>
      <c r="E465" s="3">
        <v>3554.08</v>
      </c>
      <c r="F465" s="7" t="s">
        <v>369</v>
      </c>
      <c r="H465" s="9"/>
      <c r="I465" s="9"/>
    </row>
    <row r="466" spans="1:9" x14ac:dyDescent="0.3">
      <c r="A466" s="7" t="s">
        <v>5883</v>
      </c>
      <c r="B466" s="7" t="s">
        <v>295</v>
      </c>
      <c r="C466" s="9">
        <v>46059</v>
      </c>
      <c r="D466" s="9">
        <v>46089</v>
      </c>
      <c r="E466" s="3">
        <v>2109.9</v>
      </c>
      <c r="F466" s="7" t="s">
        <v>367</v>
      </c>
      <c r="H466" s="9"/>
      <c r="I466" s="9"/>
    </row>
    <row r="467" spans="1:9" x14ac:dyDescent="0.3">
      <c r="A467" s="7" t="s">
        <v>5884</v>
      </c>
      <c r="B467" s="7" t="s">
        <v>291</v>
      </c>
      <c r="C467" s="9">
        <v>46075</v>
      </c>
      <c r="D467" s="9">
        <v>46105</v>
      </c>
      <c r="E467" s="3">
        <v>937.97</v>
      </c>
      <c r="F467" s="7" t="s">
        <v>367</v>
      </c>
      <c r="H467" s="9"/>
      <c r="I467" s="9"/>
    </row>
    <row r="468" spans="1:9" x14ac:dyDescent="0.3">
      <c r="A468" s="7" t="s">
        <v>5885</v>
      </c>
      <c r="B468" s="7" t="s">
        <v>335</v>
      </c>
      <c r="C468" s="9">
        <v>46074</v>
      </c>
      <c r="D468" s="9">
        <v>46104</v>
      </c>
      <c r="E468" s="3">
        <v>6584.7</v>
      </c>
      <c r="F468" s="7" t="s">
        <v>367</v>
      </c>
      <c r="H468" s="9"/>
      <c r="I468" s="9"/>
    </row>
    <row r="469" spans="1:9" x14ac:dyDescent="0.3">
      <c r="A469" s="7" t="s">
        <v>5886</v>
      </c>
      <c r="B469" s="7" t="s">
        <v>317</v>
      </c>
      <c r="C469" s="9">
        <v>45978</v>
      </c>
      <c r="D469" s="9">
        <v>46008</v>
      </c>
      <c r="E469" s="3">
        <v>6304.69</v>
      </c>
      <c r="F469" s="7" t="s">
        <v>367</v>
      </c>
      <c r="H469" s="9"/>
      <c r="I469" s="9"/>
    </row>
    <row r="470" spans="1:9" x14ac:dyDescent="0.3">
      <c r="A470" s="7" t="s">
        <v>5887</v>
      </c>
      <c r="B470" s="7" t="s">
        <v>299</v>
      </c>
      <c r="C470" s="9">
        <v>46025</v>
      </c>
      <c r="D470" s="9">
        <v>46055</v>
      </c>
      <c r="E470" s="3">
        <v>5611.83</v>
      </c>
      <c r="F470" s="7" t="s">
        <v>367</v>
      </c>
      <c r="H470" s="9"/>
      <c r="I470" s="9"/>
    </row>
    <row r="471" spans="1:9" x14ac:dyDescent="0.3">
      <c r="A471" s="7" t="s">
        <v>5888</v>
      </c>
      <c r="B471" s="7" t="s">
        <v>321</v>
      </c>
      <c r="C471" s="9">
        <v>45985</v>
      </c>
      <c r="D471" s="9">
        <v>46015</v>
      </c>
      <c r="E471" s="3">
        <v>3950.13</v>
      </c>
      <c r="F471" s="7" t="s">
        <v>367</v>
      </c>
      <c r="H471" s="9"/>
      <c r="I471" s="9"/>
    </row>
    <row r="472" spans="1:9" x14ac:dyDescent="0.3">
      <c r="A472" s="7" t="s">
        <v>5889</v>
      </c>
      <c r="B472" s="7" t="s">
        <v>329</v>
      </c>
      <c r="C472" s="9">
        <v>45999</v>
      </c>
      <c r="D472" s="9">
        <v>46029</v>
      </c>
      <c r="E472" s="3">
        <v>5511.55</v>
      </c>
      <c r="F472" s="7" t="s">
        <v>367</v>
      </c>
      <c r="H472" s="9"/>
      <c r="I472" s="9"/>
    </row>
    <row r="473" spans="1:9" x14ac:dyDescent="0.3">
      <c r="A473" s="7" t="s">
        <v>5890</v>
      </c>
      <c r="B473" s="7" t="s">
        <v>313</v>
      </c>
      <c r="C473" s="9">
        <v>46067</v>
      </c>
      <c r="D473" s="9">
        <v>46097</v>
      </c>
      <c r="E473" s="3">
        <v>3718.51</v>
      </c>
      <c r="F473" s="7" t="s">
        <v>367</v>
      </c>
      <c r="H473" s="9"/>
      <c r="I473" s="9"/>
    </row>
    <row r="474" spans="1:9" x14ac:dyDescent="0.3">
      <c r="A474" s="7" t="s">
        <v>5891</v>
      </c>
      <c r="B474" s="7" t="s">
        <v>303</v>
      </c>
      <c r="C474" s="9">
        <v>46079</v>
      </c>
      <c r="D474" s="9">
        <v>46109</v>
      </c>
      <c r="E474" s="3">
        <v>5014.37</v>
      </c>
      <c r="F474" s="7" t="s">
        <v>367</v>
      </c>
      <c r="H474" s="9"/>
      <c r="I474" s="9"/>
    </row>
    <row r="475" spans="1:9" x14ac:dyDescent="0.3">
      <c r="A475" s="7" t="s">
        <v>5892</v>
      </c>
      <c r="B475" s="7" t="s">
        <v>343</v>
      </c>
      <c r="C475" s="9">
        <v>45963</v>
      </c>
      <c r="D475" s="9">
        <v>45993</v>
      </c>
      <c r="E475" s="3">
        <v>6184.44</v>
      </c>
      <c r="F475" s="7" t="s">
        <v>367</v>
      </c>
      <c r="H475" s="9"/>
      <c r="I475" s="9"/>
    </row>
    <row r="476" spans="1:9" x14ac:dyDescent="0.3">
      <c r="A476" s="7" t="s">
        <v>5893</v>
      </c>
      <c r="B476" s="7" t="s">
        <v>264</v>
      </c>
      <c r="C476" s="9">
        <v>46036</v>
      </c>
      <c r="D476" s="9">
        <v>46066</v>
      </c>
      <c r="E476" s="3">
        <v>5399.72</v>
      </c>
      <c r="F476" s="7" t="s">
        <v>367</v>
      </c>
      <c r="H476" s="9"/>
      <c r="I476" s="9"/>
    </row>
    <row r="477" spans="1:9" x14ac:dyDescent="0.3">
      <c r="A477" s="7" t="s">
        <v>5894</v>
      </c>
      <c r="B477" s="7" t="s">
        <v>264</v>
      </c>
      <c r="C477" s="9">
        <v>46075</v>
      </c>
      <c r="D477" s="9">
        <v>46105</v>
      </c>
      <c r="E477" s="3">
        <v>6031.82</v>
      </c>
      <c r="F477" s="7" t="s">
        <v>367</v>
      </c>
      <c r="H477" s="9"/>
      <c r="I477" s="9"/>
    </row>
    <row r="478" spans="1:9" x14ac:dyDescent="0.3">
      <c r="A478" s="7" t="s">
        <v>5895</v>
      </c>
      <c r="B478" s="7" t="s">
        <v>281</v>
      </c>
      <c r="C478" s="9">
        <v>45967</v>
      </c>
      <c r="D478" s="9">
        <v>45997</v>
      </c>
      <c r="E478" s="3">
        <v>5936.3</v>
      </c>
      <c r="F478" s="7" t="s">
        <v>367</v>
      </c>
      <c r="H478" s="9"/>
      <c r="I478" s="9"/>
    </row>
    <row r="479" spans="1:9" x14ac:dyDescent="0.3">
      <c r="A479" s="7" t="s">
        <v>5896</v>
      </c>
      <c r="B479" s="7" t="s">
        <v>335</v>
      </c>
      <c r="C479" s="9">
        <v>45997</v>
      </c>
      <c r="D479" s="9">
        <v>46027</v>
      </c>
      <c r="E479" s="3">
        <v>3420.04</v>
      </c>
      <c r="F479" s="7" t="s">
        <v>369</v>
      </c>
      <c r="H479" s="9"/>
      <c r="I479" s="9"/>
    </row>
    <row r="480" spans="1:9" x14ac:dyDescent="0.3">
      <c r="A480" s="7" t="s">
        <v>5897</v>
      </c>
      <c r="B480" s="7" t="s">
        <v>315</v>
      </c>
      <c r="C480" s="9">
        <v>45983</v>
      </c>
      <c r="D480" s="9">
        <v>46013</v>
      </c>
      <c r="E480" s="3">
        <v>5033.32</v>
      </c>
      <c r="F480" s="7" t="s">
        <v>367</v>
      </c>
      <c r="H480" s="9"/>
      <c r="I480" s="9"/>
    </row>
    <row r="481" spans="1:9" x14ac:dyDescent="0.3">
      <c r="A481" s="7" t="s">
        <v>5898</v>
      </c>
      <c r="B481" s="7" t="s">
        <v>291</v>
      </c>
      <c r="C481" s="9">
        <v>46032</v>
      </c>
      <c r="D481" s="9">
        <v>46062</v>
      </c>
      <c r="E481" s="3">
        <v>1958.28</v>
      </c>
      <c r="F481" s="7" t="s">
        <v>367</v>
      </c>
      <c r="H481" s="9"/>
      <c r="I481" s="9"/>
    </row>
    <row r="482" spans="1:9" x14ac:dyDescent="0.3">
      <c r="A482" s="7" t="s">
        <v>5899</v>
      </c>
      <c r="B482" s="7" t="s">
        <v>285</v>
      </c>
      <c r="C482" s="9">
        <v>46062</v>
      </c>
      <c r="D482" s="9">
        <v>46092</v>
      </c>
      <c r="E482" s="3">
        <v>4382.8599999999997</v>
      </c>
      <c r="F482" s="7" t="s">
        <v>387</v>
      </c>
      <c r="H482" s="9"/>
      <c r="I482" s="9"/>
    </row>
    <row r="483" spans="1:9" x14ac:dyDescent="0.3">
      <c r="A483" s="7" t="s">
        <v>5900</v>
      </c>
      <c r="B483" s="7" t="s">
        <v>325</v>
      </c>
      <c r="C483" s="9">
        <v>46023</v>
      </c>
      <c r="D483" s="9">
        <v>46053</v>
      </c>
      <c r="E483" s="3">
        <v>1988.28</v>
      </c>
      <c r="F483" s="7" t="s">
        <v>369</v>
      </c>
      <c r="H483" s="9"/>
      <c r="I483" s="9"/>
    </row>
    <row r="484" spans="1:9" x14ac:dyDescent="0.3">
      <c r="A484" s="7" t="s">
        <v>5901</v>
      </c>
      <c r="B484" s="7" t="s">
        <v>329</v>
      </c>
      <c r="C484" s="9">
        <v>45965</v>
      </c>
      <c r="D484" s="9">
        <v>45995</v>
      </c>
      <c r="E484" s="3">
        <v>6003.69</v>
      </c>
      <c r="F484" s="7" t="s">
        <v>367</v>
      </c>
      <c r="H484" s="9"/>
      <c r="I484" s="9"/>
    </row>
    <row r="485" spans="1:9" x14ac:dyDescent="0.3">
      <c r="A485" s="7" t="s">
        <v>5902</v>
      </c>
      <c r="B485" s="7" t="s">
        <v>285</v>
      </c>
      <c r="C485" s="9">
        <v>46060</v>
      </c>
      <c r="D485" s="9">
        <v>46090</v>
      </c>
      <c r="E485" s="3">
        <v>3841.34</v>
      </c>
      <c r="F485" s="7" t="s">
        <v>367</v>
      </c>
      <c r="H485" s="9"/>
      <c r="I485" s="9"/>
    </row>
    <row r="486" spans="1:9" x14ac:dyDescent="0.3">
      <c r="A486" s="7" t="s">
        <v>5903</v>
      </c>
      <c r="B486" s="7" t="s">
        <v>305</v>
      </c>
      <c r="C486" s="9">
        <v>46001</v>
      </c>
      <c r="D486" s="9">
        <v>46031</v>
      </c>
      <c r="E486" s="3">
        <v>6787.81</v>
      </c>
      <c r="F486" s="7" t="s">
        <v>369</v>
      </c>
      <c r="H486" s="9"/>
      <c r="I486" s="9"/>
    </row>
    <row r="487" spans="1:9" x14ac:dyDescent="0.3">
      <c r="A487" s="7" t="s">
        <v>5904</v>
      </c>
      <c r="B487" s="7" t="s">
        <v>323</v>
      </c>
      <c r="C487" s="9">
        <v>45974</v>
      </c>
      <c r="D487" s="9">
        <v>46004</v>
      </c>
      <c r="E487" s="3">
        <v>1360.71</v>
      </c>
      <c r="F487" s="7" t="s">
        <v>369</v>
      </c>
      <c r="H487" s="9"/>
      <c r="I487" s="9"/>
    </row>
    <row r="488" spans="1:9" x14ac:dyDescent="0.3">
      <c r="A488" s="7" t="s">
        <v>5905</v>
      </c>
      <c r="B488" s="7" t="s">
        <v>319</v>
      </c>
      <c r="C488" s="9">
        <v>45975</v>
      </c>
      <c r="D488" s="9">
        <v>46005</v>
      </c>
      <c r="E488" s="3">
        <v>5898.62</v>
      </c>
      <c r="F488" s="7" t="s">
        <v>367</v>
      </c>
      <c r="H488" s="9"/>
      <c r="I488" s="9"/>
    </row>
    <row r="489" spans="1:9" x14ac:dyDescent="0.3">
      <c r="A489" s="7" t="s">
        <v>5906</v>
      </c>
      <c r="B489" s="7" t="s">
        <v>315</v>
      </c>
      <c r="C489" s="9">
        <v>46070</v>
      </c>
      <c r="D489" s="9">
        <v>46100</v>
      </c>
      <c r="E489" s="3">
        <v>4441.34</v>
      </c>
      <c r="F489" s="7" t="s">
        <v>367</v>
      </c>
      <c r="H489" s="9"/>
      <c r="I489" s="9"/>
    </row>
    <row r="490" spans="1:9" x14ac:dyDescent="0.3">
      <c r="A490" s="7" t="s">
        <v>5907</v>
      </c>
      <c r="B490" s="7" t="s">
        <v>339</v>
      </c>
      <c r="C490" s="9">
        <v>45975</v>
      </c>
      <c r="D490" s="9">
        <v>46005</v>
      </c>
      <c r="E490" s="3">
        <v>4120.49</v>
      </c>
      <c r="F490" s="7" t="s">
        <v>387</v>
      </c>
      <c r="H490" s="9"/>
      <c r="I490" s="9"/>
    </row>
    <row r="491" spans="1:9" x14ac:dyDescent="0.3">
      <c r="A491" s="7" t="s">
        <v>5908</v>
      </c>
      <c r="B491" s="7" t="s">
        <v>295</v>
      </c>
      <c r="C491" s="9">
        <v>46051</v>
      </c>
      <c r="D491" s="9">
        <v>46081</v>
      </c>
      <c r="E491" s="3">
        <v>6737.38</v>
      </c>
      <c r="F491" s="7" t="s">
        <v>367</v>
      </c>
      <c r="H491" s="9"/>
      <c r="I491" s="9"/>
    </row>
    <row r="492" spans="1:9" x14ac:dyDescent="0.3">
      <c r="A492" s="7" t="s">
        <v>5909</v>
      </c>
      <c r="B492" s="7" t="s">
        <v>264</v>
      </c>
      <c r="C492" s="9">
        <v>46025</v>
      </c>
      <c r="D492" s="9">
        <v>46055</v>
      </c>
      <c r="E492" s="3">
        <v>1500.32</v>
      </c>
      <c r="F492" s="7" t="s">
        <v>367</v>
      </c>
      <c r="H492" s="9"/>
      <c r="I492" s="9"/>
    </row>
    <row r="493" spans="1:9" x14ac:dyDescent="0.3">
      <c r="A493" s="7" t="s">
        <v>5910</v>
      </c>
      <c r="B493" s="7" t="s">
        <v>317</v>
      </c>
      <c r="C493" s="9">
        <v>46008</v>
      </c>
      <c r="D493" s="9">
        <v>46038</v>
      </c>
      <c r="E493" s="3">
        <v>3587.78</v>
      </c>
      <c r="F493" s="7" t="s">
        <v>387</v>
      </c>
      <c r="H493" s="9"/>
      <c r="I493" s="9"/>
    </row>
    <row r="494" spans="1:9" x14ac:dyDescent="0.3">
      <c r="A494" s="7" t="s">
        <v>5911</v>
      </c>
      <c r="B494" s="7" t="s">
        <v>272</v>
      </c>
      <c r="C494" s="9">
        <v>46029</v>
      </c>
      <c r="D494" s="9">
        <v>46059</v>
      </c>
      <c r="E494" s="3">
        <v>4624.97</v>
      </c>
      <c r="F494" s="7" t="s">
        <v>369</v>
      </c>
      <c r="H494" s="9"/>
      <c r="I494" s="9"/>
    </row>
    <row r="495" spans="1:9" x14ac:dyDescent="0.3">
      <c r="A495" s="7" t="s">
        <v>5912</v>
      </c>
      <c r="B495" s="7" t="s">
        <v>261</v>
      </c>
      <c r="C495" s="9">
        <v>46047</v>
      </c>
      <c r="D495" s="9">
        <v>46077</v>
      </c>
      <c r="E495" s="3">
        <v>3080.76</v>
      </c>
      <c r="F495" s="7" t="s">
        <v>387</v>
      </c>
      <c r="H495" s="9"/>
      <c r="I495" s="9"/>
    </row>
    <row r="496" spans="1:9" x14ac:dyDescent="0.3">
      <c r="A496" s="7" t="s">
        <v>5913</v>
      </c>
      <c r="B496" s="7" t="s">
        <v>299</v>
      </c>
      <c r="C496" s="9">
        <v>45995</v>
      </c>
      <c r="D496" s="9">
        <v>46025</v>
      </c>
      <c r="E496" s="3">
        <v>2238.4</v>
      </c>
      <c r="F496" s="7" t="s">
        <v>369</v>
      </c>
      <c r="H496" s="9"/>
      <c r="I496" s="9"/>
    </row>
    <row r="497" spans="1:9" x14ac:dyDescent="0.3">
      <c r="A497" s="7" t="s">
        <v>5914</v>
      </c>
      <c r="B497" s="7" t="s">
        <v>295</v>
      </c>
      <c r="C497" s="9">
        <v>46046</v>
      </c>
      <c r="D497" s="9">
        <v>46076</v>
      </c>
      <c r="E497" s="3">
        <v>5832.68</v>
      </c>
      <c r="F497" s="7" t="s">
        <v>367</v>
      </c>
      <c r="H497" s="9"/>
      <c r="I497" s="9"/>
    </row>
    <row r="498" spans="1:9" x14ac:dyDescent="0.3">
      <c r="A498" s="7" t="s">
        <v>5915</v>
      </c>
      <c r="B498" s="7" t="s">
        <v>272</v>
      </c>
      <c r="C498" s="9">
        <v>45988</v>
      </c>
      <c r="D498" s="9">
        <v>46018</v>
      </c>
      <c r="E498" s="3">
        <v>3688.63</v>
      </c>
      <c r="F498" s="7" t="s">
        <v>367</v>
      </c>
      <c r="H498" s="9"/>
      <c r="I498" s="9"/>
    </row>
    <row r="499" spans="1:9" x14ac:dyDescent="0.3">
      <c r="A499" s="7" t="s">
        <v>5916</v>
      </c>
      <c r="B499" s="7" t="s">
        <v>329</v>
      </c>
      <c r="C499" s="9">
        <v>45974</v>
      </c>
      <c r="D499" s="9">
        <v>46004</v>
      </c>
      <c r="E499" s="3">
        <v>6132.2</v>
      </c>
      <c r="F499" s="7" t="s">
        <v>367</v>
      </c>
      <c r="H499" s="9"/>
      <c r="I499" s="9"/>
    </row>
    <row r="500" spans="1:9" x14ac:dyDescent="0.3">
      <c r="A500" s="7" t="s">
        <v>5917</v>
      </c>
      <c r="B500" s="7" t="s">
        <v>299</v>
      </c>
      <c r="C500" s="9">
        <v>46026</v>
      </c>
      <c r="D500" s="9">
        <v>46056</v>
      </c>
      <c r="E500" s="3">
        <v>4912.6099999999997</v>
      </c>
      <c r="F500" s="7" t="s">
        <v>367</v>
      </c>
      <c r="H500" s="9"/>
      <c r="I500" s="9"/>
    </row>
    <row r="501" spans="1:9" x14ac:dyDescent="0.3">
      <c r="A501" s="7" t="s">
        <v>5918</v>
      </c>
      <c r="B501" s="7" t="s">
        <v>331</v>
      </c>
      <c r="C501" s="9">
        <v>46055</v>
      </c>
      <c r="D501" s="9">
        <v>46085</v>
      </c>
      <c r="E501" s="3">
        <v>4395.37</v>
      </c>
      <c r="F501" s="7" t="s">
        <v>369</v>
      </c>
      <c r="H501" s="9"/>
      <c r="I501" s="9"/>
    </row>
    <row r="502" spans="1:9" x14ac:dyDescent="0.3">
      <c r="A502" s="7" t="s">
        <v>5919</v>
      </c>
      <c r="B502" s="7" t="s">
        <v>313</v>
      </c>
      <c r="C502" s="9">
        <v>46017</v>
      </c>
      <c r="D502" s="9">
        <v>46047</v>
      </c>
      <c r="E502" s="3">
        <v>4833.05</v>
      </c>
      <c r="F502" s="7" t="s">
        <v>367</v>
      </c>
      <c r="H502" s="9"/>
      <c r="I502" s="9"/>
    </row>
    <row r="503" spans="1:9" x14ac:dyDescent="0.3">
      <c r="A503" s="7" t="s">
        <v>5920</v>
      </c>
      <c r="B503" s="7" t="s">
        <v>283</v>
      </c>
      <c r="C503" s="9">
        <v>45993</v>
      </c>
      <c r="D503" s="9">
        <v>46023</v>
      </c>
      <c r="E503" s="3">
        <v>6387.77</v>
      </c>
      <c r="F503" s="7" t="s">
        <v>367</v>
      </c>
      <c r="H503" s="9"/>
      <c r="I503" s="9"/>
    </row>
    <row r="504" spans="1:9" x14ac:dyDescent="0.3">
      <c r="A504" s="7" t="s">
        <v>5921</v>
      </c>
      <c r="B504" s="7" t="s">
        <v>261</v>
      </c>
      <c r="C504" s="9">
        <v>45966</v>
      </c>
      <c r="D504" s="9">
        <v>45996</v>
      </c>
      <c r="E504" s="3">
        <v>2038.22</v>
      </c>
      <c r="F504" s="7" t="s">
        <v>367</v>
      </c>
      <c r="H504" s="9"/>
      <c r="I504" s="9"/>
    </row>
    <row r="505" spans="1:9" x14ac:dyDescent="0.3">
      <c r="A505" s="7" t="s">
        <v>5922</v>
      </c>
      <c r="B505" s="7" t="s">
        <v>325</v>
      </c>
      <c r="C505" s="9">
        <v>46054</v>
      </c>
      <c r="D505" s="9">
        <v>46084</v>
      </c>
      <c r="E505" s="3">
        <v>1137.28</v>
      </c>
      <c r="F505" s="7" t="s">
        <v>367</v>
      </c>
      <c r="H505" s="9"/>
      <c r="I505" s="9"/>
    </row>
    <row r="506" spans="1:9" x14ac:dyDescent="0.3">
      <c r="A506" s="7" t="s">
        <v>5923</v>
      </c>
      <c r="B506" s="7" t="s">
        <v>303</v>
      </c>
      <c r="C506" s="9">
        <v>46070</v>
      </c>
      <c r="D506" s="9">
        <v>46100</v>
      </c>
      <c r="E506" s="3">
        <v>1063.69</v>
      </c>
      <c r="F506" s="7" t="s">
        <v>369</v>
      </c>
      <c r="H506" s="9"/>
      <c r="I506" s="9"/>
    </row>
    <row r="507" spans="1:9" x14ac:dyDescent="0.3">
      <c r="A507" s="7" t="s">
        <v>5924</v>
      </c>
      <c r="B507" s="7" t="s">
        <v>329</v>
      </c>
      <c r="C507" s="9">
        <v>46045</v>
      </c>
      <c r="D507" s="9">
        <v>46075</v>
      </c>
      <c r="E507" s="3">
        <v>4700.4399999999996</v>
      </c>
      <c r="F507" s="7" t="s">
        <v>367</v>
      </c>
      <c r="H507" s="9"/>
      <c r="I507" s="9"/>
    </row>
    <row r="508" spans="1:9" x14ac:dyDescent="0.3">
      <c r="A508" s="7" t="s">
        <v>5925</v>
      </c>
      <c r="B508" s="7" t="s">
        <v>323</v>
      </c>
      <c r="C508" s="9">
        <v>46058</v>
      </c>
      <c r="D508" s="9">
        <v>46088</v>
      </c>
      <c r="E508" s="3">
        <v>1787.87</v>
      </c>
      <c r="F508" s="7" t="s">
        <v>367</v>
      </c>
      <c r="H508" s="9"/>
      <c r="I508" s="9"/>
    </row>
    <row r="509" spans="1:9" x14ac:dyDescent="0.3">
      <c r="A509" s="7" t="s">
        <v>5926</v>
      </c>
      <c r="B509" s="7" t="s">
        <v>317</v>
      </c>
      <c r="C509" s="9">
        <v>46031</v>
      </c>
      <c r="D509" s="9">
        <v>46061</v>
      </c>
      <c r="E509" s="3">
        <v>4211.66</v>
      </c>
      <c r="F509" s="7" t="s">
        <v>367</v>
      </c>
      <c r="H509" s="9"/>
      <c r="I509" s="9"/>
    </row>
    <row r="510" spans="1:9" x14ac:dyDescent="0.3">
      <c r="A510" s="7" t="s">
        <v>5927</v>
      </c>
      <c r="B510" s="7" t="s">
        <v>303</v>
      </c>
      <c r="C510" s="9">
        <v>46034</v>
      </c>
      <c r="D510" s="9">
        <v>46064</v>
      </c>
      <c r="E510" s="3">
        <v>6023.17</v>
      </c>
      <c r="F510" s="7" t="s">
        <v>367</v>
      </c>
      <c r="H510" s="9"/>
      <c r="I510" s="9"/>
    </row>
    <row r="511" spans="1:9" x14ac:dyDescent="0.3">
      <c r="A511" s="7" t="s">
        <v>5928</v>
      </c>
      <c r="B511" s="7" t="s">
        <v>264</v>
      </c>
      <c r="C511" s="9">
        <v>46007</v>
      </c>
      <c r="D511" s="9">
        <v>46037</v>
      </c>
      <c r="E511" s="3">
        <v>3637.39</v>
      </c>
      <c r="F511" s="7" t="s">
        <v>367</v>
      </c>
      <c r="H511" s="9"/>
      <c r="I511" s="9"/>
    </row>
    <row r="512" spans="1:9" x14ac:dyDescent="0.3">
      <c r="A512" s="7" t="s">
        <v>5929</v>
      </c>
      <c r="B512" s="7" t="s">
        <v>307</v>
      </c>
      <c r="C512" s="9">
        <v>46025</v>
      </c>
      <c r="D512" s="9">
        <v>46055</v>
      </c>
      <c r="E512" s="3">
        <v>6698.74</v>
      </c>
      <c r="F512" s="7" t="s">
        <v>367</v>
      </c>
      <c r="H512" s="9"/>
      <c r="I512" s="9"/>
    </row>
    <row r="513" spans="1:9" x14ac:dyDescent="0.3">
      <c r="A513" s="7" t="s">
        <v>5930</v>
      </c>
      <c r="B513" s="7" t="s">
        <v>299</v>
      </c>
      <c r="C513" s="9">
        <v>46075</v>
      </c>
      <c r="D513" s="9">
        <v>46105</v>
      </c>
      <c r="E513" s="3">
        <v>1350.67</v>
      </c>
      <c r="F513" s="7" t="s">
        <v>367</v>
      </c>
      <c r="H513" s="9"/>
      <c r="I513" s="9"/>
    </row>
    <row r="514" spans="1:9" x14ac:dyDescent="0.3">
      <c r="A514" s="7" t="s">
        <v>5931</v>
      </c>
      <c r="B514" s="7" t="s">
        <v>339</v>
      </c>
      <c r="C514" s="9">
        <v>46077</v>
      </c>
      <c r="D514" s="9">
        <v>46107</v>
      </c>
      <c r="E514" s="3">
        <v>5049.62</v>
      </c>
      <c r="F514" s="7" t="s">
        <v>369</v>
      </c>
      <c r="H514" s="9"/>
      <c r="I514" s="9"/>
    </row>
    <row r="515" spans="1:9" x14ac:dyDescent="0.3">
      <c r="A515" s="7" t="s">
        <v>5932</v>
      </c>
      <c r="B515" s="7" t="s">
        <v>279</v>
      </c>
      <c r="C515" s="9">
        <v>45976</v>
      </c>
      <c r="D515" s="9">
        <v>46006</v>
      </c>
      <c r="E515" s="3">
        <v>1863.24</v>
      </c>
      <c r="F515" s="7" t="s">
        <v>367</v>
      </c>
      <c r="H515" s="9"/>
      <c r="I515" s="9"/>
    </row>
    <row r="516" spans="1:9" x14ac:dyDescent="0.3">
      <c r="A516" s="7" t="s">
        <v>5933</v>
      </c>
      <c r="B516" s="7" t="s">
        <v>261</v>
      </c>
      <c r="C516" s="9">
        <v>46030</v>
      </c>
      <c r="D516" s="9">
        <v>46060</v>
      </c>
      <c r="E516" s="3">
        <v>4256.3100000000004</v>
      </c>
      <c r="F516" s="7" t="s">
        <v>367</v>
      </c>
      <c r="H516" s="9"/>
      <c r="I516" s="9"/>
    </row>
    <row r="517" spans="1:9" x14ac:dyDescent="0.3">
      <c r="A517" s="7" t="s">
        <v>5934</v>
      </c>
      <c r="B517" s="7" t="s">
        <v>295</v>
      </c>
      <c r="C517" s="9">
        <v>45970</v>
      </c>
      <c r="D517" s="9">
        <v>46000</v>
      </c>
      <c r="E517" s="3">
        <v>4674.38</v>
      </c>
      <c r="F517" s="7" t="s">
        <v>367</v>
      </c>
      <c r="H517" s="9"/>
      <c r="I517" s="9"/>
    </row>
    <row r="518" spans="1:9" x14ac:dyDescent="0.3">
      <c r="A518" s="7" t="s">
        <v>5935</v>
      </c>
      <c r="B518" s="7" t="s">
        <v>317</v>
      </c>
      <c r="C518" s="9">
        <v>46062</v>
      </c>
      <c r="D518" s="9">
        <v>46092</v>
      </c>
      <c r="E518" s="3">
        <v>2006.63</v>
      </c>
      <c r="F518" s="7" t="s">
        <v>369</v>
      </c>
      <c r="H518" s="9"/>
      <c r="I518" s="9"/>
    </row>
    <row r="519" spans="1:9" x14ac:dyDescent="0.3">
      <c r="A519" s="7" t="s">
        <v>5936</v>
      </c>
      <c r="B519" s="7" t="s">
        <v>299</v>
      </c>
      <c r="C519" s="9">
        <v>45988</v>
      </c>
      <c r="D519" s="9">
        <v>46018</v>
      </c>
      <c r="E519" s="3">
        <v>2153.7199999999998</v>
      </c>
      <c r="F519" s="7" t="s">
        <v>369</v>
      </c>
      <c r="H519" s="9"/>
      <c r="I519" s="9"/>
    </row>
    <row r="520" spans="1:9" x14ac:dyDescent="0.3">
      <c r="A520" s="7" t="s">
        <v>5937</v>
      </c>
      <c r="B520" s="7" t="s">
        <v>287</v>
      </c>
      <c r="C520" s="9">
        <v>46055</v>
      </c>
      <c r="D520" s="9">
        <v>46085</v>
      </c>
      <c r="E520" s="3">
        <v>4779.9399999999996</v>
      </c>
      <c r="F520" s="7" t="s">
        <v>367</v>
      </c>
      <c r="H520" s="9"/>
      <c r="I520" s="9"/>
    </row>
    <row r="521" spans="1:9" x14ac:dyDescent="0.3">
      <c r="A521" s="7" t="s">
        <v>5938</v>
      </c>
      <c r="B521" s="7" t="s">
        <v>327</v>
      </c>
      <c r="C521" s="9">
        <v>46008</v>
      </c>
      <c r="D521" s="9">
        <v>46038</v>
      </c>
      <c r="E521" s="3">
        <v>6379.94</v>
      </c>
      <c r="F521" s="7" t="s">
        <v>367</v>
      </c>
      <c r="H521" s="9"/>
      <c r="I521" s="9"/>
    </row>
    <row r="522" spans="1:9" x14ac:dyDescent="0.3">
      <c r="A522" s="7" t="s">
        <v>5939</v>
      </c>
      <c r="B522" s="7" t="s">
        <v>301</v>
      </c>
      <c r="C522" s="9">
        <v>46055</v>
      </c>
      <c r="D522" s="9">
        <v>46085</v>
      </c>
      <c r="E522" s="3">
        <v>5825.14</v>
      </c>
      <c r="F522" s="7" t="s">
        <v>369</v>
      </c>
      <c r="H522" s="9"/>
      <c r="I522" s="9"/>
    </row>
    <row r="523" spans="1:9" x14ac:dyDescent="0.3">
      <c r="A523" s="7" t="s">
        <v>5940</v>
      </c>
      <c r="B523" s="7" t="s">
        <v>285</v>
      </c>
      <c r="C523" s="9">
        <v>46047</v>
      </c>
      <c r="D523" s="9">
        <v>46077</v>
      </c>
      <c r="E523" s="3">
        <v>4877.3</v>
      </c>
      <c r="F523" s="7" t="s">
        <v>367</v>
      </c>
      <c r="H523" s="9"/>
      <c r="I523" s="9"/>
    </row>
    <row r="524" spans="1:9" x14ac:dyDescent="0.3">
      <c r="A524" s="7" t="s">
        <v>5941</v>
      </c>
      <c r="B524" s="7" t="s">
        <v>264</v>
      </c>
      <c r="C524" s="9">
        <v>46048</v>
      </c>
      <c r="D524" s="9">
        <v>46078</v>
      </c>
      <c r="E524" s="3">
        <v>4430.51</v>
      </c>
      <c r="F524" s="7" t="s">
        <v>369</v>
      </c>
      <c r="H524" s="9"/>
      <c r="I524" s="9"/>
    </row>
    <row r="525" spans="1:9" x14ac:dyDescent="0.3">
      <c r="A525" s="7" t="s">
        <v>5942</v>
      </c>
      <c r="B525" s="7" t="s">
        <v>323</v>
      </c>
      <c r="C525" s="9">
        <v>46041</v>
      </c>
      <c r="D525" s="9">
        <v>46071</v>
      </c>
      <c r="E525" s="3">
        <v>3058.24</v>
      </c>
      <c r="F525" s="7" t="s">
        <v>367</v>
      </c>
      <c r="H525" s="9"/>
      <c r="I525" s="9"/>
    </row>
    <row r="526" spans="1:9" x14ac:dyDescent="0.3">
      <c r="A526" s="7" t="s">
        <v>5943</v>
      </c>
      <c r="B526" s="7" t="s">
        <v>337</v>
      </c>
      <c r="C526" s="9">
        <v>46005</v>
      </c>
      <c r="D526" s="9">
        <v>46035</v>
      </c>
      <c r="E526" s="3">
        <v>3598.36</v>
      </c>
      <c r="F526" s="7" t="s">
        <v>369</v>
      </c>
      <c r="H526" s="9"/>
      <c r="I526" s="9"/>
    </row>
    <row r="527" spans="1:9" x14ac:dyDescent="0.3">
      <c r="A527" s="7" t="s">
        <v>5944</v>
      </c>
      <c r="B527" s="7" t="s">
        <v>295</v>
      </c>
      <c r="C527" s="9">
        <v>46079</v>
      </c>
      <c r="D527" s="9">
        <v>46109</v>
      </c>
      <c r="E527" s="3">
        <v>4582.28</v>
      </c>
      <c r="F527" s="7" t="s">
        <v>367</v>
      </c>
      <c r="H527" s="9"/>
      <c r="I527" s="9"/>
    </row>
    <row r="528" spans="1:9" x14ac:dyDescent="0.3">
      <c r="A528" s="7" t="s">
        <v>5945</v>
      </c>
      <c r="B528" s="7" t="s">
        <v>281</v>
      </c>
      <c r="C528" s="9">
        <v>45970</v>
      </c>
      <c r="D528" s="9">
        <v>46000</v>
      </c>
      <c r="E528" s="3">
        <v>6493.4</v>
      </c>
      <c r="F528" s="7" t="s">
        <v>367</v>
      </c>
      <c r="H528" s="9"/>
      <c r="I528" s="9"/>
    </row>
    <row r="529" spans="1:9" x14ac:dyDescent="0.3">
      <c r="A529" s="7" t="s">
        <v>5946</v>
      </c>
      <c r="B529" s="7" t="s">
        <v>281</v>
      </c>
      <c r="C529" s="9">
        <v>45997</v>
      </c>
      <c r="D529" s="9">
        <v>46027</v>
      </c>
      <c r="E529" s="3">
        <v>6035.66</v>
      </c>
      <c r="F529" s="7" t="s">
        <v>369</v>
      </c>
      <c r="H529" s="9"/>
      <c r="I529" s="9"/>
    </row>
    <row r="530" spans="1:9" x14ac:dyDescent="0.3">
      <c r="A530" s="7" t="s">
        <v>5947</v>
      </c>
      <c r="B530" s="7" t="s">
        <v>309</v>
      </c>
      <c r="C530" s="9">
        <v>46015</v>
      </c>
      <c r="D530" s="9">
        <v>46045</v>
      </c>
      <c r="E530" s="3">
        <v>3000.13</v>
      </c>
      <c r="F530" s="7" t="s">
        <v>367</v>
      </c>
      <c r="H530" s="9"/>
      <c r="I530" s="9"/>
    </row>
    <row r="531" spans="1:9" x14ac:dyDescent="0.3">
      <c r="A531" s="7" t="s">
        <v>5948</v>
      </c>
      <c r="B531" s="7" t="s">
        <v>329</v>
      </c>
      <c r="C531" s="9">
        <v>45966</v>
      </c>
      <c r="D531" s="9">
        <v>45996</v>
      </c>
      <c r="E531" s="3">
        <v>5474.18</v>
      </c>
      <c r="F531" s="7" t="s">
        <v>367</v>
      </c>
      <c r="H531" s="9"/>
      <c r="I531" s="9"/>
    </row>
    <row r="532" spans="1:9" x14ac:dyDescent="0.3">
      <c r="A532" s="7" t="s">
        <v>5949</v>
      </c>
      <c r="B532" s="7" t="s">
        <v>311</v>
      </c>
      <c r="C532" s="9">
        <v>45970</v>
      </c>
      <c r="D532" s="9">
        <v>46000</v>
      </c>
      <c r="E532" s="3">
        <v>5629.08</v>
      </c>
      <c r="F532" s="7" t="s">
        <v>367</v>
      </c>
      <c r="H532" s="9"/>
      <c r="I532" s="9"/>
    </row>
    <row r="533" spans="1:9" x14ac:dyDescent="0.3">
      <c r="A533" s="7" t="s">
        <v>5950</v>
      </c>
      <c r="B533" s="7" t="s">
        <v>315</v>
      </c>
      <c r="C533" s="9">
        <v>45999</v>
      </c>
      <c r="D533" s="9">
        <v>46029</v>
      </c>
      <c r="E533" s="3">
        <v>5927.83</v>
      </c>
      <c r="F533" s="7" t="s">
        <v>367</v>
      </c>
      <c r="H533" s="9"/>
      <c r="I533" s="9"/>
    </row>
    <row r="534" spans="1:9" x14ac:dyDescent="0.3">
      <c r="A534" s="7" t="s">
        <v>5951</v>
      </c>
      <c r="B534" s="7" t="s">
        <v>333</v>
      </c>
      <c r="C534" s="9">
        <v>46003</v>
      </c>
      <c r="D534" s="9">
        <v>46033</v>
      </c>
      <c r="E534" s="3">
        <v>1710.6</v>
      </c>
      <c r="F534" s="7" t="s">
        <v>367</v>
      </c>
      <c r="H534" s="9"/>
      <c r="I534" s="9"/>
    </row>
    <row r="535" spans="1:9" x14ac:dyDescent="0.3">
      <c r="A535" s="7" t="s">
        <v>5952</v>
      </c>
      <c r="B535" s="7" t="s">
        <v>321</v>
      </c>
      <c r="C535" s="9">
        <v>46040</v>
      </c>
      <c r="D535" s="9">
        <v>46070</v>
      </c>
      <c r="E535" s="3">
        <v>6988.08</v>
      </c>
      <c r="F535" s="7" t="s">
        <v>367</v>
      </c>
      <c r="H535" s="9"/>
      <c r="I535" s="9"/>
    </row>
    <row r="536" spans="1:9" x14ac:dyDescent="0.3">
      <c r="A536" s="7" t="s">
        <v>5953</v>
      </c>
      <c r="B536" s="7" t="s">
        <v>315</v>
      </c>
      <c r="C536" s="9">
        <v>45995</v>
      </c>
      <c r="D536" s="9">
        <v>46025</v>
      </c>
      <c r="E536" s="3">
        <v>3348.91</v>
      </c>
      <c r="F536" s="7" t="s">
        <v>387</v>
      </c>
      <c r="H536" s="9"/>
      <c r="I536" s="9"/>
    </row>
    <row r="537" spans="1:9" x14ac:dyDescent="0.3">
      <c r="A537" s="7" t="s">
        <v>5954</v>
      </c>
      <c r="B537" s="7" t="s">
        <v>319</v>
      </c>
      <c r="C537" s="9">
        <v>46070</v>
      </c>
      <c r="D537" s="9">
        <v>46100</v>
      </c>
      <c r="E537" s="3">
        <v>1038.33</v>
      </c>
      <c r="F537" s="7" t="s">
        <v>367</v>
      </c>
      <c r="H537" s="9"/>
      <c r="I537" s="9"/>
    </row>
    <row r="538" spans="1:9" x14ac:dyDescent="0.3">
      <c r="A538" s="7" t="s">
        <v>5955</v>
      </c>
      <c r="B538" s="7" t="s">
        <v>343</v>
      </c>
      <c r="C538" s="9">
        <v>45994</v>
      </c>
      <c r="D538" s="9">
        <v>46024</v>
      </c>
      <c r="E538" s="3">
        <v>6814.97</v>
      </c>
      <c r="F538" s="7" t="s">
        <v>367</v>
      </c>
      <c r="H538" s="9"/>
      <c r="I538" s="9"/>
    </row>
    <row r="539" spans="1:9" x14ac:dyDescent="0.3">
      <c r="A539" s="7" t="s">
        <v>5956</v>
      </c>
      <c r="B539" s="7" t="s">
        <v>281</v>
      </c>
      <c r="C539" s="9">
        <v>46029</v>
      </c>
      <c r="D539" s="9">
        <v>46059</v>
      </c>
      <c r="E539" s="3">
        <v>3111.57</v>
      </c>
      <c r="F539" s="7" t="s">
        <v>367</v>
      </c>
      <c r="H539" s="9"/>
      <c r="I539" s="9"/>
    </row>
    <row r="540" spans="1:9" x14ac:dyDescent="0.3">
      <c r="A540" s="7" t="s">
        <v>5957</v>
      </c>
      <c r="B540" s="7" t="s">
        <v>287</v>
      </c>
      <c r="C540" s="9">
        <v>45977</v>
      </c>
      <c r="D540" s="9">
        <v>46007</v>
      </c>
      <c r="E540" s="3">
        <v>1636.31</v>
      </c>
      <c r="F540" s="7" t="s">
        <v>367</v>
      </c>
      <c r="H540" s="9"/>
      <c r="I540" s="9"/>
    </row>
    <row r="541" spans="1:9" x14ac:dyDescent="0.3">
      <c r="A541" s="7" t="s">
        <v>5958</v>
      </c>
      <c r="B541" s="7" t="s">
        <v>341</v>
      </c>
      <c r="C541" s="9">
        <v>46064</v>
      </c>
      <c r="D541" s="9">
        <v>46094</v>
      </c>
      <c r="E541" s="3">
        <v>4051.5</v>
      </c>
      <c r="F541" s="7" t="s">
        <v>367</v>
      </c>
      <c r="H541" s="9"/>
      <c r="I541" s="9"/>
    </row>
    <row r="542" spans="1:9" x14ac:dyDescent="0.3">
      <c r="A542" s="7" t="s">
        <v>5959</v>
      </c>
      <c r="B542" s="7" t="s">
        <v>343</v>
      </c>
      <c r="C542" s="9">
        <v>45975</v>
      </c>
      <c r="D542" s="9">
        <v>46005</v>
      </c>
      <c r="E542" s="3">
        <v>1598.63</v>
      </c>
      <c r="F542" s="7" t="s">
        <v>367</v>
      </c>
      <c r="H542" s="9"/>
      <c r="I542" s="9"/>
    </row>
    <row r="543" spans="1:9" x14ac:dyDescent="0.3">
      <c r="A543" s="7" t="s">
        <v>5960</v>
      </c>
      <c r="B543" s="7" t="s">
        <v>323</v>
      </c>
      <c r="C543" s="9">
        <v>45989</v>
      </c>
      <c r="D543" s="9">
        <v>46019</v>
      </c>
      <c r="E543" s="3">
        <v>6681.49</v>
      </c>
      <c r="F543" s="7" t="s">
        <v>367</v>
      </c>
      <c r="H543" s="9"/>
      <c r="I543" s="9"/>
    </row>
    <row r="544" spans="1:9" x14ac:dyDescent="0.3">
      <c r="A544" s="7" t="s">
        <v>5961</v>
      </c>
      <c r="B544" s="7" t="s">
        <v>289</v>
      </c>
      <c r="C544" s="9">
        <v>45977</v>
      </c>
      <c r="D544" s="9">
        <v>46007</v>
      </c>
      <c r="E544" s="3">
        <v>6333.75</v>
      </c>
      <c r="F544" s="7" t="s">
        <v>367</v>
      </c>
      <c r="H544" s="9"/>
      <c r="I544" s="9"/>
    </row>
    <row r="545" spans="1:9" x14ac:dyDescent="0.3">
      <c r="A545" s="7" t="s">
        <v>5962</v>
      </c>
      <c r="B545" s="7" t="s">
        <v>283</v>
      </c>
      <c r="C545" s="9">
        <v>46070</v>
      </c>
      <c r="D545" s="9">
        <v>46100</v>
      </c>
      <c r="E545" s="3">
        <v>4445.5200000000004</v>
      </c>
      <c r="F545" s="7" t="s">
        <v>369</v>
      </c>
      <c r="H545" s="9"/>
      <c r="I545" s="9"/>
    </row>
    <row r="546" spans="1:9" x14ac:dyDescent="0.3">
      <c r="A546" s="7" t="s">
        <v>5963</v>
      </c>
      <c r="B546" s="7" t="s">
        <v>335</v>
      </c>
      <c r="C546" s="9">
        <v>46079</v>
      </c>
      <c r="D546" s="9">
        <v>46109</v>
      </c>
      <c r="E546" s="3">
        <v>2337.2800000000002</v>
      </c>
      <c r="F546" s="7" t="s">
        <v>367</v>
      </c>
      <c r="H546" s="9"/>
      <c r="I546" s="9"/>
    </row>
    <row r="547" spans="1:9" x14ac:dyDescent="0.3">
      <c r="A547" s="7" t="s">
        <v>5964</v>
      </c>
      <c r="B547" s="7" t="s">
        <v>325</v>
      </c>
      <c r="C547" s="9">
        <v>46007</v>
      </c>
      <c r="D547" s="9">
        <v>46037</v>
      </c>
      <c r="E547" s="3">
        <v>6164</v>
      </c>
      <c r="F547" s="7" t="s">
        <v>367</v>
      </c>
      <c r="H547" s="9"/>
      <c r="I547" s="9"/>
    </row>
    <row r="548" spans="1:9" x14ac:dyDescent="0.3">
      <c r="A548" s="7" t="s">
        <v>5965</v>
      </c>
      <c r="B548" s="7" t="s">
        <v>327</v>
      </c>
      <c r="C548" s="9">
        <v>46027</v>
      </c>
      <c r="D548" s="9">
        <v>46057</v>
      </c>
      <c r="E548" s="3">
        <v>3595.83</v>
      </c>
      <c r="F548" s="7" t="s">
        <v>367</v>
      </c>
      <c r="H548" s="9"/>
      <c r="I548" s="9"/>
    </row>
    <row r="549" spans="1:9" x14ac:dyDescent="0.3">
      <c r="A549" s="7" t="s">
        <v>5966</v>
      </c>
      <c r="B549" s="7" t="s">
        <v>261</v>
      </c>
      <c r="C549" s="9">
        <v>46038</v>
      </c>
      <c r="D549" s="9">
        <v>46068</v>
      </c>
      <c r="E549" s="3">
        <v>2666.87</v>
      </c>
      <c r="F549" s="7" t="s">
        <v>367</v>
      </c>
      <c r="H549" s="9"/>
      <c r="I549" s="9"/>
    </row>
    <row r="550" spans="1:9" x14ac:dyDescent="0.3">
      <c r="A550" s="7" t="s">
        <v>5967</v>
      </c>
      <c r="B550" s="7" t="s">
        <v>269</v>
      </c>
      <c r="C550" s="9">
        <v>45970</v>
      </c>
      <c r="D550" s="9">
        <v>46000</v>
      </c>
      <c r="E550" s="3">
        <v>4044.2</v>
      </c>
      <c r="F550" s="7" t="s">
        <v>369</v>
      </c>
      <c r="H550" s="9"/>
      <c r="I550" s="9"/>
    </row>
    <row r="551" spans="1:9" x14ac:dyDescent="0.3">
      <c r="A551" s="7" t="s">
        <v>5968</v>
      </c>
      <c r="B551" s="7" t="s">
        <v>295</v>
      </c>
      <c r="C551" s="9">
        <v>46018</v>
      </c>
      <c r="D551" s="9">
        <v>46048</v>
      </c>
      <c r="E551" s="3">
        <v>1393</v>
      </c>
      <c r="F551" s="7" t="s">
        <v>367</v>
      </c>
      <c r="H551" s="9"/>
      <c r="I551" s="9"/>
    </row>
    <row r="552" spans="1:9" x14ac:dyDescent="0.3">
      <c r="A552" s="7" t="s">
        <v>5969</v>
      </c>
      <c r="B552" s="7" t="s">
        <v>289</v>
      </c>
      <c r="C552" s="9">
        <v>46052</v>
      </c>
      <c r="D552" s="9">
        <v>46082</v>
      </c>
      <c r="E552" s="3">
        <v>6851.5</v>
      </c>
      <c r="F552" s="7" t="s">
        <v>367</v>
      </c>
      <c r="H552" s="9"/>
      <c r="I552" s="9"/>
    </row>
    <row r="553" spans="1:9" x14ac:dyDescent="0.3">
      <c r="A553" s="7" t="s">
        <v>5970</v>
      </c>
      <c r="B553" s="7" t="s">
        <v>315</v>
      </c>
      <c r="C553" s="9">
        <v>46086</v>
      </c>
      <c r="D553" s="9">
        <v>46116</v>
      </c>
      <c r="E553" s="3">
        <v>861.03</v>
      </c>
      <c r="F553" s="7" t="s">
        <v>367</v>
      </c>
      <c r="H553" s="9"/>
      <c r="I553" s="9"/>
    </row>
    <row r="554" spans="1:9" x14ac:dyDescent="0.3">
      <c r="A554" s="7" t="s">
        <v>5971</v>
      </c>
      <c r="B554" s="7" t="s">
        <v>303</v>
      </c>
      <c r="C554" s="9">
        <v>45994</v>
      </c>
      <c r="D554" s="9">
        <v>46024</v>
      </c>
      <c r="E554" s="3">
        <v>1107.96</v>
      </c>
      <c r="F554" s="7" t="s">
        <v>387</v>
      </c>
      <c r="H554" s="9"/>
      <c r="I554" s="9"/>
    </row>
    <row r="555" spans="1:9" x14ac:dyDescent="0.3">
      <c r="A555" s="7" t="s">
        <v>5972</v>
      </c>
      <c r="B555" s="7" t="s">
        <v>315</v>
      </c>
      <c r="C555" s="9">
        <v>46005</v>
      </c>
      <c r="D555" s="9">
        <v>46035</v>
      </c>
      <c r="E555" s="3">
        <v>1710.12</v>
      </c>
      <c r="F555" s="7" t="s">
        <v>367</v>
      </c>
      <c r="H555" s="9"/>
      <c r="I555" s="9"/>
    </row>
    <row r="556" spans="1:9" x14ac:dyDescent="0.3">
      <c r="A556" s="7" t="s">
        <v>5973</v>
      </c>
      <c r="B556" s="7" t="s">
        <v>303</v>
      </c>
      <c r="C556" s="9">
        <v>46061</v>
      </c>
      <c r="D556" s="9">
        <v>46091</v>
      </c>
      <c r="E556" s="3">
        <v>5395.39</v>
      </c>
      <c r="F556" s="7" t="s">
        <v>367</v>
      </c>
      <c r="H556" s="9"/>
      <c r="I556" s="9"/>
    </row>
    <row r="557" spans="1:9" x14ac:dyDescent="0.3">
      <c r="A557" s="7" t="s">
        <v>5974</v>
      </c>
      <c r="B557" s="7" t="s">
        <v>301</v>
      </c>
      <c r="C557" s="9">
        <v>46019</v>
      </c>
      <c r="D557" s="9">
        <v>46049</v>
      </c>
      <c r="E557" s="3">
        <v>5332.75</v>
      </c>
      <c r="F557" s="7" t="s">
        <v>367</v>
      </c>
      <c r="H557" s="9"/>
      <c r="I557" s="9"/>
    </row>
    <row r="558" spans="1:9" x14ac:dyDescent="0.3">
      <c r="A558" s="7" t="s">
        <v>5975</v>
      </c>
      <c r="B558" s="7" t="s">
        <v>279</v>
      </c>
      <c r="C558" s="9">
        <v>46037</v>
      </c>
      <c r="D558" s="9">
        <v>46067</v>
      </c>
      <c r="E558" s="3">
        <v>903.43</v>
      </c>
      <c r="F558" s="7" t="s">
        <v>367</v>
      </c>
      <c r="H558" s="9"/>
      <c r="I558" s="9"/>
    </row>
    <row r="559" spans="1:9" x14ac:dyDescent="0.3">
      <c r="A559" s="7" t="s">
        <v>5976</v>
      </c>
      <c r="B559" s="7" t="s">
        <v>305</v>
      </c>
      <c r="C559" s="9">
        <v>46007</v>
      </c>
      <c r="D559" s="9">
        <v>46037</v>
      </c>
      <c r="E559" s="3">
        <v>1744.3</v>
      </c>
      <c r="F559" s="7" t="s">
        <v>367</v>
      </c>
      <c r="H559" s="9"/>
      <c r="I559" s="9"/>
    </row>
    <row r="560" spans="1:9" x14ac:dyDescent="0.3">
      <c r="A560" s="7" t="s">
        <v>5977</v>
      </c>
      <c r="B560" s="7" t="s">
        <v>281</v>
      </c>
      <c r="C560" s="9">
        <v>45971</v>
      </c>
      <c r="D560" s="9">
        <v>46001</v>
      </c>
      <c r="E560" s="3">
        <v>1005.67</v>
      </c>
      <c r="F560" s="7" t="s">
        <v>367</v>
      </c>
      <c r="H560" s="9"/>
      <c r="I560" s="9"/>
    </row>
    <row r="561" spans="1:9" x14ac:dyDescent="0.3">
      <c r="A561" s="7" t="s">
        <v>5978</v>
      </c>
      <c r="B561" s="7" t="s">
        <v>305</v>
      </c>
      <c r="C561" s="9">
        <v>45981</v>
      </c>
      <c r="D561" s="9">
        <v>46011</v>
      </c>
      <c r="E561" s="3">
        <v>5963.5</v>
      </c>
      <c r="F561" s="7" t="s">
        <v>367</v>
      </c>
      <c r="H561" s="9"/>
      <c r="I561" s="9"/>
    </row>
    <row r="562" spans="1:9" x14ac:dyDescent="0.3">
      <c r="A562" s="7" t="s">
        <v>5979</v>
      </c>
      <c r="B562" s="7" t="s">
        <v>281</v>
      </c>
      <c r="C562" s="9">
        <v>46019</v>
      </c>
      <c r="D562" s="9">
        <v>46049</v>
      </c>
      <c r="E562" s="3">
        <v>2640.48</v>
      </c>
      <c r="F562" s="7" t="s">
        <v>367</v>
      </c>
      <c r="H562" s="9"/>
      <c r="I562" s="9"/>
    </row>
    <row r="563" spans="1:9" x14ac:dyDescent="0.3">
      <c r="A563" s="7" t="s">
        <v>5980</v>
      </c>
      <c r="B563" s="7" t="s">
        <v>283</v>
      </c>
      <c r="C563" s="9">
        <v>45995</v>
      </c>
      <c r="D563" s="9">
        <v>46025</v>
      </c>
      <c r="E563" s="3">
        <v>1144.79</v>
      </c>
      <c r="F563" s="7" t="s">
        <v>367</v>
      </c>
      <c r="H563" s="9"/>
      <c r="I563" s="9"/>
    </row>
    <row r="564" spans="1:9" x14ac:dyDescent="0.3">
      <c r="A564" s="7" t="s">
        <v>5981</v>
      </c>
      <c r="B564" s="7" t="s">
        <v>264</v>
      </c>
      <c r="C564" s="9">
        <v>45987</v>
      </c>
      <c r="D564" s="9">
        <v>46017</v>
      </c>
      <c r="E564" s="3">
        <v>4335.41</v>
      </c>
      <c r="F564" s="7" t="s">
        <v>367</v>
      </c>
      <c r="H564" s="9"/>
      <c r="I564" s="9"/>
    </row>
    <row r="565" spans="1:9" x14ac:dyDescent="0.3">
      <c r="A565" s="7" t="s">
        <v>5982</v>
      </c>
      <c r="B565" s="7" t="s">
        <v>341</v>
      </c>
      <c r="C565" s="9">
        <v>46024</v>
      </c>
      <c r="D565" s="9">
        <v>46054</v>
      </c>
      <c r="E565" s="3">
        <v>6642.94</v>
      </c>
      <c r="F565" s="7" t="s">
        <v>367</v>
      </c>
      <c r="H565" s="9"/>
      <c r="I565" s="9"/>
    </row>
    <row r="566" spans="1:9" x14ac:dyDescent="0.3">
      <c r="A566" s="7" t="s">
        <v>5983</v>
      </c>
      <c r="B566" s="7" t="s">
        <v>343</v>
      </c>
      <c r="C566" s="9">
        <v>45966</v>
      </c>
      <c r="D566" s="9">
        <v>45996</v>
      </c>
      <c r="E566" s="3">
        <v>3284.21</v>
      </c>
      <c r="F566" s="7" t="s">
        <v>369</v>
      </c>
      <c r="H566" s="9"/>
      <c r="I566" s="9"/>
    </row>
    <row r="567" spans="1:9" x14ac:dyDescent="0.3">
      <c r="A567" s="7" t="s">
        <v>5984</v>
      </c>
      <c r="B567" s="7" t="s">
        <v>267</v>
      </c>
      <c r="C567" s="9">
        <v>46069</v>
      </c>
      <c r="D567" s="9">
        <v>46099</v>
      </c>
      <c r="E567" s="3">
        <v>4824.0200000000004</v>
      </c>
      <c r="F567" s="7" t="s">
        <v>369</v>
      </c>
      <c r="H567" s="9"/>
      <c r="I567" s="9"/>
    </row>
    <row r="568" spans="1:9" x14ac:dyDescent="0.3">
      <c r="A568" s="7" t="s">
        <v>5985</v>
      </c>
      <c r="B568" s="7" t="s">
        <v>281</v>
      </c>
      <c r="C568" s="9">
        <v>46039</v>
      </c>
      <c r="D568" s="9">
        <v>46069</v>
      </c>
      <c r="E568" s="3">
        <v>6251.95</v>
      </c>
      <c r="F568" s="7" t="s">
        <v>367</v>
      </c>
      <c r="H568" s="9"/>
      <c r="I568" s="9"/>
    </row>
    <row r="569" spans="1:9" x14ac:dyDescent="0.3">
      <c r="A569" s="7" t="s">
        <v>5986</v>
      </c>
      <c r="B569" s="7" t="s">
        <v>295</v>
      </c>
      <c r="C569" s="9">
        <v>46026</v>
      </c>
      <c r="D569" s="9">
        <v>46056</v>
      </c>
      <c r="E569" s="3">
        <v>4693.2700000000004</v>
      </c>
      <c r="F569" s="7" t="s">
        <v>367</v>
      </c>
      <c r="H569" s="9"/>
      <c r="I569" s="9"/>
    </row>
    <row r="570" spans="1:9" x14ac:dyDescent="0.3">
      <c r="A570" s="7" t="s">
        <v>5987</v>
      </c>
      <c r="B570" s="7" t="s">
        <v>317</v>
      </c>
      <c r="C570" s="9">
        <v>46065</v>
      </c>
      <c r="D570" s="9">
        <v>46095</v>
      </c>
      <c r="E570" s="3">
        <v>1423.13</v>
      </c>
      <c r="F570" s="7" t="s">
        <v>367</v>
      </c>
      <c r="H570" s="9"/>
      <c r="I570" s="9"/>
    </row>
    <row r="571" spans="1:9" x14ac:dyDescent="0.3">
      <c r="A571" s="7" t="s">
        <v>5988</v>
      </c>
      <c r="B571" s="7" t="s">
        <v>325</v>
      </c>
      <c r="C571" s="9">
        <v>45999</v>
      </c>
      <c r="D571" s="9">
        <v>46029</v>
      </c>
      <c r="E571" s="3">
        <v>1748.2</v>
      </c>
      <c r="F571" s="7" t="s">
        <v>369</v>
      </c>
      <c r="H571" s="9"/>
      <c r="I571" s="9"/>
    </row>
    <row r="572" spans="1:9" x14ac:dyDescent="0.3">
      <c r="A572" s="7" t="s">
        <v>5989</v>
      </c>
      <c r="B572" s="7" t="s">
        <v>301</v>
      </c>
      <c r="C572" s="9">
        <v>46036</v>
      </c>
      <c r="D572" s="9">
        <v>46066</v>
      </c>
      <c r="E572" s="3">
        <v>6067.36</v>
      </c>
      <c r="F572" s="7" t="s">
        <v>367</v>
      </c>
      <c r="H572" s="9"/>
      <c r="I572" s="9"/>
    </row>
    <row r="573" spans="1:9" x14ac:dyDescent="0.3">
      <c r="A573" s="7" t="s">
        <v>5990</v>
      </c>
      <c r="B573" s="7" t="s">
        <v>327</v>
      </c>
      <c r="C573" s="9">
        <v>46066</v>
      </c>
      <c r="D573" s="9">
        <v>46096</v>
      </c>
      <c r="E573" s="3">
        <v>2397.29</v>
      </c>
      <c r="F573" s="7" t="s">
        <v>369</v>
      </c>
      <c r="H573" s="9"/>
      <c r="I573" s="9"/>
    </row>
    <row r="574" spans="1:9" x14ac:dyDescent="0.3">
      <c r="A574" s="7" t="s">
        <v>5991</v>
      </c>
      <c r="B574" s="7" t="s">
        <v>272</v>
      </c>
      <c r="C574" s="9">
        <v>46076</v>
      </c>
      <c r="D574" s="9">
        <v>46106</v>
      </c>
      <c r="E574" s="3">
        <v>4871.22</v>
      </c>
      <c r="F574" s="7" t="s">
        <v>367</v>
      </c>
      <c r="H574" s="9"/>
      <c r="I574" s="9"/>
    </row>
    <row r="575" spans="1:9" x14ac:dyDescent="0.3">
      <c r="A575" s="7" t="s">
        <v>5992</v>
      </c>
      <c r="B575" s="7" t="s">
        <v>315</v>
      </c>
      <c r="C575" s="9">
        <v>46035</v>
      </c>
      <c r="D575" s="9">
        <v>46065</v>
      </c>
      <c r="E575" s="3">
        <v>1400.99</v>
      </c>
      <c r="F575" s="7" t="s">
        <v>367</v>
      </c>
      <c r="H575" s="9"/>
      <c r="I575" s="9"/>
    </row>
    <row r="576" spans="1:9" x14ac:dyDescent="0.3">
      <c r="A576" s="7" t="s">
        <v>5993</v>
      </c>
      <c r="B576" s="7" t="s">
        <v>289</v>
      </c>
      <c r="C576" s="9">
        <v>46067</v>
      </c>
      <c r="D576" s="9">
        <v>46097</v>
      </c>
      <c r="E576" s="3">
        <v>4782.6499999999996</v>
      </c>
      <c r="F576" s="7" t="s">
        <v>367</v>
      </c>
      <c r="H576" s="9"/>
      <c r="I576" s="9"/>
    </row>
    <row r="577" spans="1:9" x14ac:dyDescent="0.3">
      <c r="A577" s="7" t="s">
        <v>5994</v>
      </c>
      <c r="B577" s="7" t="s">
        <v>293</v>
      </c>
      <c r="C577" s="9">
        <v>46015</v>
      </c>
      <c r="D577" s="9">
        <v>46045</v>
      </c>
      <c r="E577" s="3">
        <v>3398.07</v>
      </c>
      <c r="F577" s="7" t="s">
        <v>369</v>
      </c>
      <c r="H577" s="9"/>
      <c r="I577" s="9"/>
    </row>
    <row r="578" spans="1:9" x14ac:dyDescent="0.3">
      <c r="A578" s="7" t="s">
        <v>5995</v>
      </c>
      <c r="B578" s="7" t="s">
        <v>287</v>
      </c>
      <c r="C578" s="9">
        <v>45979</v>
      </c>
      <c r="D578" s="9">
        <v>46009</v>
      </c>
      <c r="E578" s="3">
        <v>6789.19</v>
      </c>
      <c r="F578" s="7" t="s">
        <v>367</v>
      </c>
      <c r="H578" s="9"/>
      <c r="I578" s="9"/>
    </row>
    <row r="579" spans="1:9" x14ac:dyDescent="0.3">
      <c r="A579" s="7" t="s">
        <v>5996</v>
      </c>
      <c r="B579" s="7" t="s">
        <v>339</v>
      </c>
      <c r="C579" s="9">
        <v>46088</v>
      </c>
      <c r="D579" s="9">
        <v>46118</v>
      </c>
      <c r="E579" s="3">
        <v>4505.25</v>
      </c>
      <c r="F579" s="7" t="s">
        <v>367</v>
      </c>
      <c r="H579" s="9"/>
      <c r="I579" s="9"/>
    </row>
    <row r="580" spans="1:9" x14ac:dyDescent="0.3">
      <c r="A580" s="7" t="s">
        <v>5997</v>
      </c>
      <c r="B580" s="7" t="s">
        <v>325</v>
      </c>
      <c r="C580" s="9">
        <v>45982</v>
      </c>
      <c r="D580" s="9">
        <v>46012</v>
      </c>
      <c r="E580" s="3">
        <v>1998.93</v>
      </c>
      <c r="F580" s="7" t="s">
        <v>367</v>
      </c>
      <c r="H580" s="9"/>
      <c r="I580" s="9"/>
    </row>
    <row r="581" spans="1:9" x14ac:dyDescent="0.3">
      <c r="A581" s="7" t="s">
        <v>5998</v>
      </c>
      <c r="B581" s="7" t="s">
        <v>287</v>
      </c>
      <c r="C581" s="9">
        <v>46077</v>
      </c>
      <c r="D581" s="9">
        <v>46107</v>
      </c>
      <c r="E581" s="3">
        <v>5824.26</v>
      </c>
      <c r="F581" s="7" t="s">
        <v>369</v>
      </c>
      <c r="H581" s="9"/>
      <c r="I581" s="9"/>
    </row>
    <row r="582" spans="1:9" x14ac:dyDescent="0.3">
      <c r="A582" s="7" t="s">
        <v>5999</v>
      </c>
      <c r="B582" s="7" t="s">
        <v>321</v>
      </c>
      <c r="C582" s="9">
        <v>46085</v>
      </c>
      <c r="D582" s="9">
        <v>46115</v>
      </c>
      <c r="E582" s="3">
        <v>2576.9899999999998</v>
      </c>
      <c r="F582" s="7" t="s">
        <v>367</v>
      </c>
      <c r="H582" s="9"/>
      <c r="I582" s="9"/>
    </row>
    <row r="583" spans="1:9" x14ac:dyDescent="0.3">
      <c r="A583" s="7" t="s">
        <v>6000</v>
      </c>
      <c r="B583" s="7" t="s">
        <v>327</v>
      </c>
      <c r="C583" s="9">
        <v>46066</v>
      </c>
      <c r="D583" s="9">
        <v>46096</v>
      </c>
      <c r="E583" s="3">
        <v>3473.76</v>
      </c>
      <c r="F583" s="7" t="s">
        <v>367</v>
      </c>
      <c r="H583" s="9"/>
      <c r="I583" s="9"/>
    </row>
    <row r="584" spans="1:9" x14ac:dyDescent="0.3">
      <c r="A584" s="7" t="s">
        <v>6001</v>
      </c>
      <c r="B584" s="7" t="s">
        <v>281</v>
      </c>
      <c r="C584" s="9">
        <v>46031</v>
      </c>
      <c r="D584" s="9">
        <v>46061</v>
      </c>
      <c r="E584" s="3">
        <v>5601.69</v>
      </c>
      <c r="F584" s="7" t="s">
        <v>367</v>
      </c>
      <c r="H584" s="9"/>
      <c r="I584" s="9"/>
    </row>
    <row r="585" spans="1:9" x14ac:dyDescent="0.3">
      <c r="A585" s="7" t="s">
        <v>6002</v>
      </c>
      <c r="B585" s="7" t="s">
        <v>325</v>
      </c>
      <c r="C585" s="9">
        <v>46039</v>
      </c>
      <c r="D585" s="9">
        <v>46069</v>
      </c>
      <c r="E585" s="3">
        <v>3363.94</v>
      </c>
      <c r="F585" s="7" t="s">
        <v>367</v>
      </c>
      <c r="H585" s="9"/>
      <c r="I585" s="9"/>
    </row>
    <row r="586" spans="1:9" x14ac:dyDescent="0.3">
      <c r="A586" s="7" t="s">
        <v>6003</v>
      </c>
      <c r="B586" s="7" t="s">
        <v>272</v>
      </c>
      <c r="C586" s="9">
        <v>45966</v>
      </c>
      <c r="D586" s="9">
        <v>45996</v>
      </c>
      <c r="E586" s="3">
        <v>5675.85</v>
      </c>
      <c r="F586" s="7" t="s">
        <v>367</v>
      </c>
      <c r="H586" s="9"/>
      <c r="I586" s="9"/>
    </row>
    <row r="587" spans="1:9" x14ac:dyDescent="0.3">
      <c r="A587" s="7" t="s">
        <v>6004</v>
      </c>
      <c r="B587" s="7" t="s">
        <v>309</v>
      </c>
      <c r="C587" s="9">
        <v>46069</v>
      </c>
      <c r="D587" s="9">
        <v>46099</v>
      </c>
      <c r="E587" s="3">
        <v>1356.94</v>
      </c>
      <c r="F587" s="7" t="s">
        <v>367</v>
      </c>
      <c r="H587" s="9"/>
      <c r="I587" s="9"/>
    </row>
    <row r="588" spans="1:9" x14ac:dyDescent="0.3">
      <c r="A588" s="7" t="s">
        <v>6005</v>
      </c>
      <c r="B588" s="7" t="s">
        <v>333</v>
      </c>
      <c r="C588" s="9">
        <v>46062</v>
      </c>
      <c r="D588" s="9">
        <v>46092</v>
      </c>
      <c r="E588" s="3">
        <v>4477.1499999999996</v>
      </c>
      <c r="F588" s="7" t="s">
        <v>367</v>
      </c>
      <c r="H588" s="9"/>
      <c r="I588" s="9"/>
    </row>
    <row r="589" spans="1:9" x14ac:dyDescent="0.3">
      <c r="A589" s="7" t="s">
        <v>6006</v>
      </c>
      <c r="B589" s="7" t="s">
        <v>289</v>
      </c>
      <c r="C589" s="9">
        <v>46023</v>
      </c>
      <c r="D589" s="9">
        <v>46053</v>
      </c>
      <c r="E589" s="3">
        <v>6823.92</v>
      </c>
      <c r="F589" s="7" t="s">
        <v>367</v>
      </c>
      <c r="H589" s="9"/>
      <c r="I589" s="9"/>
    </row>
    <row r="590" spans="1:9" x14ac:dyDescent="0.3">
      <c r="A590" s="7" t="s">
        <v>6007</v>
      </c>
      <c r="B590" s="7" t="s">
        <v>335</v>
      </c>
      <c r="C590" s="9">
        <v>46066</v>
      </c>
      <c r="D590" s="9">
        <v>46096</v>
      </c>
      <c r="E590" s="3">
        <v>5727.67</v>
      </c>
      <c r="F590" s="7" t="s">
        <v>367</v>
      </c>
      <c r="H590" s="9"/>
      <c r="I590" s="9"/>
    </row>
    <row r="591" spans="1:9" x14ac:dyDescent="0.3">
      <c r="A591" s="7" t="s">
        <v>6008</v>
      </c>
      <c r="B591" s="7" t="s">
        <v>333</v>
      </c>
      <c r="C591" s="9">
        <v>45983</v>
      </c>
      <c r="D591" s="9">
        <v>46013</v>
      </c>
      <c r="E591" s="3">
        <v>5400.32</v>
      </c>
      <c r="F591" s="7" t="s">
        <v>369</v>
      </c>
      <c r="H591" s="9"/>
      <c r="I591" s="9"/>
    </row>
    <row r="592" spans="1:9" x14ac:dyDescent="0.3">
      <c r="A592" s="7" t="s">
        <v>6009</v>
      </c>
      <c r="B592" s="7" t="s">
        <v>305</v>
      </c>
      <c r="C592" s="9">
        <v>45986</v>
      </c>
      <c r="D592" s="9">
        <v>46016</v>
      </c>
      <c r="E592" s="3">
        <v>6350.22</v>
      </c>
      <c r="F592" s="7" t="s">
        <v>367</v>
      </c>
      <c r="H592" s="9"/>
      <c r="I592" s="9"/>
    </row>
    <row r="593" spans="1:9" x14ac:dyDescent="0.3">
      <c r="A593" s="7" t="s">
        <v>6010</v>
      </c>
      <c r="B593" s="7" t="s">
        <v>343</v>
      </c>
      <c r="C593" s="9">
        <v>46004</v>
      </c>
      <c r="D593" s="9">
        <v>46034</v>
      </c>
      <c r="E593" s="3">
        <v>3232.88</v>
      </c>
      <c r="F593" s="7" t="s">
        <v>367</v>
      </c>
      <c r="H593" s="9"/>
      <c r="I593" s="9"/>
    </row>
    <row r="594" spans="1:9" x14ac:dyDescent="0.3">
      <c r="A594" s="7" t="s">
        <v>6011</v>
      </c>
      <c r="B594" s="7" t="s">
        <v>279</v>
      </c>
      <c r="C594" s="9">
        <v>46066</v>
      </c>
      <c r="D594" s="9">
        <v>46096</v>
      </c>
      <c r="E594" s="3">
        <v>6515.32</v>
      </c>
      <c r="F594" s="7" t="s">
        <v>367</v>
      </c>
      <c r="H594" s="9"/>
      <c r="I594" s="9"/>
    </row>
    <row r="595" spans="1:9" x14ac:dyDescent="0.3">
      <c r="A595" s="7" t="s">
        <v>6012</v>
      </c>
      <c r="B595" s="7" t="s">
        <v>261</v>
      </c>
      <c r="C595" s="9">
        <v>45991</v>
      </c>
      <c r="D595" s="9">
        <v>46021</v>
      </c>
      <c r="E595" s="3">
        <v>1113.5899999999999</v>
      </c>
      <c r="F595" s="7" t="s">
        <v>367</v>
      </c>
      <c r="H595" s="9"/>
      <c r="I595" s="9"/>
    </row>
    <row r="596" spans="1:9" x14ac:dyDescent="0.3">
      <c r="A596" s="7" t="s">
        <v>6013</v>
      </c>
      <c r="B596" s="7" t="s">
        <v>303</v>
      </c>
      <c r="C596" s="9">
        <v>45964</v>
      </c>
      <c r="D596" s="9">
        <v>45994</v>
      </c>
      <c r="E596" s="3">
        <v>2777.39</v>
      </c>
      <c r="F596" s="7" t="s">
        <v>367</v>
      </c>
      <c r="H596" s="9"/>
      <c r="I596" s="9"/>
    </row>
    <row r="597" spans="1:9" x14ac:dyDescent="0.3">
      <c r="A597" s="7" t="s">
        <v>6014</v>
      </c>
      <c r="B597" s="7" t="s">
        <v>264</v>
      </c>
      <c r="C597" s="9">
        <v>46056</v>
      </c>
      <c r="D597" s="9">
        <v>46086</v>
      </c>
      <c r="E597" s="3">
        <v>6965.66</v>
      </c>
      <c r="F597" s="7" t="s">
        <v>367</v>
      </c>
      <c r="H597" s="9"/>
      <c r="I597" s="9"/>
    </row>
    <row r="598" spans="1:9" x14ac:dyDescent="0.3">
      <c r="A598" s="7" t="s">
        <v>6015</v>
      </c>
      <c r="B598" s="7" t="s">
        <v>333</v>
      </c>
      <c r="C598" s="9">
        <v>45975</v>
      </c>
      <c r="D598" s="9">
        <v>46005</v>
      </c>
      <c r="E598" s="3">
        <v>1727.59</v>
      </c>
      <c r="F598" s="7" t="s">
        <v>367</v>
      </c>
      <c r="H598" s="9"/>
      <c r="I598" s="9"/>
    </row>
    <row r="599" spans="1:9" x14ac:dyDescent="0.3">
      <c r="A599" s="7" t="s">
        <v>6016</v>
      </c>
      <c r="B599" s="7" t="s">
        <v>291</v>
      </c>
      <c r="C599" s="9">
        <v>46018</v>
      </c>
      <c r="D599" s="9">
        <v>46048</v>
      </c>
      <c r="E599" s="3">
        <v>4449.1099999999997</v>
      </c>
      <c r="F599" s="7" t="s">
        <v>367</v>
      </c>
      <c r="H599" s="9"/>
      <c r="I599" s="9"/>
    </row>
    <row r="600" spans="1:9" x14ac:dyDescent="0.3">
      <c r="A600" s="7" t="s">
        <v>6017</v>
      </c>
      <c r="B600" s="7" t="s">
        <v>267</v>
      </c>
      <c r="C600" s="9">
        <v>46026</v>
      </c>
      <c r="D600" s="9">
        <v>46056</v>
      </c>
      <c r="E600" s="3">
        <v>2278.9899999999998</v>
      </c>
      <c r="F600" s="7" t="s">
        <v>367</v>
      </c>
      <c r="H600" s="9"/>
      <c r="I600" s="9"/>
    </row>
    <row r="601" spans="1:9" x14ac:dyDescent="0.3">
      <c r="A601" s="7" t="s">
        <v>6018</v>
      </c>
      <c r="B601" s="7" t="s">
        <v>335</v>
      </c>
      <c r="C601" s="9">
        <v>46007</v>
      </c>
      <c r="D601" s="9">
        <v>46037</v>
      </c>
      <c r="E601" s="3">
        <v>3275.91</v>
      </c>
      <c r="F601" s="7" t="s">
        <v>369</v>
      </c>
      <c r="H601" s="9"/>
      <c r="I601" s="9"/>
    </row>
    <row r="602" spans="1:9" x14ac:dyDescent="0.3">
      <c r="A602" s="7" t="s">
        <v>6019</v>
      </c>
      <c r="B602" s="7" t="s">
        <v>264</v>
      </c>
      <c r="C602" s="9">
        <v>46017</v>
      </c>
      <c r="D602" s="9">
        <v>46047</v>
      </c>
      <c r="E602" s="3">
        <v>4892.4399999999996</v>
      </c>
      <c r="F602" s="7" t="s">
        <v>367</v>
      </c>
      <c r="H602" s="9"/>
      <c r="I602" s="9"/>
    </row>
    <row r="603" spans="1:9" x14ac:dyDescent="0.3">
      <c r="A603" s="7" t="s">
        <v>6020</v>
      </c>
      <c r="B603" s="7" t="s">
        <v>315</v>
      </c>
      <c r="C603" s="9">
        <v>46063</v>
      </c>
      <c r="D603" s="9">
        <v>46093</v>
      </c>
      <c r="E603" s="3">
        <v>2794.51</v>
      </c>
      <c r="F603" s="7" t="s">
        <v>367</v>
      </c>
      <c r="H603" s="9"/>
      <c r="I603" s="9"/>
    </row>
    <row r="604" spans="1:9" x14ac:dyDescent="0.3">
      <c r="A604" s="7" t="s">
        <v>6021</v>
      </c>
      <c r="B604" s="7" t="s">
        <v>313</v>
      </c>
      <c r="C604" s="9">
        <v>45981</v>
      </c>
      <c r="D604" s="9">
        <v>46011</v>
      </c>
      <c r="E604" s="3">
        <v>2551.4</v>
      </c>
      <c r="F604" s="7" t="s">
        <v>367</v>
      </c>
      <c r="H604" s="9"/>
      <c r="I604" s="9"/>
    </row>
    <row r="605" spans="1:9" x14ac:dyDescent="0.3">
      <c r="A605" s="7" t="s">
        <v>6022</v>
      </c>
      <c r="B605" s="7" t="s">
        <v>291</v>
      </c>
      <c r="C605" s="9">
        <v>46091</v>
      </c>
      <c r="D605" s="9">
        <v>46121</v>
      </c>
      <c r="E605" s="3">
        <v>5278.72</v>
      </c>
      <c r="F605" s="7" t="s">
        <v>367</v>
      </c>
      <c r="H605" s="9"/>
      <c r="I605" s="9"/>
    </row>
    <row r="606" spans="1:9" x14ac:dyDescent="0.3">
      <c r="A606" s="7" t="s">
        <v>6023</v>
      </c>
      <c r="B606" s="7" t="s">
        <v>289</v>
      </c>
      <c r="C606" s="9">
        <v>46020</v>
      </c>
      <c r="D606" s="9">
        <v>46050</v>
      </c>
      <c r="E606" s="3">
        <v>1144.06</v>
      </c>
      <c r="F606" s="7" t="s">
        <v>367</v>
      </c>
      <c r="H606" s="9"/>
      <c r="I606" s="9"/>
    </row>
    <row r="607" spans="1:9" x14ac:dyDescent="0.3">
      <c r="A607" s="7" t="s">
        <v>6024</v>
      </c>
      <c r="B607" s="7" t="s">
        <v>297</v>
      </c>
      <c r="C607" s="9">
        <v>46074</v>
      </c>
      <c r="D607" s="9">
        <v>46104</v>
      </c>
      <c r="E607" s="3">
        <v>6070.03</v>
      </c>
      <c r="F607" s="7" t="s">
        <v>367</v>
      </c>
      <c r="H607" s="9"/>
      <c r="I607" s="9"/>
    </row>
    <row r="608" spans="1:9" x14ac:dyDescent="0.3">
      <c r="A608" s="7" t="s">
        <v>6025</v>
      </c>
      <c r="B608" s="7" t="s">
        <v>319</v>
      </c>
      <c r="C608" s="9">
        <v>46051</v>
      </c>
      <c r="D608" s="9">
        <v>46081</v>
      </c>
      <c r="E608" s="3">
        <v>3821.77</v>
      </c>
      <c r="F608" s="7" t="s">
        <v>367</v>
      </c>
      <c r="H608" s="9"/>
      <c r="I608" s="9"/>
    </row>
    <row r="609" spans="1:9" x14ac:dyDescent="0.3">
      <c r="A609" s="7" t="s">
        <v>6026</v>
      </c>
      <c r="B609" s="7" t="s">
        <v>325</v>
      </c>
      <c r="C609" s="9">
        <v>45987</v>
      </c>
      <c r="D609" s="9">
        <v>46017</v>
      </c>
      <c r="E609" s="3">
        <v>6952.88</v>
      </c>
      <c r="F609" s="7" t="s">
        <v>367</v>
      </c>
      <c r="H609" s="9"/>
      <c r="I609" s="9"/>
    </row>
    <row r="610" spans="1:9" x14ac:dyDescent="0.3">
      <c r="A610" s="7" t="s">
        <v>6027</v>
      </c>
      <c r="B610" s="7" t="s">
        <v>279</v>
      </c>
      <c r="C610" s="9">
        <v>45971</v>
      </c>
      <c r="D610" s="9">
        <v>46001</v>
      </c>
      <c r="E610" s="3">
        <v>4516.8100000000004</v>
      </c>
      <c r="F610" s="7" t="s">
        <v>367</v>
      </c>
      <c r="H610" s="9"/>
      <c r="I610" s="9"/>
    </row>
    <row r="611" spans="1:9" x14ac:dyDescent="0.3">
      <c r="A611" s="7" t="s">
        <v>6028</v>
      </c>
      <c r="B611" s="7" t="s">
        <v>301</v>
      </c>
      <c r="C611" s="9">
        <v>46067</v>
      </c>
      <c r="D611" s="9">
        <v>46097</v>
      </c>
      <c r="E611" s="3">
        <v>6167.05</v>
      </c>
      <c r="F611" s="7" t="s">
        <v>367</v>
      </c>
      <c r="H611" s="9"/>
      <c r="I611" s="9"/>
    </row>
    <row r="612" spans="1:9" x14ac:dyDescent="0.3">
      <c r="A612" s="7" t="s">
        <v>6029</v>
      </c>
      <c r="B612" s="7" t="s">
        <v>283</v>
      </c>
      <c r="C612" s="9">
        <v>46067</v>
      </c>
      <c r="D612" s="9">
        <v>46097</v>
      </c>
      <c r="E612" s="3">
        <v>5826.69</v>
      </c>
      <c r="F612" s="7" t="s">
        <v>367</v>
      </c>
      <c r="H612" s="9"/>
      <c r="I612" s="9"/>
    </row>
    <row r="613" spans="1:9" x14ac:dyDescent="0.3">
      <c r="A613" s="7" t="s">
        <v>6030</v>
      </c>
      <c r="B613" s="7" t="s">
        <v>333</v>
      </c>
      <c r="C613" s="9">
        <v>46026</v>
      </c>
      <c r="D613" s="9">
        <v>46056</v>
      </c>
      <c r="E613" s="3">
        <v>2509.1999999999998</v>
      </c>
      <c r="F613" s="7" t="s">
        <v>367</v>
      </c>
      <c r="H613" s="9"/>
      <c r="I613" s="9"/>
    </row>
    <row r="614" spans="1:9" x14ac:dyDescent="0.3">
      <c r="A614" s="7" t="s">
        <v>6031</v>
      </c>
      <c r="B614" s="7" t="s">
        <v>285</v>
      </c>
      <c r="C614" s="9">
        <v>46033</v>
      </c>
      <c r="D614" s="9">
        <v>46063</v>
      </c>
      <c r="E614" s="3">
        <v>5762.12</v>
      </c>
      <c r="F614" s="7" t="s">
        <v>367</v>
      </c>
      <c r="H614" s="9"/>
      <c r="I614" s="9"/>
    </row>
    <row r="615" spans="1:9" x14ac:dyDescent="0.3">
      <c r="A615" s="7" t="s">
        <v>6032</v>
      </c>
      <c r="B615" s="7" t="s">
        <v>279</v>
      </c>
      <c r="C615" s="9">
        <v>46080</v>
      </c>
      <c r="D615" s="9">
        <v>46110</v>
      </c>
      <c r="E615" s="3">
        <v>4482.8</v>
      </c>
      <c r="F615" s="7" t="s">
        <v>367</v>
      </c>
      <c r="H615" s="9"/>
      <c r="I615" s="9"/>
    </row>
    <row r="616" spans="1:9" x14ac:dyDescent="0.3">
      <c r="A616" s="7" t="s">
        <v>6033</v>
      </c>
      <c r="B616" s="7" t="s">
        <v>285</v>
      </c>
      <c r="C616" s="9">
        <v>45979</v>
      </c>
      <c r="D616" s="9">
        <v>46009</v>
      </c>
      <c r="E616" s="3">
        <v>1709.79</v>
      </c>
      <c r="F616" s="7" t="s">
        <v>367</v>
      </c>
      <c r="H616" s="9"/>
      <c r="I616" s="9"/>
    </row>
    <row r="617" spans="1:9" x14ac:dyDescent="0.3">
      <c r="A617" s="7" t="s">
        <v>6034</v>
      </c>
      <c r="B617" s="7" t="s">
        <v>261</v>
      </c>
      <c r="C617" s="9">
        <v>45963</v>
      </c>
      <c r="D617" s="9">
        <v>45993</v>
      </c>
      <c r="E617" s="3">
        <v>3751.5</v>
      </c>
      <c r="F617" s="7" t="s">
        <v>387</v>
      </c>
      <c r="H617" s="9"/>
      <c r="I617" s="9"/>
    </row>
    <row r="618" spans="1:9" x14ac:dyDescent="0.3">
      <c r="A618" s="7" t="s">
        <v>6035</v>
      </c>
      <c r="B618" s="7" t="s">
        <v>299</v>
      </c>
      <c r="C618" s="9">
        <v>45982</v>
      </c>
      <c r="D618" s="9">
        <v>46012</v>
      </c>
      <c r="E618" s="3">
        <v>2636.85</v>
      </c>
      <c r="F618" s="7" t="s">
        <v>369</v>
      </c>
      <c r="H618" s="9"/>
      <c r="I618" s="9"/>
    </row>
    <row r="619" spans="1:9" x14ac:dyDescent="0.3">
      <c r="A619" s="7" t="s">
        <v>6036</v>
      </c>
      <c r="B619" s="7" t="s">
        <v>333</v>
      </c>
      <c r="C619" s="9">
        <v>46071</v>
      </c>
      <c r="D619" s="9">
        <v>46101</v>
      </c>
      <c r="E619" s="3">
        <v>5009.16</v>
      </c>
      <c r="F619" s="7" t="s">
        <v>367</v>
      </c>
      <c r="H619" s="9"/>
      <c r="I619" s="9"/>
    </row>
    <row r="620" spans="1:9" x14ac:dyDescent="0.3">
      <c r="A620" s="7" t="s">
        <v>6037</v>
      </c>
      <c r="B620" s="7" t="s">
        <v>289</v>
      </c>
      <c r="C620" s="9">
        <v>46087</v>
      </c>
      <c r="D620" s="9">
        <v>46117</v>
      </c>
      <c r="E620" s="3">
        <v>1295.56</v>
      </c>
      <c r="F620" s="7" t="s">
        <v>369</v>
      </c>
      <c r="H620" s="9"/>
      <c r="I620" s="9"/>
    </row>
    <row r="621" spans="1:9" x14ac:dyDescent="0.3">
      <c r="A621" s="7" t="s">
        <v>6038</v>
      </c>
      <c r="B621" s="7" t="s">
        <v>272</v>
      </c>
      <c r="C621" s="9">
        <v>46071</v>
      </c>
      <c r="D621" s="9">
        <v>46101</v>
      </c>
      <c r="E621" s="3">
        <v>5901.82</v>
      </c>
      <c r="F621" s="7" t="s">
        <v>367</v>
      </c>
      <c r="H621" s="9"/>
      <c r="I621" s="9"/>
    </row>
    <row r="622" spans="1:9" x14ac:dyDescent="0.3">
      <c r="A622" s="7" t="s">
        <v>6039</v>
      </c>
      <c r="B622" s="7" t="s">
        <v>337</v>
      </c>
      <c r="C622" s="9">
        <v>46062</v>
      </c>
      <c r="D622" s="9">
        <v>46092</v>
      </c>
      <c r="E622" s="3">
        <v>2488.2600000000002</v>
      </c>
      <c r="F622" s="7" t="s">
        <v>369</v>
      </c>
      <c r="H622" s="9"/>
      <c r="I622" s="9"/>
    </row>
    <row r="623" spans="1:9" x14ac:dyDescent="0.3">
      <c r="A623" s="7" t="s">
        <v>6040</v>
      </c>
      <c r="B623" s="7" t="s">
        <v>317</v>
      </c>
      <c r="C623" s="9">
        <v>46002</v>
      </c>
      <c r="D623" s="9">
        <v>46032</v>
      </c>
      <c r="E623" s="3">
        <v>1620.08</v>
      </c>
      <c r="F623" s="7" t="s">
        <v>367</v>
      </c>
      <c r="H623" s="9"/>
      <c r="I623" s="9"/>
    </row>
    <row r="624" spans="1:9" x14ac:dyDescent="0.3">
      <c r="A624" s="7" t="s">
        <v>6041</v>
      </c>
      <c r="B624" s="7" t="s">
        <v>337</v>
      </c>
      <c r="C624" s="9">
        <v>46014</v>
      </c>
      <c r="D624" s="9">
        <v>46044</v>
      </c>
      <c r="E624" s="3">
        <v>3130.75</v>
      </c>
      <c r="F624" s="7" t="s">
        <v>367</v>
      </c>
      <c r="H624" s="9"/>
      <c r="I624" s="9"/>
    </row>
    <row r="625" spans="1:9" x14ac:dyDescent="0.3">
      <c r="A625" s="7" t="s">
        <v>6042</v>
      </c>
      <c r="B625" s="7" t="s">
        <v>281</v>
      </c>
      <c r="C625" s="9">
        <v>46005</v>
      </c>
      <c r="D625" s="9">
        <v>46035</v>
      </c>
      <c r="E625" s="3">
        <v>5444.05</v>
      </c>
      <c r="F625" s="7" t="s">
        <v>367</v>
      </c>
      <c r="H625" s="9"/>
      <c r="I625" s="9"/>
    </row>
    <row r="626" spans="1:9" x14ac:dyDescent="0.3">
      <c r="A626" s="7" t="s">
        <v>6043</v>
      </c>
      <c r="B626" s="7" t="s">
        <v>264</v>
      </c>
      <c r="C626" s="9">
        <v>46059</v>
      </c>
      <c r="D626" s="9">
        <v>46089</v>
      </c>
      <c r="E626" s="3">
        <v>1604.39</v>
      </c>
      <c r="F626" s="7" t="s">
        <v>367</v>
      </c>
      <c r="H626" s="9"/>
      <c r="I626" s="9"/>
    </row>
    <row r="627" spans="1:9" x14ac:dyDescent="0.3">
      <c r="A627" s="7" t="s">
        <v>6044</v>
      </c>
      <c r="B627" s="7" t="s">
        <v>261</v>
      </c>
      <c r="C627" s="9">
        <v>45987</v>
      </c>
      <c r="D627" s="9">
        <v>46017</v>
      </c>
      <c r="E627" s="3">
        <v>2139.71</v>
      </c>
      <c r="F627" s="7" t="s">
        <v>367</v>
      </c>
      <c r="H627" s="9"/>
      <c r="I627" s="9"/>
    </row>
    <row r="628" spans="1:9" x14ac:dyDescent="0.3">
      <c r="A628" s="7" t="s">
        <v>6045</v>
      </c>
      <c r="B628" s="7" t="s">
        <v>307</v>
      </c>
      <c r="C628" s="9">
        <v>45974</v>
      </c>
      <c r="D628" s="9">
        <v>46004</v>
      </c>
      <c r="E628" s="3">
        <v>6554.38</v>
      </c>
      <c r="F628" s="7" t="s">
        <v>367</v>
      </c>
      <c r="H628" s="9"/>
      <c r="I628" s="9"/>
    </row>
    <row r="629" spans="1:9" x14ac:dyDescent="0.3">
      <c r="A629" s="7" t="s">
        <v>6046</v>
      </c>
      <c r="B629" s="7" t="s">
        <v>315</v>
      </c>
      <c r="C629" s="9">
        <v>46081</v>
      </c>
      <c r="D629" s="9">
        <v>46111</v>
      </c>
      <c r="E629" s="3">
        <v>3254.02</v>
      </c>
      <c r="F629" s="7" t="s">
        <v>367</v>
      </c>
      <c r="H629" s="9"/>
      <c r="I629" s="9"/>
    </row>
    <row r="630" spans="1:9" x14ac:dyDescent="0.3">
      <c r="A630" s="7" t="s">
        <v>6047</v>
      </c>
      <c r="B630" s="7" t="s">
        <v>267</v>
      </c>
      <c r="C630" s="9">
        <v>46082</v>
      </c>
      <c r="D630" s="9">
        <v>46112</v>
      </c>
      <c r="E630" s="3">
        <v>1601.45</v>
      </c>
      <c r="F630" s="7" t="s">
        <v>367</v>
      </c>
      <c r="H630" s="9"/>
      <c r="I630" s="9"/>
    </row>
    <row r="631" spans="1:9" x14ac:dyDescent="0.3">
      <c r="A631" s="7" t="s">
        <v>6048</v>
      </c>
      <c r="B631" s="7" t="s">
        <v>319</v>
      </c>
      <c r="C631" s="9">
        <v>46068</v>
      </c>
      <c r="D631" s="9">
        <v>46098</v>
      </c>
      <c r="E631" s="3">
        <v>2449.09</v>
      </c>
      <c r="F631" s="7" t="s">
        <v>367</v>
      </c>
      <c r="H631" s="9"/>
      <c r="I631" s="9"/>
    </row>
    <row r="632" spans="1:9" x14ac:dyDescent="0.3">
      <c r="A632" s="7" t="s">
        <v>6049</v>
      </c>
      <c r="B632" s="7" t="s">
        <v>279</v>
      </c>
      <c r="C632" s="9">
        <v>46052</v>
      </c>
      <c r="D632" s="9">
        <v>46082</v>
      </c>
      <c r="E632" s="3">
        <v>867.88</v>
      </c>
      <c r="F632" s="7" t="s">
        <v>367</v>
      </c>
      <c r="H632" s="9"/>
      <c r="I632" s="9"/>
    </row>
    <row r="633" spans="1:9" x14ac:dyDescent="0.3">
      <c r="A633" s="7" t="s">
        <v>6050</v>
      </c>
      <c r="B633" s="7" t="s">
        <v>279</v>
      </c>
      <c r="C633" s="9">
        <v>45984</v>
      </c>
      <c r="D633" s="9">
        <v>46014</v>
      </c>
      <c r="E633" s="3">
        <v>6928.31</v>
      </c>
      <c r="F633" s="7" t="s">
        <v>367</v>
      </c>
      <c r="H633" s="9"/>
      <c r="I633" s="9"/>
    </row>
    <row r="634" spans="1:9" x14ac:dyDescent="0.3">
      <c r="A634" s="7" t="s">
        <v>6051</v>
      </c>
      <c r="B634" s="7" t="s">
        <v>264</v>
      </c>
      <c r="C634" s="9">
        <v>46031</v>
      </c>
      <c r="D634" s="9">
        <v>46061</v>
      </c>
      <c r="E634" s="3">
        <v>1687.61</v>
      </c>
      <c r="F634" s="7" t="s">
        <v>367</v>
      </c>
      <c r="H634" s="9"/>
      <c r="I634" s="9"/>
    </row>
    <row r="635" spans="1:9" x14ac:dyDescent="0.3">
      <c r="A635" s="7" t="s">
        <v>6052</v>
      </c>
      <c r="B635" s="7" t="s">
        <v>307</v>
      </c>
      <c r="C635" s="9">
        <v>46031</v>
      </c>
      <c r="D635" s="9">
        <v>46061</v>
      </c>
      <c r="E635" s="3">
        <v>1780.09</v>
      </c>
      <c r="F635" s="7" t="s">
        <v>367</v>
      </c>
      <c r="H635" s="9"/>
      <c r="I635" s="9"/>
    </row>
    <row r="636" spans="1:9" x14ac:dyDescent="0.3">
      <c r="A636" s="7" t="s">
        <v>6053</v>
      </c>
      <c r="B636" s="7" t="s">
        <v>337</v>
      </c>
      <c r="C636" s="9">
        <v>46076</v>
      </c>
      <c r="D636" s="9">
        <v>46106</v>
      </c>
      <c r="E636" s="3">
        <v>3698.44</v>
      </c>
      <c r="F636" s="7" t="s">
        <v>367</v>
      </c>
      <c r="H636" s="9"/>
      <c r="I636" s="9"/>
    </row>
    <row r="637" spans="1:9" x14ac:dyDescent="0.3">
      <c r="A637" s="7" t="s">
        <v>6054</v>
      </c>
      <c r="B637" s="7" t="s">
        <v>337</v>
      </c>
      <c r="C637" s="9">
        <v>45967</v>
      </c>
      <c r="D637" s="9">
        <v>45997</v>
      </c>
      <c r="E637" s="3">
        <v>4825.46</v>
      </c>
      <c r="F637" s="7" t="s">
        <v>367</v>
      </c>
      <c r="H637" s="9"/>
      <c r="I637" s="9"/>
    </row>
    <row r="638" spans="1:9" x14ac:dyDescent="0.3">
      <c r="A638" s="7" t="s">
        <v>6055</v>
      </c>
      <c r="B638" s="7" t="s">
        <v>269</v>
      </c>
      <c r="C638" s="9">
        <v>46067</v>
      </c>
      <c r="D638" s="9">
        <v>46097</v>
      </c>
      <c r="E638" s="3">
        <v>4664.34</v>
      </c>
      <c r="F638" s="7" t="s">
        <v>367</v>
      </c>
      <c r="H638" s="9"/>
      <c r="I638" s="9"/>
    </row>
    <row r="639" spans="1:9" x14ac:dyDescent="0.3">
      <c r="A639" s="7" t="s">
        <v>6056</v>
      </c>
      <c r="B639" s="7" t="s">
        <v>323</v>
      </c>
      <c r="C639" s="9">
        <v>45969</v>
      </c>
      <c r="D639" s="9">
        <v>45999</v>
      </c>
      <c r="E639" s="3">
        <v>2962.66</v>
      </c>
      <c r="F639" s="7" t="s">
        <v>369</v>
      </c>
      <c r="H639" s="9"/>
      <c r="I639" s="9"/>
    </row>
    <row r="640" spans="1:9" x14ac:dyDescent="0.3">
      <c r="A640" s="7" t="s">
        <v>6057</v>
      </c>
      <c r="B640" s="7" t="s">
        <v>305</v>
      </c>
      <c r="C640" s="9">
        <v>46002</v>
      </c>
      <c r="D640" s="9">
        <v>46032</v>
      </c>
      <c r="E640" s="3">
        <v>2398.3000000000002</v>
      </c>
      <c r="F640" s="7" t="s">
        <v>367</v>
      </c>
      <c r="H640" s="9"/>
      <c r="I640" s="9"/>
    </row>
    <row r="641" spans="1:9" x14ac:dyDescent="0.3">
      <c r="A641" s="7" t="s">
        <v>6058</v>
      </c>
      <c r="B641" s="7" t="s">
        <v>281</v>
      </c>
      <c r="C641" s="9">
        <v>46033</v>
      </c>
      <c r="D641" s="9">
        <v>46063</v>
      </c>
      <c r="E641" s="3">
        <v>1071.8399999999999</v>
      </c>
      <c r="F641" s="7" t="s">
        <v>367</v>
      </c>
      <c r="H641" s="9"/>
      <c r="I641" s="9"/>
    </row>
    <row r="642" spans="1:9" x14ac:dyDescent="0.3">
      <c r="A642" s="7" t="s">
        <v>6059</v>
      </c>
      <c r="B642" s="7" t="s">
        <v>301</v>
      </c>
      <c r="C642" s="9">
        <v>46038</v>
      </c>
      <c r="D642" s="9">
        <v>46068</v>
      </c>
      <c r="E642" s="3">
        <v>5099.6099999999997</v>
      </c>
      <c r="F642" s="7" t="s">
        <v>369</v>
      </c>
      <c r="H642" s="9"/>
      <c r="I642" s="9"/>
    </row>
    <row r="643" spans="1:9" x14ac:dyDescent="0.3">
      <c r="A643" s="7" t="s">
        <v>6060</v>
      </c>
      <c r="B643" s="7" t="s">
        <v>274</v>
      </c>
      <c r="C643" s="9">
        <v>45979</v>
      </c>
      <c r="D643" s="9">
        <v>46009</v>
      </c>
      <c r="E643" s="3">
        <v>1571.01</v>
      </c>
      <c r="F643" s="7" t="s">
        <v>367</v>
      </c>
      <c r="H643" s="9"/>
      <c r="I643" s="9"/>
    </row>
    <row r="644" spans="1:9" x14ac:dyDescent="0.3">
      <c r="A644" s="7" t="s">
        <v>6061</v>
      </c>
      <c r="B644" s="7" t="s">
        <v>335</v>
      </c>
      <c r="C644" s="9">
        <v>46018</v>
      </c>
      <c r="D644" s="9">
        <v>46048</v>
      </c>
      <c r="E644" s="3">
        <v>4490.51</v>
      </c>
      <c r="F644" s="7" t="s">
        <v>367</v>
      </c>
      <c r="H644" s="9"/>
      <c r="I644" s="9"/>
    </row>
    <row r="645" spans="1:9" x14ac:dyDescent="0.3">
      <c r="A645" s="7" t="s">
        <v>6062</v>
      </c>
      <c r="B645" s="7" t="s">
        <v>291</v>
      </c>
      <c r="C645" s="9">
        <v>45975</v>
      </c>
      <c r="D645" s="9">
        <v>46005</v>
      </c>
      <c r="E645" s="3">
        <v>2557.04</v>
      </c>
      <c r="F645" s="7" t="s">
        <v>369</v>
      </c>
      <c r="H645" s="9"/>
      <c r="I645" s="9"/>
    </row>
    <row r="646" spans="1:9" x14ac:dyDescent="0.3">
      <c r="A646" s="7" t="s">
        <v>6063</v>
      </c>
      <c r="B646" s="7" t="s">
        <v>315</v>
      </c>
      <c r="C646" s="9">
        <v>46013</v>
      </c>
      <c r="D646" s="9">
        <v>46043</v>
      </c>
      <c r="E646" s="3">
        <v>6878.18</v>
      </c>
      <c r="F646" s="7" t="s">
        <v>367</v>
      </c>
      <c r="H646" s="9"/>
      <c r="I646" s="9"/>
    </row>
    <row r="647" spans="1:9" x14ac:dyDescent="0.3">
      <c r="A647" s="7" t="s">
        <v>6064</v>
      </c>
      <c r="B647" s="7" t="s">
        <v>311</v>
      </c>
      <c r="C647" s="9">
        <v>46075</v>
      </c>
      <c r="D647" s="9">
        <v>46105</v>
      </c>
      <c r="E647" s="3">
        <v>1726.33</v>
      </c>
      <c r="F647" s="7" t="s">
        <v>367</v>
      </c>
      <c r="H647" s="9"/>
      <c r="I647" s="9"/>
    </row>
    <row r="648" spans="1:9" x14ac:dyDescent="0.3">
      <c r="A648" s="7" t="s">
        <v>6065</v>
      </c>
      <c r="B648" s="7" t="s">
        <v>305</v>
      </c>
      <c r="C648" s="9">
        <v>46065</v>
      </c>
      <c r="D648" s="9">
        <v>46095</v>
      </c>
      <c r="E648" s="3">
        <v>5136.3500000000004</v>
      </c>
      <c r="F648" s="7" t="s">
        <v>367</v>
      </c>
      <c r="H648" s="9"/>
      <c r="I648" s="9"/>
    </row>
    <row r="649" spans="1:9" x14ac:dyDescent="0.3">
      <c r="A649" s="7" t="s">
        <v>6066</v>
      </c>
      <c r="B649" s="7" t="s">
        <v>276</v>
      </c>
      <c r="C649" s="9">
        <v>45963</v>
      </c>
      <c r="D649" s="9">
        <v>45993</v>
      </c>
      <c r="E649" s="3">
        <v>5827.33</v>
      </c>
      <c r="F649" s="7" t="s">
        <v>369</v>
      </c>
      <c r="H649" s="9"/>
      <c r="I649" s="9"/>
    </row>
    <row r="650" spans="1:9" x14ac:dyDescent="0.3">
      <c r="A650" s="7" t="s">
        <v>6067</v>
      </c>
      <c r="B650" s="7" t="s">
        <v>319</v>
      </c>
      <c r="C650" s="9">
        <v>46057</v>
      </c>
      <c r="D650" s="9">
        <v>46087</v>
      </c>
      <c r="E650" s="3">
        <v>989</v>
      </c>
      <c r="F650" s="7" t="s">
        <v>367</v>
      </c>
      <c r="H650" s="9"/>
      <c r="I650" s="9"/>
    </row>
    <row r="651" spans="1:9" x14ac:dyDescent="0.3">
      <c r="A651" s="7" t="s">
        <v>6068</v>
      </c>
      <c r="B651" s="7" t="s">
        <v>283</v>
      </c>
      <c r="C651" s="9">
        <v>45971</v>
      </c>
      <c r="D651" s="9">
        <v>46001</v>
      </c>
      <c r="E651" s="3">
        <v>5498.17</v>
      </c>
      <c r="F651" s="7" t="s">
        <v>369</v>
      </c>
      <c r="H651" s="9"/>
      <c r="I651" s="9"/>
    </row>
    <row r="652" spans="1:9" x14ac:dyDescent="0.3">
      <c r="A652" s="7" t="s">
        <v>6069</v>
      </c>
      <c r="B652" s="7" t="s">
        <v>281</v>
      </c>
      <c r="C652" s="9">
        <v>46083</v>
      </c>
      <c r="D652" s="9">
        <v>46113</v>
      </c>
      <c r="E652" s="3">
        <v>2019.79</v>
      </c>
      <c r="F652" s="7" t="s">
        <v>369</v>
      </c>
      <c r="H652" s="9"/>
      <c r="I652" s="9"/>
    </row>
    <row r="653" spans="1:9" x14ac:dyDescent="0.3">
      <c r="A653" s="7" t="s">
        <v>6070</v>
      </c>
      <c r="B653" s="7" t="s">
        <v>329</v>
      </c>
      <c r="C653" s="9">
        <v>45976</v>
      </c>
      <c r="D653" s="9">
        <v>46006</v>
      </c>
      <c r="E653" s="3">
        <v>3064.03</v>
      </c>
      <c r="F653" s="7" t="s">
        <v>367</v>
      </c>
      <c r="H653" s="9"/>
      <c r="I653" s="9"/>
    </row>
    <row r="654" spans="1:9" x14ac:dyDescent="0.3">
      <c r="A654" s="7" t="s">
        <v>6071</v>
      </c>
      <c r="B654" s="7" t="s">
        <v>261</v>
      </c>
      <c r="C654" s="9">
        <v>46044</v>
      </c>
      <c r="D654" s="9">
        <v>46074</v>
      </c>
      <c r="E654" s="3">
        <v>1220.68</v>
      </c>
      <c r="F654" s="7" t="s">
        <v>367</v>
      </c>
      <c r="H654" s="9"/>
      <c r="I654" s="9"/>
    </row>
    <row r="655" spans="1:9" x14ac:dyDescent="0.3">
      <c r="A655" s="7" t="s">
        <v>6072</v>
      </c>
      <c r="B655" s="7" t="s">
        <v>274</v>
      </c>
      <c r="C655" s="9">
        <v>46051</v>
      </c>
      <c r="D655" s="9">
        <v>46081</v>
      </c>
      <c r="E655" s="3">
        <v>3423.59</v>
      </c>
      <c r="F655" s="7" t="s">
        <v>369</v>
      </c>
      <c r="H655" s="9"/>
      <c r="I655" s="9"/>
    </row>
    <row r="656" spans="1:9" x14ac:dyDescent="0.3">
      <c r="A656" s="7" t="s">
        <v>6073</v>
      </c>
      <c r="B656" s="7" t="s">
        <v>269</v>
      </c>
      <c r="C656" s="9">
        <v>46021</v>
      </c>
      <c r="D656" s="9">
        <v>46051</v>
      </c>
      <c r="E656" s="3">
        <v>2950.54</v>
      </c>
      <c r="F656" s="7" t="s">
        <v>367</v>
      </c>
      <c r="H656" s="9"/>
      <c r="I656" s="9"/>
    </row>
    <row r="657" spans="1:9" x14ac:dyDescent="0.3">
      <c r="A657" s="7" t="s">
        <v>6074</v>
      </c>
      <c r="B657" s="7" t="s">
        <v>281</v>
      </c>
      <c r="C657" s="9">
        <v>46035</v>
      </c>
      <c r="D657" s="9">
        <v>46065</v>
      </c>
      <c r="E657" s="3">
        <v>1911.3</v>
      </c>
      <c r="F657" s="7" t="s">
        <v>367</v>
      </c>
      <c r="H657" s="9"/>
      <c r="I657" s="9"/>
    </row>
    <row r="658" spans="1:9" x14ac:dyDescent="0.3">
      <c r="A658" s="7" t="s">
        <v>6075</v>
      </c>
      <c r="B658" s="7" t="s">
        <v>339</v>
      </c>
      <c r="C658" s="9">
        <v>45974</v>
      </c>
      <c r="D658" s="9">
        <v>46004</v>
      </c>
      <c r="E658" s="3">
        <v>2823.66</v>
      </c>
      <c r="F658" s="7" t="s">
        <v>367</v>
      </c>
      <c r="H658" s="9"/>
      <c r="I658" s="9"/>
    </row>
    <row r="659" spans="1:9" x14ac:dyDescent="0.3">
      <c r="A659" s="7" t="s">
        <v>6076</v>
      </c>
      <c r="B659" s="7" t="s">
        <v>313</v>
      </c>
      <c r="C659" s="9">
        <v>45992</v>
      </c>
      <c r="D659" s="9">
        <v>46022</v>
      </c>
      <c r="E659" s="3">
        <v>6805.5</v>
      </c>
      <c r="F659" s="7" t="s">
        <v>369</v>
      </c>
      <c r="H659" s="9"/>
      <c r="I659" s="9"/>
    </row>
    <row r="660" spans="1:9" x14ac:dyDescent="0.3">
      <c r="A660" s="7" t="s">
        <v>6077</v>
      </c>
      <c r="B660" s="7" t="s">
        <v>276</v>
      </c>
      <c r="C660" s="9">
        <v>45981</v>
      </c>
      <c r="D660" s="9">
        <v>46011</v>
      </c>
      <c r="E660" s="3">
        <v>5016.0600000000004</v>
      </c>
      <c r="F660" s="7" t="s">
        <v>367</v>
      </c>
      <c r="H660" s="9"/>
      <c r="I660" s="9"/>
    </row>
    <row r="661" spans="1:9" x14ac:dyDescent="0.3">
      <c r="A661" s="7" t="s">
        <v>6078</v>
      </c>
      <c r="B661" s="7" t="s">
        <v>269</v>
      </c>
      <c r="C661" s="9">
        <v>45963</v>
      </c>
      <c r="D661" s="9">
        <v>45993</v>
      </c>
      <c r="E661" s="3">
        <v>2779.77</v>
      </c>
      <c r="F661" s="7" t="s">
        <v>367</v>
      </c>
      <c r="H661" s="9"/>
      <c r="I661" s="9"/>
    </row>
    <row r="662" spans="1:9" x14ac:dyDescent="0.3">
      <c r="A662" s="7" t="s">
        <v>6079</v>
      </c>
      <c r="B662" s="7" t="s">
        <v>274</v>
      </c>
      <c r="C662" s="9">
        <v>46008</v>
      </c>
      <c r="D662" s="9">
        <v>46038</v>
      </c>
      <c r="E662" s="3">
        <v>5502.52</v>
      </c>
      <c r="F662" s="7" t="s">
        <v>369</v>
      </c>
      <c r="H662" s="9"/>
      <c r="I662" s="9"/>
    </row>
    <row r="663" spans="1:9" x14ac:dyDescent="0.3">
      <c r="A663" s="7" t="s">
        <v>6080</v>
      </c>
      <c r="B663" s="7" t="s">
        <v>333</v>
      </c>
      <c r="C663" s="9">
        <v>45978</v>
      </c>
      <c r="D663" s="9">
        <v>46008</v>
      </c>
      <c r="E663" s="3">
        <v>3266.73</v>
      </c>
      <c r="F663" s="7" t="s">
        <v>387</v>
      </c>
      <c r="H663" s="9"/>
      <c r="I663" s="9"/>
    </row>
    <row r="664" spans="1:9" x14ac:dyDescent="0.3">
      <c r="A664" s="7" t="s">
        <v>6081</v>
      </c>
      <c r="B664" s="7" t="s">
        <v>315</v>
      </c>
      <c r="C664" s="9">
        <v>46046</v>
      </c>
      <c r="D664" s="9">
        <v>46076</v>
      </c>
      <c r="E664" s="3">
        <v>4400.57</v>
      </c>
      <c r="F664" s="7" t="s">
        <v>367</v>
      </c>
      <c r="H664" s="9"/>
      <c r="I664" s="9"/>
    </row>
    <row r="665" spans="1:9" x14ac:dyDescent="0.3">
      <c r="A665" s="7" t="s">
        <v>6082</v>
      </c>
      <c r="B665" s="7" t="s">
        <v>335</v>
      </c>
      <c r="C665" s="9">
        <v>46074</v>
      </c>
      <c r="D665" s="9">
        <v>46104</v>
      </c>
      <c r="E665" s="3">
        <v>2257.3200000000002</v>
      </c>
      <c r="F665" s="7" t="s">
        <v>369</v>
      </c>
      <c r="H665" s="9"/>
      <c r="I665" s="9"/>
    </row>
    <row r="666" spans="1:9" x14ac:dyDescent="0.3">
      <c r="A666" s="7" t="s">
        <v>6083</v>
      </c>
      <c r="B666" s="7" t="s">
        <v>327</v>
      </c>
      <c r="C666" s="9">
        <v>46029</v>
      </c>
      <c r="D666" s="9">
        <v>46059</v>
      </c>
      <c r="E666" s="3">
        <v>2435.83</v>
      </c>
      <c r="F666" s="7" t="s">
        <v>367</v>
      </c>
      <c r="H666" s="9"/>
      <c r="I666" s="9"/>
    </row>
    <row r="667" spans="1:9" x14ac:dyDescent="0.3">
      <c r="A667" s="7" t="s">
        <v>6084</v>
      </c>
      <c r="B667" s="7" t="s">
        <v>335</v>
      </c>
      <c r="C667" s="9">
        <v>46084</v>
      </c>
      <c r="D667" s="9">
        <v>46114</v>
      </c>
      <c r="E667" s="3">
        <v>6720.04</v>
      </c>
      <c r="F667" s="7" t="s">
        <v>367</v>
      </c>
      <c r="H667" s="9"/>
      <c r="I667" s="9"/>
    </row>
    <row r="668" spans="1:9" x14ac:dyDescent="0.3">
      <c r="A668" s="7" t="s">
        <v>6085</v>
      </c>
      <c r="B668" s="7" t="s">
        <v>287</v>
      </c>
      <c r="C668" s="9">
        <v>45999</v>
      </c>
      <c r="D668" s="9">
        <v>46029</v>
      </c>
      <c r="E668" s="3">
        <v>6817.53</v>
      </c>
      <c r="F668" s="7" t="s">
        <v>387</v>
      </c>
      <c r="H668" s="9"/>
      <c r="I668" s="9"/>
    </row>
    <row r="669" spans="1:9" x14ac:dyDescent="0.3">
      <c r="A669" s="7" t="s">
        <v>6086</v>
      </c>
      <c r="B669" s="7" t="s">
        <v>325</v>
      </c>
      <c r="C669" s="9">
        <v>46011</v>
      </c>
      <c r="D669" s="9">
        <v>46041</v>
      </c>
      <c r="E669" s="3">
        <v>5767.99</v>
      </c>
      <c r="F669" s="7" t="s">
        <v>367</v>
      </c>
      <c r="H669" s="9"/>
      <c r="I669" s="9"/>
    </row>
    <row r="670" spans="1:9" x14ac:dyDescent="0.3">
      <c r="A670" s="7" t="s">
        <v>6087</v>
      </c>
      <c r="B670" s="7" t="s">
        <v>261</v>
      </c>
      <c r="C670" s="9">
        <v>45963</v>
      </c>
      <c r="D670" s="9">
        <v>45993</v>
      </c>
      <c r="E670" s="3">
        <v>5795.41</v>
      </c>
      <c r="F670" s="7" t="s">
        <v>367</v>
      </c>
      <c r="H670" s="9"/>
      <c r="I670" s="9"/>
    </row>
    <row r="671" spans="1:9" x14ac:dyDescent="0.3">
      <c r="A671" s="7" t="s">
        <v>6088</v>
      </c>
      <c r="B671" s="7" t="s">
        <v>264</v>
      </c>
      <c r="C671" s="9">
        <v>46019</v>
      </c>
      <c r="D671" s="9">
        <v>46049</v>
      </c>
      <c r="E671" s="3">
        <v>4541.51</v>
      </c>
      <c r="F671" s="7" t="s">
        <v>367</v>
      </c>
      <c r="H671" s="9"/>
      <c r="I671" s="9"/>
    </row>
    <row r="672" spans="1:9" x14ac:dyDescent="0.3">
      <c r="A672" s="7" t="s">
        <v>6089</v>
      </c>
      <c r="B672" s="7" t="s">
        <v>289</v>
      </c>
      <c r="C672" s="9">
        <v>45966</v>
      </c>
      <c r="D672" s="9">
        <v>45996</v>
      </c>
      <c r="E672" s="3">
        <v>6071.91</v>
      </c>
      <c r="F672" s="7" t="s">
        <v>367</v>
      </c>
      <c r="H672" s="9"/>
      <c r="I672" s="9"/>
    </row>
    <row r="673" spans="1:9" x14ac:dyDescent="0.3">
      <c r="A673" s="7" t="s">
        <v>6090</v>
      </c>
      <c r="B673" s="7" t="s">
        <v>325</v>
      </c>
      <c r="C673" s="9">
        <v>46086</v>
      </c>
      <c r="D673" s="9">
        <v>46116</v>
      </c>
      <c r="E673" s="3">
        <v>2118.75</v>
      </c>
      <c r="F673" s="7" t="s">
        <v>367</v>
      </c>
      <c r="H673" s="9"/>
      <c r="I673" s="9"/>
    </row>
    <row r="674" spans="1:9" x14ac:dyDescent="0.3">
      <c r="A674" s="7" t="s">
        <v>6091</v>
      </c>
      <c r="B674" s="7" t="s">
        <v>315</v>
      </c>
      <c r="C674" s="9">
        <v>46025</v>
      </c>
      <c r="D674" s="9">
        <v>46055</v>
      </c>
      <c r="E674" s="3">
        <v>2592.39</v>
      </c>
      <c r="F674" s="7" t="s">
        <v>367</v>
      </c>
      <c r="H674" s="9"/>
      <c r="I674" s="9"/>
    </row>
    <row r="675" spans="1:9" x14ac:dyDescent="0.3">
      <c r="A675" s="7" t="s">
        <v>6092</v>
      </c>
      <c r="B675" s="7" t="s">
        <v>281</v>
      </c>
      <c r="C675" s="9">
        <v>45987</v>
      </c>
      <c r="D675" s="9">
        <v>46017</v>
      </c>
      <c r="E675" s="3">
        <v>2797.39</v>
      </c>
      <c r="F675" s="7" t="s">
        <v>369</v>
      </c>
      <c r="H675" s="9"/>
      <c r="I675" s="9"/>
    </row>
    <row r="676" spans="1:9" x14ac:dyDescent="0.3">
      <c r="A676" s="7" t="s">
        <v>6093</v>
      </c>
      <c r="B676" s="7" t="s">
        <v>323</v>
      </c>
      <c r="C676" s="9">
        <v>46027</v>
      </c>
      <c r="D676" s="9">
        <v>46057</v>
      </c>
      <c r="E676" s="3">
        <v>3131.58</v>
      </c>
      <c r="F676" s="7" t="s">
        <v>369</v>
      </c>
      <c r="H676" s="9"/>
      <c r="I676" s="9"/>
    </row>
    <row r="677" spans="1:9" x14ac:dyDescent="0.3">
      <c r="A677" s="7" t="s">
        <v>6094</v>
      </c>
      <c r="B677" s="7" t="s">
        <v>297</v>
      </c>
      <c r="C677" s="9">
        <v>46086</v>
      </c>
      <c r="D677" s="9">
        <v>46116</v>
      </c>
      <c r="E677" s="3">
        <v>1825.09</v>
      </c>
      <c r="F677" s="7" t="s">
        <v>367</v>
      </c>
      <c r="H677" s="9"/>
      <c r="I677" s="9"/>
    </row>
    <row r="678" spans="1:9" x14ac:dyDescent="0.3">
      <c r="A678" s="7" t="s">
        <v>6095</v>
      </c>
      <c r="B678" s="7" t="s">
        <v>285</v>
      </c>
      <c r="C678" s="9">
        <v>46063</v>
      </c>
      <c r="D678" s="9">
        <v>46093</v>
      </c>
      <c r="E678" s="3">
        <v>2187.77</v>
      </c>
      <c r="F678" s="7" t="s">
        <v>367</v>
      </c>
      <c r="H678" s="9"/>
      <c r="I678" s="9"/>
    </row>
    <row r="679" spans="1:9" x14ac:dyDescent="0.3">
      <c r="A679" s="7" t="s">
        <v>6096</v>
      </c>
      <c r="B679" s="7" t="s">
        <v>283</v>
      </c>
      <c r="C679" s="9">
        <v>46001</v>
      </c>
      <c r="D679" s="9">
        <v>46031</v>
      </c>
      <c r="E679" s="3">
        <v>1089.75</v>
      </c>
      <c r="F679" s="7" t="s">
        <v>367</v>
      </c>
      <c r="H679" s="9"/>
      <c r="I679" s="9"/>
    </row>
    <row r="680" spans="1:9" x14ac:dyDescent="0.3">
      <c r="A680" s="7" t="s">
        <v>6097</v>
      </c>
      <c r="B680" s="7" t="s">
        <v>337</v>
      </c>
      <c r="C680" s="9">
        <v>46081</v>
      </c>
      <c r="D680" s="9">
        <v>46111</v>
      </c>
      <c r="E680" s="3">
        <v>1382.31</v>
      </c>
      <c r="F680" s="7" t="s">
        <v>367</v>
      </c>
      <c r="H680" s="9"/>
      <c r="I680" s="9"/>
    </row>
    <row r="681" spans="1:9" x14ac:dyDescent="0.3">
      <c r="A681" s="7" t="s">
        <v>6098</v>
      </c>
      <c r="B681" s="7" t="s">
        <v>319</v>
      </c>
      <c r="C681" s="9">
        <v>45969</v>
      </c>
      <c r="D681" s="9">
        <v>45999</v>
      </c>
      <c r="E681" s="3">
        <v>4624.45</v>
      </c>
      <c r="F681" s="7" t="s">
        <v>367</v>
      </c>
      <c r="H681" s="9"/>
      <c r="I681" s="9"/>
    </row>
    <row r="682" spans="1:9" x14ac:dyDescent="0.3">
      <c r="A682" s="7" t="s">
        <v>6099</v>
      </c>
      <c r="B682" s="7" t="s">
        <v>331</v>
      </c>
      <c r="C682" s="9">
        <v>46007</v>
      </c>
      <c r="D682" s="9">
        <v>46037</v>
      </c>
      <c r="E682" s="3">
        <v>2529.1799999999998</v>
      </c>
      <c r="F682" s="7" t="s">
        <v>367</v>
      </c>
      <c r="H682" s="9"/>
      <c r="I682" s="9"/>
    </row>
    <row r="683" spans="1:9" x14ac:dyDescent="0.3">
      <c r="A683" s="7" t="s">
        <v>6100</v>
      </c>
      <c r="B683" s="7" t="s">
        <v>272</v>
      </c>
      <c r="C683" s="9">
        <v>45968</v>
      </c>
      <c r="D683" s="9">
        <v>45998</v>
      </c>
      <c r="E683" s="3">
        <v>4548.83</v>
      </c>
      <c r="F683" s="7" t="s">
        <v>367</v>
      </c>
      <c r="H683" s="9"/>
      <c r="I683" s="9"/>
    </row>
    <row r="684" spans="1:9" x14ac:dyDescent="0.3">
      <c r="A684" s="7" t="s">
        <v>6101</v>
      </c>
      <c r="B684" s="7" t="s">
        <v>325</v>
      </c>
      <c r="C684" s="9">
        <v>46088</v>
      </c>
      <c r="D684" s="9">
        <v>46118</v>
      </c>
      <c r="E684" s="3">
        <v>2854.68</v>
      </c>
      <c r="F684" s="7" t="s">
        <v>367</v>
      </c>
      <c r="H684" s="9"/>
      <c r="I684" s="9"/>
    </row>
    <row r="685" spans="1:9" x14ac:dyDescent="0.3">
      <c r="A685" s="7" t="s">
        <v>6102</v>
      </c>
      <c r="B685" s="7" t="s">
        <v>299</v>
      </c>
      <c r="C685" s="9">
        <v>46043</v>
      </c>
      <c r="D685" s="9">
        <v>46073</v>
      </c>
      <c r="E685" s="3">
        <v>5078.2700000000004</v>
      </c>
      <c r="F685" s="7" t="s">
        <v>367</v>
      </c>
      <c r="H685" s="9"/>
      <c r="I685" s="9"/>
    </row>
    <row r="686" spans="1:9" x14ac:dyDescent="0.3">
      <c r="A686" s="7" t="s">
        <v>6103</v>
      </c>
      <c r="B686" s="7" t="s">
        <v>321</v>
      </c>
      <c r="C686" s="9">
        <v>46001</v>
      </c>
      <c r="D686" s="9">
        <v>46031</v>
      </c>
      <c r="E686" s="3">
        <v>2806.37</v>
      </c>
      <c r="F686" s="7" t="s">
        <v>367</v>
      </c>
      <c r="H686" s="9"/>
      <c r="I686" s="9"/>
    </row>
    <row r="687" spans="1:9" x14ac:dyDescent="0.3">
      <c r="A687" s="7" t="s">
        <v>6104</v>
      </c>
      <c r="B687" s="7" t="s">
        <v>272</v>
      </c>
      <c r="C687" s="9">
        <v>46057</v>
      </c>
      <c r="D687" s="9">
        <v>46087</v>
      </c>
      <c r="E687" s="3">
        <v>2050.7800000000002</v>
      </c>
      <c r="F687" s="7" t="s">
        <v>387</v>
      </c>
      <c r="H687" s="9"/>
      <c r="I687" s="9"/>
    </row>
    <row r="688" spans="1:9" x14ac:dyDescent="0.3">
      <c r="A688" s="7" t="s">
        <v>6105</v>
      </c>
      <c r="B688" s="7" t="s">
        <v>261</v>
      </c>
      <c r="C688" s="9">
        <v>46019</v>
      </c>
      <c r="D688" s="9">
        <v>46049</v>
      </c>
      <c r="E688" s="3">
        <v>5243.05</v>
      </c>
      <c r="F688" s="7" t="s">
        <v>367</v>
      </c>
      <c r="H688" s="9"/>
      <c r="I688" s="9"/>
    </row>
    <row r="689" spans="1:9" x14ac:dyDescent="0.3">
      <c r="A689" s="7" t="s">
        <v>6106</v>
      </c>
      <c r="B689" s="7" t="s">
        <v>291</v>
      </c>
      <c r="C689" s="9">
        <v>46076</v>
      </c>
      <c r="D689" s="9">
        <v>46106</v>
      </c>
      <c r="E689" s="3">
        <v>4975.29</v>
      </c>
      <c r="F689" s="7" t="s">
        <v>367</v>
      </c>
      <c r="H689" s="9"/>
      <c r="I689" s="9"/>
    </row>
    <row r="690" spans="1:9" x14ac:dyDescent="0.3">
      <c r="A690" s="7" t="s">
        <v>6107</v>
      </c>
      <c r="B690" s="7" t="s">
        <v>283</v>
      </c>
      <c r="C690" s="9">
        <v>46007</v>
      </c>
      <c r="D690" s="9">
        <v>46037</v>
      </c>
      <c r="E690" s="3">
        <v>6464.39</v>
      </c>
      <c r="F690" s="7" t="s">
        <v>367</v>
      </c>
      <c r="H690" s="9"/>
      <c r="I690" s="9"/>
    </row>
    <row r="691" spans="1:9" x14ac:dyDescent="0.3">
      <c r="A691" s="7" t="s">
        <v>6108</v>
      </c>
      <c r="B691" s="7" t="s">
        <v>291</v>
      </c>
      <c r="C691" s="9">
        <v>46063</v>
      </c>
      <c r="D691" s="9">
        <v>46093</v>
      </c>
      <c r="E691" s="3">
        <v>2063.2600000000002</v>
      </c>
      <c r="F691" s="7" t="s">
        <v>367</v>
      </c>
      <c r="H691" s="9"/>
      <c r="I691" s="9"/>
    </row>
    <row r="692" spans="1:9" x14ac:dyDescent="0.3">
      <c r="A692" s="7" t="s">
        <v>6109</v>
      </c>
      <c r="B692" s="7" t="s">
        <v>329</v>
      </c>
      <c r="C692" s="9">
        <v>46090</v>
      </c>
      <c r="D692" s="9">
        <v>46120</v>
      </c>
      <c r="E692" s="3">
        <v>5139.03</v>
      </c>
      <c r="F692" s="7" t="s">
        <v>367</v>
      </c>
      <c r="H692" s="9"/>
      <c r="I692" s="9"/>
    </row>
    <row r="693" spans="1:9" x14ac:dyDescent="0.3">
      <c r="A693" s="7" t="s">
        <v>6110</v>
      </c>
      <c r="B693" s="7" t="s">
        <v>303</v>
      </c>
      <c r="C693" s="9">
        <v>46079</v>
      </c>
      <c r="D693" s="9">
        <v>46109</v>
      </c>
      <c r="E693" s="3">
        <v>5326.7</v>
      </c>
      <c r="F693" s="7" t="s">
        <v>367</v>
      </c>
      <c r="H693" s="9"/>
      <c r="I693" s="9"/>
    </row>
    <row r="694" spans="1:9" x14ac:dyDescent="0.3">
      <c r="A694" s="7" t="s">
        <v>6111</v>
      </c>
      <c r="B694" s="7" t="s">
        <v>261</v>
      </c>
      <c r="C694" s="9">
        <v>46077</v>
      </c>
      <c r="D694" s="9">
        <v>46107</v>
      </c>
      <c r="E694" s="3">
        <v>2085.48</v>
      </c>
      <c r="F694" s="7" t="s">
        <v>367</v>
      </c>
      <c r="H694" s="9"/>
      <c r="I694" s="9"/>
    </row>
    <row r="695" spans="1:9" x14ac:dyDescent="0.3">
      <c r="A695" s="7" t="s">
        <v>6112</v>
      </c>
      <c r="B695" s="7" t="s">
        <v>267</v>
      </c>
      <c r="C695" s="9">
        <v>46000</v>
      </c>
      <c r="D695" s="9">
        <v>46030</v>
      </c>
      <c r="E695" s="3">
        <v>2877.36</v>
      </c>
      <c r="F695" s="7" t="s">
        <v>367</v>
      </c>
      <c r="H695" s="9"/>
      <c r="I695" s="9"/>
    </row>
    <row r="696" spans="1:9" x14ac:dyDescent="0.3">
      <c r="A696" s="7" t="s">
        <v>6113</v>
      </c>
      <c r="B696" s="7" t="s">
        <v>303</v>
      </c>
      <c r="C696" s="9">
        <v>46047</v>
      </c>
      <c r="D696" s="9">
        <v>46077</v>
      </c>
      <c r="E696" s="3">
        <v>1638.69</v>
      </c>
      <c r="F696" s="7" t="s">
        <v>367</v>
      </c>
      <c r="H696" s="9"/>
      <c r="I696" s="9"/>
    </row>
    <row r="697" spans="1:9" x14ac:dyDescent="0.3">
      <c r="A697" s="7" t="s">
        <v>6114</v>
      </c>
      <c r="B697" s="7" t="s">
        <v>325</v>
      </c>
      <c r="C697" s="9">
        <v>46068</v>
      </c>
      <c r="D697" s="9">
        <v>46098</v>
      </c>
      <c r="E697" s="3">
        <v>5704.73</v>
      </c>
      <c r="F697" s="7" t="s">
        <v>367</v>
      </c>
      <c r="H697" s="9"/>
      <c r="I697" s="9"/>
    </row>
    <row r="698" spans="1:9" x14ac:dyDescent="0.3">
      <c r="A698" s="7" t="s">
        <v>6115</v>
      </c>
      <c r="B698" s="7" t="s">
        <v>327</v>
      </c>
      <c r="C698" s="9">
        <v>46067</v>
      </c>
      <c r="D698" s="9">
        <v>46097</v>
      </c>
      <c r="E698" s="3">
        <v>2475.54</v>
      </c>
      <c r="F698" s="7" t="s">
        <v>367</v>
      </c>
      <c r="H698" s="9"/>
      <c r="I698" s="9"/>
    </row>
    <row r="699" spans="1:9" x14ac:dyDescent="0.3">
      <c r="A699" s="7" t="s">
        <v>6116</v>
      </c>
      <c r="B699" s="7" t="s">
        <v>325</v>
      </c>
      <c r="C699" s="9">
        <v>45975</v>
      </c>
      <c r="D699" s="9">
        <v>46005</v>
      </c>
      <c r="E699" s="3">
        <v>5645.31</v>
      </c>
      <c r="F699" s="7" t="s">
        <v>367</v>
      </c>
      <c r="H699" s="9"/>
      <c r="I699" s="9"/>
    </row>
    <row r="700" spans="1:9" x14ac:dyDescent="0.3">
      <c r="A700" s="7" t="s">
        <v>6117</v>
      </c>
      <c r="B700" s="7" t="s">
        <v>323</v>
      </c>
      <c r="C700" s="9">
        <v>45963</v>
      </c>
      <c r="D700" s="9">
        <v>45993</v>
      </c>
      <c r="E700" s="3">
        <v>3405.54</v>
      </c>
      <c r="F700" s="7" t="s">
        <v>367</v>
      </c>
      <c r="H700" s="9"/>
      <c r="I700" s="9"/>
    </row>
    <row r="701" spans="1:9" x14ac:dyDescent="0.3">
      <c r="A701" s="7" t="s">
        <v>6118</v>
      </c>
      <c r="B701" s="7" t="s">
        <v>285</v>
      </c>
      <c r="C701" s="9">
        <v>46004</v>
      </c>
      <c r="D701" s="9">
        <v>46034</v>
      </c>
      <c r="E701" s="3">
        <v>885.52</v>
      </c>
      <c r="F701" s="7" t="s">
        <v>367</v>
      </c>
      <c r="H701" s="9"/>
      <c r="I701" s="9"/>
    </row>
    <row r="702" spans="1:9" x14ac:dyDescent="0.3">
      <c r="A702" s="7" t="s">
        <v>6119</v>
      </c>
      <c r="B702" s="7" t="s">
        <v>289</v>
      </c>
      <c r="C702" s="9">
        <v>46059</v>
      </c>
      <c r="D702" s="9">
        <v>46089</v>
      </c>
      <c r="E702" s="3">
        <v>5790.07</v>
      </c>
      <c r="F702" s="7" t="s">
        <v>367</v>
      </c>
      <c r="H702" s="9"/>
      <c r="I702" s="9"/>
    </row>
    <row r="703" spans="1:9" x14ac:dyDescent="0.3">
      <c r="A703" s="7" t="s">
        <v>6120</v>
      </c>
      <c r="B703" s="7" t="s">
        <v>315</v>
      </c>
      <c r="C703" s="9">
        <v>46041</v>
      </c>
      <c r="D703" s="9">
        <v>46071</v>
      </c>
      <c r="E703" s="3">
        <v>6274.84</v>
      </c>
      <c r="F703" s="7" t="s">
        <v>369</v>
      </c>
      <c r="H703" s="9"/>
      <c r="I703" s="9"/>
    </row>
    <row r="704" spans="1:9" x14ac:dyDescent="0.3">
      <c r="A704" s="7" t="s">
        <v>6121</v>
      </c>
      <c r="B704" s="7" t="s">
        <v>272</v>
      </c>
      <c r="C704" s="9">
        <v>46082</v>
      </c>
      <c r="D704" s="9">
        <v>46112</v>
      </c>
      <c r="E704" s="3">
        <v>2552.89</v>
      </c>
      <c r="F704" s="7" t="s">
        <v>367</v>
      </c>
      <c r="H704" s="9"/>
      <c r="I704" s="9"/>
    </row>
    <row r="705" spans="1:9" x14ac:dyDescent="0.3">
      <c r="A705" s="7" t="s">
        <v>6122</v>
      </c>
      <c r="B705" s="7" t="s">
        <v>327</v>
      </c>
      <c r="C705" s="9">
        <v>46082</v>
      </c>
      <c r="D705" s="9">
        <v>46112</v>
      </c>
      <c r="E705" s="3">
        <v>4803.2700000000004</v>
      </c>
      <c r="F705" s="7" t="s">
        <v>367</v>
      </c>
      <c r="H705" s="9"/>
      <c r="I705" s="9"/>
    </row>
    <row r="706" spans="1:9" x14ac:dyDescent="0.3">
      <c r="A706" s="7" t="s">
        <v>6123</v>
      </c>
      <c r="B706" s="7" t="s">
        <v>339</v>
      </c>
      <c r="C706" s="9">
        <v>45976</v>
      </c>
      <c r="D706" s="9">
        <v>46006</v>
      </c>
      <c r="E706" s="3">
        <v>5133.6899999999996</v>
      </c>
      <c r="F706" s="7" t="s">
        <v>367</v>
      </c>
      <c r="H706" s="9"/>
      <c r="I706" s="9"/>
    </row>
    <row r="707" spans="1:9" x14ac:dyDescent="0.3">
      <c r="A707" s="7" t="s">
        <v>6124</v>
      </c>
      <c r="B707" s="7" t="s">
        <v>337</v>
      </c>
      <c r="C707" s="9">
        <v>46016</v>
      </c>
      <c r="D707" s="9">
        <v>46046</v>
      </c>
      <c r="E707" s="3">
        <v>5999.59</v>
      </c>
      <c r="F707" s="7" t="s">
        <v>369</v>
      </c>
      <c r="H707" s="9"/>
      <c r="I707" s="9"/>
    </row>
    <row r="708" spans="1:9" x14ac:dyDescent="0.3">
      <c r="A708" s="7" t="s">
        <v>6125</v>
      </c>
      <c r="B708" s="7" t="s">
        <v>272</v>
      </c>
      <c r="C708" s="9">
        <v>46073</v>
      </c>
      <c r="D708" s="9">
        <v>46103</v>
      </c>
      <c r="E708" s="3">
        <v>2397.66</v>
      </c>
      <c r="F708" s="7" t="s">
        <v>369</v>
      </c>
      <c r="H708" s="9"/>
      <c r="I708" s="9"/>
    </row>
    <row r="709" spans="1:9" x14ac:dyDescent="0.3">
      <c r="A709" s="7" t="s">
        <v>6126</v>
      </c>
      <c r="B709" s="7" t="s">
        <v>267</v>
      </c>
      <c r="C709" s="9">
        <v>46066</v>
      </c>
      <c r="D709" s="9">
        <v>46096</v>
      </c>
      <c r="E709" s="3">
        <v>4453.5200000000004</v>
      </c>
      <c r="F709" s="7" t="s">
        <v>367</v>
      </c>
      <c r="H709" s="9"/>
      <c r="I709" s="9"/>
    </row>
    <row r="710" spans="1:9" x14ac:dyDescent="0.3">
      <c r="A710" s="7" t="s">
        <v>6127</v>
      </c>
      <c r="B710" s="7" t="s">
        <v>261</v>
      </c>
      <c r="C710" s="9">
        <v>46027</v>
      </c>
      <c r="D710" s="9">
        <v>46057</v>
      </c>
      <c r="E710" s="3">
        <v>6174.01</v>
      </c>
      <c r="F710" s="7" t="s">
        <v>367</v>
      </c>
      <c r="H710" s="9"/>
      <c r="I710" s="9"/>
    </row>
    <row r="711" spans="1:9" x14ac:dyDescent="0.3">
      <c r="A711" s="7" t="s">
        <v>6128</v>
      </c>
      <c r="B711" s="7" t="s">
        <v>291</v>
      </c>
      <c r="C711" s="9">
        <v>45971</v>
      </c>
      <c r="D711" s="9">
        <v>46001</v>
      </c>
      <c r="E711" s="3">
        <v>1686.12</v>
      </c>
      <c r="F711" s="7" t="s">
        <v>367</v>
      </c>
      <c r="H711" s="9"/>
      <c r="I711" s="9"/>
    </row>
    <row r="712" spans="1:9" x14ac:dyDescent="0.3">
      <c r="A712" s="7" t="s">
        <v>6129</v>
      </c>
      <c r="B712" s="7" t="s">
        <v>301</v>
      </c>
      <c r="C712" s="9">
        <v>45962</v>
      </c>
      <c r="D712" s="9">
        <v>45992</v>
      </c>
      <c r="E712" s="3">
        <v>2142.17</v>
      </c>
      <c r="F712" s="7" t="s">
        <v>367</v>
      </c>
      <c r="H712" s="9"/>
      <c r="I712" s="9"/>
    </row>
    <row r="713" spans="1:9" x14ac:dyDescent="0.3">
      <c r="A713" s="7" t="s">
        <v>6130</v>
      </c>
      <c r="B713" s="7" t="s">
        <v>297</v>
      </c>
      <c r="C713" s="9">
        <v>46048</v>
      </c>
      <c r="D713" s="9">
        <v>46078</v>
      </c>
      <c r="E713" s="3">
        <v>6337.77</v>
      </c>
      <c r="F713" s="7" t="s">
        <v>367</v>
      </c>
      <c r="H713" s="9"/>
      <c r="I713" s="9"/>
    </row>
    <row r="714" spans="1:9" x14ac:dyDescent="0.3">
      <c r="A714" s="7" t="s">
        <v>6131</v>
      </c>
      <c r="B714" s="7" t="s">
        <v>335</v>
      </c>
      <c r="C714" s="9">
        <v>46010</v>
      </c>
      <c r="D714" s="9">
        <v>46040</v>
      </c>
      <c r="E714" s="3">
        <v>4431.49</v>
      </c>
      <c r="F714" s="7" t="s">
        <v>369</v>
      </c>
      <c r="H714" s="9"/>
      <c r="I714" s="9"/>
    </row>
    <row r="715" spans="1:9" x14ac:dyDescent="0.3">
      <c r="A715" s="7" t="s">
        <v>6132</v>
      </c>
      <c r="B715" s="7" t="s">
        <v>272</v>
      </c>
      <c r="C715" s="9">
        <v>45971</v>
      </c>
      <c r="D715" s="9">
        <v>46001</v>
      </c>
      <c r="E715" s="3">
        <v>4895.3</v>
      </c>
      <c r="F715" s="7" t="s">
        <v>369</v>
      </c>
      <c r="H715" s="9"/>
      <c r="I715" s="9"/>
    </row>
    <row r="716" spans="1:9" x14ac:dyDescent="0.3">
      <c r="A716" s="7" t="s">
        <v>6133</v>
      </c>
      <c r="B716" s="7" t="s">
        <v>301</v>
      </c>
      <c r="C716" s="9">
        <v>46052</v>
      </c>
      <c r="D716" s="9">
        <v>46082</v>
      </c>
      <c r="E716" s="3">
        <v>4286.79</v>
      </c>
      <c r="F716" s="7" t="s">
        <v>367</v>
      </c>
      <c r="H716" s="9"/>
      <c r="I716" s="9"/>
    </row>
    <row r="717" spans="1:9" x14ac:dyDescent="0.3">
      <c r="A717" s="7" t="s">
        <v>6134</v>
      </c>
      <c r="B717" s="7" t="s">
        <v>261</v>
      </c>
      <c r="C717" s="9">
        <v>46020</v>
      </c>
      <c r="D717" s="9">
        <v>46050</v>
      </c>
      <c r="E717" s="3">
        <v>5138.78</v>
      </c>
      <c r="F717" s="7" t="s">
        <v>367</v>
      </c>
      <c r="H717" s="9"/>
      <c r="I717" s="9"/>
    </row>
    <row r="718" spans="1:9" x14ac:dyDescent="0.3">
      <c r="A718" s="7" t="s">
        <v>6135</v>
      </c>
      <c r="B718" s="7" t="s">
        <v>285</v>
      </c>
      <c r="C718" s="9">
        <v>45999</v>
      </c>
      <c r="D718" s="9">
        <v>46029</v>
      </c>
      <c r="E718" s="3">
        <v>1652.32</v>
      </c>
      <c r="F718" s="7" t="s">
        <v>367</v>
      </c>
      <c r="H718" s="9"/>
      <c r="I718" s="9"/>
    </row>
    <row r="719" spans="1:9" x14ac:dyDescent="0.3">
      <c r="A719" s="7" t="s">
        <v>6136</v>
      </c>
      <c r="B719" s="7" t="s">
        <v>303</v>
      </c>
      <c r="C719" s="9">
        <v>45978</v>
      </c>
      <c r="D719" s="9">
        <v>46008</v>
      </c>
      <c r="E719" s="3">
        <v>6622.09</v>
      </c>
      <c r="F719" s="7" t="s">
        <v>367</v>
      </c>
      <c r="H719" s="9"/>
      <c r="I719" s="9"/>
    </row>
    <row r="720" spans="1:9" x14ac:dyDescent="0.3">
      <c r="A720" s="7" t="s">
        <v>6137</v>
      </c>
      <c r="B720" s="7" t="s">
        <v>285</v>
      </c>
      <c r="C720" s="9">
        <v>46036</v>
      </c>
      <c r="D720" s="9">
        <v>46066</v>
      </c>
      <c r="E720" s="3">
        <v>2914.25</v>
      </c>
      <c r="F720" s="7" t="s">
        <v>369</v>
      </c>
      <c r="H720" s="9"/>
      <c r="I720" s="9"/>
    </row>
    <row r="721" spans="1:9" x14ac:dyDescent="0.3">
      <c r="A721" s="7" t="s">
        <v>6138</v>
      </c>
      <c r="B721" s="7" t="s">
        <v>327</v>
      </c>
      <c r="C721" s="9">
        <v>46011</v>
      </c>
      <c r="D721" s="9">
        <v>46041</v>
      </c>
      <c r="E721" s="3">
        <v>1198.1300000000001</v>
      </c>
      <c r="F721" s="7" t="s">
        <v>367</v>
      </c>
      <c r="H721" s="9"/>
      <c r="I721" s="9"/>
    </row>
    <row r="722" spans="1:9" x14ac:dyDescent="0.3">
      <c r="A722" s="7" t="s">
        <v>6139</v>
      </c>
      <c r="B722" s="7" t="s">
        <v>283</v>
      </c>
      <c r="C722" s="9">
        <v>46043</v>
      </c>
      <c r="D722" s="9">
        <v>46073</v>
      </c>
      <c r="E722" s="3">
        <v>6435.76</v>
      </c>
      <c r="F722" s="7" t="s">
        <v>367</v>
      </c>
      <c r="H722" s="9"/>
      <c r="I722" s="9"/>
    </row>
    <row r="723" spans="1:9" x14ac:dyDescent="0.3">
      <c r="A723" s="7" t="s">
        <v>6140</v>
      </c>
      <c r="B723" s="7" t="s">
        <v>333</v>
      </c>
      <c r="C723" s="9">
        <v>46014</v>
      </c>
      <c r="D723" s="9">
        <v>46044</v>
      </c>
      <c r="E723" s="3">
        <v>4823.38</v>
      </c>
      <c r="F723" s="7" t="s">
        <v>367</v>
      </c>
      <c r="H723" s="9"/>
      <c r="I723" s="9"/>
    </row>
    <row r="724" spans="1:9" x14ac:dyDescent="0.3">
      <c r="A724" s="7" t="s">
        <v>6141</v>
      </c>
      <c r="B724" s="7" t="s">
        <v>301</v>
      </c>
      <c r="C724" s="9">
        <v>45970</v>
      </c>
      <c r="D724" s="9">
        <v>46000</v>
      </c>
      <c r="E724" s="3">
        <v>1217.83</v>
      </c>
      <c r="F724" s="7" t="s">
        <v>367</v>
      </c>
      <c r="H724" s="9"/>
      <c r="I724" s="9"/>
    </row>
    <row r="725" spans="1:9" x14ac:dyDescent="0.3">
      <c r="A725" s="7" t="s">
        <v>6142</v>
      </c>
      <c r="B725" s="7" t="s">
        <v>272</v>
      </c>
      <c r="C725" s="9">
        <v>46076</v>
      </c>
      <c r="D725" s="9">
        <v>46106</v>
      </c>
      <c r="E725" s="3">
        <v>6922.19</v>
      </c>
      <c r="F725" s="7" t="s">
        <v>367</v>
      </c>
      <c r="H725" s="9"/>
      <c r="I725" s="9"/>
    </row>
    <row r="726" spans="1:9" x14ac:dyDescent="0.3">
      <c r="A726" s="7" t="s">
        <v>6143</v>
      </c>
      <c r="B726" s="7" t="s">
        <v>337</v>
      </c>
      <c r="C726" s="9">
        <v>45976</v>
      </c>
      <c r="D726" s="9">
        <v>46006</v>
      </c>
      <c r="E726" s="3">
        <v>4783.09</v>
      </c>
      <c r="F726" s="7" t="s">
        <v>367</v>
      </c>
      <c r="H726" s="9"/>
      <c r="I726" s="9"/>
    </row>
    <row r="727" spans="1:9" x14ac:dyDescent="0.3">
      <c r="A727" s="7" t="s">
        <v>6144</v>
      </c>
      <c r="B727" s="7" t="s">
        <v>337</v>
      </c>
      <c r="C727" s="9">
        <v>46087</v>
      </c>
      <c r="D727" s="9">
        <v>46117</v>
      </c>
      <c r="E727" s="3">
        <v>4516.6400000000003</v>
      </c>
      <c r="F727" s="7" t="s">
        <v>387</v>
      </c>
      <c r="H727" s="9"/>
      <c r="I727" s="9"/>
    </row>
    <row r="728" spans="1:9" x14ac:dyDescent="0.3">
      <c r="A728" s="7" t="s">
        <v>6145</v>
      </c>
      <c r="B728" s="7" t="s">
        <v>264</v>
      </c>
      <c r="C728" s="9">
        <v>45982</v>
      </c>
      <c r="D728" s="9">
        <v>46012</v>
      </c>
      <c r="E728" s="3">
        <v>5468.84</v>
      </c>
      <c r="F728" s="7" t="s">
        <v>367</v>
      </c>
      <c r="H728" s="9"/>
      <c r="I728" s="9"/>
    </row>
    <row r="729" spans="1:9" x14ac:dyDescent="0.3">
      <c r="A729" s="7" t="s">
        <v>6146</v>
      </c>
      <c r="B729" s="7" t="s">
        <v>321</v>
      </c>
      <c r="C729" s="9">
        <v>46071</v>
      </c>
      <c r="D729" s="9">
        <v>46101</v>
      </c>
      <c r="E729" s="3">
        <v>4665.8999999999996</v>
      </c>
      <c r="F729" s="7" t="s">
        <v>367</v>
      </c>
      <c r="H729" s="9"/>
      <c r="I729" s="9"/>
    </row>
    <row r="730" spans="1:9" x14ac:dyDescent="0.3">
      <c r="A730" s="7" t="s">
        <v>6147</v>
      </c>
      <c r="B730" s="7" t="s">
        <v>289</v>
      </c>
      <c r="C730" s="9">
        <v>46029</v>
      </c>
      <c r="D730" s="9">
        <v>46059</v>
      </c>
      <c r="E730" s="3">
        <v>6278.28</v>
      </c>
      <c r="F730" s="7" t="s">
        <v>367</v>
      </c>
      <c r="H730" s="9"/>
      <c r="I730" s="9"/>
    </row>
    <row r="731" spans="1:9" x14ac:dyDescent="0.3">
      <c r="A731" s="7" t="s">
        <v>6148</v>
      </c>
      <c r="B731" s="7" t="s">
        <v>321</v>
      </c>
      <c r="C731" s="9">
        <v>46031</v>
      </c>
      <c r="D731" s="9">
        <v>46061</v>
      </c>
      <c r="E731" s="3">
        <v>1755.82</v>
      </c>
      <c r="F731" s="7" t="s">
        <v>367</v>
      </c>
      <c r="H731" s="9"/>
      <c r="I731" s="9"/>
    </row>
    <row r="732" spans="1:9" x14ac:dyDescent="0.3">
      <c r="A732" s="7" t="s">
        <v>6149</v>
      </c>
      <c r="B732" s="7" t="s">
        <v>333</v>
      </c>
      <c r="C732" s="9">
        <v>46007</v>
      </c>
      <c r="D732" s="9">
        <v>46037</v>
      </c>
      <c r="E732" s="3">
        <v>1167.99</v>
      </c>
      <c r="F732" s="7" t="s">
        <v>369</v>
      </c>
      <c r="H732" s="9"/>
      <c r="I732" s="9"/>
    </row>
    <row r="733" spans="1:9" x14ac:dyDescent="0.3">
      <c r="A733" s="7" t="s">
        <v>6150</v>
      </c>
      <c r="B733" s="7" t="s">
        <v>313</v>
      </c>
      <c r="C733" s="9">
        <v>45983</v>
      </c>
      <c r="D733" s="9">
        <v>46013</v>
      </c>
      <c r="E733" s="3">
        <v>3284.81</v>
      </c>
      <c r="F733" s="7" t="s">
        <v>367</v>
      </c>
      <c r="H733" s="9"/>
      <c r="I733" s="9"/>
    </row>
    <row r="734" spans="1:9" x14ac:dyDescent="0.3">
      <c r="A734" s="7" t="s">
        <v>6151</v>
      </c>
      <c r="B734" s="7" t="s">
        <v>309</v>
      </c>
      <c r="C734" s="9">
        <v>45965</v>
      </c>
      <c r="D734" s="9">
        <v>45995</v>
      </c>
      <c r="E734" s="3">
        <v>6385.38</v>
      </c>
      <c r="F734" s="7" t="s">
        <v>369</v>
      </c>
      <c r="H734" s="9"/>
      <c r="I734" s="9"/>
    </row>
    <row r="735" spans="1:9" x14ac:dyDescent="0.3">
      <c r="A735" s="7" t="s">
        <v>6152</v>
      </c>
      <c r="B735" s="7" t="s">
        <v>317</v>
      </c>
      <c r="C735" s="9">
        <v>45978</v>
      </c>
      <c r="D735" s="9">
        <v>46008</v>
      </c>
      <c r="E735" s="3">
        <v>6696.72</v>
      </c>
      <c r="F735" s="7" t="s">
        <v>367</v>
      </c>
      <c r="H735" s="9"/>
      <c r="I735" s="9"/>
    </row>
    <row r="736" spans="1:9" x14ac:dyDescent="0.3">
      <c r="A736" s="7" t="s">
        <v>6153</v>
      </c>
      <c r="B736" s="7" t="s">
        <v>315</v>
      </c>
      <c r="C736" s="9">
        <v>46003</v>
      </c>
      <c r="D736" s="9">
        <v>46033</v>
      </c>
      <c r="E736" s="3">
        <v>2799.34</v>
      </c>
      <c r="F736" s="7" t="s">
        <v>369</v>
      </c>
      <c r="H736" s="9"/>
      <c r="I736" s="9"/>
    </row>
    <row r="737" spans="1:9" x14ac:dyDescent="0.3">
      <c r="A737" s="7" t="s">
        <v>6154</v>
      </c>
      <c r="B737" s="7" t="s">
        <v>309</v>
      </c>
      <c r="C737" s="9">
        <v>46058</v>
      </c>
      <c r="D737" s="9">
        <v>46088</v>
      </c>
      <c r="E737" s="3">
        <v>1419.23</v>
      </c>
      <c r="F737" s="7" t="s">
        <v>387</v>
      </c>
      <c r="H737" s="9"/>
      <c r="I737" s="9"/>
    </row>
    <row r="738" spans="1:9" x14ac:dyDescent="0.3">
      <c r="A738" s="7" t="s">
        <v>6155</v>
      </c>
      <c r="B738" s="7" t="s">
        <v>319</v>
      </c>
      <c r="C738" s="9">
        <v>45986</v>
      </c>
      <c r="D738" s="9">
        <v>46016</v>
      </c>
      <c r="E738" s="3">
        <v>2502.5</v>
      </c>
      <c r="F738" s="7" t="s">
        <v>367</v>
      </c>
      <c r="H738" s="9"/>
      <c r="I738" s="9"/>
    </row>
    <row r="739" spans="1:9" x14ac:dyDescent="0.3">
      <c r="A739" s="7" t="s">
        <v>6156</v>
      </c>
      <c r="B739" s="7" t="s">
        <v>321</v>
      </c>
      <c r="C739" s="9">
        <v>46082</v>
      </c>
      <c r="D739" s="9">
        <v>46112</v>
      </c>
      <c r="E739" s="3">
        <v>2892.99</v>
      </c>
      <c r="F739" s="7" t="s">
        <v>369</v>
      </c>
      <c r="H739" s="9"/>
      <c r="I739" s="9"/>
    </row>
    <row r="740" spans="1:9" x14ac:dyDescent="0.3">
      <c r="A740" s="7" t="s">
        <v>6157</v>
      </c>
      <c r="B740" s="7" t="s">
        <v>281</v>
      </c>
      <c r="C740" s="9">
        <v>46061</v>
      </c>
      <c r="D740" s="9">
        <v>46091</v>
      </c>
      <c r="E740" s="3">
        <v>2605.25</v>
      </c>
      <c r="F740" s="7" t="s">
        <v>367</v>
      </c>
      <c r="H740" s="9"/>
      <c r="I740" s="9"/>
    </row>
    <row r="741" spans="1:9" x14ac:dyDescent="0.3">
      <c r="A741" s="7" t="s">
        <v>6158</v>
      </c>
      <c r="B741" s="7" t="s">
        <v>313</v>
      </c>
      <c r="C741" s="9">
        <v>46061</v>
      </c>
      <c r="D741" s="9">
        <v>46091</v>
      </c>
      <c r="E741" s="3">
        <v>2987.98</v>
      </c>
      <c r="F741" s="7" t="s">
        <v>367</v>
      </c>
      <c r="H741" s="9"/>
      <c r="I741" s="9"/>
    </row>
    <row r="742" spans="1:9" x14ac:dyDescent="0.3">
      <c r="A742" s="7" t="s">
        <v>6159</v>
      </c>
      <c r="B742" s="7" t="s">
        <v>297</v>
      </c>
      <c r="C742" s="9">
        <v>46021</v>
      </c>
      <c r="D742" s="9">
        <v>46051</v>
      </c>
      <c r="E742" s="3">
        <v>6141.76</v>
      </c>
      <c r="F742" s="7" t="s">
        <v>367</v>
      </c>
      <c r="H742" s="9"/>
      <c r="I742" s="9"/>
    </row>
    <row r="743" spans="1:9" x14ac:dyDescent="0.3">
      <c r="A743" s="7" t="s">
        <v>6160</v>
      </c>
      <c r="B743" s="7" t="s">
        <v>339</v>
      </c>
      <c r="C743" s="9">
        <v>46061</v>
      </c>
      <c r="D743" s="9">
        <v>46091</v>
      </c>
      <c r="E743" s="3">
        <v>4592.0600000000004</v>
      </c>
      <c r="F743" s="7" t="s">
        <v>369</v>
      </c>
      <c r="H743" s="9"/>
      <c r="I743" s="9"/>
    </row>
    <row r="744" spans="1:9" x14ac:dyDescent="0.3">
      <c r="A744" s="7" t="s">
        <v>6161</v>
      </c>
      <c r="B744" s="7" t="s">
        <v>289</v>
      </c>
      <c r="C744" s="9">
        <v>45987</v>
      </c>
      <c r="D744" s="9">
        <v>46017</v>
      </c>
      <c r="E744" s="3">
        <v>2049.86</v>
      </c>
      <c r="F744" s="7" t="s">
        <v>367</v>
      </c>
      <c r="H744" s="9"/>
      <c r="I744" s="9"/>
    </row>
    <row r="745" spans="1:9" x14ac:dyDescent="0.3">
      <c r="A745" s="7" t="s">
        <v>6162</v>
      </c>
      <c r="B745" s="7" t="s">
        <v>264</v>
      </c>
      <c r="C745" s="9">
        <v>46070</v>
      </c>
      <c r="D745" s="9">
        <v>46100</v>
      </c>
      <c r="E745" s="3">
        <v>3977.86</v>
      </c>
      <c r="F745" s="7" t="s">
        <v>367</v>
      </c>
      <c r="H745" s="9"/>
      <c r="I745" s="9"/>
    </row>
    <row r="746" spans="1:9" x14ac:dyDescent="0.3">
      <c r="A746" s="7" t="s">
        <v>6163</v>
      </c>
      <c r="B746" s="7" t="s">
        <v>267</v>
      </c>
      <c r="C746" s="9">
        <v>45990</v>
      </c>
      <c r="D746" s="9">
        <v>46020</v>
      </c>
      <c r="E746" s="3">
        <v>5327.18</v>
      </c>
      <c r="F746" s="7" t="s">
        <v>367</v>
      </c>
      <c r="H746" s="9"/>
      <c r="I746" s="9"/>
    </row>
    <row r="747" spans="1:9" x14ac:dyDescent="0.3">
      <c r="A747" s="7" t="s">
        <v>6164</v>
      </c>
      <c r="B747" s="7" t="s">
        <v>289</v>
      </c>
      <c r="C747" s="9">
        <v>45967</v>
      </c>
      <c r="D747" s="9">
        <v>45997</v>
      </c>
      <c r="E747" s="3">
        <v>1082.6099999999999</v>
      </c>
      <c r="F747" s="7" t="s">
        <v>367</v>
      </c>
      <c r="H747" s="9"/>
      <c r="I747" s="9"/>
    </row>
    <row r="748" spans="1:9" x14ac:dyDescent="0.3">
      <c r="A748" s="7" t="s">
        <v>6165</v>
      </c>
      <c r="B748" s="7" t="s">
        <v>283</v>
      </c>
      <c r="C748" s="9">
        <v>46060</v>
      </c>
      <c r="D748" s="9">
        <v>46090</v>
      </c>
      <c r="E748" s="3">
        <v>6481.1</v>
      </c>
      <c r="F748" s="7" t="s">
        <v>367</v>
      </c>
      <c r="H748" s="9"/>
      <c r="I748" s="9"/>
    </row>
    <row r="749" spans="1:9" x14ac:dyDescent="0.3">
      <c r="A749" s="7" t="s">
        <v>6166</v>
      </c>
      <c r="B749" s="7" t="s">
        <v>287</v>
      </c>
      <c r="C749" s="9">
        <v>46007</v>
      </c>
      <c r="D749" s="9">
        <v>46037</v>
      </c>
      <c r="E749" s="3">
        <v>1080.3800000000001</v>
      </c>
      <c r="F749" s="7" t="s">
        <v>367</v>
      </c>
      <c r="H749" s="9"/>
      <c r="I749" s="9"/>
    </row>
    <row r="750" spans="1:9" x14ac:dyDescent="0.3">
      <c r="A750" s="7" t="s">
        <v>6167</v>
      </c>
      <c r="B750" s="7" t="s">
        <v>333</v>
      </c>
      <c r="C750" s="9">
        <v>46011</v>
      </c>
      <c r="D750" s="9">
        <v>46041</v>
      </c>
      <c r="E750" s="3">
        <v>4591.07</v>
      </c>
      <c r="F750" s="7" t="s">
        <v>367</v>
      </c>
      <c r="H750" s="9"/>
      <c r="I750" s="9"/>
    </row>
    <row r="751" spans="1:9" x14ac:dyDescent="0.3">
      <c r="A751" s="7" t="s">
        <v>6168</v>
      </c>
      <c r="B751" s="7" t="s">
        <v>299</v>
      </c>
      <c r="C751" s="9">
        <v>46003</v>
      </c>
      <c r="D751" s="9">
        <v>46033</v>
      </c>
      <c r="E751" s="3">
        <v>5429.59</v>
      </c>
      <c r="F751" s="7" t="s">
        <v>367</v>
      </c>
      <c r="H751" s="9"/>
      <c r="I751" s="9"/>
    </row>
    <row r="752" spans="1:9" x14ac:dyDescent="0.3">
      <c r="A752" s="7" t="s">
        <v>6169</v>
      </c>
      <c r="B752" s="7" t="s">
        <v>261</v>
      </c>
      <c r="C752" s="9">
        <v>46008</v>
      </c>
      <c r="D752" s="9">
        <v>46038</v>
      </c>
      <c r="E752" s="3">
        <v>4420.07</v>
      </c>
      <c r="F752" s="7" t="s">
        <v>367</v>
      </c>
      <c r="H752" s="9"/>
      <c r="I752" s="9"/>
    </row>
    <row r="753" spans="1:9" x14ac:dyDescent="0.3">
      <c r="A753" s="7" t="s">
        <v>6170</v>
      </c>
      <c r="B753" s="7" t="s">
        <v>325</v>
      </c>
      <c r="C753" s="9">
        <v>46052</v>
      </c>
      <c r="D753" s="9">
        <v>46082</v>
      </c>
      <c r="E753" s="3">
        <v>4497.54</v>
      </c>
      <c r="F753" s="7" t="s">
        <v>369</v>
      </c>
      <c r="H753" s="9"/>
      <c r="I753" s="9"/>
    </row>
    <row r="754" spans="1:9" x14ac:dyDescent="0.3">
      <c r="A754" s="7" t="s">
        <v>6171</v>
      </c>
      <c r="B754" s="7" t="s">
        <v>327</v>
      </c>
      <c r="C754" s="9">
        <v>46023</v>
      </c>
      <c r="D754" s="9">
        <v>46053</v>
      </c>
      <c r="E754" s="3">
        <v>1636.56</v>
      </c>
      <c r="F754" s="7" t="s">
        <v>367</v>
      </c>
      <c r="H754" s="9"/>
      <c r="I754" s="9"/>
    </row>
    <row r="755" spans="1:9" x14ac:dyDescent="0.3">
      <c r="A755" s="7" t="s">
        <v>6172</v>
      </c>
      <c r="B755" s="7" t="s">
        <v>299</v>
      </c>
      <c r="C755" s="9">
        <v>45965</v>
      </c>
      <c r="D755" s="9">
        <v>45995</v>
      </c>
      <c r="E755" s="3">
        <v>1479</v>
      </c>
      <c r="F755" s="7" t="s">
        <v>367</v>
      </c>
      <c r="H755" s="9"/>
      <c r="I755" s="9"/>
    </row>
    <row r="756" spans="1:9" x14ac:dyDescent="0.3">
      <c r="A756" s="7" t="s">
        <v>6173</v>
      </c>
      <c r="B756" s="7" t="s">
        <v>331</v>
      </c>
      <c r="C756" s="9">
        <v>45970</v>
      </c>
      <c r="D756" s="9">
        <v>46000</v>
      </c>
      <c r="E756" s="3">
        <v>881.73</v>
      </c>
      <c r="F756" s="7" t="s">
        <v>367</v>
      </c>
      <c r="H756" s="9"/>
      <c r="I756" s="9"/>
    </row>
    <row r="757" spans="1:9" x14ac:dyDescent="0.3">
      <c r="A757" s="7" t="s">
        <v>6174</v>
      </c>
      <c r="B757" s="7" t="s">
        <v>291</v>
      </c>
      <c r="C757" s="9">
        <v>46020</v>
      </c>
      <c r="D757" s="9">
        <v>46050</v>
      </c>
      <c r="E757" s="3">
        <v>2994.41</v>
      </c>
      <c r="F757" s="7" t="s">
        <v>369</v>
      </c>
      <c r="H757" s="9"/>
      <c r="I757" s="9"/>
    </row>
    <row r="758" spans="1:9" x14ac:dyDescent="0.3">
      <c r="A758" s="7" t="s">
        <v>6175</v>
      </c>
      <c r="B758" s="7" t="s">
        <v>327</v>
      </c>
      <c r="C758" s="9">
        <v>46087</v>
      </c>
      <c r="D758" s="9">
        <v>46117</v>
      </c>
      <c r="E758" s="3">
        <v>2654.76</v>
      </c>
      <c r="F758" s="7" t="s">
        <v>367</v>
      </c>
      <c r="H758" s="9"/>
      <c r="I758" s="9"/>
    </row>
    <row r="759" spans="1:9" x14ac:dyDescent="0.3">
      <c r="A759" s="7" t="s">
        <v>6176</v>
      </c>
      <c r="B759" s="7" t="s">
        <v>305</v>
      </c>
      <c r="C759" s="9">
        <v>46044</v>
      </c>
      <c r="D759" s="9">
        <v>46074</v>
      </c>
      <c r="E759" s="3">
        <v>3889.25</v>
      </c>
      <c r="F759" s="7" t="s">
        <v>367</v>
      </c>
      <c r="H759" s="9"/>
      <c r="I759" s="9"/>
    </row>
    <row r="760" spans="1:9" x14ac:dyDescent="0.3">
      <c r="A760" s="7" t="s">
        <v>6177</v>
      </c>
      <c r="B760" s="7" t="s">
        <v>297</v>
      </c>
      <c r="C760" s="9">
        <v>46083</v>
      </c>
      <c r="D760" s="9">
        <v>46113</v>
      </c>
      <c r="E760" s="3">
        <v>4996.3500000000004</v>
      </c>
      <c r="F760" s="7" t="s">
        <v>369</v>
      </c>
      <c r="H760" s="9"/>
      <c r="I760" s="9"/>
    </row>
    <row r="761" spans="1:9" x14ac:dyDescent="0.3">
      <c r="A761" s="7" t="s">
        <v>6178</v>
      </c>
      <c r="B761" s="7" t="s">
        <v>335</v>
      </c>
      <c r="C761" s="9">
        <v>46023</v>
      </c>
      <c r="D761" s="9">
        <v>46053</v>
      </c>
      <c r="E761" s="3">
        <v>1079.98</v>
      </c>
      <c r="F761" s="7" t="s">
        <v>367</v>
      </c>
      <c r="H761" s="9"/>
      <c r="I761" s="9"/>
    </row>
    <row r="762" spans="1:9" x14ac:dyDescent="0.3">
      <c r="A762" s="7" t="s">
        <v>6179</v>
      </c>
      <c r="B762" s="7" t="s">
        <v>285</v>
      </c>
      <c r="C762" s="9">
        <v>46054</v>
      </c>
      <c r="D762" s="9">
        <v>46084</v>
      </c>
      <c r="E762" s="3">
        <v>5246.81</v>
      </c>
      <c r="F762" s="7" t="s">
        <v>367</v>
      </c>
      <c r="H762" s="9"/>
      <c r="I762" s="9"/>
    </row>
    <row r="763" spans="1:9" x14ac:dyDescent="0.3">
      <c r="A763" s="7" t="s">
        <v>6180</v>
      </c>
      <c r="B763" s="7" t="s">
        <v>267</v>
      </c>
      <c r="C763" s="9">
        <v>46049</v>
      </c>
      <c r="D763" s="9">
        <v>46079</v>
      </c>
      <c r="E763" s="3">
        <v>5768.87</v>
      </c>
      <c r="F763" s="7" t="s">
        <v>387</v>
      </c>
      <c r="H763" s="9"/>
      <c r="I763" s="9"/>
    </row>
    <row r="764" spans="1:9" x14ac:dyDescent="0.3">
      <c r="A764" s="7" t="s">
        <v>6181</v>
      </c>
      <c r="B764" s="7" t="s">
        <v>341</v>
      </c>
      <c r="C764" s="9">
        <v>45999</v>
      </c>
      <c r="D764" s="9">
        <v>46029</v>
      </c>
      <c r="E764" s="3">
        <v>6844.73</v>
      </c>
      <c r="F764" s="7" t="s">
        <v>367</v>
      </c>
      <c r="H764" s="9"/>
      <c r="I764" s="9"/>
    </row>
    <row r="765" spans="1:9" x14ac:dyDescent="0.3">
      <c r="A765" s="7" t="s">
        <v>6182</v>
      </c>
      <c r="B765" s="7" t="s">
        <v>343</v>
      </c>
      <c r="C765" s="9">
        <v>46044</v>
      </c>
      <c r="D765" s="9">
        <v>46074</v>
      </c>
      <c r="E765" s="3">
        <v>6017.5</v>
      </c>
      <c r="F765" s="7" t="s">
        <v>367</v>
      </c>
      <c r="H765" s="9"/>
      <c r="I765" s="9"/>
    </row>
    <row r="766" spans="1:9" x14ac:dyDescent="0.3">
      <c r="A766" s="7" t="s">
        <v>6183</v>
      </c>
      <c r="B766" s="7" t="s">
        <v>283</v>
      </c>
      <c r="C766" s="9">
        <v>45973</v>
      </c>
      <c r="D766" s="9">
        <v>46003</v>
      </c>
      <c r="E766" s="3">
        <v>1053.3900000000001</v>
      </c>
      <c r="F766" s="7" t="s">
        <v>367</v>
      </c>
      <c r="H766" s="9"/>
      <c r="I766" s="9"/>
    </row>
    <row r="767" spans="1:9" x14ac:dyDescent="0.3">
      <c r="A767" s="7" t="s">
        <v>6184</v>
      </c>
      <c r="B767" s="7" t="s">
        <v>323</v>
      </c>
      <c r="C767" s="9">
        <v>46007</v>
      </c>
      <c r="D767" s="9">
        <v>46037</v>
      </c>
      <c r="E767" s="3">
        <v>3721.22</v>
      </c>
      <c r="F767" s="7" t="s">
        <v>367</v>
      </c>
      <c r="H767" s="9"/>
      <c r="I767" s="9"/>
    </row>
    <row r="768" spans="1:9" x14ac:dyDescent="0.3">
      <c r="A768" s="7" t="s">
        <v>6185</v>
      </c>
      <c r="B768" s="7" t="s">
        <v>343</v>
      </c>
      <c r="C768" s="9">
        <v>45993</v>
      </c>
      <c r="D768" s="9">
        <v>46023</v>
      </c>
      <c r="E768" s="3">
        <v>3064.86</v>
      </c>
      <c r="F768" s="7" t="s">
        <v>369</v>
      </c>
      <c r="H768" s="9"/>
      <c r="I768" s="9"/>
    </row>
    <row r="769" spans="1:9" x14ac:dyDescent="0.3">
      <c r="A769" s="7" t="s">
        <v>6186</v>
      </c>
      <c r="B769" s="7" t="s">
        <v>272</v>
      </c>
      <c r="C769" s="9">
        <v>45973</v>
      </c>
      <c r="D769" s="9">
        <v>46003</v>
      </c>
      <c r="E769" s="3">
        <v>3983.61</v>
      </c>
      <c r="F769" s="7" t="s">
        <v>367</v>
      </c>
      <c r="H769" s="9"/>
      <c r="I769" s="9"/>
    </row>
    <row r="770" spans="1:9" x14ac:dyDescent="0.3">
      <c r="A770" s="7" t="s">
        <v>6187</v>
      </c>
      <c r="B770" s="7" t="s">
        <v>331</v>
      </c>
      <c r="C770" s="9">
        <v>46021</v>
      </c>
      <c r="D770" s="9">
        <v>46051</v>
      </c>
      <c r="E770" s="3">
        <v>5274.13</v>
      </c>
      <c r="F770" s="7" t="s">
        <v>367</v>
      </c>
      <c r="H770" s="9"/>
      <c r="I770" s="9"/>
    </row>
    <row r="771" spans="1:9" x14ac:dyDescent="0.3">
      <c r="A771" s="7" t="s">
        <v>6188</v>
      </c>
      <c r="B771" s="7" t="s">
        <v>281</v>
      </c>
      <c r="C771" s="9">
        <v>46047</v>
      </c>
      <c r="D771" s="9">
        <v>46077</v>
      </c>
      <c r="E771" s="3">
        <v>6002.41</v>
      </c>
      <c r="F771" s="7" t="s">
        <v>367</v>
      </c>
      <c r="H771" s="9"/>
      <c r="I771" s="9"/>
    </row>
    <row r="772" spans="1:9" x14ac:dyDescent="0.3">
      <c r="A772" s="7" t="s">
        <v>6189</v>
      </c>
      <c r="B772" s="7" t="s">
        <v>315</v>
      </c>
      <c r="C772" s="9">
        <v>45975</v>
      </c>
      <c r="D772" s="9">
        <v>46005</v>
      </c>
      <c r="E772" s="3">
        <v>5117.25</v>
      </c>
      <c r="F772" s="7" t="s">
        <v>369</v>
      </c>
      <c r="H772" s="9"/>
      <c r="I772" s="9"/>
    </row>
    <row r="773" spans="1:9" x14ac:dyDescent="0.3">
      <c r="A773" s="7" t="s">
        <v>6190</v>
      </c>
      <c r="B773" s="7" t="s">
        <v>337</v>
      </c>
      <c r="C773" s="9">
        <v>45980</v>
      </c>
      <c r="D773" s="9">
        <v>46010</v>
      </c>
      <c r="E773" s="3">
        <v>3405.76</v>
      </c>
      <c r="F773" s="7" t="s">
        <v>367</v>
      </c>
      <c r="H773" s="9"/>
      <c r="I773" s="9"/>
    </row>
    <row r="774" spans="1:9" x14ac:dyDescent="0.3">
      <c r="A774" s="7" t="s">
        <v>6191</v>
      </c>
      <c r="B774" s="7" t="s">
        <v>285</v>
      </c>
      <c r="C774" s="9">
        <v>46034</v>
      </c>
      <c r="D774" s="9">
        <v>46064</v>
      </c>
      <c r="E774" s="3">
        <v>6820.66</v>
      </c>
      <c r="F774" s="7" t="s">
        <v>367</v>
      </c>
      <c r="H774" s="9"/>
      <c r="I774" s="9"/>
    </row>
    <row r="775" spans="1:9" x14ac:dyDescent="0.3">
      <c r="A775" s="7" t="s">
        <v>6192</v>
      </c>
      <c r="B775" s="7" t="s">
        <v>311</v>
      </c>
      <c r="C775" s="9">
        <v>46008</v>
      </c>
      <c r="D775" s="9">
        <v>46038</v>
      </c>
      <c r="E775" s="3">
        <v>5279.94</v>
      </c>
      <c r="F775" s="7" t="s">
        <v>367</v>
      </c>
      <c r="H775" s="9"/>
      <c r="I775" s="9"/>
    </row>
    <row r="776" spans="1:9" x14ac:dyDescent="0.3">
      <c r="A776" s="7" t="s">
        <v>6193</v>
      </c>
      <c r="B776" s="7" t="s">
        <v>285</v>
      </c>
      <c r="C776" s="9">
        <v>46066</v>
      </c>
      <c r="D776" s="9">
        <v>46096</v>
      </c>
      <c r="E776" s="3">
        <v>3647.33</v>
      </c>
      <c r="F776" s="7" t="s">
        <v>369</v>
      </c>
      <c r="H776" s="9"/>
      <c r="I776" s="9"/>
    </row>
    <row r="777" spans="1:9" x14ac:dyDescent="0.3">
      <c r="A777" s="7" t="s">
        <v>6194</v>
      </c>
      <c r="B777" s="7" t="s">
        <v>291</v>
      </c>
      <c r="C777" s="9">
        <v>45964</v>
      </c>
      <c r="D777" s="9">
        <v>45994</v>
      </c>
      <c r="E777" s="3">
        <v>1411.67</v>
      </c>
      <c r="F777" s="7" t="s">
        <v>387</v>
      </c>
      <c r="H777" s="9"/>
      <c r="I777" s="9"/>
    </row>
    <row r="778" spans="1:9" x14ac:dyDescent="0.3">
      <c r="A778" s="7" t="s">
        <v>6195</v>
      </c>
      <c r="B778" s="7" t="s">
        <v>261</v>
      </c>
      <c r="C778" s="9">
        <v>45972</v>
      </c>
      <c r="D778" s="9">
        <v>46002</v>
      </c>
      <c r="E778" s="3">
        <v>3180.48</v>
      </c>
      <c r="F778" s="7" t="s">
        <v>367</v>
      </c>
      <c r="H778" s="9"/>
      <c r="I778" s="9"/>
    </row>
    <row r="779" spans="1:9" x14ac:dyDescent="0.3">
      <c r="A779" s="7" t="s">
        <v>6196</v>
      </c>
      <c r="B779" s="7" t="s">
        <v>274</v>
      </c>
      <c r="C779" s="9">
        <v>46001</v>
      </c>
      <c r="D779" s="9">
        <v>46031</v>
      </c>
      <c r="E779" s="3">
        <v>3103.49</v>
      </c>
      <c r="F779" s="7" t="s">
        <v>387</v>
      </c>
      <c r="H779" s="9"/>
      <c r="I779" s="9"/>
    </row>
    <row r="780" spans="1:9" x14ac:dyDescent="0.3">
      <c r="A780" s="7" t="s">
        <v>6197</v>
      </c>
      <c r="B780" s="7" t="s">
        <v>323</v>
      </c>
      <c r="C780" s="9">
        <v>46010</v>
      </c>
      <c r="D780" s="9">
        <v>46040</v>
      </c>
      <c r="E780" s="3">
        <v>4153.47</v>
      </c>
      <c r="F780" s="7" t="s">
        <v>367</v>
      </c>
      <c r="H780" s="9"/>
      <c r="I780" s="9"/>
    </row>
    <row r="781" spans="1:9" x14ac:dyDescent="0.3">
      <c r="A781" s="7" t="s">
        <v>6198</v>
      </c>
      <c r="B781" s="7" t="s">
        <v>313</v>
      </c>
      <c r="C781" s="9">
        <v>46044</v>
      </c>
      <c r="D781" s="9">
        <v>46074</v>
      </c>
      <c r="E781" s="3">
        <v>5904.64</v>
      </c>
      <c r="F781" s="7" t="s">
        <v>369</v>
      </c>
      <c r="H781" s="9"/>
      <c r="I781" s="9"/>
    </row>
    <row r="782" spans="1:9" x14ac:dyDescent="0.3">
      <c r="A782" s="7" t="s">
        <v>6199</v>
      </c>
      <c r="B782" s="7" t="s">
        <v>317</v>
      </c>
      <c r="C782" s="9">
        <v>45970</v>
      </c>
      <c r="D782" s="9">
        <v>46000</v>
      </c>
      <c r="E782" s="3">
        <v>4661.72</v>
      </c>
      <c r="F782" s="7" t="s">
        <v>367</v>
      </c>
      <c r="H782" s="9"/>
      <c r="I782" s="9"/>
    </row>
    <row r="783" spans="1:9" x14ac:dyDescent="0.3">
      <c r="A783" s="7" t="s">
        <v>6200</v>
      </c>
      <c r="B783" s="7" t="s">
        <v>283</v>
      </c>
      <c r="C783" s="9">
        <v>45990</v>
      </c>
      <c r="D783" s="9">
        <v>46020</v>
      </c>
      <c r="E783" s="3">
        <v>2260.5100000000002</v>
      </c>
      <c r="F783" s="7" t="s">
        <v>367</v>
      </c>
      <c r="H783" s="9"/>
      <c r="I783" s="9"/>
    </row>
    <row r="784" spans="1:9" x14ac:dyDescent="0.3">
      <c r="A784" s="7" t="s">
        <v>6201</v>
      </c>
      <c r="B784" s="7" t="s">
        <v>325</v>
      </c>
      <c r="C784" s="9">
        <v>45970</v>
      </c>
      <c r="D784" s="9">
        <v>46000</v>
      </c>
      <c r="E784" s="3">
        <v>1538.09</v>
      </c>
      <c r="F784" s="7" t="s">
        <v>367</v>
      </c>
      <c r="H784" s="9"/>
      <c r="I784" s="9"/>
    </row>
    <row r="785" spans="1:9" x14ac:dyDescent="0.3">
      <c r="A785" s="7" t="s">
        <v>6202</v>
      </c>
      <c r="B785" s="7" t="s">
        <v>283</v>
      </c>
      <c r="C785" s="9">
        <v>46020</v>
      </c>
      <c r="D785" s="9">
        <v>46050</v>
      </c>
      <c r="E785" s="3">
        <v>6280.2</v>
      </c>
      <c r="F785" s="7" t="s">
        <v>367</v>
      </c>
      <c r="H785" s="9"/>
      <c r="I785" s="9"/>
    </row>
    <row r="786" spans="1:9" x14ac:dyDescent="0.3">
      <c r="A786" s="7" t="s">
        <v>6203</v>
      </c>
      <c r="B786" s="7" t="s">
        <v>269</v>
      </c>
      <c r="C786" s="9">
        <v>46064</v>
      </c>
      <c r="D786" s="9">
        <v>46094</v>
      </c>
      <c r="E786" s="3">
        <v>1022.65</v>
      </c>
      <c r="F786" s="7" t="s">
        <v>369</v>
      </c>
      <c r="H786" s="9"/>
      <c r="I786" s="9"/>
    </row>
    <row r="787" spans="1:9" x14ac:dyDescent="0.3">
      <c r="A787" s="7" t="s">
        <v>6204</v>
      </c>
      <c r="B787" s="7" t="s">
        <v>305</v>
      </c>
      <c r="C787" s="9">
        <v>45985</v>
      </c>
      <c r="D787" s="9">
        <v>46015</v>
      </c>
      <c r="E787" s="3">
        <v>5908.32</v>
      </c>
      <c r="F787" s="7" t="s">
        <v>369</v>
      </c>
      <c r="H787" s="9"/>
      <c r="I787" s="9"/>
    </row>
    <row r="788" spans="1:9" x14ac:dyDescent="0.3">
      <c r="A788" s="7" t="s">
        <v>6205</v>
      </c>
      <c r="B788" s="7" t="s">
        <v>321</v>
      </c>
      <c r="C788" s="9">
        <v>46030</v>
      </c>
      <c r="D788" s="9">
        <v>46060</v>
      </c>
      <c r="E788" s="3">
        <v>1144.9000000000001</v>
      </c>
      <c r="F788" s="7" t="s">
        <v>369</v>
      </c>
      <c r="H788" s="9"/>
      <c r="I788" s="9"/>
    </row>
    <row r="789" spans="1:9" x14ac:dyDescent="0.3">
      <c r="A789" s="7" t="s">
        <v>6206</v>
      </c>
      <c r="B789" s="7" t="s">
        <v>321</v>
      </c>
      <c r="C789" s="9">
        <v>46072</v>
      </c>
      <c r="D789" s="9">
        <v>46102</v>
      </c>
      <c r="E789" s="3">
        <v>4401.7299999999996</v>
      </c>
      <c r="F789" s="7" t="s">
        <v>369</v>
      </c>
      <c r="H789" s="9"/>
      <c r="I789" s="9"/>
    </row>
    <row r="790" spans="1:9" x14ac:dyDescent="0.3">
      <c r="A790" s="7" t="s">
        <v>6207</v>
      </c>
      <c r="B790" s="7" t="s">
        <v>321</v>
      </c>
      <c r="C790" s="9">
        <v>46005</v>
      </c>
      <c r="D790" s="9">
        <v>46035</v>
      </c>
      <c r="E790" s="3">
        <v>3408.46</v>
      </c>
      <c r="F790" s="7" t="s">
        <v>367</v>
      </c>
      <c r="H790" s="9"/>
      <c r="I790" s="9"/>
    </row>
    <row r="791" spans="1:9" x14ac:dyDescent="0.3">
      <c r="A791" s="7" t="s">
        <v>6208</v>
      </c>
      <c r="B791" s="7" t="s">
        <v>331</v>
      </c>
      <c r="C791" s="9">
        <v>46063</v>
      </c>
      <c r="D791" s="9">
        <v>46093</v>
      </c>
      <c r="E791" s="3">
        <v>1279.8399999999999</v>
      </c>
      <c r="F791" s="7" t="s">
        <v>369</v>
      </c>
      <c r="H791" s="9"/>
      <c r="I791" s="9"/>
    </row>
    <row r="792" spans="1:9" x14ac:dyDescent="0.3">
      <c r="A792" s="7" t="s">
        <v>6209</v>
      </c>
      <c r="B792" s="7" t="s">
        <v>333</v>
      </c>
      <c r="C792" s="9">
        <v>46018</v>
      </c>
      <c r="D792" s="9">
        <v>46048</v>
      </c>
      <c r="E792" s="3">
        <v>4670.75</v>
      </c>
      <c r="F792" s="7" t="s">
        <v>367</v>
      </c>
      <c r="H792" s="9"/>
      <c r="I792" s="9"/>
    </row>
    <row r="793" spans="1:9" x14ac:dyDescent="0.3">
      <c r="A793" s="7" t="s">
        <v>6210</v>
      </c>
      <c r="B793" s="7" t="s">
        <v>291</v>
      </c>
      <c r="C793" s="9">
        <v>45975</v>
      </c>
      <c r="D793" s="9">
        <v>46005</v>
      </c>
      <c r="E793" s="3">
        <v>3669.17</v>
      </c>
      <c r="F793" s="7" t="s">
        <v>367</v>
      </c>
      <c r="H793" s="9"/>
      <c r="I793" s="9"/>
    </row>
    <row r="794" spans="1:9" x14ac:dyDescent="0.3">
      <c r="A794" s="7" t="s">
        <v>6211</v>
      </c>
      <c r="B794" s="7" t="s">
        <v>305</v>
      </c>
      <c r="C794" s="9">
        <v>46059</v>
      </c>
      <c r="D794" s="9">
        <v>46089</v>
      </c>
      <c r="E794" s="3">
        <v>3863.5</v>
      </c>
      <c r="F794" s="7" t="s">
        <v>367</v>
      </c>
      <c r="H794" s="9"/>
      <c r="I794" s="9"/>
    </row>
    <row r="795" spans="1:9" x14ac:dyDescent="0.3">
      <c r="A795" s="7" t="s">
        <v>6212</v>
      </c>
      <c r="B795" s="7" t="s">
        <v>311</v>
      </c>
      <c r="C795" s="9">
        <v>46009</v>
      </c>
      <c r="D795" s="9">
        <v>46039</v>
      </c>
      <c r="E795" s="3">
        <v>3961.55</v>
      </c>
      <c r="F795" s="7" t="s">
        <v>367</v>
      </c>
      <c r="H795" s="9"/>
      <c r="I795" s="9"/>
    </row>
    <row r="796" spans="1:9" x14ac:dyDescent="0.3">
      <c r="A796" s="7" t="s">
        <v>6213</v>
      </c>
      <c r="B796" s="7" t="s">
        <v>313</v>
      </c>
      <c r="C796" s="9">
        <v>46002</v>
      </c>
      <c r="D796" s="9">
        <v>46032</v>
      </c>
      <c r="E796" s="3">
        <v>1839.42</v>
      </c>
      <c r="F796" s="7" t="s">
        <v>369</v>
      </c>
      <c r="H796" s="9"/>
      <c r="I796" s="9"/>
    </row>
    <row r="797" spans="1:9" x14ac:dyDescent="0.3">
      <c r="A797" s="7" t="s">
        <v>6214</v>
      </c>
      <c r="B797" s="7" t="s">
        <v>297</v>
      </c>
      <c r="C797" s="9">
        <v>46060</v>
      </c>
      <c r="D797" s="9">
        <v>46090</v>
      </c>
      <c r="E797" s="3">
        <v>4213.0600000000004</v>
      </c>
      <c r="F797" s="7" t="s">
        <v>367</v>
      </c>
      <c r="H797" s="9"/>
      <c r="I797" s="9"/>
    </row>
    <row r="798" spans="1:9" x14ac:dyDescent="0.3">
      <c r="A798" s="7" t="s">
        <v>6215</v>
      </c>
      <c r="B798" s="7" t="s">
        <v>264</v>
      </c>
      <c r="C798" s="9">
        <v>45968</v>
      </c>
      <c r="D798" s="9">
        <v>45998</v>
      </c>
      <c r="E798" s="3">
        <v>6139.72</v>
      </c>
      <c r="F798" s="7" t="s">
        <v>387</v>
      </c>
      <c r="H798" s="9"/>
      <c r="I798" s="9"/>
    </row>
    <row r="799" spans="1:9" x14ac:dyDescent="0.3">
      <c r="A799" s="7" t="s">
        <v>6216</v>
      </c>
      <c r="B799" s="7" t="s">
        <v>315</v>
      </c>
      <c r="C799" s="9">
        <v>46086</v>
      </c>
      <c r="D799" s="9">
        <v>46116</v>
      </c>
      <c r="E799" s="3">
        <v>1291.5</v>
      </c>
      <c r="F799" s="7" t="s">
        <v>367</v>
      </c>
      <c r="H799" s="9"/>
      <c r="I799" s="9"/>
    </row>
    <row r="800" spans="1:9" x14ac:dyDescent="0.3">
      <c r="A800" s="7" t="s">
        <v>6217</v>
      </c>
      <c r="B800" s="7" t="s">
        <v>276</v>
      </c>
      <c r="C800" s="9">
        <v>45993</v>
      </c>
      <c r="D800" s="9">
        <v>46023</v>
      </c>
      <c r="E800" s="3">
        <v>1918.52</v>
      </c>
      <c r="F800" s="7" t="s">
        <v>369</v>
      </c>
      <c r="H800" s="9"/>
      <c r="I800" s="9"/>
    </row>
    <row r="801" spans="1:9" x14ac:dyDescent="0.3">
      <c r="A801" s="7" t="s">
        <v>6218</v>
      </c>
      <c r="B801" s="7" t="s">
        <v>341</v>
      </c>
      <c r="C801" s="9">
        <v>46065</v>
      </c>
      <c r="D801" s="9">
        <v>46095</v>
      </c>
      <c r="E801" s="3">
        <v>972.72</v>
      </c>
      <c r="F801" s="7" t="s">
        <v>369</v>
      </c>
      <c r="H801" s="9"/>
      <c r="I801" s="9"/>
    </row>
    <row r="802" spans="1:9" x14ac:dyDescent="0.3">
      <c r="A802" s="7" t="s">
        <v>6219</v>
      </c>
      <c r="B802" s="7" t="s">
        <v>335</v>
      </c>
      <c r="C802" s="9">
        <v>46002</v>
      </c>
      <c r="D802" s="9">
        <v>46032</v>
      </c>
      <c r="E802" s="3">
        <v>6246.66</v>
      </c>
      <c r="F802" s="7" t="s">
        <v>367</v>
      </c>
      <c r="H802" s="9"/>
      <c r="I802" s="9"/>
    </row>
    <row r="803" spans="1:9" x14ac:dyDescent="0.3">
      <c r="A803" s="7" t="s">
        <v>6220</v>
      </c>
      <c r="B803" s="7" t="s">
        <v>333</v>
      </c>
      <c r="C803" s="9">
        <v>45986</v>
      </c>
      <c r="D803" s="9">
        <v>46016</v>
      </c>
      <c r="E803" s="3">
        <v>4042.57</v>
      </c>
      <c r="F803" s="7" t="s">
        <v>367</v>
      </c>
      <c r="H803" s="9"/>
      <c r="I803" s="9"/>
    </row>
    <row r="804" spans="1:9" x14ac:dyDescent="0.3">
      <c r="A804" s="7" t="s">
        <v>6221</v>
      </c>
      <c r="B804" s="7" t="s">
        <v>329</v>
      </c>
      <c r="C804" s="9">
        <v>46085</v>
      </c>
      <c r="D804" s="9">
        <v>46115</v>
      </c>
      <c r="E804" s="3">
        <v>5555.5</v>
      </c>
      <c r="F804" s="7" t="s">
        <v>369</v>
      </c>
      <c r="H804" s="9"/>
      <c r="I804" s="9"/>
    </row>
    <row r="805" spans="1:9" x14ac:dyDescent="0.3">
      <c r="A805" s="7" t="s">
        <v>6222</v>
      </c>
      <c r="B805" s="7" t="s">
        <v>327</v>
      </c>
      <c r="C805" s="9">
        <v>46089</v>
      </c>
      <c r="D805" s="9">
        <v>46119</v>
      </c>
      <c r="E805" s="3">
        <v>843.67</v>
      </c>
      <c r="F805" s="7" t="s">
        <v>367</v>
      </c>
      <c r="H805" s="9"/>
      <c r="I805" s="9"/>
    </row>
    <row r="806" spans="1:9" x14ac:dyDescent="0.3">
      <c r="A806" s="7" t="s">
        <v>6223</v>
      </c>
      <c r="B806" s="7" t="s">
        <v>267</v>
      </c>
      <c r="C806" s="9">
        <v>45995</v>
      </c>
      <c r="D806" s="9">
        <v>46025</v>
      </c>
      <c r="E806" s="3">
        <v>6213.07</v>
      </c>
      <c r="F806" s="7" t="s">
        <v>367</v>
      </c>
      <c r="H806" s="9"/>
      <c r="I806" s="9"/>
    </row>
    <row r="807" spans="1:9" x14ac:dyDescent="0.3">
      <c r="A807" s="7" t="s">
        <v>6224</v>
      </c>
      <c r="B807" s="7" t="s">
        <v>293</v>
      </c>
      <c r="C807" s="9">
        <v>45962</v>
      </c>
      <c r="D807" s="9">
        <v>45992</v>
      </c>
      <c r="E807" s="3">
        <v>3782.5</v>
      </c>
      <c r="F807" s="7" t="s">
        <v>367</v>
      </c>
      <c r="H807" s="9"/>
      <c r="I807" s="9"/>
    </row>
    <row r="808" spans="1:9" x14ac:dyDescent="0.3">
      <c r="A808" s="7" t="s">
        <v>6225</v>
      </c>
      <c r="B808" s="7" t="s">
        <v>313</v>
      </c>
      <c r="C808" s="9">
        <v>45975</v>
      </c>
      <c r="D808" s="9">
        <v>46005</v>
      </c>
      <c r="E808" s="3">
        <v>4230.33</v>
      </c>
      <c r="F808" s="7" t="s">
        <v>369</v>
      </c>
      <c r="H808" s="9"/>
      <c r="I808" s="9"/>
    </row>
    <row r="809" spans="1:9" x14ac:dyDescent="0.3">
      <c r="A809" s="7" t="s">
        <v>6226</v>
      </c>
      <c r="B809" s="7" t="s">
        <v>329</v>
      </c>
      <c r="C809" s="9">
        <v>46037</v>
      </c>
      <c r="D809" s="9">
        <v>46067</v>
      </c>
      <c r="E809" s="3">
        <v>4909.07</v>
      </c>
      <c r="F809" s="7" t="s">
        <v>369</v>
      </c>
      <c r="H809" s="9"/>
      <c r="I809" s="9"/>
    </row>
    <row r="810" spans="1:9" x14ac:dyDescent="0.3">
      <c r="A810" s="7" t="s">
        <v>6227</v>
      </c>
      <c r="B810" s="7" t="s">
        <v>341</v>
      </c>
      <c r="C810" s="9">
        <v>45972</v>
      </c>
      <c r="D810" s="9">
        <v>46002</v>
      </c>
      <c r="E810" s="3">
        <v>6393.14</v>
      </c>
      <c r="F810" s="7" t="s">
        <v>369</v>
      </c>
      <c r="H810" s="9"/>
      <c r="I810" s="9"/>
    </row>
    <row r="811" spans="1:9" x14ac:dyDescent="0.3">
      <c r="A811" s="7" t="s">
        <v>6228</v>
      </c>
      <c r="B811" s="7" t="s">
        <v>305</v>
      </c>
      <c r="C811" s="9">
        <v>45973</v>
      </c>
      <c r="D811" s="9">
        <v>46003</v>
      </c>
      <c r="E811" s="3">
        <v>1074.28</v>
      </c>
      <c r="F811" s="7" t="s">
        <v>367</v>
      </c>
      <c r="H811" s="9"/>
      <c r="I811" s="9"/>
    </row>
    <row r="812" spans="1:9" x14ac:dyDescent="0.3">
      <c r="A812" s="7" t="s">
        <v>6229</v>
      </c>
      <c r="B812" s="7" t="s">
        <v>343</v>
      </c>
      <c r="C812" s="9">
        <v>46037</v>
      </c>
      <c r="D812" s="9">
        <v>46067</v>
      </c>
      <c r="E812" s="3">
        <v>3365.35</v>
      </c>
      <c r="F812" s="7" t="s">
        <v>367</v>
      </c>
      <c r="H812" s="9"/>
      <c r="I812" s="9"/>
    </row>
    <row r="813" spans="1:9" x14ac:dyDescent="0.3">
      <c r="A813" s="7" t="s">
        <v>6230</v>
      </c>
      <c r="B813" s="7" t="s">
        <v>289</v>
      </c>
      <c r="C813" s="9">
        <v>45963</v>
      </c>
      <c r="D813" s="9">
        <v>45993</v>
      </c>
      <c r="E813" s="3">
        <v>2897.58</v>
      </c>
      <c r="F813" s="7" t="s">
        <v>367</v>
      </c>
      <c r="H813" s="9"/>
      <c r="I813" s="9"/>
    </row>
    <row r="814" spans="1:9" x14ac:dyDescent="0.3">
      <c r="A814" s="7" t="s">
        <v>6231</v>
      </c>
      <c r="B814" s="7" t="s">
        <v>321</v>
      </c>
      <c r="C814" s="9">
        <v>46017</v>
      </c>
      <c r="D814" s="9">
        <v>46047</v>
      </c>
      <c r="E814" s="3">
        <v>2263.98</v>
      </c>
      <c r="F814" s="7" t="s">
        <v>367</v>
      </c>
      <c r="H814" s="9"/>
      <c r="I814" s="9"/>
    </row>
    <row r="815" spans="1:9" x14ac:dyDescent="0.3">
      <c r="A815" s="7" t="s">
        <v>6232</v>
      </c>
      <c r="B815" s="7" t="s">
        <v>291</v>
      </c>
      <c r="C815" s="9">
        <v>46087</v>
      </c>
      <c r="D815" s="9">
        <v>46117</v>
      </c>
      <c r="E815" s="3">
        <v>1420.93</v>
      </c>
      <c r="F815" s="7" t="s">
        <v>367</v>
      </c>
      <c r="H815" s="9"/>
      <c r="I815" s="9"/>
    </row>
    <row r="816" spans="1:9" x14ac:dyDescent="0.3">
      <c r="A816" s="7" t="s">
        <v>6233</v>
      </c>
      <c r="B816" s="7" t="s">
        <v>305</v>
      </c>
      <c r="C816" s="9">
        <v>45966</v>
      </c>
      <c r="D816" s="9">
        <v>45996</v>
      </c>
      <c r="E816" s="3">
        <v>3527.87</v>
      </c>
      <c r="F816" s="7" t="s">
        <v>369</v>
      </c>
      <c r="H816" s="9"/>
      <c r="I816" s="9"/>
    </row>
    <row r="817" spans="1:9" x14ac:dyDescent="0.3">
      <c r="A817" s="7" t="s">
        <v>6234</v>
      </c>
      <c r="B817" s="7" t="s">
        <v>274</v>
      </c>
      <c r="C817" s="9">
        <v>45989</v>
      </c>
      <c r="D817" s="9">
        <v>46019</v>
      </c>
      <c r="E817" s="3">
        <v>4053.75</v>
      </c>
      <c r="F817" s="7" t="s">
        <v>367</v>
      </c>
      <c r="H817" s="9"/>
      <c r="I817" s="9"/>
    </row>
    <row r="818" spans="1:9" x14ac:dyDescent="0.3">
      <c r="A818" s="7" t="s">
        <v>6235</v>
      </c>
      <c r="B818" s="7" t="s">
        <v>293</v>
      </c>
      <c r="C818" s="9">
        <v>46025</v>
      </c>
      <c r="D818" s="9">
        <v>46055</v>
      </c>
      <c r="E818" s="3">
        <v>4002.79</v>
      </c>
      <c r="F818" s="7" t="s">
        <v>369</v>
      </c>
      <c r="H818" s="9"/>
      <c r="I818" s="9"/>
    </row>
    <row r="819" spans="1:9" x14ac:dyDescent="0.3">
      <c r="A819" s="7" t="s">
        <v>6236</v>
      </c>
      <c r="B819" s="7" t="s">
        <v>267</v>
      </c>
      <c r="C819" s="9">
        <v>45975</v>
      </c>
      <c r="D819" s="9">
        <v>46005</v>
      </c>
      <c r="E819" s="3">
        <v>2729.31</v>
      </c>
      <c r="F819" s="7" t="s">
        <v>387</v>
      </c>
      <c r="H819" s="9"/>
      <c r="I819" s="9"/>
    </row>
    <row r="820" spans="1:9" x14ac:dyDescent="0.3">
      <c r="A820" s="7" t="s">
        <v>6237</v>
      </c>
      <c r="B820" s="7" t="s">
        <v>276</v>
      </c>
      <c r="C820" s="9">
        <v>45980</v>
      </c>
      <c r="D820" s="9">
        <v>46010</v>
      </c>
      <c r="E820" s="3">
        <v>6825.52</v>
      </c>
      <c r="F820" s="7" t="s">
        <v>367</v>
      </c>
      <c r="H820" s="9"/>
      <c r="I820" s="9"/>
    </row>
    <row r="821" spans="1:9" x14ac:dyDescent="0.3">
      <c r="A821" s="7" t="s">
        <v>6238</v>
      </c>
      <c r="B821" s="7" t="s">
        <v>269</v>
      </c>
      <c r="C821" s="9">
        <v>46066</v>
      </c>
      <c r="D821" s="9">
        <v>46096</v>
      </c>
      <c r="E821" s="3">
        <v>4838.68</v>
      </c>
      <c r="F821" s="7" t="s">
        <v>369</v>
      </c>
      <c r="H821" s="9"/>
      <c r="I821" s="9"/>
    </row>
    <row r="822" spans="1:9" x14ac:dyDescent="0.3">
      <c r="A822" s="7" t="s">
        <v>6239</v>
      </c>
      <c r="B822" s="7" t="s">
        <v>293</v>
      </c>
      <c r="C822" s="9">
        <v>46030</v>
      </c>
      <c r="D822" s="9">
        <v>46060</v>
      </c>
      <c r="E822" s="3">
        <v>6862.22</v>
      </c>
      <c r="F822" s="7" t="s">
        <v>369</v>
      </c>
      <c r="H822" s="9"/>
      <c r="I822" s="9"/>
    </row>
    <row r="823" spans="1:9" x14ac:dyDescent="0.3">
      <c r="A823" s="7" t="s">
        <v>6240</v>
      </c>
      <c r="B823" s="7" t="s">
        <v>289</v>
      </c>
      <c r="C823" s="9">
        <v>46033</v>
      </c>
      <c r="D823" s="9">
        <v>46063</v>
      </c>
      <c r="E823" s="3">
        <v>3283.7</v>
      </c>
      <c r="F823" s="7" t="s">
        <v>387</v>
      </c>
      <c r="H823" s="9"/>
      <c r="I823" s="9"/>
    </row>
    <row r="824" spans="1:9" x14ac:dyDescent="0.3">
      <c r="A824" s="7" t="s">
        <v>6241</v>
      </c>
      <c r="B824" s="7" t="s">
        <v>315</v>
      </c>
      <c r="C824" s="9">
        <v>46072</v>
      </c>
      <c r="D824" s="9">
        <v>46102</v>
      </c>
      <c r="E824" s="3">
        <v>5878.64</v>
      </c>
      <c r="F824" s="7" t="s">
        <v>369</v>
      </c>
      <c r="H824" s="9"/>
      <c r="I824" s="9"/>
    </row>
    <row r="825" spans="1:9" x14ac:dyDescent="0.3">
      <c r="A825" s="7" t="s">
        <v>6242</v>
      </c>
      <c r="B825" s="7" t="s">
        <v>267</v>
      </c>
      <c r="C825" s="9">
        <v>45970</v>
      </c>
      <c r="D825" s="9">
        <v>46000</v>
      </c>
      <c r="E825" s="3">
        <v>4413.2299999999996</v>
      </c>
      <c r="F825" s="7" t="s">
        <v>367</v>
      </c>
      <c r="H825" s="9"/>
      <c r="I825" s="9"/>
    </row>
    <row r="826" spans="1:9" x14ac:dyDescent="0.3">
      <c r="A826" s="7" t="s">
        <v>6243</v>
      </c>
      <c r="B826" s="7" t="s">
        <v>343</v>
      </c>
      <c r="C826" s="9">
        <v>45983</v>
      </c>
      <c r="D826" s="9">
        <v>46013</v>
      </c>
      <c r="E826" s="3">
        <v>3567.73</v>
      </c>
      <c r="F826" s="7" t="s">
        <v>367</v>
      </c>
      <c r="H826" s="9"/>
      <c r="I826" s="9"/>
    </row>
    <row r="827" spans="1:9" x14ac:dyDescent="0.3">
      <c r="A827" s="7" t="s">
        <v>6244</v>
      </c>
      <c r="B827" s="7" t="s">
        <v>293</v>
      </c>
      <c r="C827" s="9">
        <v>46074</v>
      </c>
      <c r="D827" s="9">
        <v>46104</v>
      </c>
      <c r="E827" s="3">
        <v>4760.62</v>
      </c>
      <c r="F827" s="7" t="s">
        <v>367</v>
      </c>
      <c r="H827" s="9"/>
      <c r="I827" s="9"/>
    </row>
    <row r="828" spans="1:9" x14ac:dyDescent="0.3">
      <c r="A828" s="7" t="s">
        <v>6245</v>
      </c>
      <c r="B828" s="7" t="s">
        <v>299</v>
      </c>
      <c r="C828" s="9">
        <v>45978</v>
      </c>
      <c r="D828" s="9">
        <v>46008</v>
      </c>
      <c r="E828" s="3">
        <v>3014.4</v>
      </c>
      <c r="F828" s="7" t="s">
        <v>367</v>
      </c>
      <c r="H828" s="9"/>
      <c r="I828" s="9"/>
    </row>
    <row r="829" spans="1:9" x14ac:dyDescent="0.3">
      <c r="A829" s="7" t="s">
        <v>6246</v>
      </c>
      <c r="B829" s="7" t="s">
        <v>325</v>
      </c>
      <c r="C829" s="9">
        <v>46060</v>
      </c>
      <c r="D829" s="9">
        <v>46090</v>
      </c>
      <c r="E829" s="3">
        <v>4361.93</v>
      </c>
      <c r="F829" s="7" t="s">
        <v>367</v>
      </c>
      <c r="H829" s="9"/>
      <c r="I829" s="9"/>
    </row>
    <row r="830" spans="1:9" x14ac:dyDescent="0.3">
      <c r="A830" s="7" t="s">
        <v>6247</v>
      </c>
      <c r="B830" s="7" t="s">
        <v>319</v>
      </c>
      <c r="C830" s="9">
        <v>46089</v>
      </c>
      <c r="D830" s="9">
        <v>46119</v>
      </c>
      <c r="E830" s="3">
        <v>5298.9</v>
      </c>
      <c r="F830" s="7" t="s">
        <v>367</v>
      </c>
      <c r="H830" s="9"/>
      <c r="I830" s="9"/>
    </row>
    <row r="831" spans="1:9" x14ac:dyDescent="0.3">
      <c r="A831" s="7" t="s">
        <v>6248</v>
      </c>
      <c r="B831" s="7" t="s">
        <v>272</v>
      </c>
      <c r="C831" s="9">
        <v>45975</v>
      </c>
      <c r="D831" s="9">
        <v>46005</v>
      </c>
      <c r="E831" s="3">
        <v>3478.44</v>
      </c>
      <c r="F831" s="7" t="s">
        <v>369</v>
      </c>
      <c r="H831" s="9"/>
      <c r="I831" s="9"/>
    </row>
    <row r="832" spans="1:9" x14ac:dyDescent="0.3">
      <c r="A832" s="7" t="s">
        <v>6249</v>
      </c>
      <c r="B832" s="7" t="s">
        <v>325</v>
      </c>
      <c r="C832" s="9">
        <v>45975</v>
      </c>
      <c r="D832" s="9">
        <v>46005</v>
      </c>
      <c r="E832" s="3">
        <v>2155.5</v>
      </c>
      <c r="F832" s="7" t="s">
        <v>367</v>
      </c>
      <c r="H832" s="9"/>
      <c r="I832" s="9"/>
    </row>
    <row r="833" spans="1:9" x14ac:dyDescent="0.3">
      <c r="A833" s="7" t="s">
        <v>6250</v>
      </c>
      <c r="B833" s="7" t="s">
        <v>279</v>
      </c>
      <c r="C833" s="9">
        <v>45982</v>
      </c>
      <c r="D833" s="9">
        <v>46012</v>
      </c>
      <c r="E833" s="3">
        <v>3001.42</v>
      </c>
      <c r="F833" s="7" t="s">
        <v>369</v>
      </c>
      <c r="H833" s="9"/>
      <c r="I833" s="9"/>
    </row>
    <row r="834" spans="1:9" x14ac:dyDescent="0.3">
      <c r="A834" s="7" t="s">
        <v>6251</v>
      </c>
      <c r="B834" s="7" t="s">
        <v>285</v>
      </c>
      <c r="C834" s="9">
        <v>46017</v>
      </c>
      <c r="D834" s="9">
        <v>46047</v>
      </c>
      <c r="E834" s="3">
        <v>4528.8</v>
      </c>
      <c r="F834" s="7" t="s">
        <v>369</v>
      </c>
      <c r="H834" s="9"/>
      <c r="I834" s="9"/>
    </row>
    <row r="835" spans="1:9" x14ac:dyDescent="0.3">
      <c r="A835" s="7" t="s">
        <v>6252</v>
      </c>
      <c r="B835" s="7" t="s">
        <v>321</v>
      </c>
      <c r="C835" s="9">
        <v>45998</v>
      </c>
      <c r="D835" s="9">
        <v>46028</v>
      </c>
      <c r="E835" s="3">
        <v>2247.83</v>
      </c>
      <c r="F835" s="7" t="s">
        <v>367</v>
      </c>
      <c r="H835" s="9"/>
      <c r="I835" s="9"/>
    </row>
    <row r="836" spans="1:9" x14ac:dyDescent="0.3">
      <c r="A836" s="7" t="s">
        <v>6253</v>
      </c>
      <c r="B836" s="7" t="s">
        <v>291</v>
      </c>
      <c r="C836" s="9">
        <v>46068</v>
      </c>
      <c r="D836" s="9">
        <v>46098</v>
      </c>
      <c r="E836" s="3">
        <v>5206.16</v>
      </c>
      <c r="F836" s="7" t="s">
        <v>367</v>
      </c>
      <c r="H836" s="9"/>
      <c r="I836" s="9"/>
    </row>
    <row r="837" spans="1:9" x14ac:dyDescent="0.3">
      <c r="A837" s="7" t="s">
        <v>6254</v>
      </c>
      <c r="B837" s="7" t="s">
        <v>307</v>
      </c>
      <c r="C837" s="9">
        <v>45963</v>
      </c>
      <c r="D837" s="9">
        <v>45993</v>
      </c>
      <c r="E837" s="3">
        <v>4267.1099999999997</v>
      </c>
      <c r="F837" s="7" t="s">
        <v>369</v>
      </c>
      <c r="H837" s="9"/>
      <c r="I837" s="9"/>
    </row>
    <row r="838" spans="1:9" x14ac:dyDescent="0.3">
      <c r="A838" s="7" t="s">
        <v>6255</v>
      </c>
      <c r="B838" s="7" t="s">
        <v>285</v>
      </c>
      <c r="C838" s="9">
        <v>45995</v>
      </c>
      <c r="D838" s="9">
        <v>46025</v>
      </c>
      <c r="E838" s="3">
        <v>6974.76</v>
      </c>
      <c r="F838" s="7" t="s">
        <v>367</v>
      </c>
      <c r="H838" s="9"/>
      <c r="I838" s="9"/>
    </row>
    <row r="839" spans="1:9" x14ac:dyDescent="0.3">
      <c r="A839" s="7" t="s">
        <v>6256</v>
      </c>
      <c r="B839" s="7" t="s">
        <v>274</v>
      </c>
      <c r="C839" s="9">
        <v>46026</v>
      </c>
      <c r="D839" s="9">
        <v>46056</v>
      </c>
      <c r="E839" s="3">
        <v>3130.67</v>
      </c>
      <c r="F839" s="7" t="s">
        <v>387</v>
      </c>
      <c r="H839" s="9"/>
      <c r="I839" s="9"/>
    </row>
    <row r="840" spans="1:9" x14ac:dyDescent="0.3">
      <c r="A840" s="7" t="s">
        <v>6257</v>
      </c>
      <c r="B840" s="7" t="s">
        <v>335</v>
      </c>
      <c r="C840" s="9">
        <v>45964</v>
      </c>
      <c r="D840" s="9">
        <v>45994</v>
      </c>
      <c r="E840" s="3">
        <v>2951.15</v>
      </c>
      <c r="F840" s="7" t="s">
        <v>369</v>
      </c>
      <c r="H840" s="9"/>
      <c r="I840" s="9"/>
    </row>
    <row r="841" spans="1:9" x14ac:dyDescent="0.3">
      <c r="A841" s="7" t="s">
        <v>6258</v>
      </c>
      <c r="B841" s="7" t="s">
        <v>339</v>
      </c>
      <c r="C841" s="9">
        <v>46028</v>
      </c>
      <c r="D841" s="9">
        <v>46058</v>
      </c>
      <c r="E841" s="3">
        <v>3483.73</v>
      </c>
      <c r="F841" s="7" t="s">
        <v>367</v>
      </c>
      <c r="H841" s="9"/>
      <c r="I841" s="9"/>
    </row>
    <row r="842" spans="1:9" x14ac:dyDescent="0.3">
      <c r="A842" s="7" t="s">
        <v>6259</v>
      </c>
      <c r="B842" s="7" t="s">
        <v>303</v>
      </c>
      <c r="C842" s="9">
        <v>46021</v>
      </c>
      <c r="D842" s="9">
        <v>46051</v>
      </c>
      <c r="E842" s="3">
        <v>2608.15</v>
      </c>
      <c r="F842" s="7" t="s">
        <v>367</v>
      </c>
      <c r="H842" s="9"/>
      <c r="I842" s="9"/>
    </row>
    <row r="843" spans="1:9" x14ac:dyDescent="0.3">
      <c r="A843" s="7" t="s">
        <v>6260</v>
      </c>
      <c r="B843" s="7" t="s">
        <v>297</v>
      </c>
      <c r="C843" s="9">
        <v>46050</v>
      </c>
      <c r="D843" s="9">
        <v>46080</v>
      </c>
      <c r="E843" s="3">
        <v>3210.41</v>
      </c>
      <c r="F843" s="7" t="s">
        <v>369</v>
      </c>
      <c r="H843" s="9"/>
      <c r="I843" s="9"/>
    </row>
    <row r="844" spans="1:9" x14ac:dyDescent="0.3">
      <c r="A844" s="7" t="s">
        <v>6261</v>
      </c>
      <c r="B844" s="7" t="s">
        <v>337</v>
      </c>
      <c r="C844" s="9">
        <v>46076</v>
      </c>
      <c r="D844" s="9">
        <v>46106</v>
      </c>
      <c r="E844" s="3">
        <v>3011.77</v>
      </c>
      <c r="F844" s="7" t="s">
        <v>367</v>
      </c>
      <c r="H844" s="9"/>
      <c r="I844" s="9"/>
    </row>
    <row r="845" spans="1:9" x14ac:dyDescent="0.3">
      <c r="A845" s="7" t="s">
        <v>6262</v>
      </c>
      <c r="B845" s="7" t="s">
        <v>327</v>
      </c>
      <c r="C845" s="9">
        <v>46014</v>
      </c>
      <c r="D845" s="9">
        <v>46044</v>
      </c>
      <c r="E845" s="3">
        <v>2459.96</v>
      </c>
      <c r="F845" s="7" t="s">
        <v>369</v>
      </c>
      <c r="H845" s="9"/>
      <c r="I845" s="9"/>
    </row>
    <row r="846" spans="1:9" x14ac:dyDescent="0.3">
      <c r="A846" s="7" t="s">
        <v>6263</v>
      </c>
      <c r="B846" s="7" t="s">
        <v>319</v>
      </c>
      <c r="C846" s="9">
        <v>46046</v>
      </c>
      <c r="D846" s="9">
        <v>46076</v>
      </c>
      <c r="E846" s="3">
        <v>1194.58</v>
      </c>
      <c r="F846" s="7" t="s">
        <v>367</v>
      </c>
      <c r="H846" s="9"/>
      <c r="I846" s="9"/>
    </row>
    <row r="847" spans="1:9" x14ac:dyDescent="0.3">
      <c r="A847" s="7" t="s">
        <v>6264</v>
      </c>
      <c r="B847" s="7" t="s">
        <v>285</v>
      </c>
      <c r="C847" s="9">
        <v>46054</v>
      </c>
      <c r="D847" s="9">
        <v>46084</v>
      </c>
      <c r="E847" s="3">
        <v>1276.92</v>
      </c>
      <c r="F847" s="7" t="s">
        <v>367</v>
      </c>
      <c r="H847" s="9"/>
      <c r="I847" s="9"/>
    </row>
    <row r="848" spans="1:9" x14ac:dyDescent="0.3">
      <c r="A848" s="7" t="s">
        <v>6265</v>
      </c>
      <c r="B848" s="7" t="s">
        <v>335</v>
      </c>
      <c r="C848" s="9">
        <v>45964</v>
      </c>
      <c r="D848" s="9">
        <v>45994</v>
      </c>
      <c r="E848" s="3">
        <v>1245.19</v>
      </c>
      <c r="F848" s="7" t="s">
        <v>369</v>
      </c>
      <c r="H848" s="9"/>
      <c r="I848" s="9"/>
    </row>
    <row r="849" spans="1:9" x14ac:dyDescent="0.3">
      <c r="A849" s="7" t="s">
        <v>6266</v>
      </c>
      <c r="B849" s="7" t="s">
        <v>293</v>
      </c>
      <c r="C849" s="9">
        <v>46023</v>
      </c>
      <c r="D849" s="9">
        <v>46053</v>
      </c>
      <c r="E849" s="3">
        <v>5683.96</v>
      </c>
      <c r="F849" s="7" t="s">
        <v>367</v>
      </c>
      <c r="H849" s="9"/>
      <c r="I849" s="9"/>
    </row>
    <row r="850" spans="1:9" x14ac:dyDescent="0.3">
      <c r="A850" s="7" t="s">
        <v>6267</v>
      </c>
      <c r="B850" s="7" t="s">
        <v>325</v>
      </c>
      <c r="C850" s="9">
        <v>46011</v>
      </c>
      <c r="D850" s="9">
        <v>46041</v>
      </c>
      <c r="E850" s="3">
        <v>3196.94</v>
      </c>
      <c r="F850" s="7" t="s">
        <v>369</v>
      </c>
      <c r="H850" s="9"/>
      <c r="I850" s="9"/>
    </row>
    <row r="851" spans="1:9" x14ac:dyDescent="0.3">
      <c r="A851" s="7" t="s">
        <v>6268</v>
      </c>
      <c r="B851" s="7" t="s">
        <v>297</v>
      </c>
      <c r="C851" s="9">
        <v>45994</v>
      </c>
      <c r="D851" s="9">
        <v>46024</v>
      </c>
      <c r="E851" s="3">
        <v>5867.25</v>
      </c>
      <c r="F851" s="7" t="s">
        <v>367</v>
      </c>
      <c r="H851" s="9"/>
      <c r="I851" s="9"/>
    </row>
    <row r="852" spans="1:9" x14ac:dyDescent="0.3">
      <c r="A852" s="7" t="s">
        <v>6269</v>
      </c>
      <c r="B852" s="7" t="s">
        <v>301</v>
      </c>
      <c r="C852" s="9">
        <v>46060</v>
      </c>
      <c r="D852" s="9">
        <v>46090</v>
      </c>
      <c r="E852" s="3">
        <v>960.15</v>
      </c>
      <c r="F852" s="7" t="s">
        <v>387</v>
      </c>
      <c r="H852" s="9"/>
      <c r="I852" s="9"/>
    </row>
    <row r="853" spans="1:9" x14ac:dyDescent="0.3">
      <c r="A853" s="7" t="s">
        <v>6270</v>
      </c>
      <c r="B853" s="7" t="s">
        <v>281</v>
      </c>
      <c r="C853" s="9">
        <v>45987</v>
      </c>
      <c r="D853" s="9">
        <v>46017</v>
      </c>
      <c r="E853" s="3">
        <v>4123.29</v>
      </c>
      <c r="F853" s="7" t="s">
        <v>367</v>
      </c>
      <c r="H853" s="9"/>
      <c r="I853" s="9"/>
    </row>
    <row r="854" spans="1:9" x14ac:dyDescent="0.3">
      <c r="A854" s="7" t="s">
        <v>6271</v>
      </c>
      <c r="B854" s="7" t="s">
        <v>289</v>
      </c>
      <c r="C854" s="9">
        <v>45991</v>
      </c>
      <c r="D854" s="9">
        <v>46021</v>
      </c>
      <c r="E854" s="3">
        <v>5578.03</v>
      </c>
      <c r="F854" s="7" t="s">
        <v>367</v>
      </c>
      <c r="H854" s="9"/>
      <c r="I854" s="9"/>
    </row>
    <row r="855" spans="1:9" x14ac:dyDescent="0.3">
      <c r="A855" s="7" t="s">
        <v>6272</v>
      </c>
      <c r="B855" s="7" t="s">
        <v>309</v>
      </c>
      <c r="C855" s="9">
        <v>45980</v>
      </c>
      <c r="D855" s="9">
        <v>46010</v>
      </c>
      <c r="E855" s="3">
        <v>6809.32</v>
      </c>
      <c r="F855" s="7" t="s">
        <v>369</v>
      </c>
      <c r="H855" s="9"/>
      <c r="I855" s="9"/>
    </row>
    <row r="856" spans="1:9" x14ac:dyDescent="0.3">
      <c r="A856" s="7" t="s">
        <v>6273</v>
      </c>
      <c r="B856" s="7" t="s">
        <v>339</v>
      </c>
      <c r="C856" s="9">
        <v>46039</v>
      </c>
      <c r="D856" s="9">
        <v>46069</v>
      </c>
      <c r="E856" s="3">
        <v>3183.72</v>
      </c>
      <c r="F856" s="7" t="s">
        <v>369</v>
      </c>
      <c r="H856" s="9"/>
      <c r="I856" s="9"/>
    </row>
    <row r="857" spans="1:9" x14ac:dyDescent="0.3">
      <c r="A857" s="7" t="s">
        <v>6274</v>
      </c>
      <c r="B857" s="7" t="s">
        <v>289</v>
      </c>
      <c r="C857" s="9">
        <v>46072</v>
      </c>
      <c r="D857" s="9">
        <v>46102</v>
      </c>
      <c r="E857" s="3">
        <v>3376.82</v>
      </c>
      <c r="F857" s="7" t="s">
        <v>367</v>
      </c>
      <c r="H857" s="9"/>
      <c r="I857" s="9"/>
    </row>
    <row r="858" spans="1:9" x14ac:dyDescent="0.3">
      <c r="A858" s="7" t="s">
        <v>6275</v>
      </c>
      <c r="B858" s="7" t="s">
        <v>313</v>
      </c>
      <c r="C858" s="9">
        <v>45976</v>
      </c>
      <c r="D858" s="9">
        <v>46006</v>
      </c>
      <c r="E858" s="3">
        <v>6937.68</v>
      </c>
      <c r="F858" s="7" t="s">
        <v>367</v>
      </c>
      <c r="H858" s="9"/>
      <c r="I858" s="9"/>
    </row>
    <row r="859" spans="1:9" x14ac:dyDescent="0.3">
      <c r="A859" s="7" t="s">
        <v>6276</v>
      </c>
      <c r="B859" s="7" t="s">
        <v>281</v>
      </c>
      <c r="C859" s="9">
        <v>46060</v>
      </c>
      <c r="D859" s="9">
        <v>46090</v>
      </c>
      <c r="E859" s="3">
        <v>6983.77</v>
      </c>
      <c r="F859" s="7" t="s">
        <v>369</v>
      </c>
      <c r="H859" s="9"/>
      <c r="I859" s="9"/>
    </row>
    <row r="860" spans="1:9" x14ac:dyDescent="0.3">
      <c r="A860" s="7" t="s">
        <v>6277</v>
      </c>
      <c r="B860" s="7" t="s">
        <v>287</v>
      </c>
      <c r="C860" s="9">
        <v>45984</v>
      </c>
      <c r="D860" s="9">
        <v>46014</v>
      </c>
      <c r="E860" s="3">
        <v>5830.11</v>
      </c>
      <c r="F860" s="7" t="s">
        <v>369</v>
      </c>
      <c r="H860" s="9"/>
      <c r="I860" s="9"/>
    </row>
    <row r="861" spans="1:9" x14ac:dyDescent="0.3">
      <c r="A861" s="7" t="s">
        <v>6278</v>
      </c>
      <c r="B861" s="7" t="s">
        <v>281</v>
      </c>
      <c r="C861" s="9">
        <v>46078</v>
      </c>
      <c r="D861" s="9">
        <v>46108</v>
      </c>
      <c r="E861" s="3">
        <v>5016.3100000000004</v>
      </c>
      <c r="F861" s="7" t="s">
        <v>387</v>
      </c>
      <c r="H861" s="9"/>
      <c r="I861" s="9"/>
    </row>
    <row r="862" spans="1:9" x14ac:dyDescent="0.3">
      <c r="A862" s="7" t="s">
        <v>6279</v>
      </c>
      <c r="B862" s="7" t="s">
        <v>339</v>
      </c>
      <c r="C862" s="9">
        <v>45972</v>
      </c>
      <c r="D862" s="9">
        <v>46002</v>
      </c>
      <c r="E862" s="3">
        <v>4174.1499999999996</v>
      </c>
      <c r="F862" s="7" t="s">
        <v>367</v>
      </c>
      <c r="H862" s="9"/>
      <c r="I862" s="9"/>
    </row>
    <row r="863" spans="1:9" x14ac:dyDescent="0.3">
      <c r="A863" s="7" t="s">
        <v>6280</v>
      </c>
      <c r="B863" s="7" t="s">
        <v>321</v>
      </c>
      <c r="C863" s="9">
        <v>45980</v>
      </c>
      <c r="D863" s="9">
        <v>46010</v>
      </c>
      <c r="E863" s="3">
        <v>6826.09</v>
      </c>
      <c r="F863" s="7" t="s">
        <v>367</v>
      </c>
      <c r="H863" s="9"/>
      <c r="I863" s="9"/>
    </row>
    <row r="864" spans="1:9" x14ac:dyDescent="0.3">
      <c r="A864" s="7" t="s">
        <v>6281</v>
      </c>
      <c r="B864" s="7" t="s">
        <v>309</v>
      </c>
      <c r="C864" s="9">
        <v>46080</v>
      </c>
      <c r="D864" s="9">
        <v>46110</v>
      </c>
      <c r="E864" s="3">
        <v>4626.62</v>
      </c>
      <c r="F864" s="7" t="s">
        <v>367</v>
      </c>
      <c r="H864" s="9"/>
      <c r="I864" s="9"/>
    </row>
    <row r="865" spans="1:9" x14ac:dyDescent="0.3">
      <c r="A865" s="7" t="s">
        <v>6282</v>
      </c>
      <c r="B865" s="7" t="s">
        <v>343</v>
      </c>
      <c r="C865" s="9">
        <v>46003</v>
      </c>
      <c r="D865" s="9">
        <v>46033</v>
      </c>
      <c r="E865" s="3">
        <v>1247.43</v>
      </c>
      <c r="F865" s="7" t="s">
        <v>367</v>
      </c>
      <c r="H865" s="9"/>
      <c r="I865" s="9"/>
    </row>
    <row r="866" spans="1:9" x14ac:dyDescent="0.3">
      <c r="A866" s="7" t="s">
        <v>6283</v>
      </c>
      <c r="B866" s="7" t="s">
        <v>315</v>
      </c>
      <c r="C866" s="9">
        <v>46048</v>
      </c>
      <c r="D866" s="9">
        <v>46078</v>
      </c>
      <c r="E866" s="3">
        <v>1545.85</v>
      </c>
      <c r="F866" s="7" t="s">
        <v>367</v>
      </c>
      <c r="H866" s="9"/>
      <c r="I866" s="9"/>
    </row>
    <row r="867" spans="1:9" x14ac:dyDescent="0.3">
      <c r="A867" s="7" t="s">
        <v>6284</v>
      </c>
      <c r="B867" s="7" t="s">
        <v>291</v>
      </c>
      <c r="C867" s="9">
        <v>46061</v>
      </c>
      <c r="D867" s="9">
        <v>46091</v>
      </c>
      <c r="E867" s="3">
        <v>2320.94</v>
      </c>
      <c r="F867" s="7" t="s">
        <v>369</v>
      </c>
      <c r="H867" s="9"/>
      <c r="I867" s="9"/>
    </row>
    <row r="868" spans="1:9" x14ac:dyDescent="0.3">
      <c r="A868" s="7" t="s">
        <v>6285</v>
      </c>
      <c r="B868" s="7" t="s">
        <v>303</v>
      </c>
      <c r="C868" s="9">
        <v>46059</v>
      </c>
      <c r="D868" s="9">
        <v>46089</v>
      </c>
      <c r="E868" s="3">
        <v>6079.09</v>
      </c>
      <c r="F868" s="7" t="s">
        <v>369</v>
      </c>
      <c r="H868" s="9"/>
      <c r="I868" s="9"/>
    </row>
    <row r="869" spans="1:9" x14ac:dyDescent="0.3">
      <c r="A869" s="7" t="s">
        <v>6286</v>
      </c>
      <c r="B869" s="7" t="s">
        <v>281</v>
      </c>
      <c r="C869" s="9">
        <v>46015</v>
      </c>
      <c r="D869" s="9">
        <v>46045</v>
      </c>
      <c r="E869" s="3">
        <v>6185.03</v>
      </c>
      <c r="F869" s="7" t="s">
        <v>367</v>
      </c>
      <c r="H869" s="9"/>
      <c r="I869" s="9"/>
    </row>
    <row r="870" spans="1:9" x14ac:dyDescent="0.3">
      <c r="A870" s="7" t="s">
        <v>6287</v>
      </c>
      <c r="B870" s="7" t="s">
        <v>335</v>
      </c>
      <c r="C870" s="9">
        <v>46004</v>
      </c>
      <c r="D870" s="9">
        <v>46034</v>
      </c>
      <c r="E870" s="3">
        <v>3179.13</v>
      </c>
      <c r="F870" s="7" t="s">
        <v>367</v>
      </c>
      <c r="H870" s="9"/>
      <c r="I870" s="9"/>
    </row>
    <row r="871" spans="1:9" x14ac:dyDescent="0.3">
      <c r="A871" s="7" t="s">
        <v>6288</v>
      </c>
      <c r="B871" s="7" t="s">
        <v>291</v>
      </c>
      <c r="C871" s="9">
        <v>46045</v>
      </c>
      <c r="D871" s="9">
        <v>46075</v>
      </c>
      <c r="E871" s="3">
        <v>1212.2</v>
      </c>
      <c r="F871" s="7" t="s">
        <v>367</v>
      </c>
      <c r="H871" s="9"/>
      <c r="I871" s="9"/>
    </row>
    <row r="872" spans="1:9" x14ac:dyDescent="0.3">
      <c r="A872" s="7" t="s">
        <v>6289</v>
      </c>
      <c r="B872" s="7" t="s">
        <v>313</v>
      </c>
      <c r="C872" s="9">
        <v>45993</v>
      </c>
      <c r="D872" s="9">
        <v>46023</v>
      </c>
      <c r="E872" s="3">
        <v>6340.49</v>
      </c>
      <c r="F872" s="7" t="s">
        <v>367</v>
      </c>
      <c r="H872" s="9"/>
      <c r="I872" s="9"/>
    </row>
    <row r="873" spans="1:9" x14ac:dyDescent="0.3">
      <c r="A873" s="7" t="s">
        <v>6290</v>
      </c>
      <c r="B873" s="7" t="s">
        <v>285</v>
      </c>
      <c r="C873" s="9">
        <v>46066</v>
      </c>
      <c r="D873" s="9">
        <v>46096</v>
      </c>
      <c r="E873" s="3">
        <v>4764.0200000000004</v>
      </c>
      <c r="F873" s="7" t="s">
        <v>367</v>
      </c>
      <c r="H873" s="9"/>
      <c r="I873" s="9"/>
    </row>
    <row r="874" spans="1:9" x14ac:dyDescent="0.3">
      <c r="A874" s="7" t="s">
        <v>6291</v>
      </c>
      <c r="B874" s="7" t="s">
        <v>297</v>
      </c>
      <c r="C874" s="9">
        <v>46045</v>
      </c>
      <c r="D874" s="9">
        <v>46075</v>
      </c>
      <c r="E874" s="3">
        <v>5833.74</v>
      </c>
      <c r="F874" s="7" t="s">
        <v>367</v>
      </c>
      <c r="H874" s="9"/>
      <c r="I874" s="9"/>
    </row>
    <row r="875" spans="1:9" x14ac:dyDescent="0.3">
      <c r="A875" s="7" t="s">
        <v>6292</v>
      </c>
      <c r="B875" s="7" t="s">
        <v>291</v>
      </c>
      <c r="C875" s="9">
        <v>46047</v>
      </c>
      <c r="D875" s="9">
        <v>46077</v>
      </c>
      <c r="E875" s="3">
        <v>6549.22</v>
      </c>
      <c r="F875" s="7" t="s">
        <v>387</v>
      </c>
      <c r="H875" s="9"/>
      <c r="I875" s="9"/>
    </row>
    <row r="876" spans="1:9" x14ac:dyDescent="0.3">
      <c r="A876" s="7" t="s">
        <v>6293</v>
      </c>
      <c r="B876" s="7" t="s">
        <v>305</v>
      </c>
      <c r="C876" s="9">
        <v>45971</v>
      </c>
      <c r="D876" s="9">
        <v>46001</v>
      </c>
      <c r="E876" s="3">
        <v>815.38</v>
      </c>
      <c r="F876" s="7" t="s">
        <v>367</v>
      </c>
      <c r="H876" s="9"/>
      <c r="I876" s="9"/>
    </row>
    <row r="877" spans="1:9" x14ac:dyDescent="0.3">
      <c r="A877" s="7" t="s">
        <v>6294</v>
      </c>
      <c r="B877" s="7" t="s">
        <v>307</v>
      </c>
      <c r="C877" s="9">
        <v>45962</v>
      </c>
      <c r="D877" s="9">
        <v>45992</v>
      </c>
      <c r="E877" s="3">
        <v>1193.98</v>
      </c>
      <c r="F877" s="7" t="s">
        <v>369</v>
      </c>
      <c r="H877" s="9"/>
      <c r="I877" s="9"/>
    </row>
    <row r="878" spans="1:9" x14ac:dyDescent="0.3">
      <c r="A878" s="7" t="s">
        <v>6295</v>
      </c>
      <c r="B878" s="7" t="s">
        <v>301</v>
      </c>
      <c r="C878" s="9">
        <v>46020</v>
      </c>
      <c r="D878" s="9">
        <v>46050</v>
      </c>
      <c r="E878" s="3">
        <v>6537.23</v>
      </c>
      <c r="F878" s="7" t="s">
        <v>367</v>
      </c>
      <c r="H878" s="9"/>
      <c r="I878" s="9"/>
    </row>
    <row r="879" spans="1:9" x14ac:dyDescent="0.3">
      <c r="A879" s="7" t="s">
        <v>6296</v>
      </c>
      <c r="B879" s="7" t="s">
        <v>325</v>
      </c>
      <c r="C879" s="9">
        <v>46004</v>
      </c>
      <c r="D879" s="9">
        <v>46034</v>
      </c>
      <c r="E879" s="3">
        <v>1672.23</v>
      </c>
      <c r="F879" s="7" t="s">
        <v>367</v>
      </c>
      <c r="H879" s="9"/>
      <c r="I879" s="9"/>
    </row>
    <row r="880" spans="1:9" x14ac:dyDescent="0.3">
      <c r="A880" s="7" t="s">
        <v>6297</v>
      </c>
      <c r="B880" s="7" t="s">
        <v>337</v>
      </c>
      <c r="C880" s="9">
        <v>46074</v>
      </c>
      <c r="D880" s="9">
        <v>46104</v>
      </c>
      <c r="E880" s="3">
        <v>804.92</v>
      </c>
      <c r="F880" s="7" t="s">
        <v>367</v>
      </c>
      <c r="H880" s="9"/>
      <c r="I880" s="9"/>
    </row>
    <row r="881" spans="1:9" x14ac:dyDescent="0.3">
      <c r="A881" s="7" t="s">
        <v>6298</v>
      </c>
      <c r="B881" s="7" t="s">
        <v>272</v>
      </c>
      <c r="C881" s="9">
        <v>45967</v>
      </c>
      <c r="D881" s="9">
        <v>45997</v>
      </c>
      <c r="E881" s="3">
        <v>2366.6799999999998</v>
      </c>
      <c r="F881" s="7" t="s">
        <v>367</v>
      </c>
      <c r="H881" s="9"/>
      <c r="I881" s="9"/>
    </row>
    <row r="882" spans="1:9" x14ac:dyDescent="0.3">
      <c r="A882" s="7" t="s">
        <v>6299</v>
      </c>
      <c r="B882" s="7" t="s">
        <v>274</v>
      </c>
      <c r="C882" s="9">
        <v>46046</v>
      </c>
      <c r="D882" s="9">
        <v>46076</v>
      </c>
      <c r="E882" s="3">
        <v>3117.51</v>
      </c>
      <c r="F882" s="7" t="s">
        <v>367</v>
      </c>
      <c r="H882" s="9"/>
      <c r="I882" s="9"/>
    </row>
    <row r="883" spans="1:9" x14ac:dyDescent="0.3">
      <c r="A883" s="7" t="s">
        <v>6300</v>
      </c>
      <c r="B883" s="7" t="s">
        <v>283</v>
      </c>
      <c r="C883" s="9">
        <v>46085</v>
      </c>
      <c r="D883" s="9">
        <v>46115</v>
      </c>
      <c r="E883" s="3">
        <v>3017.11</v>
      </c>
      <c r="F883" s="7" t="s">
        <v>367</v>
      </c>
      <c r="H883" s="9"/>
      <c r="I883" s="9"/>
    </row>
    <row r="884" spans="1:9" x14ac:dyDescent="0.3">
      <c r="A884" s="7" t="s">
        <v>6301</v>
      </c>
      <c r="B884" s="7" t="s">
        <v>323</v>
      </c>
      <c r="C884" s="9">
        <v>46019</v>
      </c>
      <c r="D884" s="9">
        <v>46049</v>
      </c>
      <c r="E884" s="3">
        <v>4061.1</v>
      </c>
      <c r="F884" s="7" t="s">
        <v>367</v>
      </c>
      <c r="H884" s="9"/>
      <c r="I884" s="9"/>
    </row>
    <row r="885" spans="1:9" x14ac:dyDescent="0.3">
      <c r="A885" s="7" t="s">
        <v>6302</v>
      </c>
      <c r="B885" s="7" t="s">
        <v>291</v>
      </c>
      <c r="C885" s="9">
        <v>46075</v>
      </c>
      <c r="D885" s="9">
        <v>46105</v>
      </c>
      <c r="E885" s="3">
        <v>1193.8699999999999</v>
      </c>
      <c r="F885" s="7" t="s">
        <v>369</v>
      </c>
      <c r="H885" s="9"/>
      <c r="I885" s="9"/>
    </row>
    <row r="886" spans="1:9" x14ac:dyDescent="0.3">
      <c r="A886" s="7" t="s">
        <v>6303</v>
      </c>
      <c r="B886" s="7" t="s">
        <v>261</v>
      </c>
      <c r="C886" s="9">
        <v>46011</v>
      </c>
      <c r="D886" s="9">
        <v>46041</v>
      </c>
      <c r="E886" s="3">
        <v>4415.6099999999997</v>
      </c>
      <c r="F886" s="7" t="s">
        <v>367</v>
      </c>
      <c r="H886" s="9"/>
      <c r="I886" s="9"/>
    </row>
    <row r="887" spans="1:9" x14ac:dyDescent="0.3">
      <c r="A887" s="7" t="s">
        <v>6304</v>
      </c>
      <c r="B887" s="7" t="s">
        <v>319</v>
      </c>
      <c r="C887" s="9">
        <v>45987</v>
      </c>
      <c r="D887" s="9">
        <v>46017</v>
      </c>
      <c r="E887" s="3">
        <v>3434.54</v>
      </c>
      <c r="F887" s="7" t="s">
        <v>367</v>
      </c>
      <c r="H887" s="9"/>
      <c r="I887" s="9"/>
    </row>
    <row r="888" spans="1:9" x14ac:dyDescent="0.3">
      <c r="A888" s="7" t="s">
        <v>6305</v>
      </c>
      <c r="B888" s="7" t="s">
        <v>331</v>
      </c>
      <c r="C888" s="9">
        <v>46073</v>
      </c>
      <c r="D888" s="9">
        <v>46103</v>
      </c>
      <c r="E888" s="3">
        <v>5787.23</v>
      </c>
      <c r="F888" s="7" t="s">
        <v>367</v>
      </c>
      <c r="H888" s="9"/>
      <c r="I888" s="9"/>
    </row>
    <row r="889" spans="1:9" x14ac:dyDescent="0.3">
      <c r="A889" s="7" t="s">
        <v>6306</v>
      </c>
      <c r="B889" s="7" t="s">
        <v>333</v>
      </c>
      <c r="C889" s="9">
        <v>45966</v>
      </c>
      <c r="D889" s="9">
        <v>45996</v>
      </c>
      <c r="E889" s="3">
        <v>3778.62</v>
      </c>
      <c r="F889" s="7" t="s">
        <v>367</v>
      </c>
      <c r="H889" s="9"/>
      <c r="I889" s="9"/>
    </row>
    <row r="890" spans="1:9" x14ac:dyDescent="0.3">
      <c r="A890" s="7" t="s">
        <v>6307</v>
      </c>
      <c r="B890" s="7" t="s">
        <v>339</v>
      </c>
      <c r="C890" s="9">
        <v>46039</v>
      </c>
      <c r="D890" s="9">
        <v>46069</v>
      </c>
      <c r="E890" s="3">
        <v>1322.71</v>
      </c>
      <c r="F890" s="7" t="s">
        <v>367</v>
      </c>
      <c r="H890" s="9"/>
      <c r="I890" s="9"/>
    </row>
    <row r="891" spans="1:9" x14ac:dyDescent="0.3">
      <c r="A891" s="7" t="s">
        <v>6308</v>
      </c>
      <c r="B891" s="7" t="s">
        <v>293</v>
      </c>
      <c r="C891" s="9">
        <v>46065</v>
      </c>
      <c r="D891" s="9">
        <v>46095</v>
      </c>
      <c r="E891" s="3">
        <v>3485.43</v>
      </c>
      <c r="F891" s="7" t="s">
        <v>367</v>
      </c>
      <c r="H891" s="9"/>
      <c r="I891" s="9"/>
    </row>
    <row r="892" spans="1:9" x14ac:dyDescent="0.3">
      <c r="A892" s="7" t="s">
        <v>6309</v>
      </c>
      <c r="B892" s="7" t="s">
        <v>276</v>
      </c>
      <c r="C892" s="9">
        <v>46052</v>
      </c>
      <c r="D892" s="9">
        <v>46082</v>
      </c>
      <c r="E892" s="3">
        <v>6660.79</v>
      </c>
      <c r="F892" s="7" t="s">
        <v>367</v>
      </c>
      <c r="H892" s="9"/>
      <c r="I892" s="9"/>
    </row>
    <row r="893" spans="1:9" x14ac:dyDescent="0.3">
      <c r="A893" s="7" t="s">
        <v>6310</v>
      </c>
      <c r="B893" s="7" t="s">
        <v>272</v>
      </c>
      <c r="C893" s="9">
        <v>46038</v>
      </c>
      <c r="D893" s="9">
        <v>46068</v>
      </c>
      <c r="E893" s="3">
        <v>4202.51</v>
      </c>
      <c r="F893" s="7" t="s">
        <v>367</v>
      </c>
      <c r="H893" s="9"/>
      <c r="I893" s="9"/>
    </row>
    <row r="894" spans="1:9" x14ac:dyDescent="0.3">
      <c r="A894" s="7" t="s">
        <v>6311</v>
      </c>
      <c r="B894" s="7" t="s">
        <v>315</v>
      </c>
      <c r="C894" s="9">
        <v>45969</v>
      </c>
      <c r="D894" s="9">
        <v>45999</v>
      </c>
      <c r="E894" s="3">
        <v>4711.34</v>
      </c>
      <c r="F894" s="7" t="s">
        <v>367</v>
      </c>
      <c r="H894" s="9"/>
      <c r="I894" s="9"/>
    </row>
    <row r="895" spans="1:9" x14ac:dyDescent="0.3">
      <c r="A895" s="7" t="s">
        <v>6312</v>
      </c>
      <c r="B895" s="7" t="s">
        <v>307</v>
      </c>
      <c r="C895" s="9">
        <v>46024</v>
      </c>
      <c r="D895" s="9">
        <v>46054</v>
      </c>
      <c r="E895" s="3">
        <v>5518.11</v>
      </c>
      <c r="F895" s="7" t="s">
        <v>369</v>
      </c>
      <c r="H895" s="9"/>
      <c r="I895" s="9"/>
    </row>
    <row r="896" spans="1:9" x14ac:dyDescent="0.3">
      <c r="A896" s="7" t="s">
        <v>6313</v>
      </c>
      <c r="B896" s="7" t="s">
        <v>335</v>
      </c>
      <c r="C896" s="9">
        <v>45988</v>
      </c>
      <c r="D896" s="9">
        <v>46018</v>
      </c>
      <c r="E896" s="3">
        <v>4840.53</v>
      </c>
      <c r="F896" s="7" t="s">
        <v>367</v>
      </c>
      <c r="H896" s="9"/>
      <c r="I896" s="9"/>
    </row>
    <row r="897" spans="1:9" x14ac:dyDescent="0.3">
      <c r="A897" s="7" t="s">
        <v>6314</v>
      </c>
      <c r="B897" s="7" t="s">
        <v>339</v>
      </c>
      <c r="C897" s="9">
        <v>46086</v>
      </c>
      <c r="D897" s="9">
        <v>46116</v>
      </c>
      <c r="E897" s="3">
        <v>4870.58</v>
      </c>
      <c r="F897" s="7" t="s">
        <v>367</v>
      </c>
      <c r="H897" s="9"/>
      <c r="I897" s="9"/>
    </row>
    <row r="898" spans="1:9" x14ac:dyDescent="0.3">
      <c r="A898" s="7" t="s">
        <v>6315</v>
      </c>
      <c r="B898" s="7" t="s">
        <v>272</v>
      </c>
      <c r="C898" s="9">
        <v>46071</v>
      </c>
      <c r="D898" s="9">
        <v>46101</v>
      </c>
      <c r="E898" s="3">
        <v>3108.18</v>
      </c>
      <c r="F898" s="7" t="s">
        <v>367</v>
      </c>
      <c r="H898" s="9"/>
      <c r="I898" s="9"/>
    </row>
    <row r="899" spans="1:9" x14ac:dyDescent="0.3">
      <c r="A899" s="7" t="s">
        <v>6316</v>
      </c>
      <c r="B899" s="7" t="s">
        <v>289</v>
      </c>
      <c r="C899" s="9">
        <v>46023</v>
      </c>
      <c r="D899" s="9">
        <v>46053</v>
      </c>
      <c r="E899" s="3">
        <v>875.87</v>
      </c>
      <c r="F899" s="7" t="s">
        <v>367</v>
      </c>
      <c r="H899" s="9"/>
      <c r="I899" s="9"/>
    </row>
    <row r="900" spans="1:9" x14ac:dyDescent="0.3">
      <c r="A900" s="7" t="s">
        <v>6317</v>
      </c>
      <c r="B900" s="7" t="s">
        <v>269</v>
      </c>
      <c r="C900" s="9">
        <v>46089</v>
      </c>
      <c r="D900" s="9">
        <v>46119</v>
      </c>
      <c r="E900" s="3">
        <v>1947.12</v>
      </c>
      <c r="F900" s="7" t="s">
        <v>367</v>
      </c>
      <c r="H900" s="9"/>
      <c r="I900" s="9"/>
    </row>
    <row r="901" spans="1:9" x14ac:dyDescent="0.3">
      <c r="A901" s="7" t="s">
        <v>6318</v>
      </c>
      <c r="B901" s="7" t="s">
        <v>307</v>
      </c>
      <c r="C901" s="9">
        <v>45984</v>
      </c>
      <c r="D901" s="9">
        <v>46014</v>
      </c>
      <c r="E901" s="3">
        <v>6441.71</v>
      </c>
      <c r="F901" s="7" t="s">
        <v>367</v>
      </c>
      <c r="H901" s="9"/>
      <c r="I901" s="9"/>
    </row>
    <row r="902" spans="1:9" x14ac:dyDescent="0.3">
      <c r="A902" s="7" t="s">
        <v>6319</v>
      </c>
      <c r="B902" s="7" t="s">
        <v>285</v>
      </c>
      <c r="C902" s="9">
        <v>46085</v>
      </c>
      <c r="D902" s="9">
        <v>46115</v>
      </c>
      <c r="E902" s="3">
        <v>2587.5</v>
      </c>
      <c r="F902" s="7" t="s">
        <v>367</v>
      </c>
      <c r="H902" s="9"/>
      <c r="I902" s="9"/>
    </row>
    <row r="903" spans="1:9" x14ac:dyDescent="0.3">
      <c r="A903" s="7" t="s">
        <v>6320</v>
      </c>
      <c r="B903" s="7" t="s">
        <v>264</v>
      </c>
      <c r="C903" s="9">
        <v>46052</v>
      </c>
      <c r="D903" s="9">
        <v>46082</v>
      </c>
      <c r="E903" s="3">
        <v>3303.04</v>
      </c>
      <c r="F903" s="7" t="s">
        <v>367</v>
      </c>
      <c r="H903" s="9"/>
      <c r="I903" s="9"/>
    </row>
    <row r="904" spans="1:9" x14ac:dyDescent="0.3">
      <c r="A904" s="7" t="s">
        <v>6321</v>
      </c>
      <c r="B904" s="7" t="s">
        <v>272</v>
      </c>
      <c r="C904" s="9">
        <v>46010</v>
      </c>
      <c r="D904" s="9">
        <v>46040</v>
      </c>
      <c r="E904" s="3">
        <v>2387.79</v>
      </c>
      <c r="F904" s="7" t="s">
        <v>369</v>
      </c>
      <c r="H904" s="9"/>
      <c r="I904" s="9"/>
    </row>
    <row r="905" spans="1:9" x14ac:dyDescent="0.3">
      <c r="A905" s="7" t="s">
        <v>6322</v>
      </c>
      <c r="B905" s="7" t="s">
        <v>264</v>
      </c>
      <c r="C905" s="9">
        <v>45977</v>
      </c>
      <c r="D905" s="9">
        <v>46007</v>
      </c>
      <c r="E905" s="3">
        <v>1391.78</v>
      </c>
      <c r="F905" s="7" t="s">
        <v>369</v>
      </c>
      <c r="H905" s="9"/>
      <c r="I905" s="9"/>
    </row>
    <row r="906" spans="1:9" x14ac:dyDescent="0.3">
      <c r="A906" s="7" t="s">
        <v>6323</v>
      </c>
      <c r="B906" s="7" t="s">
        <v>291</v>
      </c>
      <c r="C906" s="9">
        <v>45967</v>
      </c>
      <c r="D906" s="9">
        <v>45997</v>
      </c>
      <c r="E906" s="3">
        <v>6062.59</v>
      </c>
      <c r="F906" s="7" t="s">
        <v>367</v>
      </c>
      <c r="H906" s="9"/>
      <c r="I906" s="9"/>
    </row>
    <row r="907" spans="1:9" x14ac:dyDescent="0.3">
      <c r="A907" s="7" t="s">
        <v>6324</v>
      </c>
      <c r="B907" s="7" t="s">
        <v>281</v>
      </c>
      <c r="C907" s="9">
        <v>45993</v>
      </c>
      <c r="D907" s="9">
        <v>46023</v>
      </c>
      <c r="E907" s="3">
        <v>2522.83</v>
      </c>
      <c r="F907" s="7" t="s">
        <v>367</v>
      </c>
      <c r="H907" s="9"/>
      <c r="I907" s="9"/>
    </row>
    <row r="908" spans="1:9" x14ac:dyDescent="0.3">
      <c r="A908" s="7" t="s">
        <v>6325</v>
      </c>
      <c r="B908" s="7" t="s">
        <v>339</v>
      </c>
      <c r="C908" s="9">
        <v>45997</v>
      </c>
      <c r="D908" s="9">
        <v>46027</v>
      </c>
      <c r="E908" s="3">
        <v>1609.05</v>
      </c>
      <c r="F908" s="7" t="s">
        <v>367</v>
      </c>
      <c r="H908" s="9"/>
      <c r="I908" s="9"/>
    </row>
    <row r="909" spans="1:9" x14ac:dyDescent="0.3">
      <c r="A909" s="7" t="s">
        <v>6326</v>
      </c>
      <c r="B909" s="7" t="s">
        <v>313</v>
      </c>
      <c r="C909" s="9">
        <v>46049</v>
      </c>
      <c r="D909" s="9">
        <v>46079</v>
      </c>
      <c r="E909" s="3">
        <v>1667</v>
      </c>
      <c r="F909" s="7" t="s">
        <v>367</v>
      </c>
      <c r="H909" s="9"/>
      <c r="I909" s="9"/>
    </row>
    <row r="910" spans="1:9" x14ac:dyDescent="0.3">
      <c r="A910" s="7" t="s">
        <v>6327</v>
      </c>
      <c r="B910" s="7" t="s">
        <v>343</v>
      </c>
      <c r="C910" s="9">
        <v>46021</v>
      </c>
      <c r="D910" s="9">
        <v>46051</v>
      </c>
      <c r="E910" s="3">
        <v>5496.55</v>
      </c>
      <c r="F910" s="7" t="s">
        <v>369</v>
      </c>
      <c r="H910" s="9"/>
      <c r="I910" s="9"/>
    </row>
    <row r="911" spans="1:9" x14ac:dyDescent="0.3">
      <c r="A911" s="7" t="s">
        <v>6328</v>
      </c>
      <c r="B911" s="7" t="s">
        <v>297</v>
      </c>
      <c r="C911" s="9">
        <v>46085</v>
      </c>
      <c r="D911" s="9">
        <v>46115</v>
      </c>
      <c r="E911" s="3">
        <v>4111.95</v>
      </c>
      <c r="F911" s="7" t="s">
        <v>367</v>
      </c>
      <c r="H911" s="9"/>
      <c r="I911" s="9"/>
    </row>
    <row r="912" spans="1:9" x14ac:dyDescent="0.3">
      <c r="A912" s="7" t="s">
        <v>6329</v>
      </c>
      <c r="B912" s="7" t="s">
        <v>289</v>
      </c>
      <c r="C912" s="9">
        <v>46088</v>
      </c>
      <c r="D912" s="9">
        <v>46118</v>
      </c>
      <c r="E912" s="3">
        <v>2212.5100000000002</v>
      </c>
      <c r="F912" s="7" t="s">
        <v>367</v>
      </c>
      <c r="H912" s="9"/>
      <c r="I912" s="9"/>
    </row>
    <row r="913" spans="1:9" x14ac:dyDescent="0.3">
      <c r="A913" s="7" t="s">
        <v>6330</v>
      </c>
      <c r="B913" s="7" t="s">
        <v>313</v>
      </c>
      <c r="C913" s="9">
        <v>46045</v>
      </c>
      <c r="D913" s="9">
        <v>46075</v>
      </c>
      <c r="E913" s="3">
        <v>6723.21</v>
      </c>
      <c r="F913" s="7" t="s">
        <v>367</v>
      </c>
      <c r="H913" s="9"/>
      <c r="I913" s="9"/>
    </row>
    <row r="914" spans="1:9" x14ac:dyDescent="0.3">
      <c r="A914" s="7" t="s">
        <v>6331</v>
      </c>
      <c r="B914" s="7" t="s">
        <v>295</v>
      </c>
      <c r="C914" s="9">
        <v>46028</v>
      </c>
      <c r="D914" s="9">
        <v>46058</v>
      </c>
      <c r="E914" s="3">
        <v>5344.21</v>
      </c>
      <c r="F914" s="7" t="s">
        <v>367</v>
      </c>
      <c r="H914" s="9"/>
      <c r="I914" s="9"/>
    </row>
    <row r="915" spans="1:9" x14ac:dyDescent="0.3">
      <c r="A915" s="7" t="s">
        <v>6332</v>
      </c>
      <c r="B915" s="7" t="s">
        <v>301</v>
      </c>
      <c r="C915" s="9">
        <v>46088</v>
      </c>
      <c r="D915" s="9">
        <v>46118</v>
      </c>
      <c r="E915" s="3">
        <v>2866.19</v>
      </c>
      <c r="F915" s="7" t="s">
        <v>367</v>
      </c>
      <c r="H915" s="9"/>
      <c r="I915" s="9"/>
    </row>
    <row r="916" spans="1:9" x14ac:dyDescent="0.3">
      <c r="A916" s="7" t="s">
        <v>6333</v>
      </c>
      <c r="B916" s="7" t="s">
        <v>315</v>
      </c>
      <c r="C916" s="9">
        <v>46082</v>
      </c>
      <c r="D916" s="9">
        <v>46112</v>
      </c>
      <c r="E916" s="3">
        <v>2650.09</v>
      </c>
      <c r="F916" s="7" t="s">
        <v>369</v>
      </c>
      <c r="H916" s="9"/>
      <c r="I916" s="9"/>
    </row>
    <row r="917" spans="1:9" x14ac:dyDescent="0.3">
      <c r="A917" s="7" t="s">
        <v>6334</v>
      </c>
      <c r="B917" s="7" t="s">
        <v>319</v>
      </c>
      <c r="C917" s="9">
        <v>45964</v>
      </c>
      <c r="D917" s="9">
        <v>45994</v>
      </c>
      <c r="E917" s="3">
        <v>5716.92</v>
      </c>
      <c r="F917" s="7" t="s">
        <v>367</v>
      </c>
      <c r="H917" s="9"/>
      <c r="I917" s="9"/>
    </row>
    <row r="918" spans="1:9" x14ac:dyDescent="0.3">
      <c r="A918" s="7" t="s">
        <v>6335</v>
      </c>
      <c r="B918" s="7" t="s">
        <v>319</v>
      </c>
      <c r="C918" s="9">
        <v>45964</v>
      </c>
      <c r="D918" s="9">
        <v>45994</v>
      </c>
      <c r="E918" s="3">
        <v>3462.27</v>
      </c>
      <c r="F918" s="7" t="s">
        <v>367</v>
      </c>
      <c r="H918" s="9"/>
      <c r="I918" s="9"/>
    </row>
    <row r="919" spans="1:9" x14ac:dyDescent="0.3">
      <c r="A919" s="7" t="s">
        <v>6336</v>
      </c>
      <c r="B919" s="7" t="s">
        <v>339</v>
      </c>
      <c r="C919" s="9">
        <v>46081</v>
      </c>
      <c r="D919" s="9">
        <v>46111</v>
      </c>
      <c r="E919" s="3">
        <v>6694.68</v>
      </c>
      <c r="F919" s="7" t="s">
        <v>367</v>
      </c>
      <c r="H919" s="9"/>
      <c r="I919" s="9"/>
    </row>
    <row r="920" spans="1:9" x14ac:dyDescent="0.3">
      <c r="A920" s="7" t="s">
        <v>6337</v>
      </c>
      <c r="B920" s="7" t="s">
        <v>325</v>
      </c>
      <c r="C920" s="9">
        <v>46028</v>
      </c>
      <c r="D920" s="9">
        <v>46058</v>
      </c>
      <c r="E920" s="3">
        <v>4675.63</v>
      </c>
      <c r="F920" s="7" t="s">
        <v>369</v>
      </c>
      <c r="H920" s="9"/>
      <c r="I920" s="9"/>
    </row>
    <row r="921" spans="1:9" x14ac:dyDescent="0.3">
      <c r="A921" s="7" t="s">
        <v>6338</v>
      </c>
      <c r="B921" s="7" t="s">
        <v>337</v>
      </c>
      <c r="C921" s="9">
        <v>46088</v>
      </c>
      <c r="D921" s="9">
        <v>46118</v>
      </c>
      <c r="E921" s="3">
        <v>4210.91</v>
      </c>
      <c r="F921" s="7" t="s">
        <v>367</v>
      </c>
      <c r="H921" s="9"/>
      <c r="I921" s="9"/>
    </row>
    <row r="922" spans="1:9" x14ac:dyDescent="0.3">
      <c r="A922" s="7" t="s">
        <v>6339</v>
      </c>
      <c r="B922" s="7" t="s">
        <v>325</v>
      </c>
      <c r="C922" s="9">
        <v>46049</v>
      </c>
      <c r="D922" s="9">
        <v>46079</v>
      </c>
      <c r="E922" s="3">
        <v>5948.34</v>
      </c>
      <c r="F922" s="7" t="s">
        <v>367</v>
      </c>
      <c r="H922" s="9"/>
      <c r="I922" s="9"/>
    </row>
    <row r="923" spans="1:9" x14ac:dyDescent="0.3">
      <c r="A923" s="7" t="s">
        <v>6340</v>
      </c>
      <c r="B923" s="7" t="s">
        <v>307</v>
      </c>
      <c r="C923" s="9">
        <v>46061</v>
      </c>
      <c r="D923" s="9">
        <v>46091</v>
      </c>
      <c r="E923" s="3">
        <v>5067.82</v>
      </c>
      <c r="F923" s="7" t="s">
        <v>387</v>
      </c>
      <c r="H923" s="9"/>
      <c r="I923" s="9"/>
    </row>
    <row r="924" spans="1:9" x14ac:dyDescent="0.3">
      <c r="A924" s="7" t="s">
        <v>6341</v>
      </c>
      <c r="B924" s="7" t="s">
        <v>307</v>
      </c>
      <c r="C924" s="9">
        <v>46040</v>
      </c>
      <c r="D924" s="9">
        <v>46070</v>
      </c>
      <c r="E924" s="3">
        <v>4288.87</v>
      </c>
      <c r="F924" s="7" t="s">
        <v>367</v>
      </c>
      <c r="H924" s="9"/>
      <c r="I924" s="9"/>
    </row>
    <row r="925" spans="1:9" x14ac:dyDescent="0.3">
      <c r="A925" s="7" t="s">
        <v>6342</v>
      </c>
      <c r="B925" s="7" t="s">
        <v>285</v>
      </c>
      <c r="C925" s="9">
        <v>45993</v>
      </c>
      <c r="D925" s="9">
        <v>46023</v>
      </c>
      <c r="E925" s="3">
        <v>3092.34</v>
      </c>
      <c r="F925" s="7" t="s">
        <v>367</v>
      </c>
      <c r="H925" s="9"/>
      <c r="I925" s="9"/>
    </row>
    <row r="926" spans="1:9" x14ac:dyDescent="0.3">
      <c r="A926" s="7" t="s">
        <v>6343</v>
      </c>
      <c r="B926" s="7" t="s">
        <v>269</v>
      </c>
      <c r="C926" s="9">
        <v>46074</v>
      </c>
      <c r="D926" s="9">
        <v>46104</v>
      </c>
      <c r="E926" s="3">
        <v>4641.45</v>
      </c>
      <c r="F926" s="7" t="s">
        <v>367</v>
      </c>
      <c r="H926" s="9"/>
      <c r="I926" s="9"/>
    </row>
    <row r="927" spans="1:9" x14ac:dyDescent="0.3">
      <c r="A927" s="7" t="s">
        <v>6344</v>
      </c>
      <c r="B927" s="7" t="s">
        <v>299</v>
      </c>
      <c r="C927" s="9">
        <v>46059</v>
      </c>
      <c r="D927" s="9">
        <v>46089</v>
      </c>
      <c r="E927" s="3">
        <v>3730.94</v>
      </c>
      <c r="F927" s="7" t="s">
        <v>387</v>
      </c>
      <c r="H927" s="9"/>
      <c r="I927" s="9"/>
    </row>
    <row r="928" spans="1:9" x14ac:dyDescent="0.3">
      <c r="A928" s="7" t="s">
        <v>6345</v>
      </c>
      <c r="B928" s="7" t="s">
        <v>315</v>
      </c>
      <c r="C928" s="9">
        <v>46000</v>
      </c>
      <c r="D928" s="9">
        <v>46030</v>
      </c>
      <c r="E928" s="3">
        <v>6063.78</v>
      </c>
      <c r="F928" s="7" t="s">
        <v>367</v>
      </c>
      <c r="H928" s="9"/>
      <c r="I928" s="9"/>
    </row>
    <row r="929" spans="1:9" x14ac:dyDescent="0.3">
      <c r="A929" s="7" t="s">
        <v>6346</v>
      </c>
      <c r="B929" s="7" t="s">
        <v>321</v>
      </c>
      <c r="C929" s="9">
        <v>46086</v>
      </c>
      <c r="D929" s="9">
        <v>46116</v>
      </c>
      <c r="E929" s="3">
        <v>5620.22</v>
      </c>
      <c r="F929" s="7" t="s">
        <v>369</v>
      </c>
      <c r="H929" s="9"/>
      <c r="I929" s="9"/>
    </row>
    <row r="930" spans="1:9" x14ac:dyDescent="0.3">
      <c r="A930" s="7" t="s">
        <v>6347</v>
      </c>
      <c r="B930" s="7" t="s">
        <v>319</v>
      </c>
      <c r="C930" s="9">
        <v>45963</v>
      </c>
      <c r="D930" s="9">
        <v>45993</v>
      </c>
      <c r="E930" s="3">
        <v>5262.01</v>
      </c>
      <c r="F930" s="7" t="s">
        <v>367</v>
      </c>
      <c r="H930" s="9"/>
      <c r="I930" s="9"/>
    </row>
    <row r="931" spans="1:9" x14ac:dyDescent="0.3">
      <c r="A931" s="7" t="s">
        <v>6348</v>
      </c>
      <c r="B931" s="7" t="s">
        <v>335</v>
      </c>
      <c r="C931" s="9">
        <v>46023</v>
      </c>
      <c r="D931" s="9">
        <v>46053</v>
      </c>
      <c r="E931" s="3">
        <v>4399.47</v>
      </c>
      <c r="F931" s="7" t="s">
        <v>367</v>
      </c>
      <c r="H931" s="9"/>
      <c r="I931" s="9"/>
    </row>
    <row r="932" spans="1:9" x14ac:dyDescent="0.3">
      <c r="A932" s="7" t="s">
        <v>6349</v>
      </c>
      <c r="B932" s="7" t="s">
        <v>337</v>
      </c>
      <c r="C932" s="9">
        <v>46056</v>
      </c>
      <c r="D932" s="9">
        <v>46086</v>
      </c>
      <c r="E932" s="3">
        <v>4218.95</v>
      </c>
      <c r="F932" s="7" t="s">
        <v>367</v>
      </c>
      <c r="H932" s="9"/>
      <c r="I932" s="9"/>
    </row>
    <row r="933" spans="1:9" x14ac:dyDescent="0.3">
      <c r="A933" s="7" t="s">
        <v>6350</v>
      </c>
      <c r="B933" s="7" t="s">
        <v>301</v>
      </c>
      <c r="C933" s="9">
        <v>46063</v>
      </c>
      <c r="D933" s="9">
        <v>46093</v>
      </c>
      <c r="E933" s="3">
        <v>2055.8000000000002</v>
      </c>
      <c r="F933" s="7" t="s">
        <v>369</v>
      </c>
      <c r="H933" s="9"/>
      <c r="I933" s="9"/>
    </row>
    <row r="934" spans="1:9" x14ac:dyDescent="0.3">
      <c r="A934" s="7" t="s">
        <v>6351</v>
      </c>
      <c r="B934" s="7" t="s">
        <v>327</v>
      </c>
      <c r="C934" s="9">
        <v>46071</v>
      </c>
      <c r="D934" s="9">
        <v>46101</v>
      </c>
      <c r="E934" s="3">
        <v>6527.43</v>
      </c>
      <c r="F934" s="7" t="s">
        <v>367</v>
      </c>
      <c r="H934" s="9"/>
      <c r="I934" s="9"/>
    </row>
    <row r="935" spans="1:9" x14ac:dyDescent="0.3">
      <c r="A935" s="7" t="s">
        <v>6352</v>
      </c>
      <c r="B935" s="7" t="s">
        <v>325</v>
      </c>
      <c r="C935" s="9">
        <v>46018</v>
      </c>
      <c r="D935" s="9">
        <v>46048</v>
      </c>
      <c r="E935" s="3">
        <v>1307.1400000000001</v>
      </c>
      <c r="F935" s="7" t="s">
        <v>367</v>
      </c>
      <c r="H935" s="9"/>
      <c r="I935" s="9"/>
    </row>
    <row r="936" spans="1:9" x14ac:dyDescent="0.3">
      <c r="A936" s="7" t="s">
        <v>6353</v>
      </c>
      <c r="B936" s="7" t="s">
        <v>317</v>
      </c>
      <c r="C936" s="9">
        <v>46042</v>
      </c>
      <c r="D936" s="9">
        <v>46072</v>
      </c>
      <c r="E936" s="3">
        <v>6695.59</v>
      </c>
      <c r="F936" s="7" t="s">
        <v>369</v>
      </c>
      <c r="H936" s="9"/>
      <c r="I936" s="9"/>
    </row>
    <row r="937" spans="1:9" x14ac:dyDescent="0.3">
      <c r="A937" s="7" t="s">
        <v>6354</v>
      </c>
      <c r="B937" s="7" t="s">
        <v>305</v>
      </c>
      <c r="C937" s="9">
        <v>46017</v>
      </c>
      <c r="D937" s="9">
        <v>46047</v>
      </c>
      <c r="E937" s="3">
        <v>2483.0100000000002</v>
      </c>
      <c r="F937" s="7" t="s">
        <v>369</v>
      </c>
      <c r="H937" s="9"/>
      <c r="I937" s="9"/>
    </row>
    <row r="938" spans="1:9" x14ac:dyDescent="0.3">
      <c r="A938" s="7" t="s">
        <v>6355</v>
      </c>
      <c r="B938" s="7" t="s">
        <v>335</v>
      </c>
      <c r="C938" s="9">
        <v>46042</v>
      </c>
      <c r="D938" s="9">
        <v>46072</v>
      </c>
      <c r="E938" s="3">
        <v>2836.85</v>
      </c>
      <c r="F938" s="7" t="s">
        <v>369</v>
      </c>
      <c r="H938" s="9"/>
      <c r="I938" s="9"/>
    </row>
    <row r="939" spans="1:9" x14ac:dyDescent="0.3">
      <c r="A939" s="7" t="s">
        <v>6356</v>
      </c>
      <c r="B939" s="7" t="s">
        <v>337</v>
      </c>
      <c r="C939" s="9">
        <v>45969</v>
      </c>
      <c r="D939" s="9">
        <v>45999</v>
      </c>
      <c r="E939" s="3">
        <v>962.03</v>
      </c>
      <c r="F939" s="7" t="s">
        <v>369</v>
      </c>
      <c r="H939" s="9"/>
      <c r="I939" s="9"/>
    </row>
    <row r="940" spans="1:9" x14ac:dyDescent="0.3">
      <c r="A940" s="7" t="s">
        <v>6357</v>
      </c>
      <c r="B940" s="7" t="s">
        <v>333</v>
      </c>
      <c r="C940" s="9">
        <v>46012</v>
      </c>
      <c r="D940" s="9">
        <v>46042</v>
      </c>
      <c r="E940" s="3">
        <v>1712.11</v>
      </c>
      <c r="F940" s="7" t="s">
        <v>367</v>
      </c>
      <c r="H940" s="9"/>
      <c r="I940" s="9"/>
    </row>
    <row r="941" spans="1:9" x14ac:dyDescent="0.3">
      <c r="A941" s="7" t="s">
        <v>6358</v>
      </c>
      <c r="B941" s="7" t="s">
        <v>295</v>
      </c>
      <c r="C941" s="9">
        <v>46067</v>
      </c>
      <c r="D941" s="9">
        <v>46097</v>
      </c>
      <c r="E941" s="3">
        <v>4618.6499999999996</v>
      </c>
      <c r="F941" s="7" t="s">
        <v>369</v>
      </c>
      <c r="H941" s="9"/>
      <c r="I941" s="9"/>
    </row>
    <row r="942" spans="1:9" x14ac:dyDescent="0.3">
      <c r="A942" s="7" t="s">
        <v>6359</v>
      </c>
      <c r="B942" s="7" t="s">
        <v>272</v>
      </c>
      <c r="C942" s="9">
        <v>46068</v>
      </c>
      <c r="D942" s="9">
        <v>46098</v>
      </c>
      <c r="E942" s="3">
        <v>3374.74</v>
      </c>
      <c r="F942" s="7" t="s">
        <v>367</v>
      </c>
      <c r="H942" s="9"/>
      <c r="I942" s="9"/>
    </row>
    <row r="943" spans="1:9" x14ac:dyDescent="0.3">
      <c r="A943" s="7" t="s">
        <v>6360</v>
      </c>
      <c r="B943" s="7" t="s">
        <v>329</v>
      </c>
      <c r="C943" s="9">
        <v>46052</v>
      </c>
      <c r="D943" s="9">
        <v>46082</v>
      </c>
      <c r="E943" s="3">
        <v>1316.47</v>
      </c>
      <c r="F943" s="7" t="s">
        <v>367</v>
      </c>
      <c r="H943" s="9"/>
      <c r="I943" s="9"/>
    </row>
    <row r="944" spans="1:9" x14ac:dyDescent="0.3">
      <c r="A944" s="7" t="s">
        <v>6361</v>
      </c>
      <c r="B944" s="7" t="s">
        <v>289</v>
      </c>
      <c r="C944" s="9">
        <v>46037</v>
      </c>
      <c r="D944" s="9">
        <v>46067</v>
      </c>
      <c r="E944" s="3">
        <v>5106.76</v>
      </c>
      <c r="F944" s="7" t="s">
        <v>367</v>
      </c>
      <c r="H944" s="9"/>
      <c r="I944" s="9"/>
    </row>
    <row r="945" spans="1:9" x14ac:dyDescent="0.3">
      <c r="A945" s="7" t="s">
        <v>6362</v>
      </c>
      <c r="B945" s="7" t="s">
        <v>327</v>
      </c>
      <c r="C945" s="9">
        <v>46039</v>
      </c>
      <c r="D945" s="9">
        <v>46069</v>
      </c>
      <c r="E945" s="3">
        <v>5799.7</v>
      </c>
      <c r="F945" s="7" t="s">
        <v>367</v>
      </c>
      <c r="H945" s="9"/>
      <c r="I945" s="9"/>
    </row>
    <row r="946" spans="1:9" x14ac:dyDescent="0.3">
      <c r="A946" s="7" t="s">
        <v>6363</v>
      </c>
      <c r="B946" s="7" t="s">
        <v>325</v>
      </c>
      <c r="C946" s="9">
        <v>45972</v>
      </c>
      <c r="D946" s="9">
        <v>46002</v>
      </c>
      <c r="E946" s="3">
        <v>5085.03</v>
      </c>
      <c r="F946" s="7" t="s">
        <v>369</v>
      </c>
      <c r="H946" s="9"/>
      <c r="I946" s="9"/>
    </row>
    <row r="947" spans="1:9" x14ac:dyDescent="0.3">
      <c r="A947" s="7" t="s">
        <v>6364</v>
      </c>
      <c r="B947" s="7" t="s">
        <v>276</v>
      </c>
      <c r="C947" s="9">
        <v>45970</v>
      </c>
      <c r="D947" s="9">
        <v>46000</v>
      </c>
      <c r="E947" s="3">
        <v>2497.9899999999998</v>
      </c>
      <c r="F947" s="7" t="s">
        <v>367</v>
      </c>
      <c r="H947" s="9"/>
      <c r="I947" s="9"/>
    </row>
    <row r="948" spans="1:9" x14ac:dyDescent="0.3">
      <c r="A948" s="7" t="s">
        <v>6365</v>
      </c>
      <c r="B948" s="7" t="s">
        <v>335</v>
      </c>
      <c r="C948" s="9">
        <v>45990</v>
      </c>
      <c r="D948" s="9">
        <v>46020</v>
      </c>
      <c r="E948" s="3">
        <v>6403.78</v>
      </c>
      <c r="F948" s="7" t="s">
        <v>367</v>
      </c>
      <c r="H948" s="9"/>
      <c r="I948" s="9"/>
    </row>
    <row r="949" spans="1:9" x14ac:dyDescent="0.3">
      <c r="A949" s="7" t="s">
        <v>6366</v>
      </c>
      <c r="B949" s="7" t="s">
        <v>299</v>
      </c>
      <c r="C949" s="9">
        <v>45993</v>
      </c>
      <c r="D949" s="9">
        <v>46023</v>
      </c>
      <c r="E949" s="3">
        <v>4357.8100000000004</v>
      </c>
      <c r="F949" s="7" t="s">
        <v>367</v>
      </c>
      <c r="H949" s="9"/>
      <c r="I949" s="9"/>
    </row>
    <row r="950" spans="1:9" x14ac:dyDescent="0.3">
      <c r="A950" s="7" t="s">
        <v>6367</v>
      </c>
      <c r="B950" s="7" t="s">
        <v>315</v>
      </c>
      <c r="C950" s="9">
        <v>45982</v>
      </c>
      <c r="D950" s="9">
        <v>46012</v>
      </c>
      <c r="E950" s="3">
        <v>5659.28</v>
      </c>
      <c r="F950" s="7" t="s">
        <v>367</v>
      </c>
      <c r="H950" s="9"/>
      <c r="I950" s="9"/>
    </row>
    <row r="951" spans="1:9" x14ac:dyDescent="0.3">
      <c r="A951" s="7" t="s">
        <v>6368</v>
      </c>
      <c r="B951" s="7" t="s">
        <v>315</v>
      </c>
      <c r="C951" s="9">
        <v>46046</v>
      </c>
      <c r="D951" s="9">
        <v>46076</v>
      </c>
      <c r="E951" s="3">
        <v>1940.45</v>
      </c>
      <c r="F951" s="7" t="s">
        <v>367</v>
      </c>
      <c r="H951" s="9"/>
      <c r="I951" s="9"/>
    </row>
    <row r="952" spans="1:9" x14ac:dyDescent="0.3">
      <c r="A952" s="7" t="s">
        <v>6369</v>
      </c>
      <c r="B952" s="7" t="s">
        <v>339</v>
      </c>
      <c r="C952" s="9">
        <v>45981</v>
      </c>
      <c r="D952" s="9">
        <v>46011</v>
      </c>
      <c r="E952" s="3">
        <v>6947.27</v>
      </c>
      <c r="F952" s="7" t="s">
        <v>367</v>
      </c>
      <c r="H952" s="9"/>
      <c r="I952" s="9"/>
    </row>
    <row r="953" spans="1:9" x14ac:dyDescent="0.3">
      <c r="A953" s="7" t="s">
        <v>6370</v>
      </c>
      <c r="B953" s="7" t="s">
        <v>301</v>
      </c>
      <c r="C953" s="9">
        <v>46002</v>
      </c>
      <c r="D953" s="9">
        <v>46032</v>
      </c>
      <c r="E953" s="3">
        <v>2935.73</v>
      </c>
      <c r="F953" s="7" t="s">
        <v>367</v>
      </c>
      <c r="H953" s="9"/>
      <c r="I953" s="9"/>
    </row>
    <row r="954" spans="1:9" x14ac:dyDescent="0.3">
      <c r="A954" s="7" t="s">
        <v>6371</v>
      </c>
      <c r="B954" s="7" t="s">
        <v>341</v>
      </c>
      <c r="C954" s="9">
        <v>46036</v>
      </c>
      <c r="D954" s="9">
        <v>46066</v>
      </c>
      <c r="E954" s="3">
        <v>1475.09</v>
      </c>
      <c r="F954" s="7" t="s">
        <v>367</v>
      </c>
      <c r="H954" s="9"/>
      <c r="I954" s="9"/>
    </row>
    <row r="955" spans="1:9" x14ac:dyDescent="0.3">
      <c r="A955" s="7" t="s">
        <v>6372</v>
      </c>
      <c r="B955" s="7" t="s">
        <v>303</v>
      </c>
      <c r="C955" s="9">
        <v>46044</v>
      </c>
      <c r="D955" s="9">
        <v>46074</v>
      </c>
      <c r="E955" s="3">
        <v>870.36</v>
      </c>
      <c r="F955" s="7" t="s">
        <v>367</v>
      </c>
      <c r="H955" s="9"/>
      <c r="I955" s="9"/>
    </row>
    <row r="956" spans="1:9" x14ac:dyDescent="0.3">
      <c r="A956" s="7" t="s">
        <v>6373</v>
      </c>
      <c r="B956" s="7" t="s">
        <v>329</v>
      </c>
      <c r="C956" s="9">
        <v>46047</v>
      </c>
      <c r="D956" s="9">
        <v>46077</v>
      </c>
      <c r="E956" s="3">
        <v>6048.18</v>
      </c>
      <c r="F956" s="7" t="s">
        <v>367</v>
      </c>
      <c r="H956" s="9"/>
      <c r="I956" s="9"/>
    </row>
    <row r="957" spans="1:9" x14ac:dyDescent="0.3">
      <c r="A957" s="7" t="s">
        <v>6374</v>
      </c>
      <c r="B957" s="7" t="s">
        <v>287</v>
      </c>
      <c r="C957" s="9">
        <v>46079</v>
      </c>
      <c r="D957" s="9">
        <v>46109</v>
      </c>
      <c r="E957" s="3">
        <v>4780.59</v>
      </c>
      <c r="F957" s="7" t="s">
        <v>369</v>
      </c>
      <c r="H957" s="9"/>
      <c r="I957" s="9"/>
    </row>
    <row r="958" spans="1:9" x14ac:dyDescent="0.3">
      <c r="A958" s="7" t="s">
        <v>6375</v>
      </c>
      <c r="B958" s="7" t="s">
        <v>301</v>
      </c>
      <c r="C958" s="9">
        <v>46001</v>
      </c>
      <c r="D958" s="9">
        <v>46031</v>
      </c>
      <c r="E958" s="3">
        <v>4316.37</v>
      </c>
      <c r="F958" s="7" t="s">
        <v>367</v>
      </c>
      <c r="H958" s="9"/>
      <c r="I958" s="9"/>
    </row>
    <row r="959" spans="1:9" x14ac:dyDescent="0.3">
      <c r="A959" s="7" t="s">
        <v>6376</v>
      </c>
      <c r="B959" s="7" t="s">
        <v>264</v>
      </c>
      <c r="C959" s="9">
        <v>46068</v>
      </c>
      <c r="D959" s="9">
        <v>46098</v>
      </c>
      <c r="E959" s="3">
        <v>3352.5</v>
      </c>
      <c r="F959" s="7" t="s">
        <v>369</v>
      </c>
      <c r="H959" s="9"/>
      <c r="I959" s="9"/>
    </row>
    <row r="960" spans="1:9" x14ac:dyDescent="0.3">
      <c r="A960" s="7" t="s">
        <v>6377</v>
      </c>
      <c r="B960" s="7" t="s">
        <v>307</v>
      </c>
      <c r="C960" s="9">
        <v>46022</v>
      </c>
      <c r="D960" s="9">
        <v>46052</v>
      </c>
      <c r="E960" s="3">
        <v>2168.1799999999998</v>
      </c>
      <c r="F960" s="7" t="s">
        <v>367</v>
      </c>
      <c r="H960" s="9"/>
      <c r="I960" s="9"/>
    </row>
    <row r="961" spans="1:9" x14ac:dyDescent="0.3">
      <c r="A961" s="7" t="s">
        <v>6378</v>
      </c>
      <c r="B961" s="7" t="s">
        <v>276</v>
      </c>
      <c r="C961" s="9">
        <v>46072</v>
      </c>
      <c r="D961" s="9">
        <v>46102</v>
      </c>
      <c r="E961" s="3">
        <v>1852.81</v>
      </c>
      <c r="F961" s="7" t="s">
        <v>369</v>
      </c>
      <c r="H961" s="9"/>
      <c r="I961" s="9"/>
    </row>
    <row r="962" spans="1:9" x14ac:dyDescent="0.3">
      <c r="A962" s="7" t="s">
        <v>6379</v>
      </c>
      <c r="B962" s="7" t="s">
        <v>279</v>
      </c>
      <c r="C962" s="9">
        <v>46027</v>
      </c>
      <c r="D962" s="9">
        <v>46057</v>
      </c>
      <c r="E962" s="3">
        <v>3288.38</v>
      </c>
      <c r="F962" s="7" t="s">
        <v>369</v>
      </c>
      <c r="H962" s="9"/>
      <c r="I962" s="9"/>
    </row>
    <row r="963" spans="1:9" x14ac:dyDescent="0.3">
      <c r="A963" s="7" t="s">
        <v>6380</v>
      </c>
      <c r="B963" s="7" t="s">
        <v>299</v>
      </c>
      <c r="C963" s="9">
        <v>46081</v>
      </c>
      <c r="D963" s="9">
        <v>46111</v>
      </c>
      <c r="E963" s="3">
        <v>5334.57</v>
      </c>
      <c r="F963" s="7" t="s">
        <v>367</v>
      </c>
      <c r="H963" s="9"/>
      <c r="I963" s="9"/>
    </row>
    <row r="964" spans="1:9" x14ac:dyDescent="0.3">
      <c r="A964" s="7" t="s">
        <v>6381</v>
      </c>
      <c r="B964" s="7" t="s">
        <v>289</v>
      </c>
      <c r="C964" s="9">
        <v>45986</v>
      </c>
      <c r="D964" s="9">
        <v>46016</v>
      </c>
      <c r="E964" s="3">
        <v>2203.81</v>
      </c>
      <c r="F964" s="7" t="s">
        <v>367</v>
      </c>
      <c r="H964" s="9"/>
      <c r="I964" s="9"/>
    </row>
    <row r="965" spans="1:9" x14ac:dyDescent="0.3">
      <c r="A965" s="7" t="s">
        <v>6382</v>
      </c>
      <c r="B965" s="7" t="s">
        <v>325</v>
      </c>
      <c r="C965" s="9">
        <v>46008</v>
      </c>
      <c r="D965" s="9">
        <v>46038</v>
      </c>
      <c r="E965" s="3">
        <v>6489.38</v>
      </c>
      <c r="F965" s="7" t="s">
        <v>367</v>
      </c>
      <c r="H965" s="9"/>
      <c r="I965" s="9"/>
    </row>
    <row r="966" spans="1:9" x14ac:dyDescent="0.3">
      <c r="A966" s="7" t="s">
        <v>6383</v>
      </c>
      <c r="B966" s="7" t="s">
        <v>291</v>
      </c>
      <c r="C966" s="9">
        <v>45988</v>
      </c>
      <c r="D966" s="9">
        <v>46018</v>
      </c>
      <c r="E966" s="3">
        <v>6733.38</v>
      </c>
      <c r="F966" s="7" t="s">
        <v>367</v>
      </c>
      <c r="H966" s="9"/>
      <c r="I966" s="9"/>
    </row>
    <row r="967" spans="1:9" x14ac:dyDescent="0.3">
      <c r="A967" s="7" t="s">
        <v>6384</v>
      </c>
      <c r="B967" s="7" t="s">
        <v>301</v>
      </c>
      <c r="C967" s="9">
        <v>46034</v>
      </c>
      <c r="D967" s="9">
        <v>46064</v>
      </c>
      <c r="E967" s="3">
        <v>1082.6600000000001</v>
      </c>
      <c r="F967" s="7" t="s">
        <v>367</v>
      </c>
      <c r="H967" s="9"/>
      <c r="I967" s="9"/>
    </row>
    <row r="968" spans="1:9" x14ac:dyDescent="0.3">
      <c r="A968" s="7" t="s">
        <v>6385</v>
      </c>
      <c r="B968" s="7" t="s">
        <v>297</v>
      </c>
      <c r="C968" s="9">
        <v>46020</v>
      </c>
      <c r="D968" s="9">
        <v>46050</v>
      </c>
      <c r="E968" s="3">
        <v>1349.39</v>
      </c>
      <c r="F968" s="7" t="s">
        <v>367</v>
      </c>
      <c r="H968" s="9"/>
      <c r="I968" s="9"/>
    </row>
    <row r="969" spans="1:9" x14ac:dyDescent="0.3">
      <c r="A969" s="7" t="s">
        <v>6386</v>
      </c>
      <c r="B969" s="7" t="s">
        <v>327</v>
      </c>
      <c r="C969" s="9">
        <v>46075</v>
      </c>
      <c r="D969" s="9">
        <v>46105</v>
      </c>
      <c r="E969" s="3">
        <v>4523.07</v>
      </c>
      <c r="F969" s="7" t="s">
        <v>367</v>
      </c>
      <c r="H969" s="9"/>
      <c r="I969" s="9"/>
    </row>
    <row r="970" spans="1:9" x14ac:dyDescent="0.3">
      <c r="A970" s="7" t="s">
        <v>6387</v>
      </c>
      <c r="B970" s="7" t="s">
        <v>274</v>
      </c>
      <c r="C970" s="9">
        <v>45994</v>
      </c>
      <c r="D970" s="9">
        <v>46024</v>
      </c>
      <c r="E970" s="3">
        <v>1443.12</v>
      </c>
      <c r="F970" s="7" t="s">
        <v>367</v>
      </c>
      <c r="H970" s="9"/>
      <c r="I970" s="9"/>
    </row>
    <row r="971" spans="1:9" x14ac:dyDescent="0.3">
      <c r="A971" s="7" t="s">
        <v>6388</v>
      </c>
      <c r="B971" s="7" t="s">
        <v>339</v>
      </c>
      <c r="C971" s="9">
        <v>45970</v>
      </c>
      <c r="D971" s="9">
        <v>46000</v>
      </c>
      <c r="E971" s="3">
        <v>4910.08</v>
      </c>
      <c r="F971" s="7" t="s">
        <v>367</v>
      </c>
      <c r="H971" s="9"/>
      <c r="I971" s="9"/>
    </row>
    <row r="972" spans="1:9" x14ac:dyDescent="0.3">
      <c r="A972" s="7" t="s">
        <v>6389</v>
      </c>
      <c r="B972" s="7" t="s">
        <v>303</v>
      </c>
      <c r="C972" s="9">
        <v>45993</v>
      </c>
      <c r="D972" s="9">
        <v>46023</v>
      </c>
      <c r="E972" s="3">
        <v>4868.17</v>
      </c>
      <c r="F972" s="7" t="s">
        <v>369</v>
      </c>
      <c r="H972" s="9"/>
      <c r="I972" s="9"/>
    </row>
    <row r="973" spans="1:9" x14ac:dyDescent="0.3">
      <c r="A973" s="7" t="s">
        <v>6390</v>
      </c>
      <c r="B973" s="7" t="s">
        <v>331</v>
      </c>
      <c r="C973" s="9">
        <v>46091</v>
      </c>
      <c r="D973" s="9">
        <v>46121</v>
      </c>
      <c r="E973" s="3">
        <v>4283.29</v>
      </c>
      <c r="F973" s="7" t="s">
        <v>369</v>
      </c>
      <c r="H973" s="9"/>
      <c r="I973" s="9"/>
    </row>
    <row r="974" spans="1:9" x14ac:dyDescent="0.3">
      <c r="A974" s="7" t="s">
        <v>6391</v>
      </c>
      <c r="B974" s="7" t="s">
        <v>279</v>
      </c>
      <c r="C974" s="9">
        <v>46082</v>
      </c>
      <c r="D974" s="9">
        <v>46112</v>
      </c>
      <c r="E974" s="3">
        <v>3306.03</v>
      </c>
      <c r="F974" s="7" t="s">
        <v>367</v>
      </c>
      <c r="H974" s="9"/>
      <c r="I974" s="9"/>
    </row>
    <row r="975" spans="1:9" x14ac:dyDescent="0.3">
      <c r="A975" s="7" t="s">
        <v>6392</v>
      </c>
      <c r="B975" s="7" t="s">
        <v>272</v>
      </c>
      <c r="C975" s="9">
        <v>46068</v>
      </c>
      <c r="D975" s="9">
        <v>46098</v>
      </c>
      <c r="E975" s="3">
        <v>6232.26</v>
      </c>
      <c r="F975" s="7" t="s">
        <v>367</v>
      </c>
      <c r="H975" s="9"/>
      <c r="I975" s="9"/>
    </row>
    <row r="976" spans="1:9" x14ac:dyDescent="0.3">
      <c r="A976" s="7" t="s">
        <v>6393</v>
      </c>
      <c r="B976" s="7" t="s">
        <v>283</v>
      </c>
      <c r="C976" s="9">
        <v>46045</v>
      </c>
      <c r="D976" s="9">
        <v>46075</v>
      </c>
      <c r="E976" s="3">
        <v>1556.36</v>
      </c>
      <c r="F976" s="7" t="s">
        <v>369</v>
      </c>
      <c r="H976" s="9"/>
      <c r="I976" s="9"/>
    </row>
    <row r="977" spans="1:9" x14ac:dyDescent="0.3">
      <c r="A977" s="7" t="s">
        <v>6394</v>
      </c>
      <c r="B977" s="7" t="s">
        <v>329</v>
      </c>
      <c r="C977" s="9">
        <v>46063</v>
      </c>
      <c r="D977" s="9">
        <v>46093</v>
      </c>
      <c r="E977" s="3">
        <v>6350.98</v>
      </c>
      <c r="F977" s="7" t="s">
        <v>369</v>
      </c>
      <c r="H977" s="9"/>
      <c r="I977" s="9"/>
    </row>
    <row r="978" spans="1:9" x14ac:dyDescent="0.3">
      <c r="A978" s="7" t="s">
        <v>6395</v>
      </c>
      <c r="B978" s="7" t="s">
        <v>297</v>
      </c>
      <c r="C978" s="9">
        <v>46055</v>
      </c>
      <c r="D978" s="9">
        <v>46085</v>
      </c>
      <c r="E978" s="3">
        <v>6306.56</v>
      </c>
      <c r="F978" s="7" t="s">
        <v>387</v>
      </c>
      <c r="H978" s="9"/>
      <c r="I978" s="9"/>
    </row>
    <row r="979" spans="1:9" x14ac:dyDescent="0.3">
      <c r="A979" s="7" t="s">
        <v>6396</v>
      </c>
      <c r="B979" s="7" t="s">
        <v>289</v>
      </c>
      <c r="C979" s="9">
        <v>46002</v>
      </c>
      <c r="D979" s="9">
        <v>46032</v>
      </c>
      <c r="E979" s="3">
        <v>1263.06</v>
      </c>
      <c r="F979" s="7" t="s">
        <v>367</v>
      </c>
      <c r="H979" s="9"/>
      <c r="I979" s="9"/>
    </row>
    <row r="980" spans="1:9" x14ac:dyDescent="0.3">
      <c r="A980" s="7" t="s">
        <v>6397</v>
      </c>
      <c r="B980" s="7" t="s">
        <v>276</v>
      </c>
      <c r="C980" s="9">
        <v>46025</v>
      </c>
      <c r="D980" s="9">
        <v>46055</v>
      </c>
      <c r="E980" s="3">
        <v>3811.11</v>
      </c>
      <c r="F980" s="7" t="s">
        <v>369</v>
      </c>
      <c r="H980" s="9"/>
      <c r="I980" s="9"/>
    </row>
    <row r="981" spans="1:9" x14ac:dyDescent="0.3">
      <c r="A981" s="7" t="s">
        <v>6398</v>
      </c>
      <c r="B981" s="7" t="s">
        <v>291</v>
      </c>
      <c r="C981" s="9">
        <v>46089</v>
      </c>
      <c r="D981" s="9">
        <v>46119</v>
      </c>
      <c r="E981" s="3">
        <v>6508.84</v>
      </c>
      <c r="F981" s="7" t="s">
        <v>367</v>
      </c>
      <c r="H981" s="9"/>
      <c r="I981" s="9"/>
    </row>
    <row r="982" spans="1:9" x14ac:dyDescent="0.3">
      <c r="A982" s="7" t="s">
        <v>6399</v>
      </c>
      <c r="B982" s="7" t="s">
        <v>325</v>
      </c>
      <c r="C982" s="9">
        <v>46040</v>
      </c>
      <c r="D982" s="9">
        <v>46070</v>
      </c>
      <c r="E982" s="3">
        <v>1413.07</v>
      </c>
      <c r="F982" s="7" t="s">
        <v>369</v>
      </c>
      <c r="H982" s="9"/>
      <c r="I982" s="9"/>
    </row>
    <row r="983" spans="1:9" x14ac:dyDescent="0.3">
      <c r="A983" s="7" t="s">
        <v>6400</v>
      </c>
      <c r="B983" s="7" t="s">
        <v>279</v>
      </c>
      <c r="C983" s="9">
        <v>45988</v>
      </c>
      <c r="D983" s="9">
        <v>46018</v>
      </c>
      <c r="E983" s="3">
        <v>2060.3200000000002</v>
      </c>
      <c r="F983" s="7" t="s">
        <v>367</v>
      </c>
      <c r="H983" s="9"/>
      <c r="I983" s="9"/>
    </row>
    <row r="984" spans="1:9" x14ac:dyDescent="0.3">
      <c r="A984" s="7" t="s">
        <v>6401</v>
      </c>
      <c r="B984" s="7" t="s">
        <v>339</v>
      </c>
      <c r="C984" s="9">
        <v>46074</v>
      </c>
      <c r="D984" s="9">
        <v>46104</v>
      </c>
      <c r="E984" s="3">
        <v>5027.4399999999996</v>
      </c>
      <c r="F984" s="7" t="s">
        <v>369</v>
      </c>
      <c r="H984" s="9"/>
      <c r="I984" s="9"/>
    </row>
    <row r="985" spans="1:9" x14ac:dyDescent="0.3">
      <c r="A985" s="7" t="s">
        <v>6402</v>
      </c>
      <c r="B985" s="7" t="s">
        <v>281</v>
      </c>
      <c r="C985" s="9">
        <v>45973</v>
      </c>
      <c r="D985" s="9">
        <v>46003</v>
      </c>
      <c r="E985" s="3">
        <v>2681.42</v>
      </c>
      <c r="F985" s="7" t="s">
        <v>367</v>
      </c>
      <c r="H985" s="9"/>
      <c r="I985" s="9"/>
    </row>
    <row r="986" spans="1:9" x14ac:dyDescent="0.3">
      <c r="A986" s="7" t="s">
        <v>6403</v>
      </c>
      <c r="B986" s="7" t="s">
        <v>285</v>
      </c>
      <c r="C986" s="9">
        <v>46006</v>
      </c>
      <c r="D986" s="9">
        <v>46036</v>
      </c>
      <c r="E986" s="3">
        <v>6818.03</v>
      </c>
      <c r="F986" s="7" t="s">
        <v>367</v>
      </c>
      <c r="H986" s="9"/>
      <c r="I986" s="9"/>
    </row>
    <row r="987" spans="1:9" x14ac:dyDescent="0.3">
      <c r="A987" s="7" t="s">
        <v>6404</v>
      </c>
      <c r="B987" s="7" t="s">
        <v>274</v>
      </c>
      <c r="C987" s="9">
        <v>46003</v>
      </c>
      <c r="D987" s="9">
        <v>46033</v>
      </c>
      <c r="E987" s="3">
        <v>2593.83</v>
      </c>
      <c r="F987" s="7" t="s">
        <v>367</v>
      </c>
      <c r="H987" s="9"/>
      <c r="I987" s="9"/>
    </row>
    <row r="988" spans="1:9" x14ac:dyDescent="0.3">
      <c r="A988" s="7" t="s">
        <v>6405</v>
      </c>
      <c r="B988" s="7" t="s">
        <v>323</v>
      </c>
      <c r="C988" s="9">
        <v>45999</v>
      </c>
      <c r="D988" s="9">
        <v>46029</v>
      </c>
      <c r="E988" s="3">
        <v>6076.72</v>
      </c>
      <c r="F988" s="7" t="s">
        <v>367</v>
      </c>
      <c r="H988" s="9"/>
      <c r="I988" s="9"/>
    </row>
    <row r="989" spans="1:9" x14ac:dyDescent="0.3">
      <c r="A989" s="7" t="s">
        <v>6406</v>
      </c>
      <c r="B989" s="7" t="s">
        <v>272</v>
      </c>
      <c r="C989" s="9">
        <v>46058</v>
      </c>
      <c r="D989" s="9">
        <v>46088</v>
      </c>
      <c r="E989" s="3">
        <v>5590.16</v>
      </c>
      <c r="F989" s="7" t="s">
        <v>367</v>
      </c>
      <c r="H989" s="9"/>
      <c r="I989" s="9"/>
    </row>
    <row r="990" spans="1:9" x14ac:dyDescent="0.3">
      <c r="A990" s="7" t="s">
        <v>6407</v>
      </c>
      <c r="B990" s="7" t="s">
        <v>329</v>
      </c>
      <c r="C990" s="9">
        <v>46086</v>
      </c>
      <c r="D990" s="9">
        <v>46116</v>
      </c>
      <c r="E990" s="3">
        <v>3084.71</v>
      </c>
      <c r="F990" s="7" t="s">
        <v>367</v>
      </c>
      <c r="H990" s="9"/>
      <c r="I990" s="9"/>
    </row>
    <row r="991" spans="1:9" x14ac:dyDescent="0.3">
      <c r="A991" s="7" t="s">
        <v>6408</v>
      </c>
      <c r="B991" s="7" t="s">
        <v>289</v>
      </c>
      <c r="C991" s="9">
        <v>46008</v>
      </c>
      <c r="D991" s="9">
        <v>46038</v>
      </c>
      <c r="E991" s="3">
        <v>4552.22</v>
      </c>
      <c r="F991" s="7" t="s">
        <v>367</v>
      </c>
      <c r="H991" s="9"/>
      <c r="I991" s="9"/>
    </row>
    <row r="992" spans="1:9" x14ac:dyDescent="0.3">
      <c r="A992" s="7" t="s">
        <v>6409</v>
      </c>
      <c r="B992" s="7" t="s">
        <v>267</v>
      </c>
      <c r="C992" s="9">
        <v>46064</v>
      </c>
      <c r="D992" s="9">
        <v>46094</v>
      </c>
      <c r="E992" s="3">
        <v>6491.42</v>
      </c>
      <c r="F992" s="7" t="s">
        <v>367</v>
      </c>
      <c r="H992" s="9"/>
      <c r="I992" s="9"/>
    </row>
    <row r="993" spans="1:9" x14ac:dyDescent="0.3">
      <c r="A993" s="7" t="s">
        <v>6410</v>
      </c>
      <c r="B993" s="7" t="s">
        <v>313</v>
      </c>
      <c r="C993" s="9">
        <v>46083</v>
      </c>
      <c r="D993" s="9">
        <v>46113</v>
      </c>
      <c r="E993" s="3">
        <v>1557.11</v>
      </c>
      <c r="F993" s="7" t="s">
        <v>367</v>
      </c>
      <c r="H993" s="9"/>
      <c r="I993" s="9"/>
    </row>
    <row r="994" spans="1:9" x14ac:dyDescent="0.3">
      <c r="A994" s="7" t="s">
        <v>6411</v>
      </c>
      <c r="B994" s="7" t="s">
        <v>295</v>
      </c>
      <c r="C994" s="9">
        <v>46057</v>
      </c>
      <c r="D994" s="9">
        <v>46087</v>
      </c>
      <c r="E994" s="3">
        <v>4776.78</v>
      </c>
      <c r="F994" s="7" t="s">
        <v>367</v>
      </c>
      <c r="H994" s="9"/>
      <c r="I994" s="9"/>
    </row>
    <row r="995" spans="1:9" x14ac:dyDescent="0.3">
      <c r="A995" s="7" t="s">
        <v>6412</v>
      </c>
      <c r="B995" s="7" t="s">
        <v>272</v>
      </c>
      <c r="C995" s="9">
        <v>46063</v>
      </c>
      <c r="D995" s="9">
        <v>46093</v>
      </c>
      <c r="E995" s="3">
        <v>5201.92</v>
      </c>
      <c r="F995" s="7" t="s">
        <v>367</v>
      </c>
      <c r="H995" s="9"/>
      <c r="I995" s="9"/>
    </row>
    <row r="996" spans="1:9" x14ac:dyDescent="0.3">
      <c r="A996" s="7" t="s">
        <v>6413</v>
      </c>
      <c r="B996" s="7" t="s">
        <v>307</v>
      </c>
      <c r="C996" s="9">
        <v>45997</v>
      </c>
      <c r="D996" s="9">
        <v>46027</v>
      </c>
      <c r="E996" s="3">
        <v>1118.67</v>
      </c>
      <c r="F996" s="7" t="s">
        <v>367</v>
      </c>
      <c r="H996" s="9"/>
      <c r="I996" s="9"/>
    </row>
    <row r="997" spans="1:9" x14ac:dyDescent="0.3">
      <c r="A997" s="7" t="s">
        <v>6414</v>
      </c>
      <c r="B997" s="7" t="s">
        <v>287</v>
      </c>
      <c r="C997" s="9">
        <v>46065</v>
      </c>
      <c r="D997" s="9">
        <v>46095</v>
      </c>
      <c r="E997" s="3">
        <v>3208.92</v>
      </c>
      <c r="F997" s="7" t="s">
        <v>367</v>
      </c>
      <c r="H997" s="9"/>
      <c r="I997" s="9"/>
    </row>
    <row r="998" spans="1:9" x14ac:dyDescent="0.3">
      <c r="A998" s="7" t="s">
        <v>6415</v>
      </c>
      <c r="B998" s="7" t="s">
        <v>307</v>
      </c>
      <c r="C998" s="9">
        <v>46028</v>
      </c>
      <c r="D998" s="9">
        <v>46058</v>
      </c>
      <c r="E998" s="3">
        <v>1836.77</v>
      </c>
      <c r="F998" s="7" t="s">
        <v>367</v>
      </c>
      <c r="H998" s="9"/>
      <c r="I998" s="9"/>
    </row>
    <row r="999" spans="1:9" x14ac:dyDescent="0.3">
      <c r="A999" s="7" t="s">
        <v>6416</v>
      </c>
      <c r="B999" s="7" t="s">
        <v>327</v>
      </c>
      <c r="C999" s="9">
        <v>46023</v>
      </c>
      <c r="D999" s="9">
        <v>46053</v>
      </c>
      <c r="E999" s="3">
        <v>5385.48</v>
      </c>
      <c r="F999" s="7" t="s">
        <v>369</v>
      </c>
      <c r="H999" s="9"/>
      <c r="I999" s="9"/>
    </row>
    <row r="1000" spans="1:9" x14ac:dyDescent="0.3">
      <c r="A1000" s="7" t="s">
        <v>6417</v>
      </c>
      <c r="B1000" s="7" t="s">
        <v>311</v>
      </c>
      <c r="C1000" s="9">
        <v>46054</v>
      </c>
      <c r="D1000" s="9">
        <v>46084</v>
      </c>
      <c r="E1000" s="3">
        <v>2554.5700000000002</v>
      </c>
      <c r="F1000" s="7" t="s">
        <v>369</v>
      </c>
      <c r="H1000" s="9"/>
      <c r="I1000" s="9"/>
    </row>
    <row r="1001" spans="1:9" x14ac:dyDescent="0.3">
      <c r="A1001" s="7" t="s">
        <v>6418</v>
      </c>
      <c r="B1001" s="7" t="s">
        <v>323</v>
      </c>
      <c r="C1001" s="9">
        <v>46089</v>
      </c>
      <c r="D1001" s="9">
        <v>46119</v>
      </c>
      <c r="E1001" s="3">
        <v>4419.25</v>
      </c>
      <c r="F1001" s="7" t="s">
        <v>367</v>
      </c>
      <c r="H1001" s="9"/>
      <c r="I1001" s="9"/>
    </row>
    <row r="1002" spans="1:9" x14ac:dyDescent="0.3">
      <c r="A1002" s="7" t="s">
        <v>6419</v>
      </c>
      <c r="B1002" s="7" t="s">
        <v>331</v>
      </c>
      <c r="C1002" s="9">
        <v>46079</v>
      </c>
      <c r="D1002" s="9">
        <v>46109</v>
      </c>
      <c r="E1002" s="3">
        <v>4059.41</v>
      </c>
      <c r="F1002" s="7" t="s">
        <v>369</v>
      </c>
      <c r="H1002" s="9"/>
      <c r="I1002" s="9"/>
    </row>
    <row r="1003" spans="1:9" x14ac:dyDescent="0.3">
      <c r="A1003" s="7" t="s">
        <v>6420</v>
      </c>
      <c r="B1003" s="7" t="s">
        <v>341</v>
      </c>
      <c r="C1003" s="9">
        <v>46084</v>
      </c>
      <c r="D1003" s="9">
        <v>46114</v>
      </c>
      <c r="E1003" s="3">
        <v>2550.42</v>
      </c>
      <c r="F1003" s="7" t="s">
        <v>367</v>
      </c>
      <c r="H1003" s="9"/>
      <c r="I1003" s="9"/>
    </row>
    <row r="1004" spans="1:9" x14ac:dyDescent="0.3">
      <c r="A1004" s="7" t="s">
        <v>6421</v>
      </c>
      <c r="B1004" s="7" t="s">
        <v>269</v>
      </c>
      <c r="C1004" s="9">
        <v>46039</v>
      </c>
      <c r="D1004" s="9">
        <v>46069</v>
      </c>
      <c r="E1004" s="3">
        <v>989.88</v>
      </c>
      <c r="F1004" s="7" t="s">
        <v>367</v>
      </c>
      <c r="H1004" s="9"/>
      <c r="I1004" s="9"/>
    </row>
    <row r="1005" spans="1:9" x14ac:dyDescent="0.3">
      <c r="A1005" s="7" t="s">
        <v>6422</v>
      </c>
      <c r="B1005" s="7" t="s">
        <v>307</v>
      </c>
      <c r="C1005" s="9">
        <v>45982</v>
      </c>
      <c r="D1005" s="9">
        <v>46012</v>
      </c>
      <c r="E1005" s="3">
        <v>3482.65</v>
      </c>
      <c r="F1005" s="7" t="s">
        <v>367</v>
      </c>
      <c r="H1005" s="9"/>
      <c r="I1005" s="9"/>
    </row>
    <row r="1006" spans="1:9" x14ac:dyDescent="0.3">
      <c r="A1006" s="7" t="s">
        <v>6423</v>
      </c>
      <c r="B1006" s="7" t="s">
        <v>291</v>
      </c>
      <c r="C1006" s="9">
        <v>46040</v>
      </c>
      <c r="D1006" s="9">
        <v>46070</v>
      </c>
      <c r="E1006" s="3">
        <v>3066.85</v>
      </c>
      <c r="F1006" s="7" t="s">
        <v>369</v>
      </c>
      <c r="H1006" s="9"/>
      <c r="I1006" s="9"/>
    </row>
    <row r="1007" spans="1:9" x14ac:dyDescent="0.3">
      <c r="A1007" s="7" t="s">
        <v>6424</v>
      </c>
      <c r="B1007" s="7" t="s">
        <v>287</v>
      </c>
      <c r="C1007" s="9">
        <v>45965</v>
      </c>
      <c r="D1007" s="9">
        <v>45995</v>
      </c>
      <c r="E1007" s="3">
        <v>3579.18</v>
      </c>
      <c r="F1007" s="7" t="s">
        <v>369</v>
      </c>
      <c r="H1007" s="9"/>
      <c r="I1007" s="9"/>
    </row>
    <row r="1008" spans="1:9" x14ac:dyDescent="0.3">
      <c r="A1008" s="7" t="s">
        <v>6425</v>
      </c>
      <c r="B1008" s="7" t="s">
        <v>313</v>
      </c>
      <c r="C1008" s="9">
        <v>46074</v>
      </c>
      <c r="D1008" s="9">
        <v>46104</v>
      </c>
      <c r="E1008" s="3">
        <v>3306.09</v>
      </c>
      <c r="F1008" s="7" t="s">
        <v>369</v>
      </c>
      <c r="H1008" s="9"/>
      <c r="I1008" s="9"/>
    </row>
    <row r="1009" spans="1:9" x14ac:dyDescent="0.3">
      <c r="A1009" s="7" t="s">
        <v>6426</v>
      </c>
      <c r="B1009" s="7" t="s">
        <v>311</v>
      </c>
      <c r="C1009" s="9">
        <v>46010</v>
      </c>
      <c r="D1009" s="9">
        <v>46040</v>
      </c>
      <c r="E1009" s="3">
        <v>960.52</v>
      </c>
      <c r="F1009" s="7" t="s">
        <v>367</v>
      </c>
      <c r="H1009" s="9"/>
      <c r="I1009" s="9"/>
    </row>
    <row r="1010" spans="1:9" x14ac:dyDescent="0.3">
      <c r="A1010" s="7" t="s">
        <v>6427</v>
      </c>
      <c r="B1010" s="7" t="s">
        <v>264</v>
      </c>
      <c r="C1010" s="9">
        <v>45962</v>
      </c>
      <c r="D1010" s="9">
        <v>45992</v>
      </c>
      <c r="E1010" s="3">
        <v>4912.6899999999996</v>
      </c>
      <c r="F1010" s="7" t="s">
        <v>367</v>
      </c>
      <c r="H1010" s="9"/>
      <c r="I1010" s="9"/>
    </row>
    <row r="1011" spans="1:9" x14ac:dyDescent="0.3">
      <c r="A1011" s="7" t="s">
        <v>6428</v>
      </c>
      <c r="B1011" s="7" t="s">
        <v>299</v>
      </c>
      <c r="C1011" s="9">
        <v>46051</v>
      </c>
      <c r="D1011" s="9">
        <v>46081</v>
      </c>
      <c r="E1011" s="3">
        <v>1489.64</v>
      </c>
      <c r="F1011" s="7" t="s">
        <v>367</v>
      </c>
      <c r="H1011" s="9"/>
      <c r="I1011" s="9"/>
    </row>
    <row r="1012" spans="1:9" x14ac:dyDescent="0.3">
      <c r="A1012" s="7" t="s">
        <v>6429</v>
      </c>
      <c r="B1012" s="7" t="s">
        <v>329</v>
      </c>
      <c r="C1012" s="9">
        <v>46086</v>
      </c>
      <c r="D1012" s="9">
        <v>46116</v>
      </c>
      <c r="E1012" s="3">
        <v>4819.3500000000004</v>
      </c>
      <c r="F1012" s="7" t="s">
        <v>387</v>
      </c>
      <c r="H1012" s="9"/>
      <c r="I1012" s="9"/>
    </row>
    <row r="1013" spans="1:9" x14ac:dyDescent="0.3">
      <c r="A1013" s="7" t="s">
        <v>6430</v>
      </c>
      <c r="B1013" s="7" t="s">
        <v>297</v>
      </c>
      <c r="C1013" s="9">
        <v>46057</v>
      </c>
      <c r="D1013" s="9">
        <v>46087</v>
      </c>
      <c r="E1013" s="3">
        <v>1051.26</v>
      </c>
      <c r="F1013" s="7" t="s">
        <v>369</v>
      </c>
      <c r="H1013" s="9"/>
      <c r="I1013" s="9"/>
    </row>
    <row r="1014" spans="1:9" x14ac:dyDescent="0.3">
      <c r="A1014" s="7" t="s">
        <v>6431</v>
      </c>
      <c r="B1014" s="7" t="s">
        <v>261</v>
      </c>
      <c r="C1014" s="9">
        <v>46038</v>
      </c>
      <c r="D1014" s="9">
        <v>46068</v>
      </c>
      <c r="E1014" s="3">
        <v>821.27</v>
      </c>
      <c r="F1014" s="7" t="s">
        <v>367</v>
      </c>
      <c r="H1014" s="9"/>
      <c r="I1014" s="9"/>
    </row>
    <row r="1015" spans="1:9" x14ac:dyDescent="0.3">
      <c r="A1015" s="7" t="s">
        <v>6432</v>
      </c>
      <c r="B1015" s="7" t="s">
        <v>317</v>
      </c>
      <c r="C1015" s="9">
        <v>45966</v>
      </c>
      <c r="D1015" s="9">
        <v>45996</v>
      </c>
      <c r="E1015" s="3">
        <v>4157.2700000000004</v>
      </c>
      <c r="F1015" s="7" t="s">
        <v>367</v>
      </c>
      <c r="H1015" s="9"/>
      <c r="I1015" s="9"/>
    </row>
    <row r="1016" spans="1:9" x14ac:dyDescent="0.3">
      <c r="A1016" s="7" t="s">
        <v>6433</v>
      </c>
      <c r="B1016" s="7" t="s">
        <v>327</v>
      </c>
      <c r="C1016" s="9">
        <v>46027</v>
      </c>
      <c r="D1016" s="9">
        <v>46057</v>
      </c>
      <c r="E1016" s="3">
        <v>1640.57</v>
      </c>
      <c r="F1016" s="7" t="s">
        <v>367</v>
      </c>
      <c r="H1016" s="9"/>
      <c r="I1016" s="9"/>
    </row>
    <row r="1017" spans="1:9" x14ac:dyDescent="0.3">
      <c r="A1017" s="7" t="s">
        <v>6434</v>
      </c>
      <c r="B1017" s="7" t="s">
        <v>285</v>
      </c>
      <c r="C1017" s="9">
        <v>46056</v>
      </c>
      <c r="D1017" s="9">
        <v>46086</v>
      </c>
      <c r="E1017" s="3">
        <v>1991.48</v>
      </c>
      <c r="F1017" s="7" t="s">
        <v>369</v>
      </c>
      <c r="H1017" s="9"/>
      <c r="I1017" s="9"/>
    </row>
    <row r="1018" spans="1:9" x14ac:dyDescent="0.3">
      <c r="A1018" s="7" t="s">
        <v>6435</v>
      </c>
      <c r="B1018" s="7" t="s">
        <v>285</v>
      </c>
      <c r="C1018" s="9">
        <v>45985</v>
      </c>
      <c r="D1018" s="9">
        <v>46015</v>
      </c>
      <c r="E1018" s="3">
        <v>1668.04</v>
      </c>
      <c r="F1018" s="7" t="s">
        <v>367</v>
      </c>
      <c r="H1018" s="9"/>
      <c r="I1018" s="9"/>
    </row>
    <row r="1019" spans="1:9" x14ac:dyDescent="0.3">
      <c r="A1019" s="7" t="s">
        <v>6436</v>
      </c>
      <c r="B1019" s="7" t="s">
        <v>287</v>
      </c>
      <c r="C1019" s="9">
        <v>46011</v>
      </c>
      <c r="D1019" s="9">
        <v>46041</v>
      </c>
      <c r="E1019" s="3">
        <v>4247.6099999999997</v>
      </c>
      <c r="F1019" s="7" t="s">
        <v>367</v>
      </c>
      <c r="H1019" s="9"/>
      <c r="I1019" s="9"/>
    </row>
    <row r="1020" spans="1:9" x14ac:dyDescent="0.3">
      <c r="A1020" s="7" t="s">
        <v>6437</v>
      </c>
      <c r="B1020" s="7" t="s">
        <v>325</v>
      </c>
      <c r="C1020" s="9">
        <v>46043</v>
      </c>
      <c r="D1020" s="9">
        <v>46073</v>
      </c>
      <c r="E1020" s="3">
        <v>2825.8</v>
      </c>
      <c r="F1020" s="7" t="s">
        <v>367</v>
      </c>
      <c r="H1020" s="9"/>
      <c r="I1020" s="9"/>
    </row>
    <row r="1021" spans="1:9" x14ac:dyDescent="0.3">
      <c r="A1021" s="7" t="s">
        <v>6438</v>
      </c>
      <c r="B1021" s="7" t="s">
        <v>341</v>
      </c>
      <c r="C1021" s="9">
        <v>45967</v>
      </c>
      <c r="D1021" s="9">
        <v>45997</v>
      </c>
      <c r="E1021" s="3">
        <v>4464.54</v>
      </c>
      <c r="F1021" s="7" t="s">
        <v>367</v>
      </c>
      <c r="H1021" s="9"/>
      <c r="I1021" s="9"/>
    </row>
    <row r="1022" spans="1:9" x14ac:dyDescent="0.3">
      <c r="A1022" s="7" t="s">
        <v>6439</v>
      </c>
      <c r="B1022" s="7" t="s">
        <v>274</v>
      </c>
      <c r="C1022" s="9">
        <v>45978</v>
      </c>
      <c r="D1022" s="9">
        <v>46008</v>
      </c>
      <c r="E1022" s="3">
        <v>1041.8900000000001</v>
      </c>
      <c r="F1022" s="7" t="s">
        <v>369</v>
      </c>
      <c r="H1022" s="9"/>
      <c r="I1022" s="9"/>
    </row>
    <row r="1023" spans="1:9" x14ac:dyDescent="0.3">
      <c r="A1023" s="7" t="s">
        <v>6440</v>
      </c>
      <c r="B1023" s="7" t="s">
        <v>341</v>
      </c>
      <c r="C1023" s="9">
        <v>46090</v>
      </c>
      <c r="D1023" s="9">
        <v>46120</v>
      </c>
      <c r="E1023" s="3">
        <v>5775.71</v>
      </c>
      <c r="F1023" s="7" t="s">
        <v>367</v>
      </c>
      <c r="H1023" s="9"/>
      <c r="I1023" s="9"/>
    </row>
    <row r="1024" spans="1:9" x14ac:dyDescent="0.3">
      <c r="A1024" s="7" t="s">
        <v>6441</v>
      </c>
      <c r="B1024" s="7" t="s">
        <v>279</v>
      </c>
      <c r="C1024" s="9">
        <v>46006</v>
      </c>
      <c r="D1024" s="9">
        <v>46036</v>
      </c>
      <c r="E1024" s="3">
        <v>6603.28</v>
      </c>
      <c r="F1024" s="7" t="s">
        <v>367</v>
      </c>
      <c r="H1024" s="9"/>
      <c r="I1024" s="9"/>
    </row>
    <row r="1025" spans="1:9" x14ac:dyDescent="0.3">
      <c r="A1025" s="7" t="s">
        <v>6442</v>
      </c>
      <c r="B1025" s="7" t="s">
        <v>289</v>
      </c>
      <c r="C1025" s="9">
        <v>45984</v>
      </c>
      <c r="D1025" s="9">
        <v>46014</v>
      </c>
      <c r="E1025" s="3">
        <v>2775.84</v>
      </c>
      <c r="F1025" s="7" t="s">
        <v>369</v>
      </c>
      <c r="H1025" s="9"/>
      <c r="I1025" s="9"/>
    </row>
    <row r="1026" spans="1:9" x14ac:dyDescent="0.3">
      <c r="A1026" s="7" t="s">
        <v>6443</v>
      </c>
      <c r="B1026" s="7" t="s">
        <v>285</v>
      </c>
      <c r="C1026" s="9">
        <v>46071</v>
      </c>
      <c r="D1026" s="9">
        <v>46101</v>
      </c>
      <c r="E1026" s="3">
        <v>5550.09</v>
      </c>
      <c r="F1026" s="7" t="s">
        <v>367</v>
      </c>
      <c r="H1026" s="9"/>
      <c r="I1026" s="9"/>
    </row>
    <row r="1027" spans="1:9" x14ac:dyDescent="0.3">
      <c r="A1027" s="7" t="s">
        <v>6444</v>
      </c>
      <c r="B1027" s="7" t="s">
        <v>319</v>
      </c>
      <c r="C1027" s="9">
        <v>45993</v>
      </c>
      <c r="D1027" s="9">
        <v>46023</v>
      </c>
      <c r="E1027" s="3">
        <v>2593.46</v>
      </c>
      <c r="F1027" s="7" t="s">
        <v>367</v>
      </c>
      <c r="H1027" s="9"/>
      <c r="I1027" s="9"/>
    </row>
    <row r="1028" spans="1:9" x14ac:dyDescent="0.3">
      <c r="A1028" s="7" t="s">
        <v>6445</v>
      </c>
      <c r="B1028" s="7" t="s">
        <v>327</v>
      </c>
      <c r="C1028" s="9">
        <v>46056</v>
      </c>
      <c r="D1028" s="9">
        <v>46086</v>
      </c>
      <c r="E1028" s="3">
        <v>4250.45</v>
      </c>
      <c r="F1028" s="7" t="s">
        <v>367</v>
      </c>
      <c r="H1028" s="9"/>
      <c r="I1028" s="9"/>
    </row>
    <row r="1029" spans="1:9" x14ac:dyDescent="0.3">
      <c r="A1029" s="7" t="s">
        <v>6446</v>
      </c>
      <c r="B1029" s="7" t="s">
        <v>331</v>
      </c>
      <c r="C1029" s="9">
        <v>46060</v>
      </c>
      <c r="D1029" s="9">
        <v>46090</v>
      </c>
      <c r="E1029" s="3">
        <v>2289.64</v>
      </c>
      <c r="F1029" s="7" t="s">
        <v>367</v>
      </c>
      <c r="H1029" s="9"/>
      <c r="I1029" s="9"/>
    </row>
    <row r="1030" spans="1:9" x14ac:dyDescent="0.3">
      <c r="A1030" s="7" t="s">
        <v>6447</v>
      </c>
      <c r="B1030" s="7" t="s">
        <v>272</v>
      </c>
      <c r="C1030" s="9">
        <v>45968</v>
      </c>
      <c r="D1030" s="9">
        <v>45998</v>
      </c>
      <c r="E1030" s="3">
        <v>947.12</v>
      </c>
      <c r="F1030" s="7" t="s">
        <v>367</v>
      </c>
      <c r="H1030" s="9"/>
      <c r="I1030" s="9"/>
    </row>
    <row r="1031" spans="1:9" x14ac:dyDescent="0.3">
      <c r="A1031" s="7" t="s">
        <v>6448</v>
      </c>
      <c r="B1031" s="7" t="s">
        <v>307</v>
      </c>
      <c r="C1031" s="9">
        <v>45978</v>
      </c>
      <c r="D1031" s="9">
        <v>46008</v>
      </c>
      <c r="E1031" s="3">
        <v>2304.0300000000002</v>
      </c>
      <c r="F1031" s="7" t="s">
        <v>367</v>
      </c>
      <c r="H1031" s="9"/>
      <c r="I1031" s="9"/>
    </row>
    <row r="1032" spans="1:9" x14ac:dyDescent="0.3">
      <c r="A1032" s="7" t="s">
        <v>6449</v>
      </c>
      <c r="B1032" s="7" t="s">
        <v>329</v>
      </c>
      <c r="C1032" s="9">
        <v>46045</v>
      </c>
      <c r="D1032" s="9">
        <v>46075</v>
      </c>
      <c r="E1032" s="3">
        <v>5517.89</v>
      </c>
      <c r="F1032" s="7" t="s">
        <v>367</v>
      </c>
      <c r="H1032" s="9"/>
      <c r="I1032" s="9"/>
    </row>
    <row r="1033" spans="1:9" x14ac:dyDescent="0.3">
      <c r="A1033" s="7" t="s">
        <v>6450</v>
      </c>
      <c r="B1033" s="7" t="s">
        <v>301</v>
      </c>
      <c r="C1033" s="9">
        <v>45970</v>
      </c>
      <c r="D1033" s="9">
        <v>46000</v>
      </c>
      <c r="E1033" s="3">
        <v>3711.09</v>
      </c>
      <c r="F1033" s="7" t="s">
        <v>367</v>
      </c>
      <c r="H1033" s="9"/>
      <c r="I1033" s="9"/>
    </row>
    <row r="1034" spans="1:9" x14ac:dyDescent="0.3">
      <c r="A1034" s="7" t="s">
        <v>6451</v>
      </c>
      <c r="B1034" s="7" t="s">
        <v>281</v>
      </c>
      <c r="C1034" s="9">
        <v>46075</v>
      </c>
      <c r="D1034" s="9">
        <v>46105</v>
      </c>
      <c r="E1034" s="3">
        <v>4213.74</v>
      </c>
      <c r="F1034" s="7" t="s">
        <v>367</v>
      </c>
      <c r="H1034" s="9"/>
      <c r="I1034" s="9"/>
    </row>
    <row r="1035" spans="1:9" x14ac:dyDescent="0.3">
      <c r="A1035" s="7" t="s">
        <v>6452</v>
      </c>
      <c r="B1035" s="7" t="s">
        <v>335</v>
      </c>
      <c r="C1035" s="9">
        <v>46047</v>
      </c>
      <c r="D1035" s="9">
        <v>46077</v>
      </c>
      <c r="E1035" s="3">
        <v>6543.3</v>
      </c>
      <c r="F1035" s="7" t="s">
        <v>367</v>
      </c>
      <c r="H1035" s="9"/>
      <c r="I1035" s="9"/>
    </row>
    <row r="1036" spans="1:9" x14ac:dyDescent="0.3">
      <c r="A1036" s="7" t="s">
        <v>6453</v>
      </c>
      <c r="B1036" s="7" t="s">
        <v>309</v>
      </c>
      <c r="C1036" s="9">
        <v>46056</v>
      </c>
      <c r="D1036" s="9">
        <v>46086</v>
      </c>
      <c r="E1036" s="3">
        <v>3885.88</v>
      </c>
      <c r="F1036" s="7" t="s">
        <v>369</v>
      </c>
      <c r="H1036" s="9"/>
      <c r="I1036" s="9"/>
    </row>
    <row r="1037" spans="1:9" x14ac:dyDescent="0.3">
      <c r="A1037" s="7" t="s">
        <v>6454</v>
      </c>
      <c r="B1037" s="7" t="s">
        <v>264</v>
      </c>
      <c r="C1037" s="9">
        <v>46008</v>
      </c>
      <c r="D1037" s="9">
        <v>46038</v>
      </c>
      <c r="E1037" s="3">
        <v>4976.87</v>
      </c>
      <c r="F1037" s="7" t="s">
        <v>367</v>
      </c>
      <c r="H1037" s="9"/>
      <c r="I1037" s="9"/>
    </row>
    <row r="1038" spans="1:9" x14ac:dyDescent="0.3">
      <c r="A1038" s="7" t="s">
        <v>6455</v>
      </c>
      <c r="B1038" s="7" t="s">
        <v>279</v>
      </c>
      <c r="C1038" s="9">
        <v>46047</v>
      </c>
      <c r="D1038" s="9">
        <v>46077</v>
      </c>
      <c r="E1038" s="3">
        <v>4939.33</v>
      </c>
      <c r="F1038" s="7" t="s">
        <v>367</v>
      </c>
      <c r="H1038" s="9"/>
      <c r="I1038" s="9"/>
    </row>
    <row r="1039" spans="1:9" x14ac:dyDescent="0.3">
      <c r="A1039" s="7" t="s">
        <v>6456</v>
      </c>
      <c r="B1039" s="7" t="s">
        <v>343</v>
      </c>
      <c r="C1039" s="9">
        <v>45988</v>
      </c>
      <c r="D1039" s="9">
        <v>46018</v>
      </c>
      <c r="E1039" s="3">
        <v>5297.39</v>
      </c>
      <c r="F1039" s="7" t="s">
        <v>369</v>
      </c>
      <c r="H1039" s="9"/>
      <c r="I1039" s="9"/>
    </row>
    <row r="1040" spans="1:9" x14ac:dyDescent="0.3">
      <c r="A1040" s="7" t="s">
        <v>6457</v>
      </c>
      <c r="B1040" s="7" t="s">
        <v>315</v>
      </c>
      <c r="C1040" s="9">
        <v>46085</v>
      </c>
      <c r="D1040" s="9">
        <v>46115</v>
      </c>
      <c r="E1040" s="3">
        <v>4496.82</v>
      </c>
      <c r="F1040" s="7" t="s">
        <v>367</v>
      </c>
      <c r="H1040" s="9"/>
      <c r="I1040" s="9"/>
    </row>
    <row r="1041" spans="1:9" x14ac:dyDescent="0.3">
      <c r="A1041" s="7" t="s">
        <v>6458</v>
      </c>
      <c r="B1041" s="7" t="s">
        <v>335</v>
      </c>
      <c r="C1041" s="9">
        <v>46018</v>
      </c>
      <c r="D1041" s="9">
        <v>46048</v>
      </c>
      <c r="E1041" s="3">
        <v>2803.61</v>
      </c>
      <c r="F1041" s="7" t="s">
        <v>367</v>
      </c>
      <c r="H1041" s="9"/>
      <c r="I1041" s="9"/>
    </row>
    <row r="1042" spans="1:9" x14ac:dyDescent="0.3">
      <c r="A1042" s="7" t="s">
        <v>6459</v>
      </c>
      <c r="B1042" s="7" t="s">
        <v>339</v>
      </c>
      <c r="C1042" s="9">
        <v>46062</v>
      </c>
      <c r="D1042" s="9">
        <v>46092</v>
      </c>
      <c r="E1042" s="3">
        <v>4347.42</v>
      </c>
      <c r="F1042" s="7" t="s">
        <v>367</v>
      </c>
      <c r="H1042" s="9"/>
      <c r="I1042" s="9"/>
    </row>
    <row r="1043" spans="1:9" x14ac:dyDescent="0.3">
      <c r="A1043" s="7" t="s">
        <v>6460</v>
      </c>
      <c r="B1043" s="7" t="s">
        <v>299</v>
      </c>
      <c r="C1043" s="9">
        <v>45976</v>
      </c>
      <c r="D1043" s="9">
        <v>46006</v>
      </c>
      <c r="E1043" s="3">
        <v>1956.75</v>
      </c>
      <c r="F1043" s="7" t="s">
        <v>369</v>
      </c>
      <c r="H1043" s="9"/>
      <c r="I1043" s="9"/>
    </row>
    <row r="1044" spans="1:9" x14ac:dyDescent="0.3">
      <c r="A1044" s="7" t="s">
        <v>6461</v>
      </c>
      <c r="B1044" s="7" t="s">
        <v>341</v>
      </c>
      <c r="C1044" s="9">
        <v>45979</v>
      </c>
      <c r="D1044" s="9">
        <v>46009</v>
      </c>
      <c r="E1044" s="3">
        <v>6781.44</v>
      </c>
      <c r="F1044" s="7" t="s">
        <v>367</v>
      </c>
      <c r="H1044" s="9"/>
      <c r="I1044" s="9"/>
    </row>
    <row r="1045" spans="1:9" x14ac:dyDescent="0.3">
      <c r="A1045" s="7" t="s">
        <v>6462</v>
      </c>
      <c r="B1045" s="7" t="s">
        <v>303</v>
      </c>
      <c r="C1045" s="9">
        <v>46017</v>
      </c>
      <c r="D1045" s="9">
        <v>46047</v>
      </c>
      <c r="E1045" s="3">
        <v>3027.57</v>
      </c>
      <c r="F1045" s="7" t="s">
        <v>367</v>
      </c>
      <c r="H1045" s="9"/>
      <c r="I1045" s="9"/>
    </row>
    <row r="1046" spans="1:9" x14ac:dyDescent="0.3">
      <c r="A1046" s="7" t="s">
        <v>6463</v>
      </c>
      <c r="B1046" s="7" t="s">
        <v>319</v>
      </c>
      <c r="C1046" s="9">
        <v>46024</v>
      </c>
      <c r="D1046" s="9">
        <v>46054</v>
      </c>
      <c r="E1046" s="3">
        <v>891.59</v>
      </c>
      <c r="F1046" s="7" t="s">
        <v>367</v>
      </c>
      <c r="H1046" s="9"/>
      <c r="I1046" s="9"/>
    </row>
    <row r="1047" spans="1:9" x14ac:dyDescent="0.3">
      <c r="A1047" s="7" t="s">
        <v>6464</v>
      </c>
      <c r="B1047" s="7" t="s">
        <v>307</v>
      </c>
      <c r="C1047" s="9">
        <v>45987</v>
      </c>
      <c r="D1047" s="9">
        <v>46017</v>
      </c>
      <c r="E1047" s="3">
        <v>3406.35</v>
      </c>
      <c r="F1047" s="7" t="s">
        <v>367</v>
      </c>
      <c r="H1047" s="9"/>
      <c r="I1047" s="9"/>
    </row>
    <row r="1048" spans="1:9" x14ac:dyDescent="0.3">
      <c r="A1048" s="7" t="s">
        <v>6465</v>
      </c>
      <c r="B1048" s="7" t="s">
        <v>311</v>
      </c>
      <c r="C1048" s="9">
        <v>46040</v>
      </c>
      <c r="D1048" s="9">
        <v>46070</v>
      </c>
      <c r="E1048" s="3">
        <v>3553.12</v>
      </c>
      <c r="F1048" s="7" t="s">
        <v>367</v>
      </c>
      <c r="H1048" s="9"/>
      <c r="I1048" s="9"/>
    </row>
    <row r="1049" spans="1:9" x14ac:dyDescent="0.3">
      <c r="A1049" s="7" t="s">
        <v>6466</v>
      </c>
      <c r="B1049" s="7" t="s">
        <v>283</v>
      </c>
      <c r="C1049" s="9">
        <v>46020</v>
      </c>
      <c r="D1049" s="9">
        <v>46050</v>
      </c>
      <c r="E1049" s="3">
        <v>3553.79</v>
      </c>
      <c r="F1049" s="7" t="s">
        <v>367</v>
      </c>
      <c r="H1049" s="9"/>
      <c r="I1049" s="9"/>
    </row>
    <row r="1050" spans="1:9" x14ac:dyDescent="0.3">
      <c r="A1050" s="7" t="s">
        <v>6467</v>
      </c>
      <c r="B1050" s="7" t="s">
        <v>335</v>
      </c>
      <c r="C1050" s="9">
        <v>46059</v>
      </c>
      <c r="D1050" s="9">
        <v>46089</v>
      </c>
      <c r="E1050" s="3">
        <v>1228.5</v>
      </c>
      <c r="F1050" s="7" t="s">
        <v>367</v>
      </c>
      <c r="H1050" s="9"/>
      <c r="I1050" s="9"/>
    </row>
    <row r="1051" spans="1:9" x14ac:dyDescent="0.3">
      <c r="A1051" s="7" t="s">
        <v>6468</v>
      </c>
      <c r="B1051" s="7" t="s">
        <v>281</v>
      </c>
      <c r="C1051" s="9">
        <v>46034</v>
      </c>
      <c r="D1051" s="9">
        <v>46064</v>
      </c>
      <c r="E1051" s="3">
        <v>3017.83</v>
      </c>
      <c r="F1051" s="7" t="s">
        <v>367</v>
      </c>
      <c r="H1051" s="9"/>
      <c r="I1051" s="9"/>
    </row>
    <row r="1052" spans="1:9" x14ac:dyDescent="0.3">
      <c r="A1052" s="7" t="s">
        <v>6469</v>
      </c>
      <c r="B1052" s="7" t="s">
        <v>289</v>
      </c>
      <c r="C1052" s="9">
        <v>46053</v>
      </c>
      <c r="D1052" s="9">
        <v>46083</v>
      </c>
      <c r="E1052" s="3">
        <v>3769.25</v>
      </c>
      <c r="F1052" s="7" t="s">
        <v>367</v>
      </c>
      <c r="H1052" s="9"/>
      <c r="I1052" s="9"/>
    </row>
    <row r="1053" spans="1:9" x14ac:dyDescent="0.3">
      <c r="A1053" s="7" t="s">
        <v>6470</v>
      </c>
      <c r="B1053" s="7" t="s">
        <v>343</v>
      </c>
      <c r="C1053" s="9">
        <v>46038</v>
      </c>
      <c r="D1053" s="9">
        <v>46068</v>
      </c>
      <c r="E1053" s="3">
        <v>6063.05</v>
      </c>
      <c r="F1053" s="7" t="s">
        <v>367</v>
      </c>
      <c r="H1053" s="9"/>
      <c r="I1053" s="9"/>
    </row>
    <row r="1054" spans="1:9" x14ac:dyDescent="0.3">
      <c r="A1054" s="7" t="s">
        <v>6471</v>
      </c>
      <c r="B1054" s="7" t="s">
        <v>327</v>
      </c>
      <c r="C1054" s="9">
        <v>45962</v>
      </c>
      <c r="D1054" s="9">
        <v>45992</v>
      </c>
      <c r="E1054" s="3">
        <v>6130.02</v>
      </c>
      <c r="F1054" s="7" t="s">
        <v>367</v>
      </c>
      <c r="H1054" s="9"/>
      <c r="I1054" s="9"/>
    </row>
    <row r="1055" spans="1:9" x14ac:dyDescent="0.3">
      <c r="A1055" s="7" t="s">
        <v>6472</v>
      </c>
      <c r="B1055" s="7" t="s">
        <v>333</v>
      </c>
      <c r="C1055" s="9">
        <v>46003</v>
      </c>
      <c r="D1055" s="9">
        <v>46033</v>
      </c>
      <c r="E1055" s="3">
        <v>2548.3000000000002</v>
      </c>
      <c r="F1055" s="7" t="s">
        <v>367</v>
      </c>
      <c r="H1055" s="9"/>
      <c r="I1055" s="9"/>
    </row>
    <row r="1056" spans="1:9" x14ac:dyDescent="0.3">
      <c r="A1056" s="7" t="s">
        <v>6473</v>
      </c>
      <c r="B1056" s="7" t="s">
        <v>297</v>
      </c>
      <c r="C1056" s="9">
        <v>46077</v>
      </c>
      <c r="D1056" s="9">
        <v>46107</v>
      </c>
      <c r="E1056" s="3">
        <v>1879.48</v>
      </c>
      <c r="F1056" s="7" t="s">
        <v>367</v>
      </c>
      <c r="H1056" s="9"/>
      <c r="I1056" s="9"/>
    </row>
    <row r="1057" spans="1:9" x14ac:dyDescent="0.3">
      <c r="A1057" s="7" t="s">
        <v>6474</v>
      </c>
      <c r="B1057" s="7" t="s">
        <v>299</v>
      </c>
      <c r="C1057" s="9">
        <v>46037</v>
      </c>
      <c r="D1057" s="9">
        <v>46067</v>
      </c>
      <c r="E1057" s="3">
        <v>1296.0999999999999</v>
      </c>
      <c r="F1057" s="7" t="s">
        <v>369</v>
      </c>
      <c r="H1057" s="9"/>
      <c r="I1057" s="9"/>
    </row>
    <row r="1058" spans="1:9" x14ac:dyDescent="0.3">
      <c r="A1058" s="7" t="s">
        <v>6475</v>
      </c>
      <c r="B1058" s="7" t="s">
        <v>307</v>
      </c>
      <c r="C1058" s="9">
        <v>46025</v>
      </c>
      <c r="D1058" s="9">
        <v>46055</v>
      </c>
      <c r="E1058" s="3">
        <v>2920.45</v>
      </c>
      <c r="F1058" s="7" t="s">
        <v>369</v>
      </c>
      <c r="H1058" s="9"/>
      <c r="I1058" s="9"/>
    </row>
    <row r="1059" spans="1:9" x14ac:dyDescent="0.3">
      <c r="A1059" s="7" t="s">
        <v>6476</v>
      </c>
      <c r="B1059" s="7" t="s">
        <v>276</v>
      </c>
      <c r="C1059" s="9">
        <v>46032</v>
      </c>
      <c r="D1059" s="9">
        <v>46062</v>
      </c>
      <c r="E1059" s="3">
        <v>2831.29</v>
      </c>
      <c r="F1059" s="7" t="s">
        <v>367</v>
      </c>
      <c r="H1059" s="9"/>
      <c r="I1059" s="9"/>
    </row>
    <row r="1060" spans="1:9" x14ac:dyDescent="0.3">
      <c r="A1060" s="7" t="s">
        <v>6477</v>
      </c>
      <c r="B1060" s="7" t="s">
        <v>339</v>
      </c>
      <c r="C1060" s="9">
        <v>46010</v>
      </c>
      <c r="D1060" s="9">
        <v>46040</v>
      </c>
      <c r="E1060" s="3">
        <v>6554.63</v>
      </c>
      <c r="F1060" s="7" t="s">
        <v>367</v>
      </c>
      <c r="H1060" s="9"/>
      <c r="I1060" s="9"/>
    </row>
    <row r="1061" spans="1:9" x14ac:dyDescent="0.3">
      <c r="A1061" s="7" t="s">
        <v>6478</v>
      </c>
      <c r="B1061" s="7" t="s">
        <v>337</v>
      </c>
      <c r="C1061" s="9">
        <v>45967</v>
      </c>
      <c r="D1061" s="9">
        <v>45997</v>
      </c>
      <c r="E1061" s="3">
        <v>5815.76</v>
      </c>
      <c r="F1061" s="7" t="s">
        <v>367</v>
      </c>
      <c r="H1061" s="9"/>
      <c r="I1061" s="9"/>
    </row>
    <row r="1062" spans="1:9" x14ac:dyDescent="0.3">
      <c r="A1062" s="7" t="s">
        <v>6479</v>
      </c>
      <c r="B1062" s="7" t="s">
        <v>311</v>
      </c>
      <c r="C1062" s="9">
        <v>46000</v>
      </c>
      <c r="D1062" s="9">
        <v>46030</v>
      </c>
      <c r="E1062" s="3">
        <v>3603.51</v>
      </c>
      <c r="F1062" s="7" t="s">
        <v>367</v>
      </c>
      <c r="H1062" s="9"/>
      <c r="I1062" s="9"/>
    </row>
    <row r="1063" spans="1:9" x14ac:dyDescent="0.3">
      <c r="A1063" s="7" t="s">
        <v>6480</v>
      </c>
      <c r="B1063" s="7" t="s">
        <v>293</v>
      </c>
      <c r="C1063" s="9">
        <v>46085</v>
      </c>
      <c r="D1063" s="9">
        <v>46115</v>
      </c>
      <c r="E1063" s="3">
        <v>4874.3900000000003</v>
      </c>
      <c r="F1063" s="7" t="s">
        <v>367</v>
      </c>
      <c r="H1063" s="9"/>
      <c r="I1063" s="9"/>
    </row>
    <row r="1064" spans="1:9" x14ac:dyDescent="0.3">
      <c r="A1064" s="7" t="s">
        <v>6481</v>
      </c>
      <c r="B1064" s="7" t="s">
        <v>341</v>
      </c>
      <c r="C1064" s="9">
        <v>46048</v>
      </c>
      <c r="D1064" s="9">
        <v>46078</v>
      </c>
      <c r="E1064" s="3">
        <v>2604.92</v>
      </c>
      <c r="F1064" s="7" t="s">
        <v>367</v>
      </c>
      <c r="H1064" s="9"/>
      <c r="I1064" s="9"/>
    </row>
    <row r="1065" spans="1:9" x14ac:dyDescent="0.3">
      <c r="A1065" s="7" t="s">
        <v>6482</v>
      </c>
      <c r="B1065" s="7" t="s">
        <v>305</v>
      </c>
      <c r="C1065" s="9">
        <v>45985</v>
      </c>
      <c r="D1065" s="9">
        <v>46015</v>
      </c>
      <c r="E1065" s="3">
        <v>4768.22</v>
      </c>
      <c r="F1065" s="7" t="s">
        <v>369</v>
      </c>
      <c r="H1065" s="9"/>
      <c r="I1065" s="9"/>
    </row>
    <row r="1066" spans="1:9" x14ac:dyDescent="0.3">
      <c r="A1066" s="7" t="s">
        <v>6483</v>
      </c>
      <c r="B1066" s="7" t="s">
        <v>313</v>
      </c>
      <c r="C1066" s="9">
        <v>46076</v>
      </c>
      <c r="D1066" s="9">
        <v>46106</v>
      </c>
      <c r="E1066" s="3">
        <v>2203.4299999999998</v>
      </c>
      <c r="F1066" s="7" t="s">
        <v>367</v>
      </c>
      <c r="H1066" s="9"/>
      <c r="I1066" s="9"/>
    </row>
    <row r="1067" spans="1:9" x14ac:dyDescent="0.3">
      <c r="A1067" s="7" t="s">
        <v>6484</v>
      </c>
      <c r="B1067" s="7" t="s">
        <v>341</v>
      </c>
      <c r="C1067" s="9">
        <v>45993</v>
      </c>
      <c r="D1067" s="9">
        <v>46023</v>
      </c>
      <c r="E1067" s="3">
        <v>3497.52</v>
      </c>
      <c r="F1067" s="7" t="s">
        <v>367</v>
      </c>
      <c r="H1067" s="9"/>
      <c r="I1067" s="9"/>
    </row>
    <row r="1068" spans="1:9" x14ac:dyDescent="0.3">
      <c r="A1068" s="7" t="s">
        <v>6485</v>
      </c>
      <c r="B1068" s="7" t="s">
        <v>343</v>
      </c>
      <c r="C1068" s="9">
        <v>46028</v>
      </c>
      <c r="D1068" s="9">
        <v>46058</v>
      </c>
      <c r="E1068" s="3">
        <v>4520.58</v>
      </c>
      <c r="F1068" s="7" t="s">
        <v>367</v>
      </c>
      <c r="H1068" s="9"/>
      <c r="I1068" s="9"/>
    </row>
    <row r="1069" spans="1:9" x14ac:dyDescent="0.3">
      <c r="A1069" s="7" t="s">
        <v>6486</v>
      </c>
      <c r="B1069" s="7" t="s">
        <v>301</v>
      </c>
      <c r="C1069" s="9">
        <v>46013</v>
      </c>
      <c r="D1069" s="9">
        <v>46043</v>
      </c>
      <c r="E1069" s="3">
        <v>6697.93</v>
      </c>
      <c r="F1069" s="7" t="s">
        <v>367</v>
      </c>
      <c r="H1069" s="9"/>
      <c r="I1069" s="9"/>
    </row>
    <row r="1070" spans="1:9" x14ac:dyDescent="0.3">
      <c r="A1070" s="7" t="s">
        <v>6487</v>
      </c>
      <c r="B1070" s="7" t="s">
        <v>264</v>
      </c>
      <c r="C1070" s="9">
        <v>46073</v>
      </c>
      <c r="D1070" s="9">
        <v>46103</v>
      </c>
      <c r="E1070" s="3">
        <v>2672.62</v>
      </c>
      <c r="F1070" s="7" t="s">
        <v>367</v>
      </c>
      <c r="H1070" s="9"/>
      <c r="I1070" s="9"/>
    </row>
    <row r="1071" spans="1:9" x14ac:dyDescent="0.3">
      <c r="A1071" s="7" t="s">
        <v>6488</v>
      </c>
      <c r="B1071" s="7" t="s">
        <v>279</v>
      </c>
      <c r="C1071" s="9">
        <v>46076</v>
      </c>
      <c r="D1071" s="9">
        <v>46106</v>
      </c>
      <c r="E1071" s="3">
        <v>3026.93</v>
      </c>
      <c r="F1071" s="7" t="s">
        <v>367</v>
      </c>
      <c r="H1071" s="9"/>
      <c r="I1071" s="9"/>
    </row>
    <row r="1072" spans="1:9" x14ac:dyDescent="0.3">
      <c r="A1072" s="7" t="s">
        <v>6489</v>
      </c>
      <c r="B1072" s="7" t="s">
        <v>313</v>
      </c>
      <c r="C1072" s="9">
        <v>46020</v>
      </c>
      <c r="D1072" s="9">
        <v>46050</v>
      </c>
      <c r="E1072" s="3">
        <v>4545.57</v>
      </c>
      <c r="F1072" s="7" t="s">
        <v>367</v>
      </c>
      <c r="H1072" s="9"/>
      <c r="I1072" s="9"/>
    </row>
    <row r="1073" spans="1:9" x14ac:dyDescent="0.3">
      <c r="A1073" s="7" t="s">
        <v>6490</v>
      </c>
      <c r="B1073" s="7" t="s">
        <v>315</v>
      </c>
      <c r="C1073" s="9">
        <v>46035</v>
      </c>
      <c r="D1073" s="9">
        <v>46065</v>
      </c>
      <c r="E1073" s="3">
        <v>2172</v>
      </c>
      <c r="F1073" s="7" t="s">
        <v>367</v>
      </c>
      <c r="H1073" s="9"/>
      <c r="I1073" s="9"/>
    </row>
    <row r="1074" spans="1:9" x14ac:dyDescent="0.3">
      <c r="A1074" s="7" t="s">
        <v>6491</v>
      </c>
      <c r="B1074" s="7" t="s">
        <v>291</v>
      </c>
      <c r="C1074" s="9">
        <v>46053</v>
      </c>
      <c r="D1074" s="9">
        <v>46083</v>
      </c>
      <c r="E1074" s="3">
        <v>1550.88</v>
      </c>
      <c r="F1074" s="7" t="s">
        <v>367</v>
      </c>
      <c r="H1074" s="9"/>
      <c r="I1074" s="9"/>
    </row>
    <row r="1075" spans="1:9" x14ac:dyDescent="0.3">
      <c r="A1075" s="7" t="s">
        <v>6492</v>
      </c>
      <c r="B1075" s="7" t="s">
        <v>267</v>
      </c>
      <c r="C1075" s="9">
        <v>46036</v>
      </c>
      <c r="D1075" s="9">
        <v>46066</v>
      </c>
      <c r="E1075" s="3">
        <v>2672.84</v>
      </c>
      <c r="F1075" s="7" t="s">
        <v>369</v>
      </c>
      <c r="H1075" s="9"/>
      <c r="I1075" s="9"/>
    </row>
    <row r="1076" spans="1:9" x14ac:dyDescent="0.3">
      <c r="A1076" s="7" t="s">
        <v>6493</v>
      </c>
      <c r="B1076" s="7" t="s">
        <v>261</v>
      </c>
      <c r="C1076" s="9">
        <v>46018</v>
      </c>
      <c r="D1076" s="9">
        <v>46048</v>
      </c>
      <c r="E1076" s="3">
        <v>1946.67</v>
      </c>
      <c r="F1076" s="7" t="s">
        <v>367</v>
      </c>
      <c r="H1076" s="9"/>
      <c r="I1076" s="9"/>
    </row>
    <row r="1077" spans="1:9" x14ac:dyDescent="0.3">
      <c r="A1077" s="7" t="s">
        <v>6494</v>
      </c>
      <c r="B1077" s="7" t="s">
        <v>339</v>
      </c>
      <c r="C1077" s="9">
        <v>46087</v>
      </c>
      <c r="D1077" s="9">
        <v>46117</v>
      </c>
      <c r="E1077" s="3">
        <v>1102.24</v>
      </c>
      <c r="F1077" s="7" t="s">
        <v>367</v>
      </c>
      <c r="H1077" s="9"/>
      <c r="I1077" s="9"/>
    </row>
    <row r="1078" spans="1:9" x14ac:dyDescent="0.3">
      <c r="A1078" s="7" t="s">
        <v>6495</v>
      </c>
      <c r="B1078" s="7" t="s">
        <v>291</v>
      </c>
      <c r="C1078" s="9">
        <v>45995</v>
      </c>
      <c r="D1078" s="9">
        <v>46025</v>
      </c>
      <c r="E1078" s="3">
        <v>3116.77</v>
      </c>
      <c r="F1078" s="7" t="s">
        <v>367</v>
      </c>
      <c r="H1078" s="9"/>
      <c r="I1078" s="9"/>
    </row>
    <row r="1079" spans="1:9" x14ac:dyDescent="0.3">
      <c r="A1079" s="7" t="s">
        <v>6496</v>
      </c>
      <c r="B1079" s="7" t="s">
        <v>274</v>
      </c>
      <c r="C1079" s="9">
        <v>45980</v>
      </c>
      <c r="D1079" s="9">
        <v>46010</v>
      </c>
      <c r="E1079" s="3">
        <v>4542.96</v>
      </c>
      <c r="F1079" s="7" t="s">
        <v>367</v>
      </c>
      <c r="H1079" s="9"/>
      <c r="I1079" s="9"/>
    </row>
    <row r="1080" spans="1:9" x14ac:dyDescent="0.3">
      <c r="A1080" s="7" t="s">
        <v>6497</v>
      </c>
      <c r="B1080" s="7" t="s">
        <v>287</v>
      </c>
      <c r="C1080" s="9">
        <v>46046</v>
      </c>
      <c r="D1080" s="9">
        <v>46076</v>
      </c>
      <c r="E1080" s="3">
        <v>5194.1499999999996</v>
      </c>
      <c r="F1080" s="7" t="s">
        <v>367</v>
      </c>
      <c r="H1080" s="9"/>
      <c r="I1080" s="9"/>
    </row>
    <row r="1081" spans="1:9" x14ac:dyDescent="0.3">
      <c r="A1081" s="7" t="s">
        <v>6498</v>
      </c>
      <c r="B1081" s="7" t="s">
        <v>313</v>
      </c>
      <c r="C1081" s="9">
        <v>46070</v>
      </c>
      <c r="D1081" s="9">
        <v>46100</v>
      </c>
      <c r="E1081" s="3">
        <v>1706.59</v>
      </c>
      <c r="F1081" s="7" t="s">
        <v>369</v>
      </c>
      <c r="H1081" s="9"/>
      <c r="I1081" s="9"/>
    </row>
    <row r="1082" spans="1:9" x14ac:dyDescent="0.3">
      <c r="A1082" s="7" t="s">
        <v>6499</v>
      </c>
      <c r="B1082" s="7" t="s">
        <v>299</v>
      </c>
      <c r="C1082" s="9">
        <v>46053</v>
      </c>
      <c r="D1082" s="9">
        <v>46083</v>
      </c>
      <c r="E1082" s="3">
        <v>5140.09</v>
      </c>
      <c r="F1082" s="7" t="s">
        <v>367</v>
      </c>
      <c r="H1082" s="9"/>
      <c r="I1082" s="9"/>
    </row>
    <row r="1083" spans="1:9" x14ac:dyDescent="0.3">
      <c r="A1083" s="7" t="s">
        <v>6500</v>
      </c>
      <c r="B1083" s="7" t="s">
        <v>309</v>
      </c>
      <c r="C1083" s="9">
        <v>45976</v>
      </c>
      <c r="D1083" s="9">
        <v>46006</v>
      </c>
      <c r="E1083" s="3">
        <v>6812.93</v>
      </c>
      <c r="F1083" s="7" t="s">
        <v>367</v>
      </c>
      <c r="H1083" s="9"/>
      <c r="I1083" s="9"/>
    </row>
    <row r="1084" spans="1:9" x14ac:dyDescent="0.3">
      <c r="A1084" s="7" t="s">
        <v>6501</v>
      </c>
      <c r="B1084" s="7" t="s">
        <v>339</v>
      </c>
      <c r="C1084" s="9">
        <v>46078</v>
      </c>
      <c r="D1084" s="9">
        <v>46108</v>
      </c>
      <c r="E1084" s="3">
        <v>6984.51</v>
      </c>
      <c r="F1084" s="7" t="s">
        <v>369</v>
      </c>
      <c r="H1084" s="9"/>
      <c r="I1084" s="9"/>
    </row>
    <row r="1085" spans="1:9" x14ac:dyDescent="0.3">
      <c r="A1085" s="7" t="s">
        <v>6502</v>
      </c>
      <c r="B1085" s="7" t="s">
        <v>261</v>
      </c>
      <c r="C1085" s="9">
        <v>45970</v>
      </c>
      <c r="D1085" s="9">
        <v>46000</v>
      </c>
      <c r="E1085" s="3">
        <v>2571.06</v>
      </c>
      <c r="F1085" s="7" t="s">
        <v>369</v>
      </c>
      <c r="H1085" s="9"/>
      <c r="I1085" s="9"/>
    </row>
    <row r="1086" spans="1:9" x14ac:dyDescent="0.3">
      <c r="A1086" s="7" t="s">
        <v>6503</v>
      </c>
      <c r="B1086" s="7" t="s">
        <v>281</v>
      </c>
      <c r="C1086" s="9">
        <v>46049</v>
      </c>
      <c r="D1086" s="9">
        <v>46079</v>
      </c>
      <c r="E1086" s="3">
        <v>5405.98</v>
      </c>
      <c r="F1086" s="7" t="s">
        <v>367</v>
      </c>
      <c r="H1086" s="9"/>
      <c r="I1086" s="9"/>
    </row>
    <row r="1087" spans="1:9" x14ac:dyDescent="0.3">
      <c r="A1087" s="7" t="s">
        <v>6504</v>
      </c>
      <c r="B1087" s="7" t="s">
        <v>323</v>
      </c>
      <c r="C1087" s="9">
        <v>46011</v>
      </c>
      <c r="D1087" s="9">
        <v>46041</v>
      </c>
      <c r="E1087" s="3">
        <v>3685.93</v>
      </c>
      <c r="F1087" s="7" t="s">
        <v>369</v>
      </c>
      <c r="H1087" s="9"/>
      <c r="I1087" s="9"/>
    </row>
    <row r="1088" spans="1:9" x14ac:dyDescent="0.3">
      <c r="A1088" s="7" t="s">
        <v>6505</v>
      </c>
      <c r="B1088" s="7" t="s">
        <v>301</v>
      </c>
      <c r="C1088" s="9">
        <v>46042</v>
      </c>
      <c r="D1088" s="9">
        <v>46072</v>
      </c>
      <c r="E1088" s="3">
        <v>2855.29</v>
      </c>
      <c r="F1088" s="7" t="s">
        <v>367</v>
      </c>
      <c r="H1088" s="9"/>
      <c r="I1088" s="9"/>
    </row>
    <row r="1089" spans="1:9" x14ac:dyDescent="0.3">
      <c r="A1089" s="7" t="s">
        <v>6506</v>
      </c>
      <c r="B1089" s="7" t="s">
        <v>295</v>
      </c>
      <c r="C1089" s="9">
        <v>46014</v>
      </c>
      <c r="D1089" s="9">
        <v>46044</v>
      </c>
      <c r="E1089" s="3">
        <v>3552.41</v>
      </c>
      <c r="F1089" s="7" t="s">
        <v>369</v>
      </c>
      <c r="H1089" s="9"/>
      <c r="I1089" s="9"/>
    </row>
    <row r="1090" spans="1:9" x14ac:dyDescent="0.3">
      <c r="A1090" s="7" t="s">
        <v>6507</v>
      </c>
      <c r="B1090" s="7" t="s">
        <v>301</v>
      </c>
      <c r="C1090" s="9">
        <v>46003</v>
      </c>
      <c r="D1090" s="9">
        <v>46033</v>
      </c>
      <c r="E1090" s="3">
        <v>6658.88</v>
      </c>
      <c r="F1090" s="7" t="s">
        <v>367</v>
      </c>
      <c r="H1090" s="9"/>
      <c r="I1090" s="9"/>
    </row>
    <row r="1091" spans="1:9" x14ac:dyDescent="0.3">
      <c r="A1091" s="7" t="s">
        <v>6508</v>
      </c>
      <c r="B1091" s="7" t="s">
        <v>276</v>
      </c>
      <c r="C1091" s="9">
        <v>46039</v>
      </c>
      <c r="D1091" s="9">
        <v>46069</v>
      </c>
      <c r="E1091" s="3">
        <v>6503.98</v>
      </c>
      <c r="F1091" s="7" t="s">
        <v>367</v>
      </c>
      <c r="H1091" s="9"/>
      <c r="I1091" s="9"/>
    </row>
    <row r="1092" spans="1:9" x14ac:dyDescent="0.3">
      <c r="A1092" s="7" t="s">
        <v>6509</v>
      </c>
      <c r="B1092" s="7" t="s">
        <v>317</v>
      </c>
      <c r="C1092" s="9">
        <v>46051</v>
      </c>
      <c r="D1092" s="9">
        <v>46081</v>
      </c>
      <c r="E1092" s="3">
        <v>5211.29</v>
      </c>
      <c r="F1092" s="7" t="s">
        <v>367</v>
      </c>
      <c r="H1092" s="9"/>
      <c r="I1092" s="9"/>
    </row>
    <row r="1093" spans="1:9" x14ac:dyDescent="0.3">
      <c r="A1093" s="7" t="s">
        <v>6510</v>
      </c>
      <c r="B1093" s="7" t="s">
        <v>325</v>
      </c>
      <c r="C1093" s="9">
        <v>45987</v>
      </c>
      <c r="D1093" s="9">
        <v>46017</v>
      </c>
      <c r="E1093" s="3">
        <v>4818.24</v>
      </c>
      <c r="F1093" s="7" t="s">
        <v>369</v>
      </c>
      <c r="H1093" s="9"/>
      <c r="I1093" s="9"/>
    </row>
    <row r="1094" spans="1:9" x14ac:dyDescent="0.3">
      <c r="A1094" s="7" t="s">
        <v>6511</v>
      </c>
      <c r="B1094" s="7" t="s">
        <v>264</v>
      </c>
      <c r="C1094" s="9">
        <v>46069</v>
      </c>
      <c r="D1094" s="9">
        <v>46099</v>
      </c>
      <c r="E1094" s="3">
        <v>5659.27</v>
      </c>
      <c r="F1094" s="7" t="s">
        <v>367</v>
      </c>
      <c r="H1094" s="9"/>
      <c r="I1094" s="9"/>
    </row>
    <row r="1095" spans="1:9" x14ac:dyDescent="0.3">
      <c r="A1095" s="7" t="s">
        <v>6512</v>
      </c>
      <c r="B1095" s="7" t="s">
        <v>305</v>
      </c>
      <c r="C1095" s="9">
        <v>45976</v>
      </c>
      <c r="D1095" s="9">
        <v>46006</v>
      </c>
      <c r="E1095" s="3">
        <v>3756.1</v>
      </c>
      <c r="F1095" s="7" t="s">
        <v>367</v>
      </c>
      <c r="H1095" s="9"/>
      <c r="I1095" s="9"/>
    </row>
    <row r="1096" spans="1:9" x14ac:dyDescent="0.3">
      <c r="A1096" s="7" t="s">
        <v>6513</v>
      </c>
      <c r="B1096" s="7" t="s">
        <v>343</v>
      </c>
      <c r="C1096" s="9">
        <v>46054</v>
      </c>
      <c r="D1096" s="9">
        <v>46084</v>
      </c>
      <c r="E1096" s="3">
        <v>1171.22</v>
      </c>
      <c r="F1096" s="7" t="s">
        <v>367</v>
      </c>
      <c r="H1096" s="9"/>
      <c r="I1096" s="9"/>
    </row>
    <row r="1097" spans="1:9" x14ac:dyDescent="0.3">
      <c r="A1097" s="7" t="s">
        <v>6514</v>
      </c>
      <c r="B1097" s="7" t="s">
        <v>279</v>
      </c>
      <c r="C1097" s="9">
        <v>46028</v>
      </c>
      <c r="D1097" s="9">
        <v>46058</v>
      </c>
      <c r="E1097" s="3">
        <v>3222.91</v>
      </c>
      <c r="F1097" s="7" t="s">
        <v>367</v>
      </c>
      <c r="H1097" s="9"/>
      <c r="I1097" s="9"/>
    </row>
    <row r="1098" spans="1:9" x14ac:dyDescent="0.3">
      <c r="A1098" s="7" t="s">
        <v>6515</v>
      </c>
      <c r="B1098" s="7" t="s">
        <v>264</v>
      </c>
      <c r="C1098" s="9">
        <v>45996</v>
      </c>
      <c r="D1098" s="9">
        <v>46026</v>
      </c>
      <c r="E1098" s="3">
        <v>3195.57</v>
      </c>
      <c r="F1098" s="7" t="s">
        <v>369</v>
      </c>
      <c r="H1098" s="9"/>
      <c r="I1098" s="9"/>
    </row>
    <row r="1099" spans="1:9" x14ac:dyDescent="0.3">
      <c r="A1099" s="7" t="s">
        <v>6516</v>
      </c>
      <c r="B1099" s="7" t="s">
        <v>291</v>
      </c>
      <c r="C1099" s="9">
        <v>45979</v>
      </c>
      <c r="D1099" s="9">
        <v>46009</v>
      </c>
      <c r="E1099" s="3">
        <v>2878.86</v>
      </c>
      <c r="F1099" s="7" t="s">
        <v>367</v>
      </c>
      <c r="H1099" s="9"/>
      <c r="I1099" s="9"/>
    </row>
    <row r="1100" spans="1:9" x14ac:dyDescent="0.3">
      <c r="A1100" s="7" t="s">
        <v>6517</v>
      </c>
      <c r="B1100" s="7" t="s">
        <v>327</v>
      </c>
      <c r="C1100" s="9">
        <v>46046</v>
      </c>
      <c r="D1100" s="9">
        <v>46076</v>
      </c>
      <c r="E1100" s="3">
        <v>1563.25</v>
      </c>
      <c r="F1100" s="7" t="s">
        <v>367</v>
      </c>
      <c r="H1100" s="9"/>
      <c r="I1100" s="9"/>
    </row>
    <row r="1101" spans="1:9" x14ac:dyDescent="0.3">
      <c r="A1101" s="7" t="s">
        <v>6518</v>
      </c>
      <c r="B1101" s="7" t="s">
        <v>281</v>
      </c>
      <c r="C1101" s="9">
        <v>46004</v>
      </c>
      <c r="D1101" s="9">
        <v>46034</v>
      </c>
      <c r="E1101" s="3">
        <v>3147.01</v>
      </c>
      <c r="F1101" s="7" t="s">
        <v>367</v>
      </c>
      <c r="H1101" s="9"/>
      <c r="I1101" s="9"/>
    </row>
    <row r="1102" spans="1:9" x14ac:dyDescent="0.3">
      <c r="A1102" s="7" t="s">
        <v>6519</v>
      </c>
      <c r="B1102" s="7" t="s">
        <v>329</v>
      </c>
      <c r="C1102" s="9">
        <v>45963</v>
      </c>
      <c r="D1102" s="9">
        <v>45993</v>
      </c>
      <c r="E1102" s="3">
        <v>3079.33</v>
      </c>
      <c r="F1102" s="7" t="s">
        <v>367</v>
      </c>
      <c r="H1102" s="9"/>
      <c r="I1102" s="9"/>
    </row>
    <row r="1103" spans="1:9" x14ac:dyDescent="0.3">
      <c r="A1103" s="7" t="s">
        <v>6520</v>
      </c>
      <c r="B1103" s="7" t="s">
        <v>274</v>
      </c>
      <c r="C1103" s="9">
        <v>45991</v>
      </c>
      <c r="D1103" s="9">
        <v>46021</v>
      </c>
      <c r="E1103" s="3">
        <v>2573.62</v>
      </c>
      <c r="F1103" s="7" t="s">
        <v>367</v>
      </c>
      <c r="H1103" s="9"/>
      <c r="I1103" s="9"/>
    </row>
    <row r="1104" spans="1:9" x14ac:dyDescent="0.3">
      <c r="A1104" s="7" t="s">
        <v>6521</v>
      </c>
      <c r="B1104" s="7" t="s">
        <v>264</v>
      </c>
      <c r="C1104" s="9">
        <v>46024</v>
      </c>
      <c r="D1104" s="9">
        <v>46054</v>
      </c>
      <c r="E1104" s="3">
        <v>1048.26</v>
      </c>
      <c r="F1104" s="7" t="s">
        <v>369</v>
      </c>
      <c r="H1104" s="9"/>
      <c r="I1104" s="9"/>
    </row>
    <row r="1105" spans="1:9" x14ac:dyDescent="0.3">
      <c r="A1105" s="7" t="s">
        <v>6522</v>
      </c>
      <c r="B1105" s="7" t="s">
        <v>307</v>
      </c>
      <c r="C1105" s="9">
        <v>45974</v>
      </c>
      <c r="D1105" s="9">
        <v>46004</v>
      </c>
      <c r="E1105" s="3">
        <v>5592.04</v>
      </c>
      <c r="F1105" s="7" t="s">
        <v>367</v>
      </c>
      <c r="H1105" s="9"/>
      <c r="I1105" s="9"/>
    </row>
    <row r="1106" spans="1:9" x14ac:dyDescent="0.3">
      <c r="A1106" s="7" t="s">
        <v>6523</v>
      </c>
      <c r="B1106" s="7" t="s">
        <v>337</v>
      </c>
      <c r="C1106" s="9">
        <v>46058</v>
      </c>
      <c r="D1106" s="9">
        <v>46088</v>
      </c>
      <c r="E1106" s="3">
        <v>6428.76</v>
      </c>
      <c r="F1106" s="7" t="s">
        <v>367</v>
      </c>
      <c r="H1106" s="9"/>
      <c r="I1106" s="9"/>
    </row>
    <row r="1107" spans="1:9" x14ac:dyDescent="0.3">
      <c r="A1107" s="7" t="s">
        <v>6524</v>
      </c>
      <c r="B1107" s="7" t="s">
        <v>272</v>
      </c>
      <c r="C1107" s="9">
        <v>46027</v>
      </c>
      <c r="D1107" s="9">
        <v>46057</v>
      </c>
      <c r="E1107" s="3">
        <v>2084.5100000000002</v>
      </c>
      <c r="F1107" s="7" t="s">
        <v>367</v>
      </c>
      <c r="H1107" s="9"/>
      <c r="I1107" s="9"/>
    </row>
    <row r="1108" spans="1:9" x14ac:dyDescent="0.3">
      <c r="A1108" s="7" t="s">
        <v>6525</v>
      </c>
      <c r="B1108" s="7" t="s">
        <v>329</v>
      </c>
      <c r="C1108" s="9">
        <v>46048</v>
      </c>
      <c r="D1108" s="9">
        <v>46078</v>
      </c>
      <c r="E1108" s="3">
        <v>6079.03</v>
      </c>
      <c r="F1108" s="7" t="s">
        <v>367</v>
      </c>
      <c r="H1108" s="9"/>
      <c r="I1108" s="9"/>
    </row>
    <row r="1109" spans="1:9" x14ac:dyDescent="0.3">
      <c r="A1109" s="7" t="s">
        <v>6526</v>
      </c>
      <c r="B1109" s="7" t="s">
        <v>325</v>
      </c>
      <c r="C1109" s="9">
        <v>46032</v>
      </c>
      <c r="D1109" s="9">
        <v>46062</v>
      </c>
      <c r="E1109" s="3">
        <v>5480.79</v>
      </c>
      <c r="F1109" s="7" t="s">
        <v>367</v>
      </c>
      <c r="H1109" s="9"/>
      <c r="I1109" s="9"/>
    </row>
    <row r="1110" spans="1:9" x14ac:dyDescent="0.3">
      <c r="A1110" s="7" t="s">
        <v>6527</v>
      </c>
      <c r="B1110" s="7" t="s">
        <v>327</v>
      </c>
      <c r="C1110" s="9">
        <v>46038</v>
      </c>
      <c r="D1110" s="9">
        <v>46068</v>
      </c>
      <c r="E1110" s="3">
        <v>4886.49</v>
      </c>
      <c r="F1110" s="7" t="s">
        <v>367</v>
      </c>
      <c r="H1110" s="9"/>
      <c r="I1110" s="9"/>
    </row>
    <row r="1111" spans="1:9" x14ac:dyDescent="0.3">
      <c r="A1111" s="7" t="s">
        <v>6528</v>
      </c>
      <c r="B1111" s="7" t="s">
        <v>317</v>
      </c>
      <c r="C1111" s="9">
        <v>46044</v>
      </c>
      <c r="D1111" s="9">
        <v>46074</v>
      </c>
      <c r="E1111" s="3">
        <v>2923.49</v>
      </c>
      <c r="F1111" s="7" t="s">
        <v>367</v>
      </c>
      <c r="H1111" s="9"/>
      <c r="I1111" s="9"/>
    </row>
    <row r="1112" spans="1:9" x14ac:dyDescent="0.3">
      <c r="A1112" s="7" t="s">
        <v>6529</v>
      </c>
      <c r="B1112" s="7" t="s">
        <v>331</v>
      </c>
      <c r="C1112" s="9">
        <v>46066</v>
      </c>
      <c r="D1112" s="9">
        <v>46096</v>
      </c>
      <c r="E1112" s="3">
        <v>1664.66</v>
      </c>
      <c r="F1112" s="7" t="s">
        <v>367</v>
      </c>
      <c r="H1112" s="9"/>
      <c r="I1112" s="9"/>
    </row>
    <row r="1113" spans="1:9" x14ac:dyDescent="0.3">
      <c r="A1113" s="7" t="s">
        <v>6530</v>
      </c>
      <c r="B1113" s="7" t="s">
        <v>264</v>
      </c>
      <c r="C1113" s="9">
        <v>45991</v>
      </c>
      <c r="D1113" s="9">
        <v>46021</v>
      </c>
      <c r="E1113" s="3">
        <v>5850.06</v>
      </c>
      <c r="F1113" s="7" t="s">
        <v>369</v>
      </c>
      <c r="H1113" s="9"/>
      <c r="I1113" s="9"/>
    </row>
    <row r="1114" spans="1:9" x14ac:dyDescent="0.3">
      <c r="A1114" s="7" t="s">
        <v>6531</v>
      </c>
      <c r="B1114" s="7" t="s">
        <v>319</v>
      </c>
      <c r="C1114" s="9">
        <v>46078</v>
      </c>
      <c r="D1114" s="9">
        <v>46108</v>
      </c>
      <c r="E1114" s="3">
        <v>3236.1</v>
      </c>
      <c r="F1114" s="7" t="s">
        <v>367</v>
      </c>
      <c r="H1114" s="9"/>
      <c r="I1114" s="9"/>
    </row>
    <row r="1115" spans="1:9" x14ac:dyDescent="0.3">
      <c r="A1115" s="7" t="s">
        <v>6532</v>
      </c>
      <c r="B1115" s="7" t="s">
        <v>311</v>
      </c>
      <c r="C1115" s="9">
        <v>46036</v>
      </c>
      <c r="D1115" s="9">
        <v>46066</v>
      </c>
      <c r="E1115" s="3">
        <v>1194.4000000000001</v>
      </c>
      <c r="F1115" s="7" t="s">
        <v>367</v>
      </c>
      <c r="H1115" s="9"/>
      <c r="I1115" s="9"/>
    </row>
    <row r="1116" spans="1:9" x14ac:dyDescent="0.3">
      <c r="A1116" s="7" t="s">
        <v>6533</v>
      </c>
      <c r="B1116" s="7" t="s">
        <v>305</v>
      </c>
      <c r="C1116" s="9">
        <v>45963</v>
      </c>
      <c r="D1116" s="9">
        <v>45993</v>
      </c>
      <c r="E1116" s="3">
        <v>6647.02</v>
      </c>
      <c r="F1116" s="7" t="s">
        <v>367</v>
      </c>
      <c r="H1116" s="9"/>
      <c r="I1116" s="9"/>
    </row>
    <row r="1117" spans="1:9" x14ac:dyDescent="0.3">
      <c r="A1117" s="7" t="s">
        <v>6534</v>
      </c>
      <c r="B1117" s="7" t="s">
        <v>327</v>
      </c>
      <c r="C1117" s="9">
        <v>46060</v>
      </c>
      <c r="D1117" s="9">
        <v>46090</v>
      </c>
      <c r="E1117" s="3">
        <v>6691.13</v>
      </c>
      <c r="F1117" s="7" t="s">
        <v>367</v>
      </c>
      <c r="H1117" s="9"/>
      <c r="I1117" s="9"/>
    </row>
    <row r="1118" spans="1:9" x14ac:dyDescent="0.3">
      <c r="A1118" s="7" t="s">
        <v>6535</v>
      </c>
      <c r="B1118" s="7" t="s">
        <v>313</v>
      </c>
      <c r="C1118" s="9">
        <v>45999</v>
      </c>
      <c r="D1118" s="9">
        <v>46029</v>
      </c>
      <c r="E1118" s="3">
        <v>4604.29</v>
      </c>
      <c r="F1118" s="7" t="s">
        <v>387</v>
      </c>
      <c r="H1118" s="9"/>
      <c r="I1118" s="9"/>
    </row>
    <row r="1119" spans="1:9" x14ac:dyDescent="0.3">
      <c r="A1119" s="7" t="s">
        <v>6536</v>
      </c>
      <c r="B1119" s="7" t="s">
        <v>321</v>
      </c>
      <c r="C1119" s="9">
        <v>46003</v>
      </c>
      <c r="D1119" s="9">
        <v>46033</v>
      </c>
      <c r="E1119" s="3">
        <v>3970.12</v>
      </c>
      <c r="F1119" s="7" t="s">
        <v>367</v>
      </c>
      <c r="H1119" s="9"/>
      <c r="I1119" s="9"/>
    </row>
    <row r="1120" spans="1:9" x14ac:dyDescent="0.3">
      <c r="A1120" s="7" t="s">
        <v>6537</v>
      </c>
      <c r="B1120" s="7" t="s">
        <v>299</v>
      </c>
      <c r="C1120" s="9">
        <v>46072</v>
      </c>
      <c r="D1120" s="9">
        <v>46102</v>
      </c>
      <c r="E1120" s="3">
        <v>5847.7</v>
      </c>
      <c r="F1120" s="7" t="s">
        <v>367</v>
      </c>
      <c r="H1120" s="9"/>
      <c r="I1120" s="9"/>
    </row>
    <row r="1121" spans="1:9" x14ac:dyDescent="0.3">
      <c r="A1121" s="7" t="s">
        <v>6538</v>
      </c>
      <c r="B1121" s="7" t="s">
        <v>279</v>
      </c>
      <c r="C1121" s="9">
        <v>45990</v>
      </c>
      <c r="D1121" s="9">
        <v>46020</v>
      </c>
      <c r="E1121" s="3">
        <v>934.42</v>
      </c>
      <c r="F1121" s="7" t="s">
        <v>367</v>
      </c>
      <c r="H1121" s="9"/>
      <c r="I1121" s="9"/>
    </row>
    <row r="1122" spans="1:9" x14ac:dyDescent="0.3">
      <c r="A1122" s="7" t="s">
        <v>6539</v>
      </c>
      <c r="B1122" s="7" t="s">
        <v>261</v>
      </c>
      <c r="C1122" s="9">
        <v>45980</v>
      </c>
      <c r="D1122" s="9">
        <v>46010</v>
      </c>
      <c r="E1122" s="3">
        <v>6743.16</v>
      </c>
      <c r="F1122" s="7" t="s">
        <v>367</v>
      </c>
      <c r="H1122" s="9"/>
      <c r="I1122" s="9"/>
    </row>
    <row r="1123" spans="1:9" x14ac:dyDescent="0.3">
      <c r="A1123" s="7" t="s">
        <v>6540</v>
      </c>
      <c r="B1123" s="7" t="s">
        <v>305</v>
      </c>
      <c r="C1123" s="9">
        <v>45987</v>
      </c>
      <c r="D1123" s="9">
        <v>46017</v>
      </c>
      <c r="E1123" s="3">
        <v>3175.08</v>
      </c>
      <c r="F1123" s="7" t="s">
        <v>369</v>
      </c>
      <c r="H1123" s="9"/>
      <c r="I1123" s="9"/>
    </row>
    <row r="1124" spans="1:9" x14ac:dyDescent="0.3">
      <c r="A1124" s="7" t="s">
        <v>6541</v>
      </c>
      <c r="B1124" s="7" t="s">
        <v>283</v>
      </c>
      <c r="C1124" s="9">
        <v>46063</v>
      </c>
      <c r="D1124" s="9">
        <v>46093</v>
      </c>
      <c r="E1124" s="3">
        <v>5874.23</v>
      </c>
      <c r="F1124" s="7" t="s">
        <v>367</v>
      </c>
      <c r="H1124" s="9"/>
      <c r="I1124" s="9"/>
    </row>
    <row r="1125" spans="1:9" x14ac:dyDescent="0.3">
      <c r="A1125" s="7" t="s">
        <v>6542</v>
      </c>
      <c r="B1125" s="7" t="s">
        <v>321</v>
      </c>
      <c r="C1125" s="9">
        <v>46022</v>
      </c>
      <c r="D1125" s="9">
        <v>46052</v>
      </c>
      <c r="E1125" s="3">
        <v>6230.06</v>
      </c>
      <c r="F1125" s="7" t="s">
        <v>369</v>
      </c>
      <c r="H1125" s="9"/>
      <c r="I1125" s="9"/>
    </row>
    <row r="1126" spans="1:9" x14ac:dyDescent="0.3">
      <c r="A1126" s="7" t="s">
        <v>6543</v>
      </c>
      <c r="B1126" s="7" t="s">
        <v>293</v>
      </c>
      <c r="C1126" s="9">
        <v>46047</v>
      </c>
      <c r="D1126" s="9">
        <v>46077</v>
      </c>
      <c r="E1126" s="3">
        <v>5386.11</v>
      </c>
      <c r="F1126" s="7" t="s">
        <v>369</v>
      </c>
      <c r="H1126" s="9"/>
      <c r="I1126" s="9"/>
    </row>
    <row r="1127" spans="1:9" x14ac:dyDescent="0.3">
      <c r="A1127" s="7" t="s">
        <v>6544</v>
      </c>
      <c r="B1127" s="7" t="s">
        <v>339</v>
      </c>
      <c r="C1127" s="9">
        <v>46012</v>
      </c>
      <c r="D1127" s="9">
        <v>46042</v>
      </c>
      <c r="E1127" s="3">
        <v>5621.28</v>
      </c>
      <c r="F1127" s="7" t="s">
        <v>367</v>
      </c>
      <c r="H1127" s="9"/>
      <c r="I1127" s="9"/>
    </row>
    <row r="1128" spans="1:9" x14ac:dyDescent="0.3">
      <c r="A1128" s="7" t="s">
        <v>6545</v>
      </c>
      <c r="B1128" s="7" t="s">
        <v>281</v>
      </c>
      <c r="C1128" s="9">
        <v>46015</v>
      </c>
      <c r="D1128" s="9">
        <v>46045</v>
      </c>
      <c r="E1128" s="3">
        <v>1252.29</v>
      </c>
      <c r="F1128" s="7" t="s">
        <v>367</v>
      </c>
      <c r="H1128" s="9"/>
      <c r="I1128" s="9"/>
    </row>
    <row r="1129" spans="1:9" x14ac:dyDescent="0.3">
      <c r="A1129" s="7" t="s">
        <v>6546</v>
      </c>
      <c r="B1129" s="7" t="s">
        <v>311</v>
      </c>
      <c r="C1129" s="9">
        <v>45973</v>
      </c>
      <c r="D1129" s="9">
        <v>46003</v>
      </c>
      <c r="E1129" s="3">
        <v>6386.41</v>
      </c>
      <c r="F1129" s="7" t="s">
        <v>367</v>
      </c>
      <c r="H1129" s="9"/>
      <c r="I1129" s="9"/>
    </row>
    <row r="1130" spans="1:9" x14ac:dyDescent="0.3">
      <c r="A1130" s="7" t="s">
        <v>6547</v>
      </c>
      <c r="B1130" s="7" t="s">
        <v>301</v>
      </c>
      <c r="C1130" s="9">
        <v>45986</v>
      </c>
      <c r="D1130" s="9">
        <v>46016</v>
      </c>
      <c r="E1130" s="3">
        <v>6336.47</v>
      </c>
      <c r="F1130" s="7" t="s">
        <v>367</v>
      </c>
      <c r="H1130" s="9"/>
      <c r="I1130" s="9"/>
    </row>
    <row r="1131" spans="1:9" x14ac:dyDescent="0.3">
      <c r="A1131" s="7" t="s">
        <v>6548</v>
      </c>
      <c r="B1131" s="7" t="s">
        <v>261</v>
      </c>
      <c r="C1131" s="9">
        <v>46030</v>
      </c>
      <c r="D1131" s="9">
        <v>46060</v>
      </c>
      <c r="E1131" s="3">
        <v>2578.62</v>
      </c>
      <c r="F1131" s="7" t="s">
        <v>367</v>
      </c>
      <c r="H1131" s="9"/>
      <c r="I1131" s="9"/>
    </row>
    <row r="1132" spans="1:9" x14ac:dyDescent="0.3">
      <c r="A1132" s="7" t="s">
        <v>6549</v>
      </c>
      <c r="B1132" s="7" t="s">
        <v>337</v>
      </c>
      <c r="C1132" s="9">
        <v>45962</v>
      </c>
      <c r="D1132" s="9">
        <v>45992</v>
      </c>
      <c r="E1132" s="3">
        <v>3674.57</v>
      </c>
      <c r="F1132" s="7" t="s">
        <v>369</v>
      </c>
      <c r="H1132" s="9"/>
      <c r="I1132" s="9"/>
    </row>
    <row r="1133" spans="1:9" x14ac:dyDescent="0.3">
      <c r="A1133" s="7" t="s">
        <v>6550</v>
      </c>
      <c r="B1133" s="7" t="s">
        <v>331</v>
      </c>
      <c r="C1133" s="9">
        <v>45985</v>
      </c>
      <c r="D1133" s="9">
        <v>46015</v>
      </c>
      <c r="E1133" s="3">
        <v>2606.1</v>
      </c>
      <c r="F1133" s="7" t="s">
        <v>367</v>
      </c>
      <c r="H1133" s="9"/>
      <c r="I1133" s="9"/>
    </row>
    <row r="1134" spans="1:9" x14ac:dyDescent="0.3">
      <c r="A1134" s="7" t="s">
        <v>6551</v>
      </c>
      <c r="B1134" s="7" t="s">
        <v>291</v>
      </c>
      <c r="C1134" s="9">
        <v>46062</v>
      </c>
      <c r="D1134" s="9">
        <v>46092</v>
      </c>
      <c r="E1134" s="3">
        <v>2227.11</v>
      </c>
      <c r="F1134" s="7" t="s">
        <v>367</v>
      </c>
      <c r="H1134" s="9"/>
      <c r="I1134" s="9"/>
    </row>
    <row r="1135" spans="1:9" x14ac:dyDescent="0.3">
      <c r="A1135" s="7" t="s">
        <v>6552</v>
      </c>
      <c r="B1135" s="7" t="s">
        <v>301</v>
      </c>
      <c r="C1135" s="9">
        <v>46014</v>
      </c>
      <c r="D1135" s="9">
        <v>46044</v>
      </c>
      <c r="E1135" s="3">
        <v>3607.26</v>
      </c>
      <c r="F1135" s="7" t="s">
        <v>367</v>
      </c>
      <c r="H1135" s="9"/>
      <c r="I1135" s="9"/>
    </row>
    <row r="1136" spans="1:9" x14ac:dyDescent="0.3">
      <c r="A1136" s="7" t="s">
        <v>6553</v>
      </c>
      <c r="B1136" s="7" t="s">
        <v>289</v>
      </c>
      <c r="C1136" s="9">
        <v>46047</v>
      </c>
      <c r="D1136" s="9">
        <v>46077</v>
      </c>
      <c r="E1136" s="3">
        <v>3557.19</v>
      </c>
      <c r="F1136" s="7" t="s">
        <v>369</v>
      </c>
      <c r="H1136" s="9"/>
      <c r="I1136" s="9"/>
    </row>
    <row r="1137" spans="1:9" x14ac:dyDescent="0.3">
      <c r="A1137" s="7" t="s">
        <v>6554</v>
      </c>
      <c r="B1137" s="7" t="s">
        <v>269</v>
      </c>
      <c r="C1137" s="9">
        <v>46073</v>
      </c>
      <c r="D1137" s="9">
        <v>46103</v>
      </c>
      <c r="E1137" s="3">
        <v>6544.08</v>
      </c>
      <c r="F1137" s="7" t="s">
        <v>367</v>
      </c>
      <c r="H1137" s="9"/>
      <c r="I1137" s="9"/>
    </row>
    <row r="1138" spans="1:9" x14ac:dyDescent="0.3">
      <c r="A1138" s="7" t="s">
        <v>6555</v>
      </c>
      <c r="B1138" s="7" t="s">
        <v>272</v>
      </c>
      <c r="C1138" s="9">
        <v>46077</v>
      </c>
      <c r="D1138" s="9">
        <v>46107</v>
      </c>
      <c r="E1138" s="3">
        <v>5250.16</v>
      </c>
      <c r="F1138" s="7" t="s">
        <v>367</v>
      </c>
      <c r="H1138" s="9"/>
      <c r="I1138" s="9"/>
    </row>
    <row r="1139" spans="1:9" x14ac:dyDescent="0.3">
      <c r="A1139" s="7" t="s">
        <v>6556</v>
      </c>
      <c r="B1139" s="7" t="s">
        <v>321</v>
      </c>
      <c r="C1139" s="9">
        <v>45980</v>
      </c>
      <c r="D1139" s="9">
        <v>46010</v>
      </c>
      <c r="E1139" s="3">
        <v>872.85</v>
      </c>
      <c r="F1139" s="7" t="s">
        <v>367</v>
      </c>
      <c r="H1139" s="9"/>
      <c r="I1139" s="9"/>
    </row>
    <row r="1140" spans="1:9" x14ac:dyDescent="0.3">
      <c r="A1140" s="7" t="s">
        <v>6557</v>
      </c>
      <c r="B1140" s="7" t="s">
        <v>281</v>
      </c>
      <c r="C1140" s="9">
        <v>46016</v>
      </c>
      <c r="D1140" s="9">
        <v>46046</v>
      </c>
      <c r="E1140" s="3">
        <v>6061.95</v>
      </c>
      <c r="F1140" s="7" t="s">
        <v>369</v>
      </c>
      <c r="H1140" s="9"/>
      <c r="I1140" s="9"/>
    </row>
    <row r="1141" spans="1:9" x14ac:dyDescent="0.3">
      <c r="A1141" s="7" t="s">
        <v>6558</v>
      </c>
      <c r="B1141" s="7" t="s">
        <v>319</v>
      </c>
      <c r="C1141" s="9">
        <v>46034</v>
      </c>
      <c r="D1141" s="9">
        <v>46064</v>
      </c>
      <c r="E1141" s="3">
        <v>2042.86</v>
      </c>
      <c r="F1141" s="7" t="s">
        <v>367</v>
      </c>
      <c r="H1141" s="9"/>
      <c r="I1141" s="9"/>
    </row>
    <row r="1142" spans="1:9" x14ac:dyDescent="0.3">
      <c r="A1142" s="7" t="s">
        <v>6559</v>
      </c>
      <c r="B1142" s="7" t="s">
        <v>264</v>
      </c>
      <c r="C1142" s="9">
        <v>46046</v>
      </c>
      <c r="D1142" s="9">
        <v>46076</v>
      </c>
      <c r="E1142" s="3">
        <v>5894.58</v>
      </c>
      <c r="F1142" s="7" t="s">
        <v>369</v>
      </c>
      <c r="H1142" s="9"/>
      <c r="I1142" s="9"/>
    </row>
    <row r="1143" spans="1:9" x14ac:dyDescent="0.3">
      <c r="A1143" s="7" t="s">
        <v>6560</v>
      </c>
      <c r="B1143" s="7" t="s">
        <v>331</v>
      </c>
      <c r="C1143" s="9">
        <v>46010</v>
      </c>
      <c r="D1143" s="9">
        <v>46040</v>
      </c>
      <c r="E1143" s="3">
        <v>2611.5</v>
      </c>
      <c r="F1143" s="7" t="s">
        <v>369</v>
      </c>
      <c r="H1143" s="9"/>
      <c r="I1143" s="9"/>
    </row>
    <row r="1144" spans="1:9" x14ac:dyDescent="0.3">
      <c r="A1144" s="7" t="s">
        <v>6561</v>
      </c>
      <c r="B1144" s="7" t="s">
        <v>297</v>
      </c>
      <c r="C1144" s="9">
        <v>46044</v>
      </c>
      <c r="D1144" s="9">
        <v>46074</v>
      </c>
      <c r="E1144" s="3">
        <v>5594.06</v>
      </c>
      <c r="F1144" s="7" t="s">
        <v>369</v>
      </c>
      <c r="H1144" s="9"/>
      <c r="I1144" s="9"/>
    </row>
    <row r="1145" spans="1:9" x14ac:dyDescent="0.3">
      <c r="A1145" s="7" t="s">
        <v>6562</v>
      </c>
      <c r="B1145" s="7" t="s">
        <v>291</v>
      </c>
      <c r="C1145" s="9">
        <v>46016</v>
      </c>
      <c r="D1145" s="9">
        <v>46046</v>
      </c>
      <c r="E1145" s="3">
        <v>3421.73</v>
      </c>
      <c r="F1145" s="7" t="s">
        <v>367</v>
      </c>
      <c r="H1145" s="9"/>
      <c r="I1145" s="9"/>
    </row>
    <row r="1146" spans="1:9" x14ac:dyDescent="0.3">
      <c r="A1146" s="7" t="s">
        <v>6563</v>
      </c>
      <c r="B1146" s="7" t="s">
        <v>264</v>
      </c>
      <c r="C1146" s="9">
        <v>46082</v>
      </c>
      <c r="D1146" s="9">
        <v>46112</v>
      </c>
      <c r="E1146" s="3">
        <v>6671.38</v>
      </c>
      <c r="F1146" s="7" t="s">
        <v>367</v>
      </c>
      <c r="H1146" s="9"/>
      <c r="I1146" s="9"/>
    </row>
    <row r="1147" spans="1:9" x14ac:dyDescent="0.3">
      <c r="A1147" s="7" t="s">
        <v>6564</v>
      </c>
      <c r="B1147" s="7" t="s">
        <v>341</v>
      </c>
      <c r="C1147" s="9">
        <v>46075</v>
      </c>
      <c r="D1147" s="9">
        <v>46105</v>
      </c>
      <c r="E1147" s="3">
        <v>3313.92</v>
      </c>
      <c r="F1147" s="7" t="s">
        <v>369</v>
      </c>
      <c r="H1147" s="9"/>
      <c r="I1147" s="9"/>
    </row>
    <row r="1148" spans="1:9" x14ac:dyDescent="0.3">
      <c r="A1148" s="7" t="s">
        <v>6565</v>
      </c>
      <c r="B1148" s="7" t="s">
        <v>291</v>
      </c>
      <c r="C1148" s="9">
        <v>46052</v>
      </c>
      <c r="D1148" s="9">
        <v>46082</v>
      </c>
      <c r="E1148" s="3">
        <v>3163.38</v>
      </c>
      <c r="F1148" s="7" t="s">
        <v>369</v>
      </c>
      <c r="H1148" s="9"/>
      <c r="I1148" s="9"/>
    </row>
    <row r="1149" spans="1:9" x14ac:dyDescent="0.3">
      <c r="A1149" s="7" t="s">
        <v>6566</v>
      </c>
      <c r="B1149" s="7" t="s">
        <v>297</v>
      </c>
      <c r="C1149" s="9">
        <v>46091</v>
      </c>
      <c r="D1149" s="9">
        <v>46121</v>
      </c>
      <c r="E1149" s="3">
        <v>4560.8599999999997</v>
      </c>
      <c r="F1149" s="7" t="s">
        <v>367</v>
      </c>
      <c r="H1149" s="9"/>
      <c r="I1149" s="9"/>
    </row>
    <row r="1150" spans="1:9" x14ac:dyDescent="0.3">
      <c r="A1150" s="7" t="s">
        <v>6567</v>
      </c>
      <c r="B1150" s="7" t="s">
        <v>281</v>
      </c>
      <c r="C1150" s="9">
        <v>45968</v>
      </c>
      <c r="D1150" s="9">
        <v>45998</v>
      </c>
      <c r="E1150" s="3">
        <v>948.97</v>
      </c>
      <c r="F1150" s="7" t="s">
        <v>387</v>
      </c>
      <c r="H1150" s="9"/>
      <c r="I1150" s="9"/>
    </row>
    <row r="1151" spans="1:9" x14ac:dyDescent="0.3">
      <c r="A1151" s="7" t="s">
        <v>6568</v>
      </c>
      <c r="B1151" s="7" t="s">
        <v>337</v>
      </c>
      <c r="C1151" s="9">
        <v>46017</v>
      </c>
      <c r="D1151" s="9">
        <v>46047</v>
      </c>
      <c r="E1151" s="3">
        <v>5234.1899999999996</v>
      </c>
      <c r="F1151" s="7" t="s">
        <v>367</v>
      </c>
      <c r="H1151" s="9"/>
      <c r="I1151" s="9"/>
    </row>
    <row r="1152" spans="1:9" x14ac:dyDescent="0.3">
      <c r="A1152" s="7" t="s">
        <v>6569</v>
      </c>
      <c r="B1152" s="7" t="s">
        <v>283</v>
      </c>
      <c r="C1152" s="9">
        <v>46050</v>
      </c>
      <c r="D1152" s="9">
        <v>46080</v>
      </c>
      <c r="E1152" s="3">
        <v>2421.62</v>
      </c>
      <c r="F1152" s="7" t="s">
        <v>367</v>
      </c>
      <c r="H1152" s="9"/>
      <c r="I1152" s="9"/>
    </row>
    <row r="1153" spans="1:9" x14ac:dyDescent="0.3">
      <c r="A1153" s="7" t="s">
        <v>6570</v>
      </c>
      <c r="B1153" s="7" t="s">
        <v>337</v>
      </c>
      <c r="C1153" s="9">
        <v>46018</v>
      </c>
      <c r="D1153" s="9">
        <v>46048</v>
      </c>
      <c r="E1153" s="3">
        <v>6569.28</v>
      </c>
      <c r="F1153" s="7" t="s">
        <v>367</v>
      </c>
      <c r="H1153" s="9"/>
      <c r="I1153" s="9"/>
    </row>
    <row r="1154" spans="1:9" x14ac:dyDescent="0.3">
      <c r="A1154" s="7" t="s">
        <v>6571</v>
      </c>
      <c r="B1154" s="7" t="s">
        <v>261</v>
      </c>
      <c r="C1154" s="9">
        <v>46043</v>
      </c>
      <c r="D1154" s="9">
        <v>46073</v>
      </c>
      <c r="E1154" s="3">
        <v>1280.1600000000001</v>
      </c>
      <c r="F1154" s="7" t="s">
        <v>369</v>
      </c>
      <c r="H1154" s="9"/>
      <c r="I1154" s="9"/>
    </row>
    <row r="1155" spans="1:9" x14ac:dyDescent="0.3">
      <c r="A1155" s="7" t="s">
        <v>6572</v>
      </c>
      <c r="B1155" s="7" t="s">
        <v>279</v>
      </c>
      <c r="C1155" s="9">
        <v>46064</v>
      </c>
      <c r="D1155" s="9">
        <v>46094</v>
      </c>
      <c r="E1155" s="3">
        <v>3746.2</v>
      </c>
      <c r="F1155" s="7" t="s">
        <v>369</v>
      </c>
      <c r="H1155" s="9"/>
      <c r="I1155" s="9"/>
    </row>
    <row r="1156" spans="1:9" x14ac:dyDescent="0.3">
      <c r="A1156" s="7" t="s">
        <v>6573</v>
      </c>
      <c r="B1156" s="7" t="s">
        <v>269</v>
      </c>
      <c r="C1156" s="9">
        <v>46007</v>
      </c>
      <c r="D1156" s="9">
        <v>46037</v>
      </c>
      <c r="E1156" s="3">
        <v>4153.54</v>
      </c>
      <c r="F1156" s="7" t="s">
        <v>367</v>
      </c>
      <c r="H1156" s="9"/>
      <c r="I1156" s="9"/>
    </row>
    <row r="1157" spans="1:9" x14ac:dyDescent="0.3">
      <c r="A1157" s="7" t="s">
        <v>6574</v>
      </c>
      <c r="B1157" s="7" t="s">
        <v>329</v>
      </c>
      <c r="C1157" s="9">
        <v>46027</v>
      </c>
      <c r="D1157" s="9">
        <v>46057</v>
      </c>
      <c r="E1157" s="3">
        <v>4377.88</v>
      </c>
      <c r="F1157" s="7" t="s">
        <v>369</v>
      </c>
      <c r="H1157" s="9"/>
      <c r="I1157" s="9"/>
    </row>
    <row r="1158" spans="1:9" x14ac:dyDescent="0.3">
      <c r="A1158" s="7" t="s">
        <v>6575</v>
      </c>
      <c r="B1158" s="7" t="s">
        <v>301</v>
      </c>
      <c r="C1158" s="9">
        <v>45968</v>
      </c>
      <c r="D1158" s="9">
        <v>45998</v>
      </c>
      <c r="E1158" s="3">
        <v>2382.7399999999998</v>
      </c>
      <c r="F1158" s="7" t="s">
        <v>367</v>
      </c>
      <c r="H1158" s="9"/>
      <c r="I1158" s="9"/>
    </row>
    <row r="1159" spans="1:9" x14ac:dyDescent="0.3">
      <c r="A1159" s="7" t="s">
        <v>6576</v>
      </c>
      <c r="B1159" s="7" t="s">
        <v>299</v>
      </c>
      <c r="C1159" s="9">
        <v>45991</v>
      </c>
      <c r="D1159" s="9">
        <v>46021</v>
      </c>
      <c r="E1159" s="3">
        <v>2300.34</v>
      </c>
      <c r="F1159" s="7" t="s">
        <v>367</v>
      </c>
      <c r="H1159" s="9"/>
      <c r="I1159" s="9"/>
    </row>
    <row r="1160" spans="1:9" x14ac:dyDescent="0.3">
      <c r="A1160" s="7" t="s">
        <v>6577</v>
      </c>
      <c r="B1160" s="7" t="s">
        <v>307</v>
      </c>
      <c r="C1160" s="9">
        <v>45973</v>
      </c>
      <c r="D1160" s="9">
        <v>46003</v>
      </c>
      <c r="E1160" s="3">
        <v>1270.26</v>
      </c>
      <c r="F1160" s="7" t="s">
        <v>367</v>
      </c>
      <c r="H1160" s="9"/>
      <c r="I1160" s="9"/>
    </row>
    <row r="1161" spans="1:9" x14ac:dyDescent="0.3">
      <c r="A1161" s="7" t="s">
        <v>6578</v>
      </c>
      <c r="B1161" s="7" t="s">
        <v>331</v>
      </c>
      <c r="C1161" s="9">
        <v>46085</v>
      </c>
      <c r="D1161" s="9">
        <v>46115</v>
      </c>
      <c r="E1161" s="3">
        <v>4732.6899999999996</v>
      </c>
      <c r="F1161" s="7" t="s">
        <v>367</v>
      </c>
      <c r="H1161" s="9"/>
      <c r="I1161" s="9"/>
    </row>
    <row r="1162" spans="1:9" x14ac:dyDescent="0.3">
      <c r="A1162" s="7" t="s">
        <v>6579</v>
      </c>
      <c r="B1162" s="7" t="s">
        <v>291</v>
      </c>
      <c r="C1162" s="9">
        <v>46086</v>
      </c>
      <c r="D1162" s="9">
        <v>46116</v>
      </c>
      <c r="E1162" s="3">
        <v>3759.33</v>
      </c>
      <c r="F1162" s="7" t="s">
        <v>367</v>
      </c>
      <c r="H1162" s="9"/>
      <c r="I1162" s="9"/>
    </row>
    <row r="1163" spans="1:9" x14ac:dyDescent="0.3">
      <c r="A1163" s="7" t="s">
        <v>6580</v>
      </c>
      <c r="B1163" s="7" t="s">
        <v>269</v>
      </c>
      <c r="C1163" s="9">
        <v>46054</v>
      </c>
      <c r="D1163" s="9">
        <v>46084</v>
      </c>
      <c r="E1163" s="3">
        <v>2021.93</v>
      </c>
      <c r="F1163" s="7" t="s">
        <v>367</v>
      </c>
      <c r="H1163" s="9"/>
      <c r="I1163" s="9"/>
    </row>
    <row r="1164" spans="1:9" x14ac:dyDescent="0.3">
      <c r="A1164" s="7" t="s">
        <v>6581</v>
      </c>
      <c r="B1164" s="7" t="s">
        <v>315</v>
      </c>
      <c r="C1164" s="9">
        <v>46007</v>
      </c>
      <c r="D1164" s="9">
        <v>46037</v>
      </c>
      <c r="E1164" s="3">
        <v>4001.18</v>
      </c>
      <c r="F1164" s="7" t="s">
        <v>367</v>
      </c>
      <c r="H1164" s="9"/>
      <c r="I1164" s="9"/>
    </row>
    <row r="1165" spans="1:9" x14ac:dyDescent="0.3">
      <c r="A1165" s="7" t="s">
        <v>6582</v>
      </c>
      <c r="B1165" s="7" t="s">
        <v>279</v>
      </c>
      <c r="C1165" s="9">
        <v>46041</v>
      </c>
      <c r="D1165" s="9">
        <v>46071</v>
      </c>
      <c r="E1165" s="3">
        <v>3819.76</v>
      </c>
      <c r="F1165" s="7" t="s">
        <v>369</v>
      </c>
      <c r="H1165" s="9"/>
      <c r="I1165" s="9"/>
    </row>
    <row r="1166" spans="1:9" x14ac:dyDescent="0.3">
      <c r="A1166" s="7" t="s">
        <v>6583</v>
      </c>
      <c r="B1166" s="7" t="s">
        <v>267</v>
      </c>
      <c r="C1166" s="9">
        <v>46035</v>
      </c>
      <c r="D1166" s="9">
        <v>46065</v>
      </c>
      <c r="E1166" s="3">
        <v>1365.51</v>
      </c>
      <c r="F1166" s="7" t="s">
        <v>369</v>
      </c>
      <c r="H1166" s="9"/>
      <c r="I1166" s="9"/>
    </row>
    <row r="1167" spans="1:9" x14ac:dyDescent="0.3">
      <c r="A1167" s="7" t="s">
        <v>6584</v>
      </c>
      <c r="B1167" s="7" t="s">
        <v>323</v>
      </c>
      <c r="C1167" s="9">
        <v>46081</v>
      </c>
      <c r="D1167" s="9">
        <v>46111</v>
      </c>
      <c r="E1167" s="3">
        <v>5699.92</v>
      </c>
      <c r="F1167" s="7" t="s">
        <v>367</v>
      </c>
      <c r="H1167" s="9"/>
      <c r="I1167" s="9"/>
    </row>
    <row r="1168" spans="1:9" x14ac:dyDescent="0.3">
      <c r="A1168" s="7" t="s">
        <v>6585</v>
      </c>
      <c r="B1168" s="7" t="s">
        <v>331</v>
      </c>
      <c r="C1168" s="9">
        <v>46036</v>
      </c>
      <c r="D1168" s="9">
        <v>46066</v>
      </c>
      <c r="E1168" s="3">
        <v>5102.2700000000004</v>
      </c>
      <c r="F1168" s="7" t="s">
        <v>367</v>
      </c>
      <c r="H1168" s="9"/>
      <c r="I1168" s="9"/>
    </row>
    <row r="1169" spans="1:9" x14ac:dyDescent="0.3">
      <c r="A1169" s="7" t="s">
        <v>6586</v>
      </c>
      <c r="B1169" s="7" t="s">
        <v>276</v>
      </c>
      <c r="C1169" s="9">
        <v>46007</v>
      </c>
      <c r="D1169" s="9">
        <v>46037</v>
      </c>
      <c r="E1169" s="3">
        <v>3502.78</v>
      </c>
      <c r="F1169" s="7" t="s">
        <v>367</v>
      </c>
      <c r="H1169" s="9"/>
      <c r="I1169" s="9"/>
    </row>
    <row r="1170" spans="1:9" x14ac:dyDescent="0.3">
      <c r="A1170" s="7" t="s">
        <v>6587</v>
      </c>
      <c r="B1170" s="7" t="s">
        <v>319</v>
      </c>
      <c r="C1170" s="9">
        <v>45987</v>
      </c>
      <c r="D1170" s="9">
        <v>46017</v>
      </c>
      <c r="E1170" s="3">
        <v>6881.91</v>
      </c>
      <c r="F1170" s="7" t="s">
        <v>367</v>
      </c>
      <c r="H1170" s="9"/>
      <c r="I1170" s="9"/>
    </row>
    <row r="1171" spans="1:9" x14ac:dyDescent="0.3">
      <c r="A1171" s="7" t="s">
        <v>6588</v>
      </c>
      <c r="B1171" s="7" t="s">
        <v>274</v>
      </c>
      <c r="C1171" s="9">
        <v>46012</v>
      </c>
      <c r="D1171" s="9">
        <v>46042</v>
      </c>
      <c r="E1171" s="3">
        <v>4326.25</v>
      </c>
      <c r="F1171" s="7" t="s">
        <v>367</v>
      </c>
      <c r="H1171" s="9"/>
      <c r="I1171" s="9"/>
    </row>
    <row r="1172" spans="1:9" x14ac:dyDescent="0.3">
      <c r="A1172" s="7" t="s">
        <v>6589</v>
      </c>
      <c r="B1172" s="7" t="s">
        <v>321</v>
      </c>
      <c r="C1172" s="9">
        <v>46072</v>
      </c>
      <c r="D1172" s="9">
        <v>46102</v>
      </c>
      <c r="E1172" s="3">
        <v>3008.74</v>
      </c>
      <c r="F1172" s="7" t="s">
        <v>369</v>
      </c>
      <c r="H1172" s="9"/>
      <c r="I1172" s="9"/>
    </row>
    <row r="1173" spans="1:9" x14ac:dyDescent="0.3">
      <c r="A1173" s="7" t="s">
        <v>6590</v>
      </c>
      <c r="B1173" s="7" t="s">
        <v>289</v>
      </c>
      <c r="C1173" s="9">
        <v>46084</v>
      </c>
      <c r="D1173" s="9">
        <v>46114</v>
      </c>
      <c r="E1173" s="3">
        <v>1790.95</v>
      </c>
      <c r="F1173" s="7" t="s">
        <v>367</v>
      </c>
      <c r="H1173" s="9"/>
      <c r="I1173" s="9"/>
    </row>
    <row r="1174" spans="1:9" x14ac:dyDescent="0.3">
      <c r="A1174" s="7" t="s">
        <v>6591</v>
      </c>
      <c r="B1174" s="7" t="s">
        <v>305</v>
      </c>
      <c r="C1174" s="9">
        <v>46052</v>
      </c>
      <c r="D1174" s="9">
        <v>46082</v>
      </c>
      <c r="E1174" s="3">
        <v>6161.99</v>
      </c>
      <c r="F1174" s="7" t="s">
        <v>367</v>
      </c>
      <c r="H1174" s="9"/>
      <c r="I1174" s="9"/>
    </row>
    <row r="1175" spans="1:9" x14ac:dyDescent="0.3">
      <c r="A1175" s="7" t="s">
        <v>6592</v>
      </c>
      <c r="B1175" s="7" t="s">
        <v>311</v>
      </c>
      <c r="C1175" s="9">
        <v>45997</v>
      </c>
      <c r="D1175" s="9">
        <v>46027</v>
      </c>
      <c r="E1175" s="3">
        <v>1975.47</v>
      </c>
      <c r="F1175" s="7" t="s">
        <v>367</v>
      </c>
      <c r="H1175" s="9"/>
      <c r="I1175" s="9"/>
    </row>
    <row r="1176" spans="1:9" x14ac:dyDescent="0.3">
      <c r="A1176" s="7" t="s">
        <v>6593</v>
      </c>
      <c r="B1176" s="7" t="s">
        <v>339</v>
      </c>
      <c r="C1176" s="9">
        <v>46006</v>
      </c>
      <c r="D1176" s="9">
        <v>46036</v>
      </c>
      <c r="E1176" s="3">
        <v>2956.22</v>
      </c>
      <c r="F1176" s="7" t="s">
        <v>367</v>
      </c>
      <c r="H1176" s="9"/>
      <c r="I1176" s="9"/>
    </row>
    <row r="1177" spans="1:9" x14ac:dyDescent="0.3">
      <c r="A1177" s="7" t="s">
        <v>6594</v>
      </c>
      <c r="B1177" s="7" t="s">
        <v>333</v>
      </c>
      <c r="C1177" s="9">
        <v>46010</v>
      </c>
      <c r="D1177" s="9">
        <v>46040</v>
      </c>
      <c r="E1177" s="3">
        <v>3091.63</v>
      </c>
      <c r="F1177" s="7" t="s">
        <v>367</v>
      </c>
      <c r="H1177" s="9"/>
      <c r="I1177" s="9"/>
    </row>
    <row r="1178" spans="1:9" x14ac:dyDescent="0.3">
      <c r="A1178" s="7" t="s">
        <v>6595</v>
      </c>
      <c r="B1178" s="7" t="s">
        <v>339</v>
      </c>
      <c r="C1178" s="9">
        <v>46074</v>
      </c>
      <c r="D1178" s="9">
        <v>46104</v>
      </c>
      <c r="E1178" s="3">
        <v>4868.03</v>
      </c>
      <c r="F1178" s="7" t="s">
        <v>369</v>
      </c>
      <c r="H1178" s="9"/>
      <c r="I1178" s="9"/>
    </row>
    <row r="1179" spans="1:9" x14ac:dyDescent="0.3">
      <c r="A1179" s="7" t="s">
        <v>6596</v>
      </c>
      <c r="B1179" s="7" t="s">
        <v>301</v>
      </c>
      <c r="C1179" s="9">
        <v>46005</v>
      </c>
      <c r="D1179" s="9">
        <v>46035</v>
      </c>
      <c r="E1179" s="3">
        <v>1787.18</v>
      </c>
      <c r="F1179" s="7" t="s">
        <v>367</v>
      </c>
      <c r="H1179" s="9"/>
      <c r="I1179" s="9"/>
    </row>
    <row r="1180" spans="1:9" x14ac:dyDescent="0.3">
      <c r="A1180" s="7" t="s">
        <v>6597</v>
      </c>
      <c r="B1180" s="7" t="s">
        <v>323</v>
      </c>
      <c r="C1180" s="9">
        <v>46050</v>
      </c>
      <c r="D1180" s="9">
        <v>46080</v>
      </c>
      <c r="E1180" s="3">
        <v>6413.61</v>
      </c>
      <c r="F1180" s="7" t="s">
        <v>369</v>
      </c>
      <c r="H1180" s="9"/>
      <c r="I1180" s="9"/>
    </row>
    <row r="1181" spans="1:9" x14ac:dyDescent="0.3">
      <c r="A1181" s="7" t="s">
        <v>6598</v>
      </c>
      <c r="B1181" s="7" t="s">
        <v>267</v>
      </c>
      <c r="C1181" s="9">
        <v>45988</v>
      </c>
      <c r="D1181" s="9">
        <v>46018</v>
      </c>
      <c r="E1181" s="3">
        <v>1212.52</v>
      </c>
      <c r="F1181" s="7" t="s">
        <v>367</v>
      </c>
      <c r="H1181" s="9"/>
      <c r="I1181" s="9"/>
    </row>
    <row r="1182" spans="1:9" x14ac:dyDescent="0.3">
      <c r="A1182" s="7" t="s">
        <v>6599</v>
      </c>
      <c r="B1182" s="7" t="s">
        <v>319</v>
      </c>
      <c r="C1182" s="9">
        <v>46032</v>
      </c>
      <c r="D1182" s="9">
        <v>46062</v>
      </c>
      <c r="E1182" s="3">
        <v>3452.09</v>
      </c>
      <c r="F1182" s="7" t="s">
        <v>367</v>
      </c>
      <c r="H1182" s="9"/>
      <c r="I1182" s="9"/>
    </row>
    <row r="1183" spans="1:9" x14ac:dyDescent="0.3">
      <c r="A1183" s="7" t="s">
        <v>6600</v>
      </c>
      <c r="B1183" s="7" t="s">
        <v>261</v>
      </c>
      <c r="C1183" s="9">
        <v>45972</v>
      </c>
      <c r="D1183" s="9">
        <v>46002</v>
      </c>
      <c r="E1183" s="3">
        <v>5851.68</v>
      </c>
      <c r="F1183" s="7" t="s">
        <v>369</v>
      </c>
      <c r="H1183" s="9"/>
      <c r="I1183" s="9"/>
    </row>
    <row r="1184" spans="1:9" x14ac:dyDescent="0.3">
      <c r="A1184" s="7" t="s">
        <v>6601</v>
      </c>
      <c r="B1184" s="7" t="s">
        <v>329</v>
      </c>
      <c r="C1184" s="9">
        <v>46091</v>
      </c>
      <c r="D1184" s="9">
        <v>46121</v>
      </c>
      <c r="E1184" s="3">
        <v>2914.03</v>
      </c>
      <c r="F1184" s="7" t="s">
        <v>367</v>
      </c>
      <c r="H1184" s="9"/>
      <c r="I1184" s="9"/>
    </row>
    <row r="1185" spans="1:9" x14ac:dyDescent="0.3">
      <c r="A1185" s="7" t="s">
        <v>6602</v>
      </c>
      <c r="B1185" s="7" t="s">
        <v>287</v>
      </c>
      <c r="C1185" s="9">
        <v>46084</v>
      </c>
      <c r="D1185" s="9">
        <v>46114</v>
      </c>
      <c r="E1185" s="3">
        <v>3769.74</v>
      </c>
      <c r="F1185" s="7" t="s">
        <v>367</v>
      </c>
      <c r="H1185" s="9"/>
      <c r="I1185" s="9"/>
    </row>
    <row r="1186" spans="1:9" x14ac:dyDescent="0.3">
      <c r="A1186" s="7" t="s">
        <v>6603</v>
      </c>
      <c r="B1186" s="7" t="s">
        <v>293</v>
      </c>
      <c r="C1186" s="9">
        <v>46084</v>
      </c>
      <c r="D1186" s="9">
        <v>46114</v>
      </c>
      <c r="E1186" s="3">
        <v>2381.29</v>
      </c>
      <c r="F1186" s="7" t="s">
        <v>367</v>
      </c>
      <c r="H1186" s="9"/>
      <c r="I1186" s="9"/>
    </row>
    <row r="1187" spans="1:9" x14ac:dyDescent="0.3">
      <c r="A1187" s="7" t="s">
        <v>6604</v>
      </c>
      <c r="B1187" s="7" t="s">
        <v>269</v>
      </c>
      <c r="C1187" s="9">
        <v>45988</v>
      </c>
      <c r="D1187" s="9">
        <v>46018</v>
      </c>
      <c r="E1187" s="3">
        <v>1820.56</v>
      </c>
      <c r="F1187" s="7" t="s">
        <v>367</v>
      </c>
      <c r="H1187" s="9"/>
      <c r="I1187" s="9"/>
    </row>
    <row r="1188" spans="1:9" x14ac:dyDescent="0.3">
      <c r="A1188" s="7" t="s">
        <v>6605</v>
      </c>
      <c r="B1188" s="7" t="s">
        <v>303</v>
      </c>
      <c r="C1188" s="9">
        <v>46079</v>
      </c>
      <c r="D1188" s="9">
        <v>46109</v>
      </c>
      <c r="E1188" s="3">
        <v>3444.11</v>
      </c>
      <c r="F1188" s="7" t="s">
        <v>387</v>
      </c>
      <c r="H1188" s="9"/>
      <c r="I1188" s="9"/>
    </row>
    <row r="1189" spans="1:9" x14ac:dyDescent="0.3">
      <c r="A1189" s="7" t="s">
        <v>6606</v>
      </c>
      <c r="B1189" s="7" t="s">
        <v>323</v>
      </c>
      <c r="C1189" s="9">
        <v>46042</v>
      </c>
      <c r="D1189" s="9">
        <v>46072</v>
      </c>
      <c r="E1189" s="3">
        <v>5872.74</v>
      </c>
      <c r="F1189" s="7" t="s">
        <v>369</v>
      </c>
      <c r="H1189" s="9"/>
      <c r="I1189" s="9"/>
    </row>
    <row r="1190" spans="1:9" x14ac:dyDescent="0.3">
      <c r="A1190" s="7" t="s">
        <v>6607</v>
      </c>
      <c r="B1190" s="7" t="s">
        <v>337</v>
      </c>
      <c r="C1190" s="9">
        <v>46052</v>
      </c>
      <c r="D1190" s="9">
        <v>46082</v>
      </c>
      <c r="E1190" s="3">
        <v>6527.92</v>
      </c>
      <c r="F1190" s="7" t="s">
        <v>367</v>
      </c>
      <c r="H1190" s="9"/>
      <c r="I1190" s="9"/>
    </row>
    <row r="1191" spans="1:9" x14ac:dyDescent="0.3">
      <c r="A1191" s="7" t="s">
        <v>6608</v>
      </c>
      <c r="B1191" s="7" t="s">
        <v>323</v>
      </c>
      <c r="C1191" s="9">
        <v>46032</v>
      </c>
      <c r="D1191" s="9">
        <v>46062</v>
      </c>
      <c r="E1191" s="3">
        <v>5546.26</v>
      </c>
      <c r="F1191" s="7" t="s">
        <v>367</v>
      </c>
      <c r="H1191" s="9"/>
      <c r="I1191" s="9"/>
    </row>
    <row r="1192" spans="1:9" x14ac:dyDescent="0.3">
      <c r="A1192" s="7" t="s">
        <v>6609</v>
      </c>
      <c r="B1192" s="7" t="s">
        <v>285</v>
      </c>
      <c r="C1192" s="9">
        <v>45970</v>
      </c>
      <c r="D1192" s="9">
        <v>46000</v>
      </c>
      <c r="E1192" s="3">
        <v>6690.81</v>
      </c>
      <c r="F1192" s="7" t="s">
        <v>369</v>
      </c>
      <c r="H1192" s="9"/>
      <c r="I1192" s="9"/>
    </row>
    <row r="1193" spans="1:9" x14ac:dyDescent="0.3">
      <c r="A1193" s="7" t="s">
        <v>6610</v>
      </c>
      <c r="B1193" s="7" t="s">
        <v>279</v>
      </c>
      <c r="C1193" s="9">
        <v>46055</v>
      </c>
      <c r="D1193" s="9">
        <v>46085</v>
      </c>
      <c r="E1193" s="3">
        <v>1549.4</v>
      </c>
      <c r="F1193" s="7" t="s">
        <v>369</v>
      </c>
      <c r="H1193" s="9"/>
      <c r="I1193" s="9"/>
    </row>
    <row r="1194" spans="1:9" x14ac:dyDescent="0.3">
      <c r="A1194" s="7" t="s">
        <v>6611</v>
      </c>
      <c r="B1194" s="7" t="s">
        <v>305</v>
      </c>
      <c r="C1194" s="9">
        <v>46067</v>
      </c>
      <c r="D1194" s="9">
        <v>46097</v>
      </c>
      <c r="E1194" s="3">
        <v>1595.28</v>
      </c>
      <c r="F1194" s="7" t="s">
        <v>369</v>
      </c>
      <c r="H1194" s="9"/>
      <c r="I1194" s="9"/>
    </row>
    <row r="1195" spans="1:9" x14ac:dyDescent="0.3">
      <c r="A1195" s="7" t="s">
        <v>6612</v>
      </c>
      <c r="B1195" s="7" t="s">
        <v>313</v>
      </c>
      <c r="C1195" s="9">
        <v>46019</v>
      </c>
      <c r="D1195" s="9">
        <v>46049</v>
      </c>
      <c r="E1195" s="3">
        <v>2030.2</v>
      </c>
      <c r="F1195" s="7" t="s">
        <v>369</v>
      </c>
      <c r="H1195" s="9"/>
      <c r="I1195" s="9"/>
    </row>
    <row r="1196" spans="1:9" x14ac:dyDescent="0.3">
      <c r="A1196" s="7" t="s">
        <v>6613</v>
      </c>
      <c r="B1196" s="7" t="s">
        <v>321</v>
      </c>
      <c r="C1196" s="9">
        <v>46032</v>
      </c>
      <c r="D1196" s="9">
        <v>46062</v>
      </c>
      <c r="E1196" s="3">
        <v>6425.88</v>
      </c>
      <c r="F1196" s="7" t="s">
        <v>367</v>
      </c>
      <c r="H1196" s="9"/>
      <c r="I1196" s="9"/>
    </row>
    <row r="1197" spans="1:9" x14ac:dyDescent="0.3">
      <c r="A1197" s="7" t="s">
        <v>6614</v>
      </c>
      <c r="B1197" s="7" t="s">
        <v>299</v>
      </c>
      <c r="C1197" s="9">
        <v>46045</v>
      </c>
      <c r="D1197" s="9">
        <v>46075</v>
      </c>
      <c r="E1197" s="3">
        <v>1673.04</v>
      </c>
      <c r="F1197" s="7" t="s">
        <v>367</v>
      </c>
      <c r="H1197" s="9"/>
      <c r="I1197" s="9"/>
    </row>
    <row r="1198" spans="1:9" x14ac:dyDescent="0.3">
      <c r="A1198" s="7" t="s">
        <v>6615</v>
      </c>
      <c r="B1198" s="7" t="s">
        <v>291</v>
      </c>
      <c r="C1198" s="9">
        <v>46051</v>
      </c>
      <c r="D1198" s="9">
        <v>46081</v>
      </c>
      <c r="E1198" s="3">
        <v>6308.38</v>
      </c>
      <c r="F1198" s="7" t="s">
        <v>387</v>
      </c>
      <c r="H1198" s="9"/>
      <c r="I1198" s="9"/>
    </row>
    <row r="1199" spans="1:9" x14ac:dyDescent="0.3">
      <c r="A1199" s="7" t="s">
        <v>6616</v>
      </c>
      <c r="B1199" s="7" t="s">
        <v>325</v>
      </c>
      <c r="C1199" s="9">
        <v>45967</v>
      </c>
      <c r="D1199" s="9">
        <v>45997</v>
      </c>
      <c r="E1199" s="3">
        <v>6062.35</v>
      </c>
      <c r="F1199" s="7" t="s">
        <v>367</v>
      </c>
      <c r="H1199" s="9"/>
      <c r="I1199" s="9"/>
    </row>
    <row r="1200" spans="1:9" x14ac:dyDescent="0.3">
      <c r="A1200" s="7" t="s">
        <v>6617</v>
      </c>
      <c r="B1200" s="7" t="s">
        <v>276</v>
      </c>
      <c r="C1200" s="9">
        <v>45965</v>
      </c>
      <c r="D1200" s="9">
        <v>45995</v>
      </c>
      <c r="E1200" s="3">
        <v>5495.83</v>
      </c>
      <c r="F1200" s="7" t="s">
        <v>369</v>
      </c>
      <c r="H1200" s="9"/>
      <c r="I1200" s="9"/>
    </row>
    <row r="1201" spans="1:9" x14ac:dyDescent="0.3">
      <c r="A1201" s="7" t="s">
        <v>6618</v>
      </c>
      <c r="B1201" s="7" t="s">
        <v>319</v>
      </c>
      <c r="C1201" s="9">
        <v>46048</v>
      </c>
      <c r="D1201" s="9">
        <v>46078</v>
      </c>
      <c r="E1201" s="3">
        <v>6594.99</v>
      </c>
      <c r="F1201" s="7" t="s">
        <v>367</v>
      </c>
      <c r="H1201" s="9"/>
      <c r="I1201" s="9"/>
    </row>
    <row r="1202" spans="1:9" x14ac:dyDescent="0.3">
      <c r="A1202" s="7" t="s">
        <v>6619</v>
      </c>
      <c r="B1202" s="7" t="s">
        <v>325</v>
      </c>
      <c r="C1202" s="9">
        <v>46007</v>
      </c>
      <c r="D1202" s="9">
        <v>46037</v>
      </c>
      <c r="E1202" s="3">
        <v>1471.69</v>
      </c>
      <c r="F1202" s="7" t="s">
        <v>367</v>
      </c>
      <c r="H1202" s="9"/>
      <c r="I1202" s="9"/>
    </row>
    <row r="1203" spans="1:9" x14ac:dyDescent="0.3">
      <c r="A1203" s="7" t="s">
        <v>6620</v>
      </c>
      <c r="B1203" s="7" t="s">
        <v>309</v>
      </c>
      <c r="C1203" s="9">
        <v>45993</v>
      </c>
      <c r="D1203" s="9">
        <v>46023</v>
      </c>
      <c r="E1203" s="3">
        <v>5585.66</v>
      </c>
      <c r="F1203" s="7" t="s">
        <v>367</v>
      </c>
      <c r="H1203" s="9"/>
      <c r="I1203" s="9"/>
    </row>
    <row r="1204" spans="1:9" x14ac:dyDescent="0.3">
      <c r="A1204" s="7" t="s">
        <v>6621</v>
      </c>
      <c r="B1204" s="7" t="s">
        <v>301</v>
      </c>
      <c r="C1204" s="9">
        <v>46033</v>
      </c>
      <c r="D1204" s="9">
        <v>46063</v>
      </c>
      <c r="E1204" s="3">
        <v>1052.29</v>
      </c>
      <c r="F1204" s="7" t="s">
        <v>367</v>
      </c>
      <c r="H1204" s="9"/>
      <c r="I1204" s="9"/>
    </row>
    <row r="1205" spans="1:9" x14ac:dyDescent="0.3">
      <c r="A1205" s="7" t="s">
        <v>6622</v>
      </c>
      <c r="B1205" s="7" t="s">
        <v>331</v>
      </c>
      <c r="C1205" s="9">
        <v>46011</v>
      </c>
      <c r="D1205" s="9">
        <v>46041</v>
      </c>
      <c r="E1205" s="3">
        <v>6099.11</v>
      </c>
      <c r="F1205" s="7" t="s">
        <v>367</v>
      </c>
      <c r="H1205" s="9"/>
      <c r="I1205" s="9"/>
    </row>
    <row r="1206" spans="1:9" x14ac:dyDescent="0.3">
      <c r="A1206" s="7" t="s">
        <v>6623</v>
      </c>
      <c r="B1206" s="7" t="s">
        <v>264</v>
      </c>
      <c r="C1206" s="9">
        <v>46023</v>
      </c>
      <c r="D1206" s="9">
        <v>46053</v>
      </c>
      <c r="E1206" s="3">
        <v>908.29</v>
      </c>
      <c r="F1206" s="7" t="s">
        <v>369</v>
      </c>
      <c r="H1206" s="9"/>
      <c r="I1206" s="9"/>
    </row>
    <row r="1207" spans="1:9" x14ac:dyDescent="0.3">
      <c r="A1207" s="7" t="s">
        <v>6624</v>
      </c>
      <c r="B1207" s="7" t="s">
        <v>301</v>
      </c>
      <c r="C1207" s="9">
        <v>46062</v>
      </c>
      <c r="D1207" s="9">
        <v>46092</v>
      </c>
      <c r="E1207" s="3">
        <v>6658.85</v>
      </c>
      <c r="F1207" s="7" t="s">
        <v>387</v>
      </c>
      <c r="H1207" s="9"/>
      <c r="I1207" s="9"/>
    </row>
    <row r="1208" spans="1:9" x14ac:dyDescent="0.3">
      <c r="A1208" s="7" t="s">
        <v>6625</v>
      </c>
      <c r="B1208" s="7" t="s">
        <v>311</v>
      </c>
      <c r="C1208" s="9">
        <v>46017</v>
      </c>
      <c r="D1208" s="9">
        <v>46047</v>
      </c>
      <c r="E1208" s="3">
        <v>2016.92</v>
      </c>
      <c r="F1208" s="7" t="s">
        <v>367</v>
      </c>
      <c r="H1208" s="9"/>
      <c r="I1208" s="9"/>
    </row>
    <row r="1209" spans="1:9" x14ac:dyDescent="0.3">
      <c r="A1209" s="7" t="s">
        <v>6626</v>
      </c>
      <c r="B1209" s="7" t="s">
        <v>287</v>
      </c>
      <c r="C1209" s="9">
        <v>46089</v>
      </c>
      <c r="D1209" s="9">
        <v>46119</v>
      </c>
      <c r="E1209" s="3">
        <v>1588.54</v>
      </c>
      <c r="F1209" s="7" t="s">
        <v>367</v>
      </c>
      <c r="H1209" s="9"/>
      <c r="I1209" s="9"/>
    </row>
    <row r="1210" spans="1:9" x14ac:dyDescent="0.3">
      <c r="A1210" s="7" t="s">
        <v>6627</v>
      </c>
      <c r="B1210" s="7" t="s">
        <v>295</v>
      </c>
      <c r="C1210" s="9">
        <v>46003</v>
      </c>
      <c r="D1210" s="9">
        <v>46033</v>
      </c>
      <c r="E1210" s="3">
        <v>6901.26</v>
      </c>
      <c r="F1210" s="7" t="s">
        <v>369</v>
      </c>
      <c r="H1210" s="9"/>
      <c r="I1210" s="9"/>
    </row>
    <row r="1211" spans="1:9" x14ac:dyDescent="0.3">
      <c r="A1211" s="7" t="s">
        <v>6628</v>
      </c>
      <c r="B1211" s="7" t="s">
        <v>311</v>
      </c>
      <c r="C1211" s="9">
        <v>45975</v>
      </c>
      <c r="D1211" s="9">
        <v>46005</v>
      </c>
      <c r="E1211" s="3">
        <v>5098.33</v>
      </c>
      <c r="F1211" s="7" t="s">
        <v>367</v>
      </c>
      <c r="H1211" s="9"/>
      <c r="I1211" s="9"/>
    </row>
    <row r="1212" spans="1:9" x14ac:dyDescent="0.3">
      <c r="A1212" s="7" t="s">
        <v>6629</v>
      </c>
      <c r="B1212" s="7" t="s">
        <v>269</v>
      </c>
      <c r="C1212" s="9">
        <v>46089</v>
      </c>
      <c r="D1212" s="9">
        <v>46119</v>
      </c>
      <c r="E1212" s="3">
        <v>5526.03</v>
      </c>
      <c r="F1212" s="7" t="s">
        <v>367</v>
      </c>
      <c r="H1212" s="9"/>
      <c r="I1212" s="9"/>
    </row>
    <row r="1213" spans="1:9" x14ac:dyDescent="0.3">
      <c r="A1213" s="7" t="s">
        <v>6630</v>
      </c>
      <c r="B1213" s="7" t="s">
        <v>339</v>
      </c>
      <c r="C1213" s="9">
        <v>46073</v>
      </c>
      <c r="D1213" s="9">
        <v>46103</v>
      </c>
      <c r="E1213" s="3">
        <v>1508.59</v>
      </c>
      <c r="F1213" s="7" t="s">
        <v>369</v>
      </c>
      <c r="H1213" s="9"/>
      <c r="I1213" s="9"/>
    </row>
    <row r="1214" spans="1:9" x14ac:dyDescent="0.3">
      <c r="A1214" s="7" t="s">
        <v>6631</v>
      </c>
      <c r="B1214" s="7" t="s">
        <v>276</v>
      </c>
      <c r="C1214" s="9">
        <v>46017</v>
      </c>
      <c r="D1214" s="9">
        <v>46047</v>
      </c>
      <c r="E1214" s="3">
        <v>1071.9100000000001</v>
      </c>
      <c r="F1214" s="7" t="s">
        <v>367</v>
      </c>
      <c r="H1214" s="9"/>
      <c r="I1214" s="9"/>
    </row>
    <row r="1215" spans="1:9" x14ac:dyDescent="0.3">
      <c r="A1215" s="7" t="s">
        <v>6632</v>
      </c>
      <c r="B1215" s="7" t="s">
        <v>317</v>
      </c>
      <c r="C1215" s="9">
        <v>45973</v>
      </c>
      <c r="D1215" s="9">
        <v>46003</v>
      </c>
      <c r="E1215" s="3">
        <v>855.26</v>
      </c>
      <c r="F1215" s="7" t="s">
        <v>367</v>
      </c>
      <c r="H1215" s="9"/>
      <c r="I1215" s="9"/>
    </row>
    <row r="1216" spans="1:9" x14ac:dyDescent="0.3">
      <c r="A1216" s="7" t="s">
        <v>6633</v>
      </c>
      <c r="B1216" s="7" t="s">
        <v>309</v>
      </c>
      <c r="C1216" s="9">
        <v>46012</v>
      </c>
      <c r="D1216" s="9">
        <v>46042</v>
      </c>
      <c r="E1216" s="3">
        <v>4275.26</v>
      </c>
      <c r="F1216" s="7" t="s">
        <v>369</v>
      </c>
      <c r="H1216" s="9"/>
      <c r="I1216" s="9"/>
    </row>
    <row r="1217" spans="1:9" x14ac:dyDescent="0.3">
      <c r="A1217" s="7" t="s">
        <v>6634</v>
      </c>
      <c r="B1217" s="7" t="s">
        <v>323</v>
      </c>
      <c r="C1217" s="9">
        <v>46016</v>
      </c>
      <c r="D1217" s="9">
        <v>46046</v>
      </c>
      <c r="E1217" s="3">
        <v>6440.36</v>
      </c>
      <c r="F1217" s="7" t="s">
        <v>367</v>
      </c>
      <c r="H1217" s="9"/>
      <c r="I1217" s="9"/>
    </row>
    <row r="1218" spans="1:9" x14ac:dyDescent="0.3">
      <c r="A1218" s="7" t="s">
        <v>6635</v>
      </c>
      <c r="B1218" s="7" t="s">
        <v>291</v>
      </c>
      <c r="C1218" s="9">
        <v>46022</v>
      </c>
      <c r="D1218" s="9">
        <v>46052</v>
      </c>
      <c r="E1218" s="3">
        <v>2168.0700000000002</v>
      </c>
      <c r="F1218" s="7" t="s">
        <v>367</v>
      </c>
      <c r="H1218" s="9"/>
      <c r="I1218" s="9"/>
    </row>
    <row r="1219" spans="1:9" x14ac:dyDescent="0.3">
      <c r="A1219" s="7" t="s">
        <v>6636</v>
      </c>
      <c r="B1219" s="7" t="s">
        <v>291</v>
      </c>
      <c r="C1219" s="9">
        <v>46006</v>
      </c>
      <c r="D1219" s="9">
        <v>46036</v>
      </c>
      <c r="E1219" s="3">
        <v>3020.57</v>
      </c>
      <c r="F1219" s="7" t="s">
        <v>369</v>
      </c>
      <c r="H1219" s="9"/>
      <c r="I1219" s="9"/>
    </row>
    <row r="1220" spans="1:9" x14ac:dyDescent="0.3">
      <c r="A1220" s="7" t="s">
        <v>6637</v>
      </c>
      <c r="B1220" s="7" t="s">
        <v>276</v>
      </c>
      <c r="C1220" s="9">
        <v>45998</v>
      </c>
      <c r="D1220" s="9">
        <v>46028</v>
      </c>
      <c r="E1220" s="3">
        <v>2558.87</v>
      </c>
      <c r="F1220" s="7" t="s">
        <v>367</v>
      </c>
      <c r="H1220" s="9"/>
      <c r="I1220" s="9"/>
    </row>
    <row r="1221" spans="1:9" x14ac:dyDescent="0.3">
      <c r="A1221" s="7" t="s">
        <v>6638</v>
      </c>
      <c r="B1221" s="7" t="s">
        <v>297</v>
      </c>
      <c r="C1221" s="9">
        <v>46005</v>
      </c>
      <c r="D1221" s="9">
        <v>46035</v>
      </c>
      <c r="E1221" s="3">
        <v>3183.3</v>
      </c>
      <c r="F1221" s="7" t="s">
        <v>387</v>
      </c>
      <c r="H1221" s="9"/>
      <c r="I1221" s="9"/>
    </row>
    <row r="1222" spans="1:9" x14ac:dyDescent="0.3">
      <c r="A1222" s="7" t="s">
        <v>6639</v>
      </c>
      <c r="B1222" s="7" t="s">
        <v>317</v>
      </c>
      <c r="C1222" s="9">
        <v>46077</v>
      </c>
      <c r="D1222" s="9">
        <v>46107</v>
      </c>
      <c r="E1222" s="3">
        <v>6906.7</v>
      </c>
      <c r="F1222" s="7" t="s">
        <v>367</v>
      </c>
      <c r="H1222" s="9"/>
      <c r="I1222" s="9"/>
    </row>
    <row r="1223" spans="1:9" x14ac:dyDescent="0.3">
      <c r="A1223" s="7" t="s">
        <v>6640</v>
      </c>
      <c r="B1223" s="7" t="s">
        <v>295</v>
      </c>
      <c r="C1223" s="9">
        <v>46077</v>
      </c>
      <c r="D1223" s="9">
        <v>46107</v>
      </c>
      <c r="E1223" s="3">
        <v>5836.34</v>
      </c>
      <c r="F1223" s="7" t="s">
        <v>367</v>
      </c>
      <c r="H1223" s="9"/>
      <c r="I1223" s="9"/>
    </row>
    <row r="1224" spans="1:9" x14ac:dyDescent="0.3">
      <c r="A1224" s="7" t="s">
        <v>6641</v>
      </c>
      <c r="B1224" s="7" t="s">
        <v>327</v>
      </c>
      <c r="C1224" s="9">
        <v>45969</v>
      </c>
      <c r="D1224" s="9">
        <v>45999</v>
      </c>
      <c r="E1224" s="3">
        <v>5094.57</v>
      </c>
      <c r="F1224" s="7" t="s">
        <v>369</v>
      </c>
      <c r="H1224" s="9"/>
      <c r="I1224" s="9"/>
    </row>
    <row r="1225" spans="1:9" x14ac:dyDescent="0.3">
      <c r="A1225" s="7" t="s">
        <v>6642</v>
      </c>
      <c r="B1225" s="7" t="s">
        <v>311</v>
      </c>
      <c r="C1225" s="9">
        <v>45964</v>
      </c>
      <c r="D1225" s="9">
        <v>45994</v>
      </c>
      <c r="E1225" s="3">
        <v>1706.77</v>
      </c>
      <c r="F1225" s="7" t="s">
        <v>367</v>
      </c>
      <c r="H1225" s="9"/>
      <c r="I1225" s="9"/>
    </row>
    <row r="1226" spans="1:9" x14ac:dyDescent="0.3">
      <c r="A1226" s="7" t="s">
        <v>6643</v>
      </c>
      <c r="B1226" s="7" t="s">
        <v>333</v>
      </c>
      <c r="C1226" s="9">
        <v>46021</v>
      </c>
      <c r="D1226" s="9">
        <v>46051</v>
      </c>
      <c r="E1226" s="3">
        <v>2865.05</v>
      </c>
      <c r="F1226" s="7" t="s">
        <v>369</v>
      </c>
      <c r="H1226" s="9"/>
      <c r="I1226" s="9"/>
    </row>
    <row r="1227" spans="1:9" x14ac:dyDescent="0.3">
      <c r="A1227" s="7" t="s">
        <v>6644</v>
      </c>
      <c r="B1227" s="7" t="s">
        <v>327</v>
      </c>
      <c r="C1227" s="9">
        <v>45978</v>
      </c>
      <c r="D1227" s="9">
        <v>46008</v>
      </c>
      <c r="E1227" s="3">
        <v>4952.83</v>
      </c>
      <c r="F1227" s="7" t="s">
        <v>367</v>
      </c>
      <c r="H1227" s="9"/>
      <c r="I1227" s="9"/>
    </row>
    <row r="1228" spans="1:9" x14ac:dyDescent="0.3">
      <c r="A1228" s="7" t="s">
        <v>6645</v>
      </c>
      <c r="B1228" s="7" t="s">
        <v>283</v>
      </c>
      <c r="C1228" s="9">
        <v>45963</v>
      </c>
      <c r="D1228" s="9">
        <v>45993</v>
      </c>
      <c r="E1228" s="3">
        <v>928.9</v>
      </c>
      <c r="F1228" s="7" t="s">
        <v>367</v>
      </c>
      <c r="H1228" s="9"/>
      <c r="I1228" s="9"/>
    </row>
    <row r="1229" spans="1:9" x14ac:dyDescent="0.3">
      <c r="A1229" s="7" t="s">
        <v>6646</v>
      </c>
      <c r="B1229" s="7" t="s">
        <v>303</v>
      </c>
      <c r="C1229" s="9">
        <v>46039</v>
      </c>
      <c r="D1229" s="9">
        <v>46069</v>
      </c>
      <c r="E1229" s="3">
        <v>4932.55</v>
      </c>
      <c r="F1229" s="7" t="s">
        <v>367</v>
      </c>
      <c r="H1229" s="9"/>
      <c r="I1229" s="9"/>
    </row>
    <row r="1230" spans="1:9" x14ac:dyDescent="0.3">
      <c r="A1230" s="7" t="s">
        <v>6647</v>
      </c>
      <c r="B1230" s="7" t="s">
        <v>274</v>
      </c>
      <c r="C1230" s="9">
        <v>46065</v>
      </c>
      <c r="D1230" s="9">
        <v>46095</v>
      </c>
      <c r="E1230" s="3">
        <v>4453.22</v>
      </c>
      <c r="F1230" s="7" t="s">
        <v>367</v>
      </c>
      <c r="H1230" s="9"/>
      <c r="I1230" s="9"/>
    </row>
    <row r="1231" spans="1:9" x14ac:dyDescent="0.3">
      <c r="A1231" s="7" t="s">
        <v>6648</v>
      </c>
      <c r="B1231" s="7" t="s">
        <v>291</v>
      </c>
      <c r="C1231" s="9">
        <v>46040</v>
      </c>
      <c r="D1231" s="9">
        <v>46070</v>
      </c>
      <c r="E1231" s="3">
        <v>5908.19</v>
      </c>
      <c r="F1231" s="7" t="s">
        <v>367</v>
      </c>
      <c r="H1231" s="9"/>
      <c r="I1231" s="9"/>
    </row>
    <row r="1232" spans="1:9" x14ac:dyDescent="0.3">
      <c r="A1232" s="7" t="s">
        <v>6649</v>
      </c>
      <c r="B1232" s="7" t="s">
        <v>289</v>
      </c>
      <c r="C1232" s="9">
        <v>46020</v>
      </c>
      <c r="D1232" s="9">
        <v>46050</v>
      </c>
      <c r="E1232" s="3">
        <v>5323.73</v>
      </c>
      <c r="F1232" s="7" t="s">
        <v>369</v>
      </c>
      <c r="H1232" s="9"/>
      <c r="I1232" s="9"/>
    </row>
    <row r="1233" spans="1:9" x14ac:dyDescent="0.3">
      <c r="A1233" s="7" t="s">
        <v>6650</v>
      </c>
      <c r="B1233" s="7" t="s">
        <v>289</v>
      </c>
      <c r="C1233" s="9">
        <v>45972</v>
      </c>
      <c r="D1233" s="9">
        <v>46002</v>
      </c>
      <c r="E1233" s="3">
        <v>6927.78</v>
      </c>
      <c r="F1233" s="7" t="s">
        <v>367</v>
      </c>
      <c r="H1233" s="9"/>
      <c r="I1233" s="9"/>
    </row>
    <row r="1234" spans="1:9" x14ac:dyDescent="0.3">
      <c r="A1234" s="7" t="s">
        <v>6651</v>
      </c>
      <c r="B1234" s="7" t="s">
        <v>291</v>
      </c>
      <c r="C1234" s="9">
        <v>45976</v>
      </c>
      <c r="D1234" s="9">
        <v>46006</v>
      </c>
      <c r="E1234" s="3">
        <v>3164.61</v>
      </c>
      <c r="F1234" s="7" t="s">
        <v>369</v>
      </c>
      <c r="H1234" s="9"/>
      <c r="I1234" s="9"/>
    </row>
    <row r="1235" spans="1:9" x14ac:dyDescent="0.3">
      <c r="A1235" s="7" t="s">
        <v>6652</v>
      </c>
      <c r="B1235" s="7" t="s">
        <v>261</v>
      </c>
      <c r="C1235" s="9">
        <v>46058</v>
      </c>
      <c r="D1235" s="9">
        <v>46088</v>
      </c>
      <c r="E1235" s="3">
        <v>1354.34</v>
      </c>
      <c r="F1235" s="7" t="s">
        <v>367</v>
      </c>
      <c r="H1235" s="9"/>
      <c r="I1235" s="9"/>
    </row>
    <row r="1236" spans="1:9" x14ac:dyDescent="0.3">
      <c r="A1236" s="7" t="s">
        <v>6653</v>
      </c>
      <c r="B1236" s="7" t="s">
        <v>339</v>
      </c>
      <c r="C1236" s="9">
        <v>45982</v>
      </c>
      <c r="D1236" s="9">
        <v>46012</v>
      </c>
      <c r="E1236" s="3">
        <v>1124.97</v>
      </c>
      <c r="F1236" s="7" t="s">
        <v>369</v>
      </c>
      <c r="H1236" s="9"/>
      <c r="I1236" s="9"/>
    </row>
    <row r="1237" spans="1:9" x14ac:dyDescent="0.3">
      <c r="A1237" s="7" t="s">
        <v>6654</v>
      </c>
      <c r="B1237" s="7" t="s">
        <v>272</v>
      </c>
      <c r="C1237" s="9">
        <v>46060</v>
      </c>
      <c r="D1237" s="9">
        <v>46090</v>
      </c>
      <c r="E1237" s="3">
        <v>4228.87</v>
      </c>
      <c r="F1237" s="7" t="s">
        <v>367</v>
      </c>
      <c r="H1237" s="9"/>
      <c r="I1237" s="9"/>
    </row>
    <row r="1238" spans="1:9" x14ac:dyDescent="0.3">
      <c r="A1238" s="7" t="s">
        <v>6655</v>
      </c>
      <c r="B1238" s="7" t="s">
        <v>303</v>
      </c>
      <c r="C1238" s="9">
        <v>46076</v>
      </c>
      <c r="D1238" s="9">
        <v>46106</v>
      </c>
      <c r="E1238" s="3">
        <v>6092.37</v>
      </c>
      <c r="F1238" s="7" t="s">
        <v>367</v>
      </c>
      <c r="H1238" s="9"/>
      <c r="I1238" s="9"/>
    </row>
    <row r="1239" spans="1:9" x14ac:dyDescent="0.3">
      <c r="A1239" s="7" t="s">
        <v>6656</v>
      </c>
      <c r="B1239" s="7" t="s">
        <v>331</v>
      </c>
      <c r="C1239" s="9">
        <v>46068</v>
      </c>
      <c r="D1239" s="9">
        <v>46098</v>
      </c>
      <c r="E1239" s="3">
        <v>4790.92</v>
      </c>
      <c r="F1239" s="7" t="s">
        <v>369</v>
      </c>
      <c r="H1239" s="9"/>
      <c r="I1239" s="9"/>
    </row>
    <row r="1240" spans="1:9" x14ac:dyDescent="0.3">
      <c r="A1240" s="7" t="s">
        <v>6657</v>
      </c>
      <c r="B1240" s="7" t="s">
        <v>299</v>
      </c>
      <c r="C1240" s="9">
        <v>46019</v>
      </c>
      <c r="D1240" s="9">
        <v>46049</v>
      </c>
      <c r="E1240" s="3">
        <v>1199.71</v>
      </c>
      <c r="F1240" s="7" t="s">
        <v>367</v>
      </c>
      <c r="H1240" s="9"/>
      <c r="I1240" s="9"/>
    </row>
    <row r="1241" spans="1:9" x14ac:dyDescent="0.3">
      <c r="A1241" s="7" t="s">
        <v>6658</v>
      </c>
      <c r="B1241" s="7" t="s">
        <v>343</v>
      </c>
      <c r="C1241" s="9">
        <v>46065</v>
      </c>
      <c r="D1241" s="9">
        <v>46095</v>
      </c>
      <c r="E1241" s="3">
        <v>5034.25</v>
      </c>
      <c r="F1241" s="7" t="s">
        <v>367</v>
      </c>
      <c r="H1241" s="9"/>
      <c r="I1241" s="9"/>
    </row>
    <row r="1242" spans="1:9" x14ac:dyDescent="0.3">
      <c r="A1242" s="7" t="s">
        <v>6659</v>
      </c>
      <c r="B1242" s="7" t="s">
        <v>297</v>
      </c>
      <c r="C1242" s="9">
        <v>46029</v>
      </c>
      <c r="D1242" s="9">
        <v>46059</v>
      </c>
      <c r="E1242" s="3">
        <v>5178.92</v>
      </c>
      <c r="F1242" s="7" t="s">
        <v>367</v>
      </c>
      <c r="H1242" s="9"/>
      <c r="I1242" s="9"/>
    </row>
    <row r="1243" spans="1:9" x14ac:dyDescent="0.3">
      <c r="A1243" s="7" t="s">
        <v>6660</v>
      </c>
      <c r="B1243" s="7" t="s">
        <v>274</v>
      </c>
      <c r="C1243" s="9">
        <v>46087</v>
      </c>
      <c r="D1243" s="9">
        <v>46117</v>
      </c>
      <c r="E1243" s="3">
        <v>2303.14</v>
      </c>
      <c r="F1243" s="7" t="s">
        <v>367</v>
      </c>
      <c r="H1243" s="9"/>
      <c r="I1243" s="9"/>
    </row>
    <row r="1244" spans="1:9" x14ac:dyDescent="0.3">
      <c r="A1244" s="7" t="s">
        <v>6661</v>
      </c>
      <c r="B1244" s="7" t="s">
        <v>264</v>
      </c>
      <c r="C1244" s="9">
        <v>46081</v>
      </c>
      <c r="D1244" s="9">
        <v>46111</v>
      </c>
      <c r="E1244" s="3">
        <v>3973.44</v>
      </c>
      <c r="F1244" s="7" t="s">
        <v>369</v>
      </c>
      <c r="H1244" s="9"/>
      <c r="I1244" s="9"/>
    </row>
    <row r="1245" spans="1:9" x14ac:dyDescent="0.3">
      <c r="A1245" s="7" t="s">
        <v>6662</v>
      </c>
      <c r="B1245" s="7" t="s">
        <v>319</v>
      </c>
      <c r="C1245" s="9">
        <v>46066</v>
      </c>
      <c r="D1245" s="9">
        <v>46096</v>
      </c>
      <c r="E1245" s="3">
        <v>4023.46</v>
      </c>
      <c r="F1245" s="7" t="s">
        <v>367</v>
      </c>
      <c r="H1245" s="9"/>
      <c r="I1245" s="9"/>
    </row>
    <row r="1246" spans="1:9" x14ac:dyDescent="0.3">
      <c r="A1246" s="7" t="s">
        <v>6663</v>
      </c>
      <c r="B1246" s="7" t="s">
        <v>303</v>
      </c>
      <c r="C1246" s="9">
        <v>46016</v>
      </c>
      <c r="D1246" s="9">
        <v>46046</v>
      </c>
      <c r="E1246" s="3">
        <v>5634.82</v>
      </c>
      <c r="F1246" s="7" t="s">
        <v>369</v>
      </c>
      <c r="H1246" s="9"/>
      <c r="I1246" s="9"/>
    </row>
    <row r="1247" spans="1:9" x14ac:dyDescent="0.3">
      <c r="A1247" s="7" t="s">
        <v>6664</v>
      </c>
      <c r="B1247" s="7" t="s">
        <v>261</v>
      </c>
      <c r="C1247" s="9">
        <v>46049</v>
      </c>
      <c r="D1247" s="9">
        <v>46079</v>
      </c>
      <c r="E1247" s="3">
        <v>6205.25</v>
      </c>
      <c r="F1247" s="7" t="s">
        <v>369</v>
      </c>
      <c r="H1247" s="9"/>
      <c r="I1247" s="9"/>
    </row>
    <row r="1248" spans="1:9" x14ac:dyDescent="0.3">
      <c r="A1248" s="7" t="s">
        <v>6665</v>
      </c>
      <c r="B1248" s="7" t="s">
        <v>274</v>
      </c>
      <c r="C1248" s="9">
        <v>46001</v>
      </c>
      <c r="D1248" s="9">
        <v>46031</v>
      </c>
      <c r="E1248" s="3">
        <v>1025.28</v>
      </c>
      <c r="F1248" s="7" t="s">
        <v>367</v>
      </c>
      <c r="H1248" s="9"/>
      <c r="I1248" s="9"/>
    </row>
    <row r="1249" spans="1:9" x14ac:dyDescent="0.3">
      <c r="A1249" s="7" t="s">
        <v>6666</v>
      </c>
      <c r="B1249" s="7" t="s">
        <v>295</v>
      </c>
      <c r="C1249" s="9">
        <v>46065</v>
      </c>
      <c r="D1249" s="9">
        <v>46095</v>
      </c>
      <c r="E1249" s="3">
        <v>851.88</v>
      </c>
      <c r="F1249" s="7" t="s">
        <v>367</v>
      </c>
      <c r="H1249" s="9"/>
      <c r="I1249" s="9"/>
    </row>
    <row r="1250" spans="1:9" x14ac:dyDescent="0.3">
      <c r="A1250" s="7" t="s">
        <v>6667</v>
      </c>
      <c r="B1250" s="7" t="s">
        <v>341</v>
      </c>
      <c r="C1250" s="9">
        <v>45976</v>
      </c>
      <c r="D1250" s="9">
        <v>46006</v>
      </c>
      <c r="E1250" s="3">
        <v>3576.76</v>
      </c>
      <c r="F1250" s="7" t="s">
        <v>367</v>
      </c>
      <c r="H1250" s="9"/>
      <c r="I1250" s="9"/>
    </row>
    <row r="1251" spans="1:9" x14ac:dyDescent="0.3">
      <c r="A1251" s="7" t="s">
        <v>6668</v>
      </c>
      <c r="B1251" s="7" t="s">
        <v>335</v>
      </c>
      <c r="C1251" s="9">
        <v>46031</v>
      </c>
      <c r="D1251" s="9">
        <v>46061</v>
      </c>
      <c r="E1251" s="3">
        <v>4424.08</v>
      </c>
      <c r="F1251" s="7" t="s">
        <v>367</v>
      </c>
      <c r="H1251" s="9"/>
      <c r="I1251" s="9"/>
    </row>
    <row r="1252" spans="1:9" x14ac:dyDescent="0.3">
      <c r="A1252" s="7" t="s">
        <v>6669</v>
      </c>
      <c r="B1252" s="7" t="s">
        <v>319</v>
      </c>
      <c r="C1252" s="9">
        <v>45996</v>
      </c>
      <c r="D1252" s="9">
        <v>46026</v>
      </c>
      <c r="E1252" s="3">
        <v>4559.71</v>
      </c>
      <c r="F1252" s="7" t="s">
        <v>367</v>
      </c>
      <c r="H1252" s="9"/>
      <c r="I1252" s="9"/>
    </row>
    <row r="1253" spans="1:9" x14ac:dyDescent="0.3">
      <c r="A1253" s="7" t="s">
        <v>6670</v>
      </c>
      <c r="B1253" s="7" t="s">
        <v>309</v>
      </c>
      <c r="C1253" s="9">
        <v>46016</v>
      </c>
      <c r="D1253" s="9">
        <v>46046</v>
      </c>
      <c r="E1253" s="3">
        <v>4815.3599999999997</v>
      </c>
      <c r="F1253" s="7" t="s">
        <v>369</v>
      </c>
      <c r="H1253" s="9"/>
      <c r="I1253" s="9"/>
    </row>
    <row r="1254" spans="1:9" x14ac:dyDescent="0.3">
      <c r="A1254" s="7" t="s">
        <v>6671</v>
      </c>
      <c r="B1254" s="7" t="s">
        <v>327</v>
      </c>
      <c r="C1254" s="9">
        <v>46089</v>
      </c>
      <c r="D1254" s="9">
        <v>46119</v>
      </c>
      <c r="E1254" s="3">
        <v>3448.27</v>
      </c>
      <c r="F1254" s="7" t="s">
        <v>367</v>
      </c>
      <c r="H1254" s="9"/>
      <c r="I1254" s="9"/>
    </row>
    <row r="1255" spans="1:9" x14ac:dyDescent="0.3">
      <c r="A1255" s="7" t="s">
        <v>6672</v>
      </c>
      <c r="B1255" s="7" t="s">
        <v>327</v>
      </c>
      <c r="C1255" s="9">
        <v>46032</v>
      </c>
      <c r="D1255" s="9">
        <v>46062</v>
      </c>
      <c r="E1255" s="3">
        <v>3768.04</v>
      </c>
      <c r="F1255" s="7" t="s">
        <v>369</v>
      </c>
      <c r="H1255" s="9"/>
      <c r="I1255" s="9"/>
    </row>
    <row r="1256" spans="1:9" x14ac:dyDescent="0.3">
      <c r="A1256" s="7" t="s">
        <v>6673</v>
      </c>
      <c r="B1256" s="7" t="s">
        <v>331</v>
      </c>
      <c r="C1256" s="9">
        <v>46049</v>
      </c>
      <c r="D1256" s="9">
        <v>46079</v>
      </c>
      <c r="E1256" s="3">
        <v>4164.7</v>
      </c>
      <c r="F1256" s="7" t="s">
        <v>387</v>
      </c>
      <c r="H1256" s="9"/>
      <c r="I1256" s="9"/>
    </row>
    <row r="1257" spans="1:9" x14ac:dyDescent="0.3">
      <c r="A1257" s="7" t="s">
        <v>6674</v>
      </c>
      <c r="B1257" s="7" t="s">
        <v>319</v>
      </c>
      <c r="C1257" s="9">
        <v>46064</v>
      </c>
      <c r="D1257" s="9">
        <v>46094</v>
      </c>
      <c r="E1257" s="3">
        <v>4177.43</v>
      </c>
      <c r="F1257" s="7" t="s">
        <v>369</v>
      </c>
      <c r="H1257" s="9"/>
      <c r="I1257" s="9"/>
    </row>
    <row r="1258" spans="1:9" x14ac:dyDescent="0.3">
      <c r="A1258" s="7" t="s">
        <v>6675</v>
      </c>
      <c r="B1258" s="7" t="s">
        <v>264</v>
      </c>
      <c r="C1258" s="9">
        <v>45995</v>
      </c>
      <c r="D1258" s="9">
        <v>46025</v>
      </c>
      <c r="E1258" s="3">
        <v>1344.25</v>
      </c>
      <c r="F1258" s="7" t="s">
        <v>367</v>
      </c>
      <c r="H1258" s="9"/>
      <c r="I1258" s="9"/>
    </row>
    <row r="1259" spans="1:9" x14ac:dyDescent="0.3">
      <c r="A1259" s="7" t="s">
        <v>6676</v>
      </c>
      <c r="B1259" s="7" t="s">
        <v>285</v>
      </c>
      <c r="C1259" s="9">
        <v>45996</v>
      </c>
      <c r="D1259" s="9">
        <v>46026</v>
      </c>
      <c r="E1259" s="3">
        <v>3651.32</v>
      </c>
      <c r="F1259" s="7" t="s">
        <v>367</v>
      </c>
      <c r="H1259" s="9"/>
      <c r="I1259" s="9"/>
    </row>
    <row r="1260" spans="1:9" x14ac:dyDescent="0.3">
      <c r="A1260" s="7" t="s">
        <v>6677</v>
      </c>
      <c r="B1260" s="7" t="s">
        <v>287</v>
      </c>
      <c r="C1260" s="9">
        <v>46031</v>
      </c>
      <c r="D1260" s="9">
        <v>46061</v>
      </c>
      <c r="E1260" s="3">
        <v>3435.71</v>
      </c>
      <c r="F1260" s="7" t="s">
        <v>367</v>
      </c>
      <c r="H1260" s="9"/>
      <c r="I1260" s="9"/>
    </row>
    <row r="1261" spans="1:9" x14ac:dyDescent="0.3">
      <c r="A1261" s="7" t="s">
        <v>6678</v>
      </c>
      <c r="B1261" s="7" t="s">
        <v>329</v>
      </c>
      <c r="C1261" s="9">
        <v>46075</v>
      </c>
      <c r="D1261" s="9">
        <v>46105</v>
      </c>
      <c r="E1261" s="3">
        <v>869.4</v>
      </c>
      <c r="F1261" s="7" t="s">
        <v>367</v>
      </c>
      <c r="H1261" s="9"/>
      <c r="I1261" s="9"/>
    </row>
    <row r="1262" spans="1:9" x14ac:dyDescent="0.3">
      <c r="A1262" s="7" t="s">
        <v>6679</v>
      </c>
      <c r="B1262" s="7" t="s">
        <v>315</v>
      </c>
      <c r="C1262" s="9">
        <v>45982</v>
      </c>
      <c r="D1262" s="9">
        <v>46012</v>
      </c>
      <c r="E1262" s="3">
        <v>1330.88</v>
      </c>
      <c r="F1262" s="7" t="s">
        <v>367</v>
      </c>
      <c r="H1262" s="9"/>
      <c r="I1262" s="9"/>
    </row>
    <row r="1263" spans="1:9" x14ac:dyDescent="0.3">
      <c r="A1263" s="7" t="s">
        <v>6680</v>
      </c>
      <c r="B1263" s="7" t="s">
        <v>285</v>
      </c>
      <c r="C1263" s="9">
        <v>45993</v>
      </c>
      <c r="D1263" s="9">
        <v>46023</v>
      </c>
      <c r="E1263" s="3">
        <v>1961.02</v>
      </c>
      <c r="F1263" s="7" t="s">
        <v>369</v>
      </c>
      <c r="H1263" s="9"/>
      <c r="I1263" s="9"/>
    </row>
    <row r="1264" spans="1:9" x14ac:dyDescent="0.3">
      <c r="A1264" s="7" t="s">
        <v>6681</v>
      </c>
      <c r="B1264" s="7" t="s">
        <v>333</v>
      </c>
      <c r="C1264" s="9">
        <v>45991</v>
      </c>
      <c r="D1264" s="9">
        <v>46021</v>
      </c>
      <c r="E1264" s="3">
        <v>6798.23</v>
      </c>
      <c r="F1264" s="7" t="s">
        <v>367</v>
      </c>
      <c r="H1264" s="9"/>
      <c r="I1264" s="9"/>
    </row>
    <row r="1265" spans="1:9" x14ac:dyDescent="0.3">
      <c r="A1265" s="7" t="s">
        <v>6682</v>
      </c>
      <c r="B1265" s="7" t="s">
        <v>339</v>
      </c>
      <c r="C1265" s="9">
        <v>46042</v>
      </c>
      <c r="D1265" s="9">
        <v>46072</v>
      </c>
      <c r="E1265" s="3">
        <v>2299.39</v>
      </c>
      <c r="F1265" s="7" t="s">
        <v>367</v>
      </c>
      <c r="H1265" s="9"/>
      <c r="I1265" s="9"/>
    </row>
    <row r="1266" spans="1:9" x14ac:dyDescent="0.3">
      <c r="A1266" s="7" t="s">
        <v>6683</v>
      </c>
      <c r="B1266" s="7" t="s">
        <v>281</v>
      </c>
      <c r="C1266" s="9">
        <v>46076</v>
      </c>
      <c r="D1266" s="9">
        <v>46106</v>
      </c>
      <c r="E1266" s="3">
        <v>2805.44</v>
      </c>
      <c r="F1266" s="7" t="s">
        <v>367</v>
      </c>
      <c r="H1266" s="9"/>
      <c r="I1266" s="9"/>
    </row>
    <row r="1267" spans="1:9" x14ac:dyDescent="0.3">
      <c r="A1267" s="7" t="s">
        <v>6684</v>
      </c>
      <c r="B1267" s="7" t="s">
        <v>283</v>
      </c>
      <c r="C1267" s="9">
        <v>46047</v>
      </c>
      <c r="D1267" s="9">
        <v>46077</v>
      </c>
      <c r="E1267" s="3">
        <v>3489.77</v>
      </c>
      <c r="F1267" s="7" t="s">
        <v>387</v>
      </c>
      <c r="H1267" s="9"/>
      <c r="I1267" s="9"/>
    </row>
    <row r="1268" spans="1:9" x14ac:dyDescent="0.3">
      <c r="A1268" s="7" t="s">
        <v>6685</v>
      </c>
      <c r="B1268" s="7" t="s">
        <v>313</v>
      </c>
      <c r="C1268" s="9">
        <v>46037</v>
      </c>
      <c r="D1268" s="9">
        <v>46067</v>
      </c>
      <c r="E1268" s="3">
        <v>2637.59</v>
      </c>
      <c r="F1268" s="7" t="s">
        <v>367</v>
      </c>
      <c r="H1268" s="9"/>
      <c r="I1268" s="9"/>
    </row>
    <row r="1269" spans="1:9" x14ac:dyDescent="0.3">
      <c r="A1269" s="7" t="s">
        <v>6686</v>
      </c>
      <c r="B1269" s="7" t="s">
        <v>311</v>
      </c>
      <c r="C1269" s="9">
        <v>46085</v>
      </c>
      <c r="D1269" s="9">
        <v>46115</v>
      </c>
      <c r="E1269" s="3">
        <v>6749.47</v>
      </c>
      <c r="F1269" s="7" t="s">
        <v>367</v>
      </c>
      <c r="H1269" s="9"/>
      <c r="I1269" s="9"/>
    </row>
    <row r="1270" spans="1:9" x14ac:dyDescent="0.3">
      <c r="A1270" s="7" t="s">
        <v>6687</v>
      </c>
      <c r="B1270" s="7" t="s">
        <v>272</v>
      </c>
      <c r="C1270" s="9">
        <v>46011</v>
      </c>
      <c r="D1270" s="9">
        <v>46041</v>
      </c>
      <c r="E1270" s="3">
        <v>6494.43</v>
      </c>
      <c r="F1270" s="7" t="s">
        <v>369</v>
      </c>
      <c r="H1270" s="9"/>
      <c r="I1270" s="9"/>
    </row>
    <row r="1271" spans="1:9" x14ac:dyDescent="0.3">
      <c r="A1271" s="7" t="s">
        <v>6688</v>
      </c>
      <c r="B1271" s="7" t="s">
        <v>321</v>
      </c>
      <c r="C1271" s="9">
        <v>46083</v>
      </c>
      <c r="D1271" s="9">
        <v>46113</v>
      </c>
      <c r="E1271" s="3">
        <v>1478.03</v>
      </c>
      <c r="F1271" s="7" t="s">
        <v>369</v>
      </c>
      <c r="H1271" s="9"/>
      <c r="I1271" s="9"/>
    </row>
    <row r="1272" spans="1:9" x14ac:dyDescent="0.3">
      <c r="A1272" s="7" t="s">
        <v>6689</v>
      </c>
      <c r="B1272" s="7" t="s">
        <v>325</v>
      </c>
      <c r="C1272" s="9">
        <v>46090</v>
      </c>
      <c r="D1272" s="9">
        <v>46120</v>
      </c>
      <c r="E1272" s="3">
        <v>4218.8999999999996</v>
      </c>
      <c r="F1272" s="7" t="s">
        <v>367</v>
      </c>
      <c r="H1272" s="9"/>
      <c r="I1272" s="9"/>
    </row>
    <row r="1273" spans="1:9" x14ac:dyDescent="0.3">
      <c r="A1273" s="7" t="s">
        <v>6690</v>
      </c>
      <c r="B1273" s="7" t="s">
        <v>339</v>
      </c>
      <c r="C1273" s="9">
        <v>45994</v>
      </c>
      <c r="D1273" s="9">
        <v>46024</v>
      </c>
      <c r="E1273" s="3">
        <v>6735.05</v>
      </c>
      <c r="F1273" s="7" t="s">
        <v>369</v>
      </c>
      <c r="H1273" s="9"/>
      <c r="I1273" s="9"/>
    </row>
    <row r="1274" spans="1:9" x14ac:dyDescent="0.3">
      <c r="A1274" s="7" t="s">
        <v>6691</v>
      </c>
      <c r="B1274" s="7" t="s">
        <v>309</v>
      </c>
      <c r="C1274" s="9">
        <v>45962</v>
      </c>
      <c r="D1274" s="9">
        <v>45992</v>
      </c>
      <c r="E1274" s="3">
        <v>5768.88</v>
      </c>
      <c r="F1274" s="7" t="s">
        <v>367</v>
      </c>
      <c r="H1274" s="9"/>
      <c r="I1274" s="9"/>
    </row>
    <row r="1275" spans="1:9" x14ac:dyDescent="0.3">
      <c r="A1275" s="7" t="s">
        <v>6692</v>
      </c>
      <c r="B1275" s="7" t="s">
        <v>279</v>
      </c>
      <c r="C1275" s="9">
        <v>45989</v>
      </c>
      <c r="D1275" s="9">
        <v>46019</v>
      </c>
      <c r="E1275" s="3">
        <v>6017.38</v>
      </c>
      <c r="F1275" s="7" t="s">
        <v>367</v>
      </c>
      <c r="H1275" s="9"/>
      <c r="I1275" s="9"/>
    </row>
    <row r="1276" spans="1:9" x14ac:dyDescent="0.3">
      <c r="A1276" s="7" t="s">
        <v>6693</v>
      </c>
      <c r="B1276" s="7" t="s">
        <v>269</v>
      </c>
      <c r="C1276" s="9">
        <v>46075</v>
      </c>
      <c r="D1276" s="9">
        <v>46105</v>
      </c>
      <c r="E1276" s="3">
        <v>6212.83</v>
      </c>
      <c r="F1276" s="7" t="s">
        <v>367</v>
      </c>
      <c r="H1276" s="9"/>
      <c r="I1276" s="9"/>
    </row>
    <row r="1277" spans="1:9" x14ac:dyDescent="0.3">
      <c r="A1277" s="7" t="s">
        <v>6694</v>
      </c>
      <c r="B1277" s="7" t="s">
        <v>341</v>
      </c>
      <c r="C1277" s="9">
        <v>46029</v>
      </c>
      <c r="D1277" s="9">
        <v>46059</v>
      </c>
      <c r="E1277" s="3">
        <v>1938.54</v>
      </c>
      <c r="F1277" s="7" t="s">
        <v>367</v>
      </c>
      <c r="H1277" s="9"/>
      <c r="I1277" s="9"/>
    </row>
    <row r="1278" spans="1:9" x14ac:dyDescent="0.3">
      <c r="A1278" s="7" t="s">
        <v>6695</v>
      </c>
      <c r="B1278" s="7" t="s">
        <v>287</v>
      </c>
      <c r="C1278" s="9">
        <v>46056</v>
      </c>
      <c r="D1278" s="9">
        <v>46086</v>
      </c>
      <c r="E1278" s="3">
        <v>4041.69</v>
      </c>
      <c r="F1278" s="7" t="s">
        <v>367</v>
      </c>
      <c r="H1278" s="9"/>
      <c r="I1278" s="9"/>
    </row>
    <row r="1279" spans="1:9" x14ac:dyDescent="0.3">
      <c r="A1279" s="7" t="s">
        <v>6696</v>
      </c>
      <c r="B1279" s="7" t="s">
        <v>309</v>
      </c>
      <c r="C1279" s="9">
        <v>46036</v>
      </c>
      <c r="D1279" s="9">
        <v>46066</v>
      </c>
      <c r="E1279" s="3">
        <v>4764.6000000000004</v>
      </c>
      <c r="F1279" s="7" t="s">
        <v>387</v>
      </c>
      <c r="H1279" s="9"/>
      <c r="I1279" s="9"/>
    </row>
    <row r="1280" spans="1:9" x14ac:dyDescent="0.3">
      <c r="A1280" s="7" t="s">
        <v>6697</v>
      </c>
      <c r="B1280" s="7" t="s">
        <v>264</v>
      </c>
      <c r="C1280" s="9">
        <v>45986</v>
      </c>
      <c r="D1280" s="9">
        <v>46016</v>
      </c>
      <c r="E1280" s="3">
        <v>5598.44</v>
      </c>
      <c r="F1280" s="7" t="s">
        <v>367</v>
      </c>
      <c r="H1280" s="9"/>
      <c r="I1280" s="9"/>
    </row>
    <row r="1281" spans="1:9" x14ac:dyDescent="0.3">
      <c r="A1281" s="7" t="s">
        <v>6698</v>
      </c>
      <c r="B1281" s="7" t="s">
        <v>276</v>
      </c>
      <c r="C1281" s="9">
        <v>46068</v>
      </c>
      <c r="D1281" s="9">
        <v>46098</v>
      </c>
      <c r="E1281" s="3">
        <v>5332.74</v>
      </c>
      <c r="F1281" s="7" t="s">
        <v>367</v>
      </c>
      <c r="H1281" s="9"/>
      <c r="I1281" s="9"/>
    </row>
    <row r="1282" spans="1:9" x14ac:dyDescent="0.3">
      <c r="A1282" s="7" t="s">
        <v>6699</v>
      </c>
      <c r="B1282" s="7" t="s">
        <v>272</v>
      </c>
      <c r="C1282" s="9">
        <v>45979</v>
      </c>
      <c r="D1282" s="9">
        <v>46009</v>
      </c>
      <c r="E1282" s="3">
        <v>4791.2299999999996</v>
      </c>
      <c r="F1282" s="7" t="s">
        <v>367</v>
      </c>
      <c r="H1282" s="9"/>
      <c r="I1282" s="9"/>
    </row>
    <row r="1283" spans="1:9" x14ac:dyDescent="0.3">
      <c r="A1283" s="7" t="s">
        <v>6700</v>
      </c>
      <c r="B1283" s="7" t="s">
        <v>327</v>
      </c>
      <c r="C1283" s="9">
        <v>46048</v>
      </c>
      <c r="D1283" s="9">
        <v>46078</v>
      </c>
      <c r="E1283" s="3">
        <v>2506.4699999999998</v>
      </c>
      <c r="F1283" s="7" t="s">
        <v>367</v>
      </c>
      <c r="H1283" s="9"/>
      <c r="I1283" s="9"/>
    </row>
    <row r="1284" spans="1:9" x14ac:dyDescent="0.3">
      <c r="A1284" s="7" t="s">
        <v>6701</v>
      </c>
      <c r="B1284" s="7" t="s">
        <v>341</v>
      </c>
      <c r="C1284" s="9">
        <v>46067</v>
      </c>
      <c r="D1284" s="9">
        <v>46097</v>
      </c>
      <c r="E1284" s="3">
        <v>2936.7</v>
      </c>
      <c r="F1284" s="7" t="s">
        <v>387</v>
      </c>
      <c r="H1284" s="9"/>
      <c r="I1284" s="9"/>
    </row>
    <row r="1285" spans="1:9" x14ac:dyDescent="0.3">
      <c r="A1285" s="7" t="s">
        <v>6702</v>
      </c>
      <c r="B1285" s="7" t="s">
        <v>289</v>
      </c>
      <c r="C1285" s="9">
        <v>45970</v>
      </c>
      <c r="D1285" s="9">
        <v>46000</v>
      </c>
      <c r="E1285" s="3">
        <v>3330.06</v>
      </c>
      <c r="F1285" s="7" t="s">
        <v>367</v>
      </c>
      <c r="H1285" s="9"/>
      <c r="I1285" s="9"/>
    </row>
    <row r="1286" spans="1:9" x14ac:dyDescent="0.3">
      <c r="A1286" s="7" t="s">
        <v>6703</v>
      </c>
      <c r="B1286" s="7" t="s">
        <v>335</v>
      </c>
      <c r="C1286" s="9">
        <v>45986</v>
      </c>
      <c r="D1286" s="9">
        <v>46016</v>
      </c>
      <c r="E1286" s="3">
        <v>897.2</v>
      </c>
      <c r="F1286" s="7" t="s">
        <v>367</v>
      </c>
      <c r="H1286" s="9"/>
      <c r="I1286" s="9"/>
    </row>
    <row r="1287" spans="1:9" x14ac:dyDescent="0.3">
      <c r="A1287" s="7" t="s">
        <v>6704</v>
      </c>
      <c r="B1287" s="7" t="s">
        <v>327</v>
      </c>
      <c r="C1287" s="9">
        <v>46082</v>
      </c>
      <c r="D1287" s="9">
        <v>46112</v>
      </c>
      <c r="E1287" s="3">
        <v>4761.42</v>
      </c>
      <c r="F1287" s="7" t="s">
        <v>367</v>
      </c>
      <c r="H1287" s="9"/>
      <c r="I1287" s="9"/>
    </row>
    <row r="1288" spans="1:9" x14ac:dyDescent="0.3">
      <c r="A1288" s="7" t="s">
        <v>6705</v>
      </c>
      <c r="B1288" s="7" t="s">
        <v>287</v>
      </c>
      <c r="C1288" s="9">
        <v>46042</v>
      </c>
      <c r="D1288" s="9">
        <v>46072</v>
      </c>
      <c r="E1288" s="3">
        <v>6409.13</v>
      </c>
      <c r="F1288" s="7" t="s">
        <v>367</v>
      </c>
      <c r="H1288" s="9"/>
      <c r="I1288" s="9"/>
    </row>
    <row r="1289" spans="1:9" x14ac:dyDescent="0.3">
      <c r="A1289" s="7" t="s">
        <v>6706</v>
      </c>
      <c r="B1289" s="7" t="s">
        <v>297</v>
      </c>
      <c r="C1289" s="9">
        <v>46019</v>
      </c>
      <c r="D1289" s="9">
        <v>46049</v>
      </c>
      <c r="E1289" s="3">
        <v>5150.84</v>
      </c>
      <c r="F1289" s="7" t="s">
        <v>367</v>
      </c>
      <c r="H1289" s="9"/>
      <c r="I1289" s="9"/>
    </row>
    <row r="1290" spans="1:9" x14ac:dyDescent="0.3">
      <c r="A1290" s="7" t="s">
        <v>6707</v>
      </c>
      <c r="B1290" s="7" t="s">
        <v>325</v>
      </c>
      <c r="C1290" s="9">
        <v>46069</v>
      </c>
      <c r="D1290" s="9">
        <v>46099</v>
      </c>
      <c r="E1290" s="3">
        <v>6660.18</v>
      </c>
      <c r="F1290" s="7" t="s">
        <v>369</v>
      </c>
      <c r="H1290" s="9"/>
      <c r="I1290" s="9"/>
    </row>
    <row r="1291" spans="1:9" x14ac:dyDescent="0.3">
      <c r="A1291" s="7" t="s">
        <v>6708</v>
      </c>
      <c r="B1291" s="7" t="s">
        <v>305</v>
      </c>
      <c r="C1291" s="9">
        <v>46018</v>
      </c>
      <c r="D1291" s="9">
        <v>46048</v>
      </c>
      <c r="E1291" s="3">
        <v>3867.87</v>
      </c>
      <c r="F1291" s="7" t="s">
        <v>369</v>
      </c>
      <c r="H1291" s="9"/>
      <c r="I1291" s="9"/>
    </row>
    <row r="1292" spans="1:9" x14ac:dyDescent="0.3">
      <c r="A1292" s="7" t="s">
        <v>6709</v>
      </c>
      <c r="B1292" s="7" t="s">
        <v>299</v>
      </c>
      <c r="C1292" s="9">
        <v>45991</v>
      </c>
      <c r="D1292" s="9">
        <v>46021</v>
      </c>
      <c r="E1292" s="3">
        <v>2691.47</v>
      </c>
      <c r="F1292" s="7" t="s">
        <v>369</v>
      </c>
      <c r="H1292" s="9"/>
      <c r="I1292" s="9"/>
    </row>
    <row r="1293" spans="1:9" x14ac:dyDescent="0.3">
      <c r="A1293" s="7" t="s">
        <v>6710</v>
      </c>
      <c r="B1293" s="7" t="s">
        <v>317</v>
      </c>
      <c r="C1293" s="9">
        <v>46084</v>
      </c>
      <c r="D1293" s="9">
        <v>46114</v>
      </c>
      <c r="E1293" s="3">
        <v>5005.3900000000003</v>
      </c>
      <c r="F1293" s="7" t="s">
        <v>369</v>
      </c>
      <c r="H1293" s="9"/>
      <c r="I1293" s="9"/>
    </row>
    <row r="1294" spans="1:9" x14ac:dyDescent="0.3">
      <c r="A1294" s="7" t="s">
        <v>6711</v>
      </c>
      <c r="B1294" s="7" t="s">
        <v>313</v>
      </c>
      <c r="C1294" s="9">
        <v>46002</v>
      </c>
      <c r="D1294" s="9">
        <v>46032</v>
      </c>
      <c r="E1294" s="3">
        <v>4165.05</v>
      </c>
      <c r="F1294" s="7" t="s">
        <v>367</v>
      </c>
      <c r="H1294" s="9"/>
      <c r="I1294" s="9"/>
    </row>
    <row r="1295" spans="1:9" x14ac:dyDescent="0.3">
      <c r="A1295" s="7" t="s">
        <v>6712</v>
      </c>
      <c r="B1295" s="7" t="s">
        <v>303</v>
      </c>
      <c r="C1295" s="9">
        <v>46043</v>
      </c>
      <c r="D1295" s="9">
        <v>46073</v>
      </c>
      <c r="E1295" s="3">
        <v>2369.54</v>
      </c>
      <c r="F1295" s="7" t="s">
        <v>367</v>
      </c>
      <c r="H1295" s="9"/>
      <c r="I1295" s="9"/>
    </row>
    <row r="1296" spans="1:9" x14ac:dyDescent="0.3">
      <c r="A1296" s="7" t="s">
        <v>6713</v>
      </c>
      <c r="B1296" s="7" t="s">
        <v>272</v>
      </c>
      <c r="C1296" s="9">
        <v>46084</v>
      </c>
      <c r="D1296" s="9">
        <v>46114</v>
      </c>
      <c r="E1296" s="3">
        <v>2540.2600000000002</v>
      </c>
      <c r="F1296" s="7" t="s">
        <v>367</v>
      </c>
      <c r="H1296" s="9"/>
      <c r="I1296" s="9"/>
    </row>
    <row r="1297" spans="1:9" x14ac:dyDescent="0.3">
      <c r="A1297" s="7" t="s">
        <v>6714</v>
      </c>
      <c r="B1297" s="7" t="s">
        <v>317</v>
      </c>
      <c r="C1297" s="9">
        <v>46082</v>
      </c>
      <c r="D1297" s="9">
        <v>46112</v>
      </c>
      <c r="E1297" s="3">
        <v>2994.4</v>
      </c>
      <c r="F1297" s="7" t="s">
        <v>369</v>
      </c>
      <c r="H1297" s="9"/>
      <c r="I1297" s="9"/>
    </row>
    <row r="1298" spans="1:9" x14ac:dyDescent="0.3">
      <c r="A1298" s="7" t="s">
        <v>6715</v>
      </c>
      <c r="B1298" s="7" t="s">
        <v>299</v>
      </c>
      <c r="C1298" s="9">
        <v>45992</v>
      </c>
      <c r="D1298" s="9">
        <v>46022</v>
      </c>
      <c r="E1298" s="3">
        <v>3941.39</v>
      </c>
      <c r="F1298" s="7" t="s">
        <v>369</v>
      </c>
      <c r="H1298" s="9"/>
      <c r="I1298" s="9"/>
    </row>
    <row r="1299" spans="1:9" x14ac:dyDescent="0.3">
      <c r="A1299" s="7" t="s">
        <v>6716</v>
      </c>
      <c r="B1299" s="7" t="s">
        <v>293</v>
      </c>
      <c r="C1299" s="9">
        <v>46042</v>
      </c>
      <c r="D1299" s="9">
        <v>46072</v>
      </c>
      <c r="E1299" s="3">
        <v>4900.37</v>
      </c>
      <c r="F1299" s="7" t="s">
        <v>369</v>
      </c>
      <c r="H1299" s="9"/>
      <c r="I1299" s="9"/>
    </row>
    <row r="1300" spans="1:9" x14ac:dyDescent="0.3">
      <c r="A1300" s="7" t="s">
        <v>6717</v>
      </c>
      <c r="B1300" s="7" t="s">
        <v>319</v>
      </c>
      <c r="C1300" s="9">
        <v>46078</v>
      </c>
      <c r="D1300" s="9">
        <v>46108</v>
      </c>
      <c r="E1300" s="3">
        <v>4705.88</v>
      </c>
      <c r="F1300" s="7" t="s">
        <v>369</v>
      </c>
      <c r="H1300" s="9"/>
      <c r="I1300" s="9"/>
    </row>
    <row r="1301" spans="1:9" x14ac:dyDescent="0.3">
      <c r="A1301" s="7" t="s">
        <v>6718</v>
      </c>
      <c r="B1301" s="7" t="s">
        <v>291</v>
      </c>
      <c r="C1301" s="9">
        <v>45978</v>
      </c>
      <c r="D1301" s="9">
        <v>46008</v>
      </c>
      <c r="E1301" s="3">
        <v>3491.89</v>
      </c>
      <c r="F1301" s="7" t="s">
        <v>367</v>
      </c>
      <c r="H1301" s="9"/>
      <c r="I1301" s="9"/>
    </row>
    <row r="1302" spans="1:9" x14ac:dyDescent="0.3">
      <c r="A1302" s="7" t="s">
        <v>6719</v>
      </c>
      <c r="B1302" s="7" t="s">
        <v>305</v>
      </c>
      <c r="C1302" s="9">
        <v>45983</v>
      </c>
      <c r="D1302" s="9">
        <v>46013</v>
      </c>
      <c r="E1302" s="3">
        <v>2290.09</v>
      </c>
      <c r="F1302" s="7" t="s">
        <v>367</v>
      </c>
      <c r="H1302" s="9"/>
      <c r="I1302" s="9"/>
    </row>
    <row r="1303" spans="1:9" x14ac:dyDescent="0.3">
      <c r="A1303" s="7" t="s">
        <v>6720</v>
      </c>
      <c r="B1303" s="7" t="s">
        <v>325</v>
      </c>
      <c r="C1303" s="9">
        <v>45974</v>
      </c>
      <c r="D1303" s="9">
        <v>46004</v>
      </c>
      <c r="E1303" s="3">
        <v>3062.5</v>
      </c>
      <c r="F1303" s="7" t="s">
        <v>367</v>
      </c>
      <c r="H1303" s="9"/>
      <c r="I1303" s="9"/>
    </row>
    <row r="1304" spans="1:9" x14ac:dyDescent="0.3">
      <c r="A1304" s="7" t="s">
        <v>6721</v>
      </c>
      <c r="B1304" s="7" t="s">
        <v>301</v>
      </c>
      <c r="C1304" s="9">
        <v>46000</v>
      </c>
      <c r="D1304" s="9">
        <v>46030</v>
      </c>
      <c r="E1304" s="3">
        <v>2310.96</v>
      </c>
      <c r="F1304" s="7" t="s">
        <v>369</v>
      </c>
      <c r="H1304" s="9"/>
      <c r="I1304" s="9"/>
    </row>
    <row r="1305" spans="1:9" x14ac:dyDescent="0.3">
      <c r="A1305" s="7" t="s">
        <v>6722</v>
      </c>
      <c r="B1305" s="7" t="s">
        <v>343</v>
      </c>
      <c r="C1305" s="9">
        <v>46043</v>
      </c>
      <c r="D1305" s="9">
        <v>46073</v>
      </c>
      <c r="E1305" s="3">
        <v>4277.29</v>
      </c>
      <c r="F1305" s="7" t="s">
        <v>367</v>
      </c>
      <c r="H1305" s="9"/>
      <c r="I1305" s="9"/>
    </row>
    <row r="1306" spans="1:9" x14ac:dyDescent="0.3">
      <c r="A1306" s="7" t="s">
        <v>6723</v>
      </c>
      <c r="B1306" s="7" t="s">
        <v>303</v>
      </c>
      <c r="C1306" s="9">
        <v>45968</v>
      </c>
      <c r="D1306" s="9">
        <v>45998</v>
      </c>
      <c r="E1306" s="3">
        <v>2311.9</v>
      </c>
      <c r="F1306" s="7" t="s">
        <v>387</v>
      </c>
      <c r="H1306" s="9"/>
      <c r="I1306" s="9"/>
    </row>
    <row r="1307" spans="1:9" x14ac:dyDescent="0.3">
      <c r="A1307" s="7" t="s">
        <v>6724</v>
      </c>
      <c r="B1307" s="7" t="s">
        <v>307</v>
      </c>
      <c r="C1307" s="9">
        <v>46047</v>
      </c>
      <c r="D1307" s="9">
        <v>46077</v>
      </c>
      <c r="E1307" s="3">
        <v>6172.43</v>
      </c>
      <c r="F1307" s="7" t="s">
        <v>367</v>
      </c>
      <c r="H1307" s="9"/>
      <c r="I1307" s="9"/>
    </row>
    <row r="1308" spans="1:9" x14ac:dyDescent="0.3">
      <c r="A1308" s="7" t="s">
        <v>6725</v>
      </c>
      <c r="B1308" s="7" t="s">
        <v>303</v>
      </c>
      <c r="C1308" s="9">
        <v>45994</v>
      </c>
      <c r="D1308" s="9">
        <v>46024</v>
      </c>
      <c r="E1308" s="3">
        <v>2778.59</v>
      </c>
      <c r="F1308" s="7" t="s">
        <v>367</v>
      </c>
      <c r="H1308" s="9"/>
      <c r="I1308" s="9"/>
    </row>
    <row r="1309" spans="1:9" x14ac:dyDescent="0.3">
      <c r="A1309" s="7" t="s">
        <v>6726</v>
      </c>
      <c r="B1309" s="7" t="s">
        <v>341</v>
      </c>
      <c r="C1309" s="9">
        <v>45980</v>
      </c>
      <c r="D1309" s="9">
        <v>46010</v>
      </c>
      <c r="E1309" s="3">
        <v>1884.18</v>
      </c>
      <c r="F1309" s="7" t="s">
        <v>367</v>
      </c>
      <c r="H1309" s="9"/>
      <c r="I1309" s="9"/>
    </row>
    <row r="1310" spans="1:9" x14ac:dyDescent="0.3">
      <c r="A1310" s="7" t="s">
        <v>6727</v>
      </c>
      <c r="B1310" s="7" t="s">
        <v>261</v>
      </c>
      <c r="C1310" s="9">
        <v>46011</v>
      </c>
      <c r="D1310" s="9">
        <v>46041</v>
      </c>
      <c r="E1310" s="3">
        <v>1117.05</v>
      </c>
      <c r="F1310" s="7" t="s">
        <v>367</v>
      </c>
      <c r="H1310" s="9"/>
      <c r="I1310" s="9"/>
    </row>
    <row r="1311" spans="1:9" x14ac:dyDescent="0.3">
      <c r="A1311" s="7" t="s">
        <v>6728</v>
      </c>
      <c r="B1311" s="7" t="s">
        <v>289</v>
      </c>
      <c r="C1311" s="9">
        <v>46009</v>
      </c>
      <c r="D1311" s="9">
        <v>46039</v>
      </c>
      <c r="E1311" s="3">
        <v>4316.3</v>
      </c>
      <c r="F1311" s="7" t="s">
        <v>367</v>
      </c>
      <c r="H1311" s="9"/>
      <c r="I1311" s="9"/>
    </row>
    <row r="1312" spans="1:9" x14ac:dyDescent="0.3">
      <c r="A1312" s="7" t="s">
        <v>6729</v>
      </c>
      <c r="B1312" s="7" t="s">
        <v>327</v>
      </c>
      <c r="C1312" s="9">
        <v>46030</v>
      </c>
      <c r="D1312" s="9">
        <v>46060</v>
      </c>
      <c r="E1312" s="3">
        <v>6423.31</v>
      </c>
      <c r="F1312" s="7" t="s">
        <v>369</v>
      </c>
      <c r="H1312" s="9"/>
      <c r="I1312" s="9"/>
    </row>
    <row r="1313" spans="1:9" x14ac:dyDescent="0.3">
      <c r="A1313" s="7" t="s">
        <v>6730</v>
      </c>
      <c r="B1313" s="7" t="s">
        <v>299</v>
      </c>
      <c r="C1313" s="9">
        <v>46015</v>
      </c>
      <c r="D1313" s="9">
        <v>46045</v>
      </c>
      <c r="E1313" s="3">
        <v>4736.6000000000004</v>
      </c>
      <c r="F1313" s="7" t="s">
        <v>369</v>
      </c>
      <c r="H1313" s="9"/>
      <c r="I1313" s="9"/>
    </row>
    <row r="1314" spans="1:9" x14ac:dyDescent="0.3">
      <c r="A1314" s="7" t="s">
        <v>6731</v>
      </c>
      <c r="B1314" s="7" t="s">
        <v>261</v>
      </c>
      <c r="C1314" s="9">
        <v>46056</v>
      </c>
      <c r="D1314" s="9">
        <v>46086</v>
      </c>
      <c r="E1314" s="3">
        <v>2298.4699999999998</v>
      </c>
      <c r="F1314" s="7" t="s">
        <v>369</v>
      </c>
      <c r="H1314" s="9"/>
      <c r="I1314" s="9"/>
    </row>
    <row r="1315" spans="1:9" x14ac:dyDescent="0.3">
      <c r="A1315" s="7" t="s">
        <v>6732</v>
      </c>
      <c r="B1315" s="7" t="s">
        <v>281</v>
      </c>
      <c r="C1315" s="9">
        <v>45978</v>
      </c>
      <c r="D1315" s="9">
        <v>46008</v>
      </c>
      <c r="E1315" s="3">
        <v>2877.51</v>
      </c>
      <c r="F1315" s="7" t="s">
        <v>387</v>
      </c>
      <c r="H1315" s="9"/>
      <c r="I1315" s="9"/>
    </row>
    <row r="1316" spans="1:9" x14ac:dyDescent="0.3">
      <c r="A1316" s="7" t="s">
        <v>6733</v>
      </c>
      <c r="B1316" s="7" t="s">
        <v>267</v>
      </c>
      <c r="C1316" s="9">
        <v>46045</v>
      </c>
      <c r="D1316" s="9">
        <v>46075</v>
      </c>
      <c r="E1316" s="3">
        <v>4994.82</v>
      </c>
      <c r="F1316" s="7" t="s">
        <v>367</v>
      </c>
      <c r="H1316" s="9"/>
      <c r="I1316" s="9"/>
    </row>
    <row r="1317" spans="1:9" x14ac:dyDescent="0.3">
      <c r="A1317" s="7" t="s">
        <v>6734</v>
      </c>
      <c r="B1317" s="7" t="s">
        <v>303</v>
      </c>
      <c r="C1317" s="9">
        <v>46042</v>
      </c>
      <c r="D1317" s="9">
        <v>46072</v>
      </c>
      <c r="E1317" s="3">
        <v>6953.23</v>
      </c>
      <c r="F1317" s="7" t="s">
        <v>367</v>
      </c>
      <c r="H1317" s="9"/>
      <c r="I1317" s="9"/>
    </row>
    <row r="1318" spans="1:9" x14ac:dyDescent="0.3">
      <c r="A1318" s="7" t="s">
        <v>6735</v>
      </c>
      <c r="B1318" s="7" t="s">
        <v>276</v>
      </c>
      <c r="C1318" s="9">
        <v>46048</v>
      </c>
      <c r="D1318" s="9">
        <v>46078</v>
      </c>
      <c r="E1318" s="3">
        <v>2732.24</v>
      </c>
      <c r="F1318" s="7" t="s">
        <v>367</v>
      </c>
      <c r="H1318" s="9"/>
      <c r="I1318" s="9"/>
    </row>
    <row r="1319" spans="1:9" x14ac:dyDescent="0.3">
      <c r="A1319" s="7" t="s">
        <v>6736</v>
      </c>
      <c r="B1319" s="7" t="s">
        <v>281</v>
      </c>
      <c r="C1319" s="9">
        <v>46024</v>
      </c>
      <c r="D1319" s="9">
        <v>46054</v>
      </c>
      <c r="E1319" s="3">
        <v>6434.91</v>
      </c>
      <c r="F1319" s="7" t="s">
        <v>367</v>
      </c>
      <c r="H1319" s="9"/>
      <c r="I1319" s="9"/>
    </row>
    <row r="1320" spans="1:9" x14ac:dyDescent="0.3">
      <c r="A1320" s="7" t="s">
        <v>6737</v>
      </c>
      <c r="B1320" s="7" t="s">
        <v>293</v>
      </c>
      <c r="C1320" s="9">
        <v>46035</v>
      </c>
      <c r="D1320" s="9">
        <v>46065</v>
      </c>
      <c r="E1320" s="3">
        <v>5911.06</v>
      </c>
      <c r="F1320" s="7" t="s">
        <v>369</v>
      </c>
      <c r="H1320" s="9"/>
      <c r="I1320" s="9"/>
    </row>
    <row r="1321" spans="1:9" x14ac:dyDescent="0.3">
      <c r="A1321" s="7" t="s">
        <v>6738</v>
      </c>
      <c r="B1321" s="7" t="s">
        <v>289</v>
      </c>
      <c r="C1321" s="9">
        <v>46041</v>
      </c>
      <c r="D1321" s="9">
        <v>46071</v>
      </c>
      <c r="E1321" s="3">
        <v>1287.75</v>
      </c>
      <c r="F1321" s="7" t="s">
        <v>369</v>
      </c>
      <c r="H1321" s="9"/>
      <c r="I1321" s="9"/>
    </row>
    <row r="1322" spans="1:9" x14ac:dyDescent="0.3">
      <c r="A1322" s="7" t="s">
        <v>6739</v>
      </c>
      <c r="B1322" s="7" t="s">
        <v>283</v>
      </c>
      <c r="C1322" s="9">
        <v>46081</v>
      </c>
      <c r="D1322" s="9">
        <v>46111</v>
      </c>
      <c r="E1322" s="3">
        <v>2281.8000000000002</v>
      </c>
      <c r="F1322" s="7" t="s">
        <v>367</v>
      </c>
      <c r="H1322" s="9"/>
      <c r="I1322" s="9"/>
    </row>
    <row r="1323" spans="1:9" x14ac:dyDescent="0.3">
      <c r="A1323" s="7" t="s">
        <v>6740</v>
      </c>
      <c r="B1323" s="7" t="s">
        <v>285</v>
      </c>
      <c r="C1323" s="9">
        <v>46049</v>
      </c>
      <c r="D1323" s="9">
        <v>46079</v>
      </c>
      <c r="E1323" s="3">
        <v>3286.85</v>
      </c>
      <c r="F1323" s="7" t="s">
        <v>367</v>
      </c>
      <c r="H1323" s="9"/>
      <c r="I1323" s="9"/>
    </row>
    <row r="1324" spans="1:9" x14ac:dyDescent="0.3">
      <c r="A1324" s="7" t="s">
        <v>6741</v>
      </c>
      <c r="B1324" s="7" t="s">
        <v>283</v>
      </c>
      <c r="C1324" s="9">
        <v>45999</v>
      </c>
      <c r="D1324" s="9">
        <v>46029</v>
      </c>
      <c r="E1324" s="3">
        <v>4218.4399999999996</v>
      </c>
      <c r="F1324" s="7" t="s">
        <v>369</v>
      </c>
      <c r="H1324" s="9"/>
      <c r="I1324" s="9"/>
    </row>
    <row r="1325" spans="1:9" x14ac:dyDescent="0.3">
      <c r="A1325" s="7" t="s">
        <v>6742</v>
      </c>
      <c r="B1325" s="7" t="s">
        <v>309</v>
      </c>
      <c r="C1325" s="9">
        <v>46001</v>
      </c>
      <c r="D1325" s="9">
        <v>46031</v>
      </c>
      <c r="E1325" s="3">
        <v>1488.26</v>
      </c>
      <c r="F1325" s="7" t="s">
        <v>367</v>
      </c>
      <c r="H1325" s="9"/>
      <c r="I1325" s="9"/>
    </row>
    <row r="1326" spans="1:9" x14ac:dyDescent="0.3">
      <c r="A1326" s="7" t="s">
        <v>6743</v>
      </c>
      <c r="B1326" s="7" t="s">
        <v>293</v>
      </c>
      <c r="C1326" s="9">
        <v>45966</v>
      </c>
      <c r="D1326" s="9">
        <v>45996</v>
      </c>
      <c r="E1326" s="3">
        <v>4076.88</v>
      </c>
      <c r="F1326" s="7" t="s">
        <v>367</v>
      </c>
      <c r="H1326" s="9"/>
      <c r="I1326" s="9"/>
    </row>
    <row r="1327" spans="1:9" x14ac:dyDescent="0.3">
      <c r="A1327" s="7" t="s">
        <v>6744</v>
      </c>
      <c r="B1327" s="7" t="s">
        <v>309</v>
      </c>
      <c r="C1327" s="9">
        <v>46004</v>
      </c>
      <c r="D1327" s="9">
        <v>46034</v>
      </c>
      <c r="E1327" s="3">
        <v>2613.84</v>
      </c>
      <c r="F1327" s="7" t="s">
        <v>387</v>
      </c>
      <c r="H1327" s="9"/>
      <c r="I1327" s="9"/>
    </row>
    <row r="1328" spans="1:9" x14ac:dyDescent="0.3">
      <c r="A1328" s="7" t="s">
        <v>6745</v>
      </c>
      <c r="B1328" s="7" t="s">
        <v>319</v>
      </c>
      <c r="C1328" s="9">
        <v>46042</v>
      </c>
      <c r="D1328" s="9">
        <v>46072</v>
      </c>
      <c r="E1328" s="3">
        <v>6856.15</v>
      </c>
      <c r="F1328" s="7" t="s">
        <v>369</v>
      </c>
      <c r="H1328" s="9"/>
      <c r="I1328" s="9"/>
    </row>
    <row r="1329" spans="1:9" x14ac:dyDescent="0.3">
      <c r="A1329" s="7" t="s">
        <v>6746</v>
      </c>
      <c r="B1329" s="7" t="s">
        <v>274</v>
      </c>
      <c r="C1329" s="9">
        <v>45969</v>
      </c>
      <c r="D1329" s="9">
        <v>45999</v>
      </c>
      <c r="E1329" s="3">
        <v>4424.5200000000004</v>
      </c>
      <c r="F1329" s="7" t="s">
        <v>367</v>
      </c>
      <c r="H1329" s="9"/>
      <c r="I1329" s="9"/>
    </row>
    <row r="1330" spans="1:9" x14ac:dyDescent="0.3">
      <c r="A1330" s="7" t="s">
        <v>6747</v>
      </c>
      <c r="B1330" s="7" t="s">
        <v>303</v>
      </c>
      <c r="C1330" s="9">
        <v>46042</v>
      </c>
      <c r="D1330" s="9">
        <v>46072</v>
      </c>
      <c r="E1330" s="3">
        <v>2932.92</v>
      </c>
      <c r="F1330" s="7" t="s">
        <v>367</v>
      </c>
      <c r="H1330" s="9"/>
      <c r="I1330" s="9"/>
    </row>
    <row r="1331" spans="1:9" x14ac:dyDescent="0.3">
      <c r="A1331" s="7" t="s">
        <v>6748</v>
      </c>
      <c r="B1331" s="7" t="s">
        <v>293</v>
      </c>
      <c r="C1331" s="9">
        <v>45978</v>
      </c>
      <c r="D1331" s="9">
        <v>46008</v>
      </c>
      <c r="E1331" s="3">
        <v>5069.55</v>
      </c>
      <c r="F1331" s="7" t="s">
        <v>367</v>
      </c>
      <c r="H1331" s="9"/>
      <c r="I1331" s="9"/>
    </row>
    <row r="1332" spans="1:9" x14ac:dyDescent="0.3">
      <c r="A1332" s="7" t="s">
        <v>6749</v>
      </c>
      <c r="B1332" s="7" t="s">
        <v>281</v>
      </c>
      <c r="C1332" s="9">
        <v>45997</v>
      </c>
      <c r="D1332" s="9">
        <v>46027</v>
      </c>
      <c r="E1332" s="3">
        <v>3738.22</v>
      </c>
      <c r="F1332" s="7" t="s">
        <v>367</v>
      </c>
      <c r="H1332" s="9"/>
      <c r="I1332" s="9"/>
    </row>
    <row r="1333" spans="1:9" x14ac:dyDescent="0.3">
      <c r="A1333" s="7" t="s">
        <v>6750</v>
      </c>
      <c r="B1333" s="7" t="s">
        <v>323</v>
      </c>
      <c r="C1333" s="9">
        <v>46024</v>
      </c>
      <c r="D1333" s="9">
        <v>46054</v>
      </c>
      <c r="E1333" s="3">
        <v>2038.74</v>
      </c>
      <c r="F1333" s="7" t="s">
        <v>367</v>
      </c>
      <c r="H1333" s="9"/>
      <c r="I1333" s="9"/>
    </row>
    <row r="1334" spans="1:9" x14ac:dyDescent="0.3">
      <c r="A1334" s="7" t="s">
        <v>6751</v>
      </c>
      <c r="B1334" s="7" t="s">
        <v>281</v>
      </c>
      <c r="C1334" s="9">
        <v>46050</v>
      </c>
      <c r="D1334" s="9">
        <v>46080</v>
      </c>
      <c r="E1334" s="3">
        <v>6044.31</v>
      </c>
      <c r="F1334" s="7" t="s">
        <v>367</v>
      </c>
      <c r="H1334" s="9"/>
      <c r="I1334" s="9"/>
    </row>
    <row r="1335" spans="1:9" x14ac:dyDescent="0.3">
      <c r="A1335" s="7" t="s">
        <v>6752</v>
      </c>
      <c r="B1335" s="7" t="s">
        <v>311</v>
      </c>
      <c r="C1335" s="9">
        <v>46013</v>
      </c>
      <c r="D1335" s="9">
        <v>46043</v>
      </c>
      <c r="E1335" s="3">
        <v>6772.6</v>
      </c>
      <c r="F1335" s="7" t="s">
        <v>369</v>
      </c>
      <c r="H1335" s="9"/>
      <c r="I1335" s="9"/>
    </row>
    <row r="1336" spans="1:9" x14ac:dyDescent="0.3">
      <c r="A1336" s="7" t="s">
        <v>6753</v>
      </c>
      <c r="B1336" s="7" t="s">
        <v>285</v>
      </c>
      <c r="C1336" s="9">
        <v>45967</v>
      </c>
      <c r="D1336" s="9">
        <v>45997</v>
      </c>
      <c r="E1336" s="3">
        <v>5518.51</v>
      </c>
      <c r="F1336" s="7" t="s">
        <v>367</v>
      </c>
      <c r="H1336" s="9"/>
      <c r="I1336" s="9"/>
    </row>
    <row r="1337" spans="1:9" x14ac:dyDescent="0.3">
      <c r="A1337" s="7" t="s">
        <v>6754</v>
      </c>
      <c r="B1337" s="7" t="s">
        <v>319</v>
      </c>
      <c r="C1337" s="9">
        <v>46075</v>
      </c>
      <c r="D1337" s="9">
        <v>46105</v>
      </c>
      <c r="E1337" s="3">
        <v>978.23</v>
      </c>
      <c r="F1337" s="7" t="s">
        <v>367</v>
      </c>
      <c r="H1337" s="9"/>
      <c r="I1337" s="9"/>
    </row>
    <row r="1338" spans="1:9" x14ac:dyDescent="0.3">
      <c r="A1338" s="7" t="s">
        <v>6755</v>
      </c>
      <c r="B1338" s="7" t="s">
        <v>321</v>
      </c>
      <c r="C1338" s="9">
        <v>46023</v>
      </c>
      <c r="D1338" s="9">
        <v>46053</v>
      </c>
      <c r="E1338" s="3">
        <v>3231.98</v>
      </c>
      <c r="F1338" s="7" t="s">
        <v>367</v>
      </c>
      <c r="H1338" s="9"/>
      <c r="I1338" s="9"/>
    </row>
    <row r="1339" spans="1:9" x14ac:dyDescent="0.3">
      <c r="A1339" s="7" t="s">
        <v>6756</v>
      </c>
      <c r="B1339" s="7" t="s">
        <v>319</v>
      </c>
      <c r="C1339" s="9">
        <v>45974</v>
      </c>
      <c r="D1339" s="9">
        <v>46004</v>
      </c>
      <c r="E1339" s="3">
        <v>4340.32</v>
      </c>
      <c r="F1339" s="7" t="s">
        <v>367</v>
      </c>
      <c r="H1339" s="9"/>
      <c r="I1339" s="9"/>
    </row>
    <row r="1340" spans="1:9" x14ac:dyDescent="0.3">
      <c r="A1340" s="7" t="s">
        <v>6757</v>
      </c>
      <c r="B1340" s="7" t="s">
        <v>295</v>
      </c>
      <c r="C1340" s="9">
        <v>46090</v>
      </c>
      <c r="D1340" s="9">
        <v>46120</v>
      </c>
      <c r="E1340" s="3">
        <v>925.1</v>
      </c>
      <c r="F1340" s="7" t="s">
        <v>369</v>
      </c>
      <c r="H1340" s="9"/>
      <c r="I1340" s="9"/>
    </row>
    <row r="1341" spans="1:9" x14ac:dyDescent="0.3">
      <c r="A1341" s="7" t="s">
        <v>6758</v>
      </c>
      <c r="B1341" s="7" t="s">
        <v>307</v>
      </c>
      <c r="C1341" s="9">
        <v>45969</v>
      </c>
      <c r="D1341" s="9">
        <v>45999</v>
      </c>
      <c r="E1341" s="3">
        <v>6688.89</v>
      </c>
      <c r="F1341" s="7" t="s">
        <v>367</v>
      </c>
      <c r="H1341" s="9"/>
      <c r="I1341" s="9"/>
    </row>
    <row r="1342" spans="1:9" x14ac:dyDescent="0.3">
      <c r="A1342" s="7" t="s">
        <v>6759</v>
      </c>
      <c r="B1342" s="7" t="s">
        <v>303</v>
      </c>
      <c r="C1342" s="9">
        <v>46065</v>
      </c>
      <c r="D1342" s="9">
        <v>46095</v>
      </c>
      <c r="E1342" s="3">
        <v>2880.64</v>
      </c>
      <c r="F1342" s="7" t="s">
        <v>369</v>
      </c>
      <c r="H1342" s="9"/>
      <c r="I1342" s="9"/>
    </row>
    <row r="1343" spans="1:9" x14ac:dyDescent="0.3">
      <c r="A1343" s="7" t="s">
        <v>6760</v>
      </c>
      <c r="B1343" s="7" t="s">
        <v>339</v>
      </c>
      <c r="C1343" s="9">
        <v>46059</v>
      </c>
      <c r="D1343" s="9">
        <v>46089</v>
      </c>
      <c r="E1343" s="3">
        <v>4147.09</v>
      </c>
      <c r="F1343" s="7" t="s">
        <v>369</v>
      </c>
      <c r="H1343" s="9"/>
      <c r="I1343" s="9"/>
    </row>
    <row r="1344" spans="1:9" x14ac:dyDescent="0.3">
      <c r="A1344" s="7" t="s">
        <v>6761</v>
      </c>
      <c r="B1344" s="7" t="s">
        <v>317</v>
      </c>
      <c r="C1344" s="9">
        <v>46076</v>
      </c>
      <c r="D1344" s="9">
        <v>46106</v>
      </c>
      <c r="E1344" s="3">
        <v>3532.42</v>
      </c>
      <c r="F1344" s="7" t="s">
        <v>367</v>
      </c>
      <c r="H1344" s="9"/>
      <c r="I1344" s="9"/>
    </row>
    <row r="1345" spans="1:9" x14ac:dyDescent="0.3">
      <c r="A1345" s="7" t="s">
        <v>6762</v>
      </c>
      <c r="B1345" s="7" t="s">
        <v>291</v>
      </c>
      <c r="C1345" s="9">
        <v>46024</v>
      </c>
      <c r="D1345" s="9">
        <v>46054</v>
      </c>
      <c r="E1345" s="3">
        <v>2538.46</v>
      </c>
      <c r="F1345" s="7" t="s">
        <v>367</v>
      </c>
      <c r="H1345" s="9"/>
      <c r="I1345" s="9"/>
    </row>
    <row r="1346" spans="1:9" x14ac:dyDescent="0.3">
      <c r="A1346" s="7" t="s">
        <v>6763</v>
      </c>
      <c r="B1346" s="7" t="s">
        <v>335</v>
      </c>
      <c r="C1346" s="9">
        <v>46018</v>
      </c>
      <c r="D1346" s="9">
        <v>46048</v>
      </c>
      <c r="E1346" s="3">
        <v>4089.67</v>
      </c>
      <c r="F1346" s="7" t="s">
        <v>367</v>
      </c>
      <c r="H1346" s="9"/>
      <c r="I1346" s="9"/>
    </row>
    <row r="1347" spans="1:9" x14ac:dyDescent="0.3">
      <c r="A1347" s="7" t="s">
        <v>6764</v>
      </c>
      <c r="B1347" s="7" t="s">
        <v>274</v>
      </c>
      <c r="C1347" s="9">
        <v>46065</v>
      </c>
      <c r="D1347" s="9">
        <v>46095</v>
      </c>
      <c r="E1347" s="3">
        <v>4876.9399999999996</v>
      </c>
      <c r="F1347" s="7" t="s">
        <v>367</v>
      </c>
      <c r="H1347" s="9"/>
      <c r="I1347" s="9"/>
    </row>
    <row r="1348" spans="1:9" x14ac:dyDescent="0.3">
      <c r="A1348" s="7" t="s">
        <v>6765</v>
      </c>
      <c r="B1348" s="7" t="s">
        <v>311</v>
      </c>
      <c r="C1348" s="9">
        <v>46069</v>
      </c>
      <c r="D1348" s="9">
        <v>46099</v>
      </c>
      <c r="E1348" s="3">
        <v>4568.3999999999996</v>
      </c>
      <c r="F1348" s="7" t="s">
        <v>367</v>
      </c>
      <c r="H1348" s="9"/>
      <c r="I1348" s="9"/>
    </row>
    <row r="1349" spans="1:9" x14ac:dyDescent="0.3">
      <c r="A1349" s="7" t="s">
        <v>6766</v>
      </c>
      <c r="B1349" s="7" t="s">
        <v>267</v>
      </c>
      <c r="C1349" s="9">
        <v>45989</v>
      </c>
      <c r="D1349" s="9">
        <v>46019</v>
      </c>
      <c r="E1349" s="3">
        <v>6125.93</v>
      </c>
      <c r="F1349" s="7" t="s">
        <v>367</v>
      </c>
      <c r="H1349" s="9"/>
      <c r="I1349" s="9"/>
    </row>
    <row r="1350" spans="1:9" x14ac:dyDescent="0.3">
      <c r="A1350" s="7" t="s">
        <v>6767</v>
      </c>
      <c r="B1350" s="7" t="s">
        <v>295</v>
      </c>
      <c r="C1350" s="9">
        <v>46090</v>
      </c>
      <c r="D1350" s="9">
        <v>46120</v>
      </c>
      <c r="E1350" s="3">
        <v>1463.82</v>
      </c>
      <c r="F1350" s="7" t="s">
        <v>367</v>
      </c>
      <c r="H1350" s="9"/>
      <c r="I1350" s="9"/>
    </row>
    <row r="1351" spans="1:9" x14ac:dyDescent="0.3">
      <c r="A1351" s="7" t="s">
        <v>6768</v>
      </c>
      <c r="B1351" s="7" t="s">
        <v>311</v>
      </c>
      <c r="C1351" s="9">
        <v>46087</v>
      </c>
      <c r="D1351" s="9">
        <v>46117</v>
      </c>
      <c r="E1351" s="3">
        <v>3537.69</v>
      </c>
      <c r="F1351" s="7" t="s">
        <v>367</v>
      </c>
      <c r="H1351" s="9"/>
      <c r="I1351" s="9"/>
    </row>
    <row r="1352" spans="1:9" x14ac:dyDescent="0.3">
      <c r="A1352" s="7" t="s">
        <v>6769</v>
      </c>
      <c r="B1352" s="7" t="s">
        <v>272</v>
      </c>
      <c r="C1352" s="9">
        <v>46024</v>
      </c>
      <c r="D1352" s="9">
        <v>46054</v>
      </c>
      <c r="E1352" s="3">
        <v>1483.23</v>
      </c>
      <c r="F1352" s="7" t="s">
        <v>367</v>
      </c>
      <c r="H1352" s="9"/>
      <c r="I1352" s="9"/>
    </row>
    <row r="1353" spans="1:9" x14ac:dyDescent="0.3">
      <c r="A1353" s="7" t="s">
        <v>6770</v>
      </c>
      <c r="B1353" s="7" t="s">
        <v>301</v>
      </c>
      <c r="C1353" s="9">
        <v>46001</v>
      </c>
      <c r="D1353" s="9">
        <v>46031</v>
      </c>
      <c r="E1353" s="3">
        <v>4698.01</v>
      </c>
      <c r="F1353" s="7" t="s">
        <v>367</v>
      </c>
      <c r="H1353" s="9"/>
      <c r="I1353" s="9"/>
    </row>
    <row r="1354" spans="1:9" x14ac:dyDescent="0.3">
      <c r="A1354" s="7" t="s">
        <v>6771</v>
      </c>
      <c r="B1354" s="7" t="s">
        <v>289</v>
      </c>
      <c r="C1354" s="9">
        <v>45987</v>
      </c>
      <c r="D1354" s="9">
        <v>46017</v>
      </c>
      <c r="E1354" s="3">
        <v>4810.76</v>
      </c>
      <c r="F1354" s="7" t="s">
        <v>367</v>
      </c>
      <c r="H1354" s="9"/>
      <c r="I1354" s="9"/>
    </row>
    <row r="1355" spans="1:9" x14ac:dyDescent="0.3">
      <c r="A1355" s="7" t="s">
        <v>6772</v>
      </c>
      <c r="B1355" s="7" t="s">
        <v>311</v>
      </c>
      <c r="C1355" s="9">
        <v>46089</v>
      </c>
      <c r="D1355" s="9">
        <v>46119</v>
      </c>
      <c r="E1355" s="3">
        <v>2195.15</v>
      </c>
      <c r="F1355" s="7" t="s">
        <v>369</v>
      </c>
      <c r="H1355" s="9"/>
      <c r="I1355" s="9"/>
    </row>
    <row r="1356" spans="1:9" x14ac:dyDescent="0.3">
      <c r="A1356" s="7" t="s">
        <v>6773</v>
      </c>
      <c r="B1356" s="7" t="s">
        <v>285</v>
      </c>
      <c r="C1356" s="9">
        <v>45988</v>
      </c>
      <c r="D1356" s="9">
        <v>46018</v>
      </c>
      <c r="E1356" s="3">
        <v>4919.7299999999996</v>
      </c>
      <c r="F1356" s="7" t="s">
        <v>367</v>
      </c>
      <c r="H1356" s="9"/>
      <c r="I1356" s="9"/>
    </row>
    <row r="1357" spans="1:9" x14ac:dyDescent="0.3">
      <c r="A1357" s="7" t="s">
        <v>6774</v>
      </c>
      <c r="B1357" s="7" t="s">
        <v>276</v>
      </c>
      <c r="C1357" s="9">
        <v>46023</v>
      </c>
      <c r="D1357" s="9">
        <v>46053</v>
      </c>
      <c r="E1357" s="3">
        <v>2788.3</v>
      </c>
      <c r="F1357" s="7" t="s">
        <v>367</v>
      </c>
      <c r="H1357" s="9"/>
      <c r="I1357" s="9"/>
    </row>
    <row r="1358" spans="1:9" x14ac:dyDescent="0.3">
      <c r="A1358" s="7" t="s">
        <v>6775</v>
      </c>
      <c r="B1358" s="7" t="s">
        <v>279</v>
      </c>
      <c r="C1358" s="9">
        <v>45974</v>
      </c>
      <c r="D1358" s="9">
        <v>46004</v>
      </c>
      <c r="E1358" s="3">
        <v>6682.09</v>
      </c>
      <c r="F1358" s="7" t="s">
        <v>369</v>
      </c>
      <c r="H1358" s="9"/>
      <c r="I1358" s="9"/>
    </row>
    <row r="1359" spans="1:9" x14ac:dyDescent="0.3">
      <c r="A1359" s="7" t="s">
        <v>6776</v>
      </c>
      <c r="B1359" s="7" t="s">
        <v>313</v>
      </c>
      <c r="C1359" s="9">
        <v>46068</v>
      </c>
      <c r="D1359" s="9">
        <v>46098</v>
      </c>
      <c r="E1359" s="3">
        <v>6400.15</v>
      </c>
      <c r="F1359" s="7" t="s">
        <v>387</v>
      </c>
      <c r="H1359" s="9"/>
      <c r="I1359" s="9"/>
    </row>
    <row r="1360" spans="1:9" x14ac:dyDescent="0.3">
      <c r="A1360" s="7" t="s">
        <v>6777</v>
      </c>
      <c r="B1360" s="7" t="s">
        <v>321</v>
      </c>
      <c r="C1360" s="9">
        <v>45979</v>
      </c>
      <c r="D1360" s="9">
        <v>46009</v>
      </c>
      <c r="E1360" s="3">
        <v>2124.5</v>
      </c>
      <c r="F1360" s="7" t="s">
        <v>367</v>
      </c>
      <c r="H1360" s="9"/>
      <c r="I1360" s="9"/>
    </row>
    <row r="1361" spans="1:9" x14ac:dyDescent="0.3">
      <c r="A1361" s="7" t="s">
        <v>6778</v>
      </c>
      <c r="B1361" s="7" t="s">
        <v>283</v>
      </c>
      <c r="C1361" s="9">
        <v>46061</v>
      </c>
      <c r="D1361" s="9">
        <v>46091</v>
      </c>
      <c r="E1361" s="3">
        <v>5048.91</v>
      </c>
      <c r="F1361" s="7" t="s">
        <v>367</v>
      </c>
      <c r="H1361" s="9"/>
      <c r="I1361" s="9"/>
    </row>
    <row r="1362" spans="1:9" x14ac:dyDescent="0.3">
      <c r="A1362" s="7" t="s">
        <v>6779</v>
      </c>
      <c r="B1362" s="7" t="s">
        <v>329</v>
      </c>
      <c r="C1362" s="9">
        <v>46000</v>
      </c>
      <c r="D1362" s="9">
        <v>46030</v>
      </c>
      <c r="E1362" s="3">
        <v>3832.87</v>
      </c>
      <c r="F1362" s="7" t="s">
        <v>369</v>
      </c>
      <c r="H1362" s="9"/>
      <c r="I1362" s="9"/>
    </row>
    <row r="1363" spans="1:9" x14ac:dyDescent="0.3">
      <c r="A1363" s="7" t="s">
        <v>6780</v>
      </c>
      <c r="B1363" s="7" t="s">
        <v>276</v>
      </c>
      <c r="C1363" s="9">
        <v>46083</v>
      </c>
      <c r="D1363" s="9">
        <v>46113</v>
      </c>
      <c r="E1363" s="3">
        <v>4480.96</v>
      </c>
      <c r="F1363" s="7" t="s">
        <v>367</v>
      </c>
      <c r="H1363" s="9"/>
      <c r="I1363" s="9"/>
    </row>
    <row r="1364" spans="1:9" x14ac:dyDescent="0.3">
      <c r="A1364" s="7" t="s">
        <v>6781</v>
      </c>
      <c r="B1364" s="7" t="s">
        <v>305</v>
      </c>
      <c r="C1364" s="9">
        <v>46041</v>
      </c>
      <c r="D1364" s="9">
        <v>46071</v>
      </c>
      <c r="E1364" s="3">
        <v>3544.45</v>
      </c>
      <c r="F1364" s="7" t="s">
        <v>367</v>
      </c>
      <c r="H1364" s="9"/>
      <c r="I1364" s="9"/>
    </row>
    <row r="1365" spans="1:9" x14ac:dyDescent="0.3">
      <c r="A1365" s="7" t="s">
        <v>6782</v>
      </c>
      <c r="B1365" s="7" t="s">
        <v>279</v>
      </c>
      <c r="C1365" s="9">
        <v>46051</v>
      </c>
      <c r="D1365" s="9">
        <v>46081</v>
      </c>
      <c r="E1365" s="3">
        <v>5591.83</v>
      </c>
      <c r="F1365" s="7" t="s">
        <v>367</v>
      </c>
      <c r="H1365" s="9"/>
      <c r="I1365" s="9"/>
    </row>
    <row r="1366" spans="1:9" x14ac:dyDescent="0.3">
      <c r="A1366" s="7" t="s">
        <v>6783</v>
      </c>
      <c r="B1366" s="7" t="s">
        <v>321</v>
      </c>
      <c r="C1366" s="9">
        <v>46065</v>
      </c>
      <c r="D1366" s="9">
        <v>46095</v>
      </c>
      <c r="E1366" s="3">
        <v>3821.41</v>
      </c>
      <c r="F1366" s="7" t="s">
        <v>367</v>
      </c>
      <c r="H1366" s="9"/>
      <c r="I1366" s="9"/>
    </row>
    <row r="1367" spans="1:9" x14ac:dyDescent="0.3">
      <c r="A1367" s="7" t="s">
        <v>6784</v>
      </c>
      <c r="B1367" s="7" t="s">
        <v>341</v>
      </c>
      <c r="C1367" s="9">
        <v>46074</v>
      </c>
      <c r="D1367" s="9">
        <v>46104</v>
      </c>
      <c r="E1367" s="3">
        <v>5391.01</v>
      </c>
      <c r="F1367" s="7" t="s">
        <v>369</v>
      </c>
      <c r="H1367" s="9"/>
      <c r="I1367" s="9"/>
    </row>
    <row r="1368" spans="1:9" x14ac:dyDescent="0.3">
      <c r="A1368" s="7" t="s">
        <v>6785</v>
      </c>
      <c r="B1368" s="7" t="s">
        <v>289</v>
      </c>
      <c r="C1368" s="9">
        <v>46052</v>
      </c>
      <c r="D1368" s="9">
        <v>46082</v>
      </c>
      <c r="E1368" s="3">
        <v>1150.17</v>
      </c>
      <c r="F1368" s="7" t="s">
        <v>367</v>
      </c>
      <c r="H1368" s="9"/>
      <c r="I1368" s="9"/>
    </row>
    <row r="1369" spans="1:9" x14ac:dyDescent="0.3">
      <c r="A1369" s="7" t="s">
        <v>6786</v>
      </c>
      <c r="B1369" s="7" t="s">
        <v>287</v>
      </c>
      <c r="C1369" s="9">
        <v>46064</v>
      </c>
      <c r="D1369" s="9">
        <v>46094</v>
      </c>
      <c r="E1369" s="3">
        <v>836.45</v>
      </c>
      <c r="F1369" s="7" t="s">
        <v>369</v>
      </c>
      <c r="H1369" s="9"/>
      <c r="I1369" s="9"/>
    </row>
    <row r="1370" spans="1:9" x14ac:dyDescent="0.3">
      <c r="A1370" s="7" t="s">
        <v>6787</v>
      </c>
      <c r="B1370" s="7" t="s">
        <v>331</v>
      </c>
      <c r="C1370" s="9">
        <v>45979</v>
      </c>
      <c r="D1370" s="9">
        <v>46009</v>
      </c>
      <c r="E1370" s="3">
        <v>2313.02</v>
      </c>
      <c r="F1370" s="7" t="s">
        <v>367</v>
      </c>
      <c r="H1370" s="9"/>
      <c r="I1370" s="9"/>
    </row>
    <row r="1371" spans="1:9" x14ac:dyDescent="0.3">
      <c r="A1371" s="7" t="s">
        <v>6788</v>
      </c>
      <c r="B1371" s="7" t="s">
        <v>291</v>
      </c>
      <c r="C1371" s="9">
        <v>45997</v>
      </c>
      <c r="D1371" s="9">
        <v>46027</v>
      </c>
      <c r="E1371" s="3">
        <v>5417.61</v>
      </c>
      <c r="F1371" s="7" t="s">
        <v>367</v>
      </c>
      <c r="H1371" s="9"/>
      <c r="I1371" s="9"/>
    </row>
    <row r="1372" spans="1:9" x14ac:dyDescent="0.3">
      <c r="A1372" s="7" t="s">
        <v>6789</v>
      </c>
      <c r="B1372" s="7" t="s">
        <v>285</v>
      </c>
      <c r="C1372" s="9">
        <v>45994</v>
      </c>
      <c r="D1372" s="9">
        <v>46024</v>
      </c>
      <c r="E1372" s="3">
        <v>4485.5600000000004</v>
      </c>
      <c r="F1372" s="7" t="s">
        <v>367</v>
      </c>
      <c r="H1372" s="9"/>
      <c r="I1372" s="9"/>
    </row>
    <row r="1373" spans="1:9" x14ac:dyDescent="0.3">
      <c r="A1373" s="7" t="s">
        <v>6790</v>
      </c>
      <c r="B1373" s="7" t="s">
        <v>269</v>
      </c>
      <c r="C1373" s="9">
        <v>46055</v>
      </c>
      <c r="D1373" s="9">
        <v>46085</v>
      </c>
      <c r="E1373" s="3">
        <v>2273.9899999999998</v>
      </c>
      <c r="F1373" s="7" t="s">
        <v>369</v>
      </c>
      <c r="H1373" s="9"/>
      <c r="I1373" s="9"/>
    </row>
    <row r="1374" spans="1:9" x14ac:dyDescent="0.3">
      <c r="A1374" s="7" t="s">
        <v>6791</v>
      </c>
      <c r="B1374" s="7" t="s">
        <v>341</v>
      </c>
      <c r="C1374" s="9">
        <v>46044</v>
      </c>
      <c r="D1374" s="9">
        <v>46074</v>
      </c>
      <c r="E1374" s="3">
        <v>5641.4</v>
      </c>
      <c r="F1374" s="7" t="s">
        <v>369</v>
      </c>
      <c r="H1374" s="9"/>
      <c r="I1374" s="9"/>
    </row>
    <row r="1375" spans="1:9" x14ac:dyDescent="0.3">
      <c r="A1375" s="7" t="s">
        <v>6792</v>
      </c>
      <c r="B1375" s="7" t="s">
        <v>323</v>
      </c>
      <c r="C1375" s="9">
        <v>46091</v>
      </c>
      <c r="D1375" s="9">
        <v>46121</v>
      </c>
      <c r="E1375" s="3">
        <v>5012.3999999999996</v>
      </c>
      <c r="F1375" s="7" t="s">
        <v>367</v>
      </c>
      <c r="H1375" s="9"/>
      <c r="I1375" s="9"/>
    </row>
    <row r="1376" spans="1:9" x14ac:dyDescent="0.3">
      <c r="A1376" s="7" t="s">
        <v>6793</v>
      </c>
      <c r="B1376" s="7" t="s">
        <v>283</v>
      </c>
      <c r="C1376" s="9">
        <v>45964</v>
      </c>
      <c r="D1376" s="9">
        <v>45994</v>
      </c>
      <c r="E1376" s="3">
        <v>2288.58</v>
      </c>
      <c r="F1376" s="7" t="s">
        <v>367</v>
      </c>
      <c r="H1376" s="9"/>
      <c r="I1376" s="9"/>
    </row>
    <row r="1377" spans="1:9" x14ac:dyDescent="0.3">
      <c r="A1377" s="7" t="s">
        <v>6794</v>
      </c>
      <c r="B1377" s="7" t="s">
        <v>267</v>
      </c>
      <c r="C1377" s="9">
        <v>46042</v>
      </c>
      <c r="D1377" s="9">
        <v>46072</v>
      </c>
      <c r="E1377" s="3">
        <v>1268.21</v>
      </c>
      <c r="F1377" s="7" t="s">
        <v>367</v>
      </c>
      <c r="H1377" s="9"/>
      <c r="I1377" s="9"/>
    </row>
    <row r="1378" spans="1:9" x14ac:dyDescent="0.3">
      <c r="A1378" s="7" t="s">
        <v>6795</v>
      </c>
      <c r="B1378" s="7" t="s">
        <v>281</v>
      </c>
      <c r="C1378" s="9">
        <v>45987</v>
      </c>
      <c r="D1378" s="9">
        <v>46017</v>
      </c>
      <c r="E1378" s="3">
        <v>3567.72</v>
      </c>
      <c r="F1378" s="7" t="s">
        <v>367</v>
      </c>
      <c r="H1378" s="9"/>
      <c r="I1378" s="9"/>
    </row>
    <row r="1379" spans="1:9" x14ac:dyDescent="0.3">
      <c r="A1379" s="7" t="s">
        <v>6796</v>
      </c>
      <c r="B1379" s="7" t="s">
        <v>276</v>
      </c>
      <c r="C1379" s="9">
        <v>45981</v>
      </c>
      <c r="D1379" s="9">
        <v>46011</v>
      </c>
      <c r="E1379" s="3">
        <v>2310.84</v>
      </c>
      <c r="F1379" s="7" t="s">
        <v>367</v>
      </c>
      <c r="H1379" s="9"/>
      <c r="I1379" s="9"/>
    </row>
    <row r="1380" spans="1:9" x14ac:dyDescent="0.3">
      <c r="A1380" s="7" t="s">
        <v>6797</v>
      </c>
      <c r="B1380" s="7" t="s">
        <v>333</v>
      </c>
      <c r="C1380" s="9">
        <v>45984</v>
      </c>
      <c r="D1380" s="9">
        <v>46014</v>
      </c>
      <c r="E1380" s="3">
        <v>2725.13</v>
      </c>
      <c r="F1380" s="7" t="s">
        <v>367</v>
      </c>
      <c r="H1380" s="9"/>
      <c r="I1380" s="9"/>
    </row>
    <row r="1381" spans="1:9" x14ac:dyDescent="0.3">
      <c r="A1381" s="7" t="s">
        <v>6798</v>
      </c>
      <c r="B1381" s="7" t="s">
        <v>333</v>
      </c>
      <c r="C1381" s="9">
        <v>46055</v>
      </c>
      <c r="D1381" s="9">
        <v>46085</v>
      </c>
      <c r="E1381" s="3">
        <v>4876.71</v>
      </c>
      <c r="F1381" s="7" t="s">
        <v>367</v>
      </c>
      <c r="H1381" s="9"/>
      <c r="I1381" s="9"/>
    </row>
    <row r="1382" spans="1:9" x14ac:dyDescent="0.3">
      <c r="A1382" s="7" t="s">
        <v>6799</v>
      </c>
      <c r="B1382" s="7" t="s">
        <v>287</v>
      </c>
      <c r="C1382" s="9">
        <v>46049</v>
      </c>
      <c r="D1382" s="9">
        <v>46079</v>
      </c>
      <c r="E1382" s="3">
        <v>995.46</v>
      </c>
      <c r="F1382" s="7" t="s">
        <v>367</v>
      </c>
      <c r="H1382" s="9"/>
      <c r="I1382" s="9"/>
    </row>
    <row r="1383" spans="1:9" x14ac:dyDescent="0.3">
      <c r="A1383" s="7" t="s">
        <v>6800</v>
      </c>
      <c r="B1383" s="7" t="s">
        <v>272</v>
      </c>
      <c r="C1383" s="9">
        <v>46039</v>
      </c>
      <c r="D1383" s="9">
        <v>46069</v>
      </c>
      <c r="E1383" s="3">
        <v>6265.2</v>
      </c>
      <c r="F1383" s="7" t="s">
        <v>367</v>
      </c>
      <c r="H1383" s="9"/>
      <c r="I1383" s="9"/>
    </row>
    <row r="1384" spans="1:9" x14ac:dyDescent="0.3">
      <c r="A1384" s="7" t="s">
        <v>6801</v>
      </c>
      <c r="B1384" s="7" t="s">
        <v>317</v>
      </c>
      <c r="C1384" s="9">
        <v>46039</v>
      </c>
      <c r="D1384" s="9">
        <v>46069</v>
      </c>
      <c r="E1384" s="3">
        <v>2178.0300000000002</v>
      </c>
      <c r="F1384" s="7" t="s">
        <v>369</v>
      </c>
      <c r="H1384" s="9"/>
      <c r="I1384" s="9"/>
    </row>
    <row r="1385" spans="1:9" x14ac:dyDescent="0.3">
      <c r="A1385" s="7" t="s">
        <v>6802</v>
      </c>
      <c r="B1385" s="7" t="s">
        <v>337</v>
      </c>
      <c r="C1385" s="9">
        <v>46078</v>
      </c>
      <c r="D1385" s="9">
        <v>46108</v>
      </c>
      <c r="E1385" s="3">
        <v>4995.7700000000004</v>
      </c>
      <c r="F1385" s="7" t="s">
        <v>367</v>
      </c>
      <c r="H1385" s="9"/>
      <c r="I1385" s="9"/>
    </row>
    <row r="1386" spans="1:9" x14ac:dyDescent="0.3">
      <c r="A1386" s="7" t="s">
        <v>6803</v>
      </c>
      <c r="B1386" s="7" t="s">
        <v>325</v>
      </c>
      <c r="C1386" s="9">
        <v>46015</v>
      </c>
      <c r="D1386" s="9">
        <v>46045</v>
      </c>
      <c r="E1386" s="3">
        <v>6940.21</v>
      </c>
      <c r="F1386" s="7" t="s">
        <v>369</v>
      </c>
      <c r="H1386" s="9"/>
      <c r="I1386" s="9"/>
    </row>
    <row r="1387" spans="1:9" x14ac:dyDescent="0.3">
      <c r="A1387" s="7" t="s">
        <v>6804</v>
      </c>
      <c r="B1387" s="7" t="s">
        <v>323</v>
      </c>
      <c r="C1387" s="9">
        <v>45963</v>
      </c>
      <c r="D1387" s="9">
        <v>45993</v>
      </c>
      <c r="E1387" s="3">
        <v>5444.33</v>
      </c>
      <c r="F1387" s="7" t="s">
        <v>367</v>
      </c>
      <c r="H1387" s="9"/>
      <c r="I1387" s="9"/>
    </row>
    <row r="1388" spans="1:9" x14ac:dyDescent="0.3">
      <c r="A1388" s="7" t="s">
        <v>6805</v>
      </c>
      <c r="B1388" s="7" t="s">
        <v>327</v>
      </c>
      <c r="C1388" s="9">
        <v>45973</v>
      </c>
      <c r="D1388" s="9">
        <v>46003</v>
      </c>
      <c r="E1388" s="3">
        <v>3456.15</v>
      </c>
      <c r="F1388" s="7" t="s">
        <v>367</v>
      </c>
      <c r="H1388" s="9"/>
      <c r="I1388" s="9"/>
    </row>
    <row r="1389" spans="1:9" x14ac:dyDescent="0.3">
      <c r="A1389" s="7" t="s">
        <v>6806</v>
      </c>
      <c r="B1389" s="7" t="s">
        <v>309</v>
      </c>
      <c r="C1389" s="9">
        <v>45972</v>
      </c>
      <c r="D1389" s="9">
        <v>46002</v>
      </c>
      <c r="E1389" s="3">
        <v>1602.29</v>
      </c>
      <c r="F1389" s="7" t="s">
        <v>367</v>
      </c>
      <c r="H1389" s="9"/>
      <c r="I1389" s="9"/>
    </row>
    <row r="1390" spans="1:9" x14ac:dyDescent="0.3">
      <c r="A1390" s="7" t="s">
        <v>6807</v>
      </c>
      <c r="B1390" s="7" t="s">
        <v>269</v>
      </c>
      <c r="C1390" s="9">
        <v>45969</v>
      </c>
      <c r="D1390" s="9">
        <v>45999</v>
      </c>
      <c r="E1390" s="3">
        <v>6792.45</v>
      </c>
      <c r="F1390" s="7" t="s">
        <v>369</v>
      </c>
      <c r="H1390" s="9"/>
      <c r="I1390" s="9"/>
    </row>
    <row r="1391" spans="1:9" x14ac:dyDescent="0.3">
      <c r="A1391" s="7" t="s">
        <v>6808</v>
      </c>
      <c r="B1391" s="7" t="s">
        <v>319</v>
      </c>
      <c r="C1391" s="9">
        <v>45975</v>
      </c>
      <c r="D1391" s="9">
        <v>46005</v>
      </c>
      <c r="E1391" s="3">
        <v>2296.9499999999998</v>
      </c>
      <c r="F1391" s="7" t="s">
        <v>367</v>
      </c>
      <c r="H1391" s="9"/>
      <c r="I1391" s="9"/>
    </row>
    <row r="1392" spans="1:9" x14ac:dyDescent="0.3">
      <c r="A1392" s="7" t="s">
        <v>6809</v>
      </c>
      <c r="B1392" s="7" t="s">
        <v>333</v>
      </c>
      <c r="C1392" s="9">
        <v>46075</v>
      </c>
      <c r="D1392" s="9">
        <v>46105</v>
      </c>
      <c r="E1392" s="3">
        <v>5995.29</v>
      </c>
      <c r="F1392" s="7" t="s">
        <v>367</v>
      </c>
      <c r="H1392" s="9"/>
      <c r="I1392" s="9"/>
    </row>
    <row r="1393" spans="1:9" x14ac:dyDescent="0.3">
      <c r="A1393" s="7" t="s">
        <v>6810</v>
      </c>
      <c r="B1393" s="7" t="s">
        <v>323</v>
      </c>
      <c r="C1393" s="9">
        <v>45968</v>
      </c>
      <c r="D1393" s="9">
        <v>45998</v>
      </c>
      <c r="E1393" s="3">
        <v>839.8</v>
      </c>
      <c r="F1393" s="7" t="s">
        <v>367</v>
      </c>
      <c r="H1393" s="9"/>
      <c r="I1393" s="9"/>
    </row>
    <row r="1394" spans="1:9" x14ac:dyDescent="0.3">
      <c r="A1394" s="7" t="s">
        <v>6811</v>
      </c>
      <c r="B1394" s="7" t="s">
        <v>339</v>
      </c>
      <c r="C1394" s="9">
        <v>45964</v>
      </c>
      <c r="D1394" s="9">
        <v>45994</v>
      </c>
      <c r="E1394" s="3">
        <v>5471.54</v>
      </c>
      <c r="F1394" s="7" t="s">
        <v>367</v>
      </c>
      <c r="H1394" s="9"/>
      <c r="I1394" s="9"/>
    </row>
    <row r="1395" spans="1:9" x14ac:dyDescent="0.3">
      <c r="A1395" s="7" t="s">
        <v>6812</v>
      </c>
      <c r="B1395" s="7" t="s">
        <v>303</v>
      </c>
      <c r="C1395" s="9">
        <v>45993</v>
      </c>
      <c r="D1395" s="9">
        <v>46023</v>
      </c>
      <c r="E1395" s="3">
        <v>3043.2</v>
      </c>
      <c r="F1395" s="7" t="s">
        <v>369</v>
      </c>
      <c r="H1395" s="9"/>
      <c r="I1395" s="9"/>
    </row>
    <row r="1396" spans="1:9" x14ac:dyDescent="0.3">
      <c r="A1396" s="7" t="s">
        <v>6813</v>
      </c>
      <c r="B1396" s="7" t="s">
        <v>325</v>
      </c>
      <c r="C1396" s="9">
        <v>45981</v>
      </c>
      <c r="D1396" s="9">
        <v>46011</v>
      </c>
      <c r="E1396" s="3">
        <v>1678.96</v>
      </c>
      <c r="F1396" s="7" t="s">
        <v>367</v>
      </c>
      <c r="H1396" s="9"/>
      <c r="I1396" s="9"/>
    </row>
    <row r="1397" spans="1:9" x14ac:dyDescent="0.3">
      <c r="A1397" s="7" t="s">
        <v>6814</v>
      </c>
      <c r="B1397" s="7" t="s">
        <v>279</v>
      </c>
      <c r="C1397" s="9">
        <v>46015</v>
      </c>
      <c r="D1397" s="9">
        <v>46045</v>
      </c>
      <c r="E1397" s="3">
        <v>4520.25</v>
      </c>
      <c r="F1397" s="7" t="s">
        <v>367</v>
      </c>
      <c r="H1397" s="9"/>
      <c r="I1397" s="9"/>
    </row>
    <row r="1398" spans="1:9" x14ac:dyDescent="0.3">
      <c r="A1398" s="7" t="s">
        <v>6815</v>
      </c>
      <c r="B1398" s="7" t="s">
        <v>295</v>
      </c>
      <c r="C1398" s="9">
        <v>46077</v>
      </c>
      <c r="D1398" s="9">
        <v>46107</v>
      </c>
      <c r="E1398" s="3">
        <v>3522.98</v>
      </c>
      <c r="F1398" s="7" t="s">
        <v>369</v>
      </c>
      <c r="H1398" s="9"/>
      <c r="I1398" s="9"/>
    </row>
    <row r="1399" spans="1:9" x14ac:dyDescent="0.3">
      <c r="A1399" s="7" t="s">
        <v>6816</v>
      </c>
      <c r="B1399" s="7" t="s">
        <v>329</v>
      </c>
      <c r="C1399" s="9">
        <v>45973</v>
      </c>
      <c r="D1399" s="9">
        <v>46003</v>
      </c>
      <c r="E1399" s="3">
        <v>3902.95</v>
      </c>
      <c r="F1399" s="7" t="s">
        <v>369</v>
      </c>
      <c r="H1399" s="9"/>
      <c r="I1399" s="9"/>
    </row>
    <row r="1400" spans="1:9" x14ac:dyDescent="0.3">
      <c r="A1400" s="7" t="s">
        <v>6817</v>
      </c>
      <c r="B1400" s="7" t="s">
        <v>295</v>
      </c>
      <c r="C1400" s="9">
        <v>46030</v>
      </c>
      <c r="D1400" s="9">
        <v>46060</v>
      </c>
      <c r="E1400" s="3">
        <v>4424.8599999999997</v>
      </c>
      <c r="F1400" s="7" t="s">
        <v>367</v>
      </c>
      <c r="H1400" s="9"/>
      <c r="I1400" s="9"/>
    </row>
    <row r="1401" spans="1:9" x14ac:dyDescent="0.3">
      <c r="A1401" s="7" t="s">
        <v>6818</v>
      </c>
      <c r="B1401" s="7" t="s">
        <v>315</v>
      </c>
      <c r="C1401" s="9">
        <v>45968</v>
      </c>
      <c r="D1401" s="9">
        <v>45998</v>
      </c>
      <c r="E1401" s="3">
        <v>5542.46</v>
      </c>
      <c r="F1401" s="7" t="s">
        <v>367</v>
      </c>
      <c r="H1401" s="9"/>
      <c r="I1401" s="9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.77734375" style="7" bestFit="1" customWidth="1"/>
    <col min="2" max="2" width="13.44140625" style="7" bestFit="1" customWidth="1"/>
    <col min="3" max="3" width="10.109375" style="7" bestFit="1" customWidth="1"/>
    <col min="4" max="4" width="16.88671875" style="9" bestFit="1" customWidth="1"/>
    <col min="5" max="5" width="20" style="3" bestFit="1" customWidth="1"/>
    <col min="6" max="6" width="12.21875" style="7" bestFit="1" customWidth="1"/>
    <col min="8" max="8" width="9.5546875" bestFit="1" customWidth="1"/>
  </cols>
  <sheetData>
    <row r="1" spans="1:8" x14ac:dyDescent="0.3">
      <c r="A1" s="6" t="s">
        <v>3169</v>
      </c>
      <c r="B1" s="6" t="s">
        <v>257</v>
      </c>
      <c r="C1" s="6" t="s">
        <v>5416</v>
      </c>
      <c r="D1" s="8" t="s">
        <v>3170</v>
      </c>
      <c r="E1" s="2" t="s">
        <v>3171</v>
      </c>
      <c r="F1" s="6" t="s">
        <v>3172</v>
      </c>
    </row>
    <row r="2" spans="1:8" x14ac:dyDescent="0.3">
      <c r="A2" s="7" t="s">
        <v>6819</v>
      </c>
      <c r="B2" s="7" t="s">
        <v>295</v>
      </c>
      <c r="C2" s="7" t="s">
        <v>5419</v>
      </c>
      <c r="D2" s="9">
        <v>46082</v>
      </c>
      <c r="E2" s="3">
        <v>5918.09</v>
      </c>
      <c r="F2" s="7" t="s">
        <v>6820</v>
      </c>
      <c r="H2" s="9"/>
    </row>
    <row r="3" spans="1:8" x14ac:dyDescent="0.3">
      <c r="A3" s="7" t="s">
        <v>6821</v>
      </c>
      <c r="B3" s="7" t="s">
        <v>319</v>
      </c>
      <c r="C3" s="7" t="s">
        <v>5420</v>
      </c>
      <c r="D3" s="9">
        <v>46036</v>
      </c>
      <c r="E3" s="3">
        <v>6605.3</v>
      </c>
      <c r="F3" s="7" t="s">
        <v>3184</v>
      </c>
      <c r="H3" s="9"/>
    </row>
    <row r="4" spans="1:8" x14ac:dyDescent="0.3">
      <c r="A4" s="7" t="s">
        <v>6822</v>
      </c>
      <c r="B4" s="7" t="s">
        <v>287</v>
      </c>
      <c r="C4" s="7" t="s">
        <v>5421</v>
      </c>
      <c r="D4" s="9">
        <v>45967</v>
      </c>
      <c r="E4" s="3">
        <v>5834.93</v>
      </c>
      <c r="F4" s="7" t="s">
        <v>3184</v>
      </c>
      <c r="H4" s="9"/>
    </row>
    <row r="5" spans="1:8" x14ac:dyDescent="0.3">
      <c r="A5" s="7" t="s">
        <v>6823</v>
      </c>
      <c r="B5" s="7" t="s">
        <v>325</v>
      </c>
      <c r="C5" s="7" t="s">
        <v>5422</v>
      </c>
      <c r="D5" s="9">
        <v>46015</v>
      </c>
      <c r="E5" s="3">
        <v>4168.49</v>
      </c>
      <c r="F5" s="7" t="s">
        <v>6820</v>
      </c>
      <c r="H5" s="9"/>
    </row>
    <row r="6" spans="1:8" x14ac:dyDescent="0.3">
      <c r="A6" s="7" t="s">
        <v>6824</v>
      </c>
      <c r="B6" s="7" t="s">
        <v>319</v>
      </c>
      <c r="C6" s="7" t="s">
        <v>5423</v>
      </c>
      <c r="D6" s="9">
        <v>46059</v>
      </c>
      <c r="E6" s="3">
        <v>1940.52</v>
      </c>
      <c r="F6" s="7" t="s">
        <v>3184</v>
      </c>
      <c r="H6" s="9"/>
    </row>
    <row r="7" spans="1:8" x14ac:dyDescent="0.3">
      <c r="A7" s="7" t="s">
        <v>6825</v>
      </c>
      <c r="B7" s="7" t="s">
        <v>279</v>
      </c>
      <c r="C7" s="7" t="s">
        <v>5424</v>
      </c>
      <c r="D7" s="9">
        <v>46066</v>
      </c>
      <c r="E7" s="3">
        <v>3560.06</v>
      </c>
      <c r="F7" s="7" t="s">
        <v>3184</v>
      </c>
      <c r="H7" s="9"/>
    </row>
    <row r="8" spans="1:8" x14ac:dyDescent="0.3">
      <c r="A8" s="7" t="s">
        <v>6826</v>
      </c>
      <c r="B8" s="7" t="s">
        <v>269</v>
      </c>
      <c r="C8" s="7" t="s">
        <v>5426</v>
      </c>
      <c r="D8" s="9">
        <v>46009</v>
      </c>
      <c r="E8" s="3">
        <v>1429.47</v>
      </c>
      <c r="F8" s="7" t="s">
        <v>3174</v>
      </c>
      <c r="H8" s="9"/>
    </row>
    <row r="9" spans="1:8" x14ac:dyDescent="0.3">
      <c r="A9" s="7" t="s">
        <v>6827</v>
      </c>
      <c r="B9" s="7" t="s">
        <v>319</v>
      </c>
      <c r="C9" s="7" t="s">
        <v>5427</v>
      </c>
      <c r="D9" s="9">
        <v>45999</v>
      </c>
      <c r="E9" s="3">
        <v>5050.47</v>
      </c>
      <c r="F9" s="7" t="s">
        <v>6820</v>
      </c>
      <c r="H9" s="9"/>
    </row>
    <row r="10" spans="1:8" x14ac:dyDescent="0.3">
      <c r="A10" s="7" t="s">
        <v>6828</v>
      </c>
      <c r="B10" s="7" t="s">
        <v>327</v>
      </c>
      <c r="C10" s="7" t="s">
        <v>5428</v>
      </c>
      <c r="D10" s="9">
        <v>46012</v>
      </c>
      <c r="E10" s="3">
        <v>1343.26</v>
      </c>
      <c r="F10" s="7" t="s">
        <v>3184</v>
      </c>
      <c r="H10" s="9"/>
    </row>
    <row r="11" spans="1:8" x14ac:dyDescent="0.3">
      <c r="A11" s="7" t="s">
        <v>6829</v>
      </c>
      <c r="B11" s="7" t="s">
        <v>285</v>
      </c>
      <c r="C11" s="7" t="s">
        <v>5429</v>
      </c>
      <c r="D11" s="9">
        <v>45995</v>
      </c>
      <c r="E11" s="3">
        <v>4473.4399999999996</v>
      </c>
      <c r="F11" s="7" t="s">
        <v>3174</v>
      </c>
      <c r="H11" s="9"/>
    </row>
    <row r="12" spans="1:8" x14ac:dyDescent="0.3">
      <c r="A12" s="7" t="s">
        <v>6830</v>
      </c>
      <c r="B12" s="7" t="s">
        <v>293</v>
      </c>
      <c r="C12" s="7" t="s">
        <v>5430</v>
      </c>
      <c r="D12" s="9">
        <v>46029</v>
      </c>
      <c r="E12" s="3">
        <v>2101.38</v>
      </c>
      <c r="F12" s="7" t="s">
        <v>3184</v>
      </c>
      <c r="H12" s="9"/>
    </row>
    <row r="13" spans="1:8" x14ac:dyDescent="0.3">
      <c r="A13" s="7" t="s">
        <v>6831</v>
      </c>
      <c r="B13" s="7" t="s">
        <v>337</v>
      </c>
      <c r="C13" s="7" t="s">
        <v>5431</v>
      </c>
      <c r="D13" s="9">
        <v>46061</v>
      </c>
      <c r="E13" s="3">
        <v>2393.11</v>
      </c>
      <c r="F13" s="7" t="s">
        <v>3174</v>
      </c>
      <c r="H13" s="9"/>
    </row>
    <row r="14" spans="1:8" x14ac:dyDescent="0.3">
      <c r="A14" s="7" t="s">
        <v>6832</v>
      </c>
      <c r="B14" s="7" t="s">
        <v>297</v>
      </c>
      <c r="C14" s="7" t="s">
        <v>5432</v>
      </c>
      <c r="D14" s="9">
        <v>46050</v>
      </c>
      <c r="E14" s="3">
        <v>6824.35</v>
      </c>
      <c r="F14" s="7" t="s">
        <v>6820</v>
      </c>
      <c r="H14" s="9"/>
    </row>
    <row r="15" spans="1:8" x14ac:dyDescent="0.3">
      <c r="A15" s="7" t="s">
        <v>6833</v>
      </c>
      <c r="B15" s="7" t="s">
        <v>337</v>
      </c>
      <c r="C15" s="7" t="s">
        <v>5433</v>
      </c>
      <c r="D15" s="9">
        <v>46019</v>
      </c>
      <c r="E15" s="3">
        <v>4432.1899999999996</v>
      </c>
      <c r="F15" s="7" t="s">
        <v>6820</v>
      </c>
      <c r="H15" s="9"/>
    </row>
    <row r="16" spans="1:8" x14ac:dyDescent="0.3">
      <c r="A16" s="7" t="s">
        <v>6834</v>
      </c>
      <c r="B16" s="7" t="s">
        <v>269</v>
      </c>
      <c r="C16" s="7" t="s">
        <v>5434</v>
      </c>
      <c r="D16" s="9">
        <v>46057</v>
      </c>
      <c r="E16" s="3">
        <v>4100.05</v>
      </c>
      <c r="F16" s="7" t="s">
        <v>3184</v>
      </c>
      <c r="H16" s="9"/>
    </row>
    <row r="17" spans="1:8" x14ac:dyDescent="0.3">
      <c r="A17" s="7" t="s">
        <v>6835</v>
      </c>
      <c r="B17" s="7" t="s">
        <v>317</v>
      </c>
      <c r="C17" s="7" t="s">
        <v>5437</v>
      </c>
      <c r="D17" s="9">
        <v>45978</v>
      </c>
      <c r="E17" s="3">
        <v>4914.1400000000003</v>
      </c>
      <c r="F17" s="7" t="s">
        <v>6820</v>
      </c>
      <c r="H17" s="9"/>
    </row>
    <row r="18" spans="1:8" x14ac:dyDescent="0.3">
      <c r="A18" s="7" t="s">
        <v>6836</v>
      </c>
      <c r="B18" s="7" t="s">
        <v>343</v>
      </c>
      <c r="C18" s="7" t="s">
        <v>5440</v>
      </c>
      <c r="D18" s="9">
        <v>46085</v>
      </c>
      <c r="E18" s="3">
        <v>5290.02</v>
      </c>
      <c r="F18" s="7" t="s">
        <v>6820</v>
      </c>
      <c r="H18" s="9"/>
    </row>
    <row r="19" spans="1:8" x14ac:dyDescent="0.3">
      <c r="A19" s="7" t="s">
        <v>6837</v>
      </c>
      <c r="B19" s="7" t="s">
        <v>335</v>
      </c>
      <c r="C19" s="7" t="s">
        <v>5441</v>
      </c>
      <c r="D19" s="9">
        <v>46002</v>
      </c>
      <c r="E19" s="3">
        <v>6447.2</v>
      </c>
      <c r="F19" s="7" t="s">
        <v>6820</v>
      </c>
      <c r="H19" s="9"/>
    </row>
    <row r="20" spans="1:8" x14ac:dyDescent="0.3">
      <c r="A20" s="7" t="s">
        <v>6838</v>
      </c>
      <c r="B20" s="7" t="s">
        <v>307</v>
      </c>
      <c r="C20" s="7" t="s">
        <v>5442</v>
      </c>
      <c r="D20" s="9">
        <v>46077</v>
      </c>
      <c r="E20" s="3">
        <v>4737.68</v>
      </c>
      <c r="F20" s="7" t="s">
        <v>6820</v>
      </c>
      <c r="H20" s="9"/>
    </row>
    <row r="21" spans="1:8" x14ac:dyDescent="0.3">
      <c r="A21" s="7" t="s">
        <v>6839</v>
      </c>
      <c r="B21" s="7" t="s">
        <v>269</v>
      </c>
      <c r="C21" s="7" t="s">
        <v>5444</v>
      </c>
      <c r="D21" s="9">
        <v>46046</v>
      </c>
      <c r="E21" s="3">
        <v>1910.73</v>
      </c>
      <c r="F21" s="7" t="s">
        <v>3184</v>
      </c>
      <c r="H21" s="9"/>
    </row>
    <row r="22" spans="1:8" x14ac:dyDescent="0.3">
      <c r="A22" s="7" t="s">
        <v>6840</v>
      </c>
      <c r="B22" s="7" t="s">
        <v>323</v>
      </c>
      <c r="C22" s="7" t="s">
        <v>5445</v>
      </c>
      <c r="D22" s="9">
        <v>45990</v>
      </c>
      <c r="E22" s="3">
        <v>5332.99</v>
      </c>
      <c r="F22" s="7" t="s">
        <v>3184</v>
      </c>
      <c r="H22" s="9"/>
    </row>
    <row r="23" spans="1:8" x14ac:dyDescent="0.3">
      <c r="A23" s="7" t="s">
        <v>6841</v>
      </c>
      <c r="B23" s="7" t="s">
        <v>272</v>
      </c>
      <c r="C23" s="7" t="s">
        <v>5446</v>
      </c>
      <c r="D23" s="9">
        <v>46041</v>
      </c>
      <c r="E23" s="3">
        <v>5884.01</v>
      </c>
      <c r="F23" s="7" t="s">
        <v>6820</v>
      </c>
      <c r="H23" s="9"/>
    </row>
    <row r="24" spans="1:8" x14ac:dyDescent="0.3">
      <c r="A24" s="7" t="s">
        <v>6842</v>
      </c>
      <c r="B24" s="7" t="s">
        <v>341</v>
      </c>
      <c r="C24" s="7" t="s">
        <v>5447</v>
      </c>
      <c r="D24" s="9">
        <v>46071</v>
      </c>
      <c r="E24" s="3">
        <v>6425.28</v>
      </c>
      <c r="F24" s="7" t="s">
        <v>3174</v>
      </c>
      <c r="H24" s="9"/>
    </row>
    <row r="25" spans="1:8" x14ac:dyDescent="0.3">
      <c r="A25" s="7" t="s">
        <v>6843</v>
      </c>
      <c r="B25" s="7" t="s">
        <v>315</v>
      </c>
      <c r="C25" s="7" t="s">
        <v>5451</v>
      </c>
      <c r="D25" s="9">
        <v>45961</v>
      </c>
      <c r="E25" s="3">
        <v>6888.66</v>
      </c>
      <c r="F25" s="7" t="s">
        <v>3184</v>
      </c>
      <c r="H25" s="9"/>
    </row>
    <row r="26" spans="1:8" x14ac:dyDescent="0.3">
      <c r="A26" s="7" t="s">
        <v>6844</v>
      </c>
      <c r="B26" s="7" t="s">
        <v>291</v>
      </c>
      <c r="C26" s="7" t="s">
        <v>5452</v>
      </c>
      <c r="D26" s="9">
        <v>46088</v>
      </c>
      <c r="E26" s="3">
        <v>4756.8100000000004</v>
      </c>
      <c r="F26" s="7" t="s">
        <v>6820</v>
      </c>
      <c r="H26" s="9"/>
    </row>
    <row r="27" spans="1:8" x14ac:dyDescent="0.3">
      <c r="A27" s="7" t="s">
        <v>6845</v>
      </c>
      <c r="B27" s="7" t="s">
        <v>319</v>
      </c>
      <c r="C27" s="7" t="s">
        <v>5453</v>
      </c>
      <c r="D27" s="9">
        <v>46072</v>
      </c>
      <c r="E27" s="3">
        <v>6063.31</v>
      </c>
      <c r="F27" s="7" t="s">
        <v>3184</v>
      </c>
      <c r="H27" s="9"/>
    </row>
    <row r="28" spans="1:8" x14ac:dyDescent="0.3">
      <c r="A28" s="7" t="s">
        <v>6846</v>
      </c>
      <c r="B28" s="7" t="s">
        <v>264</v>
      </c>
      <c r="C28" s="7" t="s">
        <v>5456</v>
      </c>
      <c r="D28" s="9">
        <v>46040</v>
      </c>
      <c r="E28" s="3">
        <v>5374.91</v>
      </c>
      <c r="F28" s="7" t="s">
        <v>6820</v>
      </c>
      <c r="H28" s="9"/>
    </row>
    <row r="29" spans="1:8" x14ac:dyDescent="0.3">
      <c r="A29" s="7" t="s">
        <v>6847</v>
      </c>
      <c r="B29" s="7" t="s">
        <v>337</v>
      </c>
      <c r="C29" s="7" t="s">
        <v>5457</v>
      </c>
      <c r="D29" s="9">
        <v>46089</v>
      </c>
      <c r="E29" s="3">
        <v>4707.71</v>
      </c>
      <c r="F29" s="7" t="s">
        <v>3174</v>
      </c>
      <c r="H29" s="9"/>
    </row>
    <row r="30" spans="1:8" x14ac:dyDescent="0.3">
      <c r="A30" s="7" t="s">
        <v>6848</v>
      </c>
      <c r="B30" s="7" t="s">
        <v>323</v>
      </c>
      <c r="C30" s="7" t="s">
        <v>5458</v>
      </c>
      <c r="D30" s="9">
        <v>45971</v>
      </c>
      <c r="E30" s="3">
        <v>4377.97</v>
      </c>
      <c r="F30" s="7" t="s">
        <v>3184</v>
      </c>
      <c r="H30" s="9"/>
    </row>
    <row r="31" spans="1:8" x14ac:dyDescent="0.3">
      <c r="A31" s="7" t="s">
        <v>6849</v>
      </c>
      <c r="B31" s="7" t="s">
        <v>319</v>
      </c>
      <c r="C31" s="7" t="s">
        <v>5459</v>
      </c>
      <c r="D31" s="9">
        <v>46081</v>
      </c>
      <c r="E31" s="3">
        <v>6532.59</v>
      </c>
      <c r="F31" s="7" t="s">
        <v>3184</v>
      </c>
      <c r="H31" s="9"/>
    </row>
    <row r="32" spans="1:8" x14ac:dyDescent="0.3">
      <c r="A32" s="7" t="s">
        <v>6850</v>
      </c>
      <c r="B32" s="7" t="s">
        <v>274</v>
      </c>
      <c r="C32" s="7" t="s">
        <v>5460</v>
      </c>
      <c r="D32" s="9">
        <v>45968</v>
      </c>
      <c r="E32" s="3">
        <v>4693.63</v>
      </c>
      <c r="F32" s="7" t="s">
        <v>3174</v>
      </c>
      <c r="H32" s="9"/>
    </row>
    <row r="33" spans="1:8" x14ac:dyDescent="0.3">
      <c r="A33" s="7" t="s">
        <v>6851</v>
      </c>
      <c r="B33" s="7" t="s">
        <v>261</v>
      </c>
      <c r="C33" s="7" t="s">
        <v>5462</v>
      </c>
      <c r="D33" s="9">
        <v>46068</v>
      </c>
      <c r="E33" s="3">
        <v>5566.57</v>
      </c>
      <c r="F33" s="7" t="s">
        <v>3184</v>
      </c>
      <c r="H33" s="9"/>
    </row>
    <row r="34" spans="1:8" x14ac:dyDescent="0.3">
      <c r="A34" s="7" t="s">
        <v>6852</v>
      </c>
      <c r="B34" s="7" t="s">
        <v>295</v>
      </c>
      <c r="C34" s="7" t="s">
        <v>5464</v>
      </c>
      <c r="D34" s="9">
        <v>46099</v>
      </c>
      <c r="E34" s="3">
        <v>5681.04</v>
      </c>
      <c r="F34" s="7" t="s">
        <v>6820</v>
      </c>
      <c r="H34" s="9"/>
    </row>
    <row r="35" spans="1:8" x14ac:dyDescent="0.3">
      <c r="A35" s="7" t="s">
        <v>6853</v>
      </c>
      <c r="B35" s="7" t="s">
        <v>305</v>
      </c>
      <c r="C35" s="7" t="s">
        <v>5466</v>
      </c>
      <c r="D35" s="9">
        <v>46034</v>
      </c>
      <c r="E35" s="3">
        <v>2967.28</v>
      </c>
      <c r="F35" s="7" t="s">
        <v>3174</v>
      </c>
      <c r="H35" s="9"/>
    </row>
    <row r="36" spans="1:8" x14ac:dyDescent="0.3">
      <c r="A36" s="7" t="s">
        <v>6854</v>
      </c>
      <c r="B36" s="7" t="s">
        <v>337</v>
      </c>
      <c r="C36" s="7" t="s">
        <v>5467</v>
      </c>
      <c r="D36" s="9">
        <v>46108</v>
      </c>
      <c r="E36" s="3">
        <v>1166.24</v>
      </c>
      <c r="F36" s="7" t="s">
        <v>3184</v>
      </c>
      <c r="H36" s="9"/>
    </row>
    <row r="37" spans="1:8" x14ac:dyDescent="0.3">
      <c r="A37" s="7" t="s">
        <v>6855</v>
      </c>
      <c r="B37" s="7" t="s">
        <v>305</v>
      </c>
      <c r="C37" s="7" t="s">
        <v>5469</v>
      </c>
      <c r="D37" s="9">
        <v>46089</v>
      </c>
      <c r="E37" s="3">
        <v>1178.18</v>
      </c>
      <c r="F37" s="7" t="s">
        <v>6820</v>
      </c>
      <c r="H37" s="9"/>
    </row>
    <row r="38" spans="1:8" x14ac:dyDescent="0.3">
      <c r="A38" s="7" t="s">
        <v>6856</v>
      </c>
      <c r="B38" s="7" t="s">
        <v>323</v>
      </c>
      <c r="C38" s="7" t="s">
        <v>5470</v>
      </c>
      <c r="D38" s="9">
        <v>46046</v>
      </c>
      <c r="E38" s="3">
        <v>2080.8200000000002</v>
      </c>
      <c r="F38" s="7" t="s">
        <v>3184</v>
      </c>
      <c r="H38" s="9"/>
    </row>
    <row r="39" spans="1:8" x14ac:dyDescent="0.3">
      <c r="A39" s="7" t="s">
        <v>6857</v>
      </c>
      <c r="B39" s="7" t="s">
        <v>331</v>
      </c>
      <c r="C39" s="7" t="s">
        <v>5471</v>
      </c>
      <c r="D39" s="9">
        <v>46083</v>
      </c>
      <c r="E39" s="3">
        <v>3876.37</v>
      </c>
      <c r="F39" s="7" t="s">
        <v>6820</v>
      </c>
      <c r="H39" s="9"/>
    </row>
    <row r="40" spans="1:8" x14ac:dyDescent="0.3">
      <c r="A40" s="7" t="s">
        <v>6858</v>
      </c>
      <c r="B40" s="7" t="s">
        <v>321</v>
      </c>
      <c r="C40" s="7" t="s">
        <v>5472</v>
      </c>
      <c r="D40" s="9">
        <v>46073</v>
      </c>
      <c r="E40" s="3">
        <v>1288.97</v>
      </c>
      <c r="F40" s="7" t="s">
        <v>6820</v>
      </c>
      <c r="H40" s="9"/>
    </row>
    <row r="41" spans="1:8" x14ac:dyDescent="0.3">
      <c r="A41" s="7" t="s">
        <v>6859</v>
      </c>
      <c r="B41" s="7" t="s">
        <v>341</v>
      </c>
      <c r="C41" s="7" t="s">
        <v>5473</v>
      </c>
      <c r="D41" s="9">
        <v>45981</v>
      </c>
      <c r="E41" s="3">
        <v>3285.85</v>
      </c>
      <c r="F41" s="7" t="s">
        <v>3174</v>
      </c>
      <c r="H41" s="9"/>
    </row>
    <row r="42" spans="1:8" x14ac:dyDescent="0.3">
      <c r="A42" s="7" t="s">
        <v>6860</v>
      </c>
      <c r="B42" s="7" t="s">
        <v>343</v>
      </c>
      <c r="C42" s="7" t="s">
        <v>5474</v>
      </c>
      <c r="D42" s="9">
        <v>46086</v>
      </c>
      <c r="E42" s="3">
        <v>1174.19</v>
      </c>
      <c r="F42" s="7" t="s">
        <v>6820</v>
      </c>
      <c r="H42" s="9"/>
    </row>
    <row r="43" spans="1:8" x14ac:dyDescent="0.3">
      <c r="A43" s="7" t="s">
        <v>6861</v>
      </c>
      <c r="B43" s="7" t="s">
        <v>295</v>
      </c>
      <c r="C43" s="7" t="s">
        <v>5477</v>
      </c>
      <c r="D43" s="9">
        <v>46064</v>
      </c>
      <c r="E43" s="3">
        <v>1332.88</v>
      </c>
      <c r="F43" s="7" t="s">
        <v>3174</v>
      </c>
      <c r="H43" s="9"/>
    </row>
    <row r="44" spans="1:8" x14ac:dyDescent="0.3">
      <c r="A44" s="7" t="s">
        <v>6862</v>
      </c>
      <c r="B44" s="7" t="s">
        <v>295</v>
      </c>
      <c r="C44" s="7" t="s">
        <v>5478</v>
      </c>
      <c r="D44" s="9">
        <v>46052</v>
      </c>
      <c r="E44" s="3">
        <v>4425.66</v>
      </c>
      <c r="F44" s="7" t="s">
        <v>3184</v>
      </c>
      <c r="H44" s="9"/>
    </row>
    <row r="45" spans="1:8" x14ac:dyDescent="0.3">
      <c r="A45" s="7" t="s">
        <v>6863</v>
      </c>
      <c r="B45" s="7" t="s">
        <v>279</v>
      </c>
      <c r="C45" s="7" t="s">
        <v>5479</v>
      </c>
      <c r="D45" s="9">
        <v>45992</v>
      </c>
      <c r="E45" s="3">
        <v>1427.82</v>
      </c>
      <c r="F45" s="7" t="s">
        <v>6820</v>
      </c>
      <c r="H45" s="9"/>
    </row>
    <row r="46" spans="1:8" x14ac:dyDescent="0.3">
      <c r="A46" s="7" t="s">
        <v>6864</v>
      </c>
      <c r="B46" s="7" t="s">
        <v>343</v>
      </c>
      <c r="C46" s="7" t="s">
        <v>5480</v>
      </c>
      <c r="D46" s="9">
        <v>46074</v>
      </c>
      <c r="E46" s="3">
        <v>1064.04</v>
      </c>
      <c r="F46" s="7" t="s">
        <v>3174</v>
      </c>
      <c r="H46" s="9"/>
    </row>
    <row r="47" spans="1:8" x14ac:dyDescent="0.3">
      <c r="A47" s="7" t="s">
        <v>6865</v>
      </c>
      <c r="B47" s="7" t="s">
        <v>325</v>
      </c>
      <c r="C47" s="7" t="s">
        <v>5481</v>
      </c>
      <c r="D47" s="9">
        <v>46047</v>
      </c>
      <c r="E47" s="3">
        <v>3814.19</v>
      </c>
      <c r="F47" s="7" t="s">
        <v>3184</v>
      </c>
      <c r="H47" s="9"/>
    </row>
    <row r="48" spans="1:8" x14ac:dyDescent="0.3">
      <c r="A48" s="7" t="s">
        <v>6866</v>
      </c>
      <c r="B48" s="7" t="s">
        <v>323</v>
      </c>
      <c r="C48" s="7" t="s">
        <v>5486</v>
      </c>
      <c r="D48" s="9">
        <v>46066</v>
      </c>
      <c r="E48" s="3">
        <v>6745.18</v>
      </c>
      <c r="F48" s="7" t="s">
        <v>3184</v>
      </c>
      <c r="H48" s="9"/>
    </row>
    <row r="49" spans="1:8" x14ac:dyDescent="0.3">
      <c r="A49" s="7" t="s">
        <v>6867</v>
      </c>
      <c r="B49" s="7" t="s">
        <v>333</v>
      </c>
      <c r="C49" s="7" t="s">
        <v>5487</v>
      </c>
      <c r="D49" s="9">
        <v>46003</v>
      </c>
      <c r="E49" s="3">
        <v>6207.59</v>
      </c>
      <c r="F49" s="7" t="s">
        <v>3174</v>
      </c>
      <c r="H49" s="9"/>
    </row>
    <row r="50" spans="1:8" x14ac:dyDescent="0.3">
      <c r="A50" s="7" t="s">
        <v>6868</v>
      </c>
      <c r="B50" s="7" t="s">
        <v>297</v>
      </c>
      <c r="C50" s="7" t="s">
        <v>5488</v>
      </c>
      <c r="D50" s="9">
        <v>46083</v>
      </c>
      <c r="E50" s="3">
        <v>1065.69</v>
      </c>
      <c r="F50" s="7" t="s">
        <v>6820</v>
      </c>
      <c r="H50" s="9"/>
    </row>
    <row r="51" spans="1:8" x14ac:dyDescent="0.3">
      <c r="A51" s="7" t="s">
        <v>6869</v>
      </c>
      <c r="B51" s="7" t="s">
        <v>289</v>
      </c>
      <c r="C51" s="7" t="s">
        <v>5489</v>
      </c>
      <c r="D51" s="9">
        <v>46082</v>
      </c>
      <c r="E51" s="3">
        <v>4949.53</v>
      </c>
      <c r="F51" s="7" t="s">
        <v>3174</v>
      </c>
      <c r="H51" s="9"/>
    </row>
    <row r="52" spans="1:8" x14ac:dyDescent="0.3">
      <c r="A52" s="7" t="s">
        <v>6870</v>
      </c>
      <c r="B52" s="7" t="s">
        <v>291</v>
      </c>
      <c r="C52" s="7" t="s">
        <v>5490</v>
      </c>
      <c r="D52" s="9">
        <v>46085</v>
      </c>
      <c r="E52" s="3">
        <v>851.29</v>
      </c>
      <c r="F52" s="7" t="s">
        <v>3184</v>
      </c>
      <c r="H52" s="9"/>
    </row>
    <row r="53" spans="1:8" x14ac:dyDescent="0.3">
      <c r="A53" s="7" t="s">
        <v>6871</v>
      </c>
      <c r="B53" s="7" t="s">
        <v>297</v>
      </c>
      <c r="C53" s="7" t="s">
        <v>5492</v>
      </c>
      <c r="D53" s="9">
        <v>46058</v>
      </c>
      <c r="E53" s="3">
        <v>4729.3100000000004</v>
      </c>
      <c r="F53" s="7" t="s">
        <v>3174</v>
      </c>
      <c r="H53" s="9"/>
    </row>
    <row r="54" spans="1:8" x14ac:dyDescent="0.3">
      <c r="A54" s="7" t="s">
        <v>6872</v>
      </c>
      <c r="B54" s="7" t="s">
        <v>331</v>
      </c>
      <c r="C54" s="7" t="s">
        <v>5493</v>
      </c>
      <c r="D54" s="9">
        <v>45969</v>
      </c>
      <c r="E54" s="3">
        <v>5480.86</v>
      </c>
      <c r="F54" s="7" t="s">
        <v>3174</v>
      </c>
      <c r="H54" s="9"/>
    </row>
    <row r="55" spans="1:8" x14ac:dyDescent="0.3">
      <c r="A55" s="7" t="s">
        <v>6873</v>
      </c>
      <c r="B55" s="7" t="s">
        <v>264</v>
      </c>
      <c r="C55" s="7" t="s">
        <v>5494</v>
      </c>
      <c r="D55" s="9">
        <v>45978</v>
      </c>
      <c r="E55" s="3">
        <v>4367.1400000000003</v>
      </c>
      <c r="F55" s="7" t="s">
        <v>3184</v>
      </c>
      <c r="H55" s="9"/>
    </row>
    <row r="56" spans="1:8" x14ac:dyDescent="0.3">
      <c r="A56" s="7" t="s">
        <v>6874</v>
      </c>
      <c r="B56" s="7" t="s">
        <v>327</v>
      </c>
      <c r="C56" s="7" t="s">
        <v>5495</v>
      </c>
      <c r="D56" s="9">
        <v>46077</v>
      </c>
      <c r="E56" s="3">
        <v>3293.22</v>
      </c>
      <c r="F56" s="7" t="s">
        <v>3174</v>
      </c>
      <c r="H56" s="9"/>
    </row>
    <row r="57" spans="1:8" x14ac:dyDescent="0.3">
      <c r="A57" s="7" t="s">
        <v>6875</v>
      </c>
      <c r="B57" s="7" t="s">
        <v>341</v>
      </c>
      <c r="C57" s="7" t="s">
        <v>5496</v>
      </c>
      <c r="D57" s="9">
        <v>46017</v>
      </c>
      <c r="E57" s="3">
        <v>4685.5200000000004</v>
      </c>
      <c r="F57" s="7" t="s">
        <v>3174</v>
      </c>
      <c r="H57" s="9"/>
    </row>
    <row r="58" spans="1:8" x14ac:dyDescent="0.3">
      <c r="A58" s="7" t="s">
        <v>6876</v>
      </c>
      <c r="B58" s="7" t="s">
        <v>287</v>
      </c>
      <c r="C58" s="7" t="s">
        <v>5497</v>
      </c>
      <c r="D58" s="9">
        <v>45971</v>
      </c>
      <c r="E58" s="3">
        <v>1873.43</v>
      </c>
      <c r="F58" s="7" t="s">
        <v>3184</v>
      </c>
      <c r="H58" s="9"/>
    </row>
    <row r="59" spans="1:8" x14ac:dyDescent="0.3">
      <c r="A59" s="7" t="s">
        <v>6877</v>
      </c>
      <c r="B59" s="7" t="s">
        <v>333</v>
      </c>
      <c r="C59" s="7" t="s">
        <v>5500</v>
      </c>
      <c r="D59" s="9">
        <v>46053</v>
      </c>
      <c r="E59" s="3">
        <v>5441.42</v>
      </c>
      <c r="F59" s="7" t="s">
        <v>3174</v>
      </c>
      <c r="H59" s="9"/>
    </row>
    <row r="60" spans="1:8" x14ac:dyDescent="0.3">
      <c r="A60" s="7" t="s">
        <v>6878</v>
      </c>
      <c r="B60" s="7" t="s">
        <v>331</v>
      </c>
      <c r="C60" s="7" t="s">
        <v>5505</v>
      </c>
      <c r="D60" s="9">
        <v>46073</v>
      </c>
      <c r="E60" s="3">
        <v>6387.1</v>
      </c>
      <c r="F60" s="7" t="s">
        <v>3174</v>
      </c>
      <c r="H60" s="9"/>
    </row>
    <row r="61" spans="1:8" x14ac:dyDescent="0.3">
      <c r="A61" s="7" t="s">
        <v>6879</v>
      </c>
      <c r="B61" s="7" t="s">
        <v>293</v>
      </c>
      <c r="C61" s="7" t="s">
        <v>5507</v>
      </c>
      <c r="D61" s="9">
        <v>46005</v>
      </c>
      <c r="E61" s="3">
        <v>2129.58</v>
      </c>
      <c r="F61" s="7" t="s">
        <v>3184</v>
      </c>
      <c r="H61" s="9"/>
    </row>
    <row r="62" spans="1:8" x14ac:dyDescent="0.3">
      <c r="A62" s="7" t="s">
        <v>6880</v>
      </c>
      <c r="B62" s="7" t="s">
        <v>261</v>
      </c>
      <c r="C62" s="7" t="s">
        <v>5508</v>
      </c>
      <c r="D62" s="9">
        <v>46041</v>
      </c>
      <c r="E62" s="3">
        <v>5942.28</v>
      </c>
      <c r="F62" s="7" t="s">
        <v>3184</v>
      </c>
      <c r="H62" s="9"/>
    </row>
    <row r="63" spans="1:8" x14ac:dyDescent="0.3">
      <c r="A63" s="7" t="s">
        <v>6881</v>
      </c>
      <c r="B63" s="7" t="s">
        <v>333</v>
      </c>
      <c r="C63" s="7" t="s">
        <v>5511</v>
      </c>
      <c r="D63" s="9">
        <v>46090</v>
      </c>
      <c r="E63" s="3">
        <v>1591.84</v>
      </c>
      <c r="F63" s="7" t="s">
        <v>6820</v>
      </c>
      <c r="H63" s="9"/>
    </row>
    <row r="64" spans="1:8" x14ac:dyDescent="0.3">
      <c r="A64" s="7" t="s">
        <v>6882</v>
      </c>
      <c r="B64" s="7" t="s">
        <v>267</v>
      </c>
      <c r="C64" s="7" t="s">
        <v>5512</v>
      </c>
      <c r="D64" s="9">
        <v>46084</v>
      </c>
      <c r="E64" s="3">
        <v>6527.74</v>
      </c>
      <c r="F64" s="7" t="s">
        <v>3184</v>
      </c>
      <c r="H64" s="9"/>
    </row>
    <row r="65" spans="1:8" x14ac:dyDescent="0.3">
      <c r="A65" s="7" t="s">
        <v>6883</v>
      </c>
      <c r="B65" s="7" t="s">
        <v>293</v>
      </c>
      <c r="C65" s="7" t="s">
        <v>5513</v>
      </c>
      <c r="D65" s="9">
        <v>46021</v>
      </c>
      <c r="E65" s="3">
        <v>6345.52</v>
      </c>
      <c r="F65" s="7" t="s">
        <v>3184</v>
      </c>
      <c r="H65" s="9"/>
    </row>
    <row r="66" spans="1:8" x14ac:dyDescent="0.3">
      <c r="A66" s="7" t="s">
        <v>6884</v>
      </c>
      <c r="B66" s="7" t="s">
        <v>309</v>
      </c>
      <c r="C66" s="7" t="s">
        <v>5514</v>
      </c>
      <c r="D66" s="9">
        <v>46024</v>
      </c>
      <c r="E66" s="3">
        <v>3591.3</v>
      </c>
      <c r="F66" s="7" t="s">
        <v>6820</v>
      </c>
      <c r="H66" s="9"/>
    </row>
    <row r="67" spans="1:8" x14ac:dyDescent="0.3">
      <c r="A67" s="7" t="s">
        <v>6885</v>
      </c>
      <c r="B67" s="7" t="s">
        <v>339</v>
      </c>
      <c r="C67" s="7" t="s">
        <v>5516</v>
      </c>
      <c r="D67" s="9">
        <v>45990</v>
      </c>
      <c r="E67" s="3">
        <v>6000.97</v>
      </c>
      <c r="F67" s="7" t="s">
        <v>6820</v>
      </c>
      <c r="H67" s="9"/>
    </row>
    <row r="68" spans="1:8" x14ac:dyDescent="0.3">
      <c r="A68" s="7" t="s">
        <v>6886</v>
      </c>
      <c r="B68" s="7" t="s">
        <v>272</v>
      </c>
      <c r="C68" s="7" t="s">
        <v>5518</v>
      </c>
      <c r="D68" s="9">
        <v>46077</v>
      </c>
      <c r="E68" s="3">
        <v>1168.8800000000001</v>
      </c>
      <c r="F68" s="7" t="s">
        <v>3174</v>
      </c>
      <c r="H68" s="9"/>
    </row>
    <row r="69" spans="1:8" x14ac:dyDescent="0.3">
      <c r="A69" s="7" t="s">
        <v>6887</v>
      </c>
      <c r="B69" s="7" t="s">
        <v>333</v>
      </c>
      <c r="C69" s="7" t="s">
        <v>5520</v>
      </c>
      <c r="D69" s="9">
        <v>46049</v>
      </c>
      <c r="E69" s="3">
        <v>6703.13</v>
      </c>
      <c r="F69" s="7" t="s">
        <v>3174</v>
      </c>
      <c r="H69" s="9"/>
    </row>
    <row r="70" spans="1:8" x14ac:dyDescent="0.3">
      <c r="A70" s="7" t="s">
        <v>6888</v>
      </c>
      <c r="B70" s="7" t="s">
        <v>317</v>
      </c>
      <c r="C70" s="7" t="s">
        <v>5522</v>
      </c>
      <c r="D70" s="9">
        <v>46031</v>
      </c>
      <c r="E70" s="3">
        <v>2069.0500000000002</v>
      </c>
      <c r="F70" s="7" t="s">
        <v>3184</v>
      </c>
      <c r="H70" s="9"/>
    </row>
    <row r="71" spans="1:8" x14ac:dyDescent="0.3">
      <c r="A71" s="7" t="s">
        <v>6889</v>
      </c>
      <c r="B71" s="7" t="s">
        <v>303</v>
      </c>
      <c r="C71" s="7" t="s">
        <v>5523</v>
      </c>
      <c r="D71" s="9">
        <v>46062</v>
      </c>
      <c r="E71" s="3">
        <v>5719.4</v>
      </c>
      <c r="F71" s="7" t="s">
        <v>6820</v>
      </c>
      <c r="H71" s="9"/>
    </row>
    <row r="72" spans="1:8" x14ac:dyDescent="0.3">
      <c r="A72" s="7" t="s">
        <v>6890</v>
      </c>
      <c r="B72" s="7" t="s">
        <v>291</v>
      </c>
      <c r="C72" s="7" t="s">
        <v>5524</v>
      </c>
      <c r="D72" s="9">
        <v>45982</v>
      </c>
      <c r="E72" s="3">
        <v>1868.83</v>
      </c>
      <c r="F72" s="7" t="s">
        <v>3184</v>
      </c>
      <c r="H72" s="9"/>
    </row>
    <row r="73" spans="1:8" x14ac:dyDescent="0.3">
      <c r="A73" s="7" t="s">
        <v>6891</v>
      </c>
      <c r="B73" s="7" t="s">
        <v>269</v>
      </c>
      <c r="C73" s="7" t="s">
        <v>5525</v>
      </c>
      <c r="D73" s="9">
        <v>46080</v>
      </c>
      <c r="E73" s="3">
        <v>1019.77</v>
      </c>
      <c r="F73" s="7" t="s">
        <v>3184</v>
      </c>
      <c r="H73" s="9"/>
    </row>
    <row r="74" spans="1:8" x14ac:dyDescent="0.3">
      <c r="A74" s="7" t="s">
        <v>6892</v>
      </c>
      <c r="B74" s="7" t="s">
        <v>276</v>
      </c>
      <c r="C74" s="7" t="s">
        <v>5526</v>
      </c>
      <c r="D74" s="9">
        <v>46046</v>
      </c>
      <c r="E74" s="3">
        <v>5062.76</v>
      </c>
      <c r="F74" s="7" t="s">
        <v>6820</v>
      </c>
      <c r="H74" s="9"/>
    </row>
    <row r="75" spans="1:8" x14ac:dyDescent="0.3">
      <c r="A75" s="7" t="s">
        <v>6893</v>
      </c>
      <c r="B75" s="7" t="s">
        <v>283</v>
      </c>
      <c r="C75" s="7" t="s">
        <v>5527</v>
      </c>
      <c r="D75" s="9">
        <v>46057</v>
      </c>
      <c r="E75" s="3">
        <v>4186.16</v>
      </c>
      <c r="F75" s="7" t="s">
        <v>3174</v>
      </c>
      <c r="H75" s="9"/>
    </row>
    <row r="76" spans="1:8" x14ac:dyDescent="0.3">
      <c r="A76" s="7" t="s">
        <v>6894</v>
      </c>
      <c r="B76" s="7" t="s">
        <v>269</v>
      </c>
      <c r="C76" s="7" t="s">
        <v>5528</v>
      </c>
      <c r="D76" s="9">
        <v>46010</v>
      </c>
      <c r="E76" s="3">
        <v>6592.35</v>
      </c>
      <c r="F76" s="7" t="s">
        <v>3184</v>
      </c>
      <c r="H76" s="9"/>
    </row>
    <row r="77" spans="1:8" x14ac:dyDescent="0.3">
      <c r="A77" s="7" t="s">
        <v>6895</v>
      </c>
      <c r="B77" s="7" t="s">
        <v>281</v>
      </c>
      <c r="C77" s="7" t="s">
        <v>5530</v>
      </c>
      <c r="D77" s="9">
        <v>46062</v>
      </c>
      <c r="E77" s="3">
        <v>1234.49</v>
      </c>
      <c r="F77" s="7" t="s">
        <v>3174</v>
      </c>
      <c r="H77" s="9"/>
    </row>
    <row r="78" spans="1:8" x14ac:dyDescent="0.3">
      <c r="A78" s="7" t="s">
        <v>6896</v>
      </c>
      <c r="B78" s="7" t="s">
        <v>339</v>
      </c>
      <c r="C78" s="7" t="s">
        <v>5531</v>
      </c>
      <c r="D78" s="9">
        <v>45989</v>
      </c>
      <c r="E78" s="3">
        <v>993.3</v>
      </c>
      <c r="F78" s="7" t="s">
        <v>6820</v>
      </c>
      <c r="H78" s="9"/>
    </row>
    <row r="79" spans="1:8" x14ac:dyDescent="0.3">
      <c r="A79" s="7" t="s">
        <v>6897</v>
      </c>
      <c r="B79" s="7" t="s">
        <v>305</v>
      </c>
      <c r="C79" s="7" t="s">
        <v>5532</v>
      </c>
      <c r="D79" s="9">
        <v>46067</v>
      </c>
      <c r="E79" s="3">
        <v>986.16</v>
      </c>
      <c r="F79" s="7" t="s">
        <v>3174</v>
      </c>
      <c r="H79" s="9"/>
    </row>
    <row r="80" spans="1:8" x14ac:dyDescent="0.3">
      <c r="A80" s="7" t="s">
        <v>6898</v>
      </c>
      <c r="B80" s="7" t="s">
        <v>307</v>
      </c>
      <c r="C80" s="7" t="s">
        <v>5533</v>
      </c>
      <c r="D80" s="9">
        <v>46039</v>
      </c>
      <c r="E80" s="3">
        <v>6722.95</v>
      </c>
      <c r="F80" s="7" t="s">
        <v>6820</v>
      </c>
      <c r="H80" s="9"/>
    </row>
    <row r="81" spans="1:8" x14ac:dyDescent="0.3">
      <c r="A81" s="7" t="s">
        <v>6899</v>
      </c>
      <c r="B81" s="7" t="s">
        <v>323</v>
      </c>
      <c r="C81" s="7" t="s">
        <v>5534</v>
      </c>
      <c r="D81" s="9">
        <v>46068</v>
      </c>
      <c r="E81" s="3">
        <v>2140.36</v>
      </c>
      <c r="F81" s="7" t="s">
        <v>3184</v>
      </c>
      <c r="H81" s="9"/>
    </row>
    <row r="82" spans="1:8" x14ac:dyDescent="0.3">
      <c r="A82" s="7" t="s">
        <v>6900</v>
      </c>
      <c r="B82" s="7" t="s">
        <v>321</v>
      </c>
      <c r="C82" s="7" t="s">
        <v>5535</v>
      </c>
      <c r="D82" s="9">
        <v>46058</v>
      </c>
      <c r="E82" s="3">
        <v>1864.32</v>
      </c>
      <c r="F82" s="7" t="s">
        <v>6820</v>
      </c>
      <c r="H82" s="9"/>
    </row>
    <row r="83" spans="1:8" x14ac:dyDescent="0.3">
      <c r="A83" s="7" t="s">
        <v>6901</v>
      </c>
      <c r="B83" s="7" t="s">
        <v>313</v>
      </c>
      <c r="C83" s="7" t="s">
        <v>5537</v>
      </c>
      <c r="D83" s="9">
        <v>46004</v>
      </c>
      <c r="E83" s="3">
        <v>3872.81</v>
      </c>
      <c r="F83" s="7" t="s">
        <v>3174</v>
      </c>
      <c r="H83" s="9"/>
    </row>
    <row r="84" spans="1:8" x14ac:dyDescent="0.3">
      <c r="A84" s="7" t="s">
        <v>6902</v>
      </c>
      <c r="B84" s="7" t="s">
        <v>261</v>
      </c>
      <c r="C84" s="7" t="s">
        <v>5541</v>
      </c>
      <c r="D84" s="9">
        <v>46085</v>
      </c>
      <c r="E84" s="3">
        <v>3619.69</v>
      </c>
      <c r="F84" s="7" t="s">
        <v>3174</v>
      </c>
      <c r="H84" s="9"/>
    </row>
    <row r="85" spans="1:8" x14ac:dyDescent="0.3">
      <c r="A85" s="7" t="s">
        <v>6903</v>
      </c>
      <c r="B85" s="7" t="s">
        <v>287</v>
      </c>
      <c r="C85" s="7" t="s">
        <v>5543</v>
      </c>
      <c r="D85" s="9">
        <v>45998</v>
      </c>
      <c r="E85" s="3">
        <v>3035.38</v>
      </c>
      <c r="F85" s="7" t="s">
        <v>3174</v>
      </c>
      <c r="H85" s="9"/>
    </row>
    <row r="86" spans="1:8" x14ac:dyDescent="0.3">
      <c r="A86" s="7" t="s">
        <v>6904</v>
      </c>
      <c r="B86" s="7" t="s">
        <v>283</v>
      </c>
      <c r="C86" s="7" t="s">
        <v>5544</v>
      </c>
      <c r="D86" s="9">
        <v>46076</v>
      </c>
      <c r="E86" s="3">
        <v>2922.39</v>
      </c>
      <c r="F86" s="7" t="s">
        <v>3174</v>
      </c>
      <c r="H86" s="9"/>
    </row>
    <row r="87" spans="1:8" x14ac:dyDescent="0.3">
      <c r="A87" s="7" t="s">
        <v>6905</v>
      </c>
      <c r="B87" s="7" t="s">
        <v>264</v>
      </c>
      <c r="C87" s="7" t="s">
        <v>5546</v>
      </c>
      <c r="D87" s="9">
        <v>46023</v>
      </c>
      <c r="E87" s="3">
        <v>4416.71</v>
      </c>
      <c r="F87" s="7" t="s">
        <v>3174</v>
      </c>
      <c r="H87" s="9"/>
    </row>
    <row r="88" spans="1:8" x14ac:dyDescent="0.3">
      <c r="A88" s="7" t="s">
        <v>6906</v>
      </c>
      <c r="B88" s="7" t="s">
        <v>325</v>
      </c>
      <c r="C88" s="7" t="s">
        <v>5547</v>
      </c>
      <c r="D88" s="9">
        <v>46084</v>
      </c>
      <c r="E88" s="3">
        <v>6276.47</v>
      </c>
      <c r="F88" s="7" t="s">
        <v>3174</v>
      </c>
      <c r="H88" s="9"/>
    </row>
    <row r="89" spans="1:8" x14ac:dyDescent="0.3">
      <c r="A89" s="7" t="s">
        <v>6907</v>
      </c>
      <c r="B89" s="7" t="s">
        <v>287</v>
      </c>
      <c r="C89" s="7" t="s">
        <v>5548</v>
      </c>
      <c r="D89" s="9">
        <v>46097</v>
      </c>
      <c r="E89" s="3">
        <v>3408.13</v>
      </c>
      <c r="F89" s="7" t="s">
        <v>6820</v>
      </c>
      <c r="H89" s="9"/>
    </row>
    <row r="90" spans="1:8" x14ac:dyDescent="0.3">
      <c r="A90" s="7" t="s">
        <v>6908</v>
      </c>
      <c r="B90" s="7" t="s">
        <v>293</v>
      </c>
      <c r="C90" s="7" t="s">
        <v>5549</v>
      </c>
      <c r="D90" s="9">
        <v>46021</v>
      </c>
      <c r="E90" s="3">
        <v>6522.29</v>
      </c>
      <c r="F90" s="7" t="s">
        <v>3174</v>
      </c>
      <c r="H90" s="9"/>
    </row>
    <row r="91" spans="1:8" x14ac:dyDescent="0.3">
      <c r="A91" s="7" t="s">
        <v>6909</v>
      </c>
      <c r="B91" s="7" t="s">
        <v>323</v>
      </c>
      <c r="C91" s="7" t="s">
        <v>5550</v>
      </c>
      <c r="D91" s="9">
        <v>46076</v>
      </c>
      <c r="E91" s="3">
        <v>4536.6000000000004</v>
      </c>
      <c r="F91" s="7" t="s">
        <v>3174</v>
      </c>
      <c r="H91" s="9"/>
    </row>
    <row r="92" spans="1:8" x14ac:dyDescent="0.3">
      <c r="A92" s="7" t="s">
        <v>6910</v>
      </c>
      <c r="B92" s="7" t="s">
        <v>281</v>
      </c>
      <c r="C92" s="7" t="s">
        <v>5551</v>
      </c>
      <c r="D92" s="9">
        <v>46004</v>
      </c>
      <c r="E92" s="3">
        <v>2476.16</v>
      </c>
      <c r="F92" s="7" t="s">
        <v>3184</v>
      </c>
      <c r="H92" s="9"/>
    </row>
    <row r="93" spans="1:8" x14ac:dyDescent="0.3">
      <c r="A93" s="7" t="s">
        <v>6911</v>
      </c>
      <c r="B93" s="7" t="s">
        <v>339</v>
      </c>
      <c r="C93" s="7" t="s">
        <v>5552</v>
      </c>
      <c r="D93" s="9">
        <v>46034</v>
      </c>
      <c r="E93" s="3">
        <v>4148.3100000000004</v>
      </c>
      <c r="F93" s="7" t="s">
        <v>3184</v>
      </c>
      <c r="H93" s="9"/>
    </row>
    <row r="94" spans="1:8" x14ac:dyDescent="0.3">
      <c r="A94" s="7" t="s">
        <v>6912</v>
      </c>
      <c r="B94" s="7" t="s">
        <v>276</v>
      </c>
      <c r="C94" s="7" t="s">
        <v>5553</v>
      </c>
      <c r="D94" s="9">
        <v>45980</v>
      </c>
      <c r="E94" s="3">
        <v>1459.06</v>
      </c>
      <c r="F94" s="7" t="s">
        <v>3184</v>
      </c>
      <c r="H94" s="9"/>
    </row>
    <row r="95" spans="1:8" x14ac:dyDescent="0.3">
      <c r="A95" s="7" t="s">
        <v>6913</v>
      </c>
      <c r="B95" s="7" t="s">
        <v>339</v>
      </c>
      <c r="C95" s="7" t="s">
        <v>5554</v>
      </c>
      <c r="D95" s="9">
        <v>46065</v>
      </c>
      <c r="E95" s="3">
        <v>6517.56</v>
      </c>
      <c r="F95" s="7" t="s">
        <v>6820</v>
      </c>
      <c r="H95" s="9"/>
    </row>
    <row r="96" spans="1:8" x14ac:dyDescent="0.3">
      <c r="A96" s="7" t="s">
        <v>6914</v>
      </c>
      <c r="B96" s="7" t="s">
        <v>317</v>
      </c>
      <c r="C96" s="7" t="s">
        <v>5558</v>
      </c>
      <c r="D96" s="9">
        <v>45966</v>
      </c>
      <c r="E96" s="3">
        <v>1586.79</v>
      </c>
      <c r="F96" s="7" t="s">
        <v>3184</v>
      </c>
      <c r="H96" s="9"/>
    </row>
    <row r="97" spans="1:8" x14ac:dyDescent="0.3">
      <c r="A97" s="7" t="s">
        <v>6915</v>
      </c>
      <c r="B97" s="7" t="s">
        <v>329</v>
      </c>
      <c r="C97" s="7" t="s">
        <v>5559</v>
      </c>
      <c r="D97" s="9">
        <v>45983</v>
      </c>
      <c r="E97" s="3">
        <v>4058.22</v>
      </c>
      <c r="F97" s="7" t="s">
        <v>3174</v>
      </c>
      <c r="H97" s="9"/>
    </row>
    <row r="98" spans="1:8" x14ac:dyDescent="0.3">
      <c r="A98" s="7" t="s">
        <v>6916</v>
      </c>
      <c r="B98" s="7" t="s">
        <v>329</v>
      </c>
      <c r="C98" s="7" t="s">
        <v>5560</v>
      </c>
      <c r="D98" s="9">
        <v>45986</v>
      </c>
      <c r="E98" s="3">
        <v>5445.05</v>
      </c>
      <c r="F98" s="7" t="s">
        <v>6820</v>
      </c>
      <c r="H98" s="9"/>
    </row>
    <row r="99" spans="1:8" x14ac:dyDescent="0.3">
      <c r="A99" s="7" t="s">
        <v>6917</v>
      </c>
      <c r="B99" s="7" t="s">
        <v>274</v>
      </c>
      <c r="C99" s="7" t="s">
        <v>5561</v>
      </c>
      <c r="D99" s="9">
        <v>46041</v>
      </c>
      <c r="E99" s="3">
        <v>6855.67</v>
      </c>
      <c r="F99" s="7" t="s">
        <v>6820</v>
      </c>
      <c r="H99" s="9"/>
    </row>
    <row r="100" spans="1:8" x14ac:dyDescent="0.3">
      <c r="A100" s="7" t="s">
        <v>6918</v>
      </c>
      <c r="B100" s="7" t="s">
        <v>301</v>
      </c>
      <c r="C100" s="7" t="s">
        <v>5562</v>
      </c>
      <c r="D100" s="9">
        <v>45969</v>
      </c>
      <c r="E100" s="3">
        <v>4642.21</v>
      </c>
      <c r="F100" s="7" t="s">
        <v>6820</v>
      </c>
      <c r="H100" s="9"/>
    </row>
    <row r="101" spans="1:8" x14ac:dyDescent="0.3">
      <c r="A101" s="7" t="s">
        <v>6919</v>
      </c>
      <c r="B101" s="7" t="s">
        <v>303</v>
      </c>
      <c r="C101" s="7" t="s">
        <v>5563</v>
      </c>
      <c r="D101" s="9">
        <v>45973</v>
      </c>
      <c r="E101" s="3">
        <v>1070.3900000000001</v>
      </c>
      <c r="F101" s="7" t="s">
        <v>3174</v>
      </c>
      <c r="H101" s="9"/>
    </row>
    <row r="102" spans="1:8" x14ac:dyDescent="0.3">
      <c r="A102" s="7" t="s">
        <v>6920</v>
      </c>
      <c r="B102" s="7" t="s">
        <v>341</v>
      </c>
      <c r="C102" s="7" t="s">
        <v>5565</v>
      </c>
      <c r="D102" s="9">
        <v>46052</v>
      </c>
      <c r="E102" s="3">
        <v>6764.08</v>
      </c>
      <c r="F102" s="7" t="s">
        <v>3174</v>
      </c>
      <c r="H102" s="9"/>
    </row>
    <row r="103" spans="1:8" x14ac:dyDescent="0.3">
      <c r="A103" s="7" t="s">
        <v>6921</v>
      </c>
      <c r="B103" s="7" t="s">
        <v>305</v>
      </c>
      <c r="C103" s="7" t="s">
        <v>5566</v>
      </c>
      <c r="D103" s="9">
        <v>45970</v>
      </c>
      <c r="E103" s="3">
        <v>6873.81</v>
      </c>
      <c r="F103" s="7" t="s">
        <v>3174</v>
      </c>
      <c r="H103" s="9"/>
    </row>
    <row r="104" spans="1:8" x14ac:dyDescent="0.3">
      <c r="A104" s="7" t="s">
        <v>6922</v>
      </c>
      <c r="B104" s="7" t="s">
        <v>285</v>
      </c>
      <c r="C104" s="7" t="s">
        <v>5568</v>
      </c>
      <c r="D104" s="9">
        <v>46012</v>
      </c>
      <c r="E104" s="3">
        <v>1527.06</v>
      </c>
      <c r="F104" s="7" t="s">
        <v>3184</v>
      </c>
      <c r="H104" s="9"/>
    </row>
    <row r="105" spans="1:8" x14ac:dyDescent="0.3">
      <c r="A105" s="7" t="s">
        <v>6923</v>
      </c>
      <c r="B105" s="7" t="s">
        <v>305</v>
      </c>
      <c r="C105" s="7" t="s">
        <v>5569</v>
      </c>
      <c r="D105" s="9">
        <v>46092</v>
      </c>
      <c r="E105" s="3">
        <v>2500.79</v>
      </c>
      <c r="F105" s="7" t="s">
        <v>6820</v>
      </c>
      <c r="H105" s="9"/>
    </row>
    <row r="106" spans="1:8" x14ac:dyDescent="0.3">
      <c r="A106" s="7" t="s">
        <v>6924</v>
      </c>
      <c r="B106" s="7" t="s">
        <v>285</v>
      </c>
      <c r="C106" s="7" t="s">
        <v>5570</v>
      </c>
      <c r="D106" s="9">
        <v>46073</v>
      </c>
      <c r="E106" s="3">
        <v>1208.69</v>
      </c>
      <c r="F106" s="7" t="s">
        <v>6820</v>
      </c>
      <c r="H106" s="9"/>
    </row>
    <row r="107" spans="1:8" x14ac:dyDescent="0.3">
      <c r="A107" s="7" t="s">
        <v>6925</v>
      </c>
      <c r="B107" s="7" t="s">
        <v>309</v>
      </c>
      <c r="C107" s="7" t="s">
        <v>5572</v>
      </c>
      <c r="D107" s="9">
        <v>45985</v>
      </c>
      <c r="E107" s="3">
        <v>6396.51</v>
      </c>
      <c r="F107" s="7" t="s">
        <v>3174</v>
      </c>
      <c r="H107" s="9"/>
    </row>
    <row r="108" spans="1:8" x14ac:dyDescent="0.3">
      <c r="A108" s="7" t="s">
        <v>6926</v>
      </c>
      <c r="B108" s="7" t="s">
        <v>261</v>
      </c>
      <c r="C108" s="7" t="s">
        <v>5573</v>
      </c>
      <c r="D108" s="9">
        <v>46022</v>
      </c>
      <c r="E108" s="3">
        <v>1177.95</v>
      </c>
      <c r="F108" s="7" t="s">
        <v>3174</v>
      </c>
      <c r="H108" s="9"/>
    </row>
    <row r="109" spans="1:8" x14ac:dyDescent="0.3">
      <c r="A109" s="7" t="s">
        <v>6927</v>
      </c>
      <c r="B109" s="7" t="s">
        <v>295</v>
      </c>
      <c r="C109" s="7" t="s">
        <v>5575</v>
      </c>
      <c r="D109" s="9">
        <v>46091</v>
      </c>
      <c r="E109" s="3">
        <v>4481.21</v>
      </c>
      <c r="F109" s="7" t="s">
        <v>6820</v>
      </c>
      <c r="H109" s="9"/>
    </row>
    <row r="110" spans="1:8" x14ac:dyDescent="0.3">
      <c r="A110" s="7" t="s">
        <v>6928</v>
      </c>
      <c r="B110" s="7" t="s">
        <v>295</v>
      </c>
      <c r="C110" s="7" t="s">
        <v>5579</v>
      </c>
      <c r="D110" s="9">
        <v>46085</v>
      </c>
      <c r="E110" s="3">
        <v>1660.96</v>
      </c>
      <c r="F110" s="7" t="s">
        <v>3184</v>
      </c>
      <c r="H110" s="9"/>
    </row>
    <row r="111" spans="1:8" x14ac:dyDescent="0.3">
      <c r="A111" s="7" t="s">
        <v>6929</v>
      </c>
      <c r="B111" s="7" t="s">
        <v>323</v>
      </c>
      <c r="C111" s="7" t="s">
        <v>5581</v>
      </c>
      <c r="D111" s="9">
        <v>46014</v>
      </c>
      <c r="E111" s="3">
        <v>5388.08</v>
      </c>
      <c r="F111" s="7" t="s">
        <v>6820</v>
      </c>
      <c r="H111" s="9"/>
    </row>
    <row r="112" spans="1:8" x14ac:dyDescent="0.3">
      <c r="A112" s="7" t="s">
        <v>6930</v>
      </c>
      <c r="B112" s="7" t="s">
        <v>333</v>
      </c>
      <c r="C112" s="7" t="s">
        <v>5582</v>
      </c>
      <c r="D112" s="9">
        <v>45986</v>
      </c>
      <c r="E112" s="3">
        <v>5729.97</v>
      </c>
      <c r="F112" s="7" t="s">
        <v>3184</v>
      </c>
      <c r="H112" s="9"/>
    </row>
    <row r="113" spans="1:8" x14ac:dyDescent="0.3">
      <c r="A113" s="7" t="s">
        <v>6931</v>
      </c>
      <c r="B113" s="7" t="s">
        <v>329</v>
      </c>
      <c r="C113" s="7" t="s">
        <v>5585</v>
      </c>
      <c r="D113" s="9">
        <v>46019</v>
      </c>
      <c r="E113" s="3">
        <v>2519.4499999999998</v>
      </c>
      <c r="F113" s="7" t="s">
        <v>3174</v>
      </c>
      <c r="H113" s="9"/>
    </row>
    <row r="114" spans="1:8" x14ac:dyDescent="0.3">
      <c r="A114" s="7" t="s">
        <v>6932</v>
      </c>
      <c r="B114" s="7" t="s">
        <v>276</v>
      </c>
      <c r="C114" s="7" t="s">
        <v>5586</v>
      </c>
      <c r="D114" s="9">
        <v>46062</v>
      </c>
      <c r="E114" s="3">
        <v>5282.68</v>
      </c>
      <c r="F114" s="7" t="s">
        <v>6820</v>
      </c>
      <c r="H114" s="9"/>
    </row>
    <row r="115" spans="1:8" x14ac:dyDescent="0.3">
      <c r="A115" s="7" t="s">
        <v>6933</v>
      </c>
      <c r="B115" s="7" t="s">
        <v>276</v>
      </c>
      <c r="C115" s="7" t="s">
        <v>5587</v>
      </c>
      <c r="D115" s="9">
        <v>46021</v>
      </c>
      <c r="E115" s="3">
        <v>4045.03</v>
      </c>
      <c r="F115" s="7" t="s">
        <v>6820</v>
      </c>
      <c r="H115" s="9"/>
    </row>
    <row r="116" spans="1:8" x14ac:dyDescent="0.3">
      <c r="A116" s="7" t="s">
        <v>6934</v>
      </c>
      <c r="B116" s="7" t="s">
        <v>341</v>
      </c>
      <c r="C116" s="7" t="s">
        <v>5588</v>
      </c>
      <c r="D116" s="9">
        <v>46065</v>
      </c>
      <c r="E116" s="3">
        <v>4242.83</v>
      </c>
      <c r="F116" s="7" t="s">
        <v>3184</v>
      </c>
      <c r="H116" s="9"/>
    </row>
    <row r="117" spans="1:8" x14ac:dyDescent="0.3">
      <c r="A117" s="7" t="s">
        <v>6935</v>
      </c>
      <c r="B117" s="7" t="s">
        <v>329</v>
      </c>
      <c r="C117" s="7" t="s">
        <v>5589</v>
      </c>
      <c r="D117" s="9">
        <v>45988</v>
      </c>
      <c r="E117" s="3">
        <v>1677.43</v>
      </c>
      <c r="F117" s="7" t="s">
        <v>3184</v>
      </c>
      <c r="H117" s="9"/>
    </row>
    <row r="118" spans="1:8" x14ac:dyDescent="0.3">
      <c r="A118" s="7" t="s">
        <v>6936</v>
      </c>
      <c r="B118" s="7" t="s">
        <v>283</v>
      </c>
      <c r="C118" s="7" t="s">
        <v>5590</v>
      </c>
      <c r="D118" s="9">
        <v>46066</v>
      </c>
      <c r="E118" s="3">
        <v>6831.23</v>
      </c>
      <c r="F118" s="7" t="s">
        <v>3174</v>
      </c>
      <c r="H118" s="9"/>
    </row>
    <row r="119" spans="1:8" x14ac:dyDescent="0.3">
      <c r="A119" s="7" t="s">
        <v>6937</v>
      </c>
      <c r="B119" s="7" t="s">
        <v>261</v>
      </c>
      <c r="C119" s="7" t="s">
        <v>5591</v>
      </c>
      <c r="D119" s="9">
        <v>46012</v>
      </c>
      <c r="E119" s="3">
        <v>1224.1600000000001</v>
      </c>
      <c r="F119" s="7" t="s">
        <v>3174</v>
      </c>
      <c r="H119" s="9"/>
    </row>
    <row r="120" spans="1:8" x14ac:dyDescent="0.3">
      <c r="A120" s="7" t="s">
        <v>6938</v>
      </c>
      <c r="B120" s="7" t="s">
        <v>299</v>
      </c>
      <c r="C120" s="7" t="s">
        <v>5592</v>
      </c>
      <c r="D120" s="9">
        <v>46027</v>
      </c>
      <c r="E120" s="3">
        <v>3359.81</v>
      </c>
      <c r="F120" s="7" t="s">
        <v>3184</v>
      </c>
      <c r="H120" s="9"/>
    </row>
    <row r="121" spans="1:8" x14ac:dyDescent="0.3">
      <c r="A121" s="7" t="s">
        <v>6939</v>
      </c>
      <c r="B121" s="7" t="s">
        <v>337</v>
      </c>
      <c r="C121" s="7" t="s">
        <v>5593</v>
      </c>
      <c r="D121" s="9">
        <v>45995</v>
      </c>
      <c r="E121" s="3">
        <v>4564.7</v>
      </c>
      <c r="F121" s="7" t="s">
        <v>3174</v>
      </c>
      <c r="H121" s="9"/>
    </row>
    <row r="122" spans="1:8" x14ac:dyDescent="0.3">
      <c r="A122" s="7" t="s">
        <v>6940</v>
      </c>
      <c r="B122" s="7" t="s">
        <v>299</v>
      </c>
      <c r="C122" s="7" t="s">
        <v>5594</v>
      </c>
      <c r="D122" s="9">
        <v>46090</v>
      </c>
      <c r="E122" s="3">
        <v>6152.03</v>
      </c>
      <c r="F122" s="7" t="s">
        <v>3184</v>
      </c>
      <c r="H122" s="9"/>
    </row>
    <row r="123" spans="1:8" x14ac:dyDescent="0.3">
      <c r="A123" s="7" t="s">
        <v>6941</v>
      </c>
      <c r="B123" s="7" t="s">
        <v>269</v>
      </c>
      <c r="C123" s="7" t="s">
        <v>5595</v>
      </c>
      <c r="D123" s="9">
        <v>45979</v>
      </c>
      <c r="E123" s="3">
        <v>1392.04</v>
      </c>
      <c r="F123" s="7" t="s">
        <v>3174</v>
      </c>
      <c r="H123" s="9"/>
    </row>
    <row r="124" spans="1:8" x14ac:dyDescent="0.3">
      <c r="A124" s="7" t="s">
        <v>6942</v>
      </c>
      <c r="B124" s="7" t="s">
        <v>329</v>
      </c>
      <c r="C124" s="7" t="s">
        <v>5597</v>
      </c>
      <c r="D124" s="9">
        <v>46084</v>
      </c>
      <c r="E124" s="3">
        <v>1743.69</v>
      </c>
      <c r="F124" s="7" t="s">
        <v>3184</v>
      </c>
      <c r="H124" s="9"/>
    </row>
    <row r="125" spans="1:8" x14ac:dyDescent="0.3">
      <c r="A125" s="7" t="s">
        <v>6943</v>
      </c>
      <c r="B125" s="7" t="s">
        <v>315</v>
      </c>
      <c r="C125" s="7" t="s">
        <v>5599</v>
      </c>
      <c r="D125" s="9">
        <v>46075</v>
      </c>
      <c r="E125" s="3">
        <v>1672.58</v>
      </c>
      <c r="F125" s="7" t="s">
        <v>3174</v>
      </c>
      <c r="H125" s="9"/>
    </row>
    <row r="126" spans="1:8" x14ac:dyDescent="0.3">
      <c r="A126" s="7" t="s">
        <v>6944</v>
      </c>
      <c r="B126" s="7" t="s">
        <v>327</v>
      </c>
      <c r="C126" s="7" t="s">
        <v>5600</v>
      </c>
      <c r="D126" s="9">
        <v>46098</v>
      </c>
      <c r="E126" s="3">
        <v>2424.9</v>
      </c>
      <c r="F126" s="7" t="s">
        <v>3174</v>
      </c>
      <c r="H126" s="9"/>
    </row>
    <row r="127" spans="1:8" x14ac:dyDescent="0.3">
      <c r="A127" s="7" t="s">
        <v>6945</v>
      </c>
      <c r="B127" s="7" t="s">
        <v>293</v>
      </c>
      <c r="C127" s="7" t="s">
        <v>5601</v>
      </c>
      <c r="D127" s="9">
        <v>46058</v>
      </c>
      <c r="E127" s="3">
        <v>5695.95</v>
      </c>
      <c r="F127" s="7" t="s">
        <v>3174</v>
      </c>
      <c r="H127" s="9"/>
    </row>
    <row r="128" spans="1:8" x14ac:dyDescent="0.3">
      <c r="A128" s="7" t="s">
        <v>6946</v>
      </c>
      <c r="B128" s="7" t="s">
        <v>264</v>
      </c>
      <c r="C128" s="7" t="s">
        <v>5603</v>
      </c>
      <c r="D128" s="9">
        <v>45978</v>
      </c>
      <c r="E128" s="3">
        <v>852.21</v>
      </c>
      <c r="F128" s="7" t="s">
        <v>3184</v>
      </c>
      <c r="H128" s="9"/>
    </row>
    <row r="129" spans="1:8" x14ac:dyDescent="0.3">
      <c r="A129" s="7" t="s">
        <v>6947</v>
      </c>
      <c r="B129" s="7" t="s">
        <v>335</v>
      </c>
      <c r="C129" s="7" t="s">
        <v>5604</v>
      </c>
      <c r="D129" s="9">
        <v>45985</v>
      </c>
      <c r="E129" s="3">
        <v>6692.59</v>
      </c>
      <c r="F129" s="7" t="s">
        <v>3174</v>
      </c>
      <c r="H129" s="9"/>
    </row>
    <row r="130" spans="1:8" x14ac:dyDescent="0.3">
      <c r="A130" s="7" t="s">
        <v>6948</v>
      </c>
      <c r="B130" s="7" t="s">
        <v>335</v>
      </c>
      <c r="C130" s="7" t="s">
        <v>5605</v>
      </c>
      <c r="D130" s="9">
        <v>46016</v>
      </c>
      <c r="E130" s="3">
        <v>1520.41</v>
      </c>
      <c r="F130" s="7" t="s">
        <v>3184</v>
      </c>
      <c r="H130" s="9"/>
    </row>
    <row r="131" spans="1:8" x14ac:dyDescent="0.3">
      <c r="A131" s="7" t="s">
        <v>6949</v>
      </c>
      <c r="B131" s="7" t="s">
        <v>267</v>
      </c>
      <c r="C131" s="7" t="s">
        <v>5608</v>
      </c>
      <c r="D131" s="9">
        <v>46023</v>
      </c>
      <c r="E131" s="3">
        <v>1177.1600000000001</v>
      </c>
      <c r="F131" s="7" t="s">
        <v>3184</v>
      </c>
      <c r="H131" s="9"/>
    </row>
    <row r="132" spans="1:8" x14ac:dyDescent="0.3">
      <c r="A132" s="7" t="s">
        <v>6950</v>
      </c>
      <c r="B132" s="7" t="s">
        <v>297</v>
      </c>
      <c r="C132" s="7" t="s">
        <v>5609</v>
      </c>
      <c r="D132" s="9">
        <v>46002</v>
      </c>
      <c r="E132" s="3">
        <v>3444.12</v>
      </c>
      <c r="F132" s="7" t="s">
        <v>3184</v>
      </c>
      <c r="H132" s="9"/>
    </row>
    <row r="133" spans="1:8" x14ac:dyDescent="0.3">
      <c r="A133" s="7" t="s">
        <v>6951</v>
      </c>
      <c r="B133" s="7" t="s">
        <v>335</v>
      </c>
      <c r="C133" s="7" t="s">
        <v>5610</v>
      </c>
      <c r="D133" s="9">
        <v>46020</v>
      </c>
      <c r="E133" s="3">
        <v>2302.2800000000002</v>
      </c>
      <c r="F133" s="7" t="s">
        <v>3184</v>
      </c>
      <c r="H133" s="9"/>
    </row>
    <row r="134" spans="1:8" x14ac:dyDescent="0.3">
      <c r="A134" s="7" t="s">
        <v>6952</v>
      </c>
      <c r="B134" s="7" t="s">
        <v>272</v>
      </c>
      <c r="C134" s="7" t="s">
        <v>5613</v>
      </c>
      <c r="D134" s="9">
        <v>46013</v>
      </c>
      <c r="E134" s="3">
        <v>2975.25</v>
      </c>
      <c r="F134" s="7" t="s">
        <v>3184</v>
      </c>
      <c r="H134" s="9"/>
    </row>
    <row r="135" spans="1:8" x14ac:dyDescent="0.3">
      <c r="A135" s="7" t="s">
        <v>6953</v>
      </c>
      <c r="B135" s="7" t="s">
        <v>333</v>
      </c>
      <c r="C135" s="7" t="s">
        <v>5614</v>
      </c>
      <c r="D135" s="9">
        <v>46029</v>
      </c>
      <c r="E135" s="3">
        <v>5235.05</v>
      </c>
      <c r="F135" s="7" t="s">
        <v>6820</v>
      </c>
      <c r="H135" s="9"/>
    </row>
    <row r="136" spans="1:8" x14ac:dyDescent="0.3">
      <c r="A136" s="7" t="s">
        <v>6954</v>
      </c>
      <c r="B136" s="7" t="s">
        <v>319</v>
      </c>
      <c r="C136" s="7" t="s">
        <v>5615</v>
      </c>
      <c r="D136" s="9">
        <v>46041</v>
      </c>
      <c r="E136" s="3">
        <v>5458.87</v>
      </c>
      <c r="F136" s="7" t="s">
        <v>3184</v>
      </c>
      <c r="H136" s="9"/>
    </row>
    <row r="137" spans="1:8" x14ac:dyDescent="0.3">
      <c r="A137" s="7" t="s">
        <v>6955</v>
      </c>
      <c r="B137" s="7" t="s">
        <v>274</v>
      </c>
      <c r="C137" s="7" t="s">
        <v>5619</v>
      </c>
      <c r="D137" s="9">
        <v>45982</v>
      </c>
      <c r="E137" s="3">
        <v>2863.96</v>
      </c>
      <c r="F137" s="7" t="s">
        <v>3174</v>
      </c>
      <c r="H137" s="9"/>
    </row>
    <row r="138" spans="1:8" x14ac:dyDescent="0.3">
      <c r="A138" s="7" t="s">
        <v>6956</v>
      </c>
      <c r="B138" s="7" t="s">
        <v>291</v>
      </c>
      <c r="C138" s="7" t="s">
        <v>5620</v>
      </c>
      <c r="D138" s="9">
        <v>46005</v>
      </c>
      <c r="E138" s="3">
        <v>6777.04</v>
      </c>
      <c r="F138" s="7" t="s">
        <v>3184</v>
      </c>
      <c r="H138" s="9"/>
    </row>
    <row r="139" spans="1:8" x14ac:dyDescent="0.3">
      <c r="A139" s="7" t="s">
        <v>6957</v>
      </c>
      <c r="B139" s="7" t="s">
        <v>297</v>
      </c>
      <c r="C139" s="7" t="s">
        <v>5621</v>
      </c>
      <c r="D139" s="9">
        <v>45989</v>
      </c>
      <c r="E139" s="3">
        <v>2256.25</v>
      </c>
      <c r="F139" s="7" t="s">
        <v>6820</v>
      </c>
      <c r="H139" s="9"/>
    </row>
    <row r="140" spans="1:8" x14ac:dyDescent="0.3">
      <c r="A140" s="7" t="s">
        <v>6958</v>
      </c>
      <c r="B140" s="7" t="s">
        <v>327</v>
      </c>
      <c r="C140" s="7" t="s">
        <v>5622</v>
      </c>
      <c r="D140" s="9">
        <v>46030</v>
      </c>
      <c r="E140" s="3">
        <v>6994.87</v>
      </c>
      <c r="F140" s="7" t="s">
        <v>3174</v>
      </c>
      <c r="H140" s="9"/>
    </row>
    <row r="141" spans="1:8" x14ac:dyDescent="0.3">
      <c r="A141" s="7" t="s">
        <v>6959</v>
      </c>
      <c r="B141" s="7" t="s">
        <v>276</v>
      </c>
      <c r="C141" s="7" t="s">
        <v>5623</v>
      </c>
      <c r="D141" s="9">
        <v>46072</v>
      </c>
      <c r="E141" s="3">
        <v>5446.61</v>
      </c>
      <c r="F141" s="7" t="s">
        <v>6820</v>
      </c>
      <c r="H141" s="9"/>
    </row>
    <row r="142" spans="1:8" x14ac:dyDescent="0.3">
      <c r="A142" s="7" t="s">
        <v>6960</v>
      </c>
      <c r="B142" s="7" t="s">
        <v>317</v>
      </c>
      <c r="C142" s="7" t="s">
        <v>5625</v>
      </c>
      <c r="D142" s="9">
        <v>45965</v>
      </c>
      <c r="E142" s="3">
        <v>5162.2700000000004</v>
      </c>
      <c r="F142" s="7" t="s">
        <v>3184</v>
      </c>
      <c r="H142" s="9"/>
    </row>
    <row r="143" spans="1:8" x14ac:dyDescent="0.3">
      <c r="A143" s="7" t="s">
        <v>6961</v>
      </c>
      <c r="B143" s="7" t="s">
        <v>339</v>
      </c>
      <c r="C143" s="7" t="s">
        <v>5630</v>
      </c>
      <c r="D143" s="9">
        <v>46015</v>
      </c>
      <c r="E143" s="3">
        <v>1172.56</v>
      </c>
      <c r="F143" s="7" t="s">
        <v>6820</v>
      </c>
      <c r="H143" s="9"/>
    </row>
    <row r="144" spans="1:8" x14ac:dyDescent="0.3">
      <c r="A144" s="7" t="s">
        <v>6962</v>
      </c>
      <c r="B144" s="7" t="s">
        <v>317</v>
      </c>
      <c r="C144" s="7" t="s">
        <v>5631</v>
      </c>
      <c r="D144" s="9">
        <v>46051</v>
      </c>
      <c r="E144" s="3">
        <v>6844.8</v>
      </c>
      <c r="F144" s="7" t="s">
        <v>3174</v>
      </c>
      <c r="H144" s="9"/>
    </row>
    <row r="145" spans="1:8" x14ac:dyDescent="0.3">
      <c r="A145" s="7" t="s">
        <v>6963</v>
      </c>
      <c r="B145" s="7" t="s">
        <v>295</v>
      </c>
      <c r="C145" s="7" t="s">
        <v>5633</v>
      </c>
      <c r="D145" s="9">
        <v>46075</v>
      </c>
      <c r="E145" s="3">
        <v>2741.88</v>
      </c>
      <c r="F145" s="7" t="s">
        <v>6820</v>
      </c>
      <c r="H145" s="9"/>
    </row>
    <row r="146" spans="1:8" x14ac:dyDescent="0.3">
      <c r="A146" s="7" t="s">
        <v>6964</v>
      </c>
      <c r="B146" s="7" t="s">
        <v>269</v>
      </c>
      <c r="C146" s="7" t="s">
        <v>5634</v>
      </c>
      <c r="D146" s="9">
        <v>45986</v>
      </c>
      <c r="E146" s="3">
        <v>2704.88</v>
      </c>
      <c r="F146" s="7" t="s">
        <v>3184</v>
      </c>
      <c r="H146" s="9"/>
    </row>
    <row r="147" spans="1:8" x14ac:dyDescent="0.3">
      <c r="A147" s="7" t="s">
        <v>6965</v>
      </c>
      <c r="B147" s="7" t="s">
        <v>335</v>
      </c>
      <c r="C147" s="7" t="s">
        <v>5635</v>
      </c>
      <c r="D147" s="9">
        <v>45992</v>
      </c>
      <c r="E147" s="3">
        <v>1744.63</v>
      </c>
      <c r="F147" s="7" t="s">
        <v>6820</v>
      </c>
      <c r="H147" s="9"/>
    </row>
    <row r="148" spans="1:8" x14ac:dyDescent="0.3">
      <c r="A148" s="7" t="s">
        <v>6966</v>
      </c>
      <c r="B148" s="7" t="s">
        <v>319</v>
      </c>
      <c r="C148" s="7" t="s">
        <v>5636</v>
      </c>
      <c r="D148" s="9">
        <v>46051</v>
      </c>
      <c r="E148" s="3">
        <v>6029.56</v>
      </c>
      <c r="F148" s="7" t="s">
        <v>3174</v>
      </c>
      <c r="H148" s="9"/>
    </row>
    <row r="149" spans="1:8" x14ac:dyDescent="0.3">
      <c r="A149" s="7" t="s">
        <v>6967</v>
      </c>
      <c r="B149" s="7" t="s">
        <v>285</v>
      </c>
      <c r="C149" s="7" t="s">
        <v>5637</v>
      </c>
      <c r="D149" s="9">
        <v>46001</v>
      </c>
      <c r="E149" s="3">
        <v>3012.89</v>
      </c>
      <c r="F149" s="7" t="s">
        <v>3184</v>
      </c>
      <c r="H149" s="9"/>
    </row>
    <row r="150" spans="1:8" x14ac:dyDescent="0.3">
      <c r="A150" s="7" t="s">
        <v>6968</v>
      </c>
      <c r="B150" s="7" t="s">
        <v>315</v>
      </c>
      <c r="C150" s="7" t="s">
        <v>5638</v>
      </c>
      <c r="D150" s="9">
        <v>46041</v>
      </c>
      <c r="E150" s="3">
        <v>4891.53</v>
      </c>
      <c r="F150" s="7" t="s">
        <v>3174</v>
      </c>
      <c r="H150" s="9"/>
    </row>
    <row r="151" spans="1:8" x14ac:dyDescent="0.3">
      <c r="A151" s="7" t="s">
        <v>6969</v>
      </c>
      <c r="B151" s="7" t="s">
        <v>274</v>
      </c>
      <c r="C151" s="7" t="s">
        <v>5639</v>
      </c>
      <c r="D151" s="9">
        <v>46052</v>
      </c>
      <c r="E151" s="3">
        <v>5551.77</v>
      </c>
      <c r="F151" s="7" t="s">
        <v>3174</v>
      </c>
      <c r="H151" s="9"/>
    </row>
    <row r="152" spans="1:8" x14ac:dyDescent="0.3">
      <c r="A152" s="7" t="s">
        <v>6970</v>
      </c>
      <c r="B152" s="7" t="s">
        <v>327</v>
      </c>
      <c r="C152" s="7" t="s">
        <v>5640</v>
      </c>
      <c r="D152" s="9">
        <v>46085</v>
      </c>
      <c r="E152" s="3">
        <v>5599.48</v>
      </c>
      <c r="F152" s="7" t="s">
        <v>3174</v>
      </c>
      <c r="H152" s="9"/>
    </row>
    <row r="153" spans="1:8" x14ac:dyDescent="0.3">
      <c r="A153" s="7" t="s">
        <v>6971</v>
      </c>
      <c r="B153" s="7" t="s">
        <v>283</v>
      </c>
      <c r="C153" s="7" t="s">
        <v>5641</v>
      </c>
      <c r="D153" s="9">
        <v>45989</v>
      </c>
      <c r="E153" s="3">
        <v>3674.32</v>
      </c>
      <c r="F153" s="7" t="s">
        <v>6820</v>
      </c>
      <c r="H153" s="9"/>
    </row>
    <row r="154" spans="1:8" x14ac:dyDescent="0.3">
      <c r="A154" s="7" t="s">
        <v>6972</v>
      </c>
      <c r="B154" s="7" t="s">
        <v>293</v>
      </c>
      <c r="C154" s="7" t="s">
        <v>5642</v>
      </c>
      <c r="D154" s="9">
        <v>46067</v>
      </c>
      <c r="E154" s="3">
        <v>2701.68</v>
      </c>
      <c r="F154" s="7" t="s">
        <v>6820</v>
      </c>
      <c r="H154" s="9"/>
    </row>
    <row r="155" spans="1:8" x14ac:dyDescent="0.3">
      <c r="A155" s="7" t="s">
        <v>6973</v>
      </c>
      <c r="B155" s="7" t="s">
        <v>329</v>
      </c>
      <c r="C155" s="7" t="s">
        <v>5643</v>
      </c>
      <c r="D155" s="9">
        <v>45979</v>
      </c>
      <c r="E155" s="3">
        <v>6221.48</v>
      </c>
      <c r="F155" s="7" t="s">
        <v>3184</v>
      </c>
      <c r="H155" s="9"/>
    </row>
    <row r="156" spans="1:8" x14ac:dyDescent="0.3">
      <c r="A156" s="7" t="s">
        <v>6974</v>
      </c>
      <c r="B156" s="7" t="s">
        <v>272</v>
      </c>
      <c r="C156" s="7" t="s">
        <v>5644</v>
      </c>
      <c r="D156" s="9">
        <v>46007</v>
      </c>
      <c r="E156" s="3">
        <v>4075.06</v>
      </c>
      <c r="F156" s="7" t="s">
        <v>3174</v>
      </c>
      <c r="H156" s="9"/>
    </row>
    <row r="157" spans="1:8" x14ac:dyDescent="0.3">
      <c r="A157" s="7" t="s">
        <v>6975</v>
      </c>
      <c r="B157" s="7" t="s">
        <v>333</v>
      </c>
      <c r="C157" s="7" t="s">
        <v>5645</v>
      </c>
      <c r="D157" s="9">
        <v>45987</v>
      </c>
      <c r="E157" s="3">
        <v>943.83</v>
      </c>
      <c r="F157" s="7" t="s">
        <v>3184</v>
      </c>
      <c r="H157" s="9"/>
    </row>
    <row r="158" spans="1:8" x14ac:dyDescent="0.3">
      <c r="A158" s="7" t="s">
        <v>6976</v>
      </c>
      <c r="B158" s="7" t="s">
        <v>279</v>
      </c>
      <c r="C158" s="7" t="s">
        <v>5649</v>
      </c>
      <c r="D158" s="9">
        <v>46028</v>
      </c>
      <c r="E158" s="3">
        <v>5191.05</v>
      </c>
      <c r="F158" s="7" t="s">
        <v>3174</v>
      </c>
      <c r="H158" s="9"/>
    </row>
    <row r="159" spans="1:8" x14ac:dyDescent="0.3">
      <c r="A159" s="7" t="s">
        <v>6977</v>
      </c>
      <c r="B159" s="7" t="s">
        <v>313</v>
      </c>
      <c r="C159" s="7" t="s">
        <v>5652</v>
      </c>
      <c r="D159" s="9">
        <v>45992</v>
      </c>
      <c r="E159" s="3">
        <v>1127.8</v>
      </c>
      <c r="F159" s="7" t="s">
        <v>3174</v>
      </c>
      <c r="H159" s="9"/>
    </row>
    <row r="160" spans="1:8" x14ac:dyDescent="0.3">
      <c r="A160" s="7" t="s">
        <v>6978</v>
      </c>
      <c r="B160" s="7" t="s">
        <v>289</v>
      </c>
      <c r="C160" s="7" t="s">
        <v>5653</v>
      </c>
      <c r="D160" s="9">
        <v>45986</v>
      </c>
      <c r="E160" s="3">
        <v>1451.21</v>
      </c>
      <c r="F160" s="7" t="s">
        <v>3184</v>
      </c>
      <c r="H160" s="9"/>
    </row>
    <row r="161" spans="1:8" x14ac:dyDescent="0.3">
      <c r="A161" s="7" t="s">
        <v>6979</v>
      </c>
      <c r="B161" s="7" t="s">
        <v>299</v>
      </c>
      <c r="C161" s="7" t="s">
        <v>5655</v>
      </c>
      <c r="D161" s="9">
        <v>45966</v>
      </c>
      <c r="E161" s="3">
        <v>1001.09</v>
      </c>
      <c r="F161" s="7" t="s">
        <v>6820</v>
      </c>
      <c r="H161" s="9"/>
    </row>
    <row r="162" spans="1:8" x14ac:dyDescent="0.3">
      <c r="A162" s="7" t="s">
        <v>6980</v>
      </c>
      <c r="B162" s="7" t="s">
        <v>276</v>
      </c>
      <c r="C162" s="7" t="s">
        <v>5657</v>
      </c>
      <c r="D162" s="9">
        <v>46083</v>
      </c>
      <c r="E162" s="3">
        <v>4456.1000000000004</v>
      </c>
      <c r="F162" s="7" t="s">
        <v>6820</v>
      </c>
      <c r="H162" s="9"/>
    </row>
    <row r="163" spans="1:8" x14ac:dyDescent="0.3">
      <c r="A163" s="7" t="s">
        <v>6981</v>
      </c>
      <c r="B163" s="7" t="s">
        <v>313</v>
      </c>
      <c r="C163" s="7" t="s">
        <v>5659</v>
      </c>
      <c r="D163" s="9">
        <v>46084</v>
      </c>
      <c r="E163" s="3">
        <v>6281.46</v>
      </c>
      <c r="F163" s="7" t="s">
        <v>3184</v>
      </c>
      <c r="H163" s="9"/>
    </row>
    <row r="164" spans="1:8" x14ac:dyDescent="0.3">
      <c r="A164" s="7" t="s">
        <v>6982</v>
      </c>
      <c r="B164" s="7" t="s">
        <v>297</v>
      </c>
      <c r="C164" s="7" t="s">
        <v>5661</v>
      </c>
      <c r="D164" s="9">
        <v>46094</v>
      </c>
      <c r="E164" s="3">
        <v>1410.84</v>
      </c>
      <c r="F164" s="7" t="s">
        <v>3174</v>
      </c>
      <c r="H164" s="9"/>
    </row>
    <row r="165" spans="1:8" x14ac:dyDescent="0.3">
      <c r="A165" s="7" t="s">
        <v>6983</v>
      </c>
      <c r="B165" s="7" t="s">
        <v>323</v>
      </c>
      <c r="C165" s="7" t="s">
        <v>5662</v>
      </c>
      <c r="D165" s="9">
        <v>46069</v>
      </c>
      <c r="E165" s="3">
        <v>5893.15</v>
      </c>
      <c r="F165" s="7" t="s">
        <v>3184</v>
      </c>
      <c r="H165" s="9"/>
    </row>
    <row r="166" spans="1:8" x14ac:dyDescent="0.3">
      <c r="A166" s="7" t="s">
        <v>6984</v>
      </c>
      <c r="B166" s="7" t="s">
        <v>285</v>
      </c>
      <c r="C166" s="7" t="s">
        <v>5665</v>
      </c>
      <c r="D166" s="9">
        <v>45988</v>
      </c>
      <c r="E166" s="3">
        <v>4260.29</v>
      </c>
      <c r="F166" s="7" t="s">
        <v>6820</v>
      </c>
      <c r="H166" s="9"/>
    </row>
    <row r="167" spans="1:8" x14ac:dyDescent="0.3">
      <c r="A167" s="7" t="s">
        <v>6985</v>
      </c>
      <c r="B167" s="7" t="s">
        <v>331</v>
      </c>
      <c r="C167" s="7" t="s">
        <v>5666</v>
      </c>
      <c r="D167" s="9">
        <v>45976</v>
      </c>
      <c r="E167" s="3">
        <v>5417</v>
      </c>
      <c r="F167" s="7" t="s">
        <v>6820</v>
      </c>
      <c r="H167" s="9"/>
    </row>
    <row r="168" spans="1:8" x14ac:dyDescent="0.3">
      <c r="A168" s="7" t="s">
        <v>6986</v>
      </c>
      <c r="B168" s="7" t="s">
        <v>317</v>
      </c>
      <c r="C168" s="7" t="s">
        <v>5668</v>
      </c>
      <c r="D168" s="9">
        <v>46037</v>
      </c>
      <c r="E168" s="3">
        <v>1455.86</v>
      </c>
      <c r="F168" s="7" t="s">
        <v>6820</v>
      </c>
      <c r="H168" s="9"/>
    </row>
    <row r="169" spans="1:8" x14ac:dyDescent="0.3">
      <c r="A169" s="7" t="s">
        <v>6987</v>
      </c>
      <c r="B169" s="7" t="s">
        <v>279</v>
      </c>
      <c r="C169" s="7" t="s">
        <v>5669</v>
      </c>
      <c r="D169" s="9">
        <v>46020</v>
      </c>
      <c r="E169" s="3">
        <v>5631.02</v>
      </c>
      <c r="F169" s="7" t="s">
        <v>3174</v>
      </c>
      <c r="H169" s="9"/>
    </row>
    <row r="170" spans="1:8" x14ac:dyDescent="0.3">
      <c r="A170" s="7" t="s">
        <v>6988</v>
      </c>
      <c r="B170" s="7" t="s">
        <v>281</v>
      </c>
      <c r="C170" s="7" t="s">
        <v>5670</v>
      </c>
      <c r="D170" s="9">
        <v>46007</v>
      </c>
      <c r="E170" s="3">
        <v>6341.3</v>
      </c>
      <c r="F170" s="7" t="s">
        <v>3174</v>
      </c>
      <c r="H170" s="9"/>
    </row>
    <row r="171" spans="1:8" x14ac:dyDescent="0.3">
      <c r="A171" s="7" t="s">
        <v>6989</v>
      </c>
      <c r="B171" s="7" t="s">
        <v>313</v>
      </c>
      <c r="C171" s="7" t="s">
        <v>5671</v>
      </c>
      <c r="D171" s="9">
        <v>45980</v>
      </c>
      <c r="E171" s="3">
        <v>2358.15</v>
      </c>
      <c r="F171" s="7" t="s">
        <v>6820</v>
      </c>
      <c r="H171" s="9"/>
    </row>
    <row r="172" spans="1:8" x14ac:dyDescent="0.3">
      <c r="A172" s="7" t="s">
        <v>6990</v>
      </c>
      <c r="B172" s="7" t="s">
        <v>317</v>
      </c>
      <c r="C172" s="7" t="s">
        <v>5673</v>
      </c>
      <c r="D172" s="9">
        <v>45981</v>
      </c>
      <c r="E172" s="3">
        <v>4269.88</v>
      </c>
      <c r="F172" s="7" t="s">
        <v>3184</v>
      </c>
      <c r="H172" s="9"/>
    </row>
    <row r="173" spans="1:8" x14ac:dyDescent="0.3">
      <c r="A173" s="7" t="s">
        <v>6991</v>
      </c>
      <c r="B173" s="7" t="s">
        <v>301</v>
      </c>
      <c r="C173" s="7" t="s">
        <v>5674</v>
      </c>
      <c r="D173" s="9">
        <v>46040</v>
      </c>
      <c r="E173" s="3">
        <v>4191.59</v>
      </c>
      <c r="F173" s="7" t="s">
        <v>3174</v>
      </c>
      <c r="H173" s="9"/>
    </row>
    <row r="174" spans="1:8" x14ac:dyDescent="0.3">
      <c r="A174" s="7" t="s">
        <v>6992</v>
      </c>
      <c r="B174" s="7" t="s">
        <v>311</v>
      </c>
      <c r="C174" s="7" t="s">
        <v>5675</v>
      </c>
      <c r="D174" s="9">
        <v>46027</v>
      </c>
      <c r="E174" s="3">
        <v>5663.14</v>
      </c>
      <c r="F174" s="7" t="s">
        <v>6820</v>
      </c>
      <c r="H174" s="9"/>
    </row>
    <row r="175" spans="1:8" x14ac:dyDescent="0.3">
      <c r="A175" s="7" t="s">
        <v>6993</v>
      </c>
      <c r="B175" s="7" t="s">
        <v>261</v>
      </c>
      <c r="C175" s="7" t="s">
        <v>5676</v>
      </c>
      <c r="D175" s="9">
        <v>45978</v>
      </c>
      <c r="E175" s="3">
        <v>1852.24</v>
      </c>
      <c r="F175" s="7" t="s">
        <v>6820</v>
      </c>
      <c r="H175" s="9"/>
    </row>
    <row r="176" spans="1:8" x14ac:dyDescent="0.3">
      <c r="A176" s="7" t="s">
        <v>6994</v>
      </c>
      <c r="B176" s="7" t="s">
        <v>289</v>
      </c>
      <c r="C176" s="7" t="s">
        <v>5677</v>
      </c>
      <c r="D176" s="9">
        <v>45970</v>
      </c>
      <c r="E176" s="3">
        <v>5750.1</v>
      </c>
      <c r="F176" s="7" t="s">
        <v>3184</v>
      </c>
      <c r="H176" s="9"/>
    </row>
    <row r="177" spans="1:8" x14ac:dyDescent="0.3">
      <c r="A177" s="7" t="s">
        <v>6995</v>
      </c>
      <c r="B177" s="7" t="s">
        <v>267</v>
      </c>
      <c r="C177" s="7" t="s">
        <v>5679</v>
      </c>
      <c r="D177" s="9">
        <v>45975</v>
      </c>
      <c r="E177" s="3">
        <v>5693.92</v>
      </c>
      <c r="F177" s="7" t="s">
        <v>3184</v>
      </c>
      <c r="H177" s="9"/>
    </row>
    <row r="178" spans="1:8" x14ac:dyDescent="0.3">
      <c r="A178" s="7" t="s">
        <v>6996</v>
      </c>
      <c r="B178" s="7" t="s">
        <v>335</v>
      </c>
      <c r="C178" s="7" t="s">
        <v>5680</v>
      </c>
      <c r="D178" s="9">
        <v>46073</v>
      </c>
      <c r="E178" s="3">
        <v>2984.95</v>
      </c>
      <c r="F178" s="7" t="s">
        <v>3184</v>
      </c>
      <c r="H178" s="9"/>
    </row>
    <row r="179" spans="1:8" x14ac:dyDescent="0.3">
      <c r="A179" s="7" t="s">
        <v>6997</v>
      </c>
      <c r="B179" s="7" t="s">
        <v>309</v>
      </c>
      <c r="C179" s="7" t="s">
        <v>5682</v>
      </c>
      <c r="D179" s="9">
        <v>46049</v>
      </c>
      <c r="E179" s="3">
        <v>1211.02</v>
      </c>
      <c r="F179" s="7" t="s">
        <v>3184</v>
      </c>
      <c r="H179" s="9"/>
    </row>
    <row r="180" spans="1:8" x14ac:dyDescent="0.3">
      <c r="A180" s="7" t="s">
        <v>6998</v>
      </c>
      <c r="B180" s="7" t="s">
        <v>283</v>
      </c>
      <c r="C180" s="7" t="s">
        <v>5684</v>
      </c>
      <c r="D180" s="9">
        <v>45976</v>
      </c>
      <c r="E180" s="3">
        <v>1354.54</v>
      </c>
      <c r="F180" s="7" t="s">
        <v>3184</v>
      </c>
      <c r="H180" s="9"/>
    </row>
    <row r="181" spans="1:8" x14ac:dyDescent="0.3">
      <c r="A181" s="7" t="s">
        <v>6999</v>
      </c>
      <c r="B181" s="7" t="s">
        <v>303</v>
      </c>
      <c r="C181" s="7" t="s">
        <v>5685</v>
      </c>
      <c r="D181" s="9">
        <v>45975</v>
      </c>
      <c r="E181" s="3">
        <v>5905.4</v>
      </c>
      <c r="F181" s="7" t="s">
        <v>3174</v>
      </c>
      <c r="H181" s="9"/>
    </row>
    <row r="182" spans="1:8" x14ac:dyDescent="0.3">
      <c r="A182" s="7" t="s">
        <v>7000</v>
      </c>
      <c r="B182" s="7" t="s">
        <v>261</v>
      </c>
      <c r="C182" s="7" t="s">
        <v>5686</v>
      </c>
      <c r="D182" s="9">
        <v>46041</v>
      </c>
      <c r="E182" s="3">
        <v>2149.0300000000002</v>
      </c>
      <c r="F182" s="7" t="s">
        <v>6820</v>
      </c>
      <c r="H182" s="9"/>
    </row>
    <row r="183" spans="1:8" x14ac:dyDescent="0.3">
      <c r="A183" s="7" t="s">
        <v>7001</v>
      </c>
      <c r="B183" s="7" t="s">
        <v>291</v>
      </c>
      <c r="C183" s="7" t="s">
        <v>5688</v>
      </c>
      <c r="D183" s="9">
        <v>46044</v>
      </c>
      <c r="E183" s="3">
        <v>5157.46</v>
      </c>
      <c r="F183" s="7" t="s">
        <v>3174</v>
      </c>
      <c r="H183" s="9"/>
    </row>
    <row r="184" spans="1:8" x14ac:dyDescent="0.3">
      <c r="A184" s="7" t="s">
        <v>7002</v>
      </c>
      <c r="B184" s="7" t="s">
        <v>293</v>
      </c>
      <c r="C184" s="7" t="s">
        <v>5689</v>
      </c>
      <c r="D184" s="9">
        <v>46106</v>
      </c>
      <c r="E184" s="3">
        <v>4382.8999999999996</v>
      </c>
      <c r="F184" s="7" t="s">
        <v>6820</v>
      </c>
      <c r="H184" s="9"/>
    </row>
    <row r="185" spans="1:8" x14ac:dyDescent="0.3">
      <c r="A185" s="7" t="s">
        <v>7003</v>
      </c>
      <c r="B185" s="7" t="s">
        <v>329</v>
      </c>
      <c r="C185" s="7" t="s">
        <v>5690</v>
      </c>
      <c r="D185" s="9">
        <v>45983</v>
      </c>
      <c r="E185" s="3">
        <v>1208.94</v>
      </c>
      <c r="F185" s="7" t="s">
        <v>6820</v>
      </c>
      <c r="H185" s="9"/>
    </row>
    <row r="186" spans="1:8" x14ac:dyDescent="0.3">
      <c r="A186" s="7" t="s">
        <v>7004</v>
      </c>
      <c r="B186" s="7" t="s">
        <v>305</v>
      </c>
      <c r="C186" s="7" t="s">
        <v>5692</v>
      </c>
      <c r="D186" s="9">
        <v>46039</v>
      </c>
      <c r="E186" s="3">
        <v>6120.54</v>
      </c>
      <c r="F186" s="7" t="s">
        <v>3184</v>
      </c>
      <c r="H186" s="9"/>
    </row>
    <row r="187" spans="1:8" x14ac:dyDescent="0.3">
      <c r="A187" s="7" t="s">
        <v>7005</v>
      </c>
      <c r="B187" s="7" t="s">
        <v>335</v>
      </c>
      <c r="C187" s="7" t="s">
        <v>5694</v>
      </c>
      <c r="D187" s="9">
        <v>45985</v>
      </c>
      <c r="E187" s="3">
        <v>6932.8</v>
      </c>
      <c r="F187" s="7" t="s">
        <v>3174</v>
      </c>
      <c r="H187" s="9"/>
    </row>
    <row r="188" spans="1:8" x14ac:dyDescent="0.3">
      <c r="A188" s="7" t="s">
        <v>7006</v>
      </c>
      <c r="B188" s="7" t="s">
        <v>293</v>
      </c>
      <c r="C188" s="7" t="s">
        <v>5696</v>
      </c>
      <c r="D188" s="9">
        <v>46041</v>
      </c>
      <c r="E188" s="3">
        <v>2721.12</v>
      </c>
      <c r="F188" s="7" t="s">
        <v>6820</v>
      </c>
      <c r="H188" s="9"/>
    </row>
    <row r="189" spans="1:8" x14ac:dyDescent="0.3">
      <c r="A189" s="7" t="s">
        <v>7007</v>
      </c>
      <c r="B189" s="7" t="s">
        <v>325</v>
      </c>
      <c r="C189" s="7" t="s">
        <v>5700</v>
      </c>
      <c r="D189" s="9">
        <v>46026</v>
      </c>
      <c r="E189" s="3">
        <v>2330.0500000000002</v>
      </c>
      <c r="F189" s="7" t="s">
        <v>3184</v>
      </c>
      <c r="H189" s="9"/>
    </row>
    <row r="190" spans="1:8" x14ac:dyDescent="0.3">
      <c r="A190" s="7" t="s">
        <v>7008</v>
      </c>
      <c r="B190" s="7" t="s">
        <v>281</v>
      </c>
      <c r="C190" s="7" t="s">
        <v>5701</v>
      </c>
      <c r="D190" s="9">
        <v>46025</v>
      </c>
      <c r="E190" s="3">
        <v>4185.25</v>
      </c>
      <c r="F190" s="7" t="s">
        <v>6820</v>
      </c>
      <c r="H190" s="9"/>
    </row>
    <row r="191" spans="1:8" x14ac:dyDescent="0.3">
      <c r="A191" s="7" t="s">
        <v>7009</v>
      </c>
      <c r="B191" s="7" t="s">
        <v>307</v>
      </c>
      <c r="C191" s="7" t="s">
        <v>5702</v>
      </c>
      <c r="D191" s="9">
        <v>45982</v>
      </c>
      <c r="E191" s="3">
        <v>5804.52</v>
      </c>
      <c r="F191" s="7" t="s">
        <v>3184</v>
      </c>
      <c r="H191" s="9"/>
    </row>
    <row r="192" spans="1:8" x14ac:dyDescent="0.3">
      <c r="A192" s="7" t="s">
        <v>7010</v>
      </c>
      <c r="B192" s="7" t="s">
        <v>337</v>
      </c>
      <c r="C192" s="7" t="s">
        <v>5703</v>
      </c>
      <c r="D192" s="9">
        <v>46020</v>
      </c>
      <c r="E192" s="3">
        <v>3886.05</v>
      </c>
      <c r="F192" s="7" t="s">
        <v>3184</v>
      </c>
      <c r="H192" s="9"/>
    </row>
    <row r="193" spans="1:8" x14ac:dyDescent="0.3">
      <c r="A193" s="7" t="s">
        <v>7011</v>
      </c>
      <c r="B193" s="7" t="s">
        <v>341</v>
      </c>
      <c r="C193" s="7" t="s">
        <v>5705</v>
      </c>
      <c r="D193" s="9">
        <v>45998</v>
      </c>
      <c r="E193" s="3">
        <v>3663.53</v>
      </c>
      <c r="F193" s="7" t="s">
        <v>6820</v>
      </c>
      <c r="H193" s="9"/>
    </row>
    <row r="194" spans="1:8" x14ac:dyDescent="0.3">
      <c r="A194" s="7" t="s">
        <v>7012</v>
      </c>
      <c r="B194" s="7" t="s">
        <v>283</v>
      </c>
      <c r="C194" s="7" t="s">
        <v>5706</v>
      </c>
      <c r="D194" s="9">
        <v>46109</v>
      </c>
      <c r="E194" s="3">
        <v>2632.94</v>
      </c>
      <c r="F194" s="7" t="s">
        <v>6820</v>
      </c>
      <c r="H194" s="9"/>
    </row>
    <row r="195" spans="1:8" x14ac:dyDescent="0.3">
      <c r="A195" s="7" t="s">
        <v>7013</v>
      </c>
      <c r="B195" s="7" t="s">
        <v>311</v>
      </c>
      <c r="C195" s="7" t="s">
        <v>5707</v>
      </c>
      <c r="D195" s="9">
        <v>46031</v>
      </c>
      <c r="E195" s="3">
        <v>5584.55</v>
      </c>
      <c r="F195" s="7" t="s">
        <v>3174</v>
      </c>
      <c r="H195" s="9"/>
    </row>
    <row r="196" spans="1:8" x14ac:dyDescent="0.3">
      <c r="A196" s="7" t="s">
        <v>7014</v>
      </c>
      <c r="B196" s="7" t="s">
        <v>283</v>
      </c>
      <c r="C196" s="7" t="s">
        <v>5708</v>
      </c>
      <c r="D196" s="9">
        <v>46053</v>
      </c>
      <c r="E196" s="3">
        <v>1027.4100000000001</v>
      </c>
      <c r="F196" s="7" t="s">
        <v>3174</v>
      </c>
      <c r="H196" s="9"/>
    </row>
    <row r="197" spans="1:8" x14ac:dyDescent="0.3">
      <c r="A197" s="7" t="s">
        <v>7015</v>
      </c>
      <c r="B197" s="7" t="s">
        <v>311</v>
      </c>
      <c r="C197" s="7" t="s">
        <v>5710</v>
      </c>
      <c r="D197" s="9">
        <v>46011</v>
      </c>
      <c r="E197" s="3">
        <v>3182.5</v>
      </c>
      <c r="F197" s="7" t="s">
        <v>3174</v>
      </c>
      <c r="H197" s="9"/>
    </row>
    <row r="198" spans="1:8" x14ac:dyDescent="0.3">
      <c r="A198" s="7" t="s">
        <v>7016</v>
      </c>
      <c r="B198" s="7" t="s">
        <v>269</v>
      </c>
      <c r="C198" s="7" t="s">
        <v>5712</v>
      </c>
      <c r="D198" s="9">
        <v>46096</v>
      </c>
      <c r="E198" s="3">
        <v>2142.38</v>
      </c>
      <c r="F198" s="7" t="s">
        <v>6820</v>
      </c>
      <c r="H198" s="9"/>
    </row>
    <row r="199" spans="1:8" x14ac:dyDescent="0.3">
      <c r="A199" s="7" t="s">
        <v>7017</v>
      </c>
      <c r="B199" s="7" t="s">
        <v>331</v>
      </c>
      <c r="C199" s="7" t="s">
        <v>5713</v>
      </c>
      <c r="D199" s="9">
        <v>45972</v>
      </c>
      <c r="E199" s="3">
        <v>898.86</v>
      </c>
      <c r="F199" s="7" t="s">
        <v>3174</v>
      </c>
      <c r="H199" s="9"/>
    </row>
    <row r="200" spans="1:8" x14ac:dyDescent="0.3">
      <c r="A200" s="7" t="s">
        <v>7018</v>
      </c>
      <c r="B200" s="7" t="s">
        <v>272</v>
      </c>
      <c r="C200" s="7" t="s">
        <v>5714</v>
      </c>
      <c r="D200" s="9">
        <v>46012</v>
      </c>
      <c r="E200" s="3">
        <v>6011.33</v>
      </c>
      <c r="F200" s="7" t="s">
        <v>6820</v>
      </c>
      <c r="H200" s="9"/>
    </row>
    <row r="201" spans="1:8" x14ac:dyDescent="0.3">
      <c r="A201" s="7" t="s">
        <v>7019</v>
      </c>
      <c r="B201" s="7" t="s">
        <v>323</v>
      </c>
      <c r="C201" s="7" t="s">
        <v>5715</v>
      </c>
      <c r="D201" s="9">
        <v>46071</v>
      </c>
      <c r="E201" s="3">
        <v>4964.66</v>
      </c>
      <c r="F201" s="7" t="s">
        <v>3174</v>
      </c>
      <c r="H201" s="9"/>
    </row>
    <row r="202" spans="1:8" x14ac:dyDescent="0.3">
      <c r="A202" s="7" t="s">
        <v>7020</v>
      </c>
      <c r="B202" s="7" t="s">
        <v>331</v>
      </c>
      <c r="C202" s="7" t="s">
        <v>5717</v>
      </c>
      <c r="D202" s="9">
        <v>45995</v>
      </c>
      <c r="E202" s="3">
        <v>3297.53</v>
      </c>
      <c r="F202" s="7" t="s">
        <v>6820</v>
      </c>
      <c r="H202" s="9"/>
    </row>
    <row r="203" spans="1:8" x14ac:dyDescent="0.3">
      <c r="A203" s="7" t="s">
        <v>7021</v>
      </c>
      <c r="B203" s="7" t="s">
        <v>335</v>
      </c>
      <c r="C203" s="7" t="s">
        <v>5718</v>
      </c>
      <c r="D203" s="9">
        <v>45996</v>
      </c>
      <c r="E203" s="3">
        <v>4000.41</v>
      </c>
      <c r="F203" s="7" t="s">
        <v>3174</v>
      </c>
      <c r="H203" s="9"/>
    </row>
    <row r="204" spans="1:8" x14ac:dyDescent="0.3">
      <c r="A204" s="7" t="s">
        <v>7022</v>
      </c>
      <c r="B204" s="7" t="s">
        <v>317</v>
      </c>
      <c r="C204" s="7" t="s">
        <v>5719</v>
      </c>
      <c r="D204" s="9">
        <v>46098</v>
      </c>
      <c r="E204" s="3">
        <v>3457.39</v>
      </c>
      <c r="F204" s="7" t="s">
        <v>3174</v>
      </c>
      <c r="H204" s="9"/>
    </row>
    <row r="205" spans="1:8" x14ac:dyDescent="0.3">
      <c r="A205" s="7" t="s">
        <v>7023</v>
      </c>
      <c r="B205" s="7" t="s">
        <v>313</v>
      </c>
      <c r="C205" s="7" t="s">
        <v>5720</v>
      </c>
      <c r="D205" s="9">
        <v>46056</v>
      </c>
      <c r="E205" s="3">
        <v>5035.79</v>
      </c>
      <c r="F205" s="7" t="s">
        <v>3174</v>
      </c>
      <c r="H205" s="9"/>
    </row>
    <row r="206" spans="1:8" x14ac:dyDescent="0.3">
      <c r="A206" s="7" t="s">
        <v>7024</v>
      </c>
      <c r="B206" s="7" t="s">
        <v>291</v>
      </c>
      <c r="C206" s="7" t="s">
        <v>5721</v>
      </c>
      <c r="D206" s="9">
        <v>45971</v>
      </c>
      <c r="E206" s="3">
        <v>6647.09</v>
      </c>
      <c r="F206" s="7" t="s">
        <v>3174</v>
      </c>
      <c r="H206" s="9"/>
    </row>
    <row r="207" spans="1:8" x14ac:dyDescent="0.3">
      <c r="A207" s="7" t="s">
        <v>7025</v>
      </c>
      <c r="B207" s="7" t="s">
        <v>325</v>
      </c>
      <c r="C207" s="7" t="s">
        <v>5722</v>
      </c>
      <c r="D207" s="9">
        <v>46048</v>
      </c>
      <c r="E207" s="3">
        <v>3388.93</v>
      </c>
      <c r="F207" s="7" t="s">
        <v>3184</v>
      </c>
      <c r="H207" s="9"/>
    </row>
    <row r="208" spans="1:8" x14ac:dyDescent="0.3">
      <c r="A208" s="7" t="s">
        <v>7026</v>
      </c>
      <c r="B208" s="7" t="s">
        <v>291</v>
      </c>
      <c r="C208" s="7" t="s">
        <v>5723</v>
      </c>
      <c r="D208" s="9">
        <v>46037</v>
      </c>
      <c r="E208" s="3">
        <v>6337.32</v>
      </c>
      <c r="F208" s="7" t="s">
        <v>3184</v>
      </c>
      <c r="H208" s="9"/>
    </row>
    <row r="209" spans="1:8" x14ac:dyDescent="0.3">
      <c r="A209" s="7" t="s">
        <v>7027</v>
      </c>
      <c r="B209" s="7" t="s">
        <v>293</v>
      </c>
      <c r="C209" s="7" t="s">
        <v>5726</v>
      </c>
      <c r="D209" s="9">
        <v>46070</v>
      </c>
      <c r="E209" s="3">
        <v>1893.46</v>
      </c>
      <c r="F209" s="7" t="s">
        <v>6820</v>
      </c>
      <c r="H209" s="9"/>
    </row>
    <row r="210" spans="1:8" x14ac:dyDescent="0.3">
      <c r="A210" s="7" t="s">
        <v>7028</v>
      </c>
      <c r="B210" s="7" t="s">
        <v>295</v>
      </c>
      <c r="C210" s="7" t="s">
        <v>5727</v>
      </c>
      <c r="D210" s="9">
        <v>46068</v>
      </c>
      <c r="E210" s="3">
        <v>2410.19</v>
      </c>
      <c r="F210" s="7" t="s">
        <v>3184</v>
      </c>
      <c r="H210" s="9"/>
    </row>
    <row r="211" spans="1:8" x14ac:dyDescent="0.3">
      <c r="A211" s="7" t="s">
        <v>7029</v>
      </c>
      <c r="B211" s="7" t="s">
        <v>331</v>
      </c>
      <c r="C211" s="7" t="s">
        <v>5728</v>
      </c>
      <c r="D211" s="9">
        <v>46002</v>
      </c>
      <c r="E211" s="3">
        <v>6650.26</v>
      </c>
      <c r="F211" s="7" t="s">
        <v>3174</v>
      </c>
      <c r="H211" s="9"/>
    </row>
    <row r="212" spans="1:8" x14ac:dyDescent="0.3">
      <c r="A212" s="7" t="s">
        <v>7030</v>
      </c>
      <c r="B212" s="7" t="s">
        <v>321</v>
      </c>
      <c r="C212" s="7" t="s">
        <v>5730</v>
      </c>
      <c r="D212" s="9">
        <v>46085</v>
      </c>
      <c r="E212" s="3">
        <v>3460.2</v>
      </c>
      <c r="F212" s="7" t="s">
        <v>3184</v>
      </c>
      <c r="H212" s="9"/>
    </row>
    <row r="213" spans="1:8" x14ac:dyDescent="0.3">
      <c r="A213" s="7" t="s">
        <v>7031</v>
      </c>
      <c r="B213" s="7" t="s">
        <v>269</v>
      </c>
      <c r="C213" s="7" t="s">
        <v>5732</v>
      </c>
      <c r="D213" s="9">
        <v>46090</v>
      </c>
      <c r="E213" s="3">
        <v>5367.82</v>
      </c>
      <c r="F213" s="7" t="s">
        <v>6820</v>
      </c>
      <c r="H213" s="9"/>
    </row>
    <row r="214" spans="1:8" x14ac:dyDescent="0.3">
      <c r="A214" s="7" t="s">
        <v>7032</v>
      </c>
      <c r="B214" s="7" t="s">
        <v>327</v>
      </c>
      <c r="C214" s="7" t="s">
        <v>5733</v>
      </c>
      <c r="D214" s="9">
        <v>46073</v>
      </c>
      <c r="E214" s="3">
        <v>5206.22</v>
      </c>
      <c r="F214" s="7" t="s">
        <v>3184</v>
      </c>
      <c r="H214" s="9"/>
    </row>
    <row r="215" spans="1:8" x14ac:dyDescent="0.3">
      <c r="A215" s="7" t="s">
        <v>7033</v>
      </c>
      <c r="B215" s="7" t="s">
        <v>297</v>
      </c>
      <c r="C215" s="7" t="s">
        <v>5735</v>
      </c>
      <c r="D215" s="9">
        <v>46015</v>
      </c>
      <c r="E215" s="3">
        <v>1712.41</v>
      </c>
      <c r="F215" s="7" t="s">
        <v>3184</v>
      </c>
      <c r="H215" s="9"/>
    </row>
    <row r="216" spans="1:8" x14ac:dyDescent="0.3">
      <c r="A216" s="7" t="s">
        <v>7034</v>
      </c>
      <c r="B216" s="7" t="s">
        <v>281</v>
      </c>
      <c r="C216" s="7" t="s">
        <v>5736</v>
      </c>
      <c r="D216" s="9">
        <v>46009</v>
      </c>
      <c r="E216" s="3">
        <v>3623.74</v>
      </c>
      <c r="F216" s="7" t="s">
        <v>3174</v>
      </c>
      <c r="H216" s="9"/>
    </row>
    <row r="217" spans="1:8" x14ac:dyDescent="0.3">
      <c r="A217" s="7" t="s">
        <v>7035</v>
      </c>
      <c r="B217" s="7" t="s">
        <v>287</v>
      </c>
      <c r="C217" s="7" t="s">
        <v>5737</v>
      </c>
      <c r="D217" s="9">
        <v>46068</v>
      </c>
      <c r="E217" s="3">
        <v>1887.74</v>
      </c>
      <c r="F217" s="7" t="s">
        <v>3184</v>
      </c>
      <c r="H217" s="9"/>
    </row>
    <row r="218" spans="1:8" x14ac:dyDescent="0.3">
      <c r="A218" s="7" t="s">
        <v>7036</v>
      </c>
      <c r="B218" s="7" t="s">
        <v>327</v>
      </c>
      <c r="C218" s="7" t="s">
        <v>5739</v>
      </c>
      <c r="D218" s="9">
        <v>46025</v>
      </c>
      <c r="E218" s="3">
        <v>3440.74</v>
      </c>
      <c r="F218" s="7" t="s">
        <v>6820</v>
      </c>
      <c r="H218" s="9"/>
    </row>
    <row r="219" spans="1:8" x14ac:dyDescent="0.3">
      <c r="A219" s="7" t="s">
        <v>7037</v>
      </c>
      <c r="B219" s="7" t="s">
        <v>333</v>
      </c>
      <c r="C219" s="7" t="s">
        <v>5741</v>
      </c>
      <c r="D219" s="9">
        <v>46083</v>
      </c>
      <c r="E219" s="3">
        <v>3106.08</v>
      </c>
      <c r="F219" s="7" t="s">
        <v>6820</v>
      </c>
      <c r="H219" s="9"/>
    </row>
    <row r="220" spans="1:8" x14ac:dyDescent="0.3">
      <c r="A220" s="7" t="s">
        <v>7038</v>
      </c>
      <c r="B220" s="7" t="s">
        <v>315</v>
      </c>
      <c r="C220" s="7" t="s">
        <v>5742</v>
      </c>
      <c r="D220" s="9">
        <v>46019</v>
      </c>
      <c r="E220" s="3">
        <v>4378.17</v>
      </c>
      <c r="F220" s="7" t="s">
        <v>3184</v>
      </c>
      <c r="H220" s="9"/>
    </row>
    <row r="221" spans="1:8" x14ac:dyDescent="0.3">
      <c r="A221" s="7" t="s">
        <v>7039</v>
      </c>
      <c r="B221" s="7" t="s">
        <v>339</v>
      </c>
      <c r="C221" s="7" t="s">
        <v>5744</v>
      </c>
      <c r="D221" s="9">
        <v>45997</v>
      </c>
      <c r="E221" s="3">
        <v>6110.16</v>
      </c>
      <c r="F221" s="7" t="s">
        <v>6820</v>
      </c>
      <c r="H221" s="9"/>
    </row>
    <row r="222" spans="1:8" x14ac:dyDescent="0.3">
      <c r="A222" s="7" t="s">
        <v>7040</v>
      </c>
      <c r="B222" s="7" t="s">
        <v>333</v>
      </c>
      <c r="C222" s="7" t="s">
        <v>5748</v>
      </c>
      <c r="D222" s="9">
        <v>46067</v>
      </c>
      <c r="E222" s="3">
        <v>956.69</v>
      </c>
      <c r="F222" s="7" t="s">
        <v>3184</v>
      </c>
      <c r="H222" s="9"/>
    </row>
    <row r="223" spans="1:8" x14ac:dyDescent="0.3">
      <c r="A223" s="7" t="s">
        <v>7041</v>
      </c>
      <c r="B223" s="7" t="s">
        <v>291</v>
      </c>
      <c r="C223" s="7" t="s">
        <v>5749</v>
      </c>
      <c r="D223" s="9">
        <v>45995</v>
      </c>
      <c r="E223" s="3">
        <v>5798.59</v>
      </c>
      <c r="F223" s="7" t="s">
        <v>6820</v>
      </c>
      <c r="H223" s="9"/>
    </row>
    <row r="224" spans="1:8" x14ac:dyDescent="0.3">
      <c r="A224" s="7" t="s">
        <v>7042</v>
      </c>
      <c r="B224" s="7" t="s">
        <v>267</v>
      </c>
      <c r="C224" s="7" t="s">
        <v>5750</v>
      </c>
      <c r="D224" s="9">
        <v>45981</v>
      </c>
      <c r="E224" s="3">
        <v>6306.67</v>
      </c>
      <c r="F224" s="7" t="s">
        <v>3174</v>
      </c>
      <c r="H224" s="9"/>
    </row>
    <row r="225" spans="1:8" x14ac:dyDescent="0.3">
      <c r="A225" s="7" t="s">
        <v>7043</v>
      </c>
      <c r="B225" s="7" t="s">
        <v>339</v>
      </c>
      <c r="C225" s="7" t="s">
        <v>5751</v>
      </c>
      <c r="D225" s="9">
        <v>46046</v>
      </c>
      <c r="E225" s="3">
        <v>2029.36</v>
      </c>
      <c r="F225" s="7" t="s">
        <v>6820</v>
      </c>
      <c r="H225" s="9"/>
    </row>
    <row r="226" spans="1:8" x14ac:dyDescent="0.3">
      <c r="A226" s="7" t="s">
        <v>7044</v>
      </c>
      <c r="B226" s="7" t="s">
        <v>287</v>
      </c>
      <c r="C226" s="7" t="s">
        <v>5752</v>
      </c>
      <c r="D226" s="9">
        <v>46060</v>
      </c>
      <c r="E226" s="3">
        <v>2373.59</v>
      </c>
      <c r="F226" s="7" t="s">
        <v>3174</v>
      </c>
      <c r="H226" s="9"/>
    </row>
    <row r="227" spans="1:8" x14ac:dyDescent="0.3">
      <c r="A227" s="7" t="s">
        <v>7045</v>
      </c>
      <c r="B227" s="7" t="s">
        <v>279</v>
      </c>
      <c r="C227" s="7" t="s">
        <v>5753</v>
      </c>
      <c r="D227" s="9">
        <v>45979</v>
      </c>
      <c r="E227" s="3">
        <v>6150.76</v>
      </c>
      <c r="F227" s="7" t="s">
        <v>3174</v>
      </c>
      <c r="H227" s="9"/>
    </row>
    <row r="228" spans="1:8" x14ac:dyDescent="0.3">
      <c r="A228" s="7" t="s">
        <v>7046</v>
      </c>
      <c r="B228" s="7" t="s">
        <v>321</v>
      </c>
      <c r="C228" s="7" t="s">
        <v>5754</v>
      </c>
      <c r="D228" s="9">
        <v>46073</v>
      </c>
      <c r="E228" s="3">
        <v>3486.03</v>
      </c>
      <c r="F228" s="7" t="s">
        <v>3174</v>
      </c>
      <c r="H228" s="9"/>
    </row>
    <row r="229" spans="1:8" x14ac:dyDescent="0.3">
      <c r="A229" s="7" t="s">
        <v>7047</v>
      </c>
      <c r="B229" s="7" t="s">
        <v>333</v>
      </c>
      <c r="C229" s="7" t="s">
        <v>5755</v>
      </c>
      <c r="D229" s="9">
        <v>46009</v>
      </c>
      <c r="E229" s="3">
        <v>2178.21</v>
      </c>
      <c r="F229" s="7" t="s">
        <v>6820</v>
      </c>
      <c r="H229" s="9"/>
    </row>
    <row r="230" spans="1:8" x14ac:dyDescent="0.3">
      <c r="A230" s="7" t="s">
        <v>7048</v>
      </c>
      <c r="B230" s="7" t="s">
        <v>305</v>
      </c>
      <c r="C230" s="7" t="s">
        <v>5756</v>
      </c>
      <c r="D230" s="9">
        <v>46057</v>
      </c>
      <c r="E230" s="3">
        <v>2412.6799999999998</v>
      </c>
      <c r="F230" s="7" t="s">
        <v>3174</v>
      </c>
      <c r="H230" s="9"/>
    </row>
    <row r="231" spans="1:8" x14ac:dyDescent="0.3">
      <c r="A231" s="7" t="s">
        <v>7049</v>
      </c>
      <c r="B231" s="7" t="s">
        <v>343</v>
      </c>
      <c r="C231" s="7" t="s">
        <v>5757</v>
      </c>
      <c r="D231" s="9">
        <v>46082</v>
      </c>
      <c r="E231" s="3">
        <v>5869.27</v>
      </c>
      <c r="F231" s="7" t="s">
        <v>3174</v>
      </c>
      <c r="H231" s="9"/>
    </row>
    <row r="232" spans="1:8" x14ac:dyDescent="0.3">
      <c r="A232" s="7" t="s">
        <v>7050</v>
      </c>
      <c r="B232" s="7" t="s">
        <v>341</v>
      </c>
      <c r="C232" s="7" t="s">
        <v>5758</v>
      </c>
      <c r="D232" s="9">
        <v>46088</v>
      </c>
      <c r="E232" s="3">
        <v>2157.6999999999998</v>
      </c>
      <c r="F232" s="7" t="s">
        <v>3174</v>
      </c>
      <c r="H232" s="9"/>
    </row>
    <row r="233" spans="1:8" x14ac:dyDescent="0.3">
      <c r="A233" s="7" t="s">
        <v>7051</v>
      </c>
      <c r="B233" s="7" t="s">
        <v>285</v>
      </c>
      <c r="C233" s="7" t="s">
        <v>5759</v>
      </c>
      <c r="D233" s="9">
        <v>46080</v>
      </c>
      <c r="E233" s="3">
        <v>6946.1</v>
      </c>
      <c r="F233" s="7" t="s">
        <v>3184</v>
      </c>
      <c r="H233" s="9"/>
    </row>
    <row r="234" spans="1:8" x14ac:dyDescent="0.3">
      <c r="A234" s="7" t="s">
        <v>7052</v>
      </c>
      <c r="B234" s="7" t="s">
        <v>285</v>
      </c>
      <c r="C234" s="7" t="s">
        <v>5760</v>
      </c>
      <c r="D234" s="9">
        <v>46011</v>
      </c>
      <c r="E234" s="3">
        <v>6347.81</v>
      </c>
      <c r="F234" s="7" t="s">
        <v>3174</v>
      </c>
      <c r="H234" s="9"/>
    </row>
    <row r="235" spans="1:8" x14ac:dyDescent="0.3">
      <c r="A235" s="7" t="s">
        <v>7053</v>
      </c>
      <c r="B235" s="7" t="s">
        <v>309</v>
      </c>
      <c r="C235" s="7" t="s">
        <v>5761</v>
      </c>
      <c r="D235" s="9">
        <v>46051</v>
      </c>
      <c r="E235" s="3">
        <v>4843.75</v>
      </c>
      <c r="F235" s="7" t="s">
        <v>3184</v>
      </c>
      <c r="H235" s="9"/>
    </row>
    <row r="236" spans="1:8" x14ac:dyDescent="0.3">
      <c r="A236" s="7" t="s">
        <v>7054</v>
      </c>
      <c r="B236" s="7" t="s">
        <v>321</v>
      </c>
      <c r="C236" s="7" t="s">
        <v>5763</v>
      </c>
      <c r="D236" s="9">
        <v>45986</v>
      </c>
      <c r="E236" s="3">
        <v>3249.82</v>
      </c>
      <c r="F236" s="7" t="s">
        <v>3174</v>
      </c>
      <c r="H236" s="9"/>
    </row>
    <row r="237" spans="1:8" x14ac:dyDescent="0.3">
      <c r="A237" s="7" t="s">
        <v>7055</v>
      </c>
      <c r="B237" s="7" t="s">
        <v>285</v>
      </c>
      <c r="C237" s="7" t="s">
        <v>5764</v>
      </c>
      <c r="D237" s="9">
        <v>45992</v>
      </c>
      <c r="E237" s="3">
        <v>4228.38</v>
      </c>
      <c r="F237" s="7" t="s">
        <v>6820</v>
      </c>
      <c r="H237" s="9"/>
    </row>
    <row r="238" spans="1:8" x14ac:dyDescent="0.3">
      <c r="A238" s="7" t="s">
        <v>7056</v>
      </c>
      <c r="B238" s="7" t="s">
        <v>264</v>
      </c>
      <c r="C238" s="7" t="s">
        <v>5766</v>
      </c>
      <c r="D238" s="9">
        <v>46097</v>
      </c>
      <c r="E238" s="3">
        <v>3606.39</v>
      </c>
      <c r="F238" s="7" t="s">
        <v>6820</v>
      </c>
      <c r="H238" s="9"/>
    </row>
    <row r="239" spans="1:8" x14ac:dyDescent="0.3">
      <c r="A239" s="7" t="s">
        <v>7057</v>
      </c>
      <c r="B239" s="7" t="s">
        <v>319</v>
      </c>
      <c r="C239" s="7" t="s">
        <v>5767</v>
      </c>
      <c r="D239" s="9">
        <v>46095</v>
      </c>
      <c r="E239" s="3">
        <v>2668.39</v>
      </c>
      <c r="F239" s="7" t="s">
        <v>3184</v>
      </c>
      <c r="H239" s="9"/>
    </row>
    <row r="240" spans="1:8" x14ac:dyDescent="0.3">
      <c r="A240" s="7" t="s">
        <v>7058</v>
      </c>
      <c r="B240" s="7" t="s">
        <v>267</v>
      </c>
      <c r="C240" s="7" t="s">
        <v>5769</v>
      </c>
      <c r="D240" s="9">
        <v>46086</v>
      </c>
      <c r="E240" s="3">
        <v>4182.97</v>
      </c>
      <c r="F240" s="7" t="s">
        <v>3174</v>
      </c>
      <c r="H240" s="9"/>
    </row>
    <row r="241" spans="1:8" x14ac:dyDescent="0.3">
      <c r="A241" s="7" t="s">
        <v>7059</v>
      </c>
      <c r="B241" s="7" t="s">
        <v>285</v>
      </c>
      <c r="C241" s="7" t="s">
        <v>5770</v>
      </c>
      <c r="D241" s="9">
        <v>45990</v>
      </c>
      <c r="E241" s="3">
        <v>4489.1400000000003</v>
      </c>
      <c r="F241" s="7" t="s">
        <v>3174</v>
      </c>
      <c r="H241" s="9"/>
    </row>
    <row r="242" spans="1:8" x14ac:dyDescent="0.3">
      <c r="A242" s="7" t="s">
        <v>7060</v>
      </c>
      <c r="B242" s="7" t="s">
        <v>343</v>
      </c>
      <c r="C242" s="7" t="s">
        <v>5772</v>
      </c>
      <c r="D242" s="9">
        <v>45993</v>
      </c>
      <c r="E242" s="3">
        <v>1001.96</v>
      </c>
      <c r="F242" s="7" t="s">
        <v>6820</v>
      </c>
      <c r="H242" s="9"/>
    </row>
    <row r="243" spans="1:8" x14ac:dyDescent="0.3">
      <c r="A243" s="7" t="s">
        <v>7061</v>
      </c>
      <c r="B243" s="7" t="s">
        <v>295</v>
      </c>
      <c r="C243" s="7" t="s">
        <v>5774</v>
      </c>
      <c r="D243" s="9">
        <v>45973</v>
      </c>
      <c r="E243" s="3">
        <v>2079</v>
      </c>
      <c r="F243" s="7" t="s">
        <v>6820</v>
      </c>
      <c r="H243" s="9"/>
    </row>
    <row r="244" spans="1:8" x14ac:dyDescent="0.3">
      <c r="A244" s="7" t="s">
        <v>7062</v>
      </c>
      <c r="B244" s="7" t="s">
        <v>309</v>
      </c>
      <c r="C244" s="7" t="s">
        <v>5775</v>
      </c>
      <c r="D244" s="9">
        <v>46036</v>
      </c>
      <c r="E244" s="3">
        <v>1216.8599999999999</v>
      </c>
      <c r="F244" s="7" t="s">
        <v>6820</v>
      </c>
      <c r="H244" s="9"/>
    </row>
    <row r="245" spans="1:8" x14ac:dyDescent="0.3">
      <c r="A245" s="7" t="s">
        <v>7063</v>
      </c>
      <c r="B245" s="7" t="s">
        <v>293</v>
      </c>
      <c r="C245" s="7" t="s">
        <v>5777</v>
      </c>
      <c r="D245" s="9">
        <v>46043</v>
      </c>
      <c r="E245" s="3">
        <v>6933.73</v>
      </c>
      <c r="F245" s="7" t="s">
        <v>3174</v>
      </c>
      <c r="H245" s="9"/>
    </row>
    <row r="246" spans="1:8" x14ac:dyDescent="0.3">
      <c r="A246" s="7" t="s">
        <v>7064</v>
      </c>
      <c r="B246" s="7" t="s">
        <v>267</v>
      </c>
      <c r="C246" s="7" t="s">
        <v>5778</v>
      </c>
      <c r="D246" s="9">
        <v>45984</v>
      </c>
      <c r="E246" s="3">
        <v>2201.4299999999998</v>
      </c>
      <c r="F246" s="7" t="s">
        <v>6820</v>
      </c>
      <c r="H246" s="9"/>
    </row>
    <row r="247" spans="1:8" x14ac:dyDescent="0.3">
      <c r="A247" s="7" t="s">
        <v>7065</v>
      </c>
      <c r="B247" s="7" t="s">
        <v>295</v>
      </c>
      <c r="C247" s="7" t="s">
        <v>5780</v>
      </c>
      <c r="D247" s="9">
        <v>45997</v>
      </c>
      <c r="E247" s="3">
        <v>1995.04</v>
      </c>
      <c r="F247" s="7" t="s">
        <v>3174</v>
      </c>
      <c r="H247" s="9"/>
    </row>
    <row r="248" spans="1:8" x14ac:dyDescent="0.3">
      <c r="A248" s="7" t="s">
        <v>7066</v>
      </c>
      <c r="B248" s="7" t="s">
        <v>315</v>
      </c>
      <c r="C248" s="7" t="s">
        <v>5781</v>
      </c>
      <c r="D248" s="9">
        <v>46065</v>
      </c>
      <c r="E248" s="3">
        <v>6498.65</v>
      </c>
      <c r="F248" s="7" t="s">
        <v>3184</v>
      </c>
      <c r="H248" s="9"/>
    </row>
    <row r="249" spans="1:8" x14ac:dyDescent="0.3">
      <c r="A249" s="7" t="s">
        <v>7067</v>
      </c>
      <c r="B249" s="7" t="s">
        <v>333</v>
      </c>
      <c r="C249" s="7" t="s">
        <v>5782</v>
      </c>
      <c r="D249" s="9">
        <v>46066</v>
      </c>
      <c r="E249" s="3">
        <v>965.24</v>
      </c>
      <c r="F249" s="7" t="s">
        <v>3174</v>
      </c>
      <c r="H249" s="9"/>
    </row>
    <row r="250" spans="1:8" x14ac:dyDescent="0.3">
      <c r="A250" s="7" t="s">
        <v>7068</v>
      </c>
      <c r="B250" s="7" t="s">
        <v>307</v>
      </c>
      <c r="C250" s="7" t="s">
        <v>5785</v>
      </c>
      <c r="D250" s="9">
        <v>46071</v>
      </c>
      <c r="E250" s="3">
        <v>5458.41</v>
      </c>
      <c r="F250" s="7" t="s">
        <v>3184</v>
      </c>
      <c r="H250" s="9"/>
    </row>
    <row r="251" spans="1:8" x14ac:dyDescent="0.3">
      <c r="A251" s="7" t="s">
        <v>7069</v>
      </c>
      <c r="B251" s="7" t="s">
        <v>295</v>
      </c>
      <c r="C251" s="7" t="s">
        <v>5787</v>
      </c>
      <c r="D251" s="9">
        <v>46028</v>
      </c>
      <c r="E251" s="3">
        <v>6795.28</v>
      </c>
      <c r="F251" s="7" t="s">
        <v>6820</v>
      </c>
      <c r="H251" s="9"/>
    </row>
    <row r="252" spans="1:8" x14ac:dyDescent="0.3">
      <c r="A252" s="7" t="s">
        <v>7070</v>
      </c>
      <c r="B252" s="7" t="s">
        <v>323</v>
      </c>
      <c r="C252" s="7" t="s">
        <v>5788</v>
      </c>
      <c r="D252" s="9">
        <v>45993</v>
      </c>
      <c r="E252" s="3">
        <v>2715.74</v>
      </c>
      <c r="F252" s="7" t="s">
        <v>3174</v>
      </c>
      <c r="H252" s="9"/>
    </row>
    <row r="253" spans="1:8" x14ac:dyDescent="0.3">
      <c r="A253" s="7" t="s">
        <v>7071</v>
      </c>
      <c r="B253" s="7" t="s">
        <v>261</v>
      </c>
      <c r="C253" s="7" t="s">
        <v>5789</v>
      </c>
      <c r="D253" s="9">
        <v>46022</v>
      </c>
      <c r="E253" s="3">
        <v>3180.37</v>
      </c>
      <c r="F253" s="7" t="s">
        <v>6820</v>
      </c>
      <c r="H253" s="9"/>
    </row>
    <row r="254" spans="1:8" x14ac:dyDescent="0.3">
      <c r="A254" s="7" t="s">
        <v>7072</v>
      </c>
      <c r="B254" s="7" t="s">
        <v>276</v>
      </c>
      <c r="C254" s="7" t="s">
        <v>5791</v>
      </c>
      <c r="D254" s="9">
        <v>46091</v>
      </c>
      <c r="E254" s="3">
        <v>4432.93</v>
      </c>
      <c r="F254" s="7" t="s">
        <v>6820</v>
      </c>
      <c r="H254" s="9"/>
    </row>
    <row r="255" spans="1:8" x14ac:dyDescent="0.3">
      <c r="A255" s="7" t="s">
        <v>7073</v>
      </c>
      <c r="B255" s="7" t="s">
        <v>293</v>
      </c>
      <c r="C255" s="7" t="s">
        <v>5792</v>
      </c>
      <c r="D255" s="9">
        <v>46054</v>
      </c>
      <c r="E255" s="3">
        <v>1419.22</v>
      </c>
      <c r="F255" s="7" t="s">
        <v>3174</v>
      </c>
      <c r="H255" s="9"/>
    </row>
    <row r="256" spans="1:8" x14ac:dyDescent="0.3">
      <c r="A256" s="7" t="s">
        <v>7074</v>
      </c>
      <c r="B256" s="7" t="s">
        <v>264</v>
      </c>
      <c r="C256" s="7" t="s">
        <v>5796</v>
      </c>
      <c r="D256" s="9">
        <v>46082</v>
      </c>
      <c r="E256" s="3">
        <v>6320.21</v>
      </c>
      <c r="F256" s="7" t="s">
        <v>3184</v>
      </c>
      <c r="H256" s="9"/>
    </row>
    <row r="257" spans="1:8" x14ac:dyDescent="0.3">
      <c r="A257" s="7" t="s">
        <v>7075</v>
      </c>
      <c r="B257" s="7" t="s">
        <v>264</v>
      </c>
      <c r="C257" s="7" t="s">
        <v>5797</v>
      </c>
      <c r="D257" s="9">
        <v>46103</v>
      </c>
      <c r="E257" s="3">
        <v>827.96</v>
      </c>
      <c r="F257" s="7" t="s">
        <v>3174</v>
      </c>
      <c r="H257" s="9"/>
    </row>
    <row r="258" spans="1:8" x14ac:dyDescent="0.3">
      <c r="A258" s="7" t="s">
        <v>7076</v>
      </c>
      <c r="B258" s="7" t="s">
        <v>333</v>
      </c>
      <c r="C258" s="7" t="s">
        <v>5798</v>
      </c>
      <c r="D258" s="9">
        <v>45989</v>
      </c>
      <c r="E258" s="3">
        <v>6394.79</v>
      </c>
      <c r="F258" s="7" t="s">
        <v>3174</v>
      </c>
      <c r="H258" s="9"/>
    </row>
    <row r="259" spans="1:8" x14ac:dyDescent="0.3">
      <c r="A259" s="7" t="s">
        <v>7077</v>
      </c>
      <c r="B259" s="7" t="s">
        <v>293</v>
      </c>
      <c r="C259" s="7" t="s">
        <v>5800</v>
      </c>
      <c r="D259" s="9">
        <v>46079</v>
      </c>
      <c r="E259" s="3">
        <v>6132.37</v>
      </c>
      <c r="F259" s="7" t="s">
        <v>3174</v>
      </c>
      <c r="H259" s="9"/>
    </row>
    <row r="260" spans="1:8" x14ac:dyDescent="0.3">
      <c r="A260" s="7" t="s">
        <v>7078</v>
      </c>
      <c r="B260" s="7" t="s">
        <v>276</v>
      </c>
      <c r="C260" s="7" t="s">
        <v>5802</v>
      </c>
      <c r="D260" s="9">
        <v>46014</v>
      </c>
      <c r="E260" s="3">
        <v>2656.98</v>
      </c>
      <c r="F260" s="7" t="s">
        <v>6820</v>
      </c>
      <c r="H260" s="9"/>
    </row>
    <row r="261" spans="1:8" x14ac:dyDescent="0.3">
      <c r="A261" s="7" t="s">
        <v>7079</v>
      </c>
      <c r="B261" s="7" t="s">
        <v>321</v>
      </c>
      <c r="C261" s="7" t="s">
        <v>5803</v>
      </c>
      <c r="D261" s="9">
        <v>45967</v>
      </c>
      <c r="E261" s="3">
        <v>3807.71</v>
      </c>
      <c r="F261" s="7" t="s">
        <v>6820</v>
      </c>
      <c r="H261" s="9"/>
    </row>
    <row r="262" spans="1:8" x14ac:dyDescent="0.3">
      <c r="A262" s="7" t="s">
        <v>7080</v>
      </c>
      <c r="B262" s="7" t="s">
        <v>297</v>
      </c>
      <c r="C262" s="7" t="s">
        <v>5805</v>
      </c>
      <c r="D262" s="9">
        <v>46053</v>
      </c>
      <c r="E262" s="3">
        <v>6131.81</v>
      </c>
      <c r="F262" s="7" t="s">
        <v>3174</v>
      </c>
      <c r="H262" s="9"/>
    </row>
    <row r="263" spans="1:8" x14ac:dyDescent="0.3">
      <c r="A263" s="7" t="s">
        <v>7081</v>
      </c>
      <c r="B263" s="7" t="s">
        <v>305</v>
      </c>
      <c r="C263" s="7" t="s">
        <v>5807</v>
      </c>
      <c r="D263" s="9">
        <v>46082</v>
      </c>
      <c r="E263" s="3">
        <v>5142.55</v>
      </c>
      <c r="F263" s="7" t="s">
        <v>3174</v>
      </c>
      <c r="H263" s="9"/>
    </row>
    <row r="264" spans="1:8" x14ac:dyDescent="0.3">
      <c r="A264" s="7" t="s">
        <v>7082</v>
      </c>
      <c r="B264" s="7" t="s">
        <v>325</v>
      </c>
      <c r="C264" s="7" t="s">
        <v>5809</v>
      </c>
      <c r="D264" s="9">
        <v>46025</v>
      </c>
      <c r="E264" s="3">
        <v>3854.36</v>
      </c>
      <c r="F264" s="7" t="s">
        <v>3184</v>
      </c>
      <c r="H264" s="9"/>
    </row>
    <row r="265" spans="1:8" x14ac:dyDescent="0.3">
      <c r="A265" s="7" t="s">
        <v>7083</v>
      </c>
      <c r="B265" s="7" t="s">
        <v>337</v>
      </c>
      <c r="C265" s="7" t="s">
        <v>5810</v>
      </c>
      <c r="D265" s="9">
        <v>45981</v>
      </c>
      <c r="E265" s="3">
        <v>2029.3</v>
      </c>
      <c r="F265" s="7" t="s">
        <v>6820</v>
      </c>
      <c r="H265" s="9"/>
    </row>
    <row r="266" spans="1:8" x14ac:dyDescent="0.3">
      <c r="A266" s="7" t="s">
        <v>7084</v>
      </c>
      <c r="B266" s="7" t="s">
        <v>339</v>
      </c>
      <c r="C266" s="7" t="s">
        <v>5811</v>
      </c>
      <c r="D266" s="9">
        <v>46049</v>
      </c>
      <c r="E266" s="3">
        <v>4455.32</v>
      </c>
      <c r="F266" s="7" t="s">
        <v>3184</v>
      </c>
      <c r="H266" s="9"/>
    </row>
    <row r="267" spans="1:8" x14ac:dyDescent="0.3">
      <c r="A267" s="7" t="s">
        <v>7085</v>
      </c>
      <c r="B267" s="7" t="s">
        <v>323</v>
      </c>
      <c r="C267" s="7" t="s">
        <v>5813</v>
      </c>
      <c r="D267" s="9">
        <v>46103</v>
      </c>
      <c r="E267" s="3">
        <v>5241.75</v>
      </c>
      <c r="F267" s="7" t="s">
        <v>3174</v>
      </c>
      <c r="H267" s="9"/>
    </row>
    <row r="268" spans="1:8" x14ac:dyDescent="0.3">
      <c r="A268" s="7" t="s">
        <v>7086</v>
      </c>
      <c r="B268" s="7" t="s">
        <v>269</v>
      </c>
      <c r="C268" s="7" t="s">
        <v>5814</v>
      </c>
      <c r="D268" s="9">
        <v>46044</v>
      </c>
      <c r="E268" s="3">
        <v>6277.21</v>
      </c>
      <c r="F268" s="7" t="s">
        <v>3174</v>
      </c>
      <c r="H268" s="9"/>
    </row>
    <row r="269" spans="1:8" x14ac:dyDescent="0.3">
      <c r="A269" s="7" t="s">
        <v>7087</v>
      </c>
      <c r="B269" s="7" t="s">
        <v>315</v>
      </c>
      <c r="C269" s="7" t="s">
        <v>5817</v>
      </c>
      <c r="D269" s="9">
        <v>46068</v>
      </c>
      <c r="E269" s="3">
        <v>5688.92</v>
      </c>
      <c r="F269" s="7" t="s">
        <v>3184</v>
      </c>
      <c r="H269" s="9"/>
    </row>
    <row r="270" spans="1:8" x14ac:dyDescent="0.3">
      <c r="A270" s="7" t="s">
        <v>7088</v>
      </c>
      <c r="B270" s="7" t="s">
        <v>315</v>
      </c>
      <c r="C270" s="7" t="s">
        <v>5818</v>
      </c>
      <c r="D270" s="9">
        <v>46071</v>
      </c>
      <c r="E270" s="3">
        <v>3789.98</v>
      </c>
      <c r="F270" s="7" t="s">
        <v>3184</v>
      </c>
      <c r="H270" s="9"/>
    </row>
    <row r="271" spans="1:8" x14ac:dyDescent="0.3">
      <c r="A271" s="7" t="s">
        <v>7089</v>
      </c>
      <c r="B271" s="7" t="s">
        <v>311</v>
      </c>
      <c r="C271" s="7" t="s">
        <v>5819</v>
      </c>
      <c r="D271" s="9">
        <v>46050</v>
      </c>
      <c r="E271" s="3">
        <v>2691.89</v>
      </c>
      <c r="F271" s="7" t="s">
        <v>6820</v>
      </c>
      <c r="H271" s="9"/>
    </row>
    <row r="272" spans="1:8" x14ac:dyDescent="0.3">
      <c r="A272" s="7" t="s">
        <v>7090</v>
      </c>
      <c r="B272" s="7" t="s">
        <v>305</v>
      </c>
      <c r="C272" s="7" t="s">
        <v>5820</v>
      </c>
      <c r="D272" s="9">
        <v>46067</v>
      </c>
      <c r="E272" s="3">
        <v>5370.11</v>
      </c>
      <c r="F272" s="7" t="s">
        <v>3174</v>
      </c>
      <c r="H272" s="9"/>
    </row>
    <row r="273" spans="1:8" x14ac:dyDescent="0.3">
      <c r="A273" s="7" t="s">
        <v>7091</v>
      </c>
      <c r="B273" s="7" t="s">
        <v>285</v>
      </c>
      <c r="C273" s="7" t="s">
        <v>5821</v>
      </c>
      <c r="D273" s="9">
        <v>46003</v>
      </c>
      <c r="E273" s="3">
        <v>4243.78</v>
      </c>
      <c r="F273" s="7" t="s">
        <v>6820</v>
      </c>
      <c r="H273" s="9"/>
    </row>
    <row r="274" spans="1:8" x14ac:dyDescent="0.3">
      <c r="A274" s="7" t="s">
        <v>7092</v>
      </c>
      <c r="B274" s="7" t="s">
        <v>261</v>
      </c>
      <c r="C274" s="7" t="s">
        <v>5822</v>
      </c>
      <c r="D274" s="9">
        <v>46108</v>
      </c>
      <c r="E274" s="3">
        <v>5480.89</v>
      </c>
      <c r="F274" s="7" t="s">
        <v>3184</v>
      </c>
      <c r="H274" s="9"/>
    </row>
    <row r="275" spans="1:8" x14ac:dyDescent="0.3">
      <c r="A275" s="7" t="s">
        <v>7093</v>
      </c>
      <c r="B275" s="7" t="s">
        <v>287</v>
      </c>
      <c r="C275" s="7" t="s">
        <v>5824</v>
      </c>
      <c r="D275" s="9">
        <v>46093</v>
      </c>
      <c r="E275" s="3">
        <v>4225.32</v>
      </c>
      <c r="F275" s="7" t="s">
        <v>3174</v>
      </c>
      <c r="H275" s="9"/>
    </row>
    <row r="276" spans="1:8" x14ac:dyDescent="0.3">
      <c r="A276" s="7" t="s">
        <v>7094</v>
      </c>
      <c r="B276" s="7" t="s">
        <v>287</v>
      </c>
      <c r="C276" s="7" t="s">
        <v>5825</v>
      </c>
      <c r="D276" s="9">
        <v>46051</v>
      </c>
      <c r="E276" s="3">
        <v>4805.9399999999996</v>
      </c>
      <c r="F276" s="7" t="s">
        <v>3184</v>
      </c>
      <c r="H276" s="9"/>
    </row>
    <row r="277" spans="1:8" x14ac:dyDescent="0.3">
      <c r="A277" s="7" t="s">
        <v>7095</v>
      </c>
      <c r="B277" s="7" t="s">
        <v>295</v>
      </c>
      <c r="C277" s="7" t="s">
        <v>5826</v>
      </c>
      <c r="D277" s="9">
        <v>45980</v>
      </c>
      <c r="E277" s="3">
        <v>6516.76</v>
      </c>
      <c r="F277" s="7" t="s">
        <v>3184</v>
      </c>
      <c r="H277" s="9"/>
    </row>
    <row r="278" spans="1:8" x14ac:dyDescent="0.3">
      <c r="A278" s="7" t="s">
        <v>7096</v>
      </c>
      <c r="B278" s="7" t="s">
        <v>281</v>
      </c>
      <c r="C278" s="7" t="s">
        <v>5829</v>
      </c>
      <c r="D278" s="9">
        <v>45995</v>
      </c>
      <c r="E278" s="3">
        <v>3341.44</v>
      </c>
      <c r="F278" s="7" t="s">
        <v>3184</v>
      </c>
      <c r="H278" s="9"/>
    </row>
    <row r="279" spans="1:8" x14ac:dyDescent="0.3">
      <c r="A279" s="7" t="s">
        <v>7097</v>
      </c>
      <c r="B279" s="7" t="s">
        <v>269</v>
      </c>
      <c r="C279" s="7" t="s">
        <v>5830</v>
      </c>
      <c r="D279" s="9">
        <v>45981</v>
      </c>
      <c r="E279" s="3">
        <v>6769.81</v>
      </c>
      <c r="F279" s="7" t="s">
        <v>3184</v>
      </c>
      <c r="H279" s="9"/>
    </row>
    <row r="280" spans="1:8" x14ac:dyDescent="0.3">
      <c r="A280" s="7" t="s">
        <v>7098</v>
      </c>
      <c r="B280" s="7" t="s">
        <v>272</v>
      </c>
      <c r="C280" s="7" t="s">
        <v>5831</v>
      </c>
      <c r="D280" s="9">
        <v>46039</v>
      </c>
      <c r="E280" s="3">
        <v>3758.73</v>
      </c>
      <c r="F280" s="7" t="s">
        <v>3174</v>
      </c>
      <c r="H280" s="9"/>
    </row>
    <row r="281" spans="1:8" x14ac:dyDescent="0.3">
      <c r="A281" s="7" t="s">
        <v>7099</v>
      </c>
      <c r="B281" s="7" t="s">
        <v>293</v>
      </c>
      <c r="C281" s="7" t="s">
        <v>5832</v>
      </c>
      <c r="D281" s="9">
        <v>46077</v>
      </c>
      <c r="E281" s="3">
        <v>4610.04</v>
      </c>
      <c r="F281" s="7" t="s">
        <v>6820</v>
      </c>
      <c r="H281" s="9"/>
    </row>
    <row r="282" spans="1:8" x14ac:dyDescent="0.3">
      <c r="A282" s="7" t="s">
        <v>7100</v>
      </c>
      <c r="B282" s="7" t="s">
        <v>337</v>
      </c>
      <c r="C282" s="7" t="s">
        <v>5833</v>
      </c>
      <c r="D282" s="9">
        <v>46055</v>
      </c>
      <c r="E282" s="3">
        <v>2161.56</v>
      </c>
      <c r="F282" s="7" t="s">
        <v>6820</v>
      </c>
      <c r="H282" s="9"/>
    </row>
    <row r="283" spans="1:8" x14ac:dyDescent="0.3">
      <c r="A283" s="7" t="s">
        <v>7101</v>
      </c>
      <c r="B283" s="7" t="s">
        <v>343</v>
      </c>
      <c r="C283" s="7" t="s">
        <v>5834</v>
      </c>
      <c r="D283" s="9">
        <v>46073</v>
      </c>
      <c r="E283" s="3">
        <v>1901.35</v>
      </c>
      <c r="F283" s="7" t="s">
        <v>6820</v>
      </c>
      <c r="H283" s="9"/>
    </row>
    <row r="284" spans="1:8" x14ac:dyDescent="0.3">
      <c r="A284" s="7" t="s">
        <v>7102</v>
      </c>
      <c r="B284" s="7" t="s">
        <v>274</v>
      </c>
      <c r="C284" s="7" t="s">
        <v>5835</v>
      </c>
      <c r="D284" s="9">
        <v>46055</v>
      </c>
      <c r="E284" s="3">
        <v>1338.43</v>
      </c>
      <c r="F284" s="7" t="s">
        <v>3174</v>
      </c>
      <c r="H284" s="9"/>
    </row>
    <row r="285" spans="1:8" x14ac:dyDescent="0.3">
      <c r="A285" s="7" t="s">
        <v>7103</v>
      </c>
      <c r="B285" s="7" t="s">
        <v>267</v>
      </c>
      <c r="C285" s="7" t="s">
        <v>5836</v>
      </c>
      <c r="D285" s="9">
        <v>46080</v>
      </c>
      <c r="E285" s="3">
        <v>3403.21</v>
      </c>
      <c r="F285" s="7" t="s">
        <v>3174</v>
      </c>
      <c r="H285" s="9"/>
    </row>
    <row r="286" spans="1:8" x14ac:dyDescent="0.3">
      <c r="A286" s="7" t="s">
        <v>7104</v>
      </c>
      <c r="B286" s="7" t="s">
        <v>323</v>
      </c>
      <c r="C286" s="7" t="s">
        <v>5837</v>
      </c>
      <c r="D286" s="9">
        <v>45979</v>
      </c>
      <c r="E286" s="3">
        <v>3812.29</v>
      </c>
      <c r="F286" s="7" t="s">
        <v>3184</v>
      </c>
      <c r="H286" s="9"/>
    </row>
    <row r="287" spans="1:8" x14ac:dyDescent="0.3">
      <c r="A287" s="7" t="s">
        <v>7105</v>
      </c>
      <c r="B287" s="7" t="s">
        <v>315</v>
      </c>
      <c r="C287" s="7" t="s">
        <v>5838</v>
      </c>
      <c r="D287" s="9">
        <v>46050</v>
      </c>
      <c r="E287" s="3">
        <v>1487.56</v>
      </c>
      <c r="F287" s="7" t="s">
        <v>3184</v>
      </c>
      <c r="H287" s="9"/>
    </row>
    <row r="288" spans="1:8" x14ac:dyDescent="0.3">
      <c r="A288" s="7" t="s">
        <v>7106</v>
      </c>
      <c r="B288" s="7" t="s">
        <v>261</v>
      </c>
      <c r="C288" s="7" t="s">
        <v>5841</v>
      </c>
      <c r="D288" s="9">
        <v>46016</v>
      </c>
      <c r="E288" s="3">
        <v>4349.1499999999996</v>
      </c>
      <c r="F288" s="7" t="s">
        <v>6820</v>
      </c>
      <c r="H288" s="9"/>
    </row>
    <row r="289" spans="1:8" x14ac:dyDescent="0.3">
      <c r="A289" s="7" t="s">
        <v>7107</v>
      </c>
      <c r="B289" s="7" t="s">
        <v>299</v>
      </c>
      <c r="C289" s="7" t="s">
        <v>5842</v>
      </c>
      <c r="D289" s="9">
        <v>46017</v>
      </c>
      <c r="E289" s="3">
        <v>3426.69</v>
      </c>
      <c r="F289" s="7" t="s">
        <v>3174</v>
      </c>
      <c r="H289" s="9"/>
    </row>
    <row r="290" spans="1:8" x14ac:dyDescent="0.3">
      <c r="A290" s="7" t="s">
        <v>7108</v>
      </c>
      <c r="B290" s="7" t="s">
        <v>283</v>
      </c>
      <c r="C290" s="7" t="s">
        <v>5843</v>
      </c>
      <c r="D290" s="9">
        <v>46035</v>
      </c>
      <c r="E290" s="3">
        <v>6115.82</v>
      </c>
      <c r="F290" s="7" t="s">
        <v>6820</v>
      </c>
      <c r="H290" s="9"/>
    </row>
    <row r="291" spans="1:8" x14ac:dyDescent="0.3">
      <c r="A291" s="7" t="s">
        <v>7109</v>
      </c>
      <c r="B291" s="7" t="s">
        <v>317</v>
      </c>
      <c r="C291" s="7" t="s">
        <v>5844</v>
      </c>
      <c r="D291" s="9">
        <v>46063</v>
      </c>
      <c r="E291" s="3">
        <v>1510.93</v>
      </c>
      <c r="F291" s="7" t="s">
        <v>3174</v>
      </c>
      <c r="H291" s="9"/>
    </row>
    <row r="292" spans="1:8" x14ac:dyDescent="0.3">
      <c r="A292" s="7" t="s">
        <v>7110</v>
      </c>
      <c r="B292" s="7" t="s">
        <v>297</v>
      </c>
      <c r="C292" s="7" t="s">
        <v>5845</v>
      </c>
      <c r="D292" s="9">
        <v>46039</v>
      </c>
      <c r="E292" s="3">
        <v>2555.31</v>
      </c>
      <c r="F292" s="7" t="s">
        <v>6820</v>
      </c>
      <c r="H292" s="9"/>
    </row>
    <row r="293" spans="1:8" x14ac:dyDescent="0.3">
      <c r="A293" s="7" t="s">
        <v>7111</v>
      </c>
      <c r="B293" s="7" t="s">
        <v>299</v>
      </c>
      <c r="C293" s="7" t="s">
        <v>5847</v>
      </c>
      <c r="D293" s="9">
        <v>46018</v>
      </c>
      <c r="E293" s="3">
        <v>6379.55</v>
      </c>
      <c r="F293" s="7" t="s">
        <v>3184</v>
      </c>
      <c r="H293" s="9"/>
    </row>
    <row r="294" spans="1:8" x14ac:dyDescent="0.3">
      <c r="A294" s="7" t="s">
        <v>7112</v>
      </c>
      <c r="B294" s="7" t="s">
        <v>323</v>
      </c>
      <c r="C294" s="7" t="s">
        <v>5848</v>
      </c>
      <c r="D294" s="9">
        <v>45957</v>
      </c>
      <c r="E294" s="3">
        <v>1907.8</v>
      </c>
      <c r="F294" s="7" t="s">
        <v>3184</v>
      </c>
      <c r="H294" s="9"/>
    </row>
    <row r="295" spans="1:8" x14ac:dyDescent="0.3">
      <c r="A295" s="7" t="s">
        <v>7113</v>
      </c>
      <c r="B295" s="7" t="s">
        <v>311</v>
      </c>
      <c r="C295" s="7" t="s">
        <v>5849</v>
      </c>
      <c r="D295" s="9">
        <v>46078</v>
      </c>
      <c r="E295" s="3">
        <v>3754.97</v>
      </c>
      <c r="F295" s="7" t="s">
        <v>6820</v>
      </c>
      <c r="H295" s="9"/>
    </row>
    <row r="296" spans="1:8" x14ac:dyDescent="0.3">
      <c r="A296" s="7" t="s">
        <v>7114</v>
      </c>
      <c r="B296" s="7" t="s">
        <v>319</v>
      </c>
      <c r="C296" s="7" t="s">
        <v>5850</v>
      </c>
      <c r="D296" s="9">
        <v>46044</v>
      </c>
      <c r="E296" s="3">
        <v>6123.65</v>
      </c>
      <c r="F296" s="7" t="s">
        <v>3184</v>
      </c>
      <c r="H296" s="9"/>
    </row>
    <row r="297" spans="1:8" x14ac:dyDescent="0.3">
      <c r="A297" s="7" t="s">
        <v>7115</v>
      </c>
      <c r="B297" s="7" t="s">
        <v>319</v>
      </c>
      <c r="C297" s="7" t="s">
        <v>5852</v>
      </c>
      <c r="D297" s="9">
        <v>45959</v>
      </c>
      <c r="E297" s="3">
        <v>5814.88</v>
      </c>
      <c r="F297" s="7" t="s">
        <v>6820</v>
      </c>
      <c r="H297" s="9"/>
    </row>
    <row r="298" spans="1:8" x14ac:dyDescent="0.3">
      <c r="A298" s="7" t="s">
        <v>7116</v>
      </c>
      <c r="B298" s="7" t="s">
        <v>276</v>
      </c>
      <c r="C298" s="7" t="s">
        <v>5853</v>
      </c>
      <c r="D298" s="9">
        <v>46003</v>
      </c>
      <c r="E298" s="3">
        <v>3971.9</v>
      </c>
      <c r="F298" s="7" t="s">
        <v>3174</v>
      </c>
      <c r="H298" s="9"/>
    </row>
    <row r="299" spans="1:8" x14ac:dyDescent="0.3">
      <c r="A299" s="7" t="s">
        <v>7117</v>
      </c>
      <c r="B299" s="7" t="s">
        <v>343</v>
      </c>
      <c r="C299" s="7" t="s">
        <v>5854</v>
      </c>
      <c r="D299" s="9">
        <v>46050</v>
      </c>
      <c r="E299" s="3">
        <v>4616.07</v>
      </c>
      <c r="F299" s="7" t="s">
        <v>3184</v>
      </c>
      <c r="H299" s="9"/>
    </row>
    <row r="300" spans="1:8" x14ac:dyDescent="0.3">
      <c r="A300" s="7" t="s">
        <v>7118</v>
      </c>
      <c r="B300" s="7" t="s">
        <v>287</v>
      </c>
      <c r="C300" s="7" t="s">
        <v>5855</v>
      </c>
      <c r="D300" s="9">
        <v>46079</v>
      </c>
      <c r="E300" s="3">
        <v>1055.29</v>
      </c>
      <c r="F300" s="7" t="s">
        <v>3184</v>
      </c>
      <c r="H300" s="9"/>
    </row>
    <row r="301" spans="1:8" x14ac:dyDescent="0.3">
      <c r="A301" s="7" t="s">
        <v>7119</v>
      </c>
      <c r="B301" s="7" t="s">
        <v>285</v>
      </c>
      <c r="C301" s="7" t="s">
        <v>5857</v>
      </c>
      <c r="D301" s="9">
        <v>46095</v>
      </c>
      <c r="E301" s="3">
        <v>2157.9499999999998</v>
      </c>
      <c r="F301" s="7" t="s">
        <v>3174</v>
      </c>
      <c r="H301" s="9"/>
    </row>
    <row r="302" spans="1:8" x14ac:dyDescent="0.3">
      <c r="A302" s="7" t="s">
        <v>7120</v>
      </c>
      <c r="B302" s="7" t="s">
        <v>289</v>
      </c>
      <c r="C302" s="7" t="s">
        <v>5858</v>
      </c>
      <c r="D302" s="9">
        <v>46039</v>
      </c>
      <c r="E302" s="3">
        <v>3906.1</v>
      </c>
      <c r="F302" s="7" t="s">
        <v>3174</v>
      </c>
      <c r="H302" s="9"/>
    </row>
    <row r="303" spans="1:8" x14ac:dyDescent="0.3">
      <c r="A303" s="7" t="s">
        <v>7121</v>
      </c>
      <c r="B303" s="7" t="s">
        <v>337</v>
      </c>
      <c r="C303" s="7" t="s">
        <v>5859</v>
      </c>
      <c r="D303" s="9">
        <v>46038</v>
      </c>
      <c r="E303" s="3">
        <v>5517.3</v>
      </c>
      <c r="F303" s="7" t="s">
        <v>3184</v>
      </c>
      <c r="H303" s="9"/>
    </row>
    <row r="304" spans="1:8" x14ac:dyDescent="0.3">
      <c r="A304" s="7" t="s">
        <v>7122</v>
      </c>
      <c r="B304" s="7" t="s">
        <v>333</v>
      </c>
      <c r="C304" s="7" t="s">
        <v>5860</v>
      </c>
      <c r="D304" s="9">
        <v>46017</v>
      </c>
      <c r="E304" s="3">
        <v>3092.28</v>
      </c>
      <c r="F304" s="7" t="s">
        <v>3184</v>
      </c>
      <c r="H304" s="9"/>
    </row>
    <row r="305" spans="1:8" x14ac:dyDescent="0.3">
      <c r="A305" s="7" t="s">
        <v>7123</v>
      </c>
      <c r="B305" s="7" t="s">
        <v>317</v>
      </c>
      <c r="C305" s="7" t="s">
        <v>5861</v>
      </c>
      <c r="D305" s="9">
        <v>46059</v>
      </c>
      <c r="E305" s="3">
        <v>4268.3500000000004</v>
      </c>
      <c r="F305" s="7" t="s">
        <v>6820</v>
      </c>
      <c r="H305" s="9"/>
    </row>
    <row r="306" spans="1:8" x14ac:dyDescent="0.3">
      <c r="A306" s="7" t="s">
        <v>7124</v>
      </c>
      <c r="B306" s="7" t="s">
        <v>287</v>
      </c>
      <c r="C306" s="7" t="s">
        <v>5862</v>
      </c>
      <c r="D306" s="9">
        <v>45969</v>
      </c>
      <c r="E306" s="3">
        <v>2026.73</v>
      </c>
      <c r="F306" s="7" t="s">
        <v>6820</v>
      </c>
      <c r="H306" s="9"/>
    </row>
    <row r="307" spans="1:8" x14ac:dyDescent="0.3">
      <c r="A307" s="7" t="s">
        <v>7125</v>
      </c>
      <c r="B307" s="7" t="s">
        <v>325</v>
      </c>
      <c r="C307" s="7" t="s">
        <v>5865</v>
      </c>
      <c r="D307" s="9">
        <v>46020</v>
      </c>
      <c r="E307" s="3">
        <v>5399.89</v>
      </c>
      <c r="F307" s="7" t="s">
        <v>3174</v>
      </c>
      <c r="H307" s="9"/>
    </row>
    <row r="308" spans="1:8" x14ac:dyDescent="0.3">
      <c r="A308" s="7" t="s">
        <v>7126</v>
      </c>
      <c r="B308" s="7" t="s">
        <v>267</v>
      </c>
      <c r="C308" s="7" t="s">
        <v>5867</v>
      </c>
      <c r="D308" s="9">
        <v>46021</v>
      </c>
      <c r="E308" s="3">
        <v>4405.62</v>
      </c>
      <c r="F308" s="7" t="s">
        <v>3184</v>
      </c>
      <c r="H308" s="9"/>
    </row>
    <row r="309" spans="1:8" x14ac:dyDescent="0.3">
      <c r="A309" s="7" t="s">
        <v>7127</v>
      </c>
      <c r="B309" s="7" t="s">
        <v>297</v>
      </c>
      <c r="C309" s="7" t="s">
        <v>5868</v>
      </c>
      <c r="D309" s="9">
        <v>45971</v>
      </c>
      <c r="E309" s="3">
        <v>4966.16</v>
      </c>
      <c r="F309" s="7" t="s">
        <v>3184</v>
      </c>
      <c r="H309" s="9"/>
    </row>
    <row r="310" spans="1:8" x14ac:dyDescent="0.3">
      <c r="A310" s="7" t="s">
        <v>7128</v>
      </c>
      <c r="B310" s="7" t="s">
        <v>317</v>
      </c>
      <c r="C310" s="7" t="s">
        <v>5869</v>
      </c>
      <c r="D310" s="9">
        <v>45991</v>
      </c>
      <c r="E310" s="3">
        <v>5369.64</v>
      </c>
      <c r="F310" s="7" t="s">
        <v>6820</v>
      </c>
      <c r="H310" s="9"/>
    </row>
    <row r="311" spans="1:8" x14ac:dyDescent="0.3">
      <c r="A311" s="7" t="s">
        <v>7129</v>
      </c>
      <c r="B311" s="7" t="s">
        <v>331</v>
      </c>
      <c r="C311" s="7" t="s">
        <v>5870</v>
      </c>
      <c r="D311" s="9">
        <v>45975</v>
      </c>
      <c r="E311" s="3">
        <v>2423.9299999999998</v>
      </c>
      <c r="F311" s="7" t="s">
        <v>3184</v>
      </c>
      <c r="H311" s="9"/>
    </row>
    <row r="312" spans="1:8" x14ac:dyDescent="0.3">
      <c r="A312" s="7" t="s">
        <v>7130</v>
      </c>
      <c r="B312" s="7" t="s">
        <v>309</v>
      </c>
      <c r="C312" s="7" t="s">
        <v>5872</v>
      </c>
      <c r="D312" s="9">
        <v>45996</v>
      </c>
      <c r="E312" s="3">
        <v>6246.52</v>
      </c>
      <c r="F312" s="7" t="s">
        <v>3174</v>
      </c>
      <c r="H312" s="9"/>
    </row>
    <row r="313" spans="1:8" x14ac:dyDescent="0.3">
      <c r="A313" s="7" t="s">
        <v>7131</v>
      </c>
      <c r="B313" s="7" t="s">
        <v>281</v>
      </c>
      <c r="C313" s="7" t="s">
        <v>5873</v>
      </c>
      <c r="D313" s="9">
        <v>46068</v>
      </c>
      <c r="E313" s="3">
        <v>5012.51</v>
      </c>
      <c r="F313" s="7" t="s">
        <v>6820</v>
      </c>
      <c r="H313" s="9"/>
    </row>
    <row r="314" spans="1:8" x14ac:dyDescent="0.3">
      <c r="A314" s="7" t="s">
        <v>7132</v>
      </c>
      <c r="B314" s="7" t="s">
        <v>269</v>
      </c>
      <c r="C314" s="7" t="s">
        <v>5877</v>
      </c>
      <c r="D314" s="9">
        <v>46051</v>
      </c>
      <c r="E314" s="3">
        <v>1724.75</v>
      </c>
      <c r="F314" s="7" t="s">
        <v>3184</v>
      </c>
      <c r="H314" s="9"/>
    </row>
    <row r="315" spans="1:8" x14ac:dyDescent="0.3">
      <c r="A315" s="7" t="s">
        <v>7133</v>
      </c>
      <c r="B315" s="7" t="s">
        <v>337</v>
      </c>
      <c r="C315" s="7" t="s">
        <v>5878</v>
      </c>
      <c r="D315" s="9">
        <v>46006</v>
      </c>
      <c r="E315" s="3">
        <v>6027.36</v>
      </c>
      <c r="F315" s="7" t="s">
        <v>6820</v>
      </c>
      <c r="H315" s="9"/>
    </row>
    <row r="316" spans="1:8" x14ac:dyDescent="0.3">
      <c r="A316" s="7" t="s">
        <v>7134</v>
      </c>
      <c r="B316" s="7" t="s">
        <v>307</v>
      </c>
      <c r="C316" s="7" t="s">
        <v>5879</v>
      </c>
      <c r="D316" s="9">
        <v>46045</v>
      </c>
      <c r="E316" s="3">
        <v>1054.26</v>
      </c>
      <c r="F316" s="7" t="s">
        <v>3174</v>
      </c>
      <c r="H316" s="9"/>
    </row>
    <row r="317" spans="1:8" x14ac:dyDescent="0.3">
      <c r="A317" s="7" t="s">
        <v>7135</v>
      </c>
      <c r="B317" s="7" t="s">
        <v>295</v>
      </c>
      <c r="C317" s="7" t="s">
        <v>5883</v>
      </c>
      <c r="D317" s="9">
        <v>46059</v>
      </c>
      <c r="E317" s="3">
        <v>2109.9</v>
      </c>
      <c r="F317" s="7" t="s">
        <v>3174</v>
      </c>
      <c r="H317" s="9"/>
    </row>
    <row r="318" spans="1:8" x14ac:dyDescent="0.3">
      <c r="A318" s="7" t="s">
        <v>7136</v>
      </c>
      <c r="B318" s="7" t="s">
        <v>291</v>
      </c>
      <c r="C318" s="7" t="s">
        <v>5884</v>
      </c>
      <c r="D318" s="9">
        <v>46092</v>
      </c>
      <c r="E318" s="3">
        <v>937.97</v>
      </c>
      <c r="F318" s="7" t="s">
        <v>3184</v>
      </c>
      <c r="H318" s="9"/>
    </row>
    <row r="319" spans="1:8" x14ac:dyDescent="0.3">
      <c r="A319" s="7" t="s">
        <v>7137</v>
      </c>
      <c r="B319" s="7" t="s">
        <v>335</v>
      </c>
      <c r="C319" s="7" t="s">
        <v>5885</v>
      </c>
      <c r="D319" s="9">
        <v>46078</v>
      </c>
      <c r="E319" s="3">
        <v>6584.7</v>
      </c>
      <c r="F319" s="7" t="s">
        <v>3184</v>
      </c>
      <c r="H319" s="9"/>
    </row>
    <row r="320" spans="1:8" x14ac:dyDescent="0.3">
      <c r="A320" s="7" t="s">
        <v>7138</v>
      </c>
      <c r="B320" s="7" t="s">
        <v>317</v>
      </c>
      <c r="C320" s="7" t="s">
        <v>5886</v>
      </c>
      <c r="D320" s="9">
        <v>45990</v>
      </c>
      <c r="E320" s="3">
        <v>6304.69</v>
      </c>
      <c r="F320" s="7" t="s">
        <v>6820</v>
      </c>
      <c r="H320" s="9"/>
    </row>
    <row r="321" spans="1:8" x14ac:dyDescent="0.3">
      <c r="A321" s="7" t="s">
        <v>7139</v>
      </c>
      <c r="B321" s="7" t="s">
        <v>299</v>
      </c>
      <c r="C321" s="7" t="s">
        <v>5887</v>
      </c>
      <c r="D321" s="9">
        <v>46032</v>
      </c>
      <c r="E321" s="3">
        <v>5611.83</v>
      </c>
      <c r="F321" s="7" t="s">
        <v>3174</v>
      </c>
      <c r="H321" s="9"/>
    </row>
    <row r="322" spans="1:8" x14ac:dyDescent="0.3">
      <c r="A322" s="7" t="s">
        <v>7140</v>
      </c>
      <c r="B322" s="7" t="s">
        <v>321</v>
      </c>
      <c r="C322" s="7" t="s">
        <v>5888</v>
      </c>
      <c r="D322" s="9">
        <v>45996</v>
      </c>
      <c r="E322" s="3">
        <v>3950.13</v>
      </c>
      <c r="F322" s="7" t="s">
        <v>6820</v>
      </c>
      <c r="H322" s="9"/>
    </row>
    <row r="323" spans="1:8" x14ac:dyDescent="0.3">
      <c r="A323" s="7" t="s">
        <v>7141</v>
      </c>
      <c r="B323" s="7" t="s">
        <v>329</v>
      </c>
      <c r="C323" s="7" t="s">
        <v>5889</v>
      </c>
      <c r="D323" s="9">
        <v>46014</v>
      </c>
      <c r="E323" s="3">
        <v>5511.55</v>
      </c>
      <c r="F323" s="7" t="s">
        <v>3174</v>
      </c>
      <c r="H323" s="9"/>
    </row>
    <row r="324" spans="1:8" x14ac:dyDescent="0.3">
      <c r="A324" s="7" t="s">
        <v>7142</v>
      </c>
      <c r="B324" s="7" t="s">
        <v>313</v>
      </c>
      <c r="C324" s="7" t="s">
        <v>5890</v>
      </c>
      <c r="D324" s="9">
        <v>46074</v>
      </c>
      <c r="E324" s="3">
        <v>3718.51</v>
      </c>
      <c r="F324" s="7" t="s">
        <v>3174</v>
      </c>
      <c r="H324" s="9"/>
    </row>
    <row r="325" spans="1:8" x14ac:dyDescent="0.3">
      <c r="A325" s="7" t="s">
        <v>7143</v>
      </c>
      <c r="B325" s="7" t="s">
        <v>303</v>
      </c>
      <c r="C325" s="7" t="s">
        <v>5891</v>
      </c>
      <c r="D325" s="9">
        <v>46078</v>
      </c>
      <c r="E325" s="3">
        <v>5014.37</v>
      </c>
      <c r="F325" s="7" t="s">
        <v>3174</v>
      </c>
      <c r="H325" s="9"/>
    </row>
    <row r="326" spans="1:8" x14ac:dyDescent="0.3">
      <c r="A326" s="7" t="s">
        <v>7144</v>
      </c>
      <c r="B326" s="7" t="s">
        <v>343</v>
      </c>
      <c r="C326" s="7" t="s">
        <v>5892</v>
      </c>
      <c r="D326" s="9">
        <v>45981</v>
      </c>
      <c r="E326" s="3">
        <v>6184.44</v>
      </c>
      <c r="F326" s="7" t="s">
        <v>6820</v>
      </c>
      <c r="H326" s="9"/>
    </row>
    <row r="327" spans="1:8" x14ac:dyDescent="0.3">
      <c r="A327" s="7" t="s">
        <v>7145</v>
      </c>
      <c r="B327" s="7" t="s">
        <v>264</v>
      </c>
      <c r="C327" s="7" t="s">
        <v>5893</v>
      </c>
      <c r="D327" s="9">
        <v>46048</v>
      </c>
      <c r="E327" s="3">
        <v>5399.72</v>
      </c>
      <c r="F327" s="7" t="s">
        <v>3184</v>
      </c>
      <c r="H327" s="9"/>
    </row>
    <row r="328" spans="1:8" x14ac:dyDescent="0.3">
      <c r="A328" s="7" t="s">
        <v>7146</v>
      </c>
      <c r="B328" s="7" t="s">
        <v>264</v>
      </c>
      <c r="C328" s="7" t="s">
        <v>5894</v>
      </c>
      <c r="D328" s="9">
        <v>46086</v>
      </c>
      <c r="E328" s="3">
        <v>6031.82</v>
      </c>
      <c r="F328" s="7" t="s">
        <v>3184</v>
      </c>
      <c r="H328" s="9"/>
    </row>
    <row r="329" spans="1:8" x14ac:dyDescent="0.3">
      <c r="A329" s="7" t="s">
        <v>7147</v>
      </c>
      <c r="B329" s="7" t="s">
        <v>281</v>
      </c>
      <c r="C329" s="7" t="s">
        <v>5895</v>
      </c>
      <c r="D329" s="9">
        <v>45962</v>
      </c>
      <c r="E329" s="3">
        <v>5936.3</v>
      </c>
      <c r="F329" s="7" t="s">
        <v>3174</v>
      </c>
      <c r="H329" s="9"/>
    </row>
    <row r="330" spans="1:8" x14ac:dyDescent="0.3">
      <c r="A330" s="7" t="s">
        <v>7148</v>
      </c>
      <c r="B330" s="7" t="s">
        <v>315</v>
      </c>
      <c r="C330" s="7" t="s">
        <v>5897</v>
      </c>
      <c r="D330" s="9">
        <v>46001</v>
      </c>
      <c r="E330" s="3">
        <v>5033.32</v>
      </c>
      <c r="F330" s="7" t="s">
        <v>6820</v>
      </c>
      <c r="H330" s="9"/>
    </row>
    <row r="331" spans="1:8" x14ac:dyDescent="0.3">
      <c r="A331" s="7" t="s">
        <v>7149</v>
      </c>
      <c r="B331" s="7" t="s">
        <v>291</v>
      </c>
      <c r="C331" s="7" t="s">
        <v>5898</v>
      </c>
      <c r="D331" s="9">
        <v>46042</v>
      </c>
      <c r="E331" s="3">
        <v>1958.28</v>
      </c>
      <c r="F331" s="7" t="s">
        <v>3184</v>
      </c>
      <c r="H331" s="9"/>
    </row>
    <row r="332" spans="1:8" x14ac:dyDescent="0.3">
      <c r="A332" s="7" t="s">
        <v>7150</v>
      </c>
      <c r="B332" s="7" t="s">
        <v>329</v>
      </c>
      <c r="C332" s="7" t="s">
        <v>5901</v>
      </c>
      <c r="D332" s="9">
        <v>45970</v>
      </c>
      <c r="E332" s="3">
        <v>6003.69</v>
      </c>
      <c r="F332" s="7" t="s">
        <v>6820</v>
      </c>
      <c r="H332" s="9"/>
    </row>
    <row r="333" spans="1:8" x14ac:dyDescent="0.3">
      <c r="A333" s="7" t="s">
        <v>7151</v>
      </c>
      <c r="B333" s="7" t="s">
        <v>285</v>
      </c>
      <c r="C333" s="7" t="s">
        <v>5902</v>
      </c>
      <c r="D333" s="9">
        <v>46058</v>
      </c>
      <c r="E333" s="3">
        <v>3841.34</v>
      </c>
      <c r="F333" s="7" t="s">
        <v>3184</v>
      </c>
      <c r="H333" s="9"/>
    </row>
    <row r="334" spans="1:8" x14ac:dyDescent="0.3">
      <c r="A334" s="7" t="s">
        <v>7152</v>
      </c>
      <c r="B334" s="7" t="s">
        <v>319</v>
      </c>
      <c r="C334" s="7" t="s">
        <v>5905</v>
      </c>
      <c r="D334" s="9">
        <v>45976</v>
      </c>
      <c r="E334" s="3">
        <v>5898.62</v>
      </c>
      <c r="F334" s="7" t="s">
        <v>6820</v>
      </c>
      <c r="H334" s="9"/>
    </row>
    <row r="335" spans="1:8" x14ac:dyDescent="0.3">
      <c r="A335" s="7" t="s">
        <v>7153</v>
      </c>
      <c r="B335" s="7" t="s">
        <v>315</v>
      </c>
      <c r="C335" s="7" t="s">
        <v>5906</v>
      </c>
      <c r="D335" s="9">
        <v>46078</v>
      </c>
      <c r="E335" s="3">
        <v>4441.34</v>
      </c>
      <c r="F335" s="7" t="s">
        <v>6820</v>
      </c>
      <c r="H335" s="9"/>
    </row>
    <row r="336" spans="1:8" x14ac:dyDescent="0.3">
      <c r="A336" s="7" t="s">
        <v>7154</v>
      </c>
      <c r="B336" s="7" t="s">
        <v>295</v>
      </c>
      <c r="C336" s="7" t="s">
        <v>5908</v>
      </c>
      <c r="D336" s="9">
        <v>46061</v>
      </c>
      <c r="E336" s="3">
        <v>6737.38</v>
      </c>
      <c r="F336" s="7" t="s">
        <v>3184</v>
      </c>
      <c r="H336" s="9"/>
    </row>
    <row r="337" spans="1:8" x14ac:dyDescent="0.3">
      <c r="A337" s="7" t="s">
        <v>7155</v>
      </c>
      <c r="B337" s="7" t="s">
        <v>264</v>
      </c>
      <c r="C337" s="7" t="s">
        <v>5909</v>
      </c>
      <c r="D337" s="9">
        <v>46028</v>
      </c>
      <c r="E337" s="3">
        <v>1500.32</v>
      </c>
      <c r="F337" s="7" t="s">
        <v>6820</v>
      </c>
      <c r="H337" s="9"/>
    </row>
    <row r="338" spans="1:8" x14ac:dyDescent="0.3">
      <c r="A338" s="7" t="s">
        <v>7156</v>
      </c>
      <c r="B338" s="7" t="s">
        <v>295</v>
      </c>
      <c r="C338" s="7" t="s">
        <v>5914</v>
      </c>
      <c r="D338" s="9">
        <v>46056</v>
      </c>
      <c r="E338" s="3">
        <v>5832.68</v>
      </c>
      <c r="F338" s="7" t="s">
        <v>3174</v>
      </c>
      <c r="H338" s="9"/>
    </row>
    <row r="339" spans="1:8" x14ac:dyDescent="0.3">
      <c r="A339" s="7" t="s">
        <v>7157</v>
      </c>
      <c r="B339" s="7" t="s">
        <v>272</v>
      </c>
      <c r="C339" s="7" t="s">
        <v>5915</v>
      </c>
      <c r="D339" s="9">
        <v>45998</v>
      </c>
      <c r="E339" s="3">
        <v>3688.63</v>
      </c>
      <c r="F339" s="7" t="s">
        <v>3174</v>
      </c>
      <c r="H339" s="9"/>
    </row>
    <row r="340" spans="1:8" x14ac:dyDescent="0.3">
      <c r="A340" s="7" t="s">
        <v>7158</v>
      </c>
      <c r="B340" s="7" t="s">
        <v>329</v>
      </c>
      <c r="C340" s="7" t="s">
        <v>5916</v>
      </c>
      <c r="D340" s="9">
        <v>45980</v>
      </c>
      <c r="E340" s="3">
        <v>6132.2</v>
      </c>
      <c r="F340" s="7" t="s">
        <v>6820</v>
      </c>
      <c r="H340" s="9"/>
    </row>
    <row r="341" spans="1:8" x14ac:dyDescent="0.3">
      <c r="A341" s="7" t="s">
        <v>7159</v>
      </c>
      <c r="B341" s="7" t="s">
        <v>299</v>
      </c>
      <c r="C341" s="7" t="s">
        <v>5917</v>
      </c>
      <c r="D341" s="9">
        <v>46026</v>
      </c>
      <c r="E341" s="3">
        <v>4912.6099999999997</v>
      </c>
      <c r="F341" s="7" t="s">
        <v>6820</v>
      </c>
      <c r="H341" s="9"/>
    </row>
    <row r="342" spans="1:8" x14ac:dyDescent="0.3">
      <c r="A342" s="7" t="s">
        <v>7160</v>
      </c>
      <c r="B342" s="7" t="s">
        <v>313</v>
      </c>
      <c r="C342" s="7" t="s">
        <v>5919</v>
      </c>
      <c r="D342" s="9">
        <v>46027</v>
      </c>
      <c r="E342" s="3">
        <v>4833.05</v>
      </c>
      <c r="F342" s="7" t="s">
        <v>6820</v>
      </c>
      <c r="H342" s="9"/>
    </row>
    <row r="343" spans="1:8" x14ac:dyDescent="0.3">
      <c r="A343" s="7" t="s">
        <v>7161</v>
      </c>
      <c r="B343" s="7" t="s">
        <v>283</v>
      </c>
      <c r="C343" s="7" t="s">
        <v>5920</v>
      </c>
      <c r="D343" s="9">
        <v>45990</v>
      </c>
      <c r="E343" s="3">
        <v>6387.77</v>
      </c>
      <c r="F343" s="7" t="s">
        <v>3174</v>
      </c>
      <c r="H343" s="9"/>
    </row>
    <row r="344" spans="1:8" x14ac:dyDescent="0.3">
      <c r="A344" s="7" t="s">
        <v>7162</v>
      </c>
      <c r="B344" s="7" t="s">
        <v>261</v>
      </c>
      <c r="C344" s="7" t="s">
        <v>5921</v>
      </c>
      <c r="D344" s="9">
        <v>45977</v>
      </c>
      <c r="E344" s="3">
        <v>2038.22</v>
      </c>
      <c r="F344" s="7" t="s">
        <v>3184</v>
      </c>
      <c r="H344" s="9"/>
    </row>
    <row r="345" spans="1:8" x14ac:dyDescent="0.3">
      <c r="A345" s="7" t="s">
        <v>7163</v>
      </c>
      <c r="B345" s="7" t="s">
        <v>325</v>
      </c>
      <c r="C345" s="7" t="s">
        <v>5922</v>
      </c>
      <c r="D345" s="9">
        <v>46060</v>
      </c>
      <c r="E345" s="3">
        <v>1137.28</v>
      </c>
      <c r="F345" s="7" t="s">
        <v>6820</v>
      </c>
      <c r="H345" s="9"/>
    </row>
    <row r="346" spans="1:8" x14ac:dyDescent="0.3">
      <c r="A346" s="7" t="s">
        <v>7164</v>
      </c>
      <c r="B346" s="7" t="s">
        <v>329</v>
      </c>
      <c r="C346" s="7" t="s">
        <v>5924</v>
      </c>
      <c r="D346" s="9">
        <v>46041</v>
      </c>
      <c r="E346" s="3">
        <v>4700.4399999999996</v>
      </c>
      <c r="F346" s="7" t="s">
        <v>3174</v>
      </c>
      <c r="H346" s="9"/>
    </row>
    <row r="347" spans="1:8" x14ac:dyDescent="0.3">
      <c r="A347" s="7" t="s">
        <v>7165</v>
      </c>
      <c r="B347" s="7" t="s">
        <v>323</v>
      </c>
      <c r="C347" s="7" t="s">
        <v>5925</v>
      </c>
      <c r="D347" s="9">
        <v>46077</v>
      </c>
      <c r="E347" s="3">
        <v>1787.87</v>
      </c>
      <c r="F347" s="7" t="s">
        <v>6820</v>
      </c>
      <c r="H347" s="9"/>
    </row>
    <row r="348" spans="1:8" x14ac:dyDescent="0.3">
      <c r="A348" s="7" t="s">
        <v>7166</v>
      </c>
      <c r="B348" s="7" t="s">
        <v>317</v>
      </c>
      <c r="C348" s="7" t="s">
        <v>5926</v>
      </c>
      <c r="D348" s="9">
        <v>46043</v>
      </c>
      <c r="E348" s="3">
        <v>4211.66</v>
      </c>
      <c r="F348" s="7" t="s">
        <v>6820</v>
      </c>
      <c r="H348" s="9"/>
    </row>
    <row r="349" spans="1:8" x14ac:dyDescent="0.3">
      <c r="A349" s="7" t="s">
        <v>7167</v>
      </c>
      <c r="B349" s="7" t="s">
        <v>303</v>
      </c>
      <c r="C349" s="7" t="s">
        <v>5927</v>
      </c>
      <c r="D349" s="9">
        <v>46040</v>
      </c>
      <c r="E349" s="3">
        <v>6023.17</v>
      </c>
      <c r="F349" s="7" t="s">
        <v>6820</v>
      </c>
      <c r="H349" s="9"/>
    </row>
    <row r="350" spans="1:8" x14ac:dyDescent="0.3">
      <c r="A350" s="7" t="s">
        <v>7168</v>
      </c>
      <c r="B350" s="7" t="s">
        <v>264</v>
      </c>
      <c r="C350" s="7" t="s">
        <v>5928</v>
      </c>
      <c r="D350" s="9">
        <v>46021</v>
      </c>
      <c r="E350" s="3">
        <v>3637.39</v>
      </c>
      <c r="F350" s="7" t="s">
        <v>3184</v>
      </c>
      <c r="H350" s="9"/>
    </row>
    <row r="351" spans="1:8" x14ac:dyDescent="0.3">
      <c r="A351" s="7" t="s">
        <v>7169</v>
      </c>
      <c r="B351" s="7" t="s">
        <v>307</v>
      </c>
      <c r="C351" s="7" t="s">
        <v>5929</v>
      </c>
      <c r="D351" s="9">
        <v>46034</v>
      </c>
      <c r="E351" s="3">
        <v>6698.74</v>
      </c>
      <c r="F351" s="7" t="s">
        <v>6820</v>
      </c>
      <c r="H351" s="9"/>
    </row>
    <row r="352" spans="1:8" x14ac:dyDescent="0.3">
      <c r="A352" s="7" t="s">
        <v>7170</v>
      </c>
      <c r="B352" s="7" t="s">
        <v>299</v>
      </c>
      <c r="C352" s="7" t="s">
        <v>5930</v>
      </c>
      <c r="D352" s="9">
        <v>46084</v>
      </c>
      <c r="E352" s="3">
        <v>1350.67</v>
      </c>
      <c r="F352" s="7" t="s">
        <v>6820</v>
      </c>
      <c r="H352" s="9"/>
    </row>
    <row r="353" spans="1:8" x14ac:dyDescent="0.3">
      <c r="A353" s="7" t="s">
        <v>7171</v>
      </c>
      <c r="B353" s="7" t="s">
        <v>279</v>
      </c>
      <c r="C353" s="7" t="s">
        <v>5932</v>
      </c>
      <c r="D353" s="9">
        <v>45981</v>
      </c>
      <c r="E353" s="3">
        <v>1863.24</v>
      </c>
      <c r="F353" s="7" t="s">
        <v>6820</v>
      </c>
      <c r="H353" s="9"/>
    </row>
    <row r="354" spans="1:8" x14ac:dyDescent="0.3">
      <c r="A354" s="7" t="s">
        <v>7172</v>
      </c>
      <c r="B354" s="7" t="s">
        <v>261</v>
      </c>
      <c r="C354" s="7" t="s">
        <v>5933</v>
      </c>
      <c r="D354" s="9">
        <v>46032</v>
      </c>
      <c r="E354" s="3">
        <v>4256.3100000000004</v>
      </c>
      <c r="F354" s="7" t="s">
        <v>3184</v>
      </c>
      <c r="H354" s="9"/>
    </row>
    <row r="355" spans="1:8" x14ac:dyDescent="0.3">
      <c r="A355" s="7" t="s">
        <v>7173</v>
      </c>
      <c r="B355" s="7" t="s">
        <v>295</v>
      </c>
      <c r="C355" s="7" t="s">
        <v>5934</v>
      </c>
      <c r="D355" s="9">
        <v>45966</v>
      </c>
      <c r="E355" s="3">
        <v>4674.38</v>
      </c>
      <c r="F355" s="7" t="s">
        <v>3174</v>
      </c>
      <c r="H355" s="9"/>
    </row>
    <row r="356" spans="1:8" x14ac:dyDescent="0.3">
      <c r="A356" s="7" t="s">
        <v>7174</v>
      </c>
      <c r="B356" s="7" t="s">
        <v>287</v>
      </c>
      <c r="C356" s="7" t="s">
        <v>5937</v>
      </c>
      <c r="D356" s="9">
        <v>46053</v>
      </c>
      <c r="E356" s="3">
        <v>4779.9399999999996</v>
      </c>
      <c r="F356" s="7" t="s">
        <v>3184</v>
      </c>
      <c r="H356" s="9"/>
    </row>
    <row r="357" spans="1:8" x14ac:dyDescent="0.3">
      <c r="A357" s="7" t="s">
        <v>7175</v>
      </c>
      <c r="B357" s="7" t="s">
        <v>327</v>
      </c>
      <c r="C357" s="7" t="s">
        <v>5938</v>
      </c>
      <c r="D357" s="9">
        <v>46009</v>
      </c>
      <c r="E357" s="3">
        <v>6379.94</v>
      </c>
      <c r="F357" s="7" t="s">
        <v>3184</v>
      </c>
      <c r="H357" s="9"/>
    </row>
    <row r="358" spans="1:8" x14ac:dyDescent="0.3">
      <c r="A358" s="7" t="s">
        <v>7176</v>
      </c>
      <c r="B358" s="7" t="s">
        <v>285</v>
      </c>
      <c r="C358" s="7" t="s">
        <v>5940</v>
      </c>
      <c r="D358" s="9">
        <v>46067</v>
      </c>
      <c r="E358" s="3">
        <v>4877.3</v>
      </c>
      <c r="F358" s="7" t="s">
        <v>3174</v>
      </c>
      <c r="H358" s="9"/>
    </row>
    <row r="359" spans="1:8" x14ac:dyDescent="0.3">
      <c r="A359" s="7" t="s">
        <v>7177</v>
      </c>
      <c r="B359" s="7" t="s">
        <v>323</v>
      </c>
      <c r="C359" s="7" t="s">
        <v>5942</v>
      </c>
      <c r="D359" s="9">
        <v>46059</v>
      </c>
      <c r="E359" s="3">
        <v>3058.24</v>
      </c>
      <c r="F359" s="7" t="s">
        <v>6820</v>
      </c>
      <c r="H359" s="9"/>
    </row>
    <row r="360" spans="1:8" x14ac:dyDescent="0.3">
      <c r="A360" s="7" t="s">
        <v>7178</v>
      </c>
      <c r="B360" s="7" t="s">
        <v>295</v>
      </c>
      <c r="C360" s="7" t="s">
        <v>5944</v>
      </c>
      <c r="D360" s="9">
        <v>46085</v>
      </c>
      <c r="E360" s="3">
        <v>4582.28</v>
      </c>
      <c r="F360" s="7" t="s">
        <v>3174</v>
      </c>
      <c r="H360" s="9"/>
    </row>
    <row r="361" spans="1:8" x14ac:dyDescent="0.3">
      <c r="A361" s="7" t="s">
        <v>7179</v>
      </c>
      <c r="B361" s="7" t="s">
        <v>281</v>
      </c>
      <c r="C361" s="7" t="s">
        <v>5945</v>
      </c>
      <c r="D361" s="9">
        <v>45965</v>
      </c>
      <c r="E361" s="3">
        <v>6493.4</v>
      </c>
      <c r="F361" s="7" t="s">
        <v>6820</v>
      </c>
      <c r="H361" s="9"/>
    </row>
    <row r="362" spans="1:8" x14ac:dyDescent="0.3">
      <c r="A362" s="7" t="s">
        <v>7180</v>
      </c>
      <c r="B362" s="7" t="s">
        <v>309</v>
      </c>
      <c r="C362" s="7" t="s">
        <v>5947</v>
      </c>
      <c r="D362" s="9">
        <v>46010</v>
      </c>
      <c r="E362" s="3">
        <v>3000.13</v>
      </c>
      <c r="F362" s="7" t="s">
        <v>6820</v>
      </c>
      <c r="H362" s="9"/>
    </row>
    <row r="363" spans="1:8" x14ac:dyDescent="0.3">
      <c r="A363" s="7" t="s">
        <v>7181</v>
      </c>
      <c r="B363" s="7" t="s">
        <v>329</v>
      </c>
      <c r="C363" s="7" t="s">
        <v>5948</v>
      </c>
      <c r="D363" s="9">
        <v>45976</v>
      </c>
      <c r="E363" s="3">
        <v>5474.18</v>
      </c>
      <c r="F363" s="7" t="s">
        <v>3174</v>
      </c>
      <c r="H363" s="9"/>
    </row>
    <row r="364" spans="1:8" x14ac:dyDescent="0.3">
      <c r="A364" s="7" t="s">
        <v>7182</v>
      </c>
      <c r="B364" s="7" t="s">
        <v>311</v>
      </c>
      <c r="C364" s="7" t="s">
        <v>5949</v>
      </c>
      <c r="D364" s="9">
        <v>45984</v>
      </c>
      <c r="E364" s="3">
        <v>5629.08</v>
      </c>
      <c r="F364" s="7" t="s">
        <v>3174</v>
      </c>
      <c r="H364" s="9"/>
    </row>
    <row r="365" spans="1:8" x14ac:dyDescent="0.3">
      <c r="A365" s="7" t="s">
        <v>7183</v>
      </c>
      <c r="B365" s="7" t="s">
        <v>315</v>
      </c>
      <c r="C365" s="7" t="s">
        <v>5950</v>
      </c>
      <c r="D365" s="9">
        <v>46015</v>
      </c>
      <c r="E365" s="3">
        <v>5927.83</v>
      </c>
      <c r="F365" s="7" t="s">
        <v>3174</v>
      </c>
      <c r="H365" s="9"/>
    </row>
    <row r="366" spans="1:8" x14ac:dyDescent="0.3">
      <c r="A366" s="7" t="s">
        <v>7184</v>
      </c>
      <c r="B366" s="7" t="s">
        <v>333</v>
      </c>
      <c r="C366" s="7" t="s">
        <v>5951</v>
      </c>
      <c r="D366" s="9">
        <v>46005</v>
      </c>
      <c r="E366" s="3">
        <v>1710.6</v>
      </c>
      <c r="F366" s="7" t="s">
        <v>3174</v>
      </c>
      <c r="H366" s="9"/>
    </row>
    <row r="367" spans="1:8" x14ac:dyDescent="0.3">
      <c r="A367" s="7" t="s">
        <v>7185</v>
      </c>
      <c r="B367" s="7" t="s">
        <v>321</v>
      </c>
      <c r="C367" s="7" t="s">
        <v>5952</v>
      </c>
      <c r="D367" s="9">
        <v>46053</v>
      </c>
      <c r="E367" s="3">
        <v>6988.08</v>
      </c>
      <c r="F367" s="7" t="s">
        <v>6820</v>
      </c>
      <c r="H367" s="9"/>
    </row>
    <row r="368" spans="1:8" x14ac:dyDescent="0.3">
      <c r="A368" s="7" t="s">
        <v>7186</v>
      </c>
      <c r="B368" s="7" t="s">
        <v>319</v>
      </c>
      <c r="C368" s="7" t="s">
        <v>5954</v>
      </c>
      <c r="D368" s="9">
        <v>46081</v>
      </c>
      <c r="E368" s="3">
        <v>1038.33</v>
      </c>
      <c r="F368" s="7" t="s">
        <v>3174</v>
      </c>
      <c r="H368" s="9"/>
    </row>
    <row r="369" spans="1:8" x14ac:dyDescent="0.3">
      <c r="A369" s="7" t="s">
        <v>7187</v>
      </c>
      <c r="B369" s="7" t="s">
        <v>343</v>
      </c>
      <c r="C369" s="7" t="s">
        <v>5955</v>
      </c>
      <c r="D369" s="9">
        <v>46008</v>
      </c>
      <c r="E369" s="3">
        <v>6814.97</v>
      </c>
      <c r="F369" s="7" t="s">
        <v>3174</v>
      </c>
      <c r="H369" s="9"/>
    </row>
    <row r="370" spans="1:8" x14ac:dyDescent="0.3">
      <c r="A370" s="7" t="s">
        <v>7188</v>
      </c>
      <c r="B370" s="7" t="s">
        <v>281</v>
      </c>
      <c r="C370" s="7" t="s">
        <v>5956</v>
      </c>
      <c r="D370" s="9">
        <v>46034</v>
      </c>
      <c r="E370" s="3">
        <v>3111.57</v>
      </c>
      <c r="F370" s="7" t="s">
        <v>6820</v>
      </c>
      <c r="H370" s="9"/>
    </row>
    <row r="371" spans="1:8" x14ac:dyDescent="0.3">
      <c r="A371" s="7" t="s">
        <v>7189</v>
      </c>
      <c r="B371" s="7" t="s">
        <v>287</v>
      </c>
      <c r="C371" s="7" t="s">
        <v>5957</v>
      </c>
      <c r="D371" s="9">
        <v>45981</v>
      </c>
      <c r="E371" s="3">
        <v>1636.31</v>
      </c>
      <c r="F371" s="7" t="s">
        <v>3184</v>
      </c>
      <c r="H371" s="9"/>
    </row>
    <row r="372" spans="1:8" x14ac:dyDescent="0.3">
      <c r="A372" s="7" t="s">
        <v>7190</v>
      </c>
      <c r="B372" s="7" t="s">
        <v>341</v>
      </c>
      <c r="C372" s="7" t="s">
        <v>5958</v>
      </c>
      <c r="D372" s="9">
        <v>46080</v>
      </c>
      <c r="E372" s="3">
        <v>4051.5</v>
      </c>
      <c r="F372" s="7" t="s">
        <v>3174</v>
      </c>
      <c r="H372" s="9"/>
    </row>
    <row r="373" spans="1:8" x14ac:dyDescent="0.3">
      <c r="A373" s="7" t="s">
        <v>7191</v>
      </c>
      <c r="B373" s="7" t="s">
        <v>343</v>
      </c>
      <c r="C373" s="7" t="s">
        <v>5959</v>
      </c>
      <c r="D373" s="9">
        <v>45983</v>
      </c>
      <c r="E373" s="3">
        <v>1598.63</v>
      </c>
      <c r="F373" s="7" t="s">
        <v>6820</v>
      </c>
      <c r="H373" s="9"/>
    </row>
    <row r="374" spans="1:8" x14ac:dyDescent="0.3">
      <c r="A374" s="7" t="s">
        <v>7192</v>
      </c>
      <c r="B374" s="7" t="s">
        <v>323</v>
      </c>
      <c r="C374" s="7" t="s">
        <v>5960</v>
      </c>
      <c r="D374" s="9">
        <v>45992</v>
      </c>
      <c r="E374" s="3">
        <v>6681.49</v>
      </c>
      <c r="F374" s="7" t="s">
        <v>3174</v>
      </c>
      <c r="H374" s="9"/>
    </row>
    <row r="375" spans="1:8" x14ac:dyDescent="0.3">
      <c r="A375" s="7" t="s">
        <v>7193</v>
      </c>
      <c r="B375" s="7" t="s">
        <v>289</v>
      </c>
      <c r="C375" s="7" t="s">
        <v>5961</v>
      </c>
      <c r="D375" s="9">
        <v>45991</v>
      </c>
      <c r="E375" s="3">
        <v>6333.75</v>
      </c>
      <c r="F375" s="7" t="s">
        <v>6820</v>
      </c>
      <c r="H375" s="9"/>
    </row>
    <row r="376" spans="1:8" x14ac:dyDescent="0.3">
      <c r="A376" s="7" t="s">
        <v>7194</v>
      </c>
      <c r="B376" s="7" t="s">
        <v>335</v>
      </c>
      <c r="C376" s="7" t="s">
        <v>5963</v>
      </c>
      <c r="D376" s="9">
        <v>46084</v>
      </c>
      <c r="E376" s="3">
        <v>2337.2800000000002</v>
      </c>
      <c r="F376" s="7" t="s">
        <v>3184</v>
      </c>
      <c r="H376" s="9"/>
    </row>
    <row r="377" spans="1:8" x14ac:dyDescent="0.3">
      <c r="A377" s="7" t="s">
        <v>7195</v>
      </c>
      <c r="B377" s="7" t="s">
        <v>325</v>
      </c>
      <c r="C377" s="7" t="s">
        <v>5964</v>
      </c>
      <c r="D377" s="9">
        <v>46010</v>
      </c>
      <c r="E377" s="3">
        <v>6164</v>
      </c>
      <c r="F377" s="7" t="s">
        <v>6820</v>
      </c>
      <c r="H377" s="9"/>
    </row>
    <row r="378" spans="1:8" x14ac:dyDescent="0.3">
      <c r="A378" s="7" t="s">
        <v>7196</v>
      </c>
      <c r="B378" s="7" t="s">
        <v>327</v>
      </c>
      <c r="C378" s="7" t="s">
        <v>5965</v>
      </c>
      <c r="D378" s="9">
        <v>46042</v>
      </c>
      <c r="E378" s="3">
        <v>3595.83</v>
      </c>
      <c r="F378" s="7" t="s">
        <v>6820</v>
      </c>
      <c r="H378" s="9"/>
    </row>
    <row r="379" spans="1:8" x14ac:dyDescent="0.3">
      <c r="A379" s="7" t="s">
        <v>7197</v>
      </c>
      <c r="B379" s="7" t="s">
        <v>261</v>
      </c>
      <c r="C379" s="7" t="s">
        <v>5966</v>
      </c>
      <c r="D379" s="9">
        <v>46045</v>
      </c>
      <c r="E379" s="3">
        <v>2666.87</v>
      </c>
      <c r="F379" s="7" t="s">
        <v>3184</v>
      </c>
      <c r="H379" s="9"/>
    </row>
    <row r="380" spans="1:8" x14ac:dyDescent="0.3">
      <c r="A380" s="7" t="s">
        <v>7198</v>
      </c>
      <c r="B380" s="7" t="s">
        <v>295</v>
      </c>
      <c r="C380" s="7" t="s">
        <v>5968</v>
      </c>
      <c r="D380" s="9">
        <v>46019</v>
      </c>
      <c r="E380" s="3">
        <v>1393</v>
      </c>
      <c r="F380" s="7" t="s">
        <v>3184</v>
      </c>
      <c r="H380" s="9"/>
    </row>
    <row r="381" spans="1:8" x14ac:dyDescent="0.3">
      <c r="A381" s="7" t="s">
        <v>7199</v>
      </c>
      <c r="B381" s="7" t="s">
        <v>289</v>
      </c>
      <c r="C381" s="7" t="s">
        <v>5969</v>
      </c>
      <c r="D381" s="9">
        <v>46057</v>
      </c>
      <c r="E381" s="3">
        <v>6851.5</v>
      </c>
      <c r="F381" s="7" t="s">
        <v>3174</v>
      </c>
      <c r="H381" s="9"/>
    </row>
    <row r="382" spans="1:8" x14ac:dyDescent="0.3">
      <c r="A382" s="7" t="s">
        <v>7200</v>
      </c>
      <c r="B382" s="7" t="s">
        <v>315</v>
      </c>
      <c r="C382" s="7" t="s">
        <v>5970</v>
      </c>
      <c r="D382" s="9">
        <v>46098</v>
      </c>
      <c r="E382" s="3">
        <v>861.03</v>
      </c>
      <c r="F382" s="7" t="s">
        <v>3174</v>
      </c>
      <c r="H382" s="9"/>
    </row>
    <row r="383" spans="1:8" x14ac:dyDescent="0.3">
      <c r="A383" s="7" t="s">
        <v>7201</v>
      </c>
      <c r="B383" s="7" t="s">
        <v>315</v>
      </c>
      <c r="C383" s="7" t="s">
        <v>5972</v>
      </c>
      <c r="D383" s="9">
        <v>46012</v>
      </c>
      <c r="E383" s="3">
        <v>1710.12</v>
      </c>
      <c r="F383" s="7" t="s">
        <v>3184</v>
      </c>
      <c r="H383" s="9"/>
    </row>
    <row r="384" spans="1:8" x14ac:dyDescent="0.3">
      <c r="A384" s="7" t="s">
        <v>7202</v>
      </c>
      <c r="B384" s="7" t="s">
        <v>303</v>
      </c>
      <c r="C384" s="7" t="s">
        <v>5973</v>
      </c>
      <c r="D384" s="9">
        <v>46067</v>
      </c>
      <c r="E384" s="3">
        <v>5395.39</v>
      </c>
      <c r="F384" s="7" t="s">
        <v>6820</v>
      </c>
      <c r="H384" s="9"/>
    </row>
    <row r="385" spans="1:8" x14ac:dyDescent="0.3">
      <c r="A385" s="7" t="s">
        <v>7203</v>
      </c>
      <c r="B385" s="7" t="s">
        <v>301</v>
      </c>
      <c r="C385" s="7" t="s">
        <v>5974</v>
      </c>
      <c r="D385" s="9">
        <v>46021</v>
      </c>
      <c r="E385" s="3">
        <v>5332.75</v>
      </c>
      <c r="F385" s="7" t="s">
        <v>6820</v>
      </c>
      <c r="H385" s="9"/>
    </row>
    <row r="386" spans="1:8" x14ac:dyDescent="0.3">
      <c r="A386" s="7" t="s">
        <v>7204</v>
      </c>
      <c r="B386" s="7" t="s">
        <v>279</v>
      </c>
      <c r="C386" s="7" t="s">
        <v>5975</v>
      </c>
      <c r="D386" s="9">
        <v>46048</v>
      </c>
      <c r="E386" s="3">
        <v>903.43</v>
      </c>
      <c r="F386" s="7" t="s">
        <v>6820</v>
      </c>
      <c r="H386" s="9"/>
    </row>
    <row r="387" spans="1:8" x14ac:dyDescent="0.3">
      <c r="A387" s="7" t="s">
        <v>7205</v>
      </c>
      <c r="B387" s="7" t="s">
        <v>305</v>
      </c>
      <c r="C387" s="7" t="s">
        <v>5976</v>
      </c>
      <c r="D387" s="9">
        <v>46018</v>
      </c>
      <c r="E387" s="3">
        <v>1744.3</v>
      </c>
      <c r="F387" s="7" t="s">
        <v>3184</v>
      </c>
      <c r="H387" s="9"/>
    </row>
    <row r="388" spans="1:8" x14ac:dyDescent="0.3">
      <c r="A388" s="7" t="s">
        <v>7206</v>
      </c>
      <c r="B388" s="7" t="s">
        <v>281</v>
      </c>
      <c r="C388" s="7" t="s">
        <v>5977</v>
      </c>
      <c r="D388" s="9">
        <v>45966</v>
      </c>
      <c r="E388" s="3">
        <v>1005.67</v>
      </c>
      <c r="F388" s="7" t="s">
        <v>6820</v>
      </c>
      <c r="H388" s="9"/>
    </row>
    <row r="389" spans="1:8" x14ac:dyDescent="0.3">
      <c r="A389" s="7" t="s">
        <v>7207</v>
      </c>
      <c r="B389" s="7" t="s">
        <v>305</v>
      </c>
      <c r="C389" s="7" t="s">
        <v>5978</v>
      </c>
      <c r="D389" s="9">
        <v>45979</v>
      </c>
      <c r="E389" s="3">
        <v>5963.5</v>
      </c>
      <c r="F389" s="7" t="s">
        <v>3174</v>
      </c>
      <c r="H389" s="9"/>
    </row>
    <row r="390" spans="1:8" x14ac:dyDescent="0.3">
      <c r="A390" s="7" t="s">
        <v>7208</v>
      </c>
      <c r="B390" s="7" t="s">
        <v>281</v>
      </c>
      <c r="C390" s="7" t="s">
        <v>5979</v>
      </c>
      <c r="D390" s="9">
        <v>46025</v>
      </c>
      <c r="E390" s="3">
        <v>2640.48</v>
      </c>
      <c r="F390" s="7" t="s">
        <v>3174</v>
      </c>
      <c r="H390" s="9"/>
    </row>
    <row r="391" spans="1:8" x14ac:dyDescent="0.3">
      <c r="A391" s="7" t="s">
        <v>7209</v>
      </c>
      <c r="B391" s="7" t="s">
        <v>283</v>
      </c>
      <c r="C391" s="7" t="s">
        <v>5980</v>
      </c>
      <c r="D391" s="9">
        <v>46003</v>
      </c>
      <c r="E391" s="3">
        <v>1144.79</v>
      </c>
      <c r="F391" s="7" t="s">
        <v>3184</v>
      </c>
      <c r="H391" s="9"/>
    </row>
    <row r="392" spans="1:8" x14ac:dyDescent="0.3">
      <c r="A392" s="7" t="s">
        <v>7210</v>
      </c>
      <c r="B392" s="7" t="s">
        <v>264</v>
      </c>
      <c r="C392" s="7" t="s">
        <v>5981</v>
      </c>
      <c r="D392" s="9">
        <v>45996</v>
      </c>
      <c r="E392" s="3">
        <v>4335.41</v>
      </c>
      <c r="F392" s="7" t="s">
        <v>3184</v>
      </c>
      <c r="H392" s="9"/>
    </row>
    <row r="393" spans="1:8" x14ac:dyDescent="0.3">
      <c r="A393" s="7" t="s">
        <v>7211</v>
      </c>
      <c r="B393" s="7" t="s">
        <v>341</v>
      </c>
      <c r="C393" s="7" t="s">
        <v>5982</v>
      </c>
      <c r="D393" s="9">
        <v>46022</v>
      </c>
      <c r="E393" s="3">
        <v>6642.94</v>
      </c>
      <c r="F393" s="7" t="s">
        <v>6820</v>
      </c>
      <c r="H393" s="9"/>
    </row>
    <row r="394" spans="1:8" x14ac:dyDescent="0.3">
      <c r="A394" s="7" t="s">
        <v>7212</v>
      </c>
      <c r="B394" s="7" t="s">
        <v>281</v>
      </c>
      <c r="C394" s="7" t="s">
        <v>5985</v>
      </c>
      <c r="D394" s="9">
        <v>46047</v>
      </c>
      <c r="E394" s="3">
        <v>6251.95</v>
      </c>
      <c r="F394" s="7" t="s">
        <v>6820</v>
      </c>
      <c r="H394" s="9"/>
    </row>
    <row r="395" spans="1:8" x14ac:dyDescent="0.3">
      <c r="A395" s="7" t="s">
        <v>7213</v>
      </c>
      <c r="B395" s="7" t="s">
        <v>295</v>
      </c>
      <c r="C395" s="7" t="s">
        <v>5986</v>
      </c>
      <c r="D395" s="9">
        <v>46029</v>
      </c>
      <c r="E395" s="3">
        <v>4693.2700000000004</v>
      </c>
      <c r="F395" s="7" t="s">
        <v>3174</v>
      </c>
      <c r="H395" s="9"/>
    </row>
    <row r="396" spans="1:8" x14ac:dyDescent="0.3">
      <c r="A396" s="7" t="s">
        <v>7214</v>
      </c>
      <c r="B396" s="7" t="s">
        <v>317</v>
      </c>
      <c r="C396" s="7" t="s">
        <v>5987</v>
      </c>
      <c r="D396" s="9">
        <v>46076</v>
      </c>
      <c r="E396" s="3">
        <v>1423.13</v>
      </c>
      <c r="F396" s="7" t="s">
        <v>3184</v>
      </c>
      <c r="H396" s="9"/>
    </row>
    <row r="397" spans="1:8" x14ac:dyDescent="0.3">
      <c r="A397" s="7" t="s">
        <v>7215</v>
      </c>
      <c r="B397" s="7" t="s">
        <v>301</v>
      </c>
      <c r="C397" s="7" t="s">
        <v>5989</v>
      </c>
      <c r="D397" s="9">
        <v>46044</v>
      </c>
      <c r="E397" s="3">
        <v>6067.36</v>
      </c>
      <c r="F397" s="7" t="s">
        <v>6820</v>
      </c>
      <c r="H397" s="9"/>
    </row>
    <row r="398" spans="1:8" x14ac:dyDescent="0.3">
      <c r="A398" s="7" t="s">
        <v>7216</v>
      </c>
      <c r="B398" s="7" t="s">
        <v>272</v>
      </c>
      <c r="C398" s="7" t="s">
        <v>5991</v>
      </c>
      <c r="D398" s="9">
        <v>46088</v>
      </c>
      <c r="E398" s="3">
        <v>4871.22</v>
      </c>
      <c r="F398" s="7" t="s">
        <v>3184</v>
      </c>
      <c r="H398" s="9"/>
    </row>
    <row r="399" spans="1:8" x14ac:dyDescent="0.3">
      <c r="A399" s="7" t="s">
        <v>7217</v>
      </c>
      <c r="B399" s="7" t="s">
        <v>315</v>
      </c>
      <c r="C399" s="7" t="s">
        <v>5992</v>
      </c>
      <c r="D399" s="9">
        <v>46044</v>
      </c>
      <c r="E399" s="3">
        <v>1400.99</v>
      </c>
      <c r="F399" s="7" t="s">
        <v>3174</v>
      </c>
      <c r="H399" s="9"/>
    </row>
    <row r="400" spans="1:8" x14ac:dyDescent="0.3">
      <c r="A400" s="7" t="s">
        <v>7218</v>
      </c>
      <c r="B400" s="7" t="s">
        <v>289</v>
      </c>
      <c r="C400" s="7" t="s">
        <v>5993</v>
      </c>
      <c r="D400" s="9">
        <v>46082</v>
      </c>
      <c r="E400" s="3">
        <v>4782.6499999999996</v>
      </c>
      <c r="F400" s="7" t="s">
        <v>6820</v>
      </c>
      <c r="H400" s="9"/>
    </row>
    <row r="401" spans="1:8" x14ac:dyDescent="0.3">
      <c r="A401" s="7" t="s">
        <v>7219</v>
      </c>
      <c r="B401" s="7" t="s">
        <v>287</v>
      </c>
      <c r="C401" s="7" t="s">
        <v>5995</v>
      </c>
      <c r="D401" s="9">
        <v>45974</v>
      </c>
      <c r="E401" s="3">
        <v>6789.19</v>
      </c>
      <c r="F401" s="7" t="s">
        <v>3174</v>
      </c>
      <c r="H401" s="9"/>
    </row>
    <row r="402" spans="1:8" x14ac:dyDescent="0.3">
      <c r="A402" s="7" t="s">
        <v>7220</v>
      </c>
      <c r="B402" s="7" t="s">
        <v>339</v>
      </c>
      <c r="C402" s="7" t="s">
        <v>5996</v>
      </c>
      <c r="D402" s="9">
        <v>46099</v>
      </c>
      <c r="E402" s="3">
        <v>4505.25</v>
      </c>
      <c r="F402" s="7" t="s">
        <v>3184</v>
      </c>
      <c r="H402" s="9"/>
    </row>
    <row r="403" spans="1:8" x14ac:dyDescent="0.3">
      <c r="A403" s="7" t="s">
        <v>7221</v>
      </c>
      <c r="B403" s="7" t="s">
        <v>325</v>
      </c>
      <c r="C403" s="7" t="s">
        <v>5997</v>
      </c>
      <c r="D403" s="9">
        <v>46000</v>
      </c>
      <c r="E403" s="3">
        <v>1998.93</v>
      </c>
      <c r="F403" s="7" t="s">
        <v>6820</v>
      </c>
      <c r="H403" s="9"/>
    </row>
    <row r="404" spans="1:8" x14ac:dyDescent="0.3">
      <c r="A404" s="7" t="s">
        <v>7222</v>
      </c>
      <c r="B404" s="7" t="s">
        <v>321</v>
      </c>
      <c r="C404" s="7" t="s">
        <v>5999</v>
      </c>
      <c r="D404" s="9">
        <v>46080</v>
      </c>
      <c r="E404" s="3">
        <v>2576.9899999999998</v>
      </c>
      <c r="F404" s="7" t="s">
        <v>3184</v>
      </c>
      <c r="H404" s="9"/>
    </row>
    <row r="405" spans="1:8" x14ac:dyDescent="0.3">
      <c r="A405" s="7" t="s">
        <v>7223</v>
      </c>
      <c r="B405" s="7" t="s">
        <v>327</v>
      </c>
      <c r="C405" s="7" t="s">
        <v>6000</v>
      </c>
      <c r="D405" s="9">
        <v>46080</v>
      </c>
      <c r="E405" s="3">
        <v>3473.76</v>
      </c>
      <c r="F405" s="7" t="s">
        <v>6820</v>
      </c>
      <c r="H405" s="9"/>
    </row>
    <row r="406" spans="1:8" x14ac:dyDescent="0.3">
      <c r="A406" s="7" t="s">
        <v>7224</v>
      </c>
      <c r="B406" s="7" t="s">
        <v>281</v>
      </c>
      <c r="C406" s="7" t="s">
        <v>6001</v>
      </c>
      <c r="D406" s="9">
        <v>46045</v>
      </c>
      <c r="E406" s="3">
        <v>5601.69</v>
      </c>
      <c r="F406" s="7" t="s">
        <v>6820</v>
      </c>
      <c r="H406" s="9"/>
    </row>
    <row r="407" spans="1:8" x14ac:dyDescent="0.3">
      <c r="A407" s="7" t="s">
        <v>7225</v>
      </c>
      <c r="B407" s="7" t="s">
        <v>325</v>
      </c>
      <c r="C407" s="7" t="s">
        <v>6002</v>
      </c>
      <c r="D407" s="9">
        <v>46051</v>
      </c>
      <c r="E407" s="3">
        <v>3363.94</v>
      </c>
      <c r="F407" s="7" t="s">
        <v>3174</v>
      </c>
      <c r="H407" s="9"/>
    </row>
    <row r="408" spans="1:8" x14ac:dyDescent="0.3">
      <c r="A408" s="7" t="s">
        <v>7226</v>
      </c>
      <c r="B408" s="7" t="s">
        <v>272</v>
      </c>
      <c r="C408" s="7" t="s">
        <v>6003</v>
      </c>
      <c r="D408" s="9">
        <v>45982</v>
      </c>
      <c r="E408" s="3">
        <v>5675.85</v>
      </c>
      <c r="F408" s="7" t="s">
        <v>3184</v>
      </c>
      <c r="H408" s="9"/>
    </row>
    <row r="409" spans="1:8" x14ac:dyDescent="0.3">
      <c r="A409" s="7" t="s">
        <v>7227</v>
      </c>
      <c r="B409" s="7" t="s">
        <v>309</v>
      </c>
      <c r="C409" s="7" t="s">
        <v>6004</v>
      </c>
      <c r="D409" s="9">
        <v>46077</v>
      </c>
      <c r="E409" s="3">
        <v>1356.94</v>
      </c>
      <c r="F409" s="7" t="s">
        <v>6820</v>
      </c>
      <c r="H409" s="9"/>
    </row>
    <row r="410" spans="1:8" x14ac:dyDescent="0.3">
      <c r="A410" s="7" t="s">
        <v>7228</v>
      </c>
      <c r="B410" s="7" t="s">
        <v>333</v>
      </c>
      <c r="C410" s="7" t="s">
        <v>6005</v>
      </c>
      <c r="D410" s="9">
        <v>46059</v>
      </c>
      <c r="E410" s="3">
        <v>4477.1499999999996</v>
      </c>
      <c r="F410" s="7" t="s">
        <v>3184</v>
      </c>
      <c r="H410" s="9"/>
    </row>
    <row r="411" spans="1:8" x14ac:dyDescent="0.3">
      <c r="A411" s="7" t="s">
        <v>7229</v>
      </c>
      <c r="B411" s="7" t="s">
        <v>289</v>
      </c>
      <c r="C411" s="7" t="s">
        <v>6006</v>
      </c>
      <c r="D411" s="9">
        <v>46022</v>
      </c>
      <c r="E411" s="3">
        <v>6823.92</v>
      </c>
      <c r="F411" s="7" t="s">
        <v>3174</v>
      </c>
      <c r="H411" s="9"/>
    </row>
    <row r="412" spans="1:8" x14ac:dyDescent="0.3">
      <c r="A412" s="7" t="s">
        <v>7230</v>
      </c>
      <c r="B412" s="7" t="s">
        <v>335</v>
      </c>
      <c r="C412" s="7" t="s">
        <v>6007</v>
      </c>
      <c r="D412" s="9">
        <v>46085</v>
      </c>
      <c r="E412" s="3">
        <v>5727.67</v>
      </c>
      <c r="F412" s="7" t="s">
        <v>6820</v>
      </c>
      <c r="H412" s="9"/>
    </row>
    <row r="413" spans="1:8" x14ac:dyDescent="0.3">
      <c r="A413" s="7" t="s">
        <v>7231</v>
      </c>
      <c r="B413" s="7" t="s">
        <v>305</v>
      </c>
      <c r="C413" s="7" t="s">
        <v>6009</v>
      </c>
      <c r="D413" s="9">
        <v>46002</v>
      </c>
      <c r="E413" s="3">
        <v>6350.22</v>
      </c>
      <c r="F413" s="7" t="s">
        <v>3184</v>
      </c>
      <c r="H413" s="9"/>
    </row>
    <row r="414" spans="1:8" x14ac:dyDescent="0.3">
      <c r="A414" s="7" t="s">
        <v>7232</v>
      </c>
      <c r="B414" s="7" t="s">
        <v>343</v>
      </c>
      <c r="C414" s="7" t="s">
        <v>6010</v>
      </c>
      <c r="D414" s="9">
        <v>46021</v>
      </c>
      <c r="E414" s="3">
        <v>3232.88</v>
      </c>
      <c r="F414" s="7" t="s">
        <v>3174</v>
      </c>
      <c r="H414" s="9"/>
    </row>
    <row r="415" spans="1:8" x14ac:dyDescent="0.3">
      <c r="A415" s="7" t="s">
        <v>7233</v>
      </c>
      <c r="B415" s="7" t="s">
        <v>279</v>
      </c>
      <c r="C415" s="7" t="s">
        <v>6011</v>
      </c>
      <c r="D415" s="9">
        <v>46080</v>
      </c>
      <c r="E415" s="3">
        <v>6515.32</v>
      </c>
      <c r="F415" s="7" t="s">
        <v>3184</v>
      </c>
      <c r="H415" s="9"/>
    </row>
    <row r="416" spans="1:8" x14ac:dyDescent="0.3">
      <c r="A416" s="7" t="s">
        <v>7234</v>
      </c>
      <c r="B416" s="7" t="s">
        <v>261</v>
      </c>
      <c r="C416" s="7" t="s">
        <v>6012</v>
      </c>
      <c r="D416" s="9">
        <v>45996</v>
      </c>
      <c r="E416" s="3">
        <v>1113.5899999999999</v>
      </c>
      <c r="F416" s="7" t="s">
        <v>3174</v>
      </c>
      <c r="H416" s="9"/>
    </row>
    <row r="417" spans="1:8" x14ac:dyDescent="0.3">
      <c r="A417" s="7" t="s">
        <v>7235</v>
      </c>
      <c r="B417" s="7" t="s">
        <v>303</v>
      </c>
      <c r="C417" s="7" t="s">
        <v>6013</v>
      </c>
      <c r="D417" s="9">
        <v>45964</v>
      </c>
      <c r="E417" s="3">
        <v>2777.39</v>
      </c>
      <c r="F417" s="7" t="s">
        <v>3174</v>
      </c>
      <c r="H417" s="9"/>
    </row>
    <row r="418" spans="1:8" x14ac:dyDescent="0.3">
      <c r="A418" s="7" t="s">
        <v>7236</v>
      </c>
      <c r="B418" s="7" t="s">
        <v>264</v>
      </c>
      <c r="C418" s="7" t="s">
        <v>6014</v>
      </c>
      <c r="D418" s="9">
        <v>46068</v>
      </c>
      <c r="E418" s="3">
        <v>6965.66</v>
      </c>
      <c r="F418" s="7" t="s">
        <v>6820</v>
      </c>
      <c r="H418" s="9"/>
    </row>
    <row r="419" spans="1:8" x14ac:dyDescent="0.3">
      <c r="A419" s="7" t="s">
        <v>7237</v>
      </c>
      <c r="B419" s="7" t="s">
        <v>333</v>
      </c>
      <c r="C419" s="7" t="s">
        <v>6015</v>
      </c>
      <c r="D419" s="9">
        <v>45990</v>
      </c>
      <c r="E419" s="3">
        <v>1727.59</v>
      </c>
      <c r="F419" s="7" t="s">
        <v>6820</v>
      </c>
      <c r="H419" s="9"/>
    </row>
    <row r="420" spans="1:8" x14ac:dyDescent="0.3">
      <c r="A420" s="7" t="s">
        <v>7238</v>
      </c>
      <c r="B420" s="7" t="s">
        <v>291</v>
      </c>
      <c r="C420" s="7" t="s">
        <v>6016</v>
      </c>
      <c r="D420" s="9">
        <v>46020</v>
      </c>
      <c r="E420" s="3">
        <v>4449.1099999999997</v>
      </c>
      <c r="F420" s="7" t="s">
        <v>6820</v>
      </c>
      <c r="H420" s="9"/>
    </row>
    <row r="421" spans="1:8" x14ac:dyDescent="0.3">
      <c r="A421" s="7" t="s">
        <v>7239</v>
      </c>
      <c r="B421" s="7" t="s">
        <v>267</v>
      </c>
      <c r="C421" s="7" t="s">
        <v>6017</v>
      </c>
      <c r="D421" s="9">
        <v>46025</v>
      </c>
      <c r="E421" s="3">
        <v>2278.9899999999998</v>
      </c>
      <c r="F421" s="7" t="s">
        <v>3184</v>
      </c>
      <c r="H421" s="9"/>
    </row>
    <row r="422" spans="1:8" x14ac:dyDescent="0.3">
      <c r="A422" s="7" t="s">
        <v>7240</v>
      </c>
      <c r="B422" s="7" t="s">
        <v>264</v>
      </c>
      <c r="C422" s="7" t="s">
        <v>6019</v>
      </c>
      <c r="D422" s="9">
        <v>46027</v>
      </c>
      <c r="E422" s="3">
        <v>4892.4399999999996</v>
      </c>
      <c r="F422" s="7" t="s">
        <v>3184</v>
      </c>
      <c r="H422" s="9"/>
    </row>
    <row r="423" spans="1:8" x14ac:dyDescent="0.3">
      <c r="A423" s="7" t="s">
        <v>7241</v>
      </c>
      <c r="B423" s="7" t="s">
        <v>315</v>
      </c>
      <c r="C423" s="7" t="s">
        <v>6020</v>
      </c>
      <c r="D423" s="9">
        <v>46059</v>
      </c>
      <c r="E423" s="3">
        <v>2794.51</v>
      </c>
      <c r="F423" s="7" t="s">
        <v>3174</v>
      </c>
      <c r="H423" s="9"/>
    </row>
    <row r="424" spans="1:8" x14ac:dyDescent="0.3">
      <c r="A424" s="7" t="s">
        <v>7242</v>
      </c>
      <c r="B424" s="7" t="s">
        <v>313</v>
      </c>
      <c r="C424" s="7" t="s">
        <v>6021</v>
      </c>
      <c r="D424" s="9">
        <v>45996</v>
      </c>
      <c r="E424" s="3">
        <v>2551.4</v>
      </c>
      <c r="F424" s="7" t="s">
        <v>3184</v>
      </c>
      <c r="H424" s="9"/>
    </row>
    <row r="425" spans="1:8" x14ac:dyDescent="0.3">
      <c r="A425" s="7" t="s">
        <v>7243</v>
      </c>
      <c r="B425" s="7" t="s">
        <v>291</v>
      </c>
      <c r="C425" s="7" t="s">
        <v>6022</v>
      </c>
      <c r="D425" s="9">
        <v>46105</v>
      </c>
      <c r="E425" s="3">
        <v>5278.72</v>
      </c>
      <c r="F425" s="7" t="s">
        <v>6820</v>
      </c>
      <c r="H425" s="9"/>
    </row>
    <row r="426" spans="1:8" x14ac:dyDescent="0.3">
      <c r="A426" s="7" t="s">
        <v>7244</v>
      </c>
      <c r="B426" s="7" t="s">
        <v>289</v>
      </c>
      <c r="C426" s="7" t="s">
        <v>6023</v>
      </c>
      <c r="D426" s="9">
        <v>46038</v>
      </c>
      <c r="E426" s="3">
        <v>1144.06</v>
      </c>
      <c r="F426" s="7" t="s">
        <v>3174</v>
      </c>
      <c r="H426" s="9"/>
    </row>
    <row r="427" spans="1:8" x14ac:dyDescent="0.3">
      <c r="A427" s="7" t="s">
        <v>7245</v>
      </c>
      <c r="B427" s="7" t="s">
        <v>297</v>
      </c>
      <c r="C427" s="7" t="s">
        <v>6024</v>
      </c>
      <c r="D427" s="9">
        <v>46091</v>
      </c>
      <c r="E427" s="3">
        <v>6070.03</v>
      </c>
      <c r="F427" s="7" t="s">
        <v>6820</v>
      </c>
      <c r="H427" s="9"/>
    </row>
    <row r="428" spans="1:8" x14ac:dyDescent="0.3">
      <c r="A428" s="7" t="s">
        <v>7246</v>
      </c>
      <c r="B428" s="7" t="s">
        <v>319</v>
      </c>
      <c r="C428" s="7" t="s">
        <v>6025</v>
      </c>
      <c r="D428" s="9">
        <v>46070</v>
      </c>
      <c r="E428" s="3">
        <v>3821.77</v>
      </c>
      <c r="F428" s="7" t="s">
        <v>3184</v>
      </c>
      <c r="H428" s="9"/>
    </row>
    <row r="429" spans="1:8" x14ac:dyDescent="0.3">
      <c r="A429" s="7" t="s">
        <v>7247</v>
      </c>
      <c r="B429" s="7" t="s">
        <v>325</v>
      </c>
      <c r="C429" s="7" t="s">
        <v>6026</v>
      </c>
      <c r="D429" s="9">
        <v>45983</v>
      </c>
      <c r="E429" s="3">
        <v>6952.88</v>
      </c>
      <c r="F429" s="7" t="s">
        <v>6820</v>
      </c>
      <c r="H429" s="9"/>
    </row>
    <row r="430" spans="1:8" x14ac:dyDescent="0.3">
      <c r="A430" s="7" t="s">
        <v>7248</v>
      </c>
      <c r="B430" s="7" t="s">
        <v>279</v>
      </c>
      <c r="C430" s="7" t="s">
        <v>6027</v>
      </c>
      <c r="D430" s="9">
        <v>45967</v>
      </c>
      <c r="E430" s="3">
        <v>4516.8100000000004</v>
      </c>
      <c r="F430" s="7" t="s">
        <v>6820</v>
      </c>
      <c r="H430" s="9"/>
    </row>
    <row r="431" spans="1:8" x14ac:dyDescent="0.3">
      <c r="A431" s="7" t="s">
        <v>7249</v>
      </c>
      <c r="B431" s="7" t="s">
        <v>301</v>
      </c>
      <c r="C431" s="7" t="s">
        <v>6028</v>
      </c>
      <c r="D431" s="9">
        <v>46066</v>
      </c>
      <c r="E431" s="3">
        <v>6167.05</v>
      </c>
      <c r="F431" s="7" t="s">
        <v>3184</v>
      </c>
      <c r="H431" s="9"/>
    </row>
    <row r="432" spans="1:8" x14ac:dyDescent="0.3">
      <c r="A432" s="7" t="s">
        <v>7250</v>
      </c>
      <c r="B432" s="7" t="s">
        <v>283</v>
      </c>
      <c r="C432" s="7" t="s">
        <v>6029</v>
      </c>
      <c r="D432" s="9">
        <v>46084</v>
      </c>
      <c r="E432" s="3">
        <v>5826.69</v>
      </c>
      <c r="F432" s="7" t="s">
        <v>6820</v>
      </c>
      <c r="H432" s="9"/>
    </row>
    <row r="433" spans="1:8" x14ac:dyDescent="0.3">
      <c r="A433" s="7" t="s">
        <v>7251</v>
      </c>
      <c r="B433" s="7" t="s">
        <v>333</v>
      </c>
      <c r="C433" s="7" t="s">
        <v>6030</v>
      </c>
      <c r="D433" s="9">
        <v>46032</v>
      </c>
      <c r="E433" s="3">
        <v>2509.1999999999998</v>
      </c>
      <c r="F433" s="7" t="s">
        <v>3174</v>
      </c>
      <c r="H433" s="9"/>
    </row>
    <row r="434" spans="1:8" x14ac:dyDescent="0.3">
      <c r="A434" s="7" t="s">
        <v>7252</v>
      </c>
      <c r="B434" s="7" t="s">
        <v>285</v>
      </c>
      <c r="C434" s="7" t="s">
        <v>6031</v>
      </c>
      <c r="D434" s="9">
        <v>46036</v>
      </c>
      <c r="E434" s="3">
        <v>5762.12</v>
      </c>
      <c r="F434" s="7" t="s">
        <v>6820</v>
      </c>
      <c r="H434" s="9"/>
    </row>
    <row r="435" spans="1:8" x14ac:dyDescent="0.3">
      <c r="A435" s="7" t="s">
        <v>7253</v>
      </c>
      <c r="B435" s="7" t="s">
        <v>279</v>
      </c>
      <c r="C435" s="7" t="s">
        <v>6032</v>
      </c>
      <c r="D435" s="9">
        <v>46089</v>
      </c>
      <c r="E435" s="3">
        <v>4482.8</v>
      </c>
      <c r="F435" s="7" t="s">
        <v>3184</v>
      </c>
      <c r="H435" s="9"/>
    </row>
    <row r="436" spans="1:8" x14ac:dyDescent="0.3">
      <c r="A436" s="7" t="s">
        <v>7254</v>
      </c>
      <c r="B436" s="7" t="s">
        <v>285</v>
      </c>
      <c r="C436" s="7" t="s">
        <v>6033</v>
      </c>
      <c r="D436" s="9">
        <v>45991</v>
      </c>
      <c r="E436" s="3">
        <v>1709.79</v>
      </c>
      <c r="F436" s="7" t="s">
        <v>3174</v>
      </c>
      <c r="H436" s="9"/>
    </row>
    <row r="437" spans="1:8" x14ac:dyDescent="0.3">
      <c r="A437" s="7" t="s">
        <v>7255</v>
      </c>
      <c r="B437" s="7" t="s">
        <v>333</v>
      </c>
      <c r="C437" s="7" t="s">
        <v>6036</v>
      </c>
      <c r="D437" s="9">
        <v>46090</v>
      </c>
      <c r="E437" s="3">
        <v>5009.16</v>
      </c>
      <c r="F437" s="7" t="s">
        <v>3184</v>
      </c>
      <c r="H437" s="9"/>
    </row>
    <row r="438" spans="1:8" x14ac:dyDescent="0.3">
      <c r="A438" s="7" t="s">
        <v>7256</v>
      </c>
      <c r="B438" s="7" t="s">
        <v>272</v>
      </c>
      <c r="C438" s="7" t="s">
        <v>6038</v>
      </c>
      <c r="D438" s="9">
        <v>46070</v>
      </c>
      <c r="E438" s="3">
        <v>5901.82</v>
      </c>
      <c r="F438" s="7" t="s">
        <v>6820</v>
      </c>
      <c r="H438" s="9"/>
    </row>
    <row r="439" spans="1:8" x14ac:dyDescent="0.3">
      <c r="A439" s="7" t="s">
        <v>7257</v>
      </c>
      <c r="B439" s="7" t="s">
        <v>317</v>
      </c>
      <c r="C439" s="7" t="s">
        <v>6040</v>
      </c>
      <c r="D439" s="9">
        <v>45999</v>
      </c>
      <c r="E439" s="3">
        <v>1620.08</v>
      </c>
      <c r="F439" s="7" t="s">
        <v>6820</v>
      </c>
      <c r="H439" s="9"/>
    </row>
    <row r="440" spans="1:8" x14ac:dyDescent="0.3">
      <c r="A440" s="7" t="s">
        <v>7258</v>
      </c>
      <c r="B440" s="7" t="s">
        <v>337</v>
      </c>
      <c r="C440" s="7" t="s">
        <v>6041</v>
      </c>
      <c r="D440" s="9">
        <v>46028</v>
      </c>
      <c r="E440" s="3">
        <v>3130.75</v>
      </c>
      <c r="F440" s="7" t="s">
        <v>6820</v>
      </c>
      <c r="H440" s="9"/>
    </row>
    <row r="441" spans="1:8" x14ac:dyDescent="0.3">
      <c r="A441" s="7" t="s">
        <v>7259</v>
      </c>
      <c r="B441" s="7" t="s">
        <v>281</v>
      </c>
      <c r="C441" s="7" t="s">
        <v>6042</v>
      </c>
      <c r="D441" s="9">
        <v>46003</v>
      </c>
      <c r="E441" s="3">
        <v>5444.05</v>
      </c>
      <c r="F441" s="7" t="s">
        <v>3184</v>
      </c>
      <c r="H441" s="9"/>
    </row>
    <row r="442" spans="1:8" x14ac:dyDescent="0.3">
      <c r="A442" s="7" t="s">
        <v>7260</v>
      </c>
      <c r="B442" s="7" t="s">
        <v>264</v>
      </c>
      <c r="C442" s="7" t="s">
        <v>6043</v>
      </c>
      <c r="D442" s="9">
        <v>46057</v>
      </c>
      <c r="E442" s="3">
        <v>1604.39</v>
      </c>
      <c r="F442" s="7" t="s">
        <v>3184</v>
      </c>
      <c r="H442" s="9"/>
    </row>
    <row r="443" spans="1:8" x14ac:dyDescent="0.3">
      <c r="A443" s="7" t="s">
        <v>7261</v>
      </c>
      <c r="B443" s="7" t="s">
        <v>261</v>
      </c>
      <c r="C443" s="7" t="s">
        <v>6044</v>
      </c>
      <c r="D443" s="9">
        <v>45984</v>
      </c>
      <c r="E443" s="3">
        <v>2139.71</v>
      </c>
      <c r="F443" s="7" t="s">
        <v>3184</v>
      </c>
      <c r="H443" s="9"/>
    </row>
    <row r="444" spans="1:8" x14ac:dyDescent="0.3">
      <c r="A444" s="7" t="s">
        <v>7262</v>
      </c>
      <c r="B444" s="7" t="s">
        <v>307</v>
      </c>
      <c r="C444" s="7" t="s">
        <v>6045</v>
      </c>
      <c r="D444" s="9">
        <v>45980</v>
      </c>
      <c r="E444" s="3">
        <v>6554.38</v>
      </c>
      <c r="F444" s="7" t="s">
        <v>3174</v>
      </c>
      <c r="H444" s="9"/>
    </row>
    <row r="445" spans="1:8" x14ac:dyDescent="0.3">
      <c r="A445" s="7" t="s">
        <v>7263</v>
      </c>
      <c r="B445" s="7" t="s">
        <v>315</v>
      </c>
      <c r="C445" s="7" t="s">
        <v>6046</v>
      </c>
      <c r="D445" s="9">
        <v>46084</v>
      </c>
      <c r="E445" s="3">
        <v>3254.02</v>
      </c>
      <c r="F445" s="7" t="s">
        <v>6820</v>
      </c>
      <c r="H445" s="9"/>
    </row>
    <row r="446" spans="1:8" x14ac:dyDescent="0.3">
      <c r="A446" s="7" t="s">
        <v>7264</v>
      </c>
      <c r="B446" s="7" t="s">
        <v>267</v>
      </c>
      <c r="C446" s="7" t="s">
        <v>6047</v>
      </c>
      <c r="D446" s="9">
        <v>46099</v>
      </c>
      <c r="E446" s="3">
        <v>1601.45</v>
      </c>
      <c r="F446" s="7" t="s">
        <v>6820</v>
      </c>
      <c r="H446" s="9"/>
    </row>
    <row r="447" spans="1:8" x14ac:dyDescent="0.3">
      <c r="A447" s="7" t="s">
        <v>7265</v>
      </c>
      <c r="B447" s="7" t="s">
        <v>319</v>
      </c>
      <c r="C447" s="7" t="s">
        <v>6048</v>
      </c>
      <c r="D447" s="9">
        <v>46088</v>
      </c>
      <c r="E447" s="3">
        <v>2449.09</v>
      </c>
      <c r="F447" s="7" t="s">
        <v>3174</v>
      </c>
      <c r="H447" s="9"/>
    </row>
    <row r="448" spans="1:8" x14ac:dyDescent="0.3">
      <c r="A448" s="7" t="s">
        <v>7266</v>
      </c>
      <c r="B448" s="7" t="s">
        <v>279</v>
      </c>
      <c r="C448" s="7" t="s">
        <v>6049</v>
      </c>
      <c r="D448" s="9">
        <v>46070</v>
      </c>
      <c r="E448" s="3">
        <v>867.88</v>
      </c>
      <c r="F448" s="7" t="s">
        <v>3184</v>
      </c>
      <c r="H448" s="9"/>
    </row>
    <row r="449" spans="1:8" x14ac:dyDescent="0.3">
      <c r="A449" s="7" t="s">
        <v>7267</v>
      </c>
      <c r="B449" s="7" t="s">
        <v>279</v>
      </c>
      <c r="C449" s="7" t="s">
        <v>6050</v>
      </c>
      <c r="D449" s="9">
        <v>45996</v>
      </c>
      <c r="E449" s="3">
        <v>6928.31</v>
      </c>
      <c r="F449" s="7" t="s">
        <v>6820</v>
      </c>
      <c r="H449" s="9"/>
    </row>
    <row r="450" spans="1:8" x14ac:dyDescent="0.3">
      <c r="A450" s="7" t="s">
        <v>7268</v>
      </c>
      <c r="B450" s="7" t="s">
        <v>264</v>
      </c>
      <c r="C450" s="7" t="s">
        <v>6051</v>
      </c>
      <c r="D450" s="9">
        <v>46036</v>
      </c>
      <c r="E450" s="3">
        <v>1687.61</v>
      </c>
      <c r="F450" s="7" t="s">
        <v>3174</v>
      </c>
      <c r="H450" s="9"/>
    </row>
    <row r="451" spans="1:8" x14ac:dyDescent="0.3">
      <c r="A451" s="7" t="s">
        <v>7269</v>
      </c>
      <c r="B451" s="7" t="s">
        <v>307</v>
      </c>
      <c r="C451" s="7" t="s">
        <v>6052</v>
      </c>
      <c r="D451" s="9">
        <v>46037</v>
      </c>
      <c r="E451" s="3">
        <v>1780.09</v>
      </c>
      <c r="F451" s="7" t="s">
        <v>3184</v>
      </c>
      <c r="H451" s="9"/>
    </row>
    <row r="452" spans="1:8" x14ac:dyDescent="0.3">
      <c r="A452" s="7" t="s">
        <v>7270</v>
      </c>
      <c r="B452" s="7" t="s">
        <v>337</v>
      </c>
      <c r="C452" s="7" t="s">
        <v>6053</v>
      </c>
      <c r="D452" s="9">
        <v>46084</v>
      </c>
      <c r="E452" s="3">
        <v>3698.44</v>
      </c>
      <c r="F452" s="7" t="s">
        <v>6820</v>
      </c>
      <c r="H452" s="9"/>
    </row>
    <row r="453" spans="1:8" x14ac:dyDescent="0.3">
      <c r="A453" s="7" t="s">
        <v>7271</v>
      </c>
      <c r="B453" s="7" t="s">
        <v>337</v>
      </c>
      <c r="C453" s="7" t="s">
        <v>6054</v>
      </c>
      <c r="D453" s="9">
        <v>45983</v>
      </c>
      <c r="E453" s="3">
        <v>4825.46</v>
      </c>
      <c r="F453" s="7" t="s">
        <v>6820</v>
      </c>
      <c r="H453" s="9"/>
    </row>
    <row r="454" spans="1:8" x14ac:dyDescent="0.3">
      <c r="A454" s="7" t="s">
        <v>7272</v>
      </c>
      <c r="B454" s="7" t="s">
        <v>269</v>
      </c>
      <c r="C454" s="7" t="s">
        <v>6055</v>
      </c>
      <c r="D454" s="9">
        <v>46084</v>
      </c>
      <c r="E454" s="3">
        <v>4664.34</v>
      </c>
      <c r="F454" s="7" t="s">
        <v>6820</v>
      </c>
      <c r="H454" s="9"/>
    </row>
    <row r="455" spans="1:8" x14ac:dyDescent="0.3">
      <c r="A455" s="7" t="s">
        <v>7273</v>
      </c>
      <c r="B455" s="7" t="s">
        <v>305</v>
      </c>
      <c r="C455" s="7" t="s">
        <v>6057</v>
      </c>
      <c r="D455" s="9">
        <v>45998</v>
      </c>
      <c r="E455" s="3">
        <v>2398.3000000000002</v>
      </c>
      <c r="F455" s="7" t="s">
        <v>3184</v>
      </c>
      <c r="H455" s="9"/>
    </row>
    <row r="456" spans="1:8" x14ac:dyDescent="0.3">
      <c r="A456" s="7" t="s">
        <v>7274</v>
      </c>
      <c r="B456" s="7" t="s">
        <v>281</v>
      </c>
      <c r="C456" s="7" t="s">
        <v>6058</v>
      </c>
      <c r="D456" s="9">
        <v>46034</v>
      </c>
      <c r="E456" s="3">
        <v>1071.8399999999999</v>
      </c>
      <c r="F456" s="7" t="s">
        <v>3184</v>
      </c>
      <c r="H456" s="9"/>
    </row>
    <row r="457" spans="1:8" x14ac:dyDescent="0.3">
      <c r="A457" s="7" t="s">
        <v>7275</v>
      </c>
      <c r="B457" s="7" t="s">
        <v>274</v>
      </c>
      <c r="C457" s="7" t="s">
        <v>6060</v>
      </c>
      <c r="D457" s="9">
        <v>45980</v>
      </c>
      <c r="E457" s="3">
        <v>1571.01</v>
      </c>
      <c r="F457" s="7" t="s">
        <v>6820</v>
      </c>
      <c r="H457" s="9"/>
    </row>
    <row r="458" spans="1:8" x14ac:dyDescent="0.3">
      <c r="A458" s="7" t="s">
        <v>7276</v>
      </c>
      <c r="B458" s="7" t="s">
        <v>335</v>
      </c>
      <c r="C458" s="7" t="s">
        <v>6061</v>
      </c>
      <c r="D458" s="9">
        <v>46032</v>
      </c>
      <c r="E458" s="3">
        <v>4490.51</v>
      </c>
      <c r="F458" s="7" t="s">
        <v>3184</v>
      </c>
      <c r="H458" s="9"/>
    </row>
    <row r="459" spans="1:8" x14ac:dyDescent="0.3">
      <c r="A459" s="7" t="s">
        <v>7277</v>
      </c>
      <c r="B459" s="7" t="s">
        <v>315</v>
      </c>
      <c r="C459" s="7" t="s">
        <v>6063</v>
      </c>
      <c r="D459" s="9">
        <v>46021</v>
      </c>
      <c r="E459" s="3">
        <v>6878.18</v>
      </c>
      <c r="F459" s="7" t="s">
        <v>3184</v>
      </c>
      <c r="H459" s="9"/>
    </row>
    <row r="460" spans="1:8" x14ac:dyDescent="0.3">
      <c r="A460" s="7" t="s">
        <v>7278</v>
      </c>
      <c r="B460" s="7" t="s">
        <v>311</v>
      </c>
      <c r="C460" s="7" t="s">
        <v>6064</v>
      </c>
      <c r="D460" s="9">
        <v>46083</v>
      </c>
      <c r="E460" s="3">
        <v>1726.33</v>
      </c>
      <c r="F460" s="7" t="s">
        <v>6820</v>
      </c>
      <c r="H460" s="9"/>
    </row>
    <row r="461" spans="1:8" x14ac:dyDescent="0.3">
      <c r="A461" s="7" t="s">
        <v>7279</v>
      </c>
      <c r="B461" s="7" t="s">
        <v>305</v>
      </c>
      <c r="C461" s="7" t="s">
        <v>6065</v>
      </c>
      <c r="D461" s="9">
        <v>46081</v>
      </c>
      <c r="E461" s="3">
        <v>5136.3500000000004</v>
      </c>
      <c r="F461" s="7" t="s">
        <v>6820</v>
      </c>
      <c r="H461" s="9"/>
    </row>
    <row r="462" spans="1:8" x14ac:dyDescent="0.3">
      <c r="A462" s="7" t="s">
        <v>7280</v>
      </c>
      <c r="B462" s="7" t="s">
        <v>319</v>
      </c>
      <c r="C462" s="7" t="s">
        <v>6067</v>
      </c>
      <c r="D462" s="9">
        <v>46076</v>
      </c>
      <c r="E462" s="3">
        <v>989</v>
      </c>
      <c r="F462" s="7" t="s">
        <v>3174</v>
      </c>
      <c r="H462" s="9"/>
    </row>
    <row r="463" spans="1:8" x14ac:dyDescent="0.3">
      <c r="A463" s="7" t="s">
        <v>7281</v>
      </c>
      <c r="B463" s="7" t="s">
        <v>329</v>
      </c>
      <c r="C463" s="7" t="s">
        <v>6070</v>
      </c>
      <c r="D463" s="9">
        <v>45978</v>
      </c>
      <c r="E463" s="3">
        <v>3064.03</v>
      </c>
      <c r="F463" s="7" t="s">
        <v>3184</v>
      </c>
      <c r="H463" s="9"/>
    </row>
    <row r="464" spans="1:8" x14ac:dyDescent="0.3">
      <c r="A464" s="7" t="s">
        <v>7282</v>
      </c>
      <c r="B464" s="7" t="s">
        <v>261</v>
      </c>
      <c r="C464" s="7" t="s">
        <v>6071</v>
      </c>
      <c r="D464" s="9">
        <v>46056</v>
      </c>
      <c r="E464" s="3">
        <v>1220.68</v>
      </c>
      <c r="F464" s="7" t="s">
        <v>3174</v>
      </c>
      <c r="H464" s="9"/>
    </row>
    <row r="465" spans="1:8" x14ac:dyDescent="0.3">
      <c r="A465" s="7" t="s">
        <v>7283</v>
      </c>
      <c r="B465" s="7" t="s">
        <v>269</v>
      </c>
      <c r="C465" s="7" t="s">
        <v>6073</v>
      </c>
      <c r="D465" s="9">
        <v>46036</v>
      </c>
      <c r="E465" s="3">
        <v>2950.54</v>
      </c>
      <c r="F465" s="7" t="s">
        <v>6820</v>
      </c>
      <c r="H465" s="9"/>
    </row>
    <row r="466" spans="1:8" x14ac:dyDescent="0.3">
      <c r="A466" s="7" t="s">
        <v>7284</v>
      </c>
      <c r="B466" s="7" t="s">
        <v>281</v>
      </c>
      <c r="C466" s="7" t="s">
        <v>6074</v>
      </c>
      <c r="D466" s="9">
        <v>46052</v>
      </c>
      <c r="E466" s="3">
        <v>1911.3</v>
      </c>
      <c r="F466" s="7" t="s">
        <v>3174</v>
      </c>
      <c r="H466" s="9"/>
    </row>
    <row r="467" spans="1:8" x14ac:dyDescent="0.3">
      <c r="A467" s="7" t="s">
        <v>7285</v>
      </c>
      <c r="B467" s="7" t="s">
        <v>339</v>
      </c>
      <c r="C467" s="7" t="s">
        <v>6075</v>
      </c>
      <c r="D467" s="9">
        <v>45971</v>
      </c>
      <c r="E467" s="3">
        <v>2823.66</v>
      </c>
      <c r="F467" s="7" t="s">
        <v>3174</v>
      </c>
      <c r="H467" s="9"/>
    </row>
    <row r="468" spans="1:8" x14ac:dyDescent="0.3">
      <c r="A468" s="7" t="s">
        <v>7286</v>
      </c>
      <c r="B468" s="7" t="s">
        <v>276</v>
      </c>
      <c r="C468" s="7" t="s">
        <v>6077</v>
      </c>
      <c r="D468" s="9">
        <v>45998</v>
      </c>
      <c r="E468" s="3">
        <v>5016.0600000000004</v>
      </c>
      <c r="F468" s="7" t="s">
        <v>3174</v>
      </c>
      <c r="H468" s="9"/>
    </row>
    <row r="469" spans="1:8" x14ac:dyDescent="0.3">
      <c r="A469" s="7" t="s">
        <v>7287</v>
      </c>
      <c r="B469" s="7" t="s">
        <v>269</v>
      </c>
      <c r="C469" s="7" t="s">
        <v>6078</v>
      </c>
      <c r="D469" s="9">
        <v>45959</v>
      </c>
      <c r="E469" s="3">
        <v>2779.77</v>
      </c>
      <c r="F469" s="7" t="s">
        <v>3184</v>
      </c>
      <c r="H469" s="9"/>
    </row>
    <row r="470" spans="1:8" x14ac:dyDescent="0.3">
      <c r="A470" s="7" t="s">
        <v>7288</v>
      </c>
      <c r="B470" s="7" t="s">
        <v>315</v>
      </c>
      <c r="C470" s="7" t="s">
        <v>6081</v>
      </c>
      <c r="D470" s="9">
        <v>46064</v>
      </c>
      <c r="E470" s="3">
        <v>4400.57</v>
      </c>
      <c r="F470" s="7" t="s">
        <v>3174</v>
      </c>
      <c r="H470" s="9"/>
    </row>
    <row r="471" spans="1:8" x14ac:dyDescent="0.3">
      <c r="A471" s="7" t="s">
        <v>7289</v>
      </c>
      <c r="B471" s="7" t="s">
        <v>327</v>
      </c>
      <c r="C471" s="7" t="s">
        <v>6083</v>
      </c>
      <c r="D471" s="9">
        <v>46041</v>
      </c>
      <c r="E471" s="3">
        <v>2435.83</v>
      </c>
      <c r="F471" s="7" t="s">
        <v>3174</v>
      </c>
      <c r="H471" s="9"/>
    </row>
    <row r="472" spans="1:8" x14ac:dyDescent="0.3">
      <c r="A472" s="7" t="s">
        <v>7290</v>
      </c>
      <c r="B472" s="7" t="s">
        <v>335</v>
      </c>
      <c r="C472" s="7" t="s">
        <v>6084</v>
      </c>
      <c r="D472" s="9">
        <v>46094</v>
      </c>
      <c r="E472" s="3">
        <v>6720.04</v>
      </c>
      <c r="F472" s="7" t="s">
        <v>3184</v>
      </c>
      <c r="H472" s="9"/>
    </row>
    <row r="473" spans="1:8" x14ac:dyDescent="0.3">
      <c r="A473" s="7" t="s">
        <v>7291</v>
      </c>
      <c r="B473" s="7" t="s">
        <v>325</v>
      </c>
      <c r="C473" s="7" t="s">
        <v>6086</v>
      </c>
      <c r="D473" s="9">
        <v>46011</v>
      </c>
      <c r="E473" s="3">
        <v>5767.99</v>
      </c>
      <c r="F473" s="7" t="s">
        <v>6820</v>
      </c>
      <c r="H473" s="9"/>
    </row>
    <row r="474" spans="1:8" x14ac:dyDescent="0.3">
      <c r="A474" s="7" t="s">
        <v>7292</v>
      </c>
      <c r="B474" s="7" t="s">
        <v>261</v>
      </c>
      <c r="C474" s="7" t="s">
        <v>6087</v>
      </c>
      <c r="D474" s="9">
        <v>45964</v>
      </c>
      <c r="E474" s="3">
        <v>5795.41</v>
      </c>
      <c r="F474" s="7" t="s">
        <v>3174</v>
      </c>
      <c r="H474" s="9"/>
    </row>
    <row r="475" spans="1:8" x14ac:dyDescent="0.3">
      <c r="A475" s="7" t="s">
        <v>7293</v>
      </c>
      <c r="B475" s="7" t="s">
        <v>264</v>
      </c>
      <c r="C475" s="7" t="s">
        <v>6088</v>
      </c>
      <c r="D475" s="9">
        <v>46033</v>
      </c>
      <c r="E475" s="3">
        <v>4541.51</v>
      </c>
      <c r="F475" s="7" t="s">
        <v>3184</v>
      </c>
      <c r="H475" s="9"/>
    </row>
    <row r="476" spans="1:8" x14ac:dyDescent="0.3">
      <c r="A476" s="7" t="s">
        <v>7294</v>
      </c>
      <c r="B476" s="7" t="s">
        <v>289</v>
      </c>
      <c r="C476" s="7" t="s">
        <v>6089</v>
      </c>
      <c r="D476" s="9">
        <v>45971</v>
      </c>
      <c r="E476" s="3">
        <v>6071.91</v>
      </c>
      <c r="F476" s="7" t="s">
        <v>3174</v>
      </c>
      <c r="H476" s="9"/>
    </row>
    <row r="477" spans="1:8" x14ac:dyDescent="0.3">
      <c r="A477" s="7" t="s">
        <v>7295</v>
      </c>
      <c r="B477" s="7" t="s">
        <v>325</v>
      </c>
      <c r="C477" s="7" t="s">
        <v>6090</v>
      </c>
      <c r="D477" s="9">
        <v>46086</v>
      </c>
      <c r="E477" s="3">
        <v>2118.75</v>
      </c>
      <c r="F477" s="7" t="s">
        <v>3174</v>
      </c>
      <c r="H477" s="9"/>
    </row>
    <row r="478" spans="1:8" x14ac:dyDescent="0.3">
      <c r="A478" s="7" t="s">
        <v>7296</v>
      </c>
      <c r="B478" s="7" t="s">
        <v>315</v>
      </c>
      <c r="C478" s="7" t="s">
        <v>6091</v>
      </c>
      <c r="D478" s="9">
        <v>46022</v>
      </c>
      <c r="E478" s="3">
        <v>2592.39</v>
      </c>
      <c r="F478" s="7" t="s">
        <v>3184</v>
      </c>
      <c r="H478" s="9"/>
    </row>
    <row r="479" spans="1:8" x14ac:dyDescent="0.3">
      <c r="A479" s="7" t="s">
        <v>7297</v>
      </c>
      <c r="B479" s="7" t="s">
        <v>297</v>
      </c>
      <c r="C479" s="7" t="s">
        <v>6094</v>
      </c>
      <c r="D479" s="9">
        <v>46084</v>
      </c>
      <c r="E479" s="3">
        <v>1825.09</v>
      </c>
      <c r="F479" s="7" t="s">
        <v>3184</v>
      </c>
      <c r="H479" s="9"/>
    </row>
    <row r="480" spans="1:8" x14ac:dyDescent="0.3">
      <c r="A480" s="7" t="s">
        <v>7298</v>
      </c>
      <c r="B480" s="7" t="s">
        <v>285</v>
      </c>
      <c r="C480" s="7" t="s">
        <v>6095</v>
      </c>
      <c r="D480" s="9">
        <v>46078</v>
      </c>
      <c r="E480" s="3">
        <v>2187.77</v>
      </c>
      <c r="F480" s="7" t="s">
        <v>3184</v>
      </c>
      <c r="H480" s="9"/>
    </row>
    <row r="481" spans="1:8" x14ac:dyDescent="0.3">
      <c r="A481" s="7" t="s">
        <v>7299</v>
      </c>
      <c r="B481" s="7" t="s">
        <v>283</v>
      </c>
      <c r="C481" s="7" t="s">
        <v>6096</v>
      </c>
      <c r="D481" s="9">
        <v>46006</v>
      </c>
      <c r="E481" s="3">
        <v>1089.75</v>
      </c>
      <c r="F481" s="7" t="s">
        <v>6820</v>
      </c>
      <c r="H481" s="9"/>
    </row>
    <row r="482" spans="1:8" x14ac:dyDescent="0.3">
      <c r="A482" s="7" t="s">
        <v>7300</v>
      </c>
      <c r="B482" s="7" t="s">
        <v>337</v>
      </c>
      <c r="C482" s="7" t="s">
        <v>6097</v>
      </c>
      <c r="D482" s="9">
        <v>46091</v>
      </c>
      <c r="E482" s="3">
        <v>1382.31</v>
      </c>
      <c r="F482" s="7" t="s">
        <v>6820</v>
      </c>
      <c r="H482" s="9"/>
    </row>
    <row r="483" spans="1:8" x14ac:dyDescent="0.3">
      <c r="A483" s="7" t="s">
        <v>7301</v>
      </c>
      <c r="B483" s="7" t="s">
        <v>319</v>
      </c>
      <c r="C483" s="7" t="s">
        <v>6098</v>
      </c>
      <c r="D483" s="9">
        <v>45971</v>
      </c>
      <c r="E483" s="3">
        <v>4624.45</v>
      </c>
      <c r="F483" s="7" t="s">
        <v>6820</v>
      </c>
      <c r="H483" s="9"/>
    </row>
    <row r="484" spans="1:8" x14ac:dyDescent="0.3">
      <c r="A484" s="7" t="s">
        <v>7302</v>
      </c>
      <c r="B484" s="7" t="s">
        <v>331</v>
      </c>
      <c r="C484" s="7" t="s">
        <v>6099</v>
      </c>
      <c r="D484" s="9">
        <v>46026</v>
      </c>
      <c r="E484" s="3">
        <v>2529.1799999999998</v>
      </c>
      <c r="F484" s="7" t="s">
        <v>6820</v>
      </c>
      <c r="H484" s="9"/>
    </row>
    <row r="485" spans="1:8" x14ac:dyDescent="0.3">
      <c r="A485" s="7" t="s">
        <v>7303</v>
      </c>
      <c r="B485" s="7" t="s">
        <v>272</v>
      </c>
      <c r="C485" s="7" t="s">
        <v>6100</v>
      </c>
      <c r="D485" s="9">
        <v>45977</v>
      </c>
      <c r="E485" s="3">
        <v>4548.83</v>
      </c>
      <c r="F485" s="7" t="s">
        <v>3184</v>
      </c>
      <c r="H485" s="9"/>
    </row>
    <row r="486" spans="1:8" x14ac:dyDescent="0.3">
      <c r="A486" s="7" t="s">
        <v>7304</v>
      </c>
      <c r="B486" s="7" t="s">
        <v>325</v>
      </c>
      <c r="C486" s="7" t="s">
        <v>6101</v>
      </c>
      <c r="D486" s="9">
        <v>46085</v>
      </c>
      <c r="E486" s="3">
        <v>2854.68</v>
      </c>
      <c r="F486" s="7" t="s">
        <v>6820</v>
      </c>
      <c r="H486" s="9"/>
    </row>
    <row r="487" spans="1:8" x14ac:dyDescent="0.3">
      <c r="A487" s="7" t="s">
        <v>7305</v>
      </c>
      <c r="B487" s="7" t="s">
        <v>299</v>
      </c>
      <c r="C487" s="7" t="s">
        <v>6102</v>
      </c>
      <c r="D487" s="9">
        <v>46061</v>
      </c>
      <c r="E487" s="3">
        <v>5078.2700000000004</v>
      </c>
      <c r="F487" s="7" t="s">
        <v>6820</v>
      </c>
      <c r="H487" s="9"/>
    </row>
    <row r="488" spans="1:8" x14ac:dyDescent="0.3">
      <c r="A488" s="7" t="s">
        <v>7306</v>
      </c>
      <c r="B488" s="7" t="s">
        <v>321</v>
      </c>
      <c r="C488" s="7" t="s">
        <v>6103</v>
      </c>
      <c r="D488" s="9">
        <v>46000</v>
      </c>
      <c r="E488" s="3">
        <v>2806.37</v>
      </c>
      <c r="F488" s="7" t="s">
        <v>6820</v>
      </c>
      <c r="H488" s="9"/>
    </row>
    <row r="489" spans="1:8" x14ac:dyDescent="0.3">
      <c r="A489" s="7" t="s">
        <v>7307</v>
      </c>
      <c r="B489" s="7" t="s">
        <v>261</v>
      </c>
      <c r="C489" s="7" t="s">
        <v>6105</v>
      </c>
      <c r="D489" s="9">
        <v>46024</v>
      </c>
      <c r="E489" s="3">
        <v>5243.05</v>
      </c>
      <c r="F489" s="7" t="s">
        <v>3174</v>
      </c>
      <c r="H489" s="9"/>
    </row>
    <row r="490" spans="1:8" x14ac:dyDescent="0.3">
      <c r="A490" s="7" t="s">
        <v>7308</v>
      </c>
      <c r="B490" s="7" t="s">
        <v>291</v>
      </c>
      <c r="C490" s="7" t="s">
        <v>6106</v>
      </c>
      <c r="D490" s="9">
        <v>46074</v>
      </c>
      <c r="E490" s="3">
        <v>4975.29</v>
      </c>
      <c r="F490" s="7" t="s">
        <v>3174</v>
      </c>
      <c r="H490" s="9"/>
    </row>
    <row r="491" spans="1:8" x14ac:dyDescent="0.3">
      <c r="A491" s="7" t="s">
        <v>7309</v>
      </c>
      <c r="B491" s="7" t="s">
        <v>283</v>
      </c>
      <c r="C491" s="7" t="s">
        <v>6107</v>
      </c>
      <c r="D491" s="9">
        <v>46017</v>
      </c>
      <c r="E491" s="3">
        <v>6464.39</v>
      </c>
      <c r="F491" s="7" t="s">
        <v>3174</v>
      </c>
      <c r="H491" s="9"/>
    </row>
    <row r="492" spans="1:8" x14ac:dyDescent="0.3">
      <c r="A492" s="7" t="s">
        <v>7310</v>
      </c>
      <c r="B492" s="7" t="s">
        <v>291</v>
      </c>
      <c r="C492" s="7" t="s">
        <v>6108</v>
      </c>
      <c r="D492" s="9">
        <v>46067</v>
      </c>
      <c r="E492" s="3">
        <v>2063.2600000000002</v>
      </c>
      <c r="F492" s="7" t="s">
        <v>3174</v>
      </c>
      <c r="H492" s="9"/>
    </row>
    <row r="493" spans="1:8" x14ac:dyDescent="0.3">
      <c r="A493" s="7" t="s">
        <v>7311</v>
      </c>
      <c r="B493" s="7" t="s">
        <v>329</v>
      </c>
      <c r="C493" s="7" t="s">
        <v>6109</v>
      </c>
      <c r="D493" s="9">
        <v>46100</v>
      </c>
      <c r="E493" s="3">
        <v>5139.03</v>
      </c>
      <c r="F493" s="7" t="s">
        <v>3174</v>
      </c>
      <c r="H493" s="9"/>
    </row>
    <row r="494" spans="1:8" x14ac:dyDescent="0.3">
      <c r="A494" s="7" t="s">
        <v>7312</v>
      </c>
      <c r="B494" s="7" t="s">
        <v>303</v>
      </c>
      <c r="C494" s="7" t="s">
        <v>6110</v>
      </c>
      <c r="D494" s="9">
        <v>46084</v>
      </c>
      <c r="E494" s="3">
        <v>5326.7</v>
      </c>
      <c r="F494" s="7" t="s">
        <v>6820</v>
      </c>
      <c r="H494" s="9"/>
    </row>
    <row r="495" spans="1:8" x14ac:dyDescent="0.3">
      <c r="A495" s="7" t="s">
        <v>7313</v>
      </c>
      <c r="B495" s="7" t="s">
        <v>261</v>
      </c>
      <c r="C495" s="7" t="s">
        <v>6111</v>
      </c>
      <c r="D495" s="9">
        <v>46094</v>
      </c>
      <c r="E495" s="3">
        <v>2085.48</v>
      </c>
      <c r="F495" s="7" t="s">
        <v>6820</v>
      </c>
      <c r="H495" s="9"/>
    </row>
    <row r="496" spans="1:8" x14ac:dyDescent="0.3">
      <c r="A496" s="7" t="s">
        <v>7314</v>
      </c>
      <c r="B496" s="7" t="s">
        <v>267</v>
      </c>
      <c r="C496" s="7" t="s">
        <v>6112</v>
      </c>
      <c r="D496" s="9">
        <v>46009</v>
      </c>
      <c r="E496" s="3">
        <v>2877.36</v>
      </c>
      <c r="F496" s="7" t="s">
        <v>3174</v>
      </c>
      <c r="H496" s="9"/>
    </row>
    <row r="497" spans="1:8" x14ac:dyDescent="0.3">
      <c r="A497" s="7" t="s">
        <v>7315</v>
      </c>
      <c r="B497" s="7" t="s">
        <v>303</v>
      </c>
      <c r="C497" s="7" t="s">
        <v>6113</v>
      </c>
      <c r="D497" s="9">
        <v>46049</v>
      </c>
      <c r="E497" s="3">
        <v>1638.69</v>
      </c>
      <c r="F497" s="7" t="s">
        <v>3174</v>
      </c>
      <c r="H497" s="9"/>
    </row>
    <row r="498" spans="1:8" x14ac:dyDescent="0.3">
      <c r="A498" s="7" t="s">
        <v>7316</v>
      </c>
      <c r="B498" s="7" t="s">
        <v>325</v>
      </c>
      <c r="C498" s="7" t="s">
        <v>6114</v>
      </c>
      <c r="D498" s="9">
        <v>46063</v>
      </c>
      <c r="E498" s="3">
        <v>5704.73</v>
      </c>
      <c r="F498" s="7" t="s">
        <v>3174</v>
      </c>
      <c r="H498" s="9"/>
    </row>
    <row r="499" spans="1:8" x14ac:dyDescent="0.3">
      <c r="A499" s="7" t="s">
        <v>7317</v>
      </c>
      <c r="B499" s="7" t="s">
        <v>327</v>
      </c>
      <c r="C499" s="7" t="s">
        <v>6115</v>
      </c>
      <c r="D499" s="9">
        <v>46065</v>
      </c>
      <c r="E499" s="3">
        <v>2475.54</v>
      </c>
      <c r="F499" s="7" t="s">
        <v>6820</v>
      </c>
      <c r="H499" s="9"/>
    </row>
    <row r="500" spans="1:8" x14ac:dyDescent="0.3">
      <c r="A500" s="7" t="s">
        <v>7318</v>
      </c>
      <c r="B500" s="7" t="s">
        <v>325</v>
      </c>
      <c r="C500" s="7" t="s">
        <v>6116</v>
      </c>
      <c r="D500" s="9">
        <v>45984</v>
      </c>
      <c r="E500" s="3">
        <v>5645.31</v>
      </c>
      <c r="F500" s="7" t="s">
        <v>3174</v>
      </c>
      <c r="H500" s="9"/>
    </row>
    <row r="501" spans="1:8" x14ac:dyDescent="0.3">
      <c r="A501" s="7" t="s">
        <v>7319</v>
      </c>
      <c r="B501" s="7" t="s">
        <v>323</v>
      </c>
      <c r="C501" s="7" t="s">
        <v>6117</v>
      </c>
      <c r="D501" s="9">
        <v>45969</v>
      </c>
      <c r="E501" s="3">
        <v>3405.54</v>
      </c>
      <c r="F501" s="7" t="s">
        <v>3184</v>
      </c>
      <c r="H501" s="9"/>
    </row>
    <row r="502" spans="1:8" x14ac:dyDescent="0.3">
      <c r="A502" s="7" t="s">
        <v>7320</v>
      </c>
      <c r="B502" s="7" t="s">
        <v>285</v>
      </c>
      <c r="C502" s="7" t="s">
        <v>6118</v>
      </c>
      <c r="D502" s="9">
        <v>46018</v>
      </c>
      <c r="E502" s="3">
        <v>885.52</v>
      </c>
      <c r="F502" s="7" t="s">
        <v>6820</v>
      </c>
      <c r="H502" s="9"/>
    </row>
    <row r="503" spans="1:8" x14ac:dyDescent="0.3">
      <c r="A503" s="7" t="s">
        <v>7321</v>
      </c>
      <c r="B503" s="7" t="s">
        <v>289</v>
      </c>
      <c r="C503" s="7" t="s">
        <v>6119</v>
      </c>
      <c r="D503" s="9">
        <v>46066</v>
      </c>
      <c r="E503" s="3">
        <v>5790.07</v>
      </c>
      <c r="F503" s="7" t="s">
        <v>6820</v>
      </c>
      <c r="H503" s="9"/>
    </row>
    <row r="504" spans="1:8" x14ac:dyDescent="0.3">
      <c r="A504" s="7" t="s">
        <v>7322</v>
      </c>
      <c r="B504" s="7" t="s">
        <v>272</v>
      </c>
      <c r="C504" s="7" t="s">
        <v>6121</v>
      </c>
      <c r="D504" s="9">
        <v>46078</v>
      </c>
      <c r="E504" s="3">
        <v>2552.89</v>
      </c>
      <c r="F504" s="7" t="s">
        <v>6820</v>
      </c>
      <c r="H504" s="9"/>
    </row>
    <row r="505" spans="1:8" x14ac:dyDescent="0.3">
      <c r="A505" s="7" t="s">
        <v>7323</v>
      </c>
      <c r="B505" s="7" t="s">
        <v>327</v>
      </c>
      <c r="C505" s="7" t="s">
        <v>6122</v>
      </c>
      <c r="D505" s="9">
        <v>46081</v>
      </c>
      <c r="E505" s="3">
        <v>4803.2700000000004</v>
      </c>
      <c r="F505" s="7" t="s">
        <v>6820</v>
      </c>
      <c r="H505" s="9"/>
    </row>
    <row r="506" spans="1:8" x14ac:dyDescent="0.3">
      <c r="A506" s="7" t="s">
        <v>7324</v>
      </c>
      <c r="B506" s="7" t="s">
        <v>339</v>
      </c>
      <c r="C506" s="7" t="s">
        <v>6123</v>
      </c>
      <c r="D506" s="9">
        <v>45987</v>
      </c>
      <c r="E506" s="3">
        <v>5133.6899999999996</v>
      </c>
      <c r="F506" s="7" t="s">
        <v>3184</v>
      </c>
      <c r="H506" s="9"/>
    </row>
    <row r="507" spans="1:8" x14ac:dyDescent="0.3">
      <c r="A507" s="7" t="s">
        <v>7325</v>
      </c>
      <c r="B507" s="7" t="s">
        <v>267</v>
      </c>
      <c r="C507" s="7" t="s">
        <v>6126</v>
      </c>
      <c r="D507" s="9">
        <v>46069</v>
      </c>
      <c r="E507" s="3">
        <v>4453.5200000000004</v>
      </c>
      <c r="F507" s="7" t="s">
        <v>6820</v>
      </c>
      <c r="H507" s="9"/>
    </row>
    <row r="508" spans="1:8" x14ac:dyDescent="0.3">
      <c r="A508" s="7" t="s">
        <v>7326</v>
      </c>
      <c r="B508" s="7" t="s">
        <v>261</v>
      </c>
      <c r="C508" s="7" t="s">
        <v>6127</v>
      </c>
      <c r="D508" s="9">
        <v>46029</v>
      </c>
      <c r="E508" s="3">
        <v>6174.01</v>
      </c>
      <c r="F508" s="7" t="s">
        <v>6820</v>
      </c>
      <c r="H508" s="9"/>
    </row>
    <row r="509" spans="1:8" x14ac:dyDescent="0.3">
      <c r="A509" s="7" t="s">
        <v>7327</v>
      </c>
      <c r="B509" s="7" t="s">
        <v>291</v>
      </c>
      <c r="C509" s="7" t="s">
        <v>6128</v>
      </c>
      <c r="D509" s="9">
        <v>45979</v>
      </c>
      <c r="E509" s="3">
        <v>1686.12</v>
      </c>
      <c r="F509" s="7" t="s">
        <v>3174</v>
      </c>
      <c r="H509" s="9"/>
    </row>
    <row r="510" spans="1:8" x14ac:dyDescent="0.3">
      <c r="A510" s="7" t="s">
        <v>7328</v>
      </c>
      <c r="B510" s="7" t="s">
        <v>301</v>
      </c>
      <c r="C510" s="7" t="s">
        <v>6129</v>
      </c>
      <c r="D510" s="9">
        <v>45976</v>
      </c>
      <c r="E510" s="3">
        <v>2142.17</v>
      </c>
      <c r="F510" s="7" t="s">
        <v>6820</v>
      </c>
      <c r="H510" s="9"/>
    </row>
    <row r="511" spans="1:8" x14ac:dyDescent="0.3">
      <c r="A511" s="7" t="s">
        <v>7329</v>
      </c>
      <c r="B511" s="7" t="s">
        <v>297</v>
      </c>
      <c r="C511" s="7" t="s">
        <v>6130</v>
      </c>
      <c r="D511" s="9">
        <v>46048</v>
      </c>
      <c r="E511" s="3">
        <v>6337.77</v>
      </c>
      <c r="F511" s="7" t="s">
        <v>6820</v>
      </c>
      <c r="H511" s="9"/>
    </row>
    <row r="512" spans="1:8" x14ac:dyDescent="0.3">
      <c r="A512" s="7" t="s">
        <v>7330</v>
      </c>
      <c r="B512" s="7" t="s">
        <v>301</v>
      </c>
      <c r="C512" s="7" t="s">
        <v>6133</v>
      </c>
      <c r="D512" s="9">
        <v>46065</v>
      </c>
      <c r="E512" s="3">
        <v>4286.79</v>
      </c>
      <c r="F512" s="7" t="s">
        <v>3184</v>
      </c>
      <c r="H512" s="9"/>
    </row>
    <row r="513" spans="1:8" x14ac:dyDescent="0.3">
      <c r="A513" s="7" t="s">
        <v>7331</v>
      </c>
      <c r="B513" s="7" t="s">
        <v>261</v>
      </c>
      <c r="C513" s="7" t="s">
        <v>6134</v>
      </c>
      <c r="D513" s="9">
        <v>46027</v>
      </c>
      <c r="E513" s="3">
        <v>5138.78</v>
      </c>
      <c r="F513" s="7" t="s">
        <v>6820</v>
      </c>
      <c r="H513" s="9"/>
    </row>
    <row r="514" spans="1:8" x14ac:dyDescent="0.3">
      <c r="A514" s="7" t="s">
        <v>7332</v>
      </c>
      <c r="B514" s="7" t="s">
        <v>285</v>
      </c>
      <c r="C514" s="7" t="s">
        <v>6135</v>
      </c>
      <c r="D514" s="9">
        <v>46015</v>
      </c>
      <c r="E514" s="3">
        <v>1652.32</v>
      </c>
      <c r="F514" s="7" t="s">
        <v>6820</v>
      </c>
      <c r="H514" s="9"/>
    </row>
    <row r="515" spans="1:8" x14ac:dyDescent="0.3">
      <c r="A515" s="7" t="s">
        <v>7333</v>
      </c>
      <c r="B515" s="7" t="s">
        <v>303</v>
      </c>
      <c r="C515" s="7" t="s">
        <v>6136</v>
      </c>
      <c r="D515" s="9">
        <v>45977</v>
      </c>
      <c r="E515" s="3">
        <v>6622.09</v>
      </c>
      <c r="F515" s="7" t="s">
        <v>3184</v>
      </c>
      <c r="H515" s="9"/>
    </row>
    <row r="516" spans="1:8" x14ac:dyDescent="0.3">
      <c r="A516" s="7" t="s">
        <v>7334</v>
      </c>
      <c r="B516" s="7" t="s">
        <v>327</v>
      </c>
      <c r="C516" s="7" t="s">
        <v>6138</v>
      </c>
      <c r="D516" s="9">
        <v>46013</v>
      </c>
      <c r="E516" s="3">
        <v>1198.1300000000001</v>
      </c>
      <c r="F516" s="7" t="s">
        <v>3174</v>
      </c>
      <c r="H516" s="9"/>
    </row>
    <row r="517" spans="1:8" x14ac:dyDescent="0.3">
      <c r="A517" s="7" t="s">
        <v>7335</v>
      </c>
      <c r="B517" s="7" t="s">
        <v>283</v>
      </c>
      <c r="C517" s="7" t="s">
        <v>6139</v>
      </c>
      <c r="D517" s="9">
        <v>46061</v>
      </c>
      <c r="E517" s="3">
        <v>6435.76</v>
      </c>
      <c r="F517" s="7" t="s">
        <v>6820</v>
      </c>
      <c r="H517" s="9"/>
    </row>
    <row r="518" spans="1:8" x14ac:dyDescent="0.3">
      <c r="A518" s="7" t="s">
        <v>7336</v>
      </c>
      <c r="B518" s="7" t="s">
        <v>333</v>
      </c>
      <c r="C518" s="7" t="s">
        <v>6140</v>
      </c>
      <c r="D518" s="9">
        <v>46017</v>
      </c>
      <c r="E518" s="3">
        <v>4823.38</v>
      </c>
      <c r="F518" s="7" t="s">
        <v>6820</v>
      </c>
      <c r="H518" s="9"/>
    </row>
    <row r="519" spans="1:8" x14ac:dyDescent="0.3">
      <c r="A519" s="7" t="s">
        <v>7337</v>
      </c>
      <c r="B519" s="7" t="s">
        <v>301</v>
      </c>
      <c r="C519" s="7" t="s">
        <v>6141</v>
      </c>
      <c r="D519" s="9">
        <v>45985</v>
      </c>
      <c r="E519" s="3">
        <v>1217.83</v>
      </c>
      <c r="F519" s="7" t="s">
        <v>3184</v>
      </c>
      <c r="H519" s="9"/>
    </row>
    <row r="520" spans="1:8" x14ac:dyDescent="0.3">
      <c r="A520" s="7" t="s">
        <v>7338</v>
      </c>
      <c r="B520" s="7" t="s">
        <v>272</v>
      </c>
      <c r="C520" s="7" t="s">
        <v>6142</v>
      </c>
      <c r="D520" s="9">
        <v>46094</v>
      </c>
      <c r="E520" s="3">
        <v>6922.19</v>
      </c>
      <c r="F520" s="7" t="s">
        <v>6820</v>
      </c>
      <c r="H520" s="9"/>
    </row>
    <row r="521" spans="1:8" x14ac:dyDescent="0.3">
      <c r="A521" s="7" t="s">
        <v>7339</v>
      </c>
      <c r="B521" s="7" t="s">
        <v>337</v>
      </c>
      <c r="C521" s="7" t="s">
        <v>6143</v>
      </c>
      <c r="D521" s="9">
        <v>45978</v>
      </c>
      <c r="E521" s="3">
        <v>4783.09</v>
      </c>
      <c r="F521" s="7" t="s">
        <v>3174</v>
      </c>
      <c r="H521" s="9"/>
    </row>
    <row r="522" spans="1:8" x14ac:dyDescent="0.3">
      <c r="A522" s="7" t="s">
        <v>7340</v>
      </c>
      <c r="B522" s="7" t="s">
        <v>264</v>
      </c>
      <c r="C522" s="7" t="s">
        <v>6145</v>
      </c>
      <c r="D522" s="9">
        <v>45987</v>
      </c>
      <c r="E522" s="3">
        <v>5468.84</v>
      </c>
      <c r="F522" s="7" t="s">
        <v>3184</v>
      </c>
      <c r="H522" s="9"/>
    </row>
    <row r="523" spans="1:8" x14ac:dyDescent="0.3">
      <c r="A523" s="7" t="s">
        <v>7341</v>
      </c>
      <c r="B523" s="7" t="s">
        <v>321</v>
      </c>
      <c r="C523" s="7" t="s">
        <v>6146</v>
      </c>
      <c r="D523" s="9">
        <v>46070</v>
      </c>
      <c r="E523" s="3">
        <v>4665.8999999999996</v>
      </c>
      <c r="F523" s="7" t="s">
        <v>3174</v>
      </c>
      <c r="H523" s="9"/>
    </row>
    <row r="524" spans="1:8" x14ac:dyDescent="0.3">
      <c r="A524" s="7" t="s">
        <v>7342</v>
      </c>
      <c r="B524" s="7" t="s">
        <v>289</v>
      </c>
      <c r="C524" s="7" t="s">
        <v>6147</v>
      </c>
      <c r="D524" s="9">
        <v>46038</v>
      </c>
      <c r="E524" s="3">
        <v>6278.28</v>
      </c>
      <c r="F524" s="7" t="s">
        <v>3184</v>
      </c>
      <c r="H524" s="9"/>
    </row>
    <row r="525" spans="1:8" x14ac:dyDescent="0.3">
      <c r="A525" s="7" t="s">
        <v>7343</v>
      </c>
      <c r="B525" s="7" t="s">
        <v>321</v>
      </c>
      <c r="C525" s="7" t="s">
        <v>6148</v>
      </c>
      <c r="D525" s="9">
        <v>46046</v>
      </c>
      <c r="E525" s="3">
        <v>1755.82</v>
      </c>
      <c r="F525" s="7" t="s">
        <v>3174</v>
      </c>
      <c r="H525" s="9"/>
    </row>
    <row r="526" spans="1:8" x14ac:dyDescent="0.3">
      <c r="A526" s="7" t="s">
        <v>7344</v>
      </c>
      <c r="B526" s="7" t="s">
        <v>313</v>
      </c>
      <c r="C526" s="7" t="s">
        <v>6150</v>
      </c>
      <c r="D526" s="9">
        <v>46000</v>
      </c>
      <c r="E526" s="3">
        <v>3284.81</v>
      </c>
      <c r="F526" s="7" t="s">
        <v>3174</v>
      </c>
      <c r="H526" s="9"/>
    </row>
    <row r="527" spans="1:8" x14ac:dyDescent="0.3">
      <c r="A527" s="7" t="s">
        <v>7345</v>
      </c>
      <c r="B527" s="7" t="s">
        <v>317</v>
      </c>
      <c r="C527" s="7" t="s">
        <v>6152</v>
      </c>
      <c r="D527" s="9">
        <v>45984</v>
      </c>
      <c r="E527" s="3">
        <v>6696.72</v>
      </c>
      <c r="F527" s="7" t="s">
        <v>6820</v>
      </c>
      <c r="H527" s="9"/>
    </row>
    <row r="528" spans="1:8" x14ac:dyDescent="0.3">
      <c r="A528" s="7" t="s">
        <v>7346</v>
      </c>
      <c r="B528" s="7" t="s">
        <v>319</v>
      </c>
      <c r="C528" s="7" t="s">
        <v>6155</v>
      </c>
      <c r="D528" s="9">
        <v>46003</v>
      </c>
      <c r="E528" s="3">
        <v>2502.5</v>
      </c>
      <c r="F528" s="7" t="s">
        <v>6820</v>
      </c>
      <c r="H528" s="9"/>
    </row>
    <row r="529" spans="1:8" x14ac:dyDescent="0.3">
      <c r="A529" s="7" t="s">
        <v>7347</v>
      </c>
      <c r="B529" s="7" t="s">
        <v>281</v>
      </c>
      <c r="C529" s="7" t="s">
        <v>6157</v>
      </c>
      <c r="D529" s="9">
        <v>46059</v>
      </c>
      <c r="E529" s="3">
        <v>2605.25</v>
      </c>
      <c r="F529" s="7" t="s">
        <v>6820</v>
      </c>
      <c r="H529" s="9"/>
    </row>
    <row r="530" spans="1:8" x14ac:dyDescent="0.3">
      <c r="A530" s="7" t="s">
        <v>7348</v>
      </c>
      <c r="B530" s="7" t="s">
        <v>313</v>
      </c>
      <c r="C530" s="7" t="s">
        <v>6158</v>
      </c>
      <c r="D530" s="9">
        <v>46066</v>
      </c>
      <c r="E530" s="3">
        <v>2987.98</v>
      </c>
      <c r="F530" s="7" t="s">
        <v>3174</v>
      </c>
      <c r="H530" s="9"/>
    </row>
    <row r="531" spans="1:8" x14ac:dyDescent="0.3">
      <c r="A531" s="7" t="s">
        <v>7349</v>
      </c>
      <c r="B531" s="7" t="s">
        <v>297</v>
      </c>
      <c r="C531" s="7" t="s">
        <v>6159</v>
      </c>
      <c r="D531" s="9">
        <v>46037</v>
      </c>
      <c r="E531" s="3">
        <v>6141.76</v>
      </c>
      <c r="F531" s="7" t="s">
        <v>3184</v>
      </c>
      <c r="H531" s="9"/>
    </row>
    <row r="532" spans="1:8" x14ac:dyDescent="0.3">
      <c r="A532" s="7" t="s">
        <v>7350</v>
      </c>
      <c r="B532" s="7" t="s">
        <v>289</v>
      </c>
      <c r="C532" s="7" t="s">
        <v>6161</v>
      </c>
      <c r="D532" s="9">
        <v>45999</v>
      </c>
      <c r="E532" s="3">
        <v>2049.86</v>
      </c>
      <c r="F532" s="7" t="s">
        <v>3174</v>
      </c>
      <c r="H532" s="9"/>
    </row>
    <row r="533" spans="1:8" x14ac:dyDescent="0.3">
      <c r="A533" s="7" t="s">
        <v>7351</v>
      </c>
      <c r="B533" s="7" t="s">
        <v>264</v>
      </c>
      <c r="C533" s="7" t="s">
        <v>6162</v>
      </c>
      <c r="D533" s="9">
        <v>46090</v>
      </c>
      <c r="E533" s="3">
        <v>3977.86</v>
      </c>
      <c r="F533" s="7" t="s">
        <v>3174</v>
      </c>
      <c r="H533" s="9"/>
    </row>
    <row r="534" spans="1:8" x14ac:dyDescent="0.3">
      <c r="A534" s="7" t="s">
        <v>7352</v>
      </c>
      <c r="B534" s="7" t="s">
        <v>267</v>
      </c>
      <c r="C534" s="7" t="s">
        <v>6163</v>
      </c>
      <c r="D534" s="9">
        <v>45998</v>
      </c>
      <c r="E534" s="3">
        <v>5327.18</v>
      </c>
      <c r="F534" s="7" t="s">
        <v>6820</v>
      </c>
      <c r="H534" s="9"/>
    </row>
    <row r="535" spans="1:8" x14ac:dyDescent="0.3">
      <c r="A535" s="7" t="s">
        <v>7353</v>
      </c>
      <c r="B535" s="7" t="s">
        <v>289</v>
      </c>
      <c r="C535" s="7" t="s">
        <v>6164</v>
      </c>
      <c r="D535" s="9">
        <v>45968</v>
      </c>
      <c r="E535" s="3">
        <v>1082.6099999999999</v>
      </c>
      <c r="F535" s="7" t="s">
        <v>3174</v>
      </c>
      <c r="H535" s="9"/>
    </row>
    <row r="536" spans="1:8" x14ac:dyDescent="0.3">
      <c r="A536" s="7" t="s">
        <v>7354</v>
      </c>
      <c r="B536" s="7" t="s">
        <v>283</v>
      </c>
      <c r="C536" s="7" t="s">
        <v>6165</v>
      </c>
      <c r="D536" s="9">
        <v>46064</v>
      </c>
      <c r="E536" s="3">
        <v>6481.1</v>
      </c>
      <c r="F536" s="7" t="s">
        <v>3174</v>
      </c>
      <c r="H536" s="9"/>
    </row>
    <row r="537" spans="1:8" x14ac:dyDescent="0.3">
      <c r="A537" s="7" t="s">
        <v>7355</v>
      </c>
      <c r="B537" s="7" t="s">
        <v>287</v>
      </c>
      <c r="C537" s="7" t="s">
        <v>6166</v>
      </c>
      <c r="D537" s="9">
        <v>46026</v>
      </c>
      <c r="E537" s="3">
        <v>1080.3800000000001</v>
      </c>
      <c r="F537" s="7" t="s">
        <v>6820</v>
      </c>
      <c r="H537" s="9"/>
    </row>
    <row r="538" spans="1:8" x14ac:dyDescent="0.3">
      <c r="A538" s="7" t="s">
        <v>7356</v>
      </c>
      <c r="B538" s="7" t="s">
        <v>333</v>
      </c>
      <c r="C538" s="7" t="s">
        <v>6167</v>
      </c>
      <c r="D538" s="9">
        <v>46014</v>
      </c>
      <c r="E538" s="3">
        <v>4591.07</v>
      </c>
      <c r="F538" s="7" t="s">
        <v>3184</v>
      </c>
      <c r="H538" s="9"/>
    </row>
    <row r="539" spans="1:8" x14ac:dyDescent="0.3">
      <c r="A539" s="7" t="s">
        <v>7357</v>
      </c>
      <c r="B539" s="7" t="s">
        <v>299</v>
      </c>
      <c r="C539" s="7" t="s">
        <v>6168</v>
      </c>
      <c r="D539" s="9">
        <v>46001</v>
      </c>
      <c r="E539" s="3">
        <v>5429.59</v>
      </c>
      <c r="F539" s="7" t="s">
        <v>3184</v>
      </c>
      <c r="H539" s="9"/>
    </row>
    <row r="540" spans="1:8" x14ac:dyDescent="0.3">
      <c r="A540" s="7" t="s">
        <v>7358</v>
      </c>
      <c r="B540" s="7" t="s">
        <v>261</v>
      </c>
      <c r="C540" s="7" t="s">
        <v>6169</v>
      </c>
      <c r="D540" s="9">
        <v>46017</v>
      </c>
      <c r="E540" s="3">
        <v>4420.07</v>
      </c>
      <c r="F540" s="7" t="s">
        <v>3184</v>
      </c>
      <c r="H540" s="9"/>
    </row>
    <row r="541" spans="1:8" x14ac:dyDescent="0.3">
      <c r="A541" s="7" t="s">
        <v>7359</v>
      </c>
      <c r="B541" s="7" t="s">
        <v>327</v>
      </c>
      <c r="C541" s="7" t="s">
        <v>6171</v>
      </c>
      <c r="D541" s="9">
        <v>46028</v>
      </c>
      <c r="E541" s="3">
        <v>1636.56</v>
      </c>
      <c r="F541" s="7" t="s">
        <v>3174</v>
      </c>
      <c r="H541" s="9"/>
    </row>
    <row r="542" spans="1:8" x14ac:dyDescent="0.3">
      <c r="A542" s="7" t="s">
        <v>7360</v>
      </c>
      <c r="B542" s="7" t="s">
        <v>299</v>
      </c>
      <c r="C542" s="7" t="s">
        <v>6172</v>
      </c>
      <c r="D542" s="9">
        <v>45981</v>
      </c>
      <c r="E542" s="3">
        <v>1479</v>
      </c>
      <c r="F542" s="7" t="s">
        <v>6820</v>
      </c>
      <c r="H542" s="9"/>
    </row>
    <row r="543" spans="1:8" x14ac:dyDescent="0.3">
      <c r="A543" s="7" t="s">
        <v>7361</v>
      </c>
      <c r="B543" s="7" t="s">
        <v>331</v>
      </c>
      <c r="C543" s="7" t="s">
        <v>6173</v>
      </c>
      <c r="D543" s="9">
        <v>45973</v>
      </c>
      <c r="E543" s="3">
        <v>881.73</v>
      </c>
      <c r="F543" s="7" t="s">
        <v>3184</v>
      </c>
      <c r="H543" s="9"/>
    </row>
    <row r="544" spans="1:8" x14ac:dyDescent="0.3">
      <c r="A544" s="7" t="s">
        <v>7362</v>
      </c>
      <c r="B544" s="7" t="s">
        <v>327</v>
      </c>
      <c r="C544" s="7" t="s">
        <v>6175</v>
      </c>
      <c r="D544" s="9">
        <v>46102</v>
      </c>
      <c r="E544" s="3">
        <v>2654.76</v>
      </c>
      <c r="F544" s="7" t="s">
        <v>3174</v>
      </c>
      <c r="H544" s="9"/>
    </row>
    <row r="545" spans="1:8" x14ac:dyDescent="0.3">
      <c r="A545" s="7" t="s">
        <v>7363</v>
      </c>
      <c r="B545" s="7" t="s">
        <v>305</v>
      </c>
      <c r="C545" s="7" t="s">
        <v>6176</v>
      </c>
      <c r="D545" s="9">
        <v>46050</v>
      </c>
      <c r="E545" s="3">
        <v>3889.25</v>
      </c>
      <c r="F545" s="7" t="s">
        <v>3174</v>
      </c>
      <c r="H545" s="9"/>
    </row>
    <row r="546" spans="1:8" x14ac:dyDescent="0.3">
      <c r="A546" s="7" t="s">
        <v>7364</v>
      </c>
      <c r="B546" s="7" t="s">
        <v>335</v>
      </c>
      <c r="C546" s="7" t="s">
        <v>6178</v>
      </c>
      <c r="D546" s="9">
        <v>46031</v>
      </c>
      <c r="E546" s="3">
        <v>1079.98</v>
      </c>
      <c r="F546" s="7" t="s">
        <v>3184</v>
      </c>
      <c r="H546" s="9"/>
    </row>
    <row r="547" spans="1:8" x14ac:dyDescent="0.3">
      <c r="A547" s="7" t="s">
        <v>7365</v>
      </c>
      <c r="B547" s="7" t="s">
        <v>285</v>
      </c>
      <c r="C547" s="7" t="s">
        <v>6179</v>
      </c>
      <c r="D547" s="9">
        <v>46059</v>
      </c>
      <c r="E547" s="3">
        <v>5246.81</v>
      </c>
      <c r="F547" s="7" t="s">
        <v>3184</v>
      </c>
      <c r="H547" s="9"/>
    </row>
    <row r="548" spans="1:8" x14ac:dyDescent="0.3">
      <c r="A548" s="7" t="s">
        <v>7366</v>
      </c>
      <c r="B548" s="7" t="s">
        <v>341</v>
      </c>
      <c r="C548" s="7" t="s">
        <v>6181</v>
      </c>
      <c r="D548" s="9">
        <v>45994</v>
      </c>
      <c r="E548" s="3">
        <v>6844.73</v>
      </c>
      <c r="F548" s="7" t="s">
        <v>6820</v>
      </c>
      <c r="H548" s="9"/>
    </row>
    <row r="549" spans="1:8" x14ac:dyDescent="0.3">
      <c r="A549" s="7" t="s">
        <v>7367</v>
      </c>
      <c r="B549" s="7" t="s">
        <v>343</v>
      </c>
      <c r="C549" s="7" t="s">
        <v>6182</v>
      </c>
      <c r="D549" s="9">
        <v>46047</v>
      </c>
      <c r="E549" s="3">
        <v>6017.5</v>
      </c>
      <c r="F549" s="7" t="s">
        <v>3174</v>
      </c>
      <c r="H549" s="9"/>
    </row>
    <row r="550" spans="1:8" x14ac:dyDescent="0.3">
      <c r="A550" s="7" t="s">
        <v>7368</v>
      </c>
      <c r="B550" s="7" t="s">
        <v>283</v>
      </c>
      <c r="C550" s="7" t="s">
        <v>6183</v>
      </c>
      <c r="D550" s="9">
        <v>45993</v>
      </c>
      <c r="E550" s="3">
        <v>1053.3900000000001</v>
      </c>
      <c r="F550" s="7" t="s">
        <v>3184</v>
      </c>
      <c r="H550" s="9"/>
    </row>
    <row r="551" spans="1:8" x14ac:dyDescent="0.3">
      <c r="A551" s="7" t="s">
        <v>7369</v>
      </c>
      <c r="B551" s="7" t="s">
        <v>323</v>
      </c>
      <c r="C551" s="7" t="s">
        <v>6184</v>
      </c>
      <c r="D551" s="9">
        <v>46025</v>
      </c>
      <c r="E551" s="3">
        <v>3721.22</v>
      </c>
      <c r="F551" s="7" t="s">
        <v>3174</v>
      </c>
      <c r="H551" s="9"/>
    </row>
    <row r="552" spans="1:8" x14ac:dyDescent="0.3">
      <c r="A552" s="7" t="s">
        <v>7370</v>
      </c>
      <c r="B552" s="7" t="s">
        <v>272</v>
      </c>
      <c r="C552" s="7" t="s">
        <v>6186</v>
      </c>
      <c r="D552" s="9">
        <v>45974</v>
      </c>
      <c r="E552" s="3">
        <v>3983.61</v>
      </c>
      <c r="F552" s="7" t="s">
        <v>6820</v>
      </c>
      <c r="H552" s="9"/>
    </row>
    <row r="553" spans="1:8" x14ac:dyDescent="0.3">
      <c r="A553" s="7" t="s">
        <v>7371</v>
      </c>
      <c r="B553" s="7" t="s">
        <v>331</v>
      </c>
      <c r="C553" s="7" t="s">
        <v>6187</v>
      </c>
      <c r="D553" s="9">
        <v>46022</v>
      </c>
      <c r="E553" s="3">
        <v>5274.13</v>
      </c>
      <c r="F553" s="7" t="s">
        <v>3174</v>
      </c>
      <c r="H553" s="9"/>
    </row>
    <row r="554" spans="1:8" x14ac:dyDescent="0.3">
      <c r="A554" s="7" t="s">
        <v>7372</v>
      </c>
      <c r="B554" s="7" t="s">
        <v>281</v>
      </c>
      <c r="C554" s="7" t="s">
        <v>6188</v>
      </c>
      <c r="D554" s="9">
        <v>46048</v>
      </c>
      <c r="E554" s="3">
        <v>6002.41</v>
      </c>
      <c r="F554" s="7" t="s">
        <v>6820</v>
      </c>
      <c r="H554" s="9"/>
    </row>
    <row r="555" spans="1:8" x14ac:dyDescent="0.3">
      <c r="A555" s="7" t="s">
        <v>7373</v>
      </c>
      <c r="B555" s="7" t="s">
        <v>337</v>
      </c>
      <c r="C555" s="7" t="s">
        <v>6190</v>
      </c>
      <c r="D555" s="9">
        <v>45975</v>
      </c>
      <c r="E555" s="3">
        <v>3405.76</v>
      </c>
      <c r="F555" s="7" t="s">
        <v>3184</v>
      </c>
      <c r="H555" s="9"/>
    </row>
    <row r="556" spans="1:8" x14ac:dyDescent="0.3">
      <c r="A556" s="7" t="s">
        <v>7374</v>
      </c>
      <c r="B556" s="7" t="s">
        <v>285</v>
      </c>
      <c r="C556" s="7" t="s">
        <v>6191</v>
      </c>
      <c r="D556" s="9">
        <v>46051</v>
      </c>
      <c r="E556" s="3">
        <v>6820.66</v>
      </c>
      <c r="F556" s="7" t="s">
        <v>3174</v>
      </c>
      <c r="H556" s="9"/>
    </row>
    <row r="557" spans="1:8" x14ac:dyDescent="0.3">
      <c r="A557" s="7" t="s">
        <v>7375</v>
      </c>
      <c r="B557" s="7" t="s">
        <v>311</v>
      </c>
      <c r="C557" s="7" t="s">
        <v>6192</v>
      </c>
      <c r="D557" s="9">
        <v>46025</v>
      </c>
      <c r="E557" s="3">
        <v>5279.94</v>
      </c>
      <c r="F557" s="7" t="s">
        <v>3174</v>
      </c>
      <c r="H557" s="9"/>
    </row>
    <row r="558" spans="1:8" x14ac:dyDescent="0.3">
      <c r="A558" s="7" t="s">
        <v>7376</v>
      </c>
      <c r="B558" s="7" t="s">
        <v>261</v>
      </c>
      <c r="C558" s="7" t="s">
        <v>6195</v>
      </c>
      <c r="D558" s="9">
        <v>45977</v>
      </c>
      <c r="E558" s="3">
        <v>3180.48</v>
      </c>
      <c r="F558" s="7" t="s">
        <v>3174</v>
      </c>
      <c r="H558" s="9"/>
    </row>
    <row r="559" spans="1:8" x14ac:dyDescent="0.3">
      <c r="A559" s="7" t="s">
        <v>7377</v>
      </c>
      <c r="B559" s="7" t="s">
        <v>323</v>
      </c>
      <c r="C559" s="7" t="s">
        <v>6197</v>
      </c>
      <c r="D559" s="9">
        <v>46019</v>
      </c>
      <c r="E559" s="3">
        <v>4153.47</v>
      </c>
      <c r="F559" s="7" t="s">
        <v>3174</v>
      </c>
      <c r="H559" s="9"/>
    </row>
    <row r="560" spans="1:8" x14ac:dyDescent="0.3">
      <c r="A560" s="7" t="s">
        <v>7378</v>
      </c>
      <c r="B560" s="7" t="s">
        <v>317</v>
      </c>
      <c r="C560" s="7" t="s">
        <v>6199</v>
      </c>
      <c r="D560" s="9">
        <v>45966</v>
      </c>
      <c r="E560" s="3">
        <v>4661.72</v>
      </c>
      <c r="F560" s="7" t="s">
        <v>6820</v>
      </c>
      <c r="H560" s="9"/>
    </row>
    <row r="561" spans="1:8" x14ac:dyDescent="0.3">
      <c r="A561" s="7" t="s">
        <v>7379</v>
      </c>
      <c r="B561" s="7" t="s">
        <v>283</v>
      </c>
      <c r="C561" s="7" t="s">
        <v>6200</v>
      </c>
      <c r="D561" s="9">
        <v>46002</v>
      </c>
      <c r="E561" s="3">
        <v>2260.5100000000002</v>
      </c>
      <c r="F561" s="7" t="s">
        <v>3184</v>
      </c>
      <c r="H561" s="9"/>
    </row>
    <row r="562" spans="1:8" x14ac:dyDescent="0.3">
      <c r="A562" s="7" t="s">
        <v>7380</v>
      </c>
      <c r="B562" s="7" t="s">
        <v>325</v>
      </c>
      <c r="C562" s="7" t="s">
        <v>6201</v>
      </c>
      <c r="D562" s="9">
        <v>45971</v>
      </c>
      <c r="E562" s="3">
        <v>1538.09</v>
      </c>
      <c r="F562" s="7" t="s">
        <v>3184</v>
      </c>
      <c r="H562" s="9"/>
    </row>
    <row r="563" spans="1:8" x14ac:dyDescent="0.3">
      <c r="A563" s="7" t="s">
        <v>7381</v>
      </c>
      <c r="B563" s="7" t="s">
        <v>283</v>
      </c>
      <c r="C563" s="7" t="s">
        <v>6202</v>
      </c>
      <c r="D563" s="9">
        <v>46032</v>
      </c>
      <c r="E563" s="3">
        <v>6280.2</v>
      </c>
      <c r="F563" s="7" t="s">
        <v>6820</v>
      </c>
      <c r="H563" s="9"/>
    </row>
    <row r="564" spans="1:8" x14ac:dyDescent="0.3">
      <c r="A564" s="7" t="s">
        <v>7382</v>
      </c>
      <c r="B564" s="7" t="s">
        <v>321</v>
      </c>
      <c r="C564" s="7" t="s">
        <v>6207</v>
      </c>
      <c r="D564" s="9">
        <v>46020</v>
      </c>
      <c r="E564" s="3">
        <v>3408.46</v>
      </c>
      <c r="F564" s="7" t="s">
        <v>3184</v>
      </c>
      <c r="H564" s="9"/>
    </row>
    <row r="565" spans="1:8" x14ac:dyDescent="0.3">
      <c r="A565" s="7" t="s">
        <v>7383</v>
      </c>
      <c r="B565" s="7" t="s">
        <v>333</v>
      </c>
      <c r="C565" s="7" t="s">
        <v>6209</v>
      </c>
      <c r="D565" s="9">
        <v>46014</v>
      </c>
      <c r="E565" s="3">
        <v>4670.75</v>
      </c>
      <c r="F565" s="7" t="s">
        <v>6820</v>
      </c>
      <c r="H565" s="9"/>
    </row>
    <row r="566" spans="1:8" x14ac:dyDescent="0.3">
      <c r="A566" s="7" t="s">
        <v>7384</v>
      </c>
      <c r="B566" s="7" t="s">
        <v>291</v>
      </c>
      <c r="C566" s="7" t="s">
        <v>6210</v>
      </c>
      <c r="D566" s="9">
        <v>45993</v>
      </c>
      <c r="E566" s="3">
        <v>3669.17</v>
      </c>
      <c r="F566" s="7" t="s">
        <v>6820</v>
      </c>
      <c r="H566" s="9"/>
    </row>
    <row r="567" spans="1:8" x14ac:dyDescent="0.3">
      <c r="A567" s="7" t="s">
        <v>7385</v>
      </c>
      <c r="B567" s="7" t="s">
        <v>305</v>
      </c>
      <c r="C567" s="7" t="s">
        <v>6211</v>
      </c>
      <c r="D567" s="9">
        <v>46071</v>
      </c>
      <c r="E567" s="3">
        <v>3863.5</v>
      </c>
      <c r="F567" s="7" t="s">
        <v>6820</v>
      </c>
      <c r="H567" s="9"/>
    </row>
    <row r="568" spans="1:8" x14ac:dyDescent="0.3">
      <c r="A568" s="7" t="s">
        <v>7386</v>
      </c>
      <c r="B568" s="7" t="s">
        <v>311</v>
      </c>
      <c r="C568" s="7" t="s">
        <v>6212</v>
      </c>
      <c r="D568" s="9">
        <v>46023</v>
      </c>
      <c r="E568" s="3">
        <v>3961.55</v>
      </c>
      <c r="F568" s="7" t="s">
        <v>6820</v>
      </c>
      <c r="H568" s="9"/>
    </row>
    <row r="569" spans="1:8" x14ac:dyDescent="0.3">
      <c r="A569" s="7" t="s">
        <v>7387</v>
      </c>
      <c r="B569" s="7" t="s">
        <v>297</v>
      </c>
      <c r="C569" s="7" t="s">
        <v>6214</v>
      </c>
      <c r="D569" s="9">
        <v>46063</v>
      </c>
      <c r="E569" s="3">
        <v>4213.0600000000004</v>
      </c>
      <c r="F569" s="7" t="s">
        <v>6820</v>
      </c>
      <c r="H569" s="9"/>
    </row>
    <row r="570" spans="1:8" x14ac:dyDescent="0.3">
      <c r="A570" s="7" t="s">
        <v>7388</v>
      </c>
      <c r="B570" s="7" t="s">
        <v>315</v>
      </c>
      <c r="C570" s="7" t="s">
        <v>6216</v>
      </c>
      <c r="D570" s="9">
        <v>46102</v>
      </c>
      <c r="E570" s="3">
        <v>1291.5</v>
      </c>
      <c r="F570" s="7" t="s">
        <v>6820</v>
      </c>
      <c r="H570" s="9"/>
    </row>
    <row r="571" spans="1:8" x14ac:dyDescent="0.3">
      <c r="A571" s="7" t="s">
        <v>7389</v>
      </c>
      <c r="B571" s="7" t="s">
        <v>335</v>
      </c>
      <c r="C571" s="7" t="s">
        <v>6219</v>
      </c>
      <c r="D571" s="9">
        <v>46008</v>
      </c>
      <c r="E571" s="3">
        <v>6246.66</v>
      </c>
      <c r="F571" s="7" t="s">
        <v>3184</v>
      </c>
      <c r="H571" s="9"/>
    </row>
    <row r="572" spans="1:8" x14ac:dyDescent="0.3">
      <c r="A572" s="7" t="s">
        <v>7390</v>
      </c>
      <c r="B572" s="7" t="s">
        <v>333</v>
      </c>
      <c r="C572" s="7" t="s">
        <v>6220</v>
      </c>
      <c r="D572" s="9">
        <v>45988</v>
      </c>
      <c r="E572" s="3">
        <v>4042.57</v>
      </c>
      <c r="F572" s="7" t="s">
        <v>3174</v>
      </c>
      <c r="H572" s="9"/>
    </row>
    <row r="573" spans="1:8" x14ac:dyDescent="0.3">
      <c r="A573" s="7" t="s">
        <v>7391</v>
      </c>
      <c r="B573" s="7" t="s">
        <v>327</v>
      </c>
      <c r="C573" s="7" t="s">
        <v>6222</v>
      </c>
      <c r="D573" s="9">
        <v>46107</v>
      </c>
      <c r="E573" s="3">
        <v>843.67</v>
      </c>
      <c r="F573" s="7" t="s">
        <v>3174</v>
      </c>
      <c r="H573" s="9"/>
    </row>
    <row r="574" spans="1:8" x14ac:dyDescent="0.3">
      <c r="A574" s="7" t="s">
        <v>7392</v>
      </c>
      <c r="B574" s="7" t="s">
        <v>267</v>
      </c>
      <c r="C574" s="7" t="s">
        <v>6223</v>
      </c>
      <c r="D574" s="9">
        <v>46015</v>
      </c>
      <c r="E574" s="3">
        <v>6213.07</v>
      </c>
      <c r="F574" s="7" t="s">
        <v>3174</v>
      </c>
      <c r="H574" s="9"/>
    </row>
    <row r="575" spans="1:8" x14ac:dyDescent="0.3">
      <c r="A575" s="7" t="s">
        <v>7393</v>
      </c>
      <c r="B575" s="7" t="s">
        <v>293</v>
      </c>
      <c r="C575" s="7" t="s">
        <v>6224</v>
      </c>
      <c r="D575" s="9">
        <v>45973</v>
      </c>
      <c r="E575" s="3">
        <v>3782.5</v>
      </c>
      <c r="F575" s="7" t="s">
        <v>3174</v>
      </c>
      <c r="H575" s="9"/>
    </row>
    <row r="576" spans="1:8" x14ac:dyDescent="0.3">
      <c r="A576" s="7" t="s">
        <v>7394</v>
      </c>
      <c r="B576" s="7" t="s">
        <v>305</v>
      </c>
      <c r="C576" s="7" t="s">
        <v>6228</v>
      </c>
      <c r="D576" s="9">
        <v>45980</v>
      </c>
      <c r="E576" s="3">
        <v>1074.28</v>
      </c>
      <c r="F576" s="7" t="s">
        <v>6820</v>
      </c>
      <c r="H576" s="9"/>
    </row>
    <row r="577" spans="1:8" x14ac:dyDescent="0.3">
      <c r="A577" s="7" t="s">
        <v>7395</v>
      </c>
      <c r="B577" s="7" t="s">
        <v>343</v>
      </c>
      <c r="C577" s="7" t="s">
        <v>6229</v>
      </c>
      <c r="D577" s="9">
        <v>46052</v>
      </c>
      <c r="E577" s="3">
        <v>3365.35</v>
      </c>
      <c r="F577" s="7" t="s">
        <v>6820</v>
      </c>
      <c r="H577" s="9"/>
    </row>
    <row r="578" spans="1:8" x14ac:dyDescent="0.3">
      <c r="A578" s="7" t="s">
        <v>7396</v>
      </c>
      <c r="B578" s="7" t="s">
        <v>289</v>
      </c>
      <c r="C578" s="7" t="s">
        <v>6230</v>
      </c>
      <c r="D578" s="9">
        <v>45962</v>
      </c>
      <c r="E578" s="3">
        <v>2897.58</v>
      </c>
      <c r="F578" s="7" t="s">
        <v>3174</v>
      </c>
      <c r="H578" s="9"/>
    </row>
    <row r="579" spans="1:8" x14ac:dyDescent="0.3">
      <c r="A579" s="7" t="s">
        <v>7397</v>
      </c>
      <c r="B579" s="7" t="s">
        <v>321</v>
      </c>
      <c r="C579" s="7" t="s">
        <v>6231</v>
      </c>
      <c r="D579" s="9">
        <v>46026</v>
      </c>
      <c r="E579" s="3">
        <v>2263.98</v>
      </c>
      <c r="F579" s="7" t="s">
        <v>6820</v>
      </c>
      <c r="H579" s="9"/>
    </row>
    <row r="580" spans="1:8" x14ac:dyDescent="0.3">
      <c r="A580" s="7" t="s">
        <v>7398</v>
      </c>
      <c r="B580" s="7" t="s">
        <v>291</v>
      </c>
      <c r="C580" s="7" t="s">
        <v>6232</v>
      </c>
      <c r="D580" s="9">
        <v>46097</v>
      </c>
      <c r="E580" s="3">
        <v>1420.93</v>
      </c>
      <c r="F580" s="7" t="s">
        <v>3174</v>
      </c>
      <c r="H580" s="9"/>
    </row>
    <row r="581" spans="1:8" x14ac:dyDescent="0.3">
      <c r="A581" s="7" t="s">
        <v>7399</v>
      </c>
      <c r="B581" s="7" t="s">
        <v>274</v>
      </c>
      <c r="C581" s="7" t="s">
        <v>6234</v>
      </c>
      <c r="D581" s="9">
        <v>46002</v>
      </c>
      <c r="E581" s="3">
        <v>4053.75</v>
      </c>
      <c r="F581" s="7" t="s">
        <v>6820</v>
      </c>
      <c r="H581" s="9"/>
    </row>
    <row r="582" spans="1:8" x14ac:dyDescent="0.3">
      <c r="A582" s="7" t="s">
        <v>7400</v>
      </c>
      <c r="B582" s="7" t="s">
        <v>276</v>
      </c>
      <c r="C582" s="7" t="s">
        <v>6237</v>
      </c>
      <c r="D582" s="9">
        <v>45981</v>
      </c>
      <c r="E582" s="3">
        <v>6825.52</v>
      </c>
      <c r="F582" s="7" t="s">
        <v>3184</v>
      </c>
      <c r="H582" s="9"/>
    </row>
    <row r="583" spans="1:8" x14ac:dyDescent="0.3">
      <c r="A583" s="7" t="s">
        <v>7401</v>
      </c>
      <c r="B583" s="7" t="s">
        <v>267</v>
      </c>
      <c r="C583" s="7" t="s">
        <v>6242</v>
      </c>
      <c r="D583" s="9">
        <v>45976</v>
      </c>
      <c r="E583" s="3">
        <v>4413.2299999999996</v>
      </c>
      <c r="F583" s="7" t="s">
        <v>3174</v>
      </c>
      <c r="H583" s="9"/>
    </row>
    <row r="584" spans="1:8" x14ac:dyDescent="0.3">
      <c r="A584" s="7" t="s">
        <v>7402</v>
      </c>
      <c r="B584" s="7" t="s">
        <v>343</v>
      </c>
      <c r="C584" s="7" t="s">
        <v>6243</v>
      </c>
      <c r="D584" s="9">
        <v>45984</v>
      </c>
      <c r="E584" s="3">
        <v>3567.73</v>
      </c>
      <c r="F584" s="7" t="s">
        <v>3174</v>
      </c>
      <c r="H584" s="9"/>
    </row>
    <row r="585" spans="1:8" x14ac:dyDescent="0.3">
      <c r="A585" s="7" t="s">
        <v>7403</v>
      </c>
      <c r="B585" s="7" t="s">
        <v>293</v>
      </c>
      <c r="C585" s="7" t="s">
        <v>6244</v>
      </c>
      <c r="D585" s="9">
        <v>46089</v>
      </c>
      <c r="E585" s="3">
        <v>4760.62</v>
      </c>
      <c r="F585" s="7" t="s">
        <v>3174</v>
      </c>
      <c r="H585" s="9"/>
    </row>
    <row r="586" spans="1:8" x14ac:dyDescent="0.3">
      <c r="A586" s="7" t="s">
        <v>7404</v>
      </c>
      <c r="B586" s="7" t="s">
        <v>299</v>
      </c>
      <c r="C586" s="7" t="s">
        <v>6245</v>
      </c>
      <c r="D586" s="9">
        <v>45974</v>
      </c>
      <c r="E586" s="3">
        <v>3014.4</v>
      </c>
      <c r="F586" s="7" t="s">
        <v>6820</v>
      </c>
      <c r="H586" s="9"/>
    </row>
    <row r="587" spans="1:8" x14ac:dyDescent="0.3">
      <c r="A587" s="7" t="s">
        <v>7405</v>
      </c>
      <c r="B587" s="7" t="s">
        <v>325</v>
      </c>
      <c r="C587" s="7" t="s">
        <v>6246</v>
      </c>
      <c r="D587" s="9">
        <v>46075</v>
      </c>
      <c r="E587" s="3">
        <v>4361.93</v>
      </c>
      <c r="F587" s="7" t="s">
        <v>6820</v>
      </c>
      <c r="H587" s="9"/>
    </row>
    <row r="588" spans="1:8" x14ac:dyDescent="0.3">
      <c r="A588" s="7" t="s">
        <v>7406</v>
      </c>
      <c r="B588" s="7" t="s">
        <v>319</v>
      </c>
      <c r="C588" s="7" t="s">
        <v>6247</v>
      </c>
      <c r="D588" s="9">
        <v>46106</v>
      </c>
      <c r="E588" s="3">
        <v>5298.9</v>
      </c>
      <c r="F588" s="7" t="s">
        <v>3174</v>
      </c>
      <c r="H588" s="9"/>
    </row>
    <row r="589" spans="1:8" x14ac:dyDescent="0.3">
      <c r="A589" s="7" t="s">
        <v>7407</v>
      </c>
      <c r="B589" s="7" t="s">
        <v>325</v>
      </c>
      <c r="C589" s="7" t="s">
        <v>6249</v>
      </c>
      <c r="D589" s="9">
        <v>45983</v>
      </c>
      <c r="E589" s="3">
        <v>2155.5</v>
      </c>
      <c r="F589" s="7" t="s">
        <v>3184</v>
      </c>
      <c r="H589" s="9"/>
    </row>
    <row r="590" spans="1:8" x14ac:dyDescent="0.3">
      <c r="A590" s="7" t="s">
        <v>7408</v>
      </c>
      <c r="B590" s="7" t="s">
        <v>321</v>
      </c>
      <c r="C590" s="7" t="s">
        <v>6252</v>
      </c>
      <c r="D590" s="9">
        <v>46005</v>
      </c>
      <c r="E590" s="3">
        <v>2247.83</v>
      </c>
      <c r="F590" s="7" t="s">
        <v>3174</v>
      </c>
      <c r="H590" s="9"/>
    </row>
    <row r="591" spans="1:8" x14ac:dyDescent="0.3">
      <c r="A591" s="7" t="s">
        <v>7409</v>
      </c>
      <c r="B591" s="7" t="s">
        <v>291</v>
      </c>
      <c r="C591" s="7" t="s">
        <v>6253</v>
      </c>
      <c r="D591" s="9">
        <v>46081</v>
      </c>
      <c r="E591" s="3">
        <v>5206.16</v>
      </c>
      <c r="F591" s="7" t="s">
        <v>3184</v>
      </c>
      <c r="H591" s="9"/>
    </row>
    <row r="592" spans="1:8" x14ac:dyDescent="0.3">
      <c r="A592" s="7" t="s">
        <v>7410</v>
      </c>
      <c r="B592" s="7" t="s">
        <v>285</v>
      </c>
      <c r="C592" s="7" t="s">
        <v>6255</v>
      </c>
      <c r="D592" s="9">
        <v>46002</v>
      </c>
      <c r="E592" s="3">
        <v>6974.76</v>
      </c>
      <c r="F592" s="7" t="s">
        <v>3174</v>
      </c>
      <c r="H592" s="9"/>
    </row>
    <row r="593" spans="1:8" x14ac:dyDescent="0.3">
      <c r="A593" s="7" t="s">
        <v>7411</v>
      </c>
      <c r="B593" s="7" t="s">
        <v>339</v>
      </c>
      <c r="C593" s="7" t="s">
        <v>6258</v>
      </c>
      <c r="D593" s="9">
        <v>46047</v>
      </c>
      <c r="E593" s="3">
        <v>3483.73</v>
      </c>
      <c r="F593" s="7" t="s">
        <v>3174</v>
      </c>
      <c r="H593" s="9"/>
    </row>
    <row r="594" spans="1:8" x14ac:dyDescent="0.3">
      <c r="A594" s="7" t="s">
        <v>7412</v>
      </c>
      <c r="B594" s="7" t="s">
        <v>303</v>
      </c>
      <c r="C594" s="7" t="s">
        <v>6259</v>
      </c>
      <c r="D594" s="9">
        <v>46026</v>
      </c>
      <c r="E594" s="3">
        <v>2608.15</v>
      </c>
      <c r="F594" s="7" t="s">
        <v>3174</v>
      </c>
      <c r="H594" s="9"/>
    </row>
    <row r="595" spans="1:8" x14ac:dyDescent="0.3">
      <c r="A595" s="7" t="s">
        <v>7413</v>
      </c>
      <c r="B595" s="7" t="s">
        <v>337</v>
      </c>
      <c r="C595" s="7" t="s">
        <v>6261</v>
      </c>
      <c r="D595" s="9">
        <v>46071</v>
      </c>
      <c r="E595" s="3">
        <v>3011.77</v>
      </c>
      <c r="F595" s="7" t="s">
        <v>3184</v>
      </c>
      <c r="H595" s="9"/>
    </row>
    <row r="596" spans="1:8" x14ac:dyDescent="0.3">
      <c r="A596" s="7" t="s">
        <v>7414</v>
      </c>
      <c r="B596" s="7" t="s">
        <v>319</v>
      </c>
      <c r="C596" s="7" t="s">
        <v>6263</v>
      </c>
      <c r="D596" s="9">
        <v>46066</v>
      </c>
      <c r="E596" s="3">
        <v>1194.58</v>
      </c>
      <c r="F596" s="7" t="s">
        <v>3184</v>
      </c>
      <c r="H596" s="9"/>
    </row>
    <row r="597" spans="1:8" x14ac:dyDescent="0.3">
      <c r="A597" s="7" t="s">
        <v>7415</v>
      </c>
      <c r="B597" s="7" t="s">
        <v>285</v>
      </c>
      <c r="C597" s="7" t="s">
        <v>6264</v>
      </c>
      <c r="D597" s="9">
        <v>46060</v>
      </c>
      <c r="E597" s="3">
        <v>1276.92</v>
      </c>
      <c r="F597" s="7" t="s">
        <v>3174</v>
      </c>
      <c r="H597" s="9"/>
    </row>
    <row r="598" spans="1:8" x14ac:dyDescent="0.3">
      <c r="A598" s="7" t="s">
        <v>7416</v>
      </c>
      <c r="B598" s="7" t="s">
        <v>293</v>
      </c>
      <c r="C598" s="7" t="s">
        <v>6266</v>
      </c>
      <c r="D598" s="9">
        <v>46029</v>
      </c>
      <c r="E598" s="3">
        <v>5683.96</v>
      </c>
      <c r="F598" s="7" t="s">
        <v>6820</v>
      </c>
      <c r="H598" s="9"/>
    </row>
    <row r="599" spans="1:8" x14ac:dyDescent="0.3">
      <c r="A599" s="7" t="s">
        <v>7417</v>
      </c>
      <c r="B599" s="7" t="s">
        <v>297</v>
      </c>
      <c r="C599" s="7" t="s">
        <v>6268</v>
      </c>
      <c r="D599" s="9">
        <v>45998</v>
      </c>
      <c r="E599" s="3">
        <v>5867.25</v>
      </c>
      <c r="F599" s="7" t="s">
        <v>6820</v>
      </c>
      <c r="H599" s="9"/>
    </row>
    <row r="600" spans="1:8" x14ac:dyDescent="0.3">
      <c r="A600" s="7" t="s">
        <v>7418</v>
      </c>
      <c r="B600" s="7" t="s">
        <v>281</v>
      </c>
      <c r="C600" s="7" t="s">
        <v>6270</v>
      </c>
      <c r="D600" s="9">
        <v>45994</v>
      </c>
      <c r="E600" s="3">
        <v>4123.29</v>
      </c>
      <c r="F600" s="7" t="s">
        <v>3184</v>
      </c>
      <c r="H600" s="9"/>
    </row>
    <row r="601" spans="1:8" x14ac:dyDescent="0.3">
      <c r="A601" s="7" t="s">
        <v>7419</v>
      </c>
      <c r="B601" s="7" t="s">
        <v>289</v>
      </c>
      <c r="C601" s="7" t="s">
        <v>6271</v>
      </c>
      <c r="D601" s="9">
        <v>46000</v>
      </c>
      <c r="E601" s="3">
        <v>5578.03</v>
      </c>
      <c r="F601" s="7" t="s">
        <v>6820</v>
      </c>
      <c r="H601" s="9"/>
    </row>
    <row r="602" spans="1:8" x14ac:dyDescent="0.3">
      <c r="A602" s="7" t="s">
        <v>7420</v>
      </c>
      <c r="B602" s="7" t="s">
        <v>289</v>
      </c>
      <c r="C602" s="7" t="s">
        <v>6274</v>
      </c>
      <c r="D602" s="9">
        <v>46067</v>
      </c>
      <c r="E602" s="3">
        <v>3376.82</v>
      </c>
      <c r="F602" s="7" t="s">
        <v>6820</v>
      </c>
      <c r="H602" s="9"/>
    </row>
    <row r="603" spans="1:8" x14ac:dyDescent="0.3">
      <c r="A603" s="7" t="s">
        <v>7421</v>
      </c>
      <c r="B603" s="7" t="s">
        <v>313</v>
      </c>
      <c r="C603" s="7" t="s">
        <v>6275</v>
      </c>
      <c r="D603" s="9">
        <v>45996</v>
      </c>
      <c r="E603" s="3">
        <v>6937.68</v>
      </c>
      <c r="F603" s="7" t="s">
        <v>3184</v>
      </c>
      <c r="H603" s="9"/>
    </row>
    <row r="604" spans="1:8" x14ac:dyDescent="0.3">
      <c r="A604" s="7" t="s">
        <v>7422</v>
      </c>
      <c r="B604" s="7" t="s">
        <v>339</v>
      </c>
      <c r="C604" s="7" t="s">
        <v>6279</v>
      </c>
      <c r="D604" s="9">
        <v>45973</v>
      </c>
      <c r="E604" s="3">
        <v>4174.1499999999996</v>
      </c>
      <c r="F604" s="7" t="s">
        <v>3174</v>
      </c>
      <c r="H604" s="9"/>
    </row>
    <row r="605" spans="1:8" x14ac:dyDescent="0.3">
      <c r="A605" s="7" t="s">
        <v>7423</v>
      </c>
      <c r="B605" s="7" t="s">
        <v>321</v>
      </c>
      <c r="C605" s="7" t="s">
        <v>6280</v>
      </c>
      <c r="D605" s="9">
        <v>45999</v>
      </c>
      <c r="E605" s="3">
        <v>6826.09</v>
      </c>
      <c r="F605" s="7" t="s">
        <v>3184</v>
      </c>
      <c r="H605" s="9"/>
    </row>
    <row r="606" spans="1:8" x14ac:dyDescent="0.3">
      <c r="A606" s="7" t="s">
        <v>7424</v>
      </c>
      <c r="B606" s="7" t="s">
        <v>309</v>
      </c>
      <c r="C606" s="7" t="s">
        <v>6281</v>
      </c>
      <c r="D606" s="9">
        <v>46085</v>
      </c>
      <c r="E606" s="3">
        <v>4626.62</v>
      </c>
      <c r="F606" s="7" t="s">
        <v>3184</v>
      </c>
      <c r="H606" s="9"/>
    </row>
    <row r="607" spans="1:8" x14ac:dyDescent="0.3">
      <c r="A607" s="7" t="s">
        <v>7425</v>
      </c>
      <c r="B607" s="7" t="s">
        <v>343</v>
      </c>
      <c r="C607" s="7" t="s">
        <v>6282</v>
      </c>
      <c r="D607" s="9">
        <v>46012</v>
      </c>
      <c r="E607" s="3">
        <v>1247.43</v>
      </c>
      <c r="F607" s="7" t="s">
        <v>3184</v>
      </c>
      <c r="H607" s="9"/>
    </row>
    <row r="608" spans="1:8" x14ac:dyDescent="0.3">
      <c r="A608" s="7" t="s">
        <v>7426</v>
      </c>
      <c r="B608" s="7" t="s">
        <v>315</v>
      </c>
      <c r="C608" s="7" t="s">
        <v>6283</v>
      </c>
      <c r="D608" s="9">
        <v>46053</v>
      </c>
      <c r="E608" s="3">
        <v>1545.85</v>
      </c>
      <c r="F608" s="7" t="s">
        <v>3184</v>
      </c>
      <c r="H608" s="9"/>
    </row>
    <row r="609" spans="1:8" x14ac:dyDescent="0.3">
      <c r="A609" s="7" t="s">
        <v>7427</v>
      </c>
      <c r="B609" s="7" t="s">
        <v>281</v>
      </c>
      <c r="C609" s="7" t="s">
        <v>6286</v>
      </c>
      <c r="D609" s="9">
        <v>46020</v>
      </c>
      <c r="E609" s="3">
        <v>6185.03</v>
      </c>
      <c r="F609" s="7" t="s">
        <v>3184</v>
      </c>
      <c r="H609" s="9"/>
    </row>
    <row r="610" spans="1:8" x14ac:dyDescent="0.3">
      <c r="A610" s="7" t="s">
        <v>7428</v>
      </c>
      <c r="B610" s="7" t="s">
        <v>335</v>
      </c>
      <c r="C610" s="7" t="s">
        <v>6287</v>
      </c>
      <c r="D610" s="9">
        <v>46021</v>
      </c>
      <c r="E610" s="3">
        <v>3179.13</v>
      </c>
      <c r="F610" s="7" t="s">
        <v>6820</v>
      </c>
      <c r="H610" s="9"/>
    </row>
    <row r="611" spans="1:8" x14ac:dyDescent="0.3">
      <c r="A611" s="7" t="s">
        <v>7429</v>
      </c>
      <c r="B611" s="7" t="s">
        <v>291</v>
      </c>
      <c r="C611" s="7" t="s">
        <v>6288</v>
      </c>
      <c r="D611" s="9">
        <v>46049</v>
      </c>
      <c r="E611" s="3">
        <v>1212.2</v>
      </c>
      <c r="F611" s="7" t="s">
        <v>3184</v>
      </c>
      <c r="H611" s="9"/>
    </row>
    <row r="612" spans="1:8" x14ac:dyDescent="0.3">
      <c r="A612" s="7" t="s">
        <v>7430</v>
      </c>
      <c r="B612" s="7" t="s">
        <v>313</v>
      </c>
      <c r="C612" s="7" t="s">
        <v>6289</v>
      </c>
      <c r="D612" s="9">
        <v>45989</v>
      </c>
      <c r="E612" s="3">
        <v>6340.49</v>
      </c>
      <c r="F612" s="7" t="s">
        <v>6820</v>
      </c>
      <c r="H612" s="9"/>
    </row>
    <row r="613" spans="1:8" x14ac:dyDescent="0.3">
      <c r="A613" s="7" t="s">
        <v>7431</v>
      </c>
      <c r="B613" s="7" t="s">
        <v>285</v>
      </c>
      <c r="C613" s="7" t="s">
        <v>6290</v>
      </c>
      <c r="D613" s="9">
        <v>46079</v>
      </c>
      <c r="E613" s="3">
        <v>4764.0200000000004</v>
      </c>
      <c r="F613" s="7" t="s">
        <v>6820</v>
      </c>
      <c r="H613" s="9"/>
    </row>
    <row r="614" spans="1:8" x14ac:dyDescent="0.3">
      <c r="A614" s="7" t="s">
        <v>7432</v>
      </c>
      <c r="B614" s="7" t="s">
        <v>297</v>
      </c>
      <c r="C614" s="7" t="s">
        <v>6291</v>
      </c>
      <c r="D614" s="9">
        <v>46060</v>
      </c>
      <c r="E614" s="3">
        <v>5833.74</v>
      </c>
      <c r="F614" s="7" t="s">
        <v>3184</v>
      </c>
      <c r="H614" s="9"/>
    </row>
    <row r="615" spans="1:8" x14ac:dyDescent="0.3">
      <c r="A615" s="7" t="s">
        <v>7433</v>
      </c>
      <c r="B615" s="7" t="s">
        <v>305</v>
      </c>
      <c r="C615" s="7" t="s">
        <v>6293</v>
      </c>
      <c r="D615" s="9">
        <v>45966</v>
      </c>
      <c r="E615" s="3">
        <v>815.38</v>
      </c>
      <c r="F615" s="7" t="s">
        <v>3174</v>
      </c>
      <c r="H615" s="9"/>
    </row>
    <row r="616" spans="1:8" x14ac:dyDescent="0.3">
      <c r="A616" s="7" t="s">
        <v>7434</v>
      </c>
      <c r="B616" s="7" t="s">
        <v>301</v>
      </c>
      <c r="C616" s="7" t="s">
        <v>6295</v>
      </c>
      <c r="D616" s="9">
        <v>46038</v>
      </c>
      <c r="E616" s="3">
        <v>6537.23</v>
      </c>
      <c r="F616" s="7" t="s">
        <v>6820</v>
      </c>
      <c r="H616" s="9"/>
    </row>
    <row r="617" spans="1:8" x14ac:dyDescent="0.3">
      <c r="A617" s="7" t="s">
        <v>7435</v>
      </c>
      <c r="B617" s="7" t="s">
        <v>325</v>
      </c>
      <c r="C617" s="7" t="s">
        <v>6296</v>
      </c>
      <c r="D617" s="9">
        <v>46001</v>
      </c>
      <c r="E617" s="3">
        <v>1672.23</v>
      </c>
      <c r="F617" s="7" t="s">
        <v>3174</v>
      </c>
      <c r="H617" s="9"/>
    </row>
    <row r="618" spans="1:8" x14ac:dyDescent="0.3">
      <c r="A618" s="7" t="s">
        <v>7436</v>
      </c>
      <c r="B618" s="7" t="s">
        <v>337</v>
      </c>
      <c r="C618" s="7" t="s">
        <v>6297</v>
      </c>
      <c r="D618" s="9">
        <v>46093</v>
      </c>
      <c r="E618" s="3">
        <v>804.92</v>
      </c>
      <c r="F618" s="7" t="s">
        <v>3174</v>
      </c>
      <c r="H618" s="9"/>
    </row>
    <row r="619" spans="1:8" x14ac:dyDescent="0.3">
      <c r="A619" s="7" t="s">
        <v>7437</v>
      </c>
      <c r="B619" s="7" t="s">
        <v>272</v>
      </c>
      <c r="C619" s="7" t="s">
        <v>6298</v>
      </c>
      <c r="D619" s="9">
        <v>45983</v>
      </c>
      <c r="E619" s="3">
        <v>2366.6799999999998</v>
      </c>
      <c r="F619" s="7" t="s">
        <v>3184</v>
      </c>
      <c r="H619" s="9"/>
    </row>
    <row r="620" spans="1:8" x14ac:dyDescent="0.3">
      <c r="A620" s="7" t="s">
        <v>7438</v>
      </c>
      <c r="B620" s="7" t="s">
        <v>274</v>
      </c>
      <c r="C620" s="7" t="s">
        <v>6299</v>
      </c>
      <c r="D620" s="9">
        <v>46044</v>
      </c>
      <c r="E620" s="3">
        <v>3117.51</v>
      </c>
      <c r="F620" s="7" t="s">
        <v>6820</v>
      </c>
      <c r="H620" s="9"/>
    </row>
    <row r="621" spans="1:8" x14ac:dyDescent="0.3">
      <c r="A621" s="7" t="s">
        <v>7439</v>
      </c>
      <c r="B621" s="7" t="s">
        <v>283</v>
      </c>
      <c r="C621" s="7" t="s">
        <v>6300</v>
      </c>
      <c r="D621" s="9">
        <v>46098</v>
      </c>
      <c r="E621" s="3">
        <v>3017.11</v>
      </c>
      <c r="F621" s="7" t="s">
        <v>6820</v>
      </c>
      <c r="H621" s="9"/>
    </row>
    <row r="622" spans="1:8" x14ac:dyDescent="0.3">
      <c r="A622" s="7" t="s">
        <v>7440</v>
      </c>
      <c r="B622" s="7" t="s">
        <v>323</v>
      </c>
      <c r="C622" s="7" t="s">
        <v>6301</v>
      </c>
      <c r="D622" s="9">
        <v>46026</v>
      </c>
      <c r="E622" s="3">
        <v>4061.1</v>
      </c>
      <c r="F622" s="7" t="s">
        <v>3184</v>
      </c>
      <c r="H622" s="9"/>
    </row>
    <row r="623" spans="1:8" x14ac:dyDescent="0.3">
      <c r="A623" s="7" t="s">
        <v>7441</v>
      </c>
      <c r="B623" s="7" t="s">
        <v>261</v>
      </c>
      <c r="C623" s="7" t="s">
        <v>6303</v>
      </c>
      <c r="D623" s="9">
        <v>46025</v>
      </c>
      <c r="E623" s="3">
        <v>4415.6099999999997</v>
      </c>
      <c r="F623" s="7" t="s">
        <v>3184</v>
      </c>
      <c r="H623" s="9"/>
    </row>
    <row r="624" spans="1:8" x14ac:dyDescent="0.3">
      <c r="A624" s="7" t="s">
        <v>7442</v>
      </c>
      <c r="B624" s="7" t="s">
        <v>319</v>
      </c>
      <c r="C624" s="7" t="s">
        <v>6304</v>
      </c>
      <c r="D624" s="9">
        <v>45984</v>
      </c>
      <c r="E624" s="3">
        <v>3434.54</v>
      </c>
      <c r="F624" s="7" t="s">
        <v>3174</v>
      </c>
      <c r="H624" s="9"/>
    </row>
    <row r="625" spans="1:8" x14ac:dyDescent="0.3">
      <c r="A625" s="7" t="s">
        <v>7443</v>
      </c>
      <c r="B625" s="7" t="s">
        <v>331</v>
      </c>
      <c r="C625" s="7" t="s">
        <v>6305</v>
      </c>
      <c r="D625" s="9">
        <v>46081</v>
      </c>
      <c r="E625" s="3">
        <v>5787.23</v>
      </c>
      <c r="F625" s="7" t="s">
        <v>6820</v>
      </c>
      <c r="H625" s="9"/>
    </row>
    <row r="626" spans="1:8" x14ac:dyDescent="0.3">
      <c r="A626" s="7" t="s">
        <v>7444</v>
      </c>
      <c r="B626" s="7" t="s">
        <v>333</v>
      </c>
      <c r="C626" s="7" t="s">
        <v>6306</v>
      </c>
      <c r="D626" s="9">
        <v>45985</v>
      </c>
      <c r="E626" s="3">
        <v>3778.62</v>
      </c>
      <c r="F626" s="7" t="s">
        <v>3184</v>
      </c>
      <c r="H626" s="9"/>
    </row>
    <row r="627" spans="1:8" x14ac:dyDescent="0.3">
      <c r="A627" s="7" t="s">
        <v>7445</v>
      </c>
      <c r="B627" s="7" t="s">
        <v>339</v>
      </c>
      <c r="C627" s="7" t="s">
        <v>6307</v>
      </c>
      <c r="D627" s="9">
        <v>46059</v>
      </c>
      <c r="E627" s="3">
        <v>1322.71</v>
      </c>
      <c r="F627" s="7" t="s">
        <v>3174</v>
      </c>
      <c r="H627" s="9"/>
    </row>
    <row r="628" spans="1:8" x14ac:dyDescent="0.3">
      <c r="A628" s="7" t="s">
        <v>7446</v>
      </c>
      <c r="B628" s="7" t="s">
        <v>293</v>
      </c>
      <c r="C628" s="7" t="s">
        <v>6308</v>
      </c>
      <c r="D628" s="9">
        <v>46084</v>
      </c>
      <c r="E628" s="3">
        <v>3485.43</v>
      </c>
      <c r="F628" s="7" t="s">
        <v>3184</v>
      </c>
      <c r="H628" s="9"/>
    </row>
    <row r="629" spans="1:8" x14ac:dyDescent="0.3">
      <c r="A629" s="7" t="s">
        <v>7447</v>
      </c>
      <c r="B629" s="7" t="s">
        <v>276</v>
      </c>
      <c r="C629" s="7" t="s">
        <v>6309</v>
      </c>
      <c r="D629" s="9">
        <v>46068</v>
      </c>
      <c r="E629" s="3">
        <v>6660.79</v>
      </c>
      <c r="F629" s="7" t="s">
        <v>3174</v>
      </c>
      <c r="H629" s="9"/>
    </row>
    <row r="630" spans="1:8" x14ac:dyDescent="0.3">
      <c r="A630" s="7" t="s">
        <v>7448</v>
      </c>
      <c r="B630" s="7" t="s">
        <v>272</v>
      </c>
      <c r="C630" s="7" t="s">
        <v>6310</v>
      </c>
      <c r="D630" s="9">
        <v>46054</v>
      </c>
      <c r="E630" s="3">
        <v>4202.51</v>
      </c>
      <c r="F630" s="7" t="s">
        <v>3174</v>
      </c>
      <c r="H630" s="9"/>
    </row>
    <row r="631" spans="1:8" x14ac:dyDescent="0.3">
      <c r="A631" s="7" t="s">
        <v>7449</v>
      </c>
      <c r="B631" s="7" t="s">
        <v>315</v>
      </c>
      <c r="C631" s="7" t="s">
        <v>6311</v>
      </c>
      <c r="D631" s="9">
        <v>45988</v>
      </c>
      <c r="E631" s="3">
        <v>4711.34</v>
      </c>
      <c r="F631" s="7" t="s">
        <v>3174</v>
      </c>
      <c r="H631" s="9"/>
    </row>
    <row r="632" spans="1:8" x14ac:dyDescent="0.3">
      <c r="A632" s="7" t="s">
        <v>7450</v>
      </c>
      <c r="B632" s="7" t="s">
        <v>335</v>
      </c>
      <c r="C632" s="7" t="s">
        <v>6313</v>
      </c>
      <c r="D632" s="9">
        <v>45995</v>
      </c>
      <c r="E632" s="3">
        <v>4840.53</v>
      </c>
      <c r="F632" s="7" t="s">
        <v>6820</v>
      </c>
      <c r="H632" s="9"/>
    </row>
    <row r="633" spans="1:8" x14ac:dyDescent="0.3">
      <c r="A633" s="7" t="s">
        <v>7451</v>
      </c>
      <c r="B633" s="7" t="s">
        <v>339</v>
      </c>
      <c r="C633" s="7" t="s">
        <v>6314</v>
      </c>
      <c r="D633" s="9">
        <v>46097</v>
      </c>
      <c r="E633" s="3">
        <v>4870.58</v>
      </c>
      <c r="F633" s="7" t="s">
        <v>3174</v>
      </c>
      <c r="H633" s="9"/>
    </row>
    <row r="634" spans="1:8" x14ac:dyDescent="0.3">
      <c r="A634" s="7" t="s">
        <v>7452</v>
      </c>
      <c r="B634" s="7" t="s">
        <v>272</v>
      </c>
      <c r="C634" s="7" t="s">
        <v>6315</v>
      </c>
      <c r="D634" s="9">
        <v>46090</v>
      </c>
      <c r="E634" s="3">
        <v>3108.18</v>
      </c>
      <c r="F634" s="7" t="s">
        <v>3174</v>
      </c>
      <c r="H634" s="9"/>
    </row>
    <row r="635" spans="1:8" x14ac:dyDescent="0.3">
      <c r="A635" s="7" t="s">
        <v>7453</v>
      </c>
      <c r="B635" s="7" t="s">
        <v>289</v>
      </c>
      <c r="C635" s="7" t="s">
        <v>6316</v>
      </c>
      <c r="D635" s="9">
        <v>46037</v>
      </c>
      <c r="E635" s="3">
        <v>875.87</v>
      </c>
      <c r="F635" s="7" t="s">
        <v>3174</v>
      </c>
      <c r="H635" s="9"/>
    </row>
    <row r="636" spans="1:8" x14ac:dyDescent="0.3">
      <c r="A636" s="7" t="s">
        <v>7454</v>
      </c>
      <c r="B636" s="7" t="s">
        <v>269</v>
      </c>
      <c r="C636" s="7" t="s">
        <v>6317</v>
      </c>
      <c r="D636" s="9">
        <v>46096</v>
      </c>
      <c r="E636" s="3">
        <v>1947.12</v>
      </c>
      <c r="F636" s="7" t="s">
        <v>6820</v>
      </c>
      <c r="H636" s="9"/>
    </row>
    <row r="637" spans="1:8" x14ac:dyDescent="0.3">
      <c r="A637" s="7" t="s">
        <v>7455</v>
      </c>
      <c r="B637" s="7" t="s">
        <v>307</v>
      </c>
      <c r="C637" s="7" t="s">
        <v>6318</v>
      </c>
      <c r="D637" s="9">
        <v>46002</v>
      </c>
      <c r="E637" s="3">
        <v>6441.71</v>
      </c>
      <c r="F637" s="7" t="s">
        <v>6820</v>
      </c>
      <c r="H637" s="9"/>
    </row>
    <row r="638" spans="1:8" x14ac:dyDescent="0.3">
      <c r="A638" s="7" t="s">
        <v>7456</v>
      </c>
      <c r="B638" s="7" t="s">
        <v>285</v>
      </c>
      <c r="C638" s="7" t="s">
        <v>6319</v>
      </c>
      <c r="D638" s="9">
        <v>46100</v>
      </c>
      <c r="E638" s="3">
        <v>2587.5</v>
      </c>
      <c r="F638" s="7" t="s">
        <v>6820</v>
      </c>
      <c r="H638" s="9"/>
    </row>
    <row r="639" spans="1:8" x14ac:dyDescent="0.3">
      <c r="A639" s="7" t="s">
        <v>7457</v>
      </c>
      <c r="B639" s="7" t="s">
        <v>264</v>
      </c>
      <c r="C639" s="7" t="s">
        <v>6320</v>
      </c>
      <c r="D639" s="9">
        <v>46071</v>
      </c>
      <c r="E639" s="3">
        <v>3303.04</v>
      </c>
      <c r="F639" s="7" t="s">
        <v>6820</v>
      </c>
      <c r="H639" s="9"/>
    </row>
    <row r="640" spans="1:8" x14ac:dyDescent="0.3">
      <c r="A640" s="7" t="s">
        <v>7458</v>
      </c>
      <c r="B640" s="7" t="s">
        <v>291</v>
      </c>
      <c r="C640" s="7" t="s">
        <v>6323</v>
      </c>
      <c r="D640" s="9">
        <v>45969</v>
      </c>
      <c r="E640" s="3">
        <v>6062.59</v>
      </c>
      <c r="F640" s="7" t="s">
        <v>3184</v>
      </c>
      <c r="H640" s="9"/>
    </row>
    <row r="641" spans="1:8" x14ac:dyDescent="0.3">
      <c r="A641" s="7" t="s">
        <v>7459</v>
      </c>
      <c r="B641" s="7" t="s">
        <v>281</v>
      </c>
      <c r="C641" s="7" t="s">
        <v>6324</v>
      </c>
      <c r="D641" s="9">
        <v>45988</v>
      </c>
      <c r="E641" s="3">
        <v>2522.83</v>
      </c>
      <c r="F641" s="7" t="s">
        <v>3184</v>
      </c>
      <c r="H641" s="9"/>
    </row>
    <row r="642" spans="1:8" x14ac:dyDescent="0.3">
      <c r="A642" s="7" t="s">
        <v>7460</v>
      </c>
      <c r="B642" s="7" t="s">
        <v>339</v>
      </c>
      <c r="C642" s="7" t="s">
        <v>6325</v>
      </c>
      <c r="D642" s="9">
        <v>46000</v>
      </c>
      <c r="E642" s="3">
        <v>1609.05</v>
      </c>
      <c r="F642" s="7" t="s">
        <v>6820</v>
      </c>
      <c r="H642" s="9"/>
    </row>
    <row r="643" spans="1:8" x14ac:dyDescent="0.3">
      <c r="A643" s="7" t="s">
        <v>7461</v>
      </c>
      <c r="B643" s="7" t="s">
        <v>313</v>
      </c>
      <c r="C643" s="7" t="s">
        <v>6326</v>
      </c>
      <c r="D643" s="9">
        <v>46054</v>
      </c>
      <c r="E643" s="3">
        <v>1667</v>
      </c>
      <c r="F643" s="7" t="s">
        <v>3174</v>
      </c>
      <c r="H643" s="9"/>
    </row>
    <row r="644" spans="1:8" x14ac:dyDescent="0.3">
      <c r="A644" s="7" t="s">
        <v>7462</v>
      </c>
      <c r="B644" s="7" t="s">
        <v>297</v>
      </c>
      <c r="C644" s="7" t="s">
        <v>6328</v>
      </c>
      <c r="D644" s="9">
        <v>46103</v>
      </c>
      <c r="E644" s="3">
        <v>4111.95</v>
      </c>
      <c r="F644" s="7" t="s">
        <v>3184</v>
      </c>
      <c r="H644" s="9"/>
    </row>
    <row r="645" spans="1:8" x14ac:dyDescent="0.3">
      <c r="A645" s="7" t="s">
        <v>7463</v>
      </c>
      <c r="B645" s="7" t="s">
        <v>289</v>
      </c>
      <c r="C645" s="7" t="s">
        <v>6329</v>
      </c>
      <c r="D645" s="9">
        <v>46089</v>
      </c>
      <c r="E645" s="3">
        <v>2212.5100000000002</v>
      </c>
      <c r="F645" s="7" t="s">
        <v>3184</v>
      </c>
      <c r="H645" s="9"/>
    </row>
    <row r="646" spans="1:8" x14ac:dyDescent="0.3">
      <c r="A646" s="7" t="s">
        <v>7464</v>
      </c>
      <c r="B646" s="7" t="s">
        <v>313</v>
      </c>
      <c r="C646" s="7" t="s">
        <v>6330</v>
      </c>
      <c r="D646" s="9">
        <v>46054</v>
      </c>
      <c r="E646" s="3">
        <v>6723.21</v>
      </c>
      <c r="F646" s="7" t="s">
        <v>3174</v>
      </c>
      <c r="H646" s="9"/>
    </row>
    <row r="647" spans="1:8" x14ac:dyDescent="0.3">
      <c r="A647" s="7" t="s">
        <v>7465</v>
      </c>
      <c r="B647" s="7" t="s">
        <v>295</v>
      </c>
      <c r="C647" s="7" t="s">
        <v>6331</v>
      </c>
      <c r="D647" s="9">
        <v>46031</v>
      </c>
      <c r="E647" s="3">
        <v>5344.21</v>
      </c>
      <c r="F647" s="7" t="s">
        <v>3184</v>
      </c>
      <c r="H647" s="9"/>
    </row>
    <row r="648" spans="1:8" x14ac:dyDescent="0.3">
      <c r="A648" s="7" t="s">
        <v>7466</v>
      </c>
      <c r="B648" s="7" t="s">
        <v>301</v>
      </c>
      <c r="C648" s="7" t="s">
        <v>6332</v>
      </c>
      <c r="D648" s="9">
        <v>46088</v>
      </c>
      <c r="E648" s="3">
        <v>2866.19</v>
      </c>
      <c r="F648" s="7" t="s">
        <v>6820</v>
      </c>
      <c r="H648" s="9"/>
    </row>
    <row r="649" spans="1:8" x14ac:dyDescent="0.3">
      <c r="A649" s="7" t="s">
        <v>7467</v>
      </c>
      <c r="B649" s="7" t="s">
        <v>319</v>
      </c>
      <c r="C649" s="7" t="s">
        <v>6334</v>
      </c>
      <c r="D649" s="9">
        <v>45966</v>
      </c>
      <c r="E649" s="3">
        <v>5716.92</v>
      </c>
      <c r="F649" s="7" t="s">
        <v>3174</v>
      </c>
      <c r="H649" s="9"/>
    </row>
    <row r="650" spans="1:8" x14ac:dyDescent="0.3">
      <c r="A650" s="7" t="s">
        <v>7468</v>
      </c>
      <c r="B650" s="7" t="s">
        <v>319</v>
      </c>
      <c r="C650" s="7" t="s">
        <v>6335</v>
      </c>
      <c r="D650" s="9">
        <v>45970</v>
      </c>
      <c r="E650" s="3">
        <v>3462.27</v>
      </c>
      <c r="F650" s="7" t="s">
        <v>3184</v>
      </c>
      <c r="H650" s="9"/>
    </row>
    <row r="651" spans="1:8" x14ac:dyDescent="0.3">
      <c r="A651" s="7" t="s">
        <v>7469</v>
      </c>
      <c r="B651" s="7" t="s">
        <v>339</v>
      </c>
      <c r="C651" s="7" t="s">
        <v>6336</v>
      </c>
      <c r="D651" s="9">
        <v>46080</v>
      </c>
      <c r="E651" s="3">
        <v>6694.68</v>
      </c>
      <c r="F651" s="7" t="s">
        <v>3184</v>
      </c>
      <c r="H651" s="9"/>
    </row>
    <row r="652" spans="1:8" x14ac:dyDescent="0.3">
      <c r="A652" s="7" t="s">
        <v>7470</v>
      </c>
      <c r="B652" s="7" t="s">
        <v>337</v>
      </c>
      <c r="C652" s="7" t="s">
        <v>6338</v>
      </c>
      <c r="D652" s="9">
        <v>46102</v>
      </c>
      <c r="E652" s="3">
        <v>4210.91</v>
      </c>
      <c r="F652" s="7" t="s">
        <v>3174</v>
      </c>
      <c r="H652" s="9"/>
    </row>
    <row r="653" spans="1:8" x14ac:dyDescent="0.3">
      <c r="A653" s="7" t="s">
        <v>7471</v>
      </c>
      <c r="B653" s="7" t="s">
        <v>325</v>
      </c>
      <c r="C653" s="7" t="s">
        <v>6339</v>
      </c>
      <c r="D653" s="9">
        <v>46044</v>
      </c>
      <c r="E653" s="3">
        <v>5948.34</v>
      </c>
      <c r="F653" s="7" t="s">
        <v>3174</v>
      </c>
      <c r="H653" s="9"/>
    </row>
    <row r="654" spans="1:8" x14ac:dyDescent="0.3">
      <c r="A654" s="7" t="s">
        <v>7472</v>
      </c>
      <c r="B654" s="7" t="s">
        <v>307</v>
      </c>
      <c r="C654" s="7" t="s">
        <v>6341</v>
      </c>
      <c r="D654" s="9">
        <v>46058</v>
      </c>
      <c r="E654" s="3">
        <v>4288.87</v>
      </c>
      <c r="F654" s="7" t="s">
        <v>3174</v>
      </c>
      <c r="H654" s="9"/>
    </row>
    <row r="655" spans="1:8" x14ac:dyDescent="0.3">
      <c r="A655" s="7" t="s">
        <v>7473</v>
      </c>
      <c r="B655" s="7" t="s">
        <v>285</v>
      </c>
      <c r="C655" s="7" t="s">
        <v>6342</v>
      </c>
      <c r="D655" s="9">
        <v>46004</v>
      </c>
      <c r="E655" s="3">
        <v>3092.34</v>
      </c>
      <c r="F655" s="7" t="s">
        <v>3174</v>
      </c>
      <c r="H655" s="9"/>
    </row>
    <row r="656" spans="1:8" x14ac:dyDescent="0.3">
      <c r="A656" s="7" t="s">
        <v>7474</v>
      </c>
      <c r="B656" s="7" t="s">
        <v>269</v>
      </c>
      <c r="C656" s="7" t="s">
        <v>6343</v>
      </c>
      <c r="D656" s="9">
        <v>46087</v>
      </c>
      <c r="E656" s="3">
        <v>4641.45</v>
      </c>
      <c r="F656" s="7" t="s">
        <v>6820</v>
      </c>
      <c r="H656" s="9"/>
    </row>
    <row r="657" spans="1:8" x14ac:dyDescent="0.3">
      <c r="A657" s="7" t="s">
        <v>7475</v>
      </c>
      <c r="B657" s="7" t="s">
        <v>315</v>
      </c>
      <c r="C657" s="7" t="s">
        <v>6345</v>
      </c>
      <c r="D657" s="9">
        <v>46015</v>
      </c>
      <c r="E657" s="3">
        <v>6063.78</v>
      </c>
      <c r="F657" s="7" t="s">
        <v>3174</v>
      </c>
      <c r="H657" s="9"/>
    </row>
    <row r="658" spans="1:8" x14ac:dyDescent="0.3">
      <c r="A658" s="7" t="s">
        <v>7476</v>
      </c>
      <c r="B658" s="7" t="s">
        <v>319</v>
      </c>
      <c r="C658" s="7" t="s">
        <v>6347</v>
      </c>
      <c r="D658" s="9">
        <v>45964</v>
      </c>
      <c r="E658" s="3">
        <v>5262.01</v>
      </c>
      <c r="F658" s="7" t="s">
        <v>6820</v>
      </c>
      <c r="H658" s="9"/>
    </row>
    <row r="659" spans="1:8" x14ac:dyDescent="0.3">
      <c r="A659" s="7" t="s">
        <v>7477</v>
      </c>
      <c r="B659" s="7" t="s">
        <v>335</v>
      </c>
      <c r="C659" s="7" t="s">
        <v>6348</v>
      </c>
      <c r="D659" s="9">
        <v>46025</v>
      </c>
      <c r="E659" s="3">
        <v>4399.47</v>
      </c>
      <c r="F659" s="7" t="s">
        <v>3174</v>
      </c>
      <c r="H659" s="9"/>
    </row>
    <row r="660" spans="1:8" x14ac:dyDescent="0.3">
      <c r="A660" s="7" t="s">
        <v>7478</v>
      </c>
      <c r="B660" s="7" t="s">
        <v>337</v>
      </c>
      <c r="C660" s="7" t="s">
        <v>6349</v>
      </c>
      <c r="D660" s="9">
        <v>46066</v>
      </c>
      <c r="E660" s="3">
        <v>4218.95</v>
      </c>
      <c r="F660" s="7" t="s">
        <v>3174</v>
      </c>
      <c r="H660" s="9"/>
    </row>
    <row r="661" spans="1:8" x14ac:dyDescent="0.3">
      <c r="A661" s="7" t="s">
        <v>7479</v>
      </c>
      <c r="B661" s="7" t="s">
        <v>327</v>
      </c>
      <c r="C661" s="7" t="s">
        <v>6351</v>
      </c>
      <c r="D661" s="9">
        <v>46080</v>
      </c>
      <c r="E661" s="3">
        <v>6527.43</v>
      </c>
      <c r="F661" s="7" t="s">
        <v>3174</v>
      </c>
      <c r="H661" s="9"/>
    </row>
    <row r="662" spans="1:8" x14ac:dyDescent="0.3">
      <c r="A662" s="7" t="s">
        <v>7480</v>
      </c>
      <c r="B662" s="7" t="s">
        <v>325</v>
      </c>
      <c r="C662" s="7" t="s">
        <v>6352</v>
      </c>
      <c r="D662" s="9">
        <v>46033</v>
      </c>
      <c r="E662" s="3">
        <v>1307.1400000000001</v>
      </c>
      <c r="F662" s="7" t="s">
        <v>6820</v>
      </c>
      <c r="H662" s="9"/>
    </row>
    <row r="663" spans="1:8" x14ac:dyDescent="0.3">
      <c r="A663" s="7" t="s">
        <v>7481</v>
      </c>
      <c r="B663" s="7" t="s">
        <v>333</v>
      </c>
      <c r="C663" s="7" t="s">
        <v>6357</v>
      </c>
      <c r="D663" s="9">
        <v>46032</v>
      </c>
      <c r="E663" s="3">
        <v>1712.11</v>
      </c>
      <c r="F663" s="7" t="s">
        <v>3174</v>
      </c>
      <c r="H663" s="9"/>
    </row>
    <row r="664" spans="1:8" x14ac:dyDescent="0.3">
      <c r="A664" s="7" t="s">
        <v>7482</v>
      </c>
      <c r="B664" s="7" t="s">
        <v>272</v>
      </c>
      <c r="C664" s="7" t="s">
        <v>6359</v>
      </c>
      <c r="D664" s="9">
        <v>46068</v>
      </c>
      <c r="E664" s="3">
        <v>3374.74</v>
      </c>
      <c r="F664" s="7" t="s">
        <v>3184</v>
      </c>
      <c r="H664" s="9"/>
    </row>
    <row r="665" spans="1:8" x14ac:dyDescent="0.3">
      <c r="A665" s="7" t="s">
        <v>7483</v>
      </c>
      <c r="B665" s="7" t="s">
        <v>329</v>
      </c>
      <c r="C665" s="7" t="s">
        <v>6360</v>
      </c>
      <c r="D665" s="9">
        <v>46072</v>
      </c>
      <c r="E665" s="3">
        <v>1316.47</v>
      </c>
      <c r="F665" s="7" t="s">
        <v>3184</v>
      </c>
      <c r="H665" s="9"/>
    </row>
    <row r="666" spans="1:8" x14ac:dyDescent="0.3">
      <c r="A666" s="7" t="s">
        <v>7484</v>
      </c>
      <c r="B666" s="7" t="s">
        <v>289</v>
      </c>
      <c r="C666" s="7" t="s">
        <v>6361</v>
      </c>
      <c r="D666" s="9">
        <v>46046</v>
      </c>
      <c r="E666" s="3">
        <v>5106.76</v>
      </c>
      <c r="F666" s="7" t="s">
        <v>6820</v>
      </c>
      <c r="H666" s="9"/>
    </row>
    <row r="667" spans="1:8" x14ac:dyDescent="0.3">
      <c r="A667" s="7" t="s">
        <v>7485</v>
      </c>
      <c r="B667" s="7" t="s">
        <v>327</v>
      </c>
      <c r="C667" s="7" t="s">
        <v>6362</v>
      </c>
      <c r="D667" s="9">
        <v>46034</v>
      </c>
      <c r="E667" s="3">
        <v>5799.7</v>
      </c>
      <c r="F667" s="7" t="s">
        <v>6820</v>
      </c>
      <c r="H667" s="9"/>
    </row>
    <row r="668" spans="1:8" x14ac:dyDescent="0.3">
      <c r="A668" s="7" t="s">
        <v>7486</v>
      </c>
      <c r="B668" s="7" t="s">
        <v>276</v>
      </c>
      <c r="C668" s="7" t="s">
        <v>6364</v>
      </c>
      <c r="D668" s="9">
        <v>45980</v>
      </c>
      <c r="E668" s="3">
        <v>2497.9899999999998</v>
      </c>
      <c r="F668" s="7" t="s">
        <v>3174</v>
      </c>
      <c r="H668" s="9"/>
    </row>
    <row r="669" spans="1:8" x14ac:dyDescent="0.3">
      <c r="A669" s="7" t="s">
        <v>7487</v>
      </c>
      <c r="B669" s="7" t="s">
        <v>335</v>
      </c>
      <c r="C669" s="7" t="s">
        <v>6365</v>
      </c>
      <c r="D669" s="9">
        <v>45996</v>
      </c>
      <c r="E669" s="3">
        <v>6403.78</v>
      </c>
      <c r="F669" s="7" t="s">
        <v>6820</v>
      </c>
      <c r="H669" s="9"/>
    </row>
    <row r="670" spans="1:8" x14ac:dyDescent="0.3">
      <c r="A670" s="7" t="s">
        <v>7488</v>
      </c>
      <c r="B670" s="7" t="s">
        <v>299</v>
      </c>
      <c r="C670" s="7" t="s">
        <v>6366</v>
      </c>
      <c r="D670" s="9">
        <v>45996</v>
      </c>
      <c r="E670" s="3">
        <v>4357.8100000000004</v>
      </c>
      <c r="F670" s="7" t="s">
        <v>6820</v>
      </c>
      <c r="H670" s="9"/>
    </row>
    <row r="671" spans="1:8" x14ac:dyDescent="0.3">
      <c r="A671" s="7" t="s">
        <v>7489</v>
      </c>
      <c r="B671" s="7" t="s">
        <v>315</v>
      </c>
      <c r="C671" s="7" t="s">
        <v>6367</v>
      </c>
      <c r="D671" s="9">
        <v>45984</v>
      </c>
      <c r="E671" s="3">
        <v>5659.28</v>
      </c>
      <c r="F671" s="7" t="s">
        <v>3184</v>
      </c>
      <c r="H671" s="9"/>
    </row>
    <row r="672" spans="1:8" x14ac:dyDescent="0.3">
      <c r="A672" s="7" t="s">
        <v>7490</v>
      </c>
      <c r="B672" s="7" t="s">
        <v>315</v>
      </c>
      <c r="C672" s="7" t="s">
        <v>6368</v>
      </c>
      <c r="D672" s="9">
        <v>46048</v>
      </c>
      <c r="E672" s="3">
        <v>1940.45</v>
      </c>
      <c r="F672" s="7" t="s">
        <v>3174</v>
      </c>
      <c r="H672" s="9"/>
    </row>
    <row r="673" spans="1:8" x14ac:dyDescent="0.3">
      <c r="A673" s="7" t="s">
        <v>7491</v>
      </c>
      <c r="B673" s="7" t="s">
        <v>339</v>
      </c>
      <c r="C673" s="7" t="s">
        <v>6369</v>
      </c>
      <c r="D673" s="9">
        <v>45997</v>
      </c>
      <c r="E673" s="3">
        <v>6947.27</v>
      </c>
      <c r="F673" s="7" t="s">
        <v>3184</v>
      </c>
      <c r="H673" s="9"/>
    </row>
    <row r="674" spans="1:8" x14ac:dyDescent="0.3">
      <c r="A674" s="7" t="s">
        <v>7492</v>
      </c>
      <c r="B674" s="7" t="s">
        <v>301</v>
      </c>
      <c r="C674" s="7" t="s">
        <v>6370</v>
      </c>
      <c r="D674" s="9">
        <v>45999</v>
      </c>
      <c r="E674" s="3">
        <v>2935.73</v>
      </c>
      <c r="F674" s="7" t="s">
        <v>3184</v>
      </c>
      <c r="H674" s="9"/>
    </row>
    <row r="675" spans="1:8" x14ac:dyDescent="0.3">
      <c r="A675" s="7" t="s">
        <v>7493</v>
      </c>
      <c r="B675" s="7" t="s">
        <v>341</v>
      </c>
      <c r="C675" s="7" t="s">
        <v>6371</v>
      </c>
      <c r="D675" s="9">
        <v>46042</v>
      </c>
      <c r="E675" s="3">
        <v>1475.09</v>
      </c>
      <c r="F675" s="7" t="s">
        <v>3174</v>
      </c>
      <c r="H675" s="9"/>
    </row>
    <row r="676" spans="1:8" x14ac:dyDescent="0.3">
      <c r="A676" s="7" t="s">
        <v>7494</v>
      </c>
      <c r="B676" s="7" t="s">
        <v>303</v>
      </c>
      <c r="C676" s="7" t="s">
        <v>6372</v>
      </c>
      <c r="D676" s="9">
        <v>46045</v>
      </c>
      <c r="E676" s="3">
        <v>870.36</v>
      </c>
      <c r="F676" s="7" t="s">
        <v>3174</v>
      </c>
      <c r="H676" s="9"/>
    </row>
    <row r="677" spans="1:8" x14ac:dyDescent="0.3">
      <c r="A677" s="7" t="s">
        <v>7495</v>
      </c>
      <c r="B677" s="7" t="s">
        <v>329</v>
      </c>
      <c r="C677" s="7" t="s">
        <v>6373</v>
      </c>
      <c r="D677" s="9">
        <v>46047</v>
      </c>
      <c r="E677" s="3">
        <v>6048.18</v>
      </c>
      <c r="F677" s="7" t="s">
        <v>3174</v>
      </c>
      <c r="H677" s="9"/>
    </row>
    <row r="678" spans="1:8" x14ac:dyDescent="0.3">
      <c r="A678" s="7" t="s">
        <v>7496</v>
      </c>
      <c r="B678" s="7" t="s">
        <v>301</v>
      </c>
      <c r="C678" s="7" t="s">
        <v>6375</v>
      </c>
      <c r="D678" s="9">
        <v>45996</v>
      </c>
      <c r="E678" s="3">
        <v>4316.37</v>
      </c>
      <c r="F678" s="7" t="s">
        <v>3174</v>
      </c>
      <c r="H678" s="9"/>
    </row>
    <row r="679" spans="1:8" x14ac:dyDescent="0.3">
      <c r="A679" s="7" t="s">
        <v>7497</v>
      </c>
      <c r="B679" s="7" t="s">
        <v>307</v>
      </c>
      <c r="C679" s="7" t="s">
        <v>6377</v>
      </c>
      <c r="D679" s="9">
        <v>46029</v>
      </c>
      <c r="E679" s="3">
        <v>2168.1799999999998</v>
      </c>
      <c r="F679" s="7" t="s">
        <v>3184</v>
      </c>
      <c r="H679" s="9"/>
    </row>
    <row r="680" spans="1:8" x14ac:dyDescent="0.3">
      <c r="A680" s="7" t="s">
        <v>7498</v>
      </c>
      <c r="B680" s="7" t="s">
        <v>299</v>
      </c>
      <c r="C680" s="7" t="s">
        <v>6380</v>
      </c>
      <c r="D680" s="9">
        <v>46077</v>
      </c>
      <c r="E680" s="3">
        <v>5334.57</v>
      </c>
      <c r="F680" s="7" t="s">
        <v>3184</v>
      </c>
      <c r="H680" s="9"/>
    </row>
    <row r="681" spans="1:8" x14ac:dyDescent="0.3">
      <c r="A681" s="7" t="s">
        <v>7499</v>
      </c>
      <c r="B681" s="7" t="s">
        <v>289</v>
      </c>
      <c r="C681" s="7" t="s">
        <v>6381</v>
      </c>
      <c r="D681" s="9">
        <v>45986</v>
      </c>
      <c r="E681" s="3">
        <v>2203.81</v>
      </c>
      <c r="F681" s="7" t="s">
        <v>3174</v>
      </c>
      <c r="H681" s="9"/>
    </row>
    <row r="682" spans="1:8" x14ac:dyDescent="0.3">
      <c r="A682" s="7" t="s">
        <v>7500</v>
      </c>
      <c r="B682" s="7" t="s">
        <v>325</v>
      </c>
      <c r="C682" s="7" t="s">
        <v>6382</v>
      </c>
      <c r="D682" s="9">
        <v>46007</v>
      </c>
      <c r="E682" s="3">
        <v>6489.38</v>
      </c>
      <c r="F682" s="7" t="s">
        <v>6820</v>
      </c>
      <c r="H682" s="9"/>
    </row>
    <row r="683" spans="1:8" x14ac:dyDescent="0.3">
      <c r="A683" s="7" t="s">
        <v>7501</v>
      </c>
      <c r="B683" s="7" t="s">
        <v>291</v>
      </c>
      <c r="C683" s="7" t="s">
        <v>6383</v>
      </c>
      <c r="D683" s="9">
        <v>45988</v>
      </c>
      <c r="E683" s="3">
        <v>6733.38</v>
      </c>
      <c r="F683" s="7" t="s">
        <v>6820</v>
      </c>
      <c r="H683" s="9"/>
    </row>
    <row r="684" spans="1:8" x14ac:dyDescent="0.3">
      <c r="A684" s="7" t="s">
        <v>7502</v>
      </c>
      <c r="B684" s="7" t="s">
        <v>301</v>
      </c>
      <c r="C684" s="7" t="s">
        <v>6384</v>
      </c>
      <c r="D684" s="9">
        <v>46035</v>
      </c>
      <c r="E684" s="3">
        <v>1082.6600000000001</v>
      </c>
      <c r="F684" s="7" t="s">
        <v>6820</v>
      </c>
      <c r="H684" s="9"/>
    </row>
    <row r="685" spans="1:8" x14ac:dyDescent="0.3">
      <c r="A685" s="7" t="s">
        <v>7503</v>
      </c>
      <c r="B685" s="7" t="s">
        <v>297</v>
      </c>
      <c r="C685" s="7" t="s">
        <v>6385</v>
      </c>
      <c r="D685" s="9">
        <v>46025</v>
      </c>
      <c r="E685" s="3">
        <v>1349.39</v>
      </c>
      <c r="F685" s="7" t="s">
        <v>3174</v>
      </c>
      <c r="H685" s="9"/>
    </row>
    <row r="686" spans="1:8" x14ac:dyDescent="0.3">
      <c r="A686" s="7" t="s">
        <v>7504</v>
      </c>
      <c r="B686" s="7" t="s">
        <v>327</v>
      </c>
      <c r="C686" s="7" t="s">
        <v>6386</v>
      </c>
      <c r="D686" s="9">
        <v>46090</v>
      </c>
      <c r="E686" s="3">
        <v>4523.07</v>
      </c>
      <c r="F686" s="7" t="s">
        <v>3184</v>
      </c>
      <c r="H686" s="9"/>
    </row>
    <row r="687" spans="1:8" x14ac:dyDescent="0.3">
      <c r="A687" s="7" t="s">
        <v>7505</v>
      </c>
      <c r="B687" s="7" t="s">
        <v>274</v>
      </c>
      <c r="C687" s="7" t="s">
        <v>6387</v>
      </c>
      <c r="D687" s="9">
        <v>46010</v>
      </c>
      <c r="E687" s="3">
        <v>1443.12</v>
      </c>
      <c r="F687" s="7" t="s">
        <v>3184</v>
      </c>
      <c r="H687" s="9"/>
    </row>
    <row r="688" spans="1:8" x14ac:dyDescent="0.3">
      <c r="A688" s="7" t="s">
        <v>7506</v>
      </c>
      <c r="B688" s="7" t="s">
        <v>339</v>
      </c>
      <c r="C688" s="7" t="s">
        <v>6388</v>
      </c>
      <c r="D688" s="9">
        <v>45978</v>
      </c>
      <c r="E688" s="3">
        <v>4910.08</v>
      </c>
      <c r="F688" s="7" t="s">
        <v>3174</v>
      </c>
      <c r="H688" s="9"/>
    </row>
    <row r="689" spans="1:8" x14ac:dyDescent="0.3">
      <c r="A689" s="7" t="s">
        <v>7507</v>
      </c>
      <c r="B689" s="7" t="s">
        <v>279</v>
      </c>
      <c r="C689" s="7" t="s">
        <v>6391</v>
      </c>
      <c r="D689" s="9">
        <v>46081</v>
      </c>
      <c r="E689" s="3">
        <v>3306.03</v>
      </c>
      <c r="F689" s="7" t="s">
        <v>6820</v>
      </c>
      <c r="H689" s="9"/>
    </row>
    <row r="690" spans="1:8" x14ac:dyDescent="0.3">
      <c r="A690" s="7" t="s">
        <v>7508</v>
      </c>
      <c r="B690" s="7" t="s">
        <v>272</v>
      </c>
      <c r="C690" s="7" t="s">
        <v>6392</v>
      </c>
      <c r="D690" s="9">
        <v>46073</v>
      </c>
      <c r="E690" s="3">
        <v>6232.26</v>
      </c>
      <c r="F690" s="7" t="s">
        <v>6820</v>
      </c>
      <c r="H690" s="9"/>
    </row>
    <row r="691" spans="1:8" x14ac:dyDescent="0.3">
      <c r="A691" s="7" t="s">
        <v>7509</v>
      </c>
      <c r="B691" s="7" t="s">
        <v>289</v>
      </c>
      <c r="C691" s="7" t="s">
        <v>6396</v>
      </c>
      <c r="D691" s="9">
        <v>46008</v>
      </c>
      <c r="E691" s="3">
        <v>1263.06</v>
      </c>
      <c r="F691" s="7" t="s">
        <v>3184</v>
      </c>
      <c r="H691" s="9"/>
    </row>
    <row r="692" spans="1:8" x14ac:dyDescent="0.3">
      <c r="A692" s="7" t="s">
        <v>7510</v>
      </c>
      <c r="B692" s="7" t="s">
        <v>291</v>
      </c>
      <c r="C692" s="7" t="s">
        <v>6398</v>
      </c>
      <c r="D692" s="9">
        <v>46097</v>
      </c>
      <c r="E692" s="3">
        <v>6508.84</v>
      </c>
      <c r="F692" s="7" t="s">
        <v>3174</v>
      </c>
      <c r="H692" s="9"/>
    </row>
    <row r="693" spans="1:8" x14ac:dyDescent="0.3">
      <c r="A693" s="7" t="s">
        <v>7511</v>
      </c>
      <c r="B693" s="7" t="s">
        <v>279</v>
      </c>
      <c r="C693" s="7" t="s">
        <v>6400</v>
      </c>
      <c r="D693" s="9">
        <v>45985</v>
      </c>
      <c r="E693" s="3">
        <v>2060.3200000000002</v>
      </c>
      <c r="F693" s="7" t="s">
        <v>3184</v>
      </c>
      <c r="H693" s="9"/>
    </row>
    <row r="694" spans="1:8" x14ac:dyDescent="0.3">
      <c r="A694" s="7" t="s">
        <v>7512</v>
      </c>
      <c r="B694" s="7" t="s">
        <v>281</v>
      </c>
      <c r="C694" s="7" t="s">
        <v>6402</v>
      </c>
      <c r="D694" s="9">
        <v>45983</v>
      </c>
      <c r="E694" s="3">
        <v>2681.42</v>
      </c>
      <c r="F694" s="7" t="s">
        <v>3174</v>
      </c>
      <c r="H694" s="9"/>
    </row>
    <row r="695" spans="1:8" x14ac:dyDescent="0.3">
      <c r="A695" s="7" t="s">
        <v>7513</v>
      </c>
      <c r="B695" s="7" t="s">
        <v>285</v>
      </c>
      <c r="C695" s="7" t="s">
        <v>6403</v>
      </c>
      <c r="D695" s="9">
        <v>46004</v>
      </c>
      <c r="E695" s="3">
        <v>6818.03</v>
      </c>
      <c r="F695" s="7" t="s">
        <v>3184</v>
      </c>
      <c r="H695" s="9"/>
    </row>
    <row r="696" spans="1:8" x14ac:dyDescent="0.3">
      <c r="A696" s="7" t="s">
        <v>7514</v>
      </c>
      <c r="B696" s="7" t="s">
        <v>274</v>
      </c>
      <c r="C696" s="7" t="s">
        <v>6404</v>
      </c>
      <c r="D696" s="9">
        <v>46006</v>
      </c>
      <c r="E696" s="3">
        <v>2593.83</v>
      </c>
      <c r="F696" s="7" t="s">
        <v>3184</v>
      </c>
      <c r="H696" s="9"/>
    </row>
    <row r="697" spans="1:8" x14ac:dyDescent="0.3">
      <c r="A697" s="7" t="s">
        <v>7515</v>
      </c>
      <c r="B697" s="7" t="s">
        <v>323</v>
      </c>
      <c r="C697" s="7" t="s">
        <v>6405</v>
      </c>
      <c r="D697" s="9">
        <v>46001</v>
      </c>
      <c r="E697" s="3">
        <v>6076.72</v>
      </c>
      <c r="F697" s="7" t="s">
        <v>3184</v>
      </c>
      <c r="H697" s="9"/>
    </row>
    <row r="698" spans="1:8" x14ac:dyDescent="0.3">
      <c r="A698" s="7" t="s">
        <v>7516</v>
      </c>
      <c r="B698" s="7" t="s">
        <v>272</v>
      </c>
      <c r="C698" s="7" t="s">
        <v>6406</v>
      </c>
      <c r="D698" s="9">
        <v>46059</v>
      </c>
      <c r="E698" s="3">
        <v>5590.16</v>
      </c>
      <c r="F698" s="7" t="s">
        <v>6820</v>
      </c>
      <c r="H698" s="9"/>
    </row>
    <row r="699" spans="1:8" x14ac:dyDescent="0.3">
      <c r="A699" s="7" t="s">
        <v>7517</v>
      </c>
      <c r="B699" s="7" t="s">
        <v>329</v>
      </c>
      <c r="C699" s="7" t="s">
        <v>6407</v>
      </c>
      <c r="D699" s="9">
        <v>46087</v>
      </c>
      <c r="E699" s="3">
        <v>3084.71</v>
      </c>
      <c r="F699" s="7" t="s">
        <v>3184</v>
      </c>
      <c r="H699" s="9"/>
    </row>
    <row r="700" spans="1:8" x14ac:dyDescent="0.3">
      <c r="A700" s="7" t="s">
        <v>7518</v>
      </c>
      <c r="B700" s="7" t="s">
        <v>289</v>
      </c>
      <c r="C700" s="7" t="s">
        <v>6408</v>
      </c>
      <c r="D700" s="9">
        <v>46006</v>
      </c>
      <c r="E700" s="3">
        <v>4552.22</v>
      </c>
      <c r="F700" s="7" t="s">
        <v>3184</v>
      </c>
      <c r="H700" s="9"/>
    </row>
    <row r="701" spans="1:8" x14ac:dyDescent="0.3">
      <c r="A701" s="7" t="s">
        <v>7519</v>
      </c>
      <c r="B701" s="7" t="s">
        <v>267</v>
      </c>
      <c r="C701" s="7" t="s">
        <v>6409</v>
      </c>
      <c r="D701" s="9">
        <v>46081</v>
      </c>
      <c r="E701" s="3">
        <v>6491.42</v>
      </c>
      <c r="F701" s="7" t="s">
        <v>6820</v>
      </c>
      <c r="H701" s="9"/>
    </row>
    <row r="702" spans="1:8" x14ac:dyDescent="0.3">
      <c r="A702" s="7" t="s">
        <v>7520</v>
      </c>
      <c r="B702" s="7" t="s">
        <v>313</v>
      </c>
      <c r="C702" s="7" t="s">
        <v>6410</v>
      </c>
      <c r="D702" s="9">
        <v>46092</v>
      </c>
      <c r="E702" s="3">
        <v>1557.11</v>
      </c>
      <c r="F702" s="7" t="s">
        <v>3174</v>
      </c>
      <c r="H702" s="9"/>
    </row>
    <row r="703" spans="1:8" x14ac:dyDescent="0.3">
      <c r="A703" s="7" t="s">
        <v>7521</v>
      </c>
      <c r="B703" s="7" t="s">
        <v>295</v>
      </c>
      <c r="C703" s="7" t="s">
        <v>6411</v>
      </c>
      <c r="D703" s="9">
        <v>46067</v>
      </c>
      <c r="E703" s="3">
        <v>4776.78</v>
      </c>
      <c r="F703" s="7" t="s">
        <v>6820</v>
      </c>
      <c r="H703" s="9"/>
    </row>
    <row r="704" spans="1:8" x14ac:dyDescent="0.3">
      <c r="A704" s="7" t="s">
        <v>7522</v>
      </c>
      <c r="B704" s="7" t="s">
        <v>272</v>
      </c>
      <c r="C704" s="7" t="s">
        <v>6412</v>
      </c>
      <c r="D704" s="9">
        <v>46076</v>
      </c>
      <c r="E704" s="3">
        <v>5201.92</v>
      </c>
      <c r="F704" s="7" t="s">
        <v>3184</v>
      </c>
      <c r="H704" s="9"/>
    </row>
    <row r="705" spans="1:8" x14ac:dyDescent="0.3">
      <c r="A705" s="7" t="s">
        <v>7523</v>
      </c>
      <c r="B705" s="7" t="s">
        <v>307</v>
      </c>
      <c r="C705" s="7" t="s">
        <v>6413</v>
      </c>
      <c r="D705" s="9">
        <v>45992</v>
      </c>
      <c r="E705" s="3">
        <v>1118.67</v>
      </c>
      <c r="F705" s="7" t="s">
        <v>3184</v>
      </c>
      <c r="H705" s="9"/>
    </row>
    <row r="706" spans="1:8" x14ac:dyDescent="0.3">
      <c r="A706" s="7" t="s">
        <v>7524</v>
      </c>
      <c r="B706" s="7" t="s">
        <v>287</v>
      </c>
      <c r="C706" s="7" t="s">
        <v>6414</v>
      </c>
      <c r="D706" s="9">
        <v>46077</v>
      </c>
      <c r="E706" s="3">
        <v>3208.92</v>
      </c>
      <c r="F706" s="7" t="s">
        <v>3184</v>
      </c>
      <c r="H706" s="9"/>
    </row>
    <row r="707" spans="1:8" x14ac:dyDescent="0.3">
      <c r="A707" s="7" t="s">
        <v>7525</v>
      </c>
      <c r="B707" s="7" t="s">
        <v>307</v>
      </c>
      <c r="C707" s="7" t="s">
        <v>6415</v>
      </c>
      <c r="D707" s="9">
        <v>46024</v>
      </c>
      <c r="E707" s="3">
        <v>1836.77</v>
      </c>
      <c r="F707" s="7" t="s">
        <v>3184</v>
      </c>
      <c r="H707" s="9"/>
    </row>
    <row r="708" spans="1:8" x14ac:dyDescent="0.3">
      <c r="A708" s="7" t="s">
        <v>7526</v>
      </c>
      <c r="B708" s="7" t="s">
        <v>323</v>
      </c>
      <c r="C708" s="7" t="s">
        <v>6418</v>
      </c>
      <c r="D708" s="9">
        <v>46099</v>
      </c>
      <c r="E708" s="3">
        <v>4419.25</v>
      </c>
      <c r="F708" s="7" t="s">
        <v>6820</v>
      </c>
      <c r="H708" s="9"/>
    </row>
    <row r="709" spans="1:8" x14ac:dyDescent="0.3">
      <c r="A709" s="7" t="s">
        <v>7527</v>
      </c>
      <c r="B709" s="7" t="s">
        <v>341</v>
      </c>
      <c r="C709" s="7" t="s">
        <v>6420</v>
      </c>
      <c r="D709" s="9">
        <v>46092</v>
      </c>
      <c r="E709" s="3">
        <v>2550.42</v>
      </c>
      <c r="F709" s="7" t="s">
        <v>3184</v>
      </c>
      <c r="H709" s="9"/>
    </row>
    <row r="710" spans="1:8" x14ac:dyDescent="0.3">
      <c r="A710" s="7" t="s">
        <v>7528</v>
      </c>
      <c r="B710" s="7" t="s">
        <v>269</v>
      </c>
      <c r="C710" s="7" t="s">
        <v>6421</v>
      </c>
      <c r="D710" s="9">
        <v>46046</v>
      </c>
      <c r="E710" s="3">
        <v>989.88</v>
      </c>
      <c r="F710" s="7" t="s">
        <v>6820</v>
      </c>
      <c r="H710" s="9"/>
    </row>
    <row r="711" spans="1:8" x14ac:dyDescent="0.3">
      <c r="A711" s="7" t="s">
        <v>7529</v>
      </c>
      <c r="B711" s="7" t="s">
        <v>307</v>
      </c>
      <c r="C711" s="7" t="s">
        <v>6422</v>
      </c>
      <c r="D711" s="9">
        <v>46000</v>
      </c>
      <c r="E711" s="3">
        <v>3482.65</v>
      </c>
      <c r="F711" s="7" t="s">
        <v>3184</v>
      </c>
      <c r="H711" s="9"/>
    </row>
    <row r="712" spans="1:8" x14ac:dyDescent="0.3">
      <c r="A712" s="7" t="s">
        <v>7530</v>
      </c>
      <c r="B712" s="7" t="s">
        <v>311</v>
      </c>
      <c r="C712" s="7" t="s">
        <v>6426</v>
      </c>
      <c r="D712" s="9">
        <v>46013</v>
      </c>
      <c r="E712" s="3">
        <v>960.52</v>
      </c>
      <c r="F712" s="7" t="s">
        <v>3174</v>
      </c>
      <c r="H712" s="9"/>
    </row>
    <row r="713" spans="1:8" x14ac:dyDescent="0.3">
      <c r="A713" s="7" t="s">
        <v>7531</v>
      </c>
      <c r="B713" s="7" t="s">
        <v>264</v>
      </c>
      <c r="C713" s="7" t="s">
        <v>6427</v>
      </c>
      <c r="D713" s="9">
        <v>45972</v>
      </c>
      <c r="E713" s="3">
        <v>4912.6899999999996</v>
      </c>
      <c r="F713" s="7" t="s">
        <v>3184</v>
      </c>
      <c r="H713" s="9"/>
    </row>
    <row r="714" spans="1:8" x14ac:dyDescent="0.3">
      <c r="A714" s="7" t="s">
        <v>7532</v>
      </c>
      <c r="B714" s="7" t="s">
        <v>299</v>
      </c>
      <c r="C714" s="7" t="s">
        <v>6428</v>
      </c>
      <c r="D714" s="9">
        <v>46059</v>
      </c>
      <c r="E714" s="3">
        <v>1489.64</v>
      </c>
      <c r="F714" s="7" t="s">
        <v>3174</v>
      </c>
      <c r="H714" s="9"/>
    </row>
    <row r="715" spans="1:8" x14ac:dyDescent="0.3">
      <c r="A715" s="7" t="s">
        <v>7533</v>
      </c>
      <c r="B715" s="7" t="s">
        <v>261</v>
      </c>
      <c r="C715" s="7" t="s">
        <v>6431</v>
      </c>
      <c r="D715" s="9">
        <v>46033</v>
      </c>
      <c r="E715" s="3">
        <v>821.27</v>
      </c>
      <c r="F715" s="7" t="s">
        <v>6820</v>
      </c>
      <c r="H715" s="9"/>
    </row>
    <row r="716" spans="1:8" x14ac:dyDescent="0.3">
      <c r="A716" s="7" t="s">
        <v>7534</v>
      </c>
      <c r="B716" s="7" t="s">
        <v>317</v>
      </c>
      <c r="C716" s="7" t="s">
        <v>6432</v>
      </c>
      <c r="D716" s="9">
        <v>45973</v>
      </c>
      <c r="E716" s="3">
        <v>4157.2700000000004</v>
      </c>
      <c r="F716" s="7" t="s">
        <v>3174</v>
      </c>
      <c r="H716" s="9"/>
    </row>
    <row r="717" spans="1:8" x14ac:dyDescent="0.3">
      <c r="A717" s="7" t="s">
        <v>7535</v>
      </c>
      <c r="B717" s="7" t="s">
        <v>327</v>
      </c>
      <c r="C717" s="7" t="s">
        <v>6433</v>
      </c>
      <c r="D717" s="9">
        <v>46046</v>
      </c>
      <c r="E717" s="3">
        <v>1640.57</v>
      </c>
      <c r="F717" s="7" t="s">
        <v>3174</v>
      </c>
      <c r="H717" s="9"/>
    </row>
    <row r="718" spans="1:8" x14ac:dyDescent="0.3">
      <c r="A718" s="7" t="s">
        <v>7536</v>
      </c>
      <c r="B718" s="7" t="s">
        <v>285</v>
      </c>
      <c r="C718" s="7" t="s">
        <v>6435</v>
      </c>
      <c r="D718" s="9">
        <v>46004</v>
      </c>
      <c r="E718" s="3">
        <v>1668.04</v>
      </c>
      <c r="F718" s="7" t="s">
        <v>6820</v>
      </c>
      <c r="H718" s="9"/>
    </row>
    <row r="719" spans="1:8" x14ac:dyDescent="0.3">
      <c r="A719" s="7" t="s">
        <v>7537</v>
      </c>
      <c r="B719" s="7" t="s">
        <v>287</v>
      </c>
      <c r="C719" s="7" t="s">
        <v>6436</v>
      </c>
      <c r="D719" s="9">
        <v>46031</v>
      </c>
      <c r="E719" s="3">
        <v>4247.6099999999997</v>
      </c>
      <c r="F719" s="7" t="s">
        <v>6820</v>
      </c>
      <c r="H719" s="9"/>
    </row>
    <row r="720" spans="1:8" x14ac:dyDescent="0.3">
      <c r="A720" s="7" t="s">
        <v>7538</v>
      </c>
      <c r="B720" s="7" t="s">
        <v>325</v>
      </c>
      <c r="C720" s="7" t="s">
        <v>6437</v>
      </c>
      <c r="D720" s="9">
        <v>46062</v>
      </c>
      <c r="E720" s="3">
        <v>2825.8</v>
      </c>
      <c r="F720" s="7" t="s">
        <v>6820</v>
      </c>
      <c r="H720" s="9"/>
    </row>
    <row r="721" spans="1:8" x14ac:dyDescent="0.3">
      <c r="A721" s="7" t="s">
        <v>7539</v>
      </c>
      <c r="B721" s="7" t="s">
        <v>341</v>
      </c>
      <c r="C721" s="7" t="s">
        <v>6438</v>
      </c>
      <c r="D721" s="9">
        <v>45980</v>
      </c>
      <c r="E721" s="3">
        <v>4464.54</v>
      </c>
      <c r="F721" s="7" t="s">
        <v>3174</v>
      </c>
      <c r="H721" s="9"/>
    </row>
    <row r="722" spans="1:8" x14ac:dyDescent="0.3">
      <c r="A722" s="7" t="s">
        <v>7540</v>
      </c>
      <c r="B722" s="7" t="s">
        <v>341</v>
      </c>
      <c r="C722" s="7" t="s">
        <v>6440</v>
      </c>
      <c r="D722" s="9">
        <v>46092</v>
      </c>
      <c r="E722" s="3">
        <v>5775.71</v>
      </c>
      <c r="F722" s="7" t="s">
        <v>6820</v>
      </c>
      <c r="H722" s="9"/>
    </row>
    <row r="723" spans="1:8" x14ac:dyDescent="0.3">
      <c r="A723" s="7" t="s">
        <v>7541</v>
      </c>
      <c r="B723" s="7" t="s">
        <v>279</v>
      </c>
      <c r="C723" s="7" t="s">
        <v>6441</v>
      </c>
      <c r="D723" s="9">
        <v>46012</v>
      </c>
      <c r="E723" s="3">
        <v>6603.28</v>
      </c>
      <c r="F723" s="7" t="s">
        <v>6820</v>
      </c>
      <c r="H723" s="9"/>
    </row>
    <row r="724" spans="1:8" x14ac:dyDescent="0.3">
      <c r="A724" s="7" t="s">
        <v>7542</v>
      </c>
      <c r="B724" s="7" t="s">
        <v>285</v>
      </c>
      <c r="C724" s="7" t="s">
        <v>6443</v>
      </c>
      <c r="D724" s="9">
        <v>46082</v>
      </c>
      <c r="E724" s="3">
        <v>5550.09</v>
      </c>
      <c r="F724" s="7" t="s">
        <v>3174</v>
      </c>
      <c r="H724" s="9"/>
    </row>
    <row r="725" spans="1:8" x14ac:dyDescent="0.3">
      <c r="A725" s="7" t="s">
        <v>7543</v>
      </c>
      <c r="B725" s="7" t="s">
        <v>319</v>
      </c>
      <c r="C725" s="7" t="s">
        <v>6444</v>
      </c>
      <c r="D725" s="9">
        <v>45989</v>
      </c>
      <c r="E725" s="3">
        <v>2593.46</v>
      </c>
      <c r="F725" s="7" t="s">
        <v>3184</v>
      </c>
      <c r="H725" s="9"/>
    </row>
    <row r="726" spans="1:8" x14ac:dyDescent="0.3">
      <c r="A726" s="7" t="s">
        <v>7544</v>
      </c>
      <c r="B726" s="7" t="s">
        <v>327</v>
      </c>
      <c r="C726" s="7" t="s">
        <v>6445</v>
      </c>
      <c r="D726" s="9">
        <v>46054</v>
      </c>
      <c r="E726" s="3">
        <v>4250.45</v>
      </c>
      <c r="F726" s="7" t="s">
        <v>3174</v>
      </c>
      <c r="H726" s="9"/>
    </row>
    <row r="727" spans="1:8" x14ac:dyDescent="0.3">
      <c r="A727" s="7" t="s">
        <v>7545</v>
      </c>
      <c r="B727" s="7" t="s">
        <v>331</v>
      </c>
      <c r="C727" s="7" t="s">
        <v>6446</v>
      </c>
      <c r="D727" s="9">
        <v>46077</v>
      </c>
      <c r="E727" s="3">
        <v>2289.64</v>
      </c>
      <c r="F727" s="7" t="s">
        <v>3184</v>
      </c>
      <c r="H727" s="9"/>
    </row>
    <row r="728" spans="1:8" x14ac:dyDescent="0.3">
      <c r="A728" s="7" t="s">
        <v>7546</v>
      </c>
      <c r="B728" s="7" t="s">
        <v>272</v>
      </c>
      <c r="C728" s="7" t="s">
        <v>6447</v>
      </c>
      <c r="D728" s="9">
        <v>45968</v>
      </c>
      <c r="E728" s="3">
        <v>947.12</v>
      </c>
      <c r="F728" s="7" t="s">
        <v>3174</v>
      </c>
      <c r="H728" s="9"/>
    </row>
    <row r="729" spans="1:8" x14ac:dyDescent="0.3">
      <c r="A729" s="7" t="s">
        <v>7547</v>
      </c>
      <c r="B729" s="7" t="s">
        <v>307</v>
      </c>
      <c r="C729" s="7" t="s">
        <v>6448</v>
      </c>
      <c r="D729" s="9">
        <v>45978</v>
      </c>
      <c r="E729" s="3">
        <v>2304.0300000000002</v>
      </c>
      <c r="F729" s="7" t="s">
        <v>6820</v>
      </c>
      <c r="H729" s="9"/>
    </row>
    <row r="730" spans="1:8" x14ac:dyDescent="0.3">
      <c r="A730" s="7" t="s">
        <v>7548</v>
      </c>
      <c r="B730" s="7" t="s">
        <v>329</v>
      </c>
      <c r="C730" s="7" t="s">
        <v>6449</v>
      </c>
      <c r="D730" s="9">
        <v>46064</v>
      </c>
      <c r="E730" s="3">
        <v>5517.89</v>
      </c>
      <c r="F730" s="7" t="s">
        <v>3184</v>
      </c>
      <c r="H730" s="9"/>
    </row>
    <row r="731" spans="1:8" x14ac:dyDescent="0.3">
      <c r="A731" s="7" t="s">
        <v>7549</v>
      </c>
      <c r="B731" s="7" t="s">
        <v>301</v>
      </c>
      <c r="C731" s="7" t="s">
        <v>6450</v>
      </c>
      <c r="D731" s="9">
        <v>45988</v>
      </c>
      <c r="E731" s="3">
        <v>3711.09</v>
      </c>
      <c r="F731" s="7" t="s">
        <v>6820</v>
      </c>
      <c r="H731" s="9"/>
    </row>
    <row r="732" spans="1:8" x14ac:dyDescent="0.3">
      <c r="A732" s="7" t="s">
        <v>7550</v>
      </c>
      <c r="B732" s="7" t="s">
        <v>281</v>
      </c>
      <c r="C732" s="7" t="s">
        <v>6451</v>
      </c>
      <c r="D732" s="9">
        <v>46093</v>
      </c>
      <c r="E732" s="3">
        <v>4213.74</v>
      </c>
      <c r="F732" s="7" t="s">
        <v>3174</v>
      </c>
      <c r="H732" s="9"/>
    </row>
    <row r="733" spans="1:8" x14ac:dyDescent="0.3">
      <c r="A733" s="7" t="s">
        <v>7551</v>
      </c>
      <c r="B733" s="7" t="s">
        <v>335</v>
      </c>
      <c r="C733" s="7" t="s">
        <v>6452</v>
      </c>
      <c r="D733" s="9">
        <v>46056</v>
      </c>
      <c r="E733" s="3">
        <v>6543.3</v>
      </c>
      <c r="F733" s="7" t="s">
        <v>3174</v>
      </c>
      <c r="H733" s="9"/>
    </row>
    <row r="734" spans="1:8" x14ac:dyDescent="0.3">
      <c r="A734" s="7" t="s">
        <v>7552</v>
      </c>
      <c r="B734" s="7" t="s">
        <v>264</v>
      </c>
      <c r="C734" s="7" t="s">
        <v>6454</v>
      </c>
      <c r="D734" s="9">
        <v>46016</v>
      </c>
      <c r="E734" s="3">
        <v>4976.87</v>
      </c>
      <c r="F734" s="7" t="s">
        <v>3174</v>
      </c>
      <c r="H734" s="9"/>
    </row>
    <row r="735" spans="1:8" x14ac:dyDescent="0.3">
      <c r="A735" s="7" t="s">
        <v>7553</v>
      </c>
      <c r="B735" s="7" t="s">
        <v>279</v>
      </c>
      <c r="C735" s="7" t="s">
        <v>6455</v>
      </c>
      <c r="D735" s="9">
        <v>46066</v>
      </c>
      <c r="E735" s="3">
        <v>4939.33</v>
      </c>
      <c r="F735" s="7" t="s">
        <v>3184</v>
      </c>
      <c r="H735" s="9"/>
    </row>
    <row r="736" spans="1:8" x14ac:dyDescent="0.3">
      <c r="A736" s="7" t="s">
        <v>7554</v>
      </c>
      <c r="B736" s="7" t="s">
        <v>315</v>
      </c>
      <c r="C736" s="7" t="s">
        <v>6457</v>
      </c>
      <c r="D736" s="9">
        <v>46103</v>
      </c>
      <c r="E736" s="3">
        <v>4496.82</v>
      </c>
      <c r="F736" s="7" t="s">
        <v>6820</v>
      </c>
      <c r="H736" s="9"/>
    </row>
    <row r="737" spans="1:8" x14ac:dyDescent="0.3">
      <c r="A737" s="7" t="s">
        <v>7555</v>
      </c>
      <c r="B737" s="7" t="s">
        <v>335</v>
      </c>
      <c r="C737" s="7" t="s">
        <v>6458</v>
      </c>
      <c r="D737" s="9">
        <v>46022</v>
      </c>
      <c r="E737" s="3">
        <v>2803.61</v>
      </c>
      <c r="F737" s="7" t="s">
        <v>3174</v>
      </c>
      <c r="H737" s="9"/>
    </row>
    <row r="738" spans="1:8" x14ac:dyDescent="0.3">
      <c r="A738" s="7" t="s">
        <v>7556</v>
      </c>
      <c r="B738" s="7" t="s">
        <v>339</v>
      </c>
      <c r="C738" s="7" t="s">
        <v>6459</v>
      </c>
      <c r="D738" s="9">
        <v>46057</v>
      </c>
      <c r="E738" s="3">
        <v>4347.42</v>
      </c>
      <c r="F738" s="7" t="s">
        <v>3174</v>
      </c>
      <c r="H738" s="9"/>
    </row>
    <row r="739" spans="1:8" x14ac:dyDescent="0.3">
      <c r="A739" s="7" t="s">
        <v>7557</v>
      </c>
      <c r="B739" s="7" t="s">
        <v>341</v>
      </c>
      <c r="C739" s="7" t="s">
        <v>6461</v>
      </c>
      <c r="D739" s="9">
        <v>45987</v>
      </c>
      <c r="E739" s="3">
        <v>6781.44</v>
      </c>
      <c r="F739" s="7" t="s">
        <v>3174</v>
      </c>
      <c r="H739" s="9"/>
    </row>
    <row r="740" spans="1:8" x14ac:dyDescent="0.3">
      <c r="A740" s="7" t="s">
        <v>7558</v>
      </c>
      <c r="B740" s="7" t="s">
        <v>303</v>
      </c>
      <c r="C740" s="7" t="s">
        <v>6462</v>
      </c>
      <c r="D740" s="9">
        <v>46014</v>
      </c>
      <c r="E740" s="3">
        <v>3027.57</v>
      </c>
      <c r="F740" s="7" t="s">
        <v>3184</v>
      </c>
      <c r="H740" s="9"/>
    </row>
    <row r="741" spans="1:8" x14ac:dyDescent="0.3">
      <c r="A741" s="7" t="s">
        <v>7559</v>
      </c>
      <c r="B741" s="7" t="s">
        <v>319</v>
      </c>
      <c r="C741" s="7" t="s">
        <v>6463</v>
      </c>
      <c r="D741" s="9">
        <v>46025</v>
      </c>
      <c r="E741" s="3">
        <v>891.59</v>
      </c>
      <c r="F741" s="7" t="s">
        <v>3184</v>
      </c>
      <c r="H741" s="9"/>
    </row>
    <row r="742" spans="1:8" x14ac:dyDescent="0.3">
      <c r="A742" s="7" t="s">
        <v>7560</v>
      </c>
      <c r="B742" s="7" t="s">
        <v>307</v>
      </c>
      <c r="C742" s="7" t="s">
        <v>6464</v>
      </c>
      <c r="D742" s="9">
        <v>45990</v>
      </c>
      <c r="E742" s="3">
        <v>3406.35</v>
      </c>
      <c r="F742" s="7" t="s">
        <v>3174</v>
      </c>
      <c r="H742" s="9"/>
    </row>
    <row r="743" spans="1:8" x14ac:dyDescent="0.3">
      <c r="A743" s="7" t="s">
        <v>7561</v>
      </c>
      <c r="B743" s="7" t="s">
        <v>311</v>
      </c>
      <c r="C743" s="7" t="s">
        <v>6465</v>
      </c>
      <c r="D743" s="9">
        <v>46059</v>
      </c>
      <c r="E743" s="3">
        <v>3553.12</v>
      </c>
      <c r="F743" s="7" t="s">
        <v>3174</v>
      </c>
      <c r="H743" s="9"/>
    </row>
    <row r="744" spans="1:8" x14ac:dyDescent="0.3">
      <c r="A744" s="7" t="s">
        <v>7562</v>
      </c>
      <c r="B744" s="7" t="s">
        <v>283</v>
      </c>
      <c r="C744" s="7" t="s">
        <v>6466</v>
      </c>
      <c r="D744" s="9">
        <v>46039</v>
      </c>
      <c r="E744" s="3">
        <v>3553.79</v>
      </c>
      <c r="F744" s="7" t="s">
        <v>3184</v>
      </c>
      <c r="H744" s="9"/>
    </row>
    <row r="745" spans="1:8" x14ac:dyDescent="0.3">
      <c r="A745" s="7" t="s">
        <v>7563</v>
      </c>
      <c r="B745" s="7" t="s">
        <v>335</v>
      </c>
      <c r="C745" s="7" t="s">
        <v>6467</v>
      </c>
      <c r="D745" s="9">
        <v>46077</v>
      </c>
      <c r="E745" s="3">
        <v>1228.5</v>
      </c>
      <c r="F745" s="7" t="s">
        <v>6820</v>
      </c>
      <c r="H745" s="9"/>
    </row>
    <row r="746" spans="1:8" x14ac:dyDescent="0.3">
      <c r="A746" s="7" t="s">
        <v>7564</v>
      </c>
      <c r="B746" s="7" t="s">
        <v>281</v>
      </c>
      <c r="C746" s="7" t="s">
        <v>6468</v>
      </c>
      <c r="D746" s="9">
        <v>46048</v>
      </c>
      <c r="E746" s="3">
        <v>3017.83</v>
      </c>
      <c r="F746" s="7" t="s">
        <v>3174</v>
      </c>
      <c r="H746" s="9"/>
    </row>
    <row r="747" spans="1:8" x14ac:dyDescent="0.3">
      <c r="A747" s="7" t="s">
        <v>7565</v>
      </c>
      <c r="B747" s="7" t="s">
        <v>289</v>
      </c>
      <c r="C747" s="7" t="s">
        <v>6469</v>
      </c>
      <c r="D747" s="9">
        <v>46053</v>
      </c>
      <c r="E747" s="3">
        <v>3769.25</v>
      </c>
      <c r="F747" s="7" t="s">
        <v>6820</v>
      </c>
      <c r="H747" s="9"/>
    </row>
    <row r="748" spans="1:8" x14ac:dyDescent="0.3">
      <c r="A748" s="7" t="s">
        <v>7566</v>
      </c>
      <c r="B748" s="7" t="s">
        <v>343</v>
      </c>
      <c r="C748" s="7" t="s">
        <v>6470</v>
      </c>
      <c r="D748" s="9">
        <v>46058</v>
      </c>
      <c r="E748" s="3">
        <v>6063.05</v>
      </c>
      <c r="F748" s="7" t="s">
        <v>3184</v>
      </c>
      <c r="H748" s="9"/>
    </row>
    <row r="749" spans="1:8" x14ac:dyDescent="0.3">
      <c r="A749" s="7" t="s">
        <v>7567</v>
      </c>
      <c r="B749" s="7" t="s">
        <v>327</v>
      </c>
      <c r="C749" s="7" t="s">
        <v>6471</v>
      </c>
      <c r="D749" s="9">
        <v>45979</v>
      </c>
      <c r="E749" s="3">
        <v>6130.02</v>
      </c>
      <c r="F749" s="7" t="s">
        <v>3174</v>
      </c>
      <c r="H749" s="9"/>
    </row>
    <row r="750" spans="1:8" x14ac:dyDescent="0.3">
      <c r="A750" s="7" t="s">
        <v>7568</v>
      </c>
      <c r="B750" s="7" t="s">
        <v>333</v>
      </c>
      <c r="C750" s="7" t="s">
        <v>6472</v>
      </c>
      <c r="D750" s="9">
        <v>45999</v>
      </c>
      <c r="E750" s="3">
        <v>2548.3000000000002</v>
      </c>
      <c r="F750" s="7" t="s">
        <v>3184</v>
      </c>
      <c r="H750" s="9"/>
    </row>
    <row r="751" spans="1:8" x14ac:dyDescent="0.3">
      <c r="A751" s="7" t="s">
        <v>7569</v>
      </c>
      <c r="B751" s="7" t="s">
        <v>297</v>
      </c>
      <c r="C751" s="7" t="s">
        <v>6473</v>
      </c>
      <c r="D751" s="9">
        <v>46075</v>
      </c>
      <c r="E751" s="3">
        <v>1879.48</v>
      </c>
      <c r="F751" s="7" t="s">
        <v>3174</v>
      </c>
      <c r="H751" s="9"/>
    </row>
    <row r="752" spans="1:8" x14ac:dyDescent="0.3">
      <c r="A752" s="7" t="s">
        <v>7570</v>
      </c>
      <c r="B752" s="7" t="s">
        <v>276</v>
      </c>
      <c r="C752" s="7" t="s">
        <v>6476</v>
      </c>
      <c r="D752" s="9">
        <v>46038</v>
      </c>
      <c r="E752" s="3">
        <v>2831.29</v>
      </c>
      <c r="F752" s="7" t="s">
        <v>3174</v>
      </c>
      <c r="H752" s="9"/>
    </row>
    <row r="753" spans="1:8" x14ac:dyDescent="0.3">
      <c r="A753" s="7" t="s">
        <v>7571</v>
      </c>
      <c r="B753" s="7" t="s">
        <v>339</v>
      </c>
      <c r="C753" s="7" t="s">
        <v>6477</v>
      </c>
      <c r="D753" s="9">
        <v>46005</v>
      </c>
      <c r="E753" s="3">
        <v>6554.63</v>
      </c>
      <c r="F753" s="7" t="s">
        <v>6820</v>
      </c>
      <c r="H753" s="9"/>
    </row>
    <row r="754" spans="1:8" x14ac:dyDescent="0.3">
      <c r="A754" s="7" t="s">
        <v>7572</v>
      </c>
      <c r="B754" s="7" t="s">
        <v>337</v>
      </c>
      <c r="C754" s="7" t="s">
        <v>6478</v>
      </c>
      <c r="D754" s="9">
        <v>45977</v>
      </c>
      <c r="E754" s="3">
        <v>5815.76</v>
      </c>
      <c r="F754" s="7" t="s">
        <v>6820</v>
      </c>
      <c r="H754" s="9"/>
    </row>
    <row r="755" spans="1:8" x14ac:dyDescent="0.3">
      <c r="A755" s="7" t="s">
        <v>7573</v>
      </c>
      <c r="B755" s="7" t="s">
        <v>311</v>
      </c>
      <c r="C755" s="7" t="s">
        <v>6479</v>
      </c>
      <c r="D755" s="9">
        <v>46007</v>
      </c>
      <c r="E755" s="3">
        <v>3603.51</v>
      </c>
      <c r="F755" s="7" t="s">
        <v>3174</v>
      </c>
      <c r="H755" s="9"/>
    </row>
    <row r="756" spans="1:8" x14ac:dyDescent="0.3">
      <c r="A756" s="7" t="s">
        <v>7574</v>
      </c>
      <c r="B756" s="7" t="s">
        <v>293</v>
      </c>
      <c r="C756" s="7" t="s">
        <v>6480</v>
      </c>
      <c r="D756" s="9">
        <v>46096</v>
      </c>
      <c r="E756" s="3">
        <v>4874.3900000000003</v>
      </c>
      <c r="F756" s="7" t="s">
        <v>6820</v>
      </c>
      <c r="H756" s="9"/>
    </row>
    <row r="757" spans="1:8" x14ac:dyDescent="0.3">
      <c r="A757" s="7" t="s">
        <v>7575</v>
      </c>
      <c r="B757" s="7" t="s">
        <v>341</v>
      </c>
      <c r="C757" s="7" t="s">
        <v>6481</v>
      </c>
      <c r="D757" s="9">
        <v>46050</v>
      </c>
      <c r="E757" s="3">
        <v>2604.92</v>
      </c>
      <c r="F757" s="7" t="s">
        <v>3174</v>
      </c>
      <c r="H757" s="9"/>
    </row>
    <row r="758" spans="1:8" x14ac:dyDescent="0.3">
      <c r="A758" s="7" t="s">
        <v>7576</v>
      </c>
      <c r="B758" s="7" t="s">
        <v>313</v>
      </c>
      <c r="C758" s="7" t="s">
        <v>6483</v>
      </c>
      <c r="D758" s="9">
        <v>46083</v>
      </c>
      <c r="E758" s="3">
        <v>2203.4299999999998</v>
      </c>
      <c r="F758" s="7" t="s">
        <v>6820</v>
      </c>
      <c r="H758" s="9"/>
    </row>
    <row r="759" spans="1:8" x14ac:dyDescent="0.3">
      <c r="A759" s="7" t="s">
        <v>7577</v>
      </c>
      <c r="B759" s="7" t="s">
        <v>341</v>
      </c>
      <c r="C759" s="7" t="s">
        <v>6484</v>
      </c>
      <c r="D759" s="9">
        <v>45996</v>
      </c>
      <c r="E759" s="3">
        <v>3497.52</v>
      </c>
      <c r="F759" s="7" t="s">
        <v>3184</v>
      </c>
      <c r="H759" s="9"/>
    </row>
    <row r="760" spans="1:8" x14ac:dyDescent="0.3">
      <c r="A760" s="7" t="s">
        <v>7578</v>
      </c>
      <c r="B760" s="7" t="s">
        <v>343</v>
      </c>
      <c r="C760" s="7" t="s">
        <v>6485</v>
      </c>
      <c r="D760" s="9">
        <v>46038</v>
      </c>
      <c r="E760" s="3">
        <v>4520.58</v>
      </c>
      <c r="F760" s="7" t="s">
        <v>3174</v>
      </c>
      <c r="H760" s="9"/>
    </row>
    <row r="761" spans="1:8" x14ac:dyDescent="0.3">
      <c r="A761" s="7" t="s">
        <v>7579</v>
      </c>
      <c r="B761" s="7" t="s">
        <v>301</v>
      </c>
      <c r="C761" s="7" t="s">
        <v>6486</v>
      </c>
      <c r="D761" s="9">
        <v>46016</v>
      </c>
      <c r="E761" s="3">
        <v>6697.93</v>
      </c>
      <c r="F761" s="7" t="s">
        <v>3174</v>
      </c>
      <c r="H761" s="9"/>
    </row>
    <row r="762" spans="1:8" x14ac:dyDescent="0.3">
      <c r="A762" s="7" t="s">
        <v>7580</v>
      </c>
      <c r="B762" s="7" t="s">
        <v>264</v>
      </c>
      <c r="C762" s="7" t="s">
        <v>6487</v>
      </c>
      <c r="D762" s="9">
        <v>46086</v>
      </c>
      <c r="E762" s="3">
        <v>2672.62</v>
      </c>
      <c r="F762" s="7" t="s">
        <v>6820</v>
      </c>
      <c r="H762" s="9"/>
    </row>
    <row r="763" spans="1:8" x14ac:dyDescent="0.3">
      <c r="A763" s="7" t="s">
        <v>7581</v>
      </c>
      <c r="B763" s="7" t="s">
        <v>279</v>
      </c>
      <c r="C763" s="7" t="s">
        <v>6488</v>
      </c>
      <c r="D763" s="9">
        <v>46074</v>
      </c>
      <c r="E763" s="3">
        <v>3026.93</v>
      </c>
      <c r="F763" s="7" t="s">
        <v>3174</v>
      </c>
      <c r="H763" s="9"/>
    </row>
    <row r="764" spans="1:8" x14ac:dyDescent="0.3">
      <c r="A764" s="7" t="s">
        <v>7582</v>
      </c>
      <c r="B764" s="7" t="s">
        <v>313</v>
      </c>
      <c r="C764" s="7" t="s">
        <v>6489</v>
      </c>
      <c r="D764" s="9">
        <v>46029</v>
      </c>
      <c r="E764" s="3">
        <v>4545.57</v>
      </c>
      <c r="F764" s="7" t="s">
        <v>3174</v>
      </c>
      <c r="H764" s="9"/>
    </row>
    <row r="765" spans="1:8" x14ac:dyDescent="0.3">
      <c r="A765" s="7" t="s">
        <v>7583</v>
      </c>
      <c r="B765" s="7" t="s">
        <v>315</v>
      </c>
      <c r="C765" s="7" t="s">
        <v>6490</v>
      </c>
      <c r="D765" s="9">
        <v>46042</v>
      </c>
      <c r="E765" s="3">
        <v>2172</v>
      </c>
      <c r="F765" s="7" t="s">
        <v>3184</v>
      </c>
      <c r="H765" s="9"/>
    </row>
    <row r="766" spans="1:8" x14ac:dyDescent="0.3">
      <c r="A766" s="7" t="s">
        <v>7584</v>
      </c>
      <c r="B766" s="7" t="s">
        <v>291</v>
      </c>
      <c r="C766" s="7" t="s">
        <v>6491</v>
      </c>
      <c r="D766" s="9">
        <v>46053</v>
      </c>
      <c r="E766" s="3">
        <v>1550.88</v>
      </c>
      <c r="F766" s="7" t="s">
        <v>3174</v>
      </c>
      <c r="H766" s="9"/>
    </row>
    <row r="767" spans="1:8" x14ac:dyDescent="0.3">
      <c r="A767" s="7" t="s">
        <v>7585</v>
      </c>
      <c r="B767" s="7" t="s">
        <v>261</v>
      </c>
      <c r="C767" s="7" t="s">
        <v>6493</v>
      </c>
      <c r="D767" s="9">
        <v>46028</v>
      </c>
      <c r="E767" s="3">
        <v>1946.67</v>
      </c>
      <c r="F767" s="7" t="s">
        <v>3184</v>
      </c>
      <c r="H767" s="9"/>
    </row>
    <row r="768" spans="1:8" x14ac:dyDescent="0.3">
      <c r="A768" s="7" t="s">
        <v>7586</v>
      </c>
      <c r="B768" s="7" t="s">
        <v>339</v>
      </c>
      <c r="C768" s="7" t="s">
        <v>6494</v>
      </c>
      <c r="D768" s="9">
        <v>46089</v>
      </c>
      <c r="E768" s="3">
        <v>1102.24</v>
      </c>
      <c r="F768" s="7" t="s">
        <v>3174</v>
      </c>
      <c r="H768" s="9"/>
    </row>
    <row r="769" spans="1:8" x14ac:dyDescent="0.3">
      <c r="A769" s="7" t="s">
        <v>7587</v>
      </c>
      <c r="B769" s="7" t="s">
        <v>291</v>
      </c>
      <c r="C769" s="7" t="s">
        <v>6495</v>
      </c>
      <c r="D769" s="9">
        <v>45999</v>
      </c>
      <c r="E769" s="3">
        <v>3116.77</v>
      </c>
      <c r="F769" s="7" t="s">
        <v>3174</v>
      </c>
      <c r="H769" s="9"/>
    </row>
    <row r="770" spans="1:8" x14ac:dyDescent="0.3">
      <c r="A770" s="7" t="s">
        <v>7588</v>
      </c>
      <c r="B770" s="7" t="s">
        <v>274</v>
      </c>
      <c r="C770" s="7" t="s">
        <v>6496</v>
      </c>
      <c r="D770" s="9">
        <v>45980</v>
      </c>
      <c r="E770" s="3">
        <v>4542.96</v>
      </c>
      <c r="F770" s="7" t="s">
        <v>6820</v>
      </c>
      <c r="H770" s="9"/>
    </row>
    <row r="771" spans="1:8" x14ac:dyDescent="0.3">
      <c r="A771" s="7" t="s">
        <v>7589</v>
      </c>
      <c r="B771" s="7" t="s">
        <v>287</v>
      </c>
      <c r="C771" s="7" t="s">
        <v>6497</v>
      </c>
      <c r="D771" s="9">
        <v>46064</v>
      </c>
      <c r="E771" s="3">
        <v>5194.1499999999996</v>
      </c>
      <c r="F771" s="7" t="s">
        <v>3184</v>
      </c>
      <c r="H771" s="9"/>
    </row>
    <row r="772" spans="1:8" x14ac:dyDescent="0.3">
      <c r="A772" s="7" t="s">
        <v>7590</v>
      </c>
      <c r="B772" s="7" t="s">
        <v>299</v>
      </c>
      <c r="C772" s="7" t="s">
        <v>6499</v>
      </c>
      <c r="D772" s="9">
        <v>46060</v>
      </c>
      <c r="E772" s="3">
        <v>5140.09</v>
      </c>
      <c r="F772" s="7" t="s">
        <v>3174</v>
      </c>
      <c r="H772" s="9"/>
    </row>
    <row r="773" spans="1:8" x14ac:dyDescent="0.3">
      <c r="A773" s="7" t="s">
        <v>7591</v>
      </c>
      <c r="B773" s="7" t="s">
        <v>309</v>
      </c>
      <c r="C773" s="7" t="s">
        <v>6500</v>
      </c>
      <c r="D773" s="9">
        <v>45991</v>
      </c>
      <c r="E773" s="3">
        <v>6812.93</v>
      </c>
      <c r="F773" s="7" t="s">
        <v>3184</v>
      </c>
      <c r="H773" s="9"/>
    </row>
    <row r="774" spans="1:8" x14ac:dyDescent="0.3">
      <c r="A774" s="7" t="s">
        <v>7592</v>
      </c>
      <c r="B774" s="7" t="s">
        <v>281</v>
      </c>
      <c r="C774" s="7" t="s">
        <v>6503</v>
      </c>
      <c r="D774" s="9">
        <v>46058</v>
      </c>
      <c r="E774" s="3">
        <v>5405.98</v>
      </c>
      <c r="F774" s="7" t="s">
        <v>3184</v>
      </c>
      <c r="H774" s="9"/>
    </row>
    <row r="775" spans="1:8" x14ac:dyDescent="0.3">
      <c r="A775" s="7" t="s">
        <v>7593</v>
      </c>
      <c r="B775" s="7" t="s">
        <v>301</v>
      </c>
      <c r="C775" s="7" t="s">
        <v>6505</v>
      </c>
      <c r="D775" s="9">
        <v>46037</v>
      </c>
      <c r="E775" s="3">
        <v>2855.29</v>
      </c>
      <c r="F775" s="7" t="s">
        <v>3184</v>
      </c>
      <c r="H775" s="9"/>
    </row>
    <row r="776" spans="1:8" x14ac:dyDescent="0.3">
      <c r="A776" s="7" t="s">
        <v>7594</v>
      </c>
      <c r="B776" s="7" t="s">
        <v>301</v>
      </c>
      <c r="C776" s="7" t="s">
        <v>6507</v>
      </c>
      <c r="D776" s="9">
        <v>46004</v>
      </c>
      <c r="E776" s="3">
        <v>6658.88</v>
      </c>
      <c r="F776" s="7" t="s">
        <v>3184</v>
      </c>
      <c r="H776" s="9"/>
    </row>
    <row r="777" spans="1:8" x14ac:dyDescent="0.3">
      <c r="A777" s="7" t="s">
        <v>7595</v>
      </c>
      <c r="B777" s="7" t="s">
        <v>276</v>
      </c>
      <c r="C777" s="7" t="s">
        <v>6508</v>
      </c>
      <c r="D777" s="9">
        <v>46035</v>
      </c>
      <c r="E777" s="3">
        <v>6503.98</v>
      </c>
      <c r="F777" s="7" t="s">
        <v>3174</v>
      </c>
      <c r="H777" s="9"/>
    </row>
    <row r="778" spans="1:8" x14ac:dyDescent="0.3">
      <c r="A778" s="7" t="s">
        <v>7596</v>
      </c>
      <c r="B778" s="7" t="s">
        <v>317</v>
      </c>
      <c r="C778" s="7" t="s">
        <v>6509</v>
      </c>
      <c r="D778" s="9">
        <v>46048</v>
      </c>
      <c r="E778" s="3">
        <v>5211.29</v>
      </c>
      <c r="F778" s="7" t="s">
        <v>6820</v>
      </c>
      <c r="H778" s="9"/>
    </row>
    <row r="779" spans="1:8" x14ac:dyDescent="0.3">
      <c r="A779" s="7" t="s">
        <v>7597</v>
      </c>
      <c r="B779" s="7" t="s">
        <v>264</v>
      </c>
      <c r="C779" s="7" t="s">
        <v>6511</v>
      </c>
      <c r="D779" s="9">
        <v>46066</v>
      </c>
      <c r="E779" s="3">
        <v>5659.27</v>
      </c>
      <c r="F779" s="7" t="s">
        <v>6820</v>
      </c>
      <c r="H779" s="9"/>
    </row>
    <row r="780" spans="1:8" x14ac:dyDescent="0.3">
      <c r="A780" s="7" t="s">
        <v>7598</v>
      </c>
      <c r="B780" s="7" t="s">
        <v>305</v>
      </c>
      <c r="C780" s="7" t="s">
        <v>6512</v>
      </c>
      <c r="D780" s="9">
        <v>45973</v>
      </c>
      <c r="E780" s="3">
        <v>3756.1</v>
      </c>
      <c r="F780" s="7" t="s">
        <v>6820</v>
      </c>
      <c r="H780" s="9"/>
    </row>
    <row r="781" spans="1:8" x14ac:dyDescent="0.3">
      <c r="A781" s="7" t="s">
        <v>7599</v>
      </c>
      <c r="B781" s="7" t="s">
        <v>343</v>
      </c>
      <c r="C781" s="7" t="s">
        <v>6513</v>
      </c>
      <c r="D781" s="9">
        <v>46058</v>
      </c>
      <c r="E781" s="3">
        <v>1171.22</v>
      </c>
      <c r="F781" s="7" t="s">
        <v>3184</v>
      </c>
      <c r="H781" s="9"/>
    </row>
    <row r="782" spans="1:8" x14ac:dyDescent="0.3">
      <c r="A782" s="7" t="s">
        <v>7600</v>
      </c>
      <c r="B782" s="7" t="s">
        <v>279</v>
      </c>
      <c r="C782" s="7" t="s">
        <v>6514</v>
      </c>
      <c r="D782" s="9">
        <v>46024</v>
      </c>
      <c r="E782" s="3">
        <v>3222.91</v>
      </c>
      <c r="F782" s="7" t="s">
        <v>3184</v>
      </c>
      <c r="H782" s="9"/>
    </row>
    <row r="783" spans="1:8" x14ac:dyDescent="0.3">
      <c r="A783" s="7" t="s">
        <v>7601</v>
      </c>
      <c r="B783" s="7" t="s">
        <v>291</v>
      </c>
      <c r="C783" s="7" t="s">
        <v>6516</v>
      </c>
      <c r="D783" s="9">
        <v>45993</v>
      </c>
      <c r="E783" s="3">
        <v>2878.86</v>
      </c>
      <c r="F783" s="7" t="s">
        <v>6820</v>
      </c>
      <c r="H783" s="9"/>
    </row>
    <row r="784" spans="1:8" x14ac:dyDescent="0.3">
      <c r="A784" s="7" t="s">
        <v>7602</v>
      </c>
      <c r="B784" s="7" t="s">
        <v>327</v>
      </c>
      <c r="C784" s="7" t="s">
        <v>6517</v>
      </c>
      <c r="D784" s="9">
        <v>46057</v>
      </c>
      <c r="E784" s="3">
        <v>1563.25</v>
      </c>
      <c r="F784" s="7" t="s">
        <v>3184</v>
      </c>
      <c r="H784" s="9"/>
    </row>
    <row r="785" spans="1:8" x14ac:dyDescent="0.3">
      <c r="A785" s="7" t="s">
        <v>7603</v>
      </c>
      <c r="B785" s="7" t="s">
        <v>281</v>
      </c>
      <c r="C785" s="7" t="s">
        <v>6518</v>
      </c>
      <c r="D785" s="9">
        <v>46017</v>
      </c>
      <c r="E785" s="3">
        <v>3147.01</v>
      </c>
      <c r="F785" s="7" t="s">
        <v>3174</v>
      </c>
      <c r="H785" s="9"/>
    </row>
    <row r="786" spans="1:8" x14ac:dyDescent="0.3">
      <c r="A786" s="7" t="s">
        <v>7604</v>
      </c>
      <c r="B786" s="7" t="s">
        <v>329</v>
      </c>
      <c r="C786" s="7" t="s">
        <v>6519</v>
      </c>
      <c r="D786" s="9">
        <v>45959</v>
      </c>
      <c r="E786" s="3">
        <v>3079.33</v>
      </c>
      <c r="F786" s="7" t="s">
        <v>3184</v>
      </c>
      <c r="H786" s="9"/>
    </row>
    <row r="787" spans="1:8" x14ac:dyDescent="0.3">
      <c r="A787" s="7" t="s">
        <v>7605</v>
      </c>
      <c r="B787" s="7" t="s">
        <v>274</v>
      </c>
      <c r="C787" s="7" t="s">
        <v>6520</v>
      </c>
      <c r="D787" s="9">
        <v>46003</v>
      </c>
      <c r="E787" s="3">
        <v>2573.62</v>
      </c>
      <c r="F787" s="7" t="s">
        <v>6820</v>
      </c>
      <c r="H787" s="9"/>
    </row>
    <row r="788" spans="1:8" x14ac:dyDescent="0.3">
      <c r="A788" s="7" t="s">
        <v>7606</v>
      </c>
      <c r="B788" s="7" t="s">
        <v>307</v>
      </c>
      <c r="C788" s="7" t="s">
        <v>6522</v>
      </c>
      <c r="D788" s="9">
        <v>45986</v>
      </c>
      <c r="E788" s="3">
        <v>5592.04</v>
      </c>
      <c r="F788" s="7" t="s">
        <v>3174</v>
      </c>
      <c r="H788" s="9"/>
    </row>
    <row r="789" spans="1:8" x14ac:dyDescent="0.3">
      <c r="A789" s="7" t="s">
        <v>7607</v>
      </c>
      <c r="B789" s="7" t="s">
        <v>337</v>
      </c>
      <c r="C789" s="7" t="s">
        <v>6523</v>
      </c>
      <c r="D789" s="9">
        <v>46073</v>
      </c>
      <c r="E789" s="3">
        <v>6428.76</v>
      </c>
      <c r="F789" s="7" t="s">
        <v>3184</v>
      </c>
      <c r="H789" s="9"/>
    </row>
    <row r="790" spans="1:8" x14ac:dyDescent="0.3">
      <c r="A790" s="7" t="s">
        <v>7608</v>
      </c>
      <c r="B790" s="7" t="s">
        <v>272</v>
      </c>
      <c r="C790" s="7" t="s">
        <v>6524</v>
      </c>
      <c r="D790" s="9">
        <v>46034</v>
      </c>
      <c r="E790" s="3">
        <v>2084.5100000000002</v>
      </c>
      <c r="F790" s="7" t="s">
        <v>3174</v>
      </c>
      <c r="H790" s="9"/>
    </row>
    <row r="791" spans="1:8" x14ac:dyDescent="0.3">
      <c r="A791" s="7" t="s">
        <v>7609</v>
      </c>
      <c r="B791" s="7" t="s">
        <v>329</v>
      </c>
      <c r="C791" s="7" t="s">
        <v>6525</v>
      </c>
      <c r="D791" s="9">
        <v>46060</v>
      </c>
      <c r="E791" s="3">
        <v>6079.03</v>
      </c>
      <c r="F791" s="7" t="s">
        <v>3174</v>
      </c>
      <c r="H791" s="9"/>
    </row>
    <row r="792" spans="1:8" x14ac:dyDescent="0.3">
      <c r="A792" s="7" t="s">
        <v>7610</v>
      </c>
      <c r="B792" s="7" t="s">
        <v>325</v>
      </c>
      <c r="C792" s="7" t="s">
        <v>6526</v>
      </c>
      <c r="D792" s="9">
        <v>46043</v>
      </c>
      <c r="E792" s="3">
        <v>5480.79</v>
      </c>
      <c r="F792" s="7" t="s">
        <v>3174</v>
      </c>
      <c r="H792" s="9"/>
    </row>
    <row r="793" spans="1:8" x14ac:dyDescent="0.3">
      <c r="A793" s="7" t="s">
        <v>7611</v>
      </c>
      <c r="B793" s="7" t="s">
        <v>327</v>
      </c>
      <c r="C793" s="7" t="s">
        <v>6527</v>
      </c>
      <c r="D793" s="9">
        <v>46052</v>
      </c>
      <c r="E793" s="3">
        <v>4886.49</v>
      </c>
      <c r="F793" s="7" t="s">
        <v>3184</v>
      </c>
      <c r="H793" s="9"/>
    </row>
    <row r="794" spans="1:8" x14ac:dyDescent="0.3">
      <c r="A794" s="7" t="s">
        <v>7612</v>
      </c>
      <c r="B794" s="7" t="s">
        <v>317</v>
      </c>
      <c r="C794" s="7" t="s">
        <v>6528</v>
      </c>
      <c r="D794" s="9">
        <v>46054</v>
      </c>
      <c r="E794" s="3">
        <v>2923.49</v>
      </c>
      <c r="F794" s="7" t="s">
        <v>3174</v>
      </c>
      <c r="H794" s="9"/>
    </row>
    <row r="795" spans="1:8" x14ac:dyDescent="0.3">
      <c r="A795" s="7" t="s">
        <v>7613</v>
      </c>
      <c r="B795" s="7" t="s">
        <v>331</v>
      </c>
      <c r="C795" s="7" t="s">
        <v>6529</v>
      </c>
      <c r="D795" s="9">
        <v>46064</v>
      </c>
      <c r="E795" s="3">
        <v>1664.66</v>
      </c>
      <c r="F795" s="7" t="s">
        <v>3184</v>
      </c>
      <c r="H795" s="9"/>
    </row>
    <row r="796" spans="1:8" x14ac:dyDescent="0.3">
      <c r="A796" s="7" t="s">
        <v>7614</v>
      </c>
      <c r="B796" s="7" t="s">
        <v>319</v>
      </c>
      <c r="C796" s="7" t="s">
        <v>6531</v>
      </c>
      <c r="D796" s="9">
        <v>46094</v>
      </c>
      <c r="E796" s="3">
        <v>3236.1</v>
      </c>
      <c r="F796" s="7" t="s">
        <v>6820</v>
      </c>
      <c r="H796" s="9"/>
    </row>
    <row r="797" spans="1:8" x14ac:dyDescent="0.3">
      <c r="A797" s="7" t="s">
        <v>7615</v>
      </c>
      <c r="B797" s="7" t="s">
        <v>311</v>
      </c>
      <c r="C797" s="7" t="s">
        <v>6532</v>
      </c>
      <c r="D797" s="9">
        <v>46048</v>
      </c>
      <c r="E797" s="3">
        <v>1194.4000000000001</v>
      </c>
      <c r="F797" s="7" t="s">
        <v>6820</v>
      </c>
      <c r="H797" s="9"/>
    </row>
    <row r="798" spans="1:8" x14ac:dyDescent="0.3">
      <c r="A798" s="7" t="s">
        <v>7616</v>
      </c>
      <c r="B798" s="7" t="s">
        <v>305</v>
      </c>
      <c r="C798" s="7" t="s">
        <v>6533</v>
      </c>
      <c r="D798" s="9">
        <v>45973</v>
      </c>
      <c r="E798" s="3">
        <v>6647.02</v>
      </c>
      <c r="F798" s="7" t="s">
        <v>3184</v>
      </c>
      <c r="H798" s="9"/>
    </row>
    <row r="799" spans="1:8" x14ac:dyDescent="0.3">
      <c r="A799" s="7" t="s">
        <v>7617</v>
      </c>
      <c r="B799" s="7" t="s">
        <v>327</v>
      </c>
      <c r="C799" s="7" t="s">
        <v>6534</v>
      </c>
      <c r="D799" s="9">
        <v>46065</v>
      </c>
      <c r="E799" s="3">
        <v>6691.13</v>
      </c>
      <c r="F799" s="7" t="s">
        <v>3184</v>
      </c>
      <c r="H799" s="9"/>
    </row>
    <row r="800" spans="1:8" x14ac:dyDescent="0.3">
      <c r="A800" s="7" t="s">
        <v>7618</v>
      </c>
      <c r="B800" s="7" t="s">
        <v>321</v>
      </c>
      <c r="C800" s="7" t="s">
        <v>6536</v>
      </c>
      <c r="D800" s="9">
        <v>46000</v>
      </c>
      <c r="E800" s="3">
        <v>3970.12</v>
      </c>
      <c r="F800" s="7" t="s">
        <v>3184</v>
      </c>
      <c r="H800" s="9"/>
    </row>
    <row r="801" spans="1:8" x14ac:dyDescent="0.3">
      <c r="A801" s="7" t="s">
        <v>7619</v>
      </c>
      <c r="B801" s="7" t="s">
        <v>299</v>
      </c>
      <c r="C801" s="7" t="s">
        <v>6537</v>
      </c>
      <c r="D801" s="9">
        <v>46087</v>
      </c>
      <c r="E801" s="3">
        <v>5847.7</v>
      </c>
      <c r="F801" s="7" t="s">
        <v>6820</v>
      </c>
      <c r="H801" s="9"/>
    </row>
    <row r="802" spans="1:8" x14ac:dyDescent="0.3">
      <c r="A802" s="7" t="s">
        <v>7620</v>
      </c>
      <c r="B802" s="7" t="s">
        <v>279</v>
      </c>
      <c r="C802" s="7" t="s">
        <v>6538</v>
      </c>
      <c r="D802" s="9">
        <v>46003</v>
      </c>
      <c r="E802" s="3">
        <v>934.42</v>
      </c>
      <c r="F802" s="7" t="s">
        <v>6820</v>
      </c>
      <c r="H802" s="9"/>
    </row>
    <row r="803" spans="1:8" x14ac:dyDescent="0.3">
      <c r="A803" s="7" t="s">
        <v>7621</v>
      </c>
      <c r="B803" s="7" t="s">
        <v>261</v>
      </c>
      <c r="C803" s="7" t="s">
        <v>6539</v>
      </c>
      <c r="D803" s="9">
        <v>45984</v>
      </c>
      <c r="E803" s="3">
        <v>6743.16</v>
      </c>
      <c r="F803" s="7" t="s">
        <v>6820</v>
      </c>
      <c r="H803" s="9"/>
    </row>
    <row r="804" spans="1:8" x14ac:dyDescent="0.3">
      <c r="A804" s="7" t="s">
        <v>7622</v>
      </c>
      <c r="B804" s="7" t="s">
        <v>283</v>
      </c>
      <c r="C804" s="7" t="s">
        <v>6541</v>
      </c>
      <c r="D804" s="9">
        <v>46069</v>
      </c>
      <c r="E804" s="3">
        <v>5874.23</v>
      </c>
      <c r="F804" s="7" t="s">
        <v>6820</v>
      </c>
      <c r="H804" s="9"/>
    </row>
    <row r="805" spans="1:8" x14ac:dyDescent="0.3">
      <c r="A805" s="7" t="s">
        <v>7623</v>
      </c>
      <c r="B805" s="7" t="s">
        <v>339</v>
      </c>
      <c r="C805" s="7" t="s">
        <v>6544</v>
      </c>
      <c r="D805" s="9">
        <v>46023</v>
      </c>
      <c r="E805" s="3">
        <v>5621.28</v>
      </c>
      <c r="F805" s="7" t="s">
        <v>3174</v>
      </c>
      <c r="H805" s="9"/>
    </row>
    <row r="806" spans="1:8" x14ac:dyDescent="0.3">
      <c r="A806" s="7" t="s">
        <v>7624</v>
      </c>
      <c r="B806" s="7" t="s">
        <v>281</v>
      </c>
      <c r="C806" s="7" t="s">
        <v>6545</v>
      </c>
      <c r="D806" s="9">
        <v>46020</v>
      </c>
      <c r="E806" s="3">
        <v>1252.29</v>
      </c>
      <c r="F806" s="7" t="s">
        <v>3184</v>
      </c>
      <c r="H806" s="9"/>
    </row>
    <row r="807" spans="1:8" x14ac:dyDescent="0.3">
      <c r="A807" s="7" t="s">
        <v>7625</v>
      </c>
      <c r="B807" s="7" t="s">
        <v>311</v>
      </c>
      <c r="C807" s="7" t="s">
        <v>6546</v>
      </c>
      <c r="D807" s="9">
        <v>45971</v>
      </c>
      <c r="E807" s="3">
        <v>6386.41</v>
      </c>
      <c r="F807" s="7" t="s">
        <v>3174</v>
      </c>
      <c r="H807" s="9"/>
    </row>
    <row r="808" spans="1:8" x14ac:dyDescent="0.3">
      <c r="A808" s="7" t="s">
        <v>7626</v>
      </c>
      <c r="B808" s="7" t="s">
        <v>301</v>
      </c>
      <c r="C808" s="7" t="s">
        <v>6547</v>
      </c>
      <c r="D808" s="9">
        <v>45995</v>
      </c>
      <c r="E808" s="3">
        <v>6336.47</v>
      </c>
      <c r="F808" s="7" t="s">
        <v>6820</v>
      </c>
      <c r="H808" s="9"/>
    </row>
    <row r="809" spans="1:8" x14ac:dyDescent="0.3">
      <c r="A809" s="7" t="s">
        <v>7627</v>
      </c>
      <c r="B809" s="7" t="s">
        <v>261</v>
      </c>
      <c r="C809" s="7" t="s">
        <v>6548</v>
      </c>
      <c r="D809" s="9">
        <v>46041</v>
      </c>
      <c r="E809" s="3">
        <v>2578.62</v>
      </c>
      <c r="F809" s="7" t="s">
        <v>3184</v>
      </c>
      <c r="H809" s="9"/>
    </row>
    <row r="810" spans="1:8" x14ac:dyDescent="0.3">
      <c r="A810" s="7" t="s">
        <v>7628</v>
      </c>
      <c r="B810" s="7" t="s">
        <v>331</v>
      </c>
      <c r="C810" s="7" t="s">
        <v>6550</v>
      </c>
      <c r="D810" s="9">
        <v>45980</v>
      </c>
      <c r="E810" s="3">
        <v>2606.1</v>
      </c>
      <c r="F810" s="7" t="s">
        <v>3174</v>
      </c>
      <c r="H810" s="9"/>
    </row>
    <row r="811" spans="1:8" x14ac:dyDescent="0.3">
      <c r="A811" s="7" t="s">
        <v>7629</v>
      </c>
      <c r="B811" s="7" t="s">
        <v>291</v>
      </c>
      <c r="C811" s="7" t="s">
        <v>6551</v>
      </c>
      <c r="D811" s="9">
        <v>46059</v>
      </c>
      <c r="E811" s="3">
        <v>2227.11</v>
      </c>
      <c r="F811" s="7" t="s">
        <v>3174</v>
      </c>
      <c r="H811" s="9"/>
    </row>
    <row r="812" spans="1:8" x14ac:dyDescent="0.3">
      <c r="A812" s="7" t="s">
        <v>7630</v>
      </c>
      <c r="B812" s="7" t="s">
        <v>301</v>
      </c>
      <c r="C812" s="7" t="s">
        <v>6552</v>
      </c>
      <c r="D812" s="9">
        <v>46030</v>
      </c>
      <c r="E812" s="3">
        <v>3607.26</v>
      </c>
      <c r="F812" s="7" t="s">
        <v>6820</v>
      </c>
      <c r="H812" s="9"/>
    </row>
    <row r="813" spans="1:8" x14ac:dyDescent="0.3">
      <c r="A813" s="7" t="s">
        <v>7631</v>
      </c>
      <c r="B813" s="7" t="s">
        <v>269</v>
      </c>
      <c r="C813" s="7" t="s">
        <v>6554</v>
      </c>
      <c r="D813" s="9">
        <v>46073</v>
      </c>
      <c r="E813" s="3">
        <v>6544.08</v>
      </c>
      <c r="F813" s="7" t="s">
        <v>6820</v>
      </c>
      <c r="H813" s="9"/>
    </row>
    <row r="814" spans="1:8" x14ac:dyDescent="0.3">
      <c r="A814" s="7" t="s">
        <v>7632</v>
      </c>
      <c r="B814" s="7" t="s">
        <v>272</v>
      </c>
      <c r="C814" s="7" t="s">
        <v>6555</v>
      </c>
      <c r="D814" s="9">
        <v>46093</v>
      </c>
      <c r="E814" s="3">
        <v>5250.16</v>
      </c>
      <c r="F814" s="7" t="s">
        <v>6820</v>
      </c>
      <c r="H814" s="9"/>
    </row>
    <row r="815" spans="1:8" x14ac:dyDescent="0.3">
      <c r="A815" s="7" t="s">
        <v>7633</v>
      </c>
      <c r="B815" s="7" t="s">
        <v>321</v>
      </c>
      <c r="C815" s="7" t="s">
        <v>6556</v>
      </c>
      <c r="D815" s="9">
        <v>45976</v>
      </c>
      <c r="E815" s="3">
        <v>872.85</v>
      </c>
      <c r="F815" s="7" t="s">
        <v>3184</v>
      </c>
      <c r="H815" s="9"/>
    </row>
    <row r="816" spans="1:8" x14ac:dyDescent="0.3">
      <c r="A816" s="7" t="s">
        <v>7634</v>
      </c>
      <c r="B816" s="7" t="s">
        <v>319</v>
      </c>
      <c r="C816" s="7" t="s">
        <v>6558</v>
      </c>
      <c r="D816" s="9">
        <v>46043</v>
      </c>
      <c r="E816" s="3">
        <v>2042.86</v>
      </c>
      <c r="F816" s="7" t="s">
        <v>6820</v>
      </c>
      <c r="H816" s="9"/>
    </row>
    <row r="817" spans="1:8" x14ac:dyDescent="0.3">
      <c r="A817" s="7" t="s">
        <v>7635</v>
      </c>
      <c r="B817" s="7" t="s">
        <v>291</v>
      </c>
      <c r="C817" s="7" t="s">
        <v>6562</v>
      </c>
      <c r="D817" s="9">
        <v>46020</v>
      </c>
      <c r="E817" s="3">
        <v>3421.73</v>
      </c>
      <c r="F817" s="7" t="s">
        <v>3174</v>
      </c>
      <c r="H817" s="9"/>
    </row>
    <row r="818" spans="1:8" x14ac:dyDescent="0.3">
      <c r="A818" s="7" t="s">
        <v>7636</v>
      </c>
      <c r="B818" s="7" t="s">
        <v>264</v>
      </c>
      <c r="C818" s="7" t="s">
        <v>6563</v>
      </c>
      <c r="D818" s="9">
        <v>46077</v>
      </c>
      <c r="E818" s="3">
        <v>6671.38</v>
      </c>
      <c r="F818" s="7" t="s">
        <v>6820</v>
      </c>
      <c r="H818" s="9"/>
    </row>
    <row r="819" spans="1:8" x14ac:dyDescent="0.3">
      <c r="A819" s="7" t="s">
        <v>7637</v>
      </c>
      <c r="B819" s="7" t="s">
        <v>297</v>
      </c>
      <c r="C819" s="7" t="s">
        <v>6566</v>
      </c>
      <c r="D819" s="9">
        <v>46098</v>
      </c>
      <c r="E819" s="3">
        <v>4560.8599999999997</v>
      </c>
      <c r="F819" s="7" t="s">
        <v>3184</v>
      </c>
      <c r="H819" s="9"/>
    </row>
    <row r="820" spans="1:8" x14ac:dyDescent="0.3">
      <c r="A820" s="7" t="s">
        <v>7638</v>
      </c>
      <c r="B820" s="7" t="s">
        <v>337</v>
      </c>
      <c r="C820" s="7" t="s">
        <v>6568</v>
      </c>
      <c r="D820" s="9">
        <v>46017</v>
      </c>
      <c r="E820" s="3">
        <v>5234.1899999999996</v>
      </c>
      <c r="F820" s="7" t="s">
        <v>3174</v>
      </c>
      <c r="H820" s="9"/>
    </row>
    <row r="821" spans="1:8" x14ac:dyDescent="0.3">
      <c r="A821" s="7" t="s">
        <v>7639</v>
      </c>
      <c r="B821" s="7" t="s">
        <v>283</v>
      </c>
      <c r="C821" s="7" t="s">
        <v>6569</v>
      </c>
      <c r="D821" s="9">
        <v>46063</v>
      </c>
      <c r="E821" s="3">
        <v>2421.62</v>
      </c>
      <c r="F821" s="7" t="s">
        <v>6820</v>
      </c>
      <c r="H821" s="9"/>
    </row>
    <row r="822" spans="1:8" x14ac:dyDescent="0.3">
      <c r="A822" s="7" t="s">
        <v>7640</v>
      </c>
      <c r="B822" s="7" t="s">
        <v>337</v>
      </c>
      <c r="C822" s="7" t="s">
        <v>6570</v>
      </c>
      <c r="D822" s="9">
        <v>46017</v>
      </c>
      <c r="E822" s="3">
        <v>6569.28</v>
      </c>
      <c r="F822" s="7" t="s">
        <v>3174</v>
      </c>
      <c r="H822" s="9"/>
    </row>
    <row r="823" spans="1:8" x14ac:dyDescent="0.3">
      <c r="A823" s="7" t="s">
        <v>7641</v>
      </c>
      <c r="B823" s="7" t="s">
        <v>269</v>
      </c>
      <c r="C823" s="7" t="s">
        <v>6573</v>
      </c>
      <c r="D823" s="9">
        <v>46002</v>
      </c>
      <c r="E823" s="3">
        <v>4153.54</v>
      </c>
      <c r="F823" s="7" t="s">
        <v>3174</v>
      </c>
      <c r="H823" s="9"/>
    </row>
    <row r="824" spans="1:8" x14ac:dyDescent="0.3">
      <c r="A824" s="7" t="s">
        <v>7642</v>
      </c>
      <c r="B824" s="7" t="s">
        <v>301</v>
      </c>
      <c r="C824" s="7" t="s">
        <v>6575</v>
      </c>
      <c r="D824" s="9">
        <v>45965</v>
      </c>
      <c r="E824" s="3">
        <v>2382.7399999999998</v>
      </c>
      <c r="F824" s="7" t="s">
        <v>3174</v>
      </c>
      <c r="H824" s="9"/>
    </row>
    <row r="825" spans="1:8" x14ac:dyDescent="0.3">
      <c r="A825" s="7" t="s">
        <v>7643</v>
      </c>
      <c r="B825" s="7" t="s">
        <v>299</v>
      </c>
      <c r="C825" s="7" t="s">
        <v>6576</v>
      </c>
      <c r="D825" s="9">
        <v>45998</v>
      </c>
      <c r="E825" s="3">
        <v>2300.34</v>
      </c>
      <c r="F825" s="7" t="s">
        <v>6820</v>
      </c>
      <c r="H825" s="9"/>
    </row>
    <row r="826" spans="1:8" x14ac:dyDescent="0.3">
      <c r="A826" s="7" t="s">
        <v>7644</v>
      </c>
      <c r="B826" s="7" t="s">
        <v>307</v>
      </c>
      <c r="C826" s="7" t="s">
        <v>6577</v>
      </c>
      <c r="D826" s="9">
        <v>45984</v>
      </c>
      <c r="E826" s="3">
        <v>1270.26</v>
      </c>
      <c r="F826" s="7" t="s">
        <v>6820</v>
      </c>
      <c r="H826" s="9"/>
    </row>
    <row r="827" spans="1:8" x14ac:dyDescent="0.3">
      <c r="A827" s="7" t="s">
        <v>7645</v>
      </c>
      <c r="B827" s="7" t="s">
        <v>331</v>
      </c>
      <c r="C827" s="7" t="s">
        <v>6578</v>
      </c>
      <c r="D827" s="9">
        <v>46099</v>
      </c>
      <c r="E827" s="3">
        <v>4732.6899999999996</v>
      </c>
      <c r="F827" s="7" t="s">
        <v>3174</v>
      </c>
      <c r="H827" s="9"/>
    </row>
    <row r="828" spans="1:8" x14ac:dyDescent="0.3">
      <c r="A828" s="7" t="s">
        <v>7646</v>
      </c>
      <c r="B828" s="7" t="s">
        <v>291</v>
      </c>
      <c r="C828" s="7" t="s">
        <v>6579</v>
      </c>
      <c r="D828" s="9">
        <v>46086</v>
      </c>
      <c r="E828" s="3">
        <v>3759.33</v>
      </c>
      <c r="F828" s="7" t="s">
        <v>3184</v>
      </c>
      <c r="H828" s="9"/>
    </row>
    <row r="829" spans="1:8" x14ac:dyDescent="0.3">
      <c r="A829" s="7" t="s">
        <v>7647</v>
      </c>
      <c r="B829" s="7" t="s">
        <v>269</v>
      </c>
      <c r="C829" s="7" t="s">
        <v>6580</v>
      </c>
      <c r="D829" s="9">
        <v>46063</v>
      </c>
      <c r="E829" s="3">
        <v>2021.93</v>
      </c>
      <c r="F829" s="7" t="s">
        <v>3184</v>
      </c>
      <c r="H829" s="9"/>
    </row>
    <row r="830" spans="1:8" x14ac:dyDescent="0.3">
      <c r="A830" s="7" t="s">
        <v>7648</v>
      </c>
      <c r="B830" s="7" t="s">
        <v>315</v>
      </c>
      <c r="C830" s="7" t="s">
        <v>6581</v>
      </c>
      <c r="D830" s="9">
        <v>46003</v>
      </c>
      <c r="E830" s="3">
        <v>4001.18</v>
      </c>
      <c r="F830" s="7" t="s">
        <v>3174</v>
      </c>
      <c r="H830" s="9"/>
    </row>
    <row r="831" spans="1:8" x14ac:dyDescent="0.3">
      <c r="A831" s="7" t="s">
        <v>7649</v>
      </c>
      <c r="B831" s="7" t="s">
        <v>323</v>
      </c>
      <c r="C831" s="7" t="s">
        <v>6584</v>
      </c>
      <c r="D831" s="9">
        <v>46079</v>
      </c>
      <c r="E831" s="3">
        <v>5699.92</v>
      </c>
      <c r="F831" s="7" t="s">
        <v>3184</v>
      </c>
      <c r="H831" s="9"/>
    </row>
    <row r="832" spans="1:8" x14ac:dyDescent="0.3">
      <c r="A832" s="7" t="s">
        <v>7650</v>
      </c>
      <c r="B832" s="7" t="s">
        <v>331</v>
      </c>
      <c r="C832" s="7" t="s">
        <v>6585</v>
      </c>
      <c r="D832" s="9">
        <v>46039</v>
      </c>
      <c r="E832" s="3">
        <v>5102.2700000000004</v>
      </c>
      <c r="F832" s="7" t="s">
        <v>3174</v>
      </c>
      <c r="H832" s="9"/>
    </row>
    <row r="833" spans="1:8" x14ac:dyDescent="0.3">
      <c r="A833" s="7" t="s">
        <v>7651</v>
      </c>
      <c r="B833" s="7" t="s">
        <v>276</v>
      </c>
      <c r="C833" s="7" t="s">
        <v>6586</v>
      </c>
      <c r="D833" s="9">
        <v>46024</v>
      </c>
      <c r="E833" s="3">
        <v>3502.78</v>
      </c>
      <c r="F833" s="7" t="s">
        <v>3184</v>
      </c>
      <c r="H833" s="9"/>
    </row>
    <row r="834" spans="1:8" x14ac:dyDescent="0.3">
      <c r="A834" s="7" t="s">
        <v>7652</v>
      </c>
      <c r="B834" s="7" t="s">
        <v>319</v>
      </c>
      <c r="C834" s="7" t="s">
        <v>6587</v>
      </c>
      <c r="D834" s="9">
        <v>45989</v>
      </c>
      <c r="E834" s="3">
        <v>6881.91</v>
      </c>
      <c r="F834" s="7" t="s">
        <v>3184</v>
      </c>
      <c r="H834" s="9"/>
    </row>
    <row r="835" spans="1:8" x14ac:dyDescent="0.3">
      <c r="A835" s="7" t="s">
        <v>7653</v>
      </c>
      <c r="B835" s="7" t="s">
        <v>274</v>
      </c>
      <c r="C835" s="7" t="s">
        <v>6588</v>
      </c>
      <c r="D835" s="9">
        <v>46012</v>
      </c>
      <c r="E835" s="3">
        <v>4326.25</v>
      </c>
      <c r="F835" s="7" t="s">
        <v>3184</v>
      </c>
      <c r="H835" s="9"/>
    </row>
    <row r="836" spans="1:8" x14ac:dyDescent="0.3">
      <c r="A836" s="7" t="s">
        <v>7654</v>
      </c>
      <c r="B836" s="7" t="s">
        <v>289</v>
      </c>
      <c r="C836" s="7" t="s">
        <v>6590</v>
      </c>
      <c r="D836" s="9">
        <v>46079</v>
      </c>
      <c r="E836" s="3">
        <v>1790.95</v>
      </c>
      <c r="F836" s="7" t="s">
        <v>3174</v>
      </c>
      <c r="H836" s="9"/>
    </row>
    <row r="837" spans="1:8" x14ac:dyDescent="0.3">
      <c r="A837" s="7" t="s">
        <v>7655</v>
      </c>
      <c r="B837" s="7" t="s">
        <v>305</v>
      </c>
      <c r="C837" s="7" t="s">
        <v>6591</v>
      </c>
      <c r="D837" s="9">
        <v>46060</v>
      </c>
      <c r="E837" s="3">
        <v>6161.99</v>
      </c>
      <c r="F837" s="7" t="s">
        <v>3184</v>
      </c>
      <c r="H837" s="9"/>
    </row>
    <row r="838" spans="1:8" x14ac:dyDescent="0.3">
      <c r="A838" s="7" t="s">
        <v>7656</v>
      </c>
      <c r="B838" s="7" t="s">
        <v>311</v>
      </c>
      <c r="C838" s="7" t="s">
        <v>6592</v>
      </c>
      <c r="D838" s="9">
        <v>46006</v>
      </c>
      <c r="E838" s="3">
        <v>1975.47</v>
      </c>
      <c r="F838" s="7" t="s">
        <v>6820</v>
      </c>
      <c r="H838" s="9"/>
    </row>
    <row r="839" spans="1:8" x14ac:dyDescent="0.3">
      <c r="A839" s="7" t="s">
        <v>7657</v>
      </c>
      <c r="B839" s="7" t="s">
        <v>339</v>
      </c>
      <c r="C839" s="7" t="s">
        <v>6593</v>
      </c>
      <c r="D839" s="9">
        <v>46001</v>
      </c>
      <c r="E839" s="3">
        <v>2956.22</v>
      </c>
      <c r="F839" s="7" t="s">
        <v>6820</v>
      </c>
      <c r="H839" s="9"/>
    </row>
    <row r="840" spans="1:8" x14ac:dyDescent="0.3">
      <c r="A840" s="7" t="s">
        <v>7658</v>
      </c>
      <c r="B840" s="7" t="s">
        <v>333</v>
      </c>
      <c r="C840" s="7" t="s">
        <v>6594</v>
      </c>
      <c r="D840" s="9">
        <v>46017</v>
      </c>
      <c r="E840" s="3">
        <v>3091.63</v>
      </c>
      <c r="F840" s="7" t="s">
        <v>3174</v>
      </c>
      <c r="H840" s="9"/>
    </row>
    <row r="841" spans="1:8" x14ac:dyDescent="0.3">
      <c r="A841" s="7" t="s">
        <v>7659</v>
      </c>
      <c r="B841" s="7" t="s">
        <v>301</v>
      </c>
      <c r="C841" s="7" t="s">
        <v>6596</v>
      </c>
      <c r="D841" s="9">
        <v>46013</v>
      </c>
      <c r="E841" s="3">
        <v>1787.18</v>
      </c>
      <c r="F841" s="7" t="s">
        <v>3174</v>
      </c>
      <c r="H841" s="9"/>
    </row>
    <row r="842" spans="1:8" x14ac:dyDescent="0.3">
      <c r="A842" s="7" t="s">
        <v>7660</v>
      </c>
      <c r="B842" s="7" t="s">
        <v>267</v>
      </c>
      <c r="C842" s="7" t="s">
        <v>6598</v>
      </c>
      <c r="D842" s="9">
        <v>45995</v>
      </c>
      <c r="E842" s="3">
        <v>1212.52</v>
      </c>
      <c r="F842" s="7" t="s">
        <v>6820</v>
      </c>
      <c r="H842" s="9"/>
    </row>
    <row r="843" spans="1:8" x14ac:dyDescent="0.3">
      <c r="A843" s="7" t="s">
        <v>7661</v>
      </c>
      <c r="B843" s="7" t="s">
        <v>319</v>
      </c>
      <c r="C843" s="7" t="s">
        <v>6599</v>
      </c>
      <c r="D843" s="9">
        <v>46047</v>
      </c>
      <c r="E843" s="3">
        <v>3452.09</v>
      </c>
      <c r="F843" s="7" t="s">
        <v>3174</v>
      </c>
      <c r="H843" s="9"/>
    </row>
    <row r="844" spans="1:8" x14ac:dyDescent="0.3">
      <c r="A844" s="7" t="s">
        <v>7662</v>
      </c>
      <c r="B844" s="7" t="s">
        <v>329</v>
      </c>
      <c r="C844" s="7" t="s">
        <v>6601</v>
      </c>
      <c r="D844" s="9">
        <v>46102</v>
      </c>
      <c r="E844" s="3">
        <v>2914.03</v>
      </c>
      <c r="F844" s="7" t="s">
        <v>3184</v>
      </c>
      <c r="H844" s="9"/>
    </row>
    <row r="845" spans="1:8" x14ac:dyDescent="0.3">
      <c r="A845" s="7" t="s">
        <v>7663</v>
      </c>
      <c r="B845" s="7" t="s">
        <v>287</v>
      </c>
      <c r="C845" s="7" t="s">
        <v>6602</v>
      </c>
      <c r="D845" s="9">
        <v>46104</v>
      </c>
      <c r="E845" s="3">
        <v>3769.74</v>
      </c>
      <c r="F845" s="7" t="s">
        <v>3174</v>
      </c>
      <c r="H845" s="9"/>
    </row>
    <row r="846" spans="1:8" x14ac:dyDescent="0.3">
      <c r="A846" s="7" t="s">
        <v>7664</v>
      </c>
      <c r="B846" s="7" t="s">
        <v>293</v>
      </c>
      <c r="C846" s="7" t="s">
        <v>6603</v>
      </c>
      <c r="D846" s="9">
        <v>46089</v>
      </c>
      <c r="E846" s="3">
        <v>2381.29</v>
      </c>
      <c r="F846" s="7" t="s">
        <v>3184</v>
      </c>
      <c r="H846" s="9"/>
    </row>
    <row r="847" spans="1:8" x14ac:dyDescent="0.3">
      <c r="A847" s="7" t="s">
        <v>7665</v>
      </c>
      <c r="B847" s="7" t="s">
        <v>269</v>
      </c>
      <c r="C847" s="7" t="s">
        <v>6604</v>
      </c>
      <c r="D847" s="9">
        <v>45988</v>
      </c>
      <c r="E847" s="3">
        <v>1820.56</v>
      </c>
      <c r="F847" s="7" t="s">
        <v>3184</v>
      </c>
      <c r="H847" s="9"/>
    </row>
    <row r="848" spans="1:8" x14ac:dyDescent="0.3">
      <c r="A848" s="7" t="s">
        <v>7666</v>
      </c>
      <c r="B848" s="7" t="s">
        <v>337</v>
      </c>
      <c r="C848" s="7" t="s">
        <v>6607</v>
      </c>
      <c r="D848" s="9">
        <v>46051</v>
      </c>
      <c r="E848" s="3">
        <v>6527.92</v>
      </c>
      <c r="F848" s="7" t="s">
        <v>3174</v>
      </c>
      <c r="H848" s="9"/>
    </row>
    <row r="849" spans="1:8" x14ac:dyDescent="0.3">
      <c r="A849" s="7" t="s">
        <v>7667</v>
      </c>
      <c r="B849" s="7" t="s">
        <v>323</v>
      </c>
      <c r="C849" s="7" t="s">
        <v>6608</v>
      </c>
      <c r="D849" s="9">
        <v>46049</v>
      </c>
      <c r="E849" s="3">
        <v>5546.26</v>
      </c>
      <c r="F849" s="7" t="s">
        <v>6820</v>
      </c>
      <c r="H849" s="9"/>
    </row>
    <row r="850" spans="1:8" x14ac:dyDescent="0.3">
      <c r="A850" s="7" t="s">
        <v>7668</v>
      </c>
      <c r="B850" s="7" t="s">
        <v>321</v>
      </c>
      <c r="C850" s="7" t="s">
        <v>6613</v>
      </c>
      <c r="D850" s="9">
        <v>46050</v>
      </c>
      <c r="E850" s="3">
        <v>6425.88</v>
      </c>
      <c r="F850" s="7" t="s">
        <v>3174</v>
      </c>
      <c r="H850" s="9"/>
    </row>
    <row r="851" spans="1:8" x14ac:dyDescent="0.3">
      <c r="A851" s="7" t="s">
        <v>7669</v>
      </c>
      <c r="B851" s="7" t="s">
        <v>299</v>
      </c>
      <c r="C851" s="7" t="s">
        <v>6614</v>
      </c>
      <c r="D851" s="9">
        <v>46047</v>
      </c>
      <c r="E851" s="3">
        <v>1673.04</v>
      </c>
      <c r="F851" s="7" t="s">
        <v>6820</v>
      </c>
      <c r="H851" s="9"/>
    </row>
    <row r="852" spans="1:8" x14ac:dyDescent="0.3">
      <c r="A852" s="7" t="s">
        <v>7670</v>
      </c>
      <c r="B852" s="7" t="s">
        <v>325</v>
      </c>
      <c r="C852" s="7" t="s">
        <v>6616</v>
      </c>
      <c r="D852" s="9">
        <v>45972</v>
      </c>
      <c r="E852" s="3">
        <v>6062.35</v>
      </c>
      <c r="F852" s="7" t="s">
        <v>3184</v>
      </c>
      <c r="H852" s="9"/>
    </row>
    <row r="853" spans="1:8" x14ac:dyDescent="0.3">
      <c r="A853" s="7" t="s">
        <v>7671</v>
      </c>
      <c r="B853" s="7" t="s">
        <v>319</v>
      </c>
      <c r="C853" s="7" t="s">
        <v>6618</v>
      </c>
      <c r="D853" s="9">
        <v>46047</v>
      </c>
      <c r="E853" s="3">
        <v>6594.99</v>
      </c>
      <c r="F853" s="7" t="s">
        <v>3184</v>
      </c>
      <c r="H853" s="9"/>
    </row>
    <row r="854" spans="1:8" x14ac:dyDescent="0.3">
      <c r="A854" s="7" t="s">
        <v>7672</v>
      </c>
      <c r="B854" s="7" t="s">
        <v>325</v>
      </c>
      <c r="C854" s="7" t="s">
        <v>6619</v>
      </c>
      <c r="D854" s="9">
        <v>46026</v>
      </c>
      <c r="E854" s="3">
        <v>1471.69</v>
      </c>
      <c r="F854" s="7" t="s">
        <v>3174</v>
      </c>
      <c r="H854" s="9"/>
    </row>
    <row r="855" spans="1:8" x14ac:dyDescent="0.3">
      <c r="A855" s="7" t="s">
        <v>7673</v>
      </c>
      <c r="B855" s="7" t="s">
        <v>309</v>
      </c>
      <c r="C855" s="7" t="s">
        <v>6620</v>
      </c>
      <c r="D855" s="9">
        <v>45995</v>
      </c>
      <c r="E855" s="3">
        <v>5585.66</v>
      </c>
      <c r="F855" s="7" t="s">
        <v>6820</v>
      </c>
      <c r="H855" s="9"/>
    </row>
    <row r="856" spans="1:8" x14ac:dyDescent="0.3">
      <c r="A856" s="7" t="s">
        <v>7674</v>
      </c>
      <c r="B856" s="7" t="s">
        <v>301</v>
      </c>
      <c r="C856" s="7" t="s">
        <v>6621</v>
      </c>
      <c r="D856" s="9">
        <v>46052</v>
      </c>
      <c r="E856" s="3">
        <v>1052.29</v>
      </c>
      <c r="F856" s="7" t="s">
        <v>3184</v>
      </c>
      <c r="H856" s="9"/>
    </row>
    <row r="857" spans="1:8" x14ac:dyDescent="0.3">
      <c r="A857" s="7" t="s">
        <v>7675</v>
      </c>
      <c r="B857" s="7" t="s">
        <v>331</v>
      </c>
      <c r="C857" s="7" t="s">
        <v>6622</v>
      </c>
      <c r="D857" s="9">
        <v>46018</v>
      </c>
      <c r="E857" s="3">
        <v>6099.11</v>
      </c>
      <c r="F857" s="7" t="s">
        <v>3174</v>
      </c>
      <c r="H857" s="9"/>
    </row>
    <row r="858" spans="1:8" x14ac:dyDescent="0.3">
      <c r="A858" s="7" t="s">
        <v>7676</v>
      </c>
      <c r="B858" s="7" t="s">
        <v>311</v>
      </c>
      <c r="C858" s="7" t="s">
        <v>6625</v>
      </c>
      <c r="D858" s="9">
        <v>46025</v>
      </c>
      <c r="E858" s="3">
        <v>2016.92</v>
      </c>
      <c r="F858" s="7" t="s">
        <v>3184</v>
      </c>
      <c r="H858" s="9"/>
    </row>
    <row r="859" spans="1:8" x14ac:dyDescent="0.3">
      <c r="A859" s="7" t="s">
        <v>7677</v>
      </c>
      <c r="B859" s="7" t="s">
        <v>287</v>
      </c>
      <c r="C859" s="7" t="s">
        <v>6626</v>
      </c>
      <c r="D859" s="9">
        <v>46101</v>
      </c>
      <c r="E859" s="3">
        <v>1588.54</v>
      </c>
      <c r="F859" s="7" t="s">
        <v>6820</v>
      </c>
      <c r="H859" s="9"/>
    </row>
    <row r="860" spans="1:8" x14ac:dyDescent="0.3">
      <c r="A860" s="7" t="s">
        <v>7678</v>
      </c>
      <c r="B860" s="7" t="s">
        <v>311</v>
      </c>
      <c r="C860" s="7" t="s">
        <v>6628</v>
      </c>
      <c r="D860" s="9">
        <v>45987</v>
      </c>
      <c r="E860" s="3">
        <v>5098.33</v>
      </c>
      <c r="F860" s="7" t="s">
        <v>3174</v>
      </c>
      <c r="H860" s="9"/>
    </row>
    <row r="861" spans="1:8" x14ac:dyDescent="0.3">
      <c r="A861" s="7" t="s">
        <v>7679</v>
      </c>
      <c r="B861" s="7" t="s">
        <v>269</v>
      </c>
      <c r="C861" s="7" t="s">
        <v>6629</v>
      </c>
      <c r="D861" s="9">
        <v>46098</v>
      </c>
      <c r="E861" s="3">
        <v>5526.03</v>
      </c>
      <c r="F861" s="7" t="s">
        <v>6820</v>
      </c>
      <c r="H861" s="9"/>
    </row>
    <row r="862" spans="1:8" x14ac:dyDescent="0.3">
      <c r="A862" s="7" t="s">
        <v>7680</v>
      </c>
      <c r="B862" s="7" t="s">
        <v>276</v>
      </c>
      <c r="C862" s="7" t="s">
        <v>6631</v>
      </c>
      <c r="D862" s="9">
        <v>46020</v>
      </c>
      <c r="E862" s="3">
        <v>1071.9100000000001</v>
      </c>
      <c r="F862" s="7" t="s">
        <v>6820</v>
      </c>
      <c r="H862" s="9"/>
    </row>
    <row r="863" spans="1:8" x14ac:dyDescent="0.3">
      <c r="A863" s="7" t="s">
        <v>7681</v>
      </c>
      <c r="B863" s="7" t="s">
        <v>317</v>
      </c>
      <c r="C863" s="7" t="s">
        <v>6632</v>
      </c>
      <c r="D863" s="9">
        <v>45970</v>
      </c>
      <c r="E863" s="3">
        <v>855.26</v>
      </c>
      <c r="F863" s="7" t="s">
        <v>3184</v>
      </c>
      <c r="H863" s="9"/>
    </row>
    <row r="864" spans="1:8" x14ac:dyDescent="0.3">
      <c r="A864" s="7" t="s">
        <v>7682</v>
      </c>
      <c r="B864" s="7" t="s">
        <v>323</v>
      </c>
      <c r="C864" s="7" t="s">
        <v>6634</v>
      </c>
      <c r="D864" s="9">
        <v>46028</v>
      </c>
      <c r="E864" s="3">
        <v>6440.36</v>
      </c>
      <c r="F864" s="7" t="s">
        <v>3184</v>
      </c>
      <c r="H864" s="9"/>
    </row>
    <row r="865" spans="1:8" x14ac:dyDescent="0.3">
      <c r="A865" s="7" t="s">
        <v>7683</v>
      </c>
      <c r="B865" s="7" t="s">
        <v>291</v>
      </c>
      <c r="C865" s="7" t="s">
        <v>6635</v>
      </c>
      <c r="D865" s="9">
        <v>46038</v>
      </c>
      <c r="E865" s="3">
        <v>2168.0700000000002</v>
      </c>
      <c r="F865" s="7" t="s">
        <v>6820</v>
      </c>
      <c r="H865" s="9"/>
    </row>
    <row r="866" spans="1:8" x14ac:dyDescent="0.3">
      <c r="A866" s="7" t="s">
        <v>7684</v>
      </c>
      <c r="B866" s="7" t="s">
        <v>276</v>
      </c>
      <c r="C866" s="7" t="s">
        <v>6637</v>
      </c>
      <c r="D866" s="9">
        <v>46001</v>
      </c>
      <c r="E866" s="3">
        <v>2558.87</v>
      </c>
      <c r="F866" s="7" t="s">
        <v>3184</v>
      </c>
      <c r="H866" s="9"/>
    </row>
    <row r="867" spans="1:8" x14ac:dyDescent="0.3">
      <c r="A867" s="7" t="s">
        <v>7685</v>
      </c>
      <c r="B867" s="7" t="s">
        <v>317</v>
      </c>
      <c r="C867" s="7" t="s">
        <v>6639</v>
      </c>
      <c r="D867" s="9">
        <v>46088</v>
      </c>
      <c r="E867" s="3">
        <v>6906.7</v>
      </c>
      <c r="F867" s="7" t="s">
        <v>6820</v>
      </c>
      <c r="H867" s="9"/>
    </row>
    <row r="868" spans="1:8" x14ac:dyDescent="0.3">
      <c r="A868" s="7" t="s">
        <v>7686</v>
      </c>
      <c r="B868" s="7" t="s">
        <v>295</v>
      </c>
      <c r="C868" s="7" t="s">
        <v>6640</v>
      </c>
      <c r="D868" s="9">
        <v>46085</v>
      </c>
      <c r="E868" s="3">
        <v>5836.34</v>
      </c>
      <c r="F868" s="7" t="s">
        <v>3184</v>
      </c>
      <c r="H868" s="9"/>
    </row>
    <row r="869" spans="1:8" x14ac:dyDescent="0.3">
      <c r="A869" s="7" t="s">
        <v>7687</v>
      </c>
      <c r="B869" s="7" t="s">
        <v>311</v>
      </c>
      <c r="C869" s="7" t="s">
        <v>6642</v>
      </c>
      <c r="D869" s="9">
        <v>45977</v>
      </c>
      <c r="E869" s="3">
        <v>1706.77</v>
      </c>
      <c r="F869" s="7" t="s">
        <v>3184</v>
      </c>
      <c r="H869" s="9"/>
    </row>
    <row r="870" spans="1:8" x14ac:dyDescent="0.3">
      <c r="A870" s="7" t="s">
        <v>7688</v>
      </c>
      <c r="B870" s="7" t="s">
        <v>327</v>
      </c>
      <c r="C870" s="7" t="s">
        <v>6644</v>
      </c>
      <c r="D870" s="9">
        <v>45987</v>
      </c>
      <c r="E870" s="3">
        <v>4952.83</v>
      </c>
      <c r="F870" s="7" t="s">
        <v>3174</v>
      </c>
      <c r="H870" s="9"/>
    </row>
    <row r="871" spans="1:8" x14ac:dyDescent="0.3">
      <c r="A871" s="7" t="s">
        <v>7689</v>
      </c>
      <c r="B871" s="7" t="s">
        <v>283</v>
      </c>
      <c r="C871" s="7" t="s">
        <v>6645</v>
      </c>
      <c r="D871" s="9">
        <v>45965</v>
      </c>
      <c r="E871" s="3">
        <v>928.9</v>
      </c>
      <c r="F871" s="7" t="s">
        <v>3174</v>
      </c>
      <c r="H871" s="9"/>
    </row>
    <row r="872" spans="1:8" x14ac:dyDescent="0.3">
      <c r="A872" s="7" t="s">
        <v>7690</v>
      </c>
      <c r="B872" s="7" t="s">
        <v>303</v>
      </c>
      <c r="C872" s="7" t="s">
        <v>6646</v>
      </c>
      <c r="D872" s="9">
        <v>46046</v>
      </c>
      <c r="E872" s="3">
        <v>4932.55</v>
      </c>
      <c r="F872" s="7" t="s">
        <v>3184</v>
      </c>
      <c r="H872" s="9"/>
    </row>
    <row r="873" spans="1:8" x14ac:dyDescent="0.3">
      <c r="A873" s="7" t="s">
        <v>7691</v>
      </c>
      <c r="B873" s="7" t="s">
        <v>274</v>
      </c>
      <c r="C873" s="7" t="s">
        <v>6647</v>
      </c>
      <c r="D873" s="9">
        <v>46085</v>
      </c>
      <c r="E873" s="3">
        <v>4453.22</v>
      </c>
      <c r="F873" s="7" t="s">
        <v>3174</v>
      </c>
      <c r="H873" s="9"/>
    </row>
    <row r="874" spans="1:8" x14ac:dyDescent="0.3">
      <c r="A874" s="7" t="s">
        <v>7692</v>
      </c>
      <c r="B874" s="7" t="s">
        <v>291</v>
      </c>
      <c r="C874" s="7" t="s">
        <v>6648</v>
      </c>
      <c r="D874" s="9">
        <v>46045</v>
      </c>
      <c r="E874" s="3">
        <v>5908.19</v>
      </c>
      <c r="F874" s="7" t="s">
        <v>6820</v>
      </c>
      <c r="H874" s="9"/>
    </row>
    <row r="875" spans="1:8" x14ac:dyDescent="0.3">
      <c r="A875" s="7" t="s">
        <v>7693</v>
      </c>
      <c r="B875" s="7" t="s">
        <v>289</v>
      </c>
      <c r="C875" s="7" t="s">
        <v>6650</v>
      </c>
      <c r="D875" s="9">
        <v>45992</v>
      </c>
      <c r="E875" s="3">
        <v>6927.78</v>
      </c>
      <c r="F875" s="7" t="s">
        <v>3174</v>
      </c>
      <c r="H875" s="9"/>
    </row>
    <row r="876" spans="1:8" x14ac:dyDescent="0.3">
      <c r="A876" s="7" t="s">
        <v>7694</v>
      </c>
      <c r="B876" s="7" t="s">
        <v>261</v>
      </c>
      <c r="C876" s="7" t="s">
        <v>6652</v>
      </c>
      <c r="D876" s="9">
        <v>46055</v>
      </c>
      <c r="E876" s="3">
        <v>1354.34</v>
      </c>
      <c r="F876" s="7" t="s">
        <v>3174</v>
      </c>
      <c r="H876" s="9"/>
    </row>
    <row r="877" spans="1:8" x14ac:dyDescent="0.3">
      <c r="A877" s="7" t="s">
        <v>7695</v>
      </c>
      <c r="B877" s="7" t="s">
        <v>272</v>
      </c>
      <c r="C877" s="7" t="s">
        <v>6654</v>
      </c>
      <c r="D877" s="9">
        <v>46065</v>
      </c>
      <c r="E877" s="3">
        <v>4228.87</v>
      </c>
      <c r="F877" s="7" t="s">
        <v>3174</v>
      </c>
      <c r="H877" s="9"/>
    </row>
    <row r="878" spans="1:8" x14ac:dyDescent="0.3">
      <c r="A878" s="7" t="s">
        <v>7696</v>
      </c>
      <c r="B878" s="7" t="s">
        <v>303</v>
      </c>
      <c r="C878" s="7" t="s">
        <v>6655</v>
      </c>
      <c r="D878" s="9">
        <v>46093</v>
      </c>
      <c r="E878" s="3">
        <v>6092.37</v>
      </c>
      <c r="F878" s="7" t="s">
        <v>3174</v>
      </c>
      <c r="H878" s="9"/>
    </row>
    <row r="879" spans="1:8" x14ac:dyDescent="0.3">
      <c r="A879" s="7" t="s">
        <v>7697</v>
      </c>
      <c r="B879" s="7" t="s">
        <v>299</v>
      </c>
      <c r="C879" s="7" t="s">
        <v>6657</v>
      </c>
      <c r="D879" s="9">
        <v>46029</v>
      </c>
      <c r="E879" s="3">
        <v>1199.71</v>
      </c>
      <c r="F879" s="7" t="s">
        <v>3174</v>
      </c>
      <c r="H879" s="9"/>
    </row>
    <row r="880" spans="1:8" x14ac:dyDescent="0.3">
      <c r="A880" s="7" t="s">
        <v>7698</v>
      </c>
      <c r="B880" s="7" t="s">
        <v>343</v>
      </c>
      <c r="C880" s="7" t="s">
        <v>6658</v>
      </c>
      <c r="D880" s="9">
        <v>46079</v>
      </c>
      <c r="E880" s="3">
        <v>5034.25</v>
      </c>
      <c r="F880" s="7" t="s">
        <v>6820</v>
      </c>
      <c r="H880" s="9"/>
    </row>
    <row r="881" spans="1:8" x14ac:dyDescent="0.3">
      <c r="A881" s="7" t="s">
        <v>7699</v>
      </c>
      <c r="B881" s="7" t="s">
        <v>297</v>
      </c>
      <c r="C881" s="7" t="s">
        <v>6659</v>
      </c>
      <c r="D881" s="9">
        <v>46035</v>
      </c>
      <c r="E881" s="3">
        <v>5178.92</v>
      </c>
      <c r="F881" s="7" t="s">
        <v>6820</v>
      </c>
      <c r="H881" s="9"/>
    </row>
    <row r="882" spans="1:8" x14ac:dyDescent="0.3">
      <c r="A882" s="7" t="s">
        <v>7700</v>
      </c>
      <c r="B882" s="7" t="s">
        <v>274</v>
      </c>
      <c r="C882" s="7" t="s">
        <v>6660</v>
      </c>
      <c r="D882" s="9">
        <v>46099</v>
      </c>
      <c r="E882" s="3">
        <v>2303.14</v>
      </c>
      <c r="F882" s="7" t="s">
        <v>3174</v>
      </c>
      <c r="H882" s="9"/>
    </row>
    <row r="883" spans="1:8" x14ac:dyDescent="0.3">
      <c r="A883" s="7" t="s">
        <v>7701</v>
      </c>
      <c r="B883" s="7" t="s">
        <v>319</v>
      </c>
      <c r="C883" s="7" t="s">
        <v>6662</v>
      </c>
      <c r="D883" s="9">
        <v>46084</v>
      </c>
      <c r="E883" s="3">
        <v>4023.46</v>
      </c>
      <c r="F883" s="7" t="s">
        <v>3184</v>
      </c>
      <c r="H883" s="9"/>
    </row>
    <row r="884" spans="1:8" x14ac:dyDescent="0.3">
      <c r="A884" s="7" t="s">
        <v>7702</v>
      </c>
      <c r="B884" s="7" t="s">
        <v>274</v>
      </c>
      <c r="C884" s="7" t="s">
        <v>6665</v>
      </c>
      <c r="D884" s="9">
        <v>46008</v>
      </c>
      <c r="E884" s="3">
        <v>1025.28</v>
      </c>
      <c r="F884" s="7" t="s">
        <v>3184</v>
      </c>
      <c r="H884" s="9"/>
    </row>
    <row r="885" spans="1:8" x14ac:dyDescent="0.3">
      <c r="A885" s="7" t="s">
        <v>7703</v>
      </c>
      <c r="B885" s="7" t="s">
        <v>295</v>
      </c>
      <c r="C885" s="7" t="s">
        <v>6666</v>
      </c>
      <c r="D885" s="9">
        <v>46074</v>
      </c>
      <c r="E885" s="3">
        <v>851.88</v>
      </c>
      <c r="F885" s="7" t="s">
        <v>3174</v>
      </c>
      <c r="H885" s="9"/>
    </row>
    <row r="886" spans="1:8" x14ac:dyDescent="0.3">
      <c r="A886" s="7" t="s">
        <v>7704</v>
      </c>
      <c r="B886" s="7" t="s">
        <v>341</v>
      </c>
      <c r="C886" s="7" t="s">
        <v>6667</v>
      </c>
      <c r="D886" s="9">
        <v>45989</v>
      </c>
      <c r="E886" s="3">
        <v>3576.76</v>
      </c>
      <c r="F886" s="7" t="s">
        <v>3174</v>
      </c>
      <c r="H886" s="9"/>
    </row>
    <row r="887" spans="1:8" x14ac:dyDescent="0.3">
      <c r="A887" s="7" t="s">
        <v>7705</v>
      </c>
      <c r="B887" s="7" t="s">
        <v>335</v>
      </c>
      <c r="C887" s="7" t="s">
        <v>6668</v>
      </c>
      <c r="D887" s="9">
        <v>46050</v>
      </c>
      <c r="E887" s="3">
        <v>4424.08</v>
      </c>
      <c r="F887" s="7" t="s">
        <v>3174</v>
      </c>
      <c r="H887" s="9"/>
    </row>
    <row r="888" spans="1:8" x14ac:dyDescent="0.3">
      <c r="A888" s="7" t="s">
        <v>7706</v>
      </c>
      <c r="B888" s="7" t="s">
        <v>319</v>
      </c>
      <c r="C888" s="7" t="s">
        <v>6669</v>
      </c>
      <c r="D888" s="9">
        <v>45995</v>
      </c>
      <c r="E888" s="3">
        <v>4559.71</v>
      </c>
      <c r="F888" s="7" t="s">
        <v>3184</v>
      </c>
      <c r="H888" s="9"/>
    </row>
    <row r="889" spans="1:8" x14ac:dyDescent="0.3">
      <c r="A889" s="7" t="s">
        <v>7707</v>
      </c>
      <c r="B889" s="7" t="s">
        <v>327</v>
      </c>
      <c r="C889" s="7" t="s">
        <v>6671</v>
      </c>
      <c r="D889" s="9">
        <v>46092</v>
      </c>
      <c r="E889" s="3">
        <v>3448.27</v>
      </c>
      <c r="F889" s="7" t="s">
        <v>3184</v>
      </c>
      <c r="H889" s="9"/>
    </row>
    <row r="890" spans="1:8" x14ac:dyDescent="0.3">
      <c r="A890" s="7" t="s">
        <v>7708</v>
      </c>
      <c r="B890" s="7" t="s">
        <v>264</v>
      </c>
      <c r="C890" s="7" t="s">
        <v>6675</v>
      </c>
      <c r="D890" s="9">
        <v>46001</v>
      </c>
      <c r="E890" s="3">
        <v>1344.25</v>
      </c>
      <c r="F890" s="7" t="s">
        <v>3174</v>
      </c>
      <c r="H890" s="9"/>
    </row>
    <row r="891" spans="1:8" x14ac:dyDescent="0.3">
      <c r="A891" s="7" t="s">
        <v>7709</v>
      </c>
      <c r="B891" s="7" t="s">
        <v>285</v>
      </c>
      <c r="C891" s="7" t="s">
        <v>6676</v>
      </c>
      <c r="D891" s="9">
        <v>46016</v>
      </c>
      <c r="E891" s="3">
        <v>3651.32</v>
      </c>
      <c r="F891" s="7" t="s">
        <v>3184</v>
      </c>
      <c r="H891" s="9"/>
    </row>
    <row r="892" spans="1:8" x14ac:dyDescent="0.3">
      <c r="A892" s="7" t="s">
        <v>7710</v>
      </c>
      <c r="B892" s="7" t="s">
        <v>287</v>
      </c>
      <c r="C892" s="7" t="s">
        <v>6677</v>
      </c>
      <c r="D892" s="9">
        <v>46038</v>
      </c>
      <c r="E892" s="3">
        <v>3435.71</v>
      </c>
      <c r="F892" s="7" t="s">
        <v>3184</v>
      </c>
      <c r="H892" s="9"/>
    </row>
    <row r="893" spans="1:8" x14ac:dyDescent="0.3">
      <c r="A893" s="7" t="s">
        <v>7711</v>
      </c>
      <c r="B893" s="7" t="s">
        <v>329</v>
      </c>
      <c r="C893" s="7" t="s">
        <v>6678</v>
      </c>
      <c r="D893" s="9">
        <v>46074</v>
      </c>
      <c r="E893" s="3">
        <v>869.4</v>
      </c>
      <c r="F893" s="7" t="s">
        <v>3184</v>
      </c>
      <c r="H893" s="9"/>
    </row>
    <row r="894" spans="1:8" x14ac:dyDescent="0.3">
      <c r="A894" s="7" t="s">
        <v>7712</v>
      </c>
      <c r="B894" s="7" t="s">
        <v>315</v>
      </c>
      <c r="C894" s="7" t="s">
        <v>6679</v>
      </c>
      <c r="D894" s="9">
        <v>45985</v>
      </c>
      <c r="E894" s="3">
        <v>1330.88</v>
      </c>
      <c r="F894" s="7" t="s">
        <v>3184</v>
      </c>
      <c r="H894" s="9"/>
    </row>
    <row r="895" spans="1:8" x14ac:dyDescent="0.3">
      <c r="A895" s="7" t="s">
        <v>7713</v>
      </c>
      <c r="B895" s="7" t="s">
        <v>333</v>
      </c>
      <c r="C895" s="7" t="s">
        <v>6681</v>
      </c>
      <c r="D895" s="9">
        <v>46002</v>
      </c>
      <c r="E895" s="3">
        <v>6798.23</v>
      </c>
      <c r="F895" s="7" t="s">
        <v>3184</v>
      </c>
      <c r="H895" s="9"/>
    </row>
    <row r="896" spans="1:8" x14ac:dyDescent="0.3">
      <c r="A896" s="7" t="s">
        <v>7714</v>
      </c>
      <c r="B896" s="7" t="s">
        <v>339</v>
      </c>
      <c r="C896" s="7" t="s">
        <v>6682</v>
      </c>
      <c r="D896" s="9">
        <v>46054</v>
      </c>
      <c r="E896" s="3">
        <v>2299.39</v>
      </c>
      <c r="F896" s="7" t="s">
        <v>6820</v>
      </c>
      <c r="H896" s="9"/>
    </row>
    <row r="897" spans="1:8" x14ac:dyDescent="0.3">
      <c r="A897" s="7" t="s">
        <v>7715</v>
      </c>
      <c r="B897" s="7" t="s">
        <v>281</v>
      </c>
      <c r="C897" s="7" t="s">
        <v>6683</v>
      </c>
      <c r="D897" s="9">
        <v>46095</v>
      </c>
      <c r="E897" s="3">
        <v>2805.44</v>
      </c>
      <c r="F897" s="7" t="s">
        <v>3174</v>
      </c>
      <c r="H897" s="9"/>
    </row>
    <row r="898" spans="1:8" x14ac:dyDescent="0.3">
      <c r="A898" s="7" t="s">
        <v>7716</v>
      </c>
      <c r="B898" s="7" t="s">
        <v>313</v>
      </c>
      <c r="C898" s="7" t="s">
        <v>6685</v>
      </c>
      <c r="D898" s="9">
        <v>46048</v>
      </c>
      <c r="E898" s="3">
        <v>2637.59</v>
      </c>
      <c r="F898" s="7" t="s">
        <v>6820</v>
      </c>
      <c r="H898" s="9"/>
    </row>
    <row r="899" spans="1:8" x14ac:dyDescent="0.3">
      <c r="A899" s="7" t="s">
        <v>7717</v>
      </c>
      <c r="B899" s="7" t="s">
        <v>311</v>
      </c>
      <c r="C899" s="7" t="s">
        <v>6686</v>
      </c>
      <c r="D899" s="9">
        <v>46084</v>
      </c>
      <c r="E899" s="3">
        <v>6749.47</v>
      </c>
      <c r="F899" s="7" t="s">
        <v>3174</v>
      </c>
      <c r="H899" s="9"/>
    </row>
    <row r="900" spans="1:8" x14ac:dyDescent="0.3">
      <c r="A900" s="7" t="s">
        <v>7718</v>
      </c>
      <c r="B900" s="7" t="s">
        <v>325</v>
      </c>
      <c r="C900" s="7" t="s">
        <v>6689</v>
      </c>
      <c r="D900" s="9">
        <v>46109</v>
      </c>
      <c r="E900" s="3">
        <v>4218.8999999999996</v>
      </c>
      <c r="F900" s="7" t="s">
        <v>3174</v>
      </c>
      <c r="H900" s="9"/>
    </row>
    <row r="901" spans="1:8" x14ac:dyDescent="0.3">
      <c r="A901" s="7" t="s">
        <v>7719</v>
      </c>
      <c r="B901" s="7" t="s">
        <v>309</v>
      </c>
      <c r="C901" s="7" t="s">
        <v>6691</v>
      </c>
      <c r="D901" s="9">
        <v>45966</v>
      </c>
      <c r="E901" s="3">
        <v>5768.88</v>
      </c>
      <c r="F901" s="7" t="s">
        <v>6820</v>
      </c>
      <c r="H901" s="9"/>
    </row>
    <row r="902" spans="1:8" x14ac:dyDescent="0.3">
      <c r="A902" s="7" t="s">
        <v>7720</v>
      </c>
      <c r="B902" s="7" t="s">
        <v>279</v>
      </c>
      <c r="C902" s="7" t="s">
        <v>6692</v>
      </c>
      <c r="D902" s="9">
        <v>45998</v>
      </c>
      <c r="E902" s="3">
        <v>6017.38</v>
      </c>
      <c r="F902" s="7" t="s">
        <v>6820</v>
      </c>
      <c r="H902" s="9"/>
    </row>
    <row r="903" spans="1:8" x14ac:dyDescent="0.3">
      <c r="A903" s="7" t="s">
        <v>7721</v>
      </c>
      <c r="B903" s="7" t="s">
        <v>269</v>
      </c>
      <c r="C903" s="7" t="s">
        <v>6693</v>
      </c>
      <c r="D903" s="9">
        <v>46087</v>
      </c>
      <c r="E903" s="3">
        <v>6212.83</v>
      </c>
      <c r="F903" s="7" t="s">
        <v>6820</v>
      </c>
      <c r="H903" s="9"/>
    </row>
    <row r="904" spans="1:8" x14ac:dyDescent="0.3">
      <c r="A904" s="7" t="s">
        <v>7722</v>
      </c>
      <c r="B904" s="7" t="s">
        <v>341</v>
      </c>
      <c r="C904" s="7" t="s">
        <v>6694</v>
      </c>
      <c r="D904" s="9">
        <v>46039</v>
      </c>
      <c r="E904" s="3">
        <v>1938.54</v>
      </c>
      <c r="F904" s="7" t="s">
        <v>3184</v>
      </c>
      <c r="H904" s="9"/>
    </row>
    <row r="905" spans="1:8" x14ac:dyDescent="0.3">
      <c r="A905" s="7" t="s">
        <v>7723</v>
      </c>
      <c r="B905" s="7" t="s">
        <v>287</v>
      </c>
      <c r="C905" s="7" t="s">
        <v>6695</v>
      </c>
      <c r="D905" s="9">
        <v>46067</v>
      </c>
      <c r="E905" s="3">
        <v>4041.69</v>
      </c>
      <c r="F905" s="7" t="s">
        <v>6820</v>
      </c>
      <c r="H905" s="9"/>
    </row>
    <row r="906" spans="1:8" x14ac:dyDescent="0.3">
      <c r="A906" s="7" t="s">
        <v>7724</v>
      </c>
      <c r="B906" s="7" t="s">
        <v>264</v>
      </c>
      <c r="C906" s="7" t="s">
        <v>6697</v>
      </c>
      <c r="D906" s="9">
        <v>45989</v>
      </c>
      <c r="E906" s="3">
        <v>5598.44</v>
      </c>
      <c r="F906" s="7" t="s">
        <v>6820</v>
      </c>
      <c r="H906" s="9"/>
    </row>
    <row r="907" spans="1:8" x14ac:dyDescent="0.3">
      <c r="A907" s="7" t="s">
        <v>7725</v>
      </c>
      <c r="B907" s="7" t="s">
        <v>276</v>
      </c>
      <c r="C907" s="7" t="s">
        <v>6698</v>
      </c>
      <c r="D907" s="9">
        <v>46070</v>
      </c>
      <c r="E907" s="3">
        <v>5332.74</v>
      </c>
      <c r="F907" s="7" t="s">
        <v>3174</v>
      </c>
      <c r="H907" s="9"/>
    </row>
    <row r="908" spans="1:8" x14ac:dyDescent="0.3">
      <c r="A908" s="7" t="s">
        <v>7726</v>
      </c>
      <c r="B908" s="7" t="s">
        <v>272</v>
      </c>
      <c r="C908" s="7" t="s">
        <v>6699</v>
      </c>
      <c r="D908" s="9">
        <v>45983</v>
      </c>
      <c r="E908" s="3">
        <v>4791.2299999999996</v>
      </c>
      <c r="F908" s="7" t="s">
        <v>6820</v>
      </c>
      <c r="H908" s="9"/>
    </row>
    <row r="909" spans="1:8" x14ac:dyDescent="0.3">
      <c r="A909" s="7" t="s">
        <v>7727</v>
      </c>
      <c r="B909" s="7" t="s">
        <v>327</v>
      </c>
      <c r="C909" s="7" t="s">
        <v>6700</v>
      </c>
      <c r="D909" s="9">
        <v>46056</v>
      </c>
      <c r="E909" s="3">
        <v>2506.4699999999998</v>
      </c>
      <c r="F909" s="7" t="s">
        <v>3174</v>
      </c>
      <c r="H909" s="9"/>
    </row>
    <row r="910" spans="1:8" x14ac:dyDescent="0.3">
      <c r="A910" s="7" t="s">
        <v>7728</v>
      </c>
      <c r="B910" s="7" t="s">
        <v>289</v>
      </c>
      <c r="C910" s="7" t="s">
        <v>6702</v>
      </c>
      <c r="D910" s="9">
        <v>45966</v>
      </c>
      <c r="E910" s="3">
        <v>3330.06</v>
      </c>
      <c r="F910" s="7" t="s">
        <v>3174</v>
      </c>
      <c r="H910" s="9"/>
    </row>
    <row r="911" spans="1:8" x14ac:dyDescent="0.3">
      <c r="A911" s="7" t="s">
        <v>7729</v>
      </c>
      <c r="B911" s="7" t="s">
        <v>335</v>
      </c>
      <c r="C911" s="7" t="s">
        <v>6703</v>
      </c>
      <c r="D911" s="9">
        <v>45986</v>
      </c>
      <c r="E911" s="3">
        <v>897.2</v>
      </c>
      <c r="F911" s="7" t="s">
        <v>3174</v>
      </c>
      <c r="H911" s="9"/>
    </row>
    <row r="912" spans="1:8" x14ac:dyDescent="0.3">
      <c r="A912" s="7" t="s">
        <v>7730</v>
      </c>
      <c r="B912" s="7" t="s">
        <v>327</v>
      </c>
      <c r="C912" s="7" t="s">
        <v>6704</v>
      </c>
      <c r="D912" s="9">
        <v>46092</v>
      </c>
      <c r="E912" s="3">
        <v>4761.42</v>
      </c>
      <c r="F912" s="7" t="s">
        <v>6820</v>
      </c>
      <c r="H912" s="9"/>
    </row>
    <row r="913" spans="1:8" x14ac:dyDescent="0.3">
      <c r="A913" s="7" t="s">
        <v>7731</v>
      </c>
      <c r="B913" s="7" t="s">
        <v>287</v>
      </c>
      <c r="C913" s="7" t="s">
        <v>6705</v>
      </c>
      <c r="D913" s="9">
        <v>46060</v>
      </c>
      <c r="E913" s="3">
        <v>6409.13</v>
      </c>
      <c r="F913" s="7" t="s">
        <v>3184</v>
      </c>
      <c r="H913" s="9"/>
    </row>
    <row r="914" spans="1:8" x14ac:dyDescent="0.3">
      <c r="A914" s="7" t="s">
        <v>7732</v>
      </c>
      <c r="B914" s="7" t="s">
        <v>297</v>
      </c>
      <c r="C914" s="7" t="s">
        <v>6706</v>
      </c>
      <c r="D914" s="9">
        <v>46019</v>
      </c>
      <c r="E914" s="3">
        <v>5150.84</v>
      </c>
      <c r="F914" s="7" t="s">
        <v>6820</v>
      </c>
      <c r="H914" s="9"/>
    </row>
    <row r="915" spans="1:8" x14ac:dyDescent="0.3">
      <c r="A915" s="7" t="s">
        <v>7733</v>
      </c>
      <c r="B915" s="7" t="s">
        <v>313</v>
      </c>
      <c r="C915" s="7" t="s">
        <v>6711</v>
      </c>
      <c r="D915" s="9">
        <v>46016</v>
      </c>
      <c r="E915" s="3">
        <v>4165.05</v>
      </c>
      <c r="F915" s="7" t="s">
        <v>3184</v>
      </c>
      <c r="H915" s="9"/>
    </row>
    <row r="916" spans="1:8" x14ac:dyDescent="0.3">
      <c r="A916" s="7" t="s">
        <v>7734</v>
      </c>
      <c r="B916" s="7" t="s">
        <v>303</v>
      </c>
      <c r="C916" s="7" t="s">
        <v>6712</v>
      </c>
      <c r="D916" s="9">
        <v>46038</v>
      </c>
      <c r="E916" s="3">
        <v>2369.54</v>
      </c>
      <c r="F916" s="7" t="s">
        <v>6820</v>
      </c>
      <c r="H916" s="9"/>
    </row>
    <row r="917" spans="1:8" x14ac:dyDescent="0.3">
      <c r="A917" s="7" t="s">
        <v>7735</v>
      </c>
      <c r="B917" s="7" t="s">
        <v>272</v>
      </c>
      <c r="C917" s="7" t="s">
        <v>6713</v>
      </c>
      <c r="D917" s="9">
        <v>46104</v>
      </c>
      <c r="E917" s="3">
        <v>2540.2600000000002</v>
      </c>
      <c r="F917" s="7" t="s">
        <v>6820</v>
      </c>
      <c r="H917" s="9"/>
    </row>
    <row r="918" spans="1:8" x14ac:dyDescent="0.3">
      <c r="A918" s="7" t="s">
        <v>7736</v>
      </c>
      <c r="B918" s="7" t="s">
        <v>291</v>
      </c>
      <c r="C918" s="7" t="s">
        <v>6718</v>
      </c>
      <c r="D918" s="9">
        <v>45987</v>
      </c>
      <c r="E918" s="3">
        <v>3491.89</v>
      </c>
      <c r="F918" s="7" t="s">
        <v>3174</v>
      </c>
      <c r="H918" s="9"/>
    </row>
    <row r="919" spans="1:8" x14ac:dyDescent="0.3">
      <c r="A919" s="7" t="s">
        <v>7737</v>
      </c>
      <c r="B919" s="7" t="s">
        <v>305</v>
      </c>
      <c r="C919" s="7" t="s">
        <v>6719</v>
      </c>
      <c r="D919" s="9">
        <v>45986</v>
      </c>
      <c r="E919" s="3">
        <v>2290.09</v>
      </c>
      <c r="F919" s="7" t="s">
        <v>3174</v>
      </c>
      <c r="H919" s="9"/>
    </row>
    <row r="920" spans="1:8" x14ac:dyDescent="0.3">
      <c r="A920" s="7" t="s">
        <v>7738</v>
      </c>
      <c r="B920" s="7" t="s">
        <v>325</v>
      </c>
      <c r="C920" s="7" t="s">
        <v>6720</v>
      </c>
      <c r="D920" s="9">
        <v>45990</v>
      </c>
      <c r="E920" s="3">
        <v>3062.5</v>
      </c>
      <c r="F920" s="7" t="s">
        <v>3184</v>
      </c>
      <c r="H920" s="9"/>
    </row>
    <row r="921" spans="1:8" x14ac:dyDescent="0.3">
      <c r="A921" s="7" t="s">
        <v>7739</v>
      </c>
      <c r="B921" s="7" t="s">
        <v>343</v>
      </c>
      <c r="C921" s="7" t="s">
        <v>6722</v>
      </c>
      <c r="D921" s="9">
        <v>46058</v>
      </c>
      <c r="E921" s="3">
        <v>4277.29</v>
      </c>
      <c r="F921" s="7" t="s">
        <v>3174</v>
      </c>
      <c r="H921" s="9"/>
    </row>
    <row r="922" spans="1:8" x14ac:dyDescent="0.3">
      <c r="A922" s="7" t="s">
        <v>7740</v>
      </c>
      <c r="B922" s="7" t="s">
        <v>307</v>
      </c>
      <c r="C922" s="7" t="s">
        <v>6724</v>
      </c>
      <c r="D922" s="9">
        <v>46048</v>
      </c>
      <c r="E922" s="3">
        <v>6172.43</v>
      </c>
      <c r="F922" s="7" t="s">
        <v>6820</v>
      </c>
      <c r="H922" s="9"/>
    </row>
    <row r="923" spans="1:8" x14ac:dyDescent="0.3">
      <c r="A923" s="7" t="s">
        <v>7741</v>
      </c>
      <c r="B923" s="7" t="s">
        <v>303</v>
      </c>
      <c r="C923" s="7" t="s">
        <v>6725</v>
      </c>
      <c r="D923" s="9">
        <v>45996</v>
      </c>
      <c r="E923" s="3">
        <v>2778.59</v>
      </c>
      <c r="F923" s="7" t="s">
        <v>3174</v>
      </c>
      <c r="H923" s="9"/>
    </row>
    <row r="924" spans="1:8" x14ac:dyDescent="0.3">
      <c r="A924" s="7" t="s">
        <v>7742</v>
      </c>
      <c r="B924" s="7" t="s">
        <v>341</v>
      </c>
      <c r="C924" s="7" t="s">
        <v>6726</v>
      </c>
      <c r="D924" s="9">
        <v>45984</v>
      </c>
      <c r="E924" s="3">
        <v>1884.18</v>
      </c>
      <c r="F924" s="7" t="s">
        <v>6820</v>
      </c>
      <c r="H924" s="9"/>
    </row>
    <row r="925" spans="1:8" x14ac:dyDescent="0.3">
      <c r="A925" s="7" t="s">
        <v>7743</v>
      </c>
      <c r="B925" s="7" t="s">
        <v>261</v>
      </c>
      <c r="C925" s="7" t="s">
        <v>6727</v>
      </c>
      <c r="D925" s="9">
        <v>46008</v>
      </c>
      <c r="E925" s="3">
        <v>1117.05</v>
      </c>
      <c r="F925" s="7" t="s">
        <v>6820</v>
      </c>
      <c r="H925" s="9"/>
    </row>
    <row r="926" spans="1:8" x14ac:dyDescent="0.3">
      <c r="A926" s="7" t="s">
        <v>7744</v>
      </c>
      <c r="B926" s="7" t="s">
        <v>289</v>
      </c>
      <c r="C926" s="7" t="s">
        <v>6728</v>
      </c>
      <c r="D926" s="9">
        <v>46019</v>
      </c>
      <c r="E926" s="3">
        <v>4316.3</v>
      </c>
      <c r="F926" s="7" t="s">
        <v>3174</v>
      </c>
      <c r="H926" s="9"/>
    </row>
    <row r="927" spans="1:8" x14ac:dyDescent="0.3">
      <c r="A927" s="7" t="s">
        <v>7745</v>
      </c>
      <c r="B927" s="7" t="s">
        <v>267</v>
      </c>
      <c r="C927" s="7" t="s">
        <v>6733</v>
      </c>
      <c r="D927" s="9">
        <v>46047</v>
      </c>
      <c r="E927" s="3">
        <v>4994.82</v>
      </c>
      <c r="F927" s="7" t="s">
        <v>3174</v>
      </c>
      <c r="H927" s="9"/>
    </row>
    <row r="928" spans="1:8" x14ac:dyDescent="0.3">
      <c r="A928" s="7" t="s">
        <v>7746</v>
      </c>
      <c r="B928" s="7" t="s">
        <v>303</v>
      </c>
      <c r="C928" s="7" t="s">
        <v>6734</v>
      </c>
      <c r="D928" s="9">
        <v>46046</v>
      </c>
      <c r="E928" s="3">
        <v>6953.23</v>
      </c>
      <c r="F928" s="7" t="s">
        <v>6820</v>
      </c>
      <c r="H928" s="9"/>
    </row>
    <row r="929" spans="1:8" x14ac:dyDescent="0.3">
      <c r="A929" s="7" t="s">
        <v>7747</v>
      </c>
      <c r="B929" s="7" t="s">
        <v>276</v>
      </c>
      <c r="C929" s="7" t="s">
        <v>6735</v>
      </c>
      <c r="D929" s="9">
        <v>46064</v>
      </c>
      <c r="E929" s="3">
        <v>2732.24</v>
      </c>
      <c r="F929" s="7" t="s">
        <v>6820</v>
      </c>
      <c r="H929" s="9"/>
    </row>
    <row r="930" spans="1:8" x14ac:dyDescent="0.3">
      <c r="A930" s="7" t="s">
        <v>7748</v>
      </c>
      <c r="B930" s="7" t="s">
        <v>281</v>
      </c>
      <c r="C930" s="7" t="s">
        <v>6736</v>
      </c>
      <c r="D930" s="9">
        <v>46025</v>
      </c>
      <c r="E930" s="3">
        <v>6434.91</v>
      </c>
      <c r="F930" s="7" t="s">
        <v>3184</v>
      </c>
      <c r="H930" s="9"/>
    </row>
    <row r="931" spans="1:8" x14ac:dyDescent="0.3">
      <c r="A931" s="7" t="s">
        <v>7749</v>
      </c>
      <c r="B931" s="7" t="s">
        <v>283</v>
      </c>
      <c r="C931" s="7" t="s">
        <v>6739</v>
      </c>
      <c r="D931" s="9">
        <v>46088</v>
      </c>
      <c r="E931" s="3">
        <v>2281.8000000000002</v>
      </c>
      <c r="F931" s="7" t="s">
        <v>6820</v>
      </c>
      <c r="H931" s="9"/>
    </row>
    <row r="932" spans="1:8" x14ac:dyDescent="0.3">
      <c r="A932" s="7" t="s">
        <v>7750</v>
      </c>
      <c r="B932" s="7" t="s">
        <v>285</v>
      </c>
      <c r="C932" s="7" t="s">
        <v>6740</v>
      </c>
      <c r="D932" s="9">
        <v>46058</v>
      </c>
      <c r="E932" s="3">
        <v>3286.85</v>
      </c>
      <c r="F932" s="7" t="s">
        <v>3184</v>
      </c>
      <c r="H932" s="9"/>
    </row>
    <row r="933" spans="1:8" x14ac:dyDescent="0.3">
      <c r="A933" s="7" t="s">
        <v>7751</v>
      </c>
      <c r="B933" s="7" t="s">
        <v>309</v>
      </c>
      <c r="C933" s="7" t="s">
        <v>6742</v>
      </c>
      <c r="D933" s="9">
        <v>45999</v>
      </c>
      <c r="E933" s="3">
        <v>1488.26</v>
      </c>
      <c r="F933" s="7" t="s">
        <v>3174</v>
      </c>
      <c r="H933" s="9"/>
    </row>
    <row r="934" spans="1:8" x14ac:dyDescent="0.3">
      <c r="A934" s="7" t="s">
        <v>7752</v>
      </c>
      <c r="B934" s="7" t="s">
        <v>293</v>
      </c>
      <c r="C934" s="7" t="s">
        <v>6743</v>
      </c>
      <c r="D934" s="9">
        <v>45976</v>
      </c>
      <c r="E934" s="3">
        <v>4076.88</v>
      </c>
      <c r="F934" s="7" t="s">
        <v>3184</v>
      </c>
      <c r="H934" s="9"/>
    </row>
    <row r="935" spans="1:8" x14ac:dyDescent="0.3">
      <c r="A935" s="7" t="s">
        <v>7753</v>
      </c>
      <c r="B935" s="7" t="s">
        <v>274</v>
      </c>
      <c r="C935" s="7" t="s">
        <v>6746</v>
      </c>
      <c r="D935" s="9">
        <v>45983</v>
      </c>
      <c r="E935" s="3">
        <v>4424.5200000000004</v>
      </c>
      <c r="F935" s="7" t="s">
        <v>3174</v>
      </c>
      <c r="H935" s="9"/>
    </row>
    <row r="936" spans="1:8" x14ac:dyDescent="0.3">
      <c r="A936" s="7" t="s">
        <v>7754</v>
      </c>
      <c r="B936" s="7" t="s">
        <v>303</v>
      </c>
      <c r="C936" s="7" t="s">
        <v>6747</v>
      </c>
      <c r="D936" s="9">
        <v>46062</v>
      </c>
      <c r="E936" s="3">
        <v>2932.92</v>
      </c>
      <c r="F936" s="7" t="s">
        <v>6820</v>
      </c>
      <c r="H936" s="9"/>
    </row>
    <row r="937" spans="1:8" x14ac:dyDescent="0.3">
      <c r="A937" s="7" t="s">
        <v>7755</v>
      </c>
      <c r="B937" s="7" t="s">
        <v>293</v>
      </c>
      <c r="C937" s="7" t="s">
        <v>6748</v>
      </c>
      <c r="D937" s="9">
        <v>45986</v>
      </c>
      <c r="E937" s="3">
        <v>5069.55</v>
      </c>
      <c r="F937" s="7" t="s">
        <v>6820</v>
      </c>
      <c r="H937" s="9"/>
    </row>
    <row r="938" spans="1:8" x14ac:dyDescent="0.3">
      <c r="A938" s="7" t="s">
        <v>7756</v>
      </c>
      <c r="B938" s="7" t="s">
        <v>281</v>
      </c>
      <c r="C938" s="7" t="s">
        <v>6749</v>
      </c>
      <c r="D938" s="9">
        <v>46010</v>
      </c>
      <c r="E938" s="3">
        <v>3738.22</v>
      </c>
      <c r="F938" s="7" t="s">
        <v>3184</v>
      </c>
      <c r="H938" s="9"/>
    </row>
    <row r="939" spans="1:8" x14ac:dyDescent="0.3">
      <c r="A939" s="7" t="s">
        <v>7757</v>
      </c>
      <c r="B939" s="7" t="s">
        <v>323</v>
      </c>
      <c r="C939" s="7" t="s">
        <v>6750</v>
      </c>
      <c r="D939" s="9">
        <v>46037</v>
      </c>
      <c r="E939" s="3">
        <v>2038.74</v>
      </c>
      <c r="F939" s="7" t="s">
        <v>3174</v>
      </c>
      <c r="H939" s="9"/>
    </row>
    <row r="940" spans="1:8" x14ac:dyDescent="0.3">
      <c r="A940" s="7" t="s">
        <v>7758</v>
      </c>
      <c r="B940" s="7" t="s">
        <v>281</v>
      </c>
      <c r="C940" s="7" t="s">
        <v>6751</v>
      </c>
      <c r="D940" s="9">
        <v>46057</v>
      </c>
      <c r="E940" s="3">
        <v>6044.31</v>
      </c>
      <c r="F940" s="7" t="s">
        <v>6820</v>
      </c>
      <c r="H940" s="9"/>
    </row>
    <row r="941" spans="1:8" x14ac:dyDescent="0.3">
      <c r="A941" s="7" t="s">
        <v>7759</v>
      </c>
      <c r="B941" s="7" t="s">
        <v>285</v>
      </c>
      <c r="C941" s="7" t="s">
        <v>6753</v>
      </c>
      <c r="D941" s="9">
        <v>45969</v>
      </c>
      <c r="E941" s="3">
        <v>5518.51</v>
      </c>
      <c r="F941" s="7" t="s">
        <v>6820</v>
      </c>
      <c r="H941" s="9"/>
    </row>
    <row r="942" spans="1:8" x14ac:dyDescent="0.3">
      <c r="A942" s="7" t="s">
        <v>7760</v>
      </c>
      <c r="B942" s="7" t="s">
        <v>319</v>
      </c>
      <c r="C942" s="7" t="s">
        <v>6754</v>
      </c>
      <c r="D942" s="9">
        <v>46083</v>
      </c>
      <c r="E942" s="3">
        <v>978.23</v>
      </c>
      <c r="F942" s="7" t="s">
        <v>6820</v>
      </c>
      <c r="H942" s="9"/>
    </row>
    <row r="943" spans="1:8" x14ac:dyDescent="0.3">
      <c r="A943" s="7" t="s">
        <v>7761</v>
      </c>
      <c r="B943" s="7" t="s">
        <v>321</v>
      </c>
      <c r="C943" s="7" t="s">
        <v>6755</v>
      </c>
      <c r="D943" s="9">
        <v>46040</v>
      </c>
      <c r="E943" s="3">
        <v>3231.98</v>
      </c>
      <c r="F943" s="7" t="s">
        <v>3174</v>
      </c>
      <c r="H943" s="9"/>
    </row>
    <row r="944" spans="1:8" x14ac:dyDescent="0.3">
      <c r="A944" s="7" t="s">
        <v>7762</v>
      </c>
      <c r="B944" s="7" t="s">
        <v>319</v>
      </c>
      <c r="C944" s="7" t="s">
        <v>6756</v>
      </c>
      <c r="D944" s="9">
        <v>45978</v>
      </c>
      <c r="E944" s="3">
        <v>4340.32</v>
      </c>
      <c r="F944" s="7" t="s">
        <v>6820</v>
      </c>
      <c r="H944" s="9"/>
    </row>
    <row r="945" spans="1:8" x14ac:dyDescent="0.3">
      <c r="A945" s="7" t="s">
        <v>7763</v>
      </c>
      <c r="B945" s="7" t="s">
        <v>307</v>
      </c>
      <c r="C945" s="7" t="s">
        <v>6758</v>
      </c>
      <c r="D945" s="9">
        <v>45969</v>
      </c>
      <c r="E945" s="3">
        <v>6688.89</v>
      </c>
      <c r="F945" s="7" t="s">
        <v>3184</v>
      </c>
      <c r="H945" s="9"/>
    </row>
    <row r="946" spans="1:8" x14ac:dyDescent="0.3">
      <c r="A946" s="7" t="s">
        <v>7764</v>
      </c>
      <c r="B946" s="7" t="s">
        <v>317</v>
      </c>
      <c r="C946" s="7" t="s">
        <v>6761</v>
      </c>
      <c r="D946" s="9">
        <v>46096</v>
      </c>
      <c r="E946" s="3">
        <v>3532.42</v>
      </c>
      <c r="F946" s="7" t="s">
        <v>6820</v>
      </c>
      <c r="H946" s="9"/>
    </row>
    <row r="947" spans="1:8" x14ac:dyDescent="0.3">
      <c r="A947" s="7" t="s">
        <v>7765</v>
      </c>
      <c r="B947" s="7" t="s">
        <v>291</v>
      </c>
      <c r="C947" s="7" t="s">
        <v>6762</v>
      </c>
      <c r="D947" s="9">
        <v>46042</v>
      </c>
      <c r="E947" s="3">
        <v>2538.46</v>
      </c>
      <c r="F947" s="7" t="s">
        <v>3174</v>
      </c>
      <c r="H947" s="9"/>
    </row>
    <row r="948" spans="1:8" x14ac:dyDescent="0.3">
      <c r="A948" s="7" t="s">
        <v>7766</v>
      </c>
      <c r="B948" s="7" t="s">
        <v>335</v>
      </c>
      <c r="C948" s="7" t="s">
        <v>6763</v>
      </c>
      <c r="D948" s="9">
        <v>46023</v>
      </c>
      <c r="E948" s="3">
        <v>4089.67</v>
      </c>
      <c r="F948" s="7" t="s">
        <v>6820</v>
      </c>
      <c r="H948" s="9"/>
    </row>
    <row r="949" spans="1:8" x14ac:dyDescent="0.3">
      <c r="A949" s="7" t="s">
        <v>7767</v>
      </c>
      <c r="B949" s="7" t="s">
        <v>274</v>
      </c>
      <c r="C949" s="7" t="s">
        <v>6764</v>
      </c>
      <c r="D949" s="9">
        <v>46080</v>
      </c>
      <c r="E949" s="3">
        <v>4876.9399999999996</v>
      </c>
      <c r="F949" s="7" t="s">
        <v>3174</v>
      </c>
      <c r="H949" s="9"/>
    </row>
    <row r="950" spans="1:8" x14ac:dyDescent="0.3">
      <c r="A950" s="7" t="s">
        <v>7768</v>
      </c>
      <c r="B950" s="7" t="s">
        <v>311</v>
      </c>
      <c r="C950" s="7" t="s">
        <v>6765</v>
      </c>
      <c r="D950" s="9">
        <v>46080</v>
      </c>
      <c r="E950" s="3">
        <v>4568.3999999999996</v>
      </c>
      <c r="F950" s="7" t="s">
        <v>3184</v>
      </c>
      <c r="H950" s="9"/>
    </row>
    <row r="951" spans="1:8" x14ac:dyDescent="0.3">
      <c r="A951" s="7" t="s">
        <v>7769</v>
      </c>
      <c r="B951" s="7" t="s">
        <v>267</v>
      </c>
      <c r="C951" s="7" t="s">
        <v>6766</v>
      </c>
      <c r="D951" s="9">
        <v>45992</v>
      </c>
      <c r="E951" s="3">
        <v>6125.93</v>
      </c>
      <c r="F951" s="7" t="s">
        <v>3184</v>
      </c>
      <c r="H951" s="9"/>
    </row>
    <row r="952" spans="1:8" x14ac:dyDescent="0.3">
      <c r="A952" s="7" t="s">
        <v>7770</v>
      </c>
      <c r="B952" s="7" t="s">
        <v>295</v>
      </c>
      <c r="C952" s="7" t="s">
        <v>6767</v>
      </c>
      <c r="D952" s="9">
        <v>46088</v>
      </c>
      <c r="E952" s="3">
        <v>1463.82</v>
      </c>
      <c r="F952" s="7" t="s">
        <v>3174</v>
      </c>
      <c r="H952" s="9"/>
    </row>
    <row r="953" spans="1:8" x14ac:dyDescent="0.3">
      <c r="A953" s="7" t="s">
        <v>7771</v>
      </c>
      <c r="B953" s="7" t="s">
        <v>311</v>
      </c>
      <c r="C953" s="7" t="s">
        <v>6768</v>
      </c>
      <c r="D953" s="9">
        <v>46102</v>
      </c>
      <c r="E953" s="3">
        <v>3537.69</v>
      </c>
      <c r="F953" s="7" t="s">
        <v>3184</v>
      </c>
      <c r="H953" s="9"/>
    </row>
    <row r="954" spans="1:8" x14ac:dyDescent="0.3">
      <c r="A954" s="7" t="s">
        <v>7772</v>
      </c>
      <c r="B954" s="7" t="s">
        <v>272</v>
      </c>
      <c r="C954" s="7" t="s">
        <v>6769</v>
      </c>
      <c r="D954" s="9">
        <v>46027</v>
      </c>
      <c r="E954" s="3">
        <v>1483.23</v>
      </c>
      <c r="F954" s="7" t="s">
        <v>3184</v>
      </c>
      <c r="H954" s="9"/>
    </row>
    <row r="955" spans="1:8" x14ac:dyDescent="0.3">
      <c r="A955" s="7" t="s">
        <v>7773</v>
      </c>
      <c r="B955" s="7" t="s">
        <v>301</v>
      </c>
      <c r="C955" s="7" t="s">
        <v>6770</v>
      </c>
      <c r="D955" s="9">
        <v>46019</v>
      </c>
      <c r="E955" s="3">
        <v>4698.01</v>
      </c>
      <c r="F955" s="7" t="s">
        <v>3184</v>
      </c>
      <c r="H955" s="9"/>
    </row>
    <row r="956" spans="1:8" x14ac:dyDescent="0.3">
      <c r="A956" s="7" t="s">
        <v>7774</v>
      </c>
      <c r="B956" s="7" t="s">
        <v>289</v>
      </c>
      <c r="C956" s="7" t="s">
        <v>6771</v>
      </c>
      <c r="D956" s="9">
        <v>46002</v>
      </c>
      <c r="E956" s="3">
        <v>4810.76</v>
      </c>
      <c r="F956" s="7" t="s">
        <v>3184</v>
      </c>
      <c r="H956" s="9"/>
    </row>
    <row r="957" spans="1:8" x14ac:dyDescent="0.3">
      <c r="A957" s="7" t="s">
        <v>7775</v>
      </c>
      <c r="B957" s="7" t="s">
        <v>285</v>
      </c>
      <c r="C957" s="7" t="s">
        <v>6773</v>
      </c>
      <c r="D957" s="9">
        <v>46006</v>
      </c>
      <c r="E957" s="3">
        <v>4919.7299999999996</v>
      </c>
      <c r="F957" s="7" t="s">
        <v>3174</v>
      </c>
      <c r="H957" s="9"/>
    </row>
    <row r="958" spans="1:8" x14ac:dyDescent="0.3">
      <c r="A958" s="7" t="s">
        <v>7776</v>
      </c>
      <c r="B958" s="7" t="s">
        <v>276</v>
      </c>
      <c r="C958" s="7" t="s">
        <v>6774</v>
      </c>
      <c r="D958" s="9">
        <v>46020</v>
      </c>
      <c r="E958" s="3">
        <v>2788.3</v>
      </c>
      <c r="F958" s="7" t="s">
        <v>3174</v>
      </c>
      <c r="H958" s="9"/>
    </row>
    <row r="959" spans="1:8" x14ac:dyDescent="0.3">
      <c r="A959" s="7" t="s">
        <v>7777</v>
      </c>
      <c r="B959" s="7" t="s">
        <v>321</v>
      </c>
      <c r="C959" s="7" t="s">
        <v>6777</v>
      </c>
      <c r="D959" s="9">
        <v>45986</v>
      </c>
      <c r="E959" s="3">
        <v>2124.5</v>
      </c>
      <c r="F959" s="7" t="s">
        <v>3174</v>
      </c>
      <c r="H959" s="9"/>
    </row>
    <row r="960" spans="1:8" x14ac:dyDescent="0.3">
      <c r="A960" s="7" t="s">
        <v>7778</v>
      </c>
      <c r="B960" s="7" t="s">
        <v>283</v>
      </c>
      <c r="C960" s="7" t="s">
        <v>6778</v>
      </c>
      <c r="D960" s="9">
        <v>46070</v>
      </c>
      <c r="E960" s="3">
        <v>5048.91</v>
      </c>
      <c r="F960" s="7" t="s">
        <v>3184</v>
      </c>
      <c r="H960" s="9"/>
    </row>
    <row r="961" spans="1:8" x14ac:dyDescent="0.3">
      <c r="A961" s="7" t="s">
        <v>7779</v>
      </c>
      <c r="B961" s="7" t="s">
        <v>276</v>
      </c>
      <c r="C961" s="7" t="s">
        <v>6780</v>
      </c>
      <c r="D961" s="9">
        <v>46102</v>
      </c>
      <c r="E961" s="3">
        <v>4480.96</v>
      </c>
      <c r="F961" s="7" t="s">
        <v>6820</v>
      </c>
      <c r="H961" s="9"/>
    </row>
    <row r="962" spans="1:8" x14ac:dyDescent="0.3">
      <c r="A962" s="7" t="s">
        <v>7780</v>
      </c>
      <c r="B962" s="7" t="s">
        <v>305</v>
      </c>
      <c r="C962" s="7" t="s">
        <v>6781</v>
      </c>
      <c r="D962" s="9">
        <v>46053</v>
      </c>
      <c r="E962" s="3">
        <v>3544.45</v>
      </c>
      <c r="F962" s="7" t="s">
        <v>3184</v>
      </c>
      <c r="H962" s="9"/>
    </row>
    <row r="963" spans="1:8" x14ac:dyDescent="0.3">
      <c r="A963" s="7" t="s">
        <v>7781</v>
      </c>
      <c r="B963" s="7" t="s">
        <v>279</v>
      </c>
      <c r="C963" s="7" t="s">
        <v>6782</v>
      </c>
      <c r="D963" s="9">
        <v>46049</v>
      </c>
      <c r="E963" s="3">
        <v>5591.83</v>
      </c>
      <c r="F963" s="7" t="s">
        <v>6820</v>
      </c>
      <c r="H963" s="9"/>
    </row>
    <row r="964" spans="1:8" x14ac:dyDescent="0.3">
      <c r="A964" s="7" t="s">
        <v>7782</v>
      </c>
      <c r="B964" s="7" t="s">
        <v>321</v>
      </c>
      <c r="C964" s="7" t="s">
        <v>6783</v>
      </c>
      <c r="D964" s="9">
        <v>46077</v>
      </c>
      <c r="E964" s="3">
        <v>3821.41</v>
      </c>
      <c r="F964" s="7" t="s">
        <v>3174</v>
      </c>
      <c r="H964" s="9"/>
    </row>
    <row r="965" spans="1:8" x14ac:dyDescent="0.3">
      <c r="A965" s="7" t="s">
        <v>7783</v>
      </c>
      <c r="B965" s="7" t="s">
        <v>289</v>
      </c>
      <c r="C965" s="7" t="s">
        <v>6785</v>
      </c>
      <c r="D965" s="9">
        <v>46070</v>
      </c>
      <c r="E965" s="3">
        <v>1150.17</v>
      </c>
      <c r="F965" s="7" t="s">
        <v>6820</v>
      </c>
      <c r="H965" s="9"/>
    </row>
    <row r="966" spans="1:8" x14ac:dyDescent="0.3">
      <c r="A966" s="7" t="s">
        <v>7784</v>
      </c>
      <c r="B966" s="7" t="s">
        <v>331</v>
      </c>
      <c r="C966" s="7" t="s">
        <v>6787</v>
      </c>
      <c r="D966" s="9">
        <v>45997</v>
      </c>
      <c r="E966" s="3">
        <v>2313.02</v>
      </c>
      <c r="F966" s="7" t="s">
        <v>3174</v>
      </c>
      <c r="H966" s="9"/>
    </row>
    <row r="967" spans="1:8" x14ac:dyDescent="0.3">
      <c r="A967" s="7" t="s">
        <v>7785</v>
      </c>
      <c r="B967" s="7" t="s">
        <v>291</v>
      </c>
      <c r="C967" s="7" t="s">
        <v>6788</v>
      </c>
      <c r="D967" s="9">
        <v>46010</v>
      </c>
      <c r="E967" s="3">
        <v>5417.61</v>
      </c>
      <c r="F967" s="7" t="s">
        <v>3184</v>
      </c>
      <c r="H967" s="9"/>
    </row>
    <row r="968" spans="1:8" x14ac:dyDescent="0.3">
      <c r="A968" s="7" t="s">
        <v>7786</v>
      </c>
      <c r="B968" s="7" t="s">
        <v>285</v>
      </c>
      <c r="C968" s="7" t="s">
        <v>6789</v>
      </c>
      <c r="D968" s="9">
        <v>45999</v>
      </c>
      <c r="E968" s="3">
        <v>4485.5600000000004</v>
      </c>
      <c r="F968" s="7" t="s">
        <v>6820</v>
      </c>
      <c r="H968" s="9"/>
    </row>
    <row r="969" spans="1:8" x14ac:dyDescent="0.3">
      <c r="A969" s="7" t="s">
        <v>7787</v>
      </c>
      <c r="B969" s="7" t="s">
        <v>323</v>
      </c>
      <c r="C969" s="7" t="s">
        <v>6792</v>
      </c>
      <c r="D969" s="9">
        <v>46111</v>
      </c>
      <c r="E969" s="3">
        <v>5012.3999999999996</v>
      </c>
      <c r="F969" s="7" t="s">
        <v>3174</v>
      </c>
      <c r="H969" s="9"/>
    </row>
    <row r="970" spans="1:8" x14ac:dyDescent="0.3">
      <c r="A970" s="7" t="s">
        <v>7788</v>
      </c>
      <c r="B970" s="7" t="s">
        <v>283</v>
      </c>
      <c r="C970" s="7" t="s">
        <v>6793</v>
      </c>
      <c r="D970" s="9">
        <v>45959</v>
      </c>
      <c r="E970" s="3">
        <v>2288.58</v>
      </c>
      <c r="F970" s="7" t="s">
        <v>3174</v>
      </c>
      <c r="H970" s="9"/>
    </row>
    <row r="971" spans="1:8" x14ac:dyDescent="0.3">
      <c r="A971" s="7" t="s">
        <v>7789</v>
      </c>
      <c r="B971" s="7" t="s">
        <v>267</v>
      </c>
      <c r="C971" s="7" t="s">
        <v>6794</v>
      </c>
      <c r="D971" s="9">
        <v>46037</v>
      </c>
      <c r="E971" s="3">
        <v>1268.21</v>
      </c>
      <c r="F971" s="7" t="s">
        <v>3174</v>
      </c>
      <c r="H971" s="9"/>
    </row>
    <row r="972" spans="1:8" x14ac:dyDescent="0.3">
      <c r="A972" s="7" t="s">
        <v>7790</v>
      </c>
      <c r="B972" s="7" t="s">
        <v>281</v>
      </c>
      <c r="C972" s="7" t="s">
        <v>6795</v>
      </c>
      <c r="D972" s="9">
        <v>45990</v>
      </c>
      <c r="E972" s="3">
        <v>3567.72</v>
      </c>
      <c r="F972" s="7" t="s">
        <v>6820</v>
      </c>
      <c r="H972" s="9"/>
    </row>
    <row r="973" spans="1:8" x14ac:dyDescent="0.3">
      <c r="A973" s="7" t="s">
        <v>7791</v>
      </c>
      <c r="B973" s="7" t="s">
        <v>276</v>
      </c>
      <c r="C973" s="7" t="s">
        <v>6796</v>
      </c>
      <c r="D973" s="9">
        <v>45993</v>
      </c>
      <c r="E973" s="3">
        <v>2310.84</v>
      </c>
      <c r="F973" s="7" t="s">
        <v>3174</v>
      </c>
      <c r="H973" s="9"/>
    </row>
    <row r="974" spans="1:8" x14ac:dyDescent="0.3">
      <c r="A974" s="7" t="s">
        <v>7792</v>
      </c>
      <c r="B974" s="7" t="s">
        <v>333</v>
      </c>
      <c r="C974" s="7" t="s">
        <v>6797</v>
      </c>
      <c r="D974" s="9">
        <v>45983</v>
      </c>
      <c r="E974" s="3">
        <v>2725.13</v>
      </c>
      <c r="F974" s="7" t="s">
        <v>3184</v>
      </c>
      <c r="H974" s="9"/>
    </row>
    <row r="975" spans="1:8" x14ac:dyDescent="0.3">
      <c r="A975" s="7" t="s">
        <v>7793</v>
      </c>
      <c r="B975" s="7" t="s">
        <v>333</v>
      </c>
      <c r="C975" s="7" t="s">
        <v>6798</v>
      </c>
      <c r="D975" s="9">
        <v>46059</v>
      </c>
      <c r="E975" s="3">
        <v>4876.71</v>
      </c>
      <c r="F975" s="7" t="s">
        <v>3184</v>
      </c>
      <c r="H975" s="9"/>
    </row>
    <row r="976" spans="1:8" x14ac:dyDescent="0.3">
      <c r="A976" s="7" t="s">
        <v>7794</v>
      </c>
      <c r="B976" s="7" t="s">
        <v>287</v>
      </c>
      <c r="C976" s="7" t="s">
        <v>6799</v>
      </c>
      <c r="D976" s="9">
        <v>46062</v>
      </c>
      <c r="E976" s="3">
        <v>995.46</v>
      </c>
      <c r="F976" s="7" t="s">
        <v>3174</v>
      </c>
      <c r="H976" s="9"/>
    </row>
    <row r="977" spans="1:8" x14ac:dyDescent="0.3">
      <c r="A977" s="7" t="s">
        <v>7795</v>
      </c>
      <c r="B977" s="7" t="s">
        <v>272</v>
      </c>
      <c r="C977" s="7" t="s">
        <v>6800</v>
      </c>
      <c r="D977" s="9">
        <v>46048</v>
      </c>
      <c r="E977" s="3">
        <v>6265.2</v>
      </c>
      <c r="F977" s="7" t="s">
        <v>3174</v>
      </c>
      <c r="H977" s="9"/>
    </row>
    <row r="978" spans="1:8" x14ac:dyDescent="0.3">
      <c r="A978" s="7" t="s">
        <v>7796</v>
      </c>
      <c r="B978" s="7" t="s">
        <v>337</v>
      </c>
      <c r="C978" s="7" t="s">
        <v>6802</v>
      </c>
      <c r="D978" s="9">
        <v>46094</v>
      </c>
      <c r="E978" s="3">
        <v>4995.7700000000004</v>
      </c>
      <c r="F978" s="7" t="s">
        <v>6820</v>
      </c>
      <c r="H978" s="9"/>
    </row>
    <row r="979" spans="1:8" x14ac:dyDescent="0.3">
      <c r="A979" s="7" t="s">
        <v>7797</v>
      </c>
      <c r="B979" s="7" t="s">
        <v>323</v>
      </c>
      <c r="C979" s="7" t="s">
        <v>6804</v>
      </c>
      <c r="D979" s="9">
        <v>45965</v>
      </c>
      <c r="E979" s="3">
        <v>5444.33</v>
      </c>
      <c r="F979" s="7" t="s">
        <v>3184</v>
      </c>
      <c r="H979" s="9"/>
    </row>
    <row r="980" spans="1:8" x14ac:dyDescent="0.3">
      <c r="A980" s="7" t="s">
        <v>7798</v>
      </c>
      <c r="B980" s="7" t="s">
        <v>327</v>
      </c>
      <c r="C980" s="7" t="s">
        <v>6805</v>
      </c>
      <c r="D980" s="9">
        <v>45974</v>
      </c>
      <c r="E980" s="3">
        <v>3456.15</v>
      </c>
      <c r="F980" s="7" t="s">
        <v>6820</v>
      </c>
      <c r="H980" s="9"/>
    </row>
    <row r="981" spans="1:8" x14ac:dyDescent="0.3">
      <c r="A981" s="7" t="s">
        <v>7799</v>
      </c>
      <c r="B981" s="7" t="s">
        <v>309</v>
      </c>
      <c r="C981" s="7" t="s">
        <v>6806</v>
      </c>
      <c r="D981" s="9">
        <v>45986</v>
      </c>
      <c r="E981" s="3">
        <v>1602.29</v>
      </c>
      <c r="F981" s="7" t="s">
        <v>3184</v>
      </c>
      <c r="H981" s="9"/>
    </row>
    <row r="982" spans="1:8" x14ac:dyDescent="0.3">
      <c r="A982" s="7" t="s">
        <v>7800</v>
      </c>
      <c r="B982" s="7" t="s">
        <v>319</v>
      </c>
      <c r="C982" s="7" t="s">
        <v>6808</v>
      </c>
      <c r="D982" s="9">
        <v>45973</v>
      </c>
      <c r="E982" s="3">
        <v>2296.9499999999998</v>
      </c>
      <c r="F982" s="7" t="s">
        <v>6820</v>
      </c>
      <c r="H982" s="9"/>
    </row>
    <row r="983" spans="1:8" x14ac:dyDescent="0.3">
      <c r="A983" s="7" t="s">
        <v>7801</v>
      </c>
      <c r="B983" s="7" t="s">
        <v>333</v>
      </c>
      <c r="C983" s="7" t="s">
        <v>6809</v>
      </c>
      <c r="D983" s="9">
        <v>46083</v>
      </c>
      <c r="E983" s="3">
        <v>5995.29</v>
      </c>
      <c r="F983" s="7" t="s">
        <v>3184</v>
      </c>
      <c r="H983" s="9"/>
    </row>
    <row r="984" spans="1:8" x14ac:dyDescent="0.3">
      <c r="A984" s="7" t="s">
        <v>7802</v>
      </c>
      <c r="B984" s="7" t="s">
        <v>323</v>
      </c>
      <c r="C984" s="7" t="s">
        <v>6810</v>
      </c>
      <c r="D984" s="9">
        <v>45983</v>
      </c>
      <c r="E984" s="3">
        <v>839.8</v>
      </c>
      <c r="F984" s="7" t="s">
        <v>3174</v>
      </c>
      <c r="H984" s="9"/>
    </row>
    <row r="985" spans="1:8" x14ac:dyDescent="0.3">
      <c r="A985" s="7" t="s">
        <v>7803</v>
      </c>
      <c r="B985" s="7" t="s">
        <v>339</v>
      </c>
      <c r="C985" s="7" t="s">
        <v>6811</v>
      </c>
      <c r="D985" s="9">
        <v>45975</v>
      </c>
      <c r="E985" s="3">
        <v>5471.54</v>
      </c>
      <c r="F985" s="7" t="s">
        <v>6820</v>
      </c>
      <c r="H985" s="9"/>
    </row>
    <row r="986" spans="1:8" x14ac:dyDescent="0.3">
      <c r="A986" s="7" t="s">
        <v>7804</v>
      </c>
      <c r="B986" s="7" t="s">
        <v>325</v>
      </c>
      <c r="C986" s="7" t="s">
        <v>6813</v>
      </c>
      <c r="D986" s="9">
        <v>45976</v>
      </c>
      <c r="E986" s="3">
        <v>1678.96</v>
      </c>
      <c r="F986" s="7" t="s">
        <v>3174</v>
      </c>
      <c r="H986" s="9"/>
    </row>
    <row r="987" spans="1:8" x14ac:dyDescent="0.3">
      <c r="A987" s="7" t="s">
        <v>7805</v>
      </c>
      <c r="B987" s="7" t="s">
        <v>279</v>
      </c>
      <c r="C987" s="7" t="s">
        <v>6814</v>
      </c>
      <c r="D987" s="9">
        <v>46023</v>
      </c>
      <c r="E987" s="3">
        <v>4520.25</v>
      </c>
      <c r="F987" s="7" t="s">
        <v>6820</v>
      </c>
      <c r="H987" s="9"/>
    </row>
    <row r="988" spans="1:8" x14ac:dyDescent="0.3">
      <c r="A988" s="7" t="s">
        <v>7806</v>
      </c>
      <c r="B988" s="7" t="s">
        <v>295</v>
      </c>
      <c r="C988" s="7" t="s">
        <v>6817</v>
      </c>
      <c r="D988" s="9">
        <v>46041</v>
      </c>
      <c r="E988" s="3">
        <v>4424.8599999999997</v>
      </c>
      <c r="F988" s="7" t="s">
        <v>3184</v>
      </c>
      <c r="H988" s="9"/>
    </row>
    <row r="989" spans="1:8" x14ac:dyDescent="0.3">
      <c r="A989" s="7" t="s">
        <v>7807</v>
      </c>
      <c r="B989" s="7" t="s">
        <v>315</v>
      </c>
      <c r="C989" s="7" t="s">
        <v>6818</v>
      </c>
      <c r="D989" s="9">
        <v>45982</v>
      </c>
      <c r="E989" s="3">
        <v>5542.46</v>
      </c>
      <c r="F989" s="7" t="s">
        <v>6820</v>
      </c>
      <c r="H989" s="9"/>
    </row>
    <row r="990" spans="1:8" x14ac:dyDescent="0.3">
      <c r="H990" s="9"/>
    </row>
    <row r="991" spans="1:8" x14ac:dyDescent="0.3">
      <c r="H991" s="9"/>
    </row>
    <row r="992" spans="1:8" x14ac:dyDescent="0.3">
      <c r="H992" s="9"/>
    </row>
    <row r="993" spans="8:8" x14ac:dyDescent="0.3">
      <c r="H993" s="9"/>
    </row>
    <row r="994" spans="8:8" x14ac:dyDescent="0.3">
      <c r="H994" s="9"/>
    </row>
    <row r="995" spans="8:8" x14ac:dyDescent="0.3">
      <c r="H995" s="9"/>
    </row>
    <row r="996" spans="8:8" x14ac:dyDescent="0.3">
      <c r="H996" s="9"/>
    </row>
    <row r="997" spans="8:8" x14ac:dyDescent="0.3">
      <c r="H997" s="9"/>
    </row>
    <row r="998" spans="8:8" x14ac:dyDescent="0.3">
      <c r="H998" s="9"/>
    </row>
    <row r="999" spans="8:8" x14ac:dyDescent="0.3">
      <c r="H999" s="9"/>
    </row>
    <row r="1000" spans="8:8" x14ac:dyDescent="0.3">
      <c r="H1000" s="9"/>
    </row>
    <row r="1001" spans="8:8" x14ac:dyDescent="0.3">
      <c r="H1001" s="9"/>
    </row>
    <row r="1002" spans="8:8" x14ac:dyDescent="0.3">
      <c r="H1002" s="9"/>
    </row>
    <row r="1003" spans="8:8" x14ac:dyDescent="0.3">
      <c r="H1003" s="9"/>
    </row>
    <row r="1004" spans="8:8" x14ac:dyDescent="0.3">
      <c r="H1004" s="9"/>
    </row>
    <row r="1005" spans="8:8" x14ac:dyDescent="0.3">
      <c r="H1005" s="9"/>
    </row>
    <row r="1006" spans="8:8" x14ac:dyDescent="0.3">
      <c r="H1006" s="9"/>
    </row>
    <row r="1007" spans="8:8" x14ac:dyDescent="0.3">
      <c r="H1007" s="9"/>
    </row>
    <row r="1008" spans="8:8" x14ac:dyDescent="0.3">
      <c r="H1008" s="9"/>
    </row>
    <row r="1009" spans="8:8" x14ac:dyDescent="0.3">
      <c r="H1009" s="9"/>
    </row>
    <row r="1010" spans="8:8" x14ac:dyDescent="0.3">
      <c r="H1010" s="9"/>
    </row>
    <row r="1011" spans="8:8" x14ac:dyDescent="0.3">
      <c r="H1011" s="9"/>
    </row>
    <row r="1012" spans="8:8" x14ac:dyDescent="0.3">
      <c r="H1012" s="9"/>
    </row>
    <row r="1013" spans="8:8" x14ac:dyDescent="0.3">
      <c r="H1013" s="9"/>
    </row>
    <row r="1014" spans="8:8" x14ac:dyDescent="0.3">
      <c r="H1014" s="9"/>
    </row>
    <row r="1015" spans="8:8" x14ac:dyDescent="0.3">
      <c r="H1015" s="9"/>
    </row>
    <row r="1016" spans="8:8" x14ac:dyDescent="0.3">
      <c r="H1016" s="9"/>
    </row>
    <row r="1017" spans="8:8" x14ac:dyDescent="0.3">
      <c r="H1017" s="9"/>
    </row>
    <row r="1018" spans="8:8" x14ac:dyDescent="0.3">
      <c r="H1018" s="9"/>
    </row>
    <row r="1019" spans="8:8" x14ac:dyDescent="0.3">
      <c r="H1019" s="9"/>
    </row>
    <row r="1020" spans="8:8" x14ac:dyDescent="0.3">
      <c r="H1020" s="9"/>
    </row>
    <row r="1021" spans="8:8" x14ac:dyDescent="0.3">
      <c r="H1021" s="9"/>
    </row>
    <row r="1022" spans="8:8" x14ac:dyDescent="0.3">
      <c r="H1022" s="9"/>
    </row>
    <row r="1023" spans="8:8" x14ac:dyDescent="0.3">
      <c r="H1023" s="9"/>
    </row>
    <row r="1024" spans="8:8" x14ac:dyDescent="0.3">
      <c r="H1024" s="9"/>
    </row>
    <row r="1025" spans="8:8" x14ac:dyDescent="0.3">
      <c r="H1025" s="9"/>
    </row>
    <row r="1026" spans="8:8" x14ac:dyDescent="0.3">
      <c r="H1026" s="9"/>
    </row>
    <row r="1027" spans="8:8" x14ac:dyDescent="0.3">
      <c r="H1027" s="9"/>
    </row>
    <row r="1028" spans="8:8" x14ac:dyDescent="0.3">
      <c r="H1028" s="9"/>
    </row>
    <row r="1029" spans="8:8" x14ac:dyDescent="0.3">
      <c r="H1029" s="9"/>
    </row>
    <row r="1030" spans="8:8" x14ac:dyDescent="0.3">
      <c r="H1030" s="9"/>
    </row>
    <row r="1031" spans="8:8" x14ac:dyDescent="0.3">
      <c r="H1031" s="9"/>
    </row>
    <row r="1032" spans="8:8" x14ac:dyDescent="0.3">
      <c r="H1032" s="9"/>
    </row>
    <row r="1033" spans="8:8" x14ac:dyDescent="0.3">
      <c r="H1033" s="9"/>
    </row>
    <row r="1034" spans="8:8" x14ac:dyDescent="0.3">
      <c r="H1034" s="9"/>
    </row>
    <row r="1035" spans="8:8" x14ac:dyDescent="0.3">
      <c r="H1035" s="9"/>
    </row>
    <row r="1036" spans="8:8" x14ac:dyDescent="0.3">
      <c r="H1036" s="9"/>
    </row>
    <row r="1037" spans="8:8" x14ac:dyDescent="0.3">
      <c r="H1037" s="9"/>
    </row>
    <row r="1038" spans="8:8" x14ac:dyDescent="0.3">
      <c r="H1038" s="9"/>
    </row>
    <row r="1039" spans="8:8" x14ac:dyDescent="0.3">
      <c r="H1039" s="9"/>
    </row>
    <row r="1040" spans="8:8" x14ac:dyDescent="0.3">
      <c r="H1040" s="9"/>
    </row>
    <row r="1041" spans="8:8" x14ac:dyDescent="0.3">
      <c r="H1041" s="9"/>
    </row>
    <row r="1042" spans="8:8" x14ac:dyDescent="0.3">
      <c r="H1042" s="9"/>
    </row>
    <row r="1043" spans="8:8" x14ac:dyDescent="0.3">
      <c r="H1043" s="9"/>
    </row>
    <row r="1044" spans="8:8" x14ac:dyDescent="0.3">
      <c r="H1044" s="9"/>
    </row>
    <row r="1045" spans="8:8" x14ac:dyDescent="0.3">
      <c r="H1045" s="9"/>
    </row>
    <row r="1046" spans="8:8" x14ac:dyDescent="0.3">
      <c r="H1046" s="9"/>
    </row>
    <row r="1047" spans="8:8" x14ac:dyDescent="0.3">
      <c r="H1047" s="9"/>
    </row>
    <row r="1048" spans="8:8" x14ac:dyDescent="0.3">
      <c r="H1048" s="9"/>
    </row>
    <row r="1049" spans="8:8" x14ac:dyDescent="0.3">
      <c r="H1049" s="9"/>
    </row>
    <row r="1050" spans="8:8" x14ac:dyDescent="0.3">
      <c r="H1050" s="9"/>
    </row>
    <row r="1051" spans="8:8" x14ac:dyDescent="0.3">
      <c r="H1051" s="9"/>
    </row>
    <row r="1052" spans="8:8" x14ac:dyDescent="0.3">
      <c r="H1052" s="9"/>
    </row>
    <row r="1053" spans="8:8" x14ac:dyDescent="0.3">
      <c r="H1053" s="9"/>
    </row>
    <row r="1054" spans="8:8" x14ac:dyDescent="0.3">
      <c r="H1054" s="9"/>
    </row>
    <row r="1055" spans="8:8" x14ac:dyDescent="0.3">
      <c r="H1055" s="9"/>
    </row>
    <row r="1056" spans="8:8" x14ac:dyDescent="0.3">
      <c r="H1056" s="9"/>
    </row>
    <row r="1057" spans="8:8" x14ac:dyDescent="0.3">
      <c r="H1057" s="9"/>
    </row>
    <row r="1058" spans="8:8" x14ac:dyDescent="0.3">
      <c r="H1058" s="9"/>
    </row>
    <row r="1059" spans="8:8" x14ac:dyDescent="0.3">
      <c r="H1059" s="9"/>
    </row>
    <row r="1060" spans="8:8" x14ac:dyDescent="0.3">
      <c r="H1060" s="9"/>
    </row>
    <row r="1061" spans="8:8" x14ac:dyDescent="0.3">
      <c r="H1061" s="9"/>
    </row>
    <row r="1062" spans="8:8" x14ac:dyDescent="0.3">
      <c r="H1062" s="9"/>
    </row>
    <row r="1063" spans="8:8" x14ac:dyDescent="0.3">
      <c r="H1063" s="9"/>
    </row>
    <row r="1064" spans="8:8" x14ac:dyDescent="0.3">
      <c r="H1064" s="9"/>
    </row>
    <row r="1065" spans="8:8" x14ac:dyDescent="0.3">
      <c r="H1065" s="9"/>
    </row>
    <row r="1066" spans="8:8" x14ac:dyDescent="0.3">
      <c r="H1066" s="9"/>
    </row>
    <row r="1067" spans="8:8" x14ac:dyDescent="0.3">
      <c r="H1067" s="9"/>
    </row>
    <row r="1068" spans="8:8" x14ac:dyDescent="0.3">
      <c r="H1068" s="9"/>
    </row>
    <row r="1069" spans="8:8" x14ac:dyDescent="0.3">
      <c r="H1069" s="9"/>
    </row>
    <row r="1070" spans="8:8" x14ac:dyDescent="0.3">
      <c r="H1070" s="9"/>
    </row>
    <row r="1071" spans="8:8" x14ac:dyDescent="0.3">
      <c r="H1071" s="9"/>
    </row>
    <row r="1072" spans="8:8" x14ac:dyDescent="0.3">
      <c r="H1072" s="9"/>
    </row>
    <row r="1073" spans="8:8" x14ac:dyDescent="0.3">
      <c r="H1073" s="9"/>
    </row>
    <row r="1074" spans="8:8" x14ac:dyDescent="0.3">
      <c r="H1074" s="9"/>
    </row>
    <row r="1075" spans="8:8" x14ac:dyDescent="0.3">
      <c r="H1075" s="9"/>
    </row>
    <row r="1076" spans="8:8" x14ac:dyDescent="0.3">
      <c r="H1076" s="9"/>
    </row>
    <row r="1077" spans="8:8" x14ac:dyDescent="0.3">
      <c r="H1077" s="9"/>
    </row>
    <row r="1078" spans="8:8" x14ac:dyDescent="0.3">
      <c r="H1078" s="9"/>
    </row>
    <row r="1079" spans="8:8" x14ac:dyDescent="0.3">
      <c r="H1079" s="9"/>
    </row>
    <row r="1080" spans="8:8" x14ac:dyDescent="0.3">
      <c r="H1080" s="9"/>
    </row>
    <row r="1081" spans="8:8" x14ac:dyDescent="0.3">
      <c r="H1081" s="9"/>
    </row>
    <row r="1082" spans="8:8" x14ac:dyDescent="0.3">
      <c r="H1082" s="9"/>
    </row>
    <row r="1083" spans="8:8" x14ac:dyDescent="0.3">
      <c r="H1083" s="9"/>
    </row>
    <row r="1084" spans="8:8" x14ac:dyDescent="0.3">
      <c r="H1084" s="9"/>
    </row>
    <row r="1085" spans="8:8" x14ac:dyDescent="0.3">
      <c r="H1085" s="9"/>
    </row>
    <row r="1086" spans="8:8" x14ac:dyDescent="0.3">
      <c r="H1086" s="9"/>
    </row>
    <row r="1087" spans="8:8" x14ac:dyDescent="0.3">
      <c r="H1087" s="9"/>
    </row>
    <row r="1088" spans="8:8" x14ac:dyDescent="0.3">
      <c r="H1088" s="9"/>
    </row>
    <row r="1089" spans="8:8" x14ac:dyDescent="0.3">
      <c r="H1089" s="9"/>
    </row>
    <row r="1090" spans="8:8" x14ac:dyDescent="0.3">
      <c r="H1090" s="9"/>
    </row>
    <row r="1091" spans="8:8" x14ac:dyDescent="0.3">
      <c r="H1091" s="9"/>
    </row>
    <row r="1092" spans="8:8" x14ac:dyDescent="0.3">
      <c r="H1092" s="9"/>
    </row>
    <row r="1093" spans="8:8" x14ac:dyDescent="0.3">
      <c r="H1093" s="9"/>
    </row>
    <row r="1094" spans="8:8" x14ac:dyDescent="0.3">
      <c r="H1094" s="9"/>
    </row>
    <row r="1095" spans="8:8" x14ac:dyDescent="0.3">
      <c r="H1095" s="9"/>
    </row>
    <row r="1096" spans="8:8" x14ac:dyDescent="0.3">
      <c r="H1096" s="9"/>
    </row>
    <row r="1097" spans="8:8" x14ac:dyDescent="0.3">
      <c r="H1097" s="9"/>
    </row>
    <row r="1098" spans="8:8" x14ac:dyDescent="0.3">
      <c r="H1098" s="9"/>
    </row>
    <row r="1099" spans="8:8" x14ac:dyDescent="0.3">
      <c r="H1099" s="9"/>
    </row>
    <row r="1100" spans="8:8" x14ac:dyDescent="0.3">
      <c r="H1100" s="9"/>
    </row>
    <row r="1101" spans="8:8" x14ac:dyDescent="0.3">
      <c r="H1101" s="9"/>
    </row>
    <row r="1102" spans="8:8" x14ac:dyDescent="0.3">
      <c r="H1102" s="9"/>
    </row>
    <row r="1103" spans="8:8" x14ac:dyDescent="0.3">
      <c r="H1103" s="9"/>
    </row>
    <row r="1104" spans="8:8" x14ac:dyDescent="0.3">
      <c r="H1104" s="9"/>
    </row>
    <row r="1105" spans="8:8" x14ac:dyDescent="0.3">
      <c r="H1105" s="9"/>
    </row>
    <row r="1106" spans="8:8" x14ac:dyDescent="0.3">
      <c r="H1106" s="9"/>
    </row>
    <row r="1107" spans="8:8" x14ac:dyDescent="0.3">
      <c r="H1107" s="9"/>
    </row>
    <row r="1108" spans="8:8" x14ac:dyDescent="0.3">
      <c r="H1108" s="9"/>
    </row>
    <row r="1109" spans="8:8" x14ac:dyDescent="0.3">
      <c r="H1109" s="9"/>
    </row>
    <row r="1110" spans="8:8" x14ac:dyDescent="0.3">
      <c r="H1110" s="9"/>
    </row>
    <row r="1111" spans="8:8" x14ac:dyDescent="0.3">
      <c r="H1111" s="9"/>
    </row>
    <row r="1112" spans="8:8" x14ac:dyDescent="0.3">
      <c r="H1112" s="9"/>
    </row>
    <row r="1113" spans="8:8" x14ac:dyDescent="0.3">
      <c r="H1113" s="9"/>
    </row>
    <row r="1114" spans="8:8" x14ac:dyDescent="0.3">
      <c r="H1114" s="9"/>
    </row>
    <row r="1115" spans="8:8" x14ac:dyDescent="0.3">
      <c r="H1115" s="9"/>
    </row>
    <row r="1116" spans="8:8" x14ac:dyDescent="0.3">
      <c r="H1116" s="9"/>
    </row>
    <row r="1117" spans="8:8" x14ac:dyDescent="0.3">
      <c r="H1117" s="9"/>
    </row>
    <row r="1118" spans="8:8" x14ac:dyDescent="0.3">
      <c r="H1118" s="9"/>
    </row>
    <row r="1119" spans="8:8" x14ac:dyDescent="0.3">
      <c r="H1119" s="9"/>
    </row>
    <row r="1120" spans="8:8" x14ac:dyDescent="0.3">
      <c r="H1120" s="9"/>
    </row>
    <row r="1121" spans="8:8" x14ac:dyDescent="0.3">
      <c r="H1121" s="9"/>
    </row>
    <row r="1122" spans="8:8" x14ac:dyDescent="0.3">
      <c r="H1122" s="9"/>
    </row>
    <row r="1123" spans="8:8" x14ac:dyDescent="0.3">
      <c r="H1123" s="9"/>
    </row>
    <row r="1124" spans="8:8" x14ac:dyDescent="0.3">
      <c r="H1124" s="9"/>
    </row>
    <row r="1125" spans="8:8" x14ac:dyDescent="0.3">
      <c r="H1125" s="9"/>
    </row>
    <row r="1126" spans="8:8" x14ac:dyDescent="0.3">
      <c r="H1126" s="9"/>
    </row>
    <row r="1127" spans="8:8" x14ac:dyDescent="0.3">
      <c r="H1127" s="9"/>
    </row>
    <row r="1128" spans="8:8" x14ac:dyDescent="0.3">
      <c r="H1128" s="9"/>
    </row>
    <row r="1129" spans="8:8" x14ac:dyDescent="0.3">
      <c r="H1129" s="9"/>
    </row>
    <row r="1130" spans="8:8" x14ac:dyDescent="0.3">
      <c r="H1130" s="9"/>
    </row>
    <row r="1131" spans="8:8" x14ac:dyDescent="0.3">
      <c r="H1131" s="9"/>
    </row>
    <row r="1132" spans="8:8" x14ac:dyDescent="0.3">
      <c r="H1132" s="9"/>
    </row>
    <row r="1133" spans="8:8" x14ac:dyDescent="0.3">
      <c r="H1133" s="9"/>
    </row>
    <row r="1134" spans="8:8" x14ac:dyDescent="0.3">
      <c r="H1134" s="9"/>
    </row>
    <row r="1135" spans="8:8" x14ac:dyDescent="0.3">
      <c r="H1135" s="9"/>
    </row>
    <row r="1136" spans="8:8" x14ac:dyDescent="0.3">
      <c r="H1136" s="9"/>
    </row>
    <row r="1137" spans="8:8" x14ac:dyDescent="0.3">
      <c r="H1137" s="9"/>
    </row>
    <row r="1138" spans="8:8" x14ac:dyDescent="0.3">
      <c r="H1138" s="9"/>
    </row>
    <row r="1139" spans="8:8" x14ac:dyDescent="0.3">
      <c r="H1139" s="9"/>
    </row>
    <row r="1140" spans="8:8" x14ac:dyDescent="0.3">
      <c r="H1140" s="9"/>
    </row>
    <row r="1141" spans="8:8" x14ac:dyDescent="0.3">
      <c r="H1141" s="9"/>
    </row>
    <row r="1142" spans="8:8" x14ac:dyDescent="0.3">
      <c r="H1142" s="9"/>
    </row>
    <row r="1143" spans="8:8" x14ac:dyDescent="0.3">
      <c r="H1143" s="9"/>
    </row>
    <row r="1144" spans="8:8" x14ac:dyDescent="0.3">
      <c r="H1144" s="9"/>
    </row>
    <row r="1145" spans="8:8" x14ac:dyDescent="0.3">
      <c r="H1145" s="9"/>
    </row>
    <row r="1146" spans="8:8" x14ac:dyDescent="0.3">
      <c r="H1146" s="9"/>
    </row>
    <row r="1147" spans="8:8" x14ac:dyDescent="0.3">
      <c r="H1147" s="9"/>
    </row>
    <row r="1148" spans="8:8" x14ac:dyDescent="0.3">
      <c r="H1148" s="9"/>
    </row>
    <row r="1149" spans="8:8" x14ac:dyDescent="0.3">
      <c r="H1149" s="9"/>
    </row>
    <row r="1150" spans="8:8" x14ac:dyDescent="0.3">
      <c r="H1150" s="9"/>
    </row>
    <row r="1151" spans="8:8" x14ac:dyDescent="0.3">
      <c r="H1151" s="9"/>
    </row>
    <row r="1152" spans="8:8" x14ac:dyDescent="0.3">
      <c r="H1152" s="9"/>
    </row>
    <row r="1153" spans="8:8" x14ac:dyDescent="0.3">
      <c r="H1153" s="9"/>
    </row>
    <row r="1154" spans="8:8" x14ac:dyDescent="0.3">
      <c r="H1154" s="9"/>
    </row>
    <row r="1155" spans="8:8" x14ac:dyDescent="0.3">
      <c r="H1155" s="9"/>
    </row>
    <row r="1156" spans="8:8" x14ac:dyDescent="0.3">
      <c r="H1156" s="9"/>
    </row>
    <row r="1157" spans="8:8" x14ac:dyDescent="0.3">
      <c r="H1157" s="9"/>
    </row>
    <row r="1158" spans="8:8" x14ac:dyDescent="0.3">
      <c r="H1158" s="9"/>
    </row>
    <row r="1159" spans="8:8" x14ac:dyDescent="0.3">
      <c r="H1159" s="9"/>
    </row>
    <row r="1160" spans="8:8" x14ac:dyDescent="0.3">
      <c r="H1160" s="9"/>
    </row>
    <row r="1161" spans="8:8" x14ac:dyDescent="0.3">
      <c r="H1161" s="9"/>
    </row>
    <row r="1162" spans="8:8" x14ac:dyDescent="0.3">
      <c r="H1162" s="9"/>
    </row>
    <row r="1163" spans="8:8" x14ac:dyDescent="0.3">
      <c r="H1163" s="9"/>
    </row>
    <row r="1164" spans="8:8" x14ac:dyDescent="0.3">
      <c r="H1164" s="9"/>
    </row>
    <row r="1165" spans="8:8" x14ac:dyDescent="0.3">
      <c r="H1165" s="9"/>
    </row>
    <row r="1166" spans="8:8" x14ac:dyDescent="0.3">
      <c r="H1166" s="9"/>
    </row>
    <row r="1167" spans="8:8" x14ac:dyDescent="0.3">
      <c r="H1167" s="9"/>
    </row>
    <row r="1168" spans="8:8" x14ac:dyDescent="0.3">
      <c r="H1168" s="9"/>
    </row>
    <row r="1169" spans="8:8" x14ac:dyDescent="0.3">
      <c r="H1169" s="9"/>
    </row>
    <row r="1170" spans="8:8" x14ac:dyDescent="0.3">
      <c r="H1170" s="9"/>
    </row>
    <row r="1171" spans="8:8" x14ac:dyDescent="0.3">
      <c r="H1171" s="9"/>
    </row>
    <row r="1172" spans="8:8" x14ac:dyDescent="0.3">
      <c r="H1172" s="9"/>
    </row>
    <row r="1173" spans="8:8" x14ac:dyDescent="0.3">
      <c r="H1173" s="9"/>
    </row>
    <row r="1174" spans="8:8" x14ac:dyDescent="0.3">
      <c r="H1174" s="9"/>
    </row>
    <row r="1175" spans="8:8" x14ac:dyDescent="0.3">
      <c r="H1175" s="9"/>
    </row>
    <row r="1176" spans="8:8" x14ac:dyDescent="0.3">
      <c r="H1176" s="9"/>
    </row>
    <row r="1177" spans="8:8" x14ac:dyDescent="0.3">
      <c r="H1177" s="9"/>
    </row>
    <row r="1178" spans="8:8" x14ac:dyDescent="0.3">
      <c r="H1178" s="9"/>
    </row>
    <row r="1179" spans="8:8" x14ac:dyDescent="0.3">
      <c r="H1179" s="9"/>
    </row>
    <row r="1180" spans="8:8" x14ac:dyDescent="0.3">
      <c r="H1180" s="9"/>
    </row>
    <row r="1181" spans="8:8" x14ac:dyDescent="0.3">
      <c r="H1181" s="9"/>
    </row>
    <row r="1182" spans="8:8" x14ac:dyDescent="0.3">
      <c r="H1182" s="9"/>
    </row>
    <row r="1183" spans="8:8" x14ac:dyDescent="0.3">
      <c r="H1183" s="9"/>
    </row>
    <row r="1184" spans="8:8" x14ac:dyDescent="0.3">
      <c r="H1184" s="9"/>
    </row>
    <row r="1185" spans="8:8" x14ac:dyDescent="0.3">
      <c r="H1185" s="9"/>
    </row>
    <row r="1186" spans="8:8" x14ac:dyDescent="0.3">
      <c r="H1186" s="9"/>
    </row>
    <row r="1187" spans="8:8" x14ac:dyDescent="0.3">
      <c r="H1187" s="9"/>
    </row>
    <row r="1188" spans="8:8" x14ac:dyDescent="0.3">
      <c r="H1188" s="9"/>
    </row>
    <row r="1189" spans="8:8" x14ac:dyDescent="0.3">
      <c r="H1189" s="9"/>
    </row>
    <row r="1190" spans="8:8" x14ac:dyDescent="0.3">
      <c r="H1190" s="9"/>
    </row>
    <row r="1191" spans="8:8" x14ac:dyDescent="0.3">
      <c r="H1191" s="9"/>
    </row>
    <row r="1192" spans="8:8" x14ac:dyDescent="0.3">
      <c r="H1192" s="9"/>
    </row>
    <row r="1193" spans="8:8" x14ac:dyDescent="0.3">
      <c r="H1193" s="9"/>
    </row>
    <row r="1194" spans="8:8" x14ac:dyDescent="0.3">
      <c r="H1194" s="9"/>
    </row>
    <row r="1195" spans="8:8" x14ac:dyDescent="0.3">
      <c r="H1195" s="9"/>
    </row>
    <row r="1196" spans="8:8" x14ac:dyDescent="0.3">
      <c r="H1196" s="9"/>
    </row>
    <row r="1197" spans="8:8" x14ac:dyDescent="0.3">
      <c r="H1197" s="9"/>
    </row>
    <row r="1198" spans="8:8" x14ac:dyDescent="0.3">
      <c r="H1198" s="9"/>
    </row>
    <row r="1199" spans="8:8" x14ac:dyDescent="0.3">
      <c r="H1199" s="9"/>
    </row>
    <row r="1200" spans="8:8" x14ac:dyDescent="0.3">
      <c r="H1200" s="9"/>
    </row>
    <row r="1201" spans="8:8" x14ac:dyDescent="0.3">
      <c r="H1201" s="9"/>
    </row>
    <row r="1202" spans="8:8" x14ac:dyDescent="0.3">
      <c r="H1202" s="9"/>
    </row>
    <row r="1203" spans="8:8" x14ac:dyDescent="0.3">
      <c r="H1203" s="9"/>
    </row>
    <row r="1204" spans="8:8" x14ac:dyDescent="0.3">
      <c r="H1204" s="9"/>
    </row>
    <row r="1205" spans="8:8" x14ac:dyDescent="0.3">
      <c r="H1205" s="9"/>
    </row>
    <row r="1206" spans="8:8" x14ac:dyDescent="0.3">
      <c r="H1206" s="9"/>
    </row>
    <row r="1207" spans="8:8" x14ac:dyDescent="0.3">
      <c r="H1207" s="9"/>
    </row>
    <row r="1208" spans="8:8" x14ac:dyDescent="0.3">
      <c r="H1208" s="9"/>
    </row>
    <row r="1209" spans="8:8" x14ac:dyDescent="0.3">
      <c r="H1209" s="9"/>
    </row>
    <row r="1210" spans="8:8" x14ac:dyDescent="0.3">
      <c r="H1210" s="9"/>
    </row>
    <row r="1211" spans="8:8" x14ac:dyDescent="0.3">
      <c r="H1211" s="9"/>
    </row>
    <row r="1212" spans="8:8" x14ac:dyDescent="0.3">
      <c r="H1212" s="9"/>
    </row>
    <row r="1213" spans="8:8" x14ac:dyDescent="0.3">
      <c r="H1213" s="9"/>
    </row>
    <row r="1214" spans="8:8" x14ac:dyDescent="0.3">
      <c r="H1214" s="9"/>
    </row>
    <row r="1215" spans="8:8" x14ac:dyDescent="0.3">
      <c r="H1215" s="9"/>
    </row>
    <row r="1216" spans="8:8" x14ac:dyDescent="0.3">
      <c r="H1216" s="9"/>
    </row>
    <row r="1217" spans="8:8" x14ac:dyDescent="0.3">
      <c r="H1217" s="9"/>
    </row>
    <row r="1218" spans="8:8" x14ac:dyDescent="0.3">
      <c r="H1218" s="9"/>
    </row>
    <row r="1219" spans="8:8" x14ac:dyDescent="0.3">
      <c r="H1219" s="9"/>
    </row>
    <row r="1220" spans="8:8" x14ac:dyDescent="0.3">
      <c r="H1220" s="9"/>
    </row>
    <row r="1221" spans="8:8" x14ac:dyDescent="0.3">
      <c r="H1221" s="9"/>
    </row>
    <row r="1222" spans="8:8" x14ac:dyDescent="0.3">
      <c r="H1222" s="9"/>
    </row>
    <row r="1223" spans="8:8" x14ac:dyDescent="0.3">
      <c r="H1223" s="9"/>
    </row>
    <row r="1224" spans="8:8" x14ac:dyDescent="0.3">
      <c r="H1224" s="9"/>
    </row>
    <row r="1225" spans="8:8" x14ac:dyDescent="0.3">
      <c r="H1225" s="9"/>
    </row>
    <row r="1226" spans="8:8" x14ac:dyDescent="0.3">
      <c r="H1226" s="9"/>
    </row>
    <row r="1227" spans="8:8" x14ac:dyDescent="0.3">
      <c r="H1227" s="9"/>
    </row>
    <row r="1228" spans="8:8" x14ac:dyDescent="0.3">
      <c r="H1228" s="9"/>
    </row>
    <row r="1229" spans="8:8" x14ac:dyDescent="0.3">
      <c r="H1229" s="9"/>
    </row>
    <row r="1230" spans="8:8" x14ac:dyDescent="0.3">
      <c r="H1230" s="9"/>
    </row>
    <row r="1231" spans="8:8" x14ac:dyDescent="0.3">
      <c r="H1231" s="9"/>
    </row>
    <row r="1232" spans="8:8" x14ac:dyDescent="0.3">
      <c r="H1232" s="9"/>
    </row>
    <row r="1233" spans="8:8" x14ac:dyDescent="0.3">
      <c r="H1233" s="9"/>
    </row>
    <row r="1234" spans="8:8" x14ac:dyDescent="0.3">
      <c r="H1234" s="9"/>
    </row>
    <row r="1235" spans="8:8" x14ac:dyDescent="0.3">
      <c r="H1235" s="9"/>
    </row>
    <row r="1236" spans="8:8" x14ac:dyDescent="0.3">
      <c r="H1236" s="9"/>
    </row>
    <row r="1237" spans="8:8" x14ac:dyDescent="0.3">
      <c r="H1237" s="9"/>
    </row>
    <row r="1238" spans="8:8" x14ac:dyDescent="0.3">
      <c r="H1238" s="9"/>
    </row>
    <row r="1239" spans="8:8" x14ac:dyDescent="0.3">
      <c r="H1239" s="9"/>
    </row>
    <row r="1240" spans="8:8" x14ac:dyDescent="0.3">
      <c r="H1240" s="9"/>
    </row>
    <row r="1241" spans="8:8" x14ac:dyDescent="0.3">
      <c r="H1241" s="9"/>
    </row>
    <row r="1242" spans="8:8" x14ac:dyDescent="0.3">
      <c r="H1242" s="9"/>
    </row>
    <row r="1243" spans="8:8" x14ac:dyDescent="0.3">
      <c r="H1243" s="9"/>
    </row>
    <row r="1244" spans="8:8" x14ac:dyDescent="0.3">
      <c r="H1244" s="9"/>
    </row>
    <row r="1245" spans="8:8" x14ac:dyDescent="0.3">
      <c r="H1245" s="9"/>
    </row>
    <row r="1246" spans="8:8" x14ac:dyDescent="0.3">
      <c r="H1246" s="9"/>
    </row>
    <row r="1247" spans="8:8" x14ac:dyDescent="0.3">
      <c r="H1247" s="9"/>
    </row>
    <row r="1248" spans="8:8" x14ac:dyDescent="0.3">
      <c r="H1248" s="9"/>
    </row>
    <row r="1249" spans="8:8" x14ac:dyDescent="0.3">
      <c r="H1249" s="9"/>
    </row>
    <row r="1250" spans="8:8" x14ac:dyDescent="0.3">
      <c r="H1250" s="9"/>
    </row>
    <row r="1251" spans="8:8" x14ac:dyDescent="0.3">
      <c r="H1251" s="9"/>
    </row>
    <row r="1252" spans="8:8" x14ac:dyDescent="0.3">
      <c r="H1252" s="9"/>
    </row>
    <row r="1253" spans="8:8" x14ac:dyDescent="0.3">
      <c r="H1253" s="9"/>
    </row>
    <row r="1254" spans="8:8" x14ac:dyDescent="0.3">
      <c r="H1254" s="9"/>
    </row>
    <row r="1255" spans="8:8" x14ac:dyDescent="0.3">
      <c r="H1255" s="9"/>
    </row>
    <row r="1256" spans="8:8" x14ac:dyDescent="0.3">
      <c r="H1256" s="9"/>
    </row>
    <row r="1257" spans="8:8" x14ac:dyDescent="0.3">
      <c r="H1257" s="9"/>
    </row>
    <row r="1258" spans="8:8" x14ac:dyDescent="0.3">
      <c r="H1258" s="9"/>
    </row>
    <row r="1259" spans="8:8" x14ac:dyDescent="0.3">
      <c r="H1259" s="9"/>
    </row>
    <row r="1260" spans="8:8" x14ac:dyDescent="0.3">
      <c r="H1260" s="9"/>
    </row>
    <row r="1261" spans="8:8" x14ac:dyDescent="0.3">
      <c r="H1261" s="9"/>
    </row>
    <row r="1262" spans="8:8" x14ac:dyDescent="0.3">
      <c r="H1262" s="9"/>
    </row>
    <row r="1263" spans="8:8" x14ac:dyDescent="0.3">
      <c r="H1263" s="9"/>
    </row>
    <row r="1264" spans="8:8" x14ac:dyDescent="0.3">
      <c r="H1264" s="9"/>
    </row>
    <row r="1265" spans="8:8" x14ac:dyDescent="0.3">
      <c r="H1265" s="9"/>
    </row>
    <row r="1266" spans="8:8" x14ac:dyDescent="0.3">
      <c r="H1266" s="9"/>
    </row>
    <row r="1267" spans="8:8" x14ac:dyDescent="0.3">
      <c r="H1267" s="9"/>
    </row>
    <row r="1268" spans="8:8" x14ac:dyDescent="0.3">
      <c r="H1268" s="9"/>
    </row>
    <row r="1269" spans="8:8" x14ac:dyDescent="0.3">
      <c r="H1269" s="9"/>
    </row>
    <row r="1270" spans="8:8" x14ac:dyDescent="0.3">
      <c r="H1270" s="9"/>
    </row>
    <row r="1271" spans="8:8" x14ac:dyDescent="0.3">
      <c r="H1271" s="9"/>
    </row>
    <row r="1272" spans="8:8" x14ac:dyDescent="0.3">
      <c r="H1272" s="9"/>
    </row>
    <row r="1273" spans="8:8" x14ac:dyDescent="0.3">
      <c r="H1273" s="9"/>
    </row>
    <row r="1274" spans="8:8" x14ac:dyDescent="0.3">
      <c r="H1274" s="9"/>
    </row>
    <row r="1275" spans="8:8" x14ac:dyDescent="0.3">
      <c r="H1275" s="9"/>
    </row>
    <row r="1276" spans="8:8" x14ac:dyDescent="0.3">
      <c r="H1276" s="9"/>
    </row>
    <row r="1277" spans="8:8" x14ac:dyDescent="0.3">
      <c r="H1277" s="9"/>
    </row>
    <row r="1278" spans="8:8" x14ac:dyDescent="0.3">
      <c r="H1278" s="9"/>
    </row>
    <row r="1279" spans="8:8" x14ac:dyDescent="0.3">
      <c r="H1279" s="9"/>
    </row>
    <row r="1280" spans="8:8" x14ac:dyDescent="0.3">
      <c r="H1280" s="9"/>
    </row>
    <row r="1281" spans="8:8" x14ac:dyDescent="0.3">
      <c r="H1281" s="9"/>
    </row>
    <row r="1282" spans="8:8" x14ac:dyDescent="0.3">
      <c r="H1282" s="9"/>
    </row>
    <row r="1283" spans="8:8" x14ac:dyDescent="0.3">
      <c r="H1283" s="9"/>
    </row>
    <row r="1284" spans="8:8" x14ac:dyDescent="0.3">
      <c r="H1284" s="9"/>
    </row>
    <row r="1285" spans="8:8" x14ac:dyDescent="0.3">
      <c r="H1285" s="9"/>
    </row>
    <row r="1286" spans="8:8" x14ac:dyDescent="0.3">
      <c r="H1286" s="9"/>
    </row>
    <row r="1287" spans="8:8" x14ac:dyDescent="0.3">
      <c r="H1287" s="9"/>
    </row>
    <row r="1288" spans="8:8" x14ac:dyDescent="0.3">
      <c r="H1288" s="9"/>
    </row>
    <row r="1289" spans="8:8" x14ac:dyDescent="0.3">
      <c r="H1289" s="9"/>
    </row>
    <row r="1290" spans="8:8" x14ac:dyDescent="0.3">
      <c r="H1290" s="9"/>
    </row>
    <row r="1291" spans="8:8" x14ac:dyDescent="0.3">
      <c r="H1291" s="9"/>
    </row>
    <row r="1292" spans="8:8" x14ac:dyDescent="0.3">
      <c r="H1292" s="9"/>
    </row>
    <row r="1293" spans="8:8" x14ac:dyDescent="0.3">
      <c r="H1293" s="9"/>
    </row>
    <row r="1294" spans="8:8" x14ac:dyDescent="0.3">
      <c r="H1294" s="9"/>
    </row>
    <row r="1295" spans="8:8" x14ac:dyDescent="0.3">
      <c r="H1295" s="9"/>
    </row>
    <row r="1296" spans="8:8" x14ac:dyDescent="0.3">
      <c r="H1296" s="9"/>
    </row>
    <row r="1297" spans="8:8" x14ac:dyDescent="0.3">
      <c r="H1297" s="9"/>
    </row>
    <row r="1298" spans="8:8" x14ac:dyDescent="0.3">
      <c r="H1298" s="9"/>
    </row>
    <row r="1299" spans="8:8" x14ac:dyDescent="0.3">
      <c r="H1299" s="9"/>
    </row>
    <row r="1300" spans="8:8" x14ac:dyDescent="0.3">
      <c r="H1300" s="9"/>
    </row>
    <row r="1301" spans="8:8" x14ac:dyDescent="0.3">
      <c r="H1301" s="9"/>
    </row>
    <row r="1302" spans="8:8" x14ac:dyDescent="0.3">
      <c r="H1302" s="9"/>
    </row>
    <row r="1303" spans="8:8" x14ac:dyDescent="0.3">
      <c r="H1303" s="9"/>
    </row>
    <row r="1304" spans="8:8" x14ac:dyDescent="0.3">
      <c r="H1304" s="9"/>
    </row>
    <row r="1305" spans="8:8" x14ac:dyDescent="0.3">
      <c r="H1305" s="9"/>
    </row>
    <row r="1306" spans="8:8" x14ac:dyDescent="0.3">
      <c r="H1306" s="9"/>
    </row>
    <row r="1307" spans="8:8" x14ac:dyDescent="0.3">
      <c r="H1307" s="9"/>
    </row>
    <row r="1308" spans="8:8" x14ac:dyDescent="0.3">
      <c r="H1308" s="9"/>
    </row>
    <row r="1309" spans="8:8" x14ac:dyDescent="0.3">
      <c r="H1309" s="9"/>
    </row>
    <row r="1310" spans="8:8" x14ac:dyDescent="0.3">
      <c r="H1310" s="9"/>
    </row>
    <row r="1311" spans="8:8" x14ac:dyDescent="0.3">
      <c r="H1311" s="9"/>
    </row>
    <row r="1312" spans="8:8" x14ac:dyDescent="0.3">
      <c r="H1312" s="9"/>
    </row>
    <row r="1313" spans="8:8" x14ac:dyDescent="0.3">
      <c r="H1313" s="9"/>
    </row>
    <row r="1314" spans="8:8" x14ac:dyDescent="0.3">
      <c r="H1314" s="9"/>
    </row>
    <row r="1315" spans="8:8" x14ac:dyDescent="0.3">
      <c r="H1315" s="9"/>
    </row>
    <row r="1316" spans="8:8" x14ac:dyDescent="0.3">
      <c r="H1316" s="9"/>
    </row>
    <row r="1317" spans="8:8" x14ac:dyDescent="0.3">
      <c r="H1317" s="9"/>
    </row>
    <row r="1318" spans="8:8" x14ac:dyDescent="0.3">
      <c r="H1318" s="9"/>
    </row>
    <row r="1319" spans="8:8" x14ac:dyDescent="0.3">
      <c r="H1319" s="9"/>
    </row>
    <row r="1320" spans="8:8" x14ac:dyDescent="0.3">
      <c r="H1320" s="9"/>
    </row>
    <row r="1321" spans="8:8" x14ac:dyDescent="0.3">
      <c r="H1321" s="9"/>
    </row>
    <row r="1322" spans="8:8" x14ac:dyDescent="0.3">
      <c r="H1322" s="9"/>
    </row>
    <row r="1323" spans="8:8" x14ac:dyDescent="0.3">
      <c r="H1323" s="9"/>
    </row>
    <row r="1324" spans="8:8" x14ac:dyDescent="0.3">
      <c r="H1324" s="9"/>
    </row>
    <row r="1325" spans="8:8" x14ac:dyDescent="0.3">
      <c r="H1325" s="9"/>
    </row>
    <row r="1326" spans="8:8" x14ac:dyDescent="0.3">
      <c r="H1326" s="9"/>
    </row>
    <row r="1327" spans="8:8" x14ac:dyDescent="0.3">
      <c r="H1327" s="9"/>
    </row>
    <row r="1328" spans="8:8" x14ac:dyDescent="0.3">
      <c r="H1328" s="9"/>
    </row>
    <row r="1329" spans="8:8" x14ac:dyDescent="0.3">
      <c r="H1329" s="9"/>
    </row>
    <row r="1330" spans="8:8" x14ac:dyDescent="0.3">
      <c r="H1330" s="9"/>
    </row>
    <row r="1331" spans="8:8" x14ac:dyDescent="0.3">
      <c r="H1331" s="9"/>
    </row>
    <row r="1332" spans="8:8" x14ac:dyDescent="0.3">
      <c r="H1332" s="9"/>
    </row>
    <row r="1333" spans="8:8" x14ac:dyDescent="0.3">
      <c r="H1333" s="9"/>
    </row>
    <row r="1334" spans="8:8" x14ac:dyDescent="0.3">
      <c r="H1334" s="9"/>
    </row>
    <row r="1335" spans="8:8" x14ac:dyDescent="0.3">
      <c r="H1335" s="9"/>
    </row>
    <row r="1336" spans="8:8" x14ac:dyDescent="0.3">
      <c r="H1336" s="9"/>
    </row>
    <row r="1337" spans="8:8" x14ac:dyDescent="0.3">
      <c r="H1337" s="9"/>
    </row>
    <row r="1338" spans="8:8" x14ac:dyDescent="0.3">
      <c r="H1338" s="9"/>
    </row>
    <row r="1339" spans="8:8" x14ac:dyDescent="0.3">
      <c r="H1339" s="9"/>
    </row>
    <row r="1340" spans="8:8" x14ac:dyDescent="0.3">
      <c r="H1340" s="9"/>
    </row>
    <row r="1341" spans="8:8" x14ac:dyDescent="0.3">
      <c r="H1341" s="9"/>
    </row>
    <row r="1342" spans="8:8" x14ac:dyDescent="0.3">
      <c r="H1342" s="9"/>
    </row>
    <row r="1343" spans="8:8" x14ac:dyDescent="0.3">
      <c r="H1343" s="9"/>
    </row>
    <row r="1344" spans="8:8" x14ac:dyDescent="0.3">
      <c r="H1344" s="9"/>
    </row>
    <row r="1345" spans="8:8" x14ac:dyDescent="0.3">
      <c r="H1345" s="9"/>
    </row>
    <row r="1346" spans="8:8" x14ac:dyDescent="0.3">
      <c r="H1346" s="9"/>
    </row>
    <row r="1347" spans="8:8" x14ac:dyDescent="0.3">
      <c r="H1347" s="9"/>
    </row>
    <row r="1348" spans="8:8" x14ac:dyDescent="0.3">
      <c r="H1348" s="9"/>
    </row>
    <row r="1349" spans="8:8" x14ac:dyDescent="0.3">
      <c r="H1349" s="9"/>
    </row>
    <row r="1350" spans="8:8" x14ac:dyDescent="0.3">
      <c r="H1350" s="9"/>
    </row>
    <row r="1351" spans="8:8" x14ac:dyDescent="0.3">
      <c r="H1351" s="9"/>
    </row>
    <row r="1352" spans="8:8" x14ac:dyDescent="0.3">
      <c r="H1352" s="9"/>
    </row>
    <row r="1353" spans="8:8" x14ac:dyDescent="0.3">
      <c r="H1353" s="9"/>
    </row>
    <row r="1354" spans="8:8" x14ac:dyDescent="0.3">
      <c r="H1354" s="9"/>
    </row>
    <row r="1355" spans="8:8" x14ac:dyDescent="0.3">
      <c r="H1355" s="9"/>
    </row>
    <row r="1356" spans="8:8" x14ac:dyDescent="0.3">
      <c r="H1356" s="9"/>
    </row>
    <row r="1357" spans="8:8" x14ac:dyDescent="0.3">
      <c r="H1357" s="9"/>
    </row>
    <row r="1358" spans="8:8" x14ac:dyDescent="0.3">
      <c r="H1358" s="9"/>
    </row>
    <row r="1359" spans="8:8" x14ac:dyDescent="0.3">
      <c r="H1359" s="9"/>
    </row>
    <row r="1360" spans="8:8" x14ac:dyDescent="0.3">
      <c r="H1360" s="9"/>
    </row>
    <row r="1361" spans="8:8" x14ac:dyDescent="0.3">
      <c r="H1361" s="9"/>
    </row>
    <row r="1362" spans="8:8" x14ac:dyDescent="0.3">
      <c r="H1362" s="9"/>
    </row>
    <row r="1363" spans="8:8" x14ac:dyDescent="0.3">
      <c r="H1363" s="9"/>
    </row>
    <row r="1364" spans="8:8" x14ac:dyDescent="0.3">
      <c r="H1364" s="9"/>
    </row>
    <row r="1365" spans="8:8" x14ac:dyDescent="0.3">
      <c r="H1365" s="9"/>
    </row>
    <row r="1366" spans="8:8" x14ac:dyDescent="0.3">
      <c r="H1366" s="9"/>
    </row>
    <row r="1367" spans="8:8" x14ac:dyDescent="0.3">
      <c r="H1367" s="9"/>
    </row>
    <row r="1368" spans="8:8" x14ac:dyDescent="0.3">
      <c r="H1368" s="9"/>
    </row>
    <row r="1369" spans="8:8" x14ac:dyDescent="0.3">
      <c r="H1369" s="9"/>
    </row>
    <row r="1370" spans="8:8" x14ac:dyDescent="0.3">
      <c r="H1370" s="9"/>
    </row>
    <row r="1371" spans="8:8" x14ac:dyDescent="0.3">
      <c r="H1371" s="9"/>
    </row>
    <row r="1372" spans="8:8" x14ac:dyDescent="0.3">
      <c r="H1372" s="9"/>
    </row>
    <row r="1373" spans="8:8" x14ac:dyDescent="0.3">
      <c r="H1373" s="9"/>
    </row>
    <row r="1374" spans="8:8" x14ac:dyDescent="0.3">
      <c r="H1374" s="9"/>
    </row>
    <row r="1375" spans="8:8" x14ac:dyDescent="0.3">
      <c r="H1375" s="9"/>
    </row>
    <row r="1376" spans="8:8" x14ac:dyDescent="0.3">
      <c r="H1376" s="9"/>
    </row>
    <row r="1377" spans="8:8" x14ac:dyDescent="0.3">
      <c r="H1377" s="9"/>
    </row>
    <row r="1378" spans="8:8" x14ac:dyDescent="0.3">
      <c r="H1378" s="9"/>
    </row>
    <row r="1379" spans="8:8" x14ac:dyDescent="0.3">
      <c r="H1379" s="9"/>
    </row>
    <row r="1380" spans="8:8" x14ac:dyDescent="0.3">
      <c r="H1380" s="9"/>
    </row>
    <row r="1381" spans="8:8" x14ac:dyDescent="0.3">
      <c r="H1381" s="9"/>
    </row>
    <row r="1382" spans="8:8" x14ac:dyDescent="0.3">
      <c r="H1382" s="9"/>
    </row>
    <row r="1383" spans="8:8" x14ac:dyDescent="0.3">
      <c r="H1383" s="9"/>
    </row>
    <row r="1384" spans="8:8" x14ac:dyDescent="0.3">
      <c r="H1384" s="9"/>
    </row>
    <row r="1385" spans="8:8" x14ac:dyDescent="0.3">
      <c r="H1385" s="9"/>
    </row>
    <row r="1386" spans="8:8" x14ac:dyDescent="0.3">
      <c r="H1386" s="9"/>
    </row>
    <row r="1387" spans="8:8" x14ac:dyDescent="0.3">
      <c r="H1387" s="9"/>
    </row>
    <row r="1388" spans="8:8" x14ac:dyDescent="0.3">
      <c r="H1388" s="9"/>
    </row>
    <row r="1389" spans="8:8" x14ac:dyDescent="0.3">
      <c r="H1389" s="9"/>
    </row>
    <row r="1390" spans="8:8" x14ac:dyDescent="0.3">
      <c r="H1390" s="9"/>
    </row>
    <row r="1391" spans="8:8" x14ac:dyDescent="0.3">
      <c r="H1391" s="9"/>
    </row>
    <row r="1392" spans="8:8" x14ac:dyDescent="0.3">
      <c r="H1392" s="9"/>
    </row>
    <row r="1393" spans="8:8" x14ac:dyDescent="0.3">
      <c r="H1393" s="9"/>
    </row>
    <row r="1394" spans="8:8" x14ac:dyDescent="0.3">
      <c r="H1394" s="9"/>
    </row>
    <row r="1395" spans="8:8" x14ac:dyDescent="0.3">
      <c r="H1395" s="9"/>
    </row>
    <row r="1396" spans="8:8" x14ac:dyDescent="0.3">
      <c r="H1396" s="9"/>
    </row>
    <row r="1397" spans="8:8" x14ac:dyDescent="0.3">
      <c r="H1397" s="9"/>
    </row>
    <row r="1398" spans="8:8" x14ac:dyDescent="0.3">
      <c r="H1398" s="9"/>
    </row>
    <row r="1399" spans="8:8" x14ac:dyDescent="0.3">
      <c r="H1399" s="9"/>
    </row>
    <row r="1400" spans="8:8" x14ac:dyDescent="0.3">
      <c r="H1400" s="9"/>
    </row>
    <row r="1401" spans="8:8" x14ac:dyDescent="0.3">
      <c r="H1401" s="9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01"/>
  <sheetViews>
    <sheetView topLeftCell="E1" workbookViewId="0">
      <pane ySplit="1" topLeftCell="A2" activePane="bottomLeft" state="frozen"/>
      <selection activeCell="E1" sqref="E1"/>
      <selection pane="bottomLeft" activeCell="F8" sqref="F8"/>
    </sheetView>
  </sheetViews>
  <sheetFormatPr defaultRowHeight="14.4" x14ac:dyDescent="0.3"/>
  <cols>
    <col min="1" max="1" width="10.109375" bestFit="1" customWidth="1"/>
    <col min="2" max="2" width="10.88671875" customWidth="1"/>
    <col min="3" max="3" width="14.109375" customWidth="1"/>
    <col min="4" max="5" width="10.5546875" style="9" bestFit="1" customWidth="1"/>
    <col min="6" max="6" width="12.21875" style="3" customWidth="1"/>
    <col min="7" max="7" width="13.44140625" style="3" customWidth="1"/>
    <col min="8" max="8" width="19.77734375" style="3" customWidth="1"/>
    <col min="9" max="9" width="17.21875" customWidth="1"/>
    <col min="10" max="10" width="13.44140625" customWidth="1"/>
    <col min="12" max="12" width="9.5546875" bestFit="1" customWidth="1"/>
  </cols>
  <sheetData>
    <row r="1" spans="1:12" x14ac:dyDescent="0.3">
      <c r="A1" t="s">
        <v>5416</v>
      </c>
      <c r="B1" t="s">
        <v>257</v>
      </c>
      <c r="C1" t="s">
        <v>258</v>
      </c>
      <c r="D1" s="9" t="s">
        <v>5417</v>
      </c>
      <c r="E1" s="9" t="s">
        <v>363</v>
      </c>
      <c r="F1" s="3" t="s">
        <v>5418</v>
      </c>
      <c r="G1" s="3" t="s">
        <v>7820</v>
      </c>
      <c r="H1" s="3" t="s">
        <v>7835</v>
      </c>
      <c r="I1" t="s">
        <v>7822</v>
      </c>
      <c r="J1" t="s">
        <v>7823</v>
      </c>
      <c r="L1" s="9">
        <v>46091</v>
      </c>
    </row>
    <row r="2" spans="1:12" x14ac:dyDescent="0.3">
      <c r="A2" t="str">
        <f>Table3[[#This Row],[BillID]]</f>
        <v>BILL-00001</v>
      </c>
      <c r="B2" t="str">
        <f>Table3[[#This Row],[VendorID]]</f>
        <v>VEN-016</v>
      </c>
      <c r="C2" t="str">
        <f>VLOOKUP(B2,Vendors!A:B,2,FALSE)</f>
        <v>Stripe</v>
      </c>
      <c r="D2" s="9">
        <f>Table3[[#This Row],[BillDate]]</f>
        <v>46065</v>
      </c>
      <c r="E2" s="9">
        <f>Table3[[#This Row],[DueDate]]</f>
        <v>46095</v>
      </c>
      <c r="F2" s="3">
        <f>Table3[[#This Row],[BillAmount]]</f>
        <v>5918.09</v>
      </c>
      <c r="G2" s="3">
        <f>SUMIF(Vendor_Payments!C:C,A2,Vendor_Payments!E:E)</f>
        <v>5918.09</v>
      </c>
      <c r="H2" s="3">
        <f>F2-G2</f>
        <v>0</v>
      </c>
      <c r="I2">
        <f>$L$1-E2</f>
        <v>-4</v>
      </c>
      <c r="J2" t="str">
        <f>IF(I2&lt;=0,"Current",IF(I2&lt;=30,"1-30",IF(I2&lt;=60,"31-60",IF(I2&lt;=90,"61-90","90+"))))</f>
        <v>Current</v>
      </c>
    </row>
    <row r="3" spans="1:12" x14ac:dyDescent="0.3">
      <c r="A3" t="str">
        <f>Table3[[#This Row],[BillID]]</f>
        <v>BILL-00002</v>
      </c>
      <c r="B3" t="str">
        <f>Table3[[#This Row],[VendorID]]</f>
        <v>VEN-028</v>
      </c>
      <c r="C3" t="str">
        <f>VLOOKUP(B3,Vendors!A:B,2,FALSE)</f>
        <v>MarketEdge Consulting</v>
      </c>
      <c r="D3" s="9">
        <f>Table3[[#This Row],[BillDate]]</f>
        <v>46035</v>
      </c>
      <c r="E3" s="9">
        <f>Table3[[#This Row],[DueDate]]</f>
        <v>46065</v>
      </c>
      <c r="F3" s="3">
        <f>Table3[[#This Row],[BillAmount]]</f>
        <v>6605.3</v>
      </c>
      <c r="G3" s="3">
        <f>SUMIF(Vendor_Payments!C:C,A3,Vendor_Payments!E:E)</f>
        <v>6605.3</v>
      </c>
      <c r="H3" s="3">
        <f t="shared" ref="H3:H66" si="0">F3-G3</f>
        <v>0</v>
      </c>
      <c r="I3">
        <f t="shared" ref="I3:I66" si="1">$L$1-E3</f>
        <v>26</v>
      </c>
      <c r="J3" t="str">
        <f t="shared" ref="J3:J66" si="2">IF(I3&lt;=0,"Current",IF(I3&lt;=30,"1-30",IF(I3&lt;=60,"31-60",IF(I3&lt;=90,"61-90","90+"))))</f>
        <v>1-30</v>
      </c>
    </row>
    <row r="4" spans="1:12" x14ac:dyDescent="0.3">
      <c r="A4" t="str">
        <f>Table3[[#This Row],[BillID]]</f>
        <v>BILL-00003</v>
      </c>
      <c r="B4" t="str">
        <f>Table3[[#This Row],[VendorID]]</f>
        <v>VEN-012</v>
      </c>
      <c r="C4" t="str">
        <f>VLOOKUP(B4,Vendors!A:B,2,FALSE)</f>
        <v>Google Cloud</v>
      </c>
      <c r="D4" s="9">
        <f>Table3[[#This Row],[BillDate]]</f>
        <v>45964</v>
      </c>
      <c r="E4" s="9">
        <f>Table3[[#This Row],[DueDate]]</f>
        <v>45994</v>
      </c>
      <c r="F4" s="3">
        <f>Table3[[#This Row],[BillAmount]]</f>
        <v>5834.93</v>
      </c>
      <c r="G4" s="3">
        <f>SUMIF(Vendor_Payments!C:C,A4,Vendor_Payments!E:E)</f>
        <v>5834.93</v>
      </c>
      <c r="H4" s="3">
        <f t="shared" si="0"/>
        <v>0</v>
      </c>
      <c r="I4">
        <f t="shared" si="1"/>
        <v>97</v>
      </c>
      <c r="J4" t="str">
        <f t="shared" si="2"/>
        <v>90+</v>
      </c>
    </row>
    <row r="5" spans="1:12" x14ac:dyDescent="0.3">
      <c r="A5" t="str">
        <f>Table3[[#This Row],[BillID]]</f>
        <v>BILL-00004</v>
      </c>
      <c r="B5" t="str">
        <f>Table3[[#This Row],[VendorID]]</f>
        <v>VEN-031</v>
      </c>
      <c r="C5" t="str">
        <f>VLOOKUP(B5,Vendors!A:B,2,FALSE)</f>
        <v>DataInsight Analytics</v>
      </c>
      <c r="D5" s="9">
        <f>Table3[[#This Row],[BillDate]]</f>
        <v>46004</v>
      </c>
      <c r="E5" s="9">
        <f>Table3[[#This Row],[DueDate]]</f>
        <v>46034</v>
      </c>
      <c r="F5" s="3">
        <f>Table3[[#This Row],[BillAmount]]</f>
        <v>4168.49</v>
      </c>
      <c r="G5" s="3">
        <f>SUMIF(Vendor_Payments!C:C,A5,Vendor_Payments!E:E)</f>
        <v>4168.49</v>
      </c>
      <c r="H5" s="3">
        <f t="shared" si="0"/>
        <v>0</v>
      </c>
      <c r="I5">
        <f t="shared" si="1"/>
        <v>57</v>
      </c>
      <c r="J5" t="str">
        <f t="shared" si="2"/>
        <v>31-60</v>
      </c>
    </row>
    <row r="6" spans="1:12" x14ac:dyDescent="0.3">
      <c r="A6" t="str">
        <f>Table3[[#This Row],[BillID]]</f>
        <v>BILL-00005</v>
      </c>
      <c r="B6" t="str">
        <f>Table3[[#This Row],[VendorID]]</f>
        <v>VEN-028</v>
      </c>
      <c r="C6" t="str">
        <f>VLOOKUP(B6,Vendors!A:B,2,FALSE)</f>
        <v>MarketEdge Consulting</v>
      </c>
      <c r="D6" s="9">
        <f>Table3[[#This Row],[BillDate]]</f>
        <v>46063</v>
      </c>
      <c r="E6" s="9">
        <f>Table3[[#This Row],[DueDate]]</f>
        <v>46093</v>
      </c>
      <c r="F6" s="3">
        <f>Table3[[#This Row],[BillAmount]]</f>
        <v>1940.52</v>
      </c>
      <c r="G6" s="3">
        <f>SUMIF(Vendor_Payments!C:C,A6,Vendor_Payments!E:E)</f>
        <v>1940.52</v>
      </c>
      <c r="H6" s="3">
        <f t="shared" si="0"/>
        <v>0</v>
      </c>
      <c r="I6">
        <f t="shared" si="1"/>
        <v>-2</v>
      </c>
      <c r="J6" t="str">
        <f t="shared" si="2"/>
        <v>Current</v>
      </c>
    </row>
    <row r="7" spans="1:12" x14ac:dyDescent="0.3">
      <c r="A7" t="str">
        <f>Table3[[#This Row],[BillID]]</f>
        <v>BILL-00006</v>
      </c>
      <c r="B7" t="str">
        <f>Table3[[#This Row],[VendorID]]</f>
        <v>VEN-008</v>
      </c>
      <c r="C7" t="str">
        <f>VLOOKUP(B7,Vendors!A:B,2,FALSE)</f>
        <v>Ahrefs</v>
      </c>
      <c r="D7" s="9">
        <f>Table3[[#This Row],[BillDate]]</f>
        <v>46059</v>
      </c>
      <c r="E7" s="9">
        <f>Table3[[#This Row],[DueDate]]</f>
        <v>46089</v>
      </c>
      <c r="F7" s="3">
        <f>Table3[[#This Row],[BillAmount]]</f>
        <v>3560.06</v>
      </c>
      <c r="G7" s="3">
        <f>SUMIF(Vendor_Payments!C:C,A7,Vendor_Payments!E:E)</f>
        <v>3560.06</v>
      </c>
      <c r="H7" s="3">
        <f t="shared" si="0"/>
        <v>0</v>
      </c>
      <c r="I7">
        <f t="shared" si="1"/>
        <v>2</v>
      </c>
      <c r="J7" t="str">
        <f t="shared" si="2"/>
        <v>1-30</v>
      </c>
    </row>
    <row r="8" spans="1:12" x14ac:dyDescent="0.3">
      <c r="A8" t="str">
        <f>Table3[[#This Row],[BillID]]</f>
        <v>BILL-00007</v>
      </c>
      <c r="B8" t="str">
        <f>Table3[[#This Row],[VendorID]]</f>
        <v>VEN-014</v>
      </c>
      <c r="C8" t="str">
        <f>VLOOKUP(B8,Vendors!A:B,2,FALSE)</f>
        <v>Figma</v>
      </c>
      <c r="D8" s="9">
        <f>Table3[[#This Row],[BillDate]]</f>
        <v>45986</v>
      </c>
      <c r="E8" s="9">
        <f>Table3[[#This Row],[DueDate]]</f>
        <v>46016</v>
      </c>
      <c r="F8" s="3">
        <f>Table3[[#This Row],[BillAmount]]</f>
        <v>6544.81</v>
      </c>
      <c r="G8" s="3">
        <f>SUMIF(Vendor_Payments!C:C,A8,Vendor_Payments!E:E)</f>
        <v>0</v>
      </c>
      <c r="H8" s="3">
        <f t="shared" si="0"/>
        <v>6544.81</v>
      </c>
      <c r="I8">
        <f t="shared" si="1"/>
        <v>75</v>
      </c>
      <c r="J8" t="str">
        <f t="shared" si="2"/>
        <v>61-90</v>
      </c>
    </row>
    <row r="9" spans="1:12" x14ac:dyDescent="0.3">
      <c r="A9" t="str">
        <f>Table3[[#This Row],[BillID]]</f>
        <v>BILL-00008</v>
      </c>
      <c r="B9" t="str">
        <f>Table3[[#This Row],[VendorID]]</f>
        <v>VEN-004</v>
      </c>
      <c r="C9" t="str">
        <f>VLOOKUP(B9,Vendors!A:B,2,FALSE)</f>
        <v>LinkedIn Ads</v>
      </c>
      <c r="D9" s="9">
        <f>Table3[[#This Row],[BillDate]]</f>
        <v>45996</v>
      </c>
      <c r="E9" s="9">
        <f>Table3[[#This Row],[DueDate]]</f>
        <v>46026</v>
      </c>
      <c r="F9" s="3">
        <f>Table3[[#This Row],[BillAmount]]</f>
        <v>1429.47</v>
      </c>
      <c r="G9" s="3">
        <f>SUMIF(Vendor_Payments!C:C,A9,Vendor_Payments!E:E)</f>
        <v>1429.47</v>
      </c>
      <c r="H9" s="3">
        <f t="shared" si="0"/>
        <v>0</v>
      </c>
      <c r="I9">
        <f t="shared" si="1"/>
        <v>65</v>
      </c>
      <c r="J9" t="str">
        <f t="shared" si="2"/>
        <v>61-90</v>
      </c>
    </row>
    <row r="10" spans="1:12" x14ac:dyDescent="0.3">
      <c r="A10" t="str">
        <f>Table3[[#This Row],[BillID]]</f>
        <v>BILL-00009</v>
      </c>
      <c r="B10" t="str">
        <f>Table3[[#This Row],[VendorID]]</f>
        <v>VEN-028</v>
      </c>
      <c r="C10" t="str">
        <f>VLOOKUP(B10,Vendors!A:B,2,FALSE)</f>
        <v>MarketEdge Consulting</v>
      </c>
      <c r="D10" s="9">
        <f>Table3[[#This Row],[BillDate]]</f>
        <v>45979</v>
      </c>
      <c r="E10" s="9">
        <f>Table3[[#This Row],[DueDate]]</f>
        <v>46009</v>
      </c>
      <c r="F10" s="3">
        <f>Table3[[#This Row],[BillAmount]]</f>
        <v>5050.47</v>
      </c>
      <c r="G10" s="3">
        <f>SUMIF(Vendor_Payments!C:C,A10,Vendor_Payments!E:E)</f>
        <v>5050.47</v>
      </c>
      <c r="H10" s="3">
        <f t="shared" si="0"/>
        <v>0</v>
      </c>
      <c r="I10">
        <f t="shared" si="1"/>
        <v>82</v>
      </c>
      <c r="J10" t="str">
        <f t="shared" si="2"/>
        <v>61-90</v>
      </c>
    </row>
    <row r="11" spans="1:12" x14ac:dyDescent="0.3">
      <c r="A11" t="str">
        <f>Table3[[#This Row],[BillID]]</f>
        <v>BILL-00010</v>
      </c>
      <c r="B11" t="str">
        <f>Table3[[#This Row],[VendorID]]</f>
        <v>VEN-032</v>
      </c>
      <c r="C11" t="str">
        <f>VLOOKUP(B11,Vendors!A:B,2,FALSE)</f>
        <v>Marketing Automation Labs</v>
      </c>
      <c r="D11" s="9">
        <f>Table3[[#This Row],[BillDate]]</f>
        <v>46002</v>
      </c>
      <c r="E11" s="9">
        <f>Table3[[#This Row],[DueDate]]</f>
        <v>46032</v>
      </c>
      <c r="F11" s="3">
        <f>Table3[[#This Row],[BillAmount]]</f>
        <v>1343.26</v>
      </c>
      <c r="G11" s="3">
        <f>SUMIF(Vendor_Payments!C:C,A11,Vendor_Payments!E:E)</f>
        <v>1343.26</v>
      </c>
      <c r="H11" s="3">
        <f t="shared" si="0"/>
        <v>0</v>
      </c>
      <c r="I11">
        <f t="shared" si="1"/>
        <v>59</v>
      </c>
      <c r="J11" t="str">
        <f t="shared" si="2"/>
        <v>31-60</v>
      </c>
    </row>
    <row r="12" spans="1:12" x14ac:dyDescent="0.3">
      <c r="A12" t="str">
        <f>Table3[[#This Row],[BillID]]</f>
        <v>BILL-00011</v>
      </c>
      <c r="B12" t="str">
        <f>Table3[[#This Row],[VendorID]]</f>
        <v>VEN-011</v>
      </c>
      <c r="C12" t="str">
        <f>VLOOKUP(B12,Vendors!A:B,2,FALSE)</f>
        <v>AWS</v>
      </c>
      <c r="D12" s="9">
        <f>Table3[[#This Row],[BillDate]]</f>
        <v>45976</v>
      </c>
      <c r="E12" s="9">
        <f>Table3[[#This Row],[DueDate]]</f>
        <v>46006</v>
      </c>
      <c r="F12" s="3">
        <f>Table3[[#This Row],[BillAmount]]</f>
        <v>4473.4399999999996</v>
      </c>
      <c r="G12" s="3">
        <f>SUMIF(Vendor_Payments!C:C,A12,Vendor_Payments!E:E)</f>
        <v>4473.4399999999996</v>
      </c>
      <c r="H12" s="3">
        <f t="shared" si="0"/>
        <v>0</v>
      </c>
      <c r="I12">
        <f t="shared" si="1"/>
        <v>85</v>
      </c>
      <c r="J12" t="str">
        <f t="shared" si="2"/>
        <v>61-90</v>
      </c>
    </row>
    <row r="13" spans="1:12" x14ac:dyDescent="0.3">
      <c r="A13" t="str">
        <f>Table3[[#This Row],[BillID]]</f>
        <v>BILL-00012</v>
      </c>
      <c r="B13" t="str">
        <f>Table3[[#This Row],[VendorID]]</f>
        <v>VEN-015</v>
      </c>
      <c r="C13" t="str">
        <f>VLOOKUP(B13,Vendors!A:B,2,FALSE)</f>
        <v>Zapier</v>
      </c>
      <c r="D13" s="9">
        <f>Table3[[#This Row],[BillDate]]</f>
        <v>46027</v>
      </c>
      <c r="E13" s="9">
        <f>Table3[[#This Row],[DueDate]]</f>
        <v>46057</v>
      </c>
      <c r="F13" s="3">
        <f>Table3[[#This Row],[BillAmount]]</f>
        <v>2101.38</v>
      </c>
      <c r="G13" s="3">
        <f>SUMIF(Vendor_Payments!C:C,A13,Vendor_Payments!E:E)</f>
        <v>2101.38</v>
      </c>
      <c r="H13" s="3">
        <f t="shared" si="0"/>
        <v>0</v>
      </c>
      <c r="I13">
        <f t="shared" si="1"/>
        <v>34</v>
      </c>
      <c r="J13" t="str">
        <f t="shared" si="2"/>
        <v>31-60</v>
      </c>
    </row>
    <row r="14" spans="1:12" x14ac:dyDescent="0.3">
      <c r="A14" t="str">
        <f>Table3[[#This Row],[BillID]]</f>
        <v>BILL-00013</v>
      </c>
      <c r="B14" t="str">
        <f>Table3[[#This Row],[VendorID]]</f>
        <v>VEN-037</v>
      </c>
      <c r="C14" t="str">
        <f>VLOOKUP(B14,Vendors!A:B,2,FALSE)</f>
        <v>CreativeSpark Studio</v>
      </c>
      <c r="D14" s="9">
        <f>Table3[[#This Row],[BillDate]]</f>
        <v>46061</v>
      </c>
      <c r="E14" s="9">
        <f>Table3[[#This Row],[DueDate]]</f>
        <v>46091</v>
      </c>
      <c r="F14" s="3">
        <f>Table3[[#This Row],[BillAmount]]</f>
        <v>2393.11</v>
      </c>
      <c r="G14" s="3">
        <f>SUMIF(Vendor_Payments!C:C,A14,Vendor_Payments!E:E)</f>
        <v>2393.11</v>
      </c>
      <c r="H14" s="3">
        <f t="shared" si="0"/>
        <v>0</v>
      </c>
      <c r="I14">
        <f t="shared" si="1"/>
        <v>0</v>
      </c>
      <c r="J14" t="str">
        <f t="shared" si="2"/>
        <v>Current</v>
      </c>
    </row>
    <row r="15" spans="1:12" x14ac:dyDescent="0.3">
      <c r="A15" t="str">
        <f>Table3[[#This Row],[BillID]]</f>
        <v>BILL-00014</v>
      </c>
      <c r="B15" t="str">
        <f>Table3[[#This Row],[VendorID]]</f>
        <v>VEN-017</v>
      </c>
      <c r="C15" t="str">
        <f>VLOOKUP(B15,Vendors!A:B,2,FALSE)</f>
        <v>PayPal</v>
      </c>
      <c r="D15" s="9">
        <f>Table3[[#This Row],[BillDate]]</f>
        <v>46033</v>
      </c>
      <c r="E15" s="9">
        <f>Table3[[#This Row],[DueDate]]</f>
        <v>46063</v>
      </c>
      <c r="F15" s="3">
        <f>Table3[[#This Row],[BillAmount]]</f>
        <v>6824.35</v>
      </c>
      <c r="G15" s="3">
        <f>SUMIF(Vendor_Payments!C:C,A15,Vendor_Payments!E:E)</f>
        <v>6824.35</v>
      </c>
      <c r="H15" s="3">
        <f t="shared" si="0"/>
        <v>0</v>
      </c>
      <c r="I15">
        <f t="shared" si="1"/>
        <v>28</v>
      </c>
      <c r="J15" t="str">
        <f t="shared" si="2"/>
        <v>1-30</v>
      </c>
    </row>
    <row r="16" spans="1:12" x14ac:dyDescent="0.3">
      <c r="A16" t="str">
        <f>Table3[[#This Row],[BillID]]</f>
        <v>BILL-00015</v>
      </c>
      <c r="B16" t="str">
        <f>Table3[[#This Row],[VendorID]]</f>
        <v>VEN-037</v>
      </c>
      <c r="C16" t="str">
        <f>VLOOKUP(B16,Vendors!A:B,2,FALSE)</f>
        <v>CreativeSpark Studio</v>
      </c>
      <c r="D16" s="9">
        <f>Table3[[#This Row],[BillDate]]</f>
        <v>46010</v>
      </c>
      <c r="E16" s="9">
        <f>Table3[[#This Row],[DueDate]]</f>
        <v>46040</v>
      </c>
      <c r="F16" s="3">
        <f>Table3[[#This Row],[BillAmount]]</f>
        <v>4432.1899999999996</v>
      </c>
      <c r="G16" s="3">
        <f>SUMIF(Vendor_Payments!C:C,A16,Vendor_Payments!E:E)</f>
        <v>4432.1899999999996</v>
      </c>
      <c r="H16" s="3">
        <f t="shared" si="0"/>
        <v>0</v>
      </c>
      <c r="I16">
        <f t="shared" si="1"/>
        <v>51</v>
      </c>
      <c r="J16" t="str">
        <f t="shared" si="2"/>
        <v>31-60</v>
      </c>
    </row>
    <row r="17" spans="1:10" x14ac:dyDescent="0.3">
      <c r="A17" t="str">
        <f>Table3[[#This Row],[BillID]]</f>
        <v>BILL-00016</v>
      </c>
      <c r="B17" t="str">
        <f>Table3[[#This Row],[VendorID]]</f>
        <v>VEN-004</v>
      </c>
      <c r="C17" t="str">
        <f>VLOOKUP(B17,Vendors!A:B,2,FALSE)</f>
        <v>LinkedIn Ads</v>
      </c>
      <c r="D17" s="9">
        <f>Table3[[#This Row],[BillDate]]</f>
        <v>46037</v>
      </c>
      <c r="E17" s="9">
        <f>Table3[[#This Row],[DueDate]]</f>
        <v>46067</v>
      </c>
      <c r="F17" s="3">
        <f>Table3[[#This Row],[BillAmount]]</f>
        <v>4100.05</v>
      </c>
      <c r="G17" s="3">
        <f>SUMIF(Vendor_Payments!C:C,A17,Vendor_Payments!E:E)</f>
        <v>4100.05</v>
      </c>
      <c r="H17" s="3">
        <f t="shared" si="0"/>
        <v>0</v>
      </c>
      <c r="I17">
        <f t="shared" si="1"/>
        <v>24</v>
      </c>
      <c r="J17" t="str">
        <f t="shared" si="2"/>
        <v>1-30</v>
      </c>
    </row>
    <row r="18" spans="1:10" x14ac:dyDescent="0.3">
      <c r="A18" t="str">
        <f>Table3[[#This Row],[BillID]]</f>
        <v>BILL-00017</v>
      </c>
      <c r="B18" t="str">
        <f>Table3[[#This Row],[VendorID]]</f>
        <v>VEN-037</v>
      </c>
      <c r="C18" t="str">
        <f>VLOOKUP(B18,Vendors!A:B,2,FALSE)</f>
        <v>CreativeSpark Studio</v>
      </c>
      <c r="D18" s="9">
        <f>Table3[[#This Row],[BillDate]]</f>
        <v>46020</v>
      </c>
      <c r="E18" s="9">
        <f>Table3[[#This Row],[DueDate]]</f>
        <v>46050</v>
      </c>
      <c r="F18" s="3">
        <f>Table3[[#This Row],[BillAmount]]</f>
        <v>905.16</v>
      </c>
      <c r="G18" s="3">
        <f>SUMIF(Vendor_Payments!C:C,A18,Vendor_Payments!E:E)</f>
        <v>0</v>
      </c>
      <c r="H18" s="3">
        <f t="shared" si="0"/>
        <v>905.16</v>
      </c>
      <c r="I18">
        <f t="shared" si="1"/>
        <v>41</v>
      </c>
      <c r="J18" t="str">
        <f t="shared" si="2"/>
        <v>31-60</v>
      </c>
    </row>
    <row r="19" spans="1:10" x14ac:dyDescent="0.3">
      <c r="A19" t="str">
        <f>Table3[[#This Row],[BillID]]</f>
        <v>BILL-00018</v>
      </c>
      <c r="B19" t="str">
        <f>Table3[[#This Row],[VendorID]]</f>
        <v>VEN-022</v>
      </c>
      <c r="C19" t="str">
        <f>VLOOKUP(B19,Vendors!A:B,2,FALSE)</f>
        <v>Toptal Talent</v>
      </c>
      <c r="D19" s="9">
        <f>Table3[[#This Row],[BillDate]]</f>
        <v>46073</v>
      </c>
      <c r="E19" s="9">
        <f>Table3[[#This Row],[DueDate]]</f>
        <v>46103</v>
      </c>
      <c r="F19" s="3">
        <f>Table3[[#This Row],[BillAmount]]</f>
        <v>1815.1</v>
      </c>
      <c r="G19" s="3">
        <f>SUMIF(Vendor_Payments!C:C,A19,Vendor_Payments!E:E)</f>
        <v>0</v>
      </c>
      <c r="H19" s="3">
        <f t="shared" si="0"/>
        <v>1815.1</v>
      </c>
      <c r="I19">
        <f t="shared" si="1"/>
        <v>-12</v>
      </c>
      <c r="J19" t="str">
        <f t="shared" si="2"/>
        <v>Current</v>
      </c>
    </row>
    <row r="20" spans="1:10" x14ac:dyDescent="0.3">
      <c r="A20" t="str">
        <f>Table3[[#This Row],[BillID]]</f>
        <v>BILL-00019</v>
      </c>
      <c r="B20" t="str">
        <f>Table3[[#This Row],[VendorID]]</f>
        <v>VEN-027</v>
      </c>
      <c r="C20" t="str">
        <f>VLOOKUP(B20,Vendors!A:B,2,FALSE)</f>
        <v>DevCraft Agency</v>
      </c>
      <c r="D20" s="9">
        <f>Table3[[#This Row],[BillDate]]</f>
        <v>45980</v>
      </c>
      <c r="E20" s="9">
        <f>Table3[[#This Row],[DueDate]]</f>
        <v>46010</v>
      </c>
      <c r="F20" s="3">
        <f>Table3[[#This Row],[BillAmount]]</f>
        <v>4914.1400000000003</v>
      </c>
      <c r="G20" s="3">
        <f>SUMIF(Vendor_Payments!C:C,A20,Vendor_Payments!E:E)</f>
        <v>4914.1400000000003</v>
      </c>
      <c r="H20" s="3">
        <f t="shared" si="0"/>
        <v>0</v>
      </c>
      <c r="I20">
        <f t="shared" si="1"/>
        <v>81</v>
      </c>
      <c r="J20" t="str">
        <f t="shared" si="2"/>
        <v>61-90</v>
      </c>
    </row>
    <row r="21" spans="1:10" x14ac:dyDescent="0.3">
      <c r="A21" t="str">
        <f>Table3[[#This Row],[BillID]]</f>
        <v>BILL-00020</v>
      </c>
      <c r="B21" t="str">
        <f>Table3[[#This Row],[VendorID]]</f>
        <v>VEN-019</v>
      </c>
      <c r="C21" t="str">
        <f>VLOOKUP(B21,Vendors!A:B,2,FALSE)</f>
        <v>Notion</v>
      </c>
      <c r="D21" s="9">
        <f>Table3[[#This Row],[BillDate]]</f>
        <v>46048</v>
      </c>
      <c r="E21" s="9">
        <f>Table3[[#This Row],[DueDate]]</f>
        <v>46078</v>
      </c>
      <c r="F21" s="3">
        <f>Table3[[#This Row],[BillAmount]]</f>
        <v>3217.15</v>
      </c>
      <c r="G21" s="3">
        <f>SUMIF(Vendor_Payments!C:C,A21,Vendor_Payments!E:E)</f>
        <v>0</v>
      </c>
      <c r="H21" s="3">
        <f t="shared" si="0"/>
        <v>3217.15</v>
      </c>
      <c r="I21">
        <f t="shared" si="1"/>
        <v>13</v>
      </c>
      <c r="J21" t="str">
        <f t="shared" si="2"/>
        <v>1-30</v>
      </c>
    </row>
    <row r="22" spans="1:10" x14ac:dyDescent="0.3">
      <c r="A22" t="str">
        <f>Table3[[#This Row],[BillID]]</f>
        <v>BILL-00021</v>
      </c>
      <c r="B22" t="str">
        <f>Table3[[#This Row],[VendorID]]</f>
        <v>VEN-020</v>
      </c>
      <c r="C22" t="str">
        <f>VLOOKUP(B22,Vendors!A:B,2,FALSE)</f>
        <v>Slack</v>
      </c>
      <c r="D22" s="9">
        <f>Table3[[#This Row],[BillDate]]</f>
        <v>45992</v>
      </c>
      <c r="E22" s="9">
        <f>Table3[[#This Row],[DueDate]]</f>
        <v>46022</v>
      </c>
      <c r="F22" s="3">
        <f>Table3[[#This Row],[BillAmount]]</f>
        <v>4639.37</v>
      </c>
      <c r="G22" s="3">
        <f>SUMIF(Vendor_Payments!C:C,A22,Vendor_Payments!E:E)</f>
        <v>0</v>
      </c>
      <c r="H22" s="3">
        <f t="shared" si="0"/>
        <v>4639.37</v>
      </c>
      <c r="I22">
        <f t="shared" si="1"/>
        <v>69</v>
      </c>
      <c r="J22" t="str">
        <f t="shared" si="2"/>
        <v>61-90</v>
      </c>
    </row>
    <row r="23" spans="1:10" x14ac:dyDescent="0.3">
      <c r="A23" t="str">
        <f>Table3[[#This Row],[BillID]]</f>
        <v>BILL-00022</v>
      </c>
      <c r="B23" t="str">
        <f>Table3[[#This Row],[VendorID]]</f>
        <v>VEN-040</v>
      </c>
      <c r="C23" t="str">
        <f>VLOOKUP(B23,Vendors!A:B,2,FALSE)</f>
        <v>Digital Performance Lab</v>
      </c>
      <c r="D23" s="9">
        <f>Table3[[#This Row],[BillDate]]</f>
        <v>46075</v>
      </c>
      <c r="E23" s="9">
        <f>Table3[[#This Row],[DueDate]]</f>
        <v>46105</v>
      </c>
      <c r="F23" s="3">
        <f>Table3[[#This Row],[BillAmount]]</f>
        <v>5290.02</v>
      </c>
      <c r="G23" s="3">
        <f>SUMIF(Vendor_Payments!C:C,A23,Vendor_Payments!E:E)</f>
        <v>5290.02</v>
      </c>
      <c r="H23" s="3">
        <f t="shared" si="0"/>
        <v>0</v>
      </c>
      <c r="I23">
        <f t="shared" si="1"/>
        <v>-14</v>
      </c>
      <c r="J23" t="str">
        <f t="shared" si="2"/>
        <v>Current</v>
      </c>
    </row>
    <row r="24" spans="1:10" x14ac:dyDescent="0.3">
      <c r="A24" t="str">
        <f>Table3[[#This Row],[BillID]]</f>
        <v>BILL-00023</v>
      </c>
      <c r="B24" t="str">
        <f>Table3[[#This Row],[VendorID]]</f>
        <v>VEN-036</v>
      </c>
      <c r="C24" t="str">
        <f>VLOOKUP(B24,Vendors!A:B,2,FALSE)</f>
        <v>WebDev Masters</v>
      </c>
      <c r="D24" s="9">
        <f>Table3[[#This Row],[BillDate]]</f>
        <v>45994</v>
      </c>
      <c r="E24" s="9">
        <f>Table3[[#This Row],[DueDate]]</f>
        <v>46024</v>
      </c>
      <c r="F24" s="3">
        <f>Table3[[#This Row],[BillAmount]]</f>
        <v>6447.2</v>
      </c>
      <c r="G24" s="3">
        <f>SUMIF(Vendor_Payments!C:C,A24,Vendor_Payments!E:E)</f>
        <v>6447.2</v>
      </c>
      <c r="H24" s="3">
        <f t="shared" si="0"/>
        <v>0</v>
      </c>
      <c r="I24">
        <f t="shared" si="1"/>
        <v>67</v>
      </c>
      <c r="J24" t="str">
        <f t="shared" si="2"/>
        <v>61-90</v>
      </c>
    </row>
    <row r="25" spans="1:10" x14ac:dyDescent="0.3">
      <c r="A25" t="str">
        <f>Table3[[#This Row],[BillID]]</f>
        <v>BILL-00024</v>
      </c>
      <c r="B25" t="str">
        <f>Table3[[#This Row],[VendorID]]</f>
        <v>VEN-022</v>
      </c>
      <c r="C25" t="str">
        <f>VLOOKUP(B25,Vendors!A:B,2,FALSE)</f>
        <v>Toptal Talent</v>
      </c>
      <c r="D25" s="9">
        <f>Table3[[#This Row],[BillDate]]</f>
        <v>46075</v>
      </c>
      <c r="E25" s="9">
        <f>Table3[[#This Row],[DueDate]]</f>
        <v>46105</v>
      </c>
      <c r="F25" s="3">
        <f>Table3[[#This Row],[BillAmount]]</f>
        <v>4737.68</v>
      </c>
      <c r="G25" s="3">
        <f>SUMIF(Vendor_Payments!C:C,A25,Vendor_Payments!E:E)</f>
        <v>4737.68</v>
      </c>
      <c r="H25" s="3">
        <f t="shared" si="0"/>
        <v>0</v>
      </c>
      <c r="I25">
        <f t="shared" si="1"/>
        <v>-14</v>
      </c>
      <c r="J25" t="str">
        <f t="shared" si="2"/>
        <v>Current</v>
      </c>
    </row>
    <row r="26" spans="1:10" x14ac:dyDescent="0.3">
      <c r="A26" t="str">
        <f>Table3[[#This Row],[BillID]]</f>
        <v>BILL-00025</v>
      </c>
      <c r="B26" t="str">
        <f>Table3[[#This Row],[VendorID]]</f>
        <v>VEN-009</v>
      </c>
      <c r="C26" t="str">
        <f>VLOOKUP(B26,Vendors!A:B,2,FALSE)</f>
        <v>SEMrush</v>
      </c>
      <c r="D26" s="9">
        <f>Table3[[#This Row],[BillDate]]</f>
        <v>45988</v>
      </c>
      <c r="E26" s="9">
        <f>Table3[[#This Row],[DueDate]]</f>
        <v>46018</v>
      </c>
      <c r="F26" s="3">
        <f>Table3[[#This Row],[BillAmount]]</f>
        <v>6661.78</v>
      </c>
      <c r="G26" s="3">
        <f>SUMIF(Vendor_Payments!C:C,A26,Vendor_Payments!E:E)</f>
        <v>0</v>
      </c>
      <c r="H26" s="3">
        <f t="shared" si="0"/>
        <v>6661.78</v>
      </c>
      <c r="I26">
        <f t="shared" si="1"/>
        <v>73</v>
      </c>
      <c r="J26" t="str">
        <f t="shared" si="2"/>
        <v>61-90</v>
      </c>
    </row>
    <row r="27" spans="1:10" x14ac:dyDescent="0.3">
      <c r="A27" t="str">
        <f>Table3[[#This Row],[BillID]]</f>
        <v>BILL-00026</v>
      </c>
      <c r="B27" t="str">
        <f>Table3[[#This Row],[VendorID]]</f>
        <v>VEN-004</v>
      </c>
      <c r="C27" t="str">
        <f>VLOOKUP(B27,Vendors!A:B,2,FALSE)</f>
        <v>LinkedIn Ads</v>
      </c>
      <c r="D27" s="9">
        <f>Table3[[#This Row],[BillDate]]</f>
        <v>46029</v>
      </c>
      <c r="E27" s="9">
        <f>Table3[[#This Row],[DueDate]]</f>
        <v>46059</v>
      </c>
      <c r="F27" s="3">
        <f>Table3[[#This Row],[BillAmount]]</f>
        <v>1910.73</v>
      </c>
      <c r="G27" s="3">
        <f>SUMIF(Vendor_Payments!C:C,A27,Vendor_Payments!E:E)</f>
        <v>1910.73</v>
      </c>
      <c r="H27" s="3">
        <f t="shared" si="0"/>
        <v>0</v>
      </c>
      <c r="I27">
        <f t="shared" si="1"/>
        <v>32</v>
      </c>
      <c r="J27" t="str">
        <f t="shared" si="2"/>
        <v>31-60</v>
      </c>
    </row>
    <row r="28" spans="1:10" x14ac:dyDescent="0.3">
      <c r="A28" t="str">
        <f>Table3[[#This Row],[BillID]]</f>
        <v>BILL-00027</v>
      </c>
      <c r="B28" t="str">
        <f>Table3[[#This Row],[VendorID]]</f>
        <v>VEN-030</v>
      </c>
      <c r="C28" t="str">
        <f>VLOOKUP(B28,Vendors!A:B,2,FALSE)</f>
        <v>ContentCraft Studio</v>
      </c>
      <c r="D28" s="9">
        <f>Table3[[#This Row],[BillDate]]</f>
        <v>45971</v>
      </c>
      <c r="E28" s="9">
        <f>Table3[[#This Row],[DueDate]]</f>
        <v>46001</v>
      </c>
      <c r="F28" s="3">
        <f>Table3[[#This Row],[BillAmount]]</f>
        <v>5332.99</v>
      </c>
      <c r="G28" s="3">
        <f>SUMIF(Vendor_Payments!C:C,A28,Vendor_Payments!E:E)</f>
        <v>5332.99</v>
      </c>
      <c r="H28" s="3">
        <f t="shared" si="0"/>
        <v>0</v>
      </c>
      <c r="I28">
        <f t="shared" si="1"/>
        <v>90</v>
      </c>
      <c r="J28" t="str">
        <f t="shared" si="2"/>
        <v>61-90</v>
      </c>
    </row>
    <row r="29" spans="1:10" x14ac:dyDescent="0.3">
      <c r="A29" t="str">
        <f>Table3[[#This Row],[BillID]]</f>
        <v>BILL-00028</v>
      </c>
      <c r="B29" t="str">
        <f>Table3[[#This Row],[VendorID]]</f>
        <v>VEN-005</v>
      </c>
      <c r="C29" t="str">
        <f>VLOOKUP(B29,Vendors!A:B,2,FALSE)</f>
        <v>HubSpot</v>
      </c>
      <c r="D29" s="9">
        <f>Table3[[#This Row],[BillDate]]</f>
        <v>46025</v>
      </c>
      <c r="E29" s="9">
        <f>Table3[[#This Row],[DueDate]]</f>
        <v>46055</v>
      </c>
      <c r="F29" s="3">
        <f>Table3[[#This Row],[BillAmount]]</f>
        <v>5884.01</v>
      </c>
      <c r="G29" s="3">
        <f>SUMIF(Vendor_Payments!C:C,A29,Vendor_Payments!E:E)</f>
        <v>5884.01</v>
      </c>
      <c r="H29" s="3">
        <f t="shared" si="0"/>
        <v>0</v>
      </c>
      <c r="I29">
        <f t="shared" si="1"/>
        <v>36</v>
      </c>
      <c r="J29" t="str">
        <f t="shared" si="2"/>
        <v>31-60</v>
      </c>
    </row>
    <row r="30" spans="1:10" x14ac:dyDescent="0.3">
      <c r="A30" t="str">
        <f>Table3[[#This Row],[BillID]]</f>
        <v>BILL-00029</v>
      </c>
      <c r="B30" t="str">
        <f>Table3[[#This Row],[VendorID]]</f>
        <v>VEN-039</v>
      </c>
      <c r="C30" t="str">
        <f>VLOOKUP(B30,Vendors!A:B,2,FALSE)</f>
        <v>Global Growth Advisors</v>
      </c>
      <c r="D30" s="9">
        <f>Table3[[#This Row],[BillDate]]</f>
        <v>46069</v>
      </c>
      <c r="E30" s="9">
        <f>Table3[[#This Row],[DueDate]]</f>
        <v>46099</v>
      </c>
      <c r="F30" s="3">
        <f>Table3[[#This Row],[BillAmount]]</f>
        <v>6425.28</v>
      </c>
      <c r="G30" s="3">
        <f>SUMIF(Vendor_Payments!C:C,A30,Vendor_Payments!E:E)</f>
        <v>6425.28</v>
      </c>
      <c r="H30" s="3">
        <f t="shared" si="0"/>
        <v>0</v>
      </c>
      <c r="I30">
        <f t="shared" si="1"/>
        <v>-8</v>
      </c>
      <c r="J30" t="str">
        <f t="shared" si="2"/>
        <v>Current</v>
      </c>
    </row>
    <row r="31" spans="1:10" x14ac:dyDescent="0.3">
      <c r="A31" t="str">
        <f>Table3[[#This Row],[BillID]]</f>
        <v>BILL-00030</v>
      </c>
      <c r="B31" t="str">
        <f>Table3[[#This Row],[VendorID]]</f>
        <v>VEN-001</v>
      </c>
      <c r="C31" t="str">
        <f>VLOOKUP(B31,Vendors!A:B,2,FALSE)</f>
        <v>Google Ads</v>
      </c>
      <c r="D31" s="9">
        <f>Table3[[#This Row],[BillDate]]</f>
        <v>46036</v>
      </c>
      <c r="E31" s="9">
        <f>Table3[[#This Row],[DueDate]]</f>
        <v>46066</v>
      </c>
      <c r="F31" s="3">
        <f>Table3[[#This Row],[BillAmount]]</f>
        <v>6542.63</v>
      </c>
      <c r="G31" s="3">
        <f>SUMIF(Vendor_Payments!C:C,A31,Vendor_Payments!E:E)</f>
        <v>0</v>
      </c>
      <c r="H31" s="3">
        <f t="shared" si="0"/>
        <v>6542.63</v>
      </c>
      <c r="I31">
        <f t="shared" si="1"/>
        <v>25</v>
      </c>
      <c r="J31" t="str">
        <f t="shared" si="2"/>
        <v>1-30</v>
      </c>
    </row>
    <row r="32" spans="1:10" x14ac:dyDescent="0.3">
      <c r="A32" t="str">
        <f>Table3[[#This Row],[BillID]]</f>
        <v>BILL-00031</v>
      </c>
      <c r="B32" t="str">
        <f>Table3[[#This Row],[VendorID]]</f>
        <v>VEN-017</v>
      </c>
      <c r="C32" t="str">
        <f>VLOOKUP(B32,Vendors!A:B,2,FALSE)</f>
        <v>PayPal</v>
      </c>
      <c r="D32" s="9">
        <f>Table3[[#This Row],[BillDate]]</f>
        <v>46004</v>
      </c>
      <c r="E32" s="9">
        <f>Table3[[#This Row],[DueDate]]</f>
        <v>46034</v>
      </c>
      <c r="F32" s="3">
        <f>Table3[[#This Row],[BillAmount]]</f>
        <v>6537.73</v>
      </c>
      <c r="G32" s="3">
        <f>SUMIF(Vendor_Payments!C:C,A32,Vendor_Payments!E:E)</f>
        <v>0</v>
      </c>
      <c r="H32" s="3">
        <f t="shared" si="0"/>
        <v>6537.73</v>
      </c>
      <c r="I32">
        <f t="shared" si="1"/>
        <v>57</v>
      </c>
      <c r="J32" t="str">
        <f t="shared" si="2"/>
        <v>31-60</v>
      </c>
    </row>
    <row r="33" spans="1:10" x14ac:dyDescent="0.3">
      <c r="A33" t="str">
        <f>Table3[[#This Row],[BillID]]</f>
        <v>BILL-00032</v>
      </c>
      <c r="B33" t="str">
        <f>Table3[[#This Row],[VendorID]]</f>
        <v>VEN-014</v>
      </c>
      <c r="C33" t="str">
        <f>VLOOKUP(B33,Vendors!A:B,2,FALSE)</f>
        <v>Figma</v>
      </c>
      <c r="D33" s="9">
        <f>Table3[[#This Row],[BillDate]]</f>
        <v>46040</v>
      </c>
      <c r="E33" s="9">
        <f>Table3[[#This Row],[DueDate]]</f>
        <v>46070</v>
      </c>
      <c r="F33" s="3">
        <f>Table3[[#This Row],[BillAmount]]</f>
        <v>3437.82</v>
      </c>
      <c r="G33" s="3">
        <f>SUMIF(Vendor_Payments!C:C,A33,Vendor_Payments!E:E)</f>
        <v>0</v>
      </c>
      <c r="H33" s="3">
        <f t="shared" si="0"/>
        <v>3437.82</v>
      </c>
      <c r="I33">
        <f t="shared" si="1"/>
        <v>21</v>
      </c>
      <c r="J33" t="str">
        <f t="shared" si="2"/>
        <v>1-30</v>
      </c>
    </row>
    <row r="34" spans="1:10" x14ac:dyDescent="0.3">
      <c r="A34" t="str">
        <f>Table3[[#This Row],[BillID]]</f>
        <v>BILL-00033</v>
      </c>
      <c r="B34" t="str">
        <f>Table3[[#This Row],[VendorID]]</f>
        <v>VEN-026</v>
      </c>
      <c r="C34" t="str">
        <f>VLOOKUP(B34,Vendors!A:B,2,FALSE)</f>
        <v>PixelForge Studio</v>
      </c>
      <c r="D34" s="9">
        <f>Table3[[#This Row],[BillDate]]</f>
        <v>45965</v>
      </c>
      <c r="E34" s="9">
        <f>Table3[[#This Row],[DueDate]]</f>
        <v>45995</v>
      </c>
      <c r="F34" s="3">
        <f>Table3[[#This Row],[BillAmount]]</f>
        <v>6888.66</v>
      </c>
      <c r="G34" s="3">
        <f>SUMIF(Vendor_Payments!C:C,A34,Vendor_Payments!E:E)</f>
        <v>6888.66</v>
      </c>
      <c r="H34" s="3">
        <f t="shared" si="0"/>
        <v>0</v>
      </c>
      <c r="I34">
        <f t="shared" si="1"/>
        <v>96</v>
      </c>
      <c r="J34" t="str">
        <f t="shared" si="2"/>
        <v>90+</v>
      </c>
    </row>
    <row r="35" spans="1:10" x14ac:dyDescent="0.3">
      <c r="A35" t="str">
        <f>Table3[[#This Row],[BillID]]</f>
        <v>BILL-00034</v>
      </c>
      <c r="B35" t="str">
        <f>Table3[[#This Row],[VendorID]]</f>
        <v>VEN-014</v>
      </c>
      <c r="C35" t="str">
        <f>VLOOKUP(B35,Vendors!A:B,2,FALSE)</f>
        <v>Figma</v>
      </c>
      <c r="D35" s="9">
        <f>Table3[[#This Row],[BillDate]]</f>
        <v>46072</v>
      </c>
      <c r="E35" s="9">
        <f>Table3[[#This Row],[DueDate]]</f>
        <v>46102</v>
      </c>
      <c r="F35" s="3">
        <f>Table3[[#This Row],[BillAmount]]</f>
        <v>4756.8100000000004</v>
      </c>
      <c r="G35" s="3">
        <f>SUMIF(Vendor_Payments!C:C,A35,Vendor_Payments!E:E)</f>
        <v>4756.8100000000004</v>
      </c>
      <c r="H35" s="3">
        <f t="shared" si="0"/>
        <v>0</v>
      </c>
      <c r="I35">
        <f t="shared" si="1"/>
        <v>-11</v>
      </c>
      <c r="J35" t="str">
        <f t="shared" si="2"/>
        <v>Current</v>
      </c>
    </row>
    <row r="36" spans="1:10" x14ac:dyDescent="0.3">
      <c r="A36" t="str">
        <f>Table3[[#This Row],[BillID]]</f>
        <v>BILL-00035</v>
      </c>
      <c r="B36" t="str">
        <f>Table3[[#This Row],[VendorID]]</f>
        <v>VEN-028</v>
      </c>
      <c r="C36" t="str">
        <f>VLOOKUP(B36,Vendors!A:B,2,FALSE)</f>
        <v>MarketEdge Consulting</v>
      </c>
      <c r="D36" s="9">
        <f>Table3[[#This Row],[BillDate]]</f>
        <v>46069</v>
      </c>
      <c r="E36" s="9">
        <f>Table3[[#This Row],[DueDate]]</f>
        <v>46099</v>
      </c>
      <c r="F36" s="3">
        <f>Table3[[#This Row],[BillAmount]]</f>
        <v>6063.31</v>
      </c>
      <c r="G36" s="3">
        <f>SUMIF(Vendor_Payments!C:C,A36,Vendor_Payments!E:E)</f>
        <v>6063.31</v>
      </c>
      <c r="H36" s="3">
        <f t="shared" si="0"/>
        <v>0</v>
      </c>
      <c r="I36">
        <f t="shared" si="1"/>
        <v>-8</v>
      </c>
      <c r="J36" t="str">
        <f t="shared" si="2"/>
        <v>Current</v>
      </c>
    </row>
    <row r="37" spans="1:10" x14ac:dyDescent="0.3">
      <c r="A37" t="str">
        <f>Table3[[#This Row],[BillID]]</f>
        <v>BILL-00036</v>
      </c>
      <c r="B37" t="str">
        <f>Table3[[#This Row],[VendorID]]</f>
        <v>VEN-016</v>
      </c>
      <c r="C37" t="str">
        <f>VLOOKUP(B37,Vendors!A:B,2,FALSE)</f>
        <v>Stripe</v>
      </c>
      <c r="D37" s="9">
        <f>Table3[[#This Row],[BillDate]]</f>
        <v>46034</v>
      </c>
      <c r="E37" s="9">
        <f>Table3[[#This Row],[DueDate]]</f>
        <v>46064</v>
      </c>
      <c r="F37" s="3">
        <f>Table3[[#This Row],[BillAmount]]</f>
        <v>4580.4799999999996</v>
      </c>
      <c r="G37" s="3">
        <f>SUMIF(Vendor_Payments!C:C,A37,Vendor_Payments!E:E)</f>
        <v>0</v>
      </c>
      <c r="H37" s="3">
        <f t="shared" si="0"/>
        <v>4580.4799999999996</v>
      </c>
      <c r="I37">
        <f t="shared" si="1"/>
        <v>27</v>
      </c>
      <c r="J37" t="str">
        <f t="shared" si="2"/>
        <v>1-30</v>
      </c>
    </row>
    <row r="38" spans="1:10" x14ac:dyDescent="0.3">
      <c r="A38" t="str">
        <f>Table3[[#This Row],[BillID]]</f>
        <v>BILL-00037</v>
      </c>
      <c r="B38" t="str">
        <f>Table3[[#This Row],[VendorID]]</f>
        <v>VEN-006</v>
      </c>
      <c r="C38" t="str">
        <f>VLOOKUP(B38,Vendors!A:B,2,FALSE)</f>
        <v>Salesforce</v>
      </c>
      <c r="D38" s="9">
        <f>Table3[[#This Row],[BillDate]]</f>
        <v>45968</v>
      </c>
      <c r="E38" s="9">
        <f>Table3[[#This Row],[DueDate]]</f>
        <v>45998</v>
      </c>
      <c r="F38" s="3">
        <f>Table3[[#This Row],[BillAmount]]</f>
        <v>2505.63</v>
      </c>
      <c r="G38" s="3">
        <f>SUMIF(Vendor_Payments!C:C,A38,Vendor_Payments!E:E)</f>
        <v>0</v>
      </c>
      <c r="H38" s="3">
        <f t="shared" si="0"/>
        <v>2505.63</v>
      </c>
      <c r="I38">
        <f t="shared" si="1"/>
        <v>93</v>
      </c>
      <c r="J38" t="str">
        <f t="shared" si="2"/>
        <v>90+</v>
      </c>
    </row>
    <row r="39" spans="1:10" x14ac:dyDescent="0.3">
      <c r="A39" t="str">
        <f>Table3[[#This Row],[BillID]]</f>
        <v>BILL-00038</v>
      </c>
      <c r="B39" t="str">
        <f>Table3[[#This Row],[VendorID]]</f>
        <v>VEN-002</v>
      </c>
      <c r="C39" t="str">
        <f>VLOOKUP(B39,Vendors!A:B,2,FALSE)</f>
        <v>Meta Ads</v>
      </c>
      <c r="D39" s="9">
        <f>Table3[[#This Row],[BillDate]]</f>
        <v>46021</v>
      </c>
      <c r="E39" s="9">
        <f>Table3[[#This Row],[DueDate]]</f>
        <v>46051</v>
      </c>
      <c r="F39" s="3">
        <f>Table3[[#This Row],[BillAmount]]</f>
        <v>5374.91</v>
      </c>
      <c r="G39" s="3">
        <f>SUMIF(Vendor_Payments!C:C,A39,Vendor_Payments!E:E)</f>
        <v>5374.91</v>
      </c>
      <c r="H39" s="3">
        <f t="shared" si="0"/>
        <v>0</v>
      </c>
      <c r="I39">
        <f t="shared" si="1"/>
        <v>40</v>
      </c>
      <c r="J39" t="str">
        <f t="shared" si="2"/>
        <v>31-60</v>
      </c>
    </row>
    <row r="40" spans="1:10" x14ac:dyDescent="0.3">
      <c r="A40" t="str">
        <f>Table3[[#This Row],[BillID]]</f>
        <v>BILL-00039</v>
      </c>
      <c r="B40" t="str">
        <f>Table3[[#This Row],[VendorID]]</f>
        <v>VEN-037</v>
      </c>
      <c r="C40" t="str">
        <f>VLOOKUP(B40,Vendors!A:B,2,FALSE)</f>
        <v>CreativeSpark Studio</v>
      </c>
      <c r="D40" s="9">
        <f>Table3[[#This Row],[BillDate]]</f>
        <v>46084</v>
      </c>
      <c r="E40" s="9">
        <f>Table3[[#This Row],[DueDate]]</f>
        <v>46114</v>
      </c>
      <c r="F40" s="3">
        <f>Table3[[#This Row],[BillAmount]]</f>
        <v>4707.71</v>
      </c>
      <c r="G40" s="3">
        <f>SUMIF(Vendor_Payments!C:C,A40,Vendor_Payments!E:E)</f>
        <v>4707.71</v>
      </c>
      <c r="H40" s="3">
        <f t="shared" si="0"/>
        <v>0</v>
      </c>
      <c r="I40">
        <f t="shared" si="1"/>
        <v>-23</v>
      </c>
      <c r="J40" t="str">
        <f t="shared" si="2"/>
        <v>Current</v>
      </c>
    </row>
    <row r="41" spans="1:10" x14ac:dyDescent="0.3">
      <c r="A41" t="str">
        <f>Table3[[#This Row],[BillID]]</f>
        <v>BILL-00040</v>
      </c>
      <c r="B41" t="str">
        <f>Table3[[#This Row],[VendorID]]</f>
        <v>VEN-030</v>
      </c>
      <c r="C41" t="str">
        <f>VLOOKUP(B41,Vendors!A:B,2,FALSE)</f>
        <v>ContentCraft Studio</v>
      </c>
      <c r="D41" s="9">
        <f>Table3[[#This Row],[BillDate]]</f>
        <v>45968</v>
      </c>
      <c r="E41" s="9">
        <f>Table3[[#This Row],[DueDate]]</f>
        <v>45998</v>
      </c>
      <c r="F41" s="3">
        <f>Table3[[#This Row],[BillAmount]]</f>
        <v>4377.97</v>
      </c>
      <c r="G41" s="3">
        <f>SUMIF(Vendor_Payments!C:C,A41,Vendor_Payments!E:E)</f>
        <v>4377.97</v>
      </c>
      <c r="H41" s="3">
        <f t="shared" si="0"/>
        <v>0</v>
      </c>
      <c r="I41">
        <f t="shared" si="1"/>
        <v>93</v>
      </c>
      <c r="J41" t="str">
        <f t="shared" si="2"/>
        <v>90+</v>
      </c>
    </row>
    <row r="42" spans="1:10" x14ac:dyDescent="0.3">
      <c r="A42" t="str">
        <f>Table3[[#This Row],[BillID]]</f>
        <v>BILL-00041</v>
      </c>
      <c r="B42" t="str">
        <f>Table3[[#This Row],[VendorID]]</f>
        <v>VEN-028</v>
      </c>
      <c r="C42" t="str">
        <f>VLOOKUP(B42,Vendors!A:B,2,FALSE)</f>
        <v>MarketEdge Consulting</v>
      </c>
      <c r="D42" s="9">
        <f>Table3[[#This Row],[BillDate]]</f>
        <v>46079</v>
      </c>
      <c r="E42" s="9">
        <f>Table3[[#This Row],[DueDate]]</f>
        <v>46109</v>
      </c>
      <c r="F42" s="3">
        <f>Table3[[#This Row],[BillAmount]]</f>
        <v>6532.59</v>
      </c>
      <c r="G42" s="3">
        <f>SUMIF(Vendor_Payments!C:C,A42,Vendor_Payments!E:E)</f>
        <v>6532.59</v>
      </c>
      <c r="H42" s="3">
        <f t="shared" si="0"/>
        <v>0</v>
      </c>
      <c r="I42">
        <f t="shared" si="1"/>
        <v>-18</v>
      </c>
      <c r="J42" t="str">
        <f t="shared" si="2"/>
        <v>Current</v>
      </c>
    </row>
    <row r="43" spans="1:10" x14ac:dyDescent="0.3">
      <c r="A43" t="str">
        <f>Table3[[#This Row],[BillID]]</f>
        <v>BILL-00042</v>
      </c>
      <c r="B43" t="str">
        <f>Table3[[#This Row],[VendorID]]</f>
        <v>VEN-006</v>
      </c>
      <c r="C43" t="str">
        <f>VLOOKUP(B43,Vendors!A:B,2,FALSE)</f>
        <v>Salesforce</v>
      </c>
      <c r="D43" s="9">
        <f>Table3[[#This Row],[BillDate]]</f>
        <v>45973</v>
      </c>
      <c r="E43" s="9">
        <f>Table3[[#This Row],[DueDate]]</f>
        <v>46003</v>
      </c>
      <c r="F43" s="3">
        <f>Table3[[#This Row],[BillAmount]]</f>
        <v>4693.63</v>
      </c>
      <c r="G43" s="3">
        <f>SUMIF(Vendor_Payments!C:C,A43,Vendor_Payments!E:E)</f>
        <v>4693.63</v>
      </c>
      <c r="H43" s="3">
        <f t="shared" si="0"/>
        <v>0</v>
      </c>
      <c r="I43">
        <f t="shared" si="1"/>
        <v>88</v>
      </c>
      <c r="J43" t="str">
        <f t="shared" si="2"/>
        <v>61-90</v>
      </c>
    </row>
    <row r="44" spans="1:10" x14ac:dyDescent="0.3">
      <c r="A44" t="str">
        <f>Table3[[#This Row],[BillID]]</f>
        <v>BILL-00043</v>
      </c>
      <c r="B44" t="str">
        <f>Table3[[#This Row],[VendorID]]</f>
        <v>VEN-035</v>
      </c>
      <c r="C44" t="str">
        <f>VLOOKUP(B44,Vendors!A:B,2,FALSE)</f>
        <v>ClickFlow Marketing</v>
      </c>
      <c r="D44" s="9">
        <f>Table3[[#This Row],[BillDate]]</f>
        <v>45999</v>
      </c>
      <c r="E44" s="9">
        <f>Table3[[#This Row],[DueDate]]</f>
        <v>46029</v>
      </c>
      <c r="F44" s="3">
        <f>Table3[[#This Row],[BillAmount]]</f>
        <v>5455.32</v>
      </c>
      <c r="G44" s="3">
        <f>SUMIF(Vendor_Payments!C:C,A44,Vendor_Payments!E:E)</f>
        <v>0</v>
      </c>
      <c r="H44" s="3">
        <f t="shared" si="0"/>
        <v>5455.32</v>
      </c>
      <c r="I44">
        <f t="shared" si="1"/>
        <v>62</v>
      </c>
      <c r="J44" t="str">
        <f t="shared" si="2"/>
        <v>61-90</v>
      </c>
    </row>
    <row r="45" spans="1:10" x14ac:dyDescent="0.3">
      <c r="A45" t="str">
        <f>Table3[[#This Row],[BillID]]</f>
        <v>BILL-00044</v>
      </c>
      <c r="B45" t="str">
        <f>Table3[[#This Row],[VendorID]]</f>
        <v>VEN-001</v>
      </c>
      <c r="C45" t="str">
        <f>VLOOKUP(B45,Vendors!A:B,2,FALSE)</f>
        <v>Google Ads</v>
      </c>
      <c r="D45" s="9">
        <f>Table3[[#This Row],[BillDate]]</f>
        <v>46058</v>
      </c>
      <c r="E45" s="9">
        <f>Table3[[#This Row],[DueDate]]</f>
        <v>46088</v>
      </c>
      <c r="F45" s="3">
        <f>Table3[[#This Row],[BillAmount]]</f>
        <v>5566.57</v>
      </c>
      <c r="G45" s="3">
        <f>SUMIF(Vendor_Payments!C:C,A45,Vendor_Payments!E:E)</f>
        <v>5566.57</v>
      </c>
      <c r="H45" s="3">
        <f t="shared" si="0"/>
        <v>0</v>
      </c>
      <c r="I45">
        <f t="shared" si="1"/>
        <v>3</v>
      </c>
      <c r="J45" t="str">
        <f t="shared" si="2"/>
        <v>1-30</v>
      </c>
    </row>
    <row r="46" spans="1:10" x14ac:dyDescent="0.3">
      <c r="A46" t="str">
        <f>Table3[[#This Row],[BillID]]</f>
        <v>BILL-00045</v>
      </c>
      <c r="B46" t="str">
        <f>Table3[[#This Row],[VendorID]]</f>
        <v>VEN-026</v>
      </c>
      <c r="C46" t="str">
        <f>VLOOKUP(B46,Vendors!A:B,2,FALSE)</f>
        <v>PixelForge Studio</v>
      </c>
      <c r="D46" s="9">
        <f>Table3[[#This Row],[BillDate]]</f>
        <v>46004</v>
      </c>
      <c r="E46" s="9">
        <f>Table3[[#This Row],[DueDate]]</f>
        <v>46034</v>
      </c>
      <c r="F46" s="3">
        <f>Table3[[#This Row],[BillAmount]]</f>
        <v>923.85</v>
      </c>
      <c r="G46" s="3">
        <f>SUMIF(Vendor_Payments!C:C,A46,Vendor_Payments!E:E)</f>
        <v>0</v>
      </c>
      <c r="H46" s="3">
        <f t="shared" si="0"/>
        <v>923.85</v>
      </c>
      <c r="I46">
        <f t="shared" si="1"/>
        <v>57</v>
      </c>
      <c r="J46" t="str">
        <f t="shared" si="2"/>
        <v>31-60</v>
      </c>
    </row>
    <row r="47" spans="1:10" x14ac:dyDescent="0.3">
      <c r="A47" t="str">
        <f>Table3[[#This Row],[BillID]]</f>
        <v>BILL-00046</v>
      </c>
      <c r="B47" t="str">
        <f>Table3[[#This Row],[VendorID]]</f>
        <v>VEN-016</v>
      </c>
      <c r="C47" t="str">
        <f>VLOOKUP(B47,Vendors!A:B,2,FALSE)</f>
        <v>Stripe</v>
      </c>
      <c r="D47" s="9">
        <f>Table3[[#This Row],[BillDate]]</f>
        <v>46084</v>
      </c>
      <c r="E47" s="9">
        <f>Table3[[#This Row],[DueDate]]</f>
        <v>46114</v>
      </c>
      <c r="F47" s="3">
        <f>Table3[[#This Row],[BillAmount]]</f>
        <v>5681.04</v>
      </c>
      <c r="G47" s="3">
        <f>SUMIF(Vendor_Payments!C:C,A47,Vendor_Payments!E:E)</f>
        <v>5681.04</v>
      </c>
      <c r="H47" s="3">
        <f t="shared" si="0"/>
        <v>0</v>
      </c>
      <c r="I47">
        <f t="shared" si="1"/>
        <v>-23</v>
      </c>
      <c r="J47" t="str">
        <f t="shared" si="2"/>
        <v>Current</v>
      </c>
    </row>
    <row r="48" spans="1:10" x14ac:dyDescent="0.3">
      <c r="A48" t="str">
        <f>Table3[[#This Row],[BillID]]</f>
        <v>BILL-00047</v>
      </c>
      <c r="B48" t="str">
        <f>Table3[[#This Row],[VendorID]]</f>
        <v>VEN-009</v>
      </c>
      <c r="C48" t="str">
        <f>VLOOKUP(B48,Vendors!A:B,2,FALSE)</f>
        <v>SEMrush</v>
      </c>
      <c r="D48" s="9">
        <f>Table3[[#This Row],[BillDate]]</f>
        <v>46014</v>
      </c>
      <c r="E48" s="9">
        <f>Table3[[#This Row],[DueDate]]</f>
        <v>46044</v>
      </c>
      <c r="F48" s="3">
        <f>Table3[[#This Row],[BillAmount]]</f>
        <v>6087.55</v>
      </c>
      <c r="G48" s="3">
        <f>SUMIF(Vendor_Payments!C:C,A48,Vendor_Payments!E:E)</f>
        <v>0</v>
      </c>
      <c r="H48" s="3">
        <f t="shared" si="0"/>
        <v>6087.55</v>
      </c>
      <c r="I48">
        <f t="shared" si="1"/>
        <v>47</v>
      </c>
      <c r="J48" t="str">
        <f t="shared" si="2"/>
        <v>31-60</v>
      </c>
    </row>
    <row r="49" spans="1:10" x14ac:dyDescent="0.3">
      <c r="A49" t="str">
        <f>Table3[[#This Row],[BillID]]</f>
        <v>BILL-00048</v>
      </c>
      <c r="B49" t="str">
        <f>Table3[[#This Row],[VendorID]]</f>
        <v>VEN-021</v>
      </c>
      <c r="C49" t="str">
        <f>VLOOKUP(B49,Vendors!A:B,2,FALSE)</f>
        <v>Upwork Freelancers</v>
      </c>
      <c r="D49" s="9">
        <f>Table3[[#This Row],[BillDate]]</f>
        <v>46024</v>
      </c>
      <c r="E49" s="9">
        <f>Table3[[#This Row],[DueDate]]</f>
        <v>46054</v>
      </c>
      <c r="F49" s="3">
        <f>Table3[[#This Row],[BillAmount]]</f>
        <v>2967.28</v>
      </c>
      <c r="G49" s="3">
        <f>SUMIF(Vendor_Payments!C:C,A49,Vendor_Payments!E:E)</f>
        <v>2967.28</v>
      </c>
      <c r="H49" s="3">
        <f t="shared" si="0"/>
        <v>0</v>
      </c>
      <c r="I49">
        <f t="shared" si="1"/>
        <v>37</v>
      </c>
      <c r="J49" t="str">
        <f t="shared" si="2"/>
        <v>31-60</v>
      </c>
    </row>
    <row r="50" spans="1:10" x14ac:dyDescent="0.3">
      <c r="A50" t="str">
        <f>Table3[[#This Row],[BillID]]</f>
        <v>BILL-00049</v>
      </c>
      <c r="B50" t="str">
        <f>Table3[[#This Row],[VendorID]]</f>
        <v>VEN-037</v>
      </c>
      <c r="C50" t="str">
        <f>VLOOKUP(B50,Vendors!A:B,2,FALSE)</f>
        <v>CreativeSpark Studio</v>
      </c>
      <c r="D50" s="9">
        <f>Table3[[#This Row],[BillDate]]</f>
        <v>46089</v>
      </c>
      <c r="E50" s="9">
        <f>Table3[[#This Row],[DueDate]]</f>
        <v>46119</v>
      </c>
      <c r="F50" s="3">
        <f>Table3[[#This Row],[BillAmount]]</f>
        <v>1166.24</v>
      </c>
      <c r="G50" s="3">
        <f>SUMIF(Vendor_Payments!C:C,A50,Vendor_Payments!E:E)</f>
        <v>1166.24</v>
      </c>
      <c r="H50" s="3">
        <f t="shared" si="0"/>
        <v>0</v>
      </c>
      <c r="I50">
        <f t="shared" si="1"/>
        <v>-28</v>
      </c>
      <c r="J50" t="str">
        <f t="shared" si="2"/>
        <v>Current</v>
      </c>
    </row>
    <row r="51" spans="1:10" x14ac:dyDescent="0.3">
      <c r="A51" t="str">
        <f>Table3[[#This Row],[BillID]]</f>
        <v>BILL-00050</v>
      </c>
      <c r="B51" t="str">
        <f>Table3[[#This Row],[VendorID]]</f>
        <v>VEN-007</v>
      </c>
      <c r="C51" t="str">
        <f>VLOOKUP(B51,Vendors!A:B,2,FALSE)</f>
        <v>Mailchimp</v>
      </c>
      <c r="D51" s="9">
        <f>Table3[[#This Row],[BillDate]]</f>
        <v>46065</v>
      </c>
      <c r="E51" s="9">
        <f>Table3[[#This Row],[DueDate]]</f>
        <v>46095</v>
      </c>
      <c r="F51" s="3">
        <f>Table3[[#This Row],[BillAmount]]</f>
        <v>6104.63</v>
      </c>
      <c r="G51" s="3">
        <f>SUMIF(Vendor_Payments!C:C,A51,Vendor_Payments!E:E)</f>
        <v>0</v>
      </c>
      <c r="H51" s="3">
        <f t="shared" si="0"/>
        <v>6104.63</v>
      </c>
      <c r="I51">
        <f t="shared" si="1"/>
        <v>-4</v>
      </c>
      <c r="J51" t="str">
        <f t="shared" si="2"/>
        <v>Current</v>
      </c>
    </row>
    <row r="52" spans="1:10" x14ac:dyDescent="0.3">
      <c r="A52" t="str">
        <f>Table3[[#This Row],[BillID]]</f>
        <v>BILL-00051</v>
      </c>
      <c r="B52" t="str">
        <f>Table3[[#This Row],[VendorID]]</f>
        <v>VEN-021</v>
      </c>
      <c r="C52" t="str">
        <f>VLOOKUP(B52,Vendors!A:B,2,FALSE)</f>
        <v>Upwork Freelancers</v>
      </c>
      <c r="D52" s="9">
        <f>Table3[[#This Row],[BillDate]]</f>
        <v>46082</v>
      </c>
      <c r="E52" s="9">
        <f>Table3[[#This Row],[DueDate]]</f>
        <v>46112</v>
      </c>
      <c r="F52" s="3">
        <f>Table3[[#This Row],[BillAmount]]</f>
        <v>1178.18</v>
      </c>
      <c r="G52" s="3">
        <f>SUMIF(Vendor_Payments!C:C,A52,Vendor_Payments!E:E)</f>
        <v>1178.18</v>
      </c>
      <c r="H52" s="3">
        <f t="shared" si="0"/>
        <v>0</v>
      </c>
      <c r="I52">
        <f t="shared" si="1"/>
        <v>-21</v>
      </c>
      <c r="J52" t="str">
        <f t="shared" si="2"/>
        <v>Current</v>
      </c>
    </row>
    <row r="53" spans="1:10" x14ac:dyDescent="0.3">
      <c r="A53" t="str">
        <f>Table3[[#This Row],[BillID]]</f>
        <v>BILL-00052</v>
      </c>
      <c r="B53" t="str">
        <f>Table3[[#This Row],[VendorID]]</f>
        <v>VEN-030</v>
      </c>
      <c r="C53" t="str">
        <f>VLOOKUP(B53,Vendors!A:B,2,FALSE)</f>
        <v>ContentCraft Studio</v>
      </c>
      <c r="D53" s="9">
        <f>Table3[[#This Row],[BillDate]]</f>
        <v>46044</v>
      </c>
      <c r="E53" s="9">
        <f>Table3[[#This Row],[DueDate]]</f>
        <v>46074</v>
      </c>
      <c r="F53" s="3">
        <f>Table3[[#This Row],[BillAmount]]</f>
        <v>2080.8200000000002</v>
      </c>
      <c r="G53" s="3">
        <f>SUMIF(Vendor_Payments!C:C,A53,Vendor_Payments!E:E)</f>
        <v>2080.8200000000002</v>
      </c>
      <c r="H53" s="3">
        <f t="shared" si="0"/>
        <v>0</v>
      </c>
      <c r="I53">
        <f t="shared" si="1"/>
        <v>17</v>
      </c>
      <c r="J53" t="str">
        <f t="shared" si="2"/>
        <v>1-30</v>
      </c>
    </row>
    <row r="54" spans="1:10" x14ac:dyDescent="0.3">
      <c r="A54" t="str">
        <f>Table3[[#This Row],[BillID]]</f>
        <v>BILL-00053</v>
      </c>
      <c r="B54" t="str">
        <f>Table3[[#This Row],[VendorID]]</f>
        <v>VEN-034</v>
      </c>
      <c r="C54" t="str">
        <f>VLOOKUP(B54,Vendors!A:B,2,FALSE)</f>
        <v>SocialBoost Agency</v>
      </c>
      <c r="D54" s="9">
        <f>Table3[[#This Row],[BillDate]]</f>
        <v>46081</v>
      </c>
      <c r="E54" s="9">
        <f>Table3[[#This Row],[DueDate]]</f>
        <v>46111</v>
      </c>
      <c r="F54" s="3">
        <f>Table3[[#This Row],[BillAmount]]</f>
        <v>3876.37</v>
      </c>
      <c r="G54" s="3">
        <f>SUMIF(Vendor_Payments!C:C,A54,Vendor_Payments!E:E)</f>
        <v>3876.37</v>
      </c>
      <c r="H54" s="3">
        <f t="shared" si="0"/>
        <v>0</v>
      </c>
      <c r="I54">
        <f t="shared" si="1"/>
        <v>-20</v>
      </c>
      <c r="J54" t="str">
        <f t="shared" si="2"/>
        <v>Current</v>
      </c>
    </row>
    <row r="55" spans="1:10" x14ac:dyDescent="0.3">
      <c r="A55" t="str">
        <f>Table3[[#This Row],[BillID]]</f>
        <v>BILL-00054</v>
      </c>
      <c r="B55" t="str">
        <f>Table3[[#This Row],[VendorID]]</f>
        <v>VEN-029</v>
      </c>
      <c r="C55" t="str">
        <f>VLOOKUP(B55,Vendors!A:B,2,FALSE)</f>
        <v>BrightSEO Agency</v>
      </c>
      <c r="D55" s="9">
        <f>Table3[[#This Row],[BillDate]]</f>
        <v>46056</v>
      </c>
      <c r="E55" s="9">
        <f>Table3[[#This Row],[DueDate]]</f>
        <v>46086</v>
      </c>
      <c r="F55" s="3">
        <f>Table3[[#This Row],[BillAmount]]</f>
        <v>1288.97</v>
      </c>
      <c r="G55" s="3">
        <f>SUMIF(Vendor_Payments!C:C,A55,Vendor_Payments!E:E)</f>
        <v>1288.97</v>
      </c>
      <c r="H55" s="3">
        <f t="shared" si="0"/>
        <v>0</v>
      </c>
      <c r="I55">
        <f t="shared" si="1"/>
        <v>5</v>
      </c>
      <c r="J55" t="str">
        <f t="shared" si="2"/>
        <v>1-30</v>
      </c>
    </row>
    <row r="56" spans="1:10" x14ac:dyDescent="0.3">
      <c r="A56" t="str">
        <f>Table3[[#This Row],[BillID]]</f>
        <v>BILL-00055</v>
      </c>
      <c r="B56" t="str">
        <f>Table3[[#This Row],[VendorID]]</f>
        <v>VEN-039</v>
      </c>
      <c r="C56" t="str">
        <f>VLOOKUP(B56,Vendors!A:B,2,FALSE)</f>
        <v>Global Growth Advisors</v>
      </c>
      <c r="D56" s="9">
        <f>Table3[[#This Row],[BillDate]]</f>
        <v>45986</v>
      </c>
      <c r="E56" s="9">
        <f>Table3[[#This Row],[DueDate]]</f>
        <v>46016</v>
      </c>
      <c r="F56" s="3">
        <f>Table3[[#This Row],[BillAmount]]</f>
        <v>3285.85</v>
      </c>
      <c r="G56" s="3">
        <f>SUMIF(Vendor_Payments!C:C,A56,Vendor_Payments!E:E)</f>
        <v>3285.85</v>
      </c>
      <c r="H56" s="3">
        <f t="shared" si="0"/>
        <v>0</v>
      </c>
      <c r="I56">
        <f t="shared" si="1"/>
        <v>75</v>
      </c>
      <c r="J56" t="str">
        <f t="shared" si="2"/>
        <v>61-90</v>
      </c>
    </row>
    <row r="57" spans="1:10" x14ac:dyDescent="0.3">
      <c r="A57" t="str">
        <f>Table3[[#This Row],[BillID]]</f>
        <v>BILL-00056</v>
      </c>
      <c r="B57" t="str">
        <f>Table3[[#This Row],[VendorID]]</f>
        <v>VEN-040</v>
      </c>
      <c r="C57" t="str">
        <f>VLOOKUP(B57,Vendors!A:B,2,FALSE)</f>
        <v>Digital Performance Lab</v>
      </c>
      <c r="D57" s="9">
        <f>Table3[[#This Row],[BillDate]]</f>
        <v>46087</v>
      </c>
      <c r="E57" s="9">
        <f>Table3[[#This Row],[DueDate]]</f>
        <v>46117</v>
      </c>
      <c r="F57" s="3">
        <f>Table3[[#This Row],[BillAmount]]</f>
        <v>1174.19</v>
      </c>
      <c r="G57" s="3">
        <f>SUMIF(Vendor_Payments!C:C,A57,Vendor_Payments!E:E)</f>
        <v>1174.19</v>
      </c>
      <c r="H57" s="3">
        <f t="shared" si="0"/>
        <v>0</v>
      </c>
      <c r="I57">
        <f t="shared" si="1"/>
        <v>-26</v>
      </c>
      <c r="J57" t="str">
        <f t="shared" si="2"/>
        <v>Current</v>
      </c>
    </row>
    <row r="58" spans="1:10" x14ac:dyDescent="0.3">
      <c r="A58" t="str">
        <f>Table3[[#This Row],[BillID]]</f>
        <v>BILL-00057</v>
      </c>
      <c r="B58" t="str">
        <f>Table3[[#This Row],[VendorID]]</f>
        <v>VEN-021</v>
      </c>
      <c r="C58" t="str">
        <f>VLOOKUP(B58,Vendors!A:B,2,FALSE)</f>
        <v>Upwork Freelancers</v>
      </c>
      <c r="D58" s="9">
        <f>Table3[[#This Row],[BillDate]]</f>
        <v>46038</v>
      </c>
      <c r="E58" s="9">
        <f>Table3[[#This Row],[DueDate]]</f>
        <v>46068</v>
      </c>
      <c r="F58" s="3">
        <f>Table3[[#This Row],[BillAmount]]</f>
        <v>6847.65</v>
      </c>
      <c r="G58" s="3">
        <f>SUMIF(Vendor_Payments!C:C,A58,Vendor_Payments!E:E)</f>
        <v>0</v>
      </c>
      <c r="H58" s="3">
        <f t="shared" si="0"/>
        <v>6847.65</v>
      </c>
      <c r="I58">
        <f t="shared" si="1"/>
        <v>23</v>
      </c>
      <c r="J58" t="str">
        <f t="shared" si="2"/>
        <v>1-30</v>
      </c>
    </row>
    <row r="59" spans="1:10" x14ac:dyDescent="0.3">
      <c r="A59" t="str">
        <f>Table3[[#This Row],[BillID]]</f>
        <v>BILL-00058</v>
      </c>
      <c r="B59" t="str">
        <f>Table3[[#This Row],[VendorID]]</f>
        <v>VEN-006</v>
      </c>
      <c r="C59" t="str">
        <f>VLOOKUP(B59,Vendors!A:B,2,FALSE)</f>
        <v>Salesforce</v>
      </c>
      <c r="D59" s="9">
        <f>Table3[[#This Row],[BillDate]]</f>
        <v>46014</v>
      </c>
      <c r="E59" s="9">
        <f>Table3[[#This Row],[DueDate]]</f>
        <v>46044</v>
      </c>
      <c r="F59" s="3">
        <f>Table3[[#This Row],[BillAmount]]</f>
        <v>3073.65</v>
      </c>
      <c r="G59" s="3">
        <f>SUMIF(Vendor_Payments!C:C,A59,Vendor_Payments!E:E)</f>
        <v>0</v>
      </c>
      <c r="H59" s="3">
        <f t="shared" si="0"/>
        <v>3073.65</v>
      </c>
      <c r="I59">
        <f t="shared" si="1"/>
        <v>47</v>
      </c>
      <c r="J59" t="str">
        <f t="shared" si="2"/>
        <v>31-60</v>
      </c>
    </row>
    <row r="60" spans="1:10" x14ac:dyDescent="0.3">
      <c r="A60" t="str">
        <f>Table3[[#This Row],[BillID]]</f>
        <v>BILL-00059</v>
      </c>
      <c r="B60" t="str">
        <f>Table3[[#This Row],[VendorID]]</f>
        <v>VEN-016</v>
      </c>
      <c r="C60" t="str">
        <f>VLOOKUP(B60,Vendors!A:B,2,FALSE)</f>
        <v>Stripe</v>
      </c>
      <c r="D60" s="9">
        <f>Table3[[#This Row],[BillDate]]</f>
        <v>46048</v>
      </c>
      <c r="E60" s="9">
        <f>Table3[[#This Row],[DueDate]]</f>
        <v>46078</v>
      </c>
      <c r="F60" s="3">
        <f>Table3[[#This Row],[BillAmount]]</f>
        <v>1332.88</v>
      </c>
      <c r="G60" s="3">
        <f>SUMIF(Vendor_Payments!C:C,A60,Vendor_Payments!E:E)</f>
        <v>1332.88</v>
      </c>
      <c r="H60" s="3">
        <f t="shared" si="0"/>
        <v>0</v>
      </c>
      <c r="I60">
        <f t="shared" si="1"/>
        <v>13</v>
      </c>
      <c r="J60" t="str">
        <f t="shared" si="2"/>
        <v>1-30</v>
      </c>
    </row>
    <row r="61" spans="1:10" x14ac:dyDescent="0.3">
      <c r="A61" t="str">
        <f>Table3[[#This Row],[BillID]]</f>
        <v>BILL-00060</v>
      </c>
      <c r="B61" t="str">
        <f>Table3[[#This Row],[VendorID]]</f>
        <v>VEN-016</v>
      </c>
      <c r="C61" t="str">
        <f>VLOOKUP(B61,Vendors!A:B,2,FALSE)</f>
        <v>Stripe</v>
      </c>
      <c r="D61" s="9">
        <f>Table3[[#This Row],[BillDate]]</f>
        <v>46040</v>
      </c>
      <c r="E61" s="9">
        <f>Table3[[#This Row],[DueDate]]</f>
        <v>46070</v>
      </c>
      <c r="F61" s="3">
        <f>Table3[[#This Row],[BillAmount]]</f>
        <v>4425.66</v>
      </c>
      <c r="G61" s="3">
        <f>SUMIF(Vendor_Payments!C:C,A61,Vendor_Payments!E:E)</f>
        <v>4425.66</v>
      </c>
      <c r="H61" s="3">
        <f t="shared" si="0"/>
        <v>0</v>
      </c>
      <c r="I61">
        <f t="shared" si="1"/>
        <v>21</v>
      </c>
      <c r="J61" t="str">
        <f t="shared" si="2"/>
        <v>1-30</v>
      </c>
    </row>
    <row r="62" spans="1:10" x14ac:dyDescent="0.3">
      <c r="A62" t="str">
        <f>Table3[[#This Row],[BillID]]</f>
        <v>BILL-00061</v>
      </c>
      <c r="B62" t="str">
        <f>Table3[[#This Row],[VendorID]]</f>
        <v>VEN-008</v>
      </c>
      <c r="C62" t="str">
        <f>VLOOKUP(B62,Vendors!A:B,2,FALSE)</f>
        <v>Ahrefs</v>
      </c>
      <c r="D62" s="9">
        <f>Table3[[#This Row],[BillDate]]</f>
        <v>45977</v>
      </c>
      <c r="E62" s="9">
        <f>Table3[[#This Row],[DueDate]]</f>
        <v>46007</v>
      </c>
      <c r="F62" s="3">
        <f>Table3[[#This Row],[BillAmount]]</f>
        <v>1427.82</v>
      </c>
      <c r="G62" s="3">
        <f>SUMIF(Vendor_Payments!C:C,A62,Vendor_Payments!E:E)</f>
        <v>1427.82</v>
      </c>
      <c r="H62" s="3">
        <f t="shared" si="0"/>
        <v>0</v>
      </c>
      <c r="I62">
        <f t="shared" si="1"/>
        <v>84</v>
      </c>
      <c r="J62" t="str">
        <f t="shared" si="2"/>
        <v>61-90</v>
      </c>
    </row>
    <row r="63" spans="1:10" x14ac:dyDescent="0.3">
      <c r="A63" t="str">
        <f>Table3[[#This Row],[BillID]]</f>
        <v>BILL-00062</v>
      </c>
      <c r="B63" t="str">
        <f>Table3[[#This Row],[VendorID]]</f>
        <v>VEN-040</v>
      </c>
      <c r="C63" t="str">
        <f>VLOOKUP(B63,Vendors!A:B,2,FALSE)</f>
        <v>Digital Performance Lab</v>
      </c>
      <c r="D63" s="9">
        <f>Table3[[#This Row],[BillDate]]</f>
        <v>46071</v>
      </c>
      <c r="E63" s="9">
        <f>Table3[[#This Row],[DueDate]]</f>
        <v>46101</v>
      </c>
      <c r="F63" s="3">
        <f>Table3[[#This Row],[BillAmount]]</f>
        <v>1064.04</v>
      </c>
      <c r="G63" s="3">
        <f>SUMIF(Vendor_Payments!C:C,A63,Vendor_Payments!E:E)</f>
        <v>1064.04</v>
      </c>
      <c r="H63" s="3">
        <f t="shared" si="0"/>
        <v>0</v>
      </c>
      <c r="I63">
        <f t="shared" si="1"/>
        <v>-10</v>
      </c>
      <c r="J63" t="str">
        <f t="shared" si="2"/>
        <v>Current</v>
      </c>
    </row>
    <row r="64" spans="1:10" x14ac:dyDescent="0.3">
      <c r="A64" t="str">
        <f>Table3[[#This Row],[BillID]]</f>
        <v>BILL-00063</v>
      </c>
      <c r="B64" t="str">
        <f>Table3[[#This Row],[VendorID]]</f>
        <v>VEN-031</v>
      </c>
      <c r="C64" t="str">
        <f>VLOOKUP(B64,Vendors!A:B,2,FALSE)</f>
        <v>DataInsight Analytics</v>
      </c>
      <c r="D64" s="9">
        <f>Table3[[#This Row],[BillDate]]</f>
        <v>46035</v>
      </c>
      <c r="E64" s="9">
        <f>Table3[[#This Row],[DueDate]]</f>
        <v>46065</v>
      </c>
      <c r="F64" s="3">
        <f>Table3[[#This Row],[BillAmount]]</f>
        <v>3814.19</v>
      </c>
      <c r="G64" s="3">
        <f>SUMIF(Vendor_Payments!C:C,A64,Vendor_Payments!E:E)</f>
        <v>3814.19</v>
      </c>
      <c r="H64" s="3">
        <f t="shared" si="0"/>
        <v>0</v>
      </c>
      <c r="I64">
        <f t="shared" si="1"/>
        <v>26</v>
      </c>
      <c r="J64" t="str">
        <f t="shared" si="2"/>
        <v>1-30</v>
      </c>
    </row>
    <row r="65" spans="1:10" x14ac:dyDescent="0.3">
      <c r="A65" t="str">
        <f>Table3[[#This Row],[BillID]]</f>
        <v>BILL-00064</v>
      </c>
      <c r="B65" t="str">
        <f>Table3[[#This Row],[VendorID]]</f>
        <v>VEN-035</v>
      </c>
      <c r="C65" t="str">
        <f>VLOOKUP(B65,Vendors!A:B,2,FALSE)</f>
        <v>ClickFlow Marketing</v>
      </c>
      <c r="D65" s="9">
        <f>Table3[[#This Row],[BillDate]]</f>
        <v>46029</v>
      </c>
      <c r="E65" s="9">
        <f>Table3[[#This Row],[DueDate]]</f>
        <v>46059</v>
      </c>
      <c r="F65" s="3">
        <f>Table3[[#This Row],[BillAmount]]</f>
        <v>4485.91</v>
      </c>
      <c r="G65" s="3">
        <f>SUMIF(Vendor_Payments!C:C,A65,Vendor_Payments!E:E)</f>
        <v>0</v>
      </c>
      <c r="H65" s="3">
        <f t="shared" si="0"/>
        <v>4485.91</v>
      </c>
      <c r="I65">
        <f t="shared" si="1"/>
        <v>32</v>
      </c>
      <c r="J65" t="str">
        <f t="shared" si="2"/>
        <v>31-60</v>
      </c>
    </row>
    <row r="66" spans="1:10" x14ac:dyDescent="0.3">
      <c r="A66" t="str">
        <f>Table3[[#This Row],[BillID]]</f>
        <v>BILL-00065</v>
      </c>
      <c r="B66" t="str">
        <f>Table3[[#This Row],[VendorID]]</f>
        <v>VEN-027</v>
      </c>
      <c r="C66" t="str">
        <f>VLOOKUP(B66,Vendors!A:B,2,FALSE)</f>
        <v>DevCraft Agency</v>
      </c>
      <c r="D66" s="9">
        <f>Table3[[#This Row],[BillDate]]</f>
        <v>45973</v>
      </c>
      <c r="E66" s="9">
        <f>Table3[[#This Row],[DueDate]]</f>
        <v>46003</v>
      </c>
      <c r="F66" s="3">
        <f>Table3[[#This Row],[BillAmount]]</f>
        <v>829.05</v>
      </c>
      <c r="G66" s="3">
        <f>SUMIF(Vendor_Payments!C:C,A66,Vendor_Payments!E:E)</f>
        <v>0</v>
      </c>
      <c r="H66" s="3">
        <f t="shared" si="0"/>
        <v>829.05</v>
      </c>
      <c r="I66">
        <f t="shared" si="1"/>
        <v>88</v>
      </c>
      <c r="J66" t="str">
        <f t="shared" si="2"/>
        <v>61-90</v>
      </c>
    </row>
    <row r="67" spans="1:10" x14ac:dyDescent="0.3">
      <c r="A67" t="str">
        <f>Table3[[#This Row],[BillID]]</f>
        <v>BILL-00066</v>
      </c>
      <c r="B67" t="str">
        <f>Table3[[#This Row],[VendorID]]</f>
        <v>VEN-034</v>
      </c>
      <c r="C67" t="str">
        <f>VLOOKUP(B67,Vendors!A:B,2,FALSE)</f>
        <v>SocialBoost Agency</v>
      </c>
      <c r="D67" s="9">
        <f>Table3[[#This Row],[BillDate]]</f>
        <v>46004</v>
      </c>
      <c r="E67" s="9">
        <f>Table3[[#This Row],[DueDate]]</f>
        <v>46034</v>
      </c>
      <c r="F67" s="3">
        <f>Table3[[#This Row],[BillAmount]]</f>
        <v>1309.68</v>
      </c>
      <c r="G67" s="3">
        <f>SUMIF(Vendor_Payments!C:C,A67,Vendor_Payments!E:E)</f>
        <v>0</v>
      </c>
      <c r="H67" s="3">
        <f t="shared" ref="H67:H130" si="3">F67-G67</f>
        <v>1309.68</v>
      </c>
      <c r="I67">
        <f t="shared" ref="I67:I130" si="4">$L$1-E67</f>
        <v>57</v>
      </c>
      <c r="J67" t="str">
        <f t="shared" ref="J67:J130" si="5">IF(I67&lt;=0,"Current",IF(I67&lt;=30,"1-30",IF(I67&lt;=60,"31-60",IF(I67&lt;=90,"61-90","90+"))))</f>
        <v>31-60</v>
      </c>
    </row>
    <row r="68" spans="1:10" x14ac:dyDescent="0.3">
      <c r="A68" t="str">
        <f>Table3[[#This Row],[BillID]]</f>
        <v>BILL-00067</v>
      </c>
      <c r="B68" t="str">
        <f>Table3[[#This Row],[VendorID]]</f>
        <v>VEN-027</v>
      </c>
      <c r="C68" t="str">
        <f>VLOOKUP(B68,Vendors!A:B,2,FALSE)</f>
        <v>DevCraft Agency</v>
      </c>
      <c r="D68" s="9">
        <f>Table3[[#This Row],[BillDate]]</f>
        <v>46034</v>
      </c>
      <c r="E68" s="9">
        <f>Table3[[#This Row],[DueDate]]</f>
        <v>46064</v>
      </c>
      <c r="F68" s="3">
        <f>Table3[[#This Row],[BillAmount]]</f>
        <v>1274.57</v>
      </c>
      <c r="G68" s="3">
        <f>SUMIF(Vendor_Payments!C:C,A68,Vendor_Payments!E:E)</f>
        <v>0</v>
      </c>
      <c r="H68" s="3">
        <f t="shared" si="3"/>
        <v>1274.57</v>
      </c>
      <c r="I68">
        <f t="shared" si="4"/>
        <v>27</v>
      </c>
      <c r="J68" t="str">
        <f t="shared" si="5"/>
        <v>1-30</v>
      </c>
    </row>
    <row r="69" spans="1:10" x14ac:dyDescent="0.3">
      <c r="A69" t="str">
        <f>Table3[[#This Row],[BillID]]</f>
        <v>BILL-00068</v>
      </c>
      <c r="B69" t="str">
        <f>Table3[[#This Row],[VendorID]]</f>
        <v>VEN-030</v>
      </c>
      <c r="C69" t="str">
        <f>VLOOKUP(B69,Vendors!A:B,2,FALSE)</f>
        <v>ContentCraft Studio</v>
      </c>
      <c r="D69" s="9">
        <f>Table3[[#This Row],[BillDate]]</f>
        <v>46063</v>
      </c>
      <c r="E69" s="9">
        <f>Table3[[#This Row],[DueDate]]</f>
        <v>46093</v>
      </c>
      <c r="F69" s="3">
        <f>Table3[[#This Row],[BillAmount]]</f>
        <v>6745.18</v>
      </c>
      <c r="G69" s="3">
        <f>SUMIF(Vendor_Payments!C:C,A69,Vendor_Payments!E:E)</f>
        <v>6745.18</v>
      </c>
      <c r="H69" s="3">
        <f t="shared" si="3"/>
        <v>0</v>
      </c>
      <c r="I69">
        <f t="shared" si="4"/>
        <v>-2</v>
      </c>
      <c r="J69" t="str">
        <f t="shared" si="5"/>
        <v>Current</v>
      </c>
    </row>
    <row r="70" spans="1:10" x14ac:dyDescent="0.3">
      <c r="A70" t="str">
        <f>Table3[[#This Row],[BillID]]</f>
        <v>BILL-00069</v>
      </c>
      <c r="B70" t="str">
        <f>Table3[[#This Row],[VendorID]]</f>
        <v>VEN-035</v>
      </c>
      <c r="C70" t="str">
        <f>VLOOKUP(B70,Vendors!A:B,2,FALSE)</f>
        <v>ClickFlow Marketing</v>
      </c>
      <c r="D70" s="9">
        <f>Table3[[#This Row],[BillDate]]</f>
        <v>45990</v>
      </c>
      <c r="E70" s="9">
        <f>Table3[[#This Row],[DueDate]]</f>
        <v>46020</v>
      </c>
      <c r="F70" s="3">
        <f>Table3[[#This Row],[BillAmount]]</f>
        <v>6207.59</v>
      </c>
      <c r="G70" s="3">
        <f>SUMIF(Vendor_Payments!C:C,A70,Vendor_Payments!E:E)</f>
        <v>6207.59</v>
      </c>
      <c r="H70" s="3">
        <f t="shared" si="3"/>
        <v>0</v>
      </c>
      <c r="I70">
        <f t="shared" si="4"/>
        <v>71</v>
      </c>
      <c r="J70" t="str">
        <f t="shared" si="5"/>
        <v>61-90</v>
      </c>
    </row>
    <row r="71" spans="1:10" x14ac:dyDescent="0.3">
      <c r="A71" t="str">
        <f>Table3[[#This Row],[BillID]]</f>
        <v>BILL-00070</v>
      </c>
      <c r="B71" t="str">
        <f>Table3[[#This Row],[VendorID]]</f>
        <v>VEN-017</v>
      </c>
      <c r="C71" t="str">
        <f>VLOOKUP(B71,Vendors!A:B,2,FALSE)</f>
        <v>PayPal</v>
      </c>
      <c r="D71" s="9">
        <f>Table3[[#This Row],[BillDate]]</f>
        <v>46064</v>
      </c>
      <c r="E71" s="9">
        <f>Table3[[#This Row],[DueDate]]</f>
        <v>46094</v>
      </c>
      <c r="F71" s="3">
        <f>Table3[[#This Row],[BillAmount]]</f>
        <v>1065.69</v>
      </c>
      <c r="G71" s="3">
        <f>SUMIF(Vendor_Payments!C:C,A71,Vendor_Payments!E:E)</f>
        <v>1065.69</v>
      </c>
      <c r="H71" s="3">
        <f t="shared" si="3"/>
        <v>0</v>
      </c>
      <c r="I71">
        <f t="shared" si="4"/>
        <v>-3</v>
      </c>
      <c r="J71" t="str">
        <f t="shared" si="5"/>
        <v>Current</v>
      </c>
    </row>
    <row r="72" spans="1:10" x14ac:dyDescent="0.3">
      <c r="A72" t="str">
        <f>Table3[[#This Row],[BillID]]</f>
        <v>BILL-00071</v>
      </c>
      <c r="B72" t="str">
        <f>Table3[[#This Row],[VendorID]]</f>
        <v>VEN-013</v>
      </c>
      <c r="C72" t="str">
        <f>VLOOKUP(B72,Vendors!A:B,2,FALSE)</f>
        <v>Canva Pro</v>
      </c>
      <c r="D72" s="9">
        <f>Table3[[#This Row],[BillDate]]</f>
        <v>46075</v>
      </c>
      <c r="E72" s="9">
        <f>Table3[[#This Row],[DueDate]]</f>
        <v>46105</v>
      </c>
      <c r="F72" s="3">
        <f>Table3[[#This Row],[BillAmount]]</f>
        <v>4949.53</v>
      </c>
      <c r="G72" s="3">
        <f>SUMIF(Vendor_Payments!C:C,A72,Vendor_Payments!E:E)</f>
        <v>4949.53</v>
      </c>
      <c r="H72" s="3">
        <f t="shared" si="3"/>
        <v>0</v>
      </c>
      <c r="I72">
        <f t="shared" si="4"/>
        <v>-14</v>
      </c>
      <c r="J72" t="str">
        <f t="shared" si="5"/>
        <v>Current</v>
      </c>
    </row>
    <row r="73" spans="1:10" x14ac:dyDescent="0.3">
      <c r="A73" t="str">
        <f>Table3[[#This Row],[BillID]]</f>
        <v>BILL-00072</v>
      </c>
      <c r="B73" t="str">
        <f>Table3[[#This Row],[VendorID]]</f>
        <v>VEN-014</v>
      </c>
      <c r="C73" t="str">
        <f>VLOOKUP(B73,Vendors!A:B,2,FALSE)</f>
        <v>Figma</v>
      </c>
      <c r="D73" s="9">
        <f>Table3[[#This Row],[BillDate]]</f>
        <v>46065</v>
      </c>
      <c r="E73" s="9">
        <f>Table3[[#This Row],[DueDate]]</f>
        <v>46095</v>
      </c>
      <c r="F73" s="3">
        <f>Table3[[#This Row],[BillAmount]]</f>
        <v>851.29</v>
      </c>
      <c r="G73" s="3">
        <f>SUMIF(Vendor_Payments!C:C,A73,Vendor_Payments!E:E)</f>
        <v>851.29</v>
      </c>
      <c r="H73" s="3">
        <f t="shared" si="3"/>
        <v>0</v>
      </c>
      <c r="I73">
        <f t="shared" si="4"/>
        <v>-4</v>
      </c>
      <c r="J73" t="str">
        <f t="shared" si="5"/>
        <v>Current</v>
      </c>
    </row>
    <row r="74" spans="1:10" x14ac:dyDescent="0.3">
      <c r="A74" t="str">
        <f>Table3[[#This Row],[BillID]]</f>
        <v>BILL-00073</v>
      </c>
      <c r="B74" t="str">
        <f>Table3[[#This Row],[VendorID]]</f>
        <v>VEN-028</v>
      </c>
      <c r="C74" t="str">
        <f>VLOOKUP(B74,Vendors!A:B,2,FALSE)</f>
        <v>MarketEdge Consulting</v>
      </c>
      <c r="D74" s="9">
        <f>Table3[[#This Row],[BillDate]]</f>
        <v>46007</v>
      </c>
      <c r="E74" s="9">
        <f>Table3[[#This Row],[DueDate]]</f>
        <v>46037</v>
      </c>
      <c r="F74" s="3">
        <f>Table3[[#This Row],[BillAmount]]</f>
        <v>1632.79</v>
      </c>
      <c r="G74" s="3">
        <f>SUMIF(Vendor_Payments!C:C,A74,Vendor_Payments!E:E)</f>
        <v>0</v>
      </c>
      <c r="H74" s="3">
        <f t="shared" si="3"/>
        <v>1632.79</v>
      </c>
      <c r="I74">
        <f t="shared" si="4"/>
        <v>54</v>
      </c>
      <c r="J74" t="str">
        <f t="shared" si="5"/>
        <v>31-60</v>
      </c>
    </row>
    <row r="75" spans="1:10" x14ac:dyDescent="0.3">
      <c r="A75" t="str">
        <f>Table3[[#This Row],[BillID]]</f>
        <v>BILL-00074</v>
      </c>
      <c r="B75" t="str">
        <f>Table3[[#This Row],[VendorID]]</f>
        <v>VEN-017</v>
      </c>
      <c r="C75" t="str">
        <f>VLOOKUP(B75,Vendors!A:B,2,FALSE)</f>
        <v>PayPal</v>
      </c>
      <c r="D75" s="9">
        <f>Table3[[#This Row],[BillDate]]</f>
        <v>46051</v>
      </c>
      <c r="E75" s="9">
        <f>Table3[[#This Row],[DueDate]]</f>
        <v>46081</v>
      </c>
      <c r="F75" s="3">
        <f>Table3[[#This Row],[BillAmount]]</f>
        <v>4729.3100000000004</v>
      </c>
      <c r="G75" s="3">
        <f>SUMIF(Vendor_Payments!C:C,A75,Vendor_Payments!E:E)</f>
        <v>4729.3100000000004</v>
      </c>
      <c r="H75" s="3">
        <f t="shared" si="3"/>
        <v>0</v>
      </c>
      <c r="I75">
        <f t="shared" si="4"/>
        <v>10</v>
      </c>
      <c r="J75" t="str">
        <f t="shared" si="5"/>
        <v>1-30</v>
      </c>
    </row>
    <row r="76" spans="1:10" x14ac:dyDescent="0.3">
      <c r="A76" t="str">
        <f>Table3[[#This Row],[BillID]]</f>
        <v>BILL-00075</v>
      </c>
      <c r="B76" t="str">
        <f>Table3[[#This Row],[VendorID]]</f>
        <v>VEN-034</v>
      </c>
      <c r="C76" t="str">
        <f>VLOOKUP(B76,Vendors!A:B,2,FALSE)</f>
        <v>SocialBoost Agency</v>
      </c>
      <c r="D76" s="9">
        <f>Table3[[#This Row],[BillDate]]</f>
        <v>45962</v>
      </c>
      <c r="E76" s="9">
        <f>Table3[[#This Row],[DueDate]]</f>
        <v>45992</v>
      </c>
      <c r="F76" s="3">
        <f>Table3[[#This Row],[BillAmount]]</f>
        <v>5480.86</v>
      </c>
      <c r="G76" s="3">
        <f>SUMIF(Vendor_Payments!C:C,A76,Vendor_Payments!E:E)</f>
        <v>5480.86</v>
      </c>
      <c r="H76" s="3">
        <f t="shared" si="3"/>
        <v>0</v>
      </c>
      <c r="I76">
        <f t="shared" si="4"/>
        <v>99</v>
      </c>
      <c r="J76" t="str">
        <f t="shared" si="5"/>
        <v>90+</v>
      </c>
    </row>
    <row r="77" spans="1:10" x14ac:dyDescent="0.3">
      <c r="A77" t="str">
        <f>Table3[[#This Row],[BillID]]</f>
        <v>BILL-00076</v>
      </c>
      <c r="B77" t="str">
        <f>Table3[[#This Row],[VendorID]]</f>
        <v>VEN-002</v>
      </c>
      <c r="C77" t="str">
        <f>VLOOKUP(B77,Vendors!A:B,2,FALSE)</f>
        <v>Meta Ads</v>
      </c>
      <c r="D77" s="9">
        <f>Table3[[#This Row],[BillDate]]</f>
        <v>45963</v>
      </c>
      <c r="E77" s="9">
        <f>Table3[[#This Row],[DueDate]]</f>
        <v>45993</v>
      </c>
      <c r="F77" s="3">
        <f>Table3[[#This Row],[BillAmount]]</f>
        <v>4367.1400000000003</v>
      </c>
      <c r="G77" s="3">
        <f>SUMIF(Vendor_Payments!C:C,A77,Vendor_Payments!E:E)</f>
        <v>4367.1400000000003</v>
      </c>
      <c r="H77" s="3">
        <f t="shared" si="3"/>
        <v>0</v>
      </c>
      <c r="I77">
        <f t="shared" si="4"/>
        <v>98</v>
      </c>
      <c r="J77" t="str">
        <f t="shared" si="5"/>
        <v>90+</v>
      </c>
    </row>
    <row r="78" spans="1:10" x14ac:dyDescent="0.3">
      <c r="A78" t="str">
        <f>Table3[[#This Row],[BillID]]</f>
        <v>BILL-00077</v>
      </c>
      <c r="B78" t="str">
        <f>Table3[[#This Row],[VendorID]]</f>
        <v>VEN-032</v>
      </c>
      <c r="C78" t="str">
        <f>VLOOKUP(B78,Vendors!A:B,2,FALSE)</f>
        <v>Marketing Automation Labs</v>
      </c>
      <c r="D78" s="9">
        <f>Table3[[#This Row],[BillDate]]</f>
        <v>46075</v>
      </c>
      <c r="E78" s="9">
        <f>Table3[[#This Row],[DueDate]]</f>
        <v>46105</v>
      </c>
      <c r="F78" s="3">
        <f>Table3[[#This Row],[BillAmount]]</f>
        <v>3293.22</v>
      </c>
      <c r="G78" s="3">
        <f>SUMIF(Vendor_Payments!C:C,A78,Vendor_Payments!E:E)</f>
        <v>3293.22</v>
      </c>
      <c r="H78" s="3">
        <f t="shared" si="3"/>
        <v>0</v>
      </c>
      <c r="I78">
        <f t="shared" si="4"/>
        <v>-14</v>
      </c>
      <c r="J78" t="str">
        <f t="shared" si="5"/>
        <v>Current</v>
      </c>
    </row>
    <row r="79" spans="1:10" x14ac:dyDescent="0.3">
      <c r="A79" t="str">
        <f>Table3[[#This Row],[BillID]]</f>
        <v>BILL-00078</v>
      </c>
      <c r="B79" t="str">
        <f>Table3[[#This Row],[VendorID]]</f>
        <v>VEN-039</v>
      </c>
      <c r="C79" t="str">
        <f>VLOOKUP(B79,Vendors!A:B,2,FALSE)</f>
        <v>Global Growth Advisors</v>
      </c>
      <c r="D79" s="9">
        <f>Table3[[#This Row],[BillDate]]</f>
        <v>46006</v>
      </c>
      <c r="E79" s="9">
        <f>Table3[[#This Row],[DueDate]]</f>
        <v>46036</v>
      </c>
      <c r="F79" s="3">
        <f>Table3[[#This Row],[BillAmount]]</f>
        <v>4685.5200000000004</v>
      </c>
      <c r="G79" s="3">
        <f>SUMIF(Vendor_Payments!C:C,A79,Vendor_Payments!E:E)</f>
        <v>4685.5200000000004</v>
      </c>
      <c r="H79" s="3">
        <f t="shared" si="3"/>
        <v>0</v>
      </c>
      <c r="I79">
        <f t="shared" si="4"/>
        <v>55</v>
      </c>
      <c r="J79" t="str">
        <f t="shared" si="5"/>
        <v>31-60</v>
      </c>
    </row>
    <row r="80" spans="1:10" x14ac:dyDescent="0.3">
      <c r="A80" t="str">
        <f>Table3[[#This Row],[BillID]]</f>
        <v>BILL-00079</v>
      </c>
      <c r="B80" t="str">
        <f>Table3[[#This Row],[VendorID]]</f>
        <v>VEN-012</v>
      </c>
      <c r="C80" t="str">
        <f>VLOOKUP(B80,Vendors!A:B,2,FALSE)</f>
        <v>Google Cloud</v>
      </c>
      <c r="D80" s="9">
        <f>Table3[[#This Row],[BillDate]]</f>
        <v>45970</v>
      </c>
      <c r="E80" s="9">
        <f>Table3[[#This Row],[DueDate]]</f>
        <v>46000</v>
      </c>
      <c r="F80" s="3">
        <f>Table3[[#This Row],[BillAmount]]</f>
        <v>1873.43</v>
      </c>
      <c r="G80" s="3">
        <f>SUMIF(Vendor_Payments!C:C,A80,Vendor_Payments!E:E)</f>
        <v>1873.43</v>
      </c>
      <c r="H80" s="3">
        <f t="shared" si="3"/>
        <v>0</v>
      </c>
      <c r="I80">
        <f t="shared" si="4"/>
        <v>91</v>
      </c>
      <c r="J80" t="str">
        <f t="shared" si="5"/>
        <v>90+</v>
      </c>
    </row>
    <row r="81" spans="1:10" x14ac:dyDescent="0.3">
      <c r="A81" t="str">
        <f>Table3[[#This Row],[BillID]]</f>
        <v>BILL-00080</v>
      </c>
      <c r="B81" t="str">
        <f>Table3[[#This Row],[VendorID]]</f>
        <v>VEN-040</v>
      </c>
      <c r="C81" t="str">
        <f>VLOOKUP(B81,Vendors!A:B,2,FALSE)</f>
        <v>Digital Performance Lab</v>
      </c>
      <c r="D81" s="9">
        <f>Table3[[#This Row],[BillDate]]</f>
        <v>46034</v>
      </c>
      <c r="E81" s="9">
        <f>Table3[[#This Row],[DueDate]]</f>
        <v>46064</v>
      </c>
      <c r="F81" s="3">
        <f>Table3[[#This Row],[BillAmount]]</f>
        <v>3956.71</v>
      </c>
      <c r="G81" s="3">
        <f>SUMIF(Vendor_Payments!C:C,A81,Vendor_Payments!E:E)</f>
        <v>0</v>
      </c>
      <c r="H81" s="3">
        <f t="shared" si="3"/>
        <v>3956.71</v>
      </c>
      <c r="I81">
        <f t="shared" si="4"/>
        <v>27</v>
      </c>
      <c r="J81" t="str">
        <f t="shared" si="5"/>
        <v>1-30</v>
      </c>
    </row>
    <row r="82" spans="1:10" x14ac:dyDescent="0.3">
      <c r="A82" t="str">
        <f>Table3[[#This Row],[BillID]]</f>
        <v>BILL-00081</v>
      </c>
      <c r="B82" t="str">
        <f>Table3[[#This Row],[VendorID]]</f>
        <v>VEN-023</v>
      </c>
      <c r="C82" t="str">
        <f>VLOOKUP(B82,Vendors!A:B,2,FALSE)</f>
        <v>Fiverr Pro</v>
      </c>
      <c r="D82" s="9">
        <f>Table3[[#This Row],[BillDate]]</f>
        <v>45977</v>
      </c>
      <c r="E82" s="9">
        <f>Table3[[#This Row],[DueDate]]</f>
        <v>46007</v>
      </c>
      <c r="F82" s="3">
        <f>Table3[[#This Row],[BillAmount]]</f>
        <v>1493.69</v>
      </c>
      <c r="G82" s="3">
        <f>SUMIF(Vendor_Payments!C:C,A82,Vendor_Payments!E:E)</f>
        <v>0</v>
      </c>
      <c r="H82" s="3">
        <f t="shared" si="3"/>
        <v>1493.69</v>
      </c>
      <c r="I82">
        <f t="shared" si="4"/>
        <v>84</v>
      </c>
      <c r="J82" t="str">
        <f t="shared" si="5"/>
        <v>61-90</v>
      </c>
    </row>
    <row r="83" spans="1:10" x14ac:dyDescent="0.3">
      <c r="A83" t="str">
        <f>Table3[[#This Row],[BillID]]</f>
        <v>BILL-00082</v>
      </c>
      <c r="B83" t="str">
        <f>Table3[[#This Row],[VendorID]]</f>
        <v>VEN-035</v>
      </c>
      <c r="C83" t="str">
        <f>VLOOKUP(B83,Vendors!A:B,2,FALSE)</f>
        <v>ClickFlow Marketing</v>
      </c>
      <c r="D83" s="9">
        <f>Table3[[#This Row],[BillDate]]</f>
        <v>46041</v>
      </c>
      <c r="E83" s="9">
        <f>Table3[[#This Row],[DueDate]]</f>
        <v>46071</v>
      </c>
      <c r="F83" s="3">
        <f>Table3[[#This Row],[BillAmount]]</f>
        <v>5441.42</v>
      </c>
      <c r="G83" s="3">
        <f>SUMIF(Vendor_Payments!C:C,A83,Vendor_Payments!E:E)</f>
        <v>5441.42</v>
      </c>
      <c r="H83" s="3">
        <f t="shared" si="3"/>
        <v>0</v>
      </c>
      <c r="I83">
        <f t="shared" si="4"/>
        <v>20</v>
      </c>
      <c r="J83" t="str">
        <f t="shared" si="5"/>
        <v>1-30</v>
      </c>
    </row>
    <row r="84" spans="1:10" x14ac:dyDescent="0.3">
      <c r="A84" t="str">
        <f>Table3[[#This Row],[BillID]]</f>
        <v>BILL-00083</v>
      </c>
      <c r="B84" t="str">
        <f>Table3[[#This Row],[VendorID]]</f>
        <v>VEN-008</v>
      </c>
      <c r="C84" t="str">
        <f>VLOOKUP(B84,Vendors!A:B,2,FALSE)</f>
        <v>Ahrefs</v>
      </c>
      <c r="D84" s="9">
        <f>Table3[[#This Row],[BillDate]]</f>
        <v>46077</v>
      </c>
      <c r="E84" s="9">
        <f>Table3[[#This Row],[DueDate]]</f>
        <v>46107</v>
      </c>
      <c r="F84" s="3">
        <f>Table3[[#This Row],[BillAmount]]</f>
        <v>3611.78</v>
      </c>
      <c r="G84" s="3">
        <f>SUMIF(Vendor_Payments!C:C,A84,Vendor_Payments!E:E)</f>
        <v>0</v>
      </c>
      <c r="H84" s="3">
        <f t="shared" si="3"/>
        <v>3611.78</v>
      </c>
      <c r="I84">
        <f t="shared" si="4"/>
        <v>-16</v>
      </c>
      <c r="J84" t="str">
        <f t="shared" si="5"/>
        <v>Current</v>
      </c>
    </row>
    <row r="85" spans="1:10" x14ac:dyDescent="0.3">
      <c r="A85" t="str">
        <f>Table3[[#This Row],[BillID]]</f>
        <v>BILL-00084</v>
      </c>
      <c r="B85" t="str">
        <f>Table3[[#This Row],[VendorID]]</f>
        <v>VEN-028</v>
      </c>
      <c r="C85" t="str">
        <f>VLOOKUP(B85,Vendors!A:B,2,FALSE)</f>
        <v>MarketEdge Consulting</v>
      </c>
      <c r="D85" s="9">
        <f>Table3[[#This Row],[BillDate]]</f>
        <v>46087</v>
      </c>
      <c r="E85" s="9">
        <f>Table3[[#This Row],[DueDate]]</f>
        <v>46117</v>
      </c>
      <c r="F85" s="3">
        <f>Table3[[#This Row],[BillAmount]]</f>
        <v>5797.47</v>
      </c>
      <c r="G85" s="3">
        <f>SUMIF(Vendor_Payments!C:C,A85,Vendor_Payments!E:E)</f>
        <v>0</v>
      </c>
      <c r="H85" s="3">
        <f t="shared" si="3"/>
        <v>5797.47</v>
      </c>
      <c r="I85">
        <f t="shared" si="4"/>
        <v>-26</v>
      </c>
      <c r="J85" t="str">
        <f t="shared" si="5"/>
        <v>Current</v>
      </c>
    </row>
    <row r="86" spans="1:10" x14ac:dyDescent="0.3">
      <c r="A86" t="str">
        <f>Table3[[#This Row],[BillID]]</f>
        <v>BILL-00085</v>
      </c>
      <c r="B86" t="str">
        <f>Table3[[#This Row],[VendorID]]</f>
        <v>VEN-025</v>
      </c>
      <c r="C86" t="str">
        <f>VLOOKUP(B86,Vendors!A:B,2,FALSE)</f>
        <v>Digital Growth Consultants</v>
      </c>
      <c r="D86" s="9">
        <f>Table3[[#This Row],[BillDate]]</f>
        <v>46086</v>
      </c>
      <c r="E86" s="9">
        <f>Table3[[#This Row],[DueDate]]</f>
        <v>46116</v>
      </c>
      <c r="F86" s="3">
        <f>Table3[[#This Row],[BillAmount]]</f>
        <v>6002.69</v>
      </c>
      <c r="G86" s="3">
        <f>SUMIF(Vendor_Payments!C:C,A86,Vendor_Payments!E:E)</f>
        <v>0</v>
      </c>
      <c r="H86" s="3">
        <f t="shared" si="3"/>
        <v>6002.69</v>
      </c>
      <c r="I86">
        <f t="shared" si="4"/>
        <v>-25</v>
      </c>
      <c r="J86" t="str">
        <f t="shared" si="5"/>
        <v>Current</v>
      </c>
    </row>
    <row r="87" spans="1:10" x14ac:dyDescent="0.3">
      <c r="A87" t="str">
        <f>Table3[[#This Row],[BillID]]</f>
        <v>BILL-00086</v>
      </c>
      <c r="B87" t="str">
        <f>Table3[[#This Row],[VendorID]]</f>
        <v>VEN-003</v>
      </c>
      <c r="C87" t="str">
        <f>VLOOKUP(B87,Vendors!A:B,2,FALSE)</f>
        <v>TikTok Ads</v>
      </c>
      <c r="D87" s="9">
        <f>Table3[[#This Row],[BillDate]]</f>
        <v>46056</v>
      </c>
      <c r="E87" s="9">
        <f>Table3[[#This Row],[DueDate]]</f>
        <v>46086</v>
      </c>
      <c r="F87" s="3">
        <f>Table3[[#This Row],[BillAmount]]</f>
        <v>2059.19</v>
      </c>
      <c r="G87" s="3">
        <f>SUMIF(Vendor_Payments!C:C,A87,Vendor_Payments!E:E)</f>
        <v>0</v>
      </c>
      <c r="H87" s="3">
        <f t="shared" si="3"/>
        <v>2059.19</v>
      </c>
      <c r="I87">
        <f t="shared" si="4"/>
        <v>5</v>
      </c>
      <c r="J87" t="str">
        <f t="shared" si="5"/>
        <v>1-30</v>
      </c>
    </row>
    <row r="88" spans="1:10" x14ac:dyDescent="0.3">
      <c r="A88" t="str">
        <f>Table3[[#This Row],[BillID]]</f>
        <v>BILL-00087</v>
      </c>
      <c r="B88" t="str">
        <f>Table3[[#This Row],[VendorID]]</f>
        <v>VEN-034</v>
      </c>
      <c r="C88" t="str">
        <f>VLOOKUP(B88,Vendors!A:B,2,FALSE)</f>
        <v>SocialBoost Agency</v>
      </c>
      <c r="D88" s="9">
        <f>Table3[[#This Row],[BillDate]]</f>
        <v>46055</v>
      </c>
      <c r="E88" s="9">
        <f>Table3[[#This Row],[DueDate]]</f>
        <v>46085</v>
      </c>
      <c r="F88" s="3">
        <f>Table3[[#This Row],[BillAmount]]</f>
        <v>6387.1</v>
      </c>
      <c r="G88" s="3">
        <f>SUMIF(Vendor_Payments!C:C,A88,Vendor_Payments!E:E)</f>
        <v>6387.1</v>
      </c>
      <c r="H88" s="3">
        <f t="shared" si="3"/>
        <v>0</v>
      </c>
      <c r="I88">
        <f t="shared" si="4"/>
        <v>6</v>
      </c>
      <c r="J88" t="str">
        <f t="shared" si="5"/>
        <v>1-30</v>
      </c>
    </row>
    <row r="89" spans="1:10" x14ac:dyDescent="0.3">
      <c r="A89" t="str">
        <f>Table3[[#This Row],[BillID]]</f>
        <v>BILL-00088</v>
      </c>
      <c r="B89" t="str">
        <f>Table3[[#This Row],[VendorID]]</f>
        <v>VEN-031</v>
      </c>
      <c r="C89" t="str">
        <f>VLOOKUP(B89,Vendors!A:B,2,FALSE)</f>
        <v>DataInsight Analytics</v>
      </c>
      <c r="D89" s="9">
        <f>Table3[[#This Row],[BillDate]]</f>
        <v>46030</v>
      </c>
      <c r="E89" s="9">
        <f>Table3[[#This Row],[DueDate]]</f>
        <v>46060</v>
      </c>
      <c r="F89" s="3">
        <f>Table3[[#This Row],[BillAmount]]</f>
        <v>3547.76</v>
      </c>
      <c r="G89" s="3">
        <f>SUMIF(Vendor_Payments!C:C,A89,Vendor_Payments!E:E)</f>
        <v>0</v>
      </c>
      <c r="H89" s="3">
        <f t="shared" si="3"/>
        <v>3547.76</v>
      </c>
      <c r="I89">
        <f t="shared" si="4"/>
        <v>31</v>
      </c>
      <c r="J89" t="str">
        <f t="shared" si="5"/>
        <v>31-60</v>
      </c>
    </row>
    <row r="90" spans="1:10" x14ac:dyDescent="0.3">
      <c r="A90" t="str">
        <f>Table3[[#This Row],[BillID]]</f>
        <v>BILL-00089</v>
      </c>
      <c r="B90" t="str">
        <f>Table3[[#This Row],[VendorID]]</f>
        <v>VEN-015</v>
      </c>
      <c r="C90" t="str">
        <f>VLOOKUP(B90,Vendors!A:B,2,FALSE)</f>
        <v>Zapier</v>
      </c>
      <c r="D90" s="9">
        <f>Table3[[#This Row],[BillDate]]</f>
        <v>45989</v>
      </c>
      <c r="E90" s="9">
        <f>Table3[[#This Row],[DueDate]]</f>
        <v>46019</v>
      </c>
      <c r="F90" s="3">
        <f>Table3[[#This Row],[BillAmount]]</f>
        <v>2129.58</v>
      </c>
      <c r="G90" s="3">
        <f>SUMIF(Vendor_Payments!C:C,A90,Vendor_Payments!E:E)</f>
        <v>2129.58</v>
      </c>
      <c r="H90" s="3">
        <f t="shared" si="3"/>
        <v>0</v>
      </c>
      <c r="I90">
        <f t="shared" si="4"/>
        <v>72</v>
      </c>
      <c r="J90" t="str">
        <f t="shared" si="5"/>
        <v>61-90</v>
      </c>
    </row>
    <row r="91" spans="1:10" x14ac:dyDescent="0.3">
      <c r="A91" t="str">
        <f>Table3[[#This Row],[BillID]]</f>
        <v>BILL-00090</v>
      </c>
      <c r="B91" t="str">
        <f>Table3[[#This Row],[VendorID]]</f>
        <v>VEN-001</v>
      </c>
      <c r="C91" t="str">
        <f>VLOOKUP(B91,Vendors!A:B,2,FALSE)</f>
        <v>Google Ads</v>
      </c>
      <c r="D91" s="9">
        <f>Table3[[#This Row],[BillDate]]</f>
        <v>46034</v>
      </c>
      <c r="E91" s="9">
        <f>Table3[[#This Row],[DueDate]]</f>
        <v>46064</v>
      </c>
      <c r="F91" s="3">
        <f>Table3[[#This Row],[BillAmount]]</f>
        <v>5942.28</v>
      </c>
      <c r="G91" s="3">
        <f>SUMIF(Vendor_Payments!C:C,A91,Vendor_Payments!E:E)</f>
        <v>5942.28</v>
      </c>
      <c r="H91" s="3">
        <f t="shared" si="3"/>
        <v>0</v>
      </c>
      <c r="I91">
        <f t="shared" si="4"/>
        <v>27</v>
      </c>
      <c r="J91" t="str">
        <f t="shared" si="5"/>
        <v>1-30</v>
      </c>
    </row>
    <row r="92" spans="1:10" x14ac:dyDescent="0.3">
      <c r="A92" t="str">
        <f>Table3[[#This Row],[BillID]]</f>
        <v>BILL-00091</v>
      </c>
      <c r="B92" t="str">
        <f>Table3[[#This Row],[VendorID]]</f>
        <v>VEN-039</v>
      </c>
      <c r="C92" t="str">
        <f>VLOOKUP(B92,Vendors!A:B,2,FALSE)</f>
        <v>Global Growth Advisors</v>
      </c>
      <c r="D92" s="9">
        <f>Table3[[#This Row],[BillDate]]</f>
        <v>46019</v>
      </c>
      <c r="E92" s="9">
        <f>Table3[[#This Row],[DueDate]]</f>
        <v>46049</v>
      </c>
      <c r="F92" s="3">
        <f>Table3[[#This Row],[BillAmount]]</f>
        <v>877.23</v>
      </c>
      <c r="G92" s="3">
        <f>SUMIF(Vendor_Payments!C:C,A92,Vendor_Payments!E:E)</f>
        <v>0</v>
      </c>
      <c r="H92" s="3">
        <f t="shared" si="3"/>
        <v>877.23</v>
      </c>
      <c r="I92">
        <f t="shared" si="4"/>
        <v>42</v>
      </c>
      <c r="J92" t="str">
        <f t="shared" si="5"/>
        <v>31-60</v>
      </c>
    </row>
    <row r="93" spans="1:10" x14ac:dyDescent="0.3">
      <c r="A93" t="str">
        <f>Table3[[#This Row],[BillID]]</f>
        <v>BILL-00092</v>
      </c>
      <c r="B93" t="str">
        <f>Table3[[#This Row],[VendorID]]</f>
        <v>VEN-033</v>
      </c>
      <c r="C93" t="str">
        <f>VLOOKUP(B93,Vendors!A:B,2,FALSE)</f>
        <v>AdScale Solutions</v>
      </c>
      <c r="D93" s="9">
        <f>Table3[[#This Row],[BillDate]]</f>
        <v>45978</v>
      </c>
      <c r="E93" s="9">
        <f>Table3[[#This Row],[DueDate]]</f>
        <v>46008</v>
      </c>
      <c r="F93" s="3">
        <f>Table3[[#This Row],[BillAmount]]</f>
        <v>5920.61</v>
      </c>
      <c r="G93" s="3">
        <f>SUMIF(Vendor_Payments!C:C,A93,Vendor_Payments!E:E)</f>
        <v>0</v>
      </c>
      <c r="H93" s="3">
        <f t="shared" si="3"/>
        <v>5920.61</v>
      </c>
      <c r="I93">
        <f t="shared" si="4"/>
        <v>83</v>
      </c>
      <c r="J93" t="str">
        <f t="shared" si="5"/>
        <v>61-90</v>
      </c>
    </row>
    <row r="94" spans="1:10" x14ac:dyDescent="0.3">
      <c r="A94" t="str">
        <f>Table3[[#This Row],[BillID]]</f>
        <v>BILL-00093</v>
      </c>
      <c r="B94" t="str">
        <f>Table3[[#This Row],[VendorID]]</f>
        <v>VEN-035</v>
      </c>
      <c r="C94" t="str">
        <f>VLOOKUP(B94,Vendors!A:B,2,FALSE)</f>
        <v>ClickFlow Marketing</v>
      </c>
      <c r="D94" s="9">
        <f>Table3[[#This Row],[BillDate]]</f>
        <v>46078</v>
      </c>
      <c r="E94" s="9">
        <f>Table3[[#This Row],[DueDate]]</f>
        <v>46108</v>
      </c>
      <c r="F94" s="3">
        <f>Table3[[#This Row],[BillAmount]]</f>
        <v>1591.84</v>
      </c>
      <c r="G94" s="3">
        <f>SUMIF(Vendor_Payments!C:C,A94,Vendor_Payments!E:E)</f>
        <v>1591.84</v>
      </c>
      <c r="H94" s="3">
        <f t="shared" si="3"/>
        <v>0</v>
      </c>
      <c r="I94">
        <f t="shared" si="4"/>
        <v>-17</v>
      </c>
      <c r="J94" t="str">
        <f t="shared" si="5"/>
        <v>Current</v>
      </c>
    </row>
    <row r="95" spans="1:10" x14ac:dyDescent="0.3">
      <c r="A95" t="str">
        <f>Table3[[#This Row],[BillID]]</f>
        <v>BILL-00094</v>
      </c>
      <c r="B95" t="str">
        <f>Table3[[#This Row],[VendorID]]</f>
        <v>VEN-003</v>
      </c>
      <c r="C95" t="str">
        <f>VLOOKUP(B95,Vendors!A:B,2,FALSE)</f>
        <v>TikTok Ads</v>
      </c>
      <c r="D95" s="9">
        <f>Table3[[#This Row],[BillDate]]</f>
        <v>46075</v>
      </c>
      <c r="E95" s="9">
        <f>Table3[[#This Row],[DueDate]]</f>
        <v>46105</v>
      </c>
      <c r="F95" s="3">
        <f>Table3[[#This Row],[BillAmount]]</f>
        <v>6527.74</v>
      </c>
      <c r="G95" s="3">
        <f>SUMIF(Vendor_Payments!C:C,A95,Vendor_Payments!E:E)</f>
        <v>6527.74</v>
      </c>
      <c r="H95" s="3">
        <f t="shared" si="3"/>
        <v>0</v>
      </c>
      <c r="I95">
        <f t="shared" si="4"/>
        <v>-14</v>
      </c>
      <c r="J95" t="str">
        <f t="shared" si="5"/>
        <v>Current</v>
      </c>
    </row>
    <row r="96" spans="1:10" x14ac:dyDescent="0.3">
      <c r="A96" t="str">
        <f>Table3[[#This Row],[BillID]]</f>
        <v>BILL-00095</v>
      </c>
      <c r="B96" t="str">
        <f>Table3[[#This Row],[VendorID]]</f>
        <v>VEN-015</v>
      </c>
      <c r="C96" t="str">
        <f>VLOOKUP(B96,Vendors!A:B,2,FALSE)</f>
        <v>Zapier</v>
      </c>
      <c r="D96" s="9">
        <f>Table3[[#This Row],[BillDate]]</f>
        <v>46001</v>
      </c>
      <c r="E96" s="9">
        <f>Table3[[#This Row],[DueDate]]</f>
        <v>46031</v>
      </c>
      <c r="F96" s="3">
        <f>Table3[[#This Row],[BillAmount]]</f>
        <v>6345.52</v>
      </c>
      <c r="G96" s="3">
        <f>SUMIF(Vendor_Payments!C:C,A96,Vendor_Payments!E:E)</f>
        <v>6345.52</v>
      </c>
      <c r="H96" s="3">
        <f t="shared" si="3"/>
        <v>0</v>
      </c>
      <c r="I96">
        <f t="shared" si="4"/>
        <v>60</v>
      </c>
      <c r="J96" t="str">
        <f t="shared" si="5"/>
        <v>31-60</v>
      </c>
    </row>
    <row r="97" spans="1:10" x14ac:dyDescent="0.3">
      <c r="A97" t="str">
        <f>Table3[[#This Row],[BillID]]</f>
        <v>BILL-00096</v>
      </c>
      <c r="B97" t="str">
        <f>Table3[[#This Row],[VendorID]]</f>
        <v>VEN-023</v>
      </c>
      <c r="C97" t="str">
        <f>VLOOKUP(B97,Vendors!A:B,2,FALSE)</f>
        <v>Fiverr Pro</v>
      </c>
      <c r="D97" s="9">
        <f>Table3[[#This Row],[BillDate]]</f>
        <v>46014</v>
      </c>
      <c r="E97" s="9">
        <f>Table3[[#This Row],[DueDate]]</f>
        <v>46044</v>
      </c>
      <c r="F97" s="3">
        <f>Table3[[#This Row],[BillAmount]]</f>
        <v>3591.3</v>
      </c>
      <c r="G97" s="3">
        <f>SUMIF(Vendor_Payments!C:C,A97,Vendor_Payments!E:E)</f>
        <v>3591.3</v>
      </c>
      <c r="H97" s="3">
        <f t="shared" si="3"/>
        <v>0</v>
      </c>
      <c r="I97">
        <f t="shared" si="4"/>
        <v>47</v>
      </c>
      <c r="J97" t="str">
        <f t="shared" si="5"/>
        <v>31-60</v>
      </c>
    </row>
    <row r="98" spans="1:10" x14ac:dyDescent="0.3">
      <c r="A98" t="str">
        <f>Table3[[#This Row],[BillID]]</f>
        <v>BILL-00097</v>
      </c>
      <c r="B98" t="str">
        <f>Table3[[#This Row],[VendorID]]</f>
        <v>VEN-005</v>
      </c>
      <c r="C98" t="str">
        <f>VLOOKUP(B98,Vendors!A:B,2,FALSE)</f>
        <v>HubSpot</v>
      </c>
      <c r="D98" s="9">
        <f>Table3[[#This Row],[BillDate]]</f>
        <v>46001</v>
      </c>
      <c r="E98" s="9">
        <f>Table3[[#This Row],[DueDate]]</f>
        <v>46031</v>
      </c>
      <c r="F98" s="3">
        <f>Table3[[#This Row],[BillAmount]]</f>
        <v>922.02</v>
      </c>
      <c r="G98" s="3">
        <f>SUMIF(Vendor_Payments!C:C,A98,Vendor_Payments!E:E)</f>
        <v>0</v>
      </c>
      <c r="H98" s="3">
        <f t="shared" si="3"/>
        <v>922.02</v>
      </c>
      <c r="I98">
        <f t="shared" si="4"/>
        <v>60</v>
      </c>
      <c r="J98" t="str">
        <f t="shared" si="5"/>
        <v>31-60</v>
      </c>
    </row>
    <row r="99" spans="1:10" x14ac:dyDescent="0.3">
      <c r="A99" t="str">
        <f>Table3[[#This Row],[BillID]]</f>
        <v>BILL-00098</v>
      </c>
      <c r="B99" t="str">
        <f>Table3[[#This Row],[VendorID]]</f>
        <v>VEN-038</v>
      </c>
      <c r="C99" t="str">
        <f>VLOOKUP(B99,Vendors!A:B,2,FALSE)</f>
        <v>Insight Marketing Partners</v>
      </c>
      <c r="D99" s="9">
        <f>Table3[[#This Row],[BillDate]]</f>
        <v>45986</v>
      </c>
      <c r="E99" s="9">
        <f>Table3[[#This Row],[DueDate]]</f>
        <v>46016</v>
      </c>
      <c r="F99" s="3">
        <f>Table3[[#This Row],[BillAmount]]</f>
        <v>6000.97</v>
      </c>
      <c r="G99" s="3">
        <f>SUMIF(Vendor_Payments!C:C,A99,Vendor_Payments!E:E)</f>
        <v>6000.97</v>
      </c>
      <c r="H99" s="3">
        <f t="shared" si="3"/>
        <v>0</v>
      </c>
      <c r="I99">
        <f t="shared" si="4"/>
        <v>75</v>
      </c>
      <c r="J99" t="str">
        <f t="shared" si="5"/>
        <v>61-90</v>
      </c>
    </row>
    <row r="100" spans="1:10" x14ac:dyDescent="0.3">
      <c r="A100" t="str">
        <f>Table3[[#This Row],[BillID]]</f>
        <v>BILL-00099</v>
      </c>
      <c r="B100" t="str">
        <f>Table3[[#This Row],[VendorID]]</f>
        <v>VEN-011</v>
      </c>
      <c r="C100" t="str">
        <f>VLOOKUP(B100,Vendors!A:B,2,FALSE)</f>
        <v>AWS</v>
      </c>
      <c r="D100" s="9">
        <f>Table3[[#This Row],[BillDate]]</f>
        <v>46073</v>
      </c>
      <c r="E100" s="9">
        <f>Table3[[#This Row],[DueDate]]</f>
        <v>46103</v>
      </c>
      <c r="F100" s="3">
        <f>Table3[[#This Row],[BillAmount]]</f>
        <v>2478.48</v>
      </c>
      <c r="G100" s="3">
        <f>SUMIF(Vendor_Payments!C:C,A100,Vendor_Payments!E:E)</f>
        <v>0</v>
      </c>
      <c r="H100" s="3">
        <f t="shared" si="3"/>
        <v>2478.48</v>
      </c>
      <c r="I100">
        <f t="shared" si="4"/>
        <v>-12</v>
      </c>
      <c r="J100" t="str">
        <f t="shared" si="5"/>
        <v>Current</v>
      </c>
    </row>
    <row r="101" spans="1:10" x14ac:dyDescent="0.3">
      <c r="A101" t="str">
        <f>Table3[[#This Row],[BillID]]</f>
        <v>BILL-00100</v>
      </c>
      <c r="B101" t="str">
        <f>Table3[[#This Row],[VendorID]]</f>
        <v>VEN-005</v>
      </c>
      <c r="C101" t="str">
        <f>VLOOKUP(B101,Vendors!A:B,2,FALSE)</f>
        <v>HubSpot</v>
      </c>
      <c r="D101" s="9">
        <f>Table3[[#This Row],[BillDate]]</f>
        <v>46078</v>
      </c>
      <c r="E101" s="9">
        <f>Table3[[#This Row],[DueDate]]</f>
        <v>46108</v>
      </c>
      <c r="F101" s="3">
        <f>Table3[[#This Row],[BillAmount]]</f>
        <v>1168.8800000000001</v>
      </c>
      <c r="G101" s="3">
        <f>SUMIF(Vendor_Payments!C:C,A101,Vendor_Payments!E:E)</f>
        <v>1168.8800000000001</v>
      </c>
      <c r="H101" s="3">
        <f t="shared" si="3"/>
        <v>0</v>
      </c>
      <c r="I101">
        <f t="shared" si="4"/>
        <v>-17</v>
      </c>
      <c r="J101" t="str">
        <f t="shared" si="5"/>
        <v>Current</v>
      </c>
    </row>
    <row r="102" spans="1:10" x14ac:dyDescent="0.3">
      <c r="A102" t="str">
        <f>Table3[[#This Row],[BillID]]</f>
        <v>BILL-00101</v>
      </c>
      <c r="B102" t="str">
        <f>Table3[[#This Row],[VendorID]]</f>
        <v>VEN-007</v>
      </c>
      <c r="C102" t="str">
        <f>VLOOKUP(B102,Vendors!A:B,2,FALSE)</f>
        <v>Mailchimp</v>
      </c>
      <c r="D102" s="9">
        <f>Table3[[#This Row],[BillDate]]</f>
        <v>46046</v>
      </c>
      <c r="E102" s="9">
        <f>Table3[[#This Row],[DueDate]]</f>
        <v>46076</v>
      </c>
      <c r="F102" s="3">
        <f>Table3[[#This Row],[BillAmount]]</f>
        <v>6719.46</v>
      </c>
      <c r="G102" s="3">
        <f>SUMIF(Vendor_Payments!C:C,A102,Vendor_Payments!E:E)</f>
        <v>0</v>
      </c>
      <c r="H102" s="3">
        <f t="shared" si="3"/>
        <v>6719.46</v>
      </c>
      <c r="I102">
        <f t="shared" si="4"/>
        <v>15</v>
      </c>
      <c r="J102" t="str">
        <f t="shared" si="5"/>
        <v>1-30</v>
      </c>
    </row>
    <row r="103" spans="1:10" x14ac:dyDescent="0.3">
      <c r="A103" t="str">
        <f>Table3[[#This Row],[BillID]]</f>
        <v>BILL-00102</v>
      </c>
      <c r="B103" t="str">
        <f>Table3[[#This Row],[VendorID]]</f>
        <v>VEN-035</v>
      </c>
      <c r="C103" t="str">
        <f>VLOOKUP(B103,Vendors!A:B,2,FALSE)</f>
        <v>ClickFlow Marketing</v>
      </c>
      <c r="D103" s="9">
        <f>Table3[[#This Row],[BillDate]]</f>
        <v>46029</v>
      </c>
      <c r="E103" s="9">
        <f>Table3[[#This Row],[DueDate]]</f>
        <v>46059</v>
      </c>
      <c r="F103" s="3">
        <f>Table3[[#This Row],[BillAmount]]</f>
        <v>6703.13</v>
      </c>
      <c r="G103" s="3">
        <f>SUMIF(Vendor_Payments!C:C,A103,Vendor_Payments!E:E)</f>
        <v>6703.13</v>
      </c>
      <c r="H103" s="3">
        <f t="shared" si="3"/>
        <v>0</v>
      </c>
      <c r="I103">
        <f t="shared" si="4"/>
        <v>32</v>
      </c>
      <c r="J103" t="str">
        <f t="shared" si="5"/>
        <v>31-60</v>
      </c>
    </row>
    <row r="104" spans="1:10" x14ac:dyDescent="0.3">
      <c r="A104" t="str">
        <f>Table3[[#This Row],[BillID]]</f>
        <v>BILL-00103</v>
      </c>
      <c r="B104" t="str">
        <f>Table3[[#This Row],[VendorID]]</f>
        <v>VEN-036</v>
      </c>
      <c r="C104" t="str">
        <f>VLOOKUP(B104,Vendors!A:B,2,FALSE)</f>
        <v>WebDev Masters</v>
      </c>
      <c r="D104" s="9">
        <f>Table3[[#This Row],[BillDate]]</f>
        <v>46035</v>
      </c>
      <c r="E104" s="9">
        <f>Table3[[#This Row],[DueDate]]</f>
        <v>46065</v>
      </c>
      <c r="F104" s="3">
        <f>Table3[[#This Row],[BillAmount]]</f>
        <v>3742.95</v>
      </c>
      <c r="G104" s="3">
        <f>SUMIF(Vendor_Payments!C:C,A104,Vendor_Payments!E:E)</f>
        <v>0</v>
      </c>
      <c r="H104" s="3">
        <f t="shared" si="3"/>
        <v>3742.95</v>
      </c>
      <c r="I104">
        <f t="shared" si="4"/>
        <v>26</v>
      </c>
      <c r="J104" t="str">
        <f t="shared" si="5"/>
        <v>1-30</v>
      </c>
    </row>
    <row r="105" spans="1:10" x14ac:dyDescent="0.3">
      <c r="A105" t="str">
        <f>Table3[[#This Row],[BillID]]</f>
        <v>BILL-00104</v>
      </c>
      <c r="B105" t="str">
        <f>Table3[[#This Row],[VendorID]]</f>
        <v>VEN-027</v>
      </c>
      <c r="C105" t="str">
        <f>VLOOKUP(B105,Vendors!A:B,2,FALSE)</f>
        <v>DevCraft Agency</v>
      </c>
      <c r="D105" s="9">
        <f>Table3[[#This Row],[BillDate]]</f>
        <v>46032</v>
      </c>
      <c r="E105" s="9">
        <f>Table3[[#This Row],[DueDate]]</f>
        <v>46062</v>
      </c>
      <c r="F105" s="3">
        <f>Table3[[#This Row],[BillAmount]]</f>
        <v>2069.0500000000002</v>
      </c>
      <c r="G105" s="3">
        <f>SUMIF(Vendor_Payments!C:C,A105,Vendor_Payments!E:E)</f>
        <v>2069.0500000000002</v>
      </c>
      <c r="H105" s="3">
        <f t="shared" si="3"/>
        <v>0</v>
      </c>
      <c r="I105">
        <f t="shared" si="4"/>
        <v>29</v>
      </c>
      <c r="J105" t="str">
        <f t="shared" si="5"/>
        <v>1-30</v>
      </c>
    </row>
    <row r="106" spans="1:10" x14ac:dyDescent="0.3">
      <c r="A106" t="str">
        <f>Table3[[#This Row],[BillID]]</f>
        <v>BILL-00105</v>
      </c>
      <c r="B106" t="str">
        <f>Table3[[#This Row],[VendorID]]</f>
        <v>VEN-020</v>
      </c>
      <c r="C106" t="str">
        <f>VLOOKUP(B106,Vendors!A:B,2,FALSE)</f>
        <v>Slack</v>
      </c>
      <c r="D106" s="9">
        <f>Table3[[#This Row],[BillDate]]</f>
        <v>46063</v>
      </c>
      <c r="E106" s="9">
        <f>Table3[[#This Row],[DueDate]]</f>
        <v>46093</v>
      </c>
      <c r="F106" s="3">
        <f>Table3[[#This Row],[BillAmount]]</f>
        <v>5719.4</v>
      </c>
      <c r="G106" s="3">
        <f>SUMIF(Vendor_Payments!C:C,A106,Vendor_Payments!E:E)</f>
        <v>5719.4</v>
      </c>
      <c r="H106" s="3">
        <f t="shared" si="3"/>
        <v>0</v>
      </c>
      <c r="I106">
        <f t="shared" si="4"/>
        <v>-2</v>
      </c>
      <c r="J106" t="str">
        <f t="shared" si="5"/>
        <v>Current</v>
      </c>
    </row>
    <row r="107" spans="1:10" x14ac:dyDescent="0.3">
      <c r="A107" t="str">
        <f>Table3[[#This Row],[BillID]]</f>
        <v>BILL-00106</v>
      </c>
      <c r="B107" t="str">
        <f>Table3[[#This Row],[VendorID]]</f>
        <v>VEN-014</v>
      </c>
      <c r="C107" t="str">
        <f>VLOOKUP(B107,Vendors!A:B,2,FALSE)</f>
        <v>Figma</v>
      </c>
      <c r="D107" s="9">
        <f>Table3[[#This Row],[BillDate]]</f>
        <v>45971</v>
      </c>
      <c r="E107" s="9">
        <f>Table3[[#This Row],[DueDate]]</f>
        <v>46001</v>
      </c>
      <c r="F107" s="3">
        <f>Table3[[#This Row],[BillAmount]]</f>
        <v>1868.83</v>
      </c>
      <c r="G107" s="3">
        <f>SUMIF(Vendor_Payments!C:C,A107,Vendor_Payments!E:E)</f>
        <v>1868.83</v>
      </c>
      <c r="H107" s="3">
        <f t="shared" si="3"/>
        <v>0</v>
      </c>
      <c r="I107">
        <f t="shared" si="4"/>
        <v>90</v>
      </c>
      <c r="J107" t="str">
        <f t="shared" si="5"/>
        <v>61-90</v>
      </c>
    </row>
    <row r="108" spans="1:10" x14ac:dyDescent="0.3">
      <c r="A108" t="str">
        <f>Table3[[#This Row],[BillID]]</f>
        <v>BILL-00107</v>
      </c>
      <c r="B108" t="str">
        <f>Table3[[#This Row],[VendorID]]</f>
        <v>VEN-004</v>
      </c>
      <c r="C108" t="str">
        <f>VLOOKUP(B108,Vendors!A:B,2,FALSE)</f>
        <v>LinkedIn Ads</v>
      </c>
      <c r="D108" s="9">
        <f>Table3[[#This Row],[BillDate]]</f>
        <v>46085</v>
      </c>
      <c r="E108" s="9">
        <f>Table3[[#This Row],[DueDate]]</f>
        <v>46115</v>
      </c>
      <c r="F108" s="3">
        <f>Table3[[#This Row],[BillAmount]]</f>
        <v>1019.77</v>
      </c>
      <c r="G108" s="3">
        <f>SUMIF(Vendor_Payments!C:C,A108,Vendor_Payments!E:E)</f>
        <v>1019.77</v>
      </c>
      <c r="H108" s="3">
        <f t="shared" si="3"/>
        <v>0</v>
      </c>
      <c r="I108">
        <f t="shared" si="4"/>
        <v>-24</v>
      </c>
      <c r="J108" t="str">
        <f t="shared" si="5"/>
        <v>Current</v>
      </c>
    </row>
    <row r="109" spans="1:10" x14ac:dyDescent="0.3">
      <c r="A109" t="str">
        <f>Table3[[#This Row],[BillID]]</f>
        <v>BILL-00108</v>
      </c>
      <c r="B109" t="str">
        <f>Table3[[#This Row],[VendorID]]</f>
        <v>VEN-007</v>
      </c>
      <c r="C109" t="str">
        <f>VLOOKUP(B109,Vendors!A:B,2,FALSE)</f>
        <v>Mailchimp</v>
      </c>
      <c r="D109" s="9">
        <f>Table3[[#This Row],[BillDate]]</f>
        <v>46040</v>
      </c>
      <c r="E109" s="9">
        <f>Table3[[#This Row],[DueDate]]</f>
        <v>46070</v>
      </c>
      <c r="F109" s="3">
        <f>Table3[[#This Row],[BillAmount]]</f>
        <v>5062.76</v>
      </c>
      <c r="G109" s="3">
        <f>SUMIF(Vendor_Payments!C:C,A109,Vendor_Payments!E:E)</f>
        <v>5062.76</v>
      </c>
      <c r="H109" s="3">
        <f t="shared" si="3"/>
        <v>0</v>
      </c>
      <c r="I109">
        <f t="shared" si="4"/>
        <v>21</v>
      </c>
      <c r="J109" t="str">
        <f t="shared" si="5"/>
        <v>1-30</v>
      </c>
    </row>
    <row r="110" spans="1:10" x14ac:dyDescent="0.3">
      <c r="A110" t="str">
        <f>Table3[[#This Row],[BillID]]</f>
        <v>BILL-00109</v>
      </c>
      <c r="B110" t="str">
        <f>Table3[[#This Row],[VendorID]]</f>
        <v>VEN-010</v>
      </c>
      <c r="C110" t="str">
        <f>VLOOKUP(B110,Vendors!A:B,2,FALSE)</f>
        <v>Adobe Creative Cloud</v>
      </c>
      <c r="D110" s="9">
        <f>Table3[[#This Row],[BillDate]]</f>
        <v>46045</v>
      </c>
      <c r="E110" s="9">
        <f>Table3[[#This Row],[DueDate]]</f>
        <v>46075</v>
      </c>
      <c r="F110" s="3">
        <f>Table3[[#This Row],[BillAmount]]</f>
        <v>4186.16</v>
      </c>
      <c r="G110" s="3">
        <f>SUMIF(Vendor_Payments!C:C,A110,Vendor_Payments!E:E)</f>
        <v>4186.16</v>
      </c>
      <c r="H110" s="3">
        <f t="shared" si="3"/>
        <v>0</v>
      </c>
      <c r="I110">
        <f t="shared" si="4"/>
        <v>16</v>
      </c>
      <c r="J110" t="str">
        <f t="shared" si="5"/>
        <v>1-30</v>
      </c>
    </row>
    <row r="111" spans="1:10" x14ac:dyDescent="0.3">
      <c r="A111" t="str">
        <f>Table3[[#This Row],[BillID]]</f>
        <v>BILL-00110</v>
      </c>
      <c r="B111" t="str">
        <f>Table3[[#This Row],[VendorID]]</f>
        <v>VEN-004</v>
      </c>
      <c r="C111" t="str">
        <f>VLOOKUP(B111,Vendors!A:B,2,FALSE)</f>
        <v>LinkedIn Ads</v>
      </c>
      <c r="D111" s="9">
        <f>Table3[[#This Row],[BillDate]]</f>
        <v>45995</v>
      </c>
      <c r="E111" s="9">
        <f>Table3[[#This Row],[DueDate]]</f>
        <v>46025</v>
      </c>
      <c r="F111" s="3">
        <f>Table3[[#This Row],[BillAmount]]</f>
        <v>6592.35</v>
      </c>
      <c r="G111" s="3">
        <f>SUMIF(Vendor_Payments!C:C,A111,Vendor_Payments!E:E)</f>
        <v>6592.35</v>
      </c>
      <c r="H111" s="3">
        <f t="shared" si="3"/>
        <v>0</v>
      </c>
      <c r="I111">
        <f t="shared" si="4"/>
        <v>66</v>
      </c>
      <c r="J111" t="str">
        <f t="shared" si="5"/>
        <v>61-90</v>
      </c>
    </row>
    <row r="112" spans="1:10" x14ac:dyDescent="0.3">
      <c r="A112" t="str">
        <f>Table3[[#This Row],[BillID]]</f>
        <v>BILL-00111</v>
      </c>
      <c r="B112" t="str">
        <f>Table3[[#This Row],[VendorID]]</f>
        <v>VEN-039</v>
      </c>
      <c r="C112" t="str">
        <f>VLOOKUP(B112,Vendors!A:B,2,FALSE)</f>
        <v>Global Growth Advisors</v>
      </c>
      <c r="D112" s="9">
        <f>Table3[[#This Row],[BillDate]]</f>
        <v>45972</v>
      </c>
      <c r="E112" s="9">
        <f>Table3[[#This Row],[DueDate]]</f>
        <v>46002</v>
      </c>
      <c r="F112" s="3">
        <f>Table3[[#This Row],[BillAmount]]</f>
        <v>2878.37</v>
      </c>
      <c r="G112" s="3">
        <f>SUMIF(Vendor_Payments!C:C,A112,Vendor_Payments!E:E)</f>
        <v>0</v>
      </c>
      <c r="H112" s="3">
        <f t="shared" si="3"/>
        <v>2878.37</v>
      </c>
      <c r="I112">
        <f t="shared" si="4"/>
        <v>89</v>
      </c>
      <c r="J112" t="str">
        <f t="shared" si="5"/>
        <v>61-90</v>
      </c>
    </row>
    <row r="113" spans="1:10" x14ac:dyDescent="0.3">
      <c r="A113" t="str">
        <f>Table3[[#This Row],[BillID]]</f>
        <v>BILL-00112</v>
      </c>
      <c r="B113" t="str">
        <f>Table3[[#This Row],[VendorID]]</f>
        <v>VEN-009</v>
      </c>
      <c r="C113" t="str">
        <f>VLOOKUP(B113,Vendors!A:B,2,FALSE)</f>
        <v>SEMrush</v>
      </c>
      <c r="D113" s="9">
        <f>Table3[[#This Row],[BillDate]]</f>
        <v>46064</v>
      </c>
      <c r="E113" s="9">
        <f>Table3[[#This Row],[DueDate]]</f>
        <v>46094</v>
      </c>
      <c r="F113" s="3">
        <f>Table3[[#This Row],[BillAmount]]</f>
        <v>1234.49</v>
      </c>
      <c r="G113" s="3">
        <f>SUMIF(Vendor_Payments!C:C,A113,Vendor_Payments!E:E)</f>
        <v>1234.49</v>
      </c>
      <c r="H113" s="3">
        <f t="shared" si="3"/>
        <v>0</v>
      </c>
      <c r="I113">
        <f t="shared" si="4"/>
        <v>-3</v>
      </c>
      <c r="J113" t="str">
        <f t="shared" si="5"/>
        <v>Current</v>
      </c>
    </row>
    <row r="114" spans="1:10" x14ac:dyDescent="0.3">
      <c r="A114" t="str">
        <f>Table3[[#This Row],[BillID]]</f>
        <v>BILL-00113</v>
      </c>
      <c r="B114" t="str">
        <f>Table3[[#This Row],[VendorID]]</f>
        <v>VEN-038</v>
      </c>
      <c r="C114" t="str">
        <f>VLOOKUP(B114,Vendors!A:B,2,FALSE)</f>
        <v>Insight Marketing Partners</v>
      </c>
      <c r="D114" s="9">
        <f>Table3[[#This Row],[BillDate]]</f>
        <v>45984</v>
      </c>
      <c r="E114" s="9">
        <f>Table3[[#This Row],[DueDate]]</f>
        <v>46014</v>
      </c>
      <c r="F114" s="3">
        <f>Table3[[#This Row],[BillAmount]]</f>
        <v>993.3</v>
      </c>
      <c r="G114" s="3">
        <f>SUMIF(Vendor_Payments!C:C,A114,Vendor_Payments!E:E)</f>
        <v>993.3</v>
      </c>
      <c r="H114" s="3">
        <f t="shared" si="3"/>
        <v>0</v>
      </c>
      <c r="I114">
        <f t="shared" si="4"/>
        <v>77</v>
      </c>
      <c r="J114" t="str">
        <f t="shared" si="5"/>
        <v>61-90</v>
      </c>
    </row>
    <row r="115" spans="1:10" x14ac:dyDescent="0.3">
      <c r="A115" t="str">
        <f>Table3[[#This Row],[BillID]]</f>
        <v>BILL-00114</v>
      </c>
      <c r="B115" t="str">
        <f>Table3[[#This Row],[VendorID]]</f>
        <v>VEN-021</v>
      </c>
      <c r="C115" t="str">
        <f>VLOOKUP(B115,Vendors!A:B,2,FALSE)</f>
        <v>Upwork Freelancers</v>
      </c>
      <c r="D115" s="9">
        <f>Table3[[#This Row],[BillDate]]</f>
        <v>46055</v>
      </c>
      <c r="E115" s="9">
        <f>Table3[[#This Row],[DueDate]]</f>
        <v>46085</v>
      </c>
      <c r="F115" s="3">
        <f>Table3[[#This Row],[BillAmount]]</f>
        <v>986.16</v>
      </c>
      <c r="G115" s="3">
        <f>SUMIF(Vendor_Payments!C:C,A115,Vendor_Payments!E:E)</f>
        <v>986.16</v>
      </c>
      <c r="H115" s="3">
        <f t="shared" si="3"/>
        <v>0</v>
      </c>
      <c r="I115">
        <f t="shared" si="4"/>
        <v>6</v>
      </c>
      <c r="J115" t="str">
        <f t="shared" si="5"/>
        <v>1-30</v>
      </c>
    </row>
    <row r="116" spans="1:10" x14ac:dyDescent="0.3">
      <c r="A116" t="str">
        <f>Table3[[#This Row],[BillID]]</f>
        <v>BILL-00115</v>
      </c>
      <c r="B116" t="str">
        <f>Table3[[#This Row],[VendorID]]</f>
        <v>VEN-022</v>
      </c>
      <c r="C116" t="str">
        <f>VLOOKUP(B116,Vendors!A:B,2,FALSE)</f>
        <v>Toptal Talent</v>
      </c>
      <c r="D116" s="9">
        <f>Table3[[#This Row],[BillDate]]</f>
        <v>46040</v>
      </c>
      <c r="E116" s="9">
        <f>Table3[[#This Row],[DueDate]]</f>
        <v>46070</v>
      </c>
      <c r="F116" s="3">
        <f>Table3[[#This Row],[BillAmount]]</f>
        <v>6722.95</v>
      </c>
      <c r="G116" s="3">
        <f>SUMIF(Vendor_Payments!C:C,A116,Vendor_Payments!E:E)</f>
        <v>6722.95</v>
      </c>
      <c r="H116" s="3">
        <f t="shared" si="3"/>
        <v>0</v>
      </c>
      <c r="I116">
        <f t="shared" si="4"/>
        <v>21</v>
      </c>
      <c r="J116" t="str">
        <f t="shared" si="5"/>
        <v>1-30</v>
      </c>
    </row>
    <row r="117" spans="1:10" x14ac:dyDescent="0.3">
      <c r="A117" t="str">
        <f>Table3[[#This Row],[BillID]]</f>
        <v>BILL-00116</v>
      </c>
      <c r="B117" t="str">
        <f>Table3[[#This Row],[VendorID]]</f>
        <v>VEN-030</v>
      </c>
      <c r="C117" t="str">
        <f>VLOOKUP(B117,Vendors!A:B,2,FALSE)</f>
        <v>ContentCraft Studio</v>
      </c>
      <c r="D117" s="9">
        <f>Table3[[#This Row],[BillDate]]</f>
        <v>46055</v>
      </c>
      <c r="E117" s="9">
        <f>Table3[[#This Row],[DueDate]]</f>
        <v>46085</v>
      </c>
      <c r="F117" s="3">
        <f>Table3[[#This Row],[BillAmount]]</f>
        <v>2140.36</v>
      </c>
      <c r="G117" s="3">
        <f>SUMIF(Vendor_Payments!C:C,A117,Vendor_Payments!E:E)</f>
        <v>2140.36</v>
      </c>
      <c r="H117" s="3">
        <f t="shared" si="3"/>
        <v>0</v>
      </c>
      <c r="I117">
        <f t="shared" si="4"/>
        <v>6</v>
      </c>
      <c r="J117" t="str">
        <f t="shared" si="5"/>
        <v>1-30</v>
      </c>
    </row>
    <row r="118" spans="1:10" x14ac:dyDescent="0.3">
      <c r="A118" t="str">
        <f>Table3[[#This Row],[BillID]]</f>
        <v>BILL-00117</v>
      </c>
      <c r="B118" t="str">
        <f>Table3[[#This Row],[VendorID]]</f>
        <v>VEN-029</v>
      </c>
      <c r="C118" t="str">
        <f>VLOOKUP(B118,Vendors!A:B,2,FALSE)</f>
        <v>BrightSEO Agency</v>
      </c>
      <c r="D118" s="9">
        <f>Table3[[#This Row],[BillDate]]</f>
        <v>46061</v>
      </c>
      <c r="E118" s="9">
        <f>Table3[[#This Row],[DueDate]]</f>
        <v>46091</v>
      </c>
      <c r="F118" s="3">
        <f>Table3[[#This Row],[BillAmount]]</f>
        <v>1864.32</v>
      </c>
      <c r="G118" s="3">
        <f>SUMIF(Vendor_Payments!C:C,A118,Vendor_Payments!E:E)</f>
        <v>1864.32</v>
      </c>
      <c r="H118" s="3">
        <f t="shared" si="3"/>
        <v>0</v>
      </c>
      <c r="I118">
        <f t="shared" si="4"/>
        <v>0</v>
      </c>
      <c r="J118" t="str">
        <f t="shared" si="5"/>
        <v>Current</v>
      </c>
    </row>
    <row r="119" spans="1:10" x14ac:dyDescent="0.3">
      <c r="A119" t="str">
        <f>Table3[[#This Row],[BillID]]</f>
        <v>BILL-00118</v>
      </c>
      <c r="B119" t="str">
        <f>Table3[[#This Row],[VendorID]]</f>
        <v>VEN-025</v>
      </c>
      <c r="C119" t="str">
        <f>VLOOKUP(B119,Vendors!A:B,2,FALSE)</f>
        <v>Digital Growth Consultants</v>
      </c>
      <c r="D119" s="9">
        <f>Table3[[#This Row],[BillDate]]</f>
        <v>46085</v>
      </c>
      <c r="E119" s="9">
        <f>Table3[[#This Row],[DueDate]]</f>
        <v>46115</v>
      </c>
      <c r="F119" s="3">
        <f>Table3[[#This Row],[BillAmount]]</f>
        <v>4311.5</v>
      </c>
      <c r="G119" s="3">
        <f>SUMIF(Vendor_Payments!C:C,A119,Vendor_Payments!E:E)</f>
        <v>0</v>
      </c>
      <c r="H119" s="3">
        <f t="shared" si="3"/>
        <v>4311.5</v>
      </c>
      <c r="I119">
        <f t="shared" si="4"/>
        <v>-24</v>
      </c>
      <c r="J119" t="str">
        <f t="shared" si="5"/>
        <v>Current</v>
      </c>
    </row>
    <row r="120" spans="1:10" x14ac:dyDescent="0.3">
      <c r="A120" t="str">
        <f>Table3[[#This Row],[BillID]]</f>
        <v>BILL-00119</v>
      </c>
      <c r="B120" t="str">
        <f>Table3[[#This Row],[VendorID]]</f>
        <v>VEN-025</v>
      </c>
      <c r="C120" t="str">
        <f>VLOOKUP(B120,Vendors!A:B,2,FALSE)</f>
        <v>Digital Growth Consultants</v>
      </c>
      <c r="D120" s="9">
        <f>Table3[[#This Row],[BillDate]]</f>
        <v>45985</v>
      </c>
      <c r="E120" s="9">
        <f>Table3[[#This Row],[DueDate]]</f>
        <v>46015</v>
      </c>
      <c r="F120" s="3">
        <f>Table3[[#This Row],[BillAmount]]</f>
        <v>3872.81</v>
      </c>
      <c r="G120" s="3">
        <f>SUMIF(Vendor_Payments!C:C,A120,Vendor_Payments!E:E)</f>
        <v>3872.81</v>
      </c>
      <c r="H120" s="3">
        <f t="shared" si="3"/>
        <v>0</v>
      </c>
      <c r="I120">
        <f t="shared" si="4"/>
        <v>76</v>
      </c>
      <c r="J120" t="str">
        <f t="shared" si="5"/>
        <v>61-90</v>
      </c>
    </row>
    <row r="121" spans="1:10" x14ac:dyDescent="0.3">
      <c r="A121" t="str">
        <f>Table3[[#This Row],[BillID]]</f>
        <v>BILL-00120</v>
      </c>
      <c r="B121" t="str">
        <f>Table3[[#This Row],[VendorID]]</f>
        <v>VEN-021</v>
      </c>
      <c r="C121" t="str">
        <f>VLOOKUP(B121,Vendors!A:B,2,FALSE)</f>
        <v>Upwork Freelancers</v>
      </c>
      <c r="D121" s="9">
        <f>Table3[[#This Row],[BillDate]]</f>
        <v>45982</v>
      </c>
      <c r="E121" s="9">
        <f>Table3[[#This Row],[DueDate]]</f>
        <v>46012</v>
      </c>
      <c r="F121" s="3">
        <f>Table3[[#This Row],[BillAmount]]</f>
        <v>6194.86</v>
      </c>
      <c r="G121" s="3">
        <f>SUMIF(Vendor_Payments!C:C,A121,Vendor_Payments!E:E)</f>
        <v>0</v>
      </c>
      <c r="H121" s="3">
        <f t="shared" si="3"/>
        <v>6194.86</v>
      </c>
      <c r="I121">
        <f t="shared" si="4"/>
        <v>79</v>
      </c>
      <c r="J121" t="str">
        <f t="shared" si="5"/>
        <v>61-90</v>
      </c>
    </row>
    <row r="122" spans="1:10" x14ac:dyDescent="0.3">
      <c r="A122" t="str">
        <f>Table3[[#This Row],[BillID]]</f>
        <v>BILL-00121</v>
      </c>
      <c r="B122" t="str">
        <f>Table3[[#This Row],[VendorID]]</f>
        <v>VEN-027</v>
      </c>
      <c r="C122" t="str">
        <f>VLOOKUP(B122,Vendors!A:B,2,FALSE)</f>
        <v>DevCraft Agency</v>
      </c>
      <c r="D122" s="9">
        <f>Table3[[#This Row],[BillDate]]</f>
        <v>46078</v>
      </c>
      <c r="E122" s="9">
        <f>Table3[[#This Row],[DueDate]]</f>
        <v>46108</v>
      </c>
      <c r="F122" s="3">
        <f>Table3[[#This Row],[BillAmount]]</f>
        <v>5712.55</v>
      </c>
      <c r="G122" s="3">
        <f>SUMIF(Vendor_Payments!C:C,A122,Vendor_Payments!E:E)</f>
        <v>0</v>
      </c>
      <c r="H122" s="3">
        <f t="shared" si="3"/>
        <v>5712.55</v>
      </c>
      <c r="I122">
        <f t="shared" si="4"/>
        <v>-17</v>
      </c>
      <c r="J122" t="str">
        <f t="shared" si="5"/>
        <v>Current</v>
      </c>
    </row>
    <row r="123" spans="1:10" x14ac:dyDescent="0.3">
      <c r="A123" t="str">
        <f>Table3[[#This Row],[BillID]]</f>
        <v>BILL-00122</v>
      </c>
      <c r="B123" t="str">
        <f>Table3[[#This Row],[VendorID]]</f>
        <v>VEN-011</v>
      </c>
      <c r="C123" t="str">
        <f>VLOOKUP(B123,Vendors!A:B,2,FALSE)</f>
        <v>AWS</v>
      </c>
      <c r="D123" s="9">
        <f>Table3[[#This Row],[BillDate]]</f>
        <v>46004</v>
      </c>
      <c r="E123" s="9">
        <f>Table3[[#This Row],[DueDate]]</f>
        <v>46034</v>
      </c>
      <c r="F123" s="3">
        <f>Table3[[#This Row],[BillAmount]]</f>
        <v>4192.38</v>
      </c>
      <c r="G123" s="3">
        <f>SUMIF(Vendor_Payments!C:C,A123,Vendor_Payments!E:E)</f>
        <v>0</v>
      </c>
      <c r="H123" s="3">
        <f t="shared" si="3"/>
        <v>4192.38</v>
      </c>
      <c r="I123">
        <f t="shared" si="4"/>
        <v>57</v>
      </c>
      <c r="J123" t="str">
        <f t="shared" si="5"/>
        <v>31-60</v>
      </c>
    </row>
    <row r="124" spans="1:10" x14ac:dyDescent="0.3">
      <c r="A124" t="str">
        <f>Table3[[#This Row],[BillID]]</f>
        <v>BILL-00123</v>
      </c>
      <c r="B124" t="str">
        <f>Table3[[#This Row],[VendorID]]</f>
        <v>VEN-001</v>
      </c>
      <c r="C124" t="str">
        <f>VLOOKUP(B124,Vendors!A:B,2,FALSE)</f>
        <v>Google Ads</v>
      </c>
      <c r="D124" s="9">
        <f>Table3[[#This Row],[BillDate]]</f>
        <v>46086</v>
      </c>
      <c r="E124" s="9">
        <f>Table3[[#This Row],[DueDate]]</f>
        <v>46116</v>
      </c>
      <c r="F124" s="3">
        <f>Table3[[#This Row],[BillAmount]]</f>
        <v>3619.69</v>
      </c>
      <c r="G124" s="3">
        <f>SUMIF(Vendor_Payments!C:C,A124,Vendor_Payments!E:E)</f>
        <v>3619.69</v>
      </c>
      <c r="H124" s="3">
        <f t="shared" si="3"/>
        <v>0</v>
      </c>
      <c r="I124">
        <f t="shared" si="4"/>
        <v>-25</v>
      </c>
      <c r="J124" t="str">
        <f t="shared" si="5"/>
        <v>Current</v>
      </c>
    </row>
    <row r="125" spans="1:10" x14ac:dyDescent="0.3">
      <c r="A125" t="str">
        <f>Table3[[#This Row],[BillID]]</f>
        <v>BILL-00124</v>
      </c>
      <c r="B125" t="str">
        <f>Table3[[#This Row],[VendorID]]</f>
        <v>VEN-010</v>
      </c>
      <c r="C125" t="str">
        <f>VLOOKUP(B125,Vendors!A:B,2,FALSE)</f>
        <v>Adobe Creative Cloud</v>
      </c>
      <c r="D125" s="9">
        <f>Table3[[#This Row],[BillDate]]</f>
        <v>45977</v>
      </c>
      <c r="E125" s="9">
        <f>Table3[[#This Row],[DueDate]]</f>
        <v>46007</v>
      </c>
      <c r="F125" s="3">
        <f>Table3[[#This Row],[BillAmount]]</f>
        <v>5915.33</v>
      </c>
      <c r="G125" s="3">
        <f>SUMIF(Vendor_Payments!C:C,A125,Vendor_Payments!E:E)</f>
        <v>0</v>
      </c>
      <c r="H125" s="3">
        <f t="shared" si="3"/>
        <v>5915.33</v>
      </c>
      <c r="I125">
        <f t="shared" si="4"/>
        <v>84</v>
      </c>
      <c r="J125" t="str">
        <f t="shared" si="5"/>
        <v>61-90</v>
      </c>
    </row>
    <row r="126" spans="1:10" x14ac:dyDescent="0.3">
      <c r="A126" t="str">
        <f>Table3[[#This Row],[BillID]]</f>
        <v>BILL-00125</v>
      </c>
      <c r="B126" t="str">
        <f>Table3[[#This Row],[VendorID]]</f>
        <v>VEN-012</v>
      </c>
      <c r="C126" t="str">
        <f>VLOOKUP(B126,Vendors!A:B,2,FALSE)</f>
        <v>Google Cloud</v>
      </c>
      <c r="D126" s="9">
        <f>Table3[[#This Row],[BillDate]]</f>
        <v>45989</v>
      </c>
      <c r="E126" s="9">
        <f>Table3[[#This Row],[DueDate]]</f>
        <v>46019</v>
      </c>
      <c r="F126" s="3">
        <f>Table3[[#This Row],[BillAmount]]</f>
        <v>3035.38</v>
      </c>
      <c r="G126" s="3">
        <f>SUMIF(Vendor_Payments!C:C,A126,Vendor_Payments!E:E)</f>
        <v>3035.38</v>
      </c>
      <c r="H126" s="3">
        <f t="shared" si="3"/>
        <v>0</v>
      </c>
      <c r="I126">
        <f t="shared" si="4"/>
        <v>72</v>
      </c>
      <c r="J126" t="str">
        <f t="shared" si="5"/>
        <v>61-90</v>
      </c>
    </row>
    <row r="127" spans="1:10" x14ac:dyDescent="0.3">
      <c r="A127" t="str">
        <f>Table3[[#This Row],[BillID]]</f>
        <v>BILL-00126</v>
      </c>
      <c r="B127" t="str">
        <f>Table3[[#This Row],[VendorID]]</f>
        <v>VEN-010</v>
      </c>
      <c r="C127" t="str">
        <f>VLOOKUP(B127,Vendors!A:B,2,FALSE)</f>
        <v>Adobe Creative Cloud</v>
      </c>
      <c r="D127" s="9">
        <f>Table3[[#This Row],[BillDate]]</f>
        <v>46069</v>
      </c>
      <c r="E127" s="9">
        <f>Table3[[#This Row],[DueDate]]</f>
        <v>46099</v>
      </c>
      <c r="F127" s="3">
        <f>Table3[[#This Row],[BillAmount]]</f>
        <v>2922.39</v>
      </c>
      <c r="G127" s="3">
        <f>SUMIF(Vendor_Payments!C:C,A127,Vendor_Payments!E:E)</f>
        <v>2922.39</v>
      </c>
      <c r="H127" s="3">
        <f t="shared" si="3"/>
        <v>0</v>
      </c>
      <c r="I127">
        <f t="shared" si="4"/>
        <v>-8</v>
      </c>
      <c r="J127" t="str">
        <f t="shared" si="5"/>
        <v>Current</v>
      </c>
    </row>
    <row r="128" spans="1:10" x14ac:dyDescent="0.3">
      <c r="A128" t="str">
        <f>Table3[[#This Row],[BillID]]</f>
        <v>BILL-00127</v>
      </c>
      <c r="B128" t="str">
        <f>Table3[[#This Row],[VendorID]]</f>
        <v>VEN-006</v>
      </c>
      <c r="C128" t="str">
        <f>VLOOKUP(B128,Vendors!A:B,2,FALSE)</f>
        <v>Salesforce</v>
      </c>
      <c r="D128" s="9">
        <f>Table3[[#This Row],[BillDate]]</f>
        <v>46024</v>
      </c>
      <c r="E128" s="9">
        <f>Table3[[#This Row],[DueDate]]</f>
        <v>46054</v>
      </c>
      <c r="F128" s="3">
        <f>Table3[[#This Row],[BillAmount]]</f>
        <v>1679.88</v>
      </c>
      <c r="G128" s="3">
        <f>SUMIF(Vendor_Payments!C:C,A128,Vendor_Payments!E:E)</f>
        <v>0</v>
      </c>
      <c r="H128" s="3">
        <f t="shared" si="3"/>
        <v>1679.88</v>
      </c>
      <c r="I128">
        <f t="shared" si="4"/>
        <v>37</v>
      </c>
      <c r="J128" t="str">
        <f t="shared" si="5"/>
        <v>31-60</v>
      </c>
    </row>
    <row r="129" spans="1:10" x14ac:dyDescent="0.3">
      <c r="A129" t="str">
        <f>Table3[[#This Row],[BillID]]</f>
        <v>BILL-00128</v>
      </c>
      <c r="B129" t="str">
        <f>Table3[[#This Row],[VendorID]]</f>
        <v>VEN-002</v>
      </c>
      <c r="C129" t="str">
        <f>VLOOKUP(B129,Vendors!A:B,2,FALSE)</f>
        <v>Meta Ads</v>
      </c>
      <c r="D129" s="9">
        <f>Table3[[#This Row],[BillDate]]</f>
        <v>46003</v>
      </c>
      <c r="E129" s="9">
        <f>Table3[[#This Row],[DueDate]]</f>
        <v>46033</v>
      </c>
      <c r="F129" s="3">
        <f>Table3[[#This Row],[BillAmount]]</f>
        <v>4416.71</v>
      </c>
      <c r="G129" s="3">
        <f>SUMIF(Vendor_Payments!C:C,A129,Vendor_Payments!E:E)</f>
        <v>4416.71</v>
      </c>
      <c r="H129" s="3">
        <f t="shared" si="3"/>
        <v>0</v>
      </c>
      <c r="I129">
        <f t="shared" si="4"/>
        <v>58</v>
      </c>
      <c r="J129" t="str">
        <f t="shared" si="5"/>
        <v>31-60</v>
      </c>
    </row>
    <row r="130" spans="1:10" x14ac:dyDescent="0.3">
      <c r="A130" t="str">
        <f>Table3[[#This Row],[BillID]]</f>
        <v>BILL-00129</v>
      </c>
      <c r="B130" t="str">
        <f>Table3[[#This Row],[VendorID]]</f>
        <v>VEN-031</v>
      </c>
      <c r="C130" t="str">
        <f>VLOOKUP(B130,Vendors!A:B,2,FALSE)</f>
        <v>DataInsight Analytics</v>
      </c>
      <c r="D130" s="9">
        <f>Table3[[#This Row],[BillDate]]</f>
        <v>46069</v>
      </c>
      <c r="E130" s="9">
        <f>Table3[[#This Row],[DueDate]]</f>
        <v>46099</v>
      </c>
      <c r="F130" s="3">
        <f>Table3[[#This Row],[BillAmount]]</f>
        <v>6276.47</v>
      </c>
      <c r="G130" s="3">
        <f>SUMIF(Vendor_Payments!C:C,A130,Vendor_Payments!E:E)</f>
        <v>6276.47</v>
      </c>
      <c r="H130" s="3">
        <f t="shared" si="3"/>
        <v>0</v>
      </c>
      <c r="I130">
        <f t="shared" si="4"/>
        <v>-8</v>
      </c>
      <c r="J130" t="str">
        <f t="shared" si="5"/>
        <v>Current</v>
      </c>
    </row>
    <row r="131" spans="1:10" x14ac:dyDescent="0.3">
      <c r="A131" t="str">
        <f>Table3[[#This Row],[BillID]]</f>
        <v>BILL-00130</v>
      </c>
      <c r="B131" t="str">
        <f>Table3[[#This Row],[VendorID]]</f>
        <v>VEN-012</v>
      </c>
      <c r="C131" t="str">
        <f>VLOOKUP(B131,Vendors!A:B,2,FALSE)</f>
        <v>Google Cloud</v>
      </c>
      <c r="D131" s="9">
        <f>Table3[[#This Row],[BillDate]]</f>
        <v>46078</v>
      </c>
      <c r="E131" s="9">
        <f>Table3[[#This Row],[DueDate]]</f>
        <v>46108</v>
      </c>
      <c r="F131" s="3">
        <f>Table3[[#This Row],[BillAmount]]</f>
        <v>3408.13</v>
      </c>
      <c r="G131" s="3">
        <f>SUMIF(Vendor_Payments!C:C,A131,Vendor_Payments!E:E)</f>
        <v>3408.13</v>
      </c>
      <c r="H131" s="3">
        <f t="shared" ref="H131:H194" si="6">F131-G131</f>
        <v>0</v>
      </c>
      <c r="I131">
        <f t="shared" ref="I131:I194" si="7">$L$1-E131</f>
        <v>-17</v>
      </c>
      <c r="J131" t="str">
        <f t="shared" ref="J131:J194" si="8">IF(I131&lt;=0,"Current",IF(I131&lt;=30,"1-30",IF(I131&lt;=60,"31-60",IF(I131&lt;=90,"61-90","90+"))))</f>
        <v>Current</v>
      </c>
    </row>
    <row r="132" spans="1:10" x14ac:dyDescent="0.3">
      <c r="A132" t="str">
        <f>Table3[[#This Row],[BillID]]</f>
        <v>BILL-00131</v>
      </c>
      <c r="B132" t="str">
        <f>Table3[[#This Row],[VendorID]]</f>
        <v>VEN-015</v>
      </c>
      <c r="C132" t="str">
        <f>VLOOKUP(B132,Vendors!A:B,2,FALSE)</f>
        <v>Zapier</v>
      </c>
      <c r="D132" s="9">
        <f>Table3[[#This Row],[BillDate]]</f>
        <v>46024</v>
      </c>
      <c r="E132" s="9">
        <f>Table3[[#This Row],[DueDate]]</f>
        <v>46054</v>
      </c>
      <c r="F132" s="3">
        <f>Table3[[#This Row],[BillAmount]]</f>
        <v>6522.29</v>
      </c>
      <c r="G132" s="3">
        <f>SUMIF(Vendor_Payments!C:C,A132,Vendor_Payments!E:E)</f>
        <v>6522.29</v>
      </c>
      <c r="H132" s="3">
        <f t="shared" si="6"/>
        <v>0</v>
      </c>
      <c r="I132">
        <f t="shared" si="7"/>
        <v>37</v>
      </c>
      <c r="J132" t="str">
        <f t="shared" si="8"/>
        <v>31-60</v>
      </c>
    </row>
    <row r="133" spans="1:10" x14ac:dyDescent="0.3">
      <c r="A133" t="str">
        <f>Table3[[#This Row],[BillID]]</f>
        <v>BILL-00132</v>
      </c>
      <c r="B133" t="str">
        <f>Table3[[#This Row],[VendorID]]</f>
        <v>VEN-030</v>
      </c>
      <c r="C133" t="str">
        <f>VLOOKUP(B133,Vendors!A:B,2,FALSE)</f>
        <v>ContentCraft Studio</v>
      </c>
      <c r="D133" s="9">
        <f>Table3[[#This Row],[BillDate]]</f>
        <v>46068</v>
      </c>
      <c r="E133" s="9">
        <f>Table3[[#This Row],[DueDate]]</f>
        <v>46098</v>
      </c>
      <c r="F133" s="3">
        <f>Table3[[#This Row],[BillAmount]]</f>
        <v>4536.6000000000004</v>
      </c>
      <c r="G133" s="3">
        <f>SUMIF(Vendor_Payments!C:C,A133,Vendor_Payments!E:E)</f>
        <v>4536.6000000000004</v>
      </c>
      <c r="H133" s="3">
        <f t="shared" si="6"/>
        <v>0</v>
      </c>
      <c r="I133">
        <f t="shared" si="7"/>
        <v>-7</v>
      </c>
      <c r="J133" t="str">
        <f t="shared" si="8"/>
        <v>Current</v>
      </c>
    </row>
    <row r="134" spans="1:10" x14ac:dyDescent="0.3">
      <c r="A134" t="str">
        <f>Table3[[#This Row],[BillID]]</f>
        <v>BILL-00133</v>
      </c>
      <c r="B134" t="str">
        <f>Table3[[#This Row],[VendorID]]</f>
        <v>VEN-009</v>
      </c>
      <c r="C134" t="str">
        <f>VLOOKUP(B134,Vendors!A:B,2,FALSE)</f>
        <v>SEMrush</v>
      </c>
      <c r="D134" s="9">
        <f>Table3[[#This Row],[BillDate]]</f>
        <v>45986</v>
      </c>
      <c r="E134" s="9">
        <f>Table3[[#This Row],[DueDate]]</f>
        <v>46016</v>
      </c>
      <c r="F134" s="3">
        <f>Table3[[#This Row],[BillAmount]]</f>
        <v>2476.16</v>
      </c>
      <c r="G134" s="3">
        <f>SUMIF(Vendor_Payments!C:C,A134,Vendor_Payments!E:E)</f>
        <v>2476.16</v>
      </c>
      <c r="H134" s="3">
        <f t="shared" si="6"/>
        <v>0</v>
      </c>
      <c r="I134">
        <f t="shared" si="7"/>
        <v>75</v>
      </c>
      <c r="J134" t="str">
        <f t="shared" si="8"/>
        <v>61-90</v>
      </c>
    </row>
    <row r="135" spans="1:10" x14ac:dyDescent="0.3">
      <c r="A135" t="str">
        <f>Table3[[#This Row],[BillID]]</f>
        <v>BILL-00134</v>
      </c>
      <c r="B135" t="str">
        <f>Table3[[#This Row],[VendorID]]</f>
        <v>VEN-038</v>
      </c>
      <c r="C135" t="str">
        <f>VLOOKUP(B135,Vendors!A:B,2,FALSE)</f>
        <v>Insight Marketing Partners</v>
      </c>
      <c r="D135" s="9">
        <f>Table3[[#This Row],[BillDate]]</f>
        <v>46033</v>
      </c>
      <c r="E135" s="9">
        <f>Table3[[#This Row],[DueDate]]</f>
        <v>46063</v>
      </c>
      <c r="F135" s="3">
        <f>Table3[[#This Row],[BillAmount]]</f>
        <v>4148.3100000000004</v>
      </c>
      <c r="G135" s="3">
        <f>SUMIF(Vendor_Payments!C:C,A135,Vendor_Payments!E:E)</f>
        <v>4148.3100000000004</v>
      </c>
      <c r="H135" s="3">
        <f t="shared" si="6"/>
        <v>0</v>
      </c>
      <c r="I135">
        <f t="shared" si="7"/>
        <v>28</v>
      </c>
      <c r="J135" t="str">
        <f t="shared" si="8"/>
        <v>1-30</v>
      </c>
    </row>
    <row r="136" spans="1:10" x14ac:dyDescent="0.3">
      <c r="A136" t="str">
        <f>Table3[[#This Row],[BillID]]</f>
        <v>BILL-00135</v>
      </c>
      <c r="B136" t="str">
        <f>Table3[[#This Row],[VendorID]]</f>
        <v>VEN-007</v>
      </c>
      <c r="C136" t="str">
        <f>VLOOKUP(B136,Vendors!A:B,2,FALSE)</f>
        <v>Mailchimp</v>
      </c>
      <c r="D136" s="9">
        <f>Table3[[#This Row],[BillDate]]</f>
        <v>45967</v>
      </c>
      <c r="E136" s="9">
        <f>Table3[[#This Row],[DueDate]]</f>
        <v>45997</v>
      </c>
      <c r="F136" s="3">
        <f>Table3[[#This Row],[BillAmount]]</f>
        <v>1459.06</v>
      </c>
      <c r="G136" s="3">
        <f>SUMIF(Vendor_Payments!C:C,A136,Vendor_Payments!E:E)</f>
        <v>1459.06</v>
      </c>
      <c r="H136" s="3">
        <f t="shared" si="6"/>
        <v>0</v>
      </c>
      <c r="I136">
        <f t="shared" si="7"/>
        <v>94</v>
      </c>
      <c r="J136" t="str">
        <f t="shared" si="8"/>
        <v>90+</v>
      </c>
    </row>
    <row r="137" spans="1:10" x14ac:dyDescent="0.3">
      <c r="A137" t="str">
        <f>Table3[[#This Row],[BillID]]</f>
        <v>BILL-00136</v>
      </c>
      <c r="B137" t="str">
        <f>Table3[[#This Row],[VendorID]]</f>
        <v>VEN-038</v>
      </c>
      <c r="C137" t="str">
        <f>VLOOKUP(B137,Vendors!A:B,2,FALSE)</f>
        <v>Insight Marketing Partners</v>
      </c>
      <c r="D137" s="9">
        <f>Table3[[#This Row],[BillDate]]</f>
        <v>46065</v>
      </c>
      <c r="E137" s="9">
        <f>Table3[[#This Row],[DueDate]]</f>
        <v>46095</v>
      </c>
      <c r="F137" s="3">
        <f>Table3[[#This Row],[BillAmount]]</f>
        <v>6517.56</v>
      </c>
      <c r="G137" s="3">
        <f>SUMIF(Vendor_Payments!C:C,A137,Vendor_Payments!E:E)</f>
        <v>6517.56</v>
      </c>
      <c r="H137" s="3">
        <f t="shared" si="6"/>
        <v>0</v>
      </c>
      <c r="I137">
        <f t="shared" si="7"/>
        <v>-4</v>
      </c>
      <c r="J137" t="str">
        <f t="shared" si="8"/>
        <v>Current</v>
      </c>
    </row>
    <row r="138" spans="1:10" x14ac:dyDescent="0.3">
      <c r="A138" t="str">
        <f>Table3[[#This Row],[BillID]]</f>
        <v>BILL-00137</v>
      </c>
      <c r="B138" t="str">
        <f>Table3[[#This Row],[VendorID]]</f>
        <v>VEN-035</v>
      </c>
      <c r="C138" t="str">
        <f>VLOOKUP(B138,Vendors!A:B,2,FALSE)</f>
        <v>ClickFlow Marketing</v>
      </c>
      <c r="D138" s="9">
        <f>Table3[[#This Row],[BillDate]]</f>
        <v>46081</v>
      </c>
      <c r="E138" s="9">
        <f>Table3[[#This Row],[DueDate]]</f>
        <v>46111</v>
      </c>
      <c r="F138" s="3">
        <f>Table3[[#This Row],[BillAmount]]</f>
        <v>6261.22</v>
      </c>
      <c r="G138" s="3">
        <f>SUMIF(Vendor_Payments!C:C,A138,Vendor_Payments!E:E)</f>
        <v>0</v>
      </c>
      <c r="H138" s="3">
        <f t="shared" si="6"/>
        <v>6261.22</v>
      </c>
      <c r="I138">
        <f t="shared" si="7"/>
        <v>-20</v>
      </c>
      <c r="J138" t="str">
        <f t="shared" si="8"/>
        <v>Current</v>
      </c>
    </row>
    <row r="139" spans="1:10" x14ac:dyDescent="0.3">
      <c r="A139" t="str">
        <f>Table3[[#This Row],[BillID]]</f>
        <v>BILL-00138</v>
      </c>
      <c r="B139" t="str">
        <f>Table3[[#This Row],[VendorID]]</f>
        <v>VEN-039</v>
      </c>
      <c r="C139" t="str">
        <f>VLOOKUP(B139,Vendors!A:B,2,FALSE)</f>
        <v>Global Growth Advisors</v>
      </c>
      <c r="D139" s="9">
        <f>Table3[[#This Row],[BillDate]]</f>
        <v>46081</v>
      </c>
      <c r="E139" s="9">
        <f>Table3[[#This Row],[DueDate]]</f>
        <v>46111</v>
      </c>
      <c r="F139" s="3">
        <f>Table3[[#This Row],[BillAmount]]</f>
        <v>5774.47</v>
      </c>
      <c r="G139" s="3">
        <f>SUMIF(Vendor_Payments!C:C,A139,Vendor_Payments!E:E)</f>
        <v>0</v>
      </c>
      <c r="H139" s="3">
        <f t="shared" si="6"/>
        <v>5774.47</v>
      </c>
      <c r="I139">
        <f t="shared" si="7"/>
        <v>-20</v>
      </c>
      <c r="J139" t="str">
        <f t="shared" si="8"/>
        <v>Current</v>
      </c>
    </row>
    <row r="140" spans="1:10" x14ac:dyDescent="0.3">
      <c r="A140" t="str">
        <f>Table3[[#This Row],[BillID]]</f>
        <v>BILL-00139</v>
      </c>
      <c r="B140" t="str">
        <f>Table3[[#This Row],[VendorID]]</f>
        <v>VEN-036</v>
      </c>
      <c r="C140" t="str">
        <f>VLOOKUP(B140,Vendors!A:B,2,FALSE)</f>
        <v>WebDev Masters</v>
      </c>
      <c r="D140" s="9">
        <f>Table3[[#This Row],[BillDate]]</f>
        <v>46029</v>
      </c>
      <c r="E140" s="9">
        <f>Table3[[#This Row],[DueDate]]</f>
        <v>46059</v>
      </c>
      <c r="F140" s="3">
        <f>Table3[[#This Row],[BillAmount]]</f>
        <v>3453.35</v>
      </c>
      <c r="G140" s="3">
        <f>SUMIF(Vendor_Payments!C:C,A140,Vendor_Payments!E:E)</f>
        <v>0</v>
      </c>
      <c r="H140" s="3">
        <f t="shared" si="6"/>
        <v>3453.35</v>
      </c>
      <c r="I140">
        <f t="shared" si="7"/>
        <v>32</v>
      </c>
      <c r="J140" t="str">
        <f t="shared" si="8"/>
        <v>31-60</v>
      </c>
    </row>
    <row r="141" spans="1:10" x14ac:dyDescent="0.3">
      <c r="A141" t="str">
        <f>Table3[[#This Row],[BillID]]</f>
        <v>BILL-00140</v>
      </c>
      <c r="B141" t="str">
        <f>Table3[[#This Row],[VendorID]]</f>
        <v>VEN-027</v>
      </c>
      <c r="C141" t="str">
        <f>VLOOKUP(B141,Vendors!A:B,2,FALSE)</f>
        <v>DevCraft Agency</v>
      </c>
      <c r="D141" s="9">
        <f>Table3[[#This Row],[BillDate]]</f>
        <v>45969</v>
      </c>
      <c r="E141" s="9">
        <f>Table3[[#This Row],[DueDate]]</f>
        <v>45999</v>
      </c>
      <c r="F141" s="3">
        <f>Table3[[#This Row],[BillAmount]]</f>
        <v>1586.79</v>
      </c>
      <c r="G141" s="3">
        <f>SUMIF(Vendor_Payments!C:C,A141,Vendor_Payments!E:E)</f>
        <v>1586.79</v>
      </c>
      <c r="H141" s="3">
        <f t="shared" si="6"/>
        <v>0</v>
      </c>
      <c r="I141">
        <f t="shared" si="7"/>
        <v>92</v>
      </c>
      <c r="J141" t="str">
        <f t="shared" si="8"/>
        <v>90+</v>
      </c>
    </row>
    <row r="142" spans="1:10" x14ac:dyDescent="0.3">
      <c r="A142" t="str">
        <f>Table3[[#This Row],[BillID]]</f>
        <v>BILL-00141</v>
      </c>
      <c r="B142" t="str">
        <f>Table3[[#This Row],[VendorID]]</f>
        <v>VEN-033</v>
      </c>
      <c r="C142" t="str">
        <f>VLOOKUP(B142,Vendors!A:B,2,FALSE)</f>
        <v>AdScale Solutions</v>
      </c>
      <c r="D142" s="9">
        <f>Table3[[#This Row],[BillDate]]</f>
        <v>45970</v>
      </c>
      <c r="E142" s="9">
        <f>Table3[[#This Row],[DueDate]]</f>
        <v>46000</v>
      </c>
      <c r="F142" s="3">
        <f>Table3[[#This Row],[BillAmount]]</f>
        <v>4058.22</v>
      </c>
      <c r="G142" s="3">
        <f>SUMIF(Vendor_Payments!C:C,A142,Vendor_Payments!E:E)</f>
        <v>4058.22</v>
      </c>
      <c r="H142" s="3">
        <f t="shared" si="6"/>
        <v>0</v>
      </c>
      <c r="I142">
        <f t="shared" si="7"/>
        <v>91</v>
      </c>
      <c r="J142" t="str">
        <f t="shared" si="8"/>
        <v>90+</v>
      </c>
    </row>
    <row r="143" spans="1:10" x14ac:dyDescent="0.3">
      <c r="A143" t="str">
        <f>Table3[[#This Row],[BillID]]</f>
        <v>BILL-00142</v>
      </c>
      <c r="B143" t="str">
        <f>Table3[[#This Row],[VendorID]]</f>
        <v>VEN-033</v>
      </c>
      <c r="C143" t="str">
        <f>VLOOKUP(B143,Vendors!A:B,2,FALSE)</f>
        <v>AdScale Solutions</v>
      </c>
      <c r="D143" s="9">
        <f>Table3[[#This Row],[BillDate]]</f>
        <v>45988</v>
      </c>
      <c r="E143" s="9">
        <f>Table3[[#This Row],[DueDate]]</f>
        <v>46018</v>
      </c>
      <c r="F143" s="3">
        <f>Table3[[#This Row],[BillAmount]]</f>
        <v>5445.05</v>
      </c>
      <c r="G143" s="3">
        <f>SUMIF(Vendor_Payments!C:C,A143,Vendor_Payments!E:E)</f>
        <v>5445.05</v>
      </c>
      <c r="H143" s="3">
        <f t="shared" si="6"/>
        <v>0</v>
      </c>
      <c r="I143">
        <f t="shared" si="7"/>
        <v>73</v>
      </c>
      <c r="J143" t="str">
        <f t="shared" si="8"/>
        <v>61-90</v>
      </c>
    </row>
    <row r="144" spans="1:10" x14ac:dyDescent="0.3">
      <c r="A144" t="str">
        <f>Table3[[#This Row],[BillID]]</f>
        <v>BILL-00143</v>
      </c>
      <c r="B144" t="str">
        <f>Table3[[#This Row],[VendorID]]</f>
        <v>VEN-006</v>
      </c>
      <c r="C144" t="str">
        <f>VLOOKUP(B144,Vendors!A:B,2,FALSE)</f>
        <v>Salesforce</v>
      </c>
      <c r="D144" s="9">
        <f>Table3[[#This Row],[BillDate]]</f>
        <v>46046</v>
      </c>
      <c r="E144" s="9">
        <f>Table3[[#This Row],[DueDate]]</f>
        <v>46076</v>
      </c>
      <c r="F144" s="3">
        <f>Table3[[#This Row],[BillAmount]]</f>
        <v>6855.67</v>
      </c>
      <c r="G144" s="3">
        <f>SUMIF(Vendor_Payments!C:C,A144,Vendor_Payments!E:E)</f>
        <v>6855.67</v>
      </c>
      <c r="H144" s="3">
        <f t="shared" si="6"/>
        <v>0</v>
      </c>
      <c r="I144">
        <f t="shared" si="7"/>
        <v>15</v>
      </c>
      <c r="J144" t="str">
        <f t="shared" si="8"/>
        <v>1-30</v>
      </c>
    </row>
    <row r="145" spans="1:10" x14ac:dyDescent="0.3">
      <c r="A145" t="str">
        <f>Table3[[#This Row],[BillID]]</f>
        <v>BILL-00144</v>
      </c>
      <c r="B145" t="str">
        <f>Table3[[#This Row],[VendorID]]</f>
        <v>VEN-019</v>
      </c>
      <c r="C145" t="str">
        <f>VLOOKUP(B145,Vendors!A:B,2,FALSE)</f>
        <v>Notion</v>
      </c>
      <c r="D145" s="9">
        <f>Table3[[#This Row],[BillDate]]</f>
        <v>45965</v>
      </c>
      <c r="E145" s="9">
        <f>Table3[[#This Row],[DueDate]]</f>
        <v>45995</v>
      </c>
      <c r="F145" s="3">
        <f>Table3[[#This Row],[BillAmount]]</f>
        <v>4642.21</v>
      </c>
      <c r="G145" s="3">
        <f>SUMIF(Vendor_Payments!C:C,A145,Vendor_Payments!E:E)</f>
        <v>4642.21</v>
      </c>
      <c r="H145" s="3">
        <f t="shared" si="6"/>
        <v>0</v>
      </c>
      <c r="I145">
        <f t="shared" si="7"/>
        <v>96</v>
      </c>
      <c r="J145" t="str">
        <f t="shared" si="8"/>
        <v>90+</v>
      </c>
    </row>
    <row r="146" spans="1:10" x14ac:dyDescent="0.3">
      <c r="A146" t="str">
        <f>Table3[[#This Row],[BillID]]</f>
        <v>BILL-00145</v>
      </c>
      <c r="B146" t="str">
        <f>Table3[[#This Row],[VendorID]]</f>
        <v>VEN-020</v>
      </c>
      <c r="C146" t="str">
        <f>VLOOKUP(B146,Vendors!A:B,2,FALSE)</f>
        <v>Slack</v>
      </c>
      <c r="D146" s="9">
        <f>Table3[[#This Row],[BillDate]]</f>
        <v>45977</v>
      </c>
      <c r="E146" s="9">
        <f>Table3[[#This Row],[DueDate]]</f>
        <v>46007</v>
      </c>
      <c r="F146" s="3">
        <f>Table3[[#This Row],[BillAmount]]</f>
        <v>1070.3900000000001</v>
      </c>
      <c r="G146" s="3">
        <f>SUMIF(Vendor_Payments!C:C,A146,Vendor_Payments!E:E)</f>
        <v>1070.3900000000001</v>
      </c>
      <c r="H146" s="3">
        <f t="shared" si="6"/>
        <v>0</v>
      </c>
      <c r="I146">
        <f t="shared" si="7"/>
        <v>84</v>
      </c>
      <c r="J146" t="str">
        <f t="shared" si="8"/>
        <v>61-90</v>
      </c>
    </row>
    <row r="147" spans="1:10" x14ac:dyDescent="0.3">
      <c r="A147" t="str">
        <f>Table3[[#This Row],[BillID]]</f>
        <v>BILL-00146</v>
      </c>
      <c r="B147" t="str">
        <f>Table3[[#This Row],[VendorID]]</f>
        <v>VEN-034</v>
      </c>
      <c r="C147" t="str">
        <f>VLOOKUP(B147,Vendors!A:B,2,FALSE)</f>
        <v>SocialBoost Agency</v>
      </c>
      <c r="D147" s="9">
        <f>Table3[[#This Row],[BillDate]]</f>
        <v>46033</v>
      </c>
      <c r="E147" s="9">
        <f>Table3[[#This Row],[DueDate]]</f>
        <v>46063</v>
      </c>
      <c r="F147" s="3">
        <f>Table3[[#This Row],[BillAmount]]</f>
        <v>6586.4</v>
      </c>
      <c r="G147" s="3">
        <f>SUMIF(Vendor_Payments!C:C,A147,Vendor_Payments!E:E)</f>
        <v>0</v>
      </c>
      <c r="H147" s="3">
        <f t="shared" si="6"/>
        <v>6586.4</v>
      </c>
      <c r="I147">
        <f t="shared" si="7"/>
        <v>28</v>
      </c>
      <c r="J147" t="str">
        <f t="shared" si="8"/>
        <v>1-30</v>
      </c>
    </row>
    <row r="148" spans="1:10" x14ac:dyDescent="0.3">
      <c r="A148" t="str">
        <f>Table3[[#This Row],[BillID]]</f>
        <v>BILL-00147</v>
      </c>
      <c r="B148" t="str">
        <f>Table3[[#This Row],[VendorID]]</f>
        <v>VEN-039</v>
      </c>
      <c r="C148" t="str">
        <f>VLOOKUP(B148,Vendors!A:B,2,FALSE)</f>
        <v>Global Growth Advisors</v>
      </c>
      <c r="D148" s="9">
        <f>Table3[[#This Row],[BillDate]]</f>
        <v>46043</v>
      </c>
      <c r="E148" s="9">
        <f>Table3[[#This Row],[DueDate]]</f>
        <v>46073</v>
      </c>
      <c r="F148" s="3">
        <f>Table3[[#This Row],[BillAmount]]</f>
        <v>6764.08</v>
      </c>
      <c r="G148" s="3">
        <f>SUMIF(Vendor_Payments!C:C,A148,Vendor_Payments!E:E)</f>
        <v>6764.08</v>
      </c>
      <c r="H148" s="3">
        <f t="shared" si="6"/>
        <v>0</v>
      </c>
      <c r="I148">
        <f t="shared" si="7"/>
        <v>18</v>
      </c>
      <c r="J148" t="str">
        <f t="shared" si="8"/>
        <v>1-30</v>
      </c>
    </row>
    <row r="149" spans="1:10" x14ac:dyDescent="0.3">
      <c r="A149" t="str">
        <f>Table3[[#This Row],[BillID]]</f>
        <v>BILL-00148</v>
      </c>
      <c r="B149" t="str">
        <f>Table3[[#This Row],[VendorID]]</f>
        <v>VEN-021</v>
      </c>
      <c r="C149" t="str">
        <f>VLOOKUP(B149,Vendors!A:B,2,FALSE)</f>
        <v>Upwork Freelancers</v>
      </c>
      <c r="D149" s="9">
        <f>Table3[[#This Row],[BillDate]]</f>
        <v>45970</v>
      </c>
      <c r="E149" s="9">
        <f>Table3[[#This Row],[DueDate]]</f>
        <v>46000</v>
      </c>
      <c r="F149" s="3">
        <f>Table3[[#This Row],[BillAmount]]</f>
        <v>6873.81</v>
      </c>
      <c r="G149" s="3">
        <f>SUMIF(Vendor_Payments!C:C,A149,Vendor_Payments!E:E)</f>
        <v>6873.81</v>
      </c>
      <c r="H149" s="3">
        <f t="shared" si="6"/>
        <v>0</v>
      </c>
      <c r="I149">
        <f t="shared" si="7"/>
        <v>91</v>
      </c>
      <c r="J149" t="str">
        <f t="shared" si="8"/>
        <v>90+</v>
      </c>
    </row>
    <row r="150" spans="1:10" x14ac:dyDescent="0.3">
      <c r="A150" t="str">
        <f>Table3[[#This Row],[BillID]]</f>
        <v>BILL-00149</v>
      </c>
      <c r="B150" t="str">
        <f>Table3[[#This Row],[VendorID]]</f>
        <v>VEN-028</v>
      </c>
      <c r="C150" t="str">
        <f>VLOOKUP(B150,Vendors!A:B,2,FALSE)</f>
        <v>MarketEdge Consulting</v>
      </c>
      <c r="D150" s="9">
        <f>Table3[[#This Row],[BillDate]]</f>
        <v>46078</v>
      </c>
      <c r="E150" s="9">
        <f>Table3[[#This Row],[DueDate]]</f>
        <v>46108</v>
      </c>
      <c r="F150" s="3">
        <f>Table3[[#This Row],[BillAmount]]</f>
        <v>2476.6</v>
      </c>
      <c r="G150" s="3">
        <f>SUMIF(Vendor_Payments!C:C,A150,Vendor_Payments!E:E)</f>
        <v>0</v>
      </c>
      <c r="H150" s="3">
        <f t="shared" si="6"/>
        <v>2476.6</v>
      </c>
      <c r="I150">
        <f t="shared" si="7"/>
        <v>-17</v>
      </c>
      <c r="J150" t="str">
        <f t="shared" si="8"/>
        <v>Current</v>
      </c>
    </row>
    <row r="151" spans="1:10" x14ac:dyDescent="0.3">
      <c r="A151" t="str">
        <f>Table3[[#This Row],[BillID]]</f>
        <v>BILL-00150</v>
      </c>
      <c r="B151" t="str">
        <f>Table3[[#This Row],[VendorID]]</f>
        <v>VEN-011</v>
      </c>
      <c r="C151" t="str">
        <f>VLOOKUP(B151,Vendors!A:B,2,FALSE)</f>
        <v>AWS</v>
      </c>
      <c r="D151" s="9">
        <f>Table3[[#This Row],[BillDate]]</f>
        <v>45997</v>
      </c>
      <c r="E151" s="9">
        <f>Table3[[#This Row],[DueDate]]</f>
        <v>46027</v>
      </c>
      <c r="F151" s="3">
        <f>Table3[[#This Row],[BillAmount]]</f>
        <v>1527.06</v>
      </c>
      <c r="G151" s="3">
        <f>SUMIF(Vendor_Payments!C:C,A151,Vendor_Payments!E:E)</f>
        <v>1527.06</v>
      </c>
      <c r="H151" s="3">
        <f t="shared" si="6"/>
        <v>0</v>
      </c>
      <c r="I151">
        <f t="shared" si="7"/>
        <v>64</v>
      </c>
      <c r="J151" t="str">
        <f t="shared" si="8"/>
        <v>61-90</v>
      </c>
    </row>
    <row r="152" spans="1:10" x14ac:dyDescent="0.3">
      <c r="A152" t="str">
        <f>Table3[[#This Row],[BillID]]</f>
        <v>BILL-00151</v>
      </c>
      <c r="B152" t="str">
        <f>Table3[[#This Row],[VendorID]]</f>
        <v>VEN-021</v>
      </c>
      <c r="C152" t="str">
        <f>VLOOKUP(B152,Vendors!A:B,2,FALSE)</f>
        <v>Upwork Freelancers</v>
      </c>
      <c r="D152" s="9">
        <f>Table3[[#This Row],[BillDate]]</f>
        <v>46077</v>
      </c>
      <c r="E152" s="9">
        <f>Table3[[#This Row],[DueDate]]</f>
        <v>46107</v>
      </c>
      <c r="F152" s="3">
        <f>Table3[[#This Row],[BillAmount]]</f>
        <v>2500.79</v>
      </c>
      <c r="G152" s="3">
        <f>SUMIF(Vendor_Payments!C:C,A152,Vendor_Payments!E:E)</f>
        <v>2500.79</v>
      </c>
      <c r="H152" s="3">
        <f t="shared" si="6"/>
        <v>0</v>
      </c>
      <c r="I152">
        <f t="shared" si="7"/>
        <v>-16</v>
      </c>
      <c r="J152" t="str">
        <f t="shared" si="8"/>
        <v>Current</v>
      </c>
    </row>
    <row r="153" spans="1:10" x14ac:dyDescent="0.3">
      <c r="A153" t="str">
        <f>Table3[[#This Row],[BillID]]</f>
        <v>BILL-00152</v>
      </c>
      <c r="B153" t="str">
        <f>Table3[[#This Row],[VendorID]]</f>
        <v>VEN-011</v>
      </c>
      <c r="C153" t="str">
        <f>VLOOKUP(B153,Vendors!A:B,2,FALSE)</f>
        <v>AWS</v>
      </c>
      <c r="D153" s="9">
        <f>Table3[[#This Row],[BillDate]]</f>
        <v>46057</v>
      </c>
      <c r="E153" s="9">
        <f>Table3[[#This Row],[DueDate]]</f>
        <v>46087</v>
      </c>
      <c r="F153" s="3">
        <f>Table3[[#This Row],[BillAmount]]</f>
        <v>1208.69</v>
      </c>
      <c r="G153" s="3">
        <f>SUMIF(Vendor_Payments!C:C,A153,Vendor_Payments!E:E)</f>
        <v>1208.69</v>
      </c>
      <c r="H153" s="3">
        <f t="shared" si="6"/>
        <v>0</v>
      </c>
      <c r="I153">
        <f t="shared" si="7"/>
        <v>4</v>
      </c>
      <c r="J153" t="str">
        <f t="shared" si="8"/>
        <v>1-30</v>
      </c>
    </row>
    <row r="154" spans="1:10" x14ac:dyDescent="0.3">
      <c r="A154" t="str">
        <f>Table3[[#This Row],[BillID]]</f>
        <v>BILL-00153</v>
      </c>
      <c r="B154" t="str">
        <f>Table3[[#This Row],[VendorID]]</f>
        <v>VEN-032</v>
      </c>
      <c r="C154" t="str">
        <f>VLOOKUP(B154,Vendors!A:B,2,FALSE)</f>
        <v>Marketing Automation Labs</v>
      </c>
      <c r="D154" s="9">
        <f>Table3[[#This Row],[BillDate]]</f>
        <v>46062</v>
      </c>
      <c r="E154" s="9">
        <f>Table3[[#This Row],[DueDate]]</f>
        <v>46092</v>
      </c>
      <c r="F154" s="3">
        <f>Table3[[#This Row],[BillAmount]]</f>
        <v>5055.18</v>
      </c>
      <c r="G154" s="3">
        <f>SUMIF(Vendor_Payments!C:C,A154,Vendor_Payments!E:E)</f>
        <v>0</v>
      </c>
      <c r="H154" s="3">
        <f t="shared" si="6"/>
        <v>5055.18</v>
      </c>
      <c r="I154">
        <f t="shared" si="7"/>
        <v>-1</v>
      </c>
      <c r="J154" t="str">
        <f t="shared" si="8"/>
        <v>Current</v>
      </c>
    </row>
    <row r="155" spans="1:10" x14ac:dyDescent="0.3">
      <c r="A155" t="str">
        <f>Table3[[#This Row],[BillID]]</f>
        <v>BILL-00154</v>
      </c>
      <c r="B155" t="str">
        <f>Table3[[#This Row],[VendorID]]</f>
        <v>VEN-023</v>
      </c>
      <c r="C155" t="str">
        <f>VLOOKUP(B155,Vendors!A:B,2,FALSE)</f>
        <v>Fiverr Pro</v>
      </c>
      <c r="D155" s="9">
        <f>Table3[[#This Row],[BillDate]]</f>
        <v>45987</v>
      </c>
      <c r="E155" s="9">
        <f>Table3[[#This Row],[DueDate]]</f>
        <v>46017</v>
      </c>
      <c r="F155" s="3">
        <f>Table3[[#This Row],[BillAmount]]</f>
        <v>6396.51</v>
      </c>
      <c r="G155" s="3">
        <f>SUMIF(Vendor_Payments!C:C,A155,Vendor_Payments!E:E)</f>
        <v>6396.51</v>
      </c>
      <c r="H155" s="3">
        <f t="shared" si="6"/>
        <v>0</v>
      </c>
      <c r="I155">
        <f t="shared" si="7"/>
        <v>74</v>
      </c>
      <c r="J155" t="str">
        <f t="shared" si="8"/>
        <v>61-90</v>
      </c>
    </row>
    <row r="156" spans="1:10" x14ac:dyDescent="0.3">
      <c r="A156" t="str">
        <f>Table3[[#This Row],[BillID]]</f>
        <v>BILL-00155</v>
      </c>
      <c r="B156" t="str">
        <f>Table3[[#This Row],[VendorID]]</f>
        <v>VEN-001</v>
      </c>
      <c r="C156" t="str">
        <f>VLOOKUP(B156,Vendors!A:B,2,FALSE)</f>
        <v>Google Ads</v>
      </c>
      <c r="D156" s="9">
        <f>Table3[[#This Row],[BillDate]]</f>
        <v>46014</v>
      </c>
      <c r="E156" s="9">
        <f>Table3[[#This Row],[DueDate]]</f>
        <v>46044</v>
      </c>
      <c r="F156" s="3">
        <f>Table3[[#This Row],[BillAmount]]</f>
        <v>1177.95</v>
      </c>
      <c r="G156" s="3">
        <f>SUMIF(Vendor_Payments!C:C,A156,Vendor_Payments!E:E)</f>
        <v>1177.95</v>
      </c>
      <c r="H156" s="3">
        <f t="shared" si="6"/>
        <v>0</v>
      </c>
      <c r="I156">
        <f t="shared" si="7"/>
        <v>47</v>
      </c>
      <c r="J156" t="str">
        <f t="shared" si="8"/>
        <v>31-60</v>
      </c>
    </row>
    <row r="157" spans="1:10" x14ac:dyDescent="0.3">
      <c r="A157" t="str">
        <f>Table3[[#This Row],[BillID]]</f>
        <v>BILL-00156</v>
      </c>
      <c r="B157" t="str">
        <f>Table3[[#This Row],[VendorID]]</f>
        <v>VEN-016</v>
      </c>
      <c r="C157" t="str">
        <f>VLOOKUP(B157,Vendors!A:B,2,FALSE)</f>
        <v>Stripe</v>
      </c>
      <c r="D157" s="9">
        <f>Table3[[#This Row],[BillDate]]</f>
        <v>46004</v>
      </c>
      <c r="E157" s="9">
        <f>Table3[[#This Row],[DueDate]]</f>
        <v>46034</v>
      </c>
      <c r="F157" s="3">
        <f>Table3[[#This Row],[BillAmount]]</f>
        <v>5718.33</v>
      </c>
      <c r="G157" s="3">
        <f>SUMIF(Vendor_Payments!C:C,A157,Vendor_Payments!E:E)</f>
        <v>0</v>
      </c>
      <c r="H157" s="3">
        <f t="shared" si="6"/>
        <v>5718.33</v>
      </c>
      <c r="I157">
        <f t="shared" si="7"/>
        <v>57</v>
      </c>
      <c r="J157" t="str">
        <f t="shared" si="8"/>
        <v>31-60</v>
      </c>
    </row>
    <row r="158" spans="1:10" x14ac:dyDescent="0.3">
      <c r="A158" t="str">
        <f>Table3[[#This Row],[BillID]]</f>
        <v>BILL-00157</v>
      </c>
      <c r="B158" t="str">
        <f>Table3[[#This Row],[VendorID]]</f>
        <v>VEN-016</v>
      </c>
      <c r="C158" t="str">
        <f>VLOOKUP(B158,Vendors!A:B,2,FALSE)</f>
        <v>Stripe</v>
      </c>
      <c r="D158" s="9">
        <f>Table3[[#This Row],[BillDate]]</f>
        <v>46074</v>
      </c>
      <c r="E158" s="9">
        <f>Table3[[#This Row],[DueDate]]</f>
        <v>46104</v>
      </c>
      <c r="F158" s="3">
        <f>Table3[[#This Row],[BillAmount]]</f>
        <v>4481.21</v>
      </c>
      <c r="G158" s="3">
        <f>SUMIF(Vendor_Payments!C:C,A158,Vendor_Payments!E:E)</f>
        <v>4481.21</v>
      </c>
      <c r="H158" s="3">
        <f t="shared" si="6"/>
        <v>0</v>
      </c>
      <c r="I158">
        <f t="shared" si="7"/>
        <v>-13</v>
      </c>
      <c r="J158" t="str">
        <f t="shared" si="8"/>
        <v>Current</v>
      </c>
    </row>
    <row r="159" spans="1:10" x14ac:dyDescent="0.3">
      <c r="A159" t="str">
        <f>Table3[[#This Row],[BillID]]</f>
        <v>BILL-00158</v>
      </c>
      <c r="B159" t="str">
        <f>Table3[[#This Row],[VendorID]]</f>
        <v>VEN-034</v>
      </c>
      <c r="C159" t="str">
        <f>VLOOKUP(B159,Vendors!A:B,2,FALSE)</f>
        <v>SocialBoost Agency</v>
      </c>
      <c r="D159" s="9">
        <f>Table3[[#This Row],[BillDate]]</f>
        <v>46023</v>
      </c>
      <c r="E159" s="9">
        <f>Table3[[#This Row],[DueDate]]</f>
        <v>46053</v>
      </c>
      <c r="F159" s="3">
        <f>Table3[[#This Row],[BillAmount]]</f>
        <v>4344.7700000000004</v>
      </c>
      <c r="G159" s="3">
        <f>SUMIF(Vendor_Payments!C:C,A159,Vendor_Payments!E:E)</f>
        <v>0</v>
      </c>
      <c r="H159" s="3">
        <f t="shared" si="6"/>
        <v>4344.7700000000004</v>
      </c>
      <c r="I159">
        <f t="shared" si="7"/>
        <v>38</v>
      </c>
      <c r="J159" t="str">
        <f t="shared" si="8"/>
        <v>31-60</v>
      </c>
    </row>
    <row r="160" spans="1:10" x14ac:dyDescent="0.3">
      <c r="A160" t="str">
        <f>Table3[[#This Row],[BillID]]</f>
        <v>BILL-00159</v>
      </c>
      <c r="B160" t="str">
        <f>Table3[[#This Row],[VendorID]]</f>
        <v>VEN-017</v>
      </c>
      <c r="C160" t="str">
        <f>VLOOKUP(B160,Vendors!A:B,2,FALSE)</f>
        <v>PayPal</v>
      </c>
      <c r="D160" s="9">
        <f>Table3[[#This Row],[BillDate]]</f>
        <v>46063</v>
      </c>
      <c r="E160" s="9">
        <f>Table3[[#This Row],[DueDate]]</f>
        <v>46093</v>
      </c>
      <c r="F160" s="3">
        <f>Table3[[#This Row],[BillAmount]]</f>
        <v>1538.49</v>
      </c>
      <c r="G160" s="3">
        <f>SUMIF(Vendor_Payments!C:C,A160,Vendor_Payments!E:E)</f>
        <v>0</v>
      </c>
      <c r="H160" s="3">
        <f t="shared" si="6"/>
        <v>1538.49</v>
      </c>
      <c r="I160">
        <f t="shared" si="7"/>
        <v>-2</v>
      </c>
      <c r="J160" t="str">
        <f t="shared" si="8"/>
        <v>Current</v>
      </c>
    </row>
    <row r="161" spans="1:10" x14ac:dyDescent="0.3">
      <c r="A161" t="str">
        <f>Table3[[#This Row],[BillID]]</f>
        <v>BILL-00160</v>
      </c>
      <c r="B161" t="str">
        <f>Table3[[#This Row],[VendorID]]</f>
        <v>VEN-006</v>
      </c>
      <c r="C161" t="str">
        <f>VLOOKUP(B161,Vendors!A:B,2,FALSE)</f>
        <v>Salesforce</v>
      </c>
      <c r="D161" s="9">
        <f>Table3[[#This Row],[BillDate]]</f>
        <v>46027</v>
      </c>
      <c r="E161" s="9">
        <f>Table3[[#This Row],[DueDate]]</f>
        <v>46057</v>
      </c>
      <c r="F161" s="3">
        <f>Table3[[#This Row],[BillAmount]]</f>
        <v>3183.8</v>
      </c>
      <c r="G161" s="3">
        <f>SUMIF(Vendor_Payments!C:C,A161,Vendor_Payments!E:E)</f>
        <v>0</v>
      </c>
      <c r="H161" s="3">
        <f t="shared" si="6"/>
        <v>3183.8</v>
      </c>
      <c r="I161">
        <f t="shared" si="7"/>
        <v>34</v>
      </c>
      <c r="J161" t="str">
        <f t="shared" si="8"/>
        <v>31-60</v>
      </c>
    </row>
    <row r="162" spans="1:10" x14ac:dyDescent="0.3">
      <c r="A162" t="str">
        <f>Table3[[#This Row],[BillID]]</f>
        <v>BILL-00161</v>
      </c>
      <c r="B162" t="str">
        <f>Table3[[#This Row],[VendorID]]</f>
        <v>VEN-016</v>
      </c>
      <c r="C162" t="str">
        <f>VLOOKUP(B162,Vendors!A:B,2,FALSE)</f>
        <v>Stripe</v>
      </c>
      <c r="D162" s="9">
        <f>Table3[[#This Row],[BillDate]]</f>
        <v>46086</v>
      </c>
      <c r="E162" s="9">
        <f>Table3[[#This Row],[DueDate]]</f>
        <v>46116</v>
      </c>
      <c r="F162" s="3">
        <f>Table3[[#This Row],[BillAmount]]</f>
        <v>1660.96</v>
      </c>
      <c r="G162" s="3">
        <f>SUMIF(Vendor_Payments!C:C,A162,Vendor_Payments!E:E)</f>
        <v>1660.96</v>
      </c>
      <c r="H162" s="3">
        <f t="shared" si="6"/>
        <v>0</v>
      </c>
      <c r="I162">
        <f t="shared" si="7"/>
        <v>-25</v>
      </c>
      <c r="J162" t="str">
        <f t="shared" si="8"/>
        <v>Current</v>
      </c>
    </row>
    <row r="163" spans="1:10" x14ac:dyDescent="0.3">
      <c r="A163" t="str">
        <f>Table3[[#This Row],[BillID]]</f>
        <v>BILL-00162</v>
      </c>
      <c r="B163" t="str">
        <f>Table3[[#This Row],[VendorID]]</f>
        <v>VEN-038</v>
      </c>
      <c r="C163" t="str">
        <f>VLOOKUP(B163,Vendors!A:B,2,FALSE)</f>
        <v>Insight Marketing Partners</v>
      </c>
      <c r="D163" s="9">
        <f>Table3[[#This Row],[BillDate]]</f>
        <v>46016</v>
      </c>
      <c r="E163" s="9">
        <f>Table3[[#This Row],[DueDate]]</f>
        <v>46046</v>
      </c>
      <c r="F163" s="3">
        <f>Table3[[#This Row],[BillAmount]]</f>
        <v>4974.18</v>
      </c>
      <c r="G163" s="3">
        <f>SUMIF(Vendor_Payments!C:C,A163,Vendor_Payments!E:E)</f>
        <v>0</v>
      </c>
      <c r="H163" s="3">
        <f t="shared" si="6"/>
        <v>4974.18</v>
      </c>
      <c r="I163">
        <f t="shared" si="7"/>
        <v>45</v>
      </c>
      <c r="J163" t="str">
        <f t="shared" si="8"/>
        <v>31-60</v>
      </c>
    </row>
    <row r="164" spans="1:10" x14ac:dyDescent="0.3">
      <c r="A164" t="str">
        <f>Table3[[#This Row],[BillID]]</f>
        <v>BILL-00163</v>
      </c>
      <c r="B164" t="str">
        <f>Table3[[#This Row],[VendorID]]</f>
        <v>VEN-030</v>
      </c>
      <c r="C164" t="str">
        <f>VLOOKUP(B164,Vendors!A:B,2,FALSE)</f>
        <v>ContentCraft Studio</v>
      </c>
      <c r="D164" s="9">
        <f>Table3[[#This Row],[BillDate]]</f>
        <v>46011</v>
      </c>
      <c r="E164" s="9">
        <f>Table3[[#This Row],[DueDate]]</f>
        <v>46041</v>
      </c>
      <c r="F164" s="3">
        <f>Table3[[#This Row],[BillAmount]]</f>
        <v>5388.08</v>
      </c>
      <c r="G164" s="3">
        <f>SUMIF(Vendor_Payments!C:C,A164,Vendor_Payments!E:E)</f>
        <v>5388.08</v>
      </c>
      <c r="H164" s="3">
        <f t="shared" si="6"/>
        <v>0</v>
      </c>
      <c r="I164">
        <f t="shared" si="7"/>
        <v>50</v>
      </c>
      <c r="J164" t="str">
        <f t="shared" si="8"/>
        <v>31-60</v>
      </c>
    </row>
    <row r="165" spans="1:10" x14ac:dyDescent="0.3">
      <c r="A165" t="str">
        <f>Table3[[#This Row],[BillID]]</f>
        <v>BILL-00164</v>
      </c>
      <c r="B165" t="str">
        <f>Table3[[#This Row],[VendorID]]</f>
        <v>VEN-035</v>
      </c>
      <c r="C165" t="str">
        <f>VLOOKUP(B165,Vendors!A:B,2,FALSE)</f>
        <v>ClickFlow Marketing</v>
      </c>
      <c r="D165" s="9">
        <f>Table3[[#This Row],[BillDate]]</f>
        <v>45983</v>
      </c>
      <c r="E165" s="9">
        <f>Table3[[#This Row],[DueDate]]</f>
        <v>46013</v>
      </c>
      <c r="F165" s="3">
        <f>Table3[[#This Row],[BillAmount]]</f>
        <v>5729.97</v>
      </c>
      <c r="G165" s="3">
        <f>SUMIF(Vendor_Payments!C:C,A165,Vendor_Payments!E:E)</f>
        <v>5729.97</v>
      </c>
      <c r="H165" s="3">
        <f t="shared" si="6"/>
        <v>0</v>
      </c>
      <c r="I165">
        <f t="shared" si="7"/>
        <v>78</v>
      </c>
      <c r="J165" t="str">
        <f t="shared" si="8"/>
        <v>61-90</v>
      </c>
    </row>
    <row r="166" spans="1:10" x14ac:dyDescent="0.3">
      <c r="A166" t="str">
        <f>Table3[[#This Row],[BillID]]</f>
        <v>BILL-00165</v>
      </c>
      <c r="B166" t="str">
        <f>Table3[[#This Row],[VendorID]]</f>
        <v>VEN-036</v>
      </c>
      <c r="C166" t="str">
        <f>VLOOKUP(B166,Vendors!A:B,2,FALSE)</f>
        <v>WebDev Masters</v>
      </c>
      <c r="D166" s="9">
        <f>Table3[[#This Row],[BillDate]]</f>
        <v>46037</v>
      </c>
      <c r="E166" s="9">
        <f>Table3[[#This Row],[DueDate]]</f>
        <v>46067</v>
      </c>
      <c r="F166" s="3">
        <f>Table3[[#This Row],[BillAmount]]</f>
        <v>3436.6</v>
      </c>
      <c r="G166" s="3">
        <f>SUMIF(Vendor_Payments!C:C,A166,Vendor_Payments!E:E)</f>
        <v>0</v>
      </c>
      <c r="H166" s="3">
        <f t="shared" si="6"/>
        <v>3436.6</v>
      </c>
      <c r="I166">
        <f t="shared" si="7"/>
        <v>24</v>
      </c>
      <c r="J166" t="str">
        <f t="shared" si="8"/>
        <v>1-30</v>
      </c>
    </row>
    <row r="167" spans="1:10" x14ac:dyDescent="0.3">
      <c r="A167" t="str">
        <f>Table3[[#This Row],[BillID]]</f>
        <v>BILL-00166</v>
      </c>
      <c r="B167" t="str">
        <f>Table3[[#This Row],[VendorID]]</f>
        <v>VEN-003</v>
      </c>
      <c r="C167" t="str">
        <f>VLOOKUP(B167,Vendors!A:B,2,FALSE)</f>
        <v>TikTok Ads</v>
      </c>
      <c r="D167" s="9">
        <f>Table3[[#This Row],[BillDate]]</f>
        <v>46043</v>
      </c>
      <c r="E167" s="9">
        <f>Table3[[#This Row],[DueDate]]</f>
        <v>46073</v>
      </c>
      <c r="F167" s="3">
        <f>Table3[[#This Row],[BillAmount]]</f>
        <v>1114.1099999999999</v>
      </c>
      <c r="G167" s="3">
        <f>SUMIF(Vendor_Payments!C:C,A167,Vendor_Payments!E:E)</f>
        <v>0</v>
      </c>
      <c r="H167" s="3">
        <f t="shared" si="6"/>
        <v>1114.1099999999999</v>
      </c>
      <c r="I167">
        <f t="shared" si="7"/>
        <v>18</v>
      </c>
      <c r="J167" t="str">
        <f t="shared" si="8"/>
        <v>1-30</v>
      </c>
    </row>
    <row r="168" spans="1:10" x14ac:dyDescent="0.3">
      <c r="A168" t="str">
        <f>Table3[[#This Row],[BillID]]</f>
        <v>BILL-00167</v>
      </c>
      <c r="B168" t="str">
        <f>Table3[[#This Row],[VendorID]]</f>
        <v>VEN-033</v>
      </c>
      <c r="C168" t="str">
        <f>VLOOKUP(B168,Vendors!A:B,2,FALSE)</f>
        <v>AdScale Solutions</v>
      </c>
      <c r="D168" s="9">
        <f>Table3[[#This Row],[BillDate]]</f>
        <v>46021</v>
      </c>
      <c r="E168" s="9">
        <f>Table3[[#This Row],[DueDate]]</f>
        <v>46051</v>
      </c>
      <c r="F168" s="3">
        <f>Table3[[#This Row],[BillAmount]]</f>
        <v>2519.4499999999998</v>
      </c>
      <c r="G168" s="3">
        <f>SUMIF(Vendor_Payments!C:C,A168,Vendor_Payments!E:E)</f>
        <v>2519.4499999999998</v>
      </c>
      <c r="H168" s="3">
        <f t="shared" si="6"/>
        <v>0</v>
      </c>
      <c r="I168">
        <f t="shared" si="7"/>
        <v>40</v>
      </c>
      <c r="J168" t="str">
        <f t="shared" si="8"/>
        <v>31-60</v>
      </c>
    </row>
    <row r="169" spans="1:10" x14ac:dyDescent="0.3">
      <c r="A169" t="str">
        <f>Table3[[#This Row],[BillID]]</f>
        <v>BILL-00168</v>
      </c>
      <c r="B169" t="str">
        <f>Table3[[#This Row],[VendorID]]</f>
        <v>VEN-007</v>
      </c>
      <c r="C169" t="str">
        <f>VLOOKUP(B169,Vendors!A:B,2,FALSE)</f>
        <v>Mailchimp</v>
      </c>
      <c r="D169" s="9">
        <f>Table3[[#This Row],[BillDate]]</f>
        <v>46063</v>
      </c>
      <c r="E169" s="9">
        <f>Table3[[#This Row],[DueDate]]</f>
        <v>46093</v>
      </c>
      <c r="F169" s="3">
        <f>Table3[[#This Row],[BillAmount]]</f>
        <v>5282.68</v>
      </c>
      <c r="G169" s="3">
        <f>SUMIF(Vendor_Payments!C:C,A169,Vendor_Payments!E:E)</f>
        <v>5282.68</v>
      </c>
      <c r="H169" s="3">
        <f t="shared" si="6"/>
        <v>0</v>
      </c>
      <c r="I169">
        <f t="shared" si="7"/>
        <v>-2</v>
      </c>
      <c r="J169" t="str">
        <f t="shared" si="8"/>
        <v>Current</v>
      </c>
    </row>
    <row r="170" spans="1:10" x14ac:dyDescent="0.3">
      <c r="A170" t="str">
        <f>Table3[[#This Row],[BillID]]</f>
        <v>BILL-00169</v>
      </c>
      <c r="B170" t="str">
        <f>Table3[[#This Row],[VendorID]]</f>
        <v>VEN-007</v>
      </c>
      <c r="C170" t="str">
        <f>VLOOKUP(B170,Vendors!A:B,2,FALSE)</f>
        <v>Mailchimp</v>
      </c>
      <c r="D170" s="9">
        <f>Table3[[#This Row],[BillDate]]</f>
        <v>46008</v>
      </c>
      <c r="E170" s="9">
        <f>Table3[[#This Row],[DueDate]]</f>
        <v>46038</v>
      </c>
      <c r="F170" s="3">
        <f>Table3[[#This Row],[BillAmount]]</f>
        <v>4045.03</v>
      </c>
      <c r="G170" s="3">
        <f>SUMIF(Vendor_Payments!C:C,A170,Vendor_Payments!E:E)</f>
        <v>4045.03</v>
      </c>
      <c r="H170" s="3">
        <f t="shared" si="6"/>
        <v>0</v>
      </c>
      <c r="I170">
        <f t="shared" si="7"/>
        <v>53</v>
      </c>
      <c r="J170" t="str">
        <f t="shared" si="8"/>
        <v>31-60</v>
      </c>
    </row>
    <row r="171" spans="1:10" x14ac:dyDescent="0.3">
      <c r="A171" t="str">
        <f>Table3[[#This Row],[BillID]]</f>
        <v>BILL-00170</v>
      </c>
      <c r="B171" t="str">
        <f>Table3[[#This Row],[VendorID]]</f>
        <v>VEN-039</v>
      </c>
      <c r="C171" t="str">
        <f>VLOOKUP(B171,Vendors!A:B,2,FALSE)</f>
        <v>Global Growth Advisors</v>
      </c>
      <c r="D171" s="9">
        <f>Table3[[#This Row],[BillDate]]</f>
        <v>46055</v>
      </c>
      <c r="E171" s="9">
        <f>Table3[[#This Row],[DueDate]]</f>
        <v>46085</v>
      </c>
      <c r="F171" s="3">
        <f>Table3[[#This Row],[BillAmount]]</f>
        <v>4242.83</v>
      </c>
      <c r="G171" s="3">
        <f>SUMIF(Vendor_Payments!C:C,A171,Vendor_Payments!E:E)</f>
        <v>4242.83</v>
      </c>
      <c r="H171" s="3">
        <f t="shared" si="6"/>
        <v>0</v>
      </c>
      <c r="I171">
        <f t="shared" si="7"/>
        <v>6</v>
      </c>
      <c r="J171" t="str">
        <f t="shared" si="8"/>
        <v>1-30</v>
      </c>
    </row>
    <row r="172" spans="1:10" x14ac:dyDescent="0.3">
      <c r="A172" t="str">
        <f>Table3[[#This Row],[BillID]]</f>
        <v>BILL-00171</v>
      </c>
      <c r="B172" t="str">
        <f>Table3[[#This Row],[VendorID]]</f>
        <v>VEN-033</v>
      </c>
      <c r="C172" t="str">
        <f>VLOOKUP(B172,Vendors!A:B,2,FALSE)</f>
        <v>AdScale Solutions</v>
      </c>
      <c r="D172" s="9">
        <f>Table3[[#This Row],[BillDate]]</f>
        <v>45991</v>
      </c>
      <c r="E172" s="9">
        <f>Table3[[#This Row],[DueDate]]</f>
        <v>46021</v>
      </c>
      <c r="F172" s="3">
        <f>Table3[[#This Row],[BillAmount]]</f>
        <v>1677.43</v>
      </c>
      <c r="G172" s="3">
        <f>SUMIF(Vendor_Payments!C:C,A172,Vendor_Payments!E:E)</f>
        <v>1677.43</v>
      </c>
      <c r="H172" s="3">
        <f t="shared" si="6"/>
        <v>0</v>
      </c>
      <c r="I172">
        <f t="shared" si="7"/>
        <v>70</v>
      </c>
      <c r="J172" t="str">
        <f t="shared" si="8"/>
        <v>61-90</v>
      </c>
    </row>
    <row r="173" spans="1:10" x14ac:dyDescent="0.3">
      <c r="A173" t="str">
        <f>Table3[[#This Row],[BillID]]</f>
        <v>BILL-00172</v>
      </c>
      <c r="B173" t="str">
        <f>Table3[[#This Row],[VendorID]]</f>
        <v>VEN-010</v>
      </c>
      <c r="C173" t="str">
        <f>VLOOKUP(B173,Vendors!A:B,2,FALSE)</f>
        <v>Adobe Creative Cloud</v>
      </c>
      <c r="D173" s="9">
        <f>Table3[[#This Row],[BillDate]]</f>
        <v>46052</v>
      </c>
      <c r="E173" s="9">
        <f>Table3[[#This Row],[DueDate]]</f>
        <v>46082</v>
      </c>
      <c r="F173" s="3">
        <f>Table3[[#This Row],[BillAmount]]</f>
        <v>6831.23</v>
      </c>
      <c r="G173" s="3">
        <f>SUMIF(Vendor_Payments!C:C,A173,Vendor_Payments!E:E)</f>
        <v>6831.23</v>
      </c>
      <c r="H173" s="3">
        <f t="shared" si="6"/>
        <v>0</v>
      </c>
      <c r="I173">
        <f t="shared" si="7"/>
        <v>9</v>
      </c>
      <c r="J173" t="str">
        <f t="shared" si="8"/>
        <v>1-30</v>
      </c>
    </row>
    <row r="174" spans="1:10" x14ac:dyDescent="0.3">
      <c r="A174" t="str">
        <f>Table3[[#This Row],[BillID]]</f>
        <v>BILL-00173</v>
      </c>
      <c r="B174" t="str">
        <f>Table3[[#This Row],[VendorID]]</f>
        <v>VEN-001</v>
      </c>
      <c r="C174" t="str">
        <f>VLOOKUP(B174,Vendors!A:B,2,FALSE)</f>
        <v>Google Ads</v>
      </c>
      <c r="D174" s="9">
        <f>Table3[[#This Row],[BillDate]]</f>
        <v>45996</v>
      </c>
      <c r="E174" s="9">
        <f>Table3[[#This Row],[DueDate]]</f>
        <v>46026</v>
      </c>
      <c r="F174" s="3">
        <f>Table3[[#This Row],[BillAmount]]</f>
        <v>1224.1600000000001</v>
      </c>
      <c r="G174" s="3">
        <f>SUMIF(Vendor_Payments!C:C,A174,Vendor_Payments!E:E)</f>
        <v>1224.1600000000001</v>
      </c>
      <c r="H174" s="3">
        <f t="shared" si="6"/>
        <v>0</v>
      </c>
      <c r="I174">
        <f t="shared" si="7"/>
        <v>65</v>
      </c>
      <c r="J174" t="str">
        <f t="shared" si="8"/>
        <v>61-90</v>
      </c>
    </row>
    <row r="175" spans="1:10" x14ac:dyDescent="0.3">
      <c r="A175" t="str">
        <f>Table3[[#This Row],[BillID]]</f>
        <v>BILL-00174</v>
      </c>
      <c r="B175" t="str">
        <f>Table3[[#This Row],[VendorID]]</f>
        <v>VEN-018</v>
      </c>
      <c r="C175" t="str">
        <f>VLOOKUP(B175,Vendors!A:B,2,FALSE)</f>
        <v>Cloudflare</v>
      </c>
      <c r="D175" s="9">
        <f>Table3[[#This Row],[BillDate]]</f>
        <v>46019</v>
      </c>
      <c r="E175" s="9">
        <f>Table3[[#This Row],[DueDate]]</f>
        <v>46049</v>
      </c>
      <c r="F175" s="3">
        <f>Table3[[#This Row],[BillAmount]]</f>
        <v>3359.81</v>
      </c>
      <c r="G175" s="3">
        <f>SUMIF(Vendor_Payments!C:C,A175,Vendor_Payments!E:E)</f>
        <v>3359.81</v>
      </c>
      <c r="H175" s="3">
        <f t="shared" si="6"/>
        <v>0</v>
      </c>
      <c r="I175">
        <f t="shared" si="7"/>
        <v>42</v>
      </c>
      <c r="J175" t="str">
        <f t="shared" si="8"/>
        <v>31-60</v>
      </c>
    </row>
    <row r="176" spans="1:10" x14ac:dyDescent="0.3">
      <c r="A176" t="str">
        <f>Table3[[#This Row],[BillID]]</f>
        <v>BILL-00175</v>
      </c>
      <c r="B176" t="str">
        <f>Table3[[#This Row],[VendorID]]</f>
        <v>VEN-037</v>
      </c>
      <c r="C176" t="str">
        <f>VLOOKUP(B176,Vendors!A:B,2,FALSE)</f>
        <v>CreativeSpark Studio</v>
      </c>
      <c r="D176" s="9">
        <f>Table3[[#This Row],[BillDate]]</f>
        <v>45998</v>
      </c>
      <c r="E176" s="9">
        <f>Table3[[#This Row],[DueDate]]</f>
        <v>46028</v>
      </c>
      <c r="F176" s="3">
        <f>Table3[[#This Row],[BillAmount]]</f>
        <v>4564.7</v>
      </c>
      <c r="G176" s="3">
        <f>SUMIF(Vendor_Payments!C:C,A176,Vendor_Payments!E:E)</f>
        <v>4564.7</v>
      </c>
      <c r="H176" s="3">
        <f t="shared" si="6"/>
        <v>0</v>
      </c>
      <c r="I176">
        <f t="shared" si="7"/>
        <v>63</v>
      </c>
      <c r="J176" t="str">
        <f t="shared" si="8"/>
        <v>61-90</v>
      </c>
    </row>
    <row r="177" spans="1:10" x14ac:dyDescent="0.3">
      <c r="A177" t="str">
        <f>Table3[[#This Row],[BillID]]</f>
        <v>BILL-00176</v>
      </c>
      <c r="B177" t="str">
        <f>Table3[[#This Row],[VendorID]]</f>
        <v>VEN-018</v>
      </c>
      <c r="C177" t="str">
        <f>VLOOKUP(B177,Vendors!A:B,2,FALSE)</f>
        <v>Cloudflare</v>
      </c>
      <c r="D177" s="9">
        <f>Table3[[#This Row],[BillDate]]</f>
        <v>46075</v>
      </c>
      <c r="E177" s="9">
        <f>Table3[[#This Row],[DueDate]]</f>
        <v>46105</v>
      </c>
      <c r="F177" s="3">
        <f>Table3[[#This Row],[BillAmount]]</f>
        <v>6152.03</v>
      </c>
      <c r="G177" s="3">
        <f>SUMIF(Vendor_Payments!C:C,A177,Vendor_Payments!E:E)</f>
        <v>6152.03</v>
      </c>
      <c r="H177" s="3">
        <f t="shared" si="6"/>
        <v>0</v>
      </c>
      <c r="I177">
        <f t="shared" si="7"/>
        <v>-14</v>
      </c>
      <c r="J177" t="str">
        <f t="shared" si="8"/>
        <v>Current</v>
      </c>
    </row>
    <row r="178" spans="1:10" x14ac:dyDescent="0.3">
      <c r="A178" t="str">
        <f>Table3[[#This Row],[BillID]]</f>
        <v>BILL-00177</v>
      </c>
      <c r="B178" t="str">
        <f>Table3[[#This Row],[VendorID]]</f>
        <v>VEN-004</v>
      </c>
      <c r="C178" t="str">
        <f>VLOOKUP(B178,Vendors!A:B,2,FALSE)</f>
        <v>LinkedIn Ads</v>
      </c>
      <c r="D178" s="9">
        <f>Table3[[#This Row],[BillDate]]</f>
        <v>45975</v>
      </c>
      <c r="E178" s="9">
        <f>Table3[[#This Row],[DueDate]]</f>
        <v>46005</v>
      </c>
      <c r="F178" s="3">
        <f>Table3[[#This Row],[BillAmount]]</f>
        <v>1392.04</v>
      </c>
      <c r="G178" s="3">
        <f>SUMIF(Vendor_Payments!C:C,A178,Vendor_Payments!E:E)</f>
        <v>1392.04</v>
      </c>
      <c r="H178" s="3">
        <f t="shared" si="6"/>
        <v>0</v>
      </c>
      <c r="I178">
        <f t="shared" si="7"/>
        <v>86</v>
      </c>
      <c r="J178" t="str">
        <f t="shared" si="8"/>
        <v>61-90</v>
      </c>
    </row>
    <row r="179" spans="1:10" x14ac:dyDescent="0.3">
      <c r="A179" t="str">
        <f>Table3[[#This Row],[BillID]]</f>
        <v>BILL-00178</v>
      </c>
      <c r="B179" t="str">
        <f>Table3[[#This Row],[VendorID]]</f>
        <v>VEN-002</v>
      </c>
      <c r="C179" t="str">
        <f>VLOOKUP(B179,Vendors!A:B,2,FALSE)</f>
        <v>Meta Ads</v>
      </c>
      <c r="D179" s="9">
        <f>Table3[[#This Row],[BillDate]]</f>
        <v>46046</v>
      </c>
      <c r="E179" s="9">
        <f>Table3[[#This Row],[DueDate]]</f>
        <v>46076</v>
      </c>
      <c r="F179" s="3">
        <f>Table3[[#This Row],[BillAmount]]</f>
        <v>5822.7</v>
      </c>
      <c r="G179" s="3">
        <f>SUMIF(Vendor_Payments!C:C,A179,Vendor_Payments!E:E)</f>
        <v>0</v>
      </c>
      <c r="H179" s="3">
        <f t="shared" si="6"/>
        <v>5822.7</v>
      </c>
      <c r="I179">
        <f t="shared" si="7"/>
        <v>15</v>
      </c>
      <c r="J179" t="str">
        <f t="shared" si="8"/>
        <v>1-30</v>
      </c>
    </row>
    <row r="180" spans="1:10" x14ac:dyDescent="0.3">
      <c r="A180" t="str">
        <f>Table3[[#This Row],[BillID]]</f>
        <v>BILL-00179</v>
      </c>
      <c r="B180" t="str">
        <f>Table3[[#This Row],[VendorID]]</f>
        <v>VEN-033</v>
      </c>
      <c r="C180" t="str">
        <f>VLOOKUP(B180,Vendors!A:B,2,FALSE)</f>
        <v>AdScale Solutions</v>
      </c>
      <c r="D180" s="9">
        <f>Table3[[#This Row],[BillDate]]</f>
        <v>46085</v>
      </c>
      <c r="E180" s="9">
        <f>Table3[[#This Row],[DueDate]]</f>
        <v>46115</v>
      </c>
      <c r="F180" s="3">
        <f>Table3[[#This Row],[BillAmount]]</f>
        <v>1743.69</v>
      </c>
      <c r="G180" s="3">
        <f>SUMIF(Vendor_Payments!C:C,A180,Vendor_Payments!E:E)</f>
        <v>1743.69</v>
      </c>
      <c r="H180" s="3">
        <f t="shared" si="6"/>
        <v>0</v>
      </c>
      <c r="I180">
        <f t="shared" si="7"/>
        <v>-24</v>
      </c>
      <c r="J180" t="str">
        <f t="shared" si="8"/>
        <v>Current</v>
      </c>
    </row>
    <row r="181" spans="1:10" x14ac:dyDescent="0.3">
      <c r="A181" t="str">
        <f>Table3[[#This Row],[BillID]]</f>
        <v>BILL-00180</v>
      </c>
      <c r="B181" t="str">
        <f>Table3[[#This Row],[VendorID]]</f>
        <v>VEN-029</v>
      </c>
      <c r="C181" t="str">
        <f>VLOOKUP(B181,Vendors!A:B,2,FALSE)</f>
        <v>BrightSEO Agency</v>
      </c>
      <c r="D181" s="9">
        <f>Table3[[#This Row],[BillDate]]</f>
        <v>45989</v>
      </c>
      <c r="E181" s="9">
        <f>Table3[[#This Row],[DueDate]]</f>
        <v>46019</v>
      </c>
      <c r="F181" s="3">
        <f>Table3[[#This Row],[BillAmount]]</f>
        <v>4498.07</v>
      </c>
      <c r="G181" s="3">
        <f>SUMIF(Vendor_Payments!C:C,A181,Vendor_Payments!E:E)</f>
        <v>0</v>
      </c>
      <c r="H181" s="3">
        <f t="shared" si="6"/>
        <v>4498.07</v>
      </c>
      <c r="I181">
        <f t="shared" si="7"/>
        <v>72</v>
      </c>
      <c r="J181" t="str">
        <f t="shared" si="8"/>
        <v>61-90</v>
      </c>
    </row>
    <row r="182" spans="1:10" x14ac:dyDescent="0.3">
      <c r="A182" t="str">
        <f>Table3[[#This Row],[BillID]]</f>
        <v>BILL-00181</v>
      </c>
      <c r="B182" t="str">
        <f>Table3[[#This Row],[VendorID]]</f>
        <v>VEN-026</v>
      </c>
      <c r="C182" t="str">
        <f>VLOOKUP(B182,Vendors!A:B,2,FALSE)</f>
        <v>PixelForge Studio</v>
      </c>
      <c r="D182" s="9">
        <f>Table3[[#This Row],[BillDate]]</f>
        <v>46074</v>
      </c>
      <c r="E182" s="9">
        <f>Table3[[#This Row],[DueDate]]</f>
        <v>46104</v>
      </c>
      <c r="F182" s="3">
        <f>Table3[[#This Row],[BillAmount]]</f>
        <v>1672.58</v>
      </c>
      <c r="G182" s="3">
        <f>SUMIF(Vendor_Payments!C:C,A182,Vendor_Payments!E:E)</f>
        <v>1672.58</v>
      </c>
      <c r="H182" s="3">
        <f t="shared" si="6"/>
        <v>0</v>
      </c>
      <c r="I182">
        <f t="shared" si="7"/>
        <v>-13</v>
      </c>
      <c r="J182" t="str">
        <f t="shared" si="8"/>
        <v>Current</v>
      </c>
    </row>
    <row r="183" spans="1:10" x14ac:dyDescent="0.3">
      <c r="A183" t="str">
        <f>Table3[[#This Row],[BillID]]</f>
        <v>BILL-00182</v>
      </c>
      <c r="B183" t="str">
        <f>Table3[[#This Row],[VendorID]]</f>
        <v>VEN-032</v>
      </c>
      <c r="C183" t="str">
        <f>VLOOKUP(B183,Vendors!A:B,2,FALSE)</f>
        <v>Marketing Automation Labs</v>
      </c>
      <c r="D183" s="9">
        <f>Table3[[#This Row],[BillDate]]</f>
        <v>46088</v>
      </c>
      <c r="E183" s="9">
        <f>Table3[[#This Row],[DueDate]]</f>
        <v>46118</v>
      </c>
      <c r="F183" s="3">
        <f>Table3[[#This Row],[BillAmount]]</f>
        <v>2424.9</v>
      </c>
      <c r="G183" s="3">
        <f>SUMIF(Vendor_Payments!C:C,A183,Vendor_Payments!E:E)</f>
        <v>2424.9</v>
      </c>
      <c r="H183" s="3">
        <f t="shared" si="6"/>
        <v>0</v>
      </c>
      <c r="I183">
        <f t="shared" si="7"/>
        <v>-27</v>
      </c>
      <c r="J183" t="str">
        <f t="shared" si="8"/>
        <v>Current</v>
      </c>
    </row>
    <row r="184" spans="1:10" x14ac:dyDescent="0.3">
      <c r="A184" t="str">
        <f>Table3[[#This Row],[BillID]]</f>
        <v>BILL-00183</v>
      </c>
      <c r="B184" t="str">
        <f>Table3[[#This Row],[VendorID]]</f>
        <v>VEN-015</v>
      </c>
      <c r="C184" t="str">
        <f>VLOOKUP(B184,Vendors!A:B,2,FALSE)</f>
        <v>Zapier</v>
      </c>
      <c r="D184" s="9">
        <f>Table3[[#This Row],[BillDate]]</f>
        <v>46051</v>
      </c>
      <c r="E184" s="9">
        <f>Table3[[#This Row],[DueDate]]</f>
        <v>46081</v>
      </c>
      <c r="F184" s="3">
        <f>Table3[[#This Row],[BillAmount]]</f>
        <v>5695.95</v>
      </c>
      <c r="G184" s="3">
        <f>SUMIF(Vendor_Payments!C:C,A184,Vendor_Payments!E:E)</f>
        <v>5695.95</v>
      </c>
      <c r="H184" s="3">
        <f t="shared" si="6"/>
        <v>0</v>
      </c>
      <c r="I184">
        <f t="shared" si="7"/>
        <v>10</v>
      </c>
      <c r="J184" t="str">
        <f t="shared" si="8"/>
        <v>1-30</v>
      </c>
    </row>
    <row r="185" spans="1:10" x14ac:dyDescent="0.3">
      <c r="A185" t="str">
        <f>Table3[[#This Row],[BillID]]</f>
        <v>BILL-00184</v>
      </c>
      <c r="B185" t="str">
        <f>Table3[[#This Row],[VendorID]]</f>
        <v>VEN-020</v>
      </c>
      <c r="C185" t="str">
        <f>VLOOKUP(B185,Vendors!A:B,2,FALSE)</f>
        <v>Slack</v>
      </c>
      <c r="D185" s="9">
        <f>Table3[[#This Row],[BillDate]]</f>
        <v>46025</v>
      </c>
      <c r="E185" s="9">
        <f>Table3[[#This Row],[DueDate]]</f>
        <v>46055</v>
      </c>
      <c r="F185" s="3">
        <f>Table3[[#This Row],[BillAmount]]</f>
        <v>1790.57</v>
      </c>
      <c r="G185" s="3">
        <f>SUMIF(Vendor_Payments!C:C,A185,Vendor_Payments!E:E)</f>
        <v>0</v>
      </c>
      <c r="H185" s="3">
        <f t="shared" si="6"/>
        <v>1790.57</v>
      </c>
      <c r="I185">
        <f t="shared" si="7"/>
        <v>36</v>
      </c>
      <c r="J185" t="str">
        <f t="shared" si="8"/>
        <v>31-60</v>
      </c>
    </row>
    <row r="186" spans="1:10" x14ac:dyDescent="0.3">
      <c r="A186" t="str">
        <f>Table3[[#This Row],[BillID]]</f>
        <v>BILL-00185</v>
      </c>
      <c r="B186" t="str">
        <f>Table3[[#This Row],[VendorID]]</f>
        <v>VEN-002</v>
      </c>
      <c r="C186" t="str">
        <f>VLOOKUP(B186,Vendors!A:B,2,FALSE)</f>
        <v>Meta Ads</v>
      </c>
      <c r="D186" s="9">
        <f>Table3[[#This Row],[BillDate]]</f>
        <v>45982</v>
      </c>
      <c r="E186" s="9">
        <f>Table3[[#This Row],[DueDate]]</f>
        <v>46012</v>
      </c>
      <c r="F186" s="3">
        <f>Table3[[#This Row],[BillAmount]]</f>
        <v>852.21</v>
      </c>
      <c r="G186" s="3">
        <f>SUMIF(Vendor_Payments!C:C,A186,Vendor_Payments!E:E)</f>
        <v>852.21</v>
      </c>
      <c r="H186" s="3">
        <f t="shared" si="6"/>
        <v>0</v>
      </c>
      <c r="I186">
        <f t="shared" si="7"/>
        <v>79</v>
      </c>
      <c r="J186" t="str">
        <f t="shared" si="8"/>
        <v>61-90</v>
      </c>
    </row>
    <row r="187" spans="1:10" x14ac:dyDescent="0.3">
      <c r="A187" t="str">
        <f>Table3[[#This Row],[BillID]]</f>
        <v>BILL-00186</v>
      </c>
      <c r="B187" t="str">
        <f>Table3[[#This Row],[VendorID]]</f>
        <v>VEN-036</v>
      </c>
      <c r="C187" t="str">
        <f>VLOOKUP(B187,Vendors!A:B,2,FALSE)</f>
        <v>WebDev Masters</v>
      </c>
      <c r="D187" s="9">
        <f>Table3[[#This Row],[BillDate]]</f>
        <v>45975</v>
      </c>
      <c r="E187" s="9">
        <f>Table3[[#This Row],[DueDate]]</f>
        <v>46005</v>
      </c>
      <c r="F187" s="3">
        <f>Table3[[#This Row],[BillAmount]]</f>
        <v>6692.59</v>
      </c>
      <c r="G187" s="3">
        <f>SUMIF(Vendor_Payments!C:C,A187,Vendor_Payments!E:E)</f>
        <v>6692.59</v>
      </c>
      <c r="H187" s="3">
        <f t="shared" si="6"/>
        <v>0</v>
      </c>
      <c r="I187">
        <f t="shared" si="7"/>
        <v>86</v>
      </c>
      <c r="J187" t="str">
        <f t="shared" si="8"/>
        <v>61-90</v>
      </c>
    </row>
    <row r="188" spans="1:10" x14ac:dyDescent="0.3">
      <c r="A188" t="str">
        <f>Table3[[#This Row],[BillID]]</f>
        <v>BILL-00187</v>
      </c>
      <c r="B188" t="str">
        <f>Table3[[#This Row],[VendorID]]</f>
        <v>VEN-036</v>
      </c>
      <c r="C188" t="str">
        <f>VLOOKUP(B188,Vendors!A:B,2,FALSE)</f>
        <v>WebDev Masters</v>
      </c>
      <c r="D188" s="9">
        <f>Table3[[#This Row],[BillDate]]</f>
        <v>46020</v>
      </c>
      <c r="E188" s="9">
        <f>Table3[[#This Row],[DueDate]]</f>
        <v>46050</v>
      </c>
      <c r="F188" s="3">
        <f>Table3[[#This Row],[BillAmount]]</f>
        <v>1520.41</v>
      </c>
      <c r="G188" s="3">
        <f>SUMIF(Vendor_Payments!C:C,A188,Vendor_Payments!E:E)</f>
        <v>1520.41</v>
      </c>
      <c r="H188" s="3">
        <f t="shared" si="6"/>
        <v>0</v>
      </c>
      <c r="I188">
        <f t="shared" si="7"/>
        <v>41</v>
      </c>
      <c r="J188" t="str">
        <f t="shared" si="8"/>
        <v>31-60</v>
      </c>
    </row>
    <row r="189" spans="1:10" x14ac:dyDescent="0.3">
      <c r="A189" t="str">
        <f>Table3[[#This Row],[BillID]]</f>
        <v>BILL-00188</v>
      </c>
      <c r="B189" t="str">
        <f>Table3[[#This Row],[VendorID]]</f>
        <v>VEN-012</v>
      </c>
      <c r="C189" t="str">
        <f>VLOOKUP(B189,Vendors!A:B,2,FALSE)</f>
        <v>Google Cloud</v>
      </c>
      <c r="D189" s="9">
        <f>Table3[[#This Row],[BillDate]]</f>
        <v>45992</v>
      </c>
      <c r="E189" s="9">
        <f>Table3[[#This Row],[DueDate]]</f>
        <v>46022</v>
      </c>
      <c r="F189" s="3">
        <f>Table3[[#This Row],[BillAmount]]</f>
        <v>5675.07</v>
      </c>
      <c r="G189" s="3">
        <f>SUMIF(Vendor_Payments!C:C,A189,Vendor_Payments!E:E)</f>
        <v>0</v>
      </c>
      <c r="H189" s="3">
        <f t="shared" si="6"/>
        <v>5675.07</v>
      </c>
      <c r="I189">
        <f t="shared" si="7"/>
        <v>69</v>
      </c>
      <c r="J189" t="str">
        <f t="shared" si="8"/>
        <v>61-90</v>
      </c>
    </row>
    <row r="190" spans="1:10" x14ac:dyDescent="0.3">
      <c r="A190" t="str">
        <f>Table3[[#This Row],[BillID]]</f>
        <v>BILL-00189</v>
      </c>
      <c r="B190" t="str">
        <f>Table3[[#This Row],[VendorID]]</f>
        <v>VEN-002</v>
      </c>
      <c r="C190" t="str">
        <f>VLOOKUP(B190,Vendors!A:B,2,FALSE)</f>
        <v>Meta Ads</v>
      </c>
      <c r="D190" s="9">
        <f>Table3[[#This Row],[BillDate]]</f>
        <v>46064</v>
      </c>
      <c r="E190" s="9">
        <f>Table3[[#This Row],[DueDate]]</f>
        <v>46094</v>
      </c>
      <c r="F190" s="3">
        <f>Table3[[#This Row],[BillAmount]]</f>
        <v>2578.56</v>
      </c>
      <c r="G190" s="3">
        <f>SUMIF(Vendor_Payments!C:C,A190,Vendor_Payments!E:E)</f>
        <v>0</v>
      </c>
      <c r="H190" s="3">
        <f t="shared" si="6"/>
        <v>2578.56</v>
      </c>
      <c r="I190">
        <f t="shared" si="7"/>
        <v>-3</v>
      </c>
      <c r="J190" t="str">
        <f t="shared" si="8"/>
        <v>Current</v>
      </c>
    </row>
    <row r="191" spans="1:10" x14ac:dyDescent="0.3">
      <c r="A191" t="str">
        <f>Table3[[#This Row],[BillID]]</f>
        <v>BILL-00190</v>
      </c>
      <c r="B191" t="str">
        <f>Table3[[#This Row],[VendorID]]</f>
        <v>VEN-003</v>
      </c>
      <c r="C191" t="str">
        <f>VLOOKUP(B191,Vendors!A:B,2,FALSE)</f>
        <v>TikTok Ads</v>
      </c>
      <c r="D191" s="9">
        <f>Table3[[#This Row],[BillDate]]</f>
        <v>46024</v>
      </c>
      <c r="E191" s="9">
        <f>Table3[[#This Row],[DueDate]]</f>
        <v>46054</v>
      </c>
      <c r="F191" s="3">
        <f>Table3[[#This Row],[BillAmount]]</f>
        <v>1177.1600000000001</v>
      </c>
      <c r="G191" s="3">
        <f>SUMIF(Vendor_Payments!C:C,A191,Vendor_Payments!E:E)</f>
        <v>1177.1600000000001</v>
      </c>
      <c r="H191" s="3">
        <f t="shared" si="6"/>
        <v>0</v>
      </c>
      <c r="I191">
        <f t="shared" si="7"/>
        <v>37</v>
      </c>
      <c r="J191" t="str">
        <f t="shared" si="8"/>
        <v>31-60</v>
      </c>
    </row>
    <row r="192" spans="1:10" x14ac:dyDescent="0.3">
      <c r="A192" t="str">
        <f>Table3[[#This Row],[BillID]]</f>
        <v>BILL-00191</v>
      </c>
      <c r="B192" t="str">
        <f>Table3[[#This Row],[VendorID]]</f>
        <v>VEN-017</v>
      </c>
      <c r="C192" t="str">
        <f>VLOOKUP(B192,Vendors!A:B,2,FALSE)</f>
        <v>PayPal</v>
      </c>
      <c r="D192" s="9">
        <f>Table3[[#This Row],[BillDate]]</f>
        <v>45997</v>
      </c>
      <c r="E192" s="9">
        <f>Table3[[#This Row],[DueDate]]</f>
        <v>46027</v>
      </c>
      <c r="F192" s="3">
        <f>Table3[[#This Row],[BillAmount]]</f>
        <v>3444.12</v>
      </c>
      <c r="G192" s="3">
        <f>SUMIF(Vendor_Payments!C:C,A192,Vendor_Payments!E:E)</f>
        <v>3444.12</v>
      </c>
      <c r="H192" s="3">
        <f t="shared" si="6"/>
        <v>0</v>
      </c>
      <c r="I192">
        <f t="shared" si="7"/>
        <v>64</v>
      </c>
      <c r="J192" t="str">
        <f t="shared" si="8"/>
        <v>61-90</v>
      </c>
    </row>
    <row r="193" spans="1:10" x14ac:dyDescent="0.3">
      <c r="A193" t="str">
        <f>Table3[[#This Row],[BillID]]</f>
        <v>BILL-00192</v>
      </c>
      <c r="B193" t="str">
        <f>Table3[[#This Row],[VendorID]]</f>
        <v>VEN-036</v>
      </c>
      <c r="C193" t="str">
        <f>VLOOKUP(B193,Vendors!A:B,2,FALSE)</f>
        <v>WebDev Masters</v>
      </c>
      <c r="D193" s="9">
        <f>Table3[[#This Row],[BillDate]]</f>
        <v>46002</v>
      </c>
      <c r="E193" s="9">
        <f>Table3[[#This Row],[DueDate]]</f>
        <v>46032</v>
      </c>
      <c r="F193" s="3">
        <f>Table3[[#This Row],[BillAmount]]</f>
        <v>2302.2800000000002</v>
      </c>
      <c r="G193" s="3">
        <f>SUMIF(Vendor_Payments!C:C,A193,Vendor_Payments!E:E)</f>
        <v>2302.2800000000002</v>
      </c>
      <c r="H193" s="3">
        <f t="shared" si="6"/>
        <v>0</v>
      </c>
      <c r="I193">
        <f t="shared" si="7"/>
        <v>59</v>
      </c>
      <c r="J193" t="str">
        <f t="shared" si="8"/>
        <v>31-60</v>
      </c>
    </row>
    <row r="194" spans="1:10" x14ac:dyDescent="0.3">
      <c r="A194" t="str">
        <f>Table3[[#This Row],[BillID]]</f>
        <v>BILL-00193</v>
      </c>
      <c r="B194" t="str">
        <f>Table3[[#This Row],[VendorID]]</f>
        <v>VEN-006</v>
      </c>
      <c r="C194" t="str">
        <f>VLOOKUP(B194,Vendors!A:B,2,FALSE)</f>
        <v>Salesforce</v>
      </c>
      <c r="D194" s="9">
        <f>Table3[[#This Row],[BillDate]]</f>
        <v>46071</v>
      </c>
      <c r="E194" s="9">
        <f>Table3[[#This Row],[DueDate]]</f>
        <v>46101</v>
      </c>
      <c r="F194" s="3">
        <f>Table3[[#This Row],[BillAmount]]</f>
        <v>5285.12</v>
      </c>
      <c r="G194" s="3">
        <f>SUMIF(Vendor_Payments!C:C,A194,Vendor_Payments!E:E)</f>
        <v>0</v>
      </c>
      <c r="H194" s="3">
        <f t="shared" si="6"/>
        <v>5285.12</v>
      </c>
      <c r="I194">
        <f t="shared" si="7"/>
        <v>-10</v>
      </c>
      <c r="J194" t="str">
        <f t="shared" si="8"/>
        <v>Current</v>
      </c>
    </row>
    <row r="195" spans="1:10" x14ac:dyDescent="0.3">
      <c r="A195" t="str">
        <f>Table3[[#This Row],[BillID]]</f>
        <v>BILL-00194</v>
      </c>
      <c r="B195" t="str">
        <f>Table3[[#This Row],[VendorID]]</f>
        <v>VEN-009</v>
      </c>
      <c r="C195" t="str">
        <f>VLOOKUP(B195,Vendors!A:B,2,FALSE)</f>
        <v>SEMrush</v>
      </c>
      <c r="D195" s="9">
        <f>Table3[[#This Row],[BillDate]]</f>
        <v>45998</v>
      </c>
      <c r="E195" s="9">
        <f>Table3[[#This Row],[DueDate]]</f>
        <v>46028</v>
      </c>
      <c r="F195" s="3">
        <f>Table3[[#This Row],[BillAmount]]</f>
        <v>4320.3500000000004</v>
      </c>
      <c r="G195" s="3">
        <f>SUMIF(Vendor_Payments!C:C,A195,Vendor_Payments!E:E)</f>
        <v>0</v>
      </c>
      <c r="H195" s="3">
        <f t="shared" ref="H195:H258" si="9">F195-G195</f>
        <v>4320.3500000000004</v>
      </c>
      <c r="I195">
        <f t="shared" ref="I195:I258" si="10">$L$1-E195</f>
        <v>63</v>
      </c>
      <c r="J195" t="str">
        <f t="shared" ref="J195:J258" si="11">IF(I195&lt;=0,"Current",IF(I195&lt;=30,"1-30",IF(I195&lt;=60,"31-60",IF(I195&lt;=90,"61-90","90+"))))</f>
        <v>61-90</v>
      </c>
    </row>
    <row r="196" spans="1:10" x14ac:dyDescent="0.3">
      <c r="A196" t="str">
        <f>Table3[[#This Row],[BillID]]</f>
        <v>BILL-00195</v>
      </c>
      <c r="B196" t="str">
        <f>Table3[[#This Row],[VendorID]]</f>
        <v>VEN-005</v>
      </c>
      <c r="C196" t="str">
        <f>VLOOKUP(B196,Vendors!A:B,2,FALSE)</f>
        <v>HubSpot</v>
      </c>
      <c r="D196" s="9">
        <f>Table3[[#This Row],[BillDate]]</f>
        <v>46011</v>
      </c>
      <c r="E196" s="9">
        <f>Table3[[#This Row],[DueDate]]</f>
        <v>46041</v>
      </c>
      <c r="F196" s="3">
        <f>Table3[[#This Row],[BillAmount]]</f>
        <v>2975.25</v>
      </c>
      <c r="G196" s="3">
        <f>SUMIF(Vendor_Payments!C:C,A196,Vendor_Payments!E:E)</f>
        <v>2975.25</v>
      </c>
      <c r="H196" s="3">
        <f t="shared" si="9"/>
        <v>0</v>
      </c>
      <c r="I196">
        <f t="shared" si="10"/>
        <v>50</v>
      </c>
      <c r="J196" t="str">
        <f t="shared" si="11"/>
        <v>31-60</v>
      </c>
    </row>
    <row r="197" spans="1:10" x14ac:dyDescent="0.3">
      <c r="A197" t="str">
        <f>Table3[[#This Row],[BillID]]</f>
        <v>BILL-00196</v>
      </c>
      <c r="B197" t="str">
        <f>Table3[[#This Row],[VendorID]]</f>
        <v>VEN-035</v>
      </c>
      <c r="C197" t="str">
        <f>VLOOKUP(B197,Vendors!A:B,2,FALSE)</f>
        <v>ClickFlow Marketing</v>
      </c>
      <c r="D197" s="9">
        <f>Table3[[#This Row],[BillDate]]</f>
        <v>46013</v>
      </c>
      <c r="E197" s="9">
        <f>Table3[[#This Row],[DueDate]]</f>
        <v>46043</v>
      </c>
      <c r="F197" s="3">
        <f>Table3[[#This Row],[BillAmount]]</f>
        <v>5235.05</v>
      </c>
      <c r="G197" s="3">
        <f>SUMIF(Vendor_Payments!C:C,A197,Vendor_Payments!E:E)</f>
        <v>5235.05</v>
      </c>
      <c r="H197" s="3">
        <f t="shared" si="9"/>
        <v>0</v>
      </c>
      <c r="I197">
        <f t="shared" si="10"/>
        <v>48</v>
      </c>
      <c r="J197" t="str">
        <f t="shared" si="11"/>
        <v>31-60</v>
      </c>
    </row>
    <row r="198" spans="1:10" x14ac:dyDescent="0.3">
      <c r="A198" t="str">
        <f>Table3[[#This Row],[BillID]]</f>
        <v>BILL-00197</v>
      </c>
      <c r="B198" t="str">
        <f>Table3[[#This Row],[VendorID]]</f>
        <v>VEN-028</v>
      </c>
      <c r="C198" t="str">
        <f>VLOOKUP(B198,Vendors!A:B,2,FALSE)</f>
        <v>MarketEdge Consulting</v>
      </c>
      <c r="D198" s="9">
        <f>Table3[[#This Row],[BillDate]]</f>
        <v>46037</v>
      </c>
      <c r="E198" s="9">
        <f>Table3[[#This Row],[DueDate]]</f>
        <v>46067</v>
      </c>
      <c r="F198" s="3">
        <f>Table3[[#This Row],[BillAmount]]</f>
        <v>5458.87</v>
      </c>
      <c r="G198" s="3">
        <f>SUMIF(Vendor_Payments!C:C,A198,Vendor_Payments!E:E)</f>
        <v>5458.87</v>
      </c>
      <c r="H198" s="3">
        <f t="shared" si="9"/>
        <v>0</v>
      </c>
      <c r="I198">
        <f t="shared" si="10"/>
        <v>24</v>
      </c>
      <c r="J198" t="str">
        <f t="shared" si="11"/>
        <v>1-30</v>
      </c>
    </row>
    <row r="199" spans="1:10" x14ac:dyDescent="0.3">
      <c r="A199" t="str">
        <f>Table3[[#This Row],[BillID]]</f>
        <v>BILL-00198</v>
      </c>
      <c r="B199" t="str">
        <f>Table3[[#This Row],[VendorID]]</f>
        <v>VEN-017</v>
      </c>
      <c r="C199" t="str">
        <f>VLOOKUP(B199,Vendors!A:B,2,FALSE)</f>
        <v>PayPal</v>
      </c>
      <c r="D199" s="9">
        <f>Table3[[#This Row],[BillDate]]</f>
        <v>45965</v>
      </c>
      <c r="E199" s="9">
        <f>Table3[[#This Row],[DueDate]]</f>
        <v>45995</v>
      </c>
      <c r="F199" s="3">
        <f>Table3[[#This Row],[BillAmount]]</f>
        <v>2734.75</v>
      </c>
      <c r="G199" s="3">
        <f>SUMIF(Vendor_Payments!C:C,A199,Vendor_Payments!E:E)</f>
        <v>0</v>
      </c>
      <c r="H199" s="3">
        <f t="shared" si="9"/>
        <v>2734.75</v>
      </c>
      <c r="I199">
        <f t="shared" si="10"/>
        <v>96</v>
      </c>
      <c r="J199" t="str">
        <f t="shared" si="11"/>
        <v>90+</v>
      </c>
    </row>
    <row r="200" spans="1:10" x14ac:dyDescent="0.3">
      <c r="A200" t="str">
        <f>Table3[[#This Row],[BillID]]</f>
        <v>BILL-00199</v>
      </c>
      <c r="B200" t="str">
        <f>Table3[[#This Row],[VendorID]]</f>
        <v>VEN-012</v>
      </c>
      <c r="C200" t="str">
        <f>VLOOKUP(B200,Vendors!A:B,2,FALSE)</f>
        <v>Google Cloud</v>
      </c>
      <c r="D200" s="9">
        <f>Table3[[#This Row],[BillDate]]</f>
        <v>46038</v>
      </c>
      <c r="E200" s="9">
        <f>Table3[[#This Row],[DueDate]]</f>
        <v>46068</v>
      </c>
      <c r="F200" s="3">
        <f>Table3[[#This Row],[BillAmount]]</f>
        <v>6341.77</v>
      </c>
      <c r="G200" s="3">
        <f>SUMIF(Vendor_Payments!C:C,A200,Vendor_Payments!E:E)</f>
        <v>0</v>
      </c>
      <c r="H200" s="3">
        <f t="shared" si="9"/>
        <v>6341.77</v>
      </c>
      <c r="I200">
        <f t="shared" si="10"/>
        <v>23</v>
      </c>
      <c r="J200" t="str">
        <f t="shared" si="11"/>
        <v>1-30</v>
      </c>
    </row>
    <row r="201" spans="1:10" x14ac:dyDescent="0.3">
      <c r="A201" t="str">
        <f>Table3[[#This Row],[BillID]]</f>
        <v>BILL-00200</v>
      </c>
      <c r="B201" t="str">
        <f>Table3[[#This Row],[VendorID]]</f>
        <v>VEN-020</v>
      </c>
      <c r="C201" t="str">
        <f>VLOOKUP(B201,Vendors!A:B,2,FALSE)</f>
        <v>Slack</v>
      </c>
      <c r="D201" s="9">
        <f>Table3[[#This Row],[BillDate]]</f>
        <v>46037</v>
      </c>
      <c r="E201" s="9">
        <f>Table3[[#This Row],[DueDate]]</f>
        <v>46067</v>
      </c>
      <c r="F201" s="3">
        <f>Table3[[#This Row],[BillAmount]]</f>
        <v>3173.48</v>
      </c>
      <c r="G201" s="3">
        <f>SUMIF(Vendor_Payments!C:C,A201,Vendor_Payments!E:E)</f>
        <v>0</v>
      </c>
      <c r="H201" s="3">
        <f t="shared" si="9"/>
        <v>3173.48</v>
      </c>
      <c r="I201">
        <f t="shared" si="10"/>
        <v>24</v>
      </c>
      <c r="J201" t="str">
        <f t="shared" si="11"/>
        <v>1-30</v>
      </c>
    </row>
    <row r="202" spans="1:10" x14ac:dyDescent="0.3">
      <c r="A202" t="str">
        <f>Table3[[#This Row],[BillID]]</f>
        <v>BILL-00201</v>
      </c>
      <c r="B202" t="str">
        <f>Table3[[#This Row],[VendorID]]</f>
        <v>VEN-006</v>
      </c>
      <c r="C202" t="str">
        <f>VLOOKUP(B202,Vendors!A:B,2,FALSE)</f>
        <v>Salesforce</v>
      </c>
      <c r="D202" s="9">
        <f>Table3[[#This Row],[BillDate]]</f>
        <v>45979</v>
      </c>
      <c r="E202" s="9">
        <f>Table3[[#This Row],[DueDate]]</f>
        <v>46009</v>
      </c>
      <c r="F202" s="3">
        <f>Table3[[#This Row],[BillAmount]]</f>
        <v>2863.96</v>
      </c>
      <c r="G202" s="3">
        <f>SUMIF(Vendor_Payments!C:C,A202,Vendor_Payments!E:E)</f>
        <v>2863.96</v>
      </c>
      <c r="H202" s="3">
        <f t="shared" si="9"/>
        <v>0</v>
      </c>
      <c r="I202">
        <f t="shared" si="10"/>
        <v>82</v>
      </c>
      <c r="J202" t="str">
        <f t="shared" si="11"/>
        <v>61-90</v>
      </c>
    </row>
    <row r="203" spans="1:10" x14ac:dyDescent="0.3">
      <c r="A203" t="str">
        <f>Table3[[#This Row],[BillID]]</f>
        <v>BILL-00202</v>
      </c>
      <c r="B203" t="str">
        <f>Table3[[#This Row],[VendorID]]</f>
        <v>VEN-014</v>
      </c>
      <c r="C203" t="str">
        <f>VLOOKUP(B203,Vendors!A:B,2,FALSE)</f>
        <v>Figma</v>
      </c>
      <c r="D203" s="9">
        <f>Table3[[#This Row],[BillDate]]</f>
        <v>46002</v>
      </c>
      <c r="E203" s="9">
        <f>Table3[[#This Row],[DueDate]]</f>
        <v>46032</v>
      </c>
      <c r="F203" s="3">
        <f>Table3[[#This Row],[BillAmount]]</f>
        <v>6777.04</v>
      </c>
      <c r="G203" s="3">
        <f>SUMIF(Vendor_Payments!C:C,A203,Vendor_Payments!E:E)</f>
        <v>6777.04</v>
      </c>
      <c r="H203" s="3">
        <f t="shared" si="9"/>
        <v>0</v>
      </c>
      <c r="I203">
        <f t="shared" si="10"/>
        <v>59</v>
      </c>
      <c r="J203" t="str">
        <f t="shared" si="11"/>
        <v>31-60</v>
      </c>
    </row>
    <row r="204" spans="1:10" x14ac:dyDescent="0.3">
      <c r="A204" t="str">
        <f>Table3[[#This Row],[BillID]]</f>
        <v>BILL-00203</v>
      </c>
      <c r="B204" t="str">
        <f>Table3[[#This Row],[VendorID]]</f>
        <v>VEN-017</v>
      </c>
      <c r="C204" t="str">
        <f>VLOOKUP(B204,Vendors!A:B,2,FALSE)</f>
        <v>PayPal</v>
      </c>
      <c r="D204" s="9">
        <f>Table3[[#This Row],[BillDate]]</f>
        <v>45984</v>
      </c>
      <c r="E204" s="9">
        <f>Table3[[#This Row],[DueDate]]</f>
        <v>46014</v>
      </c>
      <c r="F204" s="3">
        <f>Table3[[#This Row],[BillAmount]]</f>
        <v>2256.25</v>
      </c>
      <c r="G204" s="3">
        <f>SUMIF(Vendor_Payments!C:C,A204,Vendor_Payments!E:E)</f>
        <v>2256.25</v>
      </c>
      <c r="H204" s="3">
        <f t="shared" si="9"/>
        <v>0</v>
      </c>
      <c r="I204">
        <f t="shared" si="10"/>
        <v>77</v>
      </c>
      <c r="J204" t="str">
        <f t="shared" si="11"/>
        <v>61-90</v>
      </c>
    </row>
    <row r="205" spans="1:10" x14ac:dyDescent="0.3">
      <c r="A205" t="str">
        <f>Table3[[#This Row],[BillID]]</f>
        <v>BILL-00204</v>
      </c>
      <c r="B205" t="str">
        <f>Table3[[#This Row],[VendorID]]</f>
        <v>VEN-032</v>
      </c>
      <c r="C205" t="str">
        <f>VLOOKUP(B205,Vendors!A:B,2,FALSE)</f>
        <v>Marketing Automation Labs</v>
      </c>
      <c r="D205" s="9">
        <f>Table3[[#This Row],[BillDate]]</f>
        <v>46017</v>
      </c>
      <c r="E205" s="9">
        <f>Table3[[#This Row],[DueDate]]</f>
        <v>46047</v>
      </c>
      <c r="F205" s="3">
        <f>Table3[[#This Row],[BillAmount]]</f>
        <v>6994.87</v>
      </c>
      <c r="G205" s="3">
        <f>SUMIF(Vendor_Payments!C:C,A205,Vendor_Payments!E:E)</f>
        <v>6994.87</v>
      </c>
      <c r="H205" s="3">
        <f t="shared" si="9"/>
        <v>0</v>
      </c>
      <c r="I205">
        <f t="shared" si="10"/>
        <v>44</v>
      </c>
      <c r="J205" t="str">
        <f t="shared" si="11"/>
        <v>31-60</v>
      </c>
    </row>
    <row r="206" spans="1:10" x14ac:dyDescent="0.3">
      <c r="A206" t="str">
        <f>Table3[[#This Row],[BillID]]</f>
        <v>BILL-00205</v>
      </c>
      <c r="B206" t="str">
        <f>Table3[[#This Row],[VendorID]]</f>
        <v>VEN-007</v>
      </c>
      <c r="C206" t="str">
        <f>VLOOKUP(B206,Vendors!A:B,2,FALSE)</f>
        <v>Mailchimp</v>
      </c>
      <c r="D206" s="9">
        <f>Table3[[#This Row],[BillDate]]</f>
        <v>46069</v>
      </c>
      <c r="E206" s="9">
        <f>Table3[[#This Row],[DueDate]]</f>
        <v>46099</v>
      </c>
      <c r="F206" s="3">
        <f>Table3[[#This Row],[BillAmount]]</f>
        <v>5446.61</v>
      </c>
      <c r="G206" s="3">
        <f>SUMIF(Vendor_Payments!C:C,A206,Vendor_Payments!E:E)</f>
        <v>5446.61</v>
      </c>
      <c r="H206" s="3">
        <f t="shared" si="9"/>
        <v>0</v>
      </c>
      <c r="I206">
        <f t="shared" si="10"/>
        <v>-8</v>
      </c>
      <c r="J206" t="str">
        <f t="shared" si="11"/>
        <v>Current</v>
      </c>
    </row>
    <row r="207" spans="1:10" x14ac:dyDescent="0.3">
      <c r="A207" t="str">
        <f>Table3[[#This Row],[BillID]]</f>
        <v>BILL-00206</v>
      </c>
      <c r="B207" t="str">
        <f>Table3[[#This Row],[VendorID]]</f>
        <v>VEN-012</v>
      </c>
      <c r="C207" t="str">
        <f>VLOOKUP(B207,Vendors!A:B,2,FALSE)</f>
        <v>Google Cloud</v>
      </c>
      <c r="D207" s="9">
        <f>Table3[[#This Row],[BillDate]]</f>
        <v>46063</v>
      </c>
      <c r="E207" s="9">
        <f>Table3[[#This Row],[DueDate]]</f>
        <v>46093</v>
      </c>
      <c r="F207" s="3">
        <f>Table3[[#This Row],[BillAmount]]</f>
        <v>3244.29</v>
      </c>
      <c r="G207" s="3">
        <f>SUMIF(Vendor_Payments!C:C,A207,Vendor_Payments!E:E)</f>
        <v>0</v>
      </c>
      <c r="H207" s="3">
        <f t="shared" si="9"/>
        <v>3244.29</v>
      </c>
      <c r="I207">
        <f t="shared" si="10"/>
        <v>-2</v>
      </c>
      <c r="J207" t="str">
        <f t="shared" si="11"/>
        <v>Current</v>
      </c>
    </row>
    <row r="208" spans="1:10" x14ac:dyDescent="0.3">
      <c r="A208" t="str">
        <f>Table3[[#This Row],[BillID]]</f>
        <v>BILL-00207</v>
      </c>
      <c r="B208" t="str">
        <f>Table3[[#This Row],[VendorID]]</f>
        <v>VEN-027</v>
      </c>
      <c r="C208" t="str">
        <f>VLOOKUP(B208,Vendors!A:B,2,FALSE)</f>
        <v>DevCraft Agency</v>
      </c>
      <c r="D208" s="9">
        <f>Table3[[#This Row],[BillDate]]</f>
        <v>45967</v>
      </c>
      <c r="E208" s="9">
        <f>Table3[[#This Row],[DueDate]]</f>
        <v>45997</v>
      </c>
      <c r="F208" s="3">
        <f>Table3[[#This Row],[BillAmount]]</f>
        <v>5162.2700000000004</v>
      </c>
      <c r="G208" s="3">
        <f>SUMIF(Vendor_Payments!C:C,A208,Vendor_Payments!E:E)</f>
        <v>5162.2700000000004</v>
      </c>
      <c r="H208" s="3">
        <f t="shared" si="9"/>
        <v>0</v>
      </c>
      <c r="I208">
        <f t="shared" si="10"/>
        <v>94</v>
      </c>
      <c r="J208" t="str">
        <f t="shared" si="11"/>
        <v>90+</v>
      </c>
    </row>
    <row r="209" spans="1:10" x14ac:dyDescent="0.3">
      <c r="A209" t="str">
        <f>Table3[[#This Row],[BillID]]</f>
        <v>BILL-00208</v>
      </c>
      <c r="B209" t="str">
        <f>Table3[[#This Row],[VendorID]]</f>
        <v>VEN-026</v>
      </c>
      <c r="C209" t="str">
        <f>VLOOKUP(B209,Vendors!A:B,2,FALSE)</f>
        <v>PixelForge Studio</v>
      </c>
      <c r="D209" s="9">
        <f>Table3[[#This Row],[BillDate]]</f>
        <v>45963</v>
      </c>
      <c r="E209" s="9">
        <f>Table3[[#This Row],[DueDate]]</f>
        <v>45993</v>
      </c>
      <c r="F209" s="3">
        <f>Table3[[#This Row],[BillAmount]]</f>
        <v>6706.76</v>
      </c>
      <c r="G209" s="3">
        <f>SUMIF(Vendor_Payments!C:C,A209,Vendor_Payments!E:E)</f>
        <v>0</v>
      </c>
      <c r="H209" s="3">
        <f t="shared" si="9"/>
        <v>6706.76</v>
      </c>
      <c r="I209">
        <f t="shared" si="10"/>
        <v>98</v>
      </c>
      <c r="J209" t="str">
        <f t="shared" si="11"/>
        <v>90+</v>
      </c>
    </row>
    <row r="210" spans="1:10" x14ac:dyDescent="0.3">
      <c r="A210" t="str">
        <f>Table3[[#This Row],[BillID]]</f>
        <v>BILL-00209</v>
      </c>
      <c r="B210" t="str">
        <f>Table3[[#This Row],[VendorID]]</f>
        <v>VEN-040</v>
      </c>
      <c r="C210" t="str">
        <f>VLOOKUP(B210,Vendors!A:B,2,FALSE)</f>
        <v>Digital Performance Lab</v>
      </c>
      <c r="D210" s="9">
        <f>Table3[[#This Row],[BillDate]]</f>
        <v>46065</v>
      </c>
      <c r="E210" s="9">
        <f>Table3[[#This Row],[DueDate]]</f>
        <v>46095</v>
      </c>
      <c r="F210" s="3">
        <f>Table3[[#This Row],[BillAmount]]</f>
        <v>6251.79</v>
      </c>
      <c r="G210" s="3">
        <f>SUMIF(Vendor_Payments!C:C,A210,Vendor_Payments!E:E)</f>
        <v>0</v>
      </c>
      <c r="H210" s="3">
        <f t="shared" si="9"/>
        <v>6251.79</v>
      </c>
      <c r="I210">
        <f t="shared" si="10"/>
        <v>-4</v>
      </c>
      <c r="J210" t="str">
        <f t="shared" si="11"/>
        <v>Current</v>
      </c>
    </row>
    <row r="211" spans="1:10" x14ac:dyDescent="0.3">
      <c r="A211" t="str">
        <f>Table3[[#This Row],[BillID]]</f>
        <v>BILL-00210</v>
      </c>
      <c r="B211" t="str">
        <f>Table3[[#This Row],[VendorID]]</f>
        <v>VEN-029</v>
      </c>
      <c r="C211" t="str">
        <f>VLOOKUP(B211,Vendors!A:B,2,FALSE)</f>
        <v>BrightSEO Agency</v>
      </c>
      <c r="D211" s="9">
        <f>Table3[[#This Row],[BillDate]]</f>
        <v>46018</v>
      </c>
      <c r="E211" s="9">
        <f>Table3[[#This Row],[DueDate]]</f>
        <v>46048</v>
      </c>
      <c r="F211" s="3">
        <f>Table3[[#This Row],[BillAmount]]</f>
        <v>3965.95</v>
      </c>
      <c r="G211" s="3">
        <f>SUMIF(Vendor_Payments!C:C,A211,Vendor_Payments!E:E)</f>
        <v>0</v>
      </c>
      <c r="H211" s="3">
        <f t="shared" si="9"/>
        <v>3965.95</v>
      </c>
      <c r="I211">
        <f t="shared" si="10"/>
        <v>43</v>
      </c>
      <c r="J211" t="str">
        <f t="shared" si="11"/>
        <v>31-60</v>
      </c>
    </row>
    <row r="212" spans="1:10" x14ac:dyDescent="0.3">
      <c r="A212" t="str">
        <f>Table3[[#This Row],[BillID]]</f>
        <v>BILL-00211</v>
      </c>
      <c r="B212" t="str">
        <f>Table3[[#This Row],[VendorID]]</f>
        <v>VEN-019</v>
      </c>
      <c r="C212" t="str">
        <f>VLOOKUP(B212,Vendors!A:B,2,FALSE)</f>
        <v>Notion</v>
      </c>
      <c r="D212" s="9">
        <f>Table3[[#This Row],[BillDate]]</f>
        <v>46059</v>
      </c>
      <c r="E212" s="9">
        <f>Table3[[#This Row],[DueDate]]</f>
        <v>46089</v>
      </c>
      <c r="F212" s="3">
        <f>Table3[[#This Row],[BillAmount]]</f>
        <v>3734.49</v>
      </c>
      <c r="G212" s="3">
        <f>SUMIF(Vendor_Payments!C:C,A212,Vendor_Payments!E:E)</f>
        <v>0</v>
      </c>
      <c r="H212" s="3">
        <f t="shared" si="9"/>
        <v>3734.49</v>
      </c>
      <c r="I212">
        <f t="shared" si="10"/>
        <v>2</v>
      </c>
      <c r="J212" t="str">
        <f t="shared" si="11"/>
        <v>1-30</v>
      </c>
    </row>
    <row r="213" spans="1:10" x14ac:dyDescent="0.3">
      <c r="A213" t="str">
        <f>Table3[[#This Row],[BillID]]</f>
        <v>BILL-00212</v>
      </c>
      <c r="B213" t="str">
        <f>Table3[[#This Row],[VendorID]]</f>
        <v>VEN-038</v>
      </c>
      <c r="C213" t="str">
        <f>VLOOKUP(B213,Vendors!A:B,2,FALSE)</f>
        <v>Insight Marketing Partners</v>
      </c>
      <c r="D213" s="9">
        <f>Table3[[#This Row],[BillDate]]</f>
        <v>46012</v>
      </c>
      <c r="E213" s="9">
        <f>Table3[[#This Row],[DueDate]]</f>
        <v>46042</v>
      </c>
      <c r="F213" s="3">
        <f>Table3[[#This Row],[BillAmount]]</f>
        <v>1172.56</v>
      </c>
      <c r="G213" s="3">
        <f>SUMIF(Vendor_Payments!C:C,A213,Vendor_Payments!E:E)</f>
        <v>1172.56</v>
      </c>
      <c r="H213" s="3">
        <f t="shared" si="9"/>
        <v>0</v>
      </c>
      <c r="I213">
        <f t="shared" si="10"/>
        <v>49</v>
      </c>
      <c r="J213" t="str">
        <f t="shared" si="11"/>
        <v>31-60</v>
      </c>
    </row>
    <row r="214" spans="1:10" x14ac:dyDescent="0.3">
      <c r="A214" t="str">
        <f>Table3[[#This Row],[BillID]]</f>
        <v>BILL-00213</v>
      </c>
      <c r="B214" t="str">
        <f>Table3[[#This Row],[VendorID]]</f>
        <v>VEN-027</v>
      </c>
      <c r="C214" t="str">
        <f>VLOOKUP(B214,Vendors!A:B,2,FALSE)</f>
        <v>DevCraft Agency</v>
      </c>
      <c r="D214" s="9">
        <f>Table3[[#This Row],[BillDate]]</f>
        <v>46036</v>
      </c>
      <c r="E214" s="9">
        <f>Table3[[#This Row],[DueDate]]</f>
        <v>46066</v>
      </c>
      <c r="F214" s="3">
        <f>Table3[[#This Row],[BillAmount]]</f>
        <v>6844.8</v>
      </c>
      <c r="G214" s="3">
        <f>SUMIF(Vendor_Payments!C:C,A214,Vendor_Payments!E:E)</f>
        <v>6844.8</v>
      </c>
      <c r="H214" s="3">
        <f t="shared" si="9"/>
        <v>0</v>
      </c>
      <c r="I214">
        <f t="shared" si="10"/>
        <v>25</v>
      </c>
      <c r="J214" t="str">
        <f t="shared" si="11"/>
        <v>1-30</v>
      </c>
    </row>
    <row r="215" spans="1:10" x14ac:dyDescent="0.3">
      <c r="A215" t="str">
        <f>Table3[[#This Row],[BillID]]</f>
        <v>BILL-00214</v>
      </c>
      <c r="B215" t="str">
        <f>Table3[[#This Row],[VendorID]]</f>
        <v>VEN-033</v>
      </c>
      <c r="C215" t="str">
        <f>VLOOKUP(B215,Vendors!A:B,2,FALSE)</f>
        <v>AdScale Solutions</v>
      </c>
      <c r="D215" s="9">
        <f>Table3[[#This Row],[BillDate]]</f>
        <v>46025</v>
      </c>
      <c r="E215" s="9">
        <f>Table3[[#This Row],[DueDate]]</f>
        <v>46055</v>
      </c>
      <c r="F215" s="3">
        <f>Table3[[#This Row],[BillAmount]]</f>
        <v>4306.88</v>
      </c>
      <c r="G215" s="3">
        <f>SUMIF(Vendor_Payments!C:C,A215,Vendor_Payments!E:E)</f>
        <v>0</v>
      </c>
      <c r="H215" s="3">
        <f t="shared" si="9"/>
        <v>4306.88</v>
      </c>
      <c r="I215">
        <f t="shared" si="10"/>
        <v>36</v>
      </c>
      <c r="J215" t="str">
        <f t="shared" si="11"/>
        <v>31-60</v>
      </c>
    </row>
    <row r="216" spans="1:10" x14ac:dyDescent="0.3">
      <c r="A216" t="str">
        <f>Table3[[#This Row],[BillID]]</f>
        <v>BILL-00215</v>
      </c>
      <c r="B216" t="str">
        <f>Table3[[#This Row],[VendorID]]</f>
        <v>VEN-016</v>
      </c>
      <c r="C216" t="str">
        <f>VLOOKUP(B216,Vendors!A:B,2,FALSE)</f>
        <v>Stripe</v>
      </c>
      <c r="D216" s="9">
        <f>Table3[[#This Row],[BillDate]]</f>
        <v>46080</v>
      </c>
      <c r="E216" s="9">
        <f>Table3[[#This Row],[DueDate]]</f>
        <v>46110</v>
      </c>
      <c r="F216" s="3">
        <f>Table3[[#This Row],[BillAmount]]</f>
        <v>2741.88</v>
      </c>
      <c r="G216" s="3">
        <f>SUMIF(Vendor_Payments!C:C,A216,Vendor_Payments!E:E)</f>
        <v>2741.88</v>
      </c>
      <c r="H216" s="3">
        <f t="shared" si="9"/>
        <v>0</v>
      </c>
      <c r="I216">
        <f t="shared" si="10"/>
        <v>-19</v>
      </c>
      <c r="J216" t="str">
        <f t="shared" si="11"/>
        <v>Current</v>
      </c>
    </row>
    <row r="217" spans="1:10" x14ac:dyDescent="0.3">
      <c r="A217" t="str">
        <f>Table3[[#This Row],[BillID]]</f>
        <v>BILL-00216</v>
      </c>
      <c r="B217" t="str">
        <f>Table3[[#This Row],[VendorID]]</f>
        <v>VEN-004</v>
      </c>
      <c r="C217" t="str">
        <f>VLOOKUP(B217,Vendors!A:B,2,FALSE)</f>
        <v>LinkedIn Ads</v>
      </c>
      <c r="D217" s="9">
        <f>Table3[[#This Row],[BillDate]]</f>
        <v>45970</v>
      </c>
      <c r="E217" s="9">
        <f>Table3[[#This Row],[DueDate]]</f>
        <v>46000</v>
      </c>
      <c r="F217" s="3">
        <f>Table3[[#This Row],[BillAmount]]</f>
        <v>2704.88</v>
      </c>
      <c r="G217" s="3">
        <f>SUMIF(Vendor_Payments!C:C,A217,Vendor_Payments!E:E)</f>
        <v>2704.88</v>
      </c>
      <c r="H217" s="3">
        <f t="shared" si="9"/>
        <v>0</v>
      </c>
      <c r="I217">
        <f t="shared" si="10"/>
        <v>91</v>
      </c>
      <c r="J217" t="str">
        <f t="shared" si="11"/>
        <v>90+</v>
      </c>
    </row>
    <row r="218" spans="1:10" x14ac:dyDescent="0.3">
      <c r="A218" t="str">
        <f>Table3[[#This Row],[BillID]]</f>
        <v>BILL-00217</v>
      </c>
      <c r="B218" t="str">
        <f>Table3[[#This Row],[VendorID]]</f>
        <v>VEN-036</v>
      </c>
      <c r="C218" t="str">
        <f>VLOOKUP(B218,Vendors!A:B,2,FALSE)</f>
        <v>WebDev Masters</v>
      </c>
      <c r="D218" s="9">
        <f>Table3[[#This Row],[BillDate]]</f>
        <v>45988</v>
      </c>
      <c r="E218" s="9">
        <f>Table3[[#This Row],[DueDate]]</f>
        <v>46018</v>
      </c>
      <c r="F218" s="3">
        <f>Table3[[#This Row],[BillAmount]]</f>
        <v>1744.63</v>
      </c>
      <c r="G218" s="3">
        <f>SUMIF(Vendor_Payments!C:C,A218,Vendor_Payments!E:E)</f>
        <v>1744.63</v>
      </c>
      <c r="H218" s="3">
        <f t="shared" si="9"/>
        <v>0</v>
      </c>
      <c r="I218">
        <f t="shared" si="10"/>
        <v>73</v>
      </c>
      <c r="J218" t="str">
        <f t="shared" si="11"/>
        <v>61-90</v>
      </c>
    </row>
    <row r="219" spans="1:10" x14ac:dyDescent="0.3">
      <c r="A219" t="str">
        <f>Table3[[#This Row],[BillID]]</f>
        <v>BILL-00218</v>
      </c>
      <c r="B219" t="str">
        <f>Table3[[#This Row],[VendorID]]</f>
        <v>VEN-028</v>
      </c>
      <c r="C219" t="str">
        <f>VLOOKUP(B219,Vendors!A:B,2,FALSE)</f>
        <v>MarketEdge Consulting</v>
      </c>
      <c r="D219" s="9">
        <f>Table3[[#This Row],[BillDate]]</f>
        <v>46034</v>
      </c>
      <c r="E219" s="9">
        <f>Table3[[#This Row],[DueDate]]</f>
        <v>46064</v>
      </c>
      <c r="F219" s="3">
        <f>Table3[[#This Row],[BillAmount]]</f>
        <v>6029.56</v>
      </c>
      <c r="G219" s="3">
        <f>SUMIF(Vendor_Payments!C:C,A219,Vendor_Payments!E:E)</f>
        <v>6029.56</v>
      </c>
      <c r="H219" s="3">
        <f t="shared" si="9"/>
        <v>0</v>
      </c>
      <c r="I219">
        <f t="shared" si="10"/>
        <v>27</v>
      </c>
      <c r="J219" t="str">
        <f t="shared" si="11"/>
        <v>1-30</v>
      </c>
    </row>
    <row r="220" spans="1:10" x14ac:dyDescent="0.3">
      <c r="A220" t="str">
        <f>Table3[[#This Row],[BillID]]</f>
        <v>BILL-00219</v>
      </c>
      <c r="B220" t="str">
        <f>Table3[[#This Row],[VendorID]]</f>
        <v>VEN-011</v>
      </c>
      <c r="C220" t="str">
        <f>VLOOKUP(B220,Vendors!A:B,2,FALSE)</f>
        <v>AWS</v>
      </c>
      <c r="D220" s="9">
        <f>Table3[[#This Row],[BillDate]]</f>
        <v>46005</v>
      </c>
      <c r="E220" s="9">
        <f>Table3[[#This Row],[DueDate]]</f>
        <v>46035</v>
      </c>
      <c r="F220" s="3">
        <f>Table3[[#This Row],[BillAmount]]</f>
        <v>3012.89</v>
      </c>
      <c r="G220" s="3">
        <f>SUMIF(Vendor_Payments!C:C,A220,Vendor_Payments!E:E)</f>
        <v>3012.89</v>
      </c>
      <c r="H220" s="3">
        <f t="shared" si="9"/>
        <v>0</v>
      </c>
      <c r="I220">
        <f t="shared" si="10"/>
        <v>56</v>
      </c>
      <c r="J220" t="str">
        <f t="shared" si="11"/>
        <v>31-60</v>
      </c>
    </row>
    <row r="221" spans="1:10" x14ac:dyDescent="0.3">
      <c r="A221" t="str">
        <f>Table3[[#This Row],[BillID]]</f>
        <v>BILL-00220</v>
      </c>
      <c r="B221" t="str">
        <f>Table3[[#This Row],[VendorID]]</f>
        <v>VEN-026</v>
      </c>
      <c r="C221" t="str">
        <f>VLOOKUP(B221,Vendors!A:B,2,FALSE)</f>
        <v>PixelForge Studio</v>
      </c>
      <c r="D221" s="9">
        <f>Table3[[#This Row],[BillDate]]</f>
        <v>46027</v>
      </c>
      <c r="E221" s="9">
        <f>Table3[[#This Row],[DueDate]]</f>
        <v>46057</v>
      </c>
      <c r="F221" s="3">
        <f>Table3[[#This Row],[BillAmount]]</f>
        <v>4891.53</v>
      </c>
      <c r="G221" s="3">
        <f>SUMIF(Vendor_Payments!C:C,A221,Vendor_Payments!E:E)</f>
        <v>4891.53</v>
      </c>
      <c r="H221" s="3">
        <f t="shared" si="9"/>
        <v>0</v>
      </c>
      <c r="I221">
        <f t="shared" si="10"/>
        <v>34</v>
      </c>
      <c r="J221" t="str">
        <f t="shared" si="11"/>
        <v>31-60</v>
      </c>
    </row>
    <row r="222" spans="1:10" x14ac:dyDescent="0.3">
      <c r="A222" t="str">
        <f>Table3[[#This Row],[BillID]]</f>
        <v>BILL-00221</v>
      </c>
      <c r="B222" t="str">
        <f>Table3[[#This Row],[VendorID]]</f>
        <v>VEN-006</v>
      </c>
      <c r="C222" t="str">
        <f>VLOOKUP(B222,Vendors!A:B,2,FALSE)</f>
        <v>Salesforce</v>
      </c>
      <c r="D222" s="9">
        <f>Table3[[#This Row],[BillDate]]</f>
        <v>46045</v>
      </c>
      <c r="E222" s="9">
        <f>Table3[[#This Row],[DueDate]]</f>
        <v>46075</v>
      </c>
      <c r="F222" s="3">
        <f>Table3[[#This Row],[BillAmount]]</f>
        <v>5551.77</v>
      </c>
      <c r="G222" s="3">
        <f>SUMIF(Vendor_Payments!C:C,A222,Vendor_Payments!E:E)</f>
        <v>5551.77</v>
      </c>
      <c r="H222" s="3">
        <f t="shared" si="9"/>
        <v>0</v>
      </c>
      <c r="I222">
        <f t="shared" si="10"/>
        <v>16</v>
      </c>
      <c r="J222" t="str">
        <f t="shared" si="11"/>
        <v>1-30</v>
      </c>
    </row>
    <row r="223" spans="1:10" x14ac:dyDescent="0.3">
      <c r="A223" t="str">
        <f>Table3[[#This Row],[BillID]]</f>
        <v>BILL-00222</v>
      </c>
      <c r="B223" t="str">
        <f>Table3[[#This Row],[VendorID]]</f>
        <v>VEN-032</v>
      </c>
      <c r="C223" t="str">
        <f>VLOOKUP(B223,Vendors!A:B,2,FALSE)</f>
        <v>Marketing Automation Labs</v>
      </c>
      <c r="D223" s="9">
        <f>Table3[[#This Row],[BillDate]]</f>
        <v>46075</v>
      </c>
      <c r="E223" s="9">
        <f>Table3[[#This Row],[DueDate]]</f>
        <v>46105</v>
      </c>
      <c r="F223" s="3">
        <f>Table3[[#This Row],[BillAmount]]</f>
        <v>5599.48</v>
      </c>
      <c r="G223" s="3">
        <f>SUMIF(Vendor_Payments!C:C,A223,Vendor_Payments!E:E)</f>
        <v>5599.48</v>
      </c>
      <c r="H223" s="3">
        <f t="shared" si="9"/>
        <v>0</v>
      </c>
      <c r="I223">
        <f t="shared" si="10"/>
        <v>-14</v>
      </c>
      <c r="J223" t="str">
        <f t="shared" si="11"/>
        <v>Current</v>
      </c>
    </row>
    <row r="224" spans="1:10" x14ac:dyDescent="0.3">
      <c r="A224" t="str">
        <f>Table3[[#This Row],[BillID]]</f>
        <v>BILL-00223</v>
      </c>
      <c r="B224" t="str">
        <f>Table3[[#This Row],[VendorID]]</f>
        <v>VEN-010</v>
      </c>
      <c r="C224" t="str">
        <f>VLOOKUP(B224,Vendors!A:B,2,FALSE)</f>
        <v>Adobe Creative Cloud</v>
      </c>
      <c r="D224" s="9">
        <f>Table3[[#This Row],[BillDate]]</f>
        <v>45988</v>
      </c>
      <c r="E224" s="9">
        <f>Table3[[#This Row],[DueDate]]</f>
        <v>46018</v>
      </c>
      <c r="F224" s="3">
        <f>Table3[[#This Row],[BillAmount]]</f>
        <v>3674.32</v>
      </c>
      <c r="G224" s="3">
        <f>SUMIF(Vendor_Payments!C:C,A224,Vendor_Payments!E:E)</f>
        <v>3674.32</v>
      </c>
      <c r="H224" s="3">
        <f t="shared" si="9"/>
        <v>0</v>
      </c>
      <c r="I224">
        <f t="shared" si="10"/>
        <v>73</v>
      </c>
      <c r="J224" t="str">
        <f t="shared" si="11"/>
        <v>61-90</v>
      </c>
    </row>
    <row r="225" spans="1:10" x14ac:dyDescent="0.3">
      <c r="A225" t="str">
        <f>Table3[[#This Row],[BillID]]</f>
        <v>BILL-00224</v>
      </c>
      <c r="B225" t="str">
        <f>Table3[[#This Row],[VendorID]]</f>
        <v>VEN-015</v>
      </c>
      <c r="C225" t="str">
        <f>VLOOKUP(B225,Vendors!A:B,2,FALSE)</f>
        <v>Zapier</v>
      </c>
      <c r="D225" s="9">
        <f>Table3[[#This Row],[BillDate]]</f>
        <v>46070</v>
      </c>
      <c r="E225" s="9">
        <f>Table3[[#This Row],[DueDate]]</f>
        <v>46100</v>
      </c>
      <c r="F225" s="3">
        <f>Table3[[#This Row],[BillAmount]]</f>
        <v>2701.68</v>
      </c>
      <c r="G225" s="3">
        <f>SUMIF(Vendor_Payments!C:C,A225,Vendor_Payments!E:E)</f>
        <v>2701.68</v>
      </c>
      <c r="H225" s="3">
        <f t="shared" si="9"/>
        <v>0</v>
      </c>
      <c r="I225">
        <f t="shared" si="10"/>
        <v>-9</v>
      </c>
      <c r="J225" t="str">
        <f t="shared" si="11"/>
        <v>Current</v>
      </c>
    </row>
    <row r="226" spans="1:10" x14ac:dyDescent="0.3">
      <c r="A226" t="str">
        <f>Table3[[#This Row],[BillID]]</f>
        <v>BILL-00225</v>
      </c>
      <c r="B226" t="str">
        <f>Table3[[#This Row],[VendorID]]</f>
        <v>VEN-033</v>
      </c>
      <c r="C226" t="str">
        <f>VLOOKUP(B226,Vendors!A:B,2,FALSE)</f>
        <v>AdScale Solutions</v>
      </c>
      <c r="D226" s="9">
        <f>Table3[[#This Row],[BillDate]]</f>
        <v>45980</v>
      </c>
      <c r="E226" s="9">
        <f>Table3[[#This Row],[DueDate]]</f>
        <v>46010</v>
      </c>
      <c r="F226" s="3">
        <f>Table3[[#This Row],[BillAmount]]</f>
        <v>6221.48</v>
      </c>
      <c r="G226" s="3">
        <f>SUMIF(Vendor_Payments!C:C,A226,Vendor_Payments!E:E)</f>
        <v>6221.48</v>
      </c>
      <c r="H226" s="3">
        <f t="shared" si="9"/>
        <v>0</v>
      </c>
      <c r="I226">
        <f t="shared" si="10"/>
        <v>81</v>
      </c>
      <c r="J226" t="str">
        <f t="shared" si="11"/>
        <v>61-90</v>
      </c>
    </row>
    <row r="227" spans="1:10" x14ac:dyDescent="0.3">
      <c r="A227" t="str">
        <f>Table3[[#This Row],[BillID]]</f>
        <v>BILL-00226</v>
      </c>
      <c r="B227" t="str">
        <f>Table3[[#This Row],[VendorID]]</f>
        <v>VEN-005</v>
      </c>
      <c r="C227" t="str">
        <f>VLOOKUP(B227,Vendors!A:B,2,FALSE)</f>
        <v>HubSpot</v>
      </c>
      <c r="D227" s="9">
        <f>Table3[[#This Row],[BillDate]]</f>
        <v>46001</v>
      </c>
      <c r="E227" s="9">
        <f>Table3[[#This Row],[DueDate]]</f>
        <v>46031</v>
      </c>
      <c r="F227" s="3">
        <f>Table3[[#This Row],[BillAmount]]</f>
        <v>4075.06</v>
      </c>
      <c r="G227" s="3">
        <f>SUMIF(Vendor_Payments!C:C,A227,Vendor_Payments!E:E)</f>
        <v>4075.06</v>
      </c>
      <c r="H227" s="3">
        <f t="shared" si="9"/>
        <v>0</v>
      </c>
      <c r="I227">
        <f t="shared" si="10"/>
        <v>60</v>
      </c>
      <c r="J227" t="str">
        <f t="shared" si="11"/>
        <v>31-60</v>
      </c>
    </row>
    <row r="228" spans="1:10" x14ac:dyDescent="0.3">
      <c r="A228" t="str">
        <f>Table3[[#This Row],[BillID]]</f>
        <v>BILL-00227</v>
      </c>
      <c r="B228" t="str">
        <f>Table3[[#This Row],[VendorID]]</f>
        <v>VEN-035</v>
      </c>
      <c r="C228" t="str">
        <f>VLOOKUP(B228,Vendors!A:B,2,FALSE)</f>
        <v>ClickFlow Marketing</v>
      </c>
      <c r="D228" s="9">
        <f>Table3[[#This Row],[BillDate]]</f>
        <v>45981</v>
      </c>
      <c r="E228" s="9">
        <f>Table3[[#This Row],[DueDate]]</f>
        <v>46011</v>
      </c>
      <c r="F228" s="3">
        <f>Table3[[#This Row],[BillAmount]]</f>
        <v>943.83</v>
      </c>
      <c r="G228" s="3">
        <f>SUMIF(Vendor_Payments!C:C,A228,Vendor_Payments!E:E)</f>
        <v>943.83</v>
      </c>
      <c r="H228" s="3">
        <f t="shared" si="9"/>
        <v>0</v>
      </c>
      <c r="I228">
        <f t="shared" si="10"/>
        <v>80</v>
      </c>
      <c r="J228" t="str">
        <f t="shared" si="11"/>
        <v>61-90</v>
      </c>
    </row>
    <row r="229" spans="1:10" x14ac:dyDescent="0.3">
      <c r="A229" t="str">
        <f>Table3[[#This Row],[BillID]]</f>
        <v>BILL-00228</v>
      </c>
      <c r="B229" t="str">
        <f>Table3[[#This Row],[VendorID]]</f>
        <v>VEN-023</v>
      </c>
      <c r="C229" t="str">
        <f>VLOOKUP(B229,Vendors!A:B,2,FALSE)</f>
        <v>Fiverr Pro</v>
      </c>
      <c r="D229" s="9">
        <f>Table3[[#This Row],[BillDate]]</f>
        <v>46018</v>
      </c>
      <c r="E229" s="9">
        <f>Table3[[#This Row],[DueDate]]</f>
        <v>46048</v>
      </c>
      <c r="F229" s="3">
        <f>Table3[[#This Row],[BillAmount]]</f>
        <v>6049.8</v>
      </c>
      <c r="G229" s="3">
        <f>SUMIF(Vendor_Payments!C:C,A229,Vendor_Payments!E:E)</f>
        <v>0</v>
      </c>
      <c r="H229" s="3">
        <f t="shared" si="9"/>
        <v>6049.8</v>
      </c>
      <c r="I229">
        <f t="shared" si="10"/>
        <v>43</v>
      </c>
      <c r="J229" t="str">
        <f t="shared" si="11"/>
        <v>31-60</v>
      </c>
    </row>
    <row r="230" spans="1:10" x14ac:dyDescent="0.3">
      <c r="A230" t="str">
        <f>Table3[[#This Row],[BillID]]</f>
        <v>BILL-00229</v>
      </c>
      <c r="B230" t="str">
        <f>Table3[[#This Row],[VendorID]]</f>
        <v>VEN-006</v>
      </c>
      <c r="C230" t="str">
        <f>VLOOKUP(B230,Vendors!A:B,2,FALSE)</f>
        <v>Salesforce</v>
      </c>
      <c r="D230" s="9">
        <f>Table3[[#This Row],[BillDate]]</f>
        <v>45986</v>
      </c>
      <c r="E230" s="9">
        <f>Table3[[#This Row],[DueDate]]</f>
        <v>46016</v>
      </c>
      <c r="F230" s="3">
        <f>Table3[[#This Row],[BillAmount]]</f>
        <v>1798.19</v>
      </c>
      <c r="G230" s="3">
        <f>SUMIF(Vendor_Payments!C:C,A230,Vendor_Payments!E:E)</f>
        <v>0</v>
      </c>
      <c r="H230" s="3">
        <f t="shared" si="9"/>
        <v>1798.19</v>
      </c>
      <c r="I230">
        <f t="shared" si="10"/>
        <v>75</v>
      </c>
      <c r="J230" t="str">
        <f t="shared" si="11"/>
        <v>61-90</v>
      </c>
    </row>
    <row r="231" spans="1:10" x14ac:dyDescent="0.3">
      <c r="A231" t="str">
        <f>Table3[[#This Row],[BillID]]</f>
        <v>BILL-00230</v>
      </c>
      <c r="B231" t="str">
        <f>Table3[[#This Row],[VendorID]]</f>
        <v>VEN-018</v>
      </c>
      <c r="C231" t="str">
        <f>VLOOKUP(B231,Vendors!A:B,2,FALSE)</f>
        <v>Cloudflare</v>
      </c>
      <c r="D231" s="9">
        <f>Table3[[#This Row],[BillDate]]</f>
        <v>46034</v>
      </c>
      <c r="E231" s="9">
        <f>Table3[[#This Row],[DueDate]]</f>
        <v>46064</v>
      </c>
      <c r="F231" s="3">
        <f>Table3[[#This Row],[BillAmount]]</f>
        <v>1310.02</v>
      </c>
      <c r="G231" s="3">
        <f>SUMIF(Vendor_Payments!C:C,A231,Vendor_Payments!E:E)</f>
        <v>0</v>
      </c>
      <c r="H231" s="3">
        <f t="shared" si="9"/>
        <v>1310.02</v>
      </c>
      <c r="I231">
        <f t="shared" si="10"/>
        <v>27</v>
      </c>
      <c r="J231" t="str">
        <f t="shared" si="11"/>
        <v>1-30</v>
      </c>
    </row>
    <row r="232" spans="1:10" x14ac:dyDescent="0.3">
      <c r="A232" t="str">
        <f>Table3[[#This Row],[BillID]]</f>
        <v>BILL-00231</v>
      </c>
      <c r="B232" t="str">
        <f>Table3[[#This Row],[VendorID]]</f>
        <v>VEN-008</v>
      </c>
      <c r="C232" t="str">
        <f>VLOOKUP(B232,Vendors!A:B,2,FALSE)</f>
        <v>Ahrefs</v>
      </c>
      <c r="D232" s="9">
        <f>Table3[[#This Row],[BillDate]]</f>
        <v>46011</v>
      </c>
      <c r="E232" s="9">
        <f>Table3[[#This Row],[DueDate]]</f>
        <v>46041</v>
      </c>
      <c r="F232" s="3">
        <f>Table3[[#This Row],[BillAmount]]</f>
        <v>5191.05</v>
      </c>
      <c r="G232" s="3">
        <f>SUMIF(Vendor_Payments!C:C,A232,Vendor_Payments!E:E)</f>
        <v>5191.05</v>
      </c>
      <c r="H232" s="3">
        <f t="shared" si="9"/>
        <v>0</v>
      </c>
      <c r="I232">
        <f t="shared" si="10"/>
        <v>50</v>
      </c>
      <c r="J232" t="str">
        <f t="shared" si="11"/>
        <v>31-60</v>
      </c>
    </row>
    <row r="233" spans="1:10" x14ac:dyDescent="0.3">
      <c r="A233" t="str">
        <f>Table3[[#This Row],[BillID]]</f>
        <v>BILL-00232</v>
      </c>
      <c r="B233" t="str">
        <f>Table3[[#This Row],[VendorID]]</f>
        <v>VEN-034</v>
      </c>
      <c r="C233" t="str">
        <f>VLOOKUP(B233,Vendors!A:B,2,FALSE)</f>
        <v>SocialBoost Agency</v>
      </c>
      <c r="D233" s="9">
        <f>Table3[[#This Row],[BillDate]]</f>
        <v>46058</v>
      </c>
      <c r="E233" s="9">
        <f>Table3[[#This Row],[DueDate]]</f>
        <v>46088</v>
      </c>
      <c r="F233" s="3">
        <f>Table3[[#This Row],[BillAmount]]</f>
        <v>3428.08</v>
      </c>
      <c r="G233" s="3">
        <f>SUMIF(Vendor_Payments!C:C,A233,Vendor_Payments!E:E)</f>
        <v>0</v>
      </c>
      <c r="H233" s="3">
        <f t="shared" si="9"/>
        <v>3428.08</v>
      </c>
      <c r="I233">
        <f t="shared" si="10"/>
        <v>3</v>
      </c>
      <c r="J233" t="str">
        <f t="shared" si="11"/>
        <v>1-30</v>
      </c>
    </row>
    <row r="234" spans="1:10" x14ac:dyDescent="0.3">
      <c r="A234" t="str">
        <f>Table3[[#This Row],[BillID]]</f>
        <v>BILL-00233</v>
      </c>
      <c r="B234" t="str">
        <f>Table3[[#This Row],[VendorID]]</f>
        <v>VEN-010</v>
      </c>
      <c r="C234" t="str">
        <f>VLOOKUP(B234,Vendors!A:B,2,FALSE)</f>
        <v>Adobe Creative Cloud</v>
      </c>
      <c r="D234" s="9">
        <f>Table3[[#This Row],[BillDate]]</f>
        <v>46042</v>
      </c>
      <c r="E234" s="9">
        <f>Table3[[#This Row],[DueDate]]</f>
        <v>46072</v>
      </c>
      <c r="F234" s="3">
        <f>Table3[[#This Row],[BillAmount]]</f>
        <v>1422.98</v>
      </c>
      <c r="G234" s="3">
        <f>SUMIF(Vendor_Payments!C:C,A234,Vendor_Payments!E:E)</f>
        <v>0</v>
      </c>
      <c r="H234" s="3">
        <f t="shared" si="9"/>
        <v>1422.98</v>
      </c>
      <c r="I234">
        <f t="shared" si="10"/>
        <v>19</v>
      </c>
      <c r="J234" t="str">
        <f t="shared" si="11"/>
        <v>1-30</v>
      </c>
    </row>
    <row r="235" spans="1:10" x14ac:dyDescent="0.3">
      <c r="A235" t="str">
        <f>Table3[[#This Row],[BillID]]</f>
        <v>BILL-00234</v>
      </c>
      <c r="B235" t="str">
        <f>Table3[[#This Row],[VendorID]]</f>
        <v>VEN-025</v>
      </c>
      <c r="C235" t="str">
        <f>VLOOKUP(B235,Vendors!A:B,2,FALSE)</f>
        <v>Digital Growth Consultants</v>
      </c>
      <c r="D235" s="9">
        <f>Table3[[#This Row],[BillDate]]</f>
        <v>45976</v>
      </c>
      <c r="E235" s="9">
        <f>Table3[[#This Row],[DueDate]]</f>
        <v>46006</v>
      </c>
      <c r="F235" s="3">
        <f>Table3[[#This Row],[BillAmount]]</f>
        <v>1127.8</v>
      </c>
      <c r="G235" s="3">
        <f>SUMIF(Vendor_Payments!C:C,A235,Vendor_Payments!E:E)</f>
        <v>1127.8</v>
      </c>
      <c r="H235" s="3">
        <f t="shared" si="9"/>
        <v>0</v>
      </c>
      <c r="I235">
        <f t="shared" si="10"/>
        <v>85</v>
      </c>
      <c r="J235" t="str">
        <f t="shared" si="11"/>
        <v>61-90</v>
      </c>
    </row>
    <row r="236" spans="1:10" x14ac:dyDescent="0.3">
      <c r="A236" t="str">
        <f>Table3[[#This Row],[BillID]]</f>
        <v>BILL-00235</v>
      </c>
      <c r="B236" t="str">
        <f>Table3[[#This Row],[VendorID]]</f>
        <v>VEN-013</v>
      </c>
      <c r="C236" t="str">
        <f>VLOOKUP(B236,Vendors!A:B,2,FALSE)</f>
        <v>Canva Pro</v>
      </c>
      <c r="D236" s="9">
        <f>Table3[[#This Row],[BillDate]]</f>
        <v>45985</v>
      </c>
      <c r="E236" s="9">
        <f>Table3[[#This Row],[DueDate]]</f>
        <v>46015</v>
      </c>
      <c r="F236" s="3">
        <f>Table3[[#This Row],[BillAmount]]</f>
        <v>1451.21</v>
      </c>
      <c r="G236" s="3">
        <f>SUMIF(Vendor_Payments!C:C,A236,Vendor_Payments!E:E)</f>
        <v>1451.21</v>
      </c>
      <c r="H236" s="3">
        <f t="shared" si="9"/>
        <v>0</v>
      </c>
      <c r="I236">
        <f t="shared" si="10"/>
        <v>76</v>
      </c>
      <c r="J236" t="str">
        <f t="shared" si="11"/>
        <v>61-90</v>
      </c>
    </row>
    <row r="237" spans="1:10" x14ac:dyDescent="0.3">
      <c r="A237" t="str">
        <f>Table3[[#This Row],[BillID]]</f>
        <v>BILL-00236</v>
      </c>
      <c r="B237" t="str">
        <f>Table3[[#This Row],[VendorID]]</f>
        <v>VEN-040</v>
      </c>
      <c r="C237" t="str">
        <f>VLOOKUP(B237,Vendors!A:B,2,FALSE)</f>
        <v>Digital Performance Lab</v>
      </c>
      <c r="D237" s="9">
        <f>Table3[[#This Row],[BillDate]]</f>
        <v>45972</v>
      </c>
      <c r="E237" s="9">
        <f>Table3[[#This Row],[DueDate]]</f>
        <v>46002</v>
      </c>
      <c r="F237" s="3">
        <f>Table3[[#This Row],[BillAmount]]</f>
        <v>4547.22</v>
      </c>
      <c r="G237" s="3">
        <f>SUMIF(Vendor_Payments!C:C,A237,Vendor_Payments!E:E)</f>
        <v>0</v>
      </c>
      <c r="H237" s="3">
        <f t="shared" si="9"/>
        <v>4547.22</v>
      </c>
      <c r="I237">
        <f t="shared" si="10"/>
        <v>89</v>
      </c>
      <c r="J237" t="str">
        <f t="shared" si="11"/>
        <v>61-90</v>
      </c>
    </row>
    <row r="238" spans="1:10" x14ac:dyDescent="0.3">
      <c r="A238" t="str">
        <f>Table3[[#This Row],[BillID]]</f>
        <v>BILL-00237</v>
      </c>
      <c r="B238" t="str">
        <f>Table3[[#This Row],[VendorID]]</f>
        <v>VEN-018</v>
      </c>
      <c r="C238" t="str">
        <f>VLOOKUP(B238,Vendors!A:B,2,FALSE)</f>
        <v>Cloudflare</v>
      </c>
      <c r="D238" s="9">
        <f>Table3[[#This Row],[BillDate]]</f>
        <v>45967</v>
      </c>
      <c r="E238" s="9">
        <f>Table3[[#This Row],[DueDate]]</f>
        <v>45997</v>
      </c>
      <c r="F238" s="3">
        <f>Table3[[#This Row],[BillAmount]]</f>
        <v>1001.09</v>
      </c>
      <c r="G238" s="3">
        <f>SUMIF(Vendor_Payments!C:C,A238,Vendor_Payments!E:E)</f>
        <v>1001.09</v>
      </c>
      <c r="H238" s="3">
        <f t="shared" si="9"/>
        <v>0</v>
      </c>
      <c r="I238">
        <f t="shared" si="10"/>
        <v>94</v>
      </c>
      <c r="J238" t="str">
        <f t="shared" si="11"/>
        <v>90+</v>
      </c>
    </row>
    <row r="239" spans="1:10" x14ac:dyDescent="0.3">
      <c r="A239" t="str">
        <f>Table3[[#This Row],[BillID]]</f>
        <v>BILL-00238</v>
      </c>
      <c r="B239" t="str">
        <f>Table3[[#This Row],[VendorID]]</f>
        <v>VEN-008</v>
      </c>
      <c r="C239" t="str">
        <f>VLOOKUP(B239,Vendors!A:B,2,FALSE)</f>
        <v>Ahrefs</v>
      </c>
      <c r="D239" s="9">
        <f>Table3[[#This Row],[BillDate]]</f>
        <v>46025</v>
      </c>
      <c r="E239" s="9">
        <f>Table3[[#This Row],[DueDate]]</f>
        <v>46055</v>
      </c>
      <c r="F239" s="3">
        <f>Table3[[#This Row],[BillAmount]]</f>
        <v>2292.35</v>
      </c>
      <c r="G239" s="3">
        <f>SUMIF(Vendor_Payments!C:C,A239,Vendor_Payments!E:E)</f>
        <v>0</v>
      </c>
      <c r="H239" s="3">
        <f t="shared" si="9"/>
        <v>2292.35</v>
      </c>
      <c r="I239">
        <f t="shared" si="10"/>
        <v>36</v>
      </c>
      <c r="J239" t="str">
        <f t="shared" si="11"/>
        <v>31-60</v>
      </c>
    </row>
    <row r="240" spans="1:10" x14ac:dyDescent="0.3">
      <c r="A240" t="str">
        <f>Table3[[#This Row],[BillID]]</f>
        <v>BILL-00239</v>
      </c>
      <c r="B240" t="str">
        <f>Table3[[#This Row],[VendorID]]</f>
        <v>VEN-007</v>
      </c>
      <c r="C240" t="str">
        <f>VLOOKUP(B240,Vendors!A:B,2,FALSE)</f>
        <v>Mailchimp</v>
      </c>
      <c r="D240" s="9">
        <f>Table3[[#This Row],[BillDate]]</f>
        <v>46071</v>
      </c>
      <c r="E240" s="9">
        <f>Table3[[#This Row],[DueDate]]</f>
        <v>46101</v>
      </c>
      <c r="F240" s="3">
        <f>Table3[[#This Row],[BillAmount]]</f>
        <v>4456.1000000000004</v>
      </c>
      <c r="G240" s="3">
        <f>SUMIF(Vendor_Payments!C:C,A240,Vendor_Payments!E:E)</f>
        <v>4456.1000000000004</v>
      </c>
      <c r="H240" s="3">
        <f t="shared" si="9"/>
        <v>0</v>
      </c>
      <c r="I240">
        <f t="shared" si="10"/>
        <v>-10</v>
      </c>
      <c r="J240" t="str">
        <f t="shared" si="11"/>
        <v>Current</v>
      </c>
    </row>
    <row r="241" spans="1:10" x14ac:dyDescent="0.3">
      <c r="A241" t="str">
        <f>Table3[[#This Row],[BillID]]</f>
        <v>BILL-00240</v>
      </c>
      <c r="B241" t="str">
        <f>Table3[[#This Row],[VendorID]]</f>
        <v>VEN-027</v>
      </c>
      <c r="C241" t="str">
        <f>VLOOKUP(B241,Vendors!A:B,2,FALSE)</f>
        <v>DevCraft Agency</v>
      </c>
      <c r="D241" s="9">
        <f>Table3[[#This Row],[BillDate]]</f>
        <v>46086</v>
      </c>
      <c r="E241" s="9">
        <f>Table3[[#This Row],[DueDate]]</f>
        <v>46116</v>
      </c>
      <c r="F241" s="3">
        <f>Table3[[#This Row],[BillAmount]]</f>
        <v>1082.6400000000001</v>
      </c>
      <c r="G241" s="3">
        <f>SUMIF(Vendor_Payments!C:C,A241,Vendor_Payments!E:E)</f>
        <v>0</v>
      </c>
      <c r="H241" s="3">
        <f t="shared" si="9"/>
        <v>1082.6400000000001</v>
      </c>
      <c r="I241">
        <f t="shared" si="10"/>
        <v>-25</v>
      </c>
      <c r="J241" t="str">
        <f t="shared" si="11"/>
        <v>Current</v>
      </c>
    </row>
    <row r="242" spans="1:10" x14ac:dyDescent="0.3">
      <c r="A242" t="str">
        <f>Table3[[#This Row],[BillID]]</f>
        <v>BILL-00241</v>
      </c>
      <c r="B242" t="str">
        <f>Table3[[#This Row],[VendorID]]</f>
        <v>VEN-025</v>
      </c>
      <c r="C242" t="str">
        <f>VLOOKUP(B242,Vendors!A:B,2,FALSE)</f>
        <v>Digital Growth Consultants</v>
      </c>
      <c r="D242" s="9">
        <f>Table3[[#This Row],[BillDate]]</f>
        <v>46068</v>
      </c>
      <c r="E242" s="9">
        <f>Table3[[#This Row],[DueDate]]</f>
        <v>46098</v>
      </c>
      <c r="F242" s="3">
        <f>Table3[[#This Row],[BillAmount]]</f>
        <v>6281.46</v>
      </c>
      <c r="G242" s="3">
        <f>SUMIF(Vendor_Payments!C:C,A242,Vendor_Payments!E:E)</f>
        <v>6281.46</v>
      </c>
      <c r="H242" s="3">
        <f t="shared" si="9"/>
        <v>0</v>
      </c>
      <c r="I242">
        <f t="shared" si="10"/>
        <v>-7</v>
      </c>
      <c r="J242" t="str">
        <f t="shared" si="11"/>
        <v>Current</v>
      </c>
    </row>
    <row r="243" spans="1:10" x14ac:dyDescent="0.3">
      <c r="A243" t="str">
        <f>Table3[[#This Row],[BillID]]</f>
        <v>BILL-00242</v>
      </c>
      <c r="B243" t="str">
        <f>Table3[[#This Row],[VendorID]]</f>
        <v>VEN-040</v>
      </c>
      <c r="C243" t="str">
        <f>VLOOKUP(B243,Vendors!A:B,2,FALSE)</f>
        <v>Digital Performance Lab</v>
      </c>
      <c r="D243" s="9">
        <f>Table3[[#This Row],[BillDate]]</f>
        <v>46013</v>
      </c>
      <c r="E243" s="9">
        <f>Table3[[#This Row],[DueDate]]</f>
        <v>46043</v>
      </c>
      <c r="F243" s="3">
        <f>Table3[[#This Row],[BillAmount]]</f>
        <v>6862.17</v>
      </c>
      <c r="G243" s="3">
        <f>SUMIF(Vendor_Payments!C:C,A243,Vendor_Payments!E:E)</f>
        <v>0</v>
      </c>
      <c r="H243" s="3">
        <f t="shared" si="9"/>
        <v>6862.17</v>
      </c>
      <c r="I243">
        <f t="shared" si="10"/>
        <v>48</v>
      </c>
      <c r="J243" t="str">
        <f t="shared" si="11"/>
        <v>31-60</v>
      </c>
    </row>
    <row r="244" spans="1:10" x14ac:dyDescent="0.3">
      <c r="A244" t="str">
        <f>Table3[[#This Row],[BillID]]</f>
        <v>BILL-00243</v>
      </c>
      <c r="B244" t="str">
        <f>Table3[[#This Row],[VendorID]]</f>
        <v>VEN-017</v>
      </c>
      <c r="C244" t="str">
        <f>VLOOKUP(B244,Vendors!A:B,2,FALSE)</f>
        <v>PayPal</v>
      </c>
      <c r="D244" s="9">
        <f>Table3[[#This Row],[BillDate]]</f>
        <v>46079</v>
      </c>
      <c r="E244" s="9">
        <f>Table3[[#This Row],[DueDate]]</f>
        <v>46109</v>
      </c>
      <c r="F244" s="3">
        <f>Table3[[#This Row],[BillAmount]]</f>
        <v>1410.84</v>
      </c>
      <c r="G244" s="3">
        <f>SUMIF(Vendor_Payments!C:C,A244,Vendor_Payments!E:E)</f>
        <v>1410.84</v>
      </c>
      <c r="H244" s="3">
        <f t="shared" si="9"/>
        <v>0</v>
      </c>
      <c r="I244">
        <f t="shared" si="10"/>
        <v>-18</v>
      </c>
      <c r="J244" t="str">
        <f t="shared" si="11"/>
        <v>Current</v>
      </c>
    </row>
    <row r="245" spans="1:10" x14ac:dyDescent="0.3">
      <c r="A245" t="str">
        <f>Table3[[#This Row],[BillID]]</f>
        <v>BILL-00244</v>
      </c>
      <c r="B245" t="str">
        <f>Table3[[#This Row],[VendorID]]</f>
        <v>VEN-030</v>
      </c>
      <c r="C245" t="str">
        <f>VLOOKUP(B245,Vendors!A:B,2,FALSE)</f>
        <v>ContentCraft Studio</v>
      </c>
      <c r="D245" s="9">
        <f>Table3[[#This Row],[BillDate]]</f>
        <v>46053</v>
      </c>
      <c r="E245" s="9">
        <f>Table3[[#This Row],[DueDate]]</f>
        <v>46083</v>
      </c>
      <c r="F245" s="3">
        <f>Table3[[#This Row],[BillAmount]]</f>
        <v>5893.15</v>
      </c>
      <c r="G245" s="3">
        <f>SUMIF(Vendor_Payments!C:C,A245,Vendor_Payments!E:E)</f>
        <v>5893.15</v>
      </c>
      <c r="H245" s="3">
        <f t="shared" si="9"/>
        <v>0</v>
      </c>
      <c r="I245">
        <f t="shared" si="10"/>
        <v>8</v>
      </c>
      <c r="J245" t="str">
        <f t="shared" si="11"/>
        <v>1-30</v>
      </c>
    </row>
    <row r="246" spans="1:10" x14ac:dyDescent="0.3">
      <c r="A246" t="str">
        <f>Table3[[#This Row],[BillID]]</f>
        <v>BILL-00245</v>
      </c>
      <c r="B246" t="str">
        <f>Table3[[#This Row],[VendorID]]</f>
        <v>VEN-008</v>
      </c>
      <c r="C246" t="str">
        <f>VLOOKUP(B246,Vendors!A:B,2,FALSE)</f>
        <v>Ahrefs</v>
      </c>
      <c r="D246" s="9">
        <f>Table3[[#This Row],[BillDate]]</f>
        <v>45997</v>
      </c>
      <c r="E246" s="9">
        <f>Table3[[#This Row],[DueDate]]</f>
        <v>46027</v>
      </c>
      <c r="F246" s="3">
        <f>Table3[[#This Row],[BillAmount]]</f>
        <v>1277.6600000000001</v>
      </c>
      <c r="G246" s="3">
        <f>SUMIF(Vendor_Payments!C:C,A246,Vendor_Payments!E:E)</f>
        <v>0</v>
      </c>
      <c r="H246" s="3">
        <f t="shared" si="9"/>
        <v>1277.6600000000001</v>
      </c>
      <c r="I246">
        <f t="shared" si="10"/>
        <v>64</v>
      </c>
      <c r="J246" t="str">
        <f t="shared" si="11"/>
        <v>61-90</v>
      </c>
    </row>
    <row r="247" spans="1:10" x14ac:dyDescent="0.3">
      <c r="A247" t="str">
        <f>Table3[[#This Row],[BillID]]</f>
        <v>BILL-00246</v>
      </c>
      <c r="B247" t="str">
        <f>Table3[[#This Row],[VendorID]]</f>
        <v>VEN-022</v>
      </c>
      <c r="C247" t="str">
        <f>VLOOKUP(B247,Vendors!A:B,2,FALSE)</f>
        <v>Toptal Talent</v>
      </c>
      <c r="D247" s="9">
        <f>Table3[[#This Row],[BillDate]]</f>
        <v>45999</v>
      </c>
      <c r="E247" s="9">
        <f>Table3[[#This Row],[DueDate]]</f>
        <v>46029</v>
      </c>
      <c r="F247" s="3">
        <f>Table3[[#This Row],[BillAmount]]</f>
        <v>4086.68</v>
      </c>
      <c r="G247" s="3">
        <f>SUMIF(Vendor_Payments!C:C,A247,Vendor_Payments!E:E)</f>
        <v>0</v>
      </c>
      <c r="H247" s="3">
        <f t="shared" si="9"/>
        <v>4086.68</v>
      </c>
      <c r="I247">
        <f t="shared" si="10"/>
        <v>62</v>
      </c>
      <c r="J247" t="str">
        <f t="shared" si="11"/>
        <v>61-90</v>
      </c>
    </row>
    <row r="248" spans="1:10" x14ac:dyDescent="0.3">
      <c r="A248" t="str">
        <f>Table3[[#This Row],[BillID]]</f>
        <v>BILL-00247</v>
      </c>
      <c r="B248" t="str">
        <f>Table3[[#This Row],[VendorID]]</f>
        <v>VEN-011</v>
      </c>
      <c r="C248" t="str">
        <f>VLOOKUP(B248,Vendors!A:B,2,FALSE)</f>
        <v>AWS</v>
      </c>
      <c r="D248" s="9">
        <f>Table3[[#This Row],[BillDate]]</f>
        <v>45974</v>
      </c>
      <c r="E248" s="9">
        <f>Table3[[#This Row],[DueDate]]</f>
        <v>46004</v>
      </c>
      <c r="F248" s="3">
        <f>Table3[[#This Row],[BillAmount]]</f>
        <v>4260.29</v>
      </c>
      <c r="G248" s="3">
        <f>SUMIF(Vendor_Payments!C:C,A248,Vendor_Payments!E:E)</f>
        <v>4260.29</v>
      </c>
      <c r="H248" s="3">
        <f t="shared" si="9"/>
        <v>0</v>
      </c>
      <c r="I248">
        <f t="shared" si="10"/>
        <v>87</v>
      </c>
      <c r="J248" t="str">
        <f t="shared" si="11"/>
        <v>61-90</v>
      </c>
    </row>
    <row r="249" spans="1:10" x14ac:dyDescent="0.3">
      <c r="A249" t="str">
        <f>Table3[[#This Row],[BillID]]</f>
        <v>BILL-00248</v>
      </c>
      <c r="B249" t="str">
        <f>Table3[[#This Row],[VendorID]]</f>
        <v>VEN-034</v>
      </c>
      <c r="C249" t="str">
        <f>VLOOKUP(B249,Vendors!A:B,2,FALSE)</f>
        <v>SocialBoost Agency</v>
      </c>
      <c r="D249" s="9">
        <f>Table3[[#This Row],[BillDate]]</f>
        <v>45981</v>
      </c>
      <c r="E249" s="9">
        <f>Table3[[#This Row],[DueDate]]</f>
        <v>46011</v>
      </c>
      <c r="F249" s="3">
        <f>Table3[[#This Row],[BillAmount]]</f>
        <v>5417</v>
      </c>
      <c r="G249" s="3">
        <f>SUMIF(Vendor_Payments!C:C,A249,Vendor_Payments!E:E)</f>
        <v>5417</v>
      </c>
      <c r="H249" s="3">
        <f t="shared" si="9"/>
        <v>0</v>
      </c>
      <c r="I249">
        <f t="shared" si="10"/>
        <v>80</v>
      </c>
      <c r="J249" t="str">
        <f t="shared" si="11"/>
        <v>61-90</v>
      </c>
    </row>
    <row r="250" spans="1:10" x14ac:dyDescent="0.3">
      <c r="A250" t="str">
        <f>Table3[[#This Row],[BillID]]</f>
        <v>BILL-00249</v>
      </c>
      <c r="B250" t="str">
        <f>Table3[[#This Row],[VendorID]]</f>
        <v>VEN-039</v>
      </c>
      <c r="C250" t="str">
        <f>VLOOKUP(B250,Vendors!A:B,2,FALSE)</f>
        <v>Global Growth Advisors</v>
      </c>
      <c r="D250" s="9">
        <f>Table3[[#This Row],[BillDate]]</f>
        <v>46055</v>
      </c>
      <c r="E250" s="9">
        <f>Table3[[#This Row],[DueDate]]</f>
        <v>46085</v>
      </c>
      <c r="F250" s="3">
        <f>Table3[[#This Row],[BillAmount]]</f>
        <v>5514.81</v>
      </c>
      <c r="G250" s="3">
        <f>SUMIF(Vendor_Payments!C:C,A250,Vendor_Payments!E:E)</f>
        <v>0</v>
      </c>
      <c r="H250" s="3">
        <f t="shared" si="9"/>
        <v>5514.81</v>
      </c>
      <c r="I250">
        <f t="shared" si="10"/>
        <v>6</v>
      </c>
      <c r="J250" t="str">
        <f t="shared" si="11"/>
        <v>1-30</v>
      </c>
    </row>
    <row r="251" spans="1:10" x14ac:dyDescent="0.3">
      <c r="A251" t="str">
        <f>Table3[[#This Row],[BillID]]</f>
        <v>BILL-00250</v>
      </c>
      <c r="B251" t="str">
        <f>Table3[[#This Row],[VendorID]]</f>
        <v>VEN-027</v>
      </c>
      <c r="C251" t="str">
        <f>VLOOKUP(B251,Vendors!A:B,2,FALSE)</f>
        <v>DevCraft Agency</v>
      </c>
      <c r="D251" s="9">
        <f>Table3[[#This Row],[BillDate]]</f>
        <v>46019</v>
      </c>
      <c r="E251" s="9">
        <f>Table3[[#This Row],[DueDate]]</f>
        <v>46049</v>
      </c>
      <c r="F251" s="3">
        <f>Table3[[#This Row],[BillAmount]]</f>
        <v>1455.86</v>
      </c>
      <c r="G251" s="3">
        <f>SUMIF(Vendor_Payments!C:C,A251,Vendor_Payments!E:E)</f>
        <v>1455.86</v>
      </c>
      <c r="H251" s="3">
        <f t="shared" si="9"/>
        <v>0</v>
      </c>
      <c r="I251">
        <f t="shared" si="10"/>
        <v>42</v>
      </c>
      <c r="J251" t="str">
        <f t="shared" si="11"/>
        <v>31-60</v>
      </c>
    </row>
    <row r="252" spans="1:10" x14ac:dyDescent="0.3">
      <c r="A252" t="str">
        <f>Table3[[#This Row],[BillID]]</f>
        <v>BILL-00251</v>
      </c>
      <c r="B252" t="str">
        <f>Table3[[#This Row],[VendorID]]</f>
        <v>VEN-008</v>
      </c>
      <c r="C252" t="str">
        <f>VLOOKUP(B252,Vendors!A:B,2,FALSE)</f>
        <v>Ahrefs</v>
      </c>
      <c r="D252" s="9">
        <f>Table3[[#This Row],[BillDate]]</f>
        <v>46012</v>
      </c>
      <c r="E252" s="9">
        <f>Table3[[#This Row],[DueDate]]</f>
        <v>46042</v>
      </c>
      <c r="F252" s="3">
        <f>Table3[[#This Row],[BillAmount]]</f>
        <v>5631.02</v>
      </c>
      <c r="G252" s="3">
        <f>SUMIF(Vendor_Payments!C:C,A252,Vendor_Payments!E:E)</f>
        <v>5631.02</v>
      </c>
      <c r="H252" s="3">
        <f t="shared" si="9"/>
        <v>0</v>
      </c>
      <c r="I252">
        <f t="shared" si="10"/>
        <v>49</v>
      </c>
      <c r="J252" t="str">
        <f t="shared" si="11"/>
        <v>31-60</v>
      </c>
    </row>
    <row r="253" spans="1:10" x14ac:dyDescent="0.3">
      <c r="A253" t="str">
        <f>Table3[[#This Row],[BillID]]</f>
        <v>BILL-00252</v>
      </c>
      <c r="B253" t="str">
        <f>Table3[[#This Row],[VendorID]]</f>
        <v>VEN-009</v>
      </c>
      <c r="C253" t="str">
        <f>VLOOKUP(B253,Vendors!A:B,2,FALSE)</f>
        <v>SEMrush</v>
      </c>
      <c r="D253" s="9">
        <f>Table3[[#This Row],[BillDate]]</f>
        <v>45998</v>
      </c>
      <c r="E253" s="9">
        <f>Table3[[#This Row],[DueDate]]</f>
        <v>46028</v>
      </c>
      <c r="F253" s="3">
        <f>Table3[[#This Row],[BillAmount]]</f>
        <v>6341.3</v>
      </c>
      <c r="G253" s="3">
        <f>SUMIF(Vendor_Payments!C:C,A253,Vendor_Payments!E:E)</f>
        <v>6341.3</v>
      </c>
      <c r="H253" s="3">
        <f t="shared" si="9"/>
        <v>0</v>
      </c>
      <c r="I253">
        <f t="shared" si="10"/>
        <v>63</v>
      </c>
      <c r="J253" t="str">
        <f t="shared" si="11"/>
        <v>61-90</v>
      </c>
    </row>
    <row r="254" spans="1:10" x14ac:dyDescent="0.3">
      <c r="A254" t="str">
        <f>Table3[[#This Row],[BillID]]</f>
        <v>BILL-00253</v>
      </c>
      <c r="B254" t="str">
        <f>Table3[[#This Row],[VendorID]]</f>
        <v>VEN-025</v>
      </c>
      <c r="C254" t="str">
        <f>VLOOKUP(B254,Vendors!A:B,2,FALSE)</f>
        <v>Digital Growth Consultants</v>
      </c>
      <c r="D254" s="9">
        <f>Table3[[#This Row],[BillDate]]</f>
        <v>45985</v>
      </c>
      <c r="E254" s="9">
        <f>Table3[[#This Row],[DueDate]]</f>
        <v>46015</v>
      </c>
      <c r="F254" s="3">
        <f>Table3[[#This Row],[BillAmount]]</f>
        <v>2358.15</v>
      </c>
      <c r="G254" s="3">
        <f>SUMIF(Vendor_Payments!C:C,A254,Vendor_Payments!E:E)</f>
        <v>2358.15</v>
      </c>
      <c r="H254" s="3">
        <f t="shared" si="9"/>
        <v>0</v>
      </c>
      <c r="I254">
        <f t="shared" si="10"/>
        <v>76</v>
      </c>
      <c r="J254" t="str">
        <f t="shared" si="11"/>
        <v>61-90</v>
      </c>
    </row>
    <row r="255" spans="1:10" x14ac:dyDescent="0.3">
      <c r="A255" t="str">
        <f>Table3[[#This Row],[BillID]]</f>
        <v>BILL-00254</v>
      </c>
      <c r="B255" t="str">
        <f>Table3[[#This Row],[VendorID]]</f>
        <v>VEN-013</v>
      </c>
      <c r="C255" t="str">
        <f>VLOOKUP(B255,Vendors!A:B,2,FALSE)</f>
        <v>Canva Pro</v>
      </c>
      <c r="D255" s="9">
        <f>Table3[[#This Row],[BillDate]]</f>
        <v>46061</v>
      </c>
      <c r="E255" s="9">
        <f>Table3[[#This Row],[DueDate]]</f>
        <v>46091</v>
      </c>
      <c r="F255" s="3">
        <f>Table3[[#This Row],[BillAmount]]</f>
        <v>3808.02</v>
      </c>
      <c r="G255" s="3">
        <f>SUMIF(Vendor_Payments!C:C,A255,Vendor_Payments!E:E)</f>
        <v>0</v>
      </c>
      <c r="H255" s="3">
        <f t="shared" si="9"/>
        <v>3808.02</v>
      </c>
      <c r="I255">
        <f t="shared" si="10"/>
        <v>0</v>
      </c>
      <c r="J255" t="str">
        <f t="shared" si="11"/>
        <v>Current</v>
      </c>
    </row>
    <row r="256" spans="1:10" x14ac:dyDescent="0.3">
      <c r="A256" t="str">
        <f>Table3[[#This Row],[BillID]]</f>
        <v>BILL-00255</v>
      </c>
      <c r="B256" t="str">
        <f>Table3[[#This Row],[VendorID]]</f>
        <v>VEN-027</v>
      </c>
      <c r="C256" t="str">
        <f>VLOOKUP(B256,Vendors!A:B,2,FALSE)</f>
        <v>DevCraft Agency</v>
      </c>
      <c r="D256" s="9">
        <f>Table3[[#This Row],[BillDate]]</f>
        <v>45970</v>
      </c>
      <c r="E256" s="9">
        <f>Table3[[#This Row],[DueDate]]</f>
        <v>46000</v>
      </c>
      <c r="F256" s="3">
        <f>Table3[[#This Row],[BillAmount]]</f>
        <v>4269.88</v>
      </c>
      <c r="G256" s="3">
        <f>SUMIF(Vendor_Payments!C:C,A256,Vendor_Payments!E:E)</f>
        <v>4269.88</v>
      </c>
      <c r="H256" s="3">
        <f t="shared" si="9"/>
        <v>0</v>
      </c>
      <c r="I256">
        <f t="shared" si="10"/>
        <v>91</v>
      </c>
      <c r="J256" t="str">
        <f t="shared" si="11"/>
        <v>90+</v>
      </c>
    </row>
    <row r="257" spans="1:10" x14ac:dyDescent="0.3">
      <c r="A257" t="str">
        <f>Table3[[#This Row],[BillID]]</f>
        <v>BILL-00256</v>
      </c>
      <c r="B257" t="str">
        <f>Table3[[#This Row],[VendorID]]</f>
        <v>VEN-019</v>
      </c>
      <c r="C257" t="str">
        <f>VLOOKUP(B257,Vendors!A:B,2,FALSE)</f>
        <v>Notion</v>
      </c>
      <c r="D257" s="9">
        <f>Table3[[#This Row],[BillDate]]</f>
        <v>46032</v>
      </c>
      <c r="E257" s="9">
        <f>Table3[[#This Row],[DueDate]]</f>
        <v>46062</v>
      </c>
      <c r="F257" s="3">
        <f>Table3[[#This Row],[BillAmount]]</f>
        <v>4191.59</v>
      </c>
      <c r="G257" s="3">
        <f>SUMIF(Vendor_Payments!C:C,A257,Vendor_Payments!E:E)</f>
        <v>4191.59</v>
      </c>
      <c r="H257" s="3">
        <f t="shared" si="9"/>
        <v>0</v>
      </c>
      <c r="I257">
        <f t="shared" si="10"/>
        <v>29</v>
      </c>
      <c r="J257" t="str">
        <f t="shared" si="11"/>
        <v>1-30</v>
      </c>
    </row>
    <row r="258" spans="1:10" x14ac:dyDescent="0.3">
      <c r="A258" t="str">
        <f>Table3[[#This Row],[BillID]]</f>
        <v>BILL-00257</v>
      </c>
      <c r="B258" t="str">
        <f>Table3[[#This Row],[VendorID]]</f>
        <v>VEN-024</v>
      </c>
      <c r="C258" t="str">
        <f>VLOOKUP(B258,Vendors!A:B,2,FALSE)</f>
        <v>Growth Strategy Group</v>
      </c>
      <c r="D258" s="9">
        <f>Table3[[#This Row],[BillDate]]</f>
        <v>46022</v>
      </c>
      <c r="E258" s="9">
        <f>Table3[[#This Row],[DueDate]]</f>
        <v>46052</v>
      </c>
      <c r="F258" s="3">
        <f>Table3[[#This Row],[BillAmount]]</f>
        <v>5663.14</v>
      </c>
      <c r="G258" s="3">
        <f>SUMIF(Vendor_Payments!C:C,A258,Vendor_Payments!E:E)</f>
        <v>5663.14</v>
      </c>
      <c r="H258" s="3">
        <f t="shared" si="9"/>
        <v>0</v>
      </c>
      <c r="I258">
        <f t="shared" si="10"/>
        <v>39</v>
      </c>
      <c r="J258" t="str">
        <f t="shared" si="11"/>
        <v>31-60</v>
      </c>
    </row>
    <row r="259" spans="1:10" x14ac:dyDescent="0.3">
      <c r="A259" t="str">
        <f>Table3[[#This Row],[BillID]]</f>
        <v>BILL-00258</v>
      </c>
      <c r="B259" t="str">
        <f>Table3[[#This Row],[VendorID]]</f>
        <v>VEN-001</v>
      </c>
      <c r="C259" t="str">
        <f>VLOOKUP(B259,Vendors!A:B,2,FALSE)</f>
        <v>Google Ads</v>
      </c>
      <c r="D259" s="9">
        <f>Table3[[#This Row],[BillDate]]</f>
        <v>45982</v>
      </c>
      <c r="E259" s="9">
        <f>Table3[[#This Row],[DueDate]]</f>
        <v>46012</v>
      </c>
      <c r="F259" s="3">
        <f>Table3[[#This Row],[BillAmount]]</f>
        <v>1852.24</v>
      </c>
      <c r="G259" s="3">
        <f>SUMIF(Vendor_Payments!C:C,A259,Vendor_Payments!E:E)</f>
        <v>1852.24</v>
      </c>
      <c r="H259" s="3">
        <f t="shared" ref="H259:H322" si="12">F259-G259</f>
        <v>0</v>
      </c>
      <c r="I259">
        <f t="shared" ref="I259:I322" si="13">$L$1-E259</f>
        <v>79</v>
      </c>
      <c r="J259" t="str">
        <f t="shared" ref="J259:J322" si="14">IF(I259&lt;=0,"Current",IF(I259&lt;=30,"1-30",IF(I259&lt;=60,"31-60",IF(I259&lt;=90,"61-90","90+"))))</f>
        <v>61-90</v>
      </c>
    </row>
    <row r="260" spans="1:10" x14ac:dyDescent="0.3">
      <c r="A260" t="str">
        <f>Table3[[#This Row],[BillID]]</f>
        <v>BILL-00259</v>
      </c>
      <c r="B260" t="str">
        <f>Table3[[#This Row],[VendorID]]</f>
        <v>VEN-013</v>
      </c>
      <c r="C260" t="str">
        <f>VLOOKUP(B260,Vendors!A:B,2,FALSE)</f>
        <v>Canva Pro</v>
      </c>
      <c r="D260" s="9">
        <f>Table3[[#This Row],[BillDate]]</f>
        <v>45975</v>
      </c>
      <c r="E260" s="9">
        <f>Table3[[#This Row],[DueDate]]</f>
        <v>46005</v>
      </c>
      <c r="F260" s="3">
        <f>Table3[[#This Row],[BillAmount]]</f>
        <v>5750.1</v>
      </c>
      <c r="G260" s="3">
        <f>SUMIF(Vendor_Payments!C:C,A260,Vendor_Payments!E:E)</f>
        <v>5750.1</v>
      </c>
      <c r="H260" s="3">
        <f t="shared" si="12"/>
        <v>0</v>
      </c>
      <c r="I260">
        <f t="shared" si="13"/>
        <v>86</v>
      </c>
      <c r="J260" t="str">
        <f t="shared" si="14"/>
        <v>61-90</v>
      </c>
    </row>
    <row r="261" spans="1:10" x14ac:dyDescent="0.3">
      <c r="A261" t="str">
        <f>Table3[[#This Row],[BillID]]</f>
        <v>BILL-00260</v>
      </c>
      <c r="B261" t="str">
        <f>Table3[[#This Row],[VendorID]]</f>
        <v>VEN-012</v>
      </c>
      <c r="C261" t="str">
        <f>VLOOKUP(B261,Vendors!A:B,2,FALSE)</f>
        <v>Google Cloud</v>
      </c>
      <c r="D261" s="9">
        <f>Table3[[#This Row],[BillDate]]</f>
        <v>45973</v>
      </c>
      <c r="E261" s="9">
        <f>Table3[[#This Row],[DueDate]]</f>
        <v>46003</v>
      </c>
      <c r="F261" s="3">
        <f>Table3[[#This Row],[BillAmount]]</f>
        <v>1806.07</v>
      </c>
      <c r="G261" s="3">
        <f>SUMIF(Vendor_Payments!C:C,A261,Vendor_Payments!E:E)</f>
        <v>0</v>
      </c>
      <c r="H261" s="3">
        <f t="shared" si="12"/>
        <v>1806.07</v>
      </c>
      <c r="I261">
        <f t="shared" si="13"/>
        <v>88</v>
      </c>
      <c r="J261" t="str">
        <f t="shared" si="14"/>
        <v>61-90</v>
      </c>
    </row>
    <row r="262" spans="1:10" x14ac:dyDescent="0.3">
      <c r="A262" t="str">
        <f>Table3[[#This Row],[BillID]]</f>
        <v>BILL-00261</v>
      </c>
      <c r="B262" t="str">
        <f>Table3[[#This Row],[VendorID]]</f>
        <v>VEN-003</v>
      </c>
      <c r="C262" t="str">
        <f>VLOOKUP(B262,Vendors!A:B,2,FALSE)</f>
        <v>TikTok Ads</v>
      </c>
      <c r="D262" s="9">
        <f>Table3[[#This Row],[BillDate]]</f>
        <v>45972</v>
      </c>
      <c r="E262" s="9">
        <f>Table3[[#This Row],[DueDate]]</f>
        <v>46002</v>
      </c>
      <c r="F262" s="3">
        <f>Table3[[#This Row],[BillAmount]]</f>
        <v>5693.92</v>
      </c>
      <c r="G262" s="3">
        <f>SUMIF(Vendor_Payments!C:C,A262,Vendor_Payments!E:E)</f>
        <v>5693.92</v>
      </c>
      <c r="H262" s="3">
        <f t="shared" si="12"/>
        <v>0</v>
      </c>
      <c r="I262">
        <f t="shared" si="13"/>
        <v>89</v>
      </c>
      <c r="J262" t="str">
        <f t="shared" si="14"/>
        <v>61-90</v>
      </c>
    </row>
    <row r="263" spans="1:10" x14ac:dyDescent="0.3">
      <c r="A263" t="str">
        <f>Table3[[#This Row],[BillID]]</f>
        <v>BILL-00262</v>
      </c>
      <c r="B263" t="str">
        <f>Table3[[#This Row],[VendorID]]</f>
        <v>VEN-036</v>
      </c>
      <c r="C263" t="str">
        <f>VLOOKUP(B263,Vendors!A:B,2,FALSE)</f>
        <v>WebDev Masters</v>
      </c>
      <c r="D263" s="9">
        <f>Table3[[#This Row],[BillDate]]</f>
        <v>46056</v>
      </c>
      <c r="E263" s="9">
        <f>Table3[[#This Row],[DueDate]]</f>
        <v>46086</v>
      </c>
      <c r="F263" s="3">
        <f>Table3[[#This Row],[BillAmount]]</f>
        <v>2984.95</v>
      </c>
      <c r="G263" s="3">
        <f>SUMIF(Vendor_Payments!C:C,A263,Vendor_Payments!E:E)</f>
        <v>2984.95</v>
      </c>
      <c r="H263" s="3">
        <f t="shared" si="12"/>
        <v>0</v>
      </c>
      <c r="I263">
        <f t="shared" si="13"/>
        <v>5</v>
      </c>
      <c r="J263" t="str">
        <f t="shared" si="14"/>
        <v>1-30</v>
      </c>
    </row>
    <row r="264" spans="1:10" x14ac:dyDescent="0.3">
      <c r="A264" t="str">
        <f>Table3[[#This Row],[BillID]]</f>
        <v>BILL-00263</v>
      </c>
      <c r="B264" t="str">
        <f>Table3[[#This Row],[VendorID]]</f>
        <v>VEN-031</v>
      </c>
      <c r="C264" t="str">
        <f>VLOOKUP(B264,Vendors!A:B,2,FALSE)</f>
        <v>DataInsight Analytics</v>
      </c>
      <c r="D264" s="9">
        <f>Table3[[#This Row],[BillDate]]</f>
        <v>46022</v>
      </c>
      <c r="E264" s="9">
        <f>Table3[[#This Row],[DueDate]]</f>
        <v>46052</v>
      </c>
      <c r="F264" s="3">
        <f>Table3[[#This Row],[BillAmount]]</f>
        <v>923.52</v>
      </c>
      <c r="G264" s="3">
        <f>SUMIF(Vendor_Payments!C:C,A264,Vendor_Payments!E:E)</f>
        <v>0</v>
      </c>
      <c r="H264" s="3">
        <f t="shared" si="12"/>
        <v>923.52</v>
      </c>
      <c r="I264">
        <f t="shared" si="13"/>
        <v>39</v>
      </c>
      <c r="J264" t="str">
        <f t="shared" si="14"/>
        <v>31-60</v>
      </c>
    </row>
    <row r="265" spans="1:10" x14ac:dyDescent="0.3">
      <c r="A265" t="str">
        <f>Table3[[#This Row],[BillID]]</f>
        <v>BILL-00264</v>
      </c>
      <c r="B265" t="str">
        <f>Table3[[#This Row],[VendorID]]</f>
        <v>VEN-023</v>
      </c>
      <c r="C265" t="str">
        <f>VLOOKUP(B265,Vendors!A:B,2,FALSE)</f>
        <v>Fiverr Pro</v>
      </c>
      <c r="D265" s="9">
        <f>Table3[[#This Row],[BillDate]]</f>
        <v>46052</v>
      </c>
      <c r="E265" s="9">
        <f>Table3[[#This Row],[DueDate]]</f>
        <v>46082</v>
      </c>
      <c r="F265" s="3">
        <f>Table3[[#This Row],[BillAmount]]</f>
        <v>1211.02</v>
      </c>
      <c r="G265" s="3">
        <f>SUMIF(Vendor_Payments!C:C,A265,Vendor_Payments!E:E)</f>
        <v>1211.02</v>
      </c>
      <c r="H265" s="3">
        <f t="shared" si="12"/>
        <v>0</v>
      </c>
      <c r="I265">
        <f t="shared" si="13"/>
        <v>9</v>
      </c>
      <c r="J265" t="str">
        <f t="shared" si="14"/>
        <v>1-30</v>
      </c>
    </row>
    <row r="266" spans="1:10" x14ac:dyDescent="0.3">
      <c r="A266" t="str">
        <f>Table3[[#This Row],[BillID]]</f>
        <v>BILL-00265</v>
      </c>
      <c r="B266" t="str">
        <f>Table3[[#This Row],[VendorID]]</f>
        <v>VEN-037</v>
      </c>
      <c r="C266" t="str">
        <f>VLOOKUP(B266,Vendors!A:B,2,FALSE)</f>
        <v>CreativeSpark Studio</v>
      </c>
      <c r="D266" s="9">
        <f>Table3[[#This Row],[BillDate]]</f>
        <v>45998</v>
      </c>
      <c r="E266" s="9">
        <f>Table3[[#This Row],[DueDate]]</f>
        <v>46028</v>
      </c>
      <c r="F266" s="3">
        <f>Table3[[#This Row],[BillAmount]]</f>
        <v>6068.17</v>
      </c>
      <c r="G266" s="3">
        <f>SUMIF(Vendor_Payments!C:C,A266,Vendor_Payments!E:E)</f>
        <v>0</v>
      </c>
      <c r="H266" s="3">
        <f t="shared" si="12"/>
        <v>6068.17</v>
      </c>
      <c r="I266">
        <f t="shared" si="13"/>
        <v>63</v>
      </c>
      <c r="J266" t="str">
        <f t="shared" si="14"/>
        <v>61-90</v>
      </c>
    </row>
    <row r="267" spans="1:10" x14ac:dyDescent="0.3">
      <c r="A267" t="str">
        <f>Table3[[#This Row],[BillID]]</f>
        <v>BILL-00266</v>
      </c>
      <c r="B267" t="str">
        <f>Table3[[#This Row],[VendorID]]</f>
        <v>VEN-010</v>
      </c>
      <c r="C267" t="str">
        <f>VLOOKUP(B267,Vendors!A:B,2,FALSE)</f>
        <v>Adobe Creative Cloud</v>
      </c>
      <c r="D267" s="9">
        <f>Table3[[#This Row],[BillDate]]</f>
        <v>45981</v>
      </c>
      <c r="E267" s="9">
        <f>Table3[[#This Row],[DueDate]]</f>
        <v>46011</v>
      </c>
      <c r="F267" s="3">
        <f>Table3[[#This Row],[BillAmount]]</f>
        <v>1354.54</v>
      </c>
      <c r="G267" s="3">
        <f>SUMIF(Vendor_Payments!C:C,A267,Vendor_Payments!E:E)</f>
        <v>1354.54</v>
      </c>
      <c r="H267" s="3">
        <f t="shared" si="12"/>
        <v>0</v>
      </c>
      <c r="I267">
        <f t="shared" si="13"/>
        <v>80</v>
      </c>
      <c r="J267" t="str">
        <f t="shared" si="14"/>
        <v>61-90</v>
      </c>
    </row>
    <row r="268" spans="1:10" x14ac:dyDescent="0.3">
      <c r="A268" t="str">
        <f>Table3[[#This Row],[BillID]]</f>
        <v>BILL-00267</v>
      </c>
      <c r="B268" t="str">
        <f>Table3[[#This Row],[VendorID]]</f>
        <v>VEN-020</v>
      </c>
      <c r="C268" t="str">
        <f>VLOOKUP(B268,Vendors!A:B,2,FALSE)</f>
        <v>Slack</v>
      </c>
      <c r="D268" s="9">
        <f>Table3[[#This Row],[BillDate]]</f>
        <v>45971</v>
      </c>
      <c r="E268" s="9">
        <f>Table3[[#This Row],[DueDate]]</f>
        <v>46001</v>
      </c>
      <c r="F268" s="3">
        <f>Table3[[#This Row],[BillAmount]]</f>
        <v>5905.4</v>
      </c>
      <c r="G268" s="3">
        <f>SUMIF(Vendor_Payments!C:C,A268,Vendor_Payments!E:E)</f>
        <v>5905.4</v>
      </c>
      <c r="H268" s="3">
        <f t="shared" si="12"/>
        <v>0</v>
      </c>
      <c r="I268">
        <f t="shared" si="13"/>
        <v>90</v>
      </c>
      <c r="J268" t="str">
        <f t="shared" si="14"/>
        <v>61-90</v>
      </c>
    </row>
    <row r="269" spans="1:10" x14ac:dyDescent="0.3">
      <c r="A269" t="str">
        <f>Table3[[#This Row],[BillID]]</f>
        <v>BILL-00268</v>
      </c>
      <c r="B269" t="str">
        <f>Table3[[#This Row],[VendorID]]</f>
        <v>VEN-001</v>
      </c>
      <c r="C269" t="str">
        <f>VLOOKUP(B269,Vendors!A:B,2,FALSE)</f>
        <v>Google Ads</v>
      </c>
      <c r="D269" s="9">
        <f>Table3[[#This Row],[BillDate]]</f>
        <v>46037</v>
      </c>
      <c r="E269" s="9">
        <f>Table3[[#This Row],[DueDate]]</f>
        <v>46067</v>
      </c>
      <c r="F269" s="3">
        <f>Table3[[#This Row],[BillAmount]]</f>
        <v>2149.0300000000002</v>
      </c>
      <c r="G269" s="3">
        <f>SUMIF(Vendor_Payments!C:C,A269,Vendor_Payments!E:E)</f>
        <v>2149.0300000000002</v>
      </c>
      <c r="H269" s="3">
        <f t="shared" si="12"/>
        <v>0</v>
      </c>
      <c r="I269">
        <f t="shared" si="13"/>
        <v>24</v>
      </c>
      <c r="J269" t="str">
        <f t="shared" si="14"/>
        <v>1-30</v>
      </c>
    </row>
    <row r="270" spans="1:10" x14ac:dyDescent="0.3">
      <c r="A270" t="str">
        <f>Table3[[#This Row],[BillID]]</f>
        <v>BILL-00269</v>
      </c>
      <c r="B270" t="str">
        <f>Table3[[#This Row],[VendorID]]</f>
        <v>VEN-034</v>
      </c>
      <c r="C270" t="str">
        <f>VLOOKUP(B270,Vendors!A:B,2,FALSE)</f>
        <v>SocialBoost Agency</v>
      </c>
      <c r="D270" s="9">
        <f>Table3[[#This Row],[BillDate]]</f>
        <v>45996</v>
      </c>
      <c r="E270" s="9">
        <f>Table3[[#This Row],[DueDate]]</f>
        <v>46026</v>
      </c>
      <c r="F270" s="3">
        <f>Table3[[#This Row],[BillAmount]]</f>
        <v>5554.43</v>
      </c>
      <c r="G270" s="3">
        <f>SUMIF(Vendor_Payments!C:C,A270,Vendor_Payments!E:E)</f>
        <v>0</v>
      </c>
      <c r="H270" s="3">
        <f t="shared" si="12"/>
        <v>5554.43</v>
      </c>
      <c r="I270">
        <f t="shared" si="13"/>
        <v>65</v>
      </c>
      <c r="J270" t="str">
        <f t="shared" si="14"/>
        <v>61-90</v>
      </c>
    </row>
    <row r="271" spans="1:10" x14ac:dyDescent="0.3">
      <c r="A271" t="str">
        <f>Table3[[#This Row],[BillID]]</f>
        <v>BILL-00270</v>
      </c>
      <c r="B271" t="str">
        <f>Table3[[#This Row],[VendorID]]</f>
        <v>VEN-014</v>
      </c>
      <c r="C271" t="str">
        <f>VLOOKUP(B271,Vendors!A:B,2,FALSE)</f>
        <v>Figma</v>
      </c>
      <c r="D271" s="9">
        <f>Table3[[#This Row],[BillDate]]</f>
        <v>46034</v>
      </c>
      <c r="E271" s="9">
        <f>Table3[[#This Row],[DueDate]]</f>
        <v>46064</v>
      </c>
      <c r="F271" s="3">
        <f>Table3[[#This Row],[BillAmount]]</f>
        <v>5157.46</v>
      </c>
      <c r="G271" s="3">
        <f>SUMIF(Vendor_Payments!C:C,A271,Vendor_Payments!E:E)</f>
        <v>5157.46</v>
      </c>
      <c r="H271" s="3">
        <f t="shared" si="12"/>
        <v>0</v>
      </c>
      <c r="I271">
        <f t="shared" si="13"/>
        <v>27</v>
      </c>
      <c r="J271" t="str">
        <f t="shared" si="14"/>
        <v>1-30</v>
      </c>
    </row>
    <row r="272" spans="1:10" x14ac:dyDescent="0.3">
      <c r="A272" t="str">
        <f>Table3[[#This Row],[BillID]]</f>
        <v>BILL-00271</v>
      </c>
      <c r="B272" t="str">
        <f>Table3[[#This Row],[VendorID]]</f>
        <v>VEN-015</v>
      </c>
      <c r="C272" t="str">
        <f>VLOOKUP(B272,Vendors!A:B,2,FALSE)</f>
        <v>Zapier</v>
      </c>
      <c r="D272" s="9">
        <f>Table3[[#This Row],[BillDate]]</f>
        <v>46091</v>
      </c>
      <c r="E272" s="9">
        <f>Table3[[#This Row],[DueDate]]</f>
        <v>46121</v>
      </c>
      <c r="F272" s="3">
        <f>Table3[[#This Row],[BillAmount]]</f>
        <v>4382.8999999999996</v>
      </c>
      <c r="G272" s="3">
        <f>SUMIF(Vendor_Payments!C:C,A272,Vendor_Payments!E:E)</f>
        <v>4382.8999999999996</v>
      </c>
      <c r="H272" s="3">
        <f t="shared" si="12"/>
        <v>0</v>
      </c>
      <c r="I272">
        <f t="shared" si="13"/>
        <v>-30</v>
      </c>
      <c r="J272" t="str">
        <f t="shared" si="14"/>
        <v>Current</v>
      </c>
    </row>
    <row r="273" spans="1:10" x14ac:dyDescent="0.3">
      <c r="A273" t="str">
        <f>Table3[[#This Row],[BillID]]</f>
        <v>BILL-00272</v>
      </c>
      <c r="B273" t="str">
        <f>Table3[[#This Row],[VendorID]]</f>
        <v>VEN-033</v>
      </c>
      <c r="C273" t="str">
        <f>VLOOKUP(B273,Vendors!A:B,2,FALSE)</f>
        <v>AdScale Solutions</v>
      </c>
      <c r="D273" s="9">
        <f>Table3[[#This Row],[BillDate]]</f>
        <v>45981</v>
      </c>
      <c r="E273" s="9">
        <f>Table3[[#This Row],[DueDate]]</f>
        <v>46011</v>
      </c>
      <c r="F273" s="3">
        <f>Table3[[#This Row],[BillAmount]]</f>
        <v>1208.94</v>
      </c>
      <c r="G273" s="3">
        <f>SUMIF(Vendor_Payments!C:C,A273,Vendor_Payments!E:E)</f>
        <v>1208.94</v>
      </c>
      <c r="H273" s="3">
        <f t="shared" si="12"/>
        <v>0</v>
      </c>
      <c r="I273">
        <f t="shared" si="13"/>
        <v>80</v>
      </c>
      <c r="J273" t="str">
        <f t="shared" si="14"/>
        <v>61-90</v>
      </c>
    </row>
    <row r="274" spans="1:10" x14ac:dyDescent="0.3">
      <c r="A274" t="str">
        <f>Table3[[#This Row],[BillID]]</f>
        <v>BILL-00273</v>
      </c>
      <c r="B274" t="str">
        <f>Table3[[#This Row],[VendorID]]</f>
        <v>VEN-028</v>
      </c>
      <c r="C274" t="str">
        <f>VLOOKUP(B274,Vendors!A:B,2,FALSE)</f>
        <v>MarketEdge Consulting</v>
      </c>
      <c r="D274" s="9">
        <f>Table3[[#This Row],[BillDate]]</f>
        <v>46003</v>
      </c>
      <c r="E274" s="9">
        <f>Table3[[#This Row],[DueDate]]</f>
        <v>46033</v>
      </c>
      <c r="F274" s="3">
        <f>Table3[[#This Row],[BillAmount]]</f>
        <v>4524.26</v>
      </c>
      <c r="G274" s="3">
        <f>SUMIF(Vendor_Payments!C:C,A274,Vendor_Payments!E:E)</f>
        <v>0</v>
      </c>
      <c r="H274" s="3">
        <f t="shared" si="12"/>
        <v>4524.26</v>
      </c>
      <c r="I274">
        <f t="shared" si="13"/>
        <v>58</v>
      </c>
      <c r="J274" t="str">
        <f t="shared" si="14"/>
        <v>31-60</v>
      </c>
    </row>
    <row r="275" spans="1:10" x14ac:dyDescent="0.3">
      <c r="A275" t="str">
        <f>Table3[[#This Row],[BillID]]</f>
        <v>BILL-00274</v>
      </c>
      <c r="B275" t="str">
        <f>Table3[[#This Row],[VendorID]]</f>
        <v>VEN-021</v>
      </c>
      <c r="C275" t="str">
        <f>VLOOKUP(B275,Vendors!A:B,2,FALSE)</f>
        <v>Upwork Freelancers</v>
      </c>
      <c r="D275" s="9">
        <f>Table3[[#This Row],[BillDate]]</f>
        <v>46041</v>
      </c>
      <c r="E275" s="9">
        <f>Table3[[#This Row],[DueDate]]</f>
        <v>46071</v>
      </c>
      <c r="F275" s="3">
        <f>Table3[[#This Row],[BillAmount]]</f>
        <v>6120.54</v>
      </c>
      <c r="G275" s="3">
        <f>SUMIF(Vendor_Payments!C:C,A275,Vendor_Payments!E:E)</f>
        <v>6120.54</v>
      </c>
      <c r="H275" s="3">
        <f t="shared" si="12"/>
        <v>0</v>
      </c>
      <c r="I275">
        <f t="shared" si="13"/>
        <v>20</v>
      </c>
      <c r="J275" t="str">
        <f t="shared" si="14"/>
        <v>1-30</v>
      </c>
    </row>
    <row r="276" spans="1:10" x14ac:dyDescent="0.3">
      <c r="A276" t="str">
        <f>Table3[[#This Row],[BillID]]</f>
        <v>BILL-00275</v>
      </c>
      <c r="B276" t="str">
        <f>Table3[[#This Row],[VendorID]]</f>
        <v>VEN-005</v>
      </c>
      <c r="C276" t="str">
        <f>VLOOKUP(B276,Vendors!A:B,2,FALSE)</f>
        <v>HubSpot</v>
      </c>
      <c r="D276" s="9">
        <f>Table3[[#This Row],[BillDate]]</f>
        <v>46070</v>
      </c>
      <c r="E276" s="9">
        <f>Table3[[#This Row],[DueDate]]</f>
        <v>46100</v>
      </c>
      <c r="F276" s="3">
        <f>Table3[[#This Row],[BillAmount]]</f>
        <v>3137.75</v>
      </c>
      <c r="G276" s="3">
        <f>SUMIF(Vendor_Payments!C:C,A276,Vendor_Payments!E:E)</f>
        <v>0</v>
      </c>
      <c r="H276" s="3">
        <f t="shared" si="12"/>
        <v>3137.75</v>
      </c>
      <c r="I276">
        <f t="shared" si="13"/>
        <v>-9</v>
      </c>
      <c r="J276" t="str">
        <f t="shared" si="14"/>
        <v>Current</v>
      </c>
    </row>
    <row r="277" spans="1:10" x14ac:dyDescent="0.3">
      <c r="A277" t="str">
        <f>Table3[[#This Row],[BillID]]</f>
        <v>BILL-00276</v>
      </c>
      <c r="B277" t="str">
        <f>Table3[[#This Row],[VendorID]]</f>
        <v>VEN-036</v>
      </c>
      <c r="C277" t="str">
        <f>VLOOKUP(B277,Vendors!A:B,2,FALSE)</f>
        <v>WebDev Masters</v>
      </c>
      <c r="D277" s="9">
        <f>Table3[[#This Row],[BillDate]]</f>
        <v>45972</v>
      </c>
      <c r="E277" s="9">
        <f>Table3[[#This Row],[DueDate]]</f>
        <v>46002</v>
      </c>
      <c r="F277" s="3">
        <f>Table3[[#This Row],[BillAmount]]</f>
        <v>6932.8</v>
      </c>
      <c r="G277" s="3">
        <f>SUMIF(Vendor_Payments!C:C,A277,Vendor_Payments!E:E)</f>
        <v>6932.8</v>
      </c>
      <c r="H277" s="3">
        <f t="shared" si="12"/>
        <v>0</v>
      </c>
      <c r="I277">
        <f t="shared" si="13"/>
        <v>89</v>
      </c>
      <c r="J277" t="str">
        <f t="shared" si="14"/>
        <v>61-90</v>
      </c>
    </row>
    <row r="278" spans="1:10" x14ac:dyDescent="0.3">
      <c r="A278" t="str">
        <f>Table3[[#This Row],[BillID]]</f>
        <v>BILL-00277</v>
      </c>
      <c r="B278" t="str">
        <f>Table3[[#This Row],[VendorID]]</f>
        <v>VEN-016</v>
      </c>
      <c r="C278" t="str">
        <f>VLOOKUP(B278,Vendors!A:B,2,FALSE)</f>
        <v>Stripe</v>
      </c>
      <c r="D278" s="9">
        <f>Table3[[#This Row],[BillDate]]</f>
        <v>46005</v>
      </c>
      <c r="E278" s="9">
        <f>Table3[[#This Row],[DueDate]]</f>
        <v>46035</v>
      </c>
      <c r="F278" s="3">
        <f>Table3[[#This Row],[BillAmount]]</f>
        <v>2232.75</v>
      </c>
      <c r="G278" s="3">
        <f>SUMIF(Vendor_Payments!C:C,A278,Vendor_Payments!E:E)</f>
        <v>0</v>
      </c>
      <c r="H278" s="3">
        <f t="shared" si="12"/>
        <v>2232.75</v>
      </c>
      <c r="I278">
        <f t="shared" si="13"/>
        <v>56</v>
      </c>
      <c r="J278" t="str">
        <f t="shared" si="14"/>
        <v>31-60</v>
      </c>
    </row>
    <row r="279" spans="1:10" x14ac:dyDescent="0.3">
      <c r="A279" t="str">
        <f>Table3[[#This Row],[BillID]]</f>
        <v>BILL-00278</v>
      </c>
      <c r="B279" t="str">
        <f>Table3[[#This Row],[VendorID]]</f>
        <v>VEN-015</v>
      </c>
      <c r="C279" t="str">
        <f>VLOOKUP(B279,Vendors!A:B,2,FALSE)</f>
        <v>Zapier</v>
      </c>
      <c r="D279" s="9">
        <f>Table3[[#This Row],[BillDate]]</f>
        <v>46044</v>
      </c>
      <c r="E279" s="9">
        <f>Table3[[#This Row],[DueDate]]</f>
        <v>46074</v>
      </c>
      <c r="F279" s="3">
        <f>Table3[[#This Row],[BillAmount]]</f>
        <v>2721.12</v>
      </c>
      <c r="G279" s="3">
        <f>SUMIF(Vendor_Payments!C:C,A279,Vendor_Payments!E:E)</f>
        <v>2721.12</v>
      </c>
      <c r="H279" s="3">
        <f t="shared" si="12"/>
        <v>0</v>
      </c>
      <c r="I279">
        <f t="shared" si="13"/>
        <v>17</v>
      </c>
      <c r="J279" t="str">
        <f t="shared" si="14"/>
        <v>1-30</v>
      </c>
    </row>
    <row r="280" spans="1:10" x14ac:dyDescent="0.3">
      <c r="A280" t="str">
        <f>Table3[[#This Row],[BillID]]</f>
        <v>BILL-00279</v>
      </c>
      <c r="B280" t="str">
        <f>Table3[[#This Row],[VendorID]]</f>
        <v>VEN-002</v>
      </c>
      <c r="C280" t="str">
        <f>VLOOKUP(B280,Vendors!A:B,2,FALSE)</f>
        <v>Meta Ads</v>
      </c>
      <c r="D280" s="9">
        <f>Table3[[#This Row],[BillDate]]</f>
        <v>46065</v>
      </c>
      <c r="E280" s="9">
        <f>Table3[[#This Row],[DueDate]]</f>
        <v>46095</v>
      </c>
      <c r="F280" s="3">
        <f>Table3[[#This Row],[BillAmount]]</f>
        <v>5885.15</v>
      </c>
      <c r="G280" s="3">
        <f>SUMIF(Vendor_Payments!C:C,A280,Vendor_Payments!E:E)</f>
        <v>0</v>
      </c>
      <c r="H280" s="3">
        <f t="shared" si="12"/>
        <v>5885.15</v>
      </c>
      <c r="I280">
        <f t="shared" si="13"/>
        <v>-4</v>
      </c>
      <c r="J280" t="str">
        <f t="shared" si="14"/>
        <v>Current</v>
      </c>
    </row>
    <row r="281" spans="1:10" x14ac:dyDescent="0.3">
      <c r="A281" t="str">
        <f>Table3[[#This Row],[BillID]]</f>
        <v>BILL-00280</v>
      </c>
      <c r="B281" t="str">
        <f>Table3[[#This Row],[VendorID]]</f>
        <v>VEN-027</v>
      </c>
      <c r="C281" t="str">
        <f>VLOOKUP(B281,Vendors!A:B,2,FALSE)</f>
        <v>DevCraft Agency</v>
      </c>
      <c r="D281" s="9">
        <f>Table3[[#This Row],[BillDate]]</f>
        <v>45976</v>
      </c>
      <c r="E281" s="9">
        <f>Table3[[#This Row],[DueDate]]</f>
        <v>46006</v>
      </c>
      <c r="F281" s="3">
        <f>Table3[[#This Row],[BillAmount]]</f>
        <v>2409.38</v>
      </c>
      <c r="G281" s="3">
        <f>SUMIF(Vendor_Payments!C:C,A281,Vendor_Payments!E:E)</f>
        <v>0</v>
      </c>
      <c r="H281" s="3">
        <f t="shared" si="12"/>
        <v>2409.38</v>
      </c>
      <c r="I281">
        <f t="shared" si="13"/>
        <v>85</v>
      </c>
      <c r="J281" t="str">
        <f t="shared" si="14"/>
        <v>61-90</v>
      </c>
    </row>
    <row r="282" spans="1:10" x14ac:dyDescent="0.3">
      <c r="A282" t="str">
        <f>Table3[[#This Row],[BillID]]</f>
        <v>BILL-00281</v>
      </c>
      <c r="B282" t="str">
        <f>Table3[[#This Row],[VendorID]]</f>
        <v>VEN-038</v>
      </c>
      <c r="C282" t="str">
        <f>VLOOKUP(B282,Vendors!A:B,2,FALSE)</f>
        <v>Insight Marketing Partners</v>
      </c>
      <c r="D282" s="9">
        <f>Table3[[#This Row],[BillDate]]</f>
        <v>45970</v>
      </c>
      <c r="E282" s="9">
        <f>Table3[[#This Row],[DueDate]]</f>
        <v>46000</v>
      </c>
      <c r="F282" s="3">
        <f>Table3[[#This Row],[BillAmount]]</f>
        <v>5680.88</v>
      </c>
      <c r="G282" s="3">
        <f>SUMIF(Vendor_Payments!C:C,A282,Vendor_Payments!E:E)</f>
        <v>0</v>
      </c>
      <c r="H282" s="3">
        <f t="shared" si="12"/>
        <v>5680.88</v>
      </c>
      <c r="I282">
        <f t="shared" si="13"/>
        <v>91</v>
      </c>
      <c r="J282" t="str">
        <f t="shared" si="14"/>
        <v>90+</v>
      </c>
    </row>
    <row r="283" spans="1:10" x14ac:dyDescent="0.3">
      <c r="A283" t="str">
        <f>Table3[[#This Row],[BillID]]</f>
        <v>BILL-00282</v>
      </c>
      <c r="B283" t="str">
        <f>Table3[[#This Row],[VendorID]]</f>
        <v>VEN-031</v>
      </c>
      <c r="C283" t="str">
        <f>VLOOKUP(B283,Vendors!A:B,2,FALSE)</f>
        <v>DataInsight Analytics</v>
      </c>
      <c r="D283" s="9">
        <f>Table3[[#This Row],[BillDate]]</f>
        <v>46026</v>
      </c>
      <c r="E283" s="9">
        <f>Table3[[#This Row],[DueDate]]</f>
        <v>46056</v>
      </c>
      <c r="F283" s="3">
        <f>Table3[[#This Row],[BillAmount]]</f>
        <v>2330.0500000000002</v>
      </c>
      <c r="G283" s="3">
        <f>SUMIF(Vendor_Payments!C:C,A283,Vendor_Payments!E:E)</f>
        <v>2330.0500000000002</v>
      </c>
      <c r="H283" s="3">
        <f t="shared" si="12"/>
        <v>0</v>
      </c>
      <c r="I283">
        <f t="shared" si="13"/>
        <v>35</v>
      </c>
      <c r="J283" t="str">
        <f t="shared" si="14"/>
        <v>31-60</v>
      </c>
    </row>
    <row r="284" spans="1:10" x14ac:dyDescent="0.3">
      <c r="A284" t="str">
        <f>Table3[[#This Row],[BillID]]</f>
        <v>BILL-00283</v>
      </c>
      <c r="B284" t="str">
        <f>Table3[[#This Row],[VendorID]]</f>
        <v>VEN-009</v>
      </c>
      <c r="C284" t="str">
        <f>VLOOKUP(B284,Vendors!A:B,2,FALSE)</f>
        <v>SEMrush</v>
      </c>
      <c r="D284" s="9">
        <f>Table3[[#This Row],[BillDate]]</f>
        <v>46024</v>
      </c>
      <c r="E284" s="9">
        <f>Table3[[#This Row],[DueDate]]</f>
        <v>46054</v>
      </c>
      <c r="F284" s="3">
        <f>Table3[[#This Row],[BillAmount]]</f>
        <v>4185.25</v>
      </c>
      <c r="G284" s="3">
        <f>SUMIF(Vendor_Payments!C:C,A284,Vendor_Payments!E:E)</f>
        <v>4185.25</v>
      </c>
      <c r="H284" s="3">
        <f t="shared" si="12"/>
        <v>0</v>
      </c>
      <c r="I284">
        <f t="shared" si="13"/>
        <v>37</v>
      </c>
      <c r="J284" t="str">
        <f t="shared" si="14"/>
        <v>31-60</v>
      </c>
    </row>
    <row r="285" spans="1:10" x14ac:dyDescent="0.3">
      <c r="A285" t="str">
        <f>Table3[[#This Row],[BillID]]</f>
        <v>BILL-00284</v>
      </c>
      <c r="B285" t="str">
        <f>Table3[[#This Row],[VendorID]]</f>
        <v>VEN-022</v>
      </c>
      <c r="C285" t="str">
        <f>VLOOKUP(B285,Vendors!A:B,2,FALSE)</f>
        <v>Toptal Talent</v>
      </c>
      <c r="D285" s="9">
        <f>Table3[[#This Row],[BillDate]]</f>
        <v>45974</v>
      </c>
      <c r="E285" s="9">
        <f>Table3[[#This Row],[DueDate]]</f>
        <v>46004</v>
      </c>
      <c r="F285" s="3">
        <f>Table3[[#This Row],[BillAmount]]</f>
        <v>5804.52</v>
      </c>
      <c r="G285" s="3">
        <f>SUMIF(Vendor_Payments!C:C,A285,Vendor_Payments!E:E)</f>
        <v>5804.52</v>
      </c>
      <c r="H285" s="3">
        <f t="shared" si="12"/>
        <v>0</v>
      </c>
      <c r="I285">
        <f t="shared" si="13"/>
        <v>87</v>
      </c>
      <c r="J285" t="str">
        <f t="shared" si="14"/>
        <v>61-90</v>
      </c>
    </row>
    <row r="286" spans="1:10" x14ac:dyDescent="0.3">
      <c r="A286" t="str">
        <f>Table3[[#This Row],[BillID]]</f>
        <v>BILL-00285</v>
      </c>
      <c r="B286" t="str">
        <f>Table3[[#This Row],[VendorID]]</f>
        <v>VEN-037</v>
      </c>
      <c r="C286" t="str">
        <f>VLOOKUP(B286,Vendors!A:B,2,FALSE)</f>
        <v>CreativeSpark Studio</v>
      </c>
      <c r="D286" s="9">
        <f>Table3[[#This Row],[BillDate]]</f>
        <v>46008</v>
      </c>
      <c r="E286" s="9">
        <f>Table3[[#This Row],[DueDate]]</f>
        <v>46038</v>
      </c>
      <c r="F286" s="3">
        <f>Table3[[#This Row],[BillAmount]]</f>
        <v>3886.05</v>
      </c>
      <c r="G286" s="3">
        <f>SUMIF(Vendor_Payments!C:C,A286,Vendor_Payments!E:E)</f>
        <v>3886.05</v>
      </c>
      <c r="H286" s="3">
        <f t="shared" si="12"/>
        <v>0</v>
      </c>
      <c r="I286">
        <f t="shared" si="13"/>
        <v>53</v>
      </c>
      <c r="J286" t="str">
        <f t="shared" si="14"/>
        <v>31-60</v>
      </c>
    </row>
    <row r="287" spans="1:10" x14ac:dyDescent="0.3">
      <c r="A287" t="str">
        <f>Table3[[#This Row],[BillID]]</f>
        <v>BILL-00286</v>
      </c>
      <c r="B287" t="str">
        <f>Table3[[#This Row],[VendorID]]</f>
        <v>VEN-010</v>
      </c>
      <c r="C287" t="str">
        <f>VLOOKUP(B287,Vendors!A:B,2,FALSE)</f>
        <v>Adobe Creative Cloud</v>
      </c>
      <c r="D287" s="9">
        <f>Table3[[#This Row],[BillDate]]</f>
        <v>45969</v>
      </c>
      <c r="E287" s="9">
        <f>Table3[[#This Row],[DueDate]]</f>
        <v>45999</v>
      </c>
      <c r="F287" s="3">
        <f>Table3[[#This Row],[BillAmount]]</f>
        <v>3133.56</v>
      </c>
      <c r="G287" s="3">
        <f>SUMIF(Vendor_Payments!C:C,A287,Vendor_Payments!E:E)</f>
        <v>0</v>
      </c>
      <c r="H287" s="3">
        <f t="shared" si="12"/>
        <v>3133.56</v>
      </c>
      <c r="I287">
        <f t="shared" si="13"/>
        <v>92</v>
      </c>
      <c r="J287" t="str">
        <f t="shared" si="14"/>
        <v>90+</v>
      </c>
    </row>
    <row r="288" spans="1:10" x14ac:dyDescent="0.3">
      <c r="A288" t="str">
        <f>Table3[[#This Row],[BillID]]</f>
        <v>BILL-00287</v>
      </c>
      <c r="B288" t="str">
        <f>Table3[[#This Row],[VendorID]]</f>
        <v>VEN-039</v>
      </c>
      <c r="C288" t="str">
        <f>VLOOKUP(B288,Vendors!A:B,2,FALSE)</f>
        <v>Global Growth Advisors</v>
      </c>
      <c r="D288" s="9">
        <f>Table3[[#This Row],[BillDate]]</f>
        <v>45995</v>
      </c>
      <c r="E288" s="9">
        <f>Table3[[#This Row],[DueDate]]</f>
        <v>46025</v>
      </c>
      <c r="F288" s="3">
        <f>Table3[[#This Row],[BillAmount]]</f>
        <v>3663.53</v>
      </c>
      <c r="G288" s="3">
        <f>SUMIF(Vendor_Payments!C:C,A288,Vendor_Payments!E:E)</f>
        <v>3663.53</v>
      </c>
      <c r="H288" s="3">
        <f t="shared" si="12"/>
        <v>0</v>
      </c>
      <c r="I288">
        <f t="shared" si="13"/>
        <v>66</v>
      </c>
      <c r="J288" t="str">
        <f t="shared" si="14"/>
        <v>61-90</v>
      </c>
    </row>
    <row r="289" spans="1:10" x14ac:dyDescent="0.3">
      <c r="A289" t="str">
        <f>Table3[[#This Row],[BillID]]</f>
        <v>BILL-00288</v>
      </c>
      <c r="B289" t="str">
        <f>Table3[[#This Row],[VendorID]]</f>
        <v>VEN-010</v>
      </c>
      <c r="C289" t="str">
        <f>VLOOKUP(B289,Vendors!A:B,2,FALSE)</f>
        <v>Adobe Creative Cloud</v>
      </c>
      <c r="D289" s="9">
        <f>Table3[[#This Row],[BillDate]]</f>
        <v>46090</v>
      </c>
      <c r="E289" s="9">
        <f>Table3[[#This Row],[DueDate]]</f>
        <v>46120</v>
      </c>
      <c r="F289" s="3">
        <f>Table3[[#This Row],[BillAmount]]</f>
        <v>2632.94</v>
      </c>
      <c r="G289" s="3">
        <f>SUMIF(Vendor_Payments!C:C,A289,Vendor_Payments!E:E)</f>
        <v>2632.94</v>
      </c>
      <c r="H289" s="3">
        <f t="shared" si="12"/>
        <v>0</v>
      </c>
      <c r="I289">
        <f t="shared" si="13"/>
        <v>-29</v>
      </c>
      <c r="J289" t="str">
        <f t="shared" si="14"/>
        <v>Current</v>
      </c>
    </row>
    <row r="290" spans="1:10" x14ac:dyDescent="0.3">
      <c r="A290" t="str">
        <f>Table3[[#This Row],[BillID]]</f>
        <v>BILL-00289</v>
      </c>
      <c r="B290" t="str">
        <f>Table3[[#This Row],[VendorID]]</f>
        <v>VEN-024</v>
      </c>
      <c r="C290" t="str">
        <f>VLOOKUP(B290,Vendors!A:B,2,FALSE)</f>
        <v>Growth Strategy Group</v>
      </c>
      <c r="D290" s="9">
        <f>Table3[[#This Row],[BillDate]]</f>
        <v>46017</v>
      </c>
      <c r="E290" s="9">
        <f>Table3[[#This Row],[DueDate]]</f>
        <v>46047</v>
      </c>
      <c r="F290" s="3">
        <f>Table3[[#This Row],[BillAmount]]</f>
        <v>5584.55</v>
      </c>
      <c r="G290" s="3">
        <f>SUMIF(Vendor_Payments!C:C,A290,Vendor_Payments!E:E)</f>
        <v>5584.55</v>
      </c>
      <c r="H290" s="3">
        <f t="shared" si="12"/>
        <v>0</v>
      </c>
      <c r="I290">
        <f t="shared" si="13"/>
        <v>44</v>
      </c>
      <c r="J290" t="str">
        <f t="shared" si="14"/>
        <v>31-60</v>
      </c>
    </row>
    <row r="291" spans="1:10" x14ac:dyDescent="0.3">
      <c r="A291" t="str">
        <f>Table3[[#This Row],[BillID]]</f>
        <v>BILL-00290</v>
      </c>
      <c r="B291" t="str">
        <f>Table3[[#This Row],[VendorID]]</f>
        <v>VEN-010</v>
      </c>
      <c r="C291" t="str">
        <f>VLOOKUP(B291,Vendors!A:B,2,FALSE)</f>
        <v>Adobe Creative Cloud</v>
      </c>
      <c r="D291" s="9">
        <f>Table3[[#This Row],[BillDate]]</f>
        <v>46042</v>
      </c>
      <c r="E291" s="9">
        <f>Table3[[#This Row],[DueDate]]</f>
        <v>46072</v>
      </c>
      <c r="F291" s="3">
        <f>Table3[[#This Row],[BillAmount]]</f>
        <v>1027.4100000000001</v>
      </c>
      <c r="G291" s="3">
        <f>SUMIF(Vendor_Payments!C:C,A291,Vendor_Payments!E:E)</f>
        <v>1027.4100000000001</v>
      </c>
      <c r="H291" s="3">
        <f t="shared" si="12"/>
        <v>0</v>
      </c>
      <c r="I291">
        <f t="shared" si="13"/>
        <v>19</v>
      </c>
      <c r="J291" t="str">
        <f t="shared" si="14"/>
        <v>1-30</v>
      </c>
    </row>
    <row r="292" spans="1:10" x14ac:dyDescent="0.3">
      <c r="A292" t="str">
        <f>Table3[[#This Row],[BillID]]</f>
        <v>BILL-00291</v>
      </c>
      <c r="B292" t="str">
        <f>Table3[[#This Row],[VendorID]]</f>
        <v>VEN-030</v>
      </c>
      <c r="C292" t="str">
        <f>VLOOKUP(B292,Vendors!A:B,2,FALSE)</f>
        <v>ContentCraft Studio</v>
      </c>
      <c r="D292" s="9">
        <f>Table3[[#This Row],[BillDate]]</f>
        <v>46024</v>
      </c>
      <c r="E292" s="9">
        <f>Table3[[#This Row],[DueDate]]</f>
        <v>46054</v>
      </c>
      <c r="F292" s="3">
        <f>Table3[[#This Row],[BillAmount]]</f>
        <v>2062.16</v>
      </c>
      <c r="G292" s="3">
        <f>SUMIF(Vendor_Payments!C:C,A292,Vendor_Payments!E:E)</f>
        <v>0</v>
      </c>
      <c r="H292" s="3">
        <f t="shared" si="12"/>
        <v>2062.16</v>
      </c>
      <c r="I292">
        <f t="shared" si="13"/>
        <v>37</v>
      </c>
      <c r="J292" t="str">
        <f t="shared" si="14"/>
        <v>31-60</v>
      </c>
    </row>
    <row r="293" spans="1:10" x14ac:dyDescent="0.3">
      <c r="A293" t="str">
        <f>Table3[[#This Row],[BillID]]</f>
        <v>BILL-00292</v>
      </c>
      <c r="B293" t="str">
        <f>Table3[[#This Row],[VendorID]]</f>
        <v>VEN-024</v>
      </c>
      <c r="C293" t="str">
        <f>VLOOKUP(B293,Vendors!A:B,2,FALSE)</f>
        <v>Growth Strategy Group</v>
      </c>
      <c r="D293" s="9">
        <f>Table3[[#This Row],[BillDate]]</f>
        <v>45996</v>
      </c>
      <c r="E293" s="9">
        <f>Table3[[#This Row],[DueDate]]</f>
        <v>46026</v>
      </c>
      <c r="F293" s="3">
        <f>Table3[[#This Row],[BillAmount]]</f>
        <v>3182.5</v>
      </c>
      <c r="G293" s="3">
        <f>SUMIF(Vendor_Payments!C:C,A293,Vendor_Payments!E:E)</f>
        <v>3182.5</v>
      </c>
      <c r="H293" s="3">
        <f t="shared" si="12"/>
        <v>0</v>
      </c>
      <c r="I293">
        <f t="shared" si="13"/>
        <v>65</v>
      </c>
      <c r="J293" t="str">
        <f t="shared" si="14"/>
        <v>61-90</v>
      </c>
    </row>
    <row r="294" spans="1:10" x14ac:dyDescent="0.3">
      <c r="A294" t="str">
        <f>Table3[[#This Row],[BillID]]</f>
        <v>BILL-00293</v>
      </c>
      <c r="B294" t="str">
        <f>Table3[[#This Row],[VendorID]]</f>
        <v>VEN-035</v>
      </c>
      <c r="C294" t="str">
        <f>VLOOKUP(B294,Vendors!A:B,2,FALSE)</f>
        <v>ClickFlow Marketing</v>
      </c>
      <c r="D294" s="9">
        <f>Table3[[#This Row],[BillDate]]</f>
        <v>45990</v>
      </c>
      <c r="E294" s="9">
        <f>Table3[[#This Row],[DueDate]]</f>
        <v>46020</v>
      </c>
      <c r="F294" s="3">
        <f>Table3[[#This Row],[BillAmount]]</f>
        <v>6968.43</v>
      </c>
      <c r="G294" s="3">
        <f>SUMIF(Vendor_Payments!C:C,A294,Vendor_Payments!E:E)</f>
        <v>0</v>
      </c>
      <c r="H294" s="3">
        <f t="shared" si="12"/>
        <v>6968.43</v>
      </c>
      <c r="I294">
        <f t="shared" si="13"/>
        <v>71</v>
      </c>
      <c r="J294" t="str">
        <f t="shared" si="14"/>
        <v>61-90</v>
      </c>
    </row>
    <row r="295" spans="1:10" x14ac:dyDescent="0.3">
      <c r="A295" t="str">
        <f>Table3[[#This Row],[BillID]]</f>
        <v>BILL-00294</v>
      </c>
      <c r="B295" t="str">
        <f>Table3[[#This Row],[VendorID]]</f>
        <v>VEN-004</v>
      </c>
      <c r="C295" t="str">
        <f>VLOOKUP(B295,Vendors!A:B,2,FALSE)</f>
        <v>LinkedIn Ads</v>
      </c>
      <c r="D295" s="9">
        <f>Table3[[#This Row],[BillDate]]</f>
        <v>46083</v>
      </c>
      <c r="E295" s="9">
        <f>Table3[[#This Row],[DueDate]]</f>
        <v>46113</v>
      </c>
      <c r="F295" s="3">
        <f>Table3[[#This Row],[BillAmount]]</f>
        <v>2142.38</v>
      </c>
      <c r="G295" s="3">
        <f>SUMIF(Vendor_Payments!C:C,A295,Vendor_Payments!E:E)</f>
        <v>2142.38</v>
      </c>
      <c r="H295" s="3">
        <f t="shared" si="12"/>
        <v>0</v>
      </c>
      <c r="I295">
        <f t="shared" si="13"/>
        <v>-22</v>
      </c>
      <c r="J295" t="str">
        <f t="shared" si="14"/>
        <v>Current</v>
      </c>
    </row>
    <row r="296" spans="1:10" x14ac:dyDescent="0.3">
      <c r="A296" t="str">
        <f>Table3[[#This Row],[BillID]]</f>
        <v>BILL-00295</v>
      </c>
      <c r="B296" t="str">
        <f>Table3[[#This Row],[VendorID]]</f>
        <v>VEN-034</v>
      </c>
      <c r="C296" t="str">
        <f>VLOOKUP(B296,Vendors!A:B,2,FALSE)</f>
        <v>SocialBoost Agency</v>
      </c>
      <c r="D296" s="9">
        <f>Table3[[#This Row],[BillDate]]</f>
        <v>45976</v>
      </c>
      <c r="E296" s="9">
        <f>Table3[[#This Row],[DueDate]]</f>
        <v>46006</v>
      </c>
      <c r="F296" s="3">
        <f>Table3[[#This Row],[BillAmount]]</f>
        <v>898.86</v>
      </c>
      <c r="G296" s="3">
        <f>SUMIF(Vendor_Payments!C:C,A296,Vendor_Payments!E:E)</f>
        <v>898.86</v>
      </c>
      <c r="H296" s="3">
        <f t="shared" si="12"/>
        <v>0</v>
      </c>
      <c r="I296">
        <f t="shared" si="13"/>
        <v>85</v>
      </c>
      <c r="J296" t="str">
        <f t="shared" si="14"/>
        <v>61-90</v>
      </c>
    </row>
    <row r="297" spans="1:10" x14ac:dyDescent="0.3">
      <c r="A297" t="str">
        <f>Table3[[#This Row],[BillID]]</f>
        <v>BILL-00296</v>
      </c>
      <c r="B297" t="str">
        <f>Table3[[#This Row],[VendorID]]</f>
        <v>VEN-005</v>
      </c>
      <c r="C297" t="str">
        <f>VLOOKUP(B297,Vendors!A:B,2,FALSE)</f>
        <v>HubSpot</v>
      </c>
      <c r="D297" s="9">
        <f>Table3[[#This Row],[BillDate]]</f>
        <v>46013</v>
      </c>
      <c r="E297" s="9">
        <f>Table3[[#This Row],[DueDate]]</f>
        <v>46043</v>
      </c>
      <c r="F297" s="3">
        <f>Table3[[#This Row],[BillAmount]]</f>
        <v>6011.33</v>
      </c>
      <c r="G297" s="3">
        <f>SUMIF(Vendor_Payments!C:C,A297,Vendor_Payments!E:E)</f>
        <v>6011.33</v>
      </c>
      <c r="H297" s="3">
        <f t="shared" si="12"/>
        <v>0</v>
      </c>
      <c r="I297">
        <f t="shared" si="13"/>
        <v>48</v>
      </c>
      <c r="J297" t="str">
        <f t="shared" si="14"/>
        <v>31-60</v>
      </c>
    </row>
    <row r="298" spans="1:10" x14ac:dyDescent="0.3">
      <c r="A298" t="str">
        <f>Table3[[#This Row],[BillID]]</f>
        <v>BILL-00297</v>
      </c>
      <c r="B298" t="str">
        <f>Table3[[#This Row],[VendorID]]</f>
        <v>VEN-030</v>
      </c>
      <c r="C298" t="str">
        <f>VLOOKUP(B298,Vendors!A:B,2,FALSE)</f>
        <v>ContentCraft Studio</v>
      </c>
      <c r="D298" s="9">
        <f>Table3[[#This Row],[BillDate]]</f>
        <v>46072</v>
      </c>
      <c r="E298" s="9">
        <f>Table3[[#This Row],[DueDate]]</f>
        <v>46102</v>
      </c>
      <c r="F298" s="3">
        <f>Table3[[#This Row],[BillAmount]]</f>
        <v>4964.66</v>
      </c>
      <c r="G298" s="3">
        <f>SUMIF(Vendor_Payments!C:C,A298,Vendor_Payments!E:E)</f>
        <v>4964.66</v>
      </c>
      <c r="H298" s="3">
        <f t="shared" si="12"/>
        <v>0</v>
      </c>
      <c r="I298">
        <f t="shared" si="13"/>
        <v>-11</v>
      </c>
      <c r="J298" t="str">
        <f t="shared" si="14"/>
        <v>Current</v>
      </c>
    </row>
    <row r="299" spans="1:10" x14ac:dyDescent="0.3">
      <c r="A299" t="str">
        <f>Table3[[#This Row],[BillID]]</f>
        <v>BILL-00298</v>
      </c>
      <c r="B299" t="str">
        <f>Table3[[#This Row],[VendorID]]</f>
        <v>VEN-012</v>
      </c>
      <c r="C299" t="str">
        <f>VLOOKUP(B299,Vendors!A:B,2,FALSE)</f>
        <v>Google Cloud</v>
      </c>
      <c r="D299" s="9">
        <f>Table3[[#This Row],[BillDate]]</f>
        <v>46047</v>
      </c>
      <c r="E299" s="9">
        <f>Table3[[#This Row],[DueDate]]</f>
        <v>46077</v>
      </c>
      <c r="F299" s="3">
        <f>Table3[[#This Row],[BillAmount]]</f>
        <v>2860.45</v>
      </c>
      <c r="G299" s="3">
        <f>SUMIF(Vendor_Payments!C:C,A299,Vendor_Payments!E:E)</f>
        <v>0</v>
      </c>
      <c r="H299" s="3">
        <f t="shared" si="12"/>
        <v>2860.45</v>
      </c>
      <c r="I299">
        <f t="shared" si="13"/>
        <v>14</v>
      </c>
      <c r="J299" t="str">
        <f t="shared" si="14"/>
        <v>1-30</v>
      </c>
    </row>
    <row r="300" spans="1:10" x14ac:dyDescent="0.3">
      <c r="A300" t="str">
        <f>Table3[[#This Row],[BillID]]</f>
        <v>BILL-00299</v>
      </c>
      <c r="B300" t="str">
        <f>Table3[[#This Row],[VendorID]]</f>
        <v>VEN-034</v>
      </c>
      <c r="C300" t="str">
        <f>VLOOKUP(B300,Vendors!A:B,2,FALSE)</f>
        <v>SocialBoost Agency</v>
      </c>
      <c r="D300" s="9">
        <f>Table3[[#This Row],[BillDate]]</f>
        <v>45986</v>
      </c>
      <c r="E300" s="9">
        <f>Table3[[#This Row],[DueDate]]</f>
        <v>46016</v>
      </c>
      <c r="F300" s="3">
        <f>Table3[[#This Row],[BillAmount]]</f>
        <v>3297.53</v>
      </c>
      <c r="G300" s="3">
        <f>SUMIF(Vendor_Payments!C:C,A300,Vendor_Payments!E:E)</f>
        <v>3297.53</v>
      </c>
      <c r="H300" s="3">
        <f t="shared" si="12"/>
        <v>0</v>
      </c>
      <c r="I300">
        <f t="shared" si="13"/>
        <v>75</v>
      </c>
      <c r="J300" t="str">
        <f t="shared" si="14"/>
        <v>61-90</v>
      </c>
    </row>
    <row r="301" spans="1:10" x14ac:dyDescent="0.3">
      <c r="A301" t="str">
        <f>Table3[[#This Row],[BillID]]</f>
        <v>BILL-00300</v>
      </c>
      <c r="B301" t="str">
        <f>Table3[[#This Row],[VendorID]]</f>
        <v>VEN-036</v>
      </c>
      <c r="C301" t="str">
        <f>VLOOKUP(B301,Vendors!A:B,2,FALSE)</f>
        <v>WebDev Masters</v>
      </c>
      <c r="D301" s="9">
        <f>Table3[[#This Row],[BillDate]]</f>
        <v>45979</v>
      </c>
      <c r="E301" s="9">
        <f>Table3[[#This Row],[DueDate]]</f>
        <v>46009</v>
      </c>
      <c r="F301" s="3">
        <f>Table3[[#This Row],[BillAmount]]</f>
        <v>4000.41</v>
      </c>
      <c r="G301" s="3">
        <f>SUMIF(Vendor_Payments!C:C,A301,Vendor_Payments!E:E)</f>
        <v>4000.41</v>
      </c>
      <c r="H301" s="3">
        <f t="shared" si="12"/>
        <v>0</v>
      </c>
      <c r="I301">
        <f t="shared" si="13"/>
        <v>82</v>
      </c>
      <c r="J301" t="str">
        <f t="shared" si="14"/>
        <v>61-90</v>
      </c>
    </row>
    <row r="302" spans="1:10" x14ac:dyDescent="0.3">
      <c r="A302" t="str">
        <f>Table3[[#This Row],[BillID]]</f>
        <v>BILL-00301</v>
      </c>
      <c r="B302" t="str">
        <f>Table3[[#This Row],[VendorID]]</f>
        <v>VEN-027</v>
      </c>
      <c r="C302" t="str">
        <f>VLOOKUP(B302,Vendors!A:B,2,FALSE)</f>
        <v>DevCraft Agency</v>
      </c>
      <c r="D302" s="9">
        <f>Table3[[#This Row],[BillDate]]</f>
        <v>46089</v>
      </c>
      <c r="E302" s="9">
        <f>Table3[[#This Row],[DueDate]]</f>
        <v>46119</v>
      </c>
      <c r="F302" s="3">
        <f>Table3[[#This Row],[BillAmount]]</f>
        <v>3457.39</v>
      </c>
      <c r="G302" s="3">
        <f>SUMIF(Vendor_Payments!C:C,A302,Vendor_Payments!E:E)</f>
        <v>3457.39</v>
      </c>
      <c r="H302" s="3">
        <f t="shared" si="12"/>
        <v>0</v>
      </c>
      <c r="I302">
        <f t="shared" si="13"/>
        <v>-28</v>
      </c>
      <c r="J302" t="str">
        <f t="shared" si="14"/>
        <v>Current</v>
      </c>
    </row>
    <row r="303" spans="1:10" x14ac:dyDescent="0.3">
      <c r="A303" t="str">
        <f>Table3[[#This Row],[BillID]]</f>
        <v>BILL-00302</v>
      </c>
      <c r="B303" t="str">
        <f>Table3[[#This Row],[VendorID]]</f>
        <v>VEN-025</v>
      </c>
      <c r="C303" t="str">
        <f>VLOOKUP(B303,Vendors!A:B,2,FALSE)</f>
        <v>Digital Growth Consultants</v>
      </c>
      <c r="D303" s="9">
        <f>Table3[[#This Row],[BillDate]]</f>
        <v>46050</v>
      </c>
      <c r="E303" s="9">
        <f>Table3[[#This Row],[DueDate]]</f>
        <v>46080</v>
      </c>
      <c r="F303" s="3">
        <f>Table3[[#This Row],[BillAmount]]</f>
        <v>5035.79</v>
      </c>
      <c r="G303" s="3">
        <f>SUMIF(Vendor_Payments!C:C,A303,Vendor_Payments!E:E)</f>
        <v>5035.79</v>
      </c>
      <c r="H303" s="3">
        <f t="shared" si="12"/>
        <v>0</v>
      </c>
      <c r="I303">
        <f t="shared" si="13"/>
        <v>11</v>
      </c>
      <c r="J303" t="str">
        <f t="shared" si="14"/>
        <v>1-30</v>
      </c>
    </row>
    <row r="304" spans="1:10" x14ac:dyDescent="0.3">
      <c r="A304" t="str">
        <f>Table3[[#This Row],[BillID]]</f>
        <v>BILL-00303</v>
      </c>
      <c r="B304" t="str">
        <f>Table3[[#This Row],[VendorID]]</f>
        <v>VEN-014</v>
      </c>
      <c r="C304" t="str">
        <f>VLOOKUP(B304,Vendors!A:B,2,FALSE)</f>
        <v>Figma</v>
      </c>
      <c r="D304" s="9">
        <f>Table3[[#This Row],[BillDate]]</f>
        <v>45963</v>
      </c>
      <c r="E304" s="9">
        <f>Table3[[#This Row],[DueDate]]</f>
        <v>45993</v>
      </c>
      <c r="F304" s="3">
        <f>Table3[[#This Row],[BillAmount]]</f>
        <v>6647.09</v>
      </c>
      <c r="G304" s="3">
        <f>SUMIF(Vendor_Payments!C:C,A304,Vendor_Payments!E:E)</f>
        <v>6647.09</v>
      </c>
      <c r="H304" s="3">
        <f t="shared" si="12"/>
        <v>0</v>
      </c>
      <c r="I304">
        <f t="shared" si="13"/>
        <v>98</v>
      </c>
      <c r="J304" t="str">
        <f t="shared" si="14"/>
        <v>90+</v>
      </c>
    </row>
    <row r="305" spans="1:10" x14ac:dyDescent="0.3">
      <c r="A305" t="str">
        <f>Table3[[#This Row],[BillID]]</f>
        <v>BILL-00304</v>
      </c>
      <c r="B305" t="str">
        <f>Table3[[#This Row],[VendorID]]</f>
        <v>VEN-031</v>
      </c>
      <c r="C305" t="str">
        <f>VLOOKUP(B305,Vendors!A:B,2,FALSE)</f>
        <v>DataInsight Analytics</v>
      </c>
      <c r="D305" s="9">
        <f>Table3[[#This Row],[BillDate]]</f>
        <v>46030</v>
      </c>
      <c r="E305" s="9">
        <f>Table3[[#This Row],[DueDate]]</f>
        <v>46060</v>
      </c>
      <c r="F305" s="3">
        <f>Table3[[#This Row],[BillAmount]]</f>
        <v>3388.93</v>
      </c>
      <c r="G305" s="3">
        <f>SUMIF(Vendor_Payments!C:C,A305,Vendor_Payments!E:E)</f>
        <v>3388.93</v>
      </c>
      <c r="H305" s="3">
        <f t="shared" si="12"/>
        <v>0</v>
      </c>
      <c r="I305">
        <f t="shared" si="13"/>
        <v>31</v>
      </c>
      <c r="J305" t="str">
        <f t="shared" si="14"/>
        <v>31-60</v>
      </c>
    </row>
    <row r="306" spans="1:10" x14ac:dyDescent="0.3">
      <c r="A306" t="str">
        <f>Table3[[#This Row],[BillID]]</f>
        <v>BILL-00305</v>
      </c>
      <c r="B306" t="str">
        <f>Table3[[#This Row],[VendorID]]</f>
        <v>VEN-014</v>
      </c>
      <c r="C306" t="str">
        <f>VLOOKUP(B306,Vendors!A:B,2,FALSE)</f>
        <v>Figma</v>
      </c>
      <c r="D306" s="9">
        <f>Table3[[#This Row],[BillDate]]</f>
        <v>46020</v>
      </c>
      <c r="E306" s="9">
        <f>Table3[[#This Row],[DueDate]]</f>
        <v>46050</v>
      </c>
      <c r="F306" s="3">
        <f>Table3[[#This Row],[BillAmount]]</f>
        <v>6337.32</v>
      </c>
      <c r="G306" s="3">
        <f>SUMIF(Vendor_Payments!C:C,A306,Vendor_Payments!E:E)</f>
        <v>6337.32</v>
      </c>
      <c r="H306" s="3">
        <f t="shared" si="12"/>
        <v>0</v>
      </c>
      <c r="I306">
        <f t="shared" si="13"/>
        <v>41</v>
      </c>
      <c r="J306" t="str">
        <f t="shared" si="14"/>
        <v>31-60</v>
      </c>
    </row>
    <row r="307" spans="1:10" x14ac:dyDescent="0.3">
      <c r="A307" t="str">
        <f>Table3[[#This Row],[BillID]]</f>
        <v>BILL-00306</v>
      </c>
      <c r="B307" t="str">
        <f>Table3[[#This Row],[VendorID]]</f>
        <v>VEN-039</v>
      </c>
      <c r="C307" t="str">
        <f>VLOOKUP(B307,Vendors!A:B,2,FALSE)</f>
        <v>Global Growth Advisors</v>
      </c>
      <c r="D307" s="9">
        <f>Table3[[#This Row],[BillDate]]</f>
        <v>45970</v>
      </c>
      <c r="E307" s="9">
        <f>Table3[[#This Row],[DueDate]]</f>
        <v>46000</v>
      </c>
      <c r="F307" s="3">
        <f>Table3[[#This Row],[BillAmount]]</f>
        <v>1123.1300000000001</v>
      </c>
      <c r="G307" s="3">
        <f>SUMIF(Vendor_Payments!C:C,A307,Vendor_Payments!E:E)</f>
        <v>0</v>
      </c>
      <c r="H307" s="3">
        <f t="shared" si="12"/>
        <v>1123.1300000000001</v>
      </c>
      <c r="I307">
        <f t="shared" si="13"/>
        <v>91</v>
      </c>
      <c r="J307" t="str">
        <f t="shared" si="14"/>
        <v>90+</v>
      </c>
    </row>
    <row r="308" spans="1:10" x14ac:dyDescent="0.3">
      <c r="A308" t="str">
        <f>Table3[[#This Row],[BillID]]</f>
        <v>BILL-00307</v>
      </c>
      <c r="B308" t="str">
        <f>Table3[[#This Row],[VendorID]]</f>
        <v>VEN-017</v>
      </c>
      <c r="C308" t="str">
        <f>VLOOKUP(B308,Vendors!A:B,2,FALSE)</f>
        <v>PayPal</v>
      </c>
      <c r="D308" s="9">
        <f>Table3[[#This Row],[BillDate]]</f>
        <v>45974</v>
      </c>
      <c r="E308" s="9">
        <f>Table3[[#This Row],[DueDate]]</f>
        <v>46004</v>
      </c>
      <c r="F308" s="3">
        <f>Table3[[#This Row],[BillAmount]]</f>
        <v>4005.48</v>
      </c>
      <c r="G308" s="3">
        <f>SUMIF(Vendor_Payments!C:C,A308,Vendor_Payments!E:E)</f>
        <v>0</v>
      </c>
      <c r="H308" s="3">
        <f t="shared" si="12"/>
        <v>4005.48</v>
      </c>
      <c r="I308">
        <f t="shared" si="13"/>
        <v>87</v>
      </c>
      <c r="J308" t="str">
        <f t="shared" si="14"/>
        <v>61-90</v>
      </c>
    </row>
    <row r="309" spans="1:10" x14ac:dyDescent="0.3">
      <c r="A309" t="str">
        <f>Table3[[#This Row],[BillID]]</f>
        <v>BILL-00308</v>
      </c>
      <c r="B309" t="str">
        <f>Table3[[#This Row],[VendorID]]</f>
        <v>VEN-015</v>
      </c>
      <c r="C309" t="str">
        <f>VLOOKUP(B309,Vendors!A:B,2,FALSE)</f>
        <v>Zapier</v>
      </c>
      <c r="D309" s="9">
        <f>Table3[[#This Row],[BillDate]]</f>
        <v>46075</v>
      </c>
      <c r="E309" s="9">
        <f>Table3[[#This Row],[DueDate]]</f>
        <v>46105</v>
      </c>
      <c r="F309" s="3">
        <f>Table3[[#This Row],[BillAmount]]</f>
        <v>1893.46</v>
      </c>
      <c r="G309" s="3">
        <f>SUMIF(Vendor_Payments!C:C,A309,Vendor_Payments!E:E)</f>
        <v>1893.46</v>
      </c>
      <c r="H309" s="3">
        <f t="shared" si="12"/>
        <v>0</v>
      </c>
      <c r="I309">
        <f t="shared" si="13"/>
        <v>-14</v>
      </c>
      <c r="J309" t="str">
        <f t="shared" si="14"/>
        <v>Current</v>
      </c>
    </row>
    <row r="310" spans="1:10" x14ac:dyDescent="0.3">
      <c r="A310" t="str">
        <f>Table3[[#This Row],[BillID]]</f>
        <v>BILL-00309</v>
      </c>
      <c r="B310" t="str">
        <f>Table3[[#This Row],[VendorID]]</f>
        <v>VEN-016</v>
      </c>
      <c r="C310" t="str">
        <f>VLOOKUP(B310,Vendors!A:B,2,FALSE)</f>
        <v>Stripe</v>
      </c>
      <c r="D310" s="9">
        <f>Table3[[#This Row],[BillDate]]</f>
        <v>46064</v>
      </c>
      <c r="E310" s="9">
        <f>Table3[[#This Row],[DueDate]]</f>
        <v>46094</v>
      </c>
      <c r="F310" s="3">
        <f>Table3[[#This Row],[BillAmount]]</f>
        <v>2410.19</v>
      </c>
      <c r="G310" s="3">
        <f>SUMIF(Vendor_Payments!C:C,A310,Vendor_Payments!E:E)</f>
        <v>2410.19</v>
      </c>
      <c r="H310" s="3">
        <f t="shared" si="12"/>
        <v>0</v>
      </c>
      <c r="I310">
        <f t="shared" si="13"/>
        <v>-3</v>
      </c>
      <c r="J310" t="str">
        <f t="shared" si="14"/>
        <v>Current</v>
      </c>
    </row>
    <row r="311" spans="1:10" x14ac:dyDescent="0.3">
      <c r="A311" t="str">
        <f>Table3[[#This Row],[BillID]]</f>
        <v>BILL-00310</v>
      </c>
      <c r="B311" t="str">
        <f>Table3[[#This Row],[VendorID]]</f>
        <v>VEN-034</v>
      </c>
      <c r="C311" t="str">
        <f>VLOOKUP(B311,Vendors!A:B,2,FALSE)</f>
        <v>SocialBoost Agency</v>
      </c>
      <c r="D311" s="9">
        <f>Table3[[#This Row],[BillDate]]</f>
        <v>45984</v>
      </c>
      <c r="E311" s="9">
        <f>Table3[[#This Row],[DueDate]]</f>
        <v>46014</v>
      </c>
      <c r="F311" s="3">
        <f>Table3[[#This Row],[BillAmount]]</f>
        <v>6650.26</v>
      </c>
      <c r="G311" s="3">
        <f>SUMIF(Vendor_Payments!C:C,A311,Vendor_Payments!E:E)</f>
        <v>6650.26</v>
      </c>
      <c r="H311" s="3">
        <f t="shared" si="12"/>
        <v>0</v>
      </c>
      <c r="I311">
        <f t="shared" si="13"/>
        <v>77</v>
      </c>
      <c r="J311" t="str">
        <f t="shared" si="14"/>
        <v>61-90</v>
      </c>
    </row>
    <row r="312" spans="1:10" x14ac:dyDescent="0.3">
      <c r="A312" t="str">
        <f>Table3[[#This Row],[BillID]]</f>
        <v>BILL-00311</v>
      </c>
      <c r="B312" t="str">
        <f>Table3[[#This Row],[VendorID]]</f>
        <v>VEN-013</v>
      </c>
      <c r="C312" t="str">
        <f>VLOOKUP(B312,Vendors!A:B,2,FALSE)</f>
        <v>Canva Pro</v>
      </c>
      <c r="D312" s="9">
        <f>Table3[[#This Row],[BillDate]]</f>
        <v>46086</v>
      </c>
      <c r="E312" s="9">
        <f>Table3[[#This Row],[DueDate]]</f>
        <v>46116</v>
      </c>
      <c r="F312" s="3">
        <f>Table3[[#This Row],[BillAmount]]</f>
        <v>4381.8100000000004</v>
      </c>
      <c r="G312" s="3">
        <f>SUMIF(Vendor_Payments!C:C,A312,Vendor_Payments!E:E)</f>
        <v>0</v>
      </c>
      <c r="H312" s="3">
        <f t="shared" si="12"/>
        <v>4381.8100000000004</v>
      </c>
      <c r="I312">
        <f t="shared" si="13"/>
        <v>-25</v>
      </c>
      <c r="J312" t="str">
        <f t="shared" si="14"/>
        <v>Current</v>
      </c>
    </row>
    <row r="313" spans="1:10" x14ac:dyDescent="0.3">
      <c r="A313" t="str">
        <f>Table3[[#This Row],[BillID]]</f>
        <v>BILL-00312</v>
      </c>
      <c r="B313" t="str">
        <f>Table3[[#This Row],[VendorID]]</f>
        <v>VEN-029</v>
      </c>
      <c r="C313" t="str">
        <f>VLOOKUP(B313,Vendors!A:B,2,FALSE)</f>
        <v>BrightSEO Agency</v>
      </c>
      <c r="D313" s="9">
        <f>Table3[[#This Row],[BillDate]]</f>
        <v>46073</v>
      </c>
      <c r="E313" s="9">
        <f>Table3[[#This Row],[DueDate]]</f>
        <v>46103</v>
      </c>
      <c r="F313" s="3">
        <f>Table3[[#This Row],[BillAmount]]</f>
        <v>3460.2</v>
      </c>
      <c r="G313" s="3">
        <f>SUMIF(Vendor_Payments!C:C,A313,Vendor_Payments!E:E)</f>
        <v>3460.2</v>
      </c>
      <c r="H313" s="3">
        <f t="shared" si="12"/>
        <v>0</v>
      </c>
      <c r="I313">
        <f t="shared" si="13"/>
        <v>-12</v>
      </c>
      <c r="J313" t="str">
        <f t="shared" si="14"/>
        <v>Current</v>
      </c>
    </row>
    <row r="314" spans="1:10" x14ac:dyDescent="0.3">
      <c r="A314" t="str">
        <f>Table3[[#This Row],[BillID]]</f>
        <v>BILL-00313</v>
      </c>
      <c r="B314" t="str">
        <f>Table3[[#This Row],[VendorID]]</f>
        <v>VEN-013</v>
      </c>
      <c r="C314" t="str">
        <f>VLOOKUP(B314,Vendors!A:B,2,FALSE)</f>
        <v>Canva Pro</v>
      </c>
      <c r="D314" s="9">
        <f>Table3[[#This Row],[BillDate]]</f>
        <v>46013</v>
      </c>
      <c r="E314" s="9">
        <f>Table3[[#This Row],[DueDate]]</f>
        <v>46043</v>
      </c>
      <c r="F314" s="3">
        <f>Table3[[#This Row],[BillAmount]]</f>
        <v>5027.2299999999996</v>
      </c>
      <c r="G314" s="3">
        <f>SUMIF(Vendor_Payments!C:C,A314,Vendor_Payments!E:E)</f>
        <v>0</v>
      </c>
      <c r="H314" s="3">
        <f t="shared" si="12"/>
        <v>5027.2299999999996</v>
      </c>
      <c r="I314">
        <f t="shared" si="13"/>
        <v>48</v>
      </c>
      <c r="J314" t="str">
        <f t="shared" si="14"/>
        <v>31-60</v>
      </c>
    </row>
    <row r="315" spans="1:10" x14ac:dyDescent="0.3">
      <c r="A315" t="str">
        <f>Table3[[#This Row],[BillID]]</f>
        <v>BILL-00314</v>
      </c>
      <c r="B315" t="str">
        <f>Table3[[#This Row],[VendorID]]</f>
        <v>VEN-004</v>
      </c>
      <c r="C315" t="str">
        <f>VLOOKUP(B315,Vendors!A:B,2,FALSE)</f>
        <v>LinkedIn Ads</v>
      </c>
      <c r="D315" s="9">
        <f>Table3[[#This Row],[BillDate]]</f>
        <v>46088</v>
      </c>
      <c r="E315" s="9">
        <f>Table3[[#This Row],[DueDate]]</f>
        <v>46118</v>
      </c>
      <c r="F315" s="3">
        <f>Table3[[#This Row],[BillAmount]]</f>
        <v>5367.82</v>
      </c>
      <c r="G315" s="3">
        <f>SUMIF(Vendor_Payments!C:C,A315,Vendor_Payments!E:E)</f>
        <v>5367.82</v>
      </c>
      <c r="H315" s="3">
        <f t="shared" si="12"/>
        <v>0</v>
      </c>
      <c r="I315">
        <f t="shared" si="13"/>
        <v>-27</v>
      </c>
      <c r="J315" t="str">
        <f t="shared" si="14"/>
        <v>Current</v>
      </c>
    </row>
    <row r="316" spans="1:10" x14ac:dyDescent="0.3">
      <c r="A316" t="str">
        <f>Table3[[#This Row],[BillID]]</f>
        <v>BILL-00315</v>
      </c>
      <c r="B316" t="str">
        <f>Table3[[#This Row],[VendorID]]</f>
        <v>VEN-032</v>
      </c>
      <c r="C316" t="str">
        <f>VLOOKUP(B316,Vendors!A:B,2,FALSE)</f>
        <v>Marketing Automation Labs</v>
      </c>
      <c r="D316" s="9">
        <f>Table3[[#This Row],[BillDate]]</f>
        <v>46073</v>
      </c>
      <c r="E316" s="9">
        <f>Table3[[#This Row],[DueDate]]</f>
        <v>46103</v>
      </c>
      <c r="F316" s="3">
        <f>Table3[[#This Row],[BillAmount]]</f>
        <v>5206.22</v>
      </c>
      <c r="G316" s="3">
        <f>SUMIF(Vendor_Payments!C:C,A316,Vendor_Payments!E:E)</f>
        <v>5206.22</v>
      </c>
      <c r="H316" s="3">
        <f t="shared" si="12"/>
        <v>0</v>
      </c>
      <c r="I316">
        <f t="shared" si="13"/>
        <v>-12</v>
      </c>
      <c r="J316" t="str">
        <f t="shared" si="14"/>
        <v>Current</v>
      </c>
    </row>
    <row r="317" spans="1:10" x14ac:dyDescent="0.3">
      <c r="A317" t="str">
        <f>Table3[[#This Row],[BillID]]</f>
        <v>BILL-00316</v>
      </c>
      <c r="B317" t="str">
        <f>Table3[[#This Row],[VendorID]]</f>
        <v>VEN-005</v>
      </c>
      <c r="C317" t="str">
        <f>VLOOKUP(B317,Vendors!A:B,2,FALSE)</f>
        <v>HubSpot</v>
      </c>
      <c r="D317" s="9">
        <f>Table3[[#This Row],[BillDate]]</f>
        <v>46029</v>
      </c>
      <c r="E317" s="9">
        <f>Table3[[#This Row],[DueDate]]</f>
        <v>46059</v>
      </c>
      <c r="F317" s="3">
        <f>Table3[[#This Row],[BillAmount]]</f>
        <v>4437.5200000000004</v>
      </c>
      <c r="G317" s="3">
        <f>SUMIF(Vendor_Payments!C:C,A317,Vendor_Payments!E:E)</f>
        <v>0</v>
      </c>
      <c r="H317" s="3">
        <f t="shared" si="12"/>
        <v>4437.5200000000004</v>
      </c>
      <c r="I317">
        <f t="shared" si="13"/>
        <v>32</v>
      </c>
      <c r="J317" t="str">
        <f t="shared" si="14"/>
        <v>31-60</v>
      </c>
    </row>
    <row r="318" spans="1:10" x14ac:dyDescent="0.3">
      <c r="A318" t="str">
        <f>Table3[[#This Row],[BillID]]</f>
        <v>BILL-00317</v>
      </c>
      <c r="B318" t="str">
        <f>Table3[[#This Row],[VendorID]]</f>
        <v>VEN-017</v>
      </c>
      <c r="C318" t="str">
        <f>VLOOKUP(B318,Vendors!A:B,2,FALSE)</f>
        <v>PayPal</v>
      </c>
      <c r="D318" s="9">
        <f>Table3[[#This Row],[BillDate]]</f>
        <v>46001</v>
      </c>
      <c r="E318" s="9">
        <f>Table3[[#This Row],[DueDate]]</f>
        <v>46031</v>
      </c>
      <c r="F318" s="3">
        <f>Table3[[#This Row],[BillAmount]]</f>
        <v>1712.41</v>
      </c>
      <c r="G318" s="3">
        <f>SUMIF(Vendor_Payments!C:C,A318,Vendor_Payments!E:E)</f>
        <v>1712.41</v>
      </c>
      <c r="H318" s="3">
        <f t="shared" si="12"/>
        <v>0</v>
      </c>
      <c r="I318">
        <f t="shared" si="13"/>
        <v>60</v>
      </c>
      <c r="J318" t="str">
        <f t="shared" si="14"/>
        <v>31-60</v>
      </c>
    </row>
    <row r="319" spans="1:10" x14ac:dyDescent="0.3">
      <c r="A319" t="str">
        <f>Table3[[#This Row],[BillID]]</f>
        <v>BILL-00318</v>
      </c>
      <c r="B319" t="str">
        <f>Table3[[#This Row],[VendorID]]</f>
        <v>VEN-009</v>
      </c>
      <c r="C319" t="str">
        <f>VLOOKUP(B319,Vendors!A:B,2,FALSE)</f>
        <v>SEMrush</v>
      </c>
      <c r="D319" s="9">
        <f>Table3[[#This Row],[BillDate]]</f>
        <v>46010</v>
      </c>
      <c r="E319" s="9">
        <f>Table3[[#This Row],[DueDate]]</f>
        <v>46040</v>
      </c>
      <c r="F319" s="3">
        <f>Table3[[#This Row],[BillAmount]]</f>
        <v>3623.74</v>
      </c>
      <c r="G319" s="3">
        <f>SUMIF(Vendor_Payments!C:C,A319,Vendor_Payments!E:E)</f>
        <v>3623.74</v>
      </c>
      <c r="H319" s="3">
        <f t="shared" si="12"/>
        <v>0</v>
      </c>
      <c r="I319">
        <f t="shared" si="13"/>
        <v>51</v>
      </c>
      <c r="J319" t="str">
        <f t="shared" si="14"/>
        <v>31-60</v>
      </c>
    </row>
    <row r="320" spans="1:10" x14ac:dyDescent="0.3">
      <c r="A320" t="str">
        <f>Table3[[#This Row],[BillID]]</f>
        <v>BILL-00319</v>
      </c>
      <c r="B320" t="str">
        <f>Table3[[#This Row],[VendorID]]</f>
        <v>VEN-012</v>
      </c>
      <c r="C320" t="str">
        <f>VLOOKUP(B320,Vendors!A:B,2,FALSE)</f>
        <v>Google Cloud</v>
      </c>
      <c r="D320" s="9">
        <f>Table3[[#This Row],[BillDate]]</f>
        <v>46050</v>
      </c>
      <c r="E320" s="9">
        <f>Table3[[#This Row],[DueDate]]</f>
        <v>46080</v>
      </c>
      <c r="F320" s="3">
        <f>Table3[[#This Row],[BillAmount]]</f>
        <v>1887.74</v>
      </c>
      <c r="G320" s="3">
        <f>SUMIF(Vendor_Payments!C:C,A320,Vendor_Payments!E:E)</f>
        <v>1887.74</v>
      </c>
      <c r="H320" s="3">
        <f t="shared" si="12"/>
        <v>0</v>
      </c>
      <c r="I320">
        <f t="shared" si="13"/>
        <v>11</v>
      </c>
      <c r="J320" t="str">
        <f t="shared" si="14"/>
        <v>1-30</v>
      </c>
    </row>
    <row r="321" spans="1:10" x14ac:dyDescent="0.3">
      <c r="A321" t="str">
        <f>Table3[[#This Row],[BillID]]</f>
        <v>BILL-00320</v>
      </c>
      <c r="B321" t="str">
        <f>Table3[[#This Row],[VendorID]]</f>
        <v>VEN-007</v>
      </c>
      <c r="C321" t="str">
        <f>VLOOKUP(B321,Vendors!A:B,2,FALSE)</f>
        <v>Mailchimp</v>
      </c>
      <c r="D321" s="9">
        <f>Table3[[#This Row],[BillDate]]</f>
        <v>45964</v>
      </c>
      <c r="E321" s="9">
        <f>Table3[[#This Row],[DueDate]]</f>
        <v>45994</v>
      </c>
      <c r="F321" s="3">
        <f>Table3[[#This Row],[BillAmount]]</f>
        <v>5521.78</v>
      </c>
      <c r="G321" s="3">
        <f>SUMIF(Vendor_Payments!C:C,A321,Vendor_Payments!E:E)</f>
        <v>0</v>
      </c>
      <c r="H321" s="3">
        <f t="shared" si="12"/>
        <v>5521.78</v>
      </c>
      <c r="I321">
        <f t="shared" si="13"/>
        <v>97</v>
      </c>
      <c r="J321" t="str">
        <f t="shared" si="14"/>
        <v>90+</v>
      </c>
    </row>
    <row r="322" spans="1:10" x14ac:dyDescent="0.3">
      <c r="A322" t="str">
        <f>Table3[[#This Row],[BillID]]</f>
        <v>BILL-00321</v>
      </c>
      <c r="B322" t="str">
        <f>Table3[[#This Row],[VendorID]]</f>
        <v>VEN-032</v>
      </c>
      <c r="C322" t="str">
        <f>VLOOKUP(B322,Vendors!A:B,2,FALSE)</f>
        <v>Marketing Automation Labs</v>
      </c>
      <c r="D322" s="9">
        <f>Table3[[#This Row],[BillDate]]</f>
        <v>46020</v>
      </c>
      <c r="E322" s="9">
        <f>Table3[[#This Row],[DueDate]]</f>
        <v>46050</v>
      </c>
      <c r="F322" s="3">
        <f>Table3[[#This Row],[BillAmount]]</f>
        <v>3440.74</v>
      </c>
      <c r="G322" s="3">
        <f>SUMIF(Vendor_Payments!C:C,A322,Vendor_Payments!E:E)</f>
        <v>3440.74</v>
      </c>
      <c r="H322" s="3">
        <f t="shared" si="12"/>
        <v>0</v>
      </c>
      <c r="I322">
        <f t="shared" si="13"/>
        <v>41</v>
      </c>
      <c r="J322" t="str">
        <f t="shared" si="14"/>
        <v>31-60</v>
      </c>
    </row>
    <row r="323" spans="1:10" x14ac:dyDescent="0.3">
      <c r="A323" t="str">
        <f>Table3[[#This Row],[BillID]]</f>
        <v>BILL-00322</v>
      </c>
      <c r="B323" t="str">
        <f>Table3[[#This Row],[VendorID]]</f>
        <v>VEN-028</v>
      </c>
      <c r="C323" t="str">
        <f>VLOOKUP(B323,Vendors!A:B,2,FALSE)</f>
        <v>MarketEdge Consulting</v>
      </c>
      <c r="D323" s="9">
        <f>Table3[[#This Row],[BillDate]]</f>
        <v>45969</v>
      </c>
      <c r="E323" s="9">
        <f>Table3[[#This Row],[DueDate]]</f>
        <v>45999</v>
      </c>
      <c r="F323" s="3">
        <f>Table3[[#This Row],[BillAmount]]</f>
        <v>1819.17</v>
      </c>
      <c r="G323" s="3">
        <f>SUMIF(Vendor_Payments!C:C,A323,Vendor_Payments!E:E)</f>
        <v>0</v>
      </c>
      <c r="H323" s="3">
        <f t="shared" ref="H323:H386" si="15">F323-G323</f>
        <v>1819.17</v>
      </c>
      <c r="I323">
        <f t="shared" ref="I323:I386" si="16">$L$1-E323</f>
        <v>92</v>
      </c>
      <c r="J323" t="str">
        <f t="shared" ref="J323:J386" si="17">IF(I323&lt;=0,"Current",IF(I323&lt;=30,"1-30",IF(I323&lt;=60,"31-60",IF(I323&lt;=90,"61-90","90+"))))</f>
        <v>90+</v>
      </c>
    </row>
    <row r="324" spans="1:10" x14ac:dyDescent="0.3">
      <c r="A324" t="str">
        <f>Table3[[#This Row],[BillID]]</f>
        <v>BILL-00323</v>
      </c>
      <c r="B324" t="str">
        <f>Table3[[#This Row],[VendorID]]</f>
        <v>VEN-035</v>
      </c>
      <c r="C324" t="str">
        <f>VLOOKUP(B324,Vendors!A:B,2,FALSE)</f>
        <v>ClickFlow Marketing</v>
      </c>
      <c r="D324" s="9">
        <f>Table3[[#This Row],[BillDate]]</f>
        <v>46078</v>
      </c>
      <c r="E324" s="9">
        <f>Table3[[#This Row],[DueDate]]</f>
        <v>46108</v>
      </c>
      <c r="F324" s="3">
        <f>Table3[[#This Row],[BillAmount]]</f>
        <v>3106.08</v>
      </c>
      <c r="G324" s="3">
        <f>SUMIF(Vendor_Payments!C:C,A324,Vendor_Payments!E:E)</f>
        <v>3106.08</v>
      </c>
      <c r="H324" s="3">
        <f t="shared" si="15"/>
        <v>0</v>
      </c>
      <c r="I324">
        <f t="shared" si="16"/>
        <v>-17</v>
      </c>
      <c r="J324" t="str">
        <f t="shared" si="17"/>
        <v>Current</v>
      </c>
    </row>
    <row r="325" spans="1:10" x14ac:dyDescent="0.3">
      <c r="A325" t="str">
        <f>Table3[[#This Row],[BillID]]</f>
        <v>BILL-00324</v>
      </c>
      <c r="B325" t="str">
        <f>Table3[[#This Row],[VendorID]]</f>
        <v>VEN-026</v>
      </c>
      <c r="C325" t="str">
        <f>VLOOKUP(B325,Vendors!A:B,2,FALSE)</f>
        <v>PixelForge Studio</v>
      </c>
      <c r="D325" s="9">
        <f>Table3[[#This Row],[BillDate]]</f>
        <v>46020</v>
      </c>
      <c r="E325" s="9">
        <f>Table3[[#This Row],[DueDate]]</f>
        <v>46050</v>
      </c>
      <c r="F325" s="3">
        <f>Table3[[#This Row],[BillAmount]]</f>
        <v>4378.17</v>
      </c>
      <c r="G325" s="3">
        <f>SUMIF(Vendor_Payments!C:C,A325,Vendor_Payments!E:E)</f>
        <v>4378.17</v>
      </c>
      <c r="H325" s="3">
        <f t="shared" si="15"/>
        <v>0</v>
      </c>
      <c r="I325">
        <f t="shared" si="16"/>
        <v>41</v>
      </c>
      <c r="J325" t="str">
        <f t="shared" si="17"/>
        <v>31-60</v>
      </c>
    </row>
    <row r="326" spans="1:10" x14ac:dyDescent="0.3">
      <c r="A326" t="str">
        <f>Table3[[#This Row],[BillID]]</f>
        <v>BILL-00325</v>
      </c>
      <c r="B326" t="str">
        <f>Table3[[#This Row],[VendorID]]</f>
        <v>VEN-007</v>
      </c>
      <c r="C326" t="str">
        <f>VLOOKUP(B326,Vendors!A:B,2,FALSE)</f>
        <v>Mailchimp</v>
      </c>
      <c r="D326" s="9">
        <f>Table3[[#This Row],[BillDate]]</f>
        <v>46019</v>
      </c>
      <c r="E326" s="9">
        <f>Table3[[#This Row],[DueDate]]</f>
        <v>46049</v>
      </c>
      <c r="F326" s="3">
        <f>Table3[[#This Row],[BillAmount]]</f>
        <v>5980.38</v>
      </c>
      <c r="G326" s="3">
        <f>SUMIF(Vendor_Payments!C:C,A326,Vendor_Payments!E:E)</f>
        <v>0</v>
      </c>
      <c r="H326" s="3">
        <f t="shared" si="15"/>
        <v>5980.38</v>
      </c>
      <c r="I326">
        <f t="shared" si="16"/>
        <v>42</v>
      </c>
      <c r="J326" t="str">
        <f t="shared" si="17"/>
        <v>31-60</v>
      </c>
    </row>
    <row r="327" spans="1:10" x14ac:dyDescent="0.3">
      <c r="A327" t="str">
        <f>Table3[[#This Row],[BillID]]</f>
        <v>BILL-00326</v>
      </c>
      <c r="B327" t="str">
        <f>Table3[[#This Row],[VendorID]]</f>
        <v>VEN-038</v>
      </c>
      <c r="C327" t="str">
        <f>VLOOKUP(B327,Vendors!A:B,2,FALSE)</f>
        <v>Insight Marketing Partners</v>
      </c>
      <c r="D327" s="9">
        <f>Table3[[#This Row],[BillDate]]</f>
        <v>45998</v>
      </c>
      <c r="E327" s="9">
        <f>Table3[[#This Row],[DueDate]]</f>
        <v>46028</v>
      </c>
      <c r="F327" s="3">
        <f>Table3[[#This Row],[BillAmount]]</f>
        <v>6110.16</v>
      </c>
      <c r="G327" s="3">
        <f>SUMIF(Vendor_Payments!C:C,A327,Vendor_Payments!E:E)</f>
        <v>6110.16</v>
      </c>
      <c r="H327" s="3">
        <f t="shared" si="15"/>
        <v>0</v>
      </c>
      <c r="I327">
        <f t="shared" si="16"/>
        <v>63</v>
      </c>
      <c r="J327" t="str">
        <f t="shared" si="17"/>
        <v>61-90</v>
      </c>
    </row>
    <row r="328" spans="1:10" x14ac:dyDescent="0.3">
      <c r="A328" t="str">
        <f>Table3[[#This Row],[BillID]]</f>
        <v>BILL-00327</v>
      </c>
      <c r="B328" t="str">
        <f>Table3[[#This Row],[VendorID]]</f>
        <v>VEN-027</v>
      </c>
      <c r="C328" t="str">
        <f>VLOOKUP(B328,Vendors!A:B,2,FALSE)</f>
        <v>DevCraft Agency</v>
      </c>
      <c r="D328" s="9">
        <f>Table3[[#This Row],[BillDate]]</f>
        <v>46034</v>
      </c>
      <c r="E328" s="9">
        <f>Table3[[#This Row],[DueDate]]</f>
        <v>46064</v>
      </c>
      <c r="F328" s="3">
        <f>Table3[[#This Row],[BillAmount]]</f>
        <v>6968.39</v>
      </c>
      <c r="G328" s="3">
        <f>SUMIF(Vendor_Payments!C:C,A328,Vendor_Payments!E:E)</f>
        <v>0</v>
      </c>
      <c r="H328" s="3">
        <f t="shared" si="15"/>
        <v>6968.39</v>
      </c>
      <c r="I328">
        <f t="shared" si="16"/>
        <v>27</v>
      </c>
      <c r="J328" t="str">
        <f t="shared" si="17"/>
        <v>1-30</v>
      </c>
    </row>
    <row r="329" spans="1:10" x14ac:dyDescent="0.3">
      <c r="A329" t="str">
        <f>Table3[[#This Row],[BillID]]</f>
        <v>BILL-00328</v>
      </c>
      <c r="B329" t="str">
        <f>Table3[[#This Row],[VendorID]]</f>
        <v>VEN-001</v>
      </c>
      <c r="C329" t="str">
        <f>VLOOKUP(B329,Vendors!A:B,2,FALSE)</f>
        <v>Google Ads</v>
      </c>
      <c r="D329" s="9">
        <f>Table3[[#This Row],[BillDate]]</f>
        <v>46062</v>
      </c>
      <c r="E329" s="9">
        <f>Table3[[#This Row],[DueDate]]</f>
        <v>46092</v>
      </c>
      <c r="F329" s="3">
        <f>Table3[[#This Row],[BillAmount]]</f>
        <v>1393.06</v>
      </c>
      <c r="G329" s="3">
        <f>SUMIF(Vendor_Payments!C:C,A329,Vendor_Payments!E:E)</f>
        <v>0</v>
      </c>
      <c r="H329" s="3">
        <f t="shared" si="15"/>
        <v>1393.06</v>
      </c>
      <c r="I329">
        <f t="shared" si="16"/>
        <v>-1</v>
      </c>
      <c r="J329" t="str">
        <f t="shared" si="17"/>
        <v>Current</v>
      </c>
    </row>
    <row r="330" spans="1:10" x14ac:dyDescent="0.3">
      <c r="A330" t="str">
        <f>Table3[[#This Row],[BillID]]</f>
        <v>BILL-00329</v>
      </c>
      <c r="B330" t="str">
        <f>Table3[[#This Row],[VendorID]]</f>
        <v>VEN-026</v>
      </c>
      <c r="C330" t="str">
        <f>VLOOKUP(B330,Vendors!A:B,2,FALSE)</f>
        <v>PixelForge Studio</v>
      </c>
      <c r="D330" s="9">
        <f>Table3[[#This Row],[BillDate]]</f>
        <v>46055</v>
      </c>
      <c r="E330" s="9">
        <f>Table3[[#This Row],[DueDate]]</f>
        <v>46085</v>
      </c>
      <c r="F330" s="3">
        <f>Table3[[#This Row],[BillAmount]]</f>
        <v>2465.5500000000002</v>
      </c>
      <c r="G330" s="3">
        <f>SUMIF(Vendor_Payments!C:C,A330,Vendor_Payments!E:E)</f>
        <v>0</v>
      </c>
      <c r="H330" s="3">
        <f t="shared" si="15"/>
        <v>2465.5500000000002</v>
      </c>
      <c r="I330">
        <f t="shared" si="16"/>
        <v>6</v>
      </c>
      <c r="J330" t="str">
        <f t="shared" si="17"/>
        <v>1-30</v>
      </c>
    </row>
    <row r="331" spans="1:10" x14ac:dyDescent="0.3">
      <c r="A331" t="str">
        <f>Table3[[#This Row],[BillID]]</f>
        <v>BILL-00330</v>
      </c>
      <c r="B331" t="str">
        <f>Table3[[#This Row],[VendorID]]</f>
        <v>VEN-035</v>
      </c>
      <c r="C331" t="str">
        <f>VLOOKUP(B331,Vendors!A:B,2,FALSE)</f>
        <v>ClickFlow Marketing</v>
      </c>
      <c r="D331" s="9">
        <f>Table3[[#This Row],[BillDate]]</f>
        <v>46049</v>
      </c>
      <c r="E331" s="9">
        <f>Table3[[#This Row],[DueDate]]</f>
        <v>46079</v>
      </c>
      <c r="F331" s="3">
        <f>Table3[[#This Row],[BillAmount]]</f>
        <v>956.69</v>
      </c>
      <c r="G331" s="3">
        <f>SUMIF(Vendor_Payments!C:C,A331,Vendor_Payments!E:E)</f>
        <v>956.69</v>
      </c>
      <c r="H331" s="3">
        <f t="shared" si="15"/>
        <v>0</v>
      </c>
      <c r="I331">
        <f t="shared" si="16"/>
        <v>12</v>
      </c>
      <c r="J331" t="str">
        <f t="shared" si="17"/>
        <v>1-30</v>
      </c>
    </row>
    <row r="332" spans="1:10" x14ac:dyDescent="0.3">
      <c r="A332" t="str">
        <f>Table3[[#This Row],[BillID]]</f>
        <v>BILL-00331</v>
      </c>
      <c r="B332" t="str">
        <f>Table3[[#This Row],[VendorID]]</f>
        <v>VEN-014</v>
      </c>
      <c r="C332" t="str">
        <f>VLOOKUP(B332,Vendors!A:B,2,FALSE)</f>
        <v>Figma</v>
      </c>
      <c r="D332" s="9">
        <f>Table3[[#This Row],[BillDate]]</f>
        <v>45978</v>
      </c>
      <c r="E332" s="9">
        <f>Table3[[#This Row],[DueDate]]</f>
        <v>46008</v>
      </c>
      <c r="F332" s="3">
        <f>Table3[[#This Row],[BillAmount]]</f>
        <v>5798.59</v>
      </c>
      <c r="G332" s="3">
        <f>SUMIF(Vendor_Payments!C:C,A332,Vendor_Payments!E:E)</f>
        <v>5798.59</v>
      </c>
      <c r="H332" s="3">
        <f t="shared" si="15"/>
        <v>0</v>
      </c>
      <c r="I332">
        <f t="shared" si="16"/>
        <v>83</v>
      </c>
      <c r="J332" t="str">
        <f t="shared" si="17"/>
        <v>61-90</v>
      </c>
    </row>
    <row r="333" spans="1:10" x14ac:dyDescent="0.3">
      <c r="A333" t="str">
        <f>Table3[[#This Row],[BillID]]</f>
        <v>BILL-00332</v>
      </c>
      <c r="B333" t="str">
        <f>Table3[[#This Row],[VendorID]]</f>
        <v>VEN-003</v>
      </c>
      <c r="C333" t="str">
        <f>VLOOKUP(B333,Vendors!A:B,2,FALSE)</f>
        <v>TikTok Ads</v>
      </c>
      <c r="D333" s="9">
        <f>Table3[[#This Row],[BillDate]]</f>
        <v>45973</v>
      </c>
      <c r="E333" s="9">
        <f>Table3[[#This Row],[DueDate]]</f>
        <v>46003</v>
      </c>
      <c r="F333" s="3">
        <f>Table3[[#This Row],[BillAmount]]</f>
        <v>6306.67</v>
      </c>
      <c r="G333" s="3">
        <f>SUMIF(Vendor_Payments!C:C,A333,Vendor_Payments!E:E)</f>
        <v>6306.67</v>
      </c>
      <c r="H333" s="3">
        <f t="shared" si="15"/>
        <v>0</v>
      </c>
      <c r="I333">
        <f t="shared" si="16"/>
        <v>88</v>
      </c>
      <c r="J333" t="str">
        <f t="shared" si="17"/>
        <v>61-90</v>
      </c>
    </row>
    <row r="334" spans="1:10" x14ac:dyDescent="0.3">
      <c r="A334" t="str">
        <f>Table3[[#This Row],[BillID]]</f>
        <v>BILL-00333</v>
      </c>
      <c r="B334" t="str">
        <f>Table3[[#This Row],[VendorID]]</f>
        <v>VEN-038</v>
      </c>
      <c r="C334" t="str">
        <f>VLOOKUP(B334,Vendors!A:B,2,FALSE)</f>
        <v>Insight Marketing Partners</v>
      </c>
      <c r="D334" s="9">
        <f>Table3[[#This Row],[BillDate]]</f>
        <v>46032</v>
      </c>
      <c r="E334" s="9">
        <f>Table3[[#This Row],[DueDate]]</f>
        <v>46062</v>
      </c>
      <c r="F334" s="3">
        <f>Table3[[#This Row],[BillAmount]]</f>
        <v>2029.36</v>
      </c>
      <c r="G334" s="3">
        <f>SUMIF(Vendor_Payments!C:C,A334,Vendor_Payments!E:E)</f>
        <v>2029.36</v>
      </c>
      <c r="H334" s="3">
        <f t="shared" si="15"/>
        <v>0</v>
      </c>
      <c r="I334">
        <f t="shared" si="16"/>
        <v>29</v>
      </c>
      <c r="J334" t="str">
        <f t="shared" si="17"/>
        <v>1-30</v>
      </c>
    </row>
    <row r="335" spans="1:10" x14ac:dyDescent="0.3">
      <c r="A335" t="str">
        <f>Table3[[#This Row],[BillID]]</f>
        <v>BILL-00334</v>
      </c>
      <c r="B335" t="str">
        <f>Table3[[#This Row],[VendorID]]</f>
        <v>VEN-012</v>
      </c>
      <c r="C335" t="str">
        <f>VLOOKUP(B335,Vendors!A:B,2,FALSE)</f>
        <v>Google Cloud</v>
      </c>
      <c r="D335" s="9">
        <f>Table3[[#This Row],[BillDate]]</f>
        <v>46057</v>
      </c>
      <c r="E335" s="9">
        <f>Table3[[#This Row],[DueDate]]</f>
        <v>46087</v>
      </c>
      <c r="F335" s="3">
        <f>Table3[[#This Row],[BillAmount]]</f>
        <v>2373.59</v>
      </c>
      <c r="G335" s="3">
        <f>SUMIF(Vendor_Payments!C:C,A335,Vendor_Payments!E:E)</f>
        <v>2373.59</v>
      </c>
      <c r="H335" s="3">
        <f t="shared" si="15"/>
        <v>0</v>
      </c>
      <c r="I335">
        <f t="shared" si="16"/>
        <v>4</v>
      </c>
      <c r="J335" t="str">
        <f t="shared" si="17"/>
        <v>1-30</v>
      </c>
    </row>
    <row r="336" spans="1:10" x14ac:dyDescent="0.3">
      <c r="A336" t="str">
        <f>Table3[[#This Row],[BillID]]</f>
        <v>BILL-00335</v>
      </c>
      <c r="B336" t="str">
        <f>Table3[[#This Row],[VendorID]]</f>
        <v>VEN-008</v>
      </c>
      <c r="C336" t="str">
        <f>VLOOKUP(B336,Vendors!A:B,2,FALSE)</f>
        <v>Ahrefs</v>
      </c>
      <c r="D336" s="9">
        <f>Table3[[#This Row],[BillDate]]</f>
        <v>45965</v>
      </c>
      <c r="E336" s="9">
        <f>Table3[[#This Row],[DueDate]]</f>
        <v>45995</v>
      </c>
      <c r="F336" s="3">
        <f>Table3[[#This Row],[BillAmount]]</f>
        <v>6150.76</v>
      </c>
      <c r="G336" s="3">
        <f>SUMIF(Vendor_Payments!C:C,A336,Vendor_Payments!E:E)</f>
        <v>6150.76</v>
      </c>
      <c r="H336" s="3">
        <f t="shared" si="15"/>
        <v>0</v>
      </c>
      <c r="I336">
        <f t="shared" si="16"/>
        <v>96</v>
      </c>
      <c r="J336" t="str">
        <f t="shared" si="17"/>
        <v>90+</v>
      </c>
    </row>
    <row r="337" spans="1:10" x14ac:dyDescent="0.3">
      <c r="A337" t="str">
        <f>Table3[[#This Row],[BillID]]</f>
        <v>BILL-00336</v>
      </c>
      <c r="B337" t="str">
        <f>Table3[[#This Row],[VendorID]]</f>
        <v>VEN-029</v>
      </c>
      <c r="C337" t="str">
        <f>VLOOKUP(B337,Vendors!A:B,2,FALSE)</f>
        <v>BrightSEO Agency</v>
      </c>
      <c r="D337" s="9">
        <f>Table3[[#This Row],[BillDate]]</f>
        <v>46064</v>
      </c>
      <c r="E337" s="9">
        <f>Table3[[#This Row],[DueDate]]</f>
        <v>46094</v>
      </c>
      <c r="F337" s="3">
        <f>Table3[[#This Row],[BillAmount]]</f>
        <v>3486.03</v>
      </c>
      <c r="G337" s="3">
        <f>SUMIF(Vendor_Payments!C:C,A337,Vendor_Payments!E:E)</f>
        <v>3486.03</v>
      </c>
      <c r="H337" s="3">
        <f t="shared" si="15"/>
        <v>0</v>
      </c>
      <c r="I337">
        <f t="shared" si="16"/>
        <v>-3</v>
      </c>
      <c r="J337" t="str">
        <f t="shared" si="17"/>
        <v>Current</v>
      </c>
    </row>
    <row r="338" spans="1:10" x14ac:dyDescent="0.3">
      <c r="A338" t="str">
        <f>Table3[[#This Row],[BillID]]</f>
        <v>BILL-00337</v>
      </c>
      <c r="B338" t="str">
        <f>Table3[[#This Row],[VendorID]]</f>
        <v>VEN-035</v>
      </c>
      <c r="C338" t="str">
        <f>VLOOKUP(B338,Vendors!A:B,2,FALSE)</f>
        <v>ClickFlow Marketing</v>
      </c>
      <c r="D338" s="9">
        <f>Table3[[#This Row],[BillDate]]</f>
        <v>46002</v>
      </c>
      <c r="E338" s="9">
        <f>Table3[[#This Row],[DueDate]]</f>
        <v>46032</v>
      </c>
      <c r="F338" s="3">
        <f>Table3[[#This Row],[BillAmount]]</f>
        <v>2178.21</v>
      </c>
      <c r="G338" s="3">
        <f>SUMIF(Vendor_Payments!C:C,A338,Vendor_Payments!E:E)</f>
        <v>2178.21</v>
      </c>
      <c r="H338" s="3">
        <f t="shared" si="15"/>
        <v>0</v>
      </c>
      <c r="I338">
        <f t="shared" si="16"/>
        <v>59</v>
      </c>
      <c r="J338" t="str">
        <f t="shared" si="17"/>
        <v>31-60</v>
      </c>
    </row>
    <row r="339" spans="1:10" x14ac:dyDescent="0.3">
      <c r="A339" t="str">
        <f>Table3[[#This Row],[BillID]]</f>
        <v>BILL-00338</v>
      </c>
      <c r="B339" t="str">
        <f>Table3[[#This Row],[VendorID]]</f>
        <v>VEN-021</v>
      </c>
      <c r="C339" t="str">
        <f>VLOOKUP(B339,Vendors!A:B,2,FALSE)</f>
        <v>Upwork Freelancers</v>
      </c>
      <c r="D339" s="9">
        <f>Table3[[#This Row],[BillDate]]</f>
        <v>46048</v>
      </c>
      <c r="E339" s="9">
        <f>Table3[[#This Row],[DueDate]]</f>
        <v>46078</v>
      </c>
      <c r="F339" s="3">
        <f>Table3[[#This Row],[BillAmount]]</f>
        <v>2412.6799999999998</v>
      </c>
      <c r="G339" s="3">
        <f>SUMIF(Vendor_Payments!C:C,A339,Vendor_Payments!E:E)</f>
        <v>2412.6799999999998</v>
      </c>
      <c r="H339" s="3">
        <f t="shared" si="15"/>
        <v>0</v>
      </c>
      <c r="I339">
        <f t="shared" si="16"/>
        <v>13</v>
      </c>
      <c r="J339" t="str">
        <f t="shared" si="17"/>
        <v>1-30</v>
      </c>
    </row>
    <row r="340" spans="1:10" x14ac:dyDescent="0.3">
      <c r="A340" t="str">
        <f>Table3[[#This Row],[BillID]]</f>
        <v>BILL-00339</v>
      </c>
      <c r="B340" t="str">
        <f>Table3[[#This Row],[VendorID]]</f>
        <v>VEN-040</v>
      </c>
      <c r="C340" t="str">
        <f>VLOOKUP(B340,Vendors!A:B,2,FALSE)</f>
        <v>Digital Performance Lab</v>
      </c>
      <c r="D340" s="9">
        <f>Table3[[#This Row],[BillDate]]</f>
        <v>46087</v>
      </c>
      <c r="E340" s="9">
        <f>Table3[[#This Row],[DueDate]]</f>
        <v>46117</v>
      </c>
      <c r="F340" s="3">
        <f>Table3[[#This Row],[BillAmount]]</f>
        <v>5869.27</v>
      </c>
      <c r="G340" s="3">
        <f>SUMIF(Vendor_Payments!C:C,A340,Vendor_Payments!E:E)</f>
        <v>5869.27</v>
      </c>
      <c r="H340" s="3">
        <f t="shared" si="15"/>
        <v>0</v>
      </c>
      <c r="I340">
        <f t="shared" si="16"/>
        <v>-26</v>
      </c>
      <c r="J340" t="str">
        <f t="shared" si="17"/>
        <v>Current</v>
      </c>
    </row>
    <row r="341" spans="1:10" x14ac:dyDescent="0.3">
      <c r="A341" t="str">
        <f>Table3[[#This Row],[BillID]]</f>
        <v>BILL-00340</v>
      </c>
      <c r="B341" t="str">
        <f>Table3[[#This Row],[VendorID]]</f>
        <v>VEN-039</v>
      </c>
      <c r="C341" t="str">
        <f>VLOOKUP(B341,Vendors!A:B,2,FALSE)</f>
        <v>Global Growth Advisors</v>
      </c>
      <c r="D341" s="9">
        <f>Table3[[#This Row],[BillDate]]</f>
        <v>46082</v>
      </c>
      <c r="E341" s="9">
        <f>Table3[[#This Row],[DueDate]]</f>
        <v>46112</v>
      </c>
      <c r="F341" s="3">
        <f>Table3[[#This Row],[BillAmount]]</f>
        <v>2157.6999999999998</v>
      </c>
      <c r="G341" s="3">
        <f>SUMIF(Vendor_Payments!C:C,A341,Vendor_Payments!E:E)</f>
        <v>2157.6999999999998</v>
      </c>
      <c r="H341" s="3">
        <f t="shared" si="15"/>
        <v>0</v>
      </c>
      <c r="I341">
        <f t="shared" si="16"/>
        <v>-21</v>
      </c>
      <c r="J341" t="str">
        <f t="shared" si="17"/>
        <v>Current</v>
      </c>
    </row>
    <row r="342" spans="1:10" x14ac:dyDescent="0.3">
      <c r="A342" t="str">
        <f>Table3[[#This Row],[BillID]]</f>
        <v>BILL-00341</v>
      </c>
      <c r="B342" t="str">
        <f>Table3[[#This Row],[VendorID]]</f>
        <v>VEN-011</v>
      </c>
      <c r="C342" t="str">
        <f>VLOOKUP(B342,Vendors!A:B,2,FALSE)</f>
        <v>AWS</v>
      </c>
      <c r="D342" s="9">
        <f>Table3[[#This Row],[BillDate]]</f>
        <v>46065</v>
      </c>
      <c r="E342" s="9">
        <f>Table3[[#This Row],[DueDate]]</f>
        <v>46095</v>
      </c>
      <c r="F342" s="3">
        <f>Table3[[#This Row],[BillAmount]]</f>
        <v>6946.1</v>
      </c>
      <c r="G342" s="3">
        <f>SUMIF(Vendor_Payments!C:C,A342,Vendor_Payments!E:E)</f>
        <v>6946.1</v>
      </c>
      <c r="H342" s="3">
        <f t="shared" si="15"/>
        <v>0</v>
      </c>
      <c r="I342">
        <f t="shared" si="16"/>
        <v>-4</v>
      </c>
      <c r="J342" t="str">
        <f t="shared" si="17"/>
        <v>Current</v>
      </c>
    </row>
    <row r="343" spans="1:10" x14ac:dyDescent="0.3">
      <c r="A343" t="str">
        <f>Table3[[#This Row],[BillID]]</f>
        <v>BILL-00342</v>
      </c>
      <c r="B343" t="str">
        <f>Table3[[#This Row],[VendorID]]</f>
        <v>VEN-011</v>
      </c>
      <c r="C343" t="str">
        <f>VLOOKUP(B343,Vendors!A:B,2,FALSE)</f>
        <v>AWS</v>
      </c>
      <c r="D343" s="9">
        <f>Table3[[#This Row],[BillDate]]</f>
        <v>46007</v>
      </c>
      <c r="E343" s="9">
        <f>Table3[[#This Row],[DueDate]]</f>
        <v>46037</v>
      </c>
      <c r="F343" s="3">
        <f>Table3[[#This Row],[BillAmount]]</f>
        <v>6347.81</v>
      </c>
      <c r="G343" s="3">
        <f>SUMIF(Vendor_Payments!C:C,A343,Vendor_Payments!E:E)</f>
        <v>6347.81</v>
      </c>
      <c r="H343" s="3">
        <f t="shared" si="15"/>
        <v>0</v>
      </c>
      <c r="I343">
        <f t="shared" si="16"/>
        <v>54</v>
      </c>
      <c r="J343" t="str">
        <f t="shared" si="17"/>
        <v>31-60</v>
      </c>
    </row>
    <row r="344" spans="1:10" x14ac:dyDescent="0.3">
      <c r="A344" t="str">
        <f>Table3[[#This Row],[BillID]]</f>
        <v>BILL-00343</v>
      </c>
      <c r="B344" t="str">
        <f>Table3[[#This Row],[VendorID]]</f>
        <v>VEN-023</v>
      </c>
      <c r="C344" t="str">
        <f>VLOOKUP(B344,Vendors!A:B,2,FALSE)</f>
        <v>Fiverr Pro</v>
      </c>
      <c r="D344" s="9">
        <f>Table3[[#This Row],[BillDate]]</f>
        <v>46038</v>
      </c>
      <c r="E344" s="9">
        <f>Table3[[#This Row],[DueDate]]</f>
        <v>46068</v>
      </c>
      <c r="F344" s="3">
        <f>Table3[[#This Row],[BillAmount]]</f>
        <v>4843.75</v>
      </c>
      <c r="G344" s="3">
        <f>SUMIF(Vendor_Payments!C:C,A344,Vendor_Payments!E:E)</f>
        <v>4843.75</v>
      </c>
      <c r="H344" s="3">
        <f t="shared" si="15"/>
        <v>0</v>
      </c>
      <c r="I344">
        <f t="shared" si="16"/>
        <v>23</v>
      </c>
      <c r="J344" t="str">
        <f t="shared" si="17"/>
        <v>1-30</v>
      </c>
    </row>
    <row r="345" spans="1:10" x14ac:dyDescent="0.3">
      <c r="A345" t="str">
        <f>Table3[[#This Row],[BillID]]</f>
        <v>BILL-00344</v>
      </c>
      <c r="B345" t="str">
        <f>Table3[[#This Row],[VendorID]]</f>
        <v>VEN-028</v>
      </c>
      <c r="C345" t="str">
        <f>VLOOKUP(B345,Vendors!A:B,2,FALSE)</f>
        <v>MarketEdge Consulting</v>
      </c>
      <c r="D345" s="9">
        <f>Table3[[#This Row],[BillDate]]</f>
        <v>46001</v>
      </c>
      <c r="E345" s="9">
        <f>Table3[[#This Row],[DueDate]]</f>
        <v>46031</v>
      </c>
      <c r="F345" s="3">
        <f>Table3[[#This Row],[BillAmount]]</f>
        <v>1168.9000000000001</v>
      </c>
      <c r="G345" s="3">
        <f>SUMIF(Vendor_Payments!C:C,A345,Vendor_Payments!E:E)</f>
        <v>0</v>
      </c>
      <c r="H345" s="3">
        <f t="shared" si="15"/>
        <v>1168.9000000000001</v>
      </c>
      <c r="I345">
        <f t="shared" si="16"/>
        <v>60</v>
      </c>
      <c r="J345" t="str">
        <f t="shared" si="17"/>
        <v>31-60</v>
      </c>
    </row>
    <row r="346" spans="1:10" x14ac:dyDescent="0.3">
      <c r="A346" t="str">
        <f>Table3[[#This Row],[BillID]]</f>
        <v>BILL-00345</v>
      </c>
      <c r="B346" t="str">
        <f>Table3[[#This Row],[VendorID]]</f>
        <v>VEN-029</v>
      </c>
      <c r="C346" t="str">
        <f>VLOOKUP(B346,Vendors!A:B,2,FALSE)</f>
        <v>BrightSEO Agency</v>
      </c>
      <c r="D346" s="9">
        <f>Table3[[#This Row],[BillDate]]</f>
        <v>45981</v>
      </c>
      <c r="E346" s="9">
        <f>Table3[[#This Row],[DueDate]]</f>
        <v>46011</v>
      </c>
      <c r="F346" s="3">
        <f>Table3[[#This Row],[BillAmount]]</f>
        <v>3249.82</v>
      </c>
      <c r="G346" s="3">
        <f>SUMIF(Vendor_Payments!C:C,A346,Vendor_Payments!E:E)</f>
        <v>3249.82</v>
      </c>
      <c r="H346" s="3">
        <f t="shared" si="15"/>
        <v>0</v>
      </c>
      <c r="I346">
        <f t="shared" si="16"/>
        <v>80</v>
      </c>
      <c r="J346" t="str">
        <f t="shared" si="17"/>
        <v>61-90</v>
      </c>
    </row>
    <row r="347" spans="1:10" x14ac:dyDescent="0.3">
      <c r="A347" t="str">
        <f>Table3[[#This Row],[BillID]]</f>
        <v>BILL-00346</v>
      </c>
      <c r="B347" t="str">
        <f>Table3[[#This Row],[VendorID]]</f>
        <v>VEN-011</v>
      </c>
      <c r="C347" t="str">
        <f>VLOOKUP(B347,Vendors!A:B,2,FALSE)</f>
        <v>AWS</v>
      </c>
      <c r="D347" s="9">
        <f>Table3[[#This Row],[BillDate]]</f>
        <v>45985</v>
      </c>
      <c r="E347" s="9">
        <f>Table3[[#This Row],[DueDate]]</f>
        <v>46015</v>
      </c>
      <c r="F347" s="3">
        <f>Table3[[#This Row],[BillAmount]]</f>
        <v>4228.38</v>
      </c>
      <c r="G347" s="3">
        <f>SUMIF(Vendor_Payments!C:C,A347,Vendor_Payments!E:E)</f>
        <v>4228.38</v>
      </c>
      <c r="H347" s="3">
        <f t="shared" si="15"/>
        <v>0</v>
      </c>
      <c r="I347">
        <f t="shared" si="16"/>
        <v>76</v>
      </c>
      <c r="J347" t="str">
        <f t="shared" si="17"/>
        <v>61-90</v>
      </c>
    </row>
    <row r="348" spans="1:10" x14ac:dyDescent="0.3">
      <c r="A348" t="str">
        <f>Table3[[#This Row],[BillID]]</f>
        <v>BILL-00347</v>
      </c>
      <c r="B348" t="str">
        <f>Table3[[#This Row],[VendorID]]</f>
        <v>VEN-032</v>
      </c>
      <c r="C348" t="str">
        <f>VLOOKUP(B348,Vendors!A:B,2,FALSE)</f>
        <v>Marketing Automation Labs</v>
      </c>
      <c r="D348" s="9">
        <f>Table3[[#This Row],[BillDate]]</f>
        <v>46033</v>
      </c>
      <c r="E348" s="9">
        <f>Table3[[#This Row],[DueDate]]</f>
        <v>46063</v>
      </c>
      <c r="F348" s="3">
        <f>Table3[[#This Row],[BillAmount]]</f>
        <v>2441.6</v>
      </c>
      <c r="G348" s="3">
        <f>SUMIF(Vendor_Payments!C:C,A348,Vendor_Payments!E:E)</f>
        <v>0</v>
      </c>
      <c r="H348" s="3">
        <f t="shared" si="15"/>
        <v>2441.6</v>
      </c>
      <c r="I348">
        <f t="shared" si="16"/>
        <v>28</v>
      </c>
      <c r="J348" t="str">
        <f t="shared" si="17"/>
        <v>1-30</v>
      </c>
    </row>
    <row r="349" spans="1:10" x14ac:dyDescent="0.3">
      <c r="A349" t="str">
        <f>Table3[[#This Row],[BillID]]</f>
        <v>BILL-00348</v>
      </c>
      <c r="B349" t="str">
        <f>Table3[[#This Row],[VendorID]]</f>
        <v>VEN-002</v>
      </c>
      <c r="C349" t="str">
        <f>VLOOKUP(B349,Vendors!A:B,2,FALSE)</f>
        <v>Meta Ads</v>
      </c>
      <c r="D349" s="9">
        <f>Table3[[#This Row],[BillDate]]</f>
        <v>46085</v>
      </c>
      <c r="E349" s="9">
        <f>Table3[[#This Row],[DueDate]]</f>
        <v>46115</v>
      </c>
      <c r="F349" s="3">
        <f>Table3[[#This Row],[BillAmount]]</f>
        <v>3606.39</v>
      </c>
      <c r="G349" s="3">
        <f>SUMIF(Vendor_Payments!C:C,A349,Vendor_Payments!E:E)</f>
        <v>3606.39</v>
      </c>
      <c r="H349" s="3">
        <f t="shared" si="15"/>
        <v>0</v>
      </c>
      <c r="I349">
        <f t="shared" si="16"/>
        <v>-24</v>
      </c>
      <c r="J349" t="str">
        <f t="shared" si="17"/>
        <v>Current</v>
      </c>
    </row>
    <row r="350" spans="1:10" x14ac:dyDescent="0.3">
      <c r="A350" t="str">
        <f>Table3[[#This Row],[BillID]]</f>
        <v>BILL-00349</v>
      </c>
      <c r="B350" t="str">
        <f>Table3[[#This Row],[VendorID]]</f>
        <v>VEN-028</v>
      </c>
      <c r="C350" t="str">
        <f>VLOOKUP(B350,Vendors!A:B,2,FALSE)</f>
        <v>MarketEdge Consulting</v>
      </c>
      <c r="D350" s="9">
        <f>Table3[[#This Row],[BillDate]]</f>
        <v>46078</v>
      </c>
      <c r="E350" s="9">
        <f>Table3[[#This Row],[DueDate]]</f>
        <v>46108</v>
      </c>
      <c r="F350" s="3">
        <f>Table3[[#This Row],[BillAmount]]</f>
        <v>2668.39</v>
      </c>
      <c r="G350" s="3">
        <f>SUMIF(Vendor_Payments!C:C,A350,Vendor_Payments!E:E)</f>
        <v>2668.39</v>
      </c>
      <c r="H350" s="3">
        <f t="shared" si="15"/>
        <v>0</v>
      </c>
      <c r="I350">
        <f t="shared" si="16"/>
        <v>-17</v>
      </c>
      <c r="J350" t="str">
        <f t="shared" si="17"/>
        <v>Current</v>
      </c>
    </row>
    <row r="351" spans="1:10" x14ac:dyDescent="0.3">
      <c r="A351" t="str">
        <f>Table3[[#This Row],[BillID]]</f>
        <v>BILL-00350</v>
      </c>
      <c r="B351" t="str">
        <f>Table3[[#This Row],[VendorID]]</f>
        <v>VEN-024</v>
      </c>
      <c r="C351" t="str">
        <f>VLOOKUP(B351,Vendors!A:B,2,FALSE)</f>
        <v>Growth Strategy Group</v>
      </c>
      <c r="D351" s="9">
        <f>Table3[[#This Row],[BillDate]]</f>
        <v>46022</v>
      </c>
      <c r="E351" s="9">
        <f>Table3[[#This Row],[DueDate]]</f>
        <v>46052</v>
      </c>
      <c r="F351" s="3">
        <f>Table3[[#This Row],[BillAmount]]</f>
        <v>5471.93</v>
      </c>
      <c r="G351" s="3">
        <f>SUMIF(Vendor_Payments!C:C,A351,Vendor_Payments!E:E)</f>
        <v>0</v>
      </c>
      <c r="H351" s="3">
        <f t="shared" si="15"/>
        <v>5471.93</v>
      </c>
      <c r="I351">
        <f t="shared" si="16"/>
        <v>39</v>
      </c>
      <c r="J351" t="str">
        <f t="shared" si="17"/>
        <v>31-60</v>
      </c>
    </row>
    <row r="352" spans="1:10" x14ac:dyDescent="0.3">
      <c r="A352" t="str">
        <f>Table3[[#This Row],[BillID]]</f>
        <v>BILL-00351</v>
      </c>
      <c r="B352" t="str">
        <f>Table3[[#This Row],[VendorID]]</f>
        <v>VEN-003</v>
      </c>
      <c r="C352" t="str">
        <f>VLOOKUP(B352,Vendors!A:B,2,FALSE)</f>
        <v>TikTok Ads</v>
      </c>
      <c r="D352" s="9">
        <f>Table3[[#This Row],[BillDate]]</f>
        <v>46070</v>
      </c>
      <c r="E352" s="9">
        <f>Table3[[#This Row],[DueDate]]</f>
        <v>46100</v>
      </c>
      <c r="F352" s="3">
        <f>Table3[[#This Row],[BillAmount]]</f>
        <v>4182.97</v>
      </c>
      <c r="G352" s="3">
        <f>SUMIF(Vendor_Payments!C:C,A352,Vendor_Payments!E:E)</f>
        <v>4182.97</v>
      </c>
      <c r="H352" s="3">
        <f t="shared" si="15"/>
        <v>0</v>
      </c>
      <c r="I352">
        <f t="shared" si="16"/>
        <v>-9</v>
      </c>
      <c r="J352" t="str">
        <f t="shared" si="17"/>
        <v>Current</v>
      </c>
    </row>
    <row r="353" spans="1:10" x14ac:dyDescent="0.3">
      <c r="A353" t="str">
        <f>Table3[[#This Row],[BillID]]</f>
        <v>BILL-00352</v>
      </c>
      <c r="B353" t="str">
        <f>Table3[[#This Row],[VendorID]]</f>
        <v>VEN-011</v>
      </c>
      <c r="C353" t="str">
        <f>VLOOKUP(B353,Vendors!A:B,2,FALSE)</f>
        <v>AWS</v>
      </c>
      <c r="D353" s="9">
        <f>Table3[[#This Row],[BillDate]]</f>
        <v>45982</v>
      </c>
      <c r="E353" s="9">
        <f>Table3[[#This Row],[DueDate]]</f>
        <v>46012</v>
      </c>
      <c r="F353" s="3">
        <f>Table3[[#This Row],[BillAmount]]</f>
        <v>4489.1400000000003</v>
      </c>
      <c r="G353" s="3">
        <f>SUMIF(Vendor_Payments!C:C,A353,Vendor_Payments!E:E)</f>
        <v>4489.1400000000003</v>
      </c>
      <c r="H353" s="3">
        <f t="shared" si="15"/>
        <v>0</v>
      </c>
      <c r="I353">
        <f t="shared" si="16"/>
        <v>79</v>
      </c>
      <c r="J353" t="str">
        <f t="shared" si="17"/>
        <v>61-90</v>
      </c>
    </row>
    <row r="354" spans="1:10" x14ac:dyDescent="0.3">
      <c r="A354" t="str">
        <f>Table3[[#This Row],[BillID]]</f>
        <v>BILL-00353</v>
      </c>
      <c r="B354" t="str">
        <f>Table3[[#This Row],[VendorID]]</f>
        <v>VEN-024</v>
      </c>
      <c r="C354" t="str">
        <f>VLOOKUP(B354,Vendors!A:B,2,FALSE)</f>
        <v>Growth Strategy Group</v>
      </c>
      <c r="D354" s="9">
        <f>Table3[[#This Row],[BillDate]]</f>
        <v>46006</v>
      </c>
      <c r="E354" s="9">
        <f>Table3[[#This Row],[DueDate]]</f>
        <v>46036</v>
      </c>
      <c r="F354" s="3">
        <f>Table3[[#This Row],[BillAmount]]</f>
        <v>5615.1</v>
      </c>
      <c r="G354" s="3">
        <f>SUMIF(Vendor_Payments!C:C,A354,Vendor_Payments!E:E)</f>
        <v>0</v>
      </c>
      <c r="H354" s="3">
        <f t="shared" si="15"/>
        <v>5615.1</v>
      </c>
      <c r="I354">
        <f t="shared" si="16"/>
        <v>55</v>
      </c>
      <c r="J354" t="str">
        <f t="shared" si="17"/>
        <v>31-60</v>
      </c>
    </row>
    <row r="355" spans="1:10" x14ac:dyDescent="0.3">
      <c r="A355" t="str">
        <f>Table3[[#This Row],[BillID]]</f>
        <v>BILL-00354</v>
      </c>
      <c r="B355" t="str">
        <f>Table3[[#This Row],[VendorID]]</f>
        <v>VEN-040</v>
      </c>
      <c r="C355" t="str">
        <f>VLOOKUP(B355,Vendors!A:B,2,FALSE)</f>
        <v>Digital Performance Lab</v>
      </c>
      <c r="D355" s="9">
        <f>Table3[[#This Row],[BillDate]]</f>
        <v>45975</v>
      </c>
      <c r="E355" s="9">
        <f>Table3[[#This Row],[DueDate]]</f>
        <v>46005</v>
      </c>
      <c r="F355" s="3">
        <f>Table3[[#This Row],[BillAmount]]</f>
        <v>1001.96</v>
      </c>
      <c r="G355" s="3">
        <f>SUMIF(Vendor_Payments!C:C,A355,Vendor_Payments!E:E)</f>
        <v>1001.96</v>
      </c>
      <c r="H355" s="3">
        <f t="shared" si="15"/>
        <v>0</v>
      </c>
      <c r="I355">
        <f t="shared" si="16"/>
        <v>86</v>
      </c>
      <c r="J355" t="str">
        <f t="shared" si="17"/>
        <v>61-90</v>
      </c>
    </row>
    <row r="356" spans="1:10" x14ac:dyDescent="0.3">
      <c r="A356" t="str">
        <f>Table3[[#This Row],[BillID]]</f>
        <v>BILL-00355</v>
      </c>
      <c r="B356" t="str">
        <f>Table3[[#This Row],[VendorID]]</f>
        <v>VEN-038</v>
      </c>
      <c r="C356" t="str">
        <f>VLOOKUP(B356,Vendors!A:B,2,FALSE)</f>
        <v>Insight Marketing Partners</v>
      </c>
      <c r="D356" s="9">
        <f>Table3[[#This Row],[BillDate]]</f>
        <v>46035</v>
      </c>
      <c r="E356" s="9">
        <f>Table3[[#This Row],[DueDate]]</f>
        <v>46065</v>
      </c>
      <c r="F356" s="3">
        <f>Table3[[#This Row],[BillAmount]]</f>
        <v>2196.06</v>
      </c>
      <c r="G356" s="3">
        <f>SUMIF(Vendor_Payments!C:C,A356,Vendor_Payments!E:E)</f>
        <v>0</v>
      </c>
      <c r="H356" s="3">
        <f t="shared" si="15"/>
        <v>2196.06</v>
      </c>
      <c r="I356">
        <f t="shared" si="16"/>
        <v>26</v>
      </c>
      <c r="J356" t="str">
        <f t="shared" si="17"/>
        <v>1-30</v>
      </c>
    </row>
    <row r="357" spans="1:10" x14ac:dyDescent="0.3">
      <c r="A357" t="str">
        <f>Table3[[#This Row],[BillID]]</f>
        <v>BILL-00356</v>
      </c>
      <c r="B357" t="str">
        <f>Table3[[#This Row],[VendorID]]</f>
        <v>VEN-016</v>
      </c>
      <c r="C357" t="str">
        <f>VLOOKUP(B357,Vendors!A:B,2,FALSE)</f>
        <v>Stripe</v>
      </c>
      <c r="D357" s="9">
        <f>Table3[[#This Row],[BillDate]]</f>
        <v>45977</v>
      </c>
      <c r="E357" s="9">
        <f>Table3[[#This Row],[DueDate]]</f>
        <v>46007</v>
      </c>
      <c r="F357" s="3">
        <f>Table3[[#This Row],[BillAmount]]</f>
        <v>2079</v>
      </c>
      <c r="G357" s="3">
        <f>SUMIF(Vendor_Payments!C:C,A357,Vendor_Payments!E:E)</f>
        <v>2079</v>
      </c>
      <c r="H357" s="3">
        <f t="shared" si="15"/>
        <v>0</v>
      </c>
      <c r="I357">
        <f t="shared" si="16"/>
        <v>84</v>
      </c>
      <c r="J357" t="str">
        <f t="shared" si="17"/>
        <v>61-90</v>
      </c>
    </row>
    <row r="358" spans="1:10" x14ac:dyDescent="0.3">
      <c r="A358" t="str">
        <f>Table3[[#This Row],[BillID]]</f>
        <v>BILL-00357</v>
      </c>
      <c r="B358" t="str">
        <f>Table3[[#This Row],[VendorID]]</f>
        <v>VEN-023</v>
      </c>
      <c r="C358" t="str">
        <f>VLOOKUP(B358,Vendors!A:B,2,FALSE)</f>
        <v>Fiverr Pro</v>
      </c>
      <c r="D358" s="9">
        <f>Table3[[#This Row],[BillDate]]</f>
        <v>46019</v>
      </c>
      <c r="E358" s="9">
        <f>Table3[[#This Row],[DueDate]]</f>
        <v>46049</v>
      </c>
      <c r="F358" s="3">
        <f>Table3[[#This Row],[BillAmount]]</f>
        <v>1216.8599999999999</v>
      </c>
      <c r="G358" s="3">
        <f>SUMIF(Vendor_Payments!C:C,A358,Vendor_Payments!E:E)</f>
        <v>1216.8599999999999</v>
      </c>
      <c r="H358" s="3">
        <f t="shared" si="15"/>
        <v>0</v>
      </c>
      <c r="I358">
        <f t="shared" si="16"/>
        <v>42</v>
      </c>
      <c r="J358" t="str">
        <f t="shared" si="17"/>
        <v>31-60</v>
      </c>
    </row>
    <row r="359" spans="1:10" x14ac:dyDescent="0.3">
      <c r="A359" t="str">
        <f>Table3[[#This Row],[BillID]]</f>
        <v>BILL-00358</v>
      </c>
      <c r="B359" t="str">
        <f>Table3[[#This Row],[VendorID]]</f>
        <v>VEN-022</v>
      </c>
      <c r="C359" t="str">
        <f>VLOOKUP(B359,Vendors!A:B,2,FALSE)</f>
        <v>Toptal Talent</v>
      </c>
      <c r="D359" s="9">
        <f>Table3[[#This Row],[BillDate]]</f>
        <v>45992</v>
      </c>
      <c r="E359" s="9">
        <f>Table3[[#This Row],[DueDate]]</f>
        <v>46022</v>
      </c>
      <c r="F359" s="3">
        <f>Table3[[#This Row],[BillAmount]]</f>
        <v>2933.13</v>
      </c>
      <c r="G359" s="3">
        <f>SUMIF(Vendor_Payments!C:C,A359,Vendor_Payments!E:E)</f>
        <v>0</v>
      </c>
      <c r="H359" s="3">
        <f t="shared" si="15"/>
        <v>2933.13</v>
      </c>
      <c r="I359">
        <f t="shared" si="16"/>
        <v>69</v>
      </c>
      <c r="J359" t="str">
        <f t="shared" si="17"/>
        <v>61-90</v>
      </c>
    </row>
    <row r="360" spans="1:10" x14ac:dyDescent="0.3">
      <c r="A360" t="str">
        <f>Table3[[#This Row],[BillID]]</f>
        <v>BILL-00359</v>
      </c>
      <c r="B360" t="str">
        <f>Table3[[#This Row],[VendorID]]</f>
        <v>VEN-015</v>
      </c>
      <c r="C360" t="str">
        <f>VLOOKUP(B360,Vendors!A:B,2,FALSE)</f>
        <v>Zapier</v>
      </c>
      <c r="D360" s="9">
        <f>Table3[[#This Row],[BillDate]]</f>
        <v>46035</v>
      </c>
      <c r="E360" s="9">
        <f>Table3[[#This Row],[DueDate]]</f>
        <v>46065</v>
      </c>
      <c r="F360" s="3">
        <f>Table3[[#This Row],[BillAmount]]</f>
        <v>6933.73</v>
      </c>
      <c r="G360" s="3">
        <f>SUMIF(Vendor_Payments!C:C,A360,Vendor_Payments!E:E)</f>
        <v>6933.73</v>
      </c>
      <c r="H360" s="3">
        <f t="shared" si="15"/>
        <v>0</v>
      </c>
      <c r="I360">
        <f t="shared" si="16"/>
        <v>26</v>
      </c>
      <c r="J360" t="str">
        <f t="shared" si="17"/>
        <v>1-30</v>
      </c>
    </row>
    <row r="361" spans="1:10" x14ac:dyDescent="0.3">
      <c r="A361" t="str">
        <f>Table3[[#This Row],[BillID]]</f>
        <v>BILL-00360</v>
      </c>
      <c r="B361" t="str">
        <f>Table3[[#This Row],[VendorID]]</f>
        <v>VEN-003</v>
      </c>
      <c r="C361" t="str">
        <f>VLOOKUP(B361,Vendors!A:B,2,FALSE)</f>
        <v>TikTok Ads</v>
      </c>
      <c r="D361" s="9">
        <f>Table3[[#This Row],[BillDate]]</f>
        <v>45968</v>
      </c>
      <c r="E361" s="9">
        <f>Table3[[#This Row],[DueDate]]</f>
        <v>45998</v>
      </c>
      <c r="F361" s="3">
        <f>Table3[[#This Row],[BillAmount]]</f>
        <v>2201.4299999999998</v>
      </c>
      <c r="G361" s="3">
        <f>SUMIF(Vendor_Payments!C:C,A361,Vendor_Payments!E:E)</f>
        <v>2201.4299999999998</v>
      </c>
      <c r="H361" s="3">
        <f t="shared" si="15"/>
        <v>0</v>
      </c>
      <c r="I361">
        <f t="shared" si="16"/>
        <v>93</v>
      </c>
      <c r="J361" t="str">
        <f t="shared" si="17"/>
        <v>90+</v>
      </c>
    </row>
    <row r="362" spans="1:10" x14ac:dyDescent="0.3">
      <c r="A362" t="str">
        <f>Table3[[#This Row],[BillID]]</f>
        <v>BILL-00361</v>
      </c>
      <c r="B362" t="str">
        <f>Table3[[#This Row],[VendorID]]</f>
        <v>VEN-036</v>
      </c>
      <c r="C362" t="str">
        <f>VLOOKUP(B362,Vendors!A:B,2,FALSE)</f>
        <v>WebDev Masters</v>
      </c>
      <c r="D362" s="9">
        <f>Table3[[#This Row],[BillDate]]</f>
        <v>46070</v>
      </c>
      <c r="E362" s="9">
        <f>Table3[[#This Row],[DueDate]]</f>
        <v>46100</v>
      </c>
      <c r="F362" s="3">
        <f>Table3[[#This Row],[BillAmount]]</f>
        <v>2565.9899999999998</v>
      </c>
      <c r="G362" s="3">
        <f>SUMIF(Vendor_Payments!C:C,A362,Vendor_Payments!E:E)</f>
        <v>0</v>
      </c>
      <c r="H362" s="3">
        <f t="shared" si="15"/>
        <v>2565.9899999999998</v>
      </c>
      <c r="I362">
        <f t="shared" si="16"/>
        <v>-9</v>
      </c>
      <c r="J362" t="str">
        <f t="shared" si="17"/>
        <v>Current</v>
      </c>
    </row>
    <row r="363" spans="1:10" x14ac:dyDescent="0.3">
      <c r="A363" t="str">
        <f>Table3[[#This Row],[BillID]]</f>
        <v>BILL-00362</v>
      </c>
      <c r="B363" t="str">
        <f>Table3[[#This Row],[VendorID]]</f>
        <v>VEN-016</v>
      </c>
      <c r="C363" t="str">
        <f>VLOOKUP(B363,Vendors!A:B,2,FALSE)</f>
        <v>Stripe</v>
      </c>
      <c r="D363" s="9">
        <f>Table3[[#This Row],[BillDate]]</f>
        <v>45997</v>
      </c>
      <c r="E363" s="9">
        <f>Table3[[#This Row],[DueDate]]</f>
        <v>46027</v>
      </c>
      <c r="F363" s="3">
        <f>Table3[[#This Row],[BillAmount]]</f>
        <v>1995.04</v>
      </c>
      <c r="G363" s="3">
        <f>SUMIF(Vendor_Payments!C:C,A363,Vendor_Payments!E:E)</f>
        <v>1995.04</v>
      </c>
      <c r="H363" s="3">
        <f t="shared" si="15"/>
        <v>0</v>
      </c>
      <c r="I363">
        <f t="shared" si="16"/>
        <v>64</v>
      </c>
      <c r="J363" t="str">
        <f t="shared" si="17"/>
        <v>61-90</v>
      </c>
    </row>
    <row r="364" spans="1:10" x14ac:dyDescent="0.3">
      <c r="A364" t="str">
        <f>Table3[[#This Row],[BillID]]</f>
        <v>BILL-00363</v>
      </c>
      <c r="B364" t="str">
        <f>Table3[[#This Row],[VendorID]]</f>
        <v>VEN-026</v>
      </c>
      <c r="C364" t="str">
        <f>VLOOKUP(B364,Vendors!A:B,2,FALSE)</f>
        <v>PixelForge Studio</v>
      </c>
      <c r="D364" s="9">
        <f>Table3[[#This Row],[BillDate]]</f>
        <v>46057</v>
      </c>
      <c r="E364" s="9">
        <f>Table3[[#This Row],[DueDate]]</f>
        <v>46087</v>
      </c>
      <c r="F364" s="3">
        <f>Table3[[#This Row],[BillAmount]]</f>
        <v>6498.65</v>
      </c>
      <c r="G364" s="3">
        <f>SUMIF(Vendor_Payments!C:C,A364,Vendor_Payments!E:E)</f>
        <v>6498.65</v>
      </c>
      <c r="H364" s="3">
        <f t="shared" si="15"/>
        <v>0</v>
      </c>
      <c r="I364">
        <f t="shared" si="16"/>
        <v>4</v>
      </c>
      <c r="J364" t="str">
        <f t="shared" si="17"/>
        <v>1-30</v>
      </c>
    </row>
    <row r="365" spans="1:10" x14ac:dyDescent="0.3">
      <c r="A365" t="str">
        <f>Table3[[#This Row],[BillID]]</f>
        <v>BILL-00364</v>
      </c>
      <c r="B365" t="str">
        <f>Table3[[#This Row],[VendorID]]</f>
        <v>VEN-035</v>
      </c>
      <c r="C365" t="str">
        <f>VLOOKUP(B365,Vendors!A:B,2,FALSE)</f>
        <v>ClickFlow Marketing</v>
      </c>
      <c r="D365" s="9">
        <f>Table3[[#This Row],[BillDate]]</f>
        <v>46049</v>
      </c>
      <c r="E365" s="9">
        <f>Table3[[#This Row],[DueDate]]</f>
        <v>46079</v>
      </c>
      <c r="F365" s="3">
        <f>Table3[[#This Row],[BillAmount]]</f>
        <v>965.24</v>
      </c>
      <c r="G365" s="3">
        <f>SUMIF(Vendor_Payments!C:C,A365,Vendor_Payments!E:E)</f>
        <v>965.24</v>
      </c>
      <c r="H365" s="3">
        <f t="shared" si="15"/>
        <v>0</v>
      </c>
      <c r="I365">
        <f t="shared" si="16"/>
        <v>12</v>
      </c>
      <c r="J365" t="str">
        <f t="shared" si="17"/>
        <v>1-30</v>
      </c>
    </row>
    <row r="366" spans="1:10" x14ac:dyDescent="0.3">
      <c r="A366" t="str">
        <f>Table3[[#This Row],[BillID]]</f>
        <v>BILL-00365</v>
      </c>
      <c r="B366" t="str">
        <f>Table3[[#This Row],[VendorID]]</f>
        <v>VEN-015</v>
      </c>
      <c r="C366" t="str">
        <f>VLOOKUP(B366,Vendors!A:B,2,FALSE)</f>
        <v>Zapier</v>
      </c>
      <c r="D366" s="9">
        <f>Table3[[#This Row],[BillDate]]</f>
        <v>45977</v>
      </c>
      <c r="E366" s="9">
        <f>Table3[[#This Row],[DueDate]]</f>
        <v>46007</v>
      </c>
      <c r="F366" s="3">
        <f>Table3[[#This Row],[BillAmount]]</f>
        <v>1559.18</v>
      </c>
      <c r="G366" s="3">
        <f>SUMIF(Vendor_Payments!C:C,A366,Vendor_Payments!E:E)</f>
        <v>0</v>
      </c>
      <c r="H366" s="3">
        <f t="shared" si="15"/>
        <v>1559.18</v>
      </c>
      <c r="I366">
        <f t="shared" si="16"/>
        <v>84</v>
      </c>
      <c r="J366" t="str">
        <f t="shared" si="17"/>
        <v>61-90</v>
      </c>
    </row>
    <row r="367" spans="1:10" x14ac:dyDescent="0.3">
      <c r="A367" t="str">
        <f>Table3[[#This Row],[BillID]]</f>
        <v>BILL-00366</v>
      </c>
      <c r="B367" t="str">
        <f>Table3[[#This Row],[VendorID]]</f>
        <v>VEN-018</v>
      </c>
      <c r="C367" t="str">
        <f>VLOOKUP(B367,Vendors!A:B,2,FALSE)</f>
        <v>Cloudflare</v>
      </c>
      <c r="D367" s="9">
        <f>Table3[[#This Row],[BillDate]]</f>
        <v>46079</v>
      </c>
      <c r="E367" s="9">
        <f>Table3[[#This Row],[DueDate]]</f>
        <v>46109</v>
      </c>
      <c r="F367" s="3">
        <f>Table3[[#This Row],[BillAmount]]</f>
        <v>1360.89</v>
      </c>
      <c r="G367" s="3">
        <f>SUMIF(Vendor_Payments!C:C,A367,Vendor_Payments!E:E)</f>
        <v>0</v>
      </c>
      <c r="H367" s="3">
        <f t="shared" si="15"/>
        <v>1360.89</v>
      </c>
      <c r="I367">
        <f t="shared" si="16"/>
        <v>-18</v>
      </c>
      <c r="J367" t="str">
        <f t="shared" si="17"/>
        <v>Current</v>
      </c>
    </row>
    <row r="368" spans="1:10" x14ac:dyDescent="0.3">
      <c r="A368" t="str">
        <f>Table3[[#This Row],[BillID]]</f>
        <v>BILL-00367</v>
      </c>
      <c r="B368" t="str">
        <f>Table3[[#This Row],[VendorID]]</f>
        <v>VEN-022</v>
      </c>
      <c r="C368" t="str">
        <f>VLOOKUP(B368,Vendors!A:B,2,FALSE)</f>
        <v>Toptal Talent</v>
      </c>
      <c r="D368" s="9">
        <f>Table3[[#This Row],[BillDate]]</f>
        <v>46064</v>
      </c>
      <c r="E368" s="9">
        <f>Table3[[#This Row],[DueDate]]</f>
        <v>46094</v>
      </c>
      <c r="F368" s="3">
        <f>Table3[[#This Row],[BillAmount]]</f>
        <v>5458.41</v>
      </c>
      <c r="G368" s="3">
        <f>SUMIF(Vendor_Payments!C:C,A368,Vendor_Payments!E:E)</f>
        <v>5458.41</v>
      </c>
      <c r="H368" s="3">
        <f t="shared" si="15"/>
        <v>0</v>
      </c>
      <c r="I368">
        <f t="shared" si="16"/>
        <v>-3</v>
      </c>
      <c r="J368" t="str">
        <f t="shared" si="17"/>
        <v>Current</v>
      </c>
    </row>
    <row r="369" spans="1:10" x14ac:dyDescent="0.3">
      <c r="A369" t="str">
        <f>Table3[[#This Row],[BillID]]</f>
        <v>BILL-00368</v>
      </c>
      <c r="B369" t="str">
        <f>Table3[[#This Row],[VendorID]]</f>
        <v>VEN-039</v>
      </c>
      <c r="C369" t="str">
        <f>VLOOKUP(B369,Vendors!A:B,2,FALSE)</f>
        <v>Global Growth Advisors</v>
      </c>
      <c r="D369" s="9">
        <f>Table3[[#This Row],[BillDate]]</f>
        <v>46005</v>
      </c>
      <c r="E369" s="9">
        <f>Table3[[#This Row],[DueDate]]</f>
        <v>46035</v>
      </c>
      <c r="F369" s="3">
        <f>Table3[[#This Row],[BillAmount]]</f>
        <v>4611.6899999999996</v>
      </c>
      <c r="G369" s="3">
        <f>SUMIF(Vendor_Payments!C:C,A369,Vendor_Payments!E:E)</f>
        <v>0</v>
      </c>
      <c r="H369" s="3">
        <f t="shared" si="15"/>
        <v>4611.6899999999996</v>
      </c>
      <c r="I369">
        <f t="shared" si="16"/>
        <v>56</v>
      </c>
      <c r="J369" t="str">
        <f t="shared" si="17"/>
        <v>31-60</v>
      </c>
    </row>
    <row r="370" spans="1:10" x14ac:dyDescent="0.3">
      <c r="A370" t="str">
        <f>Table3[[#This Row],[BillID]]</f>
        <v>BILL-00369</v>
      </c>
      <c r="B370" t="str">
        <f>Table3[[#This Row],[VendorID]]</f>
        <v>VEN-016</v>
      </c>
      <c r="C370" t="str">
        <f>VLOOKUP(B370,Vendors!A:B,2,FALSE)</f>
        <v>Stripe</v>
      </c>
      <c r="D370" s="9">
        <f>Table3[[#This Row],[BillDate]]</f>
        <v>46028</v>
      </c>
      <c r="E370" s="9">
        <f>Table3[[#This Row],[DueDate]]</f>
        <v>46058</v>
      </c>
      <c r="F370" s="3">
        <f>Table3[[#This Row],[BillAmount]]</f>
        <v>6795.28</v>
      </c>
      <c r="G370" s="3">
        <f>SUMIF(Vendor_Payments!C:C,A370,Vendor_Payments!E:E)</f>
        <v>6795.28</v>
      </c>
      <c r="H370" s="3">
        <f t="shared" si="15"/>
        <v>0</v>
      </c>
      <c r="I370">
        <f t="shared" si="16"/>
        <v>33</v>
      </c>
      <c r="J370" t="str">
        <f t="shared" si="17"/>
        <v>31-60</v>
      </c>
    </row>
    <row r="371" spans="1:10" x14ac:dyDescent="0.3">
      <c r="A371" t="str">
        <f>Table3[[#This Row],[BillID]]</f>
        <v>BILL-00370</v>
      </c>
      <c r="B371" t="str">
        <f>Table3[[#This Row],[VendorID]]</f>
        <v>VEN-030</v>
      </c>
      <c r="C371" t="str">
        <f>VLOOKUP(B371,Vendors!A:B,2,FALSE)</f>
        <v>ContentCraft Studio</v>
      </c>
      <c r="D371" s="9">
        <f>Table3[[#This Row],[BillDate]]</f>
        <v>45995</v>
      </c>
      <c r="E371" s="9">
        <f>Table3[[#This Row],[DueDate]]</f>
        <v>46025</v>
      </c>
      <c r="F371" s="3">
        <f>Table3[[#This Row],[BillAmount]]</f>
        <v>2715.74</v>
      </c>
      <c r="G371" s="3">
        <f>SUMIF(Vendor_Payments!C:C,A371,Vendor_Payments!E:E)</f>
        <v>2715.74</v>
      </c>
      <c r="H371" s="3">
        <f t="shared" si="15"/>
        <v>0</v>
      </c>
      <c r="I371">
        <f t="shared" si="16"/>
        <v>66</v>
      </c>
      <c r="J371" t="str">
        <f t="shared" si="17"/>
        <v>61-90</v>
      </c>
    </row>
    <row r="372" spans="1:10" x14ac:dyDescent="0.3">
      <c r="A372" t="str">
        <f>Table3[[#This Row],[BillID]]</f>
        <v>BILL-00371</v>
      </c>
      <c r="B372" t="str">
        <f>Table3[[#This Row],[VendorID]]</f>
        <v>VEN-001</v>
      </c>
      <c r="C372" t="str">
        <f>VLOOKUP(B372,Vendors!A:B,2,FALSE)</f>
        <v>Google Ads</v>
      </c>
      <c r="D372" s="9">
        <f>Table3[[#This Row],[BillDate]]</f>
        <v>46010</v>
      </c>
      <c r="E372" s="9">
        <f>Table3[[#This Row],[DueDate]]</f>
        <v>46040</v>
      </c>
      <c r="F372" s="3">
        <f>Table3[[#This Row],[BillAmount]]</f>
        <v>3180.37</v>
      </c>
      <c r="G372" s="3">
        <f>SUMIF(Vendor_Payments!C:C,A372,Vendor_Payments!E:E)</f>
        <v>3180.37</v>
      </c>
      <c r="H372" s="3">
        <f t="shared" si="15"/>
        <v>0</v>
      </c>
      <c r="I372">
        <f t="shared" si="16"/>
        <v>51</v>
      </c>
      <c r="J372" t="str">
        <f t="shared" si="17"/>
        <v>31-60</v>
      </c>
    </row>
    <row r="373" spans="1:10" x14ac:dyDescent="0.3">
      <c r="A373" t="str">
        <f>Table3[[#This Row],[BillID]]</f>
        <v>BILL-00372</v>
      </c>
      <c r="B373" t="str">
        <f>Table3[[#This Row],[VendorID]]</f>
        <v>VEN-006</v>
      </c>
      <c r="C373" t="str">
        <f>VLOOKUP(B373,Vendors!A:B,2,FALSE)</f>
        <v>Salesforce</v>
      </c>
      <c r="D373" s="9">
        <f>Table3[[#This Row],[BillDate]]</f>
        <v>46053</v>
      </c>
      <c r="E373" s="9">
        <f>Table3[[#This Row],[DueDate]]</f>
        <v>46083</v>
      </c>
      <c r="F373" s="3">
        <f>Table3[[#This Row],[BillAmount]]</f>
        <v>4311.41</v>
      </c>
      <c r="G373" s="3">
        <f>SUMIF(Vendor_Payments!C:C,A373,Vendor_Payments!E:E)</f>
        <v>0</v>
      </c>
      <c r="H373" s="3">
        <f t="shared" si="15"/>
        <v>4311.41</v>
      </c>
      <c r="I373">
        <f t="shared" si="16"/>
        <v>8</v>
      </c>
      <c r="J373" t="str">
        <f t="shared" si="17"/>
        <v>1-30</v>
      </c>
    </row>
    <row r="374" spans="1:10" x14ac:dyDescent="0.3">
      <c r="A374" t="str">
        <f>Table3[[#This Row],[BillID]]</f>
        <v>BILL-00373</v>
      </c>
      <c r="B374" t="str">
        <f>Table3[[#This Row],[VendorID]]</f>
        <v>VEN-007</v>
      </c>
      <c r="C374" t="str">
        <f>VLOOKUP(B374,Vendors!A:B,2,FALSE)</f>
        <v>Mailchimp</v>
      </c>
      <c r="D374" s="9">
        <f>Table3[[#This Row],[BillDate]]</f>
        <v>46081</v>
      </c>
      <c r="E374" s="9">
        <f>Table3[[#This Row],[DueDate]]</f>
        <v>46111</v>
      </c>
      <c r="F374" s="3">
        <f>Table3[[#This Row],[BillAmount]]</f>
        <v>4432.93</v>
      </c>
      <c r="G374" s="3">
        <f>SUMIF(Vendor_Payments!C:C,A374,Vendor_Payments!E:E)</f>
        <v>4432.93</v>
      </c>
      <c r="H374" s="3">
        <f t="shared" si="15"/>
        <v>0</v>
      </c>
      <c r="I374">
        <f t="shared" si="16"/>
        <v>-20</v>
      </c>
      <c r="J374" t="str">
        <f t="shared" si="17"/>
        <v>Current</v>
      </c>
    </row>
    <row r="375" spans="1:10" x14ac:dyDescent="0.3">
      <c r="A375" t="str">
        <f>Table3[[#This Row],[BillID]]</f>
        <v>BILL-00374</v>
      </c>
      <c r="B375" t="str">
        <f>Table3[[#This Row],[VendorID]]</f>
        <v>VEN-015</v>
      </c>
      <c r="C375" t="str">
        <f>VLOOKUP(B375,Vendors!A:B,2,FALSE)</f>
        <v>Zapier</v>
      </c>
      <c r="D375" s="9">
        <f>Table3[[#This Row],[BillDate]]</f>
        <v>46044</v>
      </c>
      <c r="E375" s="9">
        <f>Table3[[#This Row],[DueDate]]</f>
        <v>46074</v>
      </c>
      <c r="F375" s="3">
        <f>Table3[[#This Row],[BillAmount]]</f>
        <v>1419.22</v>
      </c>
      <c r="G375" s="3">
        <f>SUMIF(Vendor_Payments!C:C,A375,Vendor_Payments!E:E)</f>
        <v>1419.22</v>
      </c>
      <c r="H375" s="3">
        <f t="shared" si="15"/>
        <v>0</v>
      </c>
      <c r="I375">
        <f t="shared" si="16"/>
        <v>17</v>
      </c>
      <c r="J375" t="str">
        <f t="shared" si="17"/>
        <v>1-30</v>
      </c>
    </row>
    <row r="376" spans="1:10" x14ac:dyDescent="0.3">
      <c r="A376" t="str">
        <f>Table3[[#This Row],[BillID]]</f>
        <v>BILL-00375</v>
      </c>
      <c r="B376" t="str">
        <f>Table3[[#This Row],[VendorID]]</f>
        <v>VEN-009</v>
      </c>
      <c r="C376" t="str">
        <f>VLOOKUP(B376,Vendors!A:B,2,FALSE)</f>
        <v>SEMrush</v>
      </c>
      <c r="D376" s="9">
        <f>Table3[[#This Row],[BillDate]]</f>
        <v>46057</v>
      </c>
      <c r="E376" s="9">
        <f>Table3[[#This Row],[DueDate]]</f>
        <v>46087</v>
      </c>
      <c r="F376" s="3">
        <f>Table3[[#This Row],[BillAmount]]</f>
        <v>6653.76</v>
      </c>
      <c r="G376" s="3">
        <f>SUMIF(Vendor_Payments!C:C,A376,Vendor_Payments!E:E)</f>
        <v>0</v>
      </c>
      <c r="H376" s="3">
        <f t="shared" si="15"/>
        <v>6653.76</v>
      </c>
      <c r="I376">
        <f t="shared" si="16"/>
        <v>4</v>
      </c>
      <c r="J376" t="str">
        <f t="shared" si="17"/>
        <v>1-30</v>
      </c>
    </row>
    <row r="377" spans="1:10" x14ac:dyDescent="0.3">
      <c r="A377" t="str">
        <f>Table3[[#This Row],[BillID]]</f>
        <v>BILL-00376</v>
      </c>
      <c r="B377" t="str">
        <f>Table3[[#This Row],[VendorID]]</f>
        <v>VEN-021</v>
      </c>
      <c r="C377" t="str">
        <f>VLOOKUP(B377,Vendors!A:B,2,FALSE)</f>
        <v>Upwork Freelancers</v>
      </c>
      <c r="D377" s="9">
        <f>Table3[[#This Row],[BillDate]]</f>
        <v>46016</v>
      </c>
      <c r="E377" s="9">
        <f>Table3[[#This Row],[DueDate]]</f>
        <v>46046</v>
      </c>
      <c r="F377" s="3">
        <f>Table3[[#This Row],[BillAmount]]</f>
        <v>1737.1</v>
      </c>
      <c r="G377" s="3">
        <f>SUMIF(Vendor_Payments!C:C,A377,Vendor_Payments!E:E)</f>
        <v>0</v>
      </c>
      <c r="H377" s="3">
        <f t="shared" si="15"/>
        <v>1737.1</v>
      </c>
      <c r="I377">
        <f t="shared" si="16"/>
        <v>45</v>
      </c>
      <c r="J377" t="str">
        <f t="shared" si="17"/>
        <v>31-60</v>
      </c>
    </row>
    <row r="378" spans="1:10" x14ac:dyDescent="0.3">
      <c r="A378" t="str">
        <f>Table3[[#This Row],[BillID]]</f>
        <v>BILL-00377</v>
      </c>
      <c r="B378" t="str">
        <f>Table3[[#This Row],[VendorID]]</f>
        <v>VEN-017</v>
      </c>
      <c r="C378" t="str">
        <f>VLOOKUP(B378,Vendors!A:B,2,FALSE)</f>
        <v>PayPal</v>
      </c>
      <c r="D378" s="9">
        <f>Table3[[#This Row],[BillDate]]</f>
        <v>46073</v>
      </c>
      <c r="E378" s="9">
        <f>Table3[[#This Row],[DueDate]]</f>
        <v>46103</v>
      </c>
      <c r="F378" s="3">
        <f>Table3[[#This Row],[BillAmount]]</f>
        <v>3175.19</v>
      </c>
      <c r="G378" s="3">
        <f>SUMIF(Vendor_Payments!C:C,A378,Vendor_Payments!E:E)</f>
        <v>0</v>
      </c>
      <c r="H378" s="3">
        <f t="shared" si="15"/>
        <v>3175.19</v>
      </c>
      <c r="I378">
        <f t="shared" si="16"/>
        <v>-12</v>
      </c>
      <c r="J378" t="str">
        <f t="shared" si="17"/>
        <v>Current</v>
      </c>
    </row>
    <row r="379" spans="1:10" x14ac:dyDescent="0.3">
      <c r="A379" t="str">
        <f>Table3[[#This Row],[BillID]]</f>
        <v>BILL-00378</v>
      </c>
      <c r="B379" t="str">
        <f>Table3[[#This Row],[VendorID]]</f>
        <v>VEN-002</v>
      </c>
      <c r="C379" t="str">
        <f>VLOOKUP(B379,Vendors!A:B,2,FALSE)</f>
        <v>Meta Ads</v>
      </c>
      <c r="D379" s="9">
        <f>Table3[[#This Row],[BillDate]]</f>
        <v>46062</v>
      </c>
      <c r="E379" s="9">
        <f>Table3[[#This Row],[DueDate]]</f>
        <v>46092</v>
      </c>
      <c r="F379" s="3">
        <f>Table3[[#This Row],[BillAmount]]</f>
        <v>6320.21</v>
      </c>
      <c r="G379" s="3">
        <f>SUMIF(Vendor_Payments!C:C,A379,Vendor_Payments!E:E)</f>
        <v>6320.21</v>
      </c>
      <c r="H379" s="3">
        <f t="shared" si="15"/>
        <v>0</v>
      </c>
      <c r="I379">
        <f t="shared" si="16"/>
        <v>-1</v>
      </c>
      <c r="J379" t="str">
        <f t="shared" si="17"/>
        <v>Current</v>
      </c>
    </row>
    <row r="380" spans="1:10" x14ac:dyDescent="0.3">
      <c r="A380" t="str">
        <f>Table3[[#This Row],[BillID]]</f>
        <v>BILL-00379</v>
      </c>
      <c r="B380" t="str">
        <f>Table3[[#This Row],[VendorID]]</f>
        <v>VEN-002</v>
      </c>
      <c r="C380" t="str">
        <f>VLOOKUP(B380,Vendors!A:B,2,FALSE)</f>
        <v>Meta Ads</v>
      </c>
      <c r="D380" s="9">
        <f>Table3[[#This Row],[BillDate]]</f>
        <v>46088</v>
      </c>
      <c r="E380" s="9">
        <f>Table3[[#This Row],[DueDate]]</f>
        <v>46118</v>
      </c>
      <c r="F380" s="3">
        <f>Table3[[#This Row],[BillAmount]]</f>
        <v>827.96</v>
      </c>
      <c r="G380" s="3">
        <f>SUMIF(Vendor_Payments!C:C,A380,Vendor_Payments!E:E)</f>
        <v>827.96</v>
      </c>
      <c r="H380" s="3">
        <f t="shared" si="15"/>
        <v>0</v>
      </c>
      <c r="I380">
        <f t="shared" si="16"/>
        <v>-27</v>
      </c>
      <c r="J380" t="str">
        <f t="shared" si="17"/>
        <v>Current</v>
      </c>
    </row>
    <row r="381" spans="1:10" x14ac:dyDescent="0.3">
      <c r="A381" t="str">
        <f>Table3[[#This Row],[BillID]]</f>
        <v>BILL-00380</v>
      </c>
      <c r="B381" t="str">
        <f>Table3[[#This Row],[VendorID]]</f>
        <v>VEN-035</v>
      </c>
      <c r="C381" t="str">
        <f>VLOOKUP(B381,Vendors!A:B,2,FALSE)</f>
        <v>ClickFlow Marketing</v>
      </c>
      <c r="D381" s="9">
        <f>Table3[[#This Row],[BillDate]]</f>
        <v>45970</v>
      </c>
      <c r="E381" s="9">
        <f>Table3[[#This Row],[DueDate]]</f>
        <v>46000</v>
      </c>
      <c r="F381" s="3">
        <f>Table3[[#This Row],[BillAmount]]</f>
        <v>6394.79</v>
      </c>
      <c r="G381" s="3">
        <f>SUMIF(Vendor_Payments!C:C,A381,Vendor_Payments!E:E)</f>
        <v>6394.79</v>
      </c>
      <c r="H381" s="3">
        <f t="shared" si="15"/>
        <v>0</v>
      </c>
      <c r="I381">
        <f t="shared" si="16"/>
        <v>91</v>
      </c>
      <c r="J381" t="str">
        <f t="shared" si="17"/>
        <v>90+</v>
      </c>
    </row>
    <row r="382" spans="1:10" x14ac:dyDescent="0.3">
      <c r="A382" t="str">
        <f>Table3[[#This Row],[BillID]]</f>
        <v>BILL-00381</v>
      </c>
      <c r="B382" t="str">
        <f>Table3[[#This Row],[VendorID]]</f>
        <v>VEN-004</v>
      </c>
      <c r="C382" t="str">
        <f>VLOOKUP(B382,Vendors!A:B,2,FALSE)</f>
        <v>LinkedIn Ads</v>
      </c>
      <c r="D382" s="9">
        <f>Table3[[#This Row],[BillDate]]</f>
        <v>46091</v>
      </c>
      <c r="E382" s="9">
        <f>Table3[[#This Row],[DueDate]]</f>
        <v>46121</v>
      </c>
      <c r="F382" s="3">
        <f>Table3[[#This Row],[BillAmount]]</f>
        <v>1984.52</v>
      </c>
      <c r="G382" s="3">
        <f>SUMIF(Vendor_Payments!C:C,A382,Vendor_Payments!E:E)</f>
        <v>0</v>
      </c>
      <c r="H382" s="3">
        <f t="shared" si="15"/>
        <v>1984.52</v>
      </c>
      <c r="I382">
        <f t="shared" si="16"/>
        <v>-30</v>
      </c>
      <c r="J382" t="str">
        <f t="shared" si="17"/>
        <v>Current</v>
      </c>
    </row>
    <row r="383" spans="1:10" x14ac:dyDescent="0.3">
      <c r="A383" t="str">
        <f>Table3[[#This Row],[BillID]]</f>
        <v>BILL-00382</v>
      </c>
      <c r="B383" t="str">
        <f>Table3[[#This Row],[VendorID]]</f>
        <v>VEN-015</v>
      </c>
      <c r="C383" t="str">
        <f>VLOOKUP(B383,Vendors!A:B,2,FALSE)</f>
        <v>Zapier</v>
      </c>
      <c r="D383" s="9">
        <f>Table3[[#This Row],[BillDate]]</f>
        <v>46084</v>
      </c>
      <c r="E383" s="9">
        <f>Table3[[#This Row],[DueDate]]</f>
        <v>46114</v>
      </c>
      <c r="F383" s="3">
        <f>Table3[[#This Row],[BillAmount]]</f>
        <v>6132.37</v>
      </c>
      <c r="G383" s="3">
        <f>SUMIF(Vendor_Payments!C:C,A383,Vendor_Payments!E:E)</f>
        <v>6132.37</v>
      </c>
      <c r="H383" s="3">
        <f t="shared" si="15"/>
        <v>0</v>
      </c>
      <c r="I383">
        <f t="shared" si="16"/>
        <v>-23</v>
      </c>
      <c r="J383" t="str">
        <f t="shared" si="17"/>
        <v>Current</v>
      </c>
    </row>
    <row r="384" spans="1:10" x14ac:dyDescent="0.3">
      <c r="A384" t="str">
        <f>Table3[[#This Row],[BillID]]</f>
        <v>BILL-00383</v>
      </c>
      <c r="B384" t="str">
        <f>Table3[[#This Row],[VendorID]]</f>
        <v>VEN-018</v>
      </c>
      <c r="C384" t="str">
        <f>VLOOKUP(B384,Vendors!A:B,2,FALSE)</f>
        <v>Cloudflare</v>
      </c>
      <c r="D384" s="9">
        <f>Table3[[#This Row],[BillDate]]</f>
        <v>46017</v>
      </c>
      <c r="E384" s="9">
        <f>Table3[[#This Row],[DueDate]]</f>
        <v>46047</v>
      </c>
      <c r="F384" s="3">
        <f>Table3[[#This Row],[BillAmount]]</f>
        <v>2101.2800000000002</v>
      </c>
      <c r="G384" s="3">
        <f>SUMIF(Vendor_Payments!C:C,A384,Vendor_Payments!E:E)</f>
        <v>0</v>
      </c>
      <c r="H384" s="3">
        <f t="shared" si="15"/>
        <v>2101.2800000000002</v>
      </c>
      <c r="I384">
        <f t="shared" si="16"/>
        <v>44</v>
      </c>
      <c r="J384" t="str">
        <f t="shared" si="17"/>
        <v>31-60</v>
      </c>
    </row>
    <row r="385" spans="1:10" x14ac:dyDescent="0.3">
      <c r="A385" t="str">
        <f>Table3[[#This Row],[BillID]]</f>
        <v>BILL-00384</v>
      </c>
      <c r="B385" t="str">
        <f>Table3[[#This Row],[VendorID]]</f>
        <v>VEN-007</v>
      </c>
      <c r="C385" t="str">
        <f>VLOOKUP(B385,Vendors!A:B,2,FALSE)</f>
        <v>Mailchimp</v>
      </c>
      <c r="D385" s="9">
        <f>Table3[[#This Row],[BillDate]]</f>
        <v>45997</v>
      </c>
      <c r="E385" s="9">
        <f>Table3[[#This Row],[DueDate]]</f>
        <v>46027</v>
      </c>
      <c r="F385" s="3">
        <f>Table3[[#This Row],[BillAmount]]</f>
        <v>2656.98</v>
      </c>
      <c r="G385" s="3">
        <f>SUMIF(Vendor_Payments!C:C,A385,Vendor_Payments!E:E)</f>
        <v>2656.98</v>
      </c>
      <c r="H385" s="3">
        <f t="shared" si="15"/>
        <v>0</v>
      </c>
      <c r="I385">
        <f t="shared" si="16"/>
        <v>64</v>
      </c>
      <c r="J385" t="str">
        <f t="shared" si="17"/>
        <v>61-90</v>
      </c>
    </row>
    <row r="386" spans="1:10" x14ac:dyDescent="0.3">
      <c r="A386" t="str">
        <f>Table3[[#This Row],[BillID]]</f>
        <v>BILL-00385</v>
      </c>
      <c r="B386" t="str">
        <f>Table3[[#This Row],[VendorID]]</f>
        <v>VEN-029</v>
      </c>
      <c r="C386" t="str">
        <f>VLOOKUP(B386,Vendors!A:B,2,FALSE)</f>
        <v>BrightSEO Agency</v>
      </c>
      <c r="D386" s="9">
        <f>Table3[[#This Row],[BillDate]]</f>
        <v>45971</v>
      </c>
      <c r="E386" s="9">
        <f>Table3[[#This Row],[DueDate]]</f>
        <v>46001</v>
      </c>
      <c r="F386" s="3">
        <f>Table3[[#This Row],[BillAmount]]</f>
        <v>3807.71</v>
      </c>
      <c r="G386" s="3">
        <f>SUMIF(Vendor_Payments!C:C,A386,Vendor_Payments!E:E)</f>
        <v>3807.71</v>
      </c>
      <c r="H386" s="3">
        <f t="shared" si="15"/>
        <v>0</v>
      </c>
      <c r="I386">
        <f t="shared" si="16"/>
        <v>90</v>
      </c>
      <c r="J386" t="str">
        <f t="shared" si="17"/>
        <v>61-90</v>
      </c>
    </row>
    <row r="387" spans="1:10" x14ac:dyDescent="0.3">
      <c r="A387" t="str">
        <f>Table3[[#This Row],[BillID]]</f>
        <v>BILL-00386</v>
      </c>
      <c r="B387" t="str">
        <f>Table3[[#This Row],[VendorID]]</f>
        <v>VEN-017</v>
      </c>
      <c r="C387" t="str">
        <f>VLOOKUP(B387,Vendors!A:B,2,FALSE)</f>
        <v>PayPal</v>
      </c>
      <c r="D387" s="9">
        <f>Table3[[#This Row],[BillDate]]</f>
        <v>46020</v>
      </c>
      <c r="E387" s="9">
        <f>Table3[[#This Row],[DueDate]]</f>
        <v>46050</v>
      </c>
      <c r="F387" s="3">
        <f>Table3[[#This Row],[BillAmount]]</f>
        <v>3690.05</v>
      </c>
      <c r="G387" s="3">
        <f>SUMIF(Vendor_Payments!C:C,A387,Vendor_Payments!E:E)</f>
        <v>0</v>
      </c>
      <c r="H387" s="3">
        <f t="shared" ref="H387:H450" si="18">F387-G387</f>
        <v>3690.05</v>
      </c>
      <c r="I387">
        <f t="shared" ref="I387:I450" si="19">$L$1-E387</f>
        <v>41</v>
      </c>
      <c r="J387" t="str">
        <f t="shared" ref="J387:J450" si="20">IF(I387&lt;=0,"Current",IF(I387&lt;=30,"1-30",IF(I387&lt;=60,"31-60",IF(I387&lt;=90,"61-90","90+"))))</f>
        <v>31-60</v>
      </c>
    </row>
    <row r="388" spans="1:10" x14ac:dyDescent="0.3">
      <c r="A388" t="str">
        <f>Table3[[#This Row],[BillID]]</f>
        <v>BILL-00387</v>
      </c>
      <c r="B388" t="str">
        <f>Table3[[#This Row],[VendorID]]</f>
        <v>VEN-017</v>
      </c>
      <c r="C388" t="str">
        <f>VLOOKUP(B388,Vendors!A:B,2,FALSE)</f>
        <v>PayPal</v>
      </c>
      <c r="D388" s="9">
        <f>Table3[[#This Row],[BillDate]]</f>
        <v>46044</v>
      </c>
      <c r="E388" s="9">
        <f>Table3[[#This Row],[DueDate]]</f>
        <v>46074</v>
      </c>
      <c r="F388" s="3">
        <f>Table3[[#This Row],[BillAmount]]</f>
        <v>6131.81</v>
      </c>
      <c r="G388" s="3">
        <f>SUMIF(Vendor_Payments!C:C,A388,Vendor_Payments!E:E)</f>
        <v>6131.81</v>
      </c>
      <c r="H388" s="3">
        <f t="shared" si="18"/>
        <v>0</v>
      </c>
      <c r="I388">
        <f t="shared" si="19"/>
        <v>17</v>
      </c>
      <c r="J388" t="str">
        <f t="shared" si="20"/>
        <v>1-30</v>
      </c>
    </row>
    <row r="389" spans="1:10" x14ac:dyDescent="0.3">
      <c r="A389" t="str">
        <f>Table3[[#This Row],[BillID]]</f>
        <v>BILL-00388</v>
      </c>
      <c r="B389" t="str">
        <f>Table3[[#This Row],[VendorID]]</f>
        <v>VEN-035</v>
      </c>
      <c r="C389" t="str">
        <f>VLOOKUP(B389,Vendors!A:B,2,FALSE)</f>
        <v>ClickFlow Marketing</v>
      </c>
      <c r="D389" s="9">
        <f>Table3[[#This Row],[BillDate]]</f>
        <v>46046</v>
      </c>
      <c r="E389" s="9">
        <f>Table3[[#This Row],[DueDate]]</f>
        <v>46076</v>
      </c>
      <c r="F389" s="3">
        <f>Table3[[#This Row],[BillAmount]]</f>
        <v>2264.86</v>
      </c>
      <c r="G389" s="3">
        <f>SUMIF(Vendor_Payments!C:C,A389,Vendor_Payments!E:E)</f>
        <v>0</v>
      </c>
      <c r="H389" s="3">
        <f t="shared" si="18"/>
        <v>2264.86</v>
      </c>
      <c r="I389">
        <f t="shared" si="19"/>
        <v>15</v>
      </c>
      <c r="J389" t="str">
        <f t="shared" si="20"/>
        <v>1-30</v>
      </c>
    </row>
    <row r="390" spans="1:10" x14ac:dyDescent="0.3">
      <c r="A390" t="str">
        <f>Table3[[#This Row],[BillID]]</f>
        <v>BILL-00389</v>
      </c>
      <c r="B390" t="str">
        <f>Table3[[#This Row],[VendorID]]</f>
        <v>VEN-021</v>
      </c>
      <c r="C390" t="str">
        <f>VLOOKUP(B390,Vendors!A:B,2,FALSE)</f>
        <v>Upwork Freelancers</v>
      </c>
      <c r="D390" s="9">
        <f>Table3[[#This Row],[BillDate]]</f>
        <v>46062</v>
      </c>
      <c r="E390" s="9">
        <f>Table3[[#This Row],[DueDate]]</f>
        <v>46092</v>
      </c>
      <c r="F390" s="3">
        <f>Table3[[#This Row],[BillAmount]]</f>
        <v>5142.55</v>
      </c>
      <c r="G390" s="3">
        <f>SUMIF(Vendor_Payments!C:C,A390,Vendor_Payments!E:E)</f>
        <v>5142.55</v>
      </c>
      <c r="H390" s="3">
        <f t="shared" si="18"/>
        <v>0</v>
      </c>
      <c r="I390">
        <f t="shared" si="19"/>
        <v>-1</v>
      </c>
      <c r="J390" t="str">
        <f t="shared" si="20"/>
        <v>Current</v>
      </c>
    </row>
    <row r="391" spans="1:10" x14ac:dyDescent="0.3">
      <c r="A391" t="str">
        <f>Table3[[#This Row],[BillID]]</f>
        <v>BILL-00390</v>
      </c>
      <c r="B391" t="str">
        <f>Table3[[#This Row],[VendorID]]</f>
        <v>VEN-012</v>
      </c>
      <c r="C391" t="str">
        <f>VLOOKUP(B391,Vendors!A:B,2,FALSE)</f>
        <v>Google Cloud</v>
      </c>
      <c r="D391" s="9">
        <f>Table3[[#This Row],[BillDate]]</f>
        <v>45999</v>
      </c>
      <c r="E391" s="9">
        <f>Table3[[#This Row],[DueDate]]</f>
        <v>46029</v>
      </c>
      <c r="F391" s="3">
        <f>Table3[[#This Row],[BillAmount]]</f>
        <v>5362.91</v>
      </c>
      <c r="G391" s="3">
        <f>SUMIF(Vendor_Payments!C:C,A391,Vendor_Payments!E:E)</f>
        <v>0</v>
      </c>
      <c r="H391" s="3">
        <f t="shared" si="18"/>
        <v>5362.91</v>
      </c>
      <c r="I391">
        <f t="shared" si="19"/>
        <v>62</v>
      </c>
      <c r="J391" t="str">
        <f t="shared" si="20"/>
        <v>61-90</v>
      </c>
    </row>
    <row r="392" spans="1:10" x14ac:dyDescent="0.3">
      <c r="A392" t="str">
        <f>Table3[[#This Row],[BillID]]</f>
        <v>BILL-00391</v>
      </c>
      <c r="B392" t="str">
        <f>Table3[[#This Row],[VendorID]]</f>
        <v>VEN-031</v>
      </c>
      <c r="C392" t="str">
        <f>VLOOKUP(B392,Vendors!A:B,2,FALSE)</f>
        <v>DataInsight Analytics</v>
      </c>
      <c r="D392" s="9">
        <f>Table3[[#This Row],[BillDate]]</f>
        <v>46017</v>
      </c>
      <c r="E392" s="9">
        <f>Table3[[#This Row],[DueDate]]</f>
        <v>46047</v>
      </c>
      <c r="F392" s="3">
        <f>Table3[[#This Row],[BillAmount]]</f>
        <v>3854.36</v>
      </c>
      <c r="G392" s="3">
        <f>SUMIF(Vendor_Payments!C:C,A392,Vendor_Payments!E:E)</f>
        <v>3854.36</v>
      </c>
      <c r="H392" s="3">
        <f t="shared" si="18"/>
        <v>0</v>
      </c>
      <c r="I392">
        <f t="shared" si="19"/>
        <v>44</v>
      </c>
      <c r="J392" t="str">
        <f t="shared" si="20"/>
        <v>31-60</v>
      </c>
    </row>
    <row r="393" spans="1:10" x14ac:dyDescent="0.3">
      <c r="A393" t="str">
        <f>Table3[[#This Row],[BillID]]</f>
        <v>BILL-00392</v>
      </c>
      <c r="B393" t="str">
        <f>Table3[[#This Row],[VendorID]]</f>
        <v>VEN-037</v>
      </c>
      <c r="C393" t="str">
        <f>VLOOKUP(B393,Vendors!A:B,2,FALSE)</f>
        <v>CreativeSpark Studio</v>
      </c>
      <c r="D393" s="9">
        <f>Table3[[#This Row],[BillDate]]</f>
        <v>45966</v>
      </c>
      <c r="E393" s="9">
        <f>Table3[[#This Row],[DueDate]]</f>
        <v>45996</v>
      </c>
      <c r="F393" s="3">
        <f>Table3[[#This Row],[BillAmount]]</f>
        <v>2029.3</v>
      </c>
      <c r="G393" s="3">
        <f>SUMIF(Vendor_Payments!C:C,A393,Vendor_Payments!E:E)</f>
        <v>2029.3</v>
      </c>
      <c r="H393" s="3">
        <f t="shared" si="18"/>
        <v>0</v>
      </c>
      <c r="I393">
        <f t="shared" si="19"/>
        <v>95</v>
      </c>
      <c r="J393" t="str">
        <f t="shared" si="20"/>
        <v>90+</v>
      </c>
    </row>
    <row r="394" spans="1:10" x14ac:dyDescent="0.3">
      <c r="A394" t="str">
        <f>Table3[[#This Row],[BillID]]</f>
        <v>BILL-00393</v>
      </c>
      <c r="B394" t="str">
        <f>Table3[[#This Row],[VendorID]]</f>
        <v>VEN-038</v>
      </c>
      <c r="C394" t="str">
        <f>VLOOKUP(B394,Vendors!A:B,2,FALSE)</f>
        <v>Insight Marketing Partners</v>
      </c>
      <c r="D394" s="9">
        <f>Table3[[#This Row],[BillDate]]</f>
        <v>46046</v>
      </c>
      <c r="E394" s="9">
        <f>Table3[[#This Row],[DueDate]]</f>
        <v>46076</v>
      </c>
      <c r="F394" s="3">
        <f>Table3[[#This Row],[BillAmount]]</f>
        <v>4455.32</v>
      </c>
      <c r="G394" s="3">
        <f>SUMIF(Vendor_Payments!C:C,A394,Vendor_Payments!E:E)</f>
        <v>4455.32</v>
      </c>
      <c r="H394" s="3">
        <f t="shared" si="18"/>
        <v>0</v>
      </c>
      <c r="I394">
        <f t="shared" si="19"/>
        <v>15</v>
      </c>
      <c r="J394" t="str">
        <f t="shared" si="20"/>
        <v>1-30</v>
      </c>
    </row>
    <row r="395" spans="1:10" x14ac:dyDescent="0.3">
      <c r="A395" t="str">
        <f>Table3[[#This Row],[BillID]]</f>
        <v>BILL-00394</v>
      </c>
      <c r="B395" t="str">
        <f>Table3[[#This Row],[VendorID]]</f>
        <v>VEN-023</v>
      </c>
      <c r="C395" t="str">
        <f>VLOOKUP(B395,Vendors!A:B,2,FALSE)</f>
        <v>Fiverr Pro</v>
      </c>
      <c r="D395" s="9">
        <f>Table3[[#This Row],[BillDate]]</f>
        <v>46086</v>
      </c>
      <c r="E395" s="9">
        <f>Table3[[#This Row],[DueDate]]</f>
        <v>46116</v>
      </c>
      <c r="F395" s="3">
        <f>Table3[[#This Row],[BillAmount]]</f>
        <v>6210.16</v>
      </c>
      <c r="G395" s="3">
        <f>SUMIF(Vendor_Payments!C:C,A395,Vendor_Payments!E:E)</f>
        <v>0</v>
      </c>
      <c r="H395" s="3">
        <f t="shared" si="18"/>
        <v>6210.16</v>
      </c>
      <c r="I395">
        <f t="shared" si="19"/>
        <v>-25</v>
      </c>
      <c r="J395" t="str">
        <f t="shared" si="20"/>
        <v>Current</v>
      </c>
    </row>
    <row r="396" spans="1:10" x14ac:dyDescent="0.3">
      <c r="A396" t="str">
        <f>Table3[[#This Row],[BillID]]</f>
        <v>BILL-00395</v>
      </c>
      <c r="B396" t="str">
        <f>Table3[[#This Row],[VendorID]]</f>
        <v>VEN-030</v>
      </c>
      <c r="C396" t="str">
        <f>VLOOKUP(B396,Vendors!A:B,2,FALSE)</f>
        <v>ContentCraft Studio</v>
      </c>
      <c r="D396" s="9">
        <f>Table3[[#This Row],[BillDate]]</f>
        <v>46090</v>
      </c>
      <c r="E396" s="9">
        <f>Table3[[#This Row],[DueDate]]</f>
        <v>46120</v>
      </c>
      <c r="F396" s="3">
        <f>Table3[[#This Row],[BillAmount]]</f>
        <v>5241.75</v>
      </c>
      <c r="G396" s="3">
        <f>SUMIF(Vendor_Payments!C:C,A396,Vendor_Payments!E:E)</f>
        <v>5241.75</v>
      </c>
      <c r="H396" s="3">
        <f t="shared" si="18"/>
        <v>0</v>
      </c>
      <c r="I396">
        <f t="shared" si="19"/>
        <v>-29</v>
      </c>
      <c r="J396" t="str">
        <f t="shared" si="20"/>
        <v>Current</v>
      </c>
    </row>
    <row r="397" spans="1:10" x14ac:dyDescent="0.3">
      <c r="A397" t="str">
        <f>Table3[[#This Row],[BillID]]</f>
        <v>BILL-00396</v>
      </c>
      <c r="B397" t="str">
        <f>Table3[[#This Row],[VendorID]]</f>
        <v>VEN-004</v>
      </c>
      <c r="C397" t="str">
        <f>VLOOKUP(B397,Vendors!A:B,2,FALSE)</f>
        <v>LinkedIn Ads</v>
      </c>
      <c r="D397" s="9">
        <f>Table3[[#This Row],[BillDate]]</f>
        <v>46031</v>
      </c>
      <c r="E397" s="9">
        <f>Table3[[#This Row],[DueDate]]</f>
        <v>46061</v>
      </c>
      <c r="F397" s="3">
        <f>Table3[[#This Row],[BillAmount]]</f>
        <v>6277.21</v>
      </c>
      <c r="G397" s="3">
        <f>SUMIF(Vendor_Payments!C:C,A397,Vendor_Payments!E:E)</f>
        <v>6277.21</v>
      </c>
      <c r="H397" s="3">
        <f t="shared" si="18"/>
        <v>0</v>
      </c>
      <c r="I397">
        <f t="shared" si="19"/>
        <v>30</v>
      </c>
      <c r="J397" t="str">
        <f t="shared" si="20"/>
        <v>1-30</v>
      </c>
    </row>
    <row r="398" spans="1:10" x14ac:dyDescent="0.3">
      <c r="A398" t="str">
        <f>Table3[[#This Row],[BillID]]</f>
        <v>BILL-00397</v>
      </c>
      <c r="B398" t="str">
        <f>Table3[[#This Row],[VendorID]]</f>
        <v>VEN-034</v>
      </c>
      <c r="C398" t="str">
        <f>VLOOKUP(B398,Vendors!A:B,2,FALSE)</f>
        <v>SocialBoost Agency</v>
      </c>
      <c r="D398" s="9">
        <f>Table3[[#This Row],[BillDate]]</f>
        <v>45964</v>
      </c>
      <c r="E398" s="9">
        <f>Table3[[#This Row],[DueDate]]</f>
        <v>45994</v>
      </c>
      <c r="F398" s="3">
        <f>Table3[[#This Row],[BillAmount]]</f>
        <v>4088.51</v>
      </c>
      <c r="G398" s="3">
        <f>SUMIF(Vendor_Payments!C:C,A398,Vendor_Payments!E:E)</f>
        <v>0</v>
      </c>
      <c r="H398" s="3">
        <f t="shared" si="18"/>
        <v>4088.51</v>
      </c>
      <c r="I398">
        <f t="shared" si="19"/>
        <v>97</v>
      </c>
      <c r="J398" t="str">
        <f t="shared" si="20"/>
        <v>90+</v>
      </c>
    </row>
    <row r="399" spans="1:10" x14ac:dyDescent="0.3">
      <c r="A399" t="str">
        <f>Table3[[#This Row],[BillID]]</f>
        <v>BILL-00398</v>
      </c>
      <c r="B399" t="str">
        <f>Table3[[#This Row],[VendorID]]</f>
        <v>VEN-021</v>
      </c>
      <c r="C399" t="str">
        <f>VLOOKUP(B399,Vendors!A:B,2,FALSE)</f>
        <v>Upwork Freelancers</v>
      </c>
      <c r="D399" s="9">
        <f>Table3[[#This Row],[BillDate]]</f>
        <v>46018</v>
      </c>
      <c r="E399" s="9">
        <f>Table3[[#This Row],[DueDate]]</f>
        <v>46048</v>
      </c>
      <c r="F399" s="3">
        <f>Table3[[#This Row],[BillAmount]]</f>
        <v>5136.72</v>
      </c>
      <c r="G399" s="3">
        <f>SUMIF(Vendor_Payments!C:C,A399,Vendor_Payments!E:E)</f>
        <v>0</v>
      </c>
      <c r="H399" s="3">
        <f t="shared" si="18"/>
        <v>5136.72</v>
      </c>
      <c r="I399">
        <f t="shared" si="19"/>
        <v>43</v>
      </c>
      <c r="J399" t="str">
        <f t="shared" si="20"/>
        <v>31-60</v>
      </c>
    </row>
    <row r="400" spans="1:10" x14ac:dyDescent="0.3">
      <c r="A400" t="str">
        <f>Table3[[#This Row],[BillID]]</f>
        <v>BILL-00399</v>
      </c>
      <c r="B400" t="str">
        <f>Table3[[#This Row],[VendorID]]</f>
        <v>VEN-026</v>
      </c>
      <c r="C400" t="str">
        <f>VLOOKUP(B400,Vendors!A:B,2,FALSE)</f>
        <v>PixelForge Studio</v>
      </c>
      <c r="D400" s="9">
        <f>Table3[[#This Row],[BillDate]]</f>
        <v>46066</v>
      </c>
      <c r="E400" s="9">
        <f>Table3[[#This Row],[DueDate]]</f>
        <v>46096</v>
      </c>
      <c r="F400" s="3">
        <f>Table3[[#This Row],[BillAmount]]</f>
        <v>5688.92</v>
      </c>
      <c r="G400" s="3">
        <f>SUMIF(Vendor_Payments!C:C,A400,Vendor_Payments!E:E)</f>
        <v>5688.92</v>
      </c>
      <c r="H400" s="3">
        <f t="shared" si="18"/>
        <v>0</v>
      </c>
      <c r="I400">
        <f t="shared" si="19"/>
        <v>-5</v>
      </c>
      <c r="J400" t="str">
        <f t="shared" si="20"/>
        <v>Current</v>
      </c>
    </row>
    <row r="401" spans="1:10" x14ac:dyDescent="0.3">
      <c r="A401" t="str">
        <f>Table3[[#This Row],[BillID]]</f>
        <v>BILL-00400</v>
      </c>
      <c r="B401" t="str">
        <f>Table3[[#This Row],[VendorID]]</f>
        <v>VEN-026</v>
      </c>
      <c r="C401" t="str">
        <f>VLOOKUP(B401,Vendors!A:B,2,FALSE)</f>
        <v>PixelForge Studio</v>
      </c>
      <c r="D401" s="9">
        <f>Table3[[#This Row],[BillDate]]</f>
        <v>46061</v>
      </c>
      <c r="E401" s="9">
        <f>Table3[[#This Row],[DueDate]]</f>
        <v>46091</v>
      </c>
      <c r="F401" s="3">
        <f>Table3[[#This Row],[BillAmount]]</f>
        <v>3789.98</v>
      </c>
      <c r="G401" s="3">
        <f>SUMIF(Vendor_Payments!C:C,A401,Vendor_Payments!E:E)</f>
        <v>3789.98</v>
      </c>
      <c r="H401" s="3">
        <f t="shared" si="18"/>
        <v>0</v>
      </c>
      <c r="I401">
        <f t="shared" si="19"/>
        <v>0</v>
      </c>
      <c r="J401" t="str">
        <f t="shared" si="20"/>
        <v>Current</v>
      </c>
    </row>
    <row r="402" spans="1:10" x14ac:dyDescent="0.3">
      <c r="A402" t="str">
        <f>Table3[[#This Row],[BillID]]</f>
        <v>BILL-00401</v>
      </c>
      <c r="B402" t="str">
        <f>Table3[[#This Row],[VendorID]]</f>
        <v>VEN-024</v>
      </c>
      <c r="C402" t="str">
        <f>VLOOKUP(B402,Vendors!A:B,2,FALSE)</f>
        <v>Growth Strategy Group</v>
      </c>
      <c r="D402" s="9">
        <f>Table3[[#This Row],[BillDate]]</f>
        <v>46031</v>
      </c>
      <c r="E402" s="9">
        <f>Table3[[#This Row],[DueDate]]</f>
        <v>46061</v>
      </c>
      <c r="F402" s="3">
        <f>Table3[[#This Row],[BillAmount]]</f>
        <v>2691.89</v>
      </c>
      <c r="G402" s="3">
        <f>SUMIF(Vendor_Payments!C:C,A402,Vendor_Payments!E:E)</f>
        <v>2691.89</v>
      </c>
      <c r="H402" s="3">
        <f t="shared" si="18"/>
        <v>0</v>
      </c>
      <c r="I402">
        <f t="shared" si="19"/>
        <v>30</v>
      </c>
      <c r="J402" t="str">
        <f t="shared" si="20"/>
        <v>1-30</v>
      </c>
    </row>
    <row r="403" spans="1:10" x14ac:dyDescent="0.3">
      <c r="A403" t="str">
        <f>Table3[[#This Row],[BillID]]</f>
        <v>BILL-00402</v>
      </c>
      <c r="B403" t="str">
        <f>Table3[[#This Row],[VendorID]]</f>
        <v>VEN-021</v>
      </c>
      <c r="C403" t="str">
        <f>VLOOKUP(B403,Vendors!A:B,2,FALSE)</f>
        <v>Upwork Freelancers</v>
      </c>
      <c r="D403" s="9">
        <f>Table3[[#This Row],[BillDate]]</f>
        <v>46048</v>
      </c>
      <c r="E403" s="9">
        <f>Table3[[#This Row],[DueDate]]</f>
        <v>46078</v>
      </c>
      <c r="F403" s="3">
        <f>Table3[[#This Row],[BillAmount]]</f>
        <v>5370.11</v>
      </c>
      <c r="G403" s="3">
        <f>SUMIF(Vendor_Payments!C:C,A403,Vendor_Payments!E:E)</f>
        <v>5370.11</v>
      </c>
      <c r="H403" s="3">
        <f t="shared" si="18"/>
        <v>0</v>
      </c>
      <c r="I403">
        <f t="shared" si="19"/>
        <v>13</v>
      </c>
      <c r="J403" t="str">
        <f t="shared" si="20"/>
        <v>1-30</v>
      </c>
    </row>
    <row r="404" spans="1:10" x14ac:dyDescent="0.3">
      <c r="A404" t="str">
        <f>Table3[[#This Row],[BillID]]</f>
        <v>BILL-00403</v>
      </c>
      <c r="B404" t="str">
        <f>Table3[[#This Row],[VendorID]]</f>
        <v>VEN-011</v>
      </c>
      <c r="C404" t="str">
        <f>VLOOKUP(B404,Vendors!A:B,2,FALSE)</f>
        <v>AWS</v>
      </c>
      <c r="D404" s="9">
        <f>Table3[[#This Row],[BillDate]]</f>
        <v>46002</v>
      </c>
      <c r="E404" s="9">
        <f>Table3[[#This Row],[DueDate]]</f>
        <v>46032</v>
      </c>
      <c r="F404" s="3">
        <f>Table3[[#This Row],[BillAmount]]</f>
        <v>4243.78</v>
      </c>
      <c r="G404" s="3">
        <f>SUMIF(Vendor_Payments!C:C,A404,Vendor_Payments!E:E)</f>
        <v>4243.78</v>
      </c>
      <c r="H404" s="3">
        <f t="shared" si="18"/>
        <v>0</v>
      </c>
      <c r="I404">
        <f t="shared" si="19"/>
        <v>59</v>
      </c>
      <c r="J404" t="str">
        <f t="shared" si="20"/>
        <v>31-60</v>
      </c>
    </row>
    <row r="405" spans="1:10" x14ac:dyDescent="0.3">
      <c r="A405" t="str">
        <f>Table3[[#This Row],[BillID]]</f>
        <v>BILL-00404</v>
      </c>
      <c r="B405" t="str">
        <f>Table3[[#This Row],[VendorID]]</f>
        <v>VEN-001</v>
      </c>
      <c r="C405" t="str">
        <f>VLOOKUP(B405,Vendors!A:B,2,FALSE)</f>
        <v>Google Ads</v>
      </c>
      <c r="D405" s="9">
        <f>Table3[[#This Row],[BillDate]]</f>
        <v>46088</v>
      </c>
      <c r="E405" s="9">
        <f>Table3[[#This Row],[DueDate]]</f>
        <v>46118</v>
      </c>
      <c r="F405" s="3">
        <f>Table3[[#This Row],[BillAmount]]</f>
        <v>5480.89</v>
      </c>
      <c r="G405" s="3">
        <f>SUMIF(Vendor_Payments!C:C,A405,Vendor_Payments!E:E)</f>
        <v>5480.89</v>
      </c>
      <c r="H405" s="3">
        <f t="shared" si="18"/>
        <v>0</v>
      </c>
      <c r="I405">
        <f t="shared" si="19"/>
        <v>-27</v>
      </c>
      <c r="J405" t="str">
        <f t="shared" si="20"/>
        <v>Current</v>
      </c>
    </row>
    <row r="406" spans="1:10" x14ac:dyDescent="0.3">
      <c r="A406" t="str">
        <f>Table3[[#This Row],[BillID]]</f>
        <v>BILL-00405</v>
      </c>
      <c r="B406" t="str">
        <f>Table3[[#This Row],[VendorID]]</f>
        <v>VEN-026</v>
      </c>
      <c r="C406" t="str">
        <f>VLOOKUP(B406,Vendors!A:B,2,FALSE)</f>
        <v>PixelForge Studio</v>
      </c>
      <c r="D406" s="9">
        <f>Table3[[#This Row],[BillDate]]</f>
        <v>45965</v>
      </c>
      <c r="E406" s="9">
        <f>Table3[[#This Row],[DueDate]]</f>
        <v>45995</v>
      </c>
      <c r="F406" s="3">
        <f>Table3[[#This Row],[BillAmount]]</f>
        <v>1841.62</v>
      </c>
      <c r="G406" s="3">
        <f>SUMIF(Vendor_Payments!C:C,A406,Vendor_Payments!E:E)</f>
        <v>0</v>
      </c>
      <c r="H406" s="3">
        <f t="shared" si="18"/>
        <v>1841.62</v>
      </c>
      <c r="I406">
        <f t="shared" si="19"/>
        <v>96</v>
      </c>
      <c r="J406" t="str">
        <f t="shared" si="20"/>
        <v>90+</v>
      </c>
    </row>
    <row r="407" spans="1:10" x14ac:dyDescent="0.3">
      <c r="A407" t="str">
        <f>Table3[[#This Row],[BillID]]</f>
        <v>BILL-00406</v>
      </c>
      <c r="B407" t="str">
        <f>Table3[[#This Row],[VendorID]]</f>
        <v>VEN-012</v>
      </c>
      <c r="C407" t="str">
        <f>VLOOKUP(B407,Vendors!A:B,2,FALSE)</f>
        <v>Google Cloud</v>
      </c>
      <c r="D407" s="9">
        <f>Table3[[#This Row],[BillDate]]</f>
        <v>46089</v>
      </c>
      <c r="E407" s="9">
        <f>Table3[[#This Row],[DueDate]]</f>
        <v>46119</v>
      </c>
      <c r="F407" s="3">
        <f>Table3[[#This Row],[BillAmount]]</f>
        <v>4225.32</v>
      </c>
      <c r="G407" s="3">
        <f>SUMIF(Vendor_Payments!C:C,A407,Vendor_Payments!E:E)</f>
        <v>4225.32</v>
      </c>
      <c r="H407" s="3">
        <f t="shared" si="18"/>
        <v>0</v>
      </c>
      <c r="I407">
        <f t="shared" si="19"/>
        <v>-28</v>
      </c>
      <c r="J407" t="str">
        <f t="shared" si="20"/>
        <v>Current</v>
      </c>
    </row>
    <row r="408" spans="1:10" x14ac:dyDescent="0.3">
      <c r="A408" t="str">
        <f>Table3[[#This Row],[BillID]]</f>
        <v>BILL-00407</v>
      </c>
      <c r="B408" t="str">
        <f>Table3[[#This Row],[VendorID]]</f>
        <v>VEN-012</v>
      </c>
      <c r="C408" t="str">
        <f>VLOOKUP(B408,Vendors!A:B,2,FALSE)</f>
        <v>Google Cloud</v>
      </c>
      <c r="D408" s="9">
        <f>Table3[[#This Row],[BillDate]]</f>
        <v>46038</v>
      </c>
      <c r="E408" s="9">
        <f>Table3[[#This Row],[DueDate]]</f>
        <v>46068</v>
      </c>
      <c r="F408" s="3">
        <f>Table3[[#This Row],[BillAmount]]</f>
        <v>4805.9399999999996</v>
      </c>
      <c r="G408" s="3">
        <f>SUMIF(Vendor_Payments!C:C,A408,Vendor_Payments!E:E)</f>
        <v>4805.9399999999996</v>
      </c>
      <c r="H408" s="3">
        <f t="shared" si="18"/>
        <v>0</v>
      </c>
      <c r="I408">
        <f t="shared" si="19"/>
        <v>23</v>
      </c>
      <c r="J408" t="str">
        <f t="shared" si="20"/>
        <v>1-30</v>
      </c>
    </row>
    <row r="409" spans="1:10" x14ac:dyDescent="0.3">
      <c r="A409" t="str">
        <f>Table3[[#This Row],[BillID]]</f>
        <v>BILL-00408</v>
      </c>
      <c r="B409" t="str">
        <f>Table3[[#This Row],[VendorID]]</f>
        <v>VEN-016</v>
      </c>
      <c r="C409" t="str">
        <f>VLOOKUP(B409,Vendors!A:B,2,FALSE)</f>
        <v>Stripe</v>
      </c>
      <c r="D409" s="9">
        <f>Table3[[#This Row],[BillDate]]</f>
        <v>45967</v>
      </c>
      <c r="E409" s="9">
        <f>Table3[[#This Row],[DueDate]]</f>
        <v>45997</v>
      </c>
      <c r="F409" s="3">
        <f>Table3[[#This Row],[BillAmount]]</f>
        <v>6516.76</v>
      </c>
      <c r="G409" s="3">
        <f>SUMIF(Vendor_Payments!C:C,A409,Vendor_Payments!E:E)</f>
        <v>6516.76</v>
      </c>
      <c r="H409" s="3">
        <f t="shared" si="18"/>
        <v>0</v>
      </c>
      <c r="I409">
        <f t="shared" si="19"/>
        <v>94</v>
      </c>
      <c r="J409" t="str">
        <f t="shared" si="20"/>
        <v>90+</v>
      </c>
    </row>
    <row r="410" spans="1:10" x14ac:dyDescent="0.3">
      <c r="A410" t="str">
        <f>Table3[[#This Row],[BillID]]</f>
        <v>BILL-00409</v>
      </c>
      <c r="B410" t="str">
        <f>Table3[[#This Row],[VendorID]]</f>
        <v>VEN-012</v>
      </c>
      <c r="C410" t="str">
        <f>VLOOKUP(B410,Vendors!A:B,2,FALSE)</f>
        <v>Google Cloud</v>
      </c>
      <c r="D410" s="9">
        <f>Table3[[#This Row],[BillDate]]</f>
        <v>46036</v>
      </c>
      <c r="E410" s="9">
        <f>Table3[[#This Row],[DueDate]]</f>
        <v>46066</v>
      </c>
      <c r="F410" s="3">
        <f>Table3[[#This Row],[BillAmount]]</f>
        <v>4482.93</v>
      </c>
      <c r="G410" s="3">
        <f>SUMIF(Vendor_Payments!C:C,A410,Vendor_Payments!E:E)</f>
        <v>0</v>
      </c>
      <c r="H410" s="3">
        <f t="shared" si="18"/>
        <v>4482.93</v>
      </c>
      <c r="I410">
        <f t="shared" si="19"/>
        <v>25</v>
      </c>
      <c r="J410" t="str">
        <f t="shared" si="20"/>
        <v>1-30</v>
      </c>
    </row>
    <row r="411" spans="1:10" x14ac:dyDescent="0.3">
      <c r="A411" t="str">
        <f>Table3[[#This Row],[BillID]]</f>
        <v>BILL-00410</v>
      </c>
      <c r="B411" t="str">
        <f>Table3[[#This Row],[VendorID]]</f>
        <v>VEN-027</v>
      </c>
      <c r="C411" t="str">
        <f>VLOOKUP(B411,Vendors!A:B,2,FALSE)</f>
        <v>DevCraft Agency</v>
      </c>
      <c r="D411" s="9">
        <f>Table3[[#This Row],[BillDate]]</f>
        <v>46049</v>
      </c>
      <c r="E411" s="9">
        <f>Table3[[#This Row],[DueDate]]</f>
        <v>46079</v>
      </c>
      <c r="F411" s="3">
        <f>Table3[[#This Row],[BillAmount]]</f>
        <v>3245.4</v>
      </c>
      <c r="G411" s="3">
        <f>SUMIF(Vendor_Payments!C:C,A411,Vendor_Payments!E:E)</f>
        <v>0</v>
      </c>
      <c r="H411" s="3">
        <f t="shared" si="18"/>
        <v>3245.4</v>
      </c>
      <c r="I411">
        <f t="shared" si="19"/>
        <v>12</v>
      </c>
      <c r="J411" t="str">
        <f t="shared" si="20"/>
        <v>1-30</v>
      </c>
    </row>
    <row r="412" spans="1:10" x14ac:dyDescent="0.3">
      <c r="A412" t="str">
        <f>Table3[[#This Row],[BillID]]</f>
        <v>BILL-00411</v>
      </c>
      <c r="B412" t="str">
        <f>Table3[[#This Row],[VendorID]]</f>
        <v>VEN-009</v>
      </c>
      <c r="C412" t="str">
        <f>VLOOKUP(B412,Vendors!A:B,2,FALSE)</f>
        <v>SEMrush</v>
      </c>
      <c r="D412" s="9">
        <f>Table3[[#This Row],[BillDate]]</f>
        <v>45986</v>
      </c>
      <c r="E412" s="9">
        <f>Table3[[#This Row],[DueDate]]</f>
        <v>46016</v>
      </c>
      <c r="F412" s="3">
        <f>Table3[[#This Row],[BillAmount]]</f>
        <v>3341.44</v>
      </c>
      <c r="G412" s="3">
        <f>SUMIF(Vendor_Payments!C:C,A412,Vendor_Payments!E:E)</f>
        <v>3341.44</v>
      </c>
      <c r="H412" s="3">
        <f t="shared" si="18"/>
        <v>0</v>
      </c>
      <c r="I412">
        <f t="shared" si="19"/>
        <v>75</v>
      </c>
      <c r="J412" t="str">
        <f t="shared" si="20"/>
        <v>61-90</v>
      </c>
    </row>
    <row r="413" spans="1:10" x14ac:dyDescent="0.3">
      <c r="A413" t="str">
        <f>Table3[[#This Row],[BillID]]</f>
        <v>BILL-00412</v>
      </c>
      <c r="B413" t="str">
        <f>Table3[[#This Row],[VendorID]]</f>
        <v>VEN-004</v>
      </c>
      <c r="C413" t="str">
        <f>VLOOKUP(B413,Vendors!A:B,2,FALSE)</f>
        <v>LinkedIn Ads</v>
      </c>
      <c r="D413" s="9">
        <f>Table3[[#This Row],[BillDate]]</f>
        <v>45984</v>
      </c>
      <c r="E413" s="9">
        <f>Table3[[#This Row],[DueDate]]</f>
        <v>46014</v>
      </c>
      <c r="F413" s="3">
        <f>Table3[[#This Row],[BillAmount]]</f>
        <v>6769.81</v>
      </c>
      <c r="G413" s="3">
        <f>SUMIF(Vendor_Payments!C:C,A413,Vendor_Payments!E:E)</f>
        <v>6769.81</v>
      </c>
      <c r="H413" s="3">
        <f t="shared" si="18"/>
        <v>0</v>
      </c>
      <c r="I413">
        <f t="shared" si="19"/>
        <v>77</v>
      </c>
      <c r="J413" t="str">
        <f t="shared" si="20"/>
        <v>61-90</v>
      </c>
    </row>
    <row r="414" spans="1:10" x14ac:dyDescent="0.3">
      <c r="A414" t="str">
        <f>Table3[[#This Row],[BillID]]</f>
        <v>BILL-00413</v>
      </c>
      <c r="B414" t="str">
        <f>Table3[[#This Row],[VendorID]]</f>
        <v>VEN-005</v>
      </c>
      <c r="C414" t="str">
        <f>VLOOKUP(B414,Vendors!A:B,2,FALSE)</f>
        <v>HubSpot</v>
      </c>
      <c r="D414" s="9">
        <f>Table3[[#This Row],[BillDate]]</f>
        <v>46031</v>
      </c>
      <c r="E414" s="9">
        <f>Table3[[#This Row],[DueDate]]</f>
        <v>46061</v>
      </c>
      <c r="F414" s="3">
        <f>Table3[[#This Row],[BillAmount]]</f>
        <v>3758.73</v>
      </c>
      <c r="G414" s="3">
        <f>SUMIF(Vendor_Payments!C:C,A414,Vendor_Payments!E:E)</f>
        <v>3758.73</v>
      </c>
      <c r="H414" s="3">
        <f t="shared" si="18"/>
        <v>0</v>
      </c>
      <c r="I414">
        <f t="shared" si="19"/>
        <v>30</v>
      </c>
      <c r="J414" t="str">
        <f t="shared" si="20"/>
        <v>1-30</v>
      </c>
    </row>
    <row r="415" spans="1:10" x14ac:dyDescent="0.3">
      <c r="A415" t="str">
        <f>Table3[[#This Row],[BillID]]</f>
        <v>BILL-00414</v>
      </c>
      <c r="B415" t="str">
        <f>Table3[[#This Row],[VendorID]]</f>
        <v>VEN-015</v>
      </c>
      <c r="C415" t="str">
        <f>VLOOKUP(B415,Vendors!A:B,2,FALSE)</f>
        <v>Zapier</v>
      </c>
      <c r="D415" s="9">
        <f>Table3[[#This Row],[BillDate]]</f>
        <v>46076</v>
      </c>
      <c r="E415" s="9">
        <f>Table3[[#This Row],[DueDate]]</f>
        <v>46106</v>
      </c>
      <c r="F415" s="3">
        <f>Table3[[#This Row],[BillAmount]]</f>
        <v>4610.04</v>
      </c>
      <c r="G415" s="3">
        <f>SUMIF(Vendor_Payments!C:C,A415,Vendor_Payments!E:E)</f>
        <v>4610.04</v>
      </c>
      <c r="H415" s="3">
        <f t="shared" si="18"/>
        <v>0</v>
      </c>
      <c r="I415">
        <f t="shared" si="19"/>
        <v>-15</v>
      </c>
      <c r="J415" t="str">
        <f t="shared" si="20"/>
        <v>Current</v>
      </c>
    </row>
    <row r="416" spans="1:10" x14ac:dyDescent="0.3">
      <c r="A416" t="str">
        <f>Table3[[#This Row],[BillID]]</f>
        <v>BILL-00415</v>
      </c>
      <c r="B416" t="str">
        <f>Table3[[#This Row],[VendorID]]</f>
        <v>VEN-037</v>
      </c>
      <c r="C416" t="str">
        <f>VLOOKUP(B416,Vendors!A:B,2,FALSE)</f>
        <v>CreativeSpark Studio</v>
      </c>
      <c r="D416" s="9">
        <f>Table3[[#This Row],[BillDate]]</f>
        <v>46043</v>
      </c>
      <c r="E416" s="9">
        <f>Table3[[#This Row],[DueDate]]</f>
        <v>46073</v>
      </c>
      <c r="F416" s="3">
        <f>Table3[[#This Row],[BillAmount]]</f>
        <v>2161.56</v>
      </c>
      <c r="G416" s="3">
        <f>SUMIF(Vendor_Payments!C:C,A416,Vendor_Payments!E:E)</f>
        <v>2161.56</v>
      </c>
      <c r="H416" s="3">
        <f t="shared" si="18"/>
        <v>0</v>
      </c>
      <c r="I416">
        <f t="shared" si="19"/>
        <v>18</v>
      </c>
      <c r="J416" t="str">
        <f t="shared" si="20"/>
        <v>1-30</v>
      </c>
    </row>
    <row r="417" spans="1:10" x14ac:dyDescent="0.3">
      <c r="A417" t="str">
        <f>Table3[[#This Row],[BillID]]</f>
        <v>BILL-00416</v>
      </c>
      <c r="B417" t="str">
        <f>Table3[[#This Row],[VendorID]]</f>
        <v>VEN-040</v>
      </c>
      <c r="C417" t="str">
        <f>VLOOKUP(B417,Vendors!A:B,2,FALSE)</f>
        <v>Digital Performance Lab</v>
      </c>
      <c r="D417" s="9">
        <f>Table3[[#This Row],[BillDate]]</f>
        <v>46070</v>
      </c>
      <c r="E417" s="9">
        <f>Table3[[#This Row],[DueDate]]</f>
        <v>46100</v>
      </c>
      <c r="F417" s="3">
        <f>Table3[[#This Row],[BillAmount]]</f>
        <v>1901.35</v>
      </c>
      <c r="G417" s="3">
        <f>SUMIF(Vendor_Payments!C:C,A417,Vendor_Payments!E:E)</f>
        <v>1901.35</v>
      </c>
      <c r="H417" s="3">
        <f t="shared" si="18"/>
        <v>0</v>
      </c>
      <c r="I417">
        <f t="shared" si="19"/>
        <v>-9</v>
      </c>
      <c r="J417" t="str">
        <f t="shared" si="20"/>
        <v>Current</v>
      </c>
    </row>
    <row r="418" spans="1:10" x14ac:dyDescent="0.3">
      <c r="A418" t="str">
        <f>Table3[[#This Row],[BillID]]</f>
        <v>BILL-00417</v>
      </c>
      <c r="B418" t="str">
        <f>Table3[[#This Row],[VendorID]]</f>
        <v>VEN-006</v>
      </c>
      <c r="C418" t="str">
        <f>VLOOKUP(B418,Vendors!A:B,2,FALSE)</f>
        <v>Salesforce</v>
      </c>
      <c r="D418" s="9">
        <f>Table3[[#This Row],[BillDate]]</f>
        <v>46045</v>
      </c>
      <c r="E418" s="9">
        <f>Table3[[#This Row],[DueDate]]</f>
        <v>46075</v>
      </c>
      <c r="F418" s="3">
        <f>Table3[[#This Row],[BillAmount]]</f>
        <v>1338.43</v>
      </c>
      <c r="G418" s="3">
        <f>SUMIF(Vendor_Payments!C:C,A418,Vendor_Payments!E:E)</f>
        <v>1338.43</v>
      </c>
      <c r="H418" s="3">
        <f t="shared" si="18"/>
        <v>0</v>
      </c>
      <c r="I418">
        <f t="shared" si="19"/>
        <v>16</v>
      </c>
      <c r="J418" t="str">
        <f t="shared" si="20"/>
        <v>1-30</v>
      </c>
    </row>
    <row r="419" spans="1:10" x14ac:dyDescent="0.3">
      <c r="A419" t="str">
        <f>Table3[[#This Row],[BillID]]</f>
        <v>BILL-00418</v>
      </c>
      <c r="B419" t="str">
        <f>Table3[[#This Row],[VendorID]]</f>
        <v>VEN-003</v>
      </c>
      <c r="C419" t="str">
        <f>VLOOKUP(B419,Vendors!A:B,2,FALSE)</f>
        <v>TikTok Ads</v>
      </c>
      <c r="D419" s="9">
        <f>Table3[[#This Row],[BillDate]]</f>
        <v>46083</v>
      </c>
      <c r="E419" s="9">
        <f>Table3[[#This Row],[DueDate]]</f>
        <v>46113</v>
      </c>
      <c r="F419" s="3">
        <f>Table3[[#This Row],[BillAmount]]</f>
        <v>3403.21</v>
      </c>
      <c r="G419" s="3">
        <f>SUMIF(Vendor_Payments!C:C,A419,Vendor_Payments!E:E)</f>
        <v>3403.21</v>
      </c>
      <c r="H419" s="3">
        <f t="shared" si="18"/>
        <v>0</v>
      </c>
      <c r="I419">
        <f t="shared" si="19"/>
        <v>-22</v>
      </c>
      <c r="J419" t="str">
        <f t="shared" si="20"/>
        <v>Current</v>
      </c>
    </row>
    <row r="420" spans="1:10" x14ac:dyDescent="0.3">
      <c r="A420" t="str">
        <f>Table3[[#This Row],[BillID]]</f>
        <v>BILL-00419</v>
      </c>
      <c r="B420" t="str">
        <f>Table3[[#This Row],[VendorID]]</f>
        <v>VEN-030</v>
      </c>
      <c r="C420" t="str">
        <f>VLOOKUP(B420,Vendors!A:B,2,FALSE)</f>
        <v>ContentCraft Studio</v>
      </c>
      <c r="D420" s="9">
        <f>Table3[[#This Row],[BillDate]]</f>
        <v>45972</v>
      </c>
      <c r="E420" s="9">
        <f>Table3[[#This Row],[DueDate]]</f>
        <v>46002</v>
      </c>
      <c r="F420" s="3">
        <f>Table3[[#This Row],[BillAmount]]</f>
        <v>3812.29</v>
      </c>
      <c r="G420" s="3">
        <f>SUMIF(Vendor_Payments!C:C,A420,Vendor_Payments!E:E)</f>
        <v>3812.29</v>
      </c>
      <c r="H420" s="3">
        <f t="shared" si="18"/>
        <v>0</v>
      </c>
      <c r="I420">
        <f t="shared" si="19"/>
        <v>89</v>
      </c>
      <c r="J420" t="str">
        <f t="shared" si="20"/>
        <v>61-90</v>
      </c>
    </row>
    <row r="421" spans="1:10" x14ac:dyDescent="0.3">
      <c r="A421" t="str">
        <f>Table3[[#This Row],[BillID]]</f>
        <v>BILL-00420</v>
      </c>
      <c r="B421" t="str">
        <f>Table3[[#This Row],[VendorID]]</f>
        <v>VEN-026</v>
      </c>
      <c r="C421" t="str">
        <f>VLOOKUP(B421,Vendors!A:B,2,FALSE)</f>
        <v>PixelForge Studio</v>
      </c>
      <c r="D421" s="9">
        <f>Table3[[#This Row],[BillDate]]</f>
        <v>46031</v>
      </c>
      <c r="E421" s="9">
        <f>Table3[[#This Row],[DueDate]]</f>
        <v>46061</v>
      </c>
      <c r="F421" s="3">
        <f>Table3[[#This Row],[BillAmount]]</f>
        <v>1487.56</v>
      </c>
      <c r="G421" s="3">
        <f>SUMIF(Vendor_Payments!C:C,A421,Vendor_Payments!E:E)</f>
        <v>1487.56</v>
      </c>
      <c r="H421" s="3">
        <f t="shared" si="18"/>
        <v>0</v>
      </c>
      <c r="I421">
        <f t="shared" si="19"/>
        <v>30</v>
      </c>
      <c r="J421" t="str">
        <f t="shared" si="20"/>
        <v>1-30</v>
      </c>
    </row>
    <row r="422" spans="1:10" x14ac:dyDescent="0.3">
      <c r="A422" t="str">
        <f>Table3[[#This Row],[BillID]]</f>
        <v>BILL-00421</v>
      </c>
      <c r="B422" t="str">
        <f>Table3[[#This Row],[VendorID]]</f>
        <v>VEN-031</v>
      </c>
      <c r="C422" t="str">
        <f>VLOOKUP(B422,Vendors!A:B,2,FALSE)</f>
        <v>DataInsight Analytics</v>
      </c>
      <c r="D422" s="9">
        <f>Table3[[#This Row],[BillDate]]</f>
        <v>45982</v>
      </c>
      <c r="E422" s="9">
        <f>Table3[[#This Row],[DueDate]]</f>
        <v>46012</v>
      </c>
      <c r="F422" s="3">
        <f>Table3[[#This Row],[BillAmount]]</f>
        <v>6848.82</v>
      </c>
      <c r="G422" s="3">
        <f>SUMIF(Vendor_Payments!C:C,A422,Vendor_Payments!E:E)</f>
        <v>0</v>
      </c>
      <c r="H422" s="3">
        <f t="shared" si="18"/>
        <v>6848.82</v>
      </c>
      <c r="I422">
        <f t="shared" si="19"/>
        <v>79</v>
      </c>
      <c r="J422" t="str">
        <f t="shared" si="20"/>
        <v>61-90</v>
      </c>
    </row>
    <row r="423" spans="1:10" x14ac:dyDescent="0.3">
      <c r="A423" t="str">
        <f>Table3[[#This Row],[BillID]]</f>
        <v>BILL-00422</v>
      </c>
      <c r="B423" t="str">
        <f>Table3[[#This Row],[VendorID]]</f>
        <v>VEN-014</v>
      </c>
      <c r="C423" t="str">
        <f>VLOOKUP(B423,Vendors!A:B,2,FALSE)</f>
        <v>Figma</v>
      </c>
      <c r="D423" s="9">
        <f>Table3[[#This Row],[BillDate]]</f>
        <v>46084</v>
      </c>
      <c r="E423" s="9">
        <f>Table3[[#This Row],[DueDate]]</f>
        <v>46114</v>
      </c>
      <c r="F423" s="3">
        <f>Table3[[#This Row],[BillAmount]]</f>
        <v>5194.01</v>
      </c>
      <c r="G423" s="3">
        <f>SUMIF(Vendor_Payments!C:C,A423,Vendor_Payments!E:E)</f>
        <v>0</v>
      </c>
      <c r="H423" s="3">
        <f t="shared" si="18"/>
        <v>5194.01</v>
      </c>
      <c r="I423">
        <f t="shared" si="19"/>
        <v>-23</v>
      </c>
      <c r="J423" t="str">
        <f t="shared" si="20"/>
        <v>Current</v>
      </c>
    </row>
    <row r="424" spans="1:10" x14ac:dyDescent="0.3">
      <c r="A424" t="str">
        <f>Table3[[#This Row],[BillID]]</f>
        <v>BILL-00423</v>
      </c>
      <c r="B424" t="str">
        <f>Table3[[#This Row],[VendorID]]</f>
        <v>VEN-001</v>
      </c>
      <c r="C424" t="str">
        <f>VLOOKUP(B424,Vendors!A:B,2,FALSE)</f>
        <v>Google Ads</v>
      </c>
      <c r="D424" s="9">
        <f>Table3[[#This Row],[BillDate]]</f>
        <v>46015</v>
      </c>
      <c r="E424" s="9">
        <f>Table3[[#This Row],[DueDate]]</f>
        <v>46045</v>
      </c>
      <c r="F424" s="3">
        <f>Table3[[#This Row],[BillAmount]]</f>
        <v>4349.1499999999996</v>
      </c>
      <c r="G424" s="3">
        <f>SUMIF(Vendor_Payments!C:C,A424,Vendor_Payments!E:E)</f>
        <v>4349.1499999999996</v>
      </c>
      <c r="H424" s="3">
        <f t="shared" si="18"/>
        <v>0</v>
      </c>
      <c r="I424">
        <f t="shared" si="19"/>
        <v>46</v>
      </c>
      <c r="J424" t="str">
        <f t="shared" si="20"/>
        <v>31-60</v>
      </c>
    </row>
    <row r="425" spans="1:10" x14ac:dyDescent="0.3">
      <c r="A425" t="str">
        <f>Table3[[#This Row],[BillID]]</f>
        <v>BILL-00424</v>
      </c>
      <c r="B425" t="str">
        <f>Table3[[#This Row],[VendorID]]</f>
        <v>VEN-018</v>
      </c>
      <c r="C425" t="str">
        <f>VLOOKUP(B425,Vendors!A:B,2,FALSE)</f>
        <v>Cloudflare</v>
      </c>
      <c r="D425" s="9">
        <f>Table3[[#This Row],[BillDate]]</f>
        <v>46013</v>
      </c>
      <c r="E425" s="9">
        <f>Table3[[#This Row],[DueDate]]</f>
        <v>46043</v>
      </c>
      <c r="F425" s="3">
        <f>Table3[[#This Row],[BillAmount]]</f>
        <v>3426.69</v>
      </c>
      <c r="G425" s="3">
        <f>SUMIF(Vendor_Payments!C:C,A425,Vendor_Payments!E:E)</f>
        <v>3426.69</v>
      </c>
      <c r="H425" s="3">
        <f t="shared" si="18"/>
        <v>0</v>
      </c>
      <c r="I425">
        <f t="shared" si="19"/>
        <v>48</v>
      </c>
      <c r="J425" t="str">
        <f t="shared" si="20"/>
        <v>31-60</v>
      </c>
    </row>
    <row r="426" spans="1:10" x14ac:dyDescent="0.3">
      <c r="A426" t="str">
        <f>Table3[[#This Row],[BillID]]</f>
        <v>BILL-00425</v>
      </c>
      <c r="B426" t="str">
        <f>Table3[[#This Row],[VendorID]]</f>
        <v>VEN-010</v>
      </c>
      <c r="C426" t="str">
        <f>VLOOKUP(B426,Vendors!A:B,2,FALSE)</f>
        <v>Adobe Creative Cloud</v>
      </c>
      <c r="D426" s="9">
        <f>Table3[[#This Row],[BillDate]]</f>
        <v>46032</v>
      </c>
      <c r="E426" s="9">
        <f>Table3[[#This Row],[DueDate]]</f>
        <v>46062</v>
      </c>
      <c r="F426" s="3">
        <f>Table3[[#This Row],[BillAmount]]</f>
        <v>6115.82</v>
      </c>
      <c r="G426" s="3">
        <f>SUMIF(Vendor_Payments!C:C,A426,Vendor_Payments!E:E)</f>
        <v>6115.82</v>
      </c>
      <c r="H426" s="3">
        <f t="shared" si="18"/>
        <v>0</v>
      </c>
      <c r="I426">
        <f t="shared" si="19"/>
        <v>29</v>
      </c>
      <c r="J426" t="str">
        <f t="shared" si="20"/>
        <v>1-30</v>
      </c>
    </row>
    <row r="427" spans="1:10" x14ac:dyDescent="0.3">
      <c r="A427" t="str">
        <f>Table3[[#This Row],[BillID]]</f>
        <v>BILL-00426</v>
      </c>
      <c r="B427" t="str">
        <f>Table3[[#This Row],[VendorID]]</f>
        <v>VEN-027</v>
      </c>
      <c r="C427" t="str">
        <f>VLOOKUP(B427,Vendors!A:B,2,FALSE)</f>
        <v>DevCraft Agency</v>
      </c>
      <c r="D427" s="9">
        <f>Table3[[#This Row],[BillDate]]</f>
        <v>46060</v>
      </c>
      <c r="E427" s="9">
        <f>Table3[[#This Row],[DueDate]]</f>
        <v>46090</v>
      </c>
      <c r="F427" s="3">
        <f>Table3[[#This Row],[BillAmount]]</f>
        <v>1510.93</v>
      </c>
      <c r="G427" s="3">
        <f>SUMIF(Vendor_Payments!C:C,A427,Vendor_Payments!E:E)</f>
        <v>1510.93</v>
      </c>
      <c r="H427" s="3">
        <f t="shared" si="18"/>
        <v>0</v>
      </c>
      <c r="I427">
        <f t="shared" si="19"/>
        <v>1</v>
      </c>
      <c r="J427" t="str">
        <f t="shared" si="20"/>
        <v>1-30</v>
      </c>
    </row>
    <row r="428" spans="1:10" x14ac:dyDescent="0.3">
      <c r="A428" t="str">
        <f>Table3[[#This Row],[BillID]]</f>
        <v>BILL-00427</v>
      </c>
      <c r="B428" t="str">
        <f>Table3[[#This Row],[VendorID]]</f>
        <v>VEN-017</v>
      </c>
      <c r="C428" t="str">
        <f>VLOOKUP(B428,Vendors!A:B,2,FALSE)</f>
        <v>PayPal</v>
      </c>
      <c r="D428" s="9">
        <f>Table3[[#This Row],[BillDate]]</f>
        <v>46033</v>
      </c>
      <c r="E428" s="9">
        <f>Table3[[#This Row],[DueDate]]</f>
        <v>46063</v>
      </c>
      <c r="F428" s="3">
        <f>Table3[[#This Row],[BillAmount]]</f>
        <v>2555.31</v>
      </c>
      <c r="G428" s="3">
        <f>SUMIF(Vendor_Payments!C:C,A428,Vendor_Payments!E:E)</f>
        <v>2555.31</v>
      </c>
      <c r="H428" s="3">
        <f t="shared" si="18"/>
        <v>0</v>
      </c>
      <c r="I428">
        <f t="shared" si="19"/>
        <v>28</v>
      </c>
      <c r="J428" t="str">
        <f t="shared" si="20"/>
        <v>1-30</v>
      </c>
    </row>
    <row r="429" spans="1:10" x14ac:dyDescent="0.3">
      <c r="A429" t="str">
        <f>Table3[[#This Row],[BillID]]</f>
        <v>BILL-00428</v>
      </c>
      <c r="B429" t="str">
        <f>Table3[[#This Row],[VendorID]]</f>
        <v>VEN-009</v>
      </c>
      <c r="C429" t="str">
        <f>VLOOKUP(B429,Vendors!A:B,2,FALSE)</f>
        <v>SEMrush</v>
      </c>
      <c r="D429" s="9">
        <f>Table3[[#This Row],[BillDate]]</f>
        <v>45975</v>
      </c>
      <c r="E429" s="9">
        <f>Table3[[#This Row],[DueDate]]</f>
        <v>46005</v>
      </c>
      <c r="F429" s="3">
        <f>Table3[[#This Row],[BillAmount]]</f>
        <v>6619.89</v>
      </c>
      <c r="G429" s="3">
        <f>SUMIF(Vendor_Payments!C:C,A429,Vendor_Payments!E:E)</f>
        <v>0</v>
      </c>
      <c r="H429" s="3">
        <f t="shared" si="18"/>
        <v>6619.89</v>
      </c>
      <c r="I429">
        <f t="shared" si="19"/>
        <v>86</v>
      </c>
      <c r="J429" t="str">
        <f t="shared" si="20"/>
        <v>61-90</v>
      </c>
    </row>
    <row r="430" spans="1:10" x14ac:dyDescent="0.3">
      <c r="A430" t="str">
        <f>Table3[[#This Row],[BillID]]</f>
        <v>BILL-00429</v>
      </c>
      <c r="B430" t="str">
        <f>Table3[[#This Row],[VendorID]]</f>
        <v>VEN-018</v>
      </c>
      <c r="C430" t="str">
        <f>VLOOKUP(B430,Vendors!A:B,2,FALSE)</f>
        <v>Cloudflare</v>
      </c>
      <c r="D430" s="9">
        <f>Table3[[#This Row],[BillDate]]</f>
        <v>46007</v>
      </c>
      <c r="E430" s="9">
        <f>Table3[[#This Row],[DueDate]]</f>
        <v>46037</v>
      </c>
      <c r="F430" s="3">
        <f>Table3[[#This Row],[BillAmount]]</f>
        <v>6379.55</v>
      </c>
      <c r="G430" s="3">
        <f>SUMIF(Vendor_Payments!C:C,A430,Vendor_Payments!E:E)</f>
        <v>6379.55</v>
      </c>
      <c r="H430" s="3">
        <f t="shared" si="18"/>
        <v>0</v>
      </c>
      <c r="I430">
        <f t="shared" si="19"/>
        <v>54</v>
      </c>
      <c r="J430" t="str">
        <f t="shared" si="20"/>
        <v>31-60</v>
      </c>
    </row>
    <row r="431" spans="1:10" x14ac:dyDescent="0.3">
      <c r="A431" t="str">
        <f>Table3[[#This Row],[BillID]]</f>
        <v>BILL-00430</v>
      </c>
      <c r="B431" t="str">
        <f>Table3[[#This Row],[VendorID]]</f>
        <v>VEN-030</v>
      </c>
      <c r="C431" t="str">
        <f>VLOOKUP(B431,Vendors!A:B,2,FALSE)</f>
        <v>ContentCraft Studio</v>
      </c>
      <c r="D431" s="9">
        <f>Table3[[#This Row],[BillDate]]</f>
        <v>45962</v>
      </c>
      <c r="E431" s="9">
        <f>Table3[[#This Row],[DueDate]]</f>
        <v>45992</v>
      </c>
      <c r="F431" s="3">
        <f>Table3[[#This Row],[BillAmount]]</f>
        <v>1907.8</v>
      </c>
      <c r="G431" s="3">
        <f>SUMIF(Vendor_Payments!C:C,A431,Vendor_Payments!E:E)</f>
        <v>1907.8</v>
      </c>
      <c r="H431" s="3">
        <f t="shared" si="18"/>
        <v>0</v>
      </c>
      <c r="I431">
        <f t="shared" si="19"/>
        <v>99</v>
      </c>
      <c r="J431" t="str">
        <f t="shared" si="20"/>
        <v>90+</v>
      </c>
    </row>
    <row r="432" spans="1:10" x14ac:dyDescent="0.3">
      <c r="A432" t="str">
        <f>Table3[[#This Row],[BillID]]</f>
        <v>BILL-00431</v>
      </c>
      <c r="B432" t="str">
        <f>Table3[[#This Row],[VendorID]]</f>
        <v>VEN-024</v>
      </c>
      <c r="C432" t="str">
        <f>VLOOKUP(B432,Vendors!A:B,2,FALSE)</f>
        <v>Growth Strategy Group</v>
      </c>
      <c r="D432" s="9">
        <f>Table3[[#This Row],[BillDate]]</f>
        <v>46070</v>
      </c>
      <c r="E432" s="9">
        <f>Table3[[#This Row],[DueDate]]</f>
        <v>46100</v>
      </c>
      <c r="F432" s="3">
        <f>Table3[[#This Row],[BillAmount]]</f>
        <v>3754.97</v>
      </c>
      <c r="G432" s="3">
        <f>SUMIF(Vendor_Payments!C:C,A432,Vendor_Payments!E:E)</f>
        <v>3754.97</v>
      </c>
      <c r="H432" s="3">
        <f t="shared" si="18"/>
        <v>0</v>
      </c>
      <c r="I432">
        <f t="shared" si="19"/>
        <v>-9</v>
      </c>
      <c r="J432" t="str">
        <f t="shared" si="20"/>
        <v>Current</v>
      </c>
    </row>
    <row r="433" spans="1:10" x14ac:dyDescent="0.3">
      <c r="A433" t="str">
        <f>Table3[[#This Row],[BillID]]</f>
        <v>BILL-00432</v>
      </c>
      <c r="B433" t="str">
        <f>Table3[[#This Row],[VendorID]]</f>
        <v>VEN-028</v>
      </c>
      <c r="C433" t="str">
        <f>VLOOKUP(B433,Vendors!A:B,2,FALSE)</f>
        <v>MarketEdge Consulting</v>
      </c>
      <c r="D433" s="9">
        <f>Table3[[#This Row],[BillDate]]</f>
        <v>46044</v>
      </c>
      <c r="E433" s="9">
        <f>Table3[[#This Row],[DueDate]]</f>
        <v>46074</v>
      </c>
      <c r="F433" s="3">
        <f>Table3[[#This Row],[BillAmount]]</f>
        <v>6123.65</v>
      </c>
      <c r="G433" s="3">
        <f>SUMIF(Vendor_Payments!C:C,A433,Vendor_Payments!E:E)</f>
        <v>6123.65</v>
      </c>
      <c r="H433" s="3">
        <f t="shared" si="18"/>
        <v>0</v>
      </c>
      <c r="I433">
        <f t="shared" si="19"/>
        <v>17</v>
      </c>
      <c r="J433" t="str">
        <f t="shared" si="20"/>
        <v>1-30</v>
      </c>
    </row>
    <row r="434" spans="1:10" x14ac:dyDescent="0.3">
      <c r="A434" t="str">
        <f>Table3[[#This Row],[BillID]]</f>
        <v>BILL-00433</v>
      </c>
      <c r="B434" t="str">
        <f>Table3[[#This Row],[VendorID]]</f>
        <v>VEN-019</v>
      </c>
      <c r="C434" t="str">
        <f>VLOOKUP(B434,Vendors!A:B,2,FALSE)</f>
        <v>Notion</v>
      </c>
      <c r="D434" s="9">
        <f>Table3[[#This Row],[BillDate]]</f>
        <v>46006</v>
      </c>
      <c r="E434" s="9">
        <f>Table3[[#This Row],[DueDate]]</f>
        <v>46036</v>
      </c>
      <c r="F434" s="3">
        <f>Table3[[#This Row],[BillAmount]]</f>
        <v>1916.38</v>
      </c>
      <c r="G434" s="3">
        <f>SUMIF(Vendor_Payments!C:C,A434,Vendor_Payments!E:E)</f>
        <v>0</v>
      </c>
      <c r="H434" s="3">
        <f t="shared" si="18"/>
        <v>1916.38</v>
      </c>
      <c r="I434">
        <f t="shared" si="19"/>
        <v>55</v>
      </c>
      <c r="J434" t="str">
        <f t="shared" si="20"/>
        <v>31-60</v>
      </c>
    </row>
    <row r="435" spans="1:10" x14ac:dyDescent="0.3">
      <c r="A435" t="str">
        <f>Table3[[#This Row],[BillID]]</f>
        <v>BILL-00434</v>
      </c>
      <c r="B435" t="str">
        <f>Table3[[#This Row],[VendorID]]</f>
        <v>VEN-028</v>
      </c>
      <c r="C435" t="str">
        <f>VLOOKUP(B435,Vendors!A:B,2,FALSE)</f>
        <v>MarketEdge Consulting</v>
      </c>
      <c r="D435" s="9">
        <f>Table3[[#This Row],[BillDate]]</f>
        <v>45963</v>
      </c>
      <c r="E435" s="9">
        <f>Table3[[#This Row],[DueDate]]</f>
        <v>45993</v>
      </c>
      <c r="F435" s="3">
        <f>Table3[[#This Row],[BillAmount]]</f>
        <v>5814.88</v>
      </c>
      <c r="G435" s="3">
        <f>SUMIF(Vendor_Payments!C:C,A435,Vendor_Payments!E:E)</f>
        <v>5814.88</v>
      </c>
      <c r="H435" s="3">
        <f t="shared" si="18"/>
        <v>0</v>
      </c>
      <c r="I435">
        <f t="shared" si="19"/>
        <v>98</v>
      </c>
      <c r="J435" t="str">
        <f t="shared" si="20"/>
        <v>90+</v>
      </c>
    </row>
    <row r="436" spans="1:10" x14ac:dyDescent="0.3">
      <c r="A436" t="str">
        <f>Table3[[#This Row],[BillID]]</f>
        <v>BILL-00435</v>
      </c>
      <c r="B436" t="str">
        <f>Table3[[#This Row],[VendorID]]</f>
        <v>VEN-007</v>
      </c>
      <c r="C436" t="str">
        <f>VLOOKUP(B436,Vendors!A:B,2,FALSE)</f>
        <v>Mailchimp</v>
      </c>
      <c r="D436" s="9">
        <f>Table3[[#This Row],[BillDate]]</f>
        <v>45997</v>
      </c>
      <c r="E436" s="9">
        <f>Table3[[#This Row],[DueDate]]</f>
        <v>46027</v>
      </c>
      <c r="F436" s="3">
        <f>Table3[[#This Row],[BillAmount]]</f>
        <v>3971.9</v>
      </c>
      <c r="G436" s="3">
        <f>SUMIF(Vendor_Payments!C:C,A436,Vendor_Payments!E:E)</f>
        <v>3971.9</v>
      </c>
      <c r="H436" s="3">
        <f t="shared" si="18"/>
        <v>0</v>
      </c>
      <c r="I436">
        <f t="shared" si="19"/>
        <v>64</v>
      </c>
      <c r="J436" t="str">
        <f t="shared" si="20"/>
        <v>61-90</v>
      </c>
    </row>
    <row r="437" spans="1:10" x14ac:dyDescent="0.3">
      <c r="A437" t="str">
        <f>Table3[[#This Row],[BillID]]</f>
        <v>BILL-00436</v>
      </c>
      <c r="B437" t="str">
        <f>Table3[[#This Row],[VendorID]]</f>
        <v>VEN-040</v>
      </c>
      <c r="C437" t="str">
        <f>VLOOKUP(B437,Vendors!A:B,2,FALSE)</f>
        <v>Digital Performance Lab</v>
      </c>
      <c r="D437" s="9">
        <f>Table3[[#This Row],[BillDate]]</f>
        <v>46055</v>
      </c>
      <c r="E437" s="9">
        <f>Table3[[#This Row],[DueDate]]</f>
        <v>46085</v>
      </c>
      <c r="F437" s="3">
        <f>Table3[[#This Row],[BillAmount]]</f>
        <v>4616.07</v>
      </c>
      <c r="G437" s="3">
        <f>SUMIF(Vendor_Payments!C:C,A437,Vendor_Payments!E:E)</f>
        <v>4616.07</v>
      </c>
      <c r="H437" s="3">
        <f t="shared" si="18"/>
        <v>0</v>
      </c>
      <c r="I437">
        <f t="shared" si="19"/>
        <v>6</v>
      </c>
      <c r="J437" t="str">
        <f t="shared" si="20"/>
        <v>1-30</v>
      </c>
    </row>
    <row r="438" spans="1:10" x14ac:dyDescent="0.3">
      <c r="A438" t="str">
        <f>Table3[[#This Row],[BillID]]</f>
        <v>BILL-00437</v>
      </c>
      <c r="B438" t="str">
        <f>Table3[[#This Row],[VendorID]]</f>
        <v>VEN-012</v>
      </c>
      <c r="C438" t="str">
        <f>VLOOKUP(B438,Vendors!A:B,2,FALSE)</f>
        <v>Google Cloud</v>
      </c>
      <c r="D438" s="9">
        <f>Table3[[#This Row],[BillDate]]</f>
        <v>46081</v>
      </c>
      <c r="E438" s="9">
        <f>Table3[[#This Row],[DueDate]]</f>
        <v>46111</v>
      </c>
      <c r="F438" s="3">
        <f>Table3[[#This Row],[BillAmount]]</f>
        <v>1055.29</v>
      </c>
      <c r="G438" s="3">
        <f>SUMIF(Vendor_Payments!C:C,A438,Vendor_Payments!E:E)</f>
        <v>1055.29</v>
      </c>
      <c r="H438" s="3">
        <f t="shared" si="18"/>
        <v>0</v>
      </c>
      <c r="I438">
        <f t="shared" si="19"/>
        <v>-20</v>
      </c>
      <c r="J438" t="str">
        <f t="shared" si="20"/>
        <v>Current</v>
      </c>
    </row>
    <row r="439" spans="1:10" x14ac:dyDescent="0.3">
      <c r="A439" t="str">
        <f>Table3[[#This Row],[BillID]]</f>
        <v>BILL-00438</v>
      </c>
      <c r="B439" t="str">
        <f>Table3[[#This Row],[VendorID]]</f>
        <v>VEN-029</v>
      </c>
      <c r="C439" t="str">
        <f>VLOOKUP(B439,Vendors!A:B,2,FALSE)</f>
        <v>BrightSEO Agency</v>
      </c>
      <c r="D439" s="9">
        <f>Table3[[#This Row],[BillDate]]</f>
        <v>45990</v>
      </c>
      <c r="E439" s="9">
        <f>Table3[[#This Row],[DueDate]]</f>
        <v>46020</v>
      </c>
      <c r="F439" s="3">
        <f>Table3[[#This Row],[BillAmount]]</f>
        <v>2707.45</v>
      </c>
      <c r="G439" s="3">
        <f>SUMIF(Vendor_Payments!C:C,A439,Vendor_Payments!E:E)</f>
        <v>0</v>
      </c>
      <c r="H439" s="3">
        <f t="shared" si="18"/>
        <v>2707.45</v>
      </c>
      <c r="I439">
        <f t="shared" si="19"/>
        <v>71</v>
      </c>
      <c r="J439" t="str">
        <f t="shared" si="20"/>
        <v>61-90</v>
      </c>
    </row>
    <row r="440" spans="1:10" x14ac:dyDescent="0.3">
      <c r="A440" t="str">
        <f>Table3[[#This Row],[BillID]]</f>
        <v>BILL-00439</v>
      </c>
      <c r="B440" t="str">
        <f>Table3[[#This Row],[VendorID]]</f>
        <v>VEN-011</v>
      </c>
      <c r="C440" t="str">
        <f>VLOOKUP(B440,Vendors!A:B,2,FALSE)</f>
        <v>AWS</v>
      </c>
      <c r="D440" s="9">
        <f>Table3[[#This Row],[BillDate]]</f>
        <v>46090</v>
      </c>
      <c r="E440" s="9">
        <f>Table3[[#This Row],[DueDate]]</f>
        <v>46120</v>
      </c>
      <c r="F440" s="3">
        <f>Table3[[#This Row],[BillAmount]]</f>
        <v>2157.9499999999998</v>
      </c>
      <c r="G440" s="3">
        <f>SUMIF(Vendor_Payments!C:C,A440,Vendor_Payments!E:E)</f>
        <v>2157.9499999999998</v>
      </c>
      <c r="H440" s="3">
        <f t="shared" si="18"/>
        <v>0</v>
      </c>
      <c r="I440">
        <f t="shared" si="19"/>
        <v>-29</v>
      </c>
      <c r="J440" t="str">
        <f t="shared" si="20"/>
        <v>Current</v>
      </c>
    </row>
    <row r="441" spans="1:10" x14ac:dyDescent="0.3">
      <c r="A441" t="str">
        <f>Table3[[#This Row],[BillID]]</f>
        <v>BILL-00440</v>
      </c>
      <c r="B441" t="str">
        <f>Table3[[#This Row],[VendorID]]</f>
        <v>VEN-013</v>
      </c>
      <c r="C441" t="str">
        <f>VLOOKUP(B441,Vendors!A:B,2,FALSE)</f>
        <v>Canva Pro</v>
      </c>
      <c r="D441" s="9">
        <f>Table3[[#This Row],[BillDate]]</f>
        <v>46029</v>
      </c>
      <c r="E441" s="9">
        <f>Table3[[#This Row],[DueDate]]</f>
        <v>46059</v>
      </c>
      <c r="F441" s="3">
        <f>Table3[[#This Row],[BillAmount]]</f>
        <v>3906.1</v>
      </c>
      <c r="G441" s="3">
        <f>SUMIF(Vendor_Payments!C:C,A441,Vendor_Payments!E:E)</f>
        <v>3906.1</v>
      </c>
      <c r="H441" s="3">
        <f t="shared" si="18"/>
        <v>0</v>
      </c>
      <c r="I441">
        <f t="shared" si="19"/>
        <v>32</v>
      </c>
      <c r="J441" t="str">
        <f t="shared" si="20"/>
        <v>31-60</v>
      </c>
    </row>
    <row r="442" spans="1:10" x14ac:dyDescent="0.3">
      <c r="A442" t="str">
        <f>Table3[[#This Row],[BillID]]</f>
        <v>BILL-00441</v>
      </c>
      <c r="B442" t="str">
        <f>Table3[[#This Row],[VendorID]]</f>
        <v>VEN-037</v>
      </c>
      <c r="C442" t="str">
        <f>VLOOKUP(B442,Vendors!A:B,2,FALSE)</f>
        <v>CreativeSpark Studio</v>
      </c>
      <c r="D442" s="9">
        <f>Table3[[#This Row],[BillDate]]</f>
        <v>46020</v>
      </c>
      <c r="E442" s="9">
        <f>Table3[[#This Row],[DueDate]]</f>
        <v>46050</v>
      </c>
      <c r="F442" s="3">
        <f>Table3[[#This Row],[BillAmount]]</f>
        <v>5517.3</v>
      </c>
      <c r="G442" s="3">
        <f>SUMIF(Vendor_Payments!C:C,A442,Vendor_Payments!E:E)</f>
        <v>5517.3</v>
      </c>
      <c r="H442" s="3">
        <f t="shared" si="18"/>
        <v>0</v>
      </c>
      <c r="I442">
        <f t="shared" si="19"/>
        <v>41</v>
      </c>
      <c r="J442" t="str">
        <f t="shared" si="20"/>
        <v>31-60</v>
      </c>
    </row>
    <row r="443" spans="1:10" x14ac:dyDescent="0.3">
      <c r="A443" t="str">
        <f>Table3[[#This Row],[BillID]]</f>
        <v>BILL-00442</v>
      </c>
      <c r="B443" t="str">
        <f>Table3[[#This Row],[VendorID]]</f>
        <v>VEN-035</v>
      </c>
      <c r="C443" t="str">
        <f>VLOOKUP(B443,Vendors!A:B,2,FALSE)</f>
        <v>ClickFlow Marketing</v>
      </c>
      <c r="D443" s="9">
        <f>Table3[[#This Row],[BillDate]]</f>
        <v>45999</v>
      </c>
      <c r="E443" s="9">
        <f>Table3[[#This Row],[DueDate]]</f>
        <v>46029</v>
      </c>
      <c r="F443" s="3">
        <f>Table3[[#This Row],[BillAmount]]</f>
        <v>3092.28</v>
      </c>
      <c r="G443" s="3">
        <f>SUMIF(Vendor_Payments!C:C,A443,Vendor_Payments!E:E)</f>
        <v>3092.28</v>
      </c>
      <c r="H443" s="3">
        <f t="shared" si="18"/>
        <v>0</v>
      </c>
      <c r="I443">
        <f t="shared" si="19"/>
        <v>62</v>
      </c>
      <c r="J443" t="str">
        <f t="shared" si="20"/>
        <v>61-90</v>
      </c>
    </row>
    <row r="444" spans="1:10" x14ac:dyDescent="0.3">
      <c r="A444" t="str">
        <f>Table3[[#This Row],[BillID]]</f>
        <v>BILL-00443</v>
      </c>
      <c r="B444" t="str">
        <f>Table3[[#This Row],[VendorID]]</f>
        <v>VEN-027</v>
      </c>
      <c r="C444" t="str">
        <f>VLOOKUP(B444,Vendors!A:B,2,FALSE)</f>
        <v>DevCraft Agency</v>
      </c>
      <c r="D444" s="9">
        <f>Table3[[#This Row],[BillDate]]</f>
        <v>46058</v>
      </c>
      <c r="E444" s="9">
        <f>Table3[[#This Row],[DueDate]]</f>
        <v>46088</v>
      </c>
      <c r="F444" s="3">
        <f>Table3[[#This Row],[BillAmount]]</f>
        <v>4268.3500000000004</v>
      </c>
      <c r="G444" s="3">
        <f>SUMIF(Vendor_Payments!C:C,A444,Vendor_Payments!E:E)</f>
        <v>4268.3500000000004</v>
      </c>
      <c r="H444" s="3">
        <f t="shared" si="18"/>
        <v>0</v>
      </c>
      <c r="I444">
        <f t="shared" si="19"/>
        <v>3</v>
      </c>
      <c r="J444" t="str">
        <f t="shared" si="20"/>
        <v>1-30</v>
      </c>
    </row>
    <row r="445" spans="1:10" x14ac:dyDescent="0.3">
      <c r="A445" t="str">
        <f>Table3[[#This Row],[BillID]]</f>
        <v>BILL-00444</v>
      </c>
      <c r="B445" t="str">
        <f>Table3[[#This Row],[VendorID]]</f>
        <v>VEN-012</v>
      </c>
      <c r="C445" t="str">
        <f>VLOOKUP(B445,Vendors!A:B,2,FALSE)</f>
        <v>Google Cloud</v>
      </c>
      <c r="D445" s="9">
        <f>Table3[[#This Row],[BillDate]]</f>
        <v>45964</v>
      </c>
      <c r="E445" s="9">
        <f>Table3[[#This Row],[DueDate]]</f>
        <v>45994</v>
      </c>
      <c r="F445" s="3">
        <f>Table3[[#This Row],[BillAmount]]</f>
        <v>2026.73</v>
      </c>
      <c r="G445" s="3">
        <f>SUMIF(Vendor_Payments!C:C,A445,Vendor_Payments!E:E)</f>
        <v>2026.73</v>
      </c>
      <c r="H445" s="3">
        <f t="shared" si="18"/>
        <v>0</v>
      </c>
      <c r="I445">
        <f t="shared" si="19"/>
        <v>97</v>
      </c>
      <c r="J445" t="str">
        <f t="shared" si="20"/>
        <v>90+</v>
      </c>
    </row>
    <row r="446" spans="1:10" x14ac:dyDescent="0.3">
      <c r="A446" t="str">
        <f>Table3[[#This Row],[BillID]]</f>
        <v>BILL-00445</v>
      </c>
      <c r="B446" t="str">
        <f>Table3[[#This Row],[VendorID]]</f>
        <v>VEN-005</v>
      </c>
      <c r="C446" t="str">
        <f>VLOOKUP(B446,Vendors!A:B,2,FALSE)</f>
        <v>HubSpot</v>
      </c>
      <c r="D446" s="9">
        <f>Table3[[#This Row],[BillDate]]</f>
        <v>45962</v>
      </c>
      <c r="E446" s="9">
        <f>Table3[[#This Row],[DueDate]]</f>
        <v>45992</v>
      </c>
      <c r="F446" s="3">
        <f>Table3[[#This Row],[BillAmount]]</f>
        <v>4847.59</v>
      </c>
      <c r="G446" s="3">
        <f>SUMIF(Vendor_Payments!C:C,A446,Vendor_Payments!E:E)</f>
        <v>0</v>
      </c>
      <c r="H446" s="3">
        <f t="shared" si="18"/>
        <v>4847.59</v>
      </c>
      <c r="I446">
        <f t="shared" si="19"/>
        <v>99</v>
      </c>
      <c r="J446" t="str">
        <f t="shared" si="20"/>
        <v>90+</v>
      </c>
    </row>
    <row r="447" spans="1:10" x14ac:dyDescent="0.3">
      <c r="A447" t="str">
        <f>Table3[[#This Row],[BillID]]</f>
        <v>BILL-00446</v>
      </c>
      <c r="B447" t="str">
        <f>Table3[[#This Row],[VendorID]]</f>
        <v>VEN-022</v>
      </c>
      <c r="C447" t="str">
        <f>VLOOKUP(B447,Vendors!A:B,2,FALSE)</f>
        <v>Toptal Talent</v>
      </c>
      <c r="D447" s="9">
        <f>Table3[[#This Row],[BillDate]]</f>
        <v>46074</v>
      </c>
      <c r="E447" s="9">
        <f>Table3[[#This Row],[DueDate]]</f>
        <v>46104</v>
      </c>
      <c r="F447" s="3">
        <f>Table3[[#This Row],[BillAmount]]</f>
        <v>2208.25</v>
      </c>
      <c r="G447" s="3">
        <f>SUMIF(Vendor_Payments!C:C,A447,Vendor_Payments!E:E)</f>
        <v>0</v>
      </c>
      <c r="H447" s="3">
        <f t="shared" si="18"/>
        <v>2208.25</v>
      </c>
      <c r="I447">
        <f t="shared" si="19"/>
        <v>-13</v>
      </c>
      <c r="J447" t="str">
        <f t="shared" si="20"/>
        <v>Current</v>
      </c>
    </row>
    <row r="448" spans="1:10" x14ac:dyDescent="0.3">
      <c r="A448" t="str">
        <f>Table3[[#This Row],[BillID]]</f>
        <v>BILL-00447</v>
      </c>
      <c r="B448" t="str">
        <f>Table3[[#This Row],[VendorID]]</f>
        <v>VEN-031</v>
      </c>
      <c r="C448" t="str">
        <f>VLOOKUP(B448,Vendors!A:B,2,FALSE)</f>
        <v>DataInsight Analytics</v>
      </c>
      <c r="D448" s="9">
        <f>Table3[[#This Row],[BillDate]]</f>
        <v>46025</v>
      </c>
      <c r="E448" s="9">
        <f>Table3[[#This Row],[DueDate]]</f>
        <v>46055</v>
      </c>
      <c r="F448" s="3">
        <f>Table3[[#This Row],[BillAmount]]</f>
        <v>5399.89</v>
      </c>
      <c r="G448" s="3">
        <f>SUMIF(Vendor_Payments!C:C,A448,Vendor_Payments!E:E)</f>
        <v>5399.89</v>
      </c>
      <c r="H448" s="3">
        <f t="shared" si="18"/>
        <v>0</v>
      </c>
      <c r="I448">
        <f t="shared" si="19"/>
        <v>36</v>
      </c>
      <c r="J448" t="str">
        <f t="shared" si="20"/>
        <v>31-60</v>
      </c>
    </row>
    <row r="449" spans="1:10" x14ac:dyDescent="0.3">
      <c r="A449" t="str">
        <f>Table3[[#This Row],[BillID]]</f>
        <v>BILL-00448</v>
      </c>
      <c r="B449" t="str">
        <f>Table3[[#This Row],[VendorID]]</f>
        <v>VEN-018</v>
      </c>
      <c r="C449" t="str">
        <f>VLOOKUP(B449,Vendors!A:B,2,FALSE)</f>
        <v>Cloudflare</v>
      </c>
      <c r="D449" s="9">
        <f>Table3[[#This Row],[BillDate]]</f>
        <v>46042</v>
      </c>
      <c r="E449" s="9">
        <f>Table3[[#This Row],[DueDate]]</f>
        <v>46072</v>
      </c>
      <c r="F449" s="3">
        <f>Table3[[#This Row],[BillAmount]]</f>
        <v>2253.63</v>
      </c>
      <c r="G449" s="3">
        <f>SUMIF(Vendor_Payments!C:C,A449,Vendor_Payments!E:E)</f>
        <v>0</v>
      </c>
      <c r="H449" s="3">
        <f t="shared" si="18"/>
        <v>2253.63</v>
      </c>
      <c r="I449">
        <f t="shared" si="19"/>
        <v>19</v>
      </c>
      <c r="J449" t="str">
        <f t="shared" si="20"/>
        <v>1-30</v>
      </c>
    </row>
    <row r="450" spans="1:10" x14ac:dyDescent="0.3">
      <c r="A450" t="str">
        <f>Table3[[#This Row],[BillID]]</f>
        <v>BILL-00449</v>
      </c>
      <c r="B450" t="str">
        <f>Table3[[#This Row],[VendorID]]</f>
        <v>VEN-003</v>
      </c>
      <c r="C450" t="str">
        <f>VLOOKUP(B450,Vendors!A:B,2,FALSE)</f>
        <v>TikTok Ads</v>
      </c>
      <c r="D450" s="9">
        <f>Table3[[#This Row],[BillDate]]</f>
        <v>46008</v>
      </c>
      <c r="E450" s="9">
        <f>Table3[[#This Row],[DueDate]]</f>
        <v>46038</v>
      </c>
      <c r="F450" s="3">
        <f>Table3[[#This Row],[BillAmount]]</f>
        <v>4405.62</v>
      </c>
      <c r="G450" s="3">
        <f>SUMIF(Vendor_Payments!C:C,A450,Vendor_Payments!E:E)</f>
        <v>4405.62</v>
      </c>
      <c r="H450" s="3">
        <f t="shared" si="18"/>
        <v>0</v>
      </c>
      <c r="I450">
        <f t="shared" si="19"/>
        <v>53</v>
      </c>
      <c r="J450" t="str">
        <f t="shared" si="20"/>
        <v>31-60</v>
      </c>
    </row>
    <row r="451" spans="1:10" x14ac:dyDescent="0.3">
      <c r="A451" t="str">
        <f>Table3[[#This Row],[BillID]]</f>
        <v>BILL-00450</v>
      </c>
      <c r="B451" t="str">
        <f>Table3[[#This Row],[VendorID]]</f>
        <v>VEN-017</v>
      </c>
      <c r="C451" t="str">
        <f>VLOOKUP(B451,Vendors!A:B,2,FALSE)</f>
        <v>PayPal</v>
      </c>
      <c r="D451" s="9">
        <f>Table3[[#This Row],[BillDate]]</f>
        <v>45965</v>
      </c>
      <c r="E451" s="9">
        <f>Table3[[#This Row],[DueDate]]</f>
        <v>45995</v>
      </c>
      <c r="F451" s="3">
        <f>Table3[[#This Row],[BillAmount]]</f>
        <v>4966.16</v>
      </c>
      <c r="G451" s="3">
        <f>SUMIF(Vendor_Payments!C:C,A451,Vendor_Payments!E:E)</f>
        <v>4966.16</v>
      </c>
      <c r="H451" s="3">
        <f t="shared" ref="H451:H514" si="21">F451-G451</f>
        <v>0</v>
      </c>
      <c r="I451">
        <f t="shared" ref="I451:I514" si="22">$L$1-E451</f>
        <v>96</v>
      </c>
      <c r="J451" t="str">
        <f t="shared" ref="J451:J514" si="23">IF(I451&lt;=0,"Current",IF(I451&lt;=30,"1-30",IF(I451&lt;=60,"31-60",IF(I451&lt;=90,"61-90","90+"))))</f>
        <v>90+</v>
      </c>
    </row>
    <row r="452" spans="1:10" x14ac:dyDescent="0.3">
      <c r="A452" t="str">
        <f>Table3[[#This Row],[BillID]]</f>
        <v>BILL-00451</v>
      </c>
      <c r="B452" t="str">
        <f>Table3[[#This Row],[VendorID]]</f>
        <v>VEN-027</v>
      </c>
      <c r="C452" t="str">
        <f>VLOOKUP(B452,Vendors!A:B,2,FALSE)</f>
        <v>DevCraft Agency</v>
      </c>
      <c r="D452" s="9">
        <f>Table3[[#This Row],[BillDate]]</f>
        <v>45977</v>
      </c>
      <c r="E452" s="9">
        <f>Table3[[#This Row],[DueDate]]</f>
        <v>46007</v>
      </c>
      <c r="F452" s="3">
        <f>Table3[[#This Row],[BillAmount]]</f>
        <v>5369.64</v>
      </c>
      <c r="G452" s="3">
        <f>SUMIF(Vendor_Payments!C:C,A452,Vendor_Payments!E:E)</f>
        <v>5369.64</v>
      </c>
      <c r="H452" s="3">
        <f t="shared" si="21"/>
        <v>0</v>
      </c>
      <c r="I452">
        <f t="shared" si="22"/>
        <v>84</v>
      </c>
      <c r="J452" t="str">
        <f t="shared" si="23"/>
        <v>61-90</v>
      </c>
    </row>
    <row r="453" spans="1:10" x14ac:dyDescent="0.3">
      <c r="A453" t="str">
        <f>Table3[[#This Row],[BillID]]</f>
        <v>BILL-00452</v>
      </c>
      <c r="B453" t="str">
        <f>Table3[[#This Row],[VendorID]]</f>
        <v>VEN-034</v>
      </c>
      <c r="C453" t="str">
        <f>VLOOKUP(B453,Vendors!A:B,2,FALSE)</f>
        <v>SocialBoost Agency</v>
      </c>
      <c r="D453" s="9">
        <f>Table3[[#This Row],[BillDate]]</f>
        <v>45972</v>
      </c>
      <c r="E453" s="9">
        <f>Table3[[#This Row],[DueDate]]</f>
        <v>46002</v>
      </c>
      <c r="F453" s="3">
        <f>Table3[[#This Row],[BillAmount]]</f>
        <v>2423.9299999999998</v>
      </c>
      <c r="G453" s="3">
        <f>SUMIF(Vendor_Payments!C:C,A453,Vendor_Payments!E:E)</f>
        <v>2423.9299999999998</v>
      </c>
      <c r="H453" s="3">
        <f t="shared" si="21"/>
        <v>0</v>
      </c>
      <c r="I453">
        <f t="shared" si="22"/>
        <v>89</v>
      </c>
      <c r="J453" t="str">
        <f t="shared" si="23"/>
        <v>61-90</v>
      </c>
    </row>
    <row r="454" spans="1:10" x14ac:dyDescent="0.3">
      <c r="A454" t="str">
        <f>Table3[[#This Row],[BillID]]</f>
        <v>BILL-00453</v>
      </c>
      <c r="B454" t="str">
        <f>Table3[[#This Row],[VendorID]]</f>
        <v>VEN-025</v>
      </c>
      <c r="C454" t="str">
        <f>VLOOKUP(B454,Vendors!A:B,2,FALSE)</f>
        <v>Digital Growth Consultants</v>
      </c>
      <c r="D454" s="9">
        <f>Table3[[#This Row],[BillDate]]</f>
        <v>45996</v>
      </c>
      <c r="E454" s="9">
        <f>Table3[[#This Row],[DueDate]]</f>
        <v>46026</v>
      </c>
      <c r="F454" s="3">
        <f>Table3[[#This Row],[BillAmount]]</f>
        <v>1310.5999999999999</v>
      </c>
      <c r="G454" s="3">
        <f>SUMIF(Vendor_Payments!C:C,A454,Vendor_Payments!E:E)</f>
        <v>0</v>
      </c>
      <c r="H454" s="3">
        <f t="shared" si="21"/>
        <v>1310.5999999999999</v>
      </c>
      <c r="I454">
        <f t="shared" si="22"/>
        <v>65</v>
      </c>
      <c r="J454" t="str">
        <f t="shared" si="23"/>
        <v>61-90</v>
      </c>
    </row>
    <row r="455" spans="1:10" x14ac:dyDescent="0.3">
      <c r="A455" t="str">
        <f>Table3[[#This Row],[BillID]]</f>
        <v>BILL-00454</v>
      </c>
      <c r="B455" t="str">
        <f>Table3[[#This Row],[VendorID]]</f>
        <v>VEN-023</v>
      </c>
      <c r="C455" t="str">
        <f>VLOOKUP(B455,Vendors!A:B,2,FALSE)</f>
        <v>Fiverr Pro</v>
      </c>
      <c r="D455" s="9">
        <f>Table3[[#This Row],[BillDate]]</f>
        <v>45991</v>
      </c>
      <c r="E455" s="9">
        <f>Table3[[#This Row],[DueDate]]</f>
        <v>46021</v>
      </c>
      <c r="F455" s="3">
        <f>Table3[[#This Row],[BillAmount]]</f>
        <v>6246.52</v>
      </c>
      <c r="G455" s="3">
        <f>SUMIF(Vendor_Payments!C:C,A455,Vendor_Payments!E:E)</f>
        <v>6246.52</v>
      </c>
      <c r="H455" s="3">
        <f t="shared" si="21"/>
        <v>0</v>
      </c>
      <c r="I455">
        <f t="shared" si="22"/>
        <v>70</v>
      </c>
      <c r="J455" t="str">
        <f t="shared" si="23"/>
        <v>61-90</v>
      </c>
    </row>
    <row r="456" spans="1:10" x14ac:dyDescent="0.3">
      <c r="A456" t="str">
        <f>Table3[[#This Row],[BillID]]</f>
        <v>BILL-00455</v>
      </c>
      <c r="B456" t="str">
        <f>Table3[[#This Row],[VendorID]]</f>
        <v>VEN-009</v>
      </c>
      <c r="C456" t="str">
        <f>VLOOKUP(B456,Vendors!A:B,2,FALSE)</f>
        <v>SEMrush</v>
      </c>
      <c r="D456" s="9">
        <f>Table3[[#This Row],[BillDate]]</f>
        <v>46072</v>
      </c>
      <c r="E456" s="9">
        <f>Table3[[#This Row],[DueDate]]</f>
        <v>46102</v>
      </c>
      <c r="F456" s="3">
        <f>Table3[[#This Row],[BillAmount]]</f>
        <v>5012.51</v>
      </c>
      <c r="G456" s="3">
        <f>SUMIF(Vendor_Payments!C:C,A456,Vendor_Payments!E:E)</f>
        <v>5012.51</v>
      </c>
      <c r="H456" s="3">
        <f t="shared" si="21"/>
        <v>0</v>
      </c>
      <c r="I456">
        <f t="shared" si="22"/>
        <v>-11</v>
      </c>
      <c r="J456" t="str">
        <f t="shared" si="23"/>
        <v>Current</v>
      </c>
    </row>
    <row r="457" spans="1:10" x14ac:dyDescent="0.3">
      <c r="A457" t="str">
        <f>Table3[[#This Row],[BillID]]</f>
        <v>BILL-00456</v>
      </c>
      <c r="B457" t="str">
        <f>Table3[[#This Row],[VendorID]]</f>
        <v>VEN-036</v>
      </c>
      <c r="C457" t="str">
        <f>VLOOKUP(B457,Vendors!A:B,2,FALSE)</f>
        <v>WebDev Masters</v>
      </c>
      <c r="D457" s="9">
        <f>Table3[[#This Row],[BillDate]]</f>
        <v>45968</v>
      </c>
      <c r="E457" s="9">
        <f>Table3[[#This Row],[DueDate]]</f>
        <v>45998</v>
      </c>
      <c r="F457" s="3">
        <f>Table3[[#This Row],[BillAmount]]</f>
        <v>6532.62</v>
      </c>
      <c r="G457" s="3">
        <f>SUMIF(Vendor_Payments!C:C,A457,Vendor_Payments!E:E)</f>
        <v>0</v>
      </c>
      <c r="H457" s="3">
        <f t="shared" si="21"/>
        <v>6532.62</v>
      </c>
      <c r="I457">
        <f t="shared" si="22"/>
        <v>93</v>
      </c>
      <c r="J457" t="str">
        <f t="shared" si="23"/>
        <v>90+</v>
      </c>
    </row>
    <row r="458" spans="1:10" x14ac:dyDescent="0.3">
      <c r="A458" t="str">
        <f>Table3[[#This Row],[BillID]]</f>
        <v>BILL-00457</v>
      </c>
      <c r="B458" t="str">
        <f>Table3[[#This Row],[VendorID]]</f>
        <v>VEN-024</v>
      </c>
      <c r="C458" t="str">
        <f>VLOOKUP(B458,Vendors!A:B,2,FALSE)</f>
        <v>Growth Strategy Group</v>
      </c>
      <c r="D458" s="9">
        <f>Table3[[#This Row],[BillDate]]</f>
        <v>46030</v>
      </c>
      <c r="E458" s="9">
        <f>Table3[[#This Row],[DueDate]]</f>
        <v>46060</v>
      </c>
      <c r="F458" s="3">
        <f>Table3[[#This Row],[BillAmount]]</f>
        <v>4886.55</v>
      </c>
      <c r="G458" s="3">
        <f>SUMIF(Vendor_Payments!C:C,A458,Vendor_Payments!E:E)</f>
        <v>0</v>
      </c>
      <c r="H458" s="3">
        <f t="shared" si="21"/>
        <v>4886.55</v>
      </c>
      <c r="I458">
        <f t="shared" si="22"/>
        <v>31</v>
      </c>
      <c r="J458" t="str">
        <f t="shared" si="23"/>
        <v>31-60</v>
      </c>
    </row>
    <row r="459" spans="1:10" x14ac:dyDescent="0.3">
      <c r="A459" t="str">
        <f>Table3[[#This Row],[BillID]]</f>
        <v>BILL-00458</v>
      </c>
      <c r="B459" t="str">
        <f>Table3[[#This Row],[VendorID]]</f>
        <v>VEN-024</v>
      </c>
      <c r="C459" t="str">
        <f>VLOOKUP(B459,Vendors!A:B,2,FALSE)</f>
        <v>Growth Strategy Group</v>
      </c>
      <c r="D459" s="9">
        <f>Table3[[#This Row],[BillDate]]</f>
        <v>46076</v>
      </c>
      <c r="E459" s="9">
        <f>Table3[[#This Row],[DueDate]]</f>
        <v>46106</v>
      </c>
      <c r="F459" s="3">
        <f>Table3[[#This Row],[BillAmount]]</f>
        <v>5862.15</v>
      </c>
      <c r="G459" s="3">
        <f>SUMIF(Vendor_Payments!C:C,A459,Vendor_Payments!E:E)</f>
        <v>0</v>
      </c>
      <c r="H459" s="3">
        <f t="shared" si="21"/>
        <v>5862.15</v>
      </c>
      <c r="I459">
        <f t="shared" si="22"/>
        <v>-15</v>
      </c>
      <c r="J459" t="str">
        <f t="shared" si="23"/>
        <v>Current</v>
      </c>
    </row>
    <row r="460" spans="1:10" x14ac:dyDescent="0.3">
      <c r="A460" t="str">
        <f>Table3[[#This Row],[BillID]]</f>
        <v>BILL-00459</v>
      </c>
      <c r="B460" t="str">
        <f>Table3[[#This Row],[VendorID]]</f>
        <v>VEN-004</v>
      </c>
      <c r="C460" t="str">
        <f>VLOOKUP(B460,Vendors!A:B,2,FALSE)</f>
        <v>LinkedIn Ads</v>
      </c>
      <c r="D460" s="9">
        <f>Table3[[#This Row],[BillDate]]</f>
        <v>46041</v>
      </c>
      <c r="E460" s="9">
        <f>Table3[[#This Row],[DueDate]]</f>
        <v>46071</v>
      </c>
      <c r="F460" s="3">
        <f>Table3[[#This Row],[BillAmount]]</f>
        <v>1724.75</v>
      </c>
      <c r="G460" s="3">
        <f>SUMIF(Vendor_Payments!C:C,A460,Vendor_Payments!E:E)</f>
        <v>1724.75</v>
      </c>
      <c r="H460" s="3">
        <f t="shared" si="21"/>
        <v>0</v>
      </c>
      <c r="I460">
        <f t="shared" si="22"/>
        <v>20</v>
      </c>
      <c r="J460" t="str">
        <f t="shared" si="23"/>
        <v>1-30</v>
      </c>
    </row>
    <row r="461" spans="1:10" x14ac:dyDescent="0.3">
      <c r="A461" t="str">
        <f>Table3[[#This Row],[BillID]]</f>
        <v>BILL-00460</v>
      </c>
      <c r="B461" t="str">
        <f>Table3[[#This Row],[VendorID]]</f>
        <v>VEN-037</v>
      </c>
      <c r="C461" t="str">
        <f>VLOOKUP(B461,Vendors!A:B,2,FALSE)</f>
        <v>CreativeSpark Studio</v>
      </c>
      <c r="D461" s="9">
        <f>Table3[[#This Row],[BillDate]]</f>
        <v>45999</v>
      </c>
      <c r="E461" s="9">
        <f>Table3[[#This Row],[DueDate]]</f>
        <v>46029</v>
      </c>
      <c r="F461" s="3">
        <f>Table3[[#This Row],[BillAmount]]</f>
        <v>6027.36</v>
      </c>
      <c r="G461" s="3">
        <f>SUMIF(Vendor_Payments!C:C,A461,Vendor_Payments!E:E)</f>
        <v>6027.36</v>
      </c>
      <c r="H461" s="3">
        <f t="shared" si="21"/>
        <v>0</v>
      </c>
      <c r="I461">
        <f t="shared" si="22"/>
        <v>62</v>
      </c>
      <c r="J461" t="str">
        <f t="shared" si="23"/>
        <v>61-90</v>
      </c>
    </row>
    <row r="462" spans="1:10" x14ac:dyDescent="0.3">
      <c r="A462" t="str">
        <f>Table3[[#This Row],[BillID]]</f>
        <v>BILL-00461</v>
      </c>
      <c r="B462" t="str">
        <f>Table3[[#This Row],[VendorID]]</f>
        <v>VEN-022</v>
      </c>
      <c r="C462" t="str">
        <f>VLOOKUP(B462,Vendors!A:B,2,FALSE)</f>
        <v>Toptal Talent</v>
      </c>
      <c r="D462" s="9">
        <f>Table3[[#This Row],[BillDate]]</f>
        <v>46039</v>
      </c>
      <c r="E462" s="9">
        <f>Table3[[#This Row],[DueDate]]</f>
        <v>46069</v>
      </c>
      <c r="F462" s="3">
        <f>Table3[[#This Row],[BillAmount]]</f>
        <v>1054.26</v>
      </c>
      <c r="G462" s="3">
        <f>SUMIF(Vendor_Payments!C:C,A462,Vendor_Payments!E:E)</f>
        <v>1054.26</v>
      </c>
      <c r="H462" s="3">
        <f t="shared" si="21"/>
        <v>0</v>
      </c>
      <c r="I462">
        <f t="shared" si="22"/>
        <v>22</v>
      </c>
      <c r="J462" t="str">
        <f t="shared" si="23"/>
        <v>1-30</v>
      </c>
    </row>
    <row r="463" spans="1:10" x14ac:dyDescent="0.3">
      <c r="A463" t="str">
        <f>Table3[[#This Row],[BillID]]</f>
        <v>BILL-00462</v>
      </c>
      <c r="B463" t="str">
        <f>Table3[[#This Row],[VendorID]]</f>
        <v>VEN-025</v>
      </c>
      <c r="C463" t="str">
        <f>VLOOKUP(B463,Vendors!A:B,2,FALSE)</f>
        <v>Digital Growth Consultants</v>
      </c>
      <c r="D463" s="9">
        <f>Table3[[#This Row],[BillDate]]</f>
        <v>46043</v>
      </c>
      <c r="E463" s="9">
        <f>Table3[[#This Row],[DueDate]]</f>
        <v>46073</v>
      </c>
      <c r="F463" s="3">
        <f>Table3[[#This Row],[BillAmount]]</f>
        <v>926.69</v>
      </c>
      <c r="G463" s="3">
        <f>SUMIF(Vendor_Payments!C:C,A463,Vendor_Payments!E:E)</f>
        <v>0</v>
      </c>
      <c r="H463" s="3">
        <f t="shared" si="21"/>
        <v>926.69</v>
      </c>
      <c r="I463">
        <f t="shared" si="22"/>
        <v>18</v>
      </c>
      <c r="J463" t="str">
        <f t="shared" si="23"/>
        <v>1-30</v>
      </c>
    </row>
    <row r="464" spans="1:10" x14ac:dyDescent="0.3">
      <c r="A464" t="str">
        <f>Table3[[#This Row],[BillID]]</f>
        <v>BILL-00463</v>
      </c>
      <c r="B464" t="str">
        <f>Table3[[#This Row],[VendorID]]</f>
        <v>VEN-028</v>
      </c>
      <c r="C464" t="str">
        <f>VLOOKUP(B464,Vendors!A:B,2,FALSE)</f>
        <v>MarketEdge Consulting</v>
      </c>
      <c r="D464" s="9">
        <f>Table3[[#This Row],[BillDate]]</f>
        <v>46051</v>
      </c>
      <c r="E464" s="9">
        <f>Table3[[#This Row],[DueDate]]</f>
        <v>46081</v>
      </c>
      <c r="F464" s="3">
        <f>Table3[[#This Row],[BillAmount]]</f>
        <v>1006.25</v>
      </c>
      <c r="G464" s="3">
        <f>SUMIF(Vendor_Payments!C:C,A464,Vendor_Payments!E:E)</f>
        <v>0</v>
      </c>
      <c r="H464" s="3">
        <f t="shared" si="21"/>
        <v>1006.25</v>
      </c>
      <c r="I464">
        <f t="shared" si="22"/>
        <v>10</v>
      </c>
      <c r="J464" t="str">
        <f t="shared" si="23"/>
        <v>1-30</v>
      </c>
    </row>
    <row r="465" spans="1:10" x14ac:dyDescent="0.3">
      <c r="A465" t="str">
        <f>Table3[[#This Row],[BillID]]</f>
        <v>BILL-00464</v>
      </c>
      <c r="B465" t="str">
        <f>Table3[[#This Row],[VendorID]]</f>
        <v>VEN-016</v>
      </c>
      <c r="C465" t="str">
        <f>VLOOKUP(B465,Vendors!A:B,2,FALSE)</f>
        <v>Stripe</v>
      </c>
      <c r="D465" s="9">
        <f>Table3[[#This Row],[BillDate]]</f>
        <v>45982</v>
      </c>
      <c r="E465" s="9">
        <f>Table3[[#This Row],[DueDate]]</f>
        <v>46012</v>
      </c>
      <c r="F465" s="3">
        <f>Table3[[#This Row],[BillAmount]]</f>
        <v>3554.08</v>
      </c>
      <c r="G465" s="3">
        <f>SUMIF(Vendor_Payments!C:C,A465,Vendor_Payments!E:E)</f>
        <v>0</v>
      </c>
      <c r="H465" s="3">
        <f t="shared" si="21"/>
        <v>3554.08</v>
      </c>
      <c r="I465">
        <f t="shared" si="22"/>
        <v>79</v>
      </c>
      <c r="J465" t="str">
        <f t="shared" si="23"/>
        <v>61-90</v>
      </c>
    </row>
    <row r="466" spans="1:10" x14ac:dyDescent="0.3">
      <c r="A466" t="str">
        <f>Table3[[#This Row],[BillID]]</f>
        <v>BILL-00465</v>
      </c>
      <c r="B466" t="str">
        <f>Table3[[#This Row],[VendorID]]</f>
        <v>VEN-016</v>
      </c>
      <c r="C466" t="str">
        <f>VLOOKUP(B466,Vendors!A:B,2,FALSE)</f>
        <v>Stripe</v>
      </c>
      <c r="D466" s="9">
        <f>Table3[[#This Row],[BillDate]]</f>
        <v>46059</v>
      </c>
      <c r="E466" s="9">
        <f>Table3[[#This Row],[DueDate]]</f>
        <v>46089</v>
      </c>
      <c r="F466" s="3">
        <f>Table3[[#This Row],[BillAmount]]</f>
        <v>2109.9</v>
      </c>
      <c r="G466" s="3">
        <f>SUMIF(Vendor_Payments!C:C,A466,Vendor_Payments!E:E)</f>
        <v>2109.9</v>
      </c>
      <c r="H466" s="3">
        <f t="shared" si="21"/>
        <v>0</v>
      </c>
      <c r="I466">
        <f t="shared" si="22"/>
        <v>2</v>
      </c>
      <c r="J466" t="str">
        <f t="shared" si="23"/>
        <v>1-30</v>
      </c>
    </row>
    <row r="467" spans="1:10" x14ac:dyDescent="0.3">
      <c r="A467" t="str">
        <f>Table3[[#This Row],[BillID]]</f>
        <v>BILL-00466</v>
      </c>
      <c r="B467" t="str">
        <f>Table3[[#This Row],[VendorID]]</f>
        <v>VEN-014</v>
      </c>
      <c r="C467" t="str">
        <f>VLOOKUP(B467,Vendors!A:B,2,FALSE)</f>
        <v>Figma</v>
      </c>
      <c r="D467" s="9">
        <f>Table3[[#This Row],[BillDate]]</f>
        <v>46075</v>
      </c>
      <c r="E467" s="9">
        <f>Table3[[#This Row],[DueDate]]</f>
        <v>46105</v>
      </c>
      <c r="F467" s="3">
        <f>Table3[[#This Row],[BillAmount]]</f>
        <v>937.97</v>
      </c>
      <c r="G467" s="3">
        <f>SUMIF(Vendor_Payments!C:C,A467,Vendor_Payments!E:E)</f>
        <v>937.97</v>
      </c>
      <c r="H467" s="3">
        <f t="shared" si="21"/>
        <v>0</v>
      </c>
      <c r="I467">
        <f t="shared" si="22"/>
        <v>-14</v>
      </c>
      <c r="J467" t="str">
        <f t="shared" si="23"/>
        <v>Current</v>
      </c>
    </row>
    <row r="468" spans="1:10" x14ac:dyDescent="0.3">
      <c r="A468" t="str">
        <f>Table3[[#This Row],[BillID]]</f>
        <v>BILL-00467</v>
      </c>
      <c r="B468" t="str">
        <f>Table3[[#This Row],[VendorID]]</f>
        <v>VEN-036</v>
      </c>
      <c r="C468" t="str">
        <f>VLOOKUP(B468,Vendors!A:B,2,FALSE)</f>
        <v>WebDev Masters</v>
      </c>
      <c r="D468" s="9">
        <f>Table3[[#This Row],[BillDate]]</f>
        <v>46074</v>
      </c>
      <c r="E468" s="9">
        <f>Table3[[#This Row],[DueDate]]</f>
        <v>46104</v>
      </c>
      <c r="F468" s="3">
        <f>Table3[[#This Row],[BillAmount]]</f>
        <v>6584.7</v>
      </c>
      <c r="G468" s="3">
        <f>SUMIF(Vendor_Payments!C:C,A468,Vendor_Payments!E:E)</f>
        <v>6584.7</v>
      </c>
      <c r="H468" s="3">
        <f t="shared" si="21"/>
        <v>0</v>
      </c>
      <c r="I468">
        <f t="shared" si="22"/>
        <v>-13</v>
      </c>
      <c r="J468" t="str">
        <f t="shared" si="23"/>
        <v>Current</v>
      </c>
    </row>
    <row r="469" spans="1:10" x14ac:dyDescent="0.3">
      <c r="A469" t="str">
        <f>Table3[[#This Row],[BillID]]</f>
        <v>BILL-00468</v>
      </c>
      <c r="B469" t="str">
        <f>Table3[[#This Row],[VendorID]]</f>
        <v>VEN-027</v>
      </c>
      <c r="C469" t="str">
        <f>VLOOKUP(B469,Vendors!A:B,2,FALSE)</f>
        <v>DevCraft Agency</v>
      </c>
      <c r="D469" s="9">
        <f>Table3[[#This Row],[BillDate]]</f>
        <v>45978</v>
      </c>
      <c r="E469" s="9">
        <f>Table3[[#This Row],[DueDate]]</f>
        <v>46008</v>
      </c>
      <c r="F469" s="3">
        <f>Table3[[#This Row],[BillAmount]]</f>
        <v>6304.69</v>
      </c>
      <c r="G469" s="3">
        <f>SUMIF(Vendor_Payments!C:C,A469,Vendor_Payments!E:E)</f>
        <v>6304.69</v>
      </c>
      <c r="H469" s="3">
        <f t="shared" si="21"/>
        <v>0</v>
      </c>
      <c r="I469">
        <f t="shared" si="22"/>
        <v>83</v>
      </c>
      <c r="J469" t="str">
        <f t="shared" si="23"/>
        <v>61-90</v>
      </c>
    </row>
    <row r="470" spans="1:10" x14ac:dyDescent="0.3">
      <c r="A470" t="str">
        <f>Table3[[#This Row],[BillID]]</f>
        <v>BILL-00469</v>
      </c>
      <c r="B470" t="str">
        <f>Table3[[#This Row],[VendorID]]</f>
        <v>VEN-018</v>
      </c>
      <c r="C470" t="str">
        <f>VLOOKUP(B470,Vendors!A:B,2,FALSE)</f>
        <v>Cloudflare</v>
      </c>
      <c r="D470" s="9">
        <f>Table3[[#This Row],[BillDate]]</f>
        <v>46025</v>
      </c>
      <c r="E470" s="9">
        <f>Table3[[#This Row],[DueDate]]</f>
        <v>46055</v>
      </c>
      <c r="F470" s="3">
        <f>Table3[[#This Row],[BillAmount]]</f>
        <v>5611.83</v>
      </c>
      <c r="G470" s="3">
        <f>SUMIF(Vendor_Payments!C:C,A470,Vendor_Payments!E:E)</f>
        <v>5611.83</v>
      </c>
      <c r="H470" s="3">
        <f t="shared" si="21"/>
        <v>0</v>
      </c>
      <c r="I470">
        <f t="shared" si="22"/>
        <v>36</v>
      </c>
      <c r="J470" t="str">
        <f t="shared" si="23"/>
        <v>31-60</v>
      </c>
    </row>
    <row r="471" spans="1:10" x14ac:dyDescent="0.3">
      <c r="A471" t="str">
        <f>Table3[[#This Row],[BillID]]</f>
        <v>BILL-00470</v>
      </c>
      <c r="B471" t="str">
        <f>Table3[[#This Row],[VendorID]]</f>
        <v>VEN-029</v>
      </c>
      <c r="C471" t="str">
        <f>VLOOKUP(B471,Vendors!A:B,2,FALSE)</f>
        <v>BrightSEO Agency</v>
      </c>
      <c r="D471" s="9">
        <f>Table3[[#This Row],[BillDate]]</f>
        <v>45985</v>
      </c>
      <c r="E471" s="9">
        <f>Table3[[#This Row],[DueDate]]</f>
        <v>46015</v>
      </c>
      <c r="F471" s="3">
        <f>Table3[[#This Row],[BillAmount]]</f>
        <v>3950.13</v>
      </c>
      <c r="G471" s="3">
        <f>SUMIF(Vendor_Payments!C:C,A471,Vendor_Payments!E:E)</f>
        <v>3950.13</v>
      </c>
      <c r="H471" s="3">
        <f t="shared" si="21"/>
        <v>0</v>
      </c>
      <c r="I471">
        <f t="shared" si="22"/>
        <v>76</v>
      </c>
      <c r="J471" t="str">
        <f t="shared" si="23"/>
        <v>61-90</v>
      </c>
    </row>
    <row r="472" spans="1:10" x14ac:dyDescent="0.3">
      <c r="A472" t="str">
        <f>Table3[[#This Row],[BillID]]</f>
        <v>BILL-00471</v>
      </c>
      <c r="B472" t="str">
        <f>Table3[[#This Row],[VendorID]]</f>
        <v>VEN-033</v>
      </c>
      <c r="C472" t="str">
        <f>VLOOKUP(B472,Vendors!A:B,2,FALSE)</f>
        <v>AdScale Solutions</v>
      </c>
      <c r="D472" s="9">
        <f>Table3[[#This Row],[BillDate]]</f>
        <v>45999</v>
      </c>
      <c r="E472" s="9">
        <f>Table3[[#This Row],[DueDate]]</f>
        <v>46029</v>
      </c>
      <c r="F472" s="3">
        <f>Table3[[#This Row],[BillAmount]]</f>
        <v>5511.55</v>
      </c>
      <c r="G472" s="3">
        <f>SUMIF(Vendor_Payments!C:C,A472,Vendor_Payments!E:E)</f>
        <v>5511.55</v>
      </c>
      <c r="H472" s="3">
        <f t="shared" si="21"/>
        <v>0</v>
      </c>
      <c r="I472">
        <f t="shared" si="22"/>
        <v>62</v>
      </c>
      <c r="J472" t="str">
        <f t="shared" si="23"/>
        <v>61-90</v>
      </c>
    </row>
    <row r="473" spans="1:10" x14ac:dyDescent="0.3">
      <c r="A473" t="str">
        <f>Table3[[#This Row],[BillID]]</f>
        <v>BILL-00472</v>
      </c>
      <c r="B473" t="str">
        <f>Table3[[#This Row],[VendorID]]</f>
        <v>VEN-025</v>
      </c>
      <c r="C473" t="str">
        <f>VLOOKUP(B473,Vendors!A:B,2,FALSE)</f>
        <v>Digital Growth Consultants</v>
      </c>
      <c r="D473" s="9">
        <f>Table3[[#This Row],[BillDate]]</f>
        <v>46067</v>
      </c>
      <c r="E473" s="9">
        <f>Table3[[#This Row],[DueDate]]</f>
        <v>46097</v>
      </c>
      <c r="F473" s="3">
        <f>Table3[[#This Row],[BillAmount]]</f>
        <v>3718.51</v>
      </c>
      <c r="G473" s="3">
        <f>SUMIF(Vendor_Payments!C:C,A473,Vendor_Payments!E:E)</f>
        <v>3718.51</v>
      </c>
      <c r="H473" s="3">
        <f t="shared" si="21"/>
        <v>0</v>
      </c>
      <c r="I473">
        <f t="shared" si="22"/>
        <v>-6</v>
      </c>
      <c r="J473" t="str">
        <f t="shared" si="23"/>
        <v>Current</v>
      </c>
    </row>
    <row r="474" spans="1:10" x14ac:dyDescent="0.3">
      <c r="A474" t="str">
        <f>Table3[[#This Row],[BillID]]</f>
        <v>BILL-00473</v>
      </c>
      <c r="B474" t="str">
        <f>Table3[[#This Row],[VendorID]]</f>
        <v>VEN-020</v>
      </c>
      <c r="C474" t="str">
        <f>VLOOKUP(B474,Vendors!A:B,2,FALSE)</f>
        <v>Slack</v>
      </c>
      <c r="D474" s="9">
        <f>Table3[[#This Row],[BillDate]]</f>
        <v>46079</v>
      </c>
      <c r="E474" s="9">
        <f>Table3[[#This Row],[DueDate]]</f>
        <v>46109</v>
      </c>
      <c r="F474" s="3">
        <f>Table3[[#This Row],[BillAmount]]</f>
        <v>5014.37</v>
      </c>
      <c r="G474" s="3">
        <f>SUMIF(Vendor_Payments!C:C,A474,Vendor_Payments!E:E)</f>
        <v>5014.37</v>
      </c>
      <c r="H474" s="3">
        <f t="shared" si="21"/>
        <v>0</v>
      </c>
      <c r="I474">
        <f t="shared" si="22"/>
        <v>-18</v>
      </c>
      <c r="J474" t="str">
        <f t="shared" si="23"/>
        <v>Current</v>
      </c>
    </row>
    <row r="475" spans="1:10" x14ac:dyDescent="0.3">
      <c r="A475" t="str">
        <f>Table3[[#This Row],[BillID]]</f>
        <v>BILL-00474</v>
      </c>
      <c r="B475" t="str">
        <f>Table3[[#This Row],[VendorID]]</f>
        <v>VEN-040</v>
      </c>
      <c r="C475" t="str">
        <f>VLOOKUP(B475,Vendors!A:B,2,FALSE)</f>
        <v>Digital Performance Lab</v>
      </c>
      <c r="D475" s="9">
        <f>Table3[[#This Row],[BillDate]]</f>
        <v>45963</v>
      </c>
      <c r="E475" s="9">
        <f>Table3[[#This Row],[DueDate]]</f>
        <v>45993</v>
      </c>
      <c r="F475" s="3">
        <f>Table3[[#This Row],[BillAmount]]</f>
        <v>6184.44</v>
      </c>
      <c r="G475" s="3">
        <f>SUMIF(Vendor_Payments!C:C,A475,Vendor_Payments!E:E)</f>
        <v>6184.44</v>
      </c>
      <c r="H475" s="3">
        <f t="shared" si="21"/>
        <v>0</v>
      </c>
      <c r="I475">
        <f t="shared" si="22"/>
        <v>98</v>
      </c>
      <c r="J475" t="str">
        <f t="shared" si="23"/>
        <v>90+</v>
      </c>
    </row>
    <row r="476" spans="1:10" x14ac:dyDescent="0.3">
      <c r="A476" t="str">
        <f>Table3[[#This Row],[BillID]]</f>
        <v>BILL-00475</v>
      </c>
      <c r="B476" t="str">
        <f>Table3[[#This Row],[VendorID]]</f>
        <v>VEN-002</v>
      </c>
      <c r="C476" t="str">
        <f>VLOOKUP(B476,Vendors!A:B,2,FALSE)</f>
        <v>Meta Ads</v>
      </c>
      <c r="D476" s="9">
        <f>Table3[[#This Row],[BillDate]]</f>
        <v>46036</v>
      </c>
      <c r="E476" s="9">
        <f>Table3[[#This Row],[DueDate]]</f>
        <v>46066</v>
      </c>
      <c r="F476" s="3">
        <f>Table3[[#This Row],[BillAmount]]</f>
        <v>5399.72</v>
      </c>
      <c r="G476" s="3">
        <f>SUMIF(Vendor_Payments!C:C,A476,Vendor_Payments!E:E)</f>
        <v>5399.72</v>
      </c>
      <c r="H476" s="3">
        <f t="shared" si="21"/>
        <v>0</v>
      </c>
      <c r="I476">
        <f t="shared" si="22"/>
        <v>25</v>
      </c>
      <c r="J476" t="str">
        <f t="shared" si="23"/>
        <v>1-30</v>
      </c>
    </row>
    <row r="477" spans="1:10" x14ac:dyDescent="0.3">
      <c r="A477" t="str">
        <f>Table3[[#This Row],[BillID]]</f>
        <v>BILL-00476</v>
      </c>
      <c r="B477" t="str">
        <f>Table3[[#This Row],[VendorID]]</f>
        <v>VEN-002</v>
      </c>
      <c r="C477" t="str">
        <f>VLOOKUP(B477,Vendors!A:B,2,FALSE)</f>
        <v>Meta Ads</v>
      </c>
      <c r="D477" s="9">
        <f>Table3[[#This Row],[BillDate]]</f>
        <v>46075</v>
      </c>
      <c r="E477" s="9">
        <f>Table3[[#This Row],[DueDate]]</f>
        <v>46105</v>
      </c>
      <c r="F477" s="3">
        <f>Table3[[#This Row],[BillAmount]]</f>
        <v>6031.82</v>
      </c>
      <c r="G477" s="3">
        <f>SUMIF(Vendor_Payments!C:C,A477,Vendor_Payments!E:E)</f>
        <v>6031.82</v>
      </c>
      <c r="H477" s="3">
        <f t="shared" si="21"/>
        <v>0</v>
      </c>
      <c r="I477">
        <f t="shared" si="22"/>
        <v>-14</v>
      </c>
      <c r="J477" t="str">
        <f t="shared" si="23"/>
        <v>Current</v>
      </c>
    </row>
    <row r="478" spans="1:10" x14ac:dyDescent="0.3">
      <c r="A478" t="str">
        <f>Table3[[#This Row],[BillID]]</f>
        <v>BILL-00477</v>
      </c>
      <c r="B478" t="str">
        <f>Table3[[#This Row],[VendorID]]</f>
        <v>VEN-009</v>
      </c>
      <c r="C478" t="str">
        <f>VLOOKUP(B478,Vendors!A:B,2,FALSE)</f>
        <v>SEMrush</v>
      </c>
      <c r="D478" s="9">
        <f>Table3[[#This Row],[BillDate]]</f>
        <v>45967</v>
      </c>
      <c r="E478" s="9">
        <f>Table3[[#This Row],[DueDate]]</f>
        <v>45997</v>
      </c>
      <c r="F478" s="3">
        <f>Table3[[#This Row],[BillAmount]]</f>
        <v>5936.3</v>
      </c>
      <c r="G478" s="3">
        <f>SUMIF(Vendor_Payments!C:C,A478,Vendor_Payments!E:E)</f>
        <v>5936.3</v>
      </c>
      <c r="H478" s="3">
        <f t="shared" si="21"/>
        <v>0</v>
      </c>
      <c r="I478">
        <f t="shared" si="22"/>
        <v>94</v>
      </c>
      <c r="J478" t="str">
        <f t="shared" si="23"/>
        <v>90+</v>
      </c>
    </row>
    <row r="479" spans="1:10" x14ac:dyDescent="0.3">
      <c r="A479" t="str">
        <f>Table3[[#This Row],[BillID]]</f>
        <v>BILL-00478</v>
      </c>
      <c r="B479" t="str">
        <f>Table3[[#This Row],[VendorID]]</f>
        <v>VEN-036</v>
      </c>
      <c r="C479" t="str">
        <f>VLOOKUP(B479,Vendors!A:B,2,FALSE)</f>
        <v>WebDev Masters</v>
      </c>
      <c r="D479" s="9">
        <f>Table3[[#This Row],[BillDate]]</f>
        <v>45997</v>
      </c>
      <c r="E479" s="9">
        <f>Table3[[#This Row],[DueDate]]</f>
        <v>46027</v>
      </c>
      <c r="F479" s="3">
        <f>Table3[[#This Row],[BillAmount]]</f>
        <v>3420.04</v>
      </c>
      <c r="G479" s="3">
        <f>SUMIF(Vendor_Payments!C:C,A479,Vendor_Payments!E:E)</f>
        <v>0</v>
      </c>
      <c r="H479" s="3">
        <f t="shared" si="21"/>
        <v>3420.04</v>
      </c>
      <c r="I479">
        <f t="shared" si="22"/>
        <v>64</v>
      </c>
      <c r="J479" t="str">
        <f t="shared" si="23"/>
        <v>61-90</v>
      </c>
    </row>
    <row r="480" spans="1:10" x14ac:dyDescent="0.3">
      <c r="A480" t="str">
        <f>Table3[[#This Row],[BillID]]</f>
        <v>BILL-00479</v>
      </c>
      <c r="B480" t="str">
        <f>Table3[[#This Row],[VendorID]]</f>
        <v>VEN-026</v>
      </c>
      <c r="C480" t="str">
        <f>VLOOKUP(B480,Vendors!A:B,2,FALSE)</f>
        <v>PixelForge Studio</v>
      </c>
      <c r="D480" s="9">
        <f>Table3[[#This Row],[BillDate]]</f>
        <v>45983</v>
      </c>
      <c r="E480" s="9">
        <f>Table3[[#This Row],[DueDate]]</f>
        <v>46013</v>
      </c>
      <c r="F480" s="3">
        <f>Table3[[#This Row],[BillAmount]]</f>
        <v>5033.32</v>
      </c>
      <c r="G480" s="3">
        <f>SUMIF(Vendor_Payments!C:C,A480,Vendor_Payments!E:E)</f>
        <v>5033.32</v>
      </c>
      <c r="H480" s="3">
        <f t="shared" si="21"/>
        <v>0</v>
      </c>
      <c r="I480">
        <f t="shared" si="22"/>
        <v>78</v>
      </c>
      <c r="J480" t="str">
        <f t="shared" si="23"/>
        <v>61-90</v>
      </c>
    </row>
    <row r="481" spans="1:10" x14ac:dyDescent="0.3">
      <c r="A481" t="str">
        <f>Table3[[#This Row],[BillID]]</f>
        <v>BILL-00480</v>
      </c>
      <c r="B481" t="str">
        <f>Table3[[#This Row],[VendorID]]</f>
        <v>VEN-014</v>
      </c>
      <c r="C481" t="str">
        <f>VLOOKUP(B481,Vendors!A:B,2,FALSE)</f>
        <v>Figma</v>
      </c>
      <c r="D481" s="9">
        <f>Table3[[#This Row],[BillDate]]</f>
        <v>46032</v>
      </c>
      <c r="E481" s="9">
        <f>Table3[[#This Row],[DueDate]]</f>
        <v>46062</v>
      </c>
      <c r="F481" s="3">
        <f>Table3[[#This Row],[BillAmount]]</f>
        <v>1958.28</v>
      </c>
      <c r="G481" s="3">
        <f>SUMIF(Vendor_Payments!C:C,A481,Vendor_Payments!E:E)</f>
        <v>1958.28</v>
      </c>
      <c r="H481" s="3">
        <f t="shared" si="21"/>
        <v>0</v>
      </c>
      <c r="I481">
        <f t="shared" si="22"/>
        <v>29</v>
      </c>
      <c r="J481" t="str">
        <f t="shared" si="23"/>
        <v>1-30</v>
      </c>
    </row>
    <row r="482" spans="1:10" x14ac:dyDescent="0.3">
      <c r="A482" t="str">
        <f>Table3[[#This Row],[BillID]]</f>
        <v>BILL-00481</v>
      </c>
      <c r="B482" t="str">
        <f>Table3[[#This Row],[VendorID]]</f>
        <v>VEN-011</v>
      </c>
      <c r="C482" t="str">
        <f>VLOOKUP(B482,Vendors!A:B,2,FALSE)</f>
        <v>AWS</v>
      </c>
      <c r="D482" s="9">
        <f>Table3[[#This Row],[BillDate]]</f>
        <v>46062</v>
      </c>
      <c r="E482" s="9">
        <f>Table3[[#This Row],[DueDate]]</f>
        <v>46092</v>
      </c>
      <c r="F482" s="3">
        <f>Table3[[#This Row],[BillAmount]]</f>
        <v>4382.8599999999997</v>
      </c>
      <c r="G482" s="3">
        <f>SUMIF(Vendor_Payments!C:C,A482,Vendor_Payments!E:E)</f>
        <v>0</v>
      </c>
      <c r="H482" s="3">
        <f t="shared" si="21"/>
        <v>4382.8599999999997</v>
      </c>
      <c r="I482">
        <f t="shared" si="22"/>
        <v>-1</v>
      </c>
      <c r="J482" t="str">
        <f t="shared" si="23"/>
        <v>Current</v>
      </c>
    </row>
    <row r="483" spans="1:10" x14ac:dyDescent="0.3">
      <c r="A483" t="str">
        <f>Table3[[#This Row],[BillID]]</f>
        <v>BILL-00482</v>
      </c>
      <c r="B483" t="str">
        <f>Table3[[#This Row],[VendorID]]</f>
        <v>VEN-031</v>
      </c>
      <c r="C483" t="str">
        <f>VLOOKUP(B483,Vendors!A:B,2,FALSE)</f>
        <v>DataInsight Analytics</v>
      </c>
      <c r="D483" s="9">
        <f>Table3[[#This Row],[BillDate]]</f>
        <v>46023</v>
      </c>
      <c r="E483" s="9">
        <f>Table3[[#This Row],[DueDate]]</f>
        <v>46053</v>
      </c>
      <c r="F483" s="3">
        <f>Table3[[#This Row],[BillAmount]]</f>
        <v>1988.28</v>
      </c>
      <c r="G483" s="3">
        <f>SUMIF(Vendor_Payments!C:C,A483,Vendor_Payments!E:E)</f>
        <v>0</v>
      </c>
      <c r="H483" s="3">
        <f t="shared" si="21"/>
        <v>1988.28</v>
      </c>
      <c r="I483">
        <f t="shared" si="22"/>
        <v>38</v>
      </c>
      <c r="J483" t="str">
        <f t="shared" si="23"/>
        <v>31-60</v>
      </c>
    </row>
    <row r="484" spans="1:10" x14ac:dyDescent="0.3">
      <c r="A484" t="str">
        <f>Table3[[#This Row],[BillID]]</f>
        <v>BILL-00483</v>
      </c>
      <c r="B484" t="str">
        <f>Table3[[#This Row],[VendorID]]</f>
        <v>VEN-033</v>
      </c>
      <c r="C484" t="str">
        <f>VLOOKUP(B484,Vendors!A:B,2,FALSE)</f>
        <v>AdScale Solutions</v>
      </c>
      <c r="D484" s="9">
        <f>Table3[[#This Row],[BillDate]]</f>
        <v>45965</v>
      </c>
      <c r="E484" s="9">
        <f>Table3[[#This Row],[DueDate]]</f>
        <v>45995</v>
      </c>
      <c r="F484" s="3">
        <f>Table3[[#This Row],[BillAmount]]</f>
        <v>6003.69</v>
      </c>
      <c r="G484" s="3">
        <f>SUMIF(Vendor_Payments!C:C,A484,Vendor_Payments!E:E)</f>
        <v>6003.69</v>
      </c>
      <c r="H484" s="3">
        <f t="shared" si="21"/>
        <v>0</v>
      </c>
      <c r="I484">
        <f t="shared" si="22"/>
        <v>96</v>
      </c>
      <c r="J484" t="str">
        <f t="shared" si="23"/>
        <v>90+</v>
      </c>
    </row>
    <row r="485" spans="1:10" x14ac:dyDescent="0.3">
      <c r="A485" t="str">
        <f>Table3[[#This Row],[BillID]]</f>
        <v>BILL-00484</v>
      </c>
      <c r="B485" t="str">
        <f>Table3[[#This Row],[VendorID]]</f>
        <v>VEN-011</v>
      </c>
      <c r="C485" t="str">
        <f>VLOOKUP(B485,Vendors!A:B,2,FALSE)</f>
        <v>AWS</v>
      </c>
      <c r="D485" s="9">
        <f>Table3[[#This Row],[BillDate]]</f>
        <v>46060</v>
      </c>
      <c r="E485" s="9">
        <f>Table3[[#This Row],[DueDate]]</f>
        <v>46090</v>
      </c>
      <c r="F485" s="3">
        <f>Table3[[#This Row],[BillAmount]]</f>
        <v>3841.34</v>
      </c>
      <c r="G485" s="3">
        <f>SUMIF(Vendor_Payments!C:C,A485,Vendor_Payments!E:E)</f>
        <v>3841.34</v>
      </c>
      <c r="H485" s="3">
        <f t="shared" si="21"/>
        <v>0</v>
      </c>
      <c r="I485">
        <f t="shared" si="22"/>
        <v>1</v>
      </c>
      <c r="J485" t="str">
        <f t="shared" si="23"/>
        <v>1-30</v>
      </c>
    </row>
    <row r="486" spans="1:10" x14ac:dyDescent="0.3">
      <c r="A486" t="str">
        <f>Table3[[#This Row],[BillID]]</f>
        <v>BILL-00485</v>
      </c>
      <c r="B486" t="str">
        <f>Table3[[#This Row],[VendorID]]</f>
        <v>VEN-021</v>
      </c>
      <c r="C486" t="str">
        <f>VLOOKUP(B486,Vendors!A:B,2,FALSE)</f>
        <v>Upwork Freelancers</v>
      </c>
      <c r="D486" s="9">
        <f>Table3[[#This Row],[BillDate]]</f>
        <v>46001</v>
      </c>
      <c r="E486" s="9">
        <f>Table3[[#This Row],[DueDate]]</f>
        <v>46031</v>
      </c>
      <c r="F486" s="3">
        <f>Table3[[#This Row],[BillAmount]]</f>
        <v>6787.81</v>
      </c>
      <c r="G486" s="3">
        <f>SUMIF(Vendor_Payments!C:C,A486,Vendor_Payments!E:E)</f>
        <v>0</v>
      </c>
      <c r="H486" s="3">
        <f t="shared" si="21"/>
        <v>6787.81</v>
      </c>
      <c r="I486">
        <f t="shared" si="22"/>
        <v>60</v>
      </c>
      <c r="J486" t="str">
        <f t="shared" si="23"/>
        <v>31-60</v>
      </c>
    </row>
    <row r="487" spans="1:10" x14ac:dyDescent="0.3">
      <c r="A487" t="str">
        <f>Table3[[#This Row],[BillID]]</f>
        <v>BILL-00486</v>
      </c>
      <c r="B487" t="str">
        <f>Table3[[#This Row],[VendorID]]</f>
        <v>VEN-030</v>
      </c>
      <c r="C487" t="str">
        <f>VLOOKUP(B487,Vendors!A:B,2,FALSE)</f>
        <v>ContentCraft Studio</v>
      </c>
      <c r="D487" s="9">
        <f>Table3[[#This Row],[BillDate]]</f>
        <v>45974</v>
      </c>
      <c r="E487" s="9">
        <f>Table3[[#This Row],[DueDate]]</f>
        <v>46004</v>
      </c>
      <c r="F487" s="3">
        <f>Table3[[#This Row],[BillAmount]]</f>
        <v>1360.71</v>
      </c>
      <c r="G487" s="3">
        <f>SUMIF(Vendor_Payments!C:C,A487,Vendor_Payments!E:E)</f>
        <v>0</v>
      </c>
      <c r="H487" s="3">
        <f t="shared" si="21"/>
        <v>1360.71</v>
      </c>
      <c r="I487">
        <f t="shared" si="22"/>
        <v>87</v>
      </c>
      <c r="J487" t="str">
        <f t="shared" si="23"/>
        <v>61-90</v>
      </c>
    </row>
    <row r="488" spans="1:10" x14ac:dyDescent="0.3">
      <c r="A488" t="str">
        <f>Table3[[#This Row],[BillID]]</f>
        <v>BILL-00487</v>
      </c>
      <c r="B488" t="str">
        <f>Table3[[#This Row],[VendorID]]</f>
        <v>VEN-028</v>
      </c>
      <c r="C488" t="str">
        <f>VLOOKUP(B488,Vendors!A:B,2,FALSE)</f>
        <v>MarketEdge Consulting</v>
      </c>
      <c r="D488" s="9">
        <f>Table3[[#This Row],[BillDate]]</f>
        <v>45975</v>
      </c>
      <c r="E488" s="9">
        <f>Table3[[#This Row],[DueDate]]</f>
        <v>46005</v>
      </c>
      <c r="F488" s="3">
        <f>Table3[[#This Row],[BillAmount]]</f>
        <v>5898.62</v>
      </c>
      <c r="G488" s="3">
        <f>SUMIF(Vendor_Payments!C:C,A488,Vendor_Payments!E:E)</f>
        <v>5898.62</v>
      </c>
      <c r="H488" s="3">
        <f t="shared" si="21"/>
        <v>0</v>
      </c>
      <c r="I488">
        <f t="shared" si="22"/>
        <v>86</v>
      </c>
      <c r="J488" t="str">
        <f t="shared" si="23"/>
        <v>61-90</v>
      </c>
    </row>
    <row r="489" spans="1:10" x14ac:dyDescent="0.3">
      <c r="A489" t="str">
        <f>Table3[[#This Row],[BillID]]</f>
        <v>BILL-00488</v>
      </c>
      <c r="B489" t="str">
        <f>Table3[[#This Row],[VendorID]]</f>
        <v>VEN-026</v>
      </c>
      <c r="C489" t="str">
        <f>VLOOKUP(B489,Vendors!A:B,2,FALSE)</f>
        <v>PixelForge Studio</v>
      </c>
      <c r="D489" s="9">
        <f>Table3[[#This Row],[BillDate]]</f>
        <v>46070</v>
      </c>
      <c r="E489" s="9">
        <f>Table3[[#This Row],[DueDate]]</f>
        <v>46100</v>
      </c>
      <c r="F489" s="3">
        <f>Table3[[#This Row],[BillAmount]]</f>
        <v>4441.34</v>
      </c>
      <c r="G489" s="3">
        <f>SUMIF(Vendor_Payments!C:C,A489,Vendor_Payments!E:E)</f>
        <v>4441.34</v>
      </c>
      <c r="H489" s="3">
        <f t="shared" si="21"/>
        <v>0</v>
      </c>
      <c r="I489">
        <f t="shared" si="22"/>
        <v>-9</v>
      </c>
      <c r="J489" t="str">
        <f t="shared" si="23"/>
        <v>Current</v>
      </c>
    </row>
    <row r="490" spans="1:10" x14ac:dyDescent="0.3">
      <c r="A490" t="str">
        <f>Table3[[#This Row],[BillID]]</f>
        <v>BILL-00489</v>
      </c>
      <c r="B490" t="str">
        <f>Table3[[#This Row],[VendorID]]</f>
        <v>VEN-038</v>
      </c>
      <c r="C490" t="str">
        <f>VLOOKUP(B490,Vendors!A:B,2,FALSE)</f>
        <v>Insight Marketing Partners</v>
      </c>
      <c r="D490" s="9">
        <f>Table3[[#This Row],[BillDate]]</f>
        <v>45975</v>
      </c>
      <c r="E490" s="9">
        <f>Table3[[#This Row],[DueDate]]</f>
        <v>46005</v>
      </c>
      <c r="F490" s="3">
        <f>Table3[[#This Row],[BillAmount]]</f>
        <v>4120.49</v>
      </c>
      <c r="G490" s="3">
        <f>SUMIF(Vendor_Payments!C:C,A490,Vendor_Payments!E:E)</f>
        <v>0</v>
      </c>
      <c r="H490" s="3">
        <f t="shared" si="21"/>
        <v>4120.49</v>
      </c>
      <c r="I490">
        <f t="shared" si="22"/>
        <v>86</v>
      </c>
      <c r="J490" t="str">
        <f t="shared" si="23"/>
        <v>61-90</v>
      </c>
    </row>
    <row r="491" spans="1:10" x14ac:dyDescent="0.3">
      <c r="A491" t="str">
        <f>Table3[[#This Row],[BillID]]</f>
        <v>BILL-00490</v>
      </c>
      <c r="B491" t="str">
        <f>Table3[[#This Row],[VendorID]]</f>
        <v>VEN-016</v>
      </c>
      <c r="C491" t="str">
        <f>VLOOKUP(B491,Vendors!A:B,2,FALSE)</f>
        <v>Stripe</v>
      </c>
      <c r="D491" s="9">
        <f>Table3[[#This Row],[BillDate]]</f>
        <v>46051</v>
      </c>
      <c r="E491" s="9">
        <f>Table3[[#This Row],[DueDate]]</f>
        <v>46081</v>
      </c>
      <c r="F491" s="3">
        <f>Table3[[#This Row],[BillAmount]]</f>
        <v>6737.38</v>
      </c>
      <c r="G491" s="3">
        <f>SUMIF(Vendor_Payments!C:C,A491,Vendor_Payments!E:E)</f>
        <v>6737.38</v>
      </c>
      <c r="H491" s="3">
        <f t="shared" si="21"/>
        <v>0</v>
      </c>
      <c r="I491">
        <f t="shared" si="22"/>
        <v>10</v>
      </c>
      <c r="J491" t="str">
        <f t="shared" si="23"/>
        <v>1-30</v>
      </c>
    </row>
    <row r="492" spans="1:10" x14ac:dyDescent="0.3">
      <c r="A492" t="str">
        <f>Table3[[#This Row],[BillID]]</f>
        <v>BILL-00491</v>
      </c>
      <c r="B492" t="str">
        <f>Table3[[#This Row],[VendorID]]</f>
        <v>VEN-002</v>
      </c>
      <c r="C492" t="str">
        <f>VLOOKUP(B492,Vendors!A:B,2,FALSE)</f>
        <v>Meta Ads</v>
      </c>
      <c r="D492" s="9">
        <f>Table3[[#This Row],[BillDate]]</f>
        <v>46025</v>
      </c>
      <c r="E492" s="9">
        <f>Table3[[#This Row],[DueDate]]</f>
        <v>46055</v>
      </c>
      <c r="F492" s="3">
        <f>Table3[[#This Row],[BillAmount]]</f>
        <v>1500.32</v>
      </c>
      <c r="G492" s="3">
        <f>SUMIF(Vendor_Payments!C:C,A492,Vendor_Payments!E:E)</f>
        <v>1500.32</v>
      </c>
      <c r="H492" s="3">
        <f t="shared" si="21"/>
        <v>0</v>
      </c>
      <c r="I492">
        <f t="shared" si="22"/>
        <v>36</v>
      </c>
      <c r="J492" t="str">
        <f t="shared" si="23"/>
        <v>31-60</v>
      </c>
    </row>
    <row r="493" spans="1:10" x14ac:dyDescent="0.3">
      <c r="A493" t="str">
        <f>Table3[[#This Row],[BillID]]</f>
        <v>BILL-00492</v>
      </c>
      <c r="B493" t="str">
        <f>Table3[[#This Row],[VendorID]]</f>
        <v>VEN-027</v>
      </c>
      <c r="C493" t="str">
        <f>VLOOKUP(B493,Vendors!A:B,2,FALSE)</f>
        <v>DevCraft Agency</v>
      </c>
      <c r="D493" s="9">
        <f>Table3[[#This Row],[BillDate]]</f>
        <v>46008</v>
      </c>
      <c r="E493" s="9">
        <f>Table3[[#This Row],[DueDate]]</f>
        <v>46038</v>
      </c>
      <c r="F493" s="3">
        <f>Table3[[#This Row],[BillAmount]]</f>
        <v>3587.78</v>
      </c>
      <c r="G493" s="3">
        <f>SUMIF(Vendor_Payments!C:C,A493,Vendor_Payments!E:E)</f>
        <v>0</v>
      </c>
      <c r="H493" s="3">
        <f t="shared" si="21"/>
        <v>3587.78</v>
      </c>
      <c r="I493">
        <f t="shared" si="22"/>
        <v>53</v>
      </c>
      <c r="J493" t="str">
        <f t="shared" si="23"/>
        <v>31-60</v>
      </c>
    </row>
    <row r="494" spans="1:10" x14ac:dyDescent="0.3">
      <c r="A494" t="str">
        <f>Table3[[#This Row],[BillID]]</f>
        <v>BILL-00493</v>
      </c>
      <c r="B494" t="str">
        <f>Table3[[#This Row],[VendorID]]</f>
        <v>VEN-005</v>
      </c>
      <c r="C494" t="str">
        <f>VLOOKUP(B494,Vendors!A:B,2,FALSE)</f>
        <v>HubSpot</v>
      </c>
      <c r="D494" s="9">
        <f>Table3[[#This Row],[BillDate]]</f>
        <v>46029</v>
      </c>
      <c r="E494" s="9">
        <f>Table3[[#This Row],[DueDate]]</f>
        <v>46059</v>
      </c>
      <c r="F494" s="3">
        <f>Table3[[#This Row],[BillAmount]]</f>
        <v>4624.97</v>
      </c>
      <c r="G494" s="3">
        <f>SUMIF(Vendor_Payments!C:C,A494,Vendor_Payments!E:E)</f>
        <v>0</v>
      </c>
      <c r="H494" s="3">
        <f t="shared" si="21"/>
        <v>4624.97</v>
      </c>
      <c r="I494">
        <f t="shared" si="22"/>
        <v>32</v>
      </c>
      <c r="J494" t="str">
        <f t="shared" si="23"/>
        <v>31-60</v>
      </c>
    </row>
    <row r="495" spans="1:10" x14ac:dyDescent="0.3">
      <c r="A495" t="str">
        <f>Table3[[#This Row],[BillID]]</f>
        <v>BILL-00494</v>
      </c>
      <c r="B495" t="str">
        <f>Table3[[#This Row],[VendorID]]</f>
        <v>VEN-001</v>
      </c>
      <c r="C495" t="str">
        <f>VLOOKUP(B495,Vendors!A:B,2,FALSE)</f>
        <v>Google Ads</v>
      </c>
      <c r="D495" s="9">
        <f>Table3[[#This Row],[BillDate]]</f>
        <v>46047</v>
      </c>
      <c r="E495" s="9">
        <f>Table3[[#This Row],[DueDate]]</f>
        <v>46077</v>
      </c>
      <c r="F495" s="3">
        <f>Table3[[#This Row],[BillAmount]]</f>
        <v>3080.76</v>
      </c>
      <c r="G495" s="3">
        <f>SUMIF(Vendor_Payments!C:C,A495,Vendor_Payments!E:E)</f>
        <v>0</v>
      </c>
      <c r="H495" s="3">
        <f t="shared" si="21"/>
        <v>3080.76</v>
      </c>
      <c r="I495">
        <f t="shared" si="22"/>
        <v>14</v>
      </c>
      <c r="J495" t="str">
        <f t="shared" si="23"/>
        <v>1-30</v>
      </c>
    </row>
    <row r="496" spans="1:10" x14ac:dyDescent="0.3">
      <c r="A496" t="str">
        <f>Table3[[#This Row],[BillID]]</f>
        <v>BILL-00495</v>
      </c>
      <c r="B496" t="str">
        <f>Table3[[#This Row],[VendorID]]</f>
        <v>VEN-018</v>
      </c>
      <c r="C496" t="str">
        <f>VLOOKUP(B496,Vendors!A:B,2,FALSE)</f>
        <v>Cloudflare</v>
      </c>
      <c r="D496" s="9">
        <f>Table3[[#This Row],[BillDate]]</f>
        <v>45995</v>
      </c>
      <c r="E496" s="9">
        <f>Table3[[#This Row],[DueDate]]</f>
        <v>46025</v>
      </c>
      <c r="F496" s="3">
        <f>Table3[[#This Row],[BillAmount]]</f>
        <v>2238.4</v>
      </c>
      <c r="G496" s="3">
        <f>SUMIF(Vendor_Payments!C:C,A496,Vendor_Payments!E:E)</f>
        <v>0</v>
      </c>
      <c r="H496" s="3">
        <f t="shared" si="21"/>
        <v>2238.4</v>
      </c>
      <c r="I496">
        <f t="shared" si="22"/>
        <v>66</v>
      </c>
      <c r="J496" t="str">
        <f t="shared" si="23"/>
        <v>61-90</v>
      </c>
    </row>
    <row r="497" spans="1:10" x14ac:dyDescent="0.3">
      <c r="A497" t="str">
        <f>Table3[[#This Row],[BillID]]</f>
        <v>BILL-00496</v>
      </c>
      <c r="B497" t="str">
        <f>Table3[[#This Row],[VendorID]]</f>
        <v>VEN-016</v>
      </c>
      <c r="C497" t="str">
        <f>VLOOKUP(B497,Vendors!A:B,2,FALSE)</f>
        <v>Stripe</v>
      </c>
      <c r="D497" s="9">
        <f>Table3[[#This Row],[BillDate]]</f>
        <v>46046</v>
      </c>
      <c r="E497" s="9">
        <f>Table3[[#This Row],[DueDate]]</f>
        <v>46076</v>
      </c>
      <c r="F497" s="3">
        <f>Table3[[#This Row],[BillAmount]]</f>
        <v>5832.68</v>
      </c>
      <c r="G497" s="3">
        <f>SUMIF(Vendor_Payments!C:C,A497,Vendor_Payments!E:E)</f>
        <v>5832.68</v>
      </c>
      <c r="H497" s="3">
        <f t="shared" si="21"/>
        <v>0</v>
      </c>
      <c r="I497">
        <f t="shared" si="22"/>
        <v>15</v>
      </c>
      <c r="J497" t="str">
        <f t="shared" si="23"/>
        <v>1-30</v>
      </c>
    </row>
    <row r="498" spans="1:10" x14ac:dyDescent="0.3">
      <c r="A498" t="str">
        <f>Table3[[#This Row],[BillID]]</f>
        <v>BILL-00497</v>
      </c>
      <c r="B498" t="str">
        <f>Table3[[#This Row],[VendorID]]</f>
        <v>VEN-005</v>
      </c>
      <c r="C498" t="str">
        <f>VLOOKUP(B498,Vendors!A:B,2,FALSE)</f>
        <v>HubSpot</v>
      </c>
      <c r="D498" s="9">
        <f>Table3[[#This Row],[BillDate]]</f>
        <v>45988</v>
      </c>
      <c r="E498" s="9">
        <f>Table3[[#This Row],[DueDate]]</f>
        <v>46018</v>
      </c>
      <c r="F498" s="3">
        <f>Table3[[#This Row],[BillAmount]]</f>
        <v>3688.63</v>
      </c>
      <c r="G498" s="3">
        <f>SUMIF(Vendor_Payments!C:C,A498,Vendor_Payments!E:E)</f>
        <v>3688.63</v>
      </c>
      <c r="H498" s="3">
        <f t="shared" si="21"/>
        <v>0</v>
      </c>
      <c r="I498">
        <f t="shared" si="22"/>
        <v>73</v>
      </c>
      <c r="J498" t="str">
        <f t="shared" si="23"/>
        <v>61-90</v>
      </c>
    </row>
    <row r="499" spans="1:10" x14ac:dyDescent="0.3">
      <c r="A499" t="str">
        <f>Table3[[#This Row],[BillID]]</f>
        <v>BILL-00498</v>
      </c>
      <c r="B499" t="str">
        <f>Table3[[#This Row],[VendorID]]</f>
        <v>VEN-033</v>
      </c>
      <c r="C499" t="str">
        <f>VLOOKUP(B499,Vendors!A:B,2,FALSE)</f>
        <v>AdScale Solutions</v>
      </c>
      <c r="D499" s="9">
        <f>Table3[[#This Row],[BillDate]]</f>
        <v>45974</v>
      </c>
      <c r="E499" s="9">
        <f>Table3[[#This Row],[DueDate]]</f>
        <v>46004</v>
      </c>
      <c r="F499" s="3">
        <f>Table3[[#This Row],[BillAmount]]</f>
        <v>6132.2</v>
      </c>
      <c r="G499" s="3">
        <f>SUMIF(Vendor_Payments!C:C,A499,Vendor_Payments!E:E)</f>
        <v>6132.2</v>
      </c>
      <c r="H499" s="3">
        <f t="shared" si="21"/>
        <v>0</v>
      </c>
      <c r="I499">
        <f t="shared" si="22"/>
        <v>87</v>
      </c>
      <c r="J499" t="str">
        <f t="shared" si="23"/>
        <v>61-90</v>
      </c>
    </row>
    <row r="500" spans="1:10" x14ac:dyDescent="0.3">
      <c r="A500" t="str">
        <f>Table3[[#This Row],[BillID]]</f>
        <v>BILL-00499</v>
      </c>
      <c r="B500" t="str">
        <f>Table3[[#This Row],[VendorID]]</f>
        <v>VEN-018</v>
      </c>
      <c r="C500" t="str">
        <f>VLOOKUP(B500,Vendors!A:B,2,FALSE)</f>
        <v>Cloudflare</v>
      </c>
      <c r="D500" s="9">
        <f>Table3[[#This Row],[BillDate]]</f>
        <v>46026</v>
      </c>
      <c r="E500" s="9">
        <f>Table3[[#This Row],[DueDate]]</f>
        <v>46056</v>
      </c>
      <c r="F500" s="3">
        <f>Table3[[#This Row],[BillAmount]]</f>
        <v>4912.6099999999997</v>
      </c>
      <c r="G500" s="3">
        <f>SUMIF(Vendor_Payments!C:C,A500,Vendor_Payments!E:E)</f>
        <v>4912.6099999999997</v>
      </c>
      <c r="H500" s="3">
        <f t="shared" si="21"/>
        <v>0</v>
      </c>
      <c r="I500">
        <f t="shared" si="22"/>
        <v>35</v>
      </c>
      <c r="J500" t="str">
        <f t="shared" si="23"/>
        <v>31-60</v>
      </c>
    </row>
    <row r="501" spans="1:10" x14ac:dyDescent="0.3">
      <c r="A501" t="str">
        <f>Table3[[#This Row],[BillID]]</f>
        <v>BILL-00500</v>
      </c>
      <c r="B501" t="str">
        <f>Table3[[#This Row],[VendorID]]</f>
        <v>VEN-034</v>
      </c>
      <c r="C501" t="str">
        <f>VLOOKUP(B501,Vendors!A:B,2,FALSE)</f>
        <v>SocialBoost Agency</v>
      </c>
      <c r="D501" s="9">
        <f>Table3[[#This Row],[BillDate]]</f>
        <v>46055</v>
      </c>
      <c r="E501" s="9">
        <f>Table3[[#This Row],[DueDate]]</f>
        <v>46085</v>
      </c>
      <c r="F501" s="3">
        <f>Table3[[#This Row],[BillAmount]]</f>
        <v>4395.37</v>
      </c>
      <c r="G501" s="3">
        <f>SUMIF(Vendor_Payments!C:C,A501,Vendor_Payments!E:E)</f>
        <v>0</v>
      </c>
      <c r="H501" s="3">
        <f t="shared" si="21"/>
        <v>4395.37</v>
      </c>
      <c r="I501">
        <f t="shared" si="22"/>
        <v>6</v>
      </c>
      <c r="J501" t="str">
        <f t="shared" si="23"/>
        <v>1-30</v>
      </c>
    </row>
    <row r="502" spans="1:10" x14ac:dyDescent="0.3">
      <c r="A502" t="str">
        <f>Table3[[#This Row],[BillID]]</f>
        <v>BILL-00501</v>
      </c>
      <c r="B502" t="str">
        <f>Table3[[#This Row],[VendorID]]</f>
        <v>VEN-025</v>
      </c>
      <c r="C502" t="str">
        <f>VLOOKUP(B502,Vendors!A:B,2,FALSE)</f>
        <v>Digital Growth Consultants</v>
      </c>
      <c r="D502" s="9">
        <f>Table3[[#This Row],[BillDate]]</f>
        <v>46017</v>
      </c>
      <c r="E502" s="9">
        <f>Table3[[#This Row],[DueDate]]</f>
        <v>46047</v>
      </c>
      <c r="F502" s="3">
        <f>Table3[[#This Row],[BillAmount]]</f>
        <v>4833.05</v>
      </c>
      <c r="G502" s="3">
        <f>SUMIF(Vendor_Payments!C:C,A502,Vendor_Payments!E:E)</f>
        <v>4833.05</v>
      </c>
      <c r="H502" s="3">
        <f t="shared" si="21"/>
        <v>0</v>
      </c>
      <c r="I502">
        <f t="shared" si="22"/>
        <v>44</v>
      </c>
      <c r="J502" t="str">
        <f t="shared" si="23"/>
        <v>31-60</v>
      </c>
    </row>
    <row r="503" spans="1:10" x14ac:dyDescent="0.3">
      <c r="A503" t="str">
        <f>Table3[[#This Row],[BillID]]</f>
        <v>BILL-00502</v>
      </c>
      <c r="B503" t="str">
        <f>Table3[[#This Row],[VendorID]]</f>
        <v>VEN-010</v>
      </c>
      <c r="C503" t="str">
        <f>VLOOKUP(B503,Vendors!A:B,2,FALSE)</f>
        <v>Adobe Creative Cloud</v>
      </c>
      <c r="D503" s="9">
        <f>Table3[[#This Row],[BillDate]]</f>
        <v>45993</v>
      </c>
      <c r="E503" s="9">
        <f>Table3[[#This Row],[DueDate]]</f>
        <v>46023</v>
      </c>
      <c r="F503" s="3">
        <f>Table3[[#This Row],[BillAmount]]</f>
        <v>6387.77</v>
      </c>
      <c r="G503" s="3">
        <f>SUMIF(Vendor_Payments!C:C,A503,Vendor_Payments!E:E)</f>
        <v>6387.77</v>
      </c>
      <c r="H503" s="3">
        <f t="shared" si="21"/>
        <v>0</v>
      </c>
      <c r="I503">
        <f t="shared" si="22"/>
        <v>68</v>
      </c>
      <c r="J503" t="str">
        <f t="shared" si="23"/>
        <v>61-90</v>
      </c>
    </row>
    <row r="504" spans="1:10" x14ac:dyDescent="0.3">
      <c r="A504" t="str">
        <f>Table3[[#This Row],[BillID]]</f>
        <v>BILL-00503</v>
      </c>
      <c r="B504" t="str">
        <f>Table3[[#This Row],[VendorID]]</f>
        <v>VEN-001</v>
      </c>
      <c r="C504" t="str">
        <f>VLOOKUP(B504,Vendors!A:B,2,FALSE)</f>
        <v>Google Ads</v>
      </c>
      <c r="D504" s="9">
        <f>Table3[[#This Row],[BillDate]]</f>
        <v>45966</v>
      </c>
      <c r="E504" s="9">
        <f>Table3[[#This Row],[DueDate]]</f>
        <v>45996</v>
      </c>
      <c r="F504" s="3">
        <f>Table3[[#This Row],[BillAmount]]</f>
        <v>2038.22</v>
      </c>
      <c r="G504" s="3">
        <f>SUMIF(Vendor_Payments!C:C,A504,Vendor_Payments!E:E)</f>
        <v>2038.22</v>
      </c>
      <c r="H504" s="3">
        <f t="shared" si="21"/>
        <v>0</v>
      </c>
      <c r="I504">
        <f t="shared" si="22"/>
        <v>95</v>
      </c>
      <c r="J504" t="str">
        <f t="shared" si="23"/>
        <v>90+</v>
      </c>
    </row>
    <row r="505" spans="1:10" x14ac:dyDescent="0.3">
      <c r="A505" t="str">
        <f>Table3[[#This Row],[BillID]]</f>
        <v>BILL-00504</v>
      </c>
      <c r="B505" t="str">
        <f>Table3[[#This Row],[VendorID]]</f>
        <v>VEN-031</v>
      </c>
      <c r="C505" t="str">
        <f>VLOOKUP(B505,Vendors!A:B,2,FALSE)</f>
        <v>DataInsight Analytics</v>
      </c>
      <c r="D505" s="9">
        <f>Table3[[#This Row],[BillDate]]</f>
        <v>46054</v>
      </c>
      <c r="E505" s="9">
        <f>Table3[[#This Row],[DueDate]]</f>
        <v>46084</v>
      </c>
      <c r="F505" s="3">
        <f>Table3[[#This Row],[BillAmount]]</f>
        <v>1137.28</v>
      </c>
      <c r="G505" s="3">
        <f>SUMIF(Vendor_Payments!C:C,A505,Vendor_Payments!E:E)</f>
        <v>1137.28</v>
      </c>
      <c r="H505" s="3">
        <f t="shared" si="21"/>
        <v>0</v>
      </c>
      <c r="I505">
        <f t="shared" si="22"/>
        <v>7</v>
      </c>
      <c r="J505" t="str">
        <f t="shared" si="23"/>
        <v>1-30</v>
      </c>
    </row>
    <row r="506" spans="1:10" x14ac:dyDescent="0.3">
      <c r="A506" t="str">
        <f>Table3[[#This Row],[BillID]]</f>
        <v>BILL-00505</v>
      </c>
      <c r="B506" t="str">
        <f>Table3[[#This Row],[VendorID]]</f>
        <v>VEN-020</v>
      </c>
      <c r="C506" t="str">
        <f>VLOOKUP(B506,Vendors!A:B,2,FALSE)</f>
        <v>Slack</v>
      </c>
      <c r="D506" s="9">
        <f>Table3[[#This Row],[BillDate]]</f>
        <v>46070</v>
      </c>
      <c r="E506" s="9">
        <f>Table3[[#This Row],[DueDate]]</f>
        <v>46100</v>
      </c>
      <c r="F506" s="3">
        <f>Table3[[#This Row],[BillAmount]]</f>
        <v>1063.69</v>
      </c>
      <c r="G506" s="3">
        <f>SUMIF(Vendor_Payments!C:C,A506,Vendor_Payments!E:E)</f>
        <v>0</v>
      </c>
      <c r="H506" s="3">
        <f t="shared" si="21"/>
        <v>1063.69</v>
      </c>
      <c r="I506">
        <f t="shared" si="22"/>
        <v>-9</v>
      </c>
      <c r="J506" t="str">
        <f t="shared" si="23"/>
        <v>Current</v>
      </c>
    </row>
    <row r="507" spans="1:10" x14ac:dyDescent="0.3">
      <c r="A507" t="str">
        <f>Table3[[#This Row],[BillID]]</f>
        <v>BILL-00506</v>
      </c>
      <c r="B507" t="str">
        <f>Table3[[#This Row],[VendorID]]</f>
        <v>VEN-033</v>
      </c>
      <c r="C507" t="str">
        <f>VLOOKUP(B507,Vendors!A:B,2,FALSE)</f>
        <v>AdScale Solutions</v>
      </c>
      <c r="D507" s="9">
        <f>Table3[[#This Row],[BillDate]]</f>
        <v>46045</v>
      </c>
      <c r="E507" s="9">
        <f>Table3[[#This Row],[DueDate]]</f>
        <v>46075</v>
      </c>
      <c r="F507" s="3">
        <f>Table3[[#This Row],[BillAmount]]</f>
        <v>4700.4399999999996</v>
      </c>
      <c r="G507" s="3">
        <f>SUMIF(Vendor_Payments!C:C,A507,Vendor_Payments!E:E)</f>
        <v>4700.4399999999996</v>
      </c>
      <c r="H507" s="3">
        <f t="shared" si="21"/>
        <v>0</v>
      </c>
      <c r="I507">
        <f t="shared" si="22"/>
        <v>16</v>
      </c>
      <c r="J507" t="str">
        <f t="shared" si="23"/>
        <v>1-30</v>
      </c>
    </row>
    <row r="508" spans="1:10" x14ac:dyDescent="0.3">
      <c r="A508" t="str">
        <f>Table3[[#This Row],[BillID]]</f>
        <v>BILL-00507</v>
      </c>
      <c r="B508" t="str">
        <f>Table3[[#This Row],[VendorID]]</f>
        <v>VEN-030</v>
      </c>
      <c r="C508" t="str">
        <f>VLOOKUP(B508,Vendors!A:B,2,FALSE)</f>
        <v>ContentCraft Studio</v>
      </c>
      <c r="D508" s="9">
        <f>Table3[[#This Row],[BillDate]]</f>
        <v>46058</v>
      </c>
      <c r="E508" s="9">
        <f>Table3[[#This Row],[DueDate]]</f>
        <v>46088</v>
      </c>
      <c r="F508" s="3">
        <f>Table3[[#This Row],[BillAmount]]</f>
        <v>1787.87</v>
      </c>
      <c r="G508" s="3">
        <f>SUMIF(Vendor_Payments!C:C,A508,Vendor_Payments!E:E)</f>
        <v>1787.87</v>
      </c>
      <c r="H508" s="3">
        <f t="shared" si="21"/>
        <v>0</v>
      </c>
      <c r="I508">
        <f t="shared" si="22"/>
        <v>3</v>
      </c>
      <c r="J508" t="str">
        <f t="shared" si="23"/>
        <v>1-30</v>
      </c>
    </row>
    <row r="509" spans="1:10" x14ac:dyDescent="0.3">
      <c r="A509" t="str">
        <f>Table3[[#This Row],[BillID]]</f>
        <v>BILL-00508</v>
      </c>
      <c r="B509" t="str">
        <f>Table3[[#This Row],[VendorID]]</f>
        <v>VEN-027</v>
      </c>
      <c r="C509" t="str">
        <f>VLOOKUP(B509,Vendors!A:B,2,FALSE)</f>
        <v>DevCraft Agency</v>
      </c>
      <c r="D509" s="9">
        <f>Table3[[#This Row],[BillDate]]</f>
        <v>46031</v>
      </c>
      <c r="E509" s="9">
        <f>Table3[[#This Row],[DueDate]]</f>
        <v>46061</v>
      </c>
      <c r="F509" s="3">
        <f>Table3[[#This Row],[BillAmount]]</f>
        <v>4211.66</v>
      </c>
      <c r="G509" s="3">
        <f>SUMIF(Vendor_Payments!C:C,A509,Vendor_Payments!E:E)</f>
        <v>4211.66</v>
      </c>
      <c r="H509" s="3">
        <f t="shared" si="21"/>
        <v>0</v>
      </c>
      <c r="I509">
        <f t="shared" si="22"/>
        <v>30</v>
      </c>
      <c r="J509" t="str">
        <f t="shared" si="23"/>
        <v>1-30</v>
      </c>
    </row>
    <row r="510" spans="1:10" x14ac:dyDescent="0.3">
      <c r="A510" t="str">
        <f>Table3[[#This Row],[BillID]]</f>
        <v>BILL-00509</v>
      </c>
      <c r="B510" t="str">
        <f>Table3[[#This Row],[VendorID]]</f>
        <v>VEN-020</v>
      </c>
      <c r="C510" t="str">
        <f>VLOOKUP(B510,Vendors!A:B,2,FALSE)</f>
        <v>Slack</v>
      </c>
      <c r="D510" s="9">
        <f>Table3[[#This Row],[BillDate]]</f>
        <v>46034</v>
      </c>
      <c r="E510" s="9">
        <f>Table3[[#This Row],[DueDate]]</f>
        <v>46064</v>
      </c>
      <c r="F510" s="3">
        <f>Table3[[#This Row],[BillAmount]]</f>
        <v>6023.17</v>
      </c>
      <c r="G510" s="3">
        <f>SUMIF(Vendor_Payments!C:C,A510,Vendor_Payments!E:E)</f>
        <v>6023.17</v>
      </c>
      <c r="H510" s="3">
        <f t="shared" si="21"/>
        <v>0</v>
      </c>
      <c r="I510">
        <f t="shared" si="22"/>
        <v>27</v>
      </c>
      <c r="J510" t="str">
        <f t="shared" si="23"/>
        <v>1-30</v>
      </c>
    </row>
    <row r="511" spans="1:10" x14ac:dyDescent="0.3">
      <c r="A511" t="str">
        <f>Table3[[#This Row],[BillID]]</f>
        <v>BILL-00510</v>
      </c>
      <c r="B511" t="str">
        <f>Table3[[#This Row],[VendorID]]</f>
        <v>VEN-002</v>
      </c>
      <c r="C511" t="str">
        <f>VLOOKUP(B511,Vendors!A:B,2,FALSE)</f>
        <v>Meta Ads</v>
      </c>
      <c r="D511" s="9">
        <f>Table3[[#This Row],[BillDate]]</f>
        <v>46007</v>
      </c>
      <c r="E511" s="9">
        <f>Table3[[#This Row],[DueDate]]</f>
        <v>46037</v>
      </c>
      <c r="F511" s="3">
        <f>Table3[[#This Row],[BillAmount]]</f>
        <v>3637.39</v>
      </c>
      <c r="G511" s="3">
        <f>SUMIF(Vendor_Payments!C:C,A511,Vendor_Payments!E:E)</f>
        <v>3637.39</v>
      </c>
      <c r="H511" s="3">
        <f t="shared" si="21"/>
        <v>0</v>
      </c>
      <c r="I511">
        <f t="shared" si="22"/>
        <v>54</v>
      </c>
      <c r="J511" t="str">
        <f t="shared" si="23"/>
        <v>31-60</v>
      </c>
    </row>
    <row r="512" spans="1:10" x14ac:dyDescent="0.3">
      <c r="A512" t="str">
        <f>Table3[[#This Row],[BillID]]</f>
        <v>BILL-00511</v>
      </c>
      <c r="B512" t="str">
        <f>Table3[[#This Row],[VendorID]]</f>
        <v>VEN-022</v>
      </c>
      <c r="C512" t="str">
        <f>VLOOKUP(B512,Vendors!A:B,2,FALSE)</f>
        <v>Toptal Talent</v>
      </c>
      <c r="D512" s="9">
        <f>Table3[[#This Row],[BillDate]]</f>
        <v>46025</v>
      </c>
      <c r="E512" s="9">
        <f>Table3[[#This Row],[DueDate]]</f>
        <v>46055</v>
      </c>
      <c r="F512" s="3">
        <f>Table3[[#This Row],[BillAmount]]</f>
        <v>6698.74</v>
      </c>
      <c r="G512" s="3">
        <f>SUMIF(Vendor_Payments!C:C,A512,Vendor_Payments!E:E)</f>
        <v>6698.74</v>
      </c>
      <c r="H512" s="3">
        <f t="shared" si="21"/>
        <v>0</v>
      </c>
      <c r="I512">
        <f t="shared" si="22"/>
        <v>36</v>
      </c>
      <c r="J512" t="str">
        <f t="shared" si="23"/>
        <v>31-60</v>
      </c>
    </row>
    <row r="513" spans="1:10" x14ac:dyDescent="0.3">
      <c r="A513" t="str">
        <f>Table3[[#This Row],[BillID]]</f>
        <v>BILL-00512</v>
      </c>
      <c r="B513" t="str">
        <f>Table3[[#This Row],[VendorID]]</f>
        <v>VEN-018</v>
      </c>
      <c r="C513" t="str">
        <f>VLOOKUP(B513,Vendors!A:B,2,FALSE)</f>
        <v>Cloudflare</v>
      </c>
      <c r="D513" s="9">
        <f>Table3[[#This Row],[BillDate]]</f>
        <v>46075</v>
      </c>
      <c r="E513" s="9">
        <f>Table3[[#This Row],[DueDate]]</f>
        <v>46105</v>
      </c>
      <c r="F513" s="3">
        <f>Table3[[#This Row],[BillAmount]]</f>
        <v>1350.67</v>
      </c>
      <c r="G513" s="3">
        <f>SUMIF(Vendor_Payments!C:C,A513,Vendor_Payments!E:E)</f>
        <v>1350.67</v>
      </c>
      <c r="H513" s="3">
        <f t="shared" si="21"/>
        <v>0</v>
      </c>
      <c r="I513">
        <f t="shared" si="22"/>
        <v>-14</v>
      </c>
      <c r="J513" t="str">
        <f t="shared" si="23"/>
        <v>Current</v>
      </c>
    </row>
    <row r="514" spans="1:10" x14ac:dyDescent="0.3">
      <c r="A514" t="str">
        <f>Table3[[#This Row],[BillID]]</f>
        <v>BILL-00513</v>
      </c>
      <c r="B514" t="str">
        <f>Table3[[#This Row],[VendorID]]</f>
        <v>VEN-038</v>
      </c>
      <c r="C514" t="str">
        <f>VLOOKUP(B514,Vendors!A:B,2,FALSE)</f>
        <v>Insight Marketing Partners</v>
      </c>
      <c r="D514" s="9">
        <f>Table3[[#This Row],[BillDate]]</f>
        <v>46077</v>
      </c>
      <c r="E514" s="9">
        <f>Table3[[#This Row],[DueDate]]</f>
        <v>46107</v>
      </c>
      <c r="F514" s="3">
        <f>Table3[[#This Row],[BillAmount]]</f>
        <v>5049.62</v>
      </c>
      <c r="G514" s="3">
        <f>SUMIF(Vendor_Payments!C:C,A514,Vendor_Payments!E:E)</f>
        <v>0</v>
      </c>
      <c r="H514" s="3">
        <f t="shared" si="21"/>
        <v>5049.62</v>
      </c>
      <c r="I514">
        <f t="shared" si="22"/>
        <v>-16</v>
      </c>
      <c r="J514" t="str">
        <f t="shared" si="23"/>
        <v>Current</v>
      </c>
    </row>
    <row r="515" spans="1:10" x14ac:dyDescent="0.3">
      <c r="A515" t="str">
        <f>Table3[[#This Row],[BillID]]</f>
        <v>BILL-00514</v>
      </c>
      <c r="B515" t="str">
        <f>Table3[[#This Row],[VendorID]]</f>
        <v>VEN-008</v>
      </c>
      <c r="C515" t="str">
        <f>VLOOKUP(B515,Vendors!A:B,2,FALSE)</f>
        <v>Ahrefs</v>
      </c>
      <c r="D515" s="9">
        <f>Table3[[#This Row],[BillDate]]</f>
        <v>45976</v>
      </c>
      <c r="E515" s="9">
        <f>Table3[[#This Row],[DueDate]]</f>
        <v>46006</v>
      </c>
      <c r="F515" s="3">
        <f>Table3[[#This Row],[BillAmount]]</f>
        <v>1863.24</v>
      </c>
      <c r="G515" s="3">
        <f>SUMIF(Vendor_Payments!C:C,A515,Vendor_Payments!E:E)</f>
        <v>1863.24</v>
      </c>
      <c r="H515" s="3">
        <f t="shared" ref="H515:H578" si="24">F515-G515</f>
        <v>0</v>
      </c>
      <c r="I515">
        <f t="shared" ref="I515:I578" si="25">$L$1-E515</f>
        <v>85</v>
      </c>
      <c r="J515" t="str">
        <f t="shared" ref="J515:J578" si="26">IF(I515&lt;=0,"Current",IF(I515&lt;=30,"1-30",IF(I515&lt;=60,"31-60",IF(I515&lt;=90,"61-90","90+"))))</f>
        <v>61-90</v>
      </c>
    </row>
    <row r="516" spans="1:10" x14ac:dyDescent="0.3">
      <c r="A516" t="str">
        <f>Table3[[#This Row],[BillID]]</f>
        <v>BILL-00515</v>
      </c>
      <c r="B516" t="str">
        <f>Table3[[#This Row],[VendorID]]</f>
        <v>VEN-001</v>
      </c>
      <c r="C516" t="str">
        <f>VLOOKUP(B516,Vendors!A:B,2,FALSE)</f>
        <v>Google Ads</v>
      </c>
      <c r="D516" s="9">
        <f>Table3[[#This Row],[BillDate]]</f>
        <v>46030</v>
      </c>
      <c r="E516" s="9">
        <f>Table3[[#This Row],[DueDate]]</f>
        <v>46060</v>
      </c>
      <c r="F516" s="3">
        <f>Table3[[#This Row],[BillAmount]]</f>
        <v>4256.3100000000004</v>
      </c>
      <c r="G516" s="3">
        <f>SUMIF(Vendor_Payments!C:C,A516,Vendor_Payments!E:E)</f>
        <v>4256.3100000000004</v>
      </c>
      <c r="H516" s="3">
        <f t="shared" si="24"/>
        <v>0</v>
      </c>
      <c r="I516">
        <f t="shared" si="25"/>
        <v>31</v>
      </c>
      <c r="J516" t="str">
        <f t="shared" si="26"/>
        <v>31-60</v>
      </c>
    </row>
    <row r="517" spans="1:10" x14ac:dyDescent="0.3">
      <c r="A517" t="str">
        <f>Table3[[#This Row],[BillID]]</f>
        <v>BILL-00516</v>
      </c>
      <c r="B517" t="str">
        <f>Table3[[#This Row],[VendorID]]</f>
        <v>VEN-016</v>
      </c>
      <c r="C517" t="str">
        <f>VLOOKUP(B517,Vendors!A:B,2,FALSE)</f>
        <v>Stripe</v>
      </c>
      <c r="D517" s="9">
        <f>Table3[[#This Row],[BillDate]]</f>
        <v>45970</v>
      </c>
      <c r="E517" s="9">
        <f>Table3[[#This Row],[DueDate]]</f>
        <v>46000</v>
      </c>
      <c r="F517" s="3">
        <f>Table3[[#This Row],[BillAmount]]</f>
        <v>4674.38</v>
      </c>
      <c r="G517" s="3">
        <f>SUMIF(Vendor_Payments!C:C,A517,Vendor_Payments!E:E)</f>
        <v>4674.38</v>
      </c>
      <c r="H517" s="3">
        <f t="shared" si="24"/>
        <v>0</v>
      </c>
      <c r="I517">
        <f t="shared" si="25"/>
        <v>91</v>
      </c>
      <c r="J517" t="str">
        <f t="shared" si="26"/>
        <v>90+</v>
      </c>
    </row>
    <row r="518" spans="1:10" x14ac:dyDescent="0.3">
      <c r="A518" t="str">
        <f>Table3[[#This Row],[BillID]]</f>
        <v>BILL-00517</v>
      </c>
      <c r="B518" t="str">
        <f>Table3[[#This Row],[VendorID]]</f>
        <v>VEN-027</v>
      </c>
      <c r="C518" t="str">
        <f>VLOOKUP(B518,Vendors!A:B,2,FALSE)</f>
        <v>DevCraft Agency</v>
      </c>
      <c r="D518" s="9">
        <f>Table3[[#This Row],[BillDate]]</f>
        <v>46062</v>
      </c>
      <c r="E518" s="9">
        <f>Table3[[#This Row],[DueDate]]</f>
        <v>46092</v>
      </c>
      <c r="F518" s="3">
        <f>Table3[[#This Row],[BillAmount]]</f>
        <v>2006.63</v>
      </c>
      <c r="G518" s="3">
        <f>SUMIF(Vendor_Payments!C:C,A518,Vendor_Payments!E:E)</f>
        <v>0</v>
      </c>
      <c r="H518" s="3">
        <f t="shared" si="24"/>
        <v>2006.63</v>
      </c>
      <c r="I518">
        <f t="shared" si="25"/>
        <v>-1</v>
      </c>
      <c r="J518" t="str">
        <f t="shared" si="26"/>
        <v>Current</v>
      </c>
    </row>
    <row r="519" spans="1:10" x14ac:dyDescent="0.3">
      <c r="A519" t="str">
        <f>Table3[[#This Row],[BillID]]</f>
        <v>BILL-00518</v>
      </c>
      <c r="B519" t="str">
        <f>Table3[[#This Row],[VendorID]]</f>
        <v>VEN-018</v>
      </c>
      <c r="C519" t="str">
        <f>VLOOKUP(B519,Vendors!A:B,2,FALSE)</f>
        <v>Cloudflare</v>
      </c>
      <c r="D519" s="9">
        <f>Table3[[#This Row],[BillDate]]</f>
        <v>45988</v>
      </c>
      <c r="E519" s="9">
        <f>Table3[[#This Row],[DueDate]]</f>
        <v>46018</v>
      </c>
      <c r="F519" s="3">
        <f>Table3[[#This Row],[BillAmount]]</f>
        <v>2153.7199999999998</v>
      </c>
      <c r="G519" s="3">
        <f>SUMIF(Vendor_Payments!C:C,A519,Vendor_Payments!E:E)</f>
        <v>0</v>
      </c>
      <c r="H519" s="3">
        <f t="shared" si="24"/>
        <v>2153.7199999999998</v>
      </c>
      <c r="I519">
        <f t="shared" si="25"/>
        <v>73</v>
      </c>
      <c r="J519" t="str">
        <f t="shared" si="26"/>
        <v>61-90</v>
      </c>
    </row>
    <row r="520" spans="1:10" x14ac:dyDescent="0.3">
      <c r="A520" t="str">
        <f>Table3[[#This Row],[BillID]]</f>
        <v>BILL-00519</v>
      </c>
      <c r="B520" t="str">
        <f>Table3[[#This Row],[VendorID]]</f>
        <v>VEN-012</v>
      </c>
      <c r="C520" t="str">
        <f>VLOOKUP(B520,Vendors!A:B,2,FALSE)</f>
        <v>Google Cloud</v>
      </c>
      <c r="D520" s="9">
        <f>Table3[[#This Row],[BillDate]]</f>
        <v>46055</v>
      </c>
      <c r="E520" s="9">
        <f>Table3[[#This Row],[DueDate]]</f>
        <v>46085</v>
      </c>
      <c r="F520" s="3">
        <f>Table3[[#This Row],[BillAmount]]</f>
        <v>4779.9399999999996</v>
      </c>
      <c r="G520" s="3">
        <f>SUMIF(Vendor_Payments!C:C,A520,Vendor_Payments!E:E)</f>
        <v>4779.9399999999996</v>
      </c>
      <c r="H520" s="3">
        <f t="shared" si="24"/>
        <v>0</v>
      </c>
      <c r="I520">
        <f t="shared" si="25"/>
        <v>6</v>
      </c>
      <c r="J520" t="str">
        <f t="shared" si="26"/>
        <v>1-30</v>
      </c>
    </row>
    <row r="521" spans="1:10" x14ac:dyDescent="0.3">
      <c r="A521" t="str">
        <f>Table3[[#This Row],[BillID]]</f>
        <v>BILL-00520</v>
      </c>
      <c r="B521" t="str">
        <f>Table3[[#This Row],[VendorID]]</f>
        <v>VEN-032</v>
      </c>
      <c r="C521" t="str">
        <f>VLOOKUP(B521,Vendors!A:B,2,FALSE)</f>
        <v>Marketing Automation Labs</v>
      </c>
      <c r="D521" s="9">
        <f>Table3[[#This Row],[BillDate]]</f>
        <v>46008</v>
      </c>
      <c r="E521" s="9">
        <f>Table3[[#This Row],[DueDate]]</f>
        <v>46038</v>
      </c>
      <c r="F521" s="3">
        <f>Table3[[#This Row],[BillAmount]]</f>
        <v>6379.94</v>
      </c>
      <c r="G521" s="3">
        <f>SUMIF(Vendor_Payments!C:C,A521,Vendor_Payments!E:E)</f>
        <v>6379.94</v>
      </c>
      <c r="H521" s="3">
        <f t="shared" si="24"/>
        <v>0</v>
      </c>
      <c r="I521">
        <f t="shared" si="25"/>
        <v>53</v>
      </c>
      <c r="J521" t="str">
        <f t="shared" si="26"/>
        <v>31-60</v>
      </c>
    </row>
    <row r="522" spans="1:10" x14ac:dyDescent="0.3">
      <c r="A522" t="str">
        <f>Table3[[#This Row],[BillID]]</f>
        <v>BILL-00521</v>
      </c>
      <c r="B522" t="str">
        <f>Table3[[#This Row],[VendorID]]</f>
        <v>VEN-019</v>
      </c>
      <c r="C522" t="str">
        <f>VLOOKUP(B522,Vendors!A:B,2,FALSE)</f>
        <v>Notion</v>
      </c>
      <c r="D522" s="9">
        <f>Table3[[#This Row],[BillDate]]</f>
        <v>46055</v>
      </c>
      <c r="E522" s="9">
        <f>Table3[[#This Row],[DueDate]]</f>
        <v>46085</v>
      </c>
      <c r="F522" s="3">
        <f>Table3[[#This Row],[BillAmount]]</f>
        <v>5825.14</v>
      </c>
      <c r="G522" s="3">
        <f>SUMIF(Vendor_Payments!C:C,A522,Vendor_Payments!E:E)</f>
        <v>0</v>
      </c>
      <c r="H522" s="3">
        <f t="shared" si="24"/>
        <v>5825.14</v>
      </c>
      <c r="I522">
        <f t="shared" si="25"/>
        <v>6</v>
      </c>
      <c r="J522" t="str">
        <f t="shared" si="26"/>
        <v>1-30</v>
      </c>
    </row>
    <row r="523" spans="1:10" x14ac:dyDescent="0.3">
      <c r="A523" t="str">
        <f>Table3[[#This Row],[BillID]]</f>
        <v>BILL-00522</v>
      </c>
      <c r="B523" t="str">
        <f>Table3[[#This Row],[VendorID]]</f>
        <v>VEN-011</v>
      </c>
      <c r="C523" t="str">
        <f>VLOOKUP(B523,Vendors!A:B,2,FALSE)</f>
        <v>AWS</v>
      </c>
      <c r="D523" s="9">
        <f>Table3[[#This Row],[BillDate]]</f>
        <v>46047</v>
      </c>
      <c r="E523" s="9">
        <f>Table3[[#This Row],[DueDate]]</f>
        <v>46077</v>
      </c>
      <c r="F523" s="3">
        <f>Table3[[#This Row],[BillAmount]]</f>
        <v>4877.3</v>
      </c>
      <c r="G523" s="3">
        <f>SUMIF(Vendor_Payments!C:C,A523,Vendor_Payments!E:E)</f>
        <v>4877.3</v>
      </c>
      <c r="H523" s="3">
        <f t="shared" si="24"/>
        <v>0</v>
      </c>
      <c r="I523">
        <f t="shared" si="25"/>
        <v>14</v>
      </c>
      <c r="J523" t="str">
        <f t="shared" si="26"/>
        <v>1-30</v>
      </c>
    </row>
    <row r="524" spans="1:10" x14ac:dyDescent="0.3">
      <c r="A524" t="str">
        <f>Table3[[#This Row],[BillID]]</f>
        <v>BILL-00523</v>
      </c>
      <c r="B524" t="str">
        <f>Table3[[#This Row],[VendorID]]</f>
        <v>VEN-002</v>
      </c>
      <c r="C524" t="str">
        <f>VLOOKUP(B524,Vendors!A:B,2,FALSE)</f>
        <v>Meta Ads</v>
      </c>
      <c r="D524" s="9">
        <f>Table3[[#This Row],[BillDate]]</f>
        <v>46048</v>
      </c>
      <c r="E524" s="9">
        <f>Table3[[#This Row],[DueDate]]</f>
        <v>46078</v>
      </c>
      <c r="F524" s="3">
        <f>Table3[[#This Row],[BillAmount]]</f>
        <v>4430.51</v>
      </c>
      <c r="G524" s="3">
        <f>SUMIF(Vendor_Payments!C:C,A524,Vendor_Payments!E:E)</f>
        <v>0</v>
      </c>
      <c r="H524" s="3">
        <f t="shared" si="24"/>
        <v>4430.51</v>
      </c>
      <c r="I524">
        <f t="shared" si="25"/>
        <v>13</v>
      </c>
      <c r="J524" t="str">
        <f t="shared" si="26"/>
        <v>1-30</v>
      </c>
    </row>
    <row r="525" spans="1:10" x14ac:dyDescent="0.3">
      <c r="A525" t="str">
        <f>Table3[[#This Row],[BillID]]</f>
        <v>BILL-00524</v>
      </c>
      <c r="B525" t="str">
        <f>Table3[[#This Row],[VendorID]]</f>
        <v>VEN-030</v>
      </c>
      <c r="C525" t="str">
        <f>VLOOKUP(B525,Vendors!A:B,2,FALSE)</f>
        <v>ContentCraft Studio</v>
      </c>
      <c r="D525" s="9">
        <f>Table3[[#This Row],[BillDate]]</f>
        <v>46041</v>
      </c>
      <c r="E525" s="9">
        <f>Table3[[#This Row],[DueDate]]</f>
        <v>46071</v>
      </c>
      <c r="F525" s="3">
        <f>Table3[[#This Row],[BillAmount]]</f>
        <v>3058.24</v>
      </c>
      <c r="G525" s="3">
        <f>SUMIF(Vendor_Payments!C:C,A525,Vendor_Payments!E:E)</f>
        <v>3058.24</v>
      </c>
      <c r="H525" s="3">
        <f t="shared" si="24"/>
        <v>0</v>
      </c>
      <c r="I525">
        <f t="shared" si="25"/>
        <v>20</v>
      </c>
      <c r="J525" t="str">
        <f t="shared" si="26"/>
        <v>1-30</v>
      </c>
    </row>
    <row r="526" spans="1:10" x14ac:dyDescent="0.3">
      <c r="A526" t="str">
        <f>Table3[[#This Row],[BillID]]</f>
        <v>BILL-00525</v>
      </c>
      <c r="B526" t="str">
        <f>Table3[[#This Row],[VendorID]]</f>
        <v>VEN-037</v>
      </c>
      <c r="C526" t="str">
        <f>VLOOKUP(B526,Vendors!A:B,2,FALSE)</f>
        <v>CreativeSpark Studio</v>
      </c>
      <c r="D526" s="9">
        <f>Table3[[#This Row],[BillDate]]</f>
        <v>46005</v>
      </c>
      <c r="E526" s="9">
        <f>Table3[[#This Row],[DueDate]]</f>
        <v>46035</v>
      </c>
      <c r="F526" s="3">
        <f>Table3[[#This Row],[BillAmount]]</f>
        <v>3598.36</v>
      </c>
      <c r="G526" s="3">
        <f>SUMIF(Vendor_Payments!C:C,A526,Vendor_Payments!E:E)</f>
        <v>0</v>
      </c>
      <c r="H526" s="3">
        <f t="shared" si="24"/>
        <v>3598.36</v>
      </c>
      <c r="I526">
        <f t="shared" si="25"/>
        <v>56</v>
      </c>
      <c r="J526" t="str">
        <f t="shared" si="26"/>
        <v>31-60</v>
      </c>
    </row>
    <row r="527" spans="1:10" x14ac:dyDescent="0.3">
      <c r="A527" t="str">
        <f>Table3[[#This Row],[BillID]]</f>
        <v>BILL-00526</v>
      </c>
      <c r="B527" t="str">
        <f>Table3[[#This Row],[VendorID]]</f>
        <v>VEN-016</v>
      </c>
      <c r="C527" t="str">
        <f>VLOOKUP(B527,Vendors!A:B,2,FALSE)</f>
        <v>Stripe</v>
      </c>
      <c r="D527" s="9">
        <f>Table3[[#This Row],[BillDate]]</f>
        <v>46079</v>
      </c>
      <c r="E527" s="9">
        <f>Table3[[#This Row],[DueDate]]</f>
        <v>46109</v>
      </c>
      <c r="F527" s="3">
        <f>Table3[[#This Row],[BillAmount]]</f>
        <v>4582.28</v>
      </c>
      <c r="G527" s="3">
        <f>SUMIF(Vendor_Payments!C:C,A527,Vendor_Payments!E:E)</f>
        <v>4582.28</v>
      </c>
      <c r="H527" s="3">
        <f t="shared" si="24"/>
        <v>0</v>
      </c>
      <c r="I527">
        <f t="shared" si="25"/>
        <v>-18</v>
      </c>
      <c r="J527" t="str">
        <f t="shared" si="26"/>
        <v>Current</v>
      </c>
    </row>
    <row r="528" spans="1:10" x14ac:dyDescent="0.3">
      <c r="A528" t="str">
        <f>Table3[[#This Row],[BillID]]</f>
        <v>BILL-00527</v>
      </c>
      <c r="B528" t="str">
        <f>Table3[[#This Row],[VendorID]]</f>
        <v>VEN-009</v>
      </c>
      <c r="C528" t="str">
        <f>VLOOKUP(B528,Vendors!A:B,2,FALSE)</f>
        <v>SEMrush</v>
      </c>
      <c r="D528" s="9">
        <f>Table3[[#This Row],[BillDate]]</f>
        <v>45970</v>
      </c>
      <c r="E528" s="9">
        <f>Table3[[#This Row],[DueDate]]</f>
        <v>46000</v>
      </c>
      <c r="F528" s="3">
        <f>Table3[[#This Row],[BillAmount]]</f>
        <v>6493.4</v>
      </c>
      <c r="G528" s="3">
        <f>SUMIF(Vendor_Payments!C:C,A528,Vendor_Payments!E:E)</f>
        <v>6493.4</v>
      </c>
      <c r="H528" s="3">
        <f t="shared" si="24"/>
        <v>0</v>
      </c>
      <c r="I528">
        <f t="shared" si="25"/>
        <v>91</v>
      </c>
      <c r="J528" t="str">
        <f t="shared" si="26"/>
        <v>90+</v>
      </c>
    </row>
    <row r="529" spans="1:10" x14ac:dyDescent="0.3">
      <c r="A529" t="str">
        <f>Table3[[#This Row],[BillID]]</f>
        <v>BILL-00528</v>
      </c>
      <c r="B529" t="str">
        <f>Table3[[#This Row],[VendorID]]</f>
        <v>VEN-009</v>
      </c>
      <c r="C529" t="str">
        <f>VLOOKUP(B529,Vendors!A:B,2,FALSE)</f>
        <v>SEMrush</v>
      </c>
      <c r="D529" s="9">
        <f>Table3[[#This Row],[BillDate]]</f>
        <v>45997</v>
      </c>
      <c r="E529" s="9">
        <f>Table3[[#This Row],[DueDate]]</f>
        <v>46027</v>
      </c>
      <c r="F529" s="3">
        <f>Table3[[#This Row],[BillAmount]]</f>
        <v>6035.66</v>
      </c>
      <c r="G529" s="3">
        <f>SUMIF(Vendor_Payments!C:C,A529,Vendor_Payments!E:E)</f>
        <v>0</v>
      </c>
      <c r="H529" s="3">
        <f t="shared" si="24"/>
        <v>6035.66</v>
      </c>
      <c r="I529">
        <f t="shared" si="25"/>
        <v>64</v>
      </c>
      <c r="J529" t="str">
        <f t="shared" si="26"/>
        <v>61-90</v>
      </c>
    </row>
    <row r="530" spans="1:10" x14ac:dyDescent="0.3">
      <c r="A530" t="str">
        <f>Table3[[#This Row],[BillID]]</f>
        <v>BILL-00529</v>
      </c>
      <c r="B530" t="str">
        <f>Table3[[#This Row],[VendorID]]</f>
        <v>VEN-023</v>
      </c>
      <c r="C530" t="str">
        <f>VLOOKUP(B530,Vendors!A:B,2,FALSE)</f>
        <v>Fiverr Pro</v>
      </c>
      <c r="D530" s="9">
        <f>Table3[[#This Row],[BillDate]]</f>
        <v>46015</v>
      </c>
      <c r="E530" s="9">
        <f>Table3[[#This Row],[DueDate]]</f>
        <v>46045</v>
      </c>
      <c r="F530" s="3">
        <f>Table3[[#This Row],[BillAmount]]</f>
        <v>3000.13</v>
      </c>
      <c r="G530" s="3">
        <f>SUMIF(Vendor_Payments!C:C,A530,Vendor_Payments!E:E)</f>
        <v>3000.13</v>
      </c>
      <c r="H530" s="3">
        <f t="shared" si="24"/>
        <v>0</v>
      </c>
      <c r="I530">
        <f t="shared" si="25"/>
        <v>46</v>
      </c>
      <c r="J530" t="str">
        <f t="shared" si="26"/>
        <v>31-60</v>
      </c>
    </row>
    <row r="531" spans="1:10" x14ac:dyDescent="0.3">
      <c r="A531" t="str">
        <f>Table3[[#This Row],[BillID]]</f>
        <v>BILL-00530</v>
      </c>
      <c r="B531" t="str">
        <f>Table3[[#This Row],[VendorID]]</f>
        <v>VEN-033</v>
      </c>
      <c r="C531" t="str">
        <f>VLOOKUP(B531,Vendors!A:B,2,FALSE)</f>
        <v>AdScale Solutions</v>
      </c>
      <c r="D531" s="9">
        <f>Table3[[#This Row],[BillDate]]</f>
        <v>45966</v>
      </c>
      <c r="E531" s="9">
        <f>Table3[[#This Row],[DueDate]]</f>
        <v>45996</v>
      </c>
      <c r="F531" s="3">
        <f>Table3[[#This Row],[BillAmount]]</f>
        <v>5474.18</v>
      </c>
      <c r="G531" s="3">
        <f>SUMIF(Vendor_Payments!C:C,A531,Vendor_Payments!E:E)</f>
        <v>5474.18</v>
      </c>
      <c r="H531" s="3">
        <f t="shared" si="24"/>
        <v>0</v>
      </c>
      <c r="I531">
        <f t="shared" si="25"/>
        <v>95</v>
      </c>
      <c r="J531" t="str">
        <f t="shared" si="26"/>
        <v>90+</v>
      </c>
    </row>
    <row r="532" spans="1:10" x14ac:dyDescent="0.3">
      <c r="A532" t="str">
        <f>Table3[[#This Row],[BillID]]</f>
        <v>BILL-00531</v>
      </c>
      <c r="B532" t="str">
        <f>Table3[[#This Row],[VendorID]]</f>
        <v>VEN-024</v>
      </c>
      <c r="C532" t="str">
        <f>VLOOKUP(B532,Vendors!A:B,2,FALSE)</f>
        <v>Growth Strategy Group</v>
      </c>
      <c r="D532" s="9">
        <f>Table3[[#This Row],[BillDate]]</f>
        <v>45970</v>
      </c>
      <c r="E532" s="9">
        <f>Table3[[#This Row],[DueDate]]</f>
        <v>46000</v>
      </c>
      <c r="F532" s="3">
        <f>Table3[[#This Row],[BillAmount]]</f>
        <v>5629.08</v>
      </c>
      <c r="G532" s="3">
        <f>SUMIF(Vendor_Payments!C:C,A532,Vendor_Payments!E:E)</f>
        <v>5629.08</v>
      </c>
      <c r="H532" s="3">
        <f t="shared" si="24"/>
        <v>0</v>
      </c>
      <c r="I532">
        <f t="shared" si="25"/>
        <v>91</v>
      </c>
      <c r="J532" t="str">
        <f t="shared" si="26"/>
        <v>90+</v>
      </c>
    </row>
    <row r="533" spans="1:10" x14ac:dyDescent="0.3">
      <c r="A533" t="str">
        <f>Table3[[#This Row],[BillID]]</f>
        <v>BILL-00532</v>
      </c>
      <c r="B533" t="str">
        <f>Table3[[#This Row],[VendorID]]</f>
        <v>VEN-026</v>
      </c>
      <c r="C533" t="str">
        <f>VLOOKUP(B533,Vendors!A:B,2,FALSE)</f>
        <v>PixelForge Studio</v>
      </c>
      <c r="D533" s="9">
        <f>Table3[[#This Row],[BillDate]]</f>
        <v>45999</v>
      </c>
      <c r="E533" s="9">
        <f>Table3[[#This Row],[DueDate]]</f>
        <v>46029</v>
      </c>
      <c r="F533" s="3">
        <f>Table3[[#This Row],[BillAmount]]</f>
        <v>5927.83</v>
      </c>
      <c r="G533" s="3">
        <f>SUMIF(Vendor_Payments!C:C,A533,Vendor_Payments!E:E)</f>
        <v>5927.83</v>
      </c>
      <c r="H533" s="3">
        <f t="shared" si="24"/>
        <v>0</v>
      </c>
      <c r="I533">
        <f t="shared" si="25"/>
        <v>62</v>
      </c>
      <c r="J533" t="str">
        <f t="shared" si="26"/>
        <v>61-90</v>
      </c>
    </row>
    <row r="534" spans="1:10" x14ac:dyDescent="0.3">
      <c r="A534" t="str">
        <f>Table3[[#This Row],[BillID]]</f>
        <v>BILL-00533</v>
      </c>
      <c r="B534" t="str">
        <f>Table3[[#This Row],[VendorID]]</f>
        <v>VEN-035</v>
      </c>
      <c r="C534" t="str">
        <f>VLOOKUP(B534,Vendors!A:B,2,FALSE)</f>
        <v>ClickFlow Marketing</v>
      </c>
      <c r="D534" s="9">
        <f>Table3[[#This Row],[BillDate]]</f>
        <v>46003</v>
      </c>
      <c r="E534" s="9">
        <f>Table3[[#This Row],[DueDate]]</f>
        <v>46033</v>
      </c>
      <c r="F534" s="3">
        <f>Table3[[#This Row],[BillAmount]]</f>
        <v>1710.6</v>
      </c>
      <c r="G534" s="3">
        <f>SUMIF(Vendor_Payments!C:C,A534,Vendor_Payments!E:E)</f>
        <v>1710.6</v>
      </c>
      <c r="H534" s="3">
        <f t="shared" si="24"/>
        <v>0</v>
      </c>
      <c r="I534">
        <f t="shared" si="25"/>
        <v>58</v>
      </c>
      <c r="J534" t="str">
        <f t="shared" si="26"/>
        <v>31-60</v>
      </c>
    </row>
    <row r="535" spans="1:10" x14ac:dyDescent="0.3">
      <c r="A535" t="str">
        <f>Table3[[#This Row],[BillID]]</f>
        <v>BILL-00534</v>
      </c>
      <c r="B535" t="str">
        <f>Table3[[#This Row],[VendorID]]</f>
        <v>VEN-029</v>
      </c>
      <c r="C535" t="str">
        <f>VLOOKUP(B535,Vendors!A:B,2,FALSE)</f>
        <v>BrightSEO Agency</v>
      </c>
      <c r="D535" s="9">
        <f>Table3[[#This Row],[BillDate]]</f>
        <v>46040</v>
      </c>
      <c r="E535" s="9">
        <f>Table3[[#This Row],[DueDate]]</f>
        <v>46070</v>
      </c>
      <c r="F535" s="3">
        <f>Table3[[#This Row],[BillAmount]]</f>
        <v>6988.08</v>
      </c>
      <c r="G535" s="3">
        <f>SUMIF(Vendor_Payments!C:C,A535,Vendor_Payments!E:E)</f>
        <v>6988.08</v>
      </c>
      <c r="H535" s="3">
        <f t="shared" si="24"/>
        <v>0</v>
      </c>
      <c r="I535">
        <f t="shared" si="25"/>
        <v>21</v>
      </c>
      <c r="J535" t="str">
        <f t="shared" si="26"/>
        <v>1-30</v>
      </c>
    </row>
    <row r="536" spans="1:10" x14ac:dyDescent="0.3">
      <c r="A536" t="str">
        <f>Table3[[#This Row],[BillID]]</f>
        <v>BILL-00535</v>
      </c>
      <c r="B536" t="str">
        <f>Table3[[#This Row],[VendorID]]</f>
        <v>VEN-026</v>
      </c>
      <c r="C536" t="str">
        <f>VLOOKUP(B536,Vendors!A:B,2,FALSE)</f>
        <v>PixelForge Studio</v>
      </c>
      <c r="D536" s="9">
        <f>Table3[[#This Row],[BillDate]]</f>
        <v>45995</v>
      </c>
      <c r="E536" s="9">
        <f>Table3[[#This Row],[DueDate]]</f>
        <v>46025</v>
      </c>
      <c r="F536" s="3">
        <f>Table3[[#This Row],[BillAmount]]</f>
        <v>3348.91</v>
      </c>
      <c r="G536" s="3">
        <f>SUMIF(Vendor_Payments!C:C,A536,Vendor_Payments!E:E)</f>
        <v>0</v>
      </c>
      <c r="H536" s="3">
        <f t="shared" si="24"/>
        <v>3348.91</v>
      </c>
      <c r="I536">
        <f t="shared" si="25"/>
        <v>66</v>
      </c>
      <c r="J536" t="str">
        <f t="shared" si="26"/>
        <v>61-90</v>
      </c>
    </row>
    <row r="537" spans="1:10" x14ac:dyDescent="0.3">
      <c r="A537" t="str">
        <f>Table3[[#This Row],[BillID]]</f>
        <v>BILL-00536</v>
      </c>
      <c r="B537" t="str">
        <f>Table3[[#This Row],[VendorID]]</f>
        <v>VEN-028</v>
      </c>
      <c r="C537" t="str">
        <f>VLOOKUP(B537,Vendors!A:B,2,FALSE)</f>
        <v>MarketEdge Consulting</v>
      </c>
      <c r="D537" s="9">
        <f>Table3[[#This Row],[BillDate]]</f>
        <v>46070</v>
      </c>
      <c r="E537" s="9">
        <f>Table3[[#This Row],[DueDate]]</f>
        <v>46100</v>
      </c>
      <c r="F537" s="3">
        <f>Table3[[#This Row],[BillAmount]]</f>
        <v>1038.33</v>
      </c>
      <c r="G537" s="3">
        <f>SUMIF(Vendor_Payments!C:C,A537,Vendor_Payments!E:E)</f>
        <v>1038.33</v>
      </c>
      <c r="H537" s="3">
        <f t="shared" si="24"/>
        <v>0</v>
      </c>
      <c r="I537">
        <f t="shared" si="25"/>
        <v>-9</v>
      </c>
      <c r="J537" t="str">
        <f t="shared" si="26"/>
        <v>Current</v>
      </c>
    </row>
    <row r="538" spans="1:10" x14ac:dyDescent="0.3">
      <c r="A538" t="str">
        <f>Table3[[#This Row],[BillID]]</f>
        <v>BILL-00537</v>
      </c>
      <c r="B538" t="str">
        <f>Table3[[#This Row],[VendorID]]</f>
        <v>VEN-040</v>
      </c>
      <c r="C538" t="str">
        <f>VLOOKUP(B538,Vendors!A:B,2,FALSE)</f>
        <v>Digital Performance Lab</v>
      </c>
      <c r="D538" s="9">
        <f>Table3[[#This Row],[BillDate]]</f>
        <v>45994</v>
      </c>
      <c r="E538" s="9">
        <f>Table3[[#This Row],[DueDate]]</f>
        <v>46024</v>
      </c>
      <c r="F538" s="3">
        <f>Table3[[#This Row],[BillAmount]]</f>
        <v>6814.97</v>
      </c>
      <c r="G538" s="3">
        <f>SUMIF(Vendor_Payments!C:C,A538,Vendor_Payments!E:E)</f>
        <v>6814.97</v>
      </c>
      <c r="H538" s="3">
        <f t="shared" si="24"/>
        <v>0</v>
      </c>
      <c r="I538">
        <f t="shared" si="25"/>
        <v>67</v>
      </c>
      <c r="J538" t="str">
        <f t="shared" si="26"/>
        <v>61-90</v>
      </c>
    </row>
    <row r="539" spans="1:10" x14ac:dyDescent="0.3">
      <c r="A539" t="str">
        <f>Table3[[#This Row],[BillID]]</f>
        <v>BILL-00538</v>
      </c>
      <c r="B539" t="str">
        <f>Table3[[#This Row],[VendorID]]</f>
        <v>VEN-009</v>
      </c>
      <c r="C539" t="str">
        <f>VLOOKUP(B539,Vendors!A:B,2,FALSE)</f>
        <v>SEMrush</v>
      </c>
      <c r="D539" s="9">
        <f>Table3[[#This Row],[BillDate]]</f>
        <v>46029</v>
      </c>
      <c r="E539" s="9">
        <f>Table3[[#This Row],[DueDate]]</f>
        <v>46059</v>
      </c>
      <c r="F539" s="3">
        <f>Table3[[#This Row],[BillAmount]]</f>
        <v>3111.57</v>
      </c>
      <c r="G539" s="3">
        <f>SUMIF(Vendor_Payments!C:C,A539,Vendor_Payments!E:E)</f>
        <v>3111.57</v>
      </c>
      <c r="H539" s="3">
        <f t="shared" si="24"/>
        <v>0</v>
      </c>
      <c r="I539">
        <f t="shared" si="25"/>
        <v>32</v>
      </c>
      <c r="J539" t="str">
        <f t="shared" si="26"/>
        <v>31-60</v>
      </c>
    </row>
    <row r="540" spans="1:10" x14ac:dyDescent="0.3">
      <c r="A540" t="str">
        <f>Table3[[#This Row],[BillID]]</f>
        <v>BILL-00539</v>
      </c>
      <c r="B540" t="str">
        <f>Table3[[#This Row],[VendorID]]</f>
        <v>VEN-012</v>
      </c>
      <c r="C540" t="str">
        <f>VLOOKUP(B540,Vendors!A:B,2,FALSE)</f>
        <v>Google Cloud</v>
      </c>
      <c r="D540" s="9">
        <f>Table3[[#This Row],[BillDate]]</f>
        <v>45977</v>
      </c>
      <c r="E540" s="9">
        <f>Table3[[#This Row],[DueDate]]</f>
        <v>46007</v>
      </c>
      <c r="F540" s="3">
        <f>Table3[[#This Row],[BillAmount]]</f>
        <v>1636.31</v>
      </c>
      <c r="G540" s="3">
        <f>SUMIF(Vendor_Payments!C:C,A540,Vendor_Payments!E:E)</f>
        <v>1636.31</v>
      </c>
      <c r="H540" s="3">
        <f t="shared" si="24"/>
        <v>0</v>
      </c>
      <c r="I540">
        <f t="shared" si="25"/>
        <v>84</v>
      </c>
      <c r="J540" t="str">
        <f t="shared" si="26"/>
        <v>61-90</v>
      </c>
    </row>
    <row r="541" spans="1:10" x14ac:dyDescent="0.3">
      <c r="A541" t="str">
        <f>Table3[[#This Row],[BillID]]</f>
        <v>BILL-00540</v>
      </c>
      <c r="B541" t="str">
        <f>Table3[[#This Row],[VendorID]]</f>
        <v>VEN-039</v>
      </c>
      <c r="C541" t="str">
        <f>VLOOKUP(B541,Vendors!A:B,2,FALSE)</f>
        <v>Global Growth Advisors</v>
      </c>
      <c r="D541" s="9">
        <f>Table3[[#This Row],[BillDate]]</f>
        <v>46064</v>
      </c>
      <c r="E541" s="9">
        <f>Table3[[#This Row],[DueDate]]</f>
        <v>46094</v>
      </c>
      <c r="F541" s="3">
        <f>Table3[[#This Row],[BillAmount]]</f>
        <v>4051.5</v>
      </c>
      <c r="G541" s="3">
        <f>SUMIF(Vendor_Payments!C:C,A541,Vendor_Payments!E:E)</f>
        <v>4051.5</v>
      </c>
      <c r="H541" s="3">
        <f t="shared" si="24"/>
        <v>0</v>
      </c>
      <c r="I541">
        <f t="shared" si="25"/>
        <v>-3</v>
      </c>
      <c r="J541" t="str">
        <f t="shared" si="26"/>
        <v>Current</v>
      </c>
    </row>
    <row r="542" spans="1:10" x14ac:dyDescent="0.3">
      <c r="A542" t="str">
        <f>Table3[[#This Row],[BillID]]</f>
        <v>BILL-00541</v>
      </c>
      <c r="B542" t="str">
        <f>Table3[[#This Row],[VendorID]]</f>
        <v>VEN-040</v>
      </c>
      <c r="C542" t="str">
        <f>VLOOKUP(B542,Vendors!A:B,2,FALSE)</f>
        <v>Digital Performance Lab</v>
      </c>
      <c r="D542" s="9">
        <f>Table3[[#This Row],[BillDate]]</f>
        <v>45975</v>
      </c>
      <c r="E542" s="9">
        <f>Table3[[#This Row],[DueDate]]</f>
        <v>46005</v>
      </c>
      <c r="F542" s="3">
        <f>Table3[[#This Row],[BillAmount]]</f>
        <v>1598.63</v>
      </c>
      <c r="G542" s="3">
        <f>SUMIF(Vendor_Payments!C:C,A542,Vendor_Payments!E:E)</f>
        <v>1598.63</v>
      </c>
      <c r="H542" s="3">
        <f t="shared" si="24"/>
        <v>0</v>
      </c>
      <c r="I542">
        <f t="shared" si="25"/>
        <v>86</v>
      </c>
      <c r="J542" t="str">
        <f t="shared" si="26"/>
        <v>61-90</v>
      </c>
    </row>
    <row r="543" spans="1:10" x14ac:dyDescent="0.3">
      <c r="A543" t="str">
        <f>Table3[[#This Row],[BillID]]</f>
        <v>BILL-00542</v>
      </c>
      <c r="B543" t="str">
        <f>Table3[[#This Row],[VendorID]]</f>
        <v>VEN-030</v>
      </c>
      <c r="C543" t="str">
        <f>VLOOKUP(B543,Vendors!A:B,2,FALSE)</f>
        <v>ContentCraft Studio</v>
      </c>
      <c r="D543" s="9">
        <f>Table3[[#This Row],[BillDate]]</f>
        <v>45989</v>
      </c>
      <c r="E543" s="9">
        <f>Table3[[#This Row],[DueDate]]</f>
        <v>46019</v>
      </c>
      <c r="F543" s="3">
        <f>Table3[[#This Row],[BillAmount]]</f>
        <v>6681.49</v>
      </c>
      <c r="G543" s="3">
        <f>SUMIF(Vendor_Payments!C:C,A543,Vendor_Payments!E:E)</f>
        <v>6681.49</v>
      </c>
      <c r="H543" s="3">
        <f t="shared" si="24"/>
        <v>0</v>
      </c>
      <c r="I543">
        <f t="shared" si="25"/>
        <v>72</v>
      </c>
      <c r="J543" t="str">
        <f t="shared" si="26"/>
        <v>61-90</v>
      </c>
    </row>
    <row r="544" spans="1:10" x14ac:dyDescent="0.3">
      <c r="A544" t="str">
        <f>Table3[[#This Row],[BillID]]</f>
        <v>BILL-00543</v>
      </c>
      <c r="B544" t="str">
        <f>Table3[[#This Row],[VendorID]]</f>
        <v>VEN-013</v>
      </c>
      <c r="C544" t="str">
        <f>VLOOKUP(B544,Vendors!A:B,2,FALSE)</f>
        <v>Canva Pro</v>
      </c>
      <c r="D544" s="9">
        <f>Table3[[#This Row],[BillDate]]</f>
        <v>45977</v>
      </c>
      <c r="E544" s="9">
        <f>Table3[[#This Row],[DueDate]]</f>
        <v>46007</v>
      </c>
      <c r="F544" s="3">
        <f>Table3[[#This Row],[BillAmount]]</f>
        <v>6333.75</v>
      </c>
      <c r="G544" s="3">
        <f>SUMIF(Vendor_Payments!C:C,A544,Vendor_Payments!E:E)</f>
        <v>6333.75</v>
      </c>
      <c r="H544" s="3">
        <f t="shared" si="24"/>
        <v>0</v>
      </c>
      <c r="I544">
        <f t="shared" si="25"/>
        <v>84</v>
      </c>
      <c r="J544" t="str">
        <f t="shared" si="26"/>
        <v>61-90</v>
      </c>
    </row>
    <row r="545" spans="1:10" x14ac:dyDescent="0.3">
      <c r="A545" t="str">
        <f>Table3[[#This Row],[BillID]]</f>
        <v>BILL-00544</v>
      </c>
      <c r="B545" t="str">
        <f>Table3[[#This Row],[VendorID]]</f>
        <v>VEN-010</v>
      </c>
      <c r="C545" t="str">
        <f>VLOOKUP(B545,Vendors!A:B,2,FALSE)</f>
        <v>Adobe Creative Cloud</v>
      </c>
      <c r="D545" s="9">
        <f>Table3[[#This Row],[BillDate]]</f>
        <v>46070</v>
      </c>
      <c r="E545" s="9">
        <f>Table3[[#This Row],[DueDate]]</f>
        <v>46100</v>
      </c>
      <c r="F545" s="3">
        <f>Table3[[#This Row],[BillAmount]]</f>
        <v>4445.5200000000004</v>
      </c>
      <c r="G545" s="3">
        <f>SUMIF(Vendor_Payments!C:C,A545,Vendor_Payments!E:E)</f>
        <v>0</v>
      </c>
      <c r="H545" s="3">
        <f t="shared" si="24"/>
        <v>4445.5200000000004</v>
      </c>
      <c r="I545">
        <f t="shared" si="25"/>
        <v>-9</v>
      </c>
      <c r="J545" t="str">
        <f t="shared" si="26"/>
        <v>Current</v>
      </c>
    </row>
    <row r="546" spans="1:10" x14ac:dyDescent="0.3">
      <c r="A546" t="str">
        <f>Table3[[#This Row],[BillID]]</f>
        <v>BILL-00545</v>
      </c>
      <c r="B546" t="str">
        <f>Table3[[#This Row],[VendorID]]</f>
        <v>VEN-036</v>
      </c>
      <c r="C546" t="str">
        <f>VLOOKUP(B546,Vendors!A:B,2,FALSE)</f>
        <v>WebDev Masters</v>
      </c>
      <c r="D546" s="9">
        <f>Table3[[#This Row],[BillDate]]</f>
        <v>46079</v>
      </c>
      <c r="E546" s="9">
        <f>Table3[[#This Row],[DueDate]]</f>
        <v>46109</v>
      </c>
      <c r="F546" s="3">
        <f>Table3[[#This Row],[BillAmount]]</f>
        <v>2337.2800000000002</v>
      </c>
      <c r="G546" s="3">
        <f>SUMIF(Vendor_Payments!C:C,A546,Vendor_Payments!E:E)</f>
        <v>2337.2800000000002</v>
      </c>
      <c r="H546" s="3">
        <f t="shared" si="24"/>
        <v>0</v>
      </c>
      <c r="I546">
        <f t="shared" si="25"/>
        <v>-18</v>
      </c>
      <c r="J546" t="str">
        <f t="shared" si="26"/>
        <v>Current</v>
      </c>
    </row>
    <row r="547" spans="1:10" x14ac:dyDescent="0.3">
      <c r="A547" t="str">
        <f>Table3[[#This Row],[BillID]]</f>
        <v>BILL-00546</v>
      </c>
      <c r="B547" t="str">
        <f>Table3[[#This Row],[VendorID]]</f>
        <v>VEN-031</v>
      </c>
      <c r="C547" t="str">
        <f>VLOOKUP(B547,Vendors!A:B,2,FALSE)</f>
        <v>DataInsight Analytics</v>
      </c>
      <c r="D547" s="9">
        <f>Table3[[#This Row],[BillDate]]</f>
        <v>46007</v>
      </c>
      <c r="E547" s="9">
        <f>Table3[[#This Row],[DueDate]]</f>
        <v>46037</v>
      </c>
      <c r="F547" s="3">
        <f>Table3[[#This Row],[BillAmount]]</f>
        <v>6164</v>
      </c>
      <c r="G547" s="3">
        <f>SUMIF(Vendor_Payments!C:C,A547,Vendor_Payments!E:E)</f>
        <v>6164</v>
      </c>
      <c r="H547" s="3">
        <f t="shared" si="24"/>
        <v>0</v>
      </c>
      <c r="I547">
        <f t="shared" si="25"/>
        <v>54</v>
      </c>
      <c r="J547" t="str">
        <f t="shared" si="26"/>
        <v>31-60</v>
      </c>
    </row>
    <row r="548" spans="1:10" x14ac:dyDescent="0.3">
      <c r="A548" t="str">
        <f>Table3[[#This Row],[BillID]]</f>
        <v>BILL-00547</v>
      </c>
      <c r="B548" t="str">
        <f>Table3[[#This Row],[VendorID]]</f>
        <v>VEN-032</v>
      </c>
      <c r="C548" t="str">
        <f>VLOOKUP(B548,Vendors!A:B,2,FALSE)</f>
        <v>Marketing Automation Labs</v>
      </c>
      <c r="D548" s="9">
        <f>Table3[[#This Row],[BillDate]]</f>
        <v>46027</v>
      </c>
      <c r="E548" s="9">
        <f>Table3[[#This Row],[DueDate]]</f>
        <v>46057</v>
      </c>
      <c r="F548" s="3">
        <f>Table3[[#This Row],[BillAmount]]</f>
        <v>3595.83</v>
      </c>
      <c r="G548" s="3">
        <f>SUMIF(Vendor_Payments!C:C,A548,Vendor_Payments!E:E)</f>
        <v>3595.83</v>
      </c>
      <c r="H548" s="3">
        <f t="shared" si="24"/>
        <v>0</v>
      </c>
      <c r="I548">
        <f t="shared" si="25"/>
        <v>34</v>
      </c>
      <c r="J548" t="str">
        <f t="shared" si="26"/>
        <v>31-60</v>
      </c>
    </row>
    <row r="549" spans="1:10" x14ac:dyDescent="0.3">
      <c r="A549" t="str">
        <f>Table3[[#This Row],[BillID]]</f>
        <v>BILL-00548</v>
      </c>
      <c r="B549" t="str">
        <f>Table3[[#This Row],[VendorID]]</f>
        <v>VEN-001</v>
      </c>
      <c r="C549" t="str">
        <f>VLOOKUP(B549,Vendors!A:B,2,FALSE)</f>
        <v>Google Ads</v>
      </c>
      <c r="D549" s="9">
        <f>Table3[[#This Row],[BillDate]]</f>
        <v>46038</v>
      </c>
      <c r="E549" s="9">
        <f>Table3[[#This Row],[DueDate]]</f>
        <v>46068</v>
      </c>
      <c r="F549" s="3">
        <f>Table3[[#This Row],[BillAmount]]</f>
        <v>2666.87</v>
      </c>
      <c r="G549" s="3">
        <f>SUMIF(Vendor_Payments!C:C,A549,Vendor_Payments!E:E)</f>
        <v>2666.87</v>
      </c>
      <c r="H549" s="3">
        <f t="shared" si="24"/>
        <v>0</v>
      </c>
      <c r="I549">
        <f t="shared" si="25"/>
        <v>23</v>
      </c>
      <c r="J549" t="str">
        <f t="shared" si="26"/>
        <v>1-30</v>
      </c>
    </row>
    <row r="550" spans="1:10" x14ac:dyDescent="0.3">
      <c r="A550" t="str">
        <f>Table3[[#This Row],[BillID]]</f>
        <v>BILL-00549</v>
      </c>
      <c r="B550" t="str">
        <f>Table3[[#This Row],[VendorID]]</f>
        <v>VEN-004</v>
      </c>
      <c r="C550" t="str">
        <f>VLOOKUP(B550,Vendors!A:B,2,FALSE)</f>
        <v>LinkedIn Ads</v>
      </c>
      <c r="D550" s="9">
        <f>Table3[[#This Row],[BillDate]]</f>
        <v>45970</v>
      </c>
      <c r="E550" s="9">
        <f>Table3[[#This Row],[DueDate]]</f>
        <v>46000</v>
      </c>
      <c r="F550" s="3">
        <f>Table3[[#This Row],[BillAmount]]</f>
        <v>4044.2</v>
      </c>
      <c r="G550" s="3">
        <f>SUMIF(Vendor_Payments!C:C,A550,Vendor_Payments!E:E)</f>
        <v>0</v>
      </c>
      <c r="H550" s="3">
        <f t="shared" si="24"/>
        <v>4044.2</v>
      </c>
      <c r="I550">
        <f t="shared" si="25"/>
        <v>91</v>
      </c>
      <c r="J550" t="str">
        <f t="shared" si="26"/>
        <v>90+</v>
      </c>
    </row>
    <row r="551" spans="1:10" x14ac:dyDescent="0.3">
      <c r="A551" t="str">
        <f>Table3[[#This Row],[BillID]]</f>
        <v>BILL-00550</v>
      </c>
      <c r="B551" t="str">
        <f>Table3[[#This Row],[VendorID]]</f>
        <v>VEN-016</v>
      </c>
      <c r="C551" t="str">
        <f>VLOOKUP(B551,Vendors!A:B,2,FALSE)</f>
        <v>Stripe</v>
      </c>
      <c r="D551" s="9">
        <f>Table3[[#This Row],[BillDate]]</f>
        <v>46018</v>
      </c>
      <c r="E551" s="9">
        <f>Table3[[#This Row],[DueDate]]</f>
        <v>46048</v>
      </c>
      <c r="F551" s="3">
        <f>Table3[[#This Row],[BillAmount]]</f>
        <v>1393</v>
      </c>
      <c r="G551" s="3">
        <f>SUMIF(Vendor_Payments!C:C,A551,Vendor_Payments!E:E)</f>
        <v>1393</v>
      </c>
      <c r="H551" s="3">
        <f t="shared" si="24"/>
        <v>0</v>
      </c>
      <c r="I551">
        <f t="shared" si="25"/>
        <v>43</v>
      </c>
      <c r="J551" t="str">
        <f t="shared" si="26"/>
        <v>31-60</v>
      </c>
    </row>
    <row r="552" spans="1:10" x14ac:dyDescent="0.3">
      <c r="A552" t="str">
        <f>Table3[[#This Row],[BillID]]</f>
        <v>BILL-00551</v>
      </c>
      <c r="B552" t="str">
        <f>Table3[[#This Row],[VendorID]]</f>
        <v>VEN-013</v>
      </c>
      <c r="C552" t="str">
        <f>VLOOKUP(B552,Vendors!A:B,2,FALSE)</f>
        <v>Canva Pro</v>
      </c>
      <c r="D552" s="9">
        <f>Table3[[#This Row],[BillDate]]</f>
        <v>46052</v>
      </c>
      <c r="E552" s="9">
        <f>Table3[[#This Row],[DueDate]]</f>
        <v>46082</v>
      </c>
      <c r="F552" s="3">
        <f>Table3[[#This Row],[BillAmount]]</f>
        <v>6851.5</v>
      </c>
      <c r="G552" s="3">
        <f>SUMIF(Vendor_Payments!C:C,A552,Vendor_Payments!E:E)</f>
        <v>6851.5</v>
      </c>
      <c r="H552" s="3">
        <f t="shared" si="24"/>
        <v>0</v>
      </c>
      <c r="I552">
        <f t="shared" si="25"/>
        <v>9</v>
      </c>
      <c r="J552" t="str">
        <f t="shared" si="26"/>
        <v>1-30</v>
      </c>
    </row>
    <row r="553" spans="1:10" x14ac:dyDescent="0.3">
      <c r="A553" t="str">
        <f>Table3[[#This Row],[BillID]]</f>
        <v>BILL-00552</v>
      </c>
      <c r="B553" t="str">
        <f>Table3[[#This Row],[VendorID]]</f>
        <v>VEN-026</v>
      </c>
      <c r="C553" t="str">
        <f>VLOOKUP(B553,Vendors!A:B,2,FALSE)</f>
        <v>PixelForge Studio</v>
      </c>
      <c r="D553" s="9">
        <f>Table3[[#This Row],[BillDate]]</f>
        <v>46086</v>
      </c>
      <c r="E553" s="9">
        <f>Table3[[#This Row],[DueDate]]</f>
        <v>46116</v>
      </c>
      <c r="F553" s="3">
        <f>Table3[[#This Row],[BillAmount]]</f>
        <v>861.03</v>
      </c>
      <c r="G553" s="3">
        <f>SUMIF(Vendor_Payments!C:C,A553,Vendor_Payments!E:E)</f>
        <v>861.03</v>
      </c>
      <c r="H553" s="3">
        <f t="shared" si="24"/>
        <v>0</v>
      </c>
      <c r="I553">
        <f t="shared" si="25"/>
        <v>-25</v>
      </c>
      <c r="J553" t="str">
        <f t="shared" si="26"/>
        <v>Current</v>
      </c>
    </row>
    <row r="554" spans="1:10" x14ac:dyDescent="0.3">
      <c r="A554" t="str">
        <f>Table3[[#This Row],[BillID]]</f>
        <v>BILL-00553</v>
      </c>
      <c r="B554" t="str">
        <f>Table3[[#This Row],[VendorID]]</f>
        <v>VEN-020</v>
      </c>
      <c r="C554" t="str">
        <f>VLOOKUP(B554,Vendors!A:B,2,FALSE)</f>
        <v>Slack</v>
      </c>
      <c r="D554" s="9">
        <f>Table3[[#This Row],[BillDate]]</f>
        <v>45994</v>
      </c>
      <c r="E554" s="9">
        <f>Table3[[#This Row],[DueDate]]</f>
        <v>46024</v>
      </c>
      <c r="F554" s="3">
        <f>Table3[[#This Row],[BillAmount]]</f>
        <v>1107.96</v>
      </c>
      <c r="G554" s="3">
        <f>SUMIF(Vendor_Payments!C:C,A554,Vendor_Payments!E:E)</f>
        <v>0</v>
      </c>
      <c r="H554" s="3">
        <f t="shared" si="24"/>
        <v>1107.96</v>
      </c>
      <c r="I554">
        <f t="shared" si="25"/>
        <v>67</v>
      </c>
      <c r="J554" t="str">
        <f t="shared" si="26"/>
        <v>61-90</v>
      </c>
    </row>
    <row r="555" spans="1:10" x14ac:dyDescent="0.3">
      <c r="A555" t="str">
        <f>Table3[[#This Row],[BillID]]</f>
        <v>BILL-00554</v>
      </c>
      <c r="B555" t="str">
        <f>Table3[[#This Row],[VendorID]]</f>
        <v>VEN-026</v>
      </c>
      <c r="C555" t="str">
        <f>VLOOKUP(B555,Vendors!A:B,2,FALSE)</f>
        <v>PixelForge Studio</v>
      </c>
      <c r="D555" s="9">
        <f>Table3[[#This Row],[BillDate]]</f>
        <v>46005</v>
      </c>
      <c r="E555" s="9">
        <f>Table3[[#This Row],[DueDate]]</f>
        <v>46035</v>
      </c>
      <c r="F555" s="3">
        <f>Table3[[#This Row],[BillAmount]]</f>
        <v>1710.12</v>
      </c>
      <c r="G555" s="3">
        <f>SUMIF(Vendor_Payments!C:C,A555,Vendor_Payments!E:E)</f>
        <v>1710.12</v>
      </c>
      <c r="H555" s="3">
        <f t="shared" si="24"/>
        <v>0</v>
      </c>
      <c r="I555">
        <f t="shared" si="25"/>
        <v>56</v>
      </c>
      <c r="J555" t="str">
        <f t="shared" si="26"/>
        <v>31-60</v>
      </c>
    </row>
    <row r="556" spans="1:10" x14ac:dyDescent="0.3">
      <c r="A556" t="str">
        <f>Table3[[#This Row],[BillID]]</f>
        <v>BILL-00555</v>
      </c>
      <c r="B556" t="str">
        <f>Table3[[#This Row],[VendorID]]</f>
        <v>VEN-020</v>
      </c>
      <c r="C556" t="str">
        <f>VLOOKUP(B556,Vendors!A:B,2,FALSE)</f>
        <v>Slack</v>
      </c>
      <c r="D556" s="9">
        <f>Table3[[#This Row],[BillDate]]</f>
        <v>46061</v>
      </c>
      <c r="E556" s="9">
        <f>Table3[[#This Row],[DueDate]]</f>
        <v>46091</v>
      </c>
      <c r="F556" s="3">
        <f>Table3[[#This Row],[BillAmount]]</f>
        <v>5395.39</v>
      </c>
      <c r="G556" s="3">
        <f>SUMIF(Vendor_Payments!C:C,A556,Vendor_Payments!E:E)</f>
        <v>5395.39</v>
      </c>
      <c r="H556" s="3">
        <f t="shared" si="24"/>
        <v>0</v>
      </c>
      <c r="I556">
        <f t="shared" si="25"/>
        <v>0</v>
      </c>
      <c r="J556" t="str">
        <f t="shared" si="26"/>
        <v>Current</v>
      </c>
    </row>
    <row r="557" spans="1:10" x14ac:dyDescent="0.3">
      <c r="A557" t="str">
        <f>Table3[[#This Row],[BillID]]</f>
        <v>BILL-00556</v>
      </c>
      <c r="B557" t="str">
        <f>Table3[[#This Row],[VendorID]]</f>
        <v>VEN-019</v>
      </c>
      <c r="C557" t="str">
        <f>VLOOKUP(B557,Vendors!A:B,2,FALSE)</f>
        <v>Notion</v>
      </c>
      <c r="D557" s="9">
        <f>Table3[[#This Row],[BillDate]]</f>
        <v>46019</v>
      </c>
      <c r="E557" s="9">
        <f>Table3[[#This Row],[DueDate]]</f>
        <v>46049</v>
      </c>
      <c r="F557" s="3">
        <f>Table3[[#This Row],[BillAmount]]</f>
        <v>5332.75</v>
      </c>
      <c r="G557" s="3">
        <f>SUMIF(Vendor_Payments!C:C,A557,Vendor_Payments!E:E)</f>
        <v>5332.75</v>
      </c>
      <c r="H557" s="3">
        <f t="shared" si="24"/>
        <v>0</v>
      </c>
      <c r="I557">
        <f t="shared" si="25"/>
        <v>42</v>
      </c>
      <c r="J557" t="str">
        <f t="shared" si="26"/>
        <v>31-60</v>
      </c>
    </row>
    <row r="558" spans="1:10" x14ac:dyDescent="0.3">
      <c r="A558" t="str">
        <f>Table3[[#This Row],[BillID]]</f>
        <v>BILL-00557</v>
      </c>
      <c r="B558" t="str">
        <f>Table3[[#This Row],[VendorID]]</f>
        <v>VEN-008</v>
      </c>
      <c r="C558" t="str">
        <f>VLOOKUP(B558,Vendors!A:B,2,FALSE)</f>
        <v>Ahrefs</v>
      </c>
      <c r="D558" s="9">
        <f>Table3[[#This Row],[BillDate]]</f>
        <v>46037</v>
      </c>
      <c r="E558" s="9">
        <f>Table3[[#This Row],[DueDate]]</f>
        <v>46067</v>
      </c>
      <c r="F558" s="3">
        <f>Table3[[#This Row],[BillAmount]]</f>
        <v>903.43</v>
      </c>
      <c r="G558" s="3">
        <f>SUMIF(Vendor_Payments!C:C,A558,Vendor_Payments!E:E)</f>
        <v>903.43</v>
      </c>
      <c r="H558" s="3">
        <f t="shared" si="24"/>
        <v>0</v>
      </c>
      <c r="I558">
        <f t="shared" si="25"/>
        <v>24</v>
      </c>
      <c r="J558" t="str">
        <f t="shared" si="26"/>
        <v>1-30</v>
      </c>
    </row>
    <row r="559" spans="1:10" x14ac:dyDescent="0.3">
      <c r="A559" t="str">
        <f>Table3[[#This Row],[BillID]]</f>
        <v>BILL-00558</v>
      </c>
      <c r="B559" t="str">
        <f>Table3[[#This Row],[VendorID]]</f>
        <v>VEN-021</v>
      </c>
      <c r="C559" t="str">
        <f>VLOOKUP(B559,Vendors!A:B,2,FALSE)</f>
        <v>Upwork Freelancers</v>
      </c>
      <c r="D559" s="9">
        <f>Table3[[#This Row],[BillDate]]</f>
        <v>46007</v>
      </c>
      <c r="E559" s="9">
        <f>Table3[[#This Row],[DueDate]]</f>
        <v>46037</v>
      </c>
      <c r="F559" s="3">
        <f>Table3[[#This Row],[BillAmount]]</f>
        <v>1744.3</v>
      </c>
      <c r="G559" s="3">
        <f>SUMIF(Vendor_Payments!C:C,A559,Vendor_Payments!E:E)</f>
        <v>1744.3</v>
      </c>
      <c r="H559" s="3">
        <f t="shared" si="24"/>
        <v>0</v>
      </c>
      <c r="I559">
        <f t="shared" si="25"/>
        <v>54</v>
      </c>
      <c r="J559" t="str">
        <f t="shared" si="26"/>
        <v>31-60</v>
      </c>
    </row>
    <row r="560" spans="1:10" x14ac:dyDescent="0.3">
      <c r="A560" t="str">
        <f>Table3[[#This Row],[BillID]]</f>
        <v>BILL-00559</v>
      </c>
      <c r="B560" t="str">
        <f>Table3[[#This Row],[VendorID]]</f>
        <v>VEN-009</v>
      </c>
      <c r="C560" t="str">
        <f>VLOOKUP(B560,Vendors!A:B,2,FALSE)</f>
        <v>SEMrush</v>
      </c>
      <c r="D560" s="9">
        <f>Table3[[#This Row],[BillDate]]</f>
        <v>45971</v>
      </c>
      <c r="E560" s="9">
        <f>Table3[[#This Row],[DueDate]]</f>
        <v>46001</v>
      </c>
      <c r="F560" s="3">
        <f>Table3[[#This Row],[BillAmount]]</f>
        <v>1005.67</v>
      </c>
      <c r="G560" s="3">
        <f>SUMIF(Vendor_Payments!C:C,A560,Vendor_Payments!E:E)</f>
        <v>1005.67</v>
      </c>
      <c r="H560" s="3">
        <f t="shared" si="24"/>
        <v>0</v>
      </c>
      <c r="I560">
        <f t="shared" si="25"/>
        <v>90</v>
      </c>
      <c r="J560" t="str">
        <f t="shared" si="26"/>
        <v>61-90</v>
      </c>
    </row>
    <row r="561" spans="1:10" x14ac:dyDescent="0.3">
      <c r="A561" t="str">
        <f>Table3[[#This Row],[BillID]]</f>
        <v>BILL-00560</v>
      </c>
      <c r="B561" t="str">
        <f>Table3[[#This Row],[VendorID]]</f>
        <v>VEN-021</v>
      </c>
      <c r="C561" t="str">
        <f>VLOOKUP(B561,Vendors!A:B,2,FALSE)</f>
        <v>Upwork Freelancers</v>
      </c>
      <c r="D561" s="9">
        <f>Table3[[#This Row],[BillDate]]</f>
        <v>45981</v>
      </c>
      <c r="E561" s="9">
        <f>Table3[[#This Row],[DueDate]]</f>
        <v>46011</v>
      </c>
      <c r="F561" s="3">
        <f>Table3[[#This Row],[BillAmount]]</f>
        <v>5963.5</v>
      </c>
      <c r="G561" s="3">
        <f>SUMIF(Vendor_Payments!C:C,A561,Vendor_Payments!E:E)</f>
        <v>5963.5</v>
      </c>
      <c r="H561" s="3">
        <f t="shared" si="24"/>
        <v>0</v>
      </c>
      <c r="I561">
        <f t="shared" si="25"/>
        <v>80</v>
      </c>
      <c r="J561" t="str">
        <f t="shared" si="26"/>
        <v>61-90</v>
      </c>
    </row>
    <row r="562" spans="1:10" x14ac:dyDescent="0.3">
      <c r="A562" t="str">
        <f>Table3[[#This Row],[BillID]]</f>
        <v>BILL-00561</v>
      </c>
      <c r="B562" t="str">
        <f>Table3[[#This Row],[VendorID]]</f>
        <v>VEN-009</v>
      </c>
      <c r="C562" t="str">
        <f>VLOOKUP(B562,Vendors!A:B,2,FALSE)</f>
        <v>SEMrush</v>
      </c>
      <c r="D562" s="9">
        <f>Table3[[#This Row],[BillDate]]</f>
        <v>46019</v>
      </c>
      <c r="E562" s="9">
        <f>Table3[[#This Row],[DueDate]]</f>
        <v>46049</v>
      </c>
      <c r="F562" s="3">
        <f>Table3[[#This Row],[BillAmount]]</f>
        <v>2640.48</v>
      </c>
      <c r="G562" s="3">
        <f>SUMIF(Vendor_Payments!C:C,A562,Vendor_Payments!E:E)</f>
        <v>2640.48</v>
      </c>
      <c r="H562" s="3">
        <f t="shared" si="24"/>
        <v>0</v>
      </c>
      <c r="I562">
        <f t="shared" si="25"/>
        <v>42</v>
      </c>
      <c r="J562" t="str">
        <f t="shared" si="26"/>
        <v>31-60</v>
      </c>
    </row>
    <row r="563" spans="1:10" x14ac:dyDescent="0.3">
      <c r="A563" t="str">
        <f>Table3[[#This Row],[BillID]]</f>
        <v>BILL-00562</v>
      </c>
      <c r="B563" t="str">
        <f>Table3[[#This Row],[VendorID]]</f>
        <v>VEN-010</v>
      </c>
      <c r="C563" t="str">
        <f>VLOOKUP(B563,Vendors!A:B,2,FALSE)</f>
        <v>Adobe Creative Cloud</v>
      </c>
      <c r="D563" s="9">
        <f>Table3[[#This Row],[BillDate]]</f>
        <v>45995</v>
      </c>
      <c r="E563" s="9">
        <f>Table3[[#This Row],[DueDate]]</f>
        <v>46025</v>
      </c>
      <c r="F563" s="3">
        <f>Table3[[#This Row],[BillAmount]]</f>
        <v>1144.79</v>
      </c>
      <c r="G563" s="3">
        <f>SUMIF(Vendor_Payments!C:C,A563,Vendor_Payments!E:E)</f>
        <v>1144.79</v>
      </c>
      <c r="H563" s="3">
        <f t="shared" si="24"/>
        <v>0</v>
      </c>
      <c r="I563">
        <f t="shared" si="25"/>
        <v>66</v>
      </c>
      <c r="J563" t="str">
        <f t="shared" si="26"/>
        <v>61-90</v>
      </c>
    </row>
    <row r="564" spans="1:10" x14ac:dyDescent="0.3">
      <c r="A564" t="str">
        <f>Table3[[#This Row],[BillID]]</f>
        <v>BILL-00563</v>
      </c>
      <c r="B564" t="str">
        <f>Table3[[#This Row],[VendorID]]</f>
        <v>VEN-002</v>
      </c>
      <c r="C564" t="str">
        <f>VLOOKUP(B564,Vendors!A:B,2,FALSE)</f>
        <v>Meta Ads</v>
      </c>
      <c r="D564" s="9">
        <f>Table3[[#This Row],[BillDate]]</f>
        <v>45987</v>
      </c>
      <c r="E564" s="9">
        <f>Table3[[#This Row],[DueDate]]</f>
        <v>46017</v>
      </c>
      <c r="F564" s="3">
        <f>Table3[[#This Row],[BillAmount]]</f>
        <v>4335.41</v>
      </c>
      <c r="G564" s="3">
        <f>SUMIF(Vendor_Payments!C:C,A564,Vendor_Payments!E:E)</f>
        <v>4335.41</v>
      </c>
      <c r="H564" s="3">
        <f t="shared" si="24"/>
        <v>0</v>
      </c>
      <c r="I564">
        <f t="shared" si="25"/>
        <v>74</v>
      </c>
      <c r="J564" t="str">
        <f t="shared" si="26"/>
        <v>61-90</v>
      </c>
    </row>
    <row r="565" spans="1:10" x14ac:dyDescent="0.3">
      <c r="A565" t="str">
        <f>Table3[[#This Row],[BillID]]</f>
        <v>BILL-00564</v>
      </c>
      <c r="B565" t="str">
        <f>Table3[[#This Row],[VendorID]]</f>
        <v>VEN-039</v>
      </c>
      <c r="C565" t="str">
        <f>VLOOKUP(B565,Vendors!A:B,2,FALSE)</f>
        <v>Global Growth Advisors</v>
      </c>
      <c r="D565" s="9">
        <f>Table3[[#This Row],[BillDate]]</f>
        <v>46024</v>
      </c>
      <c r="E565" s="9">
        <f>Table3[[#This Row],[DueDate]]</f>
        <v>46054</v>
      </c>
      <c r="F565" s="3">
        <f>Table3[[#This Row],[BillAmount]]</f>
        <v>6642.94</v>
      </c>
      <c r="G565" s="3">
        <f>SUMIF(Vendor_Payments!C:C,A565,Vendor_Payments!E:E)</f>
        <v>6642.94</v>
      </c>
      <c r="H565" s="3">
        <f t="shared" si="24"/>
        <v>0</v>
      </c>
      <c r="I565">
        <f t="shared" si="25"/>
        <v>37</v>
      </c>
      <c r="J565" t="str">
        <f t="shared" si="26"/>
        <v>31-60</v>
      </c>
    </row>
    <row r="566" spans="1:10" x14ac:dyDescent="0.3">
      <c r="A566" t="str">
        <f>Table3[[#This Row],[BillID]]</f>
        <v>BILL-00565</v>
      </c>
      <c r="B566" t="str">
        <f>Table3[[#This Row],[VendorID]]</f>
        <v>VEN-040</v>
      </c>
      <c r="C566" t="str">
        <f>VLOOKUP(B566,Vendors!A:B,2,FALSE)</f>
        <v>Digital Performance Lab</v>
      </c>
      <c r="D566" s="9">
        <f>Table3[[#This Row],[BillDate]]</f>
        <v>45966</v>
      </c>
      <c r="E566" s="9">
        <f>Table3[[#This Row],[DueDate]]</f>
        <v>45996</v>
      </c>
      <c r="F566" s="3">
        <f>Table3[[#This Row],[BillAmount]]</f>
        <v>3284.21</v>
      </c>
      <c r="G566" s="3">
        <f>SUMIF(Vendor_Payments!C:C,A566,Vendor_Payments!E:E)</f>
        <v>0</v>
      </c>
      <c r="H566" s="3">
        <f t="shared" si="24"/>
        <v>3284.21</v>
      </c>
      <c r="I566">
        <f t="shared" si="25"/>
        <v>95</v>
      </c>
      <c r="J566" t="str">
        <f t="shared" si="26"/>
        <v>90+</v>
      </c>
    </row>
    <row r="567" spans="1:10" x14ac:dyDescent="0.3">
      <c r="A567" t="str">
        <f>Table3[[#This Row],[BillID]]</f>
        <v>BILL-00566</v>
      </c>
      <c r="B567" t="str">
        <f>Table3[[#This Row],[VendorID]]</f>
        <v>VEN-003</v>
      </c>
      <c r="C567" t="str">
        <f>VLOOKUP(B567,Vendors!A:B,2,FALSE)</f>
        <v>TikTok Ads</v>
      </c>
      <c r="D567" s="9">
        <f>Table3[[#This Row],[BillDate]]</f>
        <v>46069</v>
      </c>
      <c r="E567" s="9">
        <f>Table3[[#This Row],[DueDate]]</f>
        <v>46099</v>
      </c>
      <c r="F567" s="3">
        <f>Table3[[#This Row],[BillAmount]]</f>
        <v>4824.0200000000004</v>
      </c>
      <c r="G567" s="3">
        <f>SUMIF(Vendor_Payments!C:C,A567,Vendor_Payments!E:E)</f>
        <v>0</v>
      </c>
      <c r="H567" s="3">
        <f t="shared" si="24"/>
        <v>4824.0200000000004</v>
      </c>
      <c r="I567">
        <f t="shared" si="25"/>
        <v>-8</v>
      </c>
      <c r="J567" t="str">
        <f t="shared" si="26"/>
        <v>Current</v>
      </c>
    </row>
    <row r="568" spans="1:10" x14ac:dyDescent="0.3">
      <c r="A568" t="str">
        <f>Table3[[#This Row],[BillID]]</f>
        <v>BILL-00567</v>
      </c>
      <c r="B568" t="str">
        <f>Table3[[#This Row],[VendorID]]</f>
        <v>VEN-009</v>
      </c>
      <c r="C568" t="str">
        <f>VLOOKUP(B568,Vendors!A:B,2,FALSE)</f>
        <v>SEMrush</v>
      </c>
      <c r="D568" s="9">
        <f>Table3[[#This Row],[BillDate]]</f>
        <v>46039</v>
      </c>
      <c r="E568" s="9">
        <f>Table3[[#This Row],[DueDate]]</f>
        <v>46069</v>
      </c>
      <c r="F568" s="3">
        <f>Table3[[#This Row],[BillAmount]]</f>
        <v>6251.95</v>
      </c>
      <c r="G568" s="3">
        <f>SUMIF(Vendor_Payments!C:C,A568,Vendor_Payments!E:E)</f>
        <v>6251.95</v>
      </c>
      <c r="H568" s="3">
        <f t="shared" si="24"/>
        <v>0</v>
      </c>
      <c r="I568">
        <f t="shared" si="25"/>
        <v>22</v>
      </c>
      <c r="J568" t="str">
        <f t="shared" si="26"/>
        <v>1-30</v>
      </c>
    </row>
    <row r="569" spans="1:10" x14ac:dyDescent="0.3">
      <c r="A569" t="str">
        <f>Table3[[#This Row],[BillID]]</f>
        <v>BILL-00568</v>
      </c>
      <c r="B569" t="str">
        <f>Table3[[#This Row],[VendorID]]</f>
        <v>VEN-016</v>
      </c>
      <c r="C569" t="str">
        <f>VLOOKUP(B569,Vendors!A:B,2,FALSE)</f>
        <v>Stripe</v>
      </c>
      <c r="D569" s="9">
        <f>Table3[[#This Row],[BillDate]]</f>
        <v>46026</v>
      </c>
      <c r="E569" s="9">
        <f>Table3[[#This Row],[DueDate]]</f>
        <v>46056</v>
      </c>
      <c r="F569" s="3">
        <f>Table3[[#This Row],[BillAmount]]</f>
        <v>4693.2700000000004</v>
      </c>
      <c r="G569" s="3">
        <f>SUMIF(Vendor_Payments!C:C,A569,Vendor_Payments!E:E)</f>
        <v>4693.2700000000004</v>
      </c>
      <c r="H569" s="3">
        <f t="shared" si="24"/>
        <v>0</v>
      </c>
      <c r="I569">
        <f t="shared" si="25"/>
        <v>35</v>
      </c>
      <c r="J569" t="str">
        <f t="shared" si="26"/>
        <v>31-60</v>
      </c>
    </row>
    <row r="570" spans="1:10" x14ac:dyDescent="0.3">
      <c r="A570" t="str">
        <f>Table3[[#This Row],[BillID]]</f>
        <v>BILL-00569</v>
      </c>
      <c r="B570" t="str">
        <f>Table3[[#This Row],[VendorID]]</f>
        <v>VEN-027</v>
      </c>
      <c r="C570" t="str">
        <f>VLOOKUP(B570,Vendors!A:B,2,FALSE)</f>
        <v>DevCraft Agency</v>
      </c>
      <c r="D570" s="9">
        <f>Table3[[#This Row],[BillDate]]</f>
        <v>46065</v>
      </c>
      <c r="E570" s="9">
        <f>Table3[[#This Row],[DueDate]]</f>
        <v>46095</v>
      </c>
      <c r="F570" s="3">
        <f>Table3[[#This Row],[BillAmount]]</f>
        <v>1423.13</v>
      </c>
      <c r="G570" s="3">
        <f>SUMIF(Vendor_Payments!C:C,A570,Vendor_Payments!E:E)</f>
        <v>1423.13</v>
      </c>
      <c r="H570" s="3">
        <f t="shared" si="24"/>
        <v>0</v>
      </c>
      <c r="I570">
        <f t="shared" si="25"/>
        <v>-4</v>
      </c>
      <c r="J570" t="str">
        <f t="shared" si="26"/>
        <v>Current</v>
      </c>
    </row>
    <row r="571" spans="1:10" x14ac:dyDescent="0.3">
      <c r="A571" t="str">
        <f>Table3[[#This Row],[BillID]]</f>
        <v>BILL-00570</v>
      </c>
      <c r="B571" t="str">
        <f>Table3[[#This Row],[VendorID]]</f>
        <v>VEN-031</v>
      </c>
      <c r="C571" t="str">
        <f>VLOOKUP(B571,Vendors!A:B,2,FALSE)</f>
        <v>DataInsight Analytics</v>
      </c>
      <c r="D571" s="9">
        <f>Table3[[#This Row],[BillDate]]</f>
        <v>45999</v>
      </c>
      <c r="E571" s="9">
        <f>Table3[[#This Row],[DueDate]]</f>
        <v>46029</v>
      </c>
      <c r="F571" s="3">
        <f>Table3[[#This Row],[BillAmount]]</f>
        <v>1748.2</v>
      </c>
      <c r="G571" s="3">
        <f>SUMIF(Vendor_Payments!C:C,A571,Vendor_Payments!E:E)</f>
        <v>0</v>
      </c>
      <c r="H571" s="3">
        <f t="shared" si="24"/>
        <v>1748.2</v>
      </c>
      <c r="I571">
        <f t="shared" si="25"/>
        <v>62</v>
      </c>
      <c r="J571" t="str">
        <f t="shared" si="26"/>
        <v>61-90</v>
      </c>
    </row>
    <row r="572" spans="1:10" x14ac:dyDescent="0.3">
      <c r="A572" t="str">
        <f>Table3[[#This Row],[BillID]]</f>
        <v>BILL-00571</v>
      </c>
      <c r="B572" t="str">
        <f>Table3[[#This Row],[VendorID]]</f>
        <v>VEN-019</v>
      </c>
      <c r="C572" t="str">
        <f>VLOOKUP(B572,Vendors!A:B,2,FALSE)</f>
        <v>Notion</v>
      </c>
      <c r="D572" s="9">
        <f>Table3[[#This Row],[BillDate]]</f>
        <v>46036</v>
      </c>
      <c r="E572" s="9">
        <f>Table3[[#This Row],[DueDate]]</f>
        <v>46066</v>
      </c>
      <c r="F572" s="3">
        <f>Table3[[#This Row],[BillAmount]]</f>
        <v>6067.36</v>
      </c>
      <c r="G572" s="3">
        <f>SUMIF(Vendor_Payments!C:C,A572,Vendor_Payments!E:E)</f>
        <v>6067.36</v>
      </c>
      <c r="H572" s="3">
        <f t="shared" si="24"/>
        <v>0</v>
      </c>
      <c r="I572">
        <f t="shared" si="25"/>
        <v>25</v>
      </c>
      <c r="J572" t="str">
        <f t="shared" si="26"/>
        <v>1-30</v>
      </c>
    </row>
    <row r="573" spans="1:10" x14ac:dyDescent="0.3">
      <c r="A573" t="str">
        <f>Table3[[#This Row],[BillID]]</f>
        <v>BILL-00572</v>
      </c>
      <c r="B573" t="str">
        <f>Table3[[#This Row],[VendorID]]</f>
        <v>VEN-032</v>
      </c>
      <c r="C573" t="str">
        <f>VLOOKUP(B573,Vendors!A:B,2,FALSE)</f>
        <v>Marketing Automation Labs</v>
      </c>
      <c r="D573" s="9">
        <f>Table3[[#This Row],[BillDate]]</f>
        <v>46066</v>
      </c>
      <c r="E573" s="9">
        <f>Table3[[#This Row],[DueDate]]</f>
        <v>46096</v>
      </c>
      <c r="F573" s="3">
        <f>Table3[[#This Row],[BillAmount]]</f>
        <v>2397.29</v>
      </c>
      <c r="G573" s="3">
        <f>SUMIF(Vendor_Payments!C:C,A573,Vendor_Payments!E:E)</f>
        <v>0</v>
      </c>
      <c r="H573" s="3">
        <f t="shared" si="24"/>
        <v>2397.29</v>
      </c>
      <c r="I573">
        <f t="shared" si="25"/>
        <v>-5</v>
      </c>
      <c r="J573" t="str">
        <f t="shared" si="26"/>
        <v>Current</v>
      </c>
    </row>
    <row r="574" spans="1:10" x14ac:dyDescent="0.3">
      <c r="A574" t="str">
        <f>Table3[[#This Row],[BillID]]</f>
        <v>BILL-00573</v>
      </c>
      <c r="B574" t="str">
        <f>Table3[[#This Row],[VendorID]]</f>
        <v>VEN-005</v>
      </c>
      <c r="C574" t="str">
        <f>VLOOKUP(B574,Vendors!A:B,2,FALSE)</f>
        <v>HubSpot</v>
      </c>
      <c r="D574" s="9">
        <f>Table3[[#This Row],[BillDate]]</f>
        <v>46076</v>
      </c>
      <c r="E574" s="9">
        <f>Table3[[#This Row],[DueDate]]</f>
        <v>46106</v>
      </c>
      <c r="F574" s="3">
        <f>Table3[[#This Row],[BillAmount]]</f>
        <v>4871.22</v>
      </c>
      <c r="G574" s="3">
        <f>SUMIF(Vendor_Payments!C:C,A574,Vendor_Payments!E:E)</f>
        <v>4871.22</v>
      </c>
      <c r="H574" s="3">
        <f t="shared" si="24"/>
        <v>0</v>
      </c>
      <c r="I574">
        <f t="shared" si="25"/>
        <v>-15</v>
      </c>
      <c r="J574" t="str">
        <f t="shared" si="26"/>
        <v>Current</v>
      </c>
    </row>
    <row r="575" spans="1:10" x14ac:dyDescent="0.3">
      <c r="A575" t="str">
        <f>Table3[[#This Row],[BillID]]</f>
        <v>BILL-00574</v>
      </c>
      <c r="B575" t="str">
        <f>Table3[[#This Row],[VendorID]]</f>
        <v>VEN-026</v>
      </c>
      <c r="C575" t="str">
        <f>VLOOKUP(B575,Vendors!A:B,2,FALSE)</f>
        <v>PixelForge Studio</v>
      </c>
      <c r="D575" s="9">
        <f>Table3[[#This Row],[BillDate]]</f>
        <v>46035</v>
      </c>
      <c r="E575" s="9">
        <f>Table3[[#This Row],[DueDate]]</f>
        <v>46065</v>
      </c>
      <c r="F575" s="3">
        <f>Table3[[#This Row],[BillAmount]]</f>
        <v>1400.99</v>
      </c>
      <c r="G575" s="3">
        <f>SUMIF(Vendor_Payments!C:C,A575,Vendor_Payments!E:E)</f>
        <v>1400.99</v>
      </c>
      <c r="H575" s="3">
        <f t="shared" si="24"/>
        <v>0</v>
      </c>
      <c r="I575">
        <f t="shared" si="25"/>
        <v>26</v>
      </c>
      <c r="J575" t="str">
        <f t="shared" si="26"/>
        <v>1-30</v>
      </c>
    </row>
    <row r="576" spans="1:10" x14ac:dyDescent="0.3">
      <c r="A576" t="str">
        <f>Table3[[#This Row],[BillID]]</f>
        <v>BILL-00575</v>
      </c>
      <c r="B576" t="str">
        <f>Table3[[#This Row],[VendorID]]</f>
        <v>VEN-013</v>
      </c>
      <c r="C576" t="str">
        <f>VLOOKUP(B576,Vendors!A:B,2,FALSE)</f>
        <v>Canva Pro</v>
      </c>
      <c r="D576" s="9">
        <f>Table3[[#This Row],[BillDate]]</f>
        <v>46067</v>
      </c>
      <c r="E576" s="9">
        <f>Table3[[#This Row],[DueDate]]</f>
        <v>46097</v>
      </c>
      <c r="F576" s="3">
        <f>Table3[[#This Row],[BillAmount]]</f>
        <v>4782.6499999999996</v>
      </c>
      <c r="G576" s="3">
        <f>SUMIF(Vendor_Payments!C:C,A576,Vendor_Payments!E:E)</f>
        <v>4782.6499999999996</v>
      </c>
      <c r="H576" s="3">
        <f t="shared" si="24"/>
        <v>0</v>
      </c>
      <c r="I576">
        <f t="shared" si="25"/>
        <v>-6</v>
      </c>
      <c r="J576" t="str">
        <f t="shared" si="26"/>
        <v>Current</v>
      </c>
    </row>
    <row r="577" spans="1:10" x14ac:dyDescent="0.3">
      <c r="A577" t="str">
        <f>Table3[[#This Row],[BillID]]</f>
        <v>BILL-00576</v>
      </c>
      <c r="B577" t="str">
        <f>Table3[[#This Row],[VendorID]]</f>
        <v>VEN-015</v>
      </c>
      <c r="C577" t="str">
        <f>VLOOKUP(B577,Vendors!A:B,2,FALSE)</f>
        <v>Zapier</v>
      </c>
      <c r="D577" s="9">
        <f>Table3[[#This Row],[BillDate]]</f>
        <v>46015</v>
      </c>
      <c r="E577" s="9">
        <f>Table3[[#This Row],[DueDate]]</f>
        <v>46045</v>
      </c>
      <c r="F577" s="3">
        <f>Table3[[#This Row],[BillAmount]]</f>
        <v>3398.07</v>
      </c>
      <c r="G577" s="3">
        <f>SUMIF(Vendor_Payments!C:C,A577,Vendor_Payments!E:E)</f>
        <v>0</v>
      </c>
      <c r="H577" s="3">
        <f t="shared" si="24"/>
        <v>3398.07</v>
      </c>
      <c r="I577">
        <f t="shared" si="25"/>
        <v>46</v>
      </c>
      <c r="J577" t="str">
        <f t="shared" si="26"/>
        <v>31-60</v>
      </c>
    </row>
    <row r="578" spans="1:10" x14ac:dyDescent="0.3">
      <c r="A578" t="str">
        <f>Table3[[#This Row],[BillID]]</f>
        <v>BILL-00577</v>
      </c>
      <c r="B578" t="str">
        <f>Table3[[#This Row],[VendorID]]</f>
        <v>VEN-012</v>
      </c>
      <c r="C578" t="str">
        <f>VLOOKUP(B578,Vendors!A:B,2,FALSE)</f>
        <v>Google Cloud</v>
      </c>
      <c r="D578" s="9">
        <f>Table3[[#This Row],[BillDate]]</f>
        <v>45979</v>
      </c>
      <c r="E578" s="9">
        <f>Table3[[#This Row],[DueDate]]</f>
        <v>46009</v>
      </c>
      <c r="F578" s="3">
        <f>Table3[[#This Row],[BillAmount]]</f>
        <v>6789.19</v>
      </c>
      <c r="G578" s="3">
        <f>SUMIF(Vendor_Payments!C:C,A578,Vendor_Payments!E:E)</f>
        <v>6789.19</v>
      </c>
      <c r="H578" s="3">
        <f t="shared" si="24"/>
        <v>0</v>
      </c>
      <c r="I578">
        <f t="shared" si="25"/>
        <v>82</v>
      </c>
      <c r="J578" t="str">
        <f t="shared" si="26"/>
        <v>61-90</v>
      </c>
    </row>
    <row r="579" spans="1:10" x14ac:dyDescent="0.3">
      <c r="A579" t="str">
        <f>Table3[[#This Row],[BillID]]</f>
        <v>BILL-00578</v>
      </c>
      <c r="B579" t="str">
        <f>Table3[[#This Row],[VendorID]]</f>
        <v>VEN-038</v>
      </c>
      <c r="C579" t="str">
        <f>VLOOKUP(B579,Vendors!A:B,2,FALSE)</f>
        <v>Insight Marketing Partners</v>
      </c>
      <c r="D579" s="9">
        <f>Table3[[#This Row],[BillDate]]</f>
        <v>46088</v>
      </c>
      <c r="E579" s="9">
        <f>Table3[[#This Row],[DueDate]]</f>
        <v>46118</v>
      </c>
      <c r="F579" s="3">
        <f>Table3[[#This Row],[BillAmount]]</f>
        <v>4505.25</v>
      </c>
      <c r="G579" s="3">
        <f>SUMIF(Vendor_Payments!C:C,A579,Vendor_Payments!E:E)</f>
        <v>4505.25</v>
      </c>
      <c r="H579" s="3">
        <f t="shared" ref="H579:H642" si="27">F579-G579</f>
        <v>0</v>
      </c>
      <c r="I579">
        <f t="shared" ref="I579:I642" si="28">$L$1-E579</f>
        <v>-27</v>
      </c>
      <c r="J579" t="str">
        <f t="shared" ref="J579:J642" si="29">IF(I579&lt;=0,"Current",IF(I579&lt;=30,"1-30",IF(I579&lt;=60,"31-60",IF(I579&lt;=90,"61-90","90+"))))</f>
        <v>Current</v>
      </c>
    </row>
    <row r="580" spans="1:10" x14ac:dyDescent="0.3">
      <c r="A580" t="str">
        <f>Table3[[#This Row],[BillID]]</f>
        <v>BILL-00579</v>
      </c>
      <c r="B580" t="str">
        <f>Table3[[#This Row],[VendorID]]</f>
        <v>VEN-031</v>
      </c>
      <c r="C580" t="str">
        <f>VLOOKUP(B580,Vendors!A:B,2,FALSE)</f>
        <v>DataInsight Analytics</v>
      </c>
      <c r="D580" s="9">
        <f>Table3[[#This Row],[BillDate]]</f>
        <v>45982</v>
      </c>
      <c r="E580" s="9">
        <f>Table3[[#This Row],[DueDate]]</f>
        <v>46012</v>
      </c>
      <c r="F580" s="3">
        <f>Table3[[#This Row],[BillAmount]]</f>
        <v>1998.93</v>
      </c>
      <c r="G580" s="3">
        <f>SUMIF(Vendor_Payments!C:C,A580,Vendor_Payments!E:E)</f>
        <v>1998.93</v>
      </c>
      <c r="H580" s="3">
        <f t="shared" si="27"/>
        <v>0</v>
      </c>
      <c r="I580">
        <f t="shared" si="28"/>
        <v>79</v>
      </c>
      <c r="J580" t="str">
        <f t="shared" si="29"/>
        <v>61-90</v>
      </c>
    </row>
    <row r="581" spans="1:10" x14ac:dyDescent="0.3">
      <c r="A581" t="str">
        <f>Table3[[#This Row],[BillID]]</f>
        <v>BILL-00580</v>
      </c>
      <c r="B581" t="str">
        <f>Table3[[#This Row],[VendorID]]</f>
        <v>VEN-012</v>
      </c>
      <c r="C581" t="str">
        <f>VLOOKUP(B581,Vendors!A:B,2,FALSE)</f>
        <v>Google Cloud</v>
      </c>
      <c r="D581" s="9">
        <f>Table3[[#This Row],[BillDate]]</f>
        <v>46077</v>
      </c>
      <c r="E581" s="9">
        <f>Table3[[#This Row],[DueDate]]</f>
        <v>46107</v>
      </c>
      <c r="F581" s="3">
        <f>Table3[[#This Row],[BillAmount]]</f>
        <v>5824.26</v>
      </c>
      <c r="G581" s="3">
        <f>SUMIF(Vendor_Payments!C:C,A581,Vendor_Payments!E:E)</f>
        <v>0</v>
      </c>
      <c r="H581" s="3">
        <f t="shared" si="27"/>
        <v>5824.26</v>
      </c>
      <c r="I581">
        <f t="shared" si="28"/>
        <v>-16</v>
      </c>
      <c r="J581" t="str">
        <f t="shared" si="29"/>
        <v>Current</v>
      </c>
    </row>
    <row r="582" spans="1:10" x14ac:dyDescent="0.3">
      <c r="A582" t="str">
        <f>Table3[[#This Row],[BillID]]</f>
        <v>BILL-00581</v>
      </c>
      <c r="B582" t="str">
        <f>Table3[[#This Row],[VendorID]]</f>
        <v>VEN-029</v>
      </c>
      <c r="C582" t="str">
        <f>VLOOKUP(B582,Vendors!A:B,2,FALSE)</f>
        <v>BrightSEO Agency</v>
      </c>
      <c r="D582" s="9">
        <f>Table3[[#This Row],[BillDate]]</f>
        <v>46085</v>
      </c>
      <c r="E582" s="9">
        <f>Table3[[#This Row],[DueDate]]</f>
        <v>46115</v>
      </c>
      <c r="F582" s="3">
        <f>Table3[[#This Row],[BillAmount]]</f>
        <v>2576.9899999999998</v>
      </c>
      <c r="G582" s="3">
        <f>SUMIF(Vendor_Payments!C:C,A582,Vendor_Payments!E:E)</f>
        <v>2576.9899999999998</v>
      </c>
      <c r="H582" s="3">
        <f t="shared" si="27"/>
        <v>0</v>
      </c>
      <c r="I582">
        <f t="shared" si="28"/>
        <v>-24</v>
      </c>
      <c r="J582" t="str">
        <f t="shared" si="29"/>
        <v>Current</v>
      </c>
    </row>
    <row r="583" spans="1:10" x14ac:dyDescent="0.3">
      <c r="A583" t="str">
        <f>Table3[[#This Row],[BillID]]</f>
        <v>BILL-00582</v>
      </c>
      <c r="B583" t="str">
        <f>Table3[[#This Row],[VendorID]]</f>
        <v>VEN-032</v>
      </c>
      <c r="C583" t="str">
        <f>VLOOKUP(B583,Vendors!A:B,2,FALSE)</f>
        <v>Marketing Automation Labs</v>
      </c>
      <c r="D583" s="9">
        <f>Table3[[#This Row],[BillDate]]</f>
        <v>46066</v>
      </c>
      <c r="E583" s="9">
        <f>Table3[[#This Row],[DueDate]]</f>
        <v>46096</v>
      </c>
      <c r="F583" s="3">
        <f>Table3[[#This Row],[BillAmount]]</f>
        <v>3473.76</v>
      </c>
      <c r="G583" s="3">
        <f>SUMIF(Vendor_Payments!C:C,A583,Vendor_Payments!E:E)</f>
        <v>3473.76</v>
      </c>
      <c r="H583" s="3">
        <f t="shared" si="27"/>
        <v>0</v>
      </c>
      <c r="I583">
        <f t="shared" si="28"/>
        <v>-5</v>
      </c>
      <c r="J583" t="str">
        <f t="shared" si="29"/>
        <v>Current</v>
      </c>
    </row>
    <row r="584" spans="1:10" x14ac:dyDescent="0.3">
      <c r="A584" t="str">
        <f>Table3[[#This Row],[BillID]]</f>
        <v>BILL-00583</v>
      </c>
      <c r="B584" t="str">
        <f>Table3[[#This Row],[VendorID]]</f>
        <v>VEN-009</v>
      </c>
      <c r="C584" t="str">
        <f>VLOOKUP(B584,Vendors!A:B,2,FALSE)</f>
        <v>SEMrush</v>
      </c>
      <c r="D584" s="9">
        <f>Table3[[#This Row],[BillDate]]</f>
        <v>46031</v>
      </c>
      <c r="E584" s="9">
        <f>Table3[[#This Row],[DueDate]]</f>
        <v>46061</v>
      </c>
      <c r="F584" s="3">
        <f>Table3[[#This Row],[BillAmount]]</f>
        <v>5601.69</v>
      </c>
      <c r="G584" s="3">
        <f>SUMIF(Vendor_Payments!C:C,A584,Vendor_Payments!E:E)</f>
        <v>5601.69</v>
      </c>
      <c r="H584" s="3">
        <f t="shared" si="27"/>
        <v>0</v>
      </c>
      <c r="I584">
        <f t="shared" si="28"/>
        <v>30</v>
      </c>
      <c r="J584" t="str">
        <f t="shared" si="29"/>
        <v>1-30</v>
      </c>
    </row>
    <row r="585" spans="1:10" x14ac:dyDescent="0.3">
      <c r="A585" t="str">
        <f>Table3[[#This Row],[BillID]]</f>
        <v>BILL-00584</v>
      </c>
      <c r="B585" t="str">
        <f>Table3[[#This Row],[VendorID]]</f>
        <v>VEN-031</v>
      </c>
      <c r="C585" t="str">
        <f>VLOOKUP(B585,Vendors!A:B,2,FALSE)</f>
        <v>DataInsight Analytics</v>
      </c>
      <c r="D585" s="9">
        <f>Table3[[#This Row],[BillDate]]</f>
        <v>46039</v>
      </c>
      <c r="E585" s="9">
        <f>Table3[[#This Row],[DueDate]]</f>
        <v>46069</v>
      </c>
      <c r="F585" s="3">
        <f>Table3[[#This Row],[BillAmount]]</f>
        <v>3363.94</v>
      </c>
      <c r="G585" s="3">
        <f>SUMIF(Vendor_Payments!C:C,A585,Vendor_Payments!E:E)</f>
        <v>3363.94</v>
      </c>
      <c r="H585" s="3">
        <f t="shared" si="27"/>
        <v>0</v>
      </c>
      <c r="I585">
        <f t="shared" si="28"/>
        <v>22</v>
      </c>
      <c r="J585" t="str">
        <f t="shared" si="29"/>
        <v>1-30</v>
      </c>
    </row>
    <row r="586" spans="1:10" x14ac:dyDescent="0.3">
      <c r="A586" t="str">
        <f>Table3[[#This Row],[BillID]]</f>
        <v>BILL-00585</v>
      </c>
      <c r="B586" t="str">
        <f>Table3[[#This Row],[VendorID]]</f>
        <v>VEN-005</v>
      </c>
      <c r="C586" t="str">
        <f>VLOOKUP(B586,Vendors!A:B,2,FALSE)</f>
        <v>HubSpot</v>
      </c>
      <c r="D586" s="9">
        <f>Table3[[#This Row],[BillDate]]</f>
        <v>45966</v>
      </c>
      <c r="E586" s="9">
        <f>Table3[[#This Row],[DueDate]]</f>
        <v>45996</v>
      </c>
      <c r="F586" s="3">
        <f>Table3[[#This Row],[BillAmount]]</f>
        <v>5675.85</v>
      </c>
      <c r="G586" s="3">
        <f>SUMIF(Vendor_Payments!C:C,A586,Vendor_Payments!E:E)</f>
        <v>5675.85</v>
      </c>
      <c r="H586" s="3">
        <f t="shared" si="27"/>
        <v>0</v>
      </c>
      <c r="I586">
        <f t="shared" si="28"/>
        <v>95</v>
      </c>
      <c r="J586" t="str">
        <f t="shared" si="29"/>
        <v>90+</v>
      </c>
    </row>
    <row r="587" spans="1:10" x14ac:dyDescent="0.3">
      <c r="A587" t="str">
        <f>Table3[[#This Row],[BillID]]</f>
        <v>BILL-00586</v>
      </c>
      <c r="B587" t="str">
        <f>Table3[[#This Row],[VendorID]]</f>
        <v>VEN-023</v>
      </c>
      <c r="C587" t="str">
        <f>VLOOKUP(B587,Vendors!A:B,2,FALSE)</f>
        <v>Fiverr Pro</v>
      </c>
      <c r="D587" s="9">
        <f>Table3[[#This Row],[BillDate]]</f>
        <v>46069</v>
      </c>
      <c r="E587" s="9">
        <f>Table3[[#This Row],[DueDate]]</f>
        <v>46099</v>
      </c>
      <c r="F587" s="3">
        <f>Table3[[#This Row],[BillAmount]]</f>
        <v>1356.94</v>
      </c>
      <c r="G587" s="3">
        <f>SUMIF(Vendor_Payments!C:C,A587,Vendor_Payments!E:E)</f>
        <v>1356.94</v>
      </c>
      <c r="H587" s="3">
        <f t="shared" si="27"/>
        <v>0</v>
      </c>
      <c r="I587">
        <f t="shared" si="28"/>
        <v>-8</v>
      </c>
      <c r="J587" t="str">
        <f t="shared" si="29"/>
        <v>Current</v>
      </c>
    </row>
    <row r="588" spans="1:10" x14ac:dyDescent="0.3">
      <c r="A588" t="str">
        <f>Table3[[#This Row],[BillID]]</f>
        <v>BILL-00587</v>
      </c>
      <c r="B588" t="str">
        <f>Table3[[#This Row],[VendorID]]</f>
        <v>VEN-035</v>
      </c>
      <c r="C588" t="str">
        <f>VLOOKUP(B588,Vendors!A:B,2,FALSE)</f>
        <v>ClickFlow Marketing</v>
      </c>
      <c r="D588" s="9">
        <f>Table3[[#This Row],[BillDate]]</f>
        <v>46062</v>
      </c>
      <c r="E588" s="9">
        <f>Table3[[#This Row],[DueDate]]</f>
        <v>46092</v>
      </c>
      <c r="F588" s="3">
        <f>Table3[[#This Row],[BillAmount]]</f>
        <v>4477.1499999999996</v>
      </c>
      <c r="G588" s="3">
        <f>SUMIF(Vendor_Payments!C:C,A588,Vendor_Payments!E:E)</f>
        <v>4477.1499999999996</v>
      </c>
      <c r="H588" s="3">
        <f t="shared" si="27"/>
        <v>0</v>
      </c>
      <c r="I588">
        <f t="shared" si="28"/>
        <v>-1</v>
      </c>
      <c r="J588" t="str">
        <f t="shared" si="29"/>
        <v>Current</v>
      </c>
    </row>
    <row r="589" spans="1:10" x14ac:dyDescent="0.3">
      <c r="A589" t="str">
        <f>Table3[[#This Row],[BillID]]</f>
        <v>BILL-00588</v>
      </c>
      <c r="B589" t="str">
        <f>Table3[[#This Row],[VendorID]]</f>
        <v>VEN-013</v>
      </c>
      <c r="C589" t="str">
        <f>VLOOKUP(B589,Vendors!A:B,2,FALSE)</f>
        <v>Canva Pro</v>
      </c>
      <c r="D589" s="9">
        <f>Table3[[#This Row],[BillDate]]</f>
        <v>46023</v>
      </c>
      <c r="E589" s="9">
        <f>Table3[[#This Row],[DueDate]]</f>
        <v>46053</v>
      </c>
      <c r="F589" s="3">
        <f>Table3[[#This Row],[BillAmount]]</f>
        <v>6823.92</v>
      </c>
      <c r="G589" s="3">
        <f>SUMIF(Vendor_Payments!C:C,A589,Vendor_Payments!E:E)</f>
        <v>6823.92</v>
      </c>
      <c r="H589" s="3">
        <f t="shared" si="27"/>
        <v>0</v>
      </c>
      <c r="I589">
        <f t="shared" si="28"/>
        <v>38</v>
      </c>
      <c r="J589" t="str">
        <f t="shared" si="29"/>
        <v>31-60</v>
      </c>
    </row>
    <row r="590" spans="1:10" x14ac:dyDescent="0.3">
      <c r="A590" t="str">
        <f>Table3[[#This Row],[BillID]]</f>
        <v>BILL-00589</v>
      </c>
      <c r="B590" t="str">
        <f>Table3[[#This Row],[VendorID]]</f>
        <v>VEN-036</v>
      </c>
      <c r="C590" t="str">
        <f>VLOOKUP(B590,Vendors!A:B,2,FALSE)</f>
        <v>WebDev Masters</v>
      </c>
      <c r="D590" s="9">
        <f>Table3[[#This Row],[BillDate]]</f>
        <v>46066</v>
      </c>
      <c r="E590" s="9">
        <f>Table3[[#This Row],[DueDate]]</f>
        <v>46096</v>
      </c>
      <c r="F590" s="3">
        <f>Table3[[#This Row],[BillAmount]]</f>
        <v>5727.67</v>
      </c>
      <c r="G590" s="3">
        <f>SUMIF(Vendor_Payments!C:C,A590,Vendor_Payments!E:E)</f>
        <v>5727.67</v>
      </c>
      <c r="H590" s="3">
        <f t="shared" si="27"/>
        <v>0</v>
      </c>
      <c r="I590">
        <f t="shared" si="28"/>
        <v>-5</v>
      </c>
      <c r="J590" t="str">
        <f t="shared" si="29"/>
        <v>Current</v>
      </c>
    </row>
    <row r="591" spans="1:10" x14ac:dyDescent="0.3">
      <c r="A591" t="str">
        <f>Table3[[#This Row],[BillID]]</f>
        <v>BILL-00590</v>
      </c>
      <c r="B591" t="str">
        <f>Table3[[#This Row],[VendorID]]</f>
        <v>VEN-035</v>
      </c>
      <c r="C591" t="str">
        <f>VLOOKUP(B591,Vendors!A:B,2,FALSE)</f>
        <v>ClickFlow Marketing</v>
      </c>
      <c r="D591" s="9">
        <f>Table3[[#This Row],[BillDate]]</f>
        <v>45983</v>
      </c>
      <c r="E591" s="9">
        <f>Table3[[#This Row],[DueDate]]</f>
        <v>46013</v>
      </c>
      <c r="F591" s="3">
        <f>Table3[[#This Row],[BillAmount]]</f>
        <v>5400.32</v>
      </c>
      <c r="G591" s="3">
        <f>SUMIF(Vendor_Payments!C:C,A591,Vendor_Payments!E:E)</f>
        <v>0</v>
      </c>
      <c r="H591" s="3">
        <f t="shared" si="27"/>
        <v>5400.32</v>
      </c>
      <c r="I591">
        <f t="shared" si="28"/>
        <v>78</v>
      </c>
      <c r="J591" t="str">
        <f t="shared" si="29"/>
        <v>61-90</v>
      </c>
    </row>
    <row r="592" spans="1:10" x14ac:dyDescent="0.3">
      <c r="A592" t="str">
        <f>Table3[[#This Row],[BillID]]</f>
        <v>BILL-00591</v>
      </c>
      <c r="B592" t="str">
        <f>Table3[[#This Row],[VendorID]]</f>
        <v>VEN-021</v>
      </c>
      <c r="C592" t="str">
        <f>VLOOKUP(B592,Vendors!A:B,2,FALSE)</f>
        <v>Upwork Freelancers</v>
      </c>
      <c r="D592" s="9">
        <f>Table3[[#This Row],[BillDate]]</f>
        <v>45986</v>
      </c>
      <c r="E592" s="9">
        <f>Table3[[#This Row],[DueDate]]</f>
        <v>46016</v>
      </c>
      <c r="F592" s="3">
        <f>Table3[[#This Row],[BillAmount]]</f>
        <v>6350.22</v>
      </c>
      <c r="G592" s="3">
        <f>SUMIF(Vendor_Payments!C:C,A592,Vendor_Payments!E:E)</f>
        <v>6350.22</v>
      </c>
      <c r="H592" s="3">
        <f t="shared" si="27"/>
        <v>0</v>
      </c>
      <c r="I592">
        <f t="shared" si="28"/>
        <v>75</v>
      </c>
      <c r="J592" t="str">
        <f t="shared" si="29"/>
        <v>61-90</v>
      </c>
    </row>
    <row r="593" spans="1:10" x14ac:dyDescent="0.3">
      <c r="A593" t="str">
        <f>Table3[[#This Row],[BillID]]</f>
        <v>BILL-00592</v>
      </c>
      <c r="B593" t="str">
        <f>Table3[[#This Row],[VendorID]]</f>
        <v>VEN-040</v>
      </c>
      <c r="C593" t="str">
        <f>VLOOKUP(B593,Vendors!A:B,2,FALSE)</f>
        <v>Digital Performance Lab</v>
      </c>
      <c r="D593" s="9">
        <f>Table3[[#This Row],[BillDate]]</f>
        <v>46004</v>
      </c>
      <c r="E593" s="9">
        <f>Table3[[#This Row],[DueDate]]</f>
        <v>46034</v>
      </c>
      <c r="F593" s="3">
        <f>Table3[[#This Row],[BillAmount]]</f>
        <v>3232.88</v>
      </c>
      <c r="G593" s="3">
        <f>SUMIF(Vendor_Payments!C:C,A593,Vendor_Payments!E:E)</f>
        <v>3232.88</v>
      </c>
      <c r="H593" s="3">
        <f t="shared" si="27"/>
        <v>0</v>
      </c>
      <c r="I593">
        <f t="shared" si="28"/>
        <v>57</v>
      </c>
      <c r="J593" t="str">
        <f t="shared" si="29"/>
        <v>31-60</v>
      </c>
    </row>
    <row r="594" spans="1:10" x14ac:dyDescent="0.3">
      <c r="A594" t="str">
        <f>Table3[[#This Row],[BillID]]</f>
        <v>BILL-00593</v>
      </c>
      <c r="B594" t="str">
        <f>Table3[[#This Row],[VendorID]]</f>
        <v>VEN-008</v>
      </c>
      <c r="C594" t="str">
        <f>VLOOKUP(B594,Vendors!A:B,2,FALSE)</f>
        <v>Ahrefs</v>
      </c>
      <c r="D594" s="9">
        <f>Table3[[#This Row],[BillDate]]</f>
        <v>46066</v>
      </c>
      <c r="E594" s="9">
        <f>Table3[[#This Row],[DueDate]]</f>
        <v>46096</v>
      </c>
      <c r="F594" s="3">
        <f>Table3[[#This Row],[BillAmount]]</f>
        <v>6515.32</v>
      </c>
      <c r="G594" s="3">
        <f>SUMIF(Vendor_Payments!C:C,A594,Vendor_Payments!E:E)</f>
        <v>6515.32</v>
      </c>
      <c r="H594" s="3">
        <f t="shared" si="27"/>
        <v>0</v>
      </c>
      <c r="I594">
        <f t="shared" si="28"/>
        <v>-5</v>
      </c>
      <c r="J594" t="str">
        <f t="shared" si="29"/>
        <v>Current</v>
      </c>
    </row>
    <row r="595" spans="1:10" x14ac:dyDescent="0.3">
      <c r="A595" t="str">
        <f>Table3[[#This Row],[BillID]]</f>
        <v>BILL-00594</v>
      </c>
      <c r="B595" t="str">
        <f>Table3[[#This Row],[VendorID]]</f>
        <v>VEN-001</v>
      </c>
      <c r="C595" t="str">
        <f>VLOOKUP(B595,Vendors!A:B,2,FALSE)</f>
        <v>Google Ads</v>
      </c>
      <c r="D595" s="9">
        <f>Table3[[#This Row],[BillDate]]</f>
        <v>45991</v>
      </c>
      <c r="E595" s="9">
        <f>Table3[[#This Row],[DueDate]]</f>
        <v>46021</v>
      </c>
      <c r="F595" s="3">
        <f>Table3[[#This Row],[BillAmount]]</f>
        <v>1113.5899999999999</v>
      </c>
      <c r="G595" s="3">
        <f>SUMIF(Vendor_Payments!C:C,A595,Vendor_Payments!E:E)</f>
        <v>1113.5899999999999</v>
      </c>
      <c r="H595" s="3">
        <f t="shared" si="27"/>
        <v>0</v>
      </c>
      <c r="I595">
        <f t="shared" si="28"/>
        <v>70</v>
      </c>
      <c r="J595" t="str">
        <f t="shared" si="29"/>
        <v>61-90</v>
      </c>
    </row>
    <row r="596" spans="1:10" x14ac:dyDescent="0.3">
      <c r="A596" t="str">
        <f>Table3[[#This Row],[BillID]]</f>
        <v>BILL-00595</v>
      </c>
      <c r="B596" t="str">
        <f>Table3[[#This Row],[VendorID]]</f>
        <v>VEN-020</v>
      </c>
      <c r="C596" t="str">
        <f>VLOOKUP(B596,Vendors!A:B,2,FALSE)</f>
        <v>Slack</v>
      </c>
      <c r="D596" s="9">
        <f>Table3[[#This Row],[BillDate]]</f>
        <v>45964</v>
      </c>
      <c r="E596" s="9">
        <f>Table3[[#This Row],[DueDate]]</f>
        <v>45994</v>
      </c>
      <c r="F596" s="3">
        <f>Table3[[#This Row],[BillAmount]]</f>
        <v>2777.39</v>
      </c>
      <c r="G596" s="3">
        <f>SUMIF(Vendor_Payments!C:C,A596,Vendor_Payments!E:E)</f>
        <v>2777.39</v>
      </c>
      <c r="H596" s="3">
        <f t="shared" si="27"/>
        <v>0</v>
      </c>
      <c r="I596">
        <f t="shared" si="28"/>
        <v>97</v>
      </c>
      <c r="J596" t="str">
        <f t="shared" si="29"/>
        <v>90+</v>
      </c>
    </row>
    <row r="597" spans="1:10" x14ac:dyDescent="0.3">
      <c r="A597" t="str">
        <f>Table3[[#This Row],[BillID]]</f>
        <v>BILL-00596</v>
      </c>
      <c r="B597" t="str">
        <f>Table3[[#This Row],[VendorID]]</f>
        <v>VEN-002</v>
      </c>
      <c r="C597" t="str">
        <f>VLOOKUP(B597,Vendors!A:B,2,FALSE)</f>
        <v>Meta Ads</v>
      </c>
      <c r="D597" s="9">
        <f>Table3[[#This Row],[BillDate]]</f>
        <v>46056</v>
      </c>
      <c r="E597" s="9">
        <f>Table3[[#This Row],[DueDate]]</f>
        <v>46086</v>
      </c>
      <c r="F597" s="3">
        <f>Table3[[#This Row],[BillAmount]]</f>
        <v>6965.66</v>
      </c>
      <c r="G597" s="3">
        <f>SUMIF(Vendor_Payments!C:C,A597,Vendor_Payments!E:E)</f>
        <v>6965.66</v>
      </c>
      <c r="H597" s="3">
        <f t="shared" si="27"/>
        <v>0</v>
      </c>
      <c r="I597">
        <f t="shared" si="28"/>
        <v>5</v>
      </c>
      <c r="J597" t="str">
        <f t="shared" si="29"/>
        <v>1-30</v>
      </c>
    </row>
    <row r="598" spans="1:10" x14ac:dyDescent="0.3">
      <c r="A598" t="str">
        <f>Table3[[#This Row],[BillID]]</f>
        <v>BILL-00597</v>
      </c>
      <c r="B598" t="str">
        <f>Table3[[#This Row],[VendorID]]</f>
        <v>VEN-035</v>
      </c>
      <c r="C598" t="str">
        <f>VLOOKUP(B598,Vendors!A:B,2,FALSE)</f>
        <v>ClickFlow Marketing</v>
      </c>
      <c r="D598" s="9">
        <f>Table3[[#This Row],[BillDate]]</f>
        <v>45975</v>
      </c>
      <c r="E598" s="9">
        <f>Table3[[#This Row],[DueDate]]</f>
        <v>46005</v>
      </c>
      <c r="F598" s="3">
        <f>Table3[[#This Row],[BillAmount]]</f>
        <v>1727.59</v>
      </c>
      <c r="G598" s="3">
        <f>SUMIF(Vendor_Payments!C:C,A598,Vendor_Payments!E:E)</f>
        <v>1727.59</v>
      </c>
      <c r="H598" s="3">
        <f t="shared" si="27"/>
        <v>0</v>
      </c>
      <c r="I598">
        <f t="shared" si="28"/>
        <v>86</v>
      </c>
      <c r="J598" t="str">
        <f t="shared" si="29"/>
        <v>61-90</v>
      </c>
    </row>
    <row r="599" spans="1:10" x14ac:dyDescent="0.3">
      <c r="A599" t="str">
        <f>Table3[[#This Row],[BillID]]</f>
        <v>BILL-00598</v>
      </c>
      <c r="B599" t="str">
        <f>Table3[[#This Row],[VendorID]]</f>
        <v>VEN-014</v>
      </c>
      <c r="C599" t="str">
        <f>VLOOKUP(B599,Vendors!A:B,2,FALSE)</f>
        <v>Figma</v>
      </c>
      <c r="D599" s="9">
        <f>Table3[[#This Row],[BillDate]]</f>
        <v>46018</v>
      </c>
      <c r="E599" s="9">
        <f>Table3[[#This Row],[DueDate]]</f>
        <v>46048</v>
      </c>
      <c r="F599" s="3">
        <f>Table3[[#This Row],[BillAmount]]</f>
        <v>4449.1099999999997</v>
      </c>
      <c r="G599" s="3">
        <f>SUMIF(Vendor_Payments!C:C,A599,Vendor_Payments!E:E)</f>
        <v>4449.1099999999997</v>
      </c>
      <c r="H599" s="3">
        <f t="shared" si="27"/>
        <v>0</v>
      </c>
      <c r="I599">
        <f t="shared" si="28"/>
        <v>43</v>
      </c>
      <c r="J599" t="str">
        <f t="shared" si="29"/>
        <v>31-60</v>
      </c>
    </row>
    <row r="600" spans="1:10" x14ac:dyDescent="0.3">
      <c r="A600" t="str">
        <f>Table3[[#This Row],[BillID]]</f>
        <v>BILL-00599</v>
      </c>
      <c r="B600" t="str">
        <f>Table3[[#This Row],[VendorID]]</f>
        <v>VEN-003</v>
      </c>
      <c r="C600" t="str">
        <f>VLOOKUP(B600,Vendors!A:B,2,FALSE)</f>
        <v>TikTok Ads</v>
      </c>
      <c r="D600" s="9">
        <f>Table3[[#This Row],[BillDate]]</f>
        <v>46026</v>
      </c>
      <c r="E600" s="9">
        <f>Table3[[#This Row],[DueDate]]</f>
        <v>46056</v>
      </c>
      <c r="F600" s="3">
        <f>Table3[[#This Row],[BillAmount]]</f>
        <v>2278.9899999999998</v>
      </c>
      <c r="G600" s="3">
        <f>SUMIF(Vendor_Payments!C:C,A600,Vendor_Payments!E:E)</f>
        <v>2278.9899999999998</v>
      </c>
      <c r="H600" s="3">
        <f t="shared" si="27"/>
        <v>0</v>
      </c>
      <c r="I600">
        <f t="shared" si="28"/>
        <v>35</v>
      </c>
      <c r="J600" t="str">
        <f t="shared" si="29"/>
        <v>31-60</v>
      </c>
    </row>
    <row r="601" spans="1:10" x14ac:dyDescent="0.3">
      <c r="A601" t="str">
        <f>Table3[[#This Row],[BillID]]</f>
        <v>BILL-00600</v>
      </c>
      <c r="B601" t="str">
        <f>Table3[[#This Row],[VendorID]]</f>
        <v>VEN-036</v>
      </c>
      <c r="C601" t="str">
        <f>VLOOKUP(B601,Vendors!A:B,2,FALSE)</f>
        <v>WebDev Masters</v>
      </c>
      <c r="D601" s="9">
        <f>Table3[[#This Row],[BillDate]]</f>
        <v>46007</v>
      </c>
      <c r="E601" s="9">
        <f>Table3[[#This Row],[DueDate]]</f>
        <v>46037</v>
      </c>
      <c r="F601" s="3">
        <f>Table3[[#This Row],[BillAmount]]</f>
        <v>3275.91</v>
      </c>
      <c r="G601" s="3">
        <f>SUMIF(Vendor_Payments!C:C,A601,Vendor_Payments!E:E)</f>
        <v>0</v>
      </c>
      <c r="H601" s="3">
        <f t="shared" si="27"/>
        <v>3275.91</v>
      </c>
      <c r="I601">
        <f t="shared" si="28"/>
        <v>54</v>
      </c>
      <c r="J601" t="str">
        <f t="shared" si="29"/>
        <v>31-60</v>
      </c>
    </row>
    <row r="602" spans="1:10" x14ac:dyDescent="0.3">
      <c r="A602" t="str">
        <f>Table3[[#This Row],[BillID]]</f>
        <v>BILL-00601</v>
      </c>
      <c r="B602" t="str">
        <f>Table3[[#This Row],[VendorID]]</f>
        <v>VEN-002</v>
      </c>
      <c r="C602" t="str">
        <f>VLOOKUP(B602,Vendors!A:B,2,FALSE)</f>
        <v>Meta Ads</v>
      </c>
      <c r="D602" s="9">
        <f>Table3[[#This Row],[BillDate]]</f>
        <v>46017</v>
      </c>
      <c r="E602" s="9">
        <f>Table3[[#This Row],[DueDate]]</f>
        <v>46047</v>
      </c>
      <c r="F602" s="3">
        <f>Table3[[#This Row],[BillAmount]]</f>
        <v>4892.4399999999996</v>
      </c>
      <c r="G602" s="3">
        <f>SUMIF(Vendor_Payments!C:C,A602,Vendor_Payments!E:E)</f>
        <v>4892.4399999999996</v>
      </c>
      <c r="H602" s="3">
        <f t="shared" si="27"/>
        <v>0</v>
      </c>
      <c r="I602">
        <f t="shared" si="28"/>
        <v>44</v>
      </c>
      <c r="J602" t="str">
        <f t="shared" si="29"/>
        <v>31-60</v>
      </c>
    </row>
    <row r="603" spans="1:10" x14ac:dyDescent="0.3">
      <c r="A603" t="str">
        <f>Table3[[#This Row],[BillID]]</f>
        <v>BILL-00602</v>
      </c>
      <c r="B603" t="str">
        <f>Table3[[#This Row],[VendorID]]</f>
        <v>VEN-026</v>
      </c>
      <c r="C603" t="str">
        <f>VLOOKUP(B603,Vendors!A:B,2,FALSE)</f>
        <v>PixelForge Studio</v>
      </c>
      <c r="D603" s="9">
        <f>Table3[[#This Row],[BillDate]]</f>
        <v>46063</v>
      </c>
      <c r="E603" s="9">
        <f>Table3[[#This Row],[DueDate]]</f>
        <v>46093</v>
      </c>
      <c r="F603" s="3">
        <f>Table3[[#This Row],[BillAmount]]</f>
        <v>2794.51</v>
      </c>
      <c r="G603" s="3">
        <f>SUMIF(Vendor_Payments!C:C,A603,Vendor_Payments!E:E)</f>
        <v>2794.51</v>
      </c>
      <c r="H603" s="3">
        <f t="shared" si="27"/>
        <v>0</v>
      </c>
      <c r="I603">
        <f t="shared" si="28"/>
        <v>-2</v>
      </c>
      <c r="J603" t="str">
        <f t="shared" si="29"/>
        <v>Current</v>
      </c>
    </row>
    <row r="604" spans="1:10" x14ac:dyDescent="0.3">
      <c r="A604" t="str">
        <f>Table3[[#This Row],[BillID]]</f>
        <v>BILL-00603</v>
      </c>
      <c r="B604" t="str">
        <f>Table3[[#This Row],[VendorID]]</f>
        <v>VEN-025</v>
      </c>
      <c r="C604" t="str">
        <f>VLOOKUP(B604,Vendors!A:B,2,FALSE)</f>
        <v>Digital Growth Consultants</v>
      </c>
      <c r="D604" s="9">
        <f>Table3[[#This Row],[BillDate]]</f>
        <v>45981</v>
      </c>
      <c r="E604" s="9">
        <f>Table3[[#This Row],[DueDate]]</f>
        <v>46011</v>
      </c>
      <c r="F604" s="3">
        <f>Table3[[#This Row],[BillAmount]]</f>
        <v>2551.4</v>
      </c>
      <c r="G604" s="3">
        <f>SUMIF(Vendor_Payments!C:C,A604,Vendor_Payments!E:E)</f>
        <v>2551.4</v>
      </c>
      <c r="H604" s="3">
        <f t="shared" si="27"/>
        <v>0</v>
      </c>
      <c r="I604">
        <f t="shared" si="28"/>
        <v>80</v>
      </c>
      <c r="J604" t="str">
        <f t="shared" si="29"/>
        <v>61-90</v>
      </c>
    </row>
    <row r="605" spans="1:10" x14ac:dyDescent="0.3">
      <c r="A605" t="str">
        <f>Table3[[#This Row],[BillID]]</f>
        <v>BILL-00604</v>
      </c>
      <c r="B605" t="str">
        <f>Table3[[#This Row],[VendorID]]</f>
        <v>VEN-014</v>
      </c>
      <c r="C605" t="str">
        <f>VLOOKUP(B605,Vendors!A:B,2,FALSE)</f>
        <v>Figma</v>
      </c>
      <c r="D605" s="9">
        <f>Table3[[#This Row],[BillDate]]</f>
        <v>46091</v>
      </c>
      <c r="E605" s="9">
        <f>Table3[[#This Row],[DueDate]]</f>
        <v>46121</v>
      </c>
      <c r="F605" s="3">
        <f>Table3[[#This Row],[BillAmount]]</f>
        <v>5278.72</v>
      </c>
      <c r="G605" s="3">
        <f>SUMIF(Vendor_Payments!C:C,A605,Vendor_Payments!E:E)</f>
        <v>5278.72</v>
      </c>
      <c r="H605" s="3">
        <f t="shared" si="27"/>
        <v>0</v>
      </c>
      <c r="I605">
        <f t="shared" si="28"/>
        <v>-30</v>
      </c>
      <c r="J605" t="str">
        <f t="shared" si="29"/>
        <v>Current</v>
      </c>
    </row>
    <row r="606" spans="1:10" x14ac:dyDescent="0.3">
      <c r="A606" t="str">
        <f>Table3[[#This Row],[BillID]]</f>
        <v>BILL-00605</v>
      </c>
      <c r="B606" t="str">
        <f>Table3[[#This Row],[VendorID]]</f>
        <v>VEN-013</v>
      </c>
      <c r="C606" t="str">
        <f>VLOOKUP(B606,Vendors!A:B,2,FALSE)</f>
        <v>Canva Pro</v>
      </c>
      <c r="D606" s="9">
        <f>Table3[[#This Row],[BillDate]]</f>
        <v>46020</v>
      </c>
      <c r="E606" s="9">
        <f>Table3[[#This Row],[DueDate]]</f>
        <v>46050</v>
      </c>
      <c r="F606" s="3">
        <f>Table3[[#This Row],[BillAmount]]</f>
        <v>1144.06</v>
      </c>
      <c r="G606" s="3">
        <f>SUMIF(Vendor_Payments!C:C,A606,Vendor_Payments!E:E)</f>
        <v>1144.06</v>
      </c>
      <c r="H606" s="3">
        <f t="shared" si="27"/>
        <v>0</v>
      </c>
      <c r="I606">
        <f t="shared" si="28"/>
        <v>41</v>
      </c>
      <c r="J606" t="str">
        <f t="shared" si="29"/>
        <v>31-60</v>
      </c>
    </row>
    <row r="607" spans="1:10" x14ac:dyDescent="0.3">
      <c r="A607" t="str">
        <f>Table3[[#This Row],[BillID]]</f>
        <v>BILL-00606</v>
      </c>
      <c r="B607" t="str">
        <f>Table3[[#This Row],[VendorID]]</f>
        <v>VEN-017</v>
      </c>
      <c r="C607" t="str">
        <f>VLOOKUP(B607,Vendors!A:B,2,FALSE)</f>
        <v>PayPal</v>
      </c>
      <c r="D607" s="9">
        <f>Table3[[#This Row],[BillDate]]</f>
        <v>46074</v>
      </c>
      <c r="E607" s="9">
        <f>Table3[[#This Row],[DueDate]]</f>
        <v>46104</v>
      </c>
      <c r="F607" s="3">
        <f>Table3[[#This Row],[BillAmount]]</f>
        <v>6070.03</v>
      </c>
      <c r="G607" s="3">
        <f>SUMIF(Vendor_Payments!C:C,A607,Vendor_Payments!E:E)</f>
        <v>6070.03</v>
      </c>
      <c r="H607" s="3">
        <f t="shared" si="27"/>
        <v>0</v>
      </c>
      <c r="I607">
        <f t="shared" si="28"/>
        <v>-13</v>
      </c>
      <c r="J607" t="str">
        <f t="shared" si="29"/>
        <v>Current</v>
      </c>
    </row>
    <row r="608" spans="1:10" x14ac:dyDescent="0.3">
      <c r="A608" t="str">
        <f>Table3[[#This Row],[BillID]]</f>
        <v>BILL-00607</v>
      </c>
      <c r="B608" t="str">
        <f>Table3[[#This Row],[VendorID]]</f>
        <v>VEN-028</v>
      </c>
      <c r="C608" t="str">
        <f>VLOOKUP(B608,Vendors!A:B,2,FALSE)</f>
        <v>MarketEdge Consulting</v>
      </c>
      <c r="D608" s="9">
        <f>Table3[[#This Row],[BillDate]]</f>
        <v>46051</v>
      </c>
      <c r="E608" s="9">
        <f>Table3[[#This Row],[DueDate]]</f>
        <v>46081</v>
      </c>
      <c r="F608" s="3">
        <f>Table3[[#This Row],[BillAmount]]</f>
        <v>3821.77</v>
      </c>
      <c r="G608" s="3">
        <f>SUMIF(Vendor_Payments!C:C,A608,Vendor_Payments!E:E)</f>
        <v>3821.77</v>
      </c>
      <c r="H608" s="3">
        <f t="shared" si="27"/>
        <v>0</v>
      </c>
      <c r="I608">
        <f t="shared" si="28"/>
        <v>10</v>
      </c>
      <c r="J608" t="str">
        <f t="shared" si="29"/>
        <v>1-30</v>
      </c>
    </row>
    <row r="609" spans="1:10" x14ac:dyDescent="0.3">
      <c r="A609" t="str">
        <f>Table3[[#This Row],[BillID]]</f>
        <v>BILL-00608</v>
      </c>
      <c r="B609" t="str">
        <f>Table3[[#This Row],[VendorID]]</f>
        <v>VEN-031</v>
      </c>
      <c r="C609" t="str">
        <f>VLOOKUP(B609,Vendors!A:B,2,FALSE)</f>
        <v>DataInsight Analytics</v>
      </c>
      <c r="D609" s="9">
        <f>Table3[[#This Row],[BillDate]]</f>
        <v>45987</v>
      </c>
      <c r="E609" s="9">
        <f>Table3[[#This Row],[DueDate]]</f>
        <v>46017</v>
      </c>
      <c r="F609" s="3">
        <f>Table3[[#This Row],[BillAmount]]</f>
        <v>6952.88</v>
      </c>
      <c r="G609" s="3">
        <f>SUMIF(Vendor_Payments!C:C,A609,Vendor_Payments!E:E)</f>
        <v>6952.88</v>
      </c>
      <c r="H609" s="3">
        <f t="shared" si="27"/>
        <v>0</v>
      </c>
      <c r="I609">
        <f t="shared" si="28"/>
        <v>74</v>
      </c>
      <c r="J609" t="str">
        <f t="shared" si="29"/>
        <v>61-90</v>
      </c>
    </row>
    <row r="610" spans="1:10" x14ac:dyDescent="0.3">
      <c r="A610" t="str">
        <f>Table3[[#This Row],[BillID]]</f>
        <v>BILL-00609</v>
      </c>
      <c r="B610" t="str">
        <f>Table3[[#This Row],[VendorID]]</f>
        <v>VEN-008</v>
      </c>
      <c r="C610" t="str">
        <f>VLOOKUP(B610,Vendors!A:B,2,FALSE)</f>
        <v>Ahrefs</v>
      </c>
      <c r="D610" s="9">
        <f>Table3[[#This Row],[BillDate]]</f>
        <v>45971</v>
      </c>
      <c r="E610" s="9">
        <f>Table3[[#This Row],[DueDate]]</f>
        <v>46001</v>
      </c>
      <c r="F610" s="3">
        <f>Table3[[#This Row],[BillAmount]]</f>
        <v>4516.8100000000004</v>
      </c>
      <c r="G610" s="3">
        <f>SUMIF(Vendor_Payments!C:C,A610,Vendor_Payments!E:E)</f>
        <v>4516.8100000000004</v>
      </c>
      <c r="H610" s="3">
        <f t="shared" si="27"/>
        <v>0</v>
      </c>
      <c r="I610">
        <f t="shared" si="28"/>
        <v>90</v>
      </c>
      <c r="J610" t="str">
        <f t="shared" si="29"/>
        <v>61-90</v>
      </c>
    </row>
    <row r="611" spans="1:10" x14ac:dyDescent="0.3">
      <c r="A611" t="str">
        <f>Table3[[#This Row],[BillID]]</f>
        <v>BILL-00610</v>
      </c>
      <c r="B611" t="str">
        <f>Table3[[#This Row],[VendorID]]</f>
        <v>VEN-019</v>
      </c>
      <c r="C611" t="str">
        <f>VLOOKUP(B611,Vendors!A:B,2,FALSE)</f>
        <v>Notion</v>
      </c>
      <c r="D611" s="9">
        <f>Table3[[#This Row],[BillDate]]</f>
        <v>46067</v>
      </c>
      <c r="E611" s="9">
        <f>Table3[[#This Row],[DueDate]]</f>
        <v>46097</v>
      </c>
      <c r="F611" s="3">
        <f>Table3[[#This Row],[BillAmount]]</f>
        <v>6167.05</v>
      </c>
      <c r="G611" s="3">
        <f>SUMIF(Vendor_Payments!C:C,A611,Vendor_Payments!E:E)</f>
        <v>6167.05</v>
      </c>
      <c r="H611" s="3">
        <f t="shared" si="27"/>
        <v>0</v>
      </c>
      <c r="I611">
        <f t="shared" si="28"/>
        <v>-6</v>
      </c>
      <c r="J611" t="str">
        <f t="shared" si="29"/>
        <v>Current</v>
      </c>
    </row>
    <row r="612" spans="1:10" x14ac:dyDescent="0.3">
      <c r="A612" t="str">
        <f>Table3[[#This Row],[BillID]]</f>
        <v>BILL-00611</v>
      </c>
      <c r="B612" t="str">
        <f>Table3[[#This Row],[VendorID]]</f>
        <v>VEN-010</v>
      </c>
      <c r="C612" t="str">
        <f>VLOOKUP(B612,Vendors!A:B,2,FALSE)</f>
        <v>Adobe Creative Cloud</v>
      </c>
      <c r="D612" s="9">
        <f>Table3[[#This Row],[BillDate]]</f>
        <v>46067</v>
      </c>
      <c r="E612" s="9">
        <f>Table3[[#This Row],[DueDate]]</f>
        <v>46097</v>
      </c>
      <c r="F612" s="3">
        <f>Table3[[#This Row],[BillAmount]]</f>
        <v>5826.69</v>
      </c>
      <c r="G612" s="3">
        <f>SUMIF(Vendor_Payments!C:C,A612,Vendor_Payments!E:E)</f>
        <v>5826.69</v>
      </c>
      <c r="H612" s="3">
        <f t="shared" si="27"/>
        <v>0</v>
      </c>
      <c r="I612">
        <f t="shared" si="28"/>
        <v>-6</v>
      </c>
      <c r="J612" t="str">
        <f t="shared" si="29"/>
        <v>Current</v>
      </c>
    </row>
    <row r="613" spans="1:10" x14ac:dyDescent="0.3">
      <c r="A613" t="str">
        <f>Table3[[#This Row],[BillID]]</f>
        <v>BILL-00612</v>
      </c>
      <c r="B613" t="str">
        <f>Table3[[#This Row],[VendorID]]</f>
        <v>VEN-035</v>
      </c>
      <c r="C613" t="str">
        <f>VLOOKUP(B613,Vendors!A:B,2,FALSE)</f>
        <v>ClickFlow Marketing</v>
      </c>
      <c r="D613" s="9">
        <f>Table3[[#This Row],[BillDate]]</f>
        <v>46026</v>
      </c>
      <c r="E613" s="9">
        <f>Table3[[#This Row],[DueDate]]</f>
        <v>46056</v>
      </c>
      <c r="F613" s="3">
        <f>Table3[[#This Row],[BillAmount]]</f>
        <v>2509.1999999999998</v>
      </c>
      <c r="G613" s="3">
        <f>SUMIF(Vendor_Payments!C:C,A613,Vendor_Payments!E:E)</f>
        <v>2509.1999999999998</v>
      </c>
      <c r="H613" s="3">
        <f t="shared" si="27"/>
        <v>0</v>
      </c>
      <c r="I613">
        <f t="shared" si="28"/>
        <v>35</v>
      </c>
      <c r="J613" t="str">
        <f t="shared" si="29"/>
        <v>31-60</v>
      </c>
    </row>
    <row r="614" spans="1:10" x14ac:dyDescent="0.3">
      <c r="A614" t="str">
        <f>Table3[[#This Row],[BillID]]</f>
        <v>BILL-00613</v>
      </c>
      <c r="B614" t="str">
        <f>Table3[[#This Row],[VendorID]]</f>
        <v>VEN-011</v>
      </c>
      <c r="C614" t="str">
        <f>VLOOKUP(B614,Vendors!A:B,2,FALSE)</f>
        <v>AWS</v>
      </c>
      <c r="D614" s="9">
        <f>Table3[[#This Row],[BillDate]]</f>
        <v>46033</v>
      </c>
      <c r="E614" s="9">
        <f>Table3[[#This Row],[DueDate]]</f>
        <v>46063</v>
      </c>
      <c r="F614" s="3">
        <f>Table3[[#This Row],[BillAmount]]</f>
        <v>5762.12</v>
      </c>
      <c r="G614" s="3">
        <f>SUMIF(Vendor_Payments!C:C,A614,Vendor_Payments!E:E)</f>
        <v>5762.12</v>
      </c>
      <c r="H614" s="3">
        <f t="shared" si="27"/>
        <v>0</v>
      </c>
      <c r="I614">
        <f t="shared" si="28"/>
        <v>28</v>
      </c>
      <c r="J614" t="str">
        <f t="shared" si="29"/>
        <v>1-30</v>
      </c>
    </row>
    <row r="615" spans="1:10" x14ac:dyDescent="0.3">
      <c r="A615" t="str">
        <f>Table3[[#This Row],[BillID]]</f>
        <v>BILL-00614</v>
      </c>
      <c r="B615" t="str">
        <f>Table3[[#This Row],[VendorID]]</f>
        <v>VEN-008</v>
      </c>
      <c r="C615" t="str">
        <f>VLOOKUP(B615,Vendors!A:B,2,FALSE)</f>
        <v>Ahrefs</v>
      </c>
      <c r="D615" s="9">
        <f>Table3[[#This Row],[BillDate]]</f>
        <v>46080</v>
      </c>
      <c r="E615" s="9">
        <f>Table3[[#This Row],[DueDate]]</f>
        <v>46110</v>
      </c>
      <c r="F615" s="3">
        <f>Table3[[#This Row],[BillAmount]]</f>
        <v>4482.8</v>
      </c>
      <c r="G615" s="3">
        <f>SUMIF(Vendor_Payments!C:C,A615,Vendor_Payments!E:E)</f>
        <v>4482.8</v>
      </c>
      <c r="H615" s="3">
        <f t="shared" si="27"/>
        <v>0</v>
      </c>
      <c r="I615">
        <f t="shared" si="28"/>
        <v>-19</v>
      </c>
      <c r="J615" t="str">
        <f t="shared" si="29"/>
        <v>Current</v>
      </c>
    </row>
    <row r="616" spans="1:10" x14ac:dyDescent="0.3">
      <c r="A616" t="str">
        <f>Table3[[#This Row],[BillID]]</f>
        <v>BILL-00615</v>
      </c>
      <c r="B616" t="str">
        <f>Table3[[#This Row],[VendorID]]</f>
        <v>VEN-011</v>
      </c>
      <c r="C616" t="str">
        <f>VLOOKUP(B616,Vendors!A:B,2,FALSE)</f>
        <v>AWS</v>
      </c>
      <c r="D616" s="9">
        <f>Table3[[#This Row],[BillDate]]</f>
        <v>45979</v>
      </c>
      <c r="E616" s="9">
        <f>Table3[[#This Row],[DueDate]]</f>
        <v>46009</v>
      </c>
      <c r="F616" s="3">
        <f>Table3[[#This Row],[BillAmount]]</f>
        <v>1709.79</v>
      </c>
      <c r="G616" s="3">
        <f>SUMIF(Vendor_Payments!C:C,A616,Vendor_Payments!E:E)</f>
        <v>1709.79</v>
      </c>
      <c r="H616" s="3">
        <f t="shared" si="27"/>
        <v>0</v>
      </c>
      <c r="I616">
        <f t="shared" si="28"/>
        <v>82</v>
      </c>
      <c r="J616" t="str">
        <f t="shared" si="29"/>
        <v>61-90</v>
      </c>
    </row>
    <row r="617" spans="1:10" x14ac:dyDescent="0.3">
      <c r="A617" t="str">
        <f>Table3[[#This Row],[BillID]]</f>
        <v>BILL-00616</v>
      </c>
      <c r="B617" t="str">
        <f>Table3[[#This Row],[VendorID]]</f>
        <v>VEN-001</v>
      </c>
      <c r="C617" t="str">
        <f>VLOOKUP(B617,Vendors!A:B,2,FALSE)</f>
        <v>Google Ads</v>
      </c>
      <c r="D617" s="9">
        <f>Table3[[#This Row],[BillDate]]</f>
        <v>45963</v>
      </c>
      <c r="E617" s="9">
        <f>Table3[[#This Row],[DueDate]]</f>
        <v>45993</v>
      </c>
      <c r="F617" s="3">
        <f>Table3[[#This Row],[BillAmount]]</f>
        <v>3751.5</v>
      </c>
      <c r="G617" s="3">
        <f>SUMIF(Vendor_Payments!C:C,A617,Vendor_Payments!E:E)</f>
        <v>0</v>
      </c>
      <c r="H617" s="3">
        <f t="shared" si="27"/>
        <v>3751.5</v>
      </c>
      <c r="I617">
        <f t="shared" si="28"/>
        <v>98</v>
      </c>
      <c r="J617" t="str">
        <f t="shared" si="29"/>
        <v>90+</v>
      </c>
    </row>
    <row r="618" spans="1:10" x14ac:dyDescent="0.3">
      <c r="A618" t="str">
        <f>Table3[[#This Row],[BillID]]</f>
        <v>BILL-00617</v>
      </c>
      <c r="B618" t="str">
        <f>Table3[[#This Row],[VendorID]]</f>
        <v>VEN-018</v>
      </c>
      <c r="C618" t="str">
        <f>VLOOKUP(B618,Vendors!A:B,2,FALSE)</f>
        <v>Cloudflare</v>
      </c>
      <c r="D618" s="9">
        <f>Table3[[#This Row],[BillDate]]</f>
        <v>45982</v>
      </c>
      <c r="E618" s="9">
        <f>Table3[[#This Row],[DueDate]]</f>
        <v>46012</v>
      </c>
      <c r="F618" s="3">
        <f>Table3[[#This Row],[BillAmount]]</f>
        <v>2636.85</v>
      </c>
      <c r="G618" s="3">
        <f>SUMIF(Vendor_Payments!C:C,A618,Vendor_Payments!E:E)</f>
        <v>0</v>
      </c>
      <c r="H618" s="3">
        <f t="shared" si="27"/>
        <v>2636.85</v>
      </c>
      <c r="I618">
        <f t="shared" si="28"/>
        <v>79</v>
      </c>
      <c r="J618" t="str">
        <f t="shared" si="29"/>
        <v>61-90</v>
      </c>
    </row>
    <row r="619" spans="1:10" x14ac:dyDescent="0.3">
      <c r="A619" t="str">
        <f>Table3[[#This Row],[BillID]]</f>
        <v>BILL-00618</v>
      </c>
      <c r="B619" t="str">
        <f>Table3[[#This Row],[VendorID]]</f>
        <v>VEN-035</v>
      </c>
      <c r="C619" t="str">
        <f>VLOOKUP(B619,Vendors!A:B,2,FALSE)</f>
        <v>ClickFlow Marketing</v>
      </c>
      <c r="D619" s="9">
        <f>Table3[[#This Row],[BillDate]]</f>
        <v>46071</v>
      </c>
      <c r="E619" s="9">
        <f>Table3[[#This Row],[DueDate]]</f>
        <v>46101</v>
      </c>
      <c r="F619" s="3">
        <f>Table3[[#This Row],[BillAmount]]</f>
        <v>5009.16</v>
      </c>
      <c r="G619" s="3">
        <f>SUMIF(Vendor_Payments!C:C,A619,Vendor_Payments!E:E)</f>
        <v>5009.16</v>
      </c>
      <c r="H619" s="3">
        <f t="shared" si="27"/>
        <v>0</v>
      </c>
      <c r="I619">
        <f t="shared" si="28"/>
        <v>-10</v>
      </c>
      <c r="J619" t="str">
        <f t="shared" si="29"/>
        <v>Current</v>
      </c>
    </row>
    <row r="620" spans="1:10" x14ac:dyDescent="0.3">
      <c r="A620" t="str">
        <f>Table3[[#This Row],[BillID]]</f>
        <v>BILL-00619</v>
      </c>
      <c r="B620" t="str">
        <f>Table3[[#This Row],[VendorID]]</f>
        <v>VEN-013</v>
      </c>
      <c r="C620" t="str">
        <f>VLOOKUP(B620,Vendors!A:B,2,FALSE)</f>
        <v>Canva Pro</v>
      </c>
      <c r="D620" s="9">
        <f>Table3[[#This Row],[BillDate]]</f>
        <v>46087</v>
      </c>
      <c r="E620" s="9">
        <f>Table3[[#This Row],[DueDate]]</f>
        <v>46117</v>
      </c>
      <c r="F620" s="3">
        <f>Table3[[#This Row],[BillAmount]]</f>
        <v>1295.56</v>
      </c>
      <c r="G620" s="3">
        <f>SUMIF(Vendor_Payments!C:C,A620,Vendor_Payments!E:E)</f>
        <v>0</v>
      </c>
      <c r="H620" s="3">
        <f t="shared" si="27"/>
        <v>1295.56</v>
      </c>
      <c r="I620">
        <f t="shared" si="28"/>
        <v>-26</v>
      </c>
      <c r="J620" t="str">
        <f t="shared" si="29"/>
        <v>Current</v>
      </c>
    </row>
    <row r="621" spans="1:10" x14ac:dyDescent="0.3">
      <c r="A621" t="str">
        <f>Table3[[#This Row],[BillID]]</f>
        <v>BILL-00620</v>
      </c>
      <c r="B621" t="str">
        <f>Table3[[#This Row],[VendorID]]</f>
        <v>VEN-005</v>
      </c>
      <c r="C621" t="str">
        <f>VLOOKUP(B621,Vendors!A:B,2,FALSE)</f>
        <v>HubSpot</v>
      </c>
      <c r="D621" s="9">
        <f>Table3[[#This Row],[BillDate]]</f>
        <v>46071</v>
      </c>
      <c r="E621" s="9">
        <f>Table3[[#This Row],[DueDate]]</f>
        <v>46101</v>
      </c>
      <c r="F621" s="3">
        <f>Table3[[#This Row],[BillAmount]]</f>
        <v>5901.82</v>
      </c>
      <c r="G621" s="3">
        <f>SUMIF(Vendor_Payments!C:C,A621,Vendor_Payments!E:E)</f>
        <v>5901.82</v>
      </c>
      <c r="H621" s="3">
        <f t="shared" si="27"/>
        <v>0</v>
      </c>
      <c r="I621">
        <f t="shared" si="28"/>
        <v>-10</v>
      </c>
      <c r="J621" t="str">
        <f t="shared" si="29"/>
        <v>Current</v>
      </c>
    </row>
    <row r="622" spans="1:10" x14ac:dyDescent="0.3">
      <c r="A622" t="str">
        <f>Table3[[#This Row],[BillID]]</f>
        <v>BILL-00621</v>
      </c>
      <c r="B622" t="str">
        <f>Table3[[#This Row],[VendorID]]</f>
        <v>VEN-037</v>
      </c>
      <c r="C622" t="str">
        <f>VLOOKUP(B622,Vendors!A:B,2,FALSE)</f>
        <v>CreativeSpark Studio</v>
      </c>
      <c r="D622" s="9">
        <f>Table3[[#This Row],[BillDate]]</f>
        <v>46062</v>
      </c>
      <c r="E622" s="9">
        <f>Table3[[#This Row],[DueDate]]</f>
        <v>46092</v>
      </c>
      <c r="F622" s="3">
        <f>Table3[[#This Row],[BillAmount]]</f>
        <v>2488.2600000000002</v>
      </c>
      <c r="G622" s="3">
        <f>SUMIF(Vendor_Payments!C:C,A622,Vendor_Payments!E:E)</f>
        <v>0</v>
      </c>
      <c r="H622" s="3">
        <f t="shared" si="27"/>
        <v>2488.2600000000002</v>
      </c>
      <c r="I622">
        <f t="shared" si="28"/>
        <v>-1</v>
      </c>
      <c r="J622" t="str">
        <f t="shared" si="29"/>
        <v>Current</v>
      </c>
    </row>
    <row r="623" spans="1:10" x14ac:dyDescent="0.3">
      <c r="A623" t="str">
        <f>Table3[[#This Row],[BillID]]</f>
        <v>BILL-00622</v>
      </c>
      <c r="B623" t="str">
        <f>Table3[[#This Row],[VendorID]]</f>
        <v>VEN-027</v>
      </c>
      <c r="C623" t="str">
        <f>VLOOKUP(B623,Vendors!A:B,2,FALSE)</f>
        <v>DevCraft Agency</v>
      </c>
      <c r="D623" s="9">
        <f>Table3[[#This Row],[BillDate]]</f>
        <v>46002</v>
      </c>
      <c r="E623" s="9">
        <f>Table3[[#This Row],[DueDate]]</f>
        <v>46032</v>
      </c>
      <c r="F623" s="3">
        <f>Table3[[#This Row],[BillAmount]]</f>
        <v>1620.08</v>
      </c>
      <c r="G623" s="3">
        <f>SUMIF(Vendor_Payments!C:C,A623,Vendor_Payments!E:E)</f>
        <v>1620.08</v>
      </c>
      <c r="H623" s="3">
        <f t="shared" si="27"/>
        <v>0</v>
      </c>
      <c r="I623">
        <f t="shared" si="28"/>
        <v>59</v>
      </c>
      <c r="J623" t="str">
        <f t="shared" si="29"/>
        <v>31-60</v>
      </c>
    </row>
    <row r="624" spans="1:10" x14ac:dyDescent="0.3">
      <c r="A624" t="str">
        <f>Table3[[#This Row],[BillID]]</f>
        <v>BILL-00623</v>
      </c>
      <c r="B624" t="str">
        <f>Table3[[#This Row],[VendorID]]</f>
        <v>VEN-037</v>
      </c>
      <c r="C624" t="str">
        <f>VLOOKUP(B624,Vendors!A:B,2,FALSE)</f>
        <v>CreativeSpark Studio</v>
      </c>
      <c r="D624" s="9">
        <f>Table3[[#This Row],[BillDate]]</f>
        <v>46014</v>
      </c>
      <c r="E624" s="9">
        <f>Table3[[#This Row],[DueDate]]</f>
        <v>46044</v>
      </c>
      <c r="F624" s="3">
        <f>Table3[[#This Row],[BillAmount]]</f>
        <v>3130.75</v>
      </c>
      <c r="G624" s="3">
        <f>SUMIF(Vendor_Payments!C:C,A624,Vendor_Payments!E:E)</f>
        <v>3130.75</v>
      </c>
      <c r="H624" s="3">
        <f t="shared" si="27"/>
        <v>0</v>
      </c>
      <c r="I624">
        <f t="shared" si="28"/>
        <v>47</v>
      </c>
      <c r="J624" t="str">
        <f t="shared" si="29"/>
        <v>31-60</v>
      </c>
    </row>
    <row r="625" spans="1:10" x14ac:dyDescent="0.3">
      <c r="A625" t="str">
        <f>Table3[[#This Row],[BillID]]</f>
        <v>BILL-00624</v>
      </c>
      <c r="B625" t="str">
        <f>Table3[[#This Row],[VendorID]]</f>
        <v>VEN-009</v>
      </c>
      <c r="C625" t="str">
        <f>VLOOKUP(B625,Vendors!A:B,2,FALSE)</f>
        <v>SEMrush</v>
      </c>
      <c r="D625" s="9">
        <f>Table3[[#This Row],[BillDate]]</f>
        <v>46005</v>
      </c>
      <c r="E625" s="9">
        <f>Table3[[#This Row],[DueDate]]</f>
        <v>46035</v>
      </c>
      <c r="F625" s="3">
        <f>Table3[[#This Row],[BillAmount]]</f>
        <v>5444.05</v>
      </c>
      <c r="G625" s="3">
        <f>SUMIF(Vendor_Payments!C:C,A625,Vendor_Payments!E:E)</f>
        <v>5444.05</v>
      </c>
      <c r="H625" s="3">
        <f t="shared" si="27"/>
        <v>0</v>
      </c>
      <c r="I625">
        <f t="shared" si="28"/>
        <v>56</v>
      </c>
      <c r="J625" t="str">
        <f t="shared" si="29"/>
        <v>31-60</v>
      </c>
    </row>
    <row r="626" spans="1:10" x14ac:dyDescent="0.3">
      <c r="A626" t="str">
        <f>Table3[[#This Row],[BillID]]</f>
        <v>BILL-00625</v>
      </c>
      <c r="B626" t="str">
        <f>Table3[[#This Row],[VendorID]]</f>
        <v>VEN-002</v>
      </c>
      <c r="C626" t="str">
        <f>VLOOKUP(B626,Vendors!A:B,2,FALSE)</f>
        <v>Meta Ads</v>
      </c>
      <c r="D626" s="9">
        <f>Table3[[#This Row],[BillDate]]</f>
        <v>46059</v>
      </c>
      <c r="E626" s="9">
        <f>Table3[[#This Row],[DueDate]]</f>
        <v>46089</v>
      </c>
      <c r="F626" s="3">
        <f>Table3[[#This Row],[BillAmount]]</f>
        <v>1604.39</v>
      </c>
      <c r="G626" s="3">
        <f>SUMIF(Vendor_Payments!C:C,A626,Vendor_Payments!E:E)</f>
        <v>1604.39</v>
      </c>
      <c r="H626" s="3">
        <f t="shared" si="27"/>
        <v>0</v>
      </c>
      <c r="I626">
        <f t="shared" si="28"/>
        <v>2</v>
      </c>
      <c r="J626" t="str">
        <f t="shared" si="29"/>
        <v>1-30</v>
      </c>
    </row>
    <row r="627" spans="1:10" x14ac:dyDescent="0.3">
      <c r="A627" t="str">
        <f>Table3[[#This Row],[BillID]]</f>
        <v>BILL-00626</v>
      </c>
      <c r="B627" t="str">
        <f>Table3[[#This Row],[VendorID]]</f>
        <v>VEN-001</v>
      </c>
      <c r="C627" t="str">
        <f>VLOOKUP(B627,Vendors!A:B,2,FALSE)</f>
        <v>Google Ads</v>
      </c>
      <c r="D627" s="9">
        <f>Table3[[#This Row],[BillDate]]</f>
        <v>45987</v>
      </c>
      <c r="E627" s="9">
        <f>Table3[[#This Row],[DueDate]]</f>
        <v>46017</v>
      </c>
      <c r="F627" s="3">
        <f>Table3[[#This Row],[BillAmount]]</f>
        <v>2139.71</v>
      </c>
      <c r="G627" s="3">
        <f>SUMIF(Vendor_Payments!C:C,A627,Vendor_Payments!E:E)</f>
        <v>2139.71</v>
      </c>
      <c r="H627" s="3">
        <f t="shared" si="27"/>
        <v>0</v>
      </c>
      <c r="I627">
        <f t="shared" si="28"/>
        <v>74</v>
      </c>
      <c r="J627" t="str">
        <f t="shared" si="29"/>
        <v>61-90</v>
      </c>
    </row>
    <row r="628" spans="1:10" x14ac:dyDescent="0.3">
      <c r="A628" t="str">
        <f>Table3[[#This Row],[BillID]]</f>
        <v>BILL-00627</v>
      </c>
      <c r="B628" t="str">
        <f>Table3[[#This Row],[VendorID]]</f>
        <v>VEN-022</v>
      </c>
      <c r="C628" t="str">
        <f>VLOOKUP(B628,Vendors!A:B,2,FALSE)</f>
        <v>Toptal Talent</v>
      </c>
      <c r="D628" s="9">
        <f>Table3[[#This Row],[BillDate]]</f>
        <v>45974</v>
      </c>
      <c r="E628" s="9">
        <f>Table3[[#This Row],[DueDate]]</f>
        <v>46004</v>
      </c>
      <c r="F628" s="3">
        <f>Table3[[#This Row],[BillAmount]]</f>
        <v>6554.38</v>
      </c>
      <c r="G628" s="3">
        <f>SUMIF(Vendor_Payments!C:C,A628,Vendor_Payments!E:E)</f>
        <v>6554.38</v>
      </c>
      <c r="H628" s="3">
        <f t="shared" si="27"/>
        <v>0</v>
      </c>
      <c r="I628">
        <f t="shared" si="28"/>
        <v>87</v>
      </c>
      <c r="J628" t="str">
        <f t="shared" si="29"/>
        <v>61-90</v>
      </c>
    </row>
    <row r="629" spans="1:10" x14ac:dyDescent="0.3">
      <c r="A629" t="str">
        <f>Table3[[#This Row],[BillID]]</f>
        <v>BILL-00628</v>
      </c>
      <c r="B629" t="str">
        <f>Table3[[#This Row],[VendorID]]</f>
        <v>VEN-026</v>
      </c>
      <c r="C629" t="str">
        <f>VLOOKUP(B629,Vendors!A:B,2,FALSE)</f>
        <v>PixelForge Studio</v>
      </c>
      <c r="D629" s="9">
        <f>Table3[[#This Row],[BillDate]]</f>
        <v>46081</v>
      </c>
      <c r="E629" s="9">
        <f>Table3[[#This Row],[DueDate]]</f>
        <v>46111</v>
      </c>
      <c r="F629" s="3">
        <f>Table3[[#This Row],[BillAmount]]</f>
        <v>3254.02</v>
      </c>
      <c r="G629" s="3">
        <f>SUMIF(Vendor_Payments!C:C,A629,Vendor_Payments!E:E)</f>
        <v>3254.02</v>
      </c>
      <c r="H629" s="3">
        <f t="shared" si="27"/>
        <v>0</v>
      </c>
      <c r="I629">
        <f t="shared" si="28"/>
        <v>-20</v>
      </c>
      <c r="J629" t="str">
        <f t="shared" si="29"/>
        <v>Current</v>
      </c>
    </row>
    <row r="630" spans="1:10" x14ac:dyDescent="0.3">
      <c r="A630" t="str">
        <f>Table3[[#This Row],[BillID]]</f>
        <v>BILL-00629</v>
      </c>
      <c r="B630" t="str">
        <f>Table3[[#This Row],[VendorID]]</f>
        <v>VEN-003</v>
      </c>
      <c r="C630" t="str">
        <f>VLOOKUP(B630,Vendors!A:B,2,FALSE)</f>
        <v>TikTok Ads</v>
      </c>
      <c r="D630" s="9">
        <f>Table3[[#This Row],[BillDate]]</f>
        <v>46082</v>
      </c>
      <c r="E630" s="9">
        <f>Table3[[#This Row],[DueDate]]</f>
        <v>46112</v>
      </c>
      <c r="F630" s="3">
        <f>Table3[[#This Row],[BillAmount]]</f>
        <v>1601.45</v>
      </c>
      <c r="G630" s="3">
        <f>SUMIF(Vendor_Payments!C:C,A630,Vendor_Payments!E:E)</f>
        <v>1601.45</v>
      </c>
      <c r="H630" s="3">
        <f t="shared" si="27"/>
        <v>0</v>
      </c>
      <c r="I630">
        <f t="shared" si="28"/>
        <v>-21</v>
      </c>
      <c r="J630" t="str">
        <f t="shared" si="29"/>
        <v>Current</v>
      </c>
    </row>
    <row r="631" spans="1:10" x14ac:dyDescent="0.3">
      <c r="A631" t="str">
        <f>Table3[[#This Row],[BillID]]</f>
        <v>BILL-00630</v>
      </c>
      <c r="B631" t="str">
        <f>Table3[[#This Row],[VendorID]]</f>
        <v>VEN-028</v>
      </c>
      <c r="C631" t="str">
        <f>VLOOKUP(B631,Vendors!A:B,2,FALSE)</f>
        <v>MarketEdge Consulting</v>
      </c>
      <c r="D631" s="9">
        <f>Table3[[#This Row],[BillDate]]</f>
        <v>46068</v>
      </c>
      <c r="E631" s="9">
        <f>Table3[[#This Row],[DueDate]]</f>
        <v>46098</v>
      </c>
      <c r="F631" s="3">
        <f>Table3[[#This Row],[BillAmount]]</f>
        <v>2449.09</v>
      </c>
      <c r="G631" s="3">
        <f>SUMIF(Vendor_Payments!C:C,A631,Vendor_Payments!E:E)</f>
        <v>2449.09</v>
      </c>
      <c r="H631" s="3">
        <f t="shared" si="27"/>
        <v>0</v>
      </c>
      <c r="I631">
        <f t="shared" si="28"/>
        <v>-7</v>
      </c>
      <c r="J631" t="str">
        <f t="shared" si="29"/>
        <v>Current</v>
      </c>
    </row>
    <row r="632" spans="1:10" x14ac:dyDescent="0.3">
      <c r="A632" t="str">
        <f>Table3[[#This Row],[BillID]]</f>
        <v>BILL-00631</v>
      </c>
      <c r="B632" t="str">
        <f>Table3[[#This Row],[VendorID]]</f>
        <v>VEN-008</v>
      </c>
      <c r="C632" t="str">
        <f>VLOOKUP(B632,Vendors!A:B,2,FALSE)</f>
        <v>Ahrefs</v>
      </c>
      <c r="D632" s="9">
        <f>Table3[[#This Row],[BillDate]]</f>
        <v>46052</v>
      </c>
      <c r="E632" s="9">
        <f>Table3[[#This Row],[DueDate]]</f>
        <v>46082</v>
      </c>
      <c r="F632" s="3">
        <f>Table3[[#This Row],[BillAmount]]</f>
        <v>867.88</v>
      </c>
      <c r="G632" s="3">
        <f>SUMIF(Vendor_Payments!C:C,A632,Vendor_Payments!E:E)</f>
        <v>867.88</v>
      </c>
      <c r="H632" s="3">
        <f t="shared" si="27"/>
        <v>0</v>
      </c>
      <c r="I632">
        <f t="shared" si="28"/>
        <v>9</v>
      </c>
      <c r="J632" t="str">
        <f t="shared" si="29"/>
        <v>1-30</v>
      </c>
    </row>
    <row r="633" spans="1:10" x14ac:dyDescent="0.3">
      <c r="A633" t="str">
        <f>Table3[[#This Row],[BillID]]</f>
        <v>BILL-00632</v>
      </c>
      <c r="B633" t="str">
        <f>Table3[[#This Row],[VendorID]]</f>
        <v>VEN-008</v>
      </c>
      <c r="C633" t="str">
        <f>VLOOKUP(B633,Vendors!A:B,2,FALSE)</f>
        <v>Ahrefs</v>
      </c>
      <c r="D633" s="9">
        <f>Table3[[#This Row],[BillDate]]</f>
        <v>45984</v>
      </c>
      <c r="E633" s="9">
        <f>Table3[[#This Row],[DueDate]]</f>
        <v>46014</v>
      </c>
      <c r="F633" s="3">
        <f>Table3[[#This Row],[BillAmount]]</f>
        <v>6928.31</v>
      </c>
      <c r="G633" s="3">
        <f>SUMIF(Vendor_Payments!C:C,A633,Vendor_Payments!E:E)</f>
        <v>6928.31</v>
      </c>
      <c r="H633" s="3">
        <f t="shared" si="27"/>
        <v>0</v>
      </c>
      <c r="I633">
        <f t="shared" si="28"/>
        <v>77</v>
      </c>
      <c r="J633" t="str">
        <f t="shared" si="29"/>
        <v>61-90</v>
      </c>
    </row>
    <row r="634" spans="1:10" x14ac:dyDescent="0.3">
      <c r="A634" t="str">
        <f>Table3[[#This Row],[BillID]]</f>
        <v>BILL-00633</v>
      </c>
      <c r="B634" t="str">
        <f>Table3[[#This Row],[VendorID]]</f>
        <v>VEN-002</v>
      </c>
      <c r="C634" t="str">
        <f>VLOOKUP(B634,Vendors!A:B,2,FALSE)</f>
        <v>Meta Ads</v>
      </c>
      <c r="D634" s="9">
        <f>Table3[[#This Row],[BillDate]]</f>
        <v>46031</v>
      </c>
      <c r="E634" s="9">
        <f>Table3[[#This Row],[DueDate]]</f>
        <v>46061</v>
      </c>
      <c r="F634" s="3">
        <f>Table3[[#This Row],[BillAmount]]</f>
        <v>1687.61</v>
      </c>
      <c r="G634" s="3">
        <f>SUMIF(Vendor_Payments!C:C,A634,Vendor_Payments!E:E)</f>
        <v>1687.61</v>
      </c>
      <c r="H634" s="3">
        <f t="shared" si="27"/>
        <v>0</v>
      </c>
      <c r="I634">
        <f t="shared" si="28"/>
        <v>30</v>
      </c>
      <c r="J634" t="str">
        <f t="shared" si="29"/>
        <v>1-30</v>
      </c>
    </row>
    <row r="635" spans="1:10" x14ac:dyDescent="0.3">
      <c r="A635" t="str">
        <f>Table3[[#This Row],[BillID]]</f>
        <v>BILL-00634</v>
      </c>
      <c r="B635" t="str">
        <f>Table3[[#This Row],[VendorID]]</f>
        <v>VEN-022</v>
      </c>
      <c r="C635" t="str">
        <f>VLOOKUP(B635,Vendors!A:B,2,FALSE)</f>
        <v>Toptal Talent</v>
      </c>
      <c r="D635" s="9">
        <f>Table3[[#This Row],[BillDate]]</f>
        <v>46031</v>
      </c>
      <c r="E635" s="9">
        <f>Table3[[#This Row],[DueDate]]</f>
        <v>46061</v>
      </c>
      <c r="F635" s="3">
        <f>Table3[[#This Row],[BillAmount]]</f>
        <v>1780.09</v>
      </c>
      <c r="G635" s="3">
        <f>SUMIF(Vendor_Payments!C:C,A635,Vendor_Payments!E:E)</f>
        <v>1780.09</v>
      </c>
      <c r="H635" s="3">
        <f t="shared" si="27"/>
        <v>0</v>
      </c>
      <c r="I635">
        <f t="shared" si="28"/>
        <v>30</v>
      </c>
      <c r="J635" t="str">
        <f t="shared" si="29"/>
        <v>1-30</v>
      </c>
    </row>
    <row r="636" spans="1:10" x14ac:dyDescent="0.3">
      <c r="A636" t="str">
        <f>Table3[[#This Row],[BillID]]</f>
        <v>BILL-00635</v>
      </c>
      <c r="B636" t="str">
        <f>Table3[[#This Row],[VendorID]]</f>
        <v>VEN-037</v>
      </c>
      <c r="C636" t="str">
        <f>VLOOKUP(B636,Vendors!A:B,2,FALSE)</f>
        <v>CreativeSpark Studio</v>
      </c>
      <c r="D636" s="9">
        <f>Table3[[#This Row],[BillDate]]</f>
        <v>46076</v>
      </c>
      <c r="E636" s="9">
        <f>Table3[[#This Row],[DueDate]]</f>
        <v>46106</v>
      </c>
      <c r="F636" s="3">
        <f>Table3[[#This Row],[BillAmount]]</f>
        <v>3698.44</v>
      </c>
      <c r="G636" s="3">
        <f>SUMIF(Vendor_Payments!C:C,A636,Vendor_Payments!E:E)</f>
        <v>3698.44</v>
      </c>
      <c r="H636" s="3">
        <f t="shared" si="27"/>
        <v>0</v>
      </c>
      <c r="I636">
        <f t="shared" si="28"/>
        <v>-15</v>
      </c>
      <c r="J636" t="str">
        <f t="shared" si="29"/>
        <v>Current</v>
      </c>
    </row>
    <row r="637" spans="1:10" x14ac:dyDescent="0.3">
      <c r="A637" t="str">
        <f>Table3[[#This Row],[BillID]]</f>
        <v>BILL-00636</v>
      </c>
      <c r="B637" t="str">
        <f>Table3[[#This Row],[VendorID]]</f>
        <v>VEN-037</v>
      </c>
      <c r="C637" t="str">
        <f>VLOOKUP(B637,Vendors!A:B,2,FALSE)</f>
        <v>CreativeSpark Studio</v>
      </c>
      <c r="D637" s="9">
        <f>Table3[[#This Row],[BillDate]]</f>
        <v>45967</v>
      </c>
      <c r="E637" s="9">
        <f>Table3[[#This Row],[DueDate]]</f>
        <v>45997</v>
      </c>
      <c r="F637" s="3">
        <f>Table3[[#This Row],[BillAmount]]</f>
        <v>4825.46</v>
      </c>
      <c r="G637" s="3">
        <f>SUMIF(Vendor_Payments!C:C,A637,Vendor_Payments!E:E)</f>
        <v>4825.46</v>
      </c>
      <c r="H637" s="3">
        <f t="shared" si="27"/>
        <v>0</v>
      </c>
      <c r="I637">
        <f t="shared" si="28"/>
        <v>94</v>
      </c>
      <c r="J637" t="str">
        <f t="shared" si="29"/>
        <v>90+</v>
      </c>
    </row>
    <row r="638" spans="1:10" x14ac:dyDescent="0.3">
      <c r="A638" t="str">
        <f>Table3[[#This Row],[BillID]]</f>
        <v>BILL-00637</v>
      </c>
      <c r="B638" t="str">
        <f>Table3[[#This Row],[VendorID]]</f>
        <v>VEN-004</v>
      </c>
      <c r="C638" t="str">
        <f>VLOOKUP(B638,Vendors!A:B,2,FALSE)</f>
        <v>LinkedIn Ads</v>
      </c>
      <c r="D638" s="9">
        <f>Table3[[#This Row],[BillDate]]</f>
        <v>46067</v>
      </c>
      <c r="E638" s="9">
        <f>Table3[[#This Row],[DueDate]]</f>
        <v>46097</v>
      </c>
      <c r="F638" s="3">
        <f>Table3[[#This Row],[BillAmount]]</f>
        <v>4664.34</v>
      </c>
      <c r="G638" s="3">
        <f>SUMIF(Vendor_Payments!C:C,A638,Vendor_Payments!E:E)</f>
        <v>4664.34</v>
      </c>
      <c r="H638" s="3">
        <f t="shared" si="27"/>
        <v>0</v>
      </c>
      <c r="I638">
        <f t="shared" si="28"/>
        <v>-6</v>
      </c>
      <c r="J638" t="str">
        <f t="shared" si="29"/>
        <v>Current</v>
      </c>
    </row>
    <row r="639" spans="1:10" x14ac:dyDescent="0.3">
      <c r="A639" t="str">
        <f>Table3[[#This Row],[BillID]]</f>
        <v>BILL-00638</v>
      </c>
      <c r="B639" t="str">
        <f>Table3[[#This Row],[VendorID]]</f>
        <v>VEN-030</v>
      </c>
      <c r="C639" t="str">
        <f>VLOOKUP(B639,Vendors!A:B,2,FALSE)</f>
        <v>ContentCraft Studio</v>
      </c>
      <c r="D639" s="9">
        <f>Table3[[#This Row],[BillDate]]</f>
        <v>45969</v>
      </c>
      <c r="E639" s="9">
        <f>Table3[[#This Row],[DueDate]]</f>
        <v>45999</v>
      </c>
      <c r="F639" s="3">
        <f>Table3[[#This Row],[BillAmount]]</f>
        <v>2962.66</v>
      </c>
      <c r="G639" s="3">
        <f>SUMIF(Vendor_Payments!C:C,A639,Vendor_Payments!E:E)</f>
        <v>0</v>
      </c>
      <c r="H639" s="3">
        <f t="shared" si="27"/>
        <v>2962.66</v>
      </c>
      <c r="I639">
        <f t="shared" si="28"/>
        <v>92</v>
      </c>
      <c r="J639" t="str">
        <f t="shared" si="29"/>
        <v>90+</v>
      </c>
    </row>
    <row r="640" spans="1:10" x14ac:dyDescent="0.3">
      <c r="A640" t="str">
        <f>Table3[[#This Row],[BillID]]</f>
        <v>BILL-00639</v>
      </c>
      <c r="B640" t="str">
        <f>Table3[[#This Row],[VendorID]]</f>
        <v>VEN-021</v>
      </c>
      <c r="C640" t="str">
        <f>VLOOKUP(B640,Vendors!A:B,2,FALSE)</f>
        <v>Upwork Freelancers</v>
      </c>
      <c r="D640" s="9">
        <f>Table3[[#This Row],[BillDate]]</f>
        <v>46002</v>
      </c>
      <c r="E640" s="9">
        <f>Table3[[#This Row],[DueDate]]</f>
        <v>46032</v>
      </c>
      <c r="F640" s="3">
        <f>Table3[[#This Row],[BillAmount]]</f>
        <v>2398.3000000000002</v>
      </c>
      <c r="G640" s="3">
        <f>SUMIF(Vendor_Payments!C:C,A640,Vendor_Payments!E:E)</f>
        <v>2398.3000000000002</v>
      </c>
      <c r="H640" s="3">
        <f t="shared" si="27"/>
        <v>0</v>
      </c>
      <c r="I640">
        <f t="shared" si="28"/>
        <v>59</v>
      </c>
      <c r="J640" t="str">
        <f t="shared" si="29"/>
        <v>31-60</v>
      </c>
    </row>
    <row r="641" spans="1:10" x14ac:dyDescent="0.3">
      <c r="A641" t="str">
        <f>Table3[[#This Row],[BillID]]</f>
        <v>BILL-00640</v>
      </c>
      <c r="B641" t="str">
        <f>Table3[[#This Row],[VendorID]]</f>
        <v>VEN-009</v>
      </c>
      <c r="C641" t="str">
        <f>VLOOKUP(B641,Vendors!A:B,2,FALSE)</f>
        <v>SEMrush</v>
      </c>
      <c r="D641" s="9">
        <f>Table3[[#This Row],[BillDate]]</f>
        <v>46033</v>
      </c>
      <c r="E641" s="9">
        <f>Table3[[#This Row],[DueDate]]</f>
        <v>46063</v>
      </c>
      <c r="F641" s="3">
        <f>Table3[[#This Row],[BillAmount]]</f>
        <v>1071.8399999999999</v>
      </c>
      <c r="G641" s="3">
        <f>SUMIF(Vendor_Payments!C:C,A641,Vendor_Payments!E:E)</f>
        <v>1071.8399999999999</v>
      </c>
      <c r="H641" s="3">
        <f t="shared" si="27"/>
        <v>0</v>
      </c>
      <c r="I641">
        <f t="shared" si="28"/>
        <v>28</v>
      </c>
      <c r="J641" t="str">
        <f t="shared" si="29"/>
        <v>1-30</v>
      </c>
    </row>
    <row r="642" spans="1:10" x14ac:dyDescent="0.3">
      <c r="A642" t="str">
        <f>Table3[[#This Row],[BillID]]</f>
        <v>BILL-00641</v>
      </c>
      <c r="B642" t="str">
        <f>Table3[[#This Row],[VendorID]]</f>
        <v>VEN-019</v>
      </c>
      <c r="C642" t="str">
        <f>VLOOKUP(B642,Vendors!A:B,2,FALSE)</f>
        <v>Notion</v>
      </c>
      <c r="D642" s="9">
        <f>Table3[[#This Row],[BillDate]]</f>
        <v>46038</v>
      </c>
      <c r="E642" s="9">
        <f>Table3[[#This Row],[DueDate]]</f>
        <v>46068</v>
      </c>
      <c r="F642" s="3">
        <f>Table3[[#This Row],[BillAmount]]</f>
        <v>5099.6099999999997</v>
      </c>
      <c r="G642" s="3">
        <f>SUMIF(Vendor_Payments!C:C,A642,Vendor_Payments!E:E)</f>
        <v>0</v>
      </c>
      <c r="H642" s="3">
        <f t="shared" si="27"/>
        <v>5099.6099999999997</v>
      </c>
      <c r="I642">
        <f t="shared" si="28"/>
        <v>23</v>
      </c>
      <c r="J642" t="str">
        <f t="shared" si="29"/>
        <v>1-30</v>
      </c>
    </row>
    <row r="643" spans="1:10" x14ac:dyDescent="0.3">
      <c r="A643" t="str">
        <f>Table3[[#This Row],[BillID]]</f>
        <v>BILL-00642</v>
      </c>
      <c r="B643" t="str">
        <f>Table3[[#This Row],[VendorID]]</f>
        <v>VEN-006</v>
      </c>
      <c r="C643" t="str">
        <f>VLOOKUP(B643,Vendors!A:B,2,FALSE)</f>
        <v>Salesforce</v>
      </c>
      <c r="D643" s="9">
        <f>Table3[[#This Row],[BillDate]]</f>
        <v>45979</v>
      </c>
      <c r="E643" s="9">
        <f>Table3[[#This Row],[DueDate]]</f>
        <v>46009</v>
      </c>
      <c r="F643" s="3">
        <f>Table3[[#This Row],[BillAmount]]</f>
        <v>1571.01</v>
      </c>
      <c r="G643" s="3">
        <f>SUMIF(Vendor_Payments!C:C,A643,Vendor_Payments!E:E)</f>
        <v>1571.01</v>
      </c>
      <c r="H643" s="3">
        <f t="shared" ref="H643:H706" si="30">F643-G643</f>
        <v>0</v>
      </c>
      <c r="I643">
        <f t="shared" ref="I643:I706" si="31">$L$1-E643</f>
        <v>82</v>
      </c>
      <c r="J643" t="str">
        <f t="shared" ref="J643:J706" si="32">IF(I643&lt;=0,"Current",IF(I643&lt;=30,"1-30",IF(I643&lt;=60,"31-60",IF(I643&lt;=90,"61-90","90+"))))</f>
        <v>61-90</v>
      </c>
    </row>
    <row r="644" spans="1:10" x14ac:dyDescent="0.3">
      <c r="A644" t="str">
        <f>Table3[[#This Row],[BillID]]</f>
        <v>BILL-00643</v>
      </c>
      <c r="B644" t="str">
        <f>Table3[[#This Row],[VendorID]]</f>
        <v>VEN-036</v>
      </c>
      <c r="C644" t="str">
        <f>VLOOKUP(B644,Vendors!A:B,2,FALSE)</f>
        <v>WebDev Masters</v>
      </c>
      <c r="D644" s="9">
        <f>Table3[[#This Row],[BillDate]]</f>
        <v>46018</v>
      </c>
      <c r="E644" s="9">
        <f>Table3[[#This Row],[DueDate]]</f>
        <v>46048</v>
      </c>
      <c r="F644" s="3">
        <f>Table3[[#This Row],[BillAmount]]</f>
        <v>4490.51</v>
      </c>
      <c r="G644" s="3">
        <f>SUMIF(Vendor_Payments!C:C,A644,Vendor_Payments!E:E)</f>
        <v>4490.51</v>
      </c>
      <c r="H644" s="3">
        <f t="shared" si="30"/>
        <v>0</v>
      </c>
      <c r="I644">
        <f t="shared" si="31"/>
        <v>43</v>
      </c>
      <c r="J644" t="str">
        <f t="shared" si="32"/>
        <v>31-60</v>
      </c>
    </row>
    <row r="645" spans="1:10" x14ac:dyDescent="0.3">
      <c r="A645" t="str">
        <f>Table3[[#This Row],[BillID]]</f>
        <v>BILL-00644</v>
      </c>
      <c r="B645" t="str">
        <f>Table3[[#This Row],[VendorID]]</f>
        <v>VEN-014</v>
      </c>
      <c r="C645" t="str">
        <f>VLOOKUP(B645,Vendors!A:B,2,FALSE)</f>
        <v>Figma</v>
      </c>
      <c r="D645" s="9">
        <f>Table3[[#This Row],[BillDate]]</f>
        <v>45975</v>
      </c>
      <c r="E645" s="9">
        <f>Table3[[#This Row],[DueDate]]</f>
        <v>46005</v>
      </c>
      <c r="F645" s="3">
        <f>Table3[[#This Row],[BillAmount]]</f>
        <v>2557.04</v>
      </c>
      <c r="G645" s="3">
        <f>SUMIF(Vendor_Payments!C:C,A645,Vendor_Payments!E:E)</f>
        <v>0</v>
      </c>
      <c r="H645" s="3">
        <f t="shared" si="30"/>
        <v>2557.04</v>
      </c>
      <c r="I645">
        <f t="shared" si="31"/>
        <v>86</v>
      </c>
      <c r="J645" t="str">
        <f t="shared" si="32"/>
        <v>61-90</v>
      </c>
    </row>
    <row r="646" spans="1:10" x14ac:dyDescent="0.3">
      <c r="A646" t="str">
        <f>Table3[[#This Row],[BillID]]</f>
        <v>BILL-00645</v>
      </c>
      <c r="B646" t="str">
        <f>Table3[[#This Row],[VendorID]]</f>
        <v>VEN-026</v>
      </c>
      <c r="C646" t="str">
        <f>VLOOKUP(B646,Vendors!A:B,2,FALSE)</f>
        <v>PixelForge Studio</v>
      </c>
      <c r="D646" s="9">
        <f>Table3[[#This Row],[BillDate]]</f>
        <v>46013</v>
      </c>
      <c r="E646" s="9">
        <f>Table3[[#This Row],[DueDate]]</f>
        <v>46043</v>
      </c>
      <c r="F646" s="3">
        <f>Table3[[#This Row],[BillAmount]]</f>
        <v>6878.18</v>
      </c>
      <c r="G646" s="3">
        <f>SUMIF(Vendor_Payments!C:C,A646,Vendor_Payments!E:E)</f>
        <v>6878.18</v>
      </c>
      <c r="H646" s="3">
        <f t="shared" si="30"/>
        <v>0</v>
      </c>
      <c r="I646">
        <f t="shared" si="31"/>
        <v>48</v>
      </c>
      <c r="J646" t="str">
        <f t="shared" si="32"/>
        <v>31-60</v>
      </c>
    </row>
    <row r="647" spans="1:10" x14ac:dyDescent="0.3">
      <c r="A647" t="str">
        <f>Table3[[#This Row],[BillID]]</f>
        <v>BILL-00646</v>
      </c>
      <c r="B647" t="str">
        <f>Table3[[#This Row],[VendorID]]</f>
        <v>VEN-024</v>
      </c>
      <c r="C647" t="str">
        <f>VLOOKUP(B647,Vendors!A:B,2,FALSE)</f>
        <v>Growth Strategy Group</v>
      </c>
      <c r="D647" s="9">
        <f>Table3[[#This Row],[BillDate]]</f>
        <v>46075</v>
      </c>
      <c r="E647" s="9">
        <f>Table3[[#This Row],[DueDate]]</f>
        <v>46105</v>
      </c>
      <c r="F647" s="3">
        <f>Table3[[#This Row],[BillAmount]]</f>
        <v>1726.33</v>
      </c>
      <c r="G647" s="3">
        <f>SUMIF(Vendor_Payments!C:C,A647,Vendor_Payments!E:E)</f>
        <v>1726.33</v>
      </c>
      <c r="H647" s="3">
        <f t="shared" si="30"/>
        <v>0</v>
      </c>
      <c r="I647">
        <f t="shared" si="31"/>
        <v>-14</v>
      </c>
      <c r="J647" t="str">
        <f t="shared" si="32"/>
        <v>Current</v>
      </c>
    </row>
    <row r="648" spans="1:10" x14ac:dyDescent="0.3">
      <c r="A648" t="str">
        <f>Table3[[#This Row],[BillID]]</f>
        <v>BILL-00647</v>
      </c>
      <c r="B648" t="str">
        <f>Table3[[#This Row],[VendorID]]</f>
        <v>VEN-021</v>
      </c>
      <c r="C648" t="str">
        <f>VLOOKUP(B648,Vendors!A:B,2,FALSE)</f>
        <v>Upwork Freelancers</v>
      </c>
      <c r="D648" s="9">
        <f>Table3[[#This Row],[BillDate]]</f>
        <v>46065</v>
      </c>
      <c r="E648" s="9">
        <f>Table3[[#This Row],[DueDate]]</f>
        <v>46095</v>
      </c>
      <c r="F648" s="3">
        <f>Table3[[#This Row],[BillAmount]]</f>
        <v>5136.3500000000004</v>
      </c>
      <c r="G648" s="3">
        <f>SUMIF(Vendor_Payments!C:C,A648,Vendor_Payments!E:E)</f>
        <v>5136.3500000000004</v>
      </c>
      <c r="H648" s="3">
        <f t="shared" si="30"/>
        <v>0</v>
      </c>
      <c r="I648">
        <f t="shared" si="31"/>
        <v>-4</v>
      </c>
      <c r="J648" t="str">
        <f t="shared" si="32"/>
        <v>Current</v>
      </c>
    </row>
    <row r="649" spans="1:10" x14ac:dyDescent="0.3">
      <c r="A649" t="str">
        <f>Table3[[#This Row],[BillID]]</f>
        <v>BILL-00648</v>
      </c>
      <c r="B649" t="str">
        <f>Table3[[#This Row],[VendorID]]</f>
        <v>VEN-007</v>
      </c>
      <c r="C649" t="str">
        <f>VLOOKUP(B649,Vendors!A:B,2,FALSE)</f>
        <v>Mailchimp</v>
      </c>
      <c r="D649" s="9">
        <f>Table3[[#This Row],[BillDate]]</f>
        <v>45963</v>
      </c>
      <c r="E649" s="9">
        <f>Table3[[#This Row],[DueDate]]</f>
        <v>45993</v>
      </c>
      <c r="F649" s="3">
        <f>Table3[[#This Row],[BillAmount]]</f>
        <v>5827.33</v>
      </c>
      <c r="G649" s="3">
        <f>SUMIF(Vendor_Payments!C:C,A649,Vendor_Payments!E:E)</f>
        <v>0</v>
      </c>
      <c r="H649" s="3">
        <f t="shared" si="30"/>
        <v>5827.33</v>
      </c>
      <c r="I649">
        <f t="shared" si="31"/>
        <v>98</v>
      </c>
      <c r="J649" t="str">
        <f t="shared" si="32"/>
        <v>90+</v>
      </c>
    </row>
    <row r="650" spans="1:10" x14ac:dyDescent="0.3">
      <c r="A650" t="str">
        <f>Table3[[#This Row],[BillID]]</f>
        <v>BILL-00649</v>
      </c>
      <c r="B650" t="str">
        <f>Table3[[#This Row],[VendorID]]</f>
        <v>VEN-028</v>
      </c>
      <c r="C650" t="str">
        <f>VLOOKUP(B650,Vendors!A:B,2,FALSE)</f>
        <v>MarketEdge Consulting</v>
      </c>
      <c r="D650" s="9">
        <f>Table3[[#This Row],[BillDate]]</f>
        <v>46057</v>
      </c>
      <c r="E650" s="9">
        <f>Table3[[#This Row],[DueDate]]</f>
        <v>46087</v>
      </c>
      <c r="F650" s="3">
        <f>Table3[[#This Row],[BillAmount]]</f>
        <v>989</v>
      </c>
      <c r="G650" s="3">
        <f>SUMIF(Vendor_Payments!C:C,A650,Vendor_Payments!E:E)</f>
        <v>989</v>
      </c>
      <c r="H650" s="3">
        <f t="shared" si="30"/>
        <v>0</v>
      </c>
      <c r="I650">
        <f t="shared" si="31"/>
        <v>4</v>
      </c>
      <c r="J650" t="str">
        <f t="shared" si="32"/>
        <v>1-30</v>
      </c>
    </row>
    <row r="651" spans="1:10" x14ac:dyDescent="0.3">
      <c r="A651" t="str">
        <f>Table3[[#This Row],[BillID]]</f>
        <v>BILL-00650</v>
      </c>
      <c r="B651" t="str">
        <f>Table3[[#This Row],[VendorID]]</f>
        <v>VEN-010</v>
      </c>
      <c r="C651" t="str">
        <f>VLOOKUP(B651,Vendors!A:B,2,FALSE)</f>
        <v>Adobe Creative Cloud</v>
      </c>
      <c r="D651" s="9">
        <f>Table3[[#This Row],[BillDate]]</f>
        <v>45971</v>
      </c>
      <c r="E651" s="9">
        <f>Table3[[#This Row],[DueDate]]</f>
        <v>46001</v>
      </c>
      <c r="F651" s="3">
        <f>Table3[[#This Row],[BillAmount]]</f>
        <v>5498.17</v>
      </c>
      <c r="G651" s="3">
        <f>SUMIF(Vendor_Payments!C:C,A651,Vendor_Payments!E:E)</f>
        <v>0</v>
      </c>
      <c r="H651" s="3">
        <f t="shared" si="30"/>
        <v>5498.17</v>
      </c>
      <c r="I651">
        <f t="shared" si="31"/>
        <v>90</v>
      </c>
      <c r="J651" t="str">
        <f t="shared" si="32"/>
        <v>61-90</v>
      </c>
    </row>
    <row r="652" spans="1:10" x14ac:dyDescent="0.3">
      <c r="A652" t="str">
        <f>Table3[[#This Row],[BillID]]</f>
        <v>BILL-00651</v>
      </c>
      <c r="B652" t="str">
        <f>Table3[[#This Row],[VendorID]]</f>
        <v>VEN-009</v>
      </c>
      <c r="C652" t="str">
        <f>VLOOKUP(B652,Vendors!A:B,2,FALSE)</f>
        <v>SEMrush</v>
      </c>
      <c r="D652" s="9">
        <f>Table3[[#This Row],[BillDate]]</f>
        <v>46083</v>
      </c>
      <c r="E652" s="9">
        <f>Table3[[#This Row],[DueDate]]</f>
        <v>46113</v>
      </c>
      <c r="F652" s="3">
        <f>Table3[[#This Row],[BillAmount]]</f>
        <v>2019.79</v>
      </c>
      <c r="G652" s="3">
        <f>SUMIF(Vendor_Payments!C:C,A652,Vendor_Payments!E:E)</f>
        <v>0</v>
      </c>
      <c r="H652" s="3">
        <f t="shared" si="30"/>
        <v>2019.79</v>
      </c>
      <c r="I652">
        <f t="shared" si="31"/>
        <v>-22</v>
      </c>
      <c r="J652" t="str">
        <f t="shared" si="32"/>
        <v>Current</v>
      </c>
    </row>
    <row r="653" spans="1:10" x14ac:dyDescent="0.3">
      <c r="A653" t="str">
        <f>Table3[[#This Row],[BillID]]</f>
        <v>BILL-00652</v>
      </c>
      <c r="B653" t="str">
        <f>Table3[[#This Row],[VendorID]]</f>
        <v>VEN-033</v>
      </c>
      <c r="C653" t="str">
        <f>VLOOKUP(B653,Vendors!A:B,2,FALSE)</f>
        <v>AdScale Solutions</v>
      </c>
      <c r="D653" s="9">
        <f>Table3[[#This Row],[BillDate]]</f>
        <v>45976</v>
      </c>
      <c r="E653" s="9">
        <f>Table3[[#This Row],[DueDate]]</f>
        <v>46006</v>
      </c>
      <c r="F653" s="3">
        <f>Table3[[#This Row],[BillAmount]]</f>
        <v>3064.03</v>
      </c>
      <c r="G653" s="3">
        <f>SUMIF(Vendor_Payments!C:C,A653,Vendor_Payments!E:E)</f>
        <v>3064.03</v>
      </c>
      <c r="H653" s="3">
        <f t="shared" si="30"/>
        <v>0</v>
      </c>
      <c r="I653">
        <f t="shared" si="31"/>
        <v>85</v>
      </c>
      <c r="J653" t="str">
        <f t="shared" si="32"/>
        <v>61-90</v>
      </c>
    </row>
    <row r="654" spans="1:10" x14ac:dyDescent="0.3">
      <c r="A654" t="str">
        <f>Table3[[#This Row],[BillID]]</f>
        <v>BILL-00653</v>
      </c>
      <c r="B654" t="str">
        <f>Table3[[#This Row],[VendorID]]</f>
        <v>VEN-001</v>
      </c>
      <c r="C654" t="str">
        <f>VLOOKUP(B654,Vendors!A:B,2,FALSE)</f>
        <v>Google Ads</v>
      </c>
      <c r="D654" s="9">
        <f>Table3[[#This Row],[BillDate]]</f>
        <v>46044</v>
      </c>
      <c r="E654" s="9">
        <f>Table3[[#This Row],[DueDate]]</f>
        <v>46074</v>
      </c>
      <c r="F654" s="3">
        <f>Table3[[#This Row],[BillAmount]]</f>
        <v>1220.68</v>
      </c>
      <c r="G654" s="3">
        <f>SUMIF(Vendor_Payments!C:C,A654,Vendor_Payments!E:E)</f>
        <v>1220.68</v>
      </c>
      <c r="H654" s="3">
        <f t="shared" si="30"/>
        <v>0</v>
      </c>
      <c r="I654">
        <f t="shared" si="31"/>
        <v>17</v>
      </c>
      <c r="J654" t="str">
        <f t="shared" si="32"/>
        <v>1-30</v>
      </c>
    </row>
    <row r="655" spans="1:10" x14ac:dyDescent="0.3">
      <c r="A655" t="str">
        <f>Table3[[#This Row],[BillID]]</f>
        <v>BILL-00654</v>
      </c>
      <c r="B655" t="str">
        <f>Table3[[#This Row],[VendorID]]</f>
        <v>VEN-006</v>
      </c>
      <c r="C655" t="str">
        <f>VLOOKUP(B655,Vendors!A:B,2,FALSE)</f>
        <v>Salesforce</v>
      </c>
      <c r="D655" s="9">
        <f>Table3[[#This Row],[BillDate]]</f>
        <v>46051</v>
      </c>
      <c r="E655" s="9">
        <f>Table3[[#This Row],[DueDate]]</f>
        <v>46081</v>
      </c>
      <c r="F655" s="3">
        <f>Table3[[#This Row],[BillAmount]]</f>
        <v>3423.59</v>
      </c>
      <c r="G655" s="3">
        <f>SUMIF(Vendor_Payments!C:C,A655,Vendor_Payments!E:E)</f>
        <v>0</v>
      </c>
      <c r="H655" s="3">
        <f t="shared" si="30"/>
        <v>3423.59</v>
      </c>
      <c r="I655">
        <f t="shared" si="31"/>
        <v>10</v>
      </c>
      <c r="J655" t="str">
        <f t="shared" si="32"/>
        <v>1-30</v>
      </c>
    </row>
    <row r="656" spans="1:10" x14ac:dyDescent="0.3">
      <c r="A656" t="str">
        <f>Table3[[#This Row],[BillID]]</f>
        <v>BILL-00655</v>
      </c>
      <c r="B656" t="str">
        <f>Table3[[#This Row],[VendorID]]</f>
        <v>VEN-004</v>
      </c>
      <c r="C656" t="str">
        <f>VLOOKUP(B656,Vendors!A:B,2,FALSE)</f>
        <v>LinkedIn Ads</v>
      </c>
      <c r="D656" s="9">
        <f>Table3[[#This Row],[BillDate]]</f>
        <v>46021</v>
      </c>
      <c r="E656" s="9">
        <f>Table3[[#This Row],[DueDate]]</f>
        <v>46051</v>
      </c>
      <c r="F656" s="3">
        <f>Table3[[#This Row],[BillAmount]]</f>
        <v>2950.54</v>
      </c>
      <c r="G656" s="3">
        <f>SUMIF(Vendor_Payments!C:C,A656,Vendor_Payments!E:E)</f>
        <v>2950.54</v>
      </c>
      <c r="H656" s="3">
        <f t="shared" si="30"/>
        <v>0</v>
      </c>
      <c r="I656">
        <f t="shared" si="31"/>
        <v>40</v>
      </c>
      <c r="J656" t="str">
        <f t="shared" si="32"/>
        <v>31-60</v>
      </c>
    </row>
    <row r="657" spans="1:10" x14ac:dyDescent="0.3">
      <c r="A657" t="str">
        <f>Table3[[#This Row],[BillID]]</f>
        <v>BILL-00656</v>
      </c>
      <c r="B657" t="str">
        <f>Table3[[#This Row],[VendorID]]</f>
        <v>VEN-009</v>
      </c>
      <c r="C657" t="str">
        <f>VLOOKUP(B657,Vendors!A:B,2,FALSE)</f>
        <v>SEMrush</v>
      </c>
      <c r="D657" s="9">
        <f>Table3[[#This Row],[BillDate]]</f>
        <v>46035</v>
      </c>
      <c r="E657" s="9">
        <f>Table3[[#This Row],[DueDate]]</f>
        <v>46065</v>
      </c>
      <c r="F657" s="3">
        <f>Table3[[#This Row],[BillAmount]]</f>
        <v>1911.3</v>
      </c>
      <c r="G657" s="3">
        <f>SUMIF(Vendor_Payments!C:C,A657,Vendor_Payments!E:E)</f>
        <v>1911.3</v>
      </c>
      <c r="H657" s="3">
        <f t="shared" si="30"/>
        <v>0</v>
      </c>
      <c r="I657">
        <f t="shared" si="31"/>
        <v>26</v>
      </c>
      <c r="J657" t="str">
        <f t="shared" si="32"/>
        <v>1-30</v>
      </c>
    </row>
    <row r="658" spans="1:10" x14ac:dyDescent="0.3">
      <c r="A658" t="str">
        <f>Table3[[#This Row],[BillID]]</f>
        <v>BILL-00657</v>
      </c>
      <c r="B658" t="str">
        <f>Table3[[#This Row],[VendorID]]</f>
        <v>VEN-038</v>
      </c>
      <c r="C658" t="str">
        <f>VLOOKUP(B658,Vendors!A:B,2,FALSE)</f>
        <v>Insight Marketing Partners</v>
      </c>
      <c r="D658" s="9">
        <f>Table3[[#This Row],[BillDate]]</f>
        <v>45974</v>
      </c>
      <c r="E658" s="9">
        <f>Table3[[#This Row],[DueDate]]</f>
        <v>46004</v>
      </c>
      <c r="F658" s="3">
        <f>Table3[[#This Row],[BillAmount]]</f>
        <v>2823.66</v>
      </c>
      <c r="G658" s="3">
        <f>SUMIF(Vendor_Payments!C:C,A658,Vendor_Payments!E:E)</f>
        <v>2823.66</v>
      </c>
      <c r="H658" s="3">
        <f t="shared" si="30"/>
        <v>0</v>
      </c>
      <c r="I658">
        <f t="shared" si="31"/>
        <v>87</v>
      </c>
      <c r="J658" t="str">
        <f t="shared" si="32"/>
        <v>61-90</v>
      </c>
    </row>
    <row r="659" spans="1:10" x14ac:dyDescent="0.3">
      <c r="A659" t="str">
        <f>Table3[[#This Row],[BillID]]</f>
        <v>BILL-00658</v>
      </c>
      <c r="B659" t="str">
        <f>Table3[[#This Row],[VendorID]]</f>
        <v>VEN-025</v>
      </c>
      <c r="C659" t="str">
        <f>VLOOKUP(B659,Vendors!A:B,2,FALSE)</f>
        <v>Digital Growth Consultants</v>
      </c>
      <c r="D659" s="9">
        <f>Table3[[#This Row],[BillDate]]</f>
        <v>45992</v>
      </c>
      <c r="E659" s="9">
        <f>Table3[[#This Row],[DueDate]]</f>
        <v>46022</v>
      </c>
      <c r="F659" s="3">
        <f>Table3[[#This Row],[BillAmount]]</f>
        <v>6805.5</v>
      </c>
      <c r="G659" s="3">
        <f>SUMIF(Vendor_Payments!C:C,A659,Vendor_Payments!E:E)</f>
        <v>0</v>
      </c>
      <c r="H659" s="3">
        <f t="shared" si="30"/>
        <v>6805.5</v>
      </c>
      <c r="I659">
        <f t="shared" si="31"/>
        <v>69</v>
      </c>
      <c r="J659" t="str">
        <f t="shared" si="32"/>
        <v>61-90</v>
      </c>
    </row>
    <row r="660" spans="1:10" x14ac:dyDescent="0.3">
      <c r="A660" t="str">
        <f>Table3[[#This Row],[BillID]]</f>
        <v>BILL-00659</v>
      </c>
      <c r="B660" t="str">
        <f>Table3[[#This Row],[VendorID]]</f>
        <v>VEN-007</v>
      </c>
      <c r="C660" t="str">
        <f>VLOOKUP(B660,Vendors!A:B,2,FALSE)</f>
        <v>Mailchimp</v>
      </c>
      <c r="D660" s="9">
        <f>Table3[[#This Row],[BillDate]]</f>
        <v>45981</v>
      </c>
      <c r="E660" s="9">
        <f>Table3[[#This Row],[DueDate]]</f>
        <v>46011</v>
      </c>
      <c r="F660" s="3">
        <f>Table3[[#This Row],[BillAmount]]</f>
        <v>5016.0600000000004</v>
      </c>
      <c r="G660" s="3">
        <f>SUMIF(Vendor_Payments!C:C,A660,Vendor_Payments!E:E)</f>
        <v>5016.0600000000004</v>
      </c>
      <c r="H660" s="3">
        <f t="shared" si="30"/>
        <v>0</v>
      </c>
      <c r="I660">
        <f t="shared" si="31"/>
        <v>80</v>
      </c>
      <c r="J660" t="str">
        <f t="shared" si="32"/>
        <v>61-90</v>
      </c>
    </row>
    <row r="661" spans="1:10" x14ac:dyDescent="0.3">
      <c r="A661" t="str">
        <f>Table3[[#This Row],[BillID]]</f>
        <v>BILL-00660</v>
      </c>
      <c r="B661" t="str">
        <f>Table3[[#This Row],[VendorID]]</f>
        <v>VEN-004</v>
      </c>
      <c r="C661" t="str">
        <f>VLOOKUP(B661,Vendors!A:B,2,FALSE)</f>
        <v>LinkedIn Ads</v>
      </c>
      <c r="D661" s="9">
        <f>Table3[[#This Row],[BillDate]]</f>
        <v>45963</v>
      </c>
      <c r="E661" s="9">
        <f>Table3[[#This Row],[DueDate]]</f>
        <v>45993</v>
      </c>
      <c r="F661" s="3">
        <f>Table3[[#This Row],[BillAmount]]</f>
        <v>2779.77</v>
      </c>
      <c r="G661" s="3">
        <f>SUMIF(Vendor_Payments!C:C,A661,Vendor_Payments!E:E)</f>
        <v>2779.77</v>
      </c>
      <c r="H661" s="3">
        <f t="shared" si="30"/>
        <v>0</v>
      </c>
      <c r="I661">
        <f t="shared" si="31"/>
        <v>98</v>
      </c>
      <c r="J661" t="str">
        <f t="shared" si="32"/>
        <v>90+</v>
      </c>
    </row>
    <row r="662" spans="1:10" x14ac:dyDescent="0.3">
      <c r="A662" t="str">
        <f>Table3[[#This Row],[BillID]]</f>
        <v>BILL-00661</v>
      </c>
      <c r="B662" t="str">
        <f>Table3[[#This Row],[VendorID]]</f>
        <v>VEN-006</v>
      </c>
      <c r="C662" t="str">
        <f>VLOOKUP(B662,Vendors!A:B,2,FALSE)</f>
        <v>Salesforce</v>
      </c>
      <c r="D662" s="9">
        <f>Table3[[#This Row],[BillDate]]</f>
        <v>46008</v>
      </c>
      <c r="E662" s="9">
        <f>Table3[[#This Row],[DueDate]]</f>
        <v>46038</v>
      </c>
      <c r="F662" s="3">
        <f>Table3[[#This Row],[BillAmount]]</f>
        <v>5502.52</v>
      </c>
      <c r="G662" s="3">
        <f>SUMIF(Vendor_Payments!C:C,A662,Vendor_Payments!E:E)</f>
        <v>0</v>
      </c>
      <c r="H662" s="3">
        <f t="shared" si="30"/>
        <v>5502.52</v>
      </c>
      <c r="I662">
        <f t="shared" si="31"/>
        <v>53</v>
      </c>
      <c r="J662" t="str">
        <f t="shared" si="32"/>
        <v>31-60</v>
      </c>
    </row>
    <row r="663" spans="1:10" x14ac:dyDescent="0.3">
      <c r="A663" t="str">
        <f>Table3[[#This Row],[BillID]]</f>
        <v>BILL-00662</v>
      </c>
      <c r="B663" t="str">
        <f>Table3[[#This Row],[VendorID]]</f>
        <v>VEN-035</v>
      </c>
      <c r="C663" t="str">
        <f>VLOOKUP(B663,Vendors!A:B,2,FALSE)</f>
        <v>ClickFlow Marketing</v>
      </c>
      <c r="D663" s="9">
        <f>Table3[[#This Row],[BillDate]]</f>
        <v>45978</v>
      </c>
      <c r="E663" s="9">
        <f>Table3[[#This Row],[DueDate]]</f>
        <v>46008</v>
      </c>
      <c r="F663" s="3">
        <f>Table3[[#This Row],[BillAmount]]</f>
        <v>3266.73</v>
      </c>
      <c r="G663" s="3">
        <f>SUMIF(Vendor_Payments!C:C,A663,Vendor_Payments!E:E)</f>
        <v>0</v>
      </c>
      <c r="H663" s="3">
        <f t="shared" si="30"/>
        <v>3266.73</v>
      </c>
      <c r="I663">
        <f t="shared" si="31"/>
        <v>83</v>
      </c>
      <c r="J663" t="str">
        <f t="shared" si="32"/>
        <v>61-90</v>
      </c>
    </row>
    <row r="664" spans="1:10" x14ac:dyDescent="0.3">
      <c r="A664" t="str">
        <f>Table3[[#This Row],[BillID]]</f>
        <v>BILL-00663</v>
      </c>
      <c r="B664" t="str">
        <f>Table3[[#This Row],[VendorID]]</f>
        <v>VEN-026</v>
      </c>
      <c r="C664" t="str">
        <f>VLOOKUP(B664,Vendors!A:B,2,FALSE)</f>
        <v>PixelForge Studio</v>
      </c>
      <c r="D664" s="9">
        <f>Table3[[#This Row],[BillDate]]</f>
        <v>46046</v>
      </c>
      <c r="E664" s="9">
        <f>Table3[[#This Row],[DueDate]]</f>
        <v>46076</v>
      </c>
      <c r="F664" s="3">
        <f>Table3[[#This Row],[BillAmount]]</f>
        <v>4400.57</v>
      </c>
      <c r="G664" s="3">
        <f>SUMIF(Vendor_Payments!C:C,A664,Vendor_Payments!E:E)</f>
        <v>4400.57</v>
      </c>
      <c r="H664" s="3">
        <f t="shared" si="30"/>
        <v>0</v>
      </c>
      <c r="I664">
        <f t="shared" si="31"/>
        <v>15</v>
      </c>
      <c r="J664" t="str">
        <f t="shared" si="32"/>
        <v>1-30</v>
      </c>
    </row>
    <row r="665" spans="1:10" x14ac:dyDescent="0.3">
      <c r="A665" t="str">
        <f>Table3[[#This Row],[BillID]]</f>
        <v>BILL-00664</v>
      </c>
      <c r="B665" t="str">
        <f>Table3[[#This Row],[VendorID]]</f>
        <v>VEN-036</v>
      </c>
      <c r="C665" t="str">
        <f>VLOOKUP(B665,Vendors!A:B,2,FALSE)</f>
        <v>WebDev Masters</v>
      </c>
      <c r="D665" s="9">
        <f>Table3[[#This Row],[BillDate]]</f>
        <v>46074</v>
      </c>
      <c r="E665" s="9">
        <f>Table3[[#This Row],[DueDate]]</f>
        <v>46104</v>
      </c>
      <c r="F665" s="3">
        <f>Table3[[#This Row],[BillAmount]]</f>
        <v>2257.3200000000002</v>
      </c>
      <c r="G665" s="3">
        <f>SUMIF(Vendor_Payments!C:C,A665,Vendor_Payments!E:E)</f>
        <v>0</v>
      </c>
      <c r="H665" s="3">
        <f t="shared" si="30"/>
        <v>2257.3200000000002</v>
      </c>
      <c r="I665">
        <f t="shared" si="31"/>
        <v>-13</v>
      </c>
      <c r="J665" t="str">
        <f t="shared" si="32"/>
        <v>Current</v>
      </c>
    </row>
    <row r="666" spans="1:10" x14ac:dyDescent="0.3">
      <c r="A666" t="str">
        <f>Table3[[#This Row],[BillID]]</f>
        <v>BILL-00665</v>
      </c>
      <c r="B666" t="str">
        <f>Table3[[#This Row],[VendorID]]</f>
        <v>VEN-032</v>
      </c>
      <c r="C666" t="str">
        <f>VLOOKUP(B666,Vendors!A:B,2,FALSE)</f>
        <v>Marketing Automation Labs</v>
      </c>
      <c r="D666" s="9">
        <f>Table3[[#This Row],[BillDate]]</f>
        <v>46029</v>
      </c>
      <c r="E666" s="9">
        <f>Table3[[#This Row],[DueDate]]</f>
        <v>46059</v>
      </c>
      <c r="F666" s="3">
        <f>Table3[[#This Row],[BillAmount]]</f>
        <v>2435.83</v>
      </c>
      <c r="G666" s="3">
        <f>SUMIF(Vendor_Payments!C:C,A666,Vendor_Payments!E:E)</f>
        <v>2435.83</v>
      </c>
      <c r="H666" s="3">
        <f t="shared" si="30"/>
        <v>0</v>
      </c>
      <c r="I666">
        <f t="shared" si="31"/>
        <v>32</v>
      </c>
      <c r="J666" t="str">
        <f t="shared" si="32"/>
        <v>31-60</v>
      </c>
    </row>
    <row r="667" spans="1:10" x14ac:dyDescent="0.3">
      <c r="A667" t="str">
        <f>Table3[[#This Row],[BillID]]</f>
        <v>BILL-00666</v>
      </c>
      <c r="B667" t="str">
        <f>Table3[[#This Row],[VendorID]]</f>
        <v>VEN-036</v>
      </c>
      <c r="C667" t="str">
        <f>VLOOKUP(B667,Vendors!A:B,2,FALSE)</f>
        <v>WebDev Masters</v>
      </c>
      <c r="D667" s="9">
        <f>Table3[[#This Row],[BillDate]]</f>
        <v>46084</v>
      </c>
      <c r="E667" s="9">
        <f>Table3[[#This Row],[DueDate]]</f>
        <v>46114</v>
      </c>
      <c r="F667" s="3">
        <f>Table3[[#This Row],[BillAmount]]</f>
        <v>6720.04</v>
      </c>
      <c r="G667" s="3">
        <f>SUMIF(Vendor_Payments!C:C,A667,Vendor_Payments!E:E)</f>
        <v>6720.04</v>
      </c>
      <c r="H667" s="3">
        <f t="shared" si="30"/>
        <v>0</v>
      </c>
      <c r="I667">
        <f t="shared" si="31"/>
        <v>-23</v>
      </c>
      <c r="J667" t="str">
        <f t="shared" si="32"/>
        <v>Current</v>
      </c>
    </row>
    <row r="668" spans="1:10" x14ac:dyDescent="0.3">
      <c r="A668" t="str">
        <f>Table3[[#This Row],[BillID]]</f>
        <v>BILL-00667</v>
      </c>
      <c r="B668" t="str">
        <f>Table3[[#This Row],[VendorID]]</f>
        <v>VEN-012</v>
      </c>
      <c r="C668" t="str">
        <f>VLOOKUP(B668,Vendors!A:B,2,FALSE)</f>
        <v>Google Cloud</v>
      </c>
      <c r="D668" s="9">
        <f>Table3[[#This Row],[BillDate]]</f>
        <v>45999</v>
      </c>
      <c r="E668" s="9">
        <f>Table3[[#This Row],[DueDate]]</f>
        <v>46029</v>
      </c>
      <c r="F668" s="3">
        <f>Table3[[#This Row],[BillAmount]]</f>
        <v>6817.53</v>
      </c>
      <c r="G668" s="3">
        <f>SUMIF(Vendor_Payments!C:C,A668,Vendor_Payments!E:E)</f>
        <v>0</v>
      </c>
      <c r="H668" s="3">
        <f t="shared" si="30"/>
        <v>6817.53</v>
      </c>
      <c r="I668">
        <f t="shared" si="31"/>
        <v>62</v>
      </c>
      <c r="J668" t="str">
        <f t="shared" si="32"/>
        <v>61-90</v>
      </c>
    </row>
    <row r="669" spans="1:10" x14ac:dyDescent="0.3">
      <c r="A669" t="str">
        <f>Table3[[#This Row],[BillID]]</f>
        <v>BILL-00668</v>
      </c>
      <c r="B669" t="str">
        <f>Table3[[#This Row],[VendorID]]</f>
        <v>VEN-031</v>
      </c>
      <c r="C669" t="str">
        <f>VLOOKUP(B669,Vendors!A:B,2,FALSE)</f>
        <v>DataInsight Analytics</v>
      </c>
      <c r="D669" s="9">
        <f>Table3[[#This Row],[BillDate]]</f>
        <v>46011</v>
      </c>
      <c r="E669" s="9">
        <f>Table3[[#This Row],[DueDate]]</f>
        <v>46041</v>
      </c>
      <c r="F669" s="3">
        <f>Table3[[#This Row],[BillAmount]]</f>
        <v>5767.99</v>
      </c>
      <c r="G669" s="3">
        <f>SUMIF(Vendor_Payments!C:C,A669,Vendor_Payments!E:E)</f>
        <v>5767.99</v>
      </c>
      <c r="H669" s="3">
        <f t="shared" si="30"/>
        <v>0</v>
      </c>
      <c r="I669">
        <f t="shared" si="31"/>
        <v>50</v>
      </c>
      <c r="J669" t="str">
        <f t="shared" si="32"/>
        <v>31-60</v>
      </c>
    </row>
    <row r="670" spans="1:10" x14ac:dyDescent="0.3">
      <c r="A670" t="str">
        <f>Table3[[#This Row],[BillID]]</f>
        <v>BILL-00669</v>
      </c>
      <c r="B670" t="str">
        <f>Table3[[#This Row],[VendorID]]</f>
        <v>VEN-001</v>
      </c>
      <c r="C670" t="str">
        <f>VLOOKUP(B670,Vendors!A:B,2,FALSE)</f>
        <v>Google Ads</v>
      </c>
      <c r="D670" s="9">
        <f>Table3[[#This Row],[BillDate]]</f>
        <v>45963</v>
      </c>
      <c r="E670" s="9">
        <f>Table3[[#This Row],[DueDate]]</f>
        <v>45993</v>
      </c>
      <c r="F670" s="3">
        <f>Table3[[#This Row],[BillAmount]]</f>
        <v>5795.41</v>
      </c>
      <c r="G670" s="3">
        <f>SUMIF(Vendor_Payments!C:C,A670,Vendor_Payments!E:E)</f>
        <v>5795.41</v>
      </c>
      <c r="H670" s="3">
        <f t="shared" si="30"/>
        <v>0</v>
      </c>
      <c r="I670">
        <f t="shared" si="31"/>
        <v>98</v>
      </c>
      <c r="J670" t="str">
        <f t="shared" si="32"/>
        <v>90+</v>
      </c>
    </row>
    <row r="671" spans="1:10" x14ac:dyDescent="0.3">
      <c r="A671" t="str">
        <f>Table3[[#This Row],[BillID]]</f>
        <v>BILL-00670</v>
      </c>
      <c r="B671" t="str">
        <f>Table3[[#This Row],[VendorID]]</f>
        <v>VEN-002</v>
      </c>
      <c r="C671" t="str">
        <f>VLOOKUP(B671,Vendors!A:B,2,FALSE)</f>
        <v>Meta Ads</v>
      </c>
      <c r="D671" s="9">
        <f>Table3[[#This Row],[BillDate]]</f>
        <v>46019</v>
      </c>
      <c r="E671" s="9">
        <f>Table3[[#This Row],[DueDate]]</f>
        <v>46049</v>
      </c>
      <c r="F671" s="3">
        <f>Table3[[#This Row],[BillAmount]]</f>
        <v>4541.51</v>
      </c>
      <c r="G671" s="3">
        <f>SUMIF(Vendor_Payments!C:C,A671,Vendor_Payments!E:E)</f>
        <v>4541.51</v>
      </c>
      <c r="H671" s="3">
        <f t="shared" si="30"/>
        <v>0</v>
      </c>
      <c r="I671">
        <f t="shared" si="31"/>
        <v>42</v>
      </c>
      <c r="J671" t="str">
        <f t="shared" si="32"/>
        <v>31-60</v>
      </c>
    </row>
    <row r="672" spans="1:10" x14ac:dyDescent="0.3">
      <c r="A672" t="str">
        <f>Table3[[#This Row],[BillID]]</f>
        <v>BILL-00671</v>
      </c>
      <c r="B672" t="str">
        <f>Table3[[#This Row],[VendorID]]</f>
        <v>VEN-013</v>
      </c>
      <c r="C672" t="str">
        <f>VLOOKUP(B672,Vendors!A:B,2,FALSE)</f>
        <v>Canva Pro</v>
      </c>
      <c r="D672" s="9">
        <f>Table3[[#This Row],[BillDate]]</f>
        <v>45966</v>
      </c>
      <c r="E672" s="9">
        <f>Table3[[#This Row],[DueDate]]</f>
        <v>45996</v>
      </c>
      <c r="F672" s="3">
        <f>Table3[[#This Row],[BillAmount]]</f>
        <v>6071.91</v>
      </c>
      <c r="G672" s="3">
        <f>SUMIF(Vendor_Payments!C:C,A672,Vendor_Payments!E:E)</f>
        <v>6071.91</v>
      </c>
      <c r="H672" s="3">
        <f t="shared" si="30"/>
        <v>0</v>
      </c>
      <c r="I672">
        <f t="shared" si="31"/>
        <v>95</v>
      </c>
      <c r="J672" t="str">
        <f t="shared" si="32"/>
        <v>90+</v>
      </c>
    </row>
    <row r="673" spans="1:10" x14ac:dyDescent="0.3">
      <c r="A673" t="str">
        <f>Table3[[#This Row],[BillID]]</f>
        <v>BILL-00672</v>
      </c>
      <c r="B673" t="str">
        <f>Table3[[#This Row],[VendorID]]</f>
        <v>VEN-031</v>
      </c>
      <c r="C673" t="str">
        <f>VLOOKUP(B673,Vendors!A:B,2,FALSE)</f>
        <v>DataInsight Analytics</v>
      </c>
      <c r="D673" s="9">
        <f>Table3[[#This Row],[BillDate]]</f>
        <v>46086</v>
      </c>
      <c r="E673" s="9">
        <f>Table3[[#This Row],[DueDate]]</f>
        <v>46116</v>
      </c>
      <c r="F673" s="3">
        <f>Table3[[#This Row],[BillAmount]]</f>
        <v>2118.75</v>
      </c>
      <c r="G673" s="3">
        <f>SUMIF(Vendor_Payments!C:C,A673,Vendor_Payments!E:E)</f>
        <v>2118.75</v>
      </c>
      <c r="H673" s="3">
        <f t="shared" si="30"/>
        <v>0</v>
      </c>
      <c r="I673">
        <f t="shared" si="31"/>
        <v>-25</v>
      </c>
      <c r="J673" t="str">
        <f t="shared" si="32"/>
        <v>Current</v>
      </c>
    </row>
    <row r="674" spans="1:10" x14ac:dyDescent="0.3">
      <c r="A674" t="str">
        <f>Table3[[#This Row],[BillID]]</f>
        <v>BILL-00673</v>
      </c>
      <c r="B674" t="str">
        <f>Table3[[#This Row],[VendorID]]</f>
        <v>VEN-026</v>
      </c>
      <c r="C674" t="str">
        <f>VLOOKUP(B674,Vendors!A:B,2,FALSE)</f>
        <v>PixelForge Studio</v>
      </c>
      <c r="D674" s="9">
        <f>Table3[[#This Row],[BillDate]]</f>
        <v>46025</v>
      </c>
      <c r="E674" s="9">
        <f>Table3[[#This Row],[DueDate]]</f>
        <v>46055</v>
      </c>
      <c r="F674" s="3">
        <f>Table3[[#This Row],[BillAmount]]</f>
        <v>2592.39</v>
      </c>
      <c r="G674" s="3">
        <f>SUMIF(Vendor_Payments!C:C,A674,Vendor_Payments!E:E)</f>
        <v>2592.39</v>
      </c>
      <c r="H674" s="3">
        <f t="shared" si="30"/>
        <v>0</v>
      </c>
      <c r="I674">
        <f t="shared" si="31"/>
        <v>36</v>
      </c>
      <c r="J674" t="str">
        <f t="shared" si="32"/>
        <v>31-60</v>
      </c>
    </row>
    <row r="675" spans="1:10" x14ac:dyDescent="0.3">
      <c r="A675" t="str">
        <f>Table3[[#This Row],[BillID]]</f>
        <v>BILL-00674</v>
      </c>
      <c r="B675" t="str">
        <f>Table3[[#This Row],[VendorID]]</f>
        <v>VEN-009</v>
      </c>
      <c r="C675" t="str">
        <f>VLOOKUP(B675,Vendors!A:B,2,FALSE)</f>
        <v>SEMrush</v>
      </c>
      <c r="D675" s="9">
        <f>Table3[[#This Row],[BillDate]]</f>
        <v>45987</v>
      </c>
      <c r="E675" s="9">
        <f>Table3[[#This Row],[DueDate]]</f>
        <v>46017</v>
      </c>
      <c r="F675" s="3">
        <f>Table3[[#This Row],[BillAmount]]</f>
        <v>2797.39</v>
      </c>
      <c r="G675" s="3">
        <f>SUMIF(Vendor_Payments!C:C,A675,Vendor_Payments!E:E)</f>
        <v>0</v>
      </c>
      <c r="H675" s="3">
        <f t="shared" si="30"/>
        <v>2797.39</v>
      </c>
      <c r="I675">
        <f t="shared" si="31"/>
        <v>74</v>
      </c>
      <c r="J675" t="str">
        <f t="shared" si="32"/>
        <v>61-90</v>
      </c>
    </row>
    <row r="676" spans="1:10" x14ac:dyDescent="0.3">
      <c r="A676" t="str">
        <f>Table3[[#This Row],[BillID]]</f>
        <v>BILL-00675</v>
      </c>
      <c r="B676" t="str">
        <f>Table3[[#This Row],[VendorID]]</f>
        <v>VEN-030</v>
      </c>
      <c r="C676" t="str">
        <f>VLOOKUP(B676,Vendors!A:B,2,FALSE)</f>
        <v>ContentCraft Studio</v>
      </c>
      <c r="D676" s="9">
        <f>Table3[[#This Row],[BillDate]]</f>
        <v>46027</v>
      </c>
      <c r="E676" s="9">
        <f>Table3[[#This Row],[DueDate]]</f>
        <v>46057</v>
      </c>
      <c r="F676" s="3">
        <f>Table3[[#This Row],[BillAmount]]</f>
        <v>3131.58</v>
      </c>
      <c r="G676" s="3">
        <f>SUMIF(Vendor_Payments!C:C,A676,Vendor_Payments!E:E)</f>
        <v>0</v>
      </c>
      <c r="H676" s="3">
        <f t="shared" si="30"/>
        <v>3131.58</v>
      </c>
      <c r="I676">
        <f t="shared" si="31"/>
        <v>34</v>
      </c>
      <c r="J676" t="str">
        <f t="shared" si="32"/>
        <v>31-60</v>
      </c>
    </row>
    <row r="677" spans="1:10" x14ac:dyDescent="0.3">
      <c r="A677" t="str">
        <f>Table3[[#This Row],[BillID]]</f>
        <v>BILL-00676</v>
      </c>
      <c r="B677" t="str">
        <f>Table3[[#This Row],[VendorID]]</f>
        <v>VEN-017</v>
      </c>
      <c r="C677" t="str">
        <f>VLOOKUP(B677,Vendors!A:B,2,FALSE)</f>
        <v>PayPal</v>
      </c>
      <c r="D677" s="9">
        <f>Table3[[#This Row],[BillDate]]</f>
        <v>46086</v>
      </c>
      <c r="E677" s="9">
        <f>Table3[[#This Row],[DueDate]]</f>
        <v>46116</v>
      </c>
      <c r="F677" s="3">
        <f>Table3[[#This Row],[BillAmount]]</f>
        <v>1825.09</v>
      </c>
      <c r="G677" s="3">
        <f>SUMIF(Vendor_Payments!C:C,A677,Vendor_Payments!E:E)</f>
        <v>1825.09</v>
      </c>
      <c r="H677" s="3">
        <f t="shared" si="30"/>
        <v>0</v>
      </c>
      <c r="I677">
        <f t="shared" si="31"/>
        <v>-25</v>
      </c>
      <c r="J677" t="str">
        <f t="shared" si="32"/>
        <v>Current</v>
      </c>
    </row>
    <row r="678" spans="1:10" x14ac:dyDescent="0.3">
      <c r="A678" t="str">
        <f>Table3[[#This Row],[BillID]]</f>
        <v>BILL-00677</v>
      </c>
      <c r="B678" t="str">
        <f>Table3[[#This Row],[VendorID]]</f>
        <v>VEN-011</v>
      </c>
      <c r="C678" t="str">
        <f>VLOOKUP(B678,Vendors!A:B,2,FALSE)</f>
        <v>AWS</v>
      </c>
      <c r="D678" s="9">
        <f>Table3[[#This Row],[BillDate]]</f>
        <v>46063</v>
      </c>
      <c r="E678" s="9">
        <f>Table3[[#This Row],[DueDate]]</f>
        <v>46093</v>
      </c>
      <c r="F678" s="3">
        <f>Table3[[#This Row],[BillAmount]]</f>
        <v>2187.77</v>
      </c>
      <c r="G678" s="3">
        <f>SUMIF(Vendor_Payments!C:C,A678,Vendor_Payments!E:E)</f>
        <v>2187.77</v>
      </c>
      <c r="H678" s="3">
        <f t="shared" si="30"/>
        <v>0</v>
      </c>
      <c r="I678">
        <f t="shared" si="31"/>
        <v>-2</v>
      </c>
      <c r="J678" t="str">
        <f t="shared" si="32"/>
        <v>Current</v>
      </c>
    </row>
    <row r="679" spans="1:10" x14ac:dyDescent="0.3">
      <c r="A679" t="str">
        <f>Table3[[#This Row],[BillID]]</f>
        <v>BILL-00678</v>
      </c>
      <c r="B679" t="str">
        <f>Table3[[#This Row],[VendorID]]</f>
        <v>VEN-010</v>
      </c>
      <c r="C679" t="str">
        <f>VLOOKUP(B679,Vendors!A:B,2,FALSE)</f>
        <v>Adobe Creative Cloud</v>
      </c>
      <c r="D679" s="9">
        <f>Table3[[#This Row],[BillDate]]</f>
        <v>46001</v>
      </c>
      <c r="E679" s="9">
        <f>Table3[[#This Row],[DueDate]]</f>
        <v>46031</v>
      </c>
      <c r="F679" s="3">
        <f>Table3[[#This Row],[BillAmount]]</f>
        <v>1089.75</v>
      </c>
      <c r="G679" s="3">
        <f>SUMIF(Vendor_Payments!C:C,A679,Vendor_Payments!E:E)</f>
        <v>1089.75</v>
      </c>
      <c r="H679" s="3">
        <f t="shared" si="30"/>
        <v>0</v>
      </c>
      <c r="I679">
        <f t="shared" si="31"/>
        <v>60</v>
      </c>
      <c r="J679" t="str">
        <f t="shared" si="32"/>
        <v>31-60</v>
      </c>
    </row>
    <row r="680" spans="1:10" x14ac:dyDescent="0.3">
      <c r="A680" t="str">
        <f>Table3[[#This Row],[BillID]]</f>
        <v>BILL-00679</v>
      </c>
      <c r="B680" t="str">
        <f>Table3[[#This Row],[VendorID]]</f>
        <v>VEN-037</v>
      </c>
      <c r="C680" t="str">
        <f>VLOOKUP(B680,Vendors!A:B,2,FALSE)</f>
        <v>CreativeSpark Studio</v>
      </c>
      <c r="D680" s="9">
        <f>Table3[[#This Row],[BillDate]]</f>
        <v>46081</v>
      </c>
      <c r="E680" s="9">
        <f>Table3[[#This Row],[DueDate]]</f>
        <v>46111</v>
      </c>
      <c r="F680" s="3">
        <f>Table3[[#This Row],[BillAmount]]</f>
        <v>1382.31</v>
      </c>
      <c r="G680" s="3">
        <f>SUMIF(Vendor_Payments!C:C,A680,Vendor_Payments!E:E)</f>
        <v>1382.31</v>
      </c>
      <c r="H680" s="3">
        <f t="shared" si="30"/>
        <v>0</v>
      </c>
      <c r="I680">
        <f t="shared" si="31"/>
        <v>-20</v>
      </c>
      <c r="J680" t="str">
        <f t="shared" si="32"/>
        <v>Current</v>
      </c>
    </row>
    <row r="681" spans="1:10" x14ac:dyDescent="0.3">
      <c r="A681" t="str">
        <f>Table3[[#This Row],[BillID]]</f>
        <v>BILL-00680</v>
      </c>
      <c r="B681" t="str">
        <f>Table3[[#This Row],[VendorID]]</f>
        <v>VEN-028</v>
      </c>
      <c r="C681" t="str">
        <f>VLOOKUP(B681,Vendors!A:B,2,FALSE)</f>
        <v>MarketEdge Consulting</v>
      </c>
      <c r="D681" s="9">
        <f>Table3[[#This Row],[BillDate]]</f>
        <v>45969</v>
      </c>
      <c r="E681" s="9">
        <f>Table3[[#This Row],[DueDate]]</f>
        <v>45999</v>
      </c>
      <c r="F681" s="3">
        <f>Table3[[#This Row],[BillAmount]]</f>
        <v>4624.45</v>
      </c>
      <c r="G681" s="3">
        <f>SUMIF(Vendor_Payments!C:C,A681,Vendor_Payments!E:E)</f>
        <v>4624.45</v>
      </c>
      <c r="H681" s="3">
        <f t="shared" si="30"/>
        <v>0</v>
      </c>
      <c r="I681">
        <f t="shared" si="31"/>
        <v>92</v>
      </c>
      <c r="J681" t="str">
        <f t="shared" si="32"/>
        <v>90+</v>
      </c>
    </row>
    <row r="682" spans="1:10" x14ac:dyDescent="0.3">
      <c r="A682" t="str">
        <f>Table3[[#This Row],[BillID]]</f>
        <v>BILL-00681</v>
      </c>
      <c r="B682" t="str">
        <f>Table3[[#This Row],[VendorID]]</f>
        <v>VEN-034</v>
      </c>
      <c r="C682" t="str">
        <f>VLOOKUP(B682,Vendors!A:B,2,FALSE)</f>
        <v>SocialBoost Agency</v>
      </c>
      <c r="D682" s="9">
        <f>Table3[[#This Row],[BillDate]]</f>
        <v>46007</v>
      </c>
      <c r="E682" s="9">
        <f>Table3[[#This Row],[DueDate]]</f>
        <v>46037</v>
      </c>
      <c r="F682" s="3">
        <f>Table3[[#This Row],[BillAmount]]</f>
        <v>2529.1799999999998</v>
      </c>
      <c r="G682" s="3">
        <f>SUMIF(Vendor_Payments!C:C,A682,Vendor_Payments!E:E)</f>
        <v>2529.1799999999998</v>
      </c>
      <c r="H682" s="3">
        <f t="shared" si="30"/>
        <v>0</v>
      </c>
      <c r="I682">
        <f t="shared" si="31"/>
        <v>54</v>
      </c>
      <c r="J682" t="str">
        <f t="shared" si="32"/>
        <v>31-60</v>
      </c>
    </row>
    <row r="683" spans="1:10" x14ac:dyDescent="0.3">
      <c r="A683" t="str">
        <f>Table3[[#This Row],[BillID]]</f>
        <v>BILL-00682</v>
      </c>
      <c r="B683" t="str">
        <f>Table3[[#This Row],[VendorID]]</f>
        <v>VEN-005</v>
      </c>
      <c r="C683" t="str">
        <f>VLOOKUP(B683,Vendors!A:B,2,FALSE)</f>
        <v>HubSpot</v>
      </c>
      <c r="D683" s="9">
        <f>Table3[[#This Row],[BillDate]]</f>
        <v>45968</v>
      </c>
      <c r="E683" s="9">
        <f>Table3[[#This Row],[DueDate]]</f>
        <v>45998</v>
      </c>
      <c r="F683" s="3">
        <f>Table3[[#This Row],[BillAmount]]</f>
        <v>4548.83</v>
      </c>
      <c r="G683" s="3">
        <f>SUMIF(Vendor_Payments!C:C,A683,Vendor_Payments!E:E)</f>
        <v>4548.83</v>
      </c>
      <c r="H683" s="3">
        <f t="shared" si="30"/>
        <v>0</v>
      </c>
      <c r="I683">
        <f t="shared" si="31"/>
        <v>93</v>
      </c>
      <c r="J683" t="str">
        <f t="shared" si="32"/>
        <v>90+</v>
      </c>
    </row>
    <row r="684" spans="1:10" x14ac:dyDescent="0.3">
      <c r="A684" t="str">
        <f>Table3[[#This Row],[BillID]]</f>
        <v>BILL-00683</v>
      </c>
      <c r="B684" t="str">
        <f>Table3[[#This Row],[VendorID]]</f>
        <v>VEN-031</v>
      </c>
      <c r="C684" t="str">
        <f>VLOOKUP(B684,Vendors!A:B,2,FALSE)</f>
        <v>DataInsight Analytics</v>
      </c>
      <c r="D684" s="9">
        <f>Table3[[#This Row],[BillDate]]</f>
        <v>46088</v>
      </c>
      <c r="E684" s="9">
        <f>Table3[[#This Row],[DueDate]]</f>
        <v>46118</v>
      </c>
      <c r="F684" s="3">
        <f>Table3[[#This Row],[BillAmount]]</f>
        <v>2854.68</v>
      </c>
      <c r="G684" s="3">
        <f>SUMIF(Vendor_Payments!C:C,A684,Vendor_Payments!E:E)</f>
        <v>2854.68</v>
      </c>
      <c r="H684" s="3">
        <f t="shared" si="30"/>
        <v>0</v>
      </c>
      <c r="I684">
        <f t="shared" si="31"/>
        <v>-27</v>
      </c>
      <c r="J684" t="str">
        <f t="shared" si="32"/>
        <v>Current</v>
      </c>
    </row>
    <row r="685" spans="1:10" x14ac:dyDescent="0.3">
      <c r="A685" t="str">
        <f>Table3[[#This Row],[BillID]]</f>
        <v>BILL-00684</v>
      </c>
      <c r="B685" t="str">
        <f>Table3[[#This Row],[VendorID]]</f>
        <v>VEN-018</v>
      </c>
      <c r="C685" t="str">
        <f>VLOOKUP(B685,Vendors!A:B,2,FALSE)</f>
        <v>Cloudflare</v>
      </c>
      <c r="D685" s="9">
        <f>Table3[[#This Row],[BillDate]]</f>
        <v>46043</v>
      </c>
      <c r="E685" s="9">
        <f>Table3[[#This Row],[DueDate]]</f>
        <v>46073</v>
      </c>
      <c r="F685" s="3">
        <f>Table3[[#This Row],[BillAmount]]</f>
        <v>5078.2700000000004</v>
      </c>
      <c r="G685" s="3">
        <f>SUMIF(Vendor_Payments!C:C,A685,Vendor_Payments!E:E)</f>
        <v>5078.2700000000004</v>
      </c>
      <c r="H685" s="3">
        <f t="shared" si="30"/>
        <v>0</v>
      </c>
      <c r="I685">
        <f t="shared" si="31"/>
        <v>18</v>
      </c>
      <c r="J685" t="str">
        <f t="shared" si="32"/>
        <v>1-30</v>
      </c>
    </row>
    <row r="686" spans="1:10" x14ac:dyDescent="0.3">
      <c r="A686" t="str">
        <f>Table3[[#This Row],[BillID]]</f>
        <v>BILL-00685</v>
      </c>
      <c r="B686" t="str">
        <f>Table3[[#This Row],[VendorID]]</f>
        <v>VEN-029</v>
      </c>
      <c r="C686" t="str">
        <f>VLOOKUP(B686,Vendors!A:B,2,FALSE)</f>
        <v>BrightSEO Agency</v>
      </c>
      <c r="D686" s="9">
        <f>Table3[[#This Row],[BillDate]]</f>
        <v>46001</v>
      </c>
      <c r="E686" s="9">
        <f>Table3[[#This Row],[DueDate]]</f>
        <v>46031</v>
      </c>
      <c r="F686" s="3">
        <f>Table3[[#This Row],[BillAmount]]</f>
        <v>2806.37</v>
      </c>
      <c r="G686" s="3">
        <f>SUMIF(Vendor_Payments!C:C,A686,Vendor_Payments!E:E)</f>
        <v>2806.37</v>
      </c>
      <c r="H686" s="3">
        <f t="shared" si="30"/>
        <v>0</v>
      </c>
      <c r="I686">
        <f t="shared" si="31"/>
        <v>60</v>
      </c>
      <c r="J686" t="str">
        <f t="shared" si="32"/>
        <v>31-60</v>
      </c>
    </row>
    <row r="687" spans="1:10" x14ac:dyDescent="0.3">
      <c r="A687" t="str">
        <f>Table3[[#This Row],[BillID]]</f>
        <v>BILL-00686</v>
      </c>
      <c r="B687" t="str">
        <f>Table3[[#This Row],[VendorID]]</f>
        <v>VEN-005</v>
      </c>
      <c r="C687" t="str">
        <f>VLOOKUP(B687,Vendors!A:B,2,FALSE)</f>
        <v>HubSpot</v>
      </c>
      <c r="D687" s="9">
        <f>Table3[[#This Row],[BillDate]]</f>
        <v>46057</v>
      </c>
      <c r="E687" s="9">
        <f>Table3[[#This Row],[DueDate]]</f>
        <v>46087</v>
      </c>
      <c r="F687" s="3">
        <f>Table3[[#This Row],[BillAmount]]</f>
        <v>2050.7800000000002</v>
      </c>
      <c r="G687" s="3">
        <f>SUMIF(Vendor_Payments!C:C,A687,Vendor_Payments!E:E)</f>
        <v>0</v>
      </c>
      <c r="H687" s="3">
        <f t="shared" si="30"/>
        <v>2050.7800000000002</v>
      </c>
      <c r="I687">
        <f t="shared" si="31"/>
        <v>4</v>
      </c>
      <c r="J687" t="str">
        <f t="shared" si="32"/>
        <v>1-30</v>
      </c>
    </row>
    <row r="688" spans="1:10" x14ac:dyDescent="0.3">
      <c r="A688" t="str">
        <f>Table3[[#This Row],[BillID]]</f>
        <v>BILL-00687</v>
      </c>
      <c r="B688" t="str">
        <f>Table3[[#This Row],[VendorID]]</f>
        <v>VEN-001</v>
      </c>
      <c r="C688" t="str">
        <f>VLOOKUP(B688,Vendors!A:B,2,FALSE)</f>
        <v>Google Ads</v>
      </c>
      <c r="D688" s="9">
        <f>Table3[[#This Row],[BillDate]]</f>
        <v>46019</v>
      </c>
      <c r="E688" s="9">
        <f>Table3[[#This Row],[DueDate]]</f>
        <v>46049</v>
      </c>
      <c r="F688" s="3">
        <f>Table3[[#This Row],[BillAmount]]</f>
        <v>5243.05</v>
      </c>
      <c r="G688" s="3">
        <f>SUMIF(Vendor_Payments!C:C,A688,Vendor_Payments!E:E)</f>
        <v>5243.05</v>
      </c>
      <c r="H688" s="3">
        <f t="shared" si="30"/>
        <v>0</v>
      </c>
      <c r="I688">
        <f t="shared" si="31"/>
        <v>42</v>
      </c>
      <c r="J688" t="str">
        <f t="shared" si="32"/>
        <v>31-60</v>
      </c>
    </row>
    <row r="689" spans="1:10" x14ac:dyDescent="0.3">
      <c r="A689" t="str">
        <f>Table3[[#This Row],[BillID]]</f>
        <v>BILL-00688</v>
      </c>
      <c r="B689" t="str">
        <f>Table3[[#This Row],[VendorID]]</f>
        <v>VEN-014</v>
      </c>
      <c r="C689" t="str">
        <f>VLOOKUP(B689,Vendors!A:B,2,FALSE)</f>
        <v>Figma</v>
      </c>
      <c r="D689" s="9">
        <f>Table3[[#This Row],[BillDate]]</f>
        <v>46076</v>
      </c>
      <c r="E689" s="9">
        <f>Table3[[#This Row],[DueDate]]</f>
        <v>46106</v>
      </c>
      <c r="F689" s="3">
        <f>Table3[[#This Row],[BillAmount]]</f>
        <v>4975.29</v>
      </c>
      <c r="G689" s="3">
        <f>SUMIF(Vendor_Payments!C:C,A689,Vendor_Payments!E:E)</f>
        <v>4975.29</v>
      </c>
      <c r="H689" s="3">
        <f t="shared" si="30"/>
        <v>0</v>
      </c>
      <c r="I689">
        <f t="shared" si="31"/>
        <v>-15</v>
      </c>
      <c r="J689" t="str">
        <f t="shared" si="32"/>
        <v>Current</v>
      </c>
    </row>
    <row r="690" spans="1:10" x14ac:dyDescent="0.3">
      <c r="A690" t="str">
        <f>Table3[[#This Row],[BillID]]</f>
        <v>BILL-00689</v>
      </c>
      <c r="B690" t="str">
        <f>Table3[[#This Row],[VendorID]]</f>
        <v>VEN-010</v>
      </c>
      <c r="C690" t="str">
        <f>VLOOKUP(B690,Vendors!A:B,2,FALSE)</f>
        <v>Adobe Creative Cloud</v>
      </c>
      <c r="D690" s="9">
        <f>Table3[[#This Row],[BillDate]]</f>
        <v>46007</v>
      </c>
      <c r="E690" s="9">
        <f>Table3[[#This Row],[DueDate]]</f>
        <v>46037</v>
      </c>
      <c r="F690" s="3">
        <f>Table3[[#This Row],[BillAmount]]</f>
        <v>6464.39</v>
      </c>
      <c r="G690" s="3">
        <f>SUMIF(Vendor_Payments!C:C,A690,Vendor_Payments!E:E)</f>
        <v>6464.39</v>
      </c>
      <c r="H690" s="3">
        <f t="shared" si="30"/>
        <v>0</v>
      </c>
      <c r="I690">
        <f t="shared" si="31"/>
        <v>54</v>
      </c>
      <c r="J690" t="str">
        <f t="shared" si="32"/>
        <v>31-60</v>
      </c>
    </row>
    <row r="691" spans="1:10" x14ac:dyDescent="0.3">
      <c r="A691" t="str">
        <f>Table3[[#This Row],[BillID]]</f>
        <v>BILL-00690</v>
      </c>
      <c r="B691" t="str">
        <f>Table3[[#This Row],[VendorID]]</f>
        <v>VEN-014</v>
      </c>
      <c r="C691" t="str">
        <f>VLOOKUP(B691,Vendors!A:B,2,FALSE)</f>
        <v>Figma</v>
      </c>
      <c r="D691" s="9">
        <f>Table3[[#This Row],[BillDate]]</f>
        <v>46063</v>
      </c>
      <c r="E691" s="9">
        <f>Table3[[#This Row],[DueDate]]</f>
        <v>46093</v>
      </c>
      <c r="F691" s="3">
        <f>Table3[[#This Row],[BillAmount]]</f>
        <v>2063.2600000000002</v>
      </c>
      <c r="G691" s="3">
        <f>SUMIF(Vendor_Payments!C:C,A691,Vendor_Payments!E:E)</f>
        <v>2063.2600000000002</v>
      </c>
      <c r="H691" s="3">
        <f t="shared" si="30"/>
        <v>0</v>
      </c>
      <c r="I691">
        <f t="shared" si="31"/>
        <v>-2</v>
      </c>
      <c r="J691" t="str">
        <f t="shared" si="32"/>
        <v>Current</v>
      </c>
    </row>
    <row r="692" spans="1:10" x14ac:dyDescent="0.3">
      <c r="A692" t="str">
        <f>Table3[[#This Row],[BillID]]</f>
        <v>BILL-00691</v>
      </c>
      <c r="B692" t="str">
        <f>Table3[[#This Row],[VendorID]]</f>
        <v>VEN-033</v>
      </c>
      <c r="C692" t="str">
        <f>VLOOKUP(B692,Vendors!A:B,2,FALSE)</f>
        <v>AdScale Solutions</v>
      </c>
      <c r="D692" s="9">
        <f>Table3[[#This Row],[BillDate]]</f>
        <v>46090</v>
      </c>
      <c r="E692" s="9">
        <f>Table3[[#This Row],[DueDate]]</f>
        <v>46120</v>
      </c>
      <c r="F692" s="3">
        <f>Table3[[#This Row],[BillAmount]]</f>
        <v>5139.03</v>
      </c>
      <c r="G692" s="3">
        <f>SUMIF(Vendor_Payments!C:C,A692,Vendor_Payments!E:E)</f>
        <v>5139.03</v>
      </c>
      <c r="H692" s="3">
        <f t="shared" si="30"/>
        <v>0</v>
      </c>
      <c r="I692">
        <f t="shared" si="31"/>
        <v>-29</v>
      </c>
      <c r="J692" t="str">
        <f t="shared" si="32"/>
        <v>Current</v>
      </c>
    </row>
    <row r="693" spans="1:10" x14ac:dyDescent="0.3">
      <c r="A693" t="str">
        <f>Table3[[#This Row],[BillID]]</f>
        <v>BILL-00692</v>
      </c>
      <c r="B693" t="str">
        <f>Table3[[#This Row],[VendorID]]</f>
        <v>VEN-020</v>
      </c>
      <c r="C693" t="str">
        <f>VLOOKUP(B693,Vendors!A:B,2,FALSE)</f>
        <v>Slack</v>
      </c>
      <c r="D693" s="9">
        <f>Table3[[#This Row],[BillDate]]</f>
        <v>46079</v>
      </c>
      <c r="E693" s="9">
        <f>Table3[[#This Row],[DueDate]]</f>
        <v>46109</v>
      </c>
      <c r="F693" s="3">
        <f>Table3[[#This Row],[BillAmount]]</f>
        <v>5326.7</v>
      </c>
      <c r="G693" s="3">
        <f>SUMIF(Vendor_Payments!C:C,A693,Vendor_Payments!E:E)</f>
        <v>5326.7</v>
      </c>
      <c r="H693" s="3">
        <f t="shared" si="30"/>
        <v>0</v>
      </c>
      <c r="I693">
        <f t="shared" si="31"/>
        <v>-18</v>
      </c>
      <c r="J693" t="str">
        <f t="shared" si="32"/>
        <v>Current</v>
      </c>
    </row>
    <row r="694" spans="1:10" x14ac:dyDescent="0.3">
      <c r="A694" t="str">
        <f>Table3[[#This Row],[BillID]]</f>
        <v>BILL-00693</v>
      </c>
      <c r="B694" t="str">
        <f>Table3[[#This Row],[VendorID]]</f>
        <v>VEN-001</v>
      </c>
      <c r="C694" t="str">
        <f>VLOOKUP(B694,Vendors!A:B,2,FALSE)</f>
        <v>Google Ads</v>
      </c>
      <c r="D694" s="9">
        <f>Table3[[#This Row],[BillDate]]</f>
        <v>46077</v>
      </c>
      <c r="E694" s="9">
        <f>Table3[[#This Row],[DueDate]]</f>
        <v>46107</v>
      </c>
      <c r="F694" s="3">
        <f>Table3[[#This Row],[BillAmount]]</f>
        <v>2085.48</v>
      </c>
      <c r="G694" s="3">
        <f>SUMIF(Vendor_Payments!C:C,A694,Vendor_Payments!E:E)</f>
        <v>2085.48</v>
      </c>
      <c r="H694" s="3">
        <f t="shared" si="30"/>
        <v>0</v>
      </c>
      <c r="I694">
        <f t="shared" si="31"/>
        <v>-16</v>
      </c>
      <c r="J694" t="str">
        <f t="shared" si="32"/>
        <v>Current</v>
      </c>
    </row>
    <row r="695" spans="1:10" x14ac:dyDescent="0.3">
      <c r="A695" t="str">
        <f>Table3[[#This Row],[BillID]]</f>
        <v>BILL-00694</v>
      </c>
      <c r="B695" t="str">
        <f>Table3[[#This Row],[VendorID]]</f>
        <v>VEN-003</v>
      </c>
      <c r="C695" t="str">
        <f>VLOOKUP(B695,Vendors!A:B,2,FALSE)</f>
        <v>TikTok Ads</v>
      </c>
      <c r="D695" s="9">
        <f>Table3[[#This Row],[BillDate]]</f>
        <v>46000</v>
      </c>
      <c r="E695" s="9">
        <f>Table3[[#This Row],[DueDate]]</f>
        <v>46030</v>
      </c>
      <c r="F695" s="3">
        <f>Table3[[#This Row],[BillAmount]]</f>
        <v>2877.36</v>
      </c>
      <c r="G695" s="3">
        <f>SUMIF(Vendor_Payments!C:C,A695,Vendor_Payments!E:E)</f>
        <v>2877.36</v>
      </c>
      <c r="H695" s="3">
        <f t="shared" si="30"/>
        <v>0</v>
      </c>
      <c r="I695">
        <f t="shared" si="31"/>
        <v>61</v>
      </c>
      <c r="J695" t="str">
        <f t="shared" si="32"/>
        <v>61-90</v>
      </c>
    </row>
    <row r="696" spans="1:10" x14ac:dyDescent="0.3">
      <c r="A696" t="str">
        <f>Table3[[#This Row],[BillID]]</f>
        <v>BILL-00695</v>
      </c>
      <c r="B696" t="str">
        <f>Table3[[#This Row],[VendorID]]</f>
        <v>VEN-020</v>
      </c>
      <c r="C696" t="str">
        <f>VLOOKUP(B696,Vendors!A:B,2,FALSE)</f>
        <v>Slack</v>
      </c>
      <c r="D696" s="9">
        <f>Table3[[#This Row],[BillDate]]</f>
        <v>46047</v>
      </c>
      <c r="E696" s="9">
        <f>Table3[[#This Row],[DueDate]]</f>
        <v>46077</v>
      </c>
      <c r="F696" s="3">
        <f>Table3[[#This Row],[BillAmount]]</f>
        <v>1638.69</v>
      </c>
      <c r="G696" s="3">
        <f>SUMIF(Vendor_Payments!C:C,A696,Vendor_Payments!E:E)</f>
        <v>1638.69</v>
      </c>
      <c r="H696" s="3">
        <f t="shared" si="30"/>
        <v>0</v>
      </c>
      <c r="I696">
        <f t="shared" si="31"/>
        <v>14</v>
      </c>
      <c r="J696" t="str">
        <f t="shared" si="32"/>
        <v>1-30</v>
      </c>
    </row>
    <row r="697" spans="1:10" x14ac:dyDescent="0.3">
      <c r="A697" t="str">
        <f>Table3[[#This Row],[BillID]]</f>
        <v>BILL-00696</v>
      </c>
      <c r="B697" t="str">
        <f>Table3[[#This Row],[VendorID]]</f>
        <v>VEN-031</v>
      </c>
      <c r="C697" t="str">
        <f>VLOOKUP(B697,Vendors!A:B,2,FALSE)</f>
        <v>DataInsight Analytics</v>
      </c>
      <c r="D697" s="9">
        <f>Table3[[#This Row],[BillDate]]</f>
        <v>46068</v>
      </c>
      <c r="E697" s="9">
        <f>Table3[[#This Row],[DueDate]]</f>
        <v>46098</v>
      </c>
      <c r="F697" s="3">
        <f>Table3[[#This Row],[BillAmount]]</f>
        <v>5704.73</v>
      </c>
      <c r="G697" s="3">
        <f>SUMIF(Vendor_Payments!C:C,A697,Vendor_Payments!E:E)</f>
        <v>5704.73</v>
      </c>
      <c r="H697" s="3">
        <f t="shared" si="30"/>
        <v>0</v>
      </c>
      <c r="I697">
        <f t="shared" si="31"/>
        <v>-7</v>
      </c>
      <c r="J697" t="str">
        <f t="shared" si="32"/>
        <v>Current</v>
      </c>
    </row>
    <row r="698" spans="1:10" x14ac:dyDescent="0.3">
      <c r="A698" t="str">
        <f>Table3[[#This Row],[BillID]]</f>
        <v>BILL-00697</v>
      </c>
      <c r="B698" t="str">
        <f>Table3[[#This Row],[VendorID]]</f>
        <v>VEN-032</v>
      </c>
      <c r="C698" t="str">
        <f>VLOOKUP(B698,Vendors!A:B,2,FALSE)</f>
        <v>Marketing Automation Labs</v>
      </c>
      <c r="D698" s="9">
        <f>Table3[[#This Row],[BillDate]]</f>
        <v>46067</v>
      </c>
      <c r="E698" s="9">
        <f>Table3[[#This Row],[DueDate]]</f>
        <v>46097</v>
      </c>
      <c r="F698" s="3">
        <f>Table3[[#This Row],[BillAmount]]</f>
        <v>2475.54</v>
      </c>
      <c r="G698" s="3">
        <f>SUMIF(Vendor_Payments!C:C,A698,Vendor_Payments!E:E)</f>
        <v>2475.54</v>
      </c>
      <c r="H698" s="3">
        <f t="shared" si="30"/>
        <v>0</v>
      </c>
      <c r="I698">
        <f t="shared" si="31"/>
        <v>-6</v>
      </c>
      <c r="J698" t="str">
        <f t="shared" si="32"/>
        <v>Current</v>
      </c>
    </row>
    <row r="699" spans="1:10" x14ac:dyDescent="0.3">
      <c r="A699" t="str">
        <f>Table3[[#This Row],[BillID]]</f>
        <v>BILL-00698</v>
      </c>
      <c r="B699" t="str">
        <f>Table3[[#This Row],[VendorID]]</f>
        <v>VEN-031</v>
      </c>
      <c r="C699" t="str">
        <f>VLOOKUP(B699,Vendors!A:B,2,FALSE)</f>
        <v>DataInsight Analytics</v>
      </c>
      <c r="D699" s="9">
        <f>Table3[[#This Row],[BillDate]]</f>
        <v>45975</v>
      </c>
      <c r="E699" s="9">
        <f>Table3[[#This Row],[DueDate]]</f>
        <v>46005</v>
      </c>
      <c r="F699" s="3">
        <f>Table3[[#This Row],[BillAmount]]</f>
        <v>5645.31</v>
      </c>
      <c r="G699" s="3">
        <f>SUMIF(Vendor_Payments!C:C,A699,Vendor_Payments!E:E)</f>
        <v>5645.31</v>
      </c>
      <c r="H699" s="3">
        <f t="shared" si="30"/>
        <v>0</v>
      </c>
      <c r="I699">
        <f t="shared" si="31"/>
        <v>86</v>
      </c>
      <c r="J699" t="str">
        <f t="shared" si="32"/>
        <v>61-90</v>
      </c>
    </row>
    <row r="700" spans="1:10" x14ac:dyDescent="0.3">
      <c r="A700" t="str">
        <f>Table3[[#This Row],[BillID]]</f>
        <v>BILL-00699</v>
      </c>
      <c r="B700" t="str">
        <f>Table3[[#This Row],[VendorID]]</f>
        <v>VEN-030</v>
      </c>
      <c r="C700" t="str">
        <f>VLOOKUP(B700,Vendors!A:B,2,FALSE)</f>
        <v>ContentCraft Studio</v>
      </c>
      <c r="D700" s="9">
        <f>Table3[[#This Row],[BillDate]]</f>
        <v>45963</v>
      </c>
      <c r="E700" s="9">
        <f>Table3[[#This Row],[DueDate]]</f>
        <v>45993</v>
      </c>
      <c r="F700" s="3">
        <f>Table3[[#This Row],[BillAmount]]</f>
        <v>3405.54</v>
      </c>
      <c r="G700" s="3">
        <f>SUMIF(Vendor_Payments!C:C,A700,Vendor_Payments!E:E)</f>
        <v>3405.54</v>
      </c>
      <c r="H700" s="3">
        <f t="shared" si="30"/>
        <v>0</v>
      </c>
      <c r="I700">
        <f t="shared" si="31"/>
        <v>98</v>
      </c>
      <c r="J700" t="str">
        <f t="shared" si="32"/>
        <v>90+</v>
      </c>
    </row>
    <row r="701" spans="1:10" x14ac:dyDescent="0.3">
      <c r="A701" t="str">
        <f>Table3[[#This Row],[BillID]]</f>
        <v>BILL-00700</v>
      </c>
      <c r="B701" t="str">
        <f>Table3[[#This Row],[VendorID]]</f>
        <v>VEN-011</v>
      </c>
      <c r="C701" t="str">
        <f>VLOOKUP(B701,Vendors!A:B,2,FALSE)</f>
        <v>AWS</v>
      </c>
      <c r="D701" s="9">
        <f>Table3[[#This Row],[BillDate]]</f>
        <v>46004</v>
      </c>
      <c r="E701" s="9">
        <f>Table3[[#This Row],[DueDate]]</f>
        <v>46034</v>
      </c>
      <c r="F701" s="3">
        <f>Table3[[#This Row],[BillAmount]]</f>
        <v>885.52</v>
      </c>
      <c r="G701" s="3">
        <f>SUMIF(Vendor_Payments!C:C,A701,Vendor_Payments!E:E)</f>
        <v>885.52</v>
      </c>
      <c r="H701" s="3">
        <f t="shared" si="30"/>
        <v>0</v>
      </c>
      <c r="I701">
        <f t="shared" si="31"/>
        <v>57</v>
      </c>
      <c r="J701" t="str">
        <f t="shared" si="32"/>
        <v>31-60</v>
      </c>
    </row>
    <row r="702" spans="1:10" x14ac:dyDescent="0.3">
      <c r="A702" t="str">
        <f>Table3[[#This Row],[BillID]]</f>
        <v>BILL-00701</v>
      </c>
      <c r="B702" t="str">
        <f>Table3[[#This Row],[VendorID]]</f>
        <v>VEN-013</v>
      </c>
      <c r="C702" t="str">
        <f>VLOOKUP(B702,Vendors!A:B,2,FALSE)</f>
        <v>Canva Pro</v>
      </c>
      <c r="D702" s="9">
        <f>Table3[[#This Row],[BillDate]]</f>
        <v>46059</v>
      </c>
      <c r="E702" s="9">
        <f>Table3[[#This Row],[DueDate]]</f>
        <v>46089</v>
      </c>
      <c r="F702" s="3">
        <f>Table3[[#This Row],[BillAmount]]</f>
        <v>5790.07</v>
      </c>
      <c r="G702" s="3">
        <f>SUMIF(Vendor_Payments!C:C,A702,Vendor_Payments!E:E)</f>
        <v>5790.07</v>
      </c>
      <c r="H702" s="3">
        <f t="shared" si="30"/>
        <v>0</v>
      </c>
      <c r="I702">
        <f t="shared" si="31"/>
        <v>2</v>
      </c>
      <c r="J702" t="str">
        <f t="shared" si="32"/>
        <v>1-30</v>
      </c>
    </row>
    <row r="703" spans="1:10" x14ac:dyDescent="0.3">
      <c r="A703" t="str">
        <f>Table3[[#This Row],[BillID]]</f>
        <v>BILL-00702</v>
      </c>
      <c r="B703" t="str">
        <f>Table3[[#This Row],[VendorID]]</f>
        <v>VEN-026</v>
      </c>
      <c r="C703" t="str">
        <f>VLOOKUP(B703,Vendors!A:B,2,FALSE)</f>
        <v>PixelForge Studio</v>
      </c>
      <c r="D703" s="9">
        <f>Table3[[#This Row],[BillDate]]</f>
        <v>46041</v>
      </c>
      <c r="E703" s="9">
        <f>Table3[[#This Row],[DueDate]]</f>
        <v>46071</v>
      </c>
      <c r="F703" s="3">
        <f>Table3[[#This Row],[BillAmount]]</f>
        <v>6274.84</v>
      </c>
      <c r="G703" s="3">
        <f>SUMIF(Vendor_Payments!C:C,A703,Vendor_Payments!E:E)</f>
        <v>0</v>
      </c>
      <c r="H703" s="3">
        <f t="shared" si="30"/>
        <v>6274.84</v>
      </c>
      <c r="I703">
        <f t="shared" si="31"/>
        <v>20</v>
      </c>
      <c r="J703" t="str">
        <f t="shared" si="32"/>
        <v>1-30</v>
      </c>
    </row>
    <row r="704" spans="1:10" x14ac:dyDescent="0.3">
      <c r="A704" t="str">
        <f>Table3[[#This Row],[BillID]]</f>
        <v>BILL-00703</v>
      </c>
      <c r="B704" t="str">
        <f>Table3[[#This Row],[VendorID]]</f>
        <v>VEN-005</v>
      </c>
      <c r="C704" t="str">
        <f>VLOOKUP(B704,Vendors!A:B,2,FALSE)</f>
        <v>HubSpot</v>
      </c>
      <c r="D704" s="9">
        <f>Table3[[#This Row],[BillDate]]</f>
        <v>46082</v>
      </c>
      <c r="E704" s="9">
        <f>Table3[[#This Row],[DueDate]]</f>
        <v>46112</v>
      </c>
      <c r="F704" s="3">
        <f>Table3[[#This Row],[BillAmount]]</f>
        <v>2552.89</v>
      </c>
      <c r="G704" s="3">
        <f>SUMIF(Vendor_Payments!C:C,A704,Vendor_Payments!E:E)</f>
        <v>2552.89</v>
      </c>
      <c r="H704" s="3">
        <f t="shared" si="30"/>
        <v>0</v>
      </c>
      <c r="I704">
        <f t="shared" si="31"/>
        <v>-21</v>
      </c>
      <c r="J704" t="str">
        <f t="shared" si="32"/>
        <v>Current</v>
      </c>
    </row>
    <row r="705" spans="1:10" x14ac:dyDescent="0.3">
      <c r="A705" t="str">
        <f>Table3[[#This Row],[BillID]]</f>
        <v>BILL-00704</v>
      </c>
      <c r="B705" t="str">
        <f>Table3[[#This Row],[VendorID]]</f>
        <v>VEN-032</v>
      </c>
      <c r="C705" t="str">
        <f>VLOOKUP(B705,Vendors!A:B,2,FALSE)</f>
        <v>Marketing Automation Labs</v>
      </c>
      <c r="D705" s="9">
        <f>Table3[[#This Row],[BillDate]]</f>
        <v>46082</v>
      </c>
      <c r="E705" s="9">
        <f>Table3[[#This Row],[DueDate]]</f>
        <v>46112</v>
      </c>
      <c r="F705" s="3">
        <f>Table3[[#This Row],[BillAmount]]</f>
        <v>4803.2700000000004</v>
      </c>
      <c r="G705" s="3">
        <f>SUMIF(Vendor_Payments!C:C,A705,Vendor_Payments!E:E)</f>
        <v>4803.2700000000004</v>
      </c>
      <c r="H705" s="3">
        <f t="shared" si="30"/>
        <v>0</v>
      </c>
      <c r="I705">
        <f t="shared" si="31"/>
        <v>-21</v>
      </c>
      <c r="J705" t="str">
        <f t="shared" si="32"/>
        <v>Current</v>
      </c>
    </row>
    <row r="706" spans="1:10" x14ac:dyDescent="0.3">
      <c r="A706" t="str">
        <f>Table3[[#This Row],[BillID]]</f>
        <v>BILL-00705</v>
      </c>
      <c r="B706" t="str">
        <f>Table3[[#This Row],[VendorID]]</f>
        <v>VEN-038</v>
      </c>
      <c r="C706" t="str">
        <f>VLOOKUP(B706,Vendors!A:B,2,FALSE)</f>
        <v>Insight Marketing Partners</v>
      </c>
      <c r="D706" s="9">
        <f>Table3[[#This Row],[BillDate]]</f>
        <v>45976</v>
      </c>
      <c r="E706" s="9">
        <f>Table3[[#This Row],[DueDate]]</f>
        <v>46006</v>
      </c>
      <c r="F706" s="3">
        <f>Table3[[#This Row],[BillAmount]]</f>
        <v>5133.6899999999996</v>
      </c>
      <c r="G706" s="3">
        <f>SUMIF(Vendor_Payments!C:C,A706,Vendor_Payments!E:E)</f>
        <v>5133.6899999999996</v>
      </c>
      <c r="H706" s="3">
        <f t="shared" si="30"/>
        <v>0</v>
      </c>
      <c r="I706">
        <f t="shared" si="31"/>
        <v>85</v>
      </c>
      <c r="J706" t="str">
        <f t="shared" si="32"/>
        <v>61-90</v>
      </c>
    </row>
    <row r="707" spans="1:10" x14ac:dyDescent="0.3">
      <c r="A707" t="str">
        <f>Table3[[#This Row],[BillID]]</f>
        <v>BILL-00706</v>
      </c>
      <c r="B707" t="str">
        <f>Table3[[#This Row],[VendorID]]</f>
        <v>VEN-037</v>
      </c>
      <c r="C707" t="str">
        <f>VLOOKUP(B707,Vendors!A:B,2,FALSE)</f>
        <v>CreativeSpark Studio</v>
      </c>
      <c r="D707" s="9">
        <f>Table3[[#This Row],[BillDate]]</f>
        <v>46016</v>
      </c>
      <c r="E707" s="9">
        <f>Table3[[#This Row],[DueDate]]</f>
        <v>46046</v>
      </c>
      <c r="F707" s="3">
        <f>Table3[[#This Row],[BillAmount]]</f>
        <v>5999.59</v>
      </c>
      <c r="G707" s="3">
        <f>SUMIF(Vendor_Payments!C:C,A707,Vendor_Payments!E:E)</f>
        <v>0</v>
      </c>
      <c r="H707" s="3">
        <f t="shared" ref="H707:H770" si="33">F707-G707</f>
        <v>5999.59</v>
      </c>
      <c r="I707">
        <f t="shared" ref="I707:I770" si="34">$L$1-E707</f>
        <v>45</v>
      </c>
      <c r="J707" t="str">
        <f t="shared" ref="J707:J770" si="35">IF(I707&lt;=0,"Current",IF(I707&lt;=30,"1-30",IF(I707&lt;=60,"31-60",IF(I707&lt;=90,"61-90","90+"))))</f>
        <v>31-60</v>
      </c>
    </row>
    <row r="708" spans="1:10" x14ac:dyDescent="0.3">
      <c r="A708" t="str">
        <f>Table3[[#This Row],[BillID]]</f>
        <v>BILL-00707</v>
      </c>
      <c r="B708" t="str">
        <f>Table3[[#This Row],[VendorID]]</f>
        <v>VEN-005</v>
      </c>
      <c r="C708" t="str">
        <f>VLOOKUP(B708,Vendors!A:B,2,FALSE)</f>
        <v>HubSpot</v>
      </c>
      <c r="D708" s="9">
        <f>Table3[[#This Row],[BillDate]]</f>
        <v>46073</v>
      </c>
      <c r="E708" s="9">
        <f>Table3[[#This Row],[DueDate]]</f>
        <v>46103</v>
      </c>
      <c r="F708" s="3">
        <f>Table3[[#This Row],[BillAmount]]</f>
        <v>2397.66</v>
      </c>
      <c r="G708" s="3">
        <f>SUMIF(Vendor_Payments!C:C,A708,Vendor_Payments!E:E)</f>
        <v>0</v>
      </c>
      <c r="H708" s="3">
        <f t="shared" si="33"/>
        <v>2397.66</v>
      </c>
      <c r="I708">
        <f t="shared" si="34"/>
        <v>-12</v>
      </c>
      <c r="J708" t="str">
        <f t="shared" si="35"/>
        <v>Current</v>
      </c>
    </row>
    <row r="709" spans="1:10" x14ac:dyDescent="0.3">
      <c r="A709" t="str">
        <f>Table3[[#This Row],[BillID]]</f>
        <v>BILL-00708</v>
      </c>
      <c r="B709" t="str">
        <f>Table3[[#This Row],[VendorID]]</f>
        <v>VEN-003</v>
      </c>
      <c r="C709" t="str">
        <f>VLOOKUP(B709,Vendors!A:B,2,FALSE)</f>
        <v>TikTok Ads</v>
      </c>
      <c r="D709" s="9">
        <f>Table3[[#This Row],[BillDate]]</f>
        <v>46066</v>
      </c>
      <c r="E709" s="9">
        <f>Table3[[#This Row],[DueDate]]</f>
        <v>46096</v>
      </c>
      <c r="F709" s="3">
        <f>Table3[[#This Row],[BillAmount]]</f>
        <v>4453.5200000000004</v>
      </c>
      <c r="G709" s="3">
        <f>SUMIF(Vendor_Payments!C:C,A709,Vendor_Payments!E:E)</f>
        <v>4453.5200000000004</v>
      </c>
      <c r="H709" s="3">
        <f t="shared" si="33"/>
        <v>0</v>
      </c>
      <c r="I709">
        <f t="shared" si="34"/>
        <v>-5</v>
      </c>
      <c r="J709" t="str">
        <f t="shared" si="35"/>
        <v>Current</v>
      </c>
    </row>
    <row r="710" spans="1:10" x14ac:dyDescent="0.3">
      <c r="A710" t="str">
        <f>Table3[[#This Row],[BillID]]</f>
        <v>BILL-00709</v>
      </c>
      <c r="B710" t="str">
        <f>Table3[[#This Row],[VendorID]]</f>
        <v>VEN-001</v>
      </c>
      <c r="C710" t="str">
        <f>VLOOKUP(B710,Vendors!A:B,2,FALSE)</f>
        <v>Google Ads</v>
      </c>
      <c r="D710" s="9">
        <f>Table3[[#This Row],[BillDate]]</f>
        <v>46027</v>
      </c>
      <c r="E710" s="9">
        <f>Table3[[#This Row],[DueDate]]</f>
        <v>46057</v>
      </c>
      <c r="F710" s="3">
        <f>Table3[[#This Row],[BillAmount]]</f>
        <v>6174.01</v>
      </c>
      <c r="G710" s="3">
        <f>SUMIF(Vendor_Payments!C:C,A710,Vendor_Payments!E:E)</f>
        <v>6174.01</v>
      </c>
      <c r="H710" s="3">
        <f t="shared" si="33"/>
        <v>0</v>
      </c>
      <c r="I710">
        <f t="shared" si="34"/>
        <v>34</v>
      </c>
      <c r="J710" t="str">
        <f t="shared" si="35"/>
        <v>31-60</v>
      </c>
    </row>
    <row r="711" spans="1:10" x14ac:dyDescent="0.3">
      <c r="A711" t="str">
        <f>Table3[[#This Row],[BillID]]</f>
        <v>BILL-00710</v>
      </c>
      <c r="B711" t="str">
        <f>Table3[[#This Row],[VendorID]]</f>
        <v>VEN-014</v>
      </c>
      <c r="C711" t="str">
        <f>VLOOKUP(B711,Vendors!A:B,2,FALSE)</f>
        <v>Figma</v>
      </c>
      <c r="D711" s="9">
        <f>Table3[[#This Row],[BillDate]]</f>
        <v>45971</v>
      </c>
      <c r="E711" s="9">
        <f>Table3[[#This Row],[DueDate]]</f>
        <v>46001</v>
      </c>
      <c r="F711" s="3">
        <f>Table3[[#This Row],[BillAmount]]</f>
        <v>1686.12</v>
      </c>
      <c r="G711" s="3">
        <f>SUMIF(Vendor_Payments!C:C,A711,Vendor_Payments!E:E)</f>
        <v>1686.12</v>
      </c>
      <c r="H711" s="3">
        <f t="shared" si="33"/>
        <v>0</v>
      </c>
      <c r="I711">
        <f t="shared" si="34"/>
        <v>90</v>
      </c>
      <c r="J711" t="str">
        <f t="shared" si="35"/>
        <v>61-90</v>
      </c>
    </row>
    <row r="712" spans="1:10" x14ac:dyDescent="0.3">
      <c r="A712" t="str">
        <f>Table3[[#This Row],[BillID]]</f>
        <v>BILL-00711</v>
      </c>
      <c r="B712" t="str">
        <f>Table3[[#This Row],[VendorID]]</f>
        <v>VEN-019</v>
      </c>
      <c r="C712" t="str">
        <f>VLOOKUP(B712,Vendors!A:B,2,FALSE)</f>
        <v>Notion</v>
      </c>
      <c r="D712" s="9">
        <f>Table3[[#This Row],[BillDate]]</f>
        <v>45962</v>
      </c>
      <c r="E712" s="9">
        <f>Table3[[#This Row],[DueDate]]</f>
        <v>45992</v>
      </c>
      <c r="F712" s="3">
        <f>Table3[[#This Row],[BillAmount]]</f>
        <v>2142.17</v>
      </c>
      <c r="G712" s="3">
        <f>SUMIF(Vendor_Payments!C:C,A712,Vendor_Payments!E:E)</f>
        <v>2142.17</v>
      </c>
      <c r="H712" s="3">
        <f t="shared" si="33"/>
        <v>0</v>
      </c>
      <c r="I712">
        <f t="shared" si="34"/>
        <v>99</v>
      </c>
      <c r="J712" t="str">
        <f t="shared" si="35"/>
        <v>90+</v>
      </c>
    </row>
    <row r="713" spans="1:10" x14ac:dyDescent="0.3">
      <c r="A713" t="str">
        <f>Table3[[#This Row],[BillID]]</f>
        <v>BILL-00712</v>
      </c>
      <c r="B713" t="str">
        <f>Table3[[#This Row],[VendorID]]</f>
        <v>VEN-017</v>
      </c>
      <c r="C713" t="str">
        <f>VLOOKUP(B713,Vendors!A:B,2,FALSE)</f>
        <v>PayPal</v>
      </c>
      <c r="D713" s="9">
        <f>Table3[[#This Row],[BillDate]]</f>
        <v>46048</v>
      </c>
      <c r="E713" s="9">
        <f>Table3[[#This Row],[DueDate]]</f>
        <v>46078</v>
      </c>
      <c r="F713" s="3">
        <f>Table3[[#This Row],[BillAmount]]</f>
        <v>6337.77</v>
      </c>
      <c r="G713" s="3">
        <f>SUMIF(Vendor_Payments!C:C,A713,Vendor_Payments!E:E)</f>
        <v>6337.77</v>
      </c>
      <c r="H713" s="3">
        <f t="shared" si="33"/>
        <v>0</v>
      </c>
      <c r="I713">
        <f t="shared" si="34"/>
        <v>13</v>
      </c>
      <c r="J713" t="str">
        <f t="shared" si="35"/>
        <v>1-30</v>
      </c>
    </row>
    <row r="714" spans="1:10" x14ac:dyDescent="0.3">
      <c r="A714" t="str">
        <f>Table3[[#This Row],[BillID]]</f>
        <v>BILL-00713</v>
      </c>
      <c r="B714" t="str">
        <f>Table3[[#This Row],[VendorID]]</f>
        <v>VEN-036</v>
      </c>
      <c r="C714" t="str">
        <f>VLOOKUP(B714,Vendors!A:B,2,FALSE)</f>
        <v>WebDev Masters</v>
      </c>
      <c r="D714" s="9">
        <f>Table3[[#This Row],[BillDate]]</f>
        <v>46010</v>
      </c>
      <c r="E714" s="9">
        <f>Table3[[#This Row],[DueDate]]</f>
        <v>46040</v>
      </c>
      <c r="F714" s="3">
        <f>Table3[[#This Row],[BillAmount]]</f>
        <v>4431.49</v>
      </c>
      <c r="G714" s="3">
        <f>SUMIF(Vendor_Payments!C:C,A714,Vendor_Payments!E:E)</f>
        <v>0</v>
      </c>
      <c r="H714" s="3">
        <f t="shared" si="33"/>
        <v>4431.49</v>
      </c>
      <c r="I714">
        <f t="shared" si="34"/>
        <v>51</v>
      </c>
      <c r="J714" t="str">
        <f t="shared" si="35"/>
        <v>31-60</v>
      </c>
    </row>
    <row r="715" spans="1:10" x14ac:dyDescent="0.3">
      <c r="A715" t="str">
        <f>Table3[[#This Row],[BillID]]</f>
        <v>BILL-00714</v>
      </c>
      <c r="B715" t="str">
        <f>Table3[[#This Row],[VendorID]]</f>
        <v>VEN-005</v>
      </c>
      <c r="C715" t="str">
        <f>VLOOKUP(B715,Vendors!A:B,2,FALSE)</f>
        <v>HubSpot</v>
      </c>
      <c r="D715" s="9">
        <f>Table3[[#This Row],[BillDate]]</f>
        <v>45971</v>
      </c>
      <c r="E715" s="9">
        <f>Table3[[#This Row],[DueDate]]</f>
        <v>46001</v>
      </c>
      <c r="F715" s="3">
        <f>Table3[[#This Row],[BillAmount]]</f>
        <v>4895.3</v>
      </c>
      <c r="G715" s="3">
        <f>SUMIF(Vendor_Payments!C:C,A715,Vendor_Payments!E:E)</f>
        <v>0</v>
      </c>
      <c r="H715" s="3">
        <f t="shared" si="33"/>
        <v>4895.3</v>
      </c>
      <c r="I715">
        <f t="shared" si="34"/>
        <v>90</v>
      </c>
      <c r="J715" t="str">
        <f t="shared" si="35"/>
        <v>61-90</v>
      </c>
    </row>
    <row r="716" spans="1:10" x14ac:dyDescent="0.3">
      <c r="A716" t="str">
        <f>Table3[[#This Row],[BillID]]</f>
        <v>BILL-00715</v>
      </c>
      <c r="B716" t="str">
        <f>Table3[[#This Row],[VendorID]]</f>
        <v>VEN-019</v>
      </c>
      <c r="C716" t="str">
        <f>VLOOKUP(B716,Vendors!A:B,2,FALSE)</f>
        <v>Notion</v>
      </c>
      <c r="D716" s="9">
        <f>Table3[[#This Row],[BillDate]]</f>
        <v>46052</v>
      </c>
      <c r="E716" s="9">
        <f>Table3[[#This Row],[DueDate]]</f>
        <v>46082</v>
      </c>
      <c r="F716" s="3">
        <f>Table3[[#This Row],[BillAmount]]</f>
        <v>4286.79</v>
      </c>
      <c r="G716" s="3">
        <f>SUMIF(Vendor_Payments!C:C,A716,Vendor_Payments!E:E)</f>
        <v>4286.79</v>
      </c>
      <c r="H716" s="3">
        <f t="shared" si="33"/>
        <v>0</v>
      </c>
      <c r="I716">
        <f t="shared" si="34"/>
        <v>9</v>
      </c>
      <c r="J716" t="str">
        <f t="shared" si="35"/>
        <v>1-30</v>
      </c>
    </row>
    <row r="717" spans="1:10" x14ac:dyDescent="0.3">
      <c r="A717" t="str">
        <f>Table3[[#This Row],[BillID]]</f>
        <v>BILL-00716</v>
      </c>
      <c r="B717" t="str">
        <f>Table3[[#This Row],[VendorID]]</f>
        <v>VEN-001</v>
      </c>
      <c r="C717" t="str">
        <f>VLOOKUP(B717,Vendors!A:B,2,FALSE)</f>
        <v>Google Ads</v>
      </c>
      <c r="D717" s="9">
        <f>Table3[[#This Row],[BillDate]]</f>
        <v>46020</v>
      </c>
      <c r="E717" s="9">
        <f>Table3[[#This Row],[DueDate]]</f>
        <v>46050</v>
      </c>
      <c r="F717" s="3">
        <f>Table3[[#This Row],[BillAmount]]</f>
        <v>5138.78</v>
      </c>
      <c r="G717" s="3">
        <f>SUMIF(Vendor_Payments!C:C,A717,Vendor_Payments!E:E)</f>
        <v>5138.78</v>
      </c>
      <c r="H717" s="3">
        <f t="shared" si="33"/>
        <v>0</v>
      </c>
      <c r="I717">
        <f t="shared" si="34"/>
        <v>41</v>
      </c>
      <c r="J717" t="str">
        <f t="shared" si="35"/>
        <v>31-60</v>
      </c>
    </row>
    <row r="718" spans="1:10" x14ac:dyDescent="0.3">
      <c r="A718" t="str">
        <f>Table3[[#This Row],[BillID]]</f>
        <v>BILL-00717</v>
      </c>
      <c r="B718" t="str">
        <f>Table3[[#This Row],[VendorID]]</f>
        <v>VEN-011</v>
      </c>
      <c r="C718" t="str">
        <f>VLOOKUP(B718,Vendors!A:B,2,FALSE)</f>
        <v>AWS</v>
      </c>
      <c r="D718" s="9">
        <f>Table3[[#This Row],[BillDate]]</f>
        <v>45999</v>
      </c>
      <c r="E718" s="9">
        <f>Table3[[#This Row],[DueDate]]</f>
        <v>46029</v>
      </c>
      <c r="F718" s="3">
        <f>Table3[[#This Row],[BillAmount]]</f>
        <v>1652.32</v>
      </c>
      <c r="G718" s="3">
        <f>SUMIF(Vendor_Payments!C:C,A718,Vendor_Payments!E:E)</f>
        <v>1652.32</v>
      </c>
      <c r="H718" s="3">
        <f t="shared" si="33"/>
        <v>0</v>
      </c>
      <c r="I718">
        <f t="shared" si="34"/>
        <v>62</v>
      </c>
      <c r="J718" t="str">
        <f t="shared" si="35"/>
        <v>61-90</v>
      </c>
    </row>
    <row r="719" spans="1:10" x14ac:dyDescent="0.3">
      <c r="A719" t="str">
        <f>Table3[[#This Row],[BillID]]</f>
        <v>BILL-00718</v>
      </c>
      <c r="B719" t="str">
        <f>Table3[[#This Row],[VendorID]]</f>
        <v>VEN-020</v>
      </c>
      <c r="C719" t="str">
        <f>VLOOKUP(B719,Vendors!A:B,2,FALSE)</f>
        <v>Slack</v>
      </c>
      <c r="D719" s="9">
        <f>Table3[[#This Row],[BillDate]]</f>
        <v>45978</v>
      </c>
      <c r="E719" s="9">
        <f>Table3[[#This Row],[DueDate]]</f>
        <v>46008</v>
      </c>
      <c r="F719" s="3">
        <f>Table3[[#This Row],[BillAmount]]</f>
        <v>6622.09</v>
      </c>
      <c r="G719" s="3">
        <f>SUMIF(Vendor_Payments!C:C,A719,Vendor_Payments!E:E)</f>
        <v>6622.09</v>
      </c>
      <c r="H719" s="3">
        <f t="shared" si="33"/>
        <v>0</v>
      </c>
      <c r="I719">
        <f t="shared" si="34"/>
        <v>83</v>
      </c>
      <c r="J719" t="str">
        <f t="shared" si="35"/>
        <v>61-90</v>
      </c>
    </row>
    <row r="720" spans="1:10" x14ac:dyDescent="0.3">
      <c r="A720" t="str">
        <f>Table3[[#This Row],[BillID]]</f>
        <v>BILL-00719</v>
      </c>
      <c r="B720" t="str">
        <f>Table3[[#This Row],[VendorID]]</f>
        <v>VEN-011</v>
      </c>
      <c r="C720" t="str">
        <f>VLOOKUP(B720,Vendors!A:B,2,FALSE)</f>
        <v>AWS</v>
      </c>
      <c r="D720" s="9">
        <f>Table3[[#This Row],[BillDate]]</f>
        <v>46036</v>
      </c>
      <c r="E720" s="9">
        <f>Table3[[#This Row],[DueDate]]</f>
        <v>46066</v>
      </c>
      <c r="F720" s="3">
        <f>Table3[[#This Row],[BillAmount]]</f>
        <v>2914.25</v>
      </c>
      <c r="G720" s="3">
        <f>SUMIF(Vendor_Payments!C:C,A720,Vendor_Payments!E:E)</f>
        <v>0</v>
      </c>
      <c r="H720" s="3">
        <f t="shared" si="33"/>
        <v>2914.25</v>
      </c>
      <c r="I720">
        <f t="shared" si="34"/>
        <v>25</v>
      </c>
      <c r="J720" t="str">
        <f t="shared" si="35"/>
        <v>1-30</v>
      </c>
    </row>
    <row r="721" spans="1:10" x14ac:dyDescent="0.3">
      <c r="A721" t="str">
        <f>Table3[[#This Row],[BillID]]</f>
        <v>BILL-00720</v>
      </c>
      <c r="B721" t="str">
        <f>Table3[[#This Row],[VendorID]]</f>
        <v>VEN-032</v>
      </c>
      <c r="C721" t="str">
        <f>VLOOKUP(B721,Vendors!A:B,2,FALSE)</f>
        <v>Marketing Automation Labs</v>
      </c>
      <c r="D721" s="9">
        <f>Table3[[#This Row],[BillDate]]</f>
        <v>46011</v>
      </c>
      <c r="E721" s="9">
        <f>Table3[[#This Row],[DueDate]]</f>
        <v>46041</v>
      </c>
      <c r="F721" s="3">
        <f>Table3[[#This Row],[BillAmount]]</f>
        <v>1198.1300000000001</v>
      </c>
      <c r="G721" s="3">
        <f>SUMIF(Vendor_Payments!C:C,A721,Vendor_Payments!E:E)</f>
        <v>1198.1300000000001</v>
      </c>
      <c r="H721" s="3">
        <f t="shared" si="33"/>
        <v>0</v>
      </c>
      <c r="I721">
        <f t="shared" si="34"/>
        <v>50</v>
      </c>
      <c r="J721" t="str">
        <f t="shared" si="35"/>
        <v>31-60</v>
      </c>
    </row>
    <row r="722" spans="1:10" x14ac:dyDescent="0.3">
      <c r="A722" t="str">
        <f>Table3[[#This Row],[BillID]]</f>
        <v>BILL-00721</v>
      </c>
      <c r="B722" t="str">
        <f>Table3[[#This Row],[VendorID]]</f>
        <v>VEN-010</v>
      </c>
      <c r="C722" t="str">
        <f>VLOOKUP(B722,Vendors!A:B,2,FALSE)</f>
        <v>Adobe Creative Cloud</v>
      </c>
      <c r="D722" s="9">
        <f>Table3[[#This Row],[BillDate]]</f>
        <v>46043</v>
      </c>
      <c r="E722" s="9">
        <f>Table3[[#This Row],[DueDate]]</f>
        <v>46073</v>
      </c>
      <c r="F722" s="3">
        <f>Table3[[#This Row],[BillAmount]]</f>
        <v>6435.76</v>
      </c>
      <c r="G722" s="3">
        <f>SUMIF(Vendor_Payments!C:C,A722,Vendor_Payments!E:E)</f>
        <v>6435.76</v>
      </c>
      <c r="H722" s="3">
        <f t="shared" si="33"/>
        <v>0</v>
      </c>
      <c r="I722">
        <f t="shared" si="34"/>
        <v>18</v>
      </c>
      <c r="J722" t="str">
        <f t="shared" si="35"/>
        <v>1-30</v>
      </c>
    </row>
    <row r="723" spans="1:10" x14ac:dyDescent="0.3">
      <c r="A723" t="str">
        <f>Table3[[#This Row],[BillID]]</f>
        <v>BILL-00722</v>
      </c>
      <c r="B723" t="str">
        <f>Table3[[#This Row],[VendorID]]</f>
        <v>VEN-035</v>
      </c>
      <c r="C723" t="str">
        <f>VLOOKUP(B723,Vendors!A:B,2,FALSE)</f>
        <v>ClickFlow Marketing</v>
      </c>
      <c r="D723" s="9">
        <f>Table3[[#This Row],[BillDate]]</f>
        <v>46014</v>
      </c>
      <c r="E723" s="9">
        <f>Table3[[#This Row],[DueDate]]</f>
        <v>46044</v>
      </c>
      <c r="F723" s="3">
        <f>Table3[[#This Row],[BillAmount]]</f>
        <v>4823.38</v>
      </c>
      <c r="G723" s="3">
        <f>SUMIF(Vendor_Payments!C:C,A723,Vendor_Payments!E:E)</f>
        <v>4823.38</v>
      </c>
      <c r="H723" s="3">
        <f t="shared" si="33"/>
        <v>0</v>
      </c>
      <c r="I723">
        <f t="shared" si="34"/>
        <v>47</v>
      </c>
      <c r="J723" t="str">
        <f t="shared" si="35"/>
        <v>31-60</v>
      </c>
    </row>
    <row r="724" spans="1:10" x14ac:dyDescent="0.3">
      <c r="A724" t="str">
        <f>Table3[[#This Row],[BillID]]</f>
        <v>BILL-00723</v>
      </c>
      <c r="B724" t="str">
        <f>Table3[[#This Row],[VendorID]]</f>
        <v>VEN-019</v>
      </c>
      <c r="C724" t="str">
        <f>VLOOKUP(B724,Vendors!A:B,2,FALSE)</f>
        <v>Notion</v>
      </c>
      <c r="D724" s="9">
        <f>Table3[[#This Row],[BillDate]]</f>
        <v>45970</v>
      </c>
      <c r="E724" s="9">
        <f>Table3[[#This Row],[DueDate]]</f>
        <v>46000</v>
      </c>
      <c r="F724" s="3">
        <f>Table3[[#This Row],[BillAmount]]</f>
        <v>1217.83</v>
      </c>
      <c r="G724" s="3">
        <f>SUMIF(Vendor_Payments!C:C,A724,Vendor_Payments!E:E)</f>
        <v>1217.83</v>
      </c>
      <c r="H724" s="3">
        <f t="shared" si="33"/>
        <v>0</v>
      </c>
      <c r="I724">
        <f t="shared" si="34"/>
        <v>91</v>
      </c>
      <c r="J724" t="str">
        <f t="shared" si="35"/>
        <v>90+</v>
      </c>
    </row>
    <row r="725" spans="1:10" x14ac:dyDescent="0.3">
      <c r="A725" t="str">
        <f>Table3[[#This Row],[BillID]]</f>
        <v>BILL-00724</v>
      </c>
      <c r="B725" t="str">
        <f>Table3[[#This Row],[VendorID]]</f>
        <v>VEN-005</v>
      </c>
      <c r="C725" t="str">
        <f>VLOOKUP(B725,Vendors!A:B,2,FALSE)</f>
        <v>HubSpot</v>
      </c>
      <c r="D725" s="9">
        <f>Table3[[#This Row],[BillDate]]</f>
        <v>46076</v>
      </c>
      <c r="E725" s="9">
        <f>Table3[[#This Row],[DueDate]]</f>
        <v>46106</v>
      </c>
      <c r="F725" s="3">
        <f>Table3[[#This Row],[BillAmount]]</f>
        <v>6922.19</v>
      </c>
      <c r="G725" s="3">
        <f>SUMIF(Vendor_Payments!C:C,A725,Vendor_Payments!E:E)</f>
        <v>6922.19</v>
      </c>
      <c r="H725" s="3">
        <f t="shared" si="33"/>
        <v>0</v>
      </c>
      <c r="I725">
        <f t="shared" si="34"/>
        <v>-15</v>
      </c>
      <c r="J725" t="str">
        <f t="shared" si="35"/>
        <v>Current</v>
      </c>
    </row>
    <row r="726" spans="1:10" x14ac:dyDescent="0.3">
      <c r="A726" t="str">
        <f>Table3[[#This Row],[BillID]]</f>
        <v>BILL-00725</v>
      </c>
      <c r="B726" t="str">
        <f>Table3[[#This Row],[VendorID]]</f>
        <v>VEN-037</v>
      </c>
      <c r="C726" t="str">
        <f>VLOOKUP(B726,Vendors!A:B,2,FALSE)</f>
        <v>CreativeSpark Studio</v>
      </c>
      <c r="D726" s="9">
        <f>Table3[[#This Row],[BillDate]]</f>
        <v>45976</v>
      </c>
      <c r="E726" s="9">
        <f>Table3[[#This Row],[DueDate]]</f>
        <v>46006</v>
      </c>
      <c r="F726" s="3">
        <f>Table3[[#This Row],[BillAmount]]</f>
        <v>4783.09</v>
      </c>
      <c r="G726" s="3">
        <f>SUMIF(Vendor_Payments!C:C,A726,Vendor_Payments!E:E)</f>
        <v>4783.09</v>
      </c>
      <c r="H726" s="3">
        <f t="shared" si="33"/>
        <v>0</v>
      </c>
      <c r="I726">
        <f t="shared" si="34"/>
        <v>85</v>
      </c>
      <c r="J726" t="str">
        <f t="shared" si="35"/>
        <v>61-90</v>
      </c>
    </row>
    <row r="727" spans="1:10" x14ac:dyDescent="0.3">
      <c r="A727" t="str">
        <f>Table3[[#This Row],[BillID]]</f>
        <v>BILL-00726</v>
      </c>
      <c r="B727" t="str">
        <f>Table3[[#This Row],[VendorID]]</f>
        <v>VEN-037</v>
      </c>
      <c r="C727" t="str">
        <f>VLOOKUP(B727,Vendors!A:B,2,FALSE)</f>
        <v>CreativeSpark Studio</v>
      </c>
      <c r="D727" s="9">
        <f>Table3[[#This Row],[BillDate]]</f>
        <v>46087</v>
      </c>
      <c r="E727" s="9">
        <f>Table3[[#This Row],[DueDate]]</f>
        <v>46117</v>
      </c>
      <c r="F727" s="3">
        <f>Table3[[#This Row],[BillAmount]]</f>
        <v>4516.6400000000003</v>
      </c>
      <c r="G727" s="3">
        <f>SUMIF(Vendor_Payments!C:C,A727,Vendor_Payments!E:E)</f>
        <v>0</v>
      </c>
      <c r="H727" s="3">
        <f t="shared" si="33"/>
        <v>4516.6400000000003</v>
      </c>
      <c r="I727">
        <f t="shared" si="34"/>
        <v>-26</v>
      </c>
      <c r="J727" t="str">
        <f t="shared" si="35"/>
        <v>Current</v>
      </c>
    </row>
    <row r="728" spans="1:10" x14ac:dyDescent="0.3">
      <c r="A728" t="str">
        <f>Table3[[#This Row],[BillID]]</f>
        <v>BILL-00727</v>
      </c>
      <c r="B728" t="str">
        <f>Table3[[#This Row],[VendorID]]</f>
        <v>VEN-002</v>
      </c>
      <c r="C728" t="str">
        <f>VLOOKUP(B728,Vendors!A:B,2,FALSE)</f>
        <v>Meta Ads</v>
      </c>
      <c r="D728" s="9">
        <f>Table3[[#This Row],[BillDate]]</f>
        <v>45982</v>
      </c>
      <c r="E728" s="9">
        <f>Table3[[#This Row],[DueDate]]</f>
        <v>46012</v>
      </c>
      <c r="F728" s="3">
        <f>Table3[[#This Row],[BillAmount]]</f>
        <v>5468.84</v>
      </c>
      <c r="G728" s="3">
        <f>SUMIF(Vendor_Payments!C:C,A728,Vendor_Payments!E:E)</f>
        <v>5468.84</v>
      </c>
      <c r="H728" s="3">
        <f t="shared" si="33"/>
        <v>0</v>
      </c>
      <c r="I728">
        <f t="shared" si="34"/>
        <v>79</v>
      </c>
      <c r="J728" t="str">
        <f t="shared" si="35"/>
        <v>61-90</v>
      </c>
    </row>
    <row r="729" spans="1:10" x14ac:dyDescent="0.3">
      <c r="A729" t="str">
        <f>Table3[[#This Row],[BillID]]</f>
        <v>BILL-00728</v>
      </c>
      <c r="B729" t="str">
        <f>Table3[[#This Row],[VendorID]]</f>
        <v>VEN-029</v>
      </c>
      <c r="C729" t="str">
        <f>VLOOKUP(B729,Vendors!A:B,2,FALSE)</f>
        <v>BrightSEO Agency</v>
      </c>
      <c r="D729" s="9">
        <f>Table3[[#This Row],[BillDate]]</f>
        <v>46071</v>
      </c>
      <c r="E729" s="9">
        <f>Table3[[#This Row],[DueDate]]</f>
        <v>46101</v>
      </c>
      <c r="F729" s="3">
        <f>Table3[[#This Row],[BillAmount]]</f>
        <v>4665.8999999999996</v>
      </c>
      <c r="G729" s="3">
        <f>SUMIF(Vendor_Payments!C:C,A729,Vendor_Payments!E:E)</f>
        <v>4665.8999999999996</v>
      </c>
      <c r="H729" s="3">
        <f t="shared" si="33"/>
        <v>0</v>
      </c>
      <c r="I729">
        <f t="shared" si="34"/>
        <v>-10</v>
      </c>
      <c r="J729" t="str">
        <f t="shared" si="35"/>
        <v>Current</v>
      </c>
    </row>
    <row r="730" spans="1:10" x14ac:dyDescent="0.3">
      <c r="A730" t="str">
        <f>Table3[[#This Row],[BillID]]</f>
        <v>BILL-00729</v>
      </c>
      <c r="B730" t="str">
        <f>Table3[[#This Row],[VendorID]]</f>
        <v>VEN-013</v>
      </c>
      <c r="C730" t="str">
        <f>VLOOKUP(B730,Vendors!A:B,2,FALSE)</f>
        <v>Canva Pro</v>
      </c>
      <c r="D730" s="9">
        <f>Table3[[#This Row],[BillDate]]</f>
        <v>46029</v>
      </c>
      <c r="E730" s="9">
        <f>Table3[[#This Row],[DueDate]]</f>
        <v>46059</v>
      </c>
      <c r="F730" s="3">
        <f>Table3[[#This Row],[BillAmount]]</f>
        <v>6278.28</v>
      </c>
      <c r="G730" s="3">
        <f>SUMIF(Vendor_Payments!C:C,A730,Vendor_Payments!E:E)</f>
        <v>6278.28</v>
      </c>
      <c r="H730" s="3">
        <f t="shared" si="33"/>
        <v>0</v>
      </c>
      <c r="I730">
        <f t="shared" si="34"/>
        <v>32</v>
      </c>
      <c r="J730" t="str">
        <f t="shared" si="35"/>
        <v>31-60</v>
      </c>
    </row>
    <row r="731" spans="1:10" x14ac:dyDescent="0.3">
      <c r="A731" t="str">
        <f>Table3[[#This Row],[BillID]]</f>
        <v>BILL-00730</v>
      </c>
      <c r="B731" t="str">
        <f>Table3[[#This Row],[VendorID]]</f>
        <v>VEN-029</v>
      </c>
      <c r="C731" t="str">
        <f>VLOOKUP(B731,Vendors!A:B,2,FALSE)</f>
        <v>BrightSEO Agency</v>
      </c>
      <c r="D731" s="9">
        <f>Table3[[#This Row],[BillDate]]</f>
        <v>46031</v>
      </c>
      <c r="E731" s="9">
        <f>Table3[[#This Row],[DueDate]]</f>
        <v>46061</v>
      </c>
      <c r="F731" s="3">
        <f>Table3[[#This Row],[BillAmount]]</f>
        <v>1755.82</v>
      </c>
      <c r="G731" s="3">
        <f>SUMIF(Vendor_Payments!C:C,A731,Vendor_Payments!E:E)</f>
        <v>1755.82</v>
      </c>
      <c r="H731" s="3">
        <f t="shared" si="33"/>
        <v>0</v>
      </c>
      <c r="I731">
        <f t="shared" si="34"/>
        <v>30</v>
      </c>
      <c r="J731" t="str">
        <f t="shared" si="35"/>
        <v>1-30</v>
      </c>
    </row>
    <row r="732" spans="1:10" x14ac:dyDescent="0.3">
      <c r="A732" t="str">
        <f>Table3[[#This Row],[BillID]]</f>
        <v>BILL-00731</v>
      </c>
      <c r="B732" t="str">
        <f>Table3[[#This Row],[VendorID]]</f>
        <v>VEN-035</v>
      </c>
      <c r="C732" t="str">
        <f>VLOOKUP(B732,Vendors!A:B,2,FALSE)</f>
        <v>ClickFlow Marketing</v>
      </c>
      <c r="D732" s="9">
        <f>Table3[[#This Row],[BillDate]]</f>
        <v>46007</v>
      </c>
      <c r="E732" s="9">
        <f>Table3[[#This Row],[DueDate]]</f>
        <v>46037</v>
      </c>
      <c r="F732" s="3">
        <f>Table3[[#This Row],[BillAmount]]</f>
        <v>1167.99</v>
      </c>
      <c r="G732" s="3">
        <f>SUMIF(Vendor_Payments!C:C,A732,Vendor_Payments!E:E)</f>
        <v>0</v>
      </c>
      <c r="H732" s="3">
        <f t="shared" si="33"/>
        <v>1167.99</v>
      </c>
      <c r="I732">
        <f t="shared" si="34"/>
        <v>54</v>
      </c>
      <c r="J732" t="str">
        <f t="shared" si="35"/>
        <v>31-60</v>
      </c>
    </row>
    <row r="733" spans="1:10" x14ac:dyDescent="0.3">
      <c r="A733" t="str">
        <f>Table3[[#This Row],[BillID]]</f>
        <v>BILL-00732</v>
      </c>
      <c r="B733" t="str">
        <f>Table3[[#This Row],[VendorID]]</f>
        <v>VEN-025</v>
      </c>
      <c r="C733" t="str">
        <f>VLOOKUP(B733,Vendors!A:B,2,FALSE)</f>
        <v>Digital Growth Consultants</v>
      </c>
      <c r="D733" s="9">
        <f>Table3[[#This Row],[BillDate]]</f>
        <v>45983</v>
      </c>
      <c r="E733" s="9">
        <f>Table3[[#This Row],[DueDate]]</f>
        <v>46013</v>
      </c>
      <c r="F733" s="3">
        <f>Table3[[#This Row],[BillAmount]]</f>
        <v>3284.81</v>
      </c>
      <c r="G733" s="3">
        <f>SUMIF(Vendor_Payments!C:C,A733,Vendor_Payments!E:E)</f>
        <v>3284.81</v>
      </c>
      <c r="H733" s="3">
        <f t="shared" si="33"/>
        <v>0</v>
      </c>
      <c r="I733">
        <f t="shared" si="34"/>
        <v>78</v>
      </c>
      <c r="J733" t="str">
        <f t="shared" si="35"/>
        <v>61-90</v>
      </c>
    </row>
    <row r="734" spans="1:10" x14ac:dyDescent="0.3">
      <c r="A734" t="str">
        <f>Table3[[#This Row],[BillID]]</f>
        <v>BILL-00733</v>
      </c>
      <c r="B734" t="str">
        <f>Table3[[#This Row],[VendorID]]</f>
        <v>VEN-023</v>
      </c>
      <c r="C734" t="str">
        <f>VLOOKUP(B734,Vendors!A:B,2,FALSE)</f>
        <v>Fiverr Pro</v>
      </c>
      <c r="D734" s="9">
        <f>Table3[[#This Row],[BillDate]]</f>
        <v>45965</v>
      </c>
      <c r="E734" s="9">
        <f>Table3[[#This Row],[DueDate]]</f>
        <v>45995</v>
      </c>
      <c r="F734" s="3">
        <f>Table3[[#This Row],[BillAmount]]</f>
        <v>6385.38</v>
      </c>
      <c r="G734" s="3">
        <f>SUMIF(Vendor_Payments!C:C,A734,Vendor_Payments!E:E)</f>
        <v>0</v>
      </c>
      <c r="H734" s="3">
        <f t="shared" si="33"/>
        <v>6385.38</v>
      </c>
      <c r="I734">
        <f t="shared" si="34"/>
        <v>96</v>
      </c>
      <c r="J734" t="str">
        <f t="shared" si="35"/>
        <v>90+</v>
      </c>
    </row>
    <row r="735" spans="1:10" x14ac:dyDescent="0.3">
      <c r="A735" t="str">
        <f>Table3[[#This Row],[BillID]]</f>
        <v>BILL-00734</v>
      </c>
      <c r="B735" t="str">
        <f>Table3[[#This Row],[VendorID]]</f>
        <v>VEN-027</v>
      </c>
      <c r="C735" t="str">
        <f>VLOOKUP(B735,Vendors!A:B,2,FALSE)</f>
        <v>DevCraft Agency</v>
      </c>
      <c r="D735" s="9">
        <f>Table3[[#This Row],[BillDate]]</f>
        <v>45978</v>
      </c>
      <c r="E735" s="9">
        <f>Table3[[#This Row],[DueDate]]</f>
        <v>46008</v>
      </c>
      <c r="F735" s="3">
        <f>Table3[[#This Row],[BillAmount]]</f>
        <v>6696.72</v>
      </c>
      <c r="G735" s="3">
        <f>SUMIF(Vendor_Payments!C:C,A735,Vendor_Payments!E:E)</f>
        <v>6696.72</v>
      </c>
      <c r="H735" s="3">
        <f t="shared" si="33"/>
        <v>0</v>
      </c>
      <c r="I735">
        <f t="shared" si="34"/>
        <v>83</v>
      </c>
      <c r="J735" t="str">
        <f t="shared" si="35"/>
        <v>61-90</v>
      </c>
    </row>
    <row r="736" spans="1:10" x14ac:dyDescent="0.3">
      <c r="A736" t="str">
        <f>Table3[[#This Row],[BillID]]</f>
        <v>BILL-00735</v>
      </c>
      <c r="B736" t="str">
        <f>Table3[[#This Row],[VendorID]]</f>
        <v>VEN-026</v>
      </c>
      <c r="C736" t="str">
        <f>VLOOKUP(B736,Vendors!A:B,2,FALSE)</f>
        <v>PixelForge Studio</v>
      </c>
      <c r="D736" s="9">
        <f>Table3[[#This Row],[BillDate]]</f>
        <v>46003</v>
      </c>
      <c r="E736" s="9">
        <f>Table3[[#This Row],[DueDate]]</f>
        <v>46033</v>
      </c>
      <c r="F736" s="3">
        <f>Table3[[#This Row],[BillAmount]]</f>
        <v>2799.34</v>
      </c>
      <c r="G736" s="3">
        <f>SUMIF(Vendor_Payments!C:C,A736,Vendor_Payments!E:E)</f>
        <v>0</v>
      </c>
      <c r="H736" s="3">
        <f t="shared" si="33"/>
        <v>2799.34</v>
      </c>
      <c r="I736">
        <f t="shared" si="34"/>
        <v>58</v>
      </c>
      <c r="J736" t="str">
        <f t="shared" si="35"/>
        <v>31-60</v>
      </c>
    </row>
    <row r="737" spans="1:10" x14ac:dyDescent="0.3">
      <c r="A737" t="str">
        <f>Table3[[#This Row],[BillID]]</f>
        <v>BILL-00736</v>
      </c>
      <c r="B737" t="str">
        <f>Table3[[#This Row],[VendorID]]</f>
        <v>VEN-023</v>
      </c>
      <c r="C737" t="str">
        <f>VLOOKUP(B737,Vendors!A:B,2,FALSE)</f>
        <v>Fiverr Pro</v>
      </c>
      <c r="D737" s="9">
        <f>Table3[[#This Row],[BillDate]]</f>
        <v>46058</v>
      </c>
      <c r="E737" s="9">
        <f>Table3[[#This Row],[DueDate]]</f>
        <v>46088</v>
      </c>
      <c r="F737" s="3">
        <f>Table3[[#This Row],[BillAmount]]</f>
        <v>1419.23</v>
      </c>
      <c r="G737" s="3">
        <f>SUMIF(Vendor_Payments!C:C,A737,Vendor_Payments!E:E)</f>
        <v>0</v>
      </c>
      <c r="H737" s="3">
        <f t="shared" si="33"/>
        <v>1419.23</v>
      </c>
      <c r="I737">
        <f t="shared" si="34"/>
        <v>3</v>
      </c>
      <c r="J737" t="str">
        <f t="shared" si="35"/>
        <v>1-30</v>
      </c>
    </row>
    <row r="738" spans="1:10" x14ac:dyDescent="0.3">
      <c r="A738" t="str">
        <f>Table3[[#This Row],[BillID]]</f>
        <v>BILL-00737</v>
      </c>
      <c r="B738" t="str">
        <f>Table3[[#This Row],[VendorID]]</f>
        <v>VEN-028</v>
      </c>
      <c r="C738" t="str">
        <f>VLOOKUP(B738,Vendors!A:B,2,FALSE)</f>
        <v>MarketEdge Consulting</v>
      </c>
      <c r="D738" s="9">
        <f>Table3[[#This Row],[BillDate]]</f>
        <v>45986</v>
      </c>
      <c r="E738" s="9">
        <f>Table3[[#This Row],[DueDate]]</f>
        <v>46016</v>
      </c>
      <c r="F738" s="3">
        <f>Table3[[#This Row],[BillAmount]]</f>
        <v>2502.5</v>
      </c>
      <c r="G738" s="3">
        <f>SUMIF(Vendor_Payments!C:C,A738,Vendor_Payments!E:E)</f>
        <v>2502.5</v>
      </c>
      <c r="H738" s="3">
        <f t="shared" si="33"/>
        <v>0</v>
      </c>
      <c r="I738">
        <f t="shared" si="34"/>
        <v>75</v>
      </c>
      <c r="J738" t="str">
        <f t="shared" si="35"/>
        <v>61-90</v>
      </c>
    </row>
    <row r="739" spans="1:10" x14ac:dyDescent="0.3">
      <c r="A739" t="str">
        <f>Table3[[#This Row],[BillID]]</f>
        <v>BILL-00738</v>
      </c>
      <c r="B739" t="str">
        <f>Table3[[#This Row],[VendorID]]</f>
        <v>VEN-029</v>
      </c>
      <c r="C739" t="str">
        <f>VLOOKUP(B739,Vendors!A:B,2,FALSE)</f>
        <v>BrightSEO Agency</v>
      </c>
      <c r="D739" s="9">
        <f>Table3[[#This Row],[BillDate]]</f>
        <v>46082</v>
      </c>
      <c r="E739" s="9">
        <f>Table3[[#This Row],[DueDate]]</f>
        <v>46112</v>
      </c>
      <c r="F739" s="3">
        <f>Table3[[#This Row],[BillAmount]]</f>
        <v>2892.99</v>
      </c>
      <c r="G739" s="3">
        <f>SUMIF(Vendor_Payments!C:C,A739,Vendor_Payments!E:E)</f>
        <v>0</v>
      </c>
      <c r="H739" s="3">
        <f t="shared" si="33"/>
        <v>2892.99</v>
      </c>
      <c r="I739">
        <f t="shared" si="34"/>
        <v>-21</v>
      </c>
      <c r="J739" t="str">
        <f t="shared" si="35"/>
        <v>Current</v>
      </c>
    </row>
    <row r="740" spans="1:10" x14ac:dyDescent="0.3">
      <c r="A740" t="str">
        <f>Table3[[#This Row],[BillID]]</f>
        <v>BILL-00739</v>
      </c>
      <c r="B740" t="str">
        <f>Table3[[#This Row],[VendorID]]</f>
        <v>VEN-009</v>
      </c>
      <c r="C740" t="str">
        <f>VLOOKUP(B740,Vendors!A:B,2,FALSE)</f>
        <v>SEMrush</v>
      </c>
      <c r="D740" s="9">
        <f>Table3[[#This Row],[BillDate]]</f>
        <v>46061</v>
      </c>
      <c r="E740" s="9">
        <f>Table3[[#This Row],[DueDate]]</f>
        <v>46091</v>
      </c>
      <c r="F740" s="3">
        <f>Table3[[#This Row],[BillAmount]]</f>
        <v>2605.25</v>
      </c>
      <c r="G740" s="3">
        <f>SUMIF(Vendor_Payments!C:C,A740,Vendor_Payments!E:E)</f>
        <v>2605.25</v>
      </c>
      <c r="H740" s="3">
        <f t="shared" si="33"/>
        <v>0</v>
      </c>
      <c r="I740">
        <f t="shared" si="34"/>
        <v>0</v>
      </c>
      <c r="J740" t="str">
        <f t="shared" si="35"/>
        <v>Current</v>
      </c>
    </row>
    <row r="741" spans="1:10" x14ac:dyDescent="0.3">
      <c r="A741" t="str">
        <f>Table3[[#This Row],[BillID]]</f>
        <v>BILL-00740</v>
      </c>
      <c r="B741" t="str">
        <f>Table3[[#This Row],[VendorID]]</f>
        <v>VEN-025</v>
      </c>
      <c r="C741" t="str">
        <f>VLOOKUP(B741,Vendors!A:B,2,FALSE)</f>
        <v>Digital Growth Consultants</v>
      </c>
      <c r="D741" s="9">
        <f>Table3[[#This Row],[BillDate]]</f>
        <v>46061</v>
      </c>
      <c r="E741" s="9">
        <f>Table3[[#This Row],[DueDate]]</f>
        <v>46091</v>
      </c>
      <c r="F741" s="3">
        <f>Table3[[#This Row],[BillAmount]]</f>
        <v>2987.98</v>
      </c>
      <c r="G741" s="3">
        <f>SUMIF(Vendor_Payments!C:C,A741,Vendor_Payments!E:E)</f>
        <v>2987.98</v>
      </c>
      <c r="H741" s="3">
        <f t="shared" si="33"/>
        <v>0</v>
      </c>
      <c r="I741">
        <f t="shared" si="34"/>
        <v>0</v>
      </c>
      <c r="J741" t="str">
        <f t="shared" si="35"/>
        <v>Current</v>
      </c>
    </row>
    <row r="742" spans="1:10" x14ac:dyDescent="0.3">
      <c r="A742" t="str">
        <f>Table3[[#This Row],[BillID]]</f>
        <v>BILL-00741</v>
      </c>
      <c r="B742" t="str">
        <f>Table3[[#This Row],[VendorID]]</f>
        <v>VEN-017</v>
      </c>
      <c r="C742" t="str">
        <f>VLOOKUP(B742,Vendors!A:B,2,FALSE)</f>
        <v>PayPal</v>
      </c>
      <c r="D742" s="9">
        <f>Table3[[#This Row],[BillDate]]</f>
        <v>46021</v>
      </c>
      <c r="E742" s="9">
        <f>Table3[[#This Row],[DueDate]]</f>
        <v>46051</v>
      </c>
      <c r="F742" s="3">
        <f>Table3[[#This Row],[BillAmount]]</f>
        <v>6141.76</v>
      </c>
      <c r="G742" s="3">
        <f>SUMIF(Vendor_Payments!C:C,A742,Vendor_Payments!E:E)</f>
        <v>6141.76</v>
      </c>
      <c r="H742" s="3">
        <f t="shared" si="33"/>
        <v>0</v>
      </c>
      <c r="I742">
        <f t="shared" si="34"/>
        <v>40</v>
      </c>
      <c r="J742" t="str">
        <f t="shared" si="35"/>
        <v>31-60</v>
      </c>
    </row>
    <row r="743" spans="1:10" x14ac:dyDescent="0.3">
      <c r="A743" t="str">
        <f>Table3[[#This Row],[BillID]]</f>
        <v>BILL-00742</v>
      </c>
      <c r="B743" t="str">
        <f>Table3[[#This Row],[VendorID]]</f>
        <v>VEN-038</v>
      </c>
      <c r="C743" t="str">
        <f>VLOOKUP(B743,Vendors!A:B,2,FALSE)</f>
        <v>Insight Marketing Partners</v>
      </c>
      <c r="D743" s="9">
        <f>Table3[[#This Row],[BillDate]]</f>
        <v>46061</v>
      </c>
      <c r="E743" s="9">
        <f>Table3[[#This Row],[DueDate]]</f>
        <v>46091</v>
      </c>
      <c r="F743" s="3">
        <f>Table3[[#This Row],[BillAmount]]</f>
        <v>4592.0600000000004</v>
      </c>
      <c r="G743" s="3">
        <f>SUMIF(Vendor_Payments!C:C,A743,Vendor_Payments!E:E)</f>
        <v>0</v>
      </c>
      <c r="H743" s="3">
        <f t="shared" si="33"/>
        <v>4592.0600000000004</v>
      </c>
      <c r="I743">
        <f t="shared" si="34"/>
        <v>0</v>
      </c>
      <c r="J743" t="str">
        <f t="shared" si="35"/>
        <v>Current</v>
      </c>
    </row>
    <row r="744" spans="1:10" x14ac:dyDescent="0.3">
      <c r="A744" t="str">
        <f>Table3[[#This Row],[BillID]]</f>
        <v>BILL-00743</v>
      </c>
      <c r="B744" t="str">
        <f>Table3[[#This Row],[VendorID]]</f>
        <v>VEN-013</v>
      </c>
      <c r="C744" t="str">
        <f>VLOOKUP(B744,Vendors!A:B,2,FALSE)</f>
        <v>Canva Pro</v>
      </c>
      <c r="D744" s="9">
        <f>Table3[[#This Row],[BillDate]]</f>
        <v>45987</v>
      </c>
      <c r="E744" s="9">
        <f>Table3[[#This Row],[DueDate]]</f>
        <v>46017</v>
      </c>
      <c r="F744" s="3">
        <f>Table3[[#This Row],[BillAmount]]</f>
        <v>2049.86</v>
      </c>
      <c r="G744" s="3">
        <f>SUMIF(Vendor_Payments!C:C,A744,Vendor_Payments!E:E)</f>
        <v>2049.86</v>
      </c>
      <c r="H744" s="3">
        <f t="shared" si="33"/>
        <v>0</v>
      </c>
      <c r="I744">
        <f t="shared" si="34"/>
        <v>74</v>
      </c>
      <c r="J744" t="str">
        <f t="shared" si="35"/>
        <v>61-90</v>
      </c>
    </row>
    <row r="745" spans="1:10" x14ac:dyDescent="0.3">
      <c r="A745" t="str">
        <f>Table3[[#This Row],[BillID]]</f>
        <v>BILL-00744</v>
      </c>
      <c r="B745" t="str">
        <f>Table3[[#This Row],[VendorID]]</f>
        <v>VEN-002</v>
      </c>
      <c r="C745" t="str">
        <f>VLOOKUP(B745,Vendors!A:B,2,FALSE)</f>
        <v>Meta Ads</v>
      </c>
      <c r="D745" s="9">
        <f>Table3[[#This Row],[BillDate]]</f>
        <v>46070</v>
      </c>
      <c r="E745" s="9">
        <f>Table3[[#This Row],[DueDate]]</f>
        <v>46100</v>
      </c>
      <c r="F745" s="3">
        <f>Table3[[#This Row],[BillAmount]]</f>
        <v>3977.86</v>
      </c>
      <c r="G745" s="3">
        <f>SUMIF(Vendor_Payments!C:C,A745,Vendor_Payments!E:E)</f>
        <v>3977.86</v>
      </c>
      <c r="H745" s="3">
        <f t="shared" si="33"/>
        <v>0</v>
      </c>
      <c r="I745">
        <f t="shared" si="34"/>
        <v>-9</v>
      </c>
      <c r="J745" t="str">
        <f t="shared" si="35"/>
        <v>Current</v>
      </c>
    </row>
    <row r="746" spans="1:10" x14ac:dyDescent="0.3">
      <c r="A746" t="str">
        <f>Table3[[#This Row],[BillID]]</f>
        <v>BILL-00745</v>
      </c>
      <c r="B746" t="str">
        <f>Table3[[#This Row],[VendorID]]</f>
        <v>VEN-003</v>
      </c>
      <c r="C746" t="str">
        <f>VLOOKUP(B746,Vendors!A:B,2,FALSE)</f>
        <v>TikTok Ads</v>
      </c>
      <c r="D746" s="9">
        <f>Table3[[#This Row],[BillDate]]</f>
        <v>45990</v>
      </c>
      <c r="E746" s="9">
        <f>Table3[[#This Row],[DueDate]]</f>
        <v>46020</v>
      </c>
      <c r="F746" s="3">
        <f>Table3[[#This Row],[BillAmount]]</f>
        <v>5327.18</v>
      </c>
      <c r="G746" s="3">
        <f>SUMIF(Vendor_Payments!C:C,A746,Vendor_Payments!E:E)</f>
        <v>5327.18</v>
      </c>
      <c r="H746" s="3">
        <f t="shared" si="33"/>
        <v>0</v>
      </c>
      <c r="I746">
        <f t="shared" si="34"/>
        <v>71</v>
      </c>
      <c r="J746" t="str">
        <f t="shared" si="35"/>
        <v>61-90</v>
      </c>
    </row>
    <row r="747" spans="1:10" x14ac:dyDescent="0.3">
      <c r="A747" t="str">
        <f>Table3[[#This Row],[BillID]]</f>
        <v>BILL-00746</v>
      </c>
      <c r="B747" t="str">
        <f>Table3[[#This Row],[VendorID]]</f>
        <v>VEN-013</v>
      </c>
      <c r="C747" t="str">
        <f>VLOOKUP(B747,Vendors!A:B,2,FALSE)</f>
        <v>Canva Pro</v>
      </c>
      <c r="D747" s="9">
        <f>Table3[[#This Row],[BillDate]]</f>
        <v>45967</v>
      </c>
      <c r="E747" s="9">
        <f>Table3[[#This Row],[DueDate]]</f>
        <v>45997</v>
      </c>
      <c r="F747" s="3">
        <f>Table3[[#This Row],[BillAmount]]</f>
        <v>1082.6099999999999</v>
      </c>
      <c r="G747" s="3">
        <f>SUMIF(Vendor_Payments!C:C,A747,Vendor_Payments!E:E)</f>
        <v>1082.6099999999999</v>
      </c>
      <c r="H747" s="3">
        <f t="shared" si="33"/>
        <v>0</v>
      </c>
      <c r="I747">
        <f t="shared" si="34"/>
        <v>94</v>
      </c>
      <c r="J747" t="str">
        <f t="shared" si="35"/>
        <v>90+</v>
      </c>
    </row>
    <row r="748" spans="1:10" x14ac:dyDescent="0.3">
      <c r="A748" t="str">
        <f>Table3[[#This Row],[BillID]]</f>
        <v>BILL-00747</v>
      </c>
      <c r="B748" t="str">
        <f>Table3[[#This Row],[VendorID]]</f>
        <v>VEN-010</v>
      </c>
      <c r="C748" t="str">
        <f>VLOOKUP(B748,Vendors!A:B,2,FALSE)</f>
        <v>Adobe Creative Cloud</v>
      </c>
      <c r="D748" s="9">
        <f>Table3[[#This Row],[BillDate]]</f>
        <v>46060</v>
      </c>
      <c r="E748" s="9">
        <f>Table3[[#This Row],[DueDate]]</f>
        <v>46090</v>
      </c>
      <c r="F748" s="3">
        <f>Table3[[#This Row],[BillAmount]]</f>
        <v>6481.1</v>
      </c>
      <c r="G748" s="3">
        <f>SUMIF(Vendor_Payments!C:C,A748,Vendor_Payments!E:E)</f>
        <v>6481.1</v>
      </c>
      <c r="H748" s="3">
        <f t="shared" si="33"/>
        <v>0</v>
      </c>
      <c r="I748">
        <f t="shared" si="34"/>
        <v>1</v>
      </c>
      <c r="J748" t="str">
        <f t="shared" si="35"/>
        <v>1-30</v>
      </c>
    </row>
    <row r="749" spans="1:10" x14ac:dyDescent="0.3">
      <c r="A749" t="str">
        <f>Table3[[#This Row],[BillID]]</f>
        <v>BILL-00748</v>
      </c>
      <c r="B749" t="str">
        <f>Table3[[#This Row],[VendorID]]</f>
        <v>VEN-012</v>
      </c>
      <c r="C749" t="str">
        <f>VLOOKUP(B749,Vendors!A:B,2,FALSE)</f>
        <v>Google Cloud</v>
      </c>
      <c r="D749" s="9">
        <f>Table3[[#This Row],[BillDate]]</f>
        <v>46007</v>
      </c>
      <c r="E749" s="9">
        <f>Table3[[#This Row],[DueDate]]</f>
        <v>46037</v>
      </c>
      <c r="F749" s="3">
        <f>Table3[[#This Row],[BillAmount]]</f>
        <v>1080.3800000000001</v>
      </c>
      <c r="G749" s="3">
        <f>SUMIF(Vendor_Payments!C:C,A749,Vendor_Payments!E:E)</f>
        <v>1080.3800000000001</v>
      </c>
      <c r="H749" s="3">
        <f t="shared" si="33"/>
        <v>0</v>
      </c>
      <c r="I749">
        <f t="shared" si="34"/>
        <v>54</v>
      </c>
      <c r="J749" t="str">
        <f t="shared" si="35"/>
        <v>31-60</v>
      </c>
    </row>
    <row r="750" spans="1:10" x14ac:dyDescent="0.3">
      <c r="A750" t="str">
        <f>Table3[[#This Row],[BillID]]</f>
        <v>BILL-00749</v>
      </c>
      <c r="B750" t="str">
        <f>Table3[[#This Row],[VendorID]]</f>
        <v>VEN-035</v>
      </c>
      <c r="C750" t="str">
        <f>VLOOKUP(B750,Vendors!A:B,2,FALSE)</f>
        <v>ClickFlow Marketing</v>
      </c>
      <c r="D750" s="9">
        <f>Table3[[#This Row],[BillDate]]</f>
        <v>46011</v>
      </c>
      <c r="E750" s="9">
        <f>Table3[[#This Row],[DueDate]]</f>
        <v>46041</v>
      </c>
      <c r="F750" s="3">
        <f>Table3[[#This Row],[BillAmount]]</f>
        <v>4591.07</v>
      </c>
      <c r="G750" s="3">
        <f>SUMIF(Vendor_Payments!C:C,A750,Vendor_Payments!E:E)</f>
        <v>4591.07</v>
      </c>
      <c r="H750" s="3">
        <f t="shared" si="33"/>
        <v>0</v>
      </c>
      <c r="I750">
        <f t="shared" si="34"/>
        <v>50</v>
      </c>
      <c r="J750" t="str">
        <f t="shared" si="35"/>
        <v>31-60</v>
      </c>
    </row>
    <row r="751" spans="1:10" x14ac:dyDescent="0.3">
      <c r="A751" t="str">
        <f>Table3[[#This Row],[BillID]]</f>
        <v>BILL-00750</v>
      </c>
      <c r="B751" t="str">
        <f>Table3[[#This Row],[VendorID]]</f>
        <v>VEN-018</v>
      </c>
      <c r="C751" t="str">
        <f>VLOOKUP(B751,Vendors!A:B,2,FALSE)</f>
        <v>Cloudflare</v>
      </c>
      <c r="D751" s="9">
        <f>Table3[[#This Row],[BillDate]]</f>
        <v>46003</v>
      </c>
      <c r="E751" s="9">
        <f>Table3[[#This Row],[DueDate]]</f>
        <v>46033</v>
      </c>
      <c r="F751" s="3">
        <f>Table3[[#This Row],[BillAmount]]</f>
        <v>5429.59</v>
      </c>
      <c r="G751" s="3">
        <f>SUMIF(Vendor_Payments!C:C,A751,Vendor_Payments!E:E)</f>
        <v>5429.59</v>
      </c>
      <c r="H751" s="3">
        <f t="shared" si="33"/>
        <v>0</v>
      </c>
      <c r="I751">
        <f t="shared" si="34"/>
        <v>58</v>
      </c>
      <c r="J751" t="str">
        <f t="shared" si="35"/>
        <v>31-60</v>
      </c>
    </row>
    <row r="752" spans="1:10" x14ac:dyDescent="0.3">
      <c r="A752" t="str">
        <f>Table3[[#This Row],[BillID]]</f>
        <v>BILL-00751</v>
      </c>
      <c r="B752" t="str">
        <f>Table3[[#This Row],[VendorID]]</f>
        <v>VEN-001</v>
      </c>
      <c r="C752" t="str">
        <f>VLOOKUP(B752,Vendors!A:B,2,FALSE)</f>
        <v>Google Ads</v>
      </c>
      <c r="D752" s="9">
        <f>Table3[[#This Row],[BillDate]]</f>
        <v>46008</v>
      </c>
      <c r="E752" s="9">
        <f>Table3[[#This Row],[DueDate]]</f>
        <v>46038</v>
      </c>
      <c r="F752" s="3">
        <f>Table3[[#This Row],[BillAmount]]</f>
        <v>4420.07</v>
      </c>
      <c r="G752" s="3">
        <f>SUMIF(Vendor_Payments!C:C,A752,Vendor_Payments!E:E)</f>
        <v>4420.07</v>
      </c>
      <c r="H752" s="3">
        <f t="shared" si="33"/>
        <v>0</v>
      </c>
      <c r="I752">
        <f t="shared" si="34"/>
        <v>53</v>
      </c>
      <c r="J752" t="str">
        <f t="shared" si="35"/>
        <v>31-60</v>
      </c>
    </row>
    <row r="753" spans="1:10" x14ac:dyDescent="0.3">
      <c r="A753" t="str">
        <f>Table3[[#This Row],[BillID]]</f>
        <v>BILL-00752</v>
      </c>
      <c r="B753" t="str">
        <f>Table3[[#This Row],[VendorID]]</f>
        <v>VEN-031</v>
      </c>
      <c r="C753" t="str">
        <f>VLOOKUP(B753,Vendors!A:B,2,FALSE)</f>
        <v>DataInsight Analytics</v>
      </c>
      <c r="D753" s="9">
        <f>Table3[[#This Row],[BillDate]]</f>
        <v>46052</v>
      </c>
      <c r="E753" s="9">
        <f>Table3[[#This Row],[DueDate]]</f>
        <v>46082</v>
      </c>
      <c r="F753" s="3">
        <f>Table3[[#This Row],[BillAmount]]</f>
        <v>4497.54</v>
      </c>
      <c r="G753" s="3">
        <f>SUMIF(Vendor_Payments!C:C,A753,Vendor_Payments!E:E)</f>
        <v>0</v>
      </c>
      <c r="H753" s="3">
        <f t="shared" si="33"/>
        <v>4497.54</v>
      </c>
      <c r="I753">
        <f t="shared" si="34"/>
        <v>9</v>
      </c>
      <c r="J753" t="str">
        <f t="shared" si="35"/>
        <v>1-30</v>
      </c>
    </row>
    <row r="754" spans="1:10" x14ac:dyDescent="0.3">
      <c r="A754" t="str">
        <f>Table3[[#This Row],[BillID]]</f>
        <v>BILL-00753</v>
      </c>
      <c r="B754" t="str">
        <f>Table3[[#This Row],[VendorID]]</f>
        <v>VEN-032</v>
      </c>
      <c r="C754" t="str">
        <f>VLOOKUP(B754,Vendors!A:B,2,FALSE)</f>
        <v>Marketing Automation Labs</v>
      </c>
      <c r="D754" s="9">
        <f>Table3[[#This Row],[BillDate]]</f>
        <v>46023</v>
      </c>
      <c r="E754" s="9">
        <f>Table3[[#This Row],[DueDate]]</f>
        <v>46053</v>
      </c>
      <c r="F754" s="3">
        <f>Table3[[#This Row],[BillAmount]]</f>
        <v>1636.56</v>
      </c>
      <c r="G754" s="3">
        <f>SUMIF(Vendor_Payments!C:C,A754,Vendor_Payments!E:E)</f>
        <v>1636.56</v>
      </c>
      <c r="H754" s="3">
        <f t="shared" si="33"/>
        <v>0</v>
      </c>
      <c r="I754">
        <f t="shared" si="34"/>
        <v>38</v>
      </c>
      <c r="J754" t="str">
        <f t="shared" si="35"/>
        <v>31-60</v>
      </c>
    </row>
    <row r="755" spans="1:10" x14ac:dyDescent="0.3">
      <c r="A755" t="str">
        <f>Table3[[#This Row],[BillID]]</f>
        <v>BILL-00754</v>
      </c>
      <c r="B755" t="str">
        <f>Table3[[#This Row],[VendorID]]</f>
        <v>VEN-018</v>
      </c>
      <c r="C755" t="str">
        <f>VLOOKUP(B755,Vendors!A:B,2,FALSE)</f>
        <v>Cloudflare</v>
      </c>
      <c r="D755" s="9">
        <f>Table3[[#This Row],[BillDate]]</f>
        <v>45965</v>
      </c>
      <c r="E755" s="9">
        <f>Table3[[#This Row],[DueDate]]</f>
        <v>45995</v>
      </c>
      <c r="F755" s="3">
        <f>Table3[[#This Row],[BillAmount]]</f>
        <v>1479</v>
      </c>
      <c r="G755" s="3">
        <f>SUMIF(Vendor_Payments!C:C,A755,Vendor_Payments!E:E)</f>
        <v>1479</v>
      </c>
      <c r="H755" s="3">
        <f t="shared" si="33"/>
        <v>0</v>
      </c>
      <c r="I755">
        <f t="shared" si="34"/>
        <v>96</v>
      </c>
      <c r="J755" t="str">
        <f t="shared" si="35"/>
        <v>90+</v>
      </c>
    </row>
    <row r="756" spans="1:10" x14ac:dyDescent="0.3">
      <c r="A756" t="str">
        <f>Table3[[#This Row],[BillID]]</f>
        <v>BILL-00755</v>
      </c>
      <c r="B756" t="str">
        <f>Table3[[#This Row],[VendorID]]</f>
        <v>VEN-034</v>
      </c>
      <c r="C756" t="str">
        <f>VLOOKUP(B756,Vendors!A:B,2,FALSE)</f>
        <v>SocialBoost Agency</v>
      </c>
      <c r="D756" s="9">
        <f>Table3[[#This Row],[BillDate]]</f>
        <v>45970</v>
      </c>
      <c r="E756" s="9">
        <f>Table3[[#This Row],[DueDate]]</f>
        <v>46000</v>
      </c>
      <c r="F756" s="3">
        <f>Table3[[#This Row],[BillAmount]]</f>
        <v>881.73</v>
      </c>
      <c r="G756" s="3">
        <f>SUMIF(Vendor_Payments!C:C,A756,Vendor_Payments!E:E)</f>
        <v>881.73</v>
      </c>
      <c r="H756" s="3">
        <f t="shared" si="33"/>
        <v>0</v>
      </c>
      <c r="I756">
        <f t="shared" si="34"/>
        <v>91</v>
      </c>
      <c r="J756" t="str">
        <f t="shared" si="35"/>
        <v>90+</v>
      </c>
    </row>
    <row r="757" spans="1:10" x14ac:dyDescent="0.3">
      <c r="A757" t="str">
        <f>Table3[[#This Row],[BillID]]</f>
        <v>BILL-00756</v>
      </c>
      <c r="B757" t="str">
        <f>Table3[[#This Row],[VendorID]]</f>
        <v>VEN-014</v>
      </c>
      <c r="C757" t="str">
        <f>VLOOKUP(B757,Vendors!A:B,2,FALSE)</f>
        <v>Figma</v>
      </c>
      <c r="D757" s="9">
        <f>Table3[[#This Row],[BillDate]]</f>
        <v>46020</v>
      </c>
      <c r="E757" s="9">
        <f>Table3[[#This Row],[DueDate]]</f>
        <v>46050</v>
      </c>
      <c r="F757" s="3">
        <f>Table3[[#This Row],[BillAmount]]</f>
        <v>2994.41</v>
      </c>
      <c r="G757" s="3">
        <f>SUMIF(Vendor_Payments!C:C,A757,Vendor_Payments!E:E)</f>
        <v>0</v>
      </c>
      <c r="H757" s="3">
        <f t="shared" si="33"/>
        <v>2994.41</v>
      </c>
      <c r="I757">
        <f t="shared" si="34"/>
        <v>41</v>
      </c>
      <c r="J757" t="str">
        <f t="shared" si="35"/>
        <v>31-60</v>
      </c>
    </row>
    <row r="758" spans="1:10" x14ac:dyDescent="0.3">
      <c r="A758" t="str">
        <f>Table3[[#This Row],[BillID]]</f>
        <v>BILL-00757</v>
      </c>
      <c r="B758" t="str">
        <f>Table3[[#This Row],[VendorID]]</f>
        <v>VEN-032</v>
      </c>
      <c r="C758" t="str">
        <f>VLOOKUP(B758,Vendors!A:B,2,FALSE)</f>
        <v>Marketing Automation Labs</v>
      </c>
      <c r="D758" s="9">
        <f>Table3[[#This Row],[BillDate]]</f>
        <v>46087</v>
      </c>
      <c r="E758" s="9">
        <f>Table3[[#This Row],[DueDate]]</f>
        <v>46117</v>
      </c>
      <c r="F758" s="3">
        <f>Table3[[#This Row],[BillAmount]]</f>
        <v>2654.76</v>
      </c>
      <c r="G758" s="3">
        <f>SUMIF(Vendor_Payments!C:C,A758,Vendor_Payments!E:E)</f>
        <v>2654.76</v>
      </c>
      <c r="H758" s="3">
        <f t="shared" si="33"/>
        <v>0</v>
      </c>
      <c r="I758">
        <f t="shared" si="34"/>
        <v>-26</v>
      </c>
      <c r="J758" t="str">
        <f t="shared" si="35"/>
        <v>Current</v>
      </c>
    </row>
    <row r="759" spans="1:10" x14ac:dyDescent="0.3">
      <c r="A759" t="str">
        <f>Table3[[#This Row],[BillID]]</f>
        <v>BILL-00758</v>
      </c>
      <c r="B759" t="str">
        <f>Table3[[#This Row],[VendorID]]</f>
        <v>VEN-021</v>
      </c>
      <c r="C759" t="str">
        <f>VLOOKUP(B759,Vendors!A:B,2,FALSE)</f>
        <v>Upwork Freelancers</v>
      </c>
      <c r="D759" s="9">
        <f>Table3[[#This Row],[BillDate]]</f>
        <v>46044</v>
      </c>
      <c r="E759" s="9">
        <f>Table3[[#This Row],[DueDate]]</f>
        <v>46074</v>
      </c>
      <c r="F759" s="3">
        <f>Table3[[#This Row],[BillAmount]]</f>
        <v>3889.25</v>
      </c>
      <c r="G759" s="3">
        <f>SUMIF(Vendor_Payments!C:C,A759,Vendor_Payments!E:E)</f>
        <v>3889.25</v>
      </c>
      <c r="H759" s="3">
        <f t="shared" si="33"/>
        <v>0</v>
      </c>
      <c r="I759">
        <f t="shared" si="34"/>
        <v>17</v>
      </c>
      <c r="J759" t="str">
        <f t="shared" si="35"/>
        <v>1-30</v>
      </c>
    </row>
    <row r="760" spans="1:10" x14ac:dyDescent="0.3">
      <c r="A760" t="str">
        <f>Table3[[#This Row],[BillID]]</f>
        <v>BILL-00759</v>
      </c>
      <c r="B760" t="str">
        <f>Table3[[#This Row],[VendorID]]</f>
        <v>VEN-017</v>
      </c>
      <c r="C760" t="str">
        <f>VLOOKUP(B760,Vendors!A:B,2,FALSE)</f>
        <v>PayPal</v>
      </c>
      <c r="D760" s="9">
        <f>Table3[[#This Row],[BillDate]]</f>
        <v>46083</v>
      </c>
      <c r="E760" s="9">
        <f>Table3[[#This Row],[DueDate]]</f>
        <v>46113</v>
      </c>
      <c r="F760" s="3">
        <f>Table3[[#This Row],[BillAmount]]</f>
        <v>4996.3500000000004</v>
      </c>
      <c r="G760" s="3">
        <f>SUMIF(Vendor_Payments!C:C,A760,Vendor_Payments!E:E)</f>
        <v>0</v>
      </c>
      <c r="H760" s="3">
        <f t="shared" si="33"/>
        <v>4996.3500000000004</v>
      </c>
      <c r="I760">
        <f t="shared" si="34"/>
        <v>-22</v>
      </c>
      <c r="J760" t="str">
        <f t="shared" si="35"/>
        <v>Current</v>
      </c>
    </row>
    <row r="761" spans="1:10" x14ac:dyDescent="0.3">
      <c r="A761" t="str">
        <f>Table3[[#This Row],[BillID]]</f>
        <v>BILL-00760</v>
      </c>
      <c r="B761" t="str">
        <f>Table3[[#This Row],[VendorID]]</f>
        <v>VEN-036</v>
      </c>
      <c r="C761" t="str">
        <f>VLOOKUP(B761,Vendors!A:B,2,FALSE)</f>
        <v>WebDev Masters</v>
      </c>
      <c r="D761" s="9">
        <f>Table3[[#This Row],[BillDate]]</f>
        <v>46023</v>
      </c>
      <c r="E761" s="9">
        <f>Table3[[#This Row],[DueDate]]</f>
        <v>46053</v>
      </c>
      <c r="F761" s="3">
        <f>Table3[[#This Row],[BillAmount]]</f>
        <v>1079.98</v>
      </c>
      <c r="G761" s="3">
        <f>SUMIF(Vendor_Payments!C:C,A761,Vendor_Payments!E:E)</f>
        <v>1079.98</v>
      </c>
      <c r="H761" s="3">
        <f t="shared" si="33"/>
        <v>0</v>
      </c>
      <c r="I761">
        <f t="shared" si="34"/>
        <v>38</v>
      </c>
      <c r="J761" t="str">
        <f t="shared" si="35"/>
        <v>31-60</v>
      </c>
    </row>
    <row r="762" spans="1:10" x14ac:dyDescent="0.3">
      <c r="A762" t="str">
        <f>Table3[[#This Row],[BillID]]</f>
        <v>BILL-00761</v>
      </c>
      <c r="B762" t="str">
        <f>Table3[[#This Row],[VendorID]]</f>
        <v>VEN-011</v>
      </c>
      <c r="C762" t="str">
        <f>VLOOKUP(B762,Vendors!A:B,2,FALSE)</f>
        <v>AWS</v>
      </c>
      <c r="D762" s="9">
        <f>Table3[[#This Row],[BillDate]]</f>
        <v>46054</v>
      </c>
      <c r="E762" s="9">
        <f>Table3[[#This Row],[DueDate]]</f>
        <v>46084</v>
      </c>
      <c r="F762" s="3">
        <f>Table3[[#This Row],[BillAmount]]</f>
        <v>5246.81</v>
      </c>
      <c r="G762" s="3">
        <f>SUMIF(Vendor_Payments!C:C,A762,Vendor_Payments!E:E)</f>
        <v>5246.81</v>
      </c>
      <c r="H762" s="3">
        <f t="shared" si="33"/>
        <v>0</v>
      </c>
      <c r="I762">
        <f t="shared" si="34"/>
        <v>7</v>
      </c>
      <c r="J762" t="str">
        <f t="shared" si="35"/>
        <v>1-30</v>
      </c>
    </row>
    <row r="763" spans="1:10" x14ac:dyDescent="0.3">
      <c r="A763" t="str">
        <f>Table3[[#This Row],[BillID]]</f>
        <v>BILL-00762</v>
      </c>
      <c r="B763" t="str">
        <f>Table3[[#This Row],[VendorID]]</f>
        <v>VEN-003</v>
      </c>
      <c r="C763" t="str">
        <f>VLOOKUP(B763,Vendors!A:B,2,FALSE)</f>
        <v>TikTok Ads</v>
      </c>
      <c r="D763" s="9">
        <f>Table3[[#This Row],[BillDate]]</f>
        <v>46049</v>
      </c>
      <c r="E763" s="9">
        <f>Table3[[#This Row],[DueDate]]</f>
        <v>46079</v>
      </c>
      <c r="F763" s="3">
        <f>Table3[[#This Row],[BillAmount]]</f>
        <v>5768.87</v>
      </c>
      <c r="G763" s="3">
        <f>SUMIF(Vendor_Payments!C:C,A763,Vendor_Payments!E:E)</f>
        <v>0</v>
      </c>
      <c r="H763" s="3">
        <f t="shared" si="33"/>
        <v>5768.87</v>
      </c>
      <c r="I763">
        <f t="shared" si="34"/>
        <v>12</v>
      </c>
      <c r="J763" t="str">
        <f t="shared" si="35"/>
        <v>1-30</v>
      </c>
    </row>
    <row r="764" spans="1:10" x14ac:dyDescent="0.3">
      <c r="A764" t="str">
        <f>Table3[[#This Row],[BillID]]</f>
        <v>BILL-00763</v>
      </c>
      <c r="B764" t="str">
        <f>Table3[[#This Row],[VendorID]]</f>
        <v>VEN-039</v>
      </c>
      <c r="C764" t="str">
        <f>VLOOKUP(B764,Vendors!A:B,2,FALSE)</f>
        <v>Global Growth Advisors</v>
      </c>
      <c r="D764" s="9">
        <f>Table3[[#This Row],[BillDate]]</f>
        <v>45999</v>
      </c>
      <c r="E764" s="9">
        <f>Table3[[#This Row],[DueDate]]</f>
        <v>46029</v>
      </c>
      <c r="F764" s="3">
        <f>Table3[[#This Row],[BillAmount]]</f>
        <v>6844.73</v>
      </c>
      <c r="G764" s="3">
        <f>SUMIF(Vendor_Payments!C:C,A764,Vendor_Payments!E:E)</f>
        <v>6844.73</v>
      </c>
      <c r="H764" s="3">
        <f t="shared" si="33"/>
        <v>0</v>
      </c>
      <c r="I764">
        <f t="shared" si="34"/>
        <v>62</v>
      </c>
      <c r="J764" t="str">
        <f t="shared" si="35"/>
        <v>61-90</v>
      </c>
    </row>
    <row r="765" spans="1:10" x14ac:dyDescent="0.3">
      <c r="A765" t="str">
        <f>Table3[[#This Row],[BillID]]</f>
        <v>BILL-00764</v>
      </c>
      <c r="B765" t="str">
        <f>Table3[[#This Row],[VendorID]]</f>
        <v>VEN-040</v>
      </c>
      <c r="C765" t="str">
        <f>VLOOKUP(B765,Vendors!A:B,2,FALSE)</f>
        <v>Digital Performance Lab</v>
      </c>
      <c r="D765" s="9">
        <f>Table3[[#This Row],[BillDate]]</f>
        <v>46044</v>
      </c>
      <c r="E765" s="9">
        <f>Table3[[#This Row],[DueDate]]</f>
        <v>46074</v>
      </c>
      <c r="F765" s="3">
        <f>Table3[[#This Row],[BillAmount]]</f>
        <v>6017.5</v>
      </c>
      <c r="G765" s="3">
        <f>SUMIF(Vendor_Payments!C:C,A765,Vendor_Payments!E:E)</f>
        <v>6017.5</v>
      </c>
      <c r="H765" s="3">
        <f t="shared" si="33"/>
        <v>0</v>
      </c>
      <c r="I765">
        <f t="shared" si="34"/>
        <v>17</v>
      </c>
      <c r="J765" t="str">
        <f t="shared" si="35"/>
        <v>1-30</v>
      </c>
    </row>
    <row r="766" spans="1:10" x14ac:dyDescent="0.3">
      <c r="A766" t="str">
        <f>Table3[[#This Row],[BillID]]</f>
        <v>BILL-00765</v>
      </c>
      <c r="B766" t="str">
        <f>Table3[[#This Row],[VendorID]]</f>
        <v>VEN-010</v>
      </c>
      <c r="C766" t="str">
        <f>VLOOKUP(B766,Vendors!A:B,2,FALSE)</f>
        <v>Adobe Creative Cloud</v>
      </c>
      <c r="D766" s="9">
        <f>Table3[[#This Row],[BillDate]]</f>
        <v>45973</v>
      </c>
      <c r="E766" s="9">
        <f>Table3[[#This Row],[DueDate]]</f>
        <v>46003</v>
      </c>
      <c r="F766" s="3">
        <f>Table3[[#This Row],[BillAmount]]</f>
        <v>1053.3900000000001</v>
      </c>
      <c r="G766" s="3">
        <f>SUMIF(Vendor_Payments!C:C,A766,Vendor_Payments!E:E)</f>
        <v>1053.3900000000001</v>
      </c>
      <c r="H766" s="3">
        <f t="shared" si="33"/>
        <v>0</v>
      </c>
      <c r="I766">
        <f t="shared" si="34"/>
        <v>88</v>
      </c>
      <c r="J766" t="str">
        <f t="shared" si="35"/>
        <v>61-90</v>
      </c>
    </row>
    <row r="767" spans="1:10" x14ac:dyDescent="0.3">
      <c r="A767" t="str">
        <f>Table3[[#This Row],[BillID]]</f>
        <v>BILL-00766</v>
      </c>
      <c r="B767" t="str">
        <f>Table3[[#This Row],[VendorID]]</f>
        <v>VEN-030</v>
      </c>
      <c r="C767" t="str">
        <f>VLOOKUP(B767,Vendors!A:B,2,FALSE)</f>
        <v>ContentCraft Studio</v>
      </c>
      <c r="D767" s="9">
        <f>Table3[[#This Row],[BillDate]]</f>
        <v>46007</v>
      </c>
      <c r="E767" s="9">
        <f>Table3[[#This Row],[DueDate]]</f>
        <v>46037</v>
      </c>
      <c r="F767" s="3">
        <f>Table3[[#This Row],[BillAmount]]</f>
        <v>3721.22</v>
      </c>
      <c r="G767" s="3">
        <f>SUMIF(Vendor_Payments!C:C,A767,Vendor_Payments!E:E)</f>
        <v>3721.22</v>
      </c>
      <c r="H767" s="3">
        <f t="shared" si="33"/>
        <v>0</v>
      </c>
      <c r="I767">
        <f t="shared" si="34"/>
        <v>54</v>
      </c>
      <c r="J767" t="str">
        <f t="shared" si="35"/>
        <v>31-60</v>
      </c>
    </row>
    <row r="768" spans="1:10" x14ac:dyDescent="0.3">
      <c r="A768" t="str">
        <f>Table3[[#This Row],[BillID]]</f>
        <v>BILL-00767</v>
      </c>
      <c r="B768" t="str">
        <f>Table3[[#This Row],[VendorID]]</f>
        <v>VEN-040</v>
      </c>
      <c r="C768" t="str">
        <f>VLOOKUP(B768,Vendors!A:B,2,FALSE)</f>
        <v>Digital Performance Lab</v>
      </c>
      <c r="D768" s="9">
        <f>Table3[[#This Row],[BillDate]]</f>
        <v>45993</v>
      </c>
      <c r="E768" s="9">
        <f>Table3[[#This Row],[DueDate]]</f>
        <v>46023</v>
      </c>
      <c r="F768" s="3">
        <f>Table3[[#This Row],[BillAmount]]</f>
        <v>3064.86</v>
      </c>
      <c r="G768" s="3">
        <f>SUMIF(Vendor_Payments!C:C,A768,Vendor_Payments!E:E)</f>
        <v>0</v>
      </c>
      <c r="H768" s="3">
        <f t="shared" si="33"/>
        <v>3064.86</v>
      </c>
      <c r="I768">
        <f t="shared" si="34"/>
        <v>68</v>
      </c>
      <c r="J768" t="str">
        <f t="shared" si="35"/>
        <v>61-90</v>
      </c>
    </row>
    <row r="769" spans="1:10" x14ac:dyDescent="0.3">
      <c r="A769" t="str">
        <f>Table3[[#This Row],[BillID]]</f>
        <v>BILL-00768</v>
      </c>
      <c r="B769" t="str">
        <f>Table3[[#This Row],[VendorID]]</f>
        <v>VEN-005</v>
      </c>
      <c r="C769" t="str">
        <f>VLOOKUP(B769,Vendors!A:B,2,FALSE)</f>
        <v>HubSpot</v>
      </c>
      <c r="D769" s="9">
        <f>Table3[[#This Row],[BillDate]]</f>
        <v>45973</v>
      </c>
      <c r="E769" s="9">
        <f>Table3[[#This Row],[DueDate]]</f>
        <v>46003</v>
      </c>
      <c r="F769" s="3">
        <f>Table3[[#This Row],[BillAmount]]</f>
        <v>3983.61</v>
      </c>
      <c r="G769" s="3">
        <f>SUMIF(Vendor_Payments!C:C,A769,Vendor_Payments!E:E)</f>
        <v>3983.61</v>
      </c>
      <c r="H769" s="3">
        <f t="shared" si="33"/>
        <v>0</v>
      </c>
      <c r="I769">
        <f t="shared" si="34"/>
        <v>88</v>
      </c>
      <c r="J769" t="str">
        <f t="shared" si="35"/>
        <v>61-90</v>
      </c>
    </row>
    <row r="770" spans="1:10" x14ac:dyDescent="0.3">
      <c r="A770" t="str">
        <f>Table3[[#This Row],[BillID]]</f>
        <v>BILL-00769</v>
      </c>
      <c r="B770" t="str">
        <f>Table3[[#This Row],[VendorID]]</f>
        <v>VEN-034</v>
      </c>
      <c r="C770" t="str">
        <f>VLOOKUP(B770,Vendors!A:B,2,FALSE)</f>
        <v>SocialBoost Agency</v>
      </c>
      <c r="D770" s="9">
        <f>Table3[[#This Row],[BillDate]]</f>
        <v>46021</v>
      </c>
      <c r="E770" s="9">
        <f>Table3[[#This Row],[DueDate]]</f>
        <v>46051</v>
      </c>
      <c r="F770" s="3">
        <f>Table3[[#This Row],[BillAmount]]</f>
        <v>5274.13</v>
      </c>
      <c r="G770" s="3">
        <f>SUMIF(Vendor_Payments!C:C,A770,Vendor_Payments!E:E)</f>
        <v>5274.13</v>
      </c>
      <c r="H770" s="3">
        <f t="shared" si="33"/>
        <v>0</v>
      </c>
      <c r="I770">
        <f t="shared" si="34"/>
        <v>40</v>
      </c>
      <c r="J770" t="str">
        <f t="shared" si="35"/>
        <v>31-60</v>
      </c>
    </row>
    <row r="771" spans="1:10" x14ac:dyDescent="0.3">
      <c r="A771" t="str">
        <f>Table3[[#This Row],[BillID]]</f>
        <v>BILL-00770</v>
      </c>
      <c r="B771" t="str">
        <f>Table3[[#This Row],[VendorID]]</f>
        <v>VEN-009</v>
      </c>
      <c r="C771" t="str">
        <f>VLOOKUP(B771,Vendors!A:B,2,FALSE)</f>
        <v>SEMrush</v>
      </c>
      <c r="D771" s="9">
        <f>Table3[[#This Row],[BillDate]]</f>
        <v>46047</v>
      </c>
      <c r="E771" s="9">
        <f>Table3[[#This Row],[DueDate]]</f>
        <v>46077</v>
      </c>
      <c r="F771" s="3">
        <f>Table3[[#This Row],[BillAmount]]</f>
        <v>6002.41</v>
      </c>
      <c r="G771" s="3">
        <f>SUMIF(Vendor_Payments!C:C,A771,Vendor_Payments!E:E)</f>
        <v>6002.41</v>
      </c>
      <c r="H771" s="3">
        <f t="shared" ref="H771:H834" si="36">F771-G771</f>
        <v>0</v>
      </c>
      <c r="I771">
        <f t="shared" ref="I771:I834" si="37">$L$1-E771</f>
        <v>14</v>
      </c>
      <c r="J771" t="str">
        <f t="shared" ref="J771:J834" si="38">IF(I771&lt;=0,"Current",IF(I771&lt;=30,"1-30",IF(I771&lt;=60,"31-60",IF(I771&lt;=90,"61-90","90+"))))</f>
        <v>1-30</v>
      </c>
    </row>
    <row r="772" spans="1:10" x14ac:dyDescent="0.3">
      <c r="A772" t="str">
        <f>Table3[[#This Row],[BillID]]</f>
        <v>BILL-00771</v>
      </c>
      <c r="B772" t="str">
        <f>Table3[[#This Row],[VendorID]]</f>
        <v>VEN-026</v>
      </c>
      <c r="C772" t="str">
        <f>VLOOKUP(B772,Vendors!A:B,2,FALSE)</f>
        <v>PixelForge Studio</v>
      </c>
      <c r="D772" s="9">
        <f>Table3[[#This Row],[BillDate]]</f>
        <v>45975</v>
      </c>
      <c r="E772" s="9">
        <f>Table3[[#This Row],[DueDate]]</f>
        <v>46005</v>
      </c>
      <c r="F772" s="3">
        <f>Table3[[#This Row],[BillAmount]]</f>
        <v>5117.25</v>
      </c>
      <c r="G772" s="3">
        <f>SUMIF(Vendor_Payments!C:C,A772,Vendor_Payments!E:E)</f>
        <v>0</v>
      </c>
      <c r="H772" s="3">
        <f t="shared" si="36"/>
        <v>5117.25</v>
      </c>
      <c r="I772">
        <f t="shared" si="37"/>
        <v>86</v>
      </c>
      <c r="J772" t="str">
        <f t="shared" si="38"/>
        <v>61-90</v>
      </c>
    </row>
    <row r="773" spans="1:10" x14ac:dyDescent="0.3">
      <c r="A773" t="str">
        <f>Table3[[#This Row],[BillID]]</f>
        <v>BILL-00772</v>
      </c>
      <c r="B773" t="str">
        <f>Table3[[#This Row],[VendorID]]</f>
        <v>VEN-037</v>
      </c>
      <c r="C773" t="str">
        <f>VLOOKUP(B773,Vendors!A:B,2,FALSE)</f>
        <v>CreativeSpark Studio</v>
      </c>
      <c r="D773" s="9">
        <f>Table3[[#This Row],[BillDate]]</f>
        <v>45980</v>
      </c>
      <c r="E773" s="9">
        <f>Table3[[#This Row],[DueDate]]</f>
        <v>46010</v>
      </c>
      <c r="F773" s="3">
        <f>Table3[[#This Row],[BillAmount]]</f>
        <v>3405.76</v>
      </c>
      <c r="G773" s="3">
        <f>SUMIF(Vendor_Payments!C:C,A773,Vendor_Payments!E:E)</f>
        <v>3405.76</v>
      </c>
      <c r="H773" s="3">
        <f t="shared" si="36"/>
        <v>0</v>
      </c>
      <c r="I773">
        <f t="shared" si="37"/>
        <v>81</v>
      </c>
      <c r="J773" t="str">
        <f t="shared" si="38"/>
        <v>61-90</v>
      </c>
    </row>
    <row r="774" spans="1:10" x14ac:dyDescent="0.3">
      <c r="A774" t="str">
        <f>Table3[[#This Row],[BillID]]</f>
        <v>BILL-00773</v>
      </c>
      <c r="B774" t="str">
        <f>Table3[[#This Row],[VendorID]]</f>
        <v>VEN-011</v>
      </c>
      <c r="C774" t="str">
        <f>VLOOKUP(B774,Vendors!A:B,2,FALSE)</f>
        <v>AWS</v>
      </c>
      <c r="D774" s="9">
        <f>Table3[[#This Row],[BillDate]]</f>
        <v>46034</v>
      </c>
      <c r="E774" s="9">
        <f>Table3[[#This Row],[DueDate]]</f>
        <v>46064</v>
      </c>
      <c r="F774" s="3">
        <f>Table3[[#This Row],[BillAmount]]</f>
        <v>6820.66</v>
      </c>
      <c r="G774" s="3">
        <f>SUMIF(Vendor_Payments!C:C,A774,Vendor_Payments!E:E)</f>
        <v>6820.66</v>
      </c>
      <c r="H774" s="3">
        <f t="shared" si="36"/>
        <v>0</v>
      </c>
      <c r="I774">
        <f t="shared" si="37"/>
        <v>27</v>
      </c>
      <c r="J774" t="str">
        <f t="shared" si="38"/>
        <v>1-30</v>
      </c>
    </row>
    <row r="775" spans="1:10" x14ac:dyDescent="0.3">
      <c r="A775" t="str">
        <f>Table3[[#This Row],[BillID]]</f>
        <v>BILL-00774</v>
      </c>
      <c r="B775" t="str">
        <f>Table3[[#This Row],[VendorID]]</f>
        <v>VEN-024</v>
      </c>
      <c r="C775" t="str">
        <f>VLOOKUP(B775,Vendors!A:B,2,FALSE)</f>
        <v>Growth Strategy Group</v>
      </c>
      <c r="D775" s="9">
        <f>Table3[[#This Row],[BillDate]]</f>
        <v>46008</v>
      </c>
      <c r="E775" s="9">
        <f>Table3[[#This Row],[DueDate]]</f>
        <v>46038</v>
      </c>
      <c r="F775" s="3">
        <f>Table3[[#This Row],[BillAmount]]</f>
        <v>5279.94</v>
      </c>
      <c r="G775" s="3">
        <f>SUMIF(Vendor_Payments!C:C,A775,Vendor_Payments!E:E)</f>
        <v>5279.94</v>
      </c>
      <c r="H775" s="3">
        <f t="shared" si="36"/>
        <v>0</v>
      </c>
      <c r="I775">
        <f t="shared" si="37"/>
        <v>53</v>
      </c>
      <c r="J775" t="str">
        <f t="shared" si="38"/>
        <v>31-60</v>
      </c>
    </row>
    <row r="776" spans="1:10" x14ac:dyDescent="0.3">
      <c r="A776" t="str">
        <f>Table3[[#This Row],[BillID]]</f>
        <v>BILL-00775</v>
      </c>
      <c r="B776" t="str">
        <f>Table3[[#This Row],[VendorID]]</f>
        <v>VEN-011</v>
      </c>
      <c r="C776" t="str">
        <f>VLOOKUP(B776,Vendors!A:B,2,FALSE)</f>
        <v>AWS</v>
      </c>
      <c r="D776" s="9">
        <f>Table3[[#This Row],[BillDate]]</f>
        <v>46066</v>
      </c>
      <c r="E776" s="9">
        <f>Table3[[#This Row],[DueDate]]</f>
        <v>46096</v>
      </c>
      <c r="F776" s="3">
        <f>Table3[[#This Row],[BillAmount]]</f>
        <v>3647.33</v>
      </c>
      <c r="G776" s="3">
        <f>SUMIF(Vendor_Payments!C:C,A776,Vendor_Payments!E:E)</f>
        <v>0</v>
      </c>
      <c r="H776" s="3">
        <f t="shared" si="36"/>
        <v>3647.33</v>
      </c>
      <c r="I776">
        <f t="shared" si="37"/>
        <v>-5</v>
      </c>
      <c r="J776" t="str">
        <f t="shared" si="38"/>
        <v>Current</v>
      </c>
    </row>
    <row r="777" spans="1:10" x14ac:dyDescent="0.3">
      <c r="A777" t="str">
        <f>Table3[[#This Row],[BillID]]</f>
        <v>BILL-00776</v>
      </c>
      <c r="B777" t="str">
        <f>Table3[[#This Row],[VendorID]]</f>
        <v>VEN-014</v>
      </c>
      <c r="C777" t="str">
        <f>VLOOKUP(B777,Vendors!A:B,2,FALSE)</f>
        <v>Figma</v>
      </c>
      <c r="D777" s="9">
        <f>Table3[[#This Row],[BillDate]]</f>
        <v>45964</v>
      </c>
      <c r="E777" s="9">
        <f>Table3[[#This Row],[DueDate]]</f>
        <v>45994</v>
      </c>
      <c r="F777" s="3">
        <f>Table3[[#This Row],[BillAmount]]</f>
        <v>1411.67</v>
      </c>
      <c r="G777" s="3">
        <f>SUMIF(Vendor_Payments!C:C,A777,Vendor_Payments!E:E)</f>
        <v>0</v>
      </c>
      <c r="H777" s="3">
        <f t="shared" si="36"/>
        <v>1411.67</v>
      </c>
      <c r="I777">
        <f t="shared" si="37"/>
        <v>97</v>
      </c>
      <c r="J777" t="str">
        <f t="shared" si="38"/>
        <v>90+</v>
      </c>
    </row>
    <row r="778" spans="1:10" x14ac:dyDescent="0.3">
      <c r="A778" t="str">
        <f>Table3[[#This Row],[BillID]]</f>
        <v>BILL-00777</v>
      </c>
      <c r="B778" t="str">
        <f>Table3[[#This Row],[VendorID]]</f>
        <v>VEN-001</v>
      </c>
      <c r="C778" t="str">
        <f>VLOOKUP(B778,Vendors!A:B,2,FALSE)</f>
        <v>Google Ads</v>
      </c>
      <c r="D778" s="9">
        <f>Table3[[#This Row],[BillDate]]</f>
        <v>45972</v>
      </c>
      <c r="E778" s="9">
        <f>Table3[[#This Row],[DueDate]]</f>
        <v>46002</v>
      </c>
      <c r="F778" s="3">
        <f>Table3[[#This Row],[BillAmount]]</f>
        <v>3180.48</v>
      </c>
      <c r="G778" s="3">
        <f>SUMIF(Vendor_Payments!C:C,A778,Vendor_Payments!E:E)</f>
        <v>3180.48</v>
      </c>
      <c r="H778" s="3">
        <f t="shared" si="36"/>
        <v>0</v>
      </c>
      <c r="I778">
        <f t="shared" si="37"/>
        <v>89</v>
      </c>
      <c r="J778" t="str">
        <f t="shared" si="38"/>
        <v>61-90</v>
      </c>
    </row>
    <row r="779" spans="1:10" x14ac:dyDescent="0.3">
      <c r="A779" t="str">
        <f>Table3[[#This Row],[BillID]]</f>
        <v>BILL-00778</v>
      </c>
      <c r="B779" t="str">
        <f>Table3[[#This Row],[VendorID]]</f>
        <v>VEN-006</v>
      </c>
      <c r="C779" t="str">
        <f>VLOOKUP(B779,Vendors!A:B,2,FALSE)</f>
        <v>Salesforce</v>
      </c>
      <c r="D779" s="9">
        <f>Table3[[#This Row],[BillDate]]</f>
        <v>46001</v>
      </c>
      <c r="E779" s="9">
        <f>Table3[[#This Row],[DueDate]]</f>
        <v>46031</v>
      </c>
      <c r="F779" s="3">
        <f>Table3[[#This Row],[BillAmount]]</f>
        <v>3103.49</v>
      </c>
      <c r="G779" s="3">
        <f>SUMIF(Vendor_Payments!C:C,A779,Vendor_Payments!E:E)</f>
        <v>0</v>
      </c>
      <c r="H779" s="3">
        <f t="shared" si="36"/>
        <v>3103.49</v>
      </c>
      <c r="I779">
        <f t="shared" si="37"/>
        <v>60</v>
      </c>
      <c r="J779" t="str">
        <f t="shared" si="38"/>
        <v>31-60</v>
      </c>
    </row>
    <row r="780" spans="1:10" x14ac:dyDescent="0.3">
      <c r="A780" t="str">
        <f>Table3[[#This Row],[BillID]]</f>
        <v>BILL-00779</v>
      </c>
      <c r="B780" t="str">
        <f>Table3[[#This Row],[VendorID]]</f>
        <v>VEN-030</v>
      </c>
      <c r="C780" t="str">
        <f>VLOOKUP(B780,Vendors!A:B,2,FALSE)</f>
        <v>ContentCraft Studio</v>
      </c>
      <c r="D780" s="9">
        <f>Table3[[#This Row],[BillDate]]</f>
        <v>46010</v>
      </c>
      <c r="E780" s="9">
        <f>Table3[[#This Row],[DueDate]]</f>
        <v>46040</v>
      </c>
      <c r="F780" s="3">
        <f>Table3[[#This Row],[BillAmount]]</f>
        <v>4153.47</v>
      </c>
      <c r="G780" s="3">
        <f>SUMIF(Vendor_Payments!C:C,A780,Vendor_Payments!E:E)</f>
        <v>4153.47</v>
      </c>
      <c r="H780" s="3">
        <f t="shared" si="36"/>
        <v>0</v>
      </c>
      <c r="I780">
        <f t="shared" si="37"/>
        <v>51</v>
      </c>
      <c r="J780" t="str">
        <f t="shared" si="38"/>
        <v>31-60</v>
      </c>
    </row>
    <row r="781" spans="1:10" x14ac:dyDescent="0.3">
      <c r="A781" t="str">
        <f>Table3[[#This Row],[BillID]]</f>
        <v>BILL-00780</v>
      </c>
      <c r="B781" t="str">
        <f>Table3[[#This Row],[VendorID]]</f>
        <v>VEN-025</v>
      </c>
      <c r="C781" t="str">
        <f>VLOOKUP(B781,Vendors!A:B,2,FALSE)</f>
        <v>Digital Growth Consultants</v>
      </c>
      <c r="D781" s="9">
        <f>Table3[[#This Row],[BillDate]]</f>
        <v>46044</v>
      </c>
      <c r="E781" s="9">
        <f>Table3[[#This Row],[DueDate]]</f>
        <v>46074</v>
      </c>
      <c r="F781" s="3">
        <f>Table3[[#This Row],[BillAmount]]</f>
        <v>5904.64</v>
      </c>
      <c r="G781" s="3">
        <f>SUMIF(Vendor_Payments!C:C,A781,Vendor_Payments!E:E)</f>
        <v>0</v>
      </c>
      <c r="H781" s="3">
        <f t="shared" si="36"/>
        <v>5904.64</v>
      </c>
      <c r="I781">
        <f t="shared" si="37"/>
        <v>17</v>
      </c>
      <c r="J781" t="str">
        <f t="shared" si="38"/>
        <v>1-30</v>
      </c>
    </row>
    <row r="782" spans="1:10" x14ac:dyDescent="0.3">
      <c r="A782" t="str">
        <f>Table3[[#This Row],[BillID]]</f>
        <v>BILL-00781</v>
      </c>
      <c r="B782" t="str">
        <f>Table3[[#This Row],[VendorID]]</f>
        <v>VEN-027</v>
      </c>
      <c r="C782" t="str">
        <f>VLOOKUP(B782,Vendors!A:B,2,FALSE)</f>
        <v>DevCraft Agency</v>
      </c>
      <c r="D782" s="9">
        <f>Table3[[#This Row],[BillDate]]</f>
        <v>45970</v>
      </c>
      <c r="E782" s="9">
        <f>Table3[[#This Row],[DueDate]]</f>
        <v>46000</v>
      </c>
      <c r="F782" s="3">
        <f>Table3[[#This Row],[BillAmount]]</f>
        <v>4661.72</v>
      </c>
      <c r="G782" s="3">
        <f>SUMIF(Vendor_Payments!C:C,A782,Vendor_Payments!E:E)</f>
        <v>4661.72</v>
      </c>
      <c r="H782" s="3">
        <f t="shared" si="36"/>
        <v>0</v>
      </c>
      <c r="I782">
        <f t="shared" si="37"/>
        <v>91</v>
      </c>
      <c r="J782" t="str">
        <f t="shared" si="38"/>
        <v>90+</v>
      </c>
    </row>
    <row r="783" spans="1:10" x14ac:dyDescent="0.3">
      <c r="A783" t="str">
        <f>Table3[[#This Row],[BillID]]</f>
        <v>BILL-00782</v>
      </c>
      <c r="B783" t="str">
        <f>Table3[[#This Row],[VendorID]]</f>
        <v>VEN-010</v>
      </c>
      <c r="C783" t="str">
        <f>VLOOKUP(B783,Vendors!A:B,2,FALSE)</f>
        <v>Adobe Creative Cloud</v>
      </c>
      <c r="D783" s="9">
        <f>Table3[[#This Row],[BillDate]]</f>
        <v>45990</v>
      </c>
      <c r="E783" s="9">
        <f>Table3[[#This Row],[DueDate]]</f>
        <v>46020</v>
      </c>
      <c r="F783" s="3">
        <f>Table3[[#This Row],[BillAmount]]</f>
        <v>2260.5100000000002</v>
      </c>
      <c r="G783" s="3">
        <f>SUMIF(Vendor_Payments!C:C,A783,Vendor_Payments!E:E)</f>
        <v>2260.5100000000002</v>
      </c>
      <c r="H783" s="3">
        <f t="shared" si="36"/>
        <v>0</v>
      </c>
      <c r="I783">
        <f t="shared" si="37"/>
        <v>71</v>
      </c>
      <c r="J783" t="str">
        <f t="shared" si="38"/>
        <v>61-90</v>
      </c>
    </row>
    <row r="784" spans="1:10" x14ac:dyDescent="0.3">
      <c r="A784" t="str">
        <f>Table3[[#This Row],[BillID]]</f>
        <v>BILL-00783</v>
      </c>
      <c r="B784" t="str">
        <f>Table3[[#This Row],[VendorID]]</f>
        <v>VEN-031</v>
      </c>
      <c r="C784" t="str">
        <f>VLOOKUP(B784,Vendors!A:B,2,FALSE)</f>
        <v>DataInsight Analytics</v>
      </c>
      <c r="D784" s="9">
        <f>Table3[[#This Row],[BillDate]]</f>
        <v>45970</v>
      </c>
      <c r="E784" s="9">
        <f>Table3[[#This Row],[DueDate]]</f>
        <v>46000</v>
      </c>
      <c r="F784" s="3">
        <f>Table3[[#This Row],[BillAmount]]</f>
        <v>1538.09</v>
      </c>
      <c r="G784" s="3">
        <f>SUMIF(Vendor_Payments!C:C,A784,Vendor_Payments!E:E)</f>
        <v>1538.09</v>
      </c>
      <c r="H784" s="3">
        <f t="shared" si="36"/>
        <v>0</v>
      </c>
      <c r="I784">
        <f t="shared" si="37"/>
        <v>91</v>
      </c>
      <c r="J784" t="str">
        <f t="shared" si="38"/>
        <v>90+</v>
      </c>
    </row>
    <row r="785" spans="1:10" x14ac:dyDescent="0.3">
      <c r="A785" t="str">
        <f>Table3[[#This Row],[BillID]]</f>
        <v>BILL-00784</v>
      </c>
      <c r="B785" t="str">
        <f>Table3[[#This Row],[VendorID]]</f>
        <v>VEN-010</v>
      </c>
      <c r="C785" t="str">
        <f>VLOOKUP(B785,Vendors!A:B,2,FALSE)</f>
        <v>Adobe Creative Cloud</v>
      </c>
      <c r="D785" s="9">
        <f>Table3[[#This Row],[BillDate]]</f>
        <v>46020</v>
      </c>
      <c r="E785" s="9">
        <f>Table3[[#This Row],[DueDate]]</f>
        <v>46050</v>
      </c>
      <c r="F785" s="3">
        <f>Table3[[#This Row],[BillAmount]]</f>
        <v>6280.2</v>
      </c>
      <c r="G785" s="3">
        <f>SUMIF(Vendor_Payments!C:C,A785,Vendor_Payments!E:E)</f>
        <v>6280.2</v>
      </c>
      <c r="H785" s="3">
        <f t="shared" si="36"/>
        <v>0</v>
      </c>
      <c r="I785">
        <f t="shared" si="37"/>
        <v>41</v>
      </c>
      <c r="J785" t="str">
        <f t="shared" si="38"/>
        <v>31-60</v>
      </c>
    </row>
    <row r="786" spans="1:10" x14ac:dyDescent="0.3">
      <c r="A786" t="str">
        <f>Table3[[#This Row],[BillID]]</f>
        <v>BILL-00785</v>
      </c>
      <c r="B786" t="str">
        <f>Table3[[#This Row],[VendorID]]</f>
        <v>VEN-004</v>
      </c>
      <c r="C786" t="str">
        <f>VLOOKUP(B786,Vendors!A:B,2,FALSE)</f>
        <v>LinkedIn Ads</v>
      </c>
      <c r="D786" s="9">
        <f>Table3[[#This Row],[BillDate]]</f>
        <v>46064</v>
      </c>
      <c r="E786" s="9">
        <f>Table3[[#This Row],[DueDate]]</f>
        <v>46094</v>
      </c>
      <c r="F786" s="3">
        <f>Table3[[#This Row],[BillAmount]]</f>
        <v>1022.65</v>
      </c>
      <c r="G786" s="3">
        <f>SUMIF(Vendor_Payments!C:C,A786,Vendor_Payments!E:E)</f>
        <v>0</v>
      </c>
      <c r="H786" s="3">
        <f t="shared" si="36"/>
        <v>1022.65</v>
      </c>
      <c r="I786">
        <f t="shared" si="37"/>
        <v>-3</v>
      </c>
      <c r="J786" t="str">
        <f t="shared" si="38"/>
        <v>Current</v>
      </c>
    </row>
    <row r="787" spans="1:10" x14ac:dyDescent="0.3">
      <c r="A787" t="str">
        <f>Table3[[#This Row],[BillID]]</f>
        <v>BILL-00786</v>
      </c>
      <c r="B787" t="str">
        <f>Table3[[#This Row],[VendorID]]</f>
        <v>VEN-021</v>
      </c>
      <c r="C787" t="str">
        <f>VLOOKUP(B787,Vendors!A:B,2,FALSE)</f>
        <v>Upwork Freelancers</v>
      </c>
      <c r="D787" s="9">
        <f>Table3[[#This Row],[BillDate]]</f>
        <v>45985</v>
      </c>
      <c r="E787" s="9">
        <f>Table3[[#This Row],[DueDate]]</f>
        <v>46015</v>
      </c>
      <c r="F787" s="3">
        <f>Table3[[#This Row],[BillAmount]]</f>
        <v>5908.32</v>
      </c>
      <c r="G787" s="3">
        <f>SUMIF(Vendor_Payments!C:C,A787,Vendor_Payments!E:E)</f>
        <v>0</v>
      </c>
      <c r="H787" s="3">
        <f t="shared" si="36"/>
        <v>5908.32</v>
      </c>
      <c r="I787">
        <f t="shared" si="37"/>
        <v>76</v>
      </c>
      <c r="J787" t="str">
        <f t="shared" si="38"/>
        <v>61-90</v>
      </c>
    </row>
    <row r="788" spans="1:10" x14ac:dyDescent="0.3">
      <c r="A788" t="str">
        <f>Table3[[#This Row],[BillID]]</f>
        <v>BILL-00787</v>
      </c>
      <c r="B788" t="str">
        <f>Table3[[#This Row],[VendorID]]</f>
        <v>VEN-029</v>
      </c>
      <c r="C788" t="str">
        <f>VLOOKUP(B788,Vendors!A:B,2,FALSE)</f>
        <v>BrightSEO Agency</v>
      </c>
      <c r="D788" s="9">
        <f>Table3[[#This Row],[BillDate]]</f>
        <v>46030</v>
      </c>
      <c r="E788" s="9">
        <f>Table3[[#This Row],[DueDate]]</f>
        <v>46060</v>
      </c>
      <c r="F788" s="3">
        <f>Table3[[#This Row],[BillAmount]]</f>
        <v>1144.9000000000001</v>
      </c>
      <c r="G788" s="3">
        <f>SUMIF(Vendor_Payments!C:C,A788,Vendor_Payments!E:E)</f>
        <v>0</v>
      </c>
      <c r="H788" s="3">
        <f t="shared" si="36"/>
        <v>1144.9000000000001</v>
      </c>
      <c r="I788">
        <f t="shared" si="37"/>
        <v>31</v>
      </c>
      <c r="J788" t="str">
        <f t="shared" si="38"/>
        <v>31-60</v>
      </c>
    </row>
    <row r="789" spans="1:10" x14ac:dyDescent="0.3">
      <c r="A789" t="str">
        <f>Table3[[#This Row],[BillID]]</f>
        <v>BILL-00788</v>
      </c>
      <c r="B789" t="str">
        <f>Table3[[#This Row],[VendorID]]</f>
        <v>VEN-029</v>
      </c>
      <c r="C789" t="str">
        <f>VLOOKUP(B789,Vendors!A:B,2,FALSE)</f>
        <v>BrightSEO Agency</v>
      </c>
      <c r="D789" s="9">
        <f>Table3[[#This Row],[BillDate]]</f>
        <v>46072</v>
      </c>
      <c r="E789" s="9">
        <f>Table3[[#This Row],[DueDate]]</f>
        <v>46102</v>
      </c>
      <c r="F789" s="3">
        <f>Table3[[#This Row],[BillAmount]]</f>
        <v>4401.7299999999996</v>
      </c>
      <c r="G789" s="3">
        <f>SUMIF(Vendor_Payments!C:C,A789,Vendor_Payments!E:E)</f>
        <v>0</v>
      </c>
      <c r="H789" s="3">
        <f t="shared" si="36"/>
        <v>4401.7299999999996</v>
      </c>
      <c r="I789">
        <f t="shared" si="37"/>
        <v>-11</v>
      </c>
      <c r="J789" t="str">
        <f t="shared" si="38"/>
        <v>Current</v>
      </c>
    </row>
    <row r="790" spans="1:10" x14ac:dyDescent="0.3">
      <c r="A790" t="str">
        <f>Table3[[#This Row],[BillID]]</f>
        <v>BILL-00789</v>
      </c>
      <c r="B790" t="str">
        <f>Table3[[#This Row],[VendorID]]</f>
        <v>VEN-029</v>
      </c>
      <c r="C790" t="str">
        <f>VLOOKUP(B790,Vendors!A:B,2,FALSE)</f>
        <v>BrightSEO Agency</v>
      </c>
      <c r="D790" s="9">
        <f>Table3[[#This Row],[BillDate]]</f>
        <v>46005</v>
      </c>
      <c r="E790" s="9">
        <f>Table3[[#This Row],[DueDate]]</f>
        <v>46035</v>
      </c>
      <c r="F790" s="3">
        <f>Table3[[#This Row],[BillAmount]]</f>
        <v>3408.46</v>
      </c>
      <c r="G790" s="3">
        <f>SUMIF(Vendor_Payments!C:C,A790,Vendor_Payments!E:E)</f>
        <v>3408.46</v>
      </c>
      <c r="H790" s="3">
        <f t="shared" si="36"/>
        <v>0</v>
      </c>
      <c r="I790">
        <f t="shared" si="37"/>
        <v>56</v>
      </c>
      <c r="J790" t="str">
        <f t="shared" si="38"/>
        <v>31-60</v>
      </c>
    </row>
    <row r="791" spans="1:10" x14ac:dyDescent="0.3">
      <c r="A791" t="str">
        <f>Table3[[#This Row],[BillID]]</f>
        <v>BILL-00790</v>
      </c>
      <c r="B791" t="str">
        <f>Table3[[#This Row],[VendorID]]</f>
        <v>VEN-034</v>
      </c>
      <c r="C791" t="str">
        <f>VLOOKUP(B791,Vendors!A:B,2,FALSE)</f>
        <v>SocialBoost Agency</v>
      </c>
      <c r="D791" s="9">
        <f>Table3[[#This Row],[BillDate]]</f>
        <v>46063</v>
      </c>
      <c r="E791" s="9">
        <f>Table3[[#This Row],[DueDate]]</f>
        <v>46093</v>
      </c>
      <c r="F791" s="3">
        <f>Table3[[#This Row],[BillAmount]]</f>
        <v>1279.8399999999999</v>
      </c>
      <c r="G791" s="3">
        <f>SUMIF(Vendor_Payments!C:C,A791,Vendor_Payments!E:E)</f>
        <v>0</v>
      </c>
      <c r="H791" s="3">
        <f t="shared" si="36"/>
        <v>1279.8399999999999</v>
      </c>
      <c r="I791">
        <f t="shared" si="37"/>
        <v>-2</v>
      </c>
      <c r="J791" t="str">
        <f t="shared" si="38"/>
        <v>Current</v>
      </c>
    </row>
    <row r="792" spans="1:10" x14ac:dyDescent="0.3">
      <c r="A792" t="str">
        <f>Table3[[#This Row],[BillID]]</f>
        <v>BILL-00791</v>
      </c>
      <c r="B792" t="str">
        <f>Table3[[#This Row],[VendorID]]</f>
        <v>VEN-035</v>
      </c>
      <c r="C792" t="str">
        <f>VLOOKUP(B792,Vendors!A:B,2,FALSE)</f>
        <v>ClickFlow Marketing</v>
      </c>
      <c r="D792" s="9">
        <f>Table3[[#This Row],[BillDate]]</f>
        <v>46018</v>
      </c>
      <c r="E792" s="9">
        <f>Table3[[#This Row],[DueDate]]</f>
        <v>46048</v>
      </c>
      <c r="F792" s="3">
        <f>Table3[[#This Row],[BillAmount]]</f>
        <v>4670.75</v>
      </c>
      <c r="G792" s="3">
        <f>SUMIF(Vendor_Payments!C:C,A792,Vendor_Payments!E:E)</f>
        <v>4670.75</v>
      </c>
      <c r="H792" s="3">
        <f t="shared" si="36"/>
        <v>0</v>
      </c>
      <c r="I792">
        <f t="shared" si="37"/>
        <v>43</v>
      </c>
      <c r="J792" t="str">
        <f t="shared" si="38"/>
        <v>31-60</v>
      </c>
    </row>
    <row r="793" spans="1:10" x14ac:dyDescent="0.3">
      <c r="A793" t="str">
        <f>Table3[[#This Row],[BillID]]</f>
        <v>BILL-00792</v>
      </c>
      <c r="B793" t="str">
        <f>Table3[[#This Row],[VendorID]]</f>
        <v>VEN-014</v>
      </c>
      <c r="C793" t="str">
        <f>VLOOKUP(B793,Vendors!A:B,2,FALSE)</f>
        <v>Figma</v>
      </c>
      <c r="D793" s="9">
        <f>Table3[[#This Row],[BillDate]]</f>
        <v>45975</v>
      </c>
      <c r="E793" s="9">
        <f>Table3[[#This Row],[DueDate]]</f>
        <v>46005</v>
      </c>
      <c r="F793" s="3">
        <f>Table3[[#This Row],[BillAmount]]</f>
        <v>3669.17</v>
      </c>
      <c r="G793" s="3">
        <f>SUMIF(Vendor_Payments!C:C,A793,Vendor_Payments!E:E)</f>
        <v>3669.17</v>
      </c>
      <c r="H793" s="3">
        <f t="shared" si="36"/>
        <v>0</v>
      </c>
      <c r="I793">
        <f t="shared" si="37"/>
        <v>86</v>
      </c>
      <c r="J793" t="str">
        <f t="shared" si="38"/>
        <v>61-90</v>
      </c>
    </row>
    <row r="794" spans="1:10" x14ac:dyDescent="0.3">
      <c r="A794" t="str">
        <f>Table3[[#This Row],[BillID]]</f>
        <v>BILL-00793</v>
      </c>
      <c r="B794" t="str">
        <f>Table3[[#This Row],[VendorID]]</f>
        <v>VEN-021</v>
      </c>
      <c r="C794" t="str">
        <f>VLOOKUP(B794,Vendors!A:B,2,FALSE)</f>
        <v>Upwork Freelancers</v>
      </c>
      <c r="D794" s="9">
        <f>Table3[[#This Row],[BillDate]]</f>
        <v>46059</v>
      </c>
      <c r="E794" s="9">
        <f>Table3[[#This Row],[DueDate]]</f>
        <v>46089</v>
      </c>
      <c r="F794" s="3">
        <f>Table3[[#This Row],[BillAmount]]</f>
        <v>3863.5</v>
      </c>
      <c r="G794" s="3">
        <f>SUMIF(Vendor_Payments!C:C,A794,Vendor_Payments!E:E)</f>
        <v>3863.5</v>
      </c>
      <c r="H794" s="3">
        <f t="shared" si="36"/>
        <v>0</v>
      </c>
      <c r="I794">
        <f t="shared" si="37"/>
        <v>2</v>
      </c>
      <c r="J794" t="str">
        <f t="shared" si="38"/>
        <v>1-30</v>
      </c>
    </row>
    <row r="795" spans="1:10" x14ac:dyDescent="0.3">
      <c r="A795" t="str">
        <f>Table3[[#This Row],[BillID]]</f>
        <v>BILL-00794</v>
      </c>
      <c r="B795" t="str">
        <f>Table3[[#This Row],[VendorID]]</f>
        <v>VEN-024</v>
      </c>
      <c r="C795" t="str">
        <f>VLOOKUP(B795,Vendors!A:B,2,FALSE)</f>
        <v>Growth Strategy Group</v>
      </c>
      <c r="D795" s="9">
        <f>Table3[[#This Row],[BillDate]]</f>
        <v>46009</v>
      </c>
      <c r="E795" s="9">
        <f>Table3[[#This Row],[DueDate]]</f>
        <v>46039</v>
      </c>
      <c r="F795" s="3">
        <f>Table3[[#This Row],[BillAmount]]</f>
        <v>3961.55</v>
      </c>
      <c r="G795" s="3">
        <f>SUMIF(Vendor_Payments!C:C,A795,Vendor_Payments!E:E)</f>
        <v>3961.55</v>
      </c>
      <c r="H795" s="3">
        <f t="shared" si="36"/>
        <v>0</v>
      </c>
      <c r="I795">
        <f t="shared" si="37"/>
        <v>52</v>
      </c>
      <c r="J795" t="str">
        <f t="shared" si="38"/>
        <v>31-60</v>
      </c>
    </row>
    <row r="796" spans="1:10" x14ac:dyDescent="0.3">
      <c r="A796" t="str">
        <f>Table3[[#This Row],[BillID]]</f>
        <v>BILL-00795</v>
      </c>
      <c r="B796" t="str">
        <f>Table3[[#This Row],[VendorID]]</f>
        <v>VEN-025</v>
      </c>
      <c r="C796" t="str">
        <f>VLOOKUP(B796,Vendors!A:B,2,FALSE)</f>
        <v>Digital Growth Consultants</v>
      </c>
      <c r="D796" s="9">
        <f>Table3[[#This Row],[BillDate]]</f>
        <v>46002</v>
      </c>
      <c r="E796" s="9">
        <f>Table3[[#This Row],[DueDate]]</f>
        <v>46032</v>
      </c>
      <c r="F796" s="3">
        <f>Table3[[#This Row],[BillAmount]]</f>
        <v>1839.42</v>
      </c>
      <c r="G796" s="3">
        <f>SUMIF(Vendor_Payments!C:C,A796,Vendor_Payments!E:E)</f>
        <v>0</v>
      </c>
      <c r="H796" s="3">
        <f t="shared" si="36"/>
        <v>1839.42</v>
      </c>
      <c r="I796">
        <f t="shared" si="37"/>
        <v>59</v>
      </c>
      <c r="J796" t="str">
        <f t="shared" si="38"/>
        <v>31-60</v>
      </c>
    </row>
    <row r="797" spans="1:10" x14ac:dyDescent="0.3">
      <c r="A797" t="str">
        <f>Table3[[#This Row],[BillID]]</f>
        <v>BILL-00796</v>
      </c>
      <c r="B797" t="str">
        <f>Table3[[#This Row],[VendorID]]</f>
        <v>VEN-017</v>
      </c>
      <c r="C797" t="str">
        <f>VLOOKUP(B797,Vendors!A:B,2,FALSE)</f>
        <v>PayPal</v>
      </c>
      <c r="D797" s="9">
        <f>Table3[[#This Row],[BillDate]]</f>
        <v>46060</v>
      </c>
      <c r="E797" s="9">
        <f>Table3[[#This Row],[DueDate]]</f>
        <v>46090</v>
      </c>
      <c r="F797" s="3">
        <f>Table3[[#This Row],[BillAmount]]</f>
        <v>4213.0600000000004</v>
      </c>
      <c r="G797" s="3">
        <f>SUMIF(Vendor_Payments!C:C,A797,Vendor_Payments!E:E)</f>
        <v>4213.0600000000004</v>
      </c>
      <c r="H797" s="3">
        <f t="shared" si="36"/>
        <v>0</v>
      </c>
      <c r="I797">
        <f t="shared" si="37"/>
        <v>1</v>
      </c>
      <c r="J797" t="str">
        <f t="shared" si="38"/>
        <v>1-30</v>
      </c>
    </row>
    <row r="798" spans="1:10" x14ac:dyDescent="0.3">
      <c r="A798" t="str">
        <f>Table3[[#This Row],[BillID]]</f>
        <v>BILL-00797</v>
      </c>
      <c r="B798" t="str">
        <f>Table3[[#This Row],[VendorID]]</f>
        <v>VEN-002</v>
      </c>
      <c r="C798" t="str">
        <f>VLOOKUP(B798,Vendors!A:B,2,FALSE)</f>
        <v>Meta Ads</v>
      </c>
      <c r="D798" s="9">
        <f>Table3[[#This Row],[BillDate]]</f>
        <v>45968</v>
      </c>
      <c r="E798" s="9">
        <f>Table3[[#This Row],[DueDate]]</f>
        <v>45998</v>
      </c>
      <c r="F798" s="3">
        <f>Table3[[#This Row],[BillAmount]]</f>
        <v>6139.72</v>
      </c>
      <c r="G798" s="3">
        <f>SUMIF(Vendor_Payments!C:C,A798,Vendor_Payments!E:E)</f>
        <v>0</v>
      </c>
      <c r="H798" s="3">
        <f t="shared" si="36"/>
        <v>6139.72</v>
      </c>
      <c r="I798">
        <f t="shared" si="37"/>
        <v>93</v>
      </c>
      <c r="J798" t="str">
        <f t="shared" si="38"/>
        <v>90+</v>
      </c>
    </row>
    <row r="799" spans="1:10" x14ac:dyDescent="0.3">
      <c r="A799" t="str">
        <f>Table3[[#This Row],[BillID]]</f>
        <v>BILL-00798</v>
      </c>
      <c r="B799" t="str">
        <f>Table3[[#This Row],[VendorID]]</f>
        <v>VEN-026</v>
      </c>
      <c r="C799" t="str">
        <f>VLOOKUP(B799,Vendors!A:B,2,FALSE)</f>
        <v>PixelForge Studio</v>
      </c>
      <c r="D799" s="9">
        <f>Table3[[#This Row],[BillDate]]</f>
        <v>46086</v>
      </c>
      <c r="E799" s="9">
        <f>Table3[[#This Row],[DueDate]]</f>
        <v>46116</v>
      </c>
      <c r="F799" s="3">
        <f>Table3[[#This Row],[BillAmount]]</f>
        <v>1291.5</v>
      </c>
      <c r="G799" s="3">
        <f>SUMIF(Vendor_Payments!C:C,A799,Vendor_Payments!E:E)</f>
        <v>1291.5</v>
      </c>
      <c r="H799" s="3">
        <f t="shared" si="36"/>
        <v>0</v>
      </c>
      <c r="I799">
        <f t="shared" si="37"/>
        <v>-25</v>
      </c>
      <c r="J799" t="str">
        <f t="shared" si="38"/>
        <v>Current</v>
      </c>
    </row>
    <row r="800" spans="1:10" x14ac:dyDescent="0.3">
      <c r="A800" t="str">
        <f>Table3[[#This Row],[BillID]]</f>
        <v>BILL-00799</v>
      </c>
      <c r="B800" t="str">
        <f>Table3[[#This Row],[VendorID]]</f>
        <v>VEN-007</v>
      </c>
      <c r="C800" t="str">
        <f>VLOOKUP(B800,Vendors!A:B,2,FALSE)</f>
        <v>Mailchimp</v>
      </c>
      <c r="D800" s="9">
        <f>Table3[[#This Row],[BillDate]]</f>
        <v>45993</v>
      </c>
      <c r="E800" s="9">
        <f>Table3[[#This Row],[DueDate]]</f>
        <v>46023</v>
      </c>
      <c r="F800" s="3">
        <f>Table3[[#This Row],[BillAmount]]</f>
        <v>1918.52</v>
      </c>
      <c r="G800" s="3">
        <f>SUMIF(Vendor_Payments!C:C,A800,Vendor_Payments!E:E)</f>
        <v>0</v>
      </c>
      <c r="H800" s="3">
        <f t="shared" si="36"/>
        <v>1918.52</v>
      </c>
      <c r="I800">
        <f t="shared" si="37"/>
        <v>68</v>
      </c>
      <c r="J800" t="str">
        <f t="shared" si="38"/>
        <v>61-90</v>
      </c>
    </row>
    <row r="801" spans="1:10" x14ac:dyDescent="0.3">
      <c r="A801" t="str">
        <f>Table3[[#This Row],[BillID]]</f>
        <v>BILL-00800</v>
      </c>
      <c r="B801" t="str">
        <f>Table3[[#This Row],[VendorID]]</f>
        <v>VEN-039</v>
      </c>
      <c r="C801" t="str">
        <f>VLOOKUP(B801,Vendors!A:B,2,FALSE)</f>
        <v>Global Growth Advisors</v>
      </c>
      <c r="D801" s="9">
        <f>Table3[[#This Row],[BillDate]]</f>
        <v>46065</v>
      </c>
      <c r="E801" s="9">
        <f>Table3[[#This Row],[DueDate]]</f>
        <v>46095</v>
      </c>
      <c r="F801" s="3">
        <f>Table3[[#This Row],[BillAmount]]</f>
        <v>972.72</v>
      </c>
      <c r="G801" s="3">
        <f>SUMIF(Vendor_Payments!C:C,A801,Vendor_Payments!E:E)</f>
        <v>0</v>
      </c>
      <c r="H801" s="3">
        <f t="shared" si="36"/>
        <v>972.72</v>
      </c>
      <c r="I801">
        <f t="shared" si="37"/>
        <v>-4</v>
      </c>
      <c r="J801" t="str">
        <f t="shared" si="38"/>
        <v>Current</v>
      </c>
    </row>
    <row r="802" spans="1:10" x14ac:dyDescent="0.3">
      <c r="A802" t="str">
        <f>Table3[[#This Row],[BillID]]</f>
        <v>BILL-00801</v>
      </c>
      <c r="B802" t="str">
        <f>Table3[[#This Row],[VendorID]]</f>
        <v>VEN-036</v>
      </c>
      <c r="C802" t="str">
        <f>VLOOKUP(B802,Vendors!A:B,2,FALSE)</f>
        <v>WebDev Masters</v>
      </c>
      <c r="D802" s="9">
        <f>Table3[[#This Row],[BillDate]]</f>
        <v>46002</v>
      </c>
      <c r="E802" s="9">
        <f>Table3[[#This Row],[DueDate]]</f>
        <v>46032</v>
      </c>
      <c r="F802" s="3">
        <f>Table3[[#This Row],[BillAmount]]</f>
        <v>6246.66</v>
      </c>
      <c r="G802" s="3">
        <f>SUMIF(Vendor_Payments!C:C,A802,Vendor_Payments!E:E)</f>
        <v>6246.66</v>
      </c>
      <c r="H802" s="3">
        <f t="shared" si="36"/>
        <v>0</v>
      </c>
      <c r="I802">
        <f t="shared" si="37"/>
        <v>59</v>
      </c>
      <c r="J802" t="str">
        <f t="shared" si="38"/>
        <v>31-60</v>
      </c>
    </row>
    <row r="803" spans="1:10" x14ac:dyDescent="0.3">
      <c r="A803" t="str">
        <f>Table3[[#This Row],[BillID]]</f>
        <v>BILL-00802</v>
      </c>
      <c r="B803" t="str">
        <f>Table3[[#This Row],[VendorID]]</f>
        <v>VEN-035</v>
      </c>
      <c r="C803" t="str">
        <f>VLOOKUP(B803,Vendors!A:B,2,FALSE)</f>
        <v>ClickFlow Marketing</v>
      </c>
      <c r="D803" s="9">
        <f>Table3[[#This Row],[BillDate]]</f>
        <v>45986</v>
      </c>
      <c r="E803" s="9">
        <f>Table3[[#This Row],[DueDate]]</f>
        <v>46016</v>
      </c>
      <c r="F803" s="3">
        <f>Table3[[#This Row],[BillAmount]]</f>
        <v>4042.57</v>
      </c>
      <c r="G803" s="3">
        <f>SUMIF(Vendor_Payments!C:C,A803,Vendor_Payments!E:E)</f>
        <v>4042.57</v>
      </c>
      <c r="H803" s="3">
        <f t="shared" si="36"/>
        <v>0</v>
      </c>
      <c r="I803">
        <f t="shared" si="37"/>
        <v>75</v>
      </c>
      <c r="J803" t="str">
        <f t="shared" si="38"/>
        <v>61-90</v>
      </c>
    </row>
    <row r="804" spans="1:10" x14ac:dyDescent="0.3">
      <c r="A804" t="str">
        <f>Table3[[#This Row],[BillID]]</f>
        <v>BILL-00803</v>
      </c>
      <c r="B804" t="str">
        <f>Table3[[#This Row],[VendorID]]</f>
        <v>VEN-033</v>
      </c>
      <c r="C804" t="str">
        <f>VLOOKUP(B804,Vendors!A:B,2,FALSE)</f>
        <v>AdScale Solutions</v>
      </c>
      <c r="D804" s="9">
        <f>Table3[[#This Row],[BillDate]]</f>
        <v>46085</v>
      </c>
      <c r="E804" s="9">
        <f>Table3[[#This Row],[DueDate]]</f>
        <v>46115</v>
      </c>
      <c r="F804" s="3">
        <f>Table3[[#This Row],[BillAmount]]</f>
        <v>5555.5</v>
      </c>
      <c r="G804" s="3">
        <f>SUMIF(Vendor_Payments!C:C,A804,Vendor_Payments!E:E)</f>
        <v>0</v>
      </c>
      <c r="H804" s="3">
        <f t="shared" si="36"/>
        <v>5555.5</v>
      </c>
      <c r="I804">
        <f t="shared" si="37"/>
        <v>-24</v>
      </c>
      <c r="J804" t="str">
        <f t="shared" si="38"/>
        <v>Current</v>
      </c>
    </row>
    <row r="805" spans="1:10" x14ac:dyDescent="0.3">
      <c r="A805" t="str">
        <f>Table3[[#This Row],[BillID]]</f>
        <v>BILL-00804</v>
      </c>
      <c r="B805" t="str">
        <f>Table3[[#This Row],[VendorID]]</f>
        <v>VEN-032</v>
      </c>
      <c r="C805" t="str">
        <f>VLOOKUP(B805,Vendors!A:B,2,FALSE)</f>
        <v>Marketing Automation Labs</v>
      </c>
      <c r="D805" s="9">
        <f>Table3[[#This Row],[BillDate]]</f>
        <v>46089</v>
      </c>
      <c r="E805" s="9">
        <f>Table3[[#This Row],[DueDate]]</f>
        <v>46119</v>
      </c>
      <c r="F805" s="3">
        <f>Table3[[#This Row],[BillAmount]]</f>
        <v>843.67</v>
      </c>
      <c r="G805" s="3">
        <f>SUMIF(Vendor_Payments!C:C,A805,Vendor_Payments!E:E)</f>
        <v>843.67</v>
      </c>
      <c r="H805" s="3">
        <f t="shared" si="36"/>
        <v>0</v>
      </c>
      <c r="I805">
        <f t="shared" si="37"/>
        <v>-28</v>
      </c>
      <c r="J805" t="str">
        <f t="shared" si="38"/>
        <v>Current</v>
      </c>
    </row>
    <row r="806" spans="1:10" x14ac:dyDescent="0.3">
      <c r="A806" t="str">
        <f>Table3[[#This Row],[BillID]]</f>
        <v>BILL-00805</v>
      </c>
      <c r="B806" t="str">
        <f>Table3[[#This Row],[VendorID]]</f>
        <v>VEN-003</v>
      </c>
      <c r="C806" t="str">
        <f>VLOOKUP(B806,Vendors!A:B,2,FALSE)</f>
        <v>TikTok Ads</v>
      </c>
      <c r="D806" s="9">
        <f>Table3[[#This Row],[BillDate]]</f>
        <v>45995</v>
      </c>
      <c r="E806" s="9">
        <f>Table3[[#This Row],[DueDate]]</f>
        <v>46025</v>
      </c>
      <c r="F806" s="3">
        <f>Table3[[#This Row],[BillAmount]]</f>
        <v>6213.07</v>
      </c>
      <c r="G806" s="3">
        <f>SUMIF(Vendor_Payments!C:C,A806,Vendor_Payments!E:E)</f>
        <v>6213.07</v>
      </c>
      <c r="H806" s="3">
        <f t="shared" si="36"/>
        <v>0</v>
      </c>
      <c r="I806">
        <f t="shared" si="37"/>
        <v>66</v>
      </c>
      <c r="J806" t="str">
        <f t="shared" si="38"/>
        <v>61-90</v>
      </c>
    </row>
    <row r="807" spans="1:10" x14ac:dyDescent="0.3">
      <c r="A807" t="str">
        <f>Table3[[#This Row],[BillID]]</f>
        <v>BILL-00806</v>
      </c>
      <c r="B807" t="str">
        <f>Table3[[#This Row],[VendorID]]</f>
        <v>VEN-015</v>
      </c>
      <c r="C807" t="str">
        <f>VLOOKUP(B807,Vendors!A:B,2,FALSE)</f>
        <v>Zapier</v>
      </c>
      <c r="D807" s="9">
        <f>Table3[[#This Row],[BillDate]]</f>
        <v>45962</v>
      </c>
      <c r="E807" s="9">
        <f>Table3[[#This Row],[DueDate]]</f>
        <v>45992</v>
      </c>
      <c r="F807" s="3">
        <f>Table3[[#This Row],[BillAmount]]</f>
        <v>3782.5</v>
      </c>
      <c r="G807" s="3">
        <f>SUMIF(Vendor_Payments!C:C,A807,Vendor_Payments!E:E)</f>
        <v>3782.5</v>
      </c>
      <c r="H807" s="3">
        <f t="shared" si="36"/>
        <v>0</v>
      </c>
      <c r="I807">
        <f t="shared" si="37"/>
        <v>99</v>
      </c>
      <c r="J807" t="str">
        <f t="shared" si="38"/>
        <v>90+</v>
      </c>
    </row>
    <row r="808" spans="1:10" x14ac:dyDescent="0.3">
      <c r="A808" t="str">
        <f>Table3[[#This Row],[BillID]]</f>
        <v>BILL-00807</v>
      </c>
      <c r="B808" t="str">
        <f>Table3[[#This Row],[VendorID]]</f>
        <v>VEN-025</v>
      </c>
      <c r="C808" t="str">
        <f>VLOOKUP(B808,Vendors!A:B,2,FALSE)</f>
        <v>Digital Growth Consultants</v>
      </c>
      <c r="D808" s="9">
        <f>Table3[[#This Row],[BillDate]]</f>
        <v>45975</v>
      </c>
      <c r="E808" s="9">
        <f>Table3[[#This Row],[DueDate]]</f>
        <v>46005</v>
      </c>
      <c r="F808" s="3">
        <f>Table3[[#This Row],[BillAmount]]</f>
        <v>4230.33</v>
      </c>
      <c r="G808" s="3">
        <f>SUMIF(Vendor_Payments!C:C,A808,Vendor_Payments!E:E)</f>
        <v>0</v>
      </c>
      <c r="H808" s="3">
        <f t="shared" si="36"/>
        <v>4230.33</v>
      </c>
      <c r="I808">
        <f t="shared" si="37"/>
        <v>86</v>
      </c>
      <c r="J808" t="str">
        <f t="shared" si="38"/>
        <v>61-90</v>
      </c>
    </row>
    <row r="809" spans="1:10" x14ac:dyDescent="0.3">
      <c r="A809" t="str">
        <f>Table3[[#This Row],[BillID]]</f>
        <v>BILL-00808</v>
      </c>
      <c r="B809" t="str">
        <f>Table3[[#This Row],[VendorID]]</f>
        <v>VEN-033</v>
      </c>
      <c r="C809" t="str">
        <f>VLOOKUP(B809,Vendors!A:B,2,FALSE)</f>
        <v>AdScale Solutions</v>
      </c>
      <c r="D809" s="9">
        <f>Table3[[#This Row],[BillDate]]</f>
        <v>46037</v>
      </c>
      <c r="E809" s="9">
        <f>Table3[[#This Row],[DueDate]]</f>
        <v>46067</v>
      </c>
      <c r="F809" s="3">
        <f>Table3[[#This Row],[BillAmount]]</f>
        <v>4909.07</v>
      </c>
      <c r="G809" s="3">
        <f>SUMIF(Vendor_Payments!C:C,A809,Vendor_Payments!E:E)</f>
        <v>0</v>
      </c>
      <c r="H809" s="3">
        <f t="shared" si="36"/>
        <v>4909.07</v>
      </c>
      <c r="I809">
        <f t="shared" si="37"/>
        <v>24</v>
      </c>
      <c r="J809" t="str">
        <f t="shared" si="38"/>
        <v>1-30</v>
      </c>
    </row>
    <row r="810" spans="1:10" x14ac:dyDescent="0.3">
      <c r="A810" t="str">
        <f>Table3[[#This Row],[BillID]]</f>
        <v>BILL-00809</v>
      </c>
      <c r="B810" t="str">
        <f>Table3[[#This Row],[VendorID]]</f>
        <v>VEN-039</v>
      </c>
      <c r="C810" t="str">
        <f>VLOOKUP(B810,Vendors!A:B,2,FALSE)</f>
        <v>Global Growth Advisors</v>
      </c>
      <c r="D810" s="9">
        <f>Table3[[#This Row],[BillDate]]</f>
        <v>45972</v>
      </c>
      <c r="E810" s="9">
        <f>Table3[[#This Row],[DueDate]]</f>
        <v>46002</v>
      </c>
      <c r="F810" s="3">
        <f>Table3[[#This Row],[BillAmount]]</f>
        <v>6393.14</v>
      </c>
      <c r="G810" s="3">
        <f>SUMIF(Vendor_Payments!C:C,A810,Vendor_Payments!E:E)</f>
        <v>0</v>
      </c>
      <c r="H810" s="3">
        <f t="shared" si="36"/>
        <v>6393.14</v>
      </c>
      <c r="I810">
        <f t="shared" si="37"/>
        <v>89</v>
      </c>
      <c r="J810" t="str">
        <f t="shared" si="38"/>
        <v>61-90</v>
      </c>
    </row>
    <row r="811" spans="1:10" x14ac:dyDescent="0.3">
      <c r="A811" t="str">
        <f>Table3[[#This Row],[BillID]]</f>
        <v>BILL-00810</v>
      </c>
      <c r="B811" t="str">
        <f>Table3[[#This Row],[VendorID]]</f>
        <v>VEN-021</v>
      </c>
      <c r="C811" t="str">
        <f>VLOOKUP(B811,Vendors!A:B,2,FALSE)</f>
        <v>Upwork Freelancers</v>
      </c>
      <c r="D811" s="9">
        <f>Table3[[#This Row],[BillDate]]</f>
        <v>45973</v>
      </c>
      <c r="E811" s="9">
        <f>Table3[[#This Row],[DueDate]]</f>
        <v>46003</v>
      </c>
      <c r="F811" s="3">
        <f>Table3[[#This Row],[BillAmount]]</f>
        <v>1074.28</v>
      </c>
      <c r="G811" s="3">
        <f>SUMIF(Vendor_Payments!C:C,A811,Vendor_Payments!E:E)</f>
        <v>1074.28</v>
      </c>
      <c r="H811" s="3">
        <f t="shared" si="36"/>
        <v>0</v>
      </c>
      <c r="I811">
        <f t="shared" si="37"/>
        <v>88</v>
      </c>
      <c r="J811" t="str">
        <f t="shared" si="38"/>
        <v>61-90</v>
      </c>
    </row>
    <row r="812" spans="1:10" x14ac:dyDescent="0.3">
      <c r="A812" t="str">
        <f>Table3[[#This Row],[BillID]]</f>
        <v>BILL-00811</v>
      </c>
      <c r="B812" t="str">
        <f>Table3[[#This Row],[VendorID]]</f>
        <v>VEN-040</v>
      </c>
      <c r="C812" t="str">
        <f>VLOOKUP(B812,Vendors!A:B,2,FALSE)</f>
        <v>Digital Performance Lab</v>
      </c>
      <c r="D812" s="9">
        <f>Table3[[#This Row],[BillDate]]</f>
        <v>46037</v>
      </c>
      <c r="E812" s="9">
        <f>Table3[[#This Row],[DueDate]]</f>
        <v>46067</v>
      </c>
      <c r="F812" s="3">
        <f>Table3[[#This Row],[BillAmount]]</f>
        <v>3365.35</v>
      </c>
      <c r="G812" s="3">
        <f>SUMIF(Vendor_Payments!C:C,A812,Vendor_Payments!E:E)</f>
        <v>3365.35</v>
      </c>
      <c r="H812" s="3">
        <f t="shared" si="36"/>
        <v>0</v>
      </c>
      <c r="I812">
        <f t="shared" si="37"/>
        <v>24</v>
      </c>
      <c r="J812" t="str">
        <f t="shared" si="38"/>
        <v>1-30</v>
      </c>
    </row>
    <row r="813" spans="1:10" x14ac:dyDescent="0.3">
      <c r="A813" t="str">
        <f>Table3[[#This Row],[BillID]]</f>
        <v>BILL-00812</v>
      </c>
      <c r="B813" t="str">
        <f>Table3[[#This Row],[VendorID]]</f>
        <v>VEN-013</v>
      </c>
      <c r="C813" t="str">
        <f>VLOOKUP(B813,Vendors!A:B,2,FALSE)</f>
        <v>Canva Pro</v>
      </c>
      <c r="D813" s="9">
        <f>Table3[[#This Row],[BillDate]]</f>
        <v>45963</v>
      </c>
      <c r="E813" s="9">
        <f>Table3[[#This Row],[DueDate]]</f>
        <v>45993</v>
      </c>
      <c r="F813" s="3">
        <f>Table3[[#This Row],[BillAmount]]</f>
        <v>2897.58</v>
      </c>
      <c r="G813" s="3">
        <f>SUMIF(Vendor_Payments!C:C,A813,Vendor_Payments!E:E)</f>
        <v>2897.58</v>
      </c>
      <c r="H813" s="3">
        <f t="shared" si="36"/>
        <v>0</v>
      </c>
      <c r="I813">
        <f t="shared" si="37"/>
        <v>98</v>
      </c>
      <c r="J813" t="str">
        <f t="shared" si="38"/>
        <v>90+</v>
      </c>
    </row>
    <row r="814" spans="1:10" x14ac:dyDescent="0.3">
      <c r="A814" t="str">
        <f>Table3[[#This Row],[BillID]]</f>
        <v>BILL-00813</v>
      </c>
      <c r="B814" t="str">
        <f>Table3[[#This Row],[VendorID]]</f>
        <v>VEN-029</v>
      </c>
      <c r="C814" t="str">
        <f>VLOOKUP(B814,Vendors!A:B,2,FALSE)</f>
        <v>BrightSEO Agency</v>
      </c>
      <c r="D814" s="9">
        <f>Table3[[#This Row],[BillDate]]</f>
        <v>46017</v>
      </c>
      <c r="E814" s="9">
        <f>Table3[[#This Row],[DueDate]]</f>
        <v>46047</v>
      </c>
      <c r="F814" s="3">
        <f>Table3[[#This Row],[BillAmount]]</f>
        <v>2263.98</v>
      </c>
      <c r="G814" s="3">
        <f>SUMIF(Vendor_Payments!C:C,A814,Vendor_Payments!E:E)</f>
        <v>2263.98</v>
      </c>
      <c r="H814" s="3">
        <f t="shared" si="36"/>
        <v>0</v>
      </c>
      <c r="I814">
        <f t="shared" si="37"/>
        <v>44</v>
      </c>
      <c r="J814" t="str">
        <f t="shared" si="38"/>
        <v>31-60</v>
      </c>
    </row>
    <row r="815" spans="1:10" x14ac:dyDescent="0.3">
      <c r="A815" t="str">
        <f>Table3[[#This Row],[BillID]]</f>
        <v>BILL-00814</v>
      </c>
      <c r="B815" t="str">
        <f>Table3[[#This Row],[VendorID]]</f>
        <v>VEN-014</v>
      </c>
      <c r="C815" t="str">
        <f>VLOOKUP(B815,Vendors!A:B,2,FALSE)</f>
        <v>Figma</v>
      </c>
      <c r="D815" s="9">
        <f>Table3[[#This Row],[BillDate]]</f>
        <v>46087</v>
      </c>
      <c r="E815" s="9">
        <f>Table3[[#This Row],[DueDate]]</f>
        <v>46117</v>
      </c>
      <c r="F815" s="3">
        <f>Table3[[#This Row],[BillAmount]]</f>
        <v>1420.93</v>
      </c>
      <c r="G815" s="3">
        <f>SUMIF(Vendor_Payments!C:C,A815,Vendor_Payments!E:E)</f>
        <v>1420.93</v>
      </c>
      <c r="H815" s="3">
        <f t="shared" si="36"/>
        <v>0</v>
      </c>
      <c r="I815">
        <f t="shared" si="37"/>
        <v>-26</v>
      </c>
      <c r="J815" t="str">
        <f t="shared" si="38"/>
        <v>Current</v>
      </c>
    </row>
    <row r="816" spans="1:10" x14ac:dyDescent="0.3">
      <c r="A816" t="str">
        <f>Table3[[#This Row],[BillID]]</f>
        <v>BILL-00815</v>
      </c>
      <c r="B816" t="str">
        <f>Table3[[#This Row],[VendorID]]</f>
        <v>VEN-021</v>
      </c>
      <c r="C816" t="str">
        <f>VLOOKUP(B816,Vendors!A:B,2,FALSE)</f>
        <v>Upwork Freelancers</v>
      </c>
      <c r="D816" s="9">
        <f>Table3[[#This Row],[BillDate]]</f>
        <v>45966</v>
      </c>
      <c r="E816" s="9">
        <f>Table3[[#This Row],[DueDate]]</f>
        <v>45996</v>
      </c>
      <c r="F816" s="3">
        <f>Table3[[#This Row],[BillAmount]]</f>
        <v>3527.87</v>
      </c>
      <c r="G816" s="3">
        <f>SUMIF(Vendor_Payments!C:C,A816,Vendor_Payments!E:E)</f>
        <v>0</v>
      </c>
      <c r="H816" s="3">
        <f t="shared" si="36"/>
        <v>3527.87</v>
      </c>
      <c r="I816">
        <f t="shared" si="37"/>
        <v>95</v>
      </c>
      <c r="J816" t="str">
        <f t="shared" si="38"/>
        <v>90+</v>
      </c>
    </row>
    <row r="817" spans="1:10" x14ac:dyDescent="0.3">
      <c r="A817" t="str">
        <f>Table3[[#This Row],[BillID]]</f>
        <v>BILL-00816</v>
      </c>
      <c r="B817" t="str">
        <f>Table3[[#This Row],[VendorID]]</f>
        <v>VEN-006</v>
      </c>
      <c r="C817" t="str">
        <f>VLOOKUP(B817,Vendors!A:B,2,FALSE)</f>
        <v>Salesforce</v>
      </c>
      <c r="D817" s="9">
        <f>Table3[[#This Row],[BillDate]]</f>
        <v>45989</v>
      </c>
      <c r="E817" s="9">
        <f>Table3[[#This Row],[DueDate]]</f>
        <v>46019</v>
      </c>
      <c r="F817" s="3">
        <f>Table3[[#This Row],[BillAmount]]</f>
        <v>4053.75</v>
      </c>
      <c r="G817" s="3">
        <f>SUMIF(Vendor_Payments!C:C,A817,Vendor_Payments!E:E)</f>
        <v>4053.75</v>
      </c>
      <c r="H817" s="3">
        <f t="shared" si="36"/>
        <v>0</v>
      </c>
      <c r="I817">
        <f t="shared" si="37"/>
        <v>72</v>
      </c>
      <c r="J817" t="str">
        <f t="shared" si="38"/>
        <v>61-90</v>
      </c>
    </row>
    <row r="818" spans="1:10" x14ac:dyDescent="0.3">
      <c r="A818" t="str">
        <f>Table3[[#This Row],[BillID]]</f>
        <v>BILL-00817</v>
      </c>
      <c r="B818" t="str">
        <f>Table3[[#This Row],[VendorID]]</f>
        <v>VEN-015</v>
      </c>
      <c r="C818" t="str">
        <f>VLOOKUP(B818,Vendors!A:B,2,FALSE)</f>
        <v>Zapier</v>
      </c>
      <c r="D818" s="9">
        <f>Table3[[#This Row],[BillDate]]</f>
        <v>46025</v>
      </c>
      <c r="E818" s="9">
        <f>Table3[[#This Row],[DueDate]]</f>
        <v>46055</v>
      </c>
      <c r="F818" s="3">
        <f>Table3[[#This Row],[BillAmount]]</f>
        <v>4002.79</v>
      </c>
      <c r="G818" s="3">
        <f>SUMIF(Vendor_Payments!C:C,A818,Vendor_Payments!E:E)</f>
        <v>0</v>
      </c>
      <c r="H818" s="3">
        <f t="shared" si="36"/>
        <v>4002.79</v>
      </c>
      <c r="I818">
        <f t="shared" si="37"/>
        <v>36</v>
      </c>
      <c r="J818" t="str">
        <f t="shared" si="38"/>
        <v>31-60</v>
      </c>
    </row>
    <row r="819" spans="1:10" x14ac:dyDescent="0.3">
      <c r="A819" t="str">
        <f>Table3[[#This Row],[BillID]]</f>
        <v>BILL-00818</v>
      </c>
      <c r="B819" t="str">
        <f>Table3[[#This Row],[VendorID]]</f>
        <v>VEN-003</v>
      </c>
      <c r="C819" t="str">
        <f>VLOOKUP(B819,Vendors!A:B,2,FALSE)</f>
        <v>TikTok Ads</v>
      </c>
      <c r="D819" s="9">
        <f>Table3[[#This Row],[BillDate]]</f>
        <v>45975</v>
      </c>
      <c r="E819" s="9">
        <f>Table3[[#This Row],[DueDate]]</f>
        <v>46005</v>
      </c>
      <c r="F819" s="3">
        <f>Table3[[#This Row],[BillAmount]]</f>
        <v>2729.31</v>
      </c>
      <c r="G819" s="3">
        <f>SUMIF(Vendor_Payments!C:C,A819,Vendor_Payments!E:E)</f>
        <v>0</v>
      </c>
      <c r="H819" s="3">
        <f t="shared" si="36"/>
        <v>2729.31</v>
      </c>
      <c r="I819">
        <f t="shared" si="37"/>
        <v>86</v>
      </c>
      <c r="J819" t="str">
        <f t="shared" si="38"/>
        <v>61-90</v>
      </c>
    </row>
    <row r="820" spans="1:10" x14ac:dyDescent="0.3">
      <c r="A820" t="str">
        <f>Table3[[#This Row],[BillID]]</f>
        <v>BILL-00819</v>
      </c>
      <c r="B820" t="str">
        <f>Table3[[#This Row],[VendorID]]</f>
        <v>VEN-007</v>
      </c>
      <c r="C820" t="str">
        <f>VLOOKUP(B820,Vendors!A:B,2,FALSE)</f>
        <v>Mailchimp</v>
      </c>
      <c r="D820" s="9">
        <f>Table3[[#This Row],[BillDate]]</f>
        <v>45980</v>
      </c>
      <c r="E820" s="9">
        <f>Table3[[#This Row],[DueDate]]</f>
        <v>46010</v>
      </c>
      <c r="F820" s="3">
        <f>Table3[[#This Row],[BillAmount]]</f>
        <v>6825.52</v>
      </c>
      <c r="G820" s="3">
        <f>SUMIF(Vendor_Payments!C:C,A820,Vendor_Payments!E:E)</f>
        <v>6825.52</v>
      </c>
      <c r="H820" s="3">
        <f t="shared" si="36"/>
        <v>0</v>
      </c>
      <c r="I820">
        <f t="shared" si="37"/>
        <v>81</v>
      </c>
      <c r="J820" t="str">
        <f t="shared" si="38"/>
        <v>61-90</v>
      </c>
    </row>
    <row r="821" spans="1:10" x14ac:dyDescent="0.3">
      <c r="A821" t="str">
        <f>Table3[[#This Row],[BillID]]</f>
        <v>BILL-00820</v>
      </c>
      <c r="B821" t="str">
        <f>Table3[[#This Row],[VendorID]]</f>
        <v>VEN-004</v>
      </c>
      <c r="C821" t="str">
        <f>VLOOKUP(B821,Vendors!A:B,2,FALSE)</f>
        <v>LinkedIn Ads</v>
      </c>
      <c r="D821" s="9">
        <f>Table3[[#This Row],[BillDate]]</f>
        <v>46066</v>
      </c>
      <c r="E821" s="9">
        <f>Table3[[#This Row],[DueDate]]</f>
        <v>46096</v>
      </c>
      <c r="F821" s="3">
        <f>Table3[[#This Row],[BillAmount]]</f>
        <v>4838.68</v>
      </c>
      <c r="G821" s="3">
        <f>SUMIF(Vendor_Payments!C:C,A821,Vendor_Payments!E:E)</f>
        <v>0</v>
      </c>
      <c r="H821" s="3">
        <f t="shared" si="36"/>
        <v>4838.68</v>
      </c>
      <c r="I821">
        <f t="shared" si="37"/>
        <v>-5</v>
      </c>
      <c r="J821" t="str">
        <f t="shared" si="38"/>
        <v>Current</v>
      </c>
    </row>
    <row r="822" spans="1:10" x14ac:dyDescent="0.3">
      <c r="A822" t="str">
        <f>Table3[[#This Row],[BillID]]</f>
        <v>BILL-00821</v>
      </c>
      <c r="B822" t="str">
        <f>Table3[[#This Row],[VendorID]]</f>
        <v>VEN-015</v>
      </c>
      <c r="C822" t="str">
        <f>VLOOKUP(B822,Vendors!A:B,2,FALSE)</f>
        <v>Zapier</v>
      </c>
      <c r="D822" s="9">
        <f>Table3[[#This Row],[BillDate]]</f>
        <v>46030</v>
      </c>
      <c r="E822" s="9">
        <f>Table3[[#This Row],[DueDate]]</f>
        <v>46060</v>
      </c>
      <c r="F822" s="3">
        <f>Table3[[#This Row],[BillAmount]]</f>
        <v>6862.22</v>
      </c>
      <c r="G822" s="3">
        <f>SUMIF(Vendor_Payments!C:C,A822,Vendor_Payments!E:E)</f>
        <v>0</v>
      </c>
      <c r="H822" s="3">
        <f t="shared" si="36"/>
        <v>6862.22</v>
      </c>
      <c r="I822">
        <f t="shared" si="37"/>
        <v>31</v>
      </c>
      <c r="J822" t="str">
        <f t="shared" si="38"/>
        <v>31-60</v>
      </c>
    </row>
    <row r="823" spans="1:10" x14ac:dyDescent="0.3">
      <c r="A823" t="str">
        <f>Table3[[#This Row],[BillID]]</f>
        <v>BILL-00822</v>
      </c>
      <c r="B823" t="str">
        <f>Table3[[#This Row],[VendorID]]</f>
        <v>VEN-013</v>
      </c>
      <c r="C823" t="str">
        <f>VLOOKUP(B823,Vendors!A:B,2,FALSE)</f>
        <v>Canva Pro</v>
      </c>
      <c r="D823" s="9">
        <f>Table3[[#This Row],[BillDate]]</f>
        <v>46033</v>
      </c>
      <c r="E823" s="9">
        <f>Table3[[#This Row],[DueDate]]</f>
        <v>46063</v>
      </c>
      <c r="F823" s="3">
        <f>Table3[[#This Row],[BillAmount]]</f>
        <v>3283.7</v>
      </c>
      <c r="G823" s="3">
        <f>SUMIF(Vendor_Payments!C:C,A823,Vendor_Payments!E:E)</f>
        <v>0</v>
      </c>
      <c r="H823" s="3">
        <f t="shared" si="36"/>
        <v>3283.7</v>
      </c>
      <c r="I823">
        <f t="shared" si="37"/>
        <v>28</v>
      </c>
      <c r="J823" t="str">
        <f t="shared" si="38"/>
        <v>1-30</v>
      </c>
    </row>
    <row r="824" spans="1:10" x14ac:dyDescent="0.3">
      <c r="A824" t="str">
        <f>Table3[[#This Row],[BillID]]</f>
        <v>BILL-00823</v>
      </c>
      <c r="B824" t="str">
        <f>Table3[[#This Row],[VendorID]]</f>
        <v>VEN-026</v>
      </c>
      <c r="C824" t="str">
        <f>VLOOKUP(B824,Vendors!A:B,2,FALSE)</f>
        <v>PixelForge Studio</v>
      </c>
      <c r="D824" s="9">
        <f>Table3[[#This Row],[BillDate]]</f>
        <v>46072</v>
      </c>
      <c r="E824" s="9">
        <f>Table3[[#This Row],[DueDate]]</f>
        <v>46102</v>
      </c>
      <c r="F824" s="3">
        <f>Table3[[#This Row],[BillAmount]]</f>
        <v>5878.64</v>
      </c>
      <c r="G824" s="3">
        <f>SUMIF(Vendor_Payments!C:C,A824,Vendor_Payments!E:E)</f>
        <v>0</v>
      </c>
      <c r="H824" s="3">
        <f t="shared" si="36"/>
        <v>5878.64</v>
      </c>
      <c r="I824">
        <f t="shared" si="37"/>
        <v>-11</v>
      </c>
      <c r="J824" t="str">
        <f t="shared" si="38"/>
        <v>Current</v>
      </c>
    </row>
    <row r="825" spans="1:10" x14ac:dyDescent="0.3">
      <c r="A825" t="str">
        <f>Table3[[#This Row],[BillID]]</f>
        <v>BILL-00824</v>
      </c>
      <c r="B825" t="str">
        <f>Table3[[#This Row],[VendorID]]</f>
        <v>VEN-003</v>
      </c>
      <c r="C825" t="str">
        <f>VLOOKUP(B825,Vendors!A:B,2,FALSE)</f>
        <v>TikTok Ads</v>
      </c>
      <c r="D825" s="9">
        <f>Table3[[#This Row],[BillDate]]</f>
        <v>45970</v>
      </c>
      <c r="E825" s="9">
        <f>Table3[[#This Row],[DueDate]]</f>
        <v>46000</v>
      </c>
      <c r="F825" s="3">
        <f>Table3[[#This Row],[BillAmount]]</f>
        <v>4413.2299999999996</v>
      </c>
      <c r="G825" s="3">
        <f>SUMIF(Vendor_Payments!C:C,A825,Vendor_Payments!E:E)</f>
        <v>4413.2299999999996</v>
      </c>
      <c r="H825" s="3">
        <f t="shared" si="36"/>
        <v>0</v>
      </c>
      <c r="I825">
        <f t="shared" si="37"/>
        <v>91</v>
      </c>
      <c r="J825" t="str">
        <f t="shared" si="38"/>
        <v>90+</v>
      </c>
    </row>
    <row r="826" spans="1:10" x14ac:dyDescent="0.3">
      <c r="A826" t="str">
        <f>Table3[[#This Row],[BillID]]</f>
        <v>BILL-00825</v>
      </c>
      <c r="B826" t="str">
        <f>Table3[[#This Row],[VendorID]]</f>
        <v>VEN-040</v>
      </c>
      <c r="C826" t="str">
        <f>VLOOKUP(B826,Vendors!A:B,2,FALSE)</f>
        <v>Digital Performance Lab</v>
      </c>
      <c r="D826" s="9">
        <f>Table3[[#This Row],[BillDate]]</f>
        <v>45983</v>
      </c>
      <c r="E826" s="9">
        <f>Table3[[#This Row],[DueDate]]</f>
        <v>46013</v>
      </c>
      <c r="F826" s="3">
        <f>Table3[[#This Row],[BillAmount]]</f>
        <v>3567.73</v>
      </c>
      <c r="G826" s="3">
        <f>SUMIF(Vendor_Payments!C:C,A826,Vendor_Payments!E:E)</f>
        <v>3567.73</v>
      </c>
      <c r="H826" s="3">
        <f t="shared" si="36"/>
        <v>0</v>
      </c>
      <c r="I826">
        <f t="shared" si="37"/>
        <v>78</v>
      </c>
      <c r="J826" t="str">
        <f t="shared" si="38"/>
        <v>61-90</v>
      </c>
    </row>
    <row r="827" spans="1:10" x14ac:dyDescent="0.3">
      <c r="A827" t="str">
        <f>Table3[[#This Row],[BillID]]</f>
        <v>BILL-00826</v>
      </c>
      <c r="B827" t="str">
        <f>Table3[[#This Row],[VendorID]]</f>
        <v>VEN-015</v>
      </c>
      <c r="C827" t="str">
        <f>VLOOKUP(B827,Vendors!A:B,2,FALSE)</f>
        <v>Zapier</v>
      </c>
      <c r="D827" s="9">
        <f>Table3[[#This Row],[BillDate]]</f>
        <v>46074</v>
      </c>
      <c r="E827" s="9">
        <f>Table3[[#This Row],[DueDate]]</f>
        <v>46104</v>
      </c>
      <c r="F827" s="3">
        <f>Table3[[#This Row],[BillAmount]]</f>
        <v>4760.62</v>
      </c>
      <c r="G827" s="3">
        <f>SUMIF(Vendor_Payments!C:C,A827,Vendor_Payments!E:E)</f>
        <v>4760.62</v>
      </c>
      <c r="H827" s="3">
        <f t="shared" si="36"/>
        <v>0</v>
      </c>
      <c r="I827">
        <f t="shared" si="37"/>
        <v>-13</v>
      </c>
      <c r="J827" t="str">
        <f t="shared" si="38"/>
        <v>Current</v>
      </c>
    </row>
    <row r="828" spans="1:10" x14ac:dyDescent="0.3">
      <c r="A828" t="str">
        <f>Table3[[#This Row],[BillID]]</f>
        <v>BILL-00827</v>
      </c>
      <c r="B828" t="str">
        <f>Table3[[#This Row],[VendorID]]</f>
        <v>VEN-018</v>
      </c>
      <c r="C828" t="str">
        <f>VLOOKUP(B828,Vendors!A:B,2,FALSE)</f>
        <v>Cloudflare</v>
      </c>
      <c r="D828" s="9">
        <f>Table3[[#This Row],[BillDate]]</f>
        <v>45978</v>
      </c>
      <c r="E828" s="9">
        <f>Table3[[#This Row],[DueDate]]</f>
        <v>46008</v>
      </c>
      <c r="F828" s="3">
        <f>Table3[[#This Row],[BillAmount]]</f>
        <v>3014.4</v>
      </c>
      <c r="G828" s="3">
        <f>SUMIF(Vendor_Payments!C:C,A828,Vendor_Payments!E:E)</f>
        <v>3014.4</v>
      </c>
      <c r="H828" s="3">
        <f t="shared" si="36"/>
        <v>0</v>
      </c>
      <c r="I828">
        <f t="shared" si="37"/>
        <v>83</v>
      </c>
      <c r="J828" t="str">
        <f t="shared" si="38"/>
        <v>61-90</v>
      </c>
    </row>
    <row r="829" spans="1:10" x14ac:dyDescent="0.3">
      <c r="A829" t="str">
        <f>Table3[[#This Row],[BillID]]</f>
        <v>BILL-00828</v>
      </c>
      <c r="B829" t="str">
        <f>Table3[[#This Row],[VendorID]]</f>
        <v>VEN-031</v>
      </c>
      <c r="C829" t="str">
        <f>VLOOKUP(B829,Vendors!A:B,2,FALSE)</f>
        <v>DataInsight Analytics</v>
      </c>
      <c r="D829" s="9">
        <f>Table3[[#This Row],[BillDate]]</f>
        <v>46060</v>
      </c>
      <c r="E829" s="9">
        <f>Table3[[#This Row],[DueDate]]</f>
        <v>46090</v>
      </c>
      <c r="F829" s="3">
        <f>Table3[[#This Row],[BillAmount]]</f>
        <v>4361.93</v>
      </c>
      <c r="G829" s="3">
        <f>SUMIF(Vendor_Payments!C:C,A829,Vendor_Payments!E:E)</f>
        <v>4361.93</v>
      </c>
      <c r="H829" s="3">
        <f t="shared" si="36"/>
        <v>0</v>
      </c>
      <c r="I829">
        <f t="shared" si="37"/>
        <v>1</v>
      </c>
      <c r="J829" t="str">
        <f t="shared" si="38"/>
        <v>1-30</v>
      </c>
    </row>
    <row r="830" spans="1:10" x14ac:dyDescent="0.3">
      <c r="A830" t="str">
        <f>Table3[[#This Row],[BillID]]</f>
        <v>BILL-00829</v>
      </c>
      <c r="B830" t="str">
        <f>Table3[[#This Row],[VendorID]]</f>
        <v>VEN-028</v>
      </c>
      <c r="C830" t="str">
        <f>VLOOKUP(B830,Vendors!A:B,2,FALSE)</f>
        <v>MarketEdge Consulting</v>
      </c>
      <c r="D830" s="9">
        <f>Table3[[#This Row],[BillDate]]</f>
        <v>46089</v>
      </c>
      <c r="E830" s="9">
        <f>Table3[[#This Row],[DueDate]]</f>
        <v>46119</v>
      </c>
      <c r="F830" s="3">
        <f>Table3[[#This Row],[BillAmount]]</f>
        <v>5298.9</v>
      </c>
      <c r="G830" s="3">
        <f>SUMIF(Vendor_Payments!C:C,A830,Vendor_Payments!E:E)</f>
        <v>5298.9</v>
      </c>
      <c r="H830" s="3">
        <f t="shared" si="36"/>
        <v>0</v>
      </c>
      <c r="I830">
        <f t="shared" si="37"/>
        <v>-28</v>
      </c>
      <c r="J830" t="str">
        <f t="shared" si="38"/>
        <v>Current</v>
      </c>
    </row>
    <row r="831" spans="1:10" x14ac:dyDescent="0.3">
      <c r="A831" t="str">
        <f>Table3[[#This Row],[BillID]]</f>
        <v>BILL-00830</v>
      </c>
      <c r="B831" t="str">
        <f>Table3[[#This Row],[VendorID]]</f>
        <v>VEN-005</v>
      </c>
      <c r="C831" t="str">
        <f>VLOOKUP(B831,Vendors!A:B,2,FALSE)</f>
        <v>HubSpot</v>
      </c>
      <c r="D831" s="9">
        <f>Table3[[#This Row],[BillDate]]</f>
        <v>45975</v>
      </c>
      <c r="E831" s="9">
        <f>Table3[[#This Row],[DueDate]]</f>
        <v>46005</v>
      </c>
      <c r="F831" s="3">
        <f>Table3[[#This Row],[BillAmount]]</f>
        <v>3478.44</v>
      </c>
      <c r="G831" s="3">
        <f>SUMIF(Vendor_Payments!C:C,A831,Vendor_Payments!E:E)</f>
        <v>0</v>
      </c>
      <c r="H831" s="3">
        <f t="shared" si="36"/>
        <v>3478.44</v>
      </c>
      <c r="I831">
        <f t="shared" si="37"/>
        <v>86</v>
      </c>
      <c r="J831" t="str">
        <f t="shared" si="38"/>
        <v>61-90</v>
      </c>
    </row>
    <row r="832" spans="1:10" x14ac:dyDescent="0.3">
      <c r="A832" t="str">
        <f>Table3[[#This Row],[BillID]]</f>
        <v>BILL-00831</v>
      </c>
      <c r="B832" t="str">
        <f>Table3[[#This Row],[VendorID]]</f>
        <v>VEN-031</v>
      </c>
      <c r="C832" t="str">
        <f>VLOOKUP(B832,Vendors!A:B,2,FALSE)</f>
        <v>DataInsight Analytics</v>
      </c>
      <c r="D832" s="9">
        <f>Table3[[#This Row],[BillDate]]</f>
        <v>45975</v>
      </c>
      <c r="E832" s="9">
        <f>Table3[[#This Row],[DueDate]]</f>
        <v>46005</v>
      </c>
      <c r="F832" s="3">
        <f>Table3[[#This Row],[BillAmount]]</f>
        <v>2155.5</v>
      </c>
      <c r="G832" s="3">
        <f>SUMIF(Vendor_Payments!C:C,A832,Vendor_Payments!E:E)</f>
        <v>2155.5</v>
      </c>
      <c r="H832" s="3">
        <f t="shared" si="36"/>
        <v>0</v>
      </c>
      <c r="I832">
        <f t="shared" si="37"/>
        <v>86</v>
      </c>
      <c r="J832" t="str">
        <f t="shared" si="38"/>
        <v>61-90</v>
      </c>
    </row>
    <row r="833" spans="1:10" x14ac:dyDescent="0.3">
      <c r="A833" t="str">
        <f>Table3[[#This Row],[BillID]]</f>
        <v>BILL-00832</v>
      </c>
      <c r="B833" t="str">
        <f>Table3[[#This Row],[VendorID]]</f>
        <v>VEN-008</v>
      </c>
      <c r="C833" t="str">
        <f>VLOOKUP(B833,Vendors!A:B,2,FALSE)</f>
        <v>Ahrefs</v>
      </c>
      <c r="D833" s="9">
        <f>Table3[[#This Row],[BillDate]]</f>
        <v>45982</v>
      </c>
      <c r="E833" s="9">
        <f>Table3[[#This Row],[DueDate]]</f>
        <v>46012</v>
      </c>
      <c r="F833" s="3">
        <f>Table3[[#This Row],[BillAmount]]</f>
        <v>3001.42</v>
      </c>
      <c r="G833" s="3">
        <f>SUMIF(Vendor_Payments!C:C,A833,Vendor_Payments!E:E)</f>
        <v>0</v>
      </c>
      <c r="H833" s="3">
        <f t="shared" si="36"/>
        <v>3001.42</v>
      </c>
      <c r="I833">
        <f t="shared" si="37"/>
        <v>79</v>
      </c>
      <c r="J833" t="str">
        <f t="shared" si="38"/>
        <v>61-90</v>
      </c>
    </row>
    <row r="834" spans="1:10" x14ac:dyDescent="0.3">
      <c r="A834" t="str">
        <f>Table3[[#This Row],[BillID]]</f>
        <v>BILL-00833</v>
      </c>
      <c r="B834" t="str">
        <f>Table3[[#This Row],[VendorID]]</f>
        <v>VEN-011</v>
      </c>
      <c r="C834" t="str">
        <f>VLOOKUP(B834,Vendors!A:B,2,FALSE)</f>
        <v>AWS</v>
      </c>
      <c r="D834" s="9">
        <f>Table3[[#This Row],[BillDate]]</f>
        <v>46017</v>
      </c>
      <c r="E834" s="9">
        <f>Table3[[#This Row],[DueDate]]</f>
        <v>46047</v>
      </c>
      <c r="F834" s="3">
        <f>Table3[[#This Row],[BillAmount]]</f>
        <v>4528.8</v>
      </c>
      <c r="G834" s="3">
        <f>SUMIF(Vendor_Payments!C:C,A834,Vendor_Payments!E:E)</f>
        <v>0</v>
      </c>
      <c r="H834" s="3">
        <f t="shared" si="36"/>
        <v>4528.8</v>
      </c>
      <c r="I834">
        <f t="shared" si="37"/>
        <v>44</v>
      </c>
      <c r="J834" t="str">
        <f t="shared" si="38"/>
        <v>31-60</v>
      </c>
    </row>
    <row r="835" spans="1:10" x14ac:dyDescent="0.3">
      <c r="A835" t="str">
        <f>Table3[[#This Row],[BillID]]</f>
        <v>BILL-00834</v>
      </c>
      <c r="B835" t="str">
        <f>Table3[[#This Row],[VendorID]]</f>
        <v>VEN-029</v>
      </c>
      <c r="C835" t="str">
        <f>VLOOKUP(B835,Vendors!A:B,2,FALSE)</f>
        <v>BrightSEO Agency</v>
      </c>
      <c r="D835" s="9">
        <f>Table3[[#This Row],[BillDate]]</f>
        <v>45998</v>
      </c>
      <c r="E835" s="9">
        <f>Table3[[#This Row],[DueDate]]</f>
        <v>46028</v>
      </c>
      <c r="F835" s="3">
        <f>Table3[[#This Row],[BillAmount]]</f>
        <v>2247.83</v>
      </c>
      <c r="G835" s="3">
        <f>SUMIF(Vendor_Payments!C:C,A835,Vendor_Payments!E:E)</f>
        <v>2247.83</v>
      </c>
      <c r="H835" s="3">
        <f t="shared" ref="H835:H898" si="39">F835-G835</f>
        <v>0</v>
      </c>
      <c r="I835">
        <f t="shared" ref="I835:I898" si="40">$L$1-E835</f>
        <v>63</v>
      </c>
      <c r="J835" t="str">
        <f t="shared" ref="J835:J898" si="41">IF(I835&lt;=0,"Current",IF(I835&lt;=30,"1-30",IF(I835&lt;=60,"31-60",IF(I835&lt;=90,"61-90","90+"))))</f>
        <v>61-90</v>
      </c>
    </row>
    <row r="836" spans="1:10" x14ac:dyDescent="0.3">
      <c r="A836" t="str">
        <f>Table3[[#This Row],[BillID]]</f>
        <v>BILL-00835</v>
      </c>
      <c r="B836" t="str">
        <f>Table3[[#This Row],[VendorID]]</f>
        <v>VEN-014</v>
      </c>
      <c r="C836" t="str">
        <f>VLOOKUP(B836,Vendors!A:B,2,FALSE)</f>
        <v>Figma</v>
      </c>
      <c r="D836" s="9">
        <f>Table3[[#This Row],[BillDate]]</f>
        <v>46068</v>
      </c>
      <c r="E836" s="9">
        <f>Table3[[#This Row],[DueDate]]</f>
        <v>46098</v>
      </c>
      <c r="F836" s="3">
        <f>Table3[[#This Row],[BillAmount]]</f>
        <v>5206.16</v>
      </c>
      <c r="G836" s="3">
        <f>SUMIF(Vendor_Payments!C:C,A836,Vendor_Payments!E:E)</f>
        <v>5206.16</v>
      </c>
      <c r="H836" s="3">
        <f t="shared" si="39"/>
        <v>0</v>
      </c>
      <c r="I836">
        <f t="shared" si="40"/>
        <v>-7</v>
      </c>
      <c r="J836" t="str">
        <f t="shared" si="41"/>
        <v>Current</v>
      </c>
    </row>
    <row r="837" spans="1:10" x14ac:dyDescent="0.3">
      <c r="A837" t="str">
        <f>Table3[[#This Row],[BillID]]</f>
        <v>BILL-00836</v>
      </c>
      <c r="B837" t="str">
        <f>Table3[[#This Row],[VendorID]]</f>
        <v>VEN-022</v>
      </c>
      <c r="C837" t="str">
        <f>VLOOKUP(B837,Vendors!A:B,2,FALSE)</f>
        <v>Toptal Talent</v>
      </c>
      <c r="D837" s="9">
        <f>Table3[[#This Row],[BillDate]]</f>
        <v>45963</v>
      </c>
      <c r="E837" s="9">
        <f>Table3[[#This Row],[DueDate]]</f>
        <v>45993</v>
      </c>
      <c r="F837" s="3">
        <f>Table3[[#This Row],[BillAmount]]</f>
        <v>4267.1099999999997</v>
      </c>
      <c r="G837" s="3">
        <f>SUMIF(Vendor_Payments!C:C,A837,Vendor_Payments!E:E)</f>
        <v>0</v>
      </c>
      <c r="H837" s="3">
        <f t="shared" si="39"/>
        <v>4267.1099999999997</v>
      </c>
      <c r="I837">
        <f t="shared" si="40"/>
        <v>98</v>
      </c>
      <c r="J837" t="str">
        <f t="shared" si="41"/>
        <v>90+</v>
      </c>
    </row>
    <row r="838" spans="1:10" x14ac:dyDescent="0.3">
      <c r="A838" t="str">
        <f>Table3[[#This Row],[BillID]]</f>
        <v>BILL-00837</v>
      </c>
      <c r="B838" t="str">
        <f>Table3[[#This Row],[VendorID]]</f>
        <v>VEN-011</v>
      </c>
      <c r="C838" t="str">
        <f>VLOOKUP(B838,Vendors!A:B,2,FALSE)</f>
        <v>AWS</v>
      </c>
      <c r="D838" s="9">
        <f>Table3[[#This Row],[BillDate]]</f>
        <v>45995</v>
      </c>
      <c r="E838" s="9">
        <f>Table3[[#This Row],[DueDate]]</f>
        <v>46025</v>
      </c>
      <c r="F838" s="3">
        <f>Table3[[#This Row],[BillAmount]]</f>
        <v>6974.76</v>
      </c>
      <c r="G838" s="3">
        <f>SUMIF(Vendor_Payments!C:C,A838,Vendor_Payments!E:E)</f>
        <v>6974.76</v>
      </c>
      <c r="H838" s="3">
        <f t="shared" si="39"/>
        <v>0</v>
      </c>
      <c r="I838">
        <f t="shared" si="40"/>
        <v>66</v>
      </c>
      <c r="J838" t="str">
        <f t="shared" si="41"/>
        <v>61-90</v>
      </c>
    </row>
    <row r="839" spans="1:10" x14ac:dyDescent="0.3">
      <c r="A839" t="str">
        <f>Table3[[#This Row],[BillID]]</f>
        <v>BILL-00838</v>
      </c>
      <c r="B839" t="str">
        <f>Table3[[#This Row],[VendorID]]</f>
        <v>VEN-006</v>
      </c>
      <c r="C839" t="str">
        <f>VLOOKUP(B839,Vendors!A:B,2,FALSE)</f>
        <v>Salesforce</v>
      </c>
      <c r="D839" s="9">
        <f>Table3[[#This Row],[BillDate]]</f>
        <v>46026</v>
      </c>
      <c r="E839" s="9">
        <f>Table3[[#This Row],[DueDate]]</f>
        <v>46056</v>
      </c>
      <c r="F839" s="3">
        <f>Table3[[#This Row],[BillAmount]]</f>
        <v>3130.67</v>
      </c>
      <c r="G839" s="3">
        <f>SUMIF(Vendor_Payments!C:C,A839,Vendor_Payments!E:E)</f>
        <v>0</v>
      </c>
      <c r="H839" s="3">
        <f t="shared" si="39"/>
        <v>3130.67</v>
      </c>
      <c r="I839">
        <f t="shared" si="40"/>
        <v>35</v>
      </c>
      <c r="J839" t="str">
        <f t="shared" si="41"/>
        <v>31-60</v>
      </c>
    </row>
    <row r="840" spans="1:10" x14ac:dyDescent="0.3">
      <c r="A840" t="str">
        <f>Table3[[#This Row],[BillID]]</f>
        <v>BILL-00839</v>
      </c>
      <c r="B840" t="str">
        <f>Table3[[#This Row],[VendorID]]</f>
        <v>VEN-036</v>
      </c>
      <c r="C840" t="str">
        <f>VLOOKUP(B840,Vendors!A:B,2,FALSE)</f>
        <v>WebDev Masters</v>
      </c>
      <c r="D840" s="9">
        <f>Table3[[#This Row],[BillDate]]</f>
        <v>45964</v>
      </c>
      <c r="E840" s="9">
        <f>Table3[[#This Row],[DueDate]]</f>
        <v>45994</v>
      </c>
      <c r="F840" s="3">
        <f>Table3[[#This Row],[BillAmount]]</f>
        <v>2951.15</v>
      </c>
      <c r="G840" s="3">
        <f>SUMIF(Vendor_Payments!C:C,A840,Vendor_Payments!E:E)</f>
        <v>0</v>
      </c>
      <c r="H840" s="3">
        <f t="shared" si="39"/>
        <v>2951.15</v>
      </c>
      <c r="I840">
        <f t="shared" si="40"/>
        <v>97</v>
      </c>
      <c r="J840" t="str">
        <f t="shared" si="41"/>
        <v>90+</v>
      </c>
    </row>
    <row r="841" spans="1:10" x14ac:dyDescent="0.3">
      <c r="A841" t="str">
        <f>Table3[[#This Row],[BillID]]</f>
        <v>BILL-00840</v>
      </c>
      <c r="B841" t="str">
        <f>Table3[[#This Row],[VendorID]]</f>
        <v>VEN-038</v>
      </c>
      <c r="C841" t="str">
        <f>VLOOKUP(B841,Vendors!A:B,2,FALSE)</f>
        <v>Insight Marketing Partners</v>
      </c>
      <c r="D841" s="9">
        <f>Table3[[#This Row],[BillDate]]</f>
        <v>46028</v>
      </c>
      <c r="E841" s="9">
        <f>Table3[[#This Row],[DueDate]]</f>
        <v>46058</v>
      </c>
      <c r="F841" s="3">
        <f>Table3[[#This Row],[BillAmount]]</f>
        <v>3483.73</v>
      </c>
      <c r="G841" s="3">
        <f>SUMIF(Vendor_Payments!C:C,A841,Vendor_Payments!E:E)</f>
        <v>3483.73</v>
      </c>
      <c r="H841" s="3">
        <f t="shared" si="39"/>
        <v>0</v>
      </c>
      <c r="I841">
        <f t="shared" si="40"/>
        <v>33</v>
      </c>
      <c r="J841" t="str">
        <f t="shared" si="41"/>
        <v>31-60</v>
      </c>
    </row>
    <row r="842" spans="1:10" x14ac:dyDescent="0.3">
      <c r="A842" t="str">
        <f>Table3[[#This Row],[BillID]]</f>
        <v>BILL-00841</v>
      </c>
      <c r="B842" t="str">
        <f>Table3[[#This Row],[VendorID]]</f>
        <v>VEN-020</v>
      </c>
      <c r="C842" t="str">
        <f>VLOOKUP(B842,Vendors!A:B,2,FALSE)</f>
        <v>Slack</v>
      </c>
      <c r="D842" s="9">
        <f>Table3[[#This Row],[BillDate]]</f>
        <v>46021</v>
      </c>
      <c r="E842" s="9">
        <f>Table3[[#This Row],[DueDate]]</f>
        <v>46051</v>
      </c>
      <c r="F842" s="3">
        <f>Table3[[#This Row],[BillAmount]]</f>
        <v>2608.15</v>
      </c>
      <c r="G842" s="3">
        <f>SUMIF(Vendor_Payments!C:C,A842,Vendor_Payments!E:E)</f>
        <v>2608.15</v>
      </c>
      <c r="H842" s="3">
        <f t="shared" si="39"/>
        <v>0</v>
      </c>
      <c r="I842">
        <f t="shared" si="40"/>
        <v>40</v>
      </c>
      <c r="J842" t="str">
        <f t="shared" si="41"/>
        <v>31-60</v>
      </c>
    </row>
    <row r="843" spans="1:10" x14ac:dyDescent="0.3">
      <c r="A843" t="str">
        <f>Table3[[#This Row],[BillID]]</f>
        <v>BILL-00842</v>
      </c>
      <c r="B843" t="str">
        <f>Table3[[#This Row],[VendorID]]</f>
        <v>VEN-017</v>
      </c>
      <c r="C843" t="str">
        <f>VLOOKUP(B843,Vendors!A:B,2,FALSE)</f>
        <v>PayPal</v>
      </c>
      <c r="D843" s="9">
        <f>Table3[[#This Row],[BillDate]]</f>
        <v>46050</v>
      </c>
      <c r="E843" s="9">
        <f>Table3[[#This Row],[DueDate]]</f>
        <v>46080</v>
      </c>
      <c r="F843" s="3">
        <f>Table3[[#This Row],[BillAmount]]</f>
        <v>3210.41</v>
      </c>
      <c r="G843" s="3">
        <f>SUMIF(Vendor_Payments!C:C,A843,Vendor_Payments!E:E)</f>
        <v>0</v>
      </c>
      <c r="H843" s="3">
        <f t="shared" si="39"/>
        <v>3210.41</v>
      </c>
      <c r="I843">
        <f t="shared" si="40"/>
        <v>11</v>
      </c>
      <c r="J843" t="str">
        <f t="shared" si="41"/>
        <v>1-30</v>
      </c>
    </row>
    <row r="844" spans="1:10" x14ac:dyDescent="0.3">
      <c r="A844" t="str">
        <f>Table3[[#This Row],[BillID]]</f>
        <v>BILL-00843</v>
      </c>
      <c r="B844" t="str">
        <f>Table3[[#This Row],[VendorID]]</f>
        <v>VEN-037</v>
      </c>
      <c r="C844" t="str">
        <f>VLOOKUP(B844,Vendors!A:B,2,FALSE)</f>
        <v>CreativeSpark Studio</v>
      </c>
      <c r="D844" s="9">
        <f>Table3[[#This Row],[BillDate]]</f>
        <v>46076</v>
      </c>
      <c r="E844" s="9">
        <f>Table3[[#This Row],[DueDate]]</f>
        <v>46106</v>
      </c>
      <c r="F844" s="3">
        <f>Table3[[#This Row],[BillAmount]]</f>
        <v>3011.77</v>
      </c>
      <c r="G844" s="3">
        <f>SUMIF(Vendor_Payments!C:C,A844,Vendor_Payments!E:E)</f>
        <v>3011.77</v>
      </c>
      <c r="H844" s="3">
        <f t="shared" si="39"/>
        <v>0</v>
      </c>
      <c r="I844">
        <f t="shared" si="40"/>
        <v>-15</v>
      </c>
      <c r="J844" t="str">
        <f t="shared" si="41"/>
        <v>Current</v>
      </c>
    </row>
    <row r="845" spans="1:10" x14ac:dyDescent="0.3">
      <c r="A845" t="str">
        <f>Table3[[#This Row],[BillID]]</f>
        <v>BILL-00844</v>
      </c>
      <c r="B845" t="str">
        <f>Table3[[#This Row],[VendorID]]</f>
        <v>VEN-032</v>
      </c>
      <c r="C845" t="str">
        <f>VLOOKUP(B845,Vendors!A:B,2,FALSE)</f>
        <v>Marketing Automation Labs</v>
      </c>
      <c r="D845" s="9">
        <f>Table3[[#This Row],[BillDate]]</f>
        <v>46014</v>
      </c>
      <c r="E845" s="9">
        <f>Table3[[#This Row],[DueDate]]</f>
        <v>46044</v>
      </c>
      <c r="F845" s="3">
        <f>Table3[[#This Row],[BillAmount]]</f>
        <v>2459.96</v>
      </c>
      <c r="G845" s="3">
        <f>SUMIF(Vendor_Payments!C:C,A845,Vendor_Payments!E:E)</f>
        <v>0</v>
      </c>
      <c r="H845" s="3">
        <f t="shared" si="39"/>
        <v>2459.96</v>
      </c>
      <c r="I845">
        <f t="shared" si="40"/>
        <v>47</v>
      </c>
      <c r="J845" t="str">
        <f t="shared" si="41"/>
        <v>31-60</v>
      </c>
    </row>
    <row r="846" spans="1:10" x14ac:dyDescent="0.3">
      <c r="A846" t="str">
        <f>Table3[[#This Row],[BillID]]</f>
        <v>BILL-00845</v>
      </c>
      <c r="B846" t="str">
        <f>Table3[[#This Row],[VendorID]]</f>
        <v>VEN-028</v>
      </c>
      <c r="C846" t="str">
        <f>VLOOKUP(B846,Vendors!A:B,2,FALSE)</f>
        <v>MarketEdge Consulting</v>
      </c>
      <c r="D846" s="9">
        <f>Table3[[#This Row],[BillDate]]</f>
        <v>46046</v>
      </c>
      <c r="E846" s="9">
        <f>Table3[[#This Row],[DueDate]]</f>
        <v>46076</v>
      </c>
      <c r="F846" s="3">
        <f>Table3[[#This Row],[BillAmount]]</f>
        <v>1194.58</v>
      </c>
      <c r="G846" s="3">
        <f>SUMIF(Vendor_Payments!C:C,A846,Vendor_Payments!E:E)</f>
        <v>1194.58</v>
      </c>
      <c r="H846" s="3">
        <f t="shared" si="39"/>
        <v>0</v>
      </c>
      <c r="I846">
        <f t="shared" si="40"/>
        <v>15</v>
      </c>
      <c r="J846" t="str">
        <f t="shared" si="41"/>
        <v>1-30</v>
      </c>
    </row>
    <row r="847" spans="1:10" x14ac:dyDescent="0.3">
      <c r="A847" t="str">
        <f>Table3[[#This Row],[BillID]]</f>
        <v>BILL-00846</v>
      </c>
      <c r="B847" t="str">
        <f>Table3[[#This Row],[VendorID]]</f>
        <v>VEN-011</v>
      </c>
      <c r="C847" t="str">
        <f>VLOOKUP(B847,Vendors!A:B,2,FALSE)</f>
        <v>AWS</v>
      </c>
      <c r="D847" s="9">
        <f>Table3[[#This Row],[BillDate]]</f>
        <v>46054</v>
      </c>
      <c r="E847" s="9">
        <f>Table3[[#This Row],[DueDate]]</f>
        <v>46084</v>
      </c>
      <c r="F847" s="3">
        <f>Table3[[#This Row],[BillAmount]]</f>
        <v>1276.92</v>
      </c>
      <c r="G847" s="3">
        <f>SUMIF(Vendor_Payments!C:C,A847,Vendor_Payments!E:E)</f>
        <v>1276.92</v>
      </c>
      <c r="H847" s="3">
        <f t="shared" si="39"/>
        <v>0</v>
      </c>
      <c r="I847">
        <f t="shared" si="40"/>
        <v>7</v>
      </c>
      <c r="J847" t="str">
        <f t="shared" si="41"/>
        <v>1-30</v>
      </c>
    </row>
    <row r="848" spans="1:10" x14ac:dyDescent="0.3">
      <c r="A848" t="str">
        <f>Table3[[#This Row],[BillID]]</f>
        <v>BILL-00847</v>
      </c>
      <c r="B848" t="str">
        <f>Table3[[#This Row],[VendorID]]</f>
        <v>VEN-036</v>
      </c>
      <c r="C848" t="str">
        <f>VLOOKUP(B848,Vendors!A:B,2,FALSE)</f>
        <v>WebDev Masters</v>
      </c>
      <c r="D848" s="9">
        <f>Table3[[#This Row],[BillDate]]</f>
        <v>45964</v>
      </c>
      <c r="E848" s="9">
        <f>Table3[[#This Row],[DueDate]]</f>
        <v>45994</v>
      </c>
      <c r="F848" s="3">
        <f>Table3[[#This Row],[BillAmount]]</f>
        <v>1245.19</v>
      </c>
      <c r="G848" s="3">
        <f>SUMIF(Vendor_Payments!C:C,A848,Vendor_Payments!E:E)</f>
        <v>0</v>
      </c>
      <c r="H848" s="3">
        <f t="shared" si="39"/>
        <v>1245.19</v>
      </c>
      <c r="I848">
        <f t="shared" si="40"/>
        <v>97</v>
      </c>
      <c r="J848" t="str">
        <f t="shared" si="41"/>
        <v>90+</v>
      </c>
    </row>
    <row r="849" spans="1:10" x14ac:dyDescent="0.3">
      <c r="A849" t="str">
        <f>Table3[[#This Row],[BillID]]</f>
        <v>BILL-00848</v>
      </c>
      <c r="B849" t="str">
        <f>Table3[[#This Row],[VendorID]]</f>
        <v>VEN-015</v>
      </c>
      <c r="C849" t="str">
        <f>VLOOKUP(B849,Vendors!A:B,2,FALSE)</f>
        <v>Zapier</v>
      </c>
      <c r="D849" s="9">
        <f>Table3[[#This Row],[BillDate]]</f>
        <v>46023</v>
      </c>
      <c r="E849" s="9">
        <f>Table3[[#This Row],[DueDate]]</f>
        <v>46053</v>
      </c>
      <c r="F849" s="3">
        <f>Table3[[#This Row],[BillAmount]]</f>
        <v>5683.96</v>
      </c>
      <c r="G849" s="3">
        <f>SUMIF(Vendor_Payments!C:C,A849,Vendor_Payments!E:E)</f>
        <v>5683.96</v>
      </c>
      <c r="H849" s="3">
        <f t="shared" si="39"/>
        <v>0</v>
      </c>
      <c r="I849">
        <f t="shared" si="40"/>
        <v>38</v>
      </c>
      <c r="J849" t="str">
        <f t="shared" si="41"/>
        <v>31-60</v>
      </c>
    </row>
    <row r="850" spans="1:10" x14ac:dyDescent="0.3">
      <c r="A850" t="str">
        <f>Table3[[#This Row],[BillID]]</f>
        <v>BILL-00849</v>
      </c>
      <c r="B850" t="str">
        <f>Table3[[#This Row],[VendorID]]</f>
        <v>VEN-031</v>
      </c>
      <c r="C850" t="str">
        <f>VLOOKUP(B850,Vendors!A:B,2,FALSE)</f>
        <v>DataInsight Analytics</v>
      </c>
      <c r="D850" s="9">
        <f>Table3[[#This Row],[BillDate]]</f>
        <v>46011</v>
      </c>
      <c r="E850" s="9">
        <f>Table3[[#This Row],[DueDate]]</f>
        <v>46041</v>
      </c>
      <c r="F850" s="3">
        <f>Table3[[#This Row],[BillAmount]]</f>
        <v>3196.94</v>
      </c>
      <c r="G850" s="3">
        <f>SUMIF(Vendor_Payments!C:C,A850,Vendor_Payments!E:E)</f>
        <v>0</v>
      </c>
      <c r="H850" s="3">
        <f t="shared" si="39"/>
        <v>3196.94</v>
      </c>
      <c r="I850">
        <f t="shared" si="40"/>
        <v>50</v>
      </c>
      <c r="J850" t="str">
        <f t="shared" si="41"/>
        <v>31-60</v>
      </c>
    </row>
    <row r="851" spans="1:10" x14ac:dyDescent="0.3">
      <c r="A851" t="str">
        <f>Table3[[#This Row],[BillID]]</f>
        <v>BILL-00850</v>
      </c>
      <c r="B851" t="str">
        <f>Table3[[#This Row],[VendorID]]</f>
        <v>VEN-017</v>
      </c>
      <c r="C851" t="str">
        <f>VLOOKUP(B851,Vendors!A:B,2,FALSE)</f>
        <v>PayPal</v>
      </c>
      <c r="D851" s="9">
        <f>Table3[[#This Row],[BillDate]]</f>
        <v>45994</v>
      </c>
      <c r="E851" s="9">
        <f>Table3[[#This Row],[DueDate]]</f>
        <v>46024</v>
      </c>
      <c r="F851" s="3">
        <f>Table3[[#This Row],[BillAmount]]</f>
        <v>5867.25</v>
      </c>
      <c r="G851" s="3">
        <f>SUMIF(Vendor_Payments!C:C,A851,Vendor_Payments!E:E)</f>
        <v>5867.25</v>
      </c>
      <c r="H851" s="3">
        <f t="shared" si="39"/>
        <v>0</v>
      </c>
      <c r="I851">
        <f t="shared" si="40"/>
        <v>67</v>
      </c>
      <c r="J851" t="str">
        <f t="shared" si="41"/>
        <v>61-90</v>
      </c>
    </row>
    <row r="852" spans="1:10" x14ac:dyDescent="0.3">
      <c r="A852" t="str">
        <f>Table3[[#This Row],[BillID]]</f>
        <v>BILL-00851</v>
      </c>
      <c r="B852" t="str">
        <f>Table3[[#This Row],[VendorID]]</f>
        <v>VEN-019</v>
      </c>
      <c r="C852" t="str">
        <f>VLOOKUP(B852,Vendors!A:B,2,FALSE)</f>
        <v>Notion</v>
      </c>
      <c r="D852" s="9">
        <f>Table3[[#This Row],[BillDate]]</f>
        <v>46060</v>
      </c>
      <c r="E852" s="9">
        <f>Table3[[#This Row],[DueDate]]</f>
        <v>46090</v>
      </c>
      <c r="F852" s="3">
        <f>Table3[[#This Row],[BillAmount]]</f>
        <v>960.15</v>
      </c>
      <c r="G852" s="3">
        <f>SUMIF(Vendor_Payments!C:C,A852,Vendor_Payments!E:E)</f>
        <v>0</v>
      </c>
      <c r="H852" s="3">
        <f t="shared" si="39"/>
        <v>960.15</v>
      </c>
      <c r="I852">
        <f t="shared" si="40"/>
        <v>1</v>
      </c>
      <c r="J852" t="str">
        <f t="shared" si="41"/>
        <v>1-30</v>
      </c>
    </row>
    <row r="853" spans="1:10" x14ac:dyDescent="0.3">
      <c r="A853" t="str">
        <f>Table3[[#This Row],[BillID]]</f>
        <v>BILL-00852</v>
      </c>
      <c r="B853" t="str">
        <f>Table3[[#This Row],[VendorID]]</f>
        <v>VEN-009</v>
      </c>
      <c r="C853" t="str">
        <f>VLOOKUP(B853,Vendors!A:B,2,FALSE)</f>
        <v>SEMrush</v>
      </c>
      <c r="D853" s="9">
        <f>Table3[[#This Row],[BillDate]]</f>
        <v>45987</v>
      </c>
      <c r="E853" s="9">
        <f>Table3[[#This Row],[DueDate]]</f>
        <v>46017</v>
      </c>
      <c r="F853" s="3">
        <f>Table3[[#This Row],[BillAmount]]</f>
        <v>4123.29</v>
      </c>
      <c r="G853" s="3">
        <f>SUMIF(Vendor_Payments!C:C,A853,Vendor_Payments!E:E)</f>
        <v>4123.29</v>
      </c>
      <c r="H853" s="3">
        <f t="shared" si="39"/>
        <v>0</v>
      </c>
      <c r="I853">
        <f t="shared" si="40"/>
        <v>74</v>
      </c>
      <c r="J853" t="str">
        <f t="shared" si="41"/>
        <v>61-90</v>
      </c>
    </row>
    <row r="854" spans="1:10" x14ac:dyDescent="0.3">
      <c r="A854" t="str">
        <f>Table3[[#This Row],[BillID]]</f>
        <v>BILL-00853</v>
      </c>
      <c r="B854" t="str">
        <f>Table3[[#This Row],[VendorID]]</f>
        <v>VEN-013</v>
      </c>
      <c r="C854" t="str">
        <f>VLOOKUP(B854,Vendors!A:B,2,FALSE)</f>
        <v>Canva Pro</v>
      </c>
      <c r="D854" s="9">
        <f>Table3[[#This Row],[BillDate]]</f>
        <v>45991</v>
      </c>
      <c r="E854" s="9">
        <f>Table3[[#This Row],[DueDate]]</f>
        <v>46021</v>
      </c>
      <c r="F854" s="3">
        <f>Table3[[#This Row],[BillAmount]]</f>
        <v>5578.03</v>
      </c>
      <c r="G854" s="3">
        <f>SUMIF(Vendor_Payments!C:C,A854,Vendor_Payments!E:E)</f>
        <v>5578.03</v>
      </c>
      <c r="H854" s="3">
        <f t="shared" si="39"/>
        <v>0</v>
      </c>
      <c r="I854">
        <f t="shared" si="40"/>
        <v>70</v>
      </c>
      <c r="J854" t="str">
        <f t="shared" si="41"/>
        <v>61-90</v>
      </c>
    </row>
    <row r="855" spans="1:10" x14ac:dyDescent="0.3">
      <c r="A855" t="str">
        <f>Table3[[#This Row],[BillID]]</f>
        <v>BILL-00854</v>
      </c>
      <c r="B855" t="str">
        <f>Table3[[#This Row],[VendorID]]</f>
        <v>VEN-023</v>
      </c>
      <c r="C855" t="str">
        <f>VLOOKUP(B855,Vendors!A:B,2,FALSE)</f>
        <v>Fiverr Pro</v>
      </c>
      <c r="D855" s="9">
        <f>Table3[[#This Row],[BillDate]]</f>
        <v>45980</v>
      </c>
      <c r="E855" s="9">
        <f>Table3[[#This Row],[DueDate]]</f>
        <v>46010</v>
      </c>
      <c r="F855" s="3">
        <f>Table3[[#This Row],[BillAmount]]</f>
        <v>6809.32</v>
      </c>
      <c r="G855" s="3">
        <f>SUMIF(Vendor_Payments!C:C,A855,Vendor_Payments!E:E)</f>
        <v>0</v>
      </c>
      <c r="H855" s="3">
        <f t="shared" si="39"/>
        <v>6809.32</v>
      </c>
      <c r="I855">
        <f t="shared" si="40"/>
        <v>81</v>
      </c>
      <c r="J855" t="str">
        <f t="shared" si="41"/>
        <v>61-90</v>
      </c>
    </row>
    <row r="856" spans="1:10" x14ac:dyDescent="0.3">
      <c r="A856" t="str">
        <f>Table3[[#This Row],[BillID]]</f>
        <v>BILL-00855</v>
      </c>
      <c r="B856" t="str">
        <f>Table3[[#This Row],[VendorID]]</f>
        <v>VEN-038</v>
      </c>
      <c r="C856" t="str">
        <f>VLOOKUP(B856,Vendors!A:B,2,FALSE)</f>
        <v>Insight Marketing Partners</v>
      </c>
      <c r="D856" s="9">
        <f>Table3[[#This Row],[BillDate]]</f>
        <v>46039</v>
      </c>
      <c r="E856" s="9">
        <f>Table3[[#This Row],[DueDate]]</f>
        <v>46069</v>
      </c>
      <c r="F856" s="3">
        <f>Table3[[#This Row],[BillAmount]]</f>
        <v>3183.72</v>
      </c>
      <c r="G856" s="3">
        <f>SUMIF(Vendor_Payments!C:C,A856,Vendor_Payments!E:E)</f>
        <v>0</v>
      </c>
      <c r="H856" s="3">
        <f t="shared" si="39"/>
        <v>3183.72</v>
      </c>
      <c r="I856">
        <f t="shared" si="40"/>
        <v>22</v>
      </c>
      <c r="J856" t="str">
        <f t="shared" si="41"/>
        <v>1-30</v>
      </c>
    </row>
    <row r="857" spans="1:10" x14ac:dyDescent="0.3">
      <c r="A857" t="str">
        <f>Table3[[#This Row],[BillID]]</f>
        <v>BILL-00856</v>
      </c>
      <c r="B857" t="str">
        <f>Table3[[#This Row],[VendorID]]</f>
        <v>VEN-013</v>
      </c>
      <c r="C857" t="str">
        <f>VLOOKUP(B857,Vendors!A:B,2,FALSE)</f>
        <v>Canva Pro</v>
      </c>
      <c r="D857" s="9">
        <f>Table3[[#This Row],[BillDate]]</f>
        <v>46072</v>
      </c>
      <c r="E857" s="9">
        <f>Table3[[#This Row],[DueDate]]</f>
        <v>46102</v>
      </c>
      <c r="F857" s="3">
        <f>Table3[[#This Row],[BillAmount]]</f>
        <v>3376.82</v>
      </c>
      <c r="G857" s="3">
        <f>SUMIF(Vendor_Payments!C:C,A857,Vendor_Payments!E:E)</f>
        <v>3376.82</v>
      </c>
      <c r="H857" s="3">
        <f t="shared" si="39"/>
        <v>0</v>
      </c>
      <c r="I857">
        <f t="shared" si="40"/>
        <v>-11</v>
      </c>
      <c r="J857" t="str">
        <f t="shared" si="41"/>
        <v>Current</v>
      </c>
    </row>
    <row r="858" spans="1:10" x14ac:dyDescent="0.3">
      <c r="A858" t="str">
        <f>Table3[[#This Row],[BillID]]</f>
        <v>BILL-00857</v>
      </c>
      <c r="B858" t="str">
        <f>Table3[[#This Row],[VendorID]]</f>
        <v>VEN-025</v>
      </c>
      <c r="C858" t="str">
        <f>VLOOKUP(B858,Vendors!A:B,2,FALSE)</f>
        <v>Digital Growth Consultants</v>
      </c>
      <c r="D858" s="9">
        <f>Table3[[#This Row],[BillDate]]</f>
        <v>45976</v>
      </c>
      <c r="E858" s="9">
        <f>Table3[[#This Row],[DueDate]]</f>
        <v>46006</v>
      </c>
      <c r="F858" s="3">
        <f>Table3[[#This Row],[BillAmount]]</f>
        <v>6937.68</v>
      </c>
      <c r="G858" s="3">
        <f>SUMIF(Vendor_Payments!C:C,A858,Vendor_Payments!E:E)</f>
        <v>6937.68</v>
      </c>
      <c r="H858" s="3">
        <f t="shared" si="39"/>
        <v>0</v>
      </c>
      <c r="I858">
        <f t="shared" si="40"/>
        <v>85</v>
      </c>
      <c r="J858" t="str">
        <f t="shared" si="41"/>
        <v>61-90</v>
      </c>
    </row>
    <row r="859" spans="1:10" x14ac:dyDescent="0.3">
      <c r="A859" t="str">
        <f>Table3[[#This Row],[BillID]]</f>
        <v>BILL-00858</v>
      </c>
      <c r="B859" t="str">
        <f>Table3[[#This Row],[VendorID]]</f>
        <v>VEN-009</v>
      </c>
      <c r="C859" t="str">
        <f>VLOOKUP(B859,Vendors!A:B,2,FALSE)</f>
        <v>SEMrush</v>
      </c>
      <c r="D859" s="9">
        <f>Table3[[#This Row],[BillDate]]</f>
        <v>46060</v>
      </c>
      <c r="E859" s="9">
        <f>Table3[[#This Row],[DueDate]]</f>
        <v>46090</v>
      </c>
      <c r="F859" s="3">
        <f>Table3[[#This Row],[BillAmount]]</f>
        <v>6983.77</v>
      </c>
      <c r="G859" s="3">
        <f>SUMIF(Vendor_Payments!C:C,A859,Vendor_Payments!E:E)</f>
        <v>0</v>
      </c>
      <c r="H859" s="3">
        <f t="shared" si="39"/>
        <v>6983.77</v>
      </c>
      <c r="I859">
        <f t="shared" si="40"/>
        <v>1</v>
      </c>
      <c r="J859" t="str">
        <f t="shared" si="41"/>
        <v>1-30</v>
      </c>
    </row>
    <row r="860" spans="1:10" x14ac:dyDescent="0.3">
      <c r="A860" t="str">
        <f>Table3[[#This Row],[BillID]]</f>
        <v>BILL-00859</v>
      </c>
      <c r="B860" t="str">
        <f>Table3[[#This Row],[VendorID]]</f>
        <v>VEN-012</v>
      </c>
      <c r="C860" t="str">
        <f>VLOOKUP(B860,Vendors!A:B,2,FALSE)</f>
        <v>Google Cloud</v>
      </c>
      <c r="D860" s="9">
        <f>Table3[[#This Row],[BillDate]]</f>
        <v>45984</v>
      </c>
      <c r="E860" s="9">
        <f>Table3[[#This Row],[DueDate]]</f>
        <v>46014</v>
      </c>
      <c r="F860" s="3">
        <f>Table3[[#This Row],[BillAmount]]</f>
        <v>5830.11</v>
      </c>
      <c r="G860" s="3">
        <f>SUMIF(Vendor_Payments!C:C,A860,Vendor_Payments!E:E)</f>
        <v>0</v>
      </c>
      <c r="H860" s="3">
        <f t="shared" si="39"/>
        <v>5830.11</v>
      </c>
      <c r="I860">
        <f t="shared" si="40"/>
        <v>77</v>
      </c>
      <c r="J860" t="str">
        <f t="shared" si="41"/>
        <v>61-90</v>
      </c>
    </row>
    <row r="861" spans="1:10" x14ac:dyDescent="0.3">
      <c r="A861" t="str">
        <f>Table3[[#This Row],[BillID]]</f>
        <v>BILL-00860</v>
      </c>
      <c r="B861" t="str">
        <f>Table3[[#This Row],[VendorID]]</f>
        <v>VEN-009</v>
      </c>
      <c r="C861" t="str">
        <f>VLOOKUP(B861,Vendors!A:B,2,FALSE)</f>
        <v>SEMrush</v>
      </c>
      <c r="D861" s="9">
        <f>Table3[[#This Row],[BillDate]]</f>
        <v>46078</v>
      </c>
      <c r="E861" s="9">
        <f>Table3[[#This Row],[DueDate]]</f>
        <v>46108</v>
      </c>
      <c r="F861" s="3">
        <f>Table3[[#This Row],[BillAmount]]</f>
        <v>5016.3100000000004</v>
      </c>
      <c r="G861" s="3">
        <f>SUMIF(Vendor_Payments!C:C,A861,Vendor_Payments!E:E)</f>
        <v>0</v>
      </c>
      <c r="H861" s="3">
        <f t="shared" si="39"/>
        <v>5016.3100000000004</v>
      </c>
      <c r="I861">
        <f t="shared" si="40"/>
        <v>-17</v>
      </c>
      <c r="J861" t="str">
        <f t="shared" si="41"/>
        <v>Current</v>
      </c>
    </row>
    <row r="862" spans="1:10" x14ac:dyDescent="0.3">
      <c r="A862" t="str">
        <f>Table3[[#This Row],[BillID]]</f>
        <v>BILL-00861</v>
      </c>
      <c r="B862" t="str">
        <f>Table3[[#This Row],[VendorID]]</f>
        <v>VEN-038</v>
      </c>
      <c r="C862" t="str">
        <f>VLOOKUP(B862,Vendors!A:B,2,FALSE)</f>
        <v>Insight Marketing Partners</v>
      </c>
      <c r="D862" s="9">
        <f>Table3[[#This Row],[BillDate]]</f>
        <v>45972</v>
      </c>
      <c r="E862" s="9">
        <f>Table3[[#This Row],[DueDate]]</f>
        <v>46002</v>
      </c>
      <c r="F862" s="3">
        <f>Table3[[#This Row],[BillAmount]]</f>
        <v>4174.1499999999996</v>
      </c>
      <c r="G862" s="3">
        <f>SUMIF(Vendor_Payments!C:C,A862,Vendor_Payments!E:E)</f>
        <v>4174.1499999999996</v>
      </c>
      <c r="H862" s="3">
        <f t="shared" si="39"/>
        <v>0</v>
      </c>
      <c r="I862">
        <f t="shared" si="40"/>
        <v>89</v>
      </c>
      <c r="J862" t="str">
        <f t="shared" si="41"/>
        <v>61-90</v>
      </c>
    </row>
    <row r="863" spans="1:10" x14ac:dyDescent="0.3">
      <c r="A863" t="str">
        <f>Table3[[#This Row],[BillID]]</f>
        <v>BILL-00862</v>
      </c>
      <c r="B863" t="str">
        <f>Table3[[#This Row],[VendorID]]</f>
        <v>VEN-029</v>
      </c>
      <c r="C863" t="str">
        <f>VLOOKUP(B863,Vendors!A:B,2,FALSE)</f>
        <v>BrightSEO Agency</v>
      </c>
      <c r="D863" s="9">
        <f>Table3[[#This Row],[BillDate]]</f>
        <v>45980</v>
      </c>
      <c r="E863" s="9">
        <f>Table3[[#This Row],[DueDate]]</f>
        <v>46010</v>
      </c>
      <c r="F863" s="3">
        <f>Table3[[#This Row],[BillAmount]]</f>
        <v>6826.09</v>
      </c>
      <c r="G863" s="3">
        <f>SUMIF(Vendor_Payments!C:C,A863,Vendor_Payments!E:E)</f>
        <v>6826.09</v>
      </c>
      <c r="H863" s="3">
        <f t="shared" si="39"/>
        <v>0</v>
      </c>
      <c r="I863">
        <f t="shared" si="40"/>
        <v>81</v>
      </c>
      <c r="J863" t="str">
        <f t="shared" si="41"/>
        <v>61-90</v>
      </c>
    </row>
    <row r="864" spans="1:10" x14ac:dyDescent="0.3">
      <c r="A864" t="str">
        <f>Table3[[#This Row],[BillID]]</f>
        <v>BILL-00863</v>
      </c>
      <c r="B864" t="str">
        <f>Table3[[#This Row],[VendorID]]</f>
        <v>VEN-023</v>
      </c>
      <c r="C864" t="str">
        <f>VLOOKUP(B864,Vendors!A:B,2,FALSE)</f>
        <v>Fiverr Pro</v>
      </c>
      <c r="D864" s="9">
        <f>Table3[[#This Row],[BillDate]]</f>
        <v>46080</v>
      </c>
      <c r="E864" s="9">
        <f>Table3[[#This Row],[DueDate]]</f>
        <v>46110</v>
      </c>
      <c r="F864" s="3">
        <f>Table3[[#This Row],[BillAmount]]</f>
        <v>4626.62</v>
      </c>
      <c r="G864" s="3">
        <f>SUMIF(Vendor_Payments!C:C,A864,Vendor_Payments!E:E)</f>
        <v>4626.62</v>
      </c>
      <c r="H864" s="3">
        <f t="shared" si="39"/>
        <v>0</v>
      </c>
      <c r="I864">
        <f t="shared" si="40"/>
        <v>-19</v>
      </c>
      <c r="J864" t="str">
        <f t="shared" si="41"/>
        <v>Current</v>
      </c>
    </row>
    <row r="865" spans="1:10" x14ac:dyDescent="0.3">
      <c r="A865" t="str">
        <f>Table3[[#This Row],[BillID]]</f>
        <v>BILL-00864</v>
      </c>
      <c r="B865" t="str">
        <f>Table3[[#This Row],[VendorID]]</f>
        <v>VEN-040</v>
      </c>
      <c r="C865" t="str">
        <f>VLOOKUP(B865,Vendors!A:B,2,FALSE)</f>
        <v>Digital Performance Lab</v>
      </c>
      <c r="D865" s="9">
        <f>Table3[[#This Row],[BillDate]]</f>
        <v>46003</v>
      </c>
      <c r="E865" s="9">
        <f>Table3[[#This Row],[DueDate]]</f>
        <v>46033</v>
      </c>
      <c r="F865" s="3">
        <f>Table3[[#This Row],[BillAmount]]</f>
        <v>1247.43</v>
      </c>
      <c r="G865" s="3">
        <f>SUMIF(Vendor_Payments!C:C,A865,Vendor_Payments!E:E)</f>
        <v>1247.43</v>
      </c>
      <c r="H865" s="3">
        <f t="shared" si="39"/>
        <v>0</v>
      </c>
      <c r="I865">
        <f t="shared" si="40"/>
        <v>58</v>
      </c>
      <c r="J865" t="str">
        <f t="shared" si="41"/>
        <v>31-60</v>
      </c>
    </row>
    <row r="866" spans="1:10" x14ac:dyDescent="0.3">
      <c r="A866" t="str">
        <f>Table3[[#This Row],[BillID]]</f>
        <v>BILL-00865</v>
      </c>
      <c r="B866" t="str">
        <f>Table3[[#This Row],[VendorID]]</f>
        <v>VEN-026</v>
      </c>
      <c r="C866" t="str">
        <f>VLOOKUP(B866,Vendors!A:B,2,FALSE)</f>
        <v>PixelForge Studio</v>
      </c>
      <c r="D866" s="9">
        <f>Table3[[#This Row],[BillDate]]</f>
        <v>46048</v>
      </c>
      <c r="E866" s="9">
        <f>Table3[[#This Row],[DueDate]]</f>
        <v>46078</v>
      </c>
      <c r="F866" s="3">
        <f>Table3[[#This Row],[BillAmount]]</f>
        <v>1545.85</v>
      </c>
      <c r="G866" s="3">
        <f>SUMIF(Vendor_Payments!C:C,A866,Vendor_Payments!E:E)</f>
        <v>1545.85</v>
      </c>
      <c r="H866" s="3">
        <f t="shared" si="39"/>
        <v>0</v>
      </c>
      <c r="I866">
        <f t="shared" si="40"/>
        <v>13</v>
      </c>
      <c r="J866" t="str">
        <f t="shared" si="41"/>
        <v>1-30</v>
      </c>
    </row>
    <row r="867" spans="1:10" x14ac:dyDescent="0.3">
      <c r="A867" t="str">
        <f>Table3[[#This Row],[BillID]]</f>
        <v>BILL-00866</v>
      </c>
      <c r="B867" t="str">
        <f>Table3[[#This Row],[VendorID]]</f>
        <v>VEN-014</v>
      </c>
      <c r="C867" t="str">
        <f>VLOOKUP(B867,Vendors!A:B,2,FALSE)</f>
        <v>Figma</v>
      </c>
      <c r="D867" s="9">
        <f>Table3[[#This Row],[BillDate]]</f>
        <v>46061</v>
      </c>
      <c r="E867" s="9">
        <f>Table3[[#This Row],[DueDate]]</f>
        <v>46091</v>
      </c>
      <c r="F867" s="3">
        <f>Table3[[#This Row],[BillAmount]]</f>
        <v>2320.94</v>
      </c>
      <c r="G867" s="3">
        <f>SUMIF(Vendor_Payments!C:C,A867,Vendor_Payments!E:E)</f>
        <v>0</v>
      </c>
      <c r="H867" s="3">
        <f t="shared" si="39"/>
        <v>2320.94</v>
      </c>
      <c r="I867">
        <f t="shared" si="40"/>
        <v>0</v>
      </c>
      <c r="J867" t="str">
        <f t="shared" si="41"/>
        <v>Current</v>
      </c>
    </row>
    <row r="868" spans="1:10" x14ac:dyDescent="0.3">
      <c r="A868" t="str">
        <f>Table3[[#This Row],[BillID]]</f>
        <v>BILL-00867</v>
      </c>
      <c r="B868" t="str">
        <f>Table3[[#This Row],[VendorID]]</f>
        <v>VEN-020</v>
      </c>
      <c r="C868" t="str">
        <f>VLOOKUP(B868,Vendors!A:B,2,FALSE)</f>
        <v>Slack</v>
      </c>
      <c r="D868" s="9">
        <f>Table3[[#This Row],[BillDate]]</f>
        <v>46059</v>
      </c>
      <c r="E868" s="9">
        <f>Table3[[#This Row],[DueDate]]</f>
        <v>46089</v>
      </c>
      <c r="F868" s="3">
        <f>Table3[[#This Row],[BillAmount]]</f>
        <v>6079.09</v>
      </c>
      <c r="G868" s="3">
        <f>SUMIF(Vendor_Payments!C:C,A868,Vendor_Payments!E:E)</f>
        <v>0</v>
      </c>
      <c r="H868" s="3">
        <f t="shared" si="39"/>
        <v>6079.09</v>
      </c>
      <c r="I868">
        <f t="shared" si="40"/>
        <v>2</v>
      </c>
      <c r="J868" t="str">
        <f t="shared" si="41"/>
        <v>1-30</v>
      </c>
    </row>
    <row r="869" spans="1:10" x14ac:dyDescent="0.3">
      <c r="A869" t="str">
        <f>Table3[[#This Row],[BillID]]</f>
        <v>BILL-00868</v>
      </c>
      <c r="B869" t="str">
        <f>Table3[[#This Row],[VendorID]]</f>
        <v>VEN-009</v>
      </c>
      <c r="C869" t="str">
        <f>VLOOKUP(B869,Vendors!A:B,2,FALSE)</f>
        <v>SEMrush</v>
      </c>
      <c r="D869" s="9">
        <f>Table3[[#This Row],[BillDate]]</f>
        <v>46015</v>
      </c>
      <c r="E869" s="9">
        <f>Table3[[#This Row],[DueDate]]</f>
        <v>46045</v>
      </c>
      <c r="F869" s="3">
        <f>Table3[[#This Row],[BillAmount]]</f>
        <v>6185.03</v>
      </c>
      <c r="G869" s="3">
        <f>SUMIF(Vendor_Payments!C:C,A869,Vendor_Payments!E:E)</f>
        <v>6185.03</v>
      </c>
      <c r="H869" s="3">
        <f t="shared" si="39"/>
        <v>0</v>
      </c>
      <c r="I869">
        <f t="shared" si="40"/>
        <v>46</v>
      </c>
      <c r="J869" t="str">
        <f t="shared" si="41"/>
        <v>31-60</v>
      </c>
    </row>
    <row r="870" spans="1:10" x14ac:dyDescent="0.3">
      <c r="A870" t="str">
        <f>Table3[[#This Row],[BillID]]</f>
        <v>BILL-00869</v>
      </c>
      <c r="B870" t="str">
        <f>Table3[[#This Row],[VendorID]]</f>
        <v>VEN-036</v>
      </c>
      <c r="C870" t="str">
        <f>VLOOKUP(B870,Vendors!A:B,2,FALSE)</f>
        <v>WebDev Masters</v>
      </c>
      <c r="D870" s="9">
        <f>Table3[[#This Row],[BillDate]]</f>
        <v>46004</v>
      </c>
      <c r="E870" s="9">
        <f>Table3[[#This Row],[DueDate]]</f>
        <v>46034</v>
      </c>
      <c r="F870" s="3">
        <f>Table3[[#This Row],[BillAmount]]</f>
        <v>3179.13</v>
      </c>
      <c r="G870" s="3">
        <f>SUMIF(Vendor_Payments!C:C,A870,Vendor_Payments!E:E)</f>
        <v>3179.13</v>
      </c>
      <c r="H870" s="3">
        <f t="shared" si="39"/>
        <v>0</v>
      </c>
      <c r="I870">
        <f t="shared" si="40"/>
        <v>57</v>
      </c>
      <c r="J870" t="str">
        <f t="shared" si="41"/>
        <v>31-60</v>
      </c>
    </row>
    <row r="871" spans="1:10" x14ac:dyDescent="0.3">
      <c r="A871" t="str">
        <f>Table3[[#This Row],[BillID]]</f>
        <v>BILL-00870</v>
      </c>
      <c r="B871" t="str">
        <f>Table3[[#This Row],[VendorID]]</f>
        <v>VEN-014</v>
      </c>
      <c r="C871" t="str">
        <f>VLOOKUP(B871,Vendors!A:B,2,FALSE)</f>
        <v>Figma</v>
      </c>
      <c r="D871" s="9">
        <f>Table3[[#This Row],[BillDate]]</f>
        <v>46045</v>
      </c>
      <c r="E871" s="9">
        <f>Table3[[#This Row],[DueDate]]</f>
        <v>46075</v>
      </c>
      <c r="F871" s="3">
        <f>Table3[[#This Row],[BillAmount]]</f>
        <v>1212.2</v>
      </c>
      <c r="G871" s="3">
        <f>SUMIF(Vendor_Payments!C:C,A871,Vendor_Payments!E:E)</f>
        <v>1212.2</v>
      </c>
      <c r="H871" s="3">
        <f t="shared" si="39"/>
        <v>0</v>
      </c>
      <c r="I871">
        <f t="shared" si="40"/>
        <v>16</v>
      </c>
      <c r="J871" t="str">
        <f t="shared" si="41"/>
        <v>1-30</v>
      </c>
    </row>
    <row r="872" spans="1:10" x14ac:dyDescent="0.3">
      <c r="A872" t="str">
        <f>Table3[[#This Row],[BillID]]</f>
        <v>BILL-00871</v>
      </c>
      <c r="B872" t="str">
        <f>Table3[[#This Row],[VendorID]]</f>
        <v>VEN-025</v>
      </c>
      <c r="C872" t="str">
        <f>VLOOKUP(B872,Vendors!A:B,2,FALSE)</f>
        <v>Digital Growth Consultants</v>
      </c>
      <c r="D872" s="9">
        <f>Table3[[#This Row],[BillDate]]</f>
        <v>45993</v>
      </c>
      <c r="E872" s="9">
        <f>Table3[[#This Row],[DueDate]]</f>
        <v>46023</v>
      </c>
      <c r="F872" s="3">
        <f>Table3[[#This Row],[BillAmount]]</f>
        <v>6340.49</v>
      </c>
      <c r="G872" s="3">
        <f>SUMIF(Vendor_Payments!C:C,A872,Vendor_Payments!E:E)</f>
        <v>6340.49</v>
      </c>
      <c r="H872" s="3">
        <f t="shared" si="39"/>
        <v>0</v>
      </c>
      <c r="I872">
        <f t="shared" si="40"/>
        <v>68</v>
      </c>
      <c r="J872" t="str">
        <f t="shared" si="41"/>
        <v>61-90</v>
      </c>
    </row>
    <row r="873" spans="1:10" x14ac:dyDescent="0.3">
      <c r="A873" t="str">
        <f>Table3[[#This Row],[BillID]]</f>
        <v>BILL-00872</v>
      </c>
      <c r="B873" t="str">
        <f>Table3[[#This Row],[VendorID]]</f>
        <v>VEN-011</v>
      </c>
      <c r="C873" t="str">
        <f>VLOOKUP(B873,Vendors!A:B,2,FALSE)</f>
        <v>AWS</v>
      </c>
      <c r="D873" s="9">
        <f>Table3[[#This Row],[BillDate]]</f>
        <v>46066</v>
      </c>
      <c r="E873" s="9">
        <f>Table3[[#This Row],[DueDate]]</f>
        <v>46096</v>
      </c>
      <c r="F873" s="3">
        <f>Table3[[#This Row],[BillAmount]]</f>
        <v>4764.0200000000004</v>
      </c>
      <c r="G873" s="3">
        <f>SUMIF(Vendor_Payments!C:C,A873,Vendor_Payments!E:E)</f>
        <v>4764.0200000000004</v>
      </c>
      <c r="H873" s="3">
        <f t="shared" si="39"/>
        <v>0</v>
      </c>
      <c r="I873">
        <f t="shared" si="40"/>
        <v>-5</v>
      </c>
      <c r="J873" t="str">
        <f t="shared" si="41"/>
        <v>Current</v>
      </c>
    </row>
    <row r="874" spans="1:10" x14ac:dyDescent="0.3">
      <c r="A874" t="str">
        <f>Table3[[#This Row],[BillID]]</f>
        <v>BILL-00873</v>
      </c>
      <c r="B874" t="str">
        <f>Table3[[#This Row],[VendorID]]</f>
        <v>VEN-017</v>
      </c>
      <c r="C874" t="str">
        <f>VLOOKUP(B874,Vendors!A:B,2,FALSE)</f>
        <v>PayPal</v>
      </c>
      <c r="D874" s="9">
        <f>Table3[[#This Row],[BillDate]]</f>
        <v>46045</v>
      </c>
      <c r="E874" s="9">
        <f>Table3[[#This Row],[DueDate]]</f>
        <v>46075</v>
      </c>
      <c r="F874" s="3">
        <f>Table3[[#This Row],[BillAmount]]</f>
        <v>5833.74</v>
      </c>
      <c r="G874" s="3">
        <f>SUMIF(Vendor_Payments!C:C,A874,Vendor_Payments!E:E)</f>
        <v>5833.74</v>
      </c>
      <c r="H874" s="3">
        <f t="shared" si="39"/>
        <v>0</v>
      </c>
      <c r="I874">
        <f t="shared" si="40"/>
        <v>16</v>
      </c>
      <c r="J874" t="str">
        <f t="shared" si="41"/>
        <v>1-30</v>
      </c>
    </row>
    <row r="875" spans="1:10" x14ac:dyDescent="0.3">
      <c r="A875" t="str">
        <f>Table3[[#This Row],[BillID]]</f>
        <v>BILL-00874</v>
      </c>
      <c r="B875" t="str">
        <f>Table3[[#This Row],[VendorID]]</f>
        <v>VEN-014</v>
      </c>
      <c r="C875" t="str">
        <f>VLOOKUP(B875,Vendors!A:B,2,FALSE)</f>
        <v>Figma</v>
      </c>
      <c r="D875" s="9">
        <f>Table3[[#This Row],[BillDate]]</f>
        <v>46047</v>
      </c>
      <c r="E875" s="9">
        <f>Table3[[#This Row],[DueDate]]</f>
        <v>46077</v>
      </c>
      <c r="F875" s="3">
        <f>Table3[[#This Row],[BillAmount]]</f>
        <v>6549.22</v>
      </c>
      <c r="G875" s="3">
        <f>SUMIF(Vendor_Payments!C:C,A875,Vendor_Payments!E:E)</f>
        <v>0</v>
      </c>
      <c r="H875" s="3">
        <f t="shared" si="39"/>
        <v>6549.22</v>
      </c>
      <c r="I875">
        <f t="shared" si="40"/>
        <v>14</v>
      </c>
      <c r="J875" t="str">
        <f t="shared" si="41"/>
        <v>1-30</v>
      </c>
    </row>
    <row r="876" spans="1:10" x14ac:dyDescent="0.3">
      <c r="A876" t="str">
        <f>Table3[[#This Row],[BillID]]</f>
        <v>BILL-00875</v>
      </c>
      <c r="B876" t="str">
        <f>Table3[[#This Row],[VendorID]]</f>
        <v>VEN-021</v>
      </c>
      <c r="C876" t="str">
        <f>VLOOKUP(B876,Vendors!A:B,2,FALSE)</f>
        <v>Upwork Freelancers</v>
      </c>
      <c r="D876" s="9">
        <f>Table3[[#This Row],[BillDate]]</f>
        <v>45971</v>
      </c>
      <c r="E876" s="9">
        <f>Table3[[#This Row],[DueDate]]</f>
        <v>46001</v>
      </c>
      <c r="F876" s="3">
        <f>Table3[[#This Row],[BillAmount]]</f>
        <v>815.38</v>
      </c>
      <c r="G876" s="3">
        <f>SUMIF(Vendor_Payments!C:C,A876,Vendor_Payments!E:E)</f>
        <v>815.38</v>
      </c>
      <c r="H876" s="3">
        <f t="shared" si="39"/>
        <v>0</v>
      </c>
      <c r="I876">
        <f t="shared" si="40"/>
        <v>90</v>
      </c>
      <c r="J876" t="str">
        <f t="shared" si="41"/>
        <v>61-90</v>
      </c>
    </row>
    <row r="877" spans="1:10" x14ac:dyDescent="0.3">
      <c r="A877" t="str">
        <f>Table3[[#This Row],[BillID]]</f>
        <v>BILL-00876</v>
      </c>
      <c r="B877" t="str">
        <f>Table3[[#This Row],[VendorID]]</f>
        <v>VEN-022</v>
      </c>
      <c r="C877" t="str">
        <f>VLOOKUP(B877,Vendors!A:B,2,FALSE)</f>
        <v>Toptal Talent</v>
      </c>
      <c r="D877" s="9">
        <f>Table3[[#This Row],[BillDate]]</f>
        <v>45962</v>
      </c>
      <c r="E877" s="9">
        <f>Table3[[#This Row],[DueDate]]</f>
        <v>45992</v>
      </c>
      <c r="F877" s="3">
        <f>Table3[[#This Row],[BillAmount]]</f>
        <v>1193.98</v>
      </c>
      <c r="G877" s="3">
        <f>SUMIF(Vendor_Payments!C:C,A877,Vendor_Payments!E:E)</f>
        <v>0</v>
      </c>
      <c r="H877" s="3">
        <f t="shared" si="39"/>
        <v>1193.98</v>
      </c>
      <c r="I877">
        <f t="shared" si="40"/>
        <v>99</v>
      </c>
      <c r="J877" t="str">
        <f t="shared" si="41"/>
        <v>90+</v>
      </c>
    </row>
    <row r="878" spans="1:10" x14ac:dyDescent="0.3">
      <c r="A878" t="str">
        <f>Table3[[#This Row],[BillID]]</f>
        <v>BILL-00877</v>
      </c>
      <c r="B878" t="str">
        <f>Table3[[#This Row],[VendorID]]</f>
        <v>VEN-019</v>
      </c>
      <c r="C878" t="str">
        <f>VLOOKUP(B878,Vendors!A:B,2,FALSE)</f>
        <v>Notion</v>
      </c>
      <c r="D878" s="9">
        <f>Table3[[#This Row],[BillDate]]</f>
        <v>46020</v>
      </c>
      <c r="E878" s="9">
        <f>Table3[[#This Row],[DueDate]]</f>
        <v>46050</v>
      </c>
      <c r="F878" s="3">
        <f>Table3[[#This Row],[BillAmount]]</f>
        <v>6537.23</v>
      </c>
      <c r="G878" s="3">
        <f>SUMIF(Vendor_Payments!C:C,A878,Vendor_Payments!E:E)</f>
        <v>6537.23</v>
      </c>
      <c r="H878" s="3">
        <f t="shared" si="39"/>
        <v>0</v>
      </c>
      <c r="I878">
        <f t="shared" si="40"/>
        <v>41</v>
      </c>
      <c r="J878" t="str">
        <f t="shared" si="41"/>
        <v>31-60</v>
      </c>
    </row>
    <row r="879" spans="1:10" x14ac:dyDescent="0.3">
      <c r="A879" t="str">
        <f>Table3[[#This Row],[BillID]]</f>
        <v>BILL-00878</v>
      </c>
      <c r="B879" t="str">
        <f>Table3[[#This Row],[VendorID]]</f>
        <v>VEN-031</v>
      </c>
      <c r="C879" t="str">
        <f>VLOOKUP(B879,Vendors!A:B,2,FALSE)</f>
        <v>DataInsight Analytics</v>
      </c>
      <c r="D879" s="9">
        <f>Table3[[#This Row],[BillDate]]</f>
        <v>46004</v>
      </c>
      <c r="E879" s="9">
        <f>Table3[[#This Row],[DueDate]]</f>
        <v>46034</v>
      </c>
      <c r="F879" s="3">
        <f>Table3[[#This Row],[BillAmount]]</f>
        <v>1672.23</v>
      </c>
      <c r="G879" s="3">
        <f>SUMIF(Vendor_Payments!C:C,A879,Vendor_Payments!E:E)</f>
        <v>1672.23</v>
      </c>
      <c r="H879" s="3">
        <f t="shared" si="39"/>
        <v>0</v>
      </c>
      <c r="I879">
        <f t="shared" si="40"/>
        <v>57</v>
      </c>
      <c r="J879" t="str">
        <f t="shared" si="41"/>
        <v>31-60</v>
      </c>
    </row>
    <row r="880" spans="1:10" x14ac:dyDescent="0.3">
      <c r="A880" t="str">
        <f>Table3[[#This Row],[BillID]]</f>
        <v>BILL-00879</v>
      </c>
      <c r="B880" t="str">
        <f>Table3[[#This Row],[VendorID]]</f>
        <v>VEN-037</v>
      </c>
      <c r="C880" t="str">
        <f>VLOOKUP(B880,Vendors!A:B,2,FALSE)</f>
        <v>CreativeSpark Studio</v>
      </c>
      <c r="D880" s="9">
        <f>Table3[[#This Row],[BillDate]]</f>
        <v>46074</v>
      </c>
      <c r="E880" s="9">
        <f>Table3[[#This Row],[DueDate]]</f>
        <v>46104</v>
      </c>
      <c r="F880" s="3">
        <f>Table3[[#This Row],[BillAmount]]</f>
        <v>804.92</v>
      </c>
      <c r="G880" s="3">
        <f>SUMIF(Vendor_Payments!C:C,A880,Vendor_Payments!E:E)</f>
        <v>804.92</v>
      </c>
      <c r="H880" s="3">
        <f t="shared" si="39"/>
        <v>0</v>
      </c>
      <c r="I880">
        <f t="shared" si="40"/>
        <v>-13</v>
      </c>
      <c r="J880" t="str">
        <f t="shared" si="41"/>
        <v>Current</v>
      </c>
    </row>
    <row r="881" spans="1:10" x14ac:dyDescent="0.3">
      <c r="A881" t="str">
        <f>Table3[[#This Row],[BillID]]</f>
        <v>BILL-00880</v>
      </c>
      <c r="B881" t="str">
        <f>Table3[[#This Row],[VendorID]]</f>
        <v>VEN-005</v>
      </c>
      <c r="C881" t="str">
        <f>VLOOKUP(B881,Vendors!A:B,2,FALSE)</f>
        <v>HubSpot</v>
      </c>
      <c r="D881" s="9">
        <f>Table3[[#This Row],[BillDate]]</f>
        <v>45967</v>
      </c>
      <c r="E881" s="9">
        <f>Table3[[#This Row],[DueDate]]</f>
        <v>45997</v>
      </c>
      <c r="F881" s="3">
        <f>Table3[[#This Row],[BillAmount]]</f>
        <v>2366.6799999999998</v>
      </c>
      <c r="G881" s="3">
        <f>SUMIF(Vendor_Payments!C:C,A881,Vendor_Payments!E:E)</f>
        <v>2366.6799999999998</v>
      </c>
      <c r="H881" s="3">
        <f t="shared" si="39"/>
        <v>0</v>
      </c>
      <c r="I881">
        <f t="shared" si="40"/>
        <v>94</v>
      </c>
      <c r="J881" t="str">
        <f t="shared" si="41"/>
        <v>90+</v>
      </c>
    </row>
    <row r="882" spans="1:10" x14ac:dyDescent="0.3">
      <c r="A882" t="str">
        <f>Table3[[#This Row],[BillID]]</f>
        <v>BILL-00881</v>
      </c>
      <c r="B882" t="str">
        <f>Table3[[#This Row],[VendorID]]</f>
        <v>VEN-006</v>
      </c>
      <c r="C882" t="str">
        <f>VLOOKUP(B882,Vendors!A:B,2,FALSE)</f>
        <v>Salesforce</v>
      </c>
      <c r="D882" s="9">
        <f>Table3[[#This Row],[BillDate]]</f>
        <v>46046</v>
      </c>
      <c r="E882" s="9">
        <f>Table3[[#This Row],[DueDate]]</f>
        <v>46076</v>
      </c>
      <c r="F882" s="3">
        <f>Table3[[#This Row],[BillAmount]]</f>
        <v>3117.51</v>
      </c>
      <c r="G882" s="3">
        <f>SUMIF(Vendor_Payments!C:C,A882,Vendor_Payments!E:E)</f>
        <v>3117.51</v>
      </c>
      <c r="H882" s="3">
        <f t="shared" si="39"/>
        <v>0</v>
      </c>
      <c r="I882">
        <f t="shared" si="40"/>
        <v>15</v>
      </c>
      <c r="J882" t="str">
        <f t="shared" si="41"/>
        <v>1-30</v>
      </c>
    </row>
    <row r="883" spans="1:10" x14ac:dyDescent="0.3">
      <c r="A883" t="str">
        <f>Table3[[#This Row],[BillID]]</f>
        <v>BILL-00882</v>
      </c>
      <c r="B883" t="str">
        <f>Table3[[#This Row],[VendorID]]</f>
        <v>VEN-010</v>
      </c>
      <c r="C883" t="str">
        <f>VLOOKUP(B883,Vendors!A:B,2,FALSE)</f>
        <v>Adobe Creative Cloud</v>
      </c>
      <c r="D883" s="9">
        <f>Table3[[#This Row],[BillDate]]</f>
        <v>46085</v>
      </c>
      <c r="E883" s="9">
        <f>Table3[[#This Row],[DueDate]]</f>
        <v>46115</v>
      </c>
      <c r="F883" s="3">
        <f>Table3[[#This Row],[BillAmount]]</f>
        <v>3017.11</v>
      </c>
      <c r="G883" s="3">
        <f>SUMIF(Vendor_Payments!C:C,A883,Vendor_Payments!E:E)</f>
        <v>3017.11</v>
      </c>
      <c r="H883" s="3">
        <f t="shared" si="39"/>
        <v>0</v>
      </c>
      <c r="I883">
        <f t="shared" si="40"/>
        <v>-24</v>
      </c>
      <c r="J883" t="str">
        <f t="shared" si="41"/>
        <v>Current</v>
      </c>
    </row>
    <row r="884" spans="1:10" x14ac:dyDescent="0.3">
      <c r="A884" t="str">
        <f>Table3[[#This Row],[BillID]]</f>
        <v>BILL-00883</v>
      </c>
      <c r="B884" t="str">
        <f>Table3[[#This Row],[VendorID]]</f>
        <v>VEN-030</v>
      </c>
      <c r="C884" t="str">
        <f>VLOOKUP(B884,Vendors!A:B,2,FALSE)</f>
        <v>ContentCraft Studio</v>
      </c>
      <c r="D884" s="9">
        <f>Table3[[#This Row],[BillDate]]</f>
        <v>46019</v>
      </c>
      <c r="E884" s="9">
        <f>Table3[[#This Row],[DueDate]]</f>
        <v>46049</v>
      </c>
      <c r="F884" s="3">
        <f>Table3[[#This Row],[BillAmount]]</f>
        <v>4061.1</v>
      </c>
      <c r="G884" s="3">
        <f>SUMIF(Vendor_Payments!C:C,A884,Vendor_Payments!E:E)</f>
        <v>4061.1</v>
      </c>
      <c r="H884" s="3">
        <f t="shared" si="39"/>
        <v>0</v>
      </c>
      <c r="I884">
        <f t="shared" si="40"/>
        <v>42</v>
      </c>
      <c r="J884" t="str">
        <f t="shared" si="41"/>
        <v>31-60</v>
      </c>
    </row>
    <row r="885" spans="1:10" x14ac:dyDescent="0.3">
      <c r="A885" t="str">
        <f>Table3[[#This Row],[BillID]]</f>
        <v>BILL-00884</v>
      </c>
      <c r="B885" t="str">
        <f>Table3[[#This Row],[VendorID]]</f>
        <v>VEN-014</v>
      </c>
      <c r="C885" t="str">
        <f>VLOOKUP(B885,Vendors!A:B,2,FALSE)</f>
        <v>Figma</v>
      </c>
      <c r="D885" s="9">
        <f>Table3[[#This Row],[BillDate]]</f>
        <v>46075</v>
      </c>
      <c r="E885" s="9">
        <f>Table3[[#This Row],[DueDate]]</f>
        <v>46105</v>
      </c>
      <c r="F885" s="3">
        <f>Table3[[#This Row],[BillAmount]]</f>
        <v>1193.8699999999999</v>
      </c>
      <c r="G885" s="3">
        <f>SUMIF(Vendor_Payments!C:C,A885,Vendor_Payments!E:E)</f>
        <v>0</v>
      </c>
      <c r="H885" s="3">
        <f t="shared" si="39"/>
        <v>1193.8699999999999</v>
      </c>
      <c r="I885">
        <f t="shared" si="40"/>
        <v>-14</v>
      </c>
      <c r="J885" t="str">
        <f t="shared" si="41"/>
        <v>Current</v>
      </c>
    </row>
    <row r="886" spans="1:10" x14ac:dyDescent="0.3">
      <c r="A886" t="str">
        <f>Table3[[#This Row],[BillID]]</f>
        <v>BILL-00885</v>
      </c>
      <c r="B886" t="str">
        <f>Table3[[#This Row],[VendorID]]</f>
        <v>VEN-001</v>
      </c>
      <c r="C886" t="str">
        <f>VLOOKUP(B886,Vendors!A:B,2,FALSE)</f>
        <v>Google Ads</v>
      </c>
      <c r="D886" s="9">
        <f>Table3[[#This Row],[BillDate]]</f>
        <v>46011</v>
      </c>
      <c r="E886" s="9">
        <f>Table3[[#This Row],[DueDate]]</f>
        <v>46041</v>
      </c>
      <c r="F886" s="3">
        <f>Table3[[#This Row],[BillAmount]]</f>
        <v>4415.6099999999997</v>
      </c>
      <c r="G886" s="3">
        <f>SUMIF(Vendor_Payments!C:C,A886,Vendor_Payments!E:E)</f>
        <v>4415.6099999999997</v>
      </c>
      <c r="H886" s="3">
        <f t="shared" si="39"/>
        <v>0</v>
      </c>
      <c r="I886">
        <f t="shared" si="40"/>
        <v>50</v>
      </c>
      <c r="J886" t="str">
        <f t="shared" si="41"/>
        <v>31-60</v>
      </c>
    </row>
    <row r="887" spans="1:10" x14ac:dyDescent="0.3">
      <c r="A887" t="str">
        <f>Table3[[#This Row],[BillID]]</f>
        <v>BILL-00886</v>
      </c>
      <c r="B887" t="str">
        <f>Table3[[#This Row],[VendorID]]</f>
        <v>VEN-028</v>
      </c>
      <c r="C887" t="str">
        <f>VLOOKUP(B887,Vendors!A:B,2,FALSE)</f>
        <v>MarketEdge Consulting</v>
      </c>
      <c r="D887" s="9">
        <f>Table3[[#This Row],[BillDate]]</f>
        <v>45987</v>
      </c>
      <c r="E887" s="9">
        <f>Table3[[#This Row],[DueDate]]</f>
        <v>46017</v>
      </c>
      <c r="F887" s="3">
        <f>Table3[[#This Row],[BillAmount]]</f>
        <v>3434.54</v>
      </c>
      <c r="G887" s="3">
        <f>SUMIF(Vendor_Payments!C:C,A887,Vendor_Payments!E:E)</f>
        <v>3434.54</v>
      </c>
      <c r="H887" s="3">
        <f t="shared" si="39"/>
        <v>0</v>
      </c>
      <c r="I887">
        <f t="shared" si="40"/>
        <v>74</v>
      </c>
      <c r="J887" t="str">
        <f t="shared" si="41"/>
        <v>61-90</v>
      </c>
    </row>
    <row r="888" spans="1:10" x14ac:dyDescent="0.3">
      <c r="A888" t="str">
        <f>Table3[[#This Row],[BillID]]</f>
        <v>BILL-00887</v>
      </c>
      <c r="B888" t="str">
        <f>Table3[[#This Row],[VendorID]]</f>
        <v>VEN-034</v>
      </c>
      <c r="C888" t="str">
        <f>VLOOKUP(B888,Vendors!A:B,2,FALSE)</f>
        <v>SocialBoost Agency</v>
      </c>
      <c r="D888" s="9">
        <f>Table3[[#This Row],[BillDate]]</f>
        <v>46073</v>
      </c>
      <c r="E888" s="9">
        <f>Table3[[#This Row],[DueDate]]</f>
        <v>46103</v>
      </c>
      <c r="F888" s="3">
        <f>Table3[[#This Row],[BillAmount]]</f>
        <v>5787.23</v>
      </c>
      <c r="G888" s="3">
        <f>SUMIF(Vendor_Payments!C:C,A888,Vendor_Payments!E:E)</f>
        <v>5787.23</v>
      </c>
      <c r="H888" s="3">
        <f t="shared" si="39"/>
        <v>0</v>
      </c>
      <c r="I888">
        <f t="shared" si="40"/>
        <v>-12</v>
      </c>
      <c r="J888" t="str">
        <f t="shared" si="41"/>
        <v>Current</v>
      </c>
    </row>
    <row r="889" spans="1:10" x14ac:dyDescent="0.3">
      <c r="A889" t="str">
        <f>Table3[[#This Row],[BillID]]</f>
        <v>BILL-00888</v>
      </c>
      <c r="B889" t="str">
        <f>Table3[[#This Row],[VendorID]]</f>
        <v>VEN-035</v>
      </c>
      <c r="C889" t="str">
        <f>VLOOKUP(B889,Vendors!A:B,2,FALSE)</f>
        <v>ClickFlow Marketing</v>
      </c>
      <c r="D889" s="9">
        <f>Table3[[#This Row],[BillDate]]</f>
        <v>45966</v>
      </c>
      <c r="E889" s="9">
        <f>Table3[[#This Row],[DueDate]]</f>
        <v>45996</v>
      </c>
      <c r="F889" s="3">
        <f>Table3[[#This Row],[BillAmount]]</f>
        <v>3778.62</v>
      </c>
      <c r="G889" s="3">
        <f>SUMIF(Vendor_Payments!C:C,A889,Vendor_Payments!E:E)</f>
        <v>3778.62</v>
      </c>
      <c r="H889" s="3">
        <f t="shared" si="39"/>
        <v>0</v>
      </c>
      <c r="I889">
        <f t="shared" si="40"/>
        <v>95</v>
      </c>
      <c r="J889" t="str">
        <f t="shared" si="41"/>
        <v>90+</v>
      </c>
    </row>
    <row r="890" spans="1:10" x14ac:dyDescent="0.3">
      <c r="A890" t="str">
        <f>Table3[[#This Row],[BillID]]</f>
        <v>BILL-00889</v>
      </c>
      <c r="B890" t="str">
        <f>Table3[[#This Row],[VendorID]]</f>
        <v>VEN-038</v>
      </c>
      <c r="C890" t="str">
        <f>VLOOKUP(B890,Vendors!A:B,2,FALSE)</f>
        <v>Insight Marketing Partners</v>
      </c>
      <c r="D890" s="9">
        <f>Table3[[#This Row],[BillDate]]</f>
        <v>46039</v>
      </c>
      <c r="E890" s="9">
        <f>Table3[[#This Row],[DueDate]]</f>
        <v>46069</v>
      </c>
      <c r="F890" s="3">
        <f>Table3[[#This Row],[BillAmount]]</f>
        <v>1322.71</v>
      </c>
      <c r="G890" s="3">
        <f>SUMIF(Vendor_Payments!C:C,A890,Vendor_Payments!E:E)</f>
        <v>1322.71</v>
      </c>
      <c r="H890" s="3">
        <f t="shared" si="39"/>
        <v>0</v>
      </c>
      <c r="I890">
        <f t="shared" si="40"/>
        <v>22</v>
      </c>
      <c r="J890" t="str">
        <f t="shared" si="41"/>
        <v>1-30</v>
      </c>
    </row>
    <row r="891" spans="1:10" x14ac:dyDescent="0.3">
      <c r="A891" t="str">
        <f>Table3[[#This Row],[BillID]]</f>
        <v>BILL-00890</v>
      </c>
      <c r="B891" t="str">
        <f>Table3[[#This Row],[VendorID]]</f>
        <v>VEN-015</v>
      </c>
      <c r="C891" t="str">
        <f>VLOOKUP(B891,Vendors!A:B,2,FALSE)</f>
        <v>Zapier</v>
      </c>
      <c r="D891" s="9">
        <f>Table3[[#This Row],[BillDate]]</f>
        <v>46065</v>
      </c>
      <c r="E891" s="9">
        <f>Table3[[#This Row],[DueDate]]</f>
        <v>46095</v>
      </c>
      <c r="F891" s="3">
        <f>Table3[[#This Row],[BillAmount]]</f>
        <v>3485.43</v>
      </c>
      <c r="G891" s="3">
        <f>SUMIF(Vendor_Payments!C:C,A891,Vendor_Payments!E:E)</f>
        <v>3485.43</v>
      </c>
      <c r="H891" s="3">
        <f t="shared" si="39"/>
        <v>0</v>
      </c>
      <c r="I891">
        <f t="shared" si="40"/>
        <v>-4</v>
      </c>
      <c r="J891" t="str">
        <f t="shared" si="41"/>
        <v>Current</v>
      </c>
    </row>
    <row r="892" spans="1:10" x14ac:dyDescent="0.3">
      <c r="A892" t="str">
        <f>Table3[[#This Row],[BillID]]</f>
        <v>BILL-00891</v>
      </c>
      <c r="B892" t="str">
        <f>Table3[[#This Row],[VendorID]]</f>
        <v>VEN-007</v>
      </c>
      <c r="C892" t="str">
        <f>VLOOKUP(B892,Vendors!A:B,2,FALSE)</f>
        <v>Mailchimp</v>
      </c>
      <c r="D892" s="9">
        <f>Table3[[#This Row],[BillDate]]</f>
        <v>46052</v>
      </c>
      <c r="E892" s="9">
        <f>Table3[[#This Row],[DueDate]]</f>
        <v>46082</v>
      </c>
      <c r="F892" s="3">
        <f>Table3[[#This Row],[BillAmount]]</f>
        <v>6660.79</v>
      </c>
      <c r="G892" s="3">
        <f>SUMIF(Vendor_Payments!C:C,A892,Vendor_Payments!E:E)</f>
        <v>6660.79</v>
      </c>
      <c r="H892" s="3">
        <f t="shared" si="39"/>
        <v>0</v>
      </c>
      <c r="I892">
        <f t="shared" si="40"/>
        <v>9</v>
      </c>
      <c r="J892" t="str">
        <f t="shared" si="41"/>
        <v>1-30</v>
      </c>
    </row>
    <row r="893" spans="1:10" x14ac:dyDescent="0.3">
      <c r="A893" t="str">
        <f>Table3[[#This Row],[BillID]]</f>
        <v>BILL-00892</v>
      </c>
      <c r="B893" t="str">
        <f>Table3[[#This Row],[VendorID]]</f>
        <v>VEN-005</v>
      </c>
      <c r="C893" t="str">
        <f>VLOOKUP(B893,Vendors!A:B,2,FALSE)</f>
        <v>HubSpot</v>
      </c>
      <c r="D893" s="9">
        <f>Table3[[#This Row],[BillDate]]</f>
        <v>46038</v>
      </c>
      <c r="E893" s="9">
        <f>Table3[[#This Row],[DueDate]]</f>
        <v>46068</v>
      </c>
      <c r="F893" s="3">
        <f>Table3[[#This Row],[BillAmount]]</f>
        <v>4202.51</v>
      </c>
      <c r="G893" s="3">
        <f>SUMIF(Vendor_Payments!C:C,A893,Vendor_Payments!E:E)</f>
        <v>4202.51</v>
      </c>
      <c r="H893" s="3">
        <f t="shared" si="39"/>
        <v>0</v>
      </c>
      <c r="I893">
        <f t="shared" si="40"/>
        <v>23</v>
      </c>
      <c r="J893" t="str">
        <f t="shared" si="41"/>
        <v>1-30</v>
      </c>
    </row>
    <row r="894" spans="1:10" x14ac:dyDescent="0.3">
      <c r="A894" t="str">
        <f>Table3[[#This Row],[BillID]]</f>
        <v>BILL-00893</v>
      </c>
      <c r="B894" t="str">
        <f>Table3[[#This Row],[VendorID]]</f>
        <v>VEN-026</v>
      </c>
      <c r="C894" t="str">
        <f>VLOOKUP(B894,Vendors!A:B,2,FALSE)</f>
        <v>PixelForge Studio</v>
      </c>
      <c r="D894" s="9">
        <f>Table3[[#This Row],[BillDate]]</f>
        <v>45969</v>
      </c>
      <c r="E894" s="9">
        <f>Table3[[#This Row],[DueDate]]</f>
        <v>45999</v>
      </c>
      <c r="F894" s="3">
        <f>Table3[[#This Row],[BillAmount]]</f>
        <v>4711.34</v>
      </c>
      <c r="G894" s="3">
        <f>SUMIF(Vendor_Payments!C:C,A894,Vendor_Payments!E:E)</f>
        <v>4711.34</v>
      </c>
      <c r="H894" s="3">
        <f t="shared" si="39"/>
        <v>0</v>
      </c>
      <c r="I894">
        <f t="shared" si="40"/>
        <v>92</v>
      </c>
      <c r="J894" t="str">
        <f t="shared" si="41"/>
        <v>90+</v>
      </c>
    </row>
    <row r="895" spans="1:10" x14ac:dyDescent="0.3">
      <c r="A895" t="str">
        <f>Table3[[#This Row],[BillID]]</f>
        <v>BILL-00894</v>
      </c>
      <c r="B895" t="str">
        <f>Table3[[#This Row],[VendorID]]</f>
        <v>VEN-022</v>
      </c>
      <c r="C895" t="str">
        <f>VLOOKUP(B895,Vendors!A:B,2,FALSE)</f>
        <v>Toptal Talent</v>
      </c>
      <c r="D895" s="9">
        <f>Table3[[#This Row],[BillDate]]</f>
        <v>46024</v>
      </c>
      <c r="E895" s="9">
        <f>Table3[[#This Row],[DueDate]]</f>
        <v>46054</v>
      </c>
      <c r="F895" s="3">
        <f>Table3[[#This Row],[BillAmount]]</f>
        <v>5518.11</v>
      </c>
      <c r="G895" s="3">
        <f>SUMIF(Vendor_Payments!C:C,A895,Vendor_Payments!E:E)</f>
        <v>0</v>
      </c>
      <c r="H895" s="3">
        <f t="shared" si="39"/>
        <v>5518.11</v>
      </c>
      <c r="I895">
        <f t="shared" si="40"/>
        <v>37</v>
      </c>
      <c r="J895" t="str">
        <f t="shared" si="41"/>
        <v>31-60</v>
      </c>
    </row>
    <row r="896" spans="1:10" x14ac:dyDescent="0.3">
      <c r="A896" t="str">
        <f>Table3[[#This Row],[BillID]]</f>
        <v>BILL-00895</v>
      </c>
      <c r="B896" t="str">
        <f>Table3[[#This Row],[VendorID]]</f>
        <v>VEN-036</v>
      </c>
      <c r="C896" t="str">
        <f>VLOOKUP(B896,Vendors!A:B,2,FALSE)</f>
        <v>WebDev Masters</v>
      </c>
      <c r="D896" s="9">
        <f>Table3[[#This Row],[BillDate]]</f>
        <v>45988</v>
      </c>
      <c r="E896" s="9">
        <f>Table3[[#This Row],[DueDate]]</f>
        <v>46018</v>
      </c>
      <c r="F896" s="3">
        <f>Table3[[#This Row],[BillAmount]]</f>
        <v>4840.53</v>
      </c>
      <c r="G896" s="3">
        <f>SUMIF(Vendor_Payments!C:C,A896,Vendor_Payments!E:E)</f>
        <v>4840.53</v>
      </c>
      <c r="H896" s="3">
        <f t="shared" si="39"/>
        <v>0</v>
      </c>
      <c r="I896">
        <f t="shared" si="40"/>
        <v>73</v>
      </c>
      <c r="J896" t="str">
        <f t="shared" si="41"/>
        <v>61-90</v>
      </c>
    </row>
    <row r="897" spans="1:10" x14ac:dyDescent="0.3">
      <c r="A897" t="str">
        <f>Table3[[#This Row],[BillID]]</f>
        <v>BILL-00896</v>
      </c>
      <c r="B897" t="str">
        <f>Table3[[#This Row],[VendorID]]</f>
        <v>VEN-038</v>
      </c>
      <c r="C897" t="str">
        <f>VLOOKUP(B897,Vendors!A:B,2,FALSE)</f>
        <v>Insight Marketing Partners</v>
      </c>
      <c r="D897" s="9">
        <f>Table3[[#This Row],[BillDate]]</f>
        <v>46086</v>
      </c>
      <c r="E897" s="9">
        <f>Table3[[#This Row],[DueDate]]</f>
        <v>46116</v>
      </c>
      <c r="F897" s="3">
        <f>Table3[[#This Row],[BillAmount]]</f>
        <v>4870.58</v>
      </c>
      <c r="G897" s="3">
        <f>SUMIF(Vendor_Payments!C:C,A897,Vendor_Payments!E:E)</f>
        <v>4870.58</v>
      </c>
      <c r="H897" s="3">
        <f t="shared" si="39"/>
        <v>0</v>
      </c>
      <c r="I897">
        <f t="shared" si="40"/>
        <v>-25</v>
      </c>
      <c r="J897" t="str">
        <f t="shared" si="41"/>
        <v>Current</v>
      </c>
    </row>
    <row r="898" spans="1:10" x14ac:dyDescent="0.3">
      <c r="A898" t="str">
        <f>Table3[[#This Row],[BillID]]</f>
        <v>BILL-00897</v>
      </c>
      <c r="B898" t="str">
        <f>Table3[[#This Row],[VendorID]]</f>
        <v>VEN-005</v>
      </c>
      <c r="C898" t="str">
        <f>VLOOKUP(B898,Vendors!A:B,2,FALSE)</f>
        <v>HubSpot</v>
      </c>
      <c r="D898" s="9">
        <f>Table3[[#This Row],[BillDate]]</f>
        <v>46071</v>
      </c>
      <c r="E898" s="9">
        <f>Table3[[#This Row],[DueDate]]</f>
        <v>46101</v>
      </c>
      <c r="F898" s="3">
        <f>Table3[[#This Row],[BillAmount]]</f>
        <v>3108.18</v>
      </c>
      <c r="G898" s="3">
        <f>SUMIF(Vendor_Payments!C:C,A898,Vendor_Payments!E:E)</f>
        <v>3108.18</v>
      </c>
      <c r="H898" s="3">
        <f t="shared" si="39"/>
        <v>0</v>
      </c>
      <c r="I898">
        <f t="shared" si="40"/>
        <v>-10</v>
      </c>
      <c r="J898" t="str">
        <f t="shared" si="41"/>
        <v>Current</v>
      </c>
    </row>
    <row r="899" spans="1:10" x14ac:dyDescent="0.3">
      <c r="A899" t="str">
        <f>Table3[[#This Row],[BillID]]</f>
        <v>BILL-00898</v>
      </c>
      <c r="B899" t="str">
        <f>Table3[[#This Row],[VendorID]]</f>
        <v>VEN-013</v>
      </c>
      <c r="C899" t="str">
        <f>VLOOKUP(B899,Vendors!A:B,2,FALSE)</f>
        <v>Canva Pro</v>
      </c>
      <c r="D899" s="9">
        <f>Table3[[#This Row],[BillDate]]</f>
        <v>46023</v>
      </c>
      <c r="E899" s="9">
        <f>Table3[[#This Row],[DueDate]]</f>
        <v>46053</v>
      </c>
      <c r="F899" s="3">
        <f>Table3[[#This Row],[BillAmount]]</f>
        <v>875.87</v>
      </c>
      <c r="G899" s="3">
        <f>SUMIF(Vendor_Payments!C:C,A899,Vendor_Payments!E:E)</f>
        <v>875.87</v>
      </c>
      <c r="H899" s="3">
        <f t="shared" ref="H899:H962" si="42">F899-G899</f>
        <v>0</v>
      </c>
      <c r="I899">
        <f t="shared" ref="I899:I962" si="43">$L$1-E899</f>
        <v>38</v>
      </c>
      <c r="J899" t="str">
        <f t="shared" ref="J899:J962" si="44">IF(I899&lt;=0,"Current",IF(I899&lt;=30,"1-30",IF(I899&lt;=60,"31-60",IF(I899&lt;=90,"61-90","90+"))))</f>
        <v>31-60</v>
      </c>
    </row>
    <row r="900" spans="1:10" x14ac:dyDescent="0.3">
      <c r="A900" t="str">
        <f>Table3[[#This Row],[BillID]]</f>
        <v>BILL-00899</v>
      </c>
      <c r="B900" t="str">
        <f>Table3[[#This Row],[VendorID]]</f>
        <v>VEN-004</v>
      </c>
      <c r="C900" t="str">
        <f>VLOOKUP(B900,Vendors!A:B,2,FALSE)</f>
        <v>LinkedIn Ads</v>
      </c>
      <c r="D900" s="9">
        <f>Table3[[#This Row],[BillDate]]</f>
        <v>46089</v>
      </c>
      <c r="E900" s="9">
        <f>Table3[[#This Row],[DueDate]]</f>
        <v>46119</v>
      </c>
      <c r="F900" s="3">
        <f>Table3[[#This Row],[BillAmount]]</f>
        <v>1947.12</v>
      </c>
      <c r="G900" s="3">
        <f>SUMIF(Vendor_Payments!C:C,A900,Vendor_Payments!E:E)</f>
        <v>1947.12</v>
      </c>
      <c r="H900" s="3">
        <f t="shared" si="42"/>
        <v>0</v>
      </c>
      <c r="I900">
        <f t="shared" si="43"/>
        <v>-28</v>
      </c>
      <c r="J900" t="str">
        <f t="shared" si="44"/>
        <v>Current</v>
      </c>
    </row>
    <row r="901" spans="1:10" x14ac:dyDescent="0.3">
      <c r="A901" t="str">
        <f>Table3[[#This Row],[BillID]]</f>
        <v>BILL-00900</v>
      </c>
      <c r="B901" t="str">
        <f>Table3[[#This Row],[VendorID]]</f>
        <v>VEN-022</v>
      </c>
      <c r="C901" t="str">
        <f>VLOOKUP(B901,Vendors!A:B,2,FALSE)</f>
        <v>Toptal Talent</v>
      </c>
      <c r="D901" s="9">
        <f>Table3[[#This Row],[BillDate]]</f>
        <v>45984</v>
      </c>
      <c r="E901" s="9">
        <f>Table3[[#This Row],[DueDate]]</f>
        <v>46014</v>
      </c>
      <c r="F901" s="3">
        <f>Table3[[#This Row],[BillAmount]]</f>
        <v>6441.71</v>
      </c>
      <c r="G901" s="3">
        <f>SUMIF(Vendor_Payments!C:C,A901,Vendor_Payments!E:E)</f>
        <v>6441.71</v>
      </c>
      <c r="H901" s="3">
        <f t="shared" si="42"/>
        <v>0</v>
      </c>
      <c r="I901">
        <f t="shared" si="43"/>
        <v>77</v>
      </c>
      <c r="J901" t="str">
        <f t="shared" si="44"/>
        <v>61-90</v>
      </c>
    </row>
    <row r="902" spans="1:10" x14ac:dyDescent="0.3">
      <c r="A902" t="str">
        <f>Table3[[#This Row],[BillID]]</f>
        <v>BILL-00901</v>
      </c>
      <c r="B902" t="str">
        <f>Table3[[#This Row],[VendorID]]</f>
        <v>VEN-011</v>
      </c>
      <c r="C902" t="str">
        <f>VLOOKUP(B902,Vendors!A:B,2,FALSE)</f>
        <v>AWS</v>
      </c>
      <c r="D902" s="9">
        <f>Table3[[#This Row],[BillDate]]</f>
        <v>46085</v>
      </c>
      <c r="E902" s="9">
        <f>Table3[[#This Row],[DueDate]]</f>
        <v>46115</v>
      </c>
      <c r="F902" s="3">
        <f>Table3[[#This Row],[BillAmount]]</f>
        <v>2587.5</v>
      </c>
      <c r="G902" s="3">
        <f>SUMIF(Vendor_Payments!C:C,A902,Vendor_Payments!E:E)</f>
        <v>2587.5</v>
      </c>
      <c r="H902" s="3">
        <f t="shared" si="42"/>
        <v>0</v>
      </c>
      <c r="I902">
        <f t="shared" si="43"/>
        <v>-24</v>
      </c>
      <c r="J902" t="str">
        <f t="shared" si="44"/>
        <v>Current</v>
      </c>
    </row>
    <row r="903" spans="1:10" x14ac:dyDescent="0.3">
      <c r="A903" t="str">
        <f>Table3[[#This Row],[BillID]]</f>
        <v>BILL-00902</v>
      </c>
      <c r="B903" t="str">
        <f>Table3[[#This Row],[VendorID]]</f>
        <v>VEN-002</v>
      </c>
      <c r="C903" t="str">
        <f>VLOOKUP(B903,Vendors!A:B,2,FALSE)</f>
        <v>Meta Ads</v>
      </c>
      <c r="D903" s="9">
        <f>Table3[[#This Row],[BillDate]]</f>
        <v>46052</v>
      </c>
      <c r="E903" s="9">
        <f>Table3[[#This Row],[DueDate]]</f>
        <v>46082</v>
      </c>
      <c r="F903" s="3">
        <f>Table3[[#This Row],[BillAmount]]</f>
        <v>3303.04</v>
      </c>
      <c r="G903" s="3">
        <f>SUMIF(Vendor_Payments!C:C,A903,Vendor_Payments!E:E)</f>
        <v>3303.04</v>
      </c>
      <c r="H903" s="3">
        <f t="shared" si="42"/>
        <v>0</v>
      </c>
      <c r="I903">
        <f t="shared" si="43"/>
        <v>9</v>
      </c>
      <c r="J903" t="str">
        <f t="shared" si="44"/>
        <v>1-30</v>
      </c>
    </row>
    <row r="904" spans="1:10" x14ac:dyDescent="0.3">
      <c r="A904" t="str">
        <f>Table3[[#This Row],[BillID]]</f>
        <v>BILL-00903</v>
      </c>
      <c r="B904" t="str">
        <f>Table3[[#This Row],[VendorID]]</f>
        <v>VEN-005</v>
      </c>
      <c r="C904" t="str">
        <f>VLOOKUP(B904,Vendors!A:B,2,FALSE)</f>
        <v>HubSpot</v>
      </c>
      <c r="D904" s="9">
        <f>Table3[[#This Row],[BillDate]]</f>
        <v>46010</v>
      </c>
      <c r="E904" s="9">
        <f>Table3[[#This Row],[DueDate]]</f>
        <v>46040</v>
      </c>
      <c r="F904" s="3">
        <f>Table3[[#This Row],[BillAmount]]</f>
        <v>2387.79</v>
      </c>
      <c r="G904" s="3">
        <f>SUMIF(Vendor_Payments!C:C,A904,Vendor_Payments!E:E)</f>
        <v>0</v>
      </c>
      <c r="H904" s="3">
        <f t="shared" si="42"/>
        <v>2387.79</v>
      </c>
      <c r="I904">
        <f t="shared" si="43"/>
        <v>51</v>
      </c>
      <c r="J904" t="str">
        <f t="shared" si="44"/>
        <v>31-60</v>
      </c>
    </row>
    <row r="905" spans="1:10" x14ac:dyDescent="0.3">
      <c r="A905" t="str">
        <f>Table3[[#This Row],[BillID]]</f>
        <v>BILL-00904</v>
      </c>
      <c r="B905" t="str">
        <f>Table3[[#This Row],[VendorID]]</f>
        <v>VEN-002</v>
      </c>
      <c r="C905" t="str">
        <f>VLOOKUP(B905,Vendors!A:B,2,FALSE)</f>
        <v>Meta Ads</v>
      </c>
      <c r="D905" s="9">
        <f>Table3[[#This Row],[BillDate]]</f>
        <v>45977</v>
      </c>
      <c r="E905" s="9">
        <f>Table3[[#This Row],[DueDate]]</f>
        <v>46007</v>
      </c>
      <c r="F905" s="3">
        <f>Table3[[#This Row],[BillAmount]]</f>
        <v>1391.78</v>
      </c>
      <c r="G905" s="3">
        <f>SUMIF(Vendor_Payments!C:C,A905,Vendor_Payments!E:E)</f>
        <v>0</v>
      </c>
      <c r="H905" s="3">
        <f t="shared" si="42"/>
        <v>1391.78</v>
      </c>
      <c r="I905">
        <f t="shared" si="43"/>
        <v>84</v>
      </c>
      <c r="J905" t="str">
        <f t="shared" si="44"/>
        <v>61-90</v>
      </c>
    </row>
    <row r="906" spans="1:10" x14ac:dyDescent="0.3">
      <c r="A906" t="str">
        <f>Table3[[#This Row],[BillID]]</f>
        <v>BILL-00905</v>
      </c>
      <c r="B906" t="str">
        <f>Table3[[#This Row],[VendorID]]</f>
        <v>VEN-014</v>
      </c>
      <c r="C906" t="str">
        <f>VLOOKUP(B906,Vendors!A:B,2,FALSE)</f>
        <v>Figma</v>
      </c>
      <c r="D906" s="9">
        <f>Table3[[#This Row],[BillDate]]</f>
        <v>45967</v>
      </c>
      <c r="E906" s="9">
        <f>Table3[[#This Row],[DueDate]]</f>
        <v>45997</v>
      </c>
      <c r="F906" s="3">
        <f>Table3[[#This Row],[BillAmount]]</f>
        <v>6062.59</v>
      </c>
      <c r="G906" s="3">
        <f>SUMIF(Vendor_Payments!C:C,A906,Vendor_Payments!E:E)</f>
        <v>6062.59</v>
      </c>
      <c r="H906" s="3">
        <f t="shared" si="42"/>
        <v>0</v>
      </c>
      <c r="I906">
        <f t="shared" si="43"/>
        <v>94</v>
      </c>
      <c r="J906" t="str">
        <f t="shared" si="44"/>
        <v>90+</v>
      </c>
    </row>
    <row r="907" spans="1:10" x14ac:dyDescent="0.3">
      <c r="A907" t="str">
        <f>Table3[[#This Row],[BillID]]</f>
        <v>BILL-00906</v>
      </c>
      <c r="B907" t="str">
        <f>Table3[[#This Row],[VendorID]]</f>
        <v>VEN-009</v>
      </c>
      <c r="C907" t="str">
        <f>VLOOKUP(B907,Vendors!A:B,2,FALSE)</f>
        <v>SEMrush</v>
      </c>
      <c r="D907" s="9">
        <f>Table3[[#This Row],[BillDate]]</f>
        <v>45993</v>
      </c>
      <c r="E907" s="9">
        <f>Table3[[#This Row],[DueDate]]</f>
        <v>46023</v>
      </c>
      <c r="F907" s="3">
        <f>Table3[[#This Row],[BillAmount]]</f>
        <v>2522.83</v>
      </c>
      <c r="G907" s="3">
        <f>SUMIF(Vendor_Payments!C:C,A907,Vendor_Payments!E:E)</f>
        <v>2522.83</v>
      </c>
      <c r="H907" s="3">
        <f t="shared" si="42"/>
        <v>0</v>
      </c>
      <c r="I907">
        <f t="shared" si="43"/>
        <v>68</v>
      </c>
      <c r="J907" t="str">
        <f t="shared" si="44"/>
        <v>61-90</v>
      </c>
    </row>
    <row r="908" spans="1:10" x14ac:dyDescent="0.3">
      <c r="A908" t="str">
        <f>Table3[[#This Row],[BillID]]</f>
        <v>BILL-00907</v>
      </c>
      <c r="B908" t="str">
        <f>Table3[[#This Row],[VendorID]]</f>
        <v>VEN-038</v>
      </c>
      <c r="C908" t="str">
        <f>VLOOKUP(B908,Vendors!A:B,2,FALSE)</f>
        <v>Insight Marketing Partners</v>
      </c>
      <c r="D908" s="9">
        <f>Table3[[#This Row],[BillDate]]</f>
        <v>45997</v>
      </c>
      <c r="E908" s="9">
        <f>Table3[[#This Row],[DueDate]]</f>
        <v>46027</v>
      </c>
      <c r="F908" s="3">
        <f>Table3[[#This Row],[BillAmount]]</f>
        <v>1609.05</v>
      </c>
      <c r="G908" s="3">
        <f>SUMIF(Vendor_Payments!C:C,A908,Vendor_Payments!E:E)</f>
        <v>1609.05</v>
      </c>
      <c r="H908" s="3">
        <f t="shared" si="42"/>
        <v>0</v>
      </c>
      <c r="I908">
        <f t="shared" si="43"/>
        <v>64</v>
      </c>
      <c r="J908" t="str">
        <f t="shared" si="44"/>
        <v>61-90</v>
      </c>
    </row>
    <row r="909" spans="1:10" x14ac:dyDescent="0.3">
      <c r="A909" t="str">
        <f>Table3[[#This Row],[BillID]]</f>
        <v>BILL-00908</v>
      </c>
      <c r="B909" t="str">
        <f>Table3[[#This Row],[VendorID]]</f>
        <v>VEN-025</v>
      </c>
      <c r="C909" t="str">
        <f>VLOOKUP(B909,Vendors!A:B,2,FALSE)</f>
        <v>Digital Growth Consultants</v>
      </c>
      <c r="D909" s="9">
        <f>Table3[[#This Row],[BillDate]]</f>
        <v>46049</v>
      </c>
      <c r="E909" s="9">
        <f>Table3[[#This Row],[DueDate]]</f>
        <v>46079</v>
      </c>
      <c r="F909" s="3">
        <f>Table3[[#This Row],[BillAmount]]</f>
        <v>1667</v>
      </c>
      <c r="G909" s="3">
        <f>SUMIF(Vendor_Payments!C:C,A909,Vendor_Payments!E:E)</f>
        <v>1667</v>
      </c>
      <c r="H909" s="3">
        <f t="shared" si="42"/>
        <v>0</v>
      </c>
      <c r="I909">
        <f t="shared" si="43"/>
        <v>12</v>
      </c>
      <c r="J909" t="str">
        <f t="shared" si="44"/>
        <v>1-30</v>
      </c>
    </row>
    <row r="910" spans="1:10" x14ac:dyDescent="0.3">
      <c r="A910" t="str">
        <f>Table3[[#This Row],[BillID]]</f>
        <v>BILL-00909</v>
      </c>
      <c r="B910" t="str">
        <f>Table3[[#This Row],[VendorID]]</f>
        <v>VEN-040</v>
      </c>
      <c r="C910" t="str">
        <f>VLOOKUP(B910,Vendors!A:B,2,FALSE)</f>
        <v>Digital Performance Lab</v>
      </c>
      <c r="D910" s="9">
        <f>Table3[[#This Row],[BillDate]]</f>
        <v>46021</v>
      </c>
      <c r="E910" s="9">
        <f>Table3[[#This Row],[DueDate]]</f>
        <v>46051</v>
      </c>
      <c r="F910" s="3">
        <f>Table3[[#This Row],[BillAmount]]</f>
        <v>5496.55</v>
      </c>
      <c r="G910" s="3">
        <f>SUMIF(Vendor_Payments!C:C,A910,Vendor_Payments!E:E)</f>
        <v>0</v>
      </c>
      <c r="H910" s="3">
        <f t="shared" si="42"/>
        <v>5496.55</v>
      </c>
      <c r="I910">
        <f t="shared" si="43"/>
        <v>40</v>
      </c>
      <c r="J910" t="str">
        <f t="shared" si="44"/>
        <v>31-60</v>
      </c>
    </row>
    <row r="911" spans="1:10" x14ac:dyDescent="0.3">
      <c r="A911" t="str">
        <f>Table3[[#This Row],[BillID]]</f>
        <v>BILL-00910</v>
      </c>
      <c r="B911" t="str">
        <f>Table3[[#This Row],[VendorID]]</f>
        <v>VEN-017</v>
      </c>
      <c r="C911" t="str">
        <f>VLOOKUP(B911,Vendors!A:B,2,FALSE)</f>
        <v>PayPal</v>
      </c>
      <c r="D911" s="9">
        <f>Table3[[#This Row],[BillDate]]</f>
        <v>46085</v>
      </c>
      <c r="E911" s="9">
        <f>Table3[[#This Row],[DueDate]]</f>
        <v>46115</v>
      </c>
      <c r="F911" s="3">
        <f>Table3[[#This Row],[BillAmount]]</f>
        <v>4111.95</v>
      </c>
      <c r="G911" s="3">
        <f>SUMIF(Vendor_Payments!C:C,A911,Vendor_Payments!E:E)</f>
        <v>4111.95</v>
      </c>
      <c r="H911" s="3">
        <f t="shared" si="42"/>
        <v>0</v>
      </c>
      <c r="I911">
        <f t="shared" si="43"/>
        <v>-24</v>
      </c>
      <c r="J911" t="str">
        <f t="shared" si="44"/>
        <v>Current</v>
      </c>
    </row>
    <row r="912" spans="1:10" x14ac:dyDescent="0.3">
      <c r="A912" t="str">
        <f>Table3[[#This Row],[BillID]]</f>
        <v>BILL-00911</v>
      </c>
      <c r="B912" t="str">
        <f>Table3[[#This Row],[VendorID]]</f>
        <v>VEN-013</v>
      </c>
      <c r="C912" t="str">
        <f>VLOOKUP(B912,Vendors!A:B,2,FALSE)</f>
        <v>Canva Pro</v>
      </c>
      <c r="D912" s="9">
        <f>Table3[[#This Row],[BillDate]]</f>
        <v>46088</v>
      </c>
      <c r="E912" s="9">
        <f>Table3[[#This Row],[DueDate]]</f>
        <v>46118</v>
      </c>
      <c r="F912" s="3">
        <f>Table3[[#This Row],[BillAmount]]</f>
        <v>2212.5100000000002</v>
      </c>
      <c r="G912" s="3">
        <f>SUMIF(Vendor_Payments!C:C,A912,Vendor_Payments!E:E)</f>
        <v>2212.5100000000002</v>
      </c>
      <c r="H912" s="3">
        <f t="shared" si="42"/>
        <v>0</v>
      </c>
      <c r="I912">
        <f t="shared" si="43"/>
        <v>-27</v>
      </c>
      <c r="J912" t="str">
        <f t="shared" si="44"/>
        <v>Current</v>
      </c>
    </row>
    <row r="913" spans="1:10" x14ac:dyDescent="0.3">
      <c r="A913" t="str">
        <f>Table3[[#This Row],[BillID]]</f>
        <v>BILL-00912</v>
      </c>
      <c r="B913" t="str">
        <f>Table3[[#This Row],[VendorID]]</f>
        <v>VEN-025</v>
      </c>
      <c r="C913" t="str">
        <f>VLOOKUP(B913,Vendors!A:B,2,FALSE)</f>
        <v>Digital Growth Consultants</v>
      </c>
      <c r="D913" s="9">
        <f>Table3[[#This Row],[BillDate]]</f>
        <v>46045</v>
      </c>
      <c r="E913" s="9">
        <f>Table3[[#This Row],[DueDate]]</f>
        <v>46075</v>
      </c>
      <c r="F913" s="3">
        <f>Table3[[#This Row],[BillAmount]]</f>
        <v>6723.21</v>
      </c>
      <c r="G913" s="3">
        <f>SUMIF(Vendor_Payments!C:C,A913,Vendor_Payments!E:E)</f>
        <v>6723.21</v>
      </c>
      <c r="H913" s="3">
        <f t="shared" si="42"/>
        <v>0</v>
      </c>
      <c r="I913">
        <f t="shared" si="43"/>
        <v>16</v>
      </c>
      <c r="J913" t="str">
        <f t="shared" si="44"/>
        <v>1-30</v>
      </c>
    </row>
    <row r="914" spans="1:10" x14ac:dyDescent="0.3">
      <c r="A914" t="str">
        <f>Table3[[#This Row],[BillID]]</f>
        <v>BILL-00913</v>
      </c>
      <c r="B914" t="str">
        <f>Table3[[#This Row],[VendorID]]</f>
        <v>VEN-016</v>
      </c>
      <c r="C914" t="str">
        <f>VLOOKUP(B914,Vendors!A:B,2,FALSE)</f>
        <v>Stripe</v>
      </c>
      <c r="D914" s="9">
        <f>Table3[[#This Row],[BillDate]]</f>
        <v>46028</v>
      </c>
      <c r="E914" s="9">
        <f>Table3[[#This Row],[DueDate]]</f>
        <v>46058</v>
      </c>
      <c r="F914" s="3">
        <f>Table3[[#This Row],[BillAmount]]</f>
        <v>5344.21</v>
      </c>
      <c r="G914" s="3">
        <f>SUMIF(Vendor_Payments!C:C,A914,Vendor_Payments!E:E)</f>
        <v>5344.21</v>
      </c>
      <c r="H914" s="3">
        <f t="shared" si="42"/>
        <v>0</v>
      </c>
      <c r="I914">
        <f t="shared" si="43"/>
        <v>33</v>
      </c>
      <c r="J914" t="str">
        <f t="shared" si="44"/>
        <v>31-60</v>
      </c>
    </row>
    <row r="915" spans="1:10" x14ac:dyDescent="0.3">
      <c r="A915" t="str">
        <f>Table3[[#This Row],[BillID]]</f>
        <v>BILL-00914</v>
      </c>
      <c r="B915" t="str">
        <f>Table3[[#This Row],[VendorID]]</f>
        <v>VEN-019</v>
      </c>
      <c r="C915" t="str">
        <f>VLOOKUP(B915,Vendors!A:B,2,FALSE)</f>
        <v>Notion</v>
      </c>
      <c r="D915" s="9">
        <f>Table3[[#This Row],[BillDate]]</f>
        <v>46088</v>
      </c>
      <c r="E915" s="9">
        <f>Table3[[#This Row],[DueDate]]</f>
        <v>46118</v>
      </c>
      <c r="F915" s="3">
        <f>Table3[[#This Row],[BillAmount]]</f>
        <v>2866.19</v>
      </c>
      <c r="G915" s="3">
        <f>SUMIF(Vendor_Payments!C:C,A915,Vendor_Payments!E:E)</f>
        <v>2866.19</v>
      </c>
      <c r="H915" s="3">
        <f t="shared" si="42"/>
        <v>0</v>
      </c>
      <c r="I915">
        <f t="shared" si="43"/>
        <v>-27</v>
      </c>
      <c r="J915" t="str">
        <f t="shared" si="44"/>
        <v>Current</v>
      </c>
    </row>
    <row r="916" spans="1:10" x14ac:dyDescent="0.3">
      <c r="A916" t="str">
        <f>Table3[[#This Row],[BillID]]</f>
        <v>BILL-00915</v>
      </c>
      <c r="B916" t="str">
        <f>Table3[[#This Row],[VendorID]]</f>
        <v>VEN-026</v>
      </c>
      <c r="C916" t="str">
        <f>VLOOKUP(B916,Vendors!A:B,2,FALSE)</f>
        <v>PixelForge Studio</v>
      </c>
      <c r="D916" s="9">
        <f>Table3[[#This Row],[BillDate]]</f>
        <v>46082</v>
      </c>
      <c r="E916" s="9">
        <f>Table3[[#This Row],[DueDate]]</f>
        <v>46112</v>
      </c>
      <c r="F916" s="3">
        <f>Table3[[#This Row],[BillAmount]]</f>
        <v>2650.09</v>
      </c>
      <c r="G916" s="3">
        <f>SUMIF(Vendor_Payments!C:C,A916,Vendor_Payments!E:E)</f>
        <v>0</v>
      </c>
      <c r="H916" s="3">
        <f t="shared" si="42"/>
        <v>2650.09</v>
      </c>
      <c r="I916">
        <f t="shared" si="43"/>
        <v>-21</v>
      </c>
      <c r="J916" t="str">
        <f t="shared" si="44"/>
        <v>Current</v>
      </c>
    </row>
    <row r="917" spans="1:10" x14ac:dyDescent="0.3">
      <c r="A917" t="str">
        <f>Table3[[#This Row],[BillID]]</f>
        <v>BILL-00916</v>
      </c>
      <c r="B917" t="str">
        <f>Table3[[#This Row],[VendorID]]</f>
        <v>VEN-028</v>
      </c>
      <c r="C917" t="str">
        <f>VLOOKUP(B917,Vendors!A:B,2,FALSE)</f>
        <v>MarketEdge Consulting</v>
      </c>
      <c r="D917" s="9">
        <f>Table3[[#This Row],[BillDate]]</f>
        <v>45964</v>
      </c>
      <c r="E917" s="9">
        <f>Table3[[#This Row],[DueDate]]</f>
        <v>45994</v>
      </c>
      <c r="F917" s="3">
        <f>Table3[[#This Row],[BillAmount]]</f>
        <v>5716.92</v>
      </c>
      <c r="G917" s="3">
        <f>SUMIF(Vendor_Payments!C:C,A917,Vendor_Payments!E:E)</f>
        <v>5716.92</v>
      </c>
      <c r="H917" s="3">
        <f t="shared" si="42"/>
        <v>0</v>
      </c>
      <c r="I917">
        <f t="shared" si="43"/>
        <v>97</v>
      </c>
      <c r="J917" t="str">
        <f t="shared" si="44"/>
        <v>90+</v>
      </c>
    </row>
    <row r="918" spans="1:10" x14ac:dyDescent="0.3">
      <c r="A918" t="str">
        <f>Table3[[#This Row],[BillID]]</f>
        <v>BILL-00917</v>
      </c>
      <c r="B918" t="str">
        <f>Table3[[#This Row],[VendorID]]</f>
        <v>VEN-028</v>
      </c>
      <c r="C918" t="str">
        <f>VLOOKUP(B918,Vendors!A:B,2,FALSE)</f>
        <v>MarketEdge Consulting</v>
      </c>
      <c r="D918" s="9">
        <f>Table3[[#This Row],[BillDate]]</f>
        <v>45964</v>
      </c>
      <c r="E918" s="9">
        <f>Table3[[#This Row],[DueDate]]</f>
        <v>45994</v>
      </c>
      <c r="F918" s="3">
        <f>Table3[[#This Row],[BillAmount]]</f>
        <v>3462.27</v>
      </c>
      <c r="G918" s="3">
        <f>SUMIF(Vendor_Payments!C:C,A918,Vendor_Payments!E:E)</f>
        <v>3462.27</v>
      </c>
      <c r="H918" s="3">
        <f t="shared" si="42"/>
        <v>0</v>
      </c>
      <c r="I918">
        <f t="shared" si="43"/>
        <v>97</v>
      </c>
      <c r="J918" t="str">
        <f t="shared" si="44"/>
        <v>90+</v>
      </c>
    </row>
    <row r="919" spans="1:10" x14ac:dyDescent="0.3">
      <c r="A919" t="str">
        <f>Table3[[#This Row],[BillID]]</f>
        <v>BILL-00918</v>
      </c>
      <c r="B919" t="str">
        <f>Table3[[#This Row],[VendorID]]</f>
        <v>VEN-038</v>
      </c>
      <c r="C919" t="str">
        <f>VLOOKUP(B919,Vendors!A:B,2,FALSE)</f>
        <v>Insight Marketing Partners</v>
      </c>
      <c r="D919" s="9">
        <f>Table3[[#This Row],[BillDate]]</f>
        <v>46081</v>
      </c>
      <c r="E919" s="9">
        <f>Table3[[#This Row],[DueDate]]</f>
        <v>46111</v>
      </c>
      <c r="F919" s="3">
        <f>Table3[[#This Row],[BillAmount]]</f>
        <v>6694.68</v>
      </c>
      <c r="G919" s="3">
        <f>SUMIF(Vendor_Payments!C:C,A919,Vendor_Payments!E:E)</f>
        <v>6694.68</v>
      </c>
      <c r="H919" s="3">
        <f t="shared" si="42"/>
        <v>0</v>
      </c>
      <c r="I919">
        <f t="shared" si="43"/>
        <v>-20</v>
      </c>
      <c r="J919" t="str">
        <f t="shared" si="44"/>
        <v>Current</v>
      </c>
    </row>
    <row r="920" spans="1:10" x14ac:dyDescent="0.3">
      <c r="A920" t="str">
        <f>Table3[[#This Row],[BillID]]</f>
        <v>BILL-00919</v>
      </c>
      <c r="B920" t="str">
        <f>Table3[[#This Row],[VendorID]]</f>
        <v>VEN-031</v>
      </c>
      <c r="C920" t="str">
        <f>VLOOKUP(B920,Vendors!A:B,2,FALSE)</f>
        <v>DataInsight Analytics</v>
      </c>
      <c r="D920" s="9">
        <f>Table3[[#This Row],[BillDate]]</f>
        <v>46028</v>
      </c>
      <c r="E920" s="9">
        <f>Table3[[#This Row],[DueDate]]</f>
        <v>46058</v>
      </c>
      <c r="F920" s="3">
        <f>Table3[[#This Row],[BillAmount]]</f>
        <v>4675.63</v>
      </c>
      <c r="G920" s="3">
        <f>SUMIF(Vendor_Payments!C:C,A920,Vendor_Payments!E:E)</f>
        <v>0</v>
      </c>
      <c r="H920" s="3">
        <f t="shared" si="42"/>
        <v>4675.63</v>
      </c>
      <c r="I920">
        <f t="shared" si="43"/>
        <v>33</v>
      </c>
      <c r="J920" t="str">
        <f t="shared" si="44"/>
        <v>31-60</v>
      </c>
    </row>
    <row r="921" spans="1:10" x14ac:dyDescent="0.3">
      <c r="A921" t="str">
        <f>Table3[[#This Row],[BillID]]</f>
        <v>BILL-00920</v>
      </c>
      <c r="B921" t="str">
        <f>Table3[[#This Row],[VendorID]]</f>
        <v>VEN-037</v>
      </c>
      <c r="C921" t="str">
        <f>VLOOKUP(B921,Vendors!A:B,2,FALSE)</f>
        <v>CreativeSpark Studio</v>
      </c>
      <c r="D921" s="9">
        <f>Table3[[#This Row],[BillDate]]</f>
        <v>46088</v>
      </c>
      <c r="E921" s="9">
        <f>Table3[[#This Row],[DueDate]]</f>
        <v>46118</v>
      </c>
      <c r="F921" s="3">
        <f>Table3[[#This Row],[BillAmount]]</f>
        <v>4210.91</v>
      </c>
      <c r="G921" s="3">
        <f>SUMIF(Vendor_Payments!C:C,A921,Vendor_Payments!E:E)</f>
        <v>4210.91</v>
      </c>
      <c r="H921" s="3">
        <f t="shared" si="42"/>
        <v>0</v>
      </c>
      <c r="I921">
        <f t="shared" si="43"/>
        <v>-27</v>
      </c>
      <c r="J921" t="str">
        <f t="shared" si="44"/>
        <v>Current</v>
      </c>
    </row>
    <row r="922" spans="1:10" x14ac:dyDescent="0.3">
      <c r="A922" t="str">
        <f>Table3[[#This Row],[BillID]]</f>
        <v>BILL-00921</v>
      </c>
      <c r="B922" t="str">
        <f>Table3[[#This Row],[VendorID]]</f>
        <v>VEN-031</v>
      </c>
      <c r="C922" t="str">
        <f>VLOOKUP(B922,Vendors!A:B,2,FALSE)</f>
        <v>DataInsight Analytics</v>
      </c>
      <c r="D922" s="9">
        <f>Table3[[#This Row],[BillDate]]</f>
        <v>46049</v>
      </c>
      <c r="E922" s="9">
        <f>Table3[[#This Row],[DueDate]]</f>
        <v>46079</v>
      </c>
      <c r="F922" s="3">
        <f>Table3[[#This Row],[BillAmount]]</f>
        <v>5948.34</v>
      </c>
      <c r="G922" s="3">
        <f>SUMIF(Vendor_Payments!C:C,A922,Vendor_Payments!E:E)</f>
        <v>5948.34</v>
      </c>
      <c r="H922" s="3">
        <f t="shared" si="42"/>
        <v>0</v>
      </c>
      <c r="I922">
        <f t="shared" si="43"/>
        <v>12</v>
      </c>
      <c r="J922" t="str">
        <f t="shared" si="44"/>
        <v>1-30</v>
      </c>
    </row>
    <row r="923" spans="1:10" x14ac:dyDescent="0.3">
      <c r="A923" t="str">
        <f>Table3[[#This Row],[BillID]]</f>
        <v>BILL-00922</v>
      </c>
      <c r="B923" t="str">
        <f>Table3[[#This Row],[VendorID]]</f>
        <v>VEN-022</v>
      </c>
      <c r="C923" t="str">
        <f>VLOOKUP(B923,Vendors!A:B,2,FALSE)</f>
        <v>Toptal Talent</v>
      </c>
      <c r="D923" s="9">
        <f>Table3[[#This Row],[BillDate]]</f>
        <v>46061</v>
      </c>
      <c r="E923" s="9">
        <f>Table3[[#This Row],[DueDate]]</f>
        <v>46091</v>
      </c>
      <c r="F923" s="3">
        <f>Table3[[#This Row],[BillAmount]]</f>
        <v>5067.82</v>
      </c>
      <c r="G923" s="3">
        <f>SUMIF(Vendor_Payments!C:C,A923,Vendor_Payments!E:E)</f>
        <v>0</v>
      </c>
      <c r="H923" s="3">
        <f t="shared" si="42"/>
        <v>5067.82</v>
      </c>
      <c r="I923">
        <f t="shared" si="43"/>
        <v>0</v>
      </c>
      <c r="J923" t="str">
        <f t="shared" si="44"/>
        <v>Current</v>
      </c>
    </row>
    <row r="924" spans="1:10" x14ac:dyDescent="0.3">
      <c r="A924" t="str">
        <f>Table3[[#This Row],[BillID]]</f>
        <v>BILL-00923</v>
      </c>
      <c r="B924" t="str">
        <f>Table3[[#This Row],[VendorID]]</f>
        <v>VEN-022</v>
      </c>
      <c r="C924" t="str">
        <f>VLOOKUP(B924,Vendors!A:B,2,FALSE)</f>
        <v>Toptal Talent</v>
      </c>
      <c r="D924" s="9">
        <f>Table3[[#This Row],[BillDate]]</f>
        <v>46040</v>
      </c>
      <c r="E924" s="9">
        <f>Table3[[#This Row],[DueDate]]</f>
        <v>46070</v>
      </c>
      <c r="F924" s="3">
        <f>Table3[[#This Row],[BillAmount]]</f>
        <v>4288.87</v>
      </c>
      <c r="G924" s="3">
        <f>SUMIF(Vendor_Payments!C:C,A924,Vendor_Payments!E:E)</f>
        <v>4288.87</v>
      </c>
      <c r="H924" s="3">
        <f t="shared" si="42"/>
        <v>0</v>
      </c>
      <c r="I924">
        <f t="shared" si="43"/>
        <v>21</v>
      </c>
      <c r="J924" t="str">
        <f t="shared" si="44"/>
        <v>1-30</v>
      </c>
    </row>
    <row r="925" spans="1:10" x14ac:dyDescent="0.3">
      <c r="A925" t="str">
        <f>Table3[[#This Row],[BillID]]</f>
        <v>BILL-00924</v>
      </c>
      <c r="B925" t="str">
        <f>Table3[[#This Row],[VendorID]]</f>
        <v>VEN-011</v>
      </c>
      <c r="C925" t="str">
        <f>VLOOKUP(B925,Vendors!A:B,2,FALSE)</f>
        <v>AWS</v>
      </c>
      <c r="D925" s="9">
        <f>Table3[[#This Row],[BillDate]]</f>
        <v>45993</v>
      </c>
      <c r="E925" s="9">
        <f>Table3[[#This Row],[DueDate]]</f>
        <v>46023</v>
      </c>
      <c r="F925" s="3">
        <f>Table3[[#This Row],[BillAmount]]</f>
        <v>3092.34</v>
      </c>
      <c r="G925" s="3">
        <f>SUMIF(Vendor_Payments!C:C,A925,Vendor_Payments!E:E)</f>
        <v>3092.34</v>
      </c>
      <c r="H925" s="3">
        <f t="shared" si="42"/>
        <v>0</v>
      </c>
      <c r="I925">
        <f t="shared" si="43"/>
        <v>68</v>
      </c>
      <c r="J925" t="str">
        <f t="shared" si="44"/>
        <v>61-90</v>
      </c>
    </row>
    <row r="926" spans="1:10" x14ac:dyDescent="0.3">
      <c r="A926" t="str">
        <f>Table3[[#This Row],[BillID]]</f>
        <v>BILL-00925</v>
      </c>
      <c r="B926" t="str">
        <f>Table3[[#This Row],[VendorID]]</f>
        <v>VEN-004</v>
      </c>
      <c r="C926" t="str">
        <f>VLOOKUP(B926,Vendors!A:B,2,FALSE)</f>
        <v>LinkedIn Ads</v>
      </c>
      <c r="D926" s="9">
        <f>Table3[[#This Row],[BillDate]]</f>
        <v>46074</v>
      </c>
      <c r="E926" s="9">
        <f>Table3[[#This Row],[DueDate]]</f>
        <v>46104</v>
      </c>
      <c r="F926" s="3">
        <f>Table3[[#This Row],[BillAmount]]</f>
        <v>4641.45</v>
      </c>
      <c r="G926" s="3">
        <f>SUMIF(Vendor_Payments!C:C,A926,Vendor_Payments!E:E)</f>
        <v>4641.45</v>
      </c>
      <c r="H926" s="3">
        <f t="shared" si="42"/>
        <v>0</v>
      </c>
      <c r="I926">
        <f t="shared" si="43"/>
        <v>-13</v>
      </c>
      <c r="J926" t="str">
        <f t="shared" si="44"/>
        <v>Current</v>
      </c>
    </row>
    <row r="927" spans="1:10" x14ac:dyDescent="0.3">
      <c r="A927" t="str">
        <f>Table3[[#This Row],[BillID]]</f>
        <v>BILL-00926</v>
      </c>
      <c r="B927" t="str">
        <f>Table3[[#This Row],[VendorID]]</f>
        <v>VEN-018</v>
      </c>
      <c r="C927" t="str">
        <f>VLOOKUP(B927,Vendors!A:B,2,FALSE)</f>
        <v>Cloudflare</v>
      </c>
      <c r="D927" s="9">
        <f>Table3[[#This Row],[BillDate]]</f>
        <v>46059</v>
      </c>
      <c r="E927" s="9">
        <f>Table3[[#This Row],[DueDate]]</f>
        <v>46089</v>
      </c>
      <c r="F927" s="3">
        <f>Table3[[#This Row],[BillAmount]]</f>
        <v>3730.94</v>
      </c>
      <c r="G927" s="3">
        <f>SUMIF(Vendor_Payments!C:C,A927,Vendor_Payments!E:E)</f>
        <v>0</v>
      </c>
      <c r="H927" s="3">
        <f t="shared" si="42"/>
        <v>3730.94</v>
      </c>
      <c r="I927">
        <f t="shared" si="43"/>
        <v>2</v>
      </c>
      <c r="J927" t="str">
        <f t="shared" si="44"/>
        <v>1-30</v>
      </c>
    </row>
    <row r="928" spans="1:10" x14ac:dyDescent="0.3">
      <c r="A928" t="str">
        <f>Table3[[#This Row],[BillID]]</f>
        <v>BILL-00927</v>
      </c>
      <c r="B928" t="str">
        <f>Table3[[#This Row],[VendorID]]</f>
        <v>VEN-026</v>
      </c>
      <c r="C928" t="str">
        <f>VLOOKUP(B928,Vendors!A:B,2,FALSE)</f>
        <v>PixelForge Studio</v>
      </c>
      <c r="D928" s="9">
        <f>Table3[[#This Row],[BillDate]]</f>
        <v>46000</v>
      </c>
      <c r="E928" s="9">
        <f>Table3[[#This Row],[DueDate]]</f>
        <v>46030</v>
      </c>
      <c r="F928" s="3">
        <f>Table3[[#This Row],[BillAmount]]</f>
        <v>6063.78</v>
      </c>
      <c r="G928" s="3">
        <f>SUMIF(Vendor_Payments!C:C,A928,Vendor_Payments!E:E)</f>
        <v>6063.78</v>
      </c>
      <c r="H928" s="3">
        <f t="shared" si="42"/>
        <v>0</v>
      </c>
      <c r="I928">
        <f t="shared" si="43"/>
        <v>61</v>
      </c>
      <c r="J928" t="str">
        <f t="shared" si="44"/>
        <v>61-90</v>
      </c>
    </row>
    <row r="929" spans="1:10" x14ac:dyDescent="0.3">
      <c r="A929" t="str">
        <f>Table3[[#This Row],[BillID]]</f>
        <v>BILL-00928</v>
      </c>
      <c r="B929" t="str">
        <f>Table3[[#This Row],[VendorID]]</f>
        <v>VEN-029</v>
      </c>
      <c r="C929" t="str">
        <f>VLOOKUP(B929,Vendors!A:B,2,FALSE)</f>
        <v>BrightSEO Agency</v>
      </c>
      <c r="D929" s="9">
        <f>Table3[[#This Row],[BillDate]]</f>
        <v>46086</v>
      </c>
      <c r="E929" s="9">
        <f>Table3[[#This Row],[DueDate]]</f>
        <v>46116</v>
      </c>
      <c r="F929" s="3">
        <f>Table3[[#This Row],[BillAmount]]</f>
        <v>5620.22</v>
      </c>
      <c r="G929" s="3">
        <f>SUMIF(Vendor_Payments!C:C,A929,Vendor_Payments!E:E)</f>
        <v>0</v>
      </c>
      <c r="H929" s="3">
        <f t="shared" si="42"/>
        <v>5620.22</v>
      </c>
      <c r="I929">
        <f t="shared" si="43"/>
        <v>-25</v>
      </c>
      <c r="J929" t="str">
        <f t="shared" si="44"/>
        <v>Current</v>
      </c>
    </row>
    <row r="930" spans="1:10" x14ac:dyDescent="0.3">
      <c r="A930" t="str">
        <f>Table3[[#This Row],[BillID]]</f>
        <v>BILL-00929</v>
      </c>
      <c r="B930" t="str">
        <f>Table3[[#This Row],[VendorID]]</f>
        <v>VEN-028</v>
      </c>
      <c r="C930" t="str">
        <f>VLOOKUP(B930,Vendors!A:B,2,FALSE)</f>
        <v>MarketEdge Consulting</v>
      </c>
      <c r="D930" s="9">
        <f>Table3[[#This Row],[BillDate]]</f>
        <v>45963</v>
      </c>
      <c r="E930" s="9">
        <f>Table3[[#This Row],[DueDate]]</f>
        <v>45993</v>
      </c>
      <c r="F930" s="3">
        <f>Table3[[#This Row],[BillAmount]]</f>
        <v>5262.01</v>
      </c>
      <c r="G930" s="3">
        <f>SUMIF(Vendor_Payments!C:C,A930,Vendor_Payments!E:E)</f>
        <v>5262.01</v>
      </c>
      <c r="H930" s="3">
        <f t="shared" si="42"/>
        <v>0</v>
      </c>
      <c r="I930">
        <f t="shared" si="43"/>
        <v>98</v>
      </c>
      <c r="J930" t="str">
        <f t="shared" si="44"/>
        <v>90+</v>
      </c>
    </row>
    <row r="931" spans="1:10" x14ac:dyDescent="0.3">
      <c r="A931" t="str">
        <f>Table3[[#This Row],[BillID]]</f>
        <v>BILL-00930</v>
      </c>
      <c r="B931" t="str">
        <f>Table3[[#This Row],[VendorID]]</f>
        <v>VEN-036</v>
      </c>
      <c r="C931" t="str">
        <f>VLOOKUP(B931,Vendors!A:B,2,FALSE)</f>
        <v>WebDev Masters</v>
      </c>
      <c r="D931" s="9">
        <f>Table3[[#This Row],[BillDate]]</f>
        <v>46023</v>
      </c>
      <c r="E931" s="9">
        <f>Table3[[#This Row],[DueDate]]</f>
        <v>46053</v>
      </c>
      <c r="F931" s="3">
        <f>Table3[[#This Row],[BillAmount]]</f>
        <v>4399.47</v>
      </c>
      <c r="G931" s="3">
        <f>SUMIF(Vendor_Payments!C:C,A931,Vendor_Payments!E:E)</f>
        <v>4399.47</v>
      </c>
      <c r="H931" s="3">
        <f t="shared" si="42"/>
        <v>0</v>
      </c>
      <c r="I931">
        <f t="shared" si="43"/>
        <v>38</v>
      </c>
      <c r="J931" t="str">
        <f t="shared" si="44"/>
        <v>31-60</v>
      </c>
    </row>
    <row r="932" spans="1:10" x14ac:dyDescent="0.3">
      <c r="A932" t="str">
        <f>Table3[[#This Row],[BillID]]</f>
        <v>BILL-00931</v>
      </c>
      <c r="B932" t="str">
        <f>Table3[[#This Row],[VendorID]]</f>
        <v>VEN-037</v>
      </c>
      <c r="C932" t="str">
        <f>VLOOKUP(B932,Vendors!A:B,2,FALSE)</f>
        <v>CreativeSpark Studio</v>
      </c>
      <c r="D932" s="9">
        <f>Table3[[#This Row],[BillDate]]</f>
        <v>46056</v>
      </c>
      <c r="E932" s="9">
        <f>Table3[[#This Row],[DueDate]]</f>
        <v>46086</v>
      </c>
      <c r="F932" s="3">
        <f>Table3[[#This Row],[BillAmount]]</f>
        <v>4218.95</v>
      </c>
      <c r="G932" s="3">
        <f>SUMIF(Vendor_Payments!C:C,A932,Vendor_Payments!E:E)</f>
        <v>4218.95</v>
      </c>
      <c r="H932" s="3">
        <f t="shared" si="42"/>
        <v>0</v>
      </c>
      <c r="I932">
        <f t="shared" si="43"/>
        <v>5</v>
      </c>
      <c r="J932" t="str">
        <f t="shared" si="44"/>
        <v>1-30</v>
      </c>
    </row>
    <row r="933" spans="1:10" x14ac:dyDescent="0.3">
      <c r="A933" t="str">
        <f>Table3[[#This Row],[BillID]]</f>
        <v>BILL-00932</v>
      </c>
      <c r="B933" t="str">
        <f>Table3[[#This Row],[VendorID]]</f>
        <v>VEN-019</v>
      </c>
      <c r="C933" t="str">
        <f>VLOOKUP(B933,Vendors!A:B,2,FALSE)</f>
        <v>Notion</v>
      </c>
      <c r="D933" s="9">
        <f>Table3[[#This Row],[BillDate]]</f>
        <v>46063</v>
      </c>
      <c r="E933" s="9">
        <f>Table3[[#This Row],[DueDate]]</f>
        <v>46093</v>
      </c>
      <c r="F933" s="3">
        <f>Table3[[#This Row],[BillAmount]]</f>
        <v>2055.8000000000002</v>
      </c>
      <c r="G933" s="3">
        <f>SUMIF(Vendor_Payments!C:C,A933,Vendor_Payments!E:E)</f>
        <v>0</v>
      </c>
      <c r="H933" s="3">
        <f t="shared" si="42"/>
        <v>2055.8000000000002</v>
      </c>
      <c r="I933">
        <f t="shared" si="43"/>
        <v>-2</v>
      </c>
      <c r="J933" t="str">
        <f t="shared" si="44"/>
        <v>Current</v>
      </c>
    </row>
    <row r="934" spans="1:10" x14ac:dyDescent="0.3">
      <c r="A934" t="str">
        <f>Table3[[#This Row],[BillID]]</f>
        <v>BILL-00933</v>
      </c>
      <c r="B934" t="str">
        <f>Table3[[#This Row],[VendorID]]</f>
        <v>VEN-032</v>
      </c>
      <c r="C934" t="str">
        <f>VLOOKUP(B934,Vendors!A:B,2,FALSE)</f>
        <v>Marketing Automation Labs</v>
      </c>
      <c r="D934" s="9">
        <f>Table3[[#This Row],[BillDate]]</f>
        <v>46071</v>
      </c>
      <c r="E934" s="9">
        <f>Table3[[#This Row],[DueDate]]</f>
        <v>46101</v>
      </c>
      <c r="F934" s="3">
        <f>Table3[[#This Row],[BillAmount]]</f>
        <v>6527.43</v>
      </c>
      <c r="G934" s="3">
        <f>SUMIF(Vendor_Payments!C:C,A934,Vendor_Payments!E:E)</f>
        <v>6527.43</v>
      </c>
      <c r="H934" s="3">
        <f t="shared" si="42"/>
        <v>0</v>
      </c>
      <c r="I934">
        <f t="shared" si="43"/>
        <v>-10</v>
      </c>
      <c r="J934" t="str">
        <f t="shared" si="44"/>
        <v>Current</v>
      </c>
    </row>
    <row r="935" spans="1:10" x14ac:dyDescent="0.3">
      <c r="A935" t="str">
        <f>Table3[[#This Row],[BillID]]</f>
        <v>BILL-00934</v>
      </c>
      <c r="B935" t="str">
        <f>Table3[[#This Row],[VendorID]]</f>
        <v>VEN-031</v>
      </c>
      <c r="C935" t="str">
        <f>VLOOKUP(B935,Vendors!A:B,2,FALSE)</f>
        <v>DataInsight Analytics</v>
      </c>
      <c r="D935" s="9">
        <f>Table3[[#This Row],[BillDate]]</f>
        <v>46018</v>
      </c>
      <c r="E935" s="9">
        <f>Table3[[#This Row],[DueDate]]</f>
        <v>46048</v>
      </c>
      <c r="F935" s="3">
        <f>Table3[[#This Row],[BillAmount]]</f>
        <v>1307.1400000000001</v>
      </c>
      <c r="G935" s="3">
        <f>SUMIF(Vendor_Payments!C:C,A935,Vendor_Payments!E:E)</f>
        <v>1307.1400000000001</v>
      </c>
      <c r="H935" s="3">
        <f t="shared" si="42"/>
        <v>0</v>
      </c>
      <c r="I935">
        <f t="shared" si="43"/>
        <v>43</v>
      </c>
      <c r="J935" t="str">
        <f t="shared" si="44"/>
        <v>31-60</v>
      </c>
    </row>
    <row r="936" spans="1:10" x14ac:dyDescent="0.3">
      <c r="A936" t="str">
        <f>Table3[[#This Row],[BillID]]</f>
        <v>BILL-00935</v>
      </c>
      <c r="B936" t="str">
        <f>Table3[[#This Row],[VendorID]]</f>
        <v>VEN-027</v>
      </c>
      <c r="C936" t="str">
        <f>VLOOKUP(B936,Vendors!A:B,2,FALSE)</f>
        <v>DevCraft Agency</v>
      </c>
      <c r="D936" s="9">
        <f>Table3[[#This Row],[BillDate]]</f>
        <v>46042</v>
      </c>
      <c r="E936" s="9">
        <f>Table3[[#This Row],[DueDate]]</f>
        <v>46072</v>
      </c>
      <c r="F936" s="3">
        <f>Table3[[#This Row],[BillAmount]]</f>
        <v>6695.59</v>
      </c>
      <c r="G936" s="3">
        <f>SUMIF(Vendor_Payments!C:C,A936,Vendor_Payments!E:E)</f>
        <v>0</v>
      </c>
      <c r="H936" s="3">
        <f t="shared" si="42"/>
        <v>6695.59</v>
      </c>
      <c r="I936">
        <f t="shared" si="43"/>
        <v>19</v>
      </c>
      <c r="J936" t="str">
        <f t="shared" si="44"/>
        <v>1-30</v>
      </c>
    </row>
    <row r="937" spans="1:10" x14ac:dyDescent="0.3">
      <c r="A937" t="str">
        <f>Table3[[#This Row],[BillID]]</f>
        <v>BILL-00936</v>
      </c>
      <c r="B937" t="str">
        <f>Table3[[#This Row],[VendorID]]</f>
        <v>VEN-021</v>
      </c>
      <c r="C937" t="str">
        <f>VLOOKUP(B937,Vendors!A:B,2,FALSE)</f>
        <v>Upwork Freelancers</v>
      </c>
      <c r="D937" s="9">
        <f>Table3[[#This Row],[BillDate]]</f>
        <v>46017</v>
      </c>
      <c r="E937" s="9">
        <f>Table3[[#This Row],[DueDate]]</f>
        <v>46047</v>
      </c>
      <c r="F937" s="3">
        <f>Table3[[#This Row],[BillAmount]]</f>
        <v>2483.0100000000002</v>
      </c>
      <c r="G937" s="3">
        <f>SUMIF(Vendor_Payments!C:C,A937,Vendor_Payments!E:E)</f>
        <v>0</v>
      </c>
      <c r="H937" s="3">
        <f t="shared" si="42"/>
        <v>2483.0100000000002</v>
      </c>
      <c r="I937">
        <f t="shared" si="43"/>
        <v>44</v>
      </c>
      <c r="J937" t="str">
        <f t="shared" si="44"/>
        <v>31-60</v>
      </c>
    </row>
    <row r="938" spans="1:10" x14ac:dyDescent="0.3">
      <c r="A938" t="str">
        <f>Table3[[#This Row],[BillID]]</f>
        <v>BILL-00937</v>
      </c>
      <c r="B938" t="str">
        <f>Table3[[#This Row],[VendorID]]</f>
        <v>VEN-036</v>
      </c>
      <c r="C938" t="str">
        <f>VLOOKUP(B938,Vendors!A:B,2,FALSE)</f>
        <v>WebDev Masters</v>
      </c>
      <c r="D938" s="9">
        <f>Table3[[#This Row],[BillDate]]</f>
        <v>46042</v>
      </c>
      <c r="E938" s="9">
        <f>Table3[[#This Row],[DueDate]]</f>
        <v>46072</v>
      </c>
      <c r="F938" s="3">
        <f>Table3[[#This Row],[BillAmount]]</f>
        <v>2836.85</v>
      </c>
      <c r="G938" s="3">
        <f>SUMIF(Vendor_Payments!C:C,A938,Vendor_Payments!E:E)</f>
        <v>0</v>
      </c>
      <c r="H938" s="3">
        <f t="shared" si="42"/>
        <v>2836.85</v>
      </c>
      <c r="I938">
        <f t="shared" si="43"/>
        <v>19</v>
      </c>
      <c r="J938" t="str">
        <f t="shared" si="44"/>
        <v>1-30</v>
      </c>
    </row>
    <row r="939" spans="1:10" x14ac:dyDescent="0.3">
      <c r="A939" t="str">
        <f>Table3[[#This Row],[BillID]]</f>
        <v>BILL-00938</v>
      </c>
      <c r="B939" t="str">
        <f>Table3[[#This Row],[VendorID]]</f>
        <v>VEN-037</v>
      </c>
      <c r="C939" t="str">
        <f>VLOOKUP(B939,Vendors!A:B,2,FALSE)</f>
        <v>CreativeSpark Studio</v>
      </c>
      <c r="D939" s="9">
        <f>Table3[[#This Row],[BillDate]]</f>
        <v>45969</v>
      </c>
      <c r="E939" s="9">
        <f>Table3[[#This Row],[DueDate]]</f>
        <v>45999</v>
      </c>
      <c r="F939" s="3">
        <f>Table3[[#This Row],[BillAmount]]</f>
        <v>962.03</v>
      </c>
      <c r="G939" s="3">
        <f>SUMIF(Vendor_Payments!C:C,A939,Vendor_Payments!E:E)</f>
        <v>0</v>
      </c>
      <c r="H939" s="3">
        <f t="shared" si="42"/>
        <v>962.03</v>
      </c>
      <c r="I939">
        <f t="shared" si="43"/>
        <v>92</v>
      </c>
      <c r="J939" t="str">
        <f t="shared" si="44"/>
        <v>90+</v>
      </c>
    </row>
    <row r="940" spans="1:10" x14ac:dyDescent="0.3">
      <c r="A940" t="str">
        <f>Table3[[#This Row],[BillID]]</f>
        <v>BILL-00939</v>
      </c>
      <c r="B940" t="str">
        <f>Table3[[#This Row],[VendorID]]</f>
        <v>VEN-035</v>
      </c>
      <c r="C940" t="str">
        <f>VLOOKUP(B940,Vendors!A:B,2,FALSE)</f>
        <v>ClickFlow Marketing</v>
      </c>
      <c r="D940" s="9">
        <f>Table3[[#This Row],[BillDate]]</f>
        <v>46012</v>
      </c>
      <c r="E940" s="9">
        <f>Table3[[#This Row],[DueDate]]</f>
        <v>46042</v>
      </c>
      <c r="F940" s="3">
        <f>Table3[[#This Row],[BillAmount]]</f>
        <v>1712.11</v>
      </c>
      <c r="G940" s="3">
        <f>SUMIF(Vendor_Payments!C:C,A940,Vendor_Payments!E:E)</f>
        <v>1712.11</v>
      </c>
      <c r="H940" s="3">
        <f t="shared" si="42"/>
        <v>0</v>
      </c>
      <c r="I940">
        <f t="shared" si="43"/>
        <v>49</v>
      </c>
      <c r="J940" t="str">
        <f t="shared" si="44"/>
        <v>31-60</v>
      </c>
    </row>
    <row r="941" spans="1:10" x14ac:dyDescent="0.3">
      <c r="A941" t="str">
        <f>Table3[[#This Row],[BillID]]</f>
        <v>BILL-00940</v>
      </c>
      <c r="B941" t="str">
        <f>Table3[[#This Row],[VendorID]]</f>
        <v>VEN-016</v>
      </c>
      <c r="C941" t="str">
        <f>VLOOKUP(B941,Vendors!A:B,2,FALSE)</f>
        <v>Stripe</v>
      </c>
      <c r="D941" s="9">
        <f>Table3[[#This Row],[BillDate]]</f>
        <v>46067</v>
      </c>
      <c r="E941" s="9">
        <f>Table3[[#This Row],[DueDate]]</f>
        <v>46097</v>
      </c>
      <c r="F941" s="3">
        <f>Table3[[#This Row],[BillAmount]]</f>
        <v>4618.6499999999996</v>
      </c>
      <c r="G941" s="3">
        <f>SUMIF(Vendor_Payments!C:C,A941,Vendor_Payments!E:E)</f>
        <v>0</v>
      </c>
      <c r="H941" s="3">
        <f t="shared" si="42"/>
        <v>4618.6499999999996</v>
      </c>
      <c r="I941">
        <f t="shared" si="43"/>
        <v>-6</v>
      </c>
      <c r="J941" t="str">
        <f t="shared" si="44"/>
        <v>Current</v>
      </c>
    </row>
    <row r="942" spans="1:10" x14ac:dyDescent="0.3">
      <c r="A942" t="str">
        <f>Table3[[#This Row],[BillID]]</f>
        <v>BILL-00941</v>
      </c>
      <c r="B942" t="str">
        <f>Table3[[#This Row],[VendorID]]</f>
        <v>VEN-005</v>
      </c>
      <c r="C942" t="str">
        <f>VLOOKUP(B942,Vendors!A:B,2,FALSE)</f>
        <v>HubSpot</v>
      </c>
      <c r="D942" s="9">
        <f>Table3[[#This Row],[BillDate]]</f>
        <v>46068</v>
      </c>
      <c r="E942" s="9">
        <f>Table3[[#This Row],[DueDate]]</f>
        <v>46098</v>
      </c>
      <c r="F942" s="3">
        <f>Table3[[#This Row],[BillAmount]]</f>
        <v>3374.74</v>
      </c>
      <c r="G942" s="3">
        <f>SUMIF(Vendor_Payments!C:C,A942,Vendor_Payments!E:E)</f>
        <v>3374.74</v>
      </c>
      <c r="H942" s="3">
        <f t="shared" si="42"/>
        <v>0</v>
      </c>
      <c r="I942">
        <f t="shared" si="43"/>
        <v>-7</v>
      </c>
      <c r="J942" t="str">
        <f t="shared" si="44"/>
        <v>Current</v>
      </c>
    </row>
    <row r="943" spans="1:10" x14ac:dyDescent="0.3">
      <c r="A943" t="str">
        <f>Table3[[#This Row],[BillID]]</f>
        <v>BILL-00942</v>
      </c>
      <c r="B943" t="str">
        <f>Table3[[#This Row],[VendorID]]</f>
        <v>VEN-033</v>
      </c>
      <c r="C943" t="str">
        <f>VLOOKUP(B943,Vendors!A:B,2,FALSE)</f>
        <v>AdScale Solutions</v>
      </c>
      <c r="D943" s="9">
        <f>Table3[[#This Row],[BillDate]]</f>
        <v>46052</v>
      </c>
      <c r="E943" s="9">
        <f>Table3[[#This Row],[DueDate]]</f>
        <v>46082</v>
      </c>
      <c r="F943" s="3">
        <f>Table3[[#This Row],[BillAmount]]</f>
        <v>1316.47</v>
      </c>
      <c r="G943" s="3">
        <f>SUMIF(Vendor_Payments!C:C,A943,Vendor_Payments!E:E)</f>
        <v>1316.47</v>
      </c>
      <c r="H943" s="3">
        <f t="shared" si="42"/>
        <v>0</v>
      </c>
      <c r="I943">
        <f t="shared" si="43"/>
        <v>9</v>
      </c>
      <c r="J943" t="str">
        <f t="shared" si="44"/>
        <v>1-30</v>
      </c>
    </row>
    <row r="944" spans="1:10" x14ac:dyDescent="0.3">
      <c r="A944" t="str">
        <f>Table3[[#This Row],[BillID]]</f>
        <v>BILL-00943</v>
      </c>
      <c r="B944" t="str">
        <f>Table3[[#This Row],[VendorID]]</f>
        <v>VEN-013</v>
      </c>
      <c r="C944" t="str">
        <f>VLOOKUP(B944,Vendors!A:B,2,FALSE)</f>
        <v>Canva Pro</v>
      </c>
      <c r="D944" s="9">
        <f>Table3[[#This Row],[BillDate]]</f>
        <v>46037</v>
      </c>
      <c r="E944" s="9">
        <f>Table3[[#This Row],[DueDate]]</f>
        <v>46067</v>
      </c>
      <c r="F944" s="3">
        <f>Table3[[#This Row],[BillAmount]]</f>
        <v>5106.76</v>
      </c>
      <c r="G944" s="3">
        <f>SUMIF(Vendor_Payments!C:C,A944,Vendor_Payments!E:E)</f>
        <v>5106.76</v>
      </c>
      <c r="H944" s="3">
        <f t="shared" si="42"/>
        <v>0</v>
      </c>
      <c r="I944">
        <f t="shared" si="43"/>
        <v>24</v>
      </c>
      <c r="J944" t="str">
        <f t="shared" si="44"/>
        <v>1-30</v>
      </c>
    </row>
    <row r="945" spans="1:10" x14ac:dyDescent="0.3">
      <c r="A945" t="str">
        <f>Table3[[#This Row],[BillID]]</f>
        <v>BILL-00944</v>
      </c>
      <c r="B945" t="str">
        <f>Table3[[#This Row],[VendorID]]</f>
        <v>VEN-032</v>
      </c>
      <c r="C945" t="str">
        <f>VLOOKUP(B945,Vendors!A:B,2,FALSE)</f>
        <v>Marketing Automation Labs</v>
      </c>
      <c r="D945" s="9">
        <f>Table3[[#This Row],[BillDate]]</f>
        <v>46039</v>
      </c>
      <c r="E945" s="9">
        <f>Table3[[#This Row],[DueDate]]</f>
        <v>46069</v>
      </c>
      <c r="F945" s="3">
        <f>Table3[[#This Row],[BillAmount]]</f>
        <v>5799.7</v>
      </c>
      <c r="G945" s="3">
        <f>SUMIF(Vendor_Payments!C:C,A945,Vendor_Payments!E:E)</f>
        <v>5799.7</v>
      </c>
      <c r="H945" s="3">
        <f t="shared" si="42"/>
        <v>0</v>
      </c>
      <c r="I945">
        <f t="shared" si="43"/>
        <v>22</v>
      </c>
      <c r="J945" t="str">
        <f t="shared" si="44"/>
        <v>1-30</v>
      </c>
    </row>
    <row r="946" spans="1:10" x14ac:dyDescent="0.3">
      <c r="A946" t="str">
        <f>Table3[[#This Row],[BillID]]</f>
        <v>BILL-00945</v>
      </c>
      <c r="B946" t="str">
        <f>Table3[[#This Row],[VendorID]]</f>
        <v>VEN-031</v>
      </c>
      <c r="C946" t="str">
        <f>VLOOKUP(B946,Vendors!A:B,2,FALSE)</f>
        <v>DataInsight Analytics</v>
      </c>
      <c r="D946" s="9">
        <f>Table3[[#This Row],[BillDate]]</f>
        <v>45972</v>
      </c>
      <c r="E946" s="9">
        <f>Table3[[#This Row],[DueDate]]</f>
        <v>46002</v>
      </c>
      <c r="F946" s="3">
        <f>Table3[[#This Row],[BillAmount]]</f>
        <v>5085.03</v>
      </c>
      <c r="G946" s="3">
        <f>SUMIF(Vendor_Payments!C:C,A946,Vendor_Payments!E:E)</f>
        <v>0</v>
      </c>
      <c r="H946" s="3">
        <f t="shared" si="42"/>
        <v>5085.03</v>
      </c>
      <c r="I946">
        <f t="shared" si="43"/>
        <v>89</v>
      </c>
      <c r="J946" t="str">
        <f t="shared" si="44"/>
        <v>61-90</v>
      </c>
    </row>
    <row r="947" spans="1:10" x14ac:dyDescent="0.3">
      <c r="A947" t="str">
        <f>Table3[[#This Row],[BillID]]</f>
        <v>BILL-00946</v>
      </c>
      <c r="B947" t="str">
        <f>Table3[[#This Row],[VendorID]]</f>
        <v>VEN-007</v>
      </c>
      <c r="C947" t="str">
        <f>VLOOKUP(B947,Vendors!A:B,2,FALSE)</f>
        <v>Mailchimp</v>
      </c>
      <c r="D947" s="9">
        <f>Table3[[#This Row],[BillDate]]</f>
        <v>45970</v>
      </c>
      <c r="E947" s="9">
        <f>Table3[[#This Row],[DueDate]]</f>
        <v>46000</v>
      </c>
      <c r="F947" s="3">
        <f>Table3[[#This Row],[BillAmount]]</f>
        <v>2497.9899999999998</v>
      </c>
      <c r="G947" s="3">
        <f>SUMIF(Vendor_Payments!C:C,A947,Vendor_Payments!E:E)</f>
        <v>2497.9899999999998</v>
      </c>
      <c r="H947" s="3">
        <f t="shared" si="42"/>
        <v>0</v>
      </c>
      <c r="I947">
        <f t="shared" si="43"/>
        <v>91</v>
      </c>
      <c r="J947" t="str">
        <f t="shared" si="44"/>
        <v>90+</v>
      </c>
    </row>
    <row r="948" spans="1:10" x14ac:dyDescent="0.3">
      <c r="A948" t="str">
        <f>Table3[[#This Row],[BillID]]</f>
        <v>BILL-00947</v>
      </c>
      <c r="B948" t="str">
        <f>Table3[[#This Row],[VendorID]]</f>
        <v>VEN-036</v>
      </c>
      <c r="C948" t="str">
        <f>VLOOKUP(B948,Vendors!A:B,2,FALSE)</f>
        <v>WebDev Masters</v>
      </c>
      <c r="D948" s="9">
        <f>Table3[[#This Row],[BillDate]]</f>
        <v>45990</v>
      </c>
      <c r="E948" s="9">
        <f>Table3[[#This Row],[DueDate]]</f>
        <v>46020</v>
      </c>
      <c r="F948" s="3">
        <f>Table3[[#This Row],[BillAmount]]</f>
        <v>6403.78</v>
      </c>
      <c r="G948" s="3">
        <f>SUMIF(Vendor_Payments!C:C,A948,Vendor_Payments!E:E)</f>
        <v>6403.78</v>
      </c>
      <c r="H948" s="3">
        <f t="shared" si="42"/>
        <v>0</v>
      </c>
      <c r="I948">
        <f t="shared" si="43"/>
        <v>71</v>
      </c>
      <c r="J948" t="str">
        <f t="shared" si="44"/>
        <v>61-90</v>
      </c>
    </row>
    <row r="949" spans="1:10" x14ac:dyDescent="0.3">
      <c r="A949" t="str">
        <f>Table3[[#This Row],[BillID]]</f>
        <v>BILL-00948</v>
      </c>
      <c r="B949" t="str">
        <f>Table3[[#This Row],[VendorID]]</f>
        <v>VEN-018</v>
      </c>
      <c r="C949" t="str">
        <f>VLOOKUP(B949,Vendors!A:B,2,FALSE)</f>
        <v>Cloudflare</v>
      </c>
      <c r="D949" s="9">
        <f>Table3[[#This Row],[BillDate]]</f>
        <v>45993</v>
      </c>
      <c r="E949" s="9">
        <f>Table3[[#This Row],[DueDate]]</f>
        <v>46023</v>
      </c>
      <c r="F949" s="3">
        <f>Table3[[#This Row],[BillAmount]]</f>
        <v>4357.8100000000004</v>
      </c>
      <c r="G949" s="3">
        <f>SUMIF(Vendor_Payments!C:C,A949,Vendor_Payments!E:E)</f>
        <v>4357.8100000000004</v>
      </c>
      <c r="H949" s="3">
        <f t="shared" si="42"/>
        <v>0</v>
      </c>
      <c r="I949">
        <f t="shared" si="43"/>
        <v>68</v>
      </c>
      <c r="J949" t="str">
        <f t="shared" si="44"/>
        <v>61-90</v>
      </c>
    </row>
    <row r="950" spans="1:10" x14ac:dyDescent="0.3">
      <c r="A950" t="str">
        <f>Table3[[#This Row],[BillID]]</f>
        <v>BILL-00949</v>
      </c>
      <c r="B950" t="str">
        <f>Table3[[#This Row],[VendorID]]</f>
        <v>VEN-026</v>
      </c>
      <c r="C950" t="str">
        <f>VLOOKUP(B950,Vendors!A:B,2,FALSE)</f>
        <v>PixelForge Studio</v>
      </c>
      <c r="D950" s="9">
        <f>Table3[[#This Row],[BillDate]]</f>
        <v>45982</v>
      </c>
      <c r="E950" s="9">
        <f>Table3[[#This Row],[DueDate]]</f>
        <v>46012</v>
      </c>
      <c r="F950" s="3">
        <f>Table3[[#This Row],[BillAmount]]</f>
        <v>5659.28</v>
      </c>
      <c r="G950" s="3">
        <f>SUMIF(Vendor_Payments!C:C,A950,Vendor_Payments!E:E)</f>
        <v>5659.28</v>
      </c>
      <c r="H950" s="3">
        <f t="shared" si="42"/>
        <v>0</v>
      </c>
      <c r="I950">
        <f t="shared" si="43"/>
        <v>79</v>
      </c>
      <c r="J950" t="str">
        <f t="shared" si="44"/>
        <v>61-90</v>
      </c>
    </row>
    <row r="951" spans="1:10" x14ac:dyDescent="0.3">
      <c r="A951" t="str">
        <f>Table3[[#This Row],[BillID]]</f>
        <v>BILL-00950</v>
      </c>
      <c r="B951" t="str">
        <f>Table3[[#This Row],[VendorID]]</f>
        <v>VEN-026</v>
      </c>
      <c r="C951" t="str">
        <f>VLOOKUP(B951,Vendors!A:B,2,FALSE)</f>
        <v>PixelForge Studio</v>
      </c>
      <c r="D951" s="9">
        <f>Table3[[#This Row],[BillDate]]</f>
        <v>46046</v>
      </c>
      <c r="E951" s="9">
        <f>Table3[[#This Row],[DueDate]]</f>
        <v>46076</v>
      </c>
      <c r="F951" s="3">
        <f>Table3[[#This Row],[BillAmount]]</f>
        <v>1940.45</v>
      </c>
      <c r="G951" s="3">
        <f>SUMIF(Vendor_Payments!C:C,A951,Vendor_Payments!E:E)</f>
        <v>1940.45</v>
      </c>
      <c r="H951" s="3">
        <f t="shared" si="42"/>
        <v>0</v>
      </c>
      <c r="I951">
        <f t="shared" si="43"/>
        <v>15</v>
      </c>
      <c r="J951" t="str">
        <f t="shared" si="44"/>
        <v>1-30</v>
      </c>
    </row>
    <row r="952" spans="1:10" x14ac:dyDescent="0.3">
      <c r="A952" t="str">
        <f>Table3[[#This Row],[BillID]]</f>
        <v>BILL-00951</v>
      </c>
      <c r="B952" t="str">
        <f>Table3[[#This Row],[VendorID]]</f>
        <v>VEN-038</v>
      </c>
      <c r="C952" t="str">
        <f>VLOOKUP(B952,Vendors!A:B,2,FALSE)</f>
        <v>Insight Marketing Partners</v>
      </c>
      <c r="D952" s="9">
        <f>Table3[[#This Row],[BillDate]]</f>
        <v>45981</v>
      </c>
      <c r="E952" s="9">
        <f>Table3[[#This Row],[DueDate]]</f>
        <v>46011</v>
      </c>
      <c r="F952" s="3">
        <f>Table3[[#This Row],[BillAmount]]</f>
        <v>6947.27</v>
      </c>
      <c r="G952" s="3">
        <f>SUMIF(Vendor_Payments!C:C,A952,Vendor_Payments!E:E)</f>
        <v>6947.27</v>
      </c>
      <c r="H952" s="3">
        <f t="shared" si="42"/>
        <v>0</v>
      </c>
      <c r="I952">
        <f t="shared" si="43"/>
        <v>80</v>
      </c>
      <c r="J952" t="str">
        <f t="shared" si="44"/>
        <v>61-90</v>
      </c>
    </row>
    <row r="953" spans="1:10" x14ac:dyDescent="0.3">
      <c r="A953" t="str">
        <f>Table3[[#This Row],[BillID]]</f>
        <v>BILL-00952</v>
      </c>
      <c r="B953" t="str">
        <f>Table3[[#This Row],[VendorID]]</f>
        <v>VEN-019</v>
      </c>
      <c r="C953" t="str">
        <f>VLOOKUP(B953,Vendors!A:B,2,FALSE)</f>
        <v>Notion</v>
      </c>
      <c r="D953" s="9">
        <f>Table3[[#This Row],[BillDate]]</f>
        <v>46002</v>
      </c>
      <c r="E953" s="9">
        <f>Table3[[#This Row],[DueDate]]</f>
        <v>46032</v>
      </c>
      <c r="F953" s="3">
        <f>Table3[[#This Row],[BillAmount]]</f>
        <v>2935.73</v>
      </c>
      <c r="G953" s="3">
        <f>SUMIF(Vendor_Payments!C:C,A953,Vendor_Payments!E:E)</f>
        <v>2935.73</v>
      </c>
      <c r="H953" s="3">
        <f t="shared" si="42"/>
        <v>0</v>
      </c>
      <c r="I953">
        <f t="shared" si="43"/>
        <v>59</v>
      </c>
      <c r="J953" t="str">
        <f t="shared" si="44"/>
        <v>31-60</v>
      </c>
    </row>
    <row r="954" spans="1:10" x14ac:dyDescent="0.3">
      <c r="A954" t="str">
        <f>Table3[[#This Row],[BillID]]</f>
        <v>BILL-00953</v>
      </c>
      <c r="B954" t="str">
        <f>Table3[[#This Row],[VendorID]]</f>
        <v>VEN-039</v>
      </c>
      <c r="C954" t="str">
        <f>VLOOKUP(B954,Vendors!A:B,2,FALSE)</f>
        <v>Global Growth Advisors</v>
      </c>
      <c r="D954" s="9">
        <f>Table3[[#This Row],[BillDate]]</f>
        <v>46036</v>
      </c>
      <c r="E954" s="9">
        <f>Table3[[#This Row],[DueDate]]</f>
        <v>46066</v>
      </c>
      <c r="F954" s="3">
        <f>Table3[[#This Row],[BillAmount]]</f>
        <v>1475.09</v>
      </c>
      <c r="G954" s="3">
        <f>SUMIF(Vendor_Payments!C:C,A954,Vendor_Payments!E:E)</f>
        <v>1475.09</v>
      </c>
      <c r="H954" s="3">
        <f t="shared" si="42"/>
        <v>0</v>
      </c>
      <c r="I954">
        <f t="shared" si="43"/>
        <v>25</v>
      </c>
      <c r="J954" t="str">
        <f t="shared" si="44"/>
        <v>1-30</v>
      </c>
    </row>
    <row r="955" spans="1:10" x14ac:dyDescent="0.3">
      <c r="A955" t="str">
        <f>Table3[[#This Row],[BillID]]</f>
        <v>BILL-00954</v>
      </c>
      <c r="B955" t="str">
        <f>Table3[[#This Row],[VendorID]]</f>
        <v>VEN-020</v>
      </c>
      <c r="C955" t="str">
        <f>VLOOKUP(B955,Vendors!A:B,2,FALSE)</f>
        <v>Slack</v>
      </c>
      <c r="D955" s="9">
        <f>Table3[[#This Row],[BillDate]]</f>
        <v>46044</v>
      </c>
      <c r="E955" s="9">
        <f>Table3[[#This Row],[DueDate]]</f>
        <v>46074</v>
      </c>
      <c r="F955" s="3">
        <f>Table3[[#This Row],[BillAmount]]</f>
        <v>870.36</v>
      </c>
      <c r="G955" s="3">
        <f>SUMIF(Vendor_Payments!C:C,A955,Vendor_Payments!E:E)</f>
        <v>870.36</v>
      </c>
      <c r="H955" s="3">
        <f t="shared" si="42"/>
        <v>0</v>
      </c>
      <c r="I955">
        <f t="shared" si="43"/>
        <v>17</v>
      </c>
      <c r="J955" t="str">
        <f t="shared" si="44"/>
        <v>1-30</v>
      </c>
    </row>
    <row r="956" spans="1:10" x14ac:dyDescent="0.3">
      <c r="A956" t="str">
        <f>Table3[[#This Row],[BillID]]</f>
        <v>BILL-00955</v>
      </c>
      <c r="B956" t="str">
        <f>Table3[[#This Row],[VendorID]]</f>
        <v>VEN-033</v>
      </c>
      <c r="C956" t="str">
        <f>VLOOKUP(B956,Vendors!A:B,2,FALSE)</f>
        <v>AdScale Solutions</v>
      </c>
      <c r="D956" s="9">
        <f>Table3[[#This Row],[BillDate]]</f>
        <v>46047</v>
      </c>
      <c r="E956" s="9">
        <f>Table3[[#This Row],[DueDate]]</f>
        <v>46077</v>
      </c>
      <c r="F956" s="3">
        <f>Table3[[#This Row],[BillAmount]]</f>
        <v>6048.18</v>
      </c>
      <c r="G956" s="3">
        <f>SUMIF(Vendor_Payments!C:C,A956,Vendor_Payments!E:E)</f>
        <v>6048.18</v>
      </c>
      <c r="H956" s="3">
        <f t="shared" si="42"/>
        <v>0</v>
      </c>
      <c r="I956">
        <f t="shared" si="43"/>
        <v>14</v>
      </c>
      <c r="J956" t="str">
        <f t="shared" si="44"/>
        <v>1-30</v>
      </c>
    </row>
    <row r="957" spans="1:10" x14ac:dyDescent="0.3">
      <c r="A957" t="str">
        <f>Table3[[#This Row],[BillID]]</f>
        <v>BILL-00956</v>
      </c>
      <c r="B957" t="str">
        <f>Table3[[#This Row],[VendorID]]</f>
        <v>VEN-012</v>
      </c>
      <c r="C957" t="str">
        <f>VLOOKUP(B957,Vendors!A:B,2,FALSE)</f>
        <v>Google Cloud</v>
      </c>
      <c r="D957" s="9">
        <f>Table3[[#This Row],[BillDate]]</f>
        <v>46079</v>
      </c>
      <c r="E957" s="9">
        <f>Table3[[#This Row],[DueDate]]</f>
        <v>46109</v>
      </c>
      <c r="F957" s="3">
        <f>Table3[[#This Row],[BillAmount]]</f>
        <v>4780.59</v>
      </c>
      <c r="G957" s="3">
        <f>SUMIF(Vendor_Payments!C:C,A957,Vendor_Payments!E:E)</f>
        <v>0</v>
      </c>
      <c r="H957" s="3">
        <f t="shared" si="42"/>
        <v>4780.59</v>
      </c>
      <c r="I957">
        <f t="shared" si="43"/>
        <v>-18</v>
      </c>
      <c r="J957" t="str">
        <f t="shared" si="44"/>
        <v>Current</v>
      </c>
    </row>
    <row r="958" spans="1:10" x14ac:dyDescent="0.3">
      <c r="A958" t="str">
        <f>Table3[[#This Row],[BillID]]</f>
        <v>BILL-00957</v>
      </c>
      <c r="B958" t="str">
        <f>Table3[[#This Row],[VendorID]]</f>
        <v>VEN-019</v>
      </c>
      <c r="C958" t="str">
        <f>VLOOKUP(B958,Vendors!A:B,2,FALSE)</f>
        <v>Notion</v>
      </c>
      <c r="D958" s="9">
        <f>Table3[[#This Row],[BillDate]]</f>
        <v>46001</v>
      </c>
      <c r="E958" s="9">
        <f>Table3[[#This Row],[DueDate]]</f>
        <v>46031</v>
      </c>
      <c r="F958" s="3">
        <f>Table3[[#This Row],[BillAmount]]</f>
        <v>4316.37</v>
      </c>
      <c r="G958" s="3">
        <f>SUMIF(Vendor_Payments!C:C,A958,Vendor_Payments!E:E)</f>
        <v>4316.37</v>
      </c>
      <c r="H958" s="3">
        <f t="shared" si="42"/>
        <v>0</v>
      </c>
      <c r="I958">
        <f t="shared" si="43"/>
        <v>60</v>
      </c>
      <c r="J958" t="str">
        <f t="shared" si="44"/>
        <v>31-60</v>
      </c>
    </row>
    <row r="959" spans="1:10" x14ac:dyDescent="0.3">
      <c r="A959" t="str">
        <f>Table3[[#This Row],[BillID]]</f>
        <v>BILL-00958</v>
      </c>
      <c r="B959" t="str">
        <f>Table3[[#This Row],[VendorID]]</f>
        <v>VEN-002</v>
      </c>
      <c r="C959" t="str">
        <f>VLOOKUP(B959,Vendors!A:B,2,FALSE)</f>
        <v>Meta Ads</v>
      </c>
      <c r="D959" s="9">
        <f>Table3[[#This Row],[BillDate]]</f>
        <v>46068</v>
      </c>
      <c r="E959" s="9">
        <f>Table3[[#This Row],[DueDate]]</f>
        <v>46098</v>
      </c>
      <c r="F959" s="3">
        <f>Table3[[#This Row],[BillAmount]]</f>
        <v>3352.5</v>
      </c>
      <c r="G959" s="3">
        <f>SUMIF(Vendor_Payments!C:C,A959,Vendor_Payments!E:E)</f>
        <v>0</v>
      </c>
      <c r="H959" s="3">
        <f t="shared" si="42"/>
        <v>3352.5</v>
      </c>
      <c r="I959">
        <f t="shared" si="43"/>
        <v>-7</v>
      </c>
      <c r="J959" t="str">
        <f t="shared" si="44"/>
        <v>Current</v>
      </c>
    </row>
    <row r="960" spans="1:10" x14ac:dyDescent="0.3">
      <c r="A960" t="str">
        <f>Table3[[#This Row],[BillID]]</f>
        <v>BILL-00959</v>
      </c>
      <c r="B960" t="str">
        <f>Table3[[#This Row],[VendorID]]</f>
        <v>VEN-022</v>
      </c>
      <c r="C960" t="str">
        <f>VLOOKUP(B960,Vendors!A:B,2,FALSE)</f>
        <v>Toptal Talent</v>
      </c>
      <c r="D960" s="9">
        <f>Table3[[#This Row],[BillDate]]</f>
        <v>46022</v>
      </c>
      <c r="E960" s="9">
        <f>Table3[[#This Row],[DueDate]]</f>
        <v>46052</v>
      </c>
      <c r="F960" s="3">
        <f>Table3[[#This Row],[BillAmount]]</f>
        <v>2168.1799999999998</v>
      </c>
      <c r="G960" s="3">
        <f>SUMIF(Vendor_Payments!C:C,A960,Vendor_Payments!E:E)</f>
        <v>2168.1799999999998</v>
      </c>
      <c r="H960" s="3">
        <f t="shared" si="42"/>
        <v>0</v>
      </c>
      <c r="I960">
        <f t="shared" si="43"/>
        <v>39</v>
      </c>
      <c r="J960" t="str">
        <f t="shared" si="44"/>
        <v>31-60</v>
      </c>
    </row>
    <row r="961" spans="1:10" x14ac:dyDescent="0.3">
      <c r="A961" t="str">
        <f>Table3[[#This Row],[BillID]]</f>
        <v>BILL-00960</v>
      </c>
      <c r="B961" t="str">
        <f>Table3[[#This Row],[VendorID]]</f>
        <v>VEN-007</v>
      </c>
      <c r="C961" t="str">
        <f>VLOOKUP(B961,Vendors!A:B,2,FALSE)</f>
        <v>Mailchimp</v>
      </c>
      <c r="D961" s="9">
        <f>Table3[[#This Row],[BillDate]]</f>
        <v>46072</v>
      </c>
      <c r="E961" s="9">
        <f>Table3[[#This Row],[DueDate]]</f>
        <v>46102</v>
      </c>
      <c r="F961" s="3">
        <f>Table3[[#This Row],[BillAmount]]</f>
        <v>1852.81</v>
      </c>
      <c r="G961" s="3">
        <f>SUMIF(Vendor_Payments!C:C,A961,Vendor_Payments!E:E)</f>
        <v>0</v>
      </c>
      <c r="H961" s="3">
        <f t="shared" si="42"/>
        <v>1852.81</v>
      </c>
      <c r="I961">
        <f t="shared" si="43"/>
        <v>-11</v>
      </c>
      <c r="J961" t="str">
        <f t="shared" si="44"/>
        <v>Current</v>
      </c>
    </row>
    <row r="962" spans="1:10" x14ac:dyDescent="0.3">
      <c r="A962" t="str">
        <f>Table3[[#This Row],[BillID]]</f>
        <v>BILL-00961</v>
      </c>
      <c r="B962" t="str">
        <f>Table3[[#This Row],[VendorID]]</f>
        <v>VEN-008</v>
      </c>
      <c r="C962" t="str">
        <f>VLOOKUP(B962,Vendors!A:B,2,FALSE)</f>
        <v>Ahrefs</v>
      </c>
      <c r="D962" s="9">
        <f>Table3[[#This Row],[BillDate]]</f>
        <v>46027</v>
      </c>
      <c r="E962" s="9">
        <f>Table3[[#This Row],[DueDate]]</f>
        <v>46057</v>
      </c>
      <c r="F962" s="3">
        <f>Table3[[#This Row],[BillAmount]]</f>
        <v>3288.38</v>
      </c>
      <c r="G962" s="3">
        <f>SUMIF(Vendor_Payments!C:C,A962,Vendor_Payments!E:E)</f>
        <v>0</v>
      </c>
      <c r="H962" s="3">
        <f t="shared" si="42"/>
        <v>3288.38</v>
      </c>
      <c r="I962">
        <f t="shared" si="43"/>
        <v>34</v>
      </c>
      <c r="J962" t="str">
        <f t="shared" si="44"/>
        <v>31-60</v>
      </c>
    </row>
    <row r="963" spans="1:10" x14ac:dyDescent="0.3">
      <c r="A963" t="str">
        <f>Table3[[#This Row],[BillID]]</f>
        <v>BILL-00962</v>
      </c>
      <c r="B963" t="str">
        <f>Table3[[#This Row],[VendorID]]</f>
        <v>VEN-018</v>
      </c>
      <c r="C963" t="str">
        <f>VLOOKUP(B963,Vendors!A:B,2,FALSE)</f>
        <v>Cloudflare</v>
      </c>
      <c r="D963" s="9">
        <f>Table3[[#This Row],[BillDate]]</f>
        <v>46081</v>
      </c>
      <c r="E963" s="9">
        <f>Table3[[#This Row],[DueDate]]</f>
        <v>46111</v>
      </c>
      <c r="F963" s="3">
        <f>Table3[[#This Row],[BillAmount]]</f>
        <v>5334.57</v>
      </c>
      <c r="G963" s="3">
        <f>SUMIF(Vendor_Payments!C:C,A963,Vendor_Payments!E:E)</f>
        <v>5334.57</v>
      </c>
      <c r="H963" s="3">
        <f t="shared" ref="H963:H1026" si="45">F963-G963</f>
        <v>0</v>
      </c>
      <c r="I963">
        <f t="shared" ref="I963:I1026" si="46">$L$1-E963</f>
        <v>-20</v>
      </c>
      <c r="J963" t="str">
        <f t="shared" ref="J963:J1026" si="47">IF(I963&lt;=0,"Current",IF(I963&lt;=30,"1-30",IF(I963&lt;=60,"31-60",IF(I963&lt;=90,"61-90","90+"))))</f>
        <v>Current</v>
      </c>
    </row>
    <row r="964" spans="1:10" x14ac:dyDescent="0.3">
      <c r="A964" t="str">
        <f>Table3[[#This Row],[BillID]]</f>
        <v>BILL-00963</v>
      </c>
      <c r="B964" t="str">
        <f>Table3[[#This Row],[VendorID]]</f>
        <v>VEN-013</v>
      </c>
      <c r="C964" t="str">
        <f>VLOOKUP(B964,Vendors!A:B,2,FALSE)</f>
        <v>Canva Pro</v>
      </c>
      <c r="D964" s="9">
        <f>Table3[[#This Row],[BillDate]]</f>
        <v>45986</v>
      </c>
      <c r="E964" s="9">
        <f>Table3[[#This Row],[DueDate]]</f>
        <v>46016</v>
      </c>
      <c r="F964" s="3">
        <f>Table3[[#This Row],[BillAmount]]</f>
        <v>2203.81</v>
      </c>
      <c r="G964" s="3">
        <f>SUMIF(Vendor_Payments!C:C,A964,Vendor_Payments!E:E)</f>
        <v>2203.81</v>
      </c>
      <c r="H964" s="3">
        <f t="shared" si="45"/>
        <v>0</v>
      </c>
      <c r="I964">
        <f t="shared" si="46"/>
        <v>75</v>
      </c>
      <c r="J964" t="str">
        <f t="shared" si="47"/>
        <v>61-90</v>
      </c>
    </row>
    <row r="965" spans="1:10" x14ac:dyDescent="0.3">
      <c r="A965" t="str">
        <f>Table3[[#This Row],[BillID]]</f>
        <v>BILL-00964</v>
      </c>
      <c r="B965" t="str">
        <f>Table3[[#This Row],[VendorID]]</f>
        <v>VEN-031</v>
      </c>
      <c r="C965" t="str">
        <f>VLOOKUP(B965,Vendors!A:B,2,FALSE)</f>
        <v>DataInsight Analytics</v>
      </c>
      <c r="D965" s="9">
        <f>Table3[[#This Row],[BillDate]]</f>
        <v>46008</v>
      </c>
      <c r="E965" s="9">
        <f>Table3[[#This Row],[DueDate]]</f>
        <v>46038</v>
      </c>
      <c r="F965" s="3">
        <f>Table3[[#This Row],[BillAmount]]</f>
        <v>6489.38</v>
      </c>
      <c r="G965" s="3">
        <f>SUMIF(Vendor_Payments!C:C,A965,Vendor_Payments!E:E)</f>
        <v>6489.38</v>
      </c>
      <c r="H965" s="3">
        <f t="shared" si="45"/>
        <v>0</v>
      </c>
      <c r="I965">
        <f t="shared" si="46"/>
        <v>53</v>
      </c>
      <c r="J965" t="str">
        <f t="shared" si="47"/>
        <v>31-60</v>
      </c>
    </row>
    <row r="966" spans="1:10" x14ac:dyDescent="0.3">
      <c r="A966" t="str">
        <f>Table3[[#This Row],[BillID]]</f>
        <v>BILL-00965</v>
      </c>
      <c r="B966" t="str">
        <f>Table3[[#This Row],[VendorID]]</f>
        <v>VEN-014</v>
      </c>
      <c r="C966" t="str">
        <f>VLOOKUP(B966,Vendors!A:B,2,FALSE)</f>
        <v>Figma</v>
      </c>
      <c r="D966" s="9">
        <f>Table3[[#This Row],[BillDate]]</f>
        <v>45988</v>
      </c>
      <c r="E966" s="9">
        <f>Table3[[#This Row],[DueDate]]</f>
        <v>46018</v>
      </c>
      <c r="F966" s="3">
        <f>Table3[[#This Row],[BillAmount]]</f>
        <v>6733.38</v>
      </c>
      <c r="G966" s="3">
        <f>SUMIF(Vendor_Payments!C:C,A966,Vendor_Payments!E:E)</f>
        <v>6733.38</v>
      </c>
      <c r="H966" s="3">
        <f t="shared" si="45"/>
        <v>0</v>
      </c>
      <c r="I966">
        <f t="shared" si="46"/>
        <v>73</v>
      </c>
      <c r="J966" t="str">
        <f t="shared" si="47"/>
        <v>61-90</v>
      </c>
    </row>
    <row r="967" spans="1:10" x14ac:dyDescent="0.3">
      <c r="A967" t="str">
        <f>Table3[[#This Row],[BillID]]</f>
        <v>BILL-00966</v>
      </c>
      <c r="B967" t="str">
        <f>Table3[[#This Row],[VendorID]]</f>
        <v>VEN-019</v>
      </c>
      <c r="C967" t="str">
        <f>VLOOKUP(B967,Vendors!A:B,2,FALSE)</f>
        <v>Notion</v>
      </c>
      <c r="D967" s="9">
        <f>Table3[[#This Row],[BillDate]]</f>
        <v>46034</v>
      </c>
      <c r="E967" s="9">
        <f>Table3[[#This Row],[DueDate]]</f>
        <v>46064</v>
      </c>
      <c r="F967" s="3">
        <f>Table3[[#This Row],[BillAmount]]</f>
        <v>1082.6600000000001</v>
      </c>
      <c r="G967" s="3">
        <f>SUMIF(Vendor_Payments!C:C,A967,Vendor_Payments!E:E)</f>
        <v>1082.6600000000001</v>
      </c>
      <c r="H967" s="3">
        <f t="shared" si="45"/>
        <v>0</v>
      </c>
      <c r="I967">
        <f t="shared" si="46"/>
        <v>27</v>
      </c>
      <c r="J967" t="str">
        <f t="shared" si="47"/>
        <v>1-30</v>
      </c>
    </row>
    <row r="968" spans="1:10" x14ac:dyDescent="0.3">
      <c r="A968" t="str">
        <f>Table3[[#This Row],[BillID]]</f>
        <v>BILL-00967</v>
      </c>
      <c r="B968" t="str">
        <f>Table3[[#This Row],[VendorID]]</f>
        <v>VEN-017</v>
      </c>
      <c r="C968" t="str">
        <f>VLOOKUP(B968,Vendors!A:B,2,FALSE)</f>
        <v>PayPal</v>
      </c>
      <c r="D968" s="9">
        <f>Table3[[#This Row],[BillDate]]</f>
        <v>46020</v>
      </c>
      <c r="E968" s="9">
        <f>Table3[[#This Row],[DueDate]]</f>
        <v>46050</v>
      </c>
      <c r="F968" s="3">
        <f>Table3[[#This Row],[BillAmount]]</f>
        <v>1349.39</v>
      </c>
      <c r="G968" s="3">
        <f>SUMIF(Vendor_Payments!C:C,A968,Vendor_Payments!E:E)</f>
        <v>1349.39</v>
      </c>
      <c r="H968" s="3">
        <f t="shared" si="45"/>
        <v>0</v>
      </c>
      <c r="I968">
        <f t="shared" si="46"/>
        <v>41</v>
      </c>
      <c r="J968" t="str">
        <f t="shared" si="47"/>
        <v>31-60</v>
      </c>
    </row>
    <row r="969" spans="1:10" x14ac:dyDescent="0.3">
      <c r="A969" t="str">
        <f>Table3[[#This Row],[BillID]]</f>
        <v>BILL-00968</v>
      </c>
      <c r="B969" t="str">
        <f>Table3[[#This Row],[VendorID]]</f>
        <v>VEN-032</v>
      </c>
      <c r="C969" t="str">
        <f>VLOOKUP(B969,Vendors!A:B,2,FALSE)</f>
        <v>Marketing Automation Labs</v>
      </c>
      <c r="D969" s="9">
        <f>Table3[[#This Row],[BillDate]]</f>
        <v>46075</v>
      </c>
      <c r="E969" s="9">
        <f>Table3[[#This Row],[DueDate]]</f>
        <v>46105</v>
      </c>
      <c r="F969" s="3">
        <f>Table3[[#This Row],[BillAmount]]</f>
        <v>4523.07</v>
      </c>
      <c r="G969" s="3">
        <f>SUMIF(Vendor_Payments!C:C,A969,Vendor_Payments!E:E)</f>
        <v>4523.07</v>
      </c>
      <c r="H969" s="3">
        <f t="shared" si="45"/>
        <v>0</v>
      </c>
      <c r="I969">
        <f t="shared" si="46"/>
        <v>-14</v>
      </c>
      <c r="J969" t="str">
        <f t="shared" si="47"/>
        <v>Current</v>
      </c>
    </row>
    <row r="970" spans="1:10" x14ac:dyDescent="0.3">
      <c r="A970" t="str">
        <f>Table3[[#This Row],[BillID]]</f>
        <v>BILL-00969</v>
      </c>
      <c r="B970" t="str">
        <f>Table3[[#This Row],[VendorID]]</f>
        <v>VEN-006</v>
      </c>
      <c r="C970" t="str">
        <f>VLOOKUP(B970,Vendors!A:B,2,FALSE)</f>
        <v>Salesforce</v>
      </c>
      <c r="D970" s="9">
        <f>Table3[[#This Row],[BillDate]]</f>
        <v>45994</v>
      </c>
      <c r="E970" s="9">
        <f>Table3[[#This Row],[DueDate]]</f>
        <v>46024</v>
      </c>
      <c r="F970" s="3">
        <f>Table3[[#This Row],[BillAmount]]</f>
        <v>1443.12</v>
      </c>
      <c r="G970" s="3">
        <f>SUMIF(Vendor_Payments!C:C,A970,Vendor_Payments!E:E)</f>
        <v>1443.12</v>
      </c>
      <c r="H970" s="3">
        <f t="shared" si="45"/>
        <v>0</v>
      </c>
      <c r="I970">
        <f t="shared" si="46"/>
        <v>67</v>
      </c>
      <c r="J970" t="str">
        <f t="shared" si="47"/>
        <v>61-90</v>
      </c>
    </row>
    <row r="971" spans="1:10" x14ac:dyDescent="0.3">
      <c r="A971" t="str">
        <f>Table3[[#This Row],[BillID]]</f>
        <v>BILL-00970</v>
      </c>
      <c r="B971" t="str">
        <f>Table3[[#This Row],[VendorID]]</f>
        <v>VEN-038</v>
      </c>
      <c r="C971" t="str">
        <f>VLOOKUP(B971,Vendors!A:B,2,FALSE)</f>
        <v>Insight Marketing Partners</v>
      </c>
      <c r="D971" s="9">
        <f>Table3[[#This Row],[BillDate]]</f>
        <v>45970</v>
      </c>
      <c r="E971" s="9">
        <f>Table3[[#This Row],[DueDate]]</f>
        <v>46000</v>
      </c>
      <c r="F971" s="3">
        <f>Table3[[#This Row],[BillAmount]]</f>
        <v>4910.08</v>
      </c>
      <c r="G971" s="3">
        <f>SUMIF(Vendor_Payments!C:C,A971,Vendor_Payments!E:E)</f>
        <v>4910.08</v>
      </c>
      <c r="H971" s="3">
        <f t="shared" si="45"/>
        <v>0</v>
      </c>
      <c r="I971">
        <f t="shared" si="46"/>
        <v>91</v>
      </c>
      <c r="J971" t="str">
        <f t="shared" si="47"/>
        <v>90+</v>
      </c>
    </row>
    <row r="972" spans="1:10" x14ac:dyDescent="0.3">
      <c r="A972" t="str">
        <f>Table3[[#This Row],[BillID]]</f>
        <v>BILL-00971</v>
      </c>
      <c r="B972" t="str">
        <f>Table3[[#This Row],[VendorID]]</f>
        <v>VEN-020</v>
      </c>
      <c r="C972" t="str">
        <f>VLOOKUP(B972,Vendors!A:B,2,FALSE)</f>
        <v>Slack</v>
      </c>
      <c r="D972" s="9">
        <f>Table3[[#This Row],[BillDate]]</f>
        <v>45993</v>
      </c>
      <c r="E972" s="9">
        <f>Table3[[#This Row],[DueDate]]</f>
        <v>46023</v>
      </c>
      <c r="F972" s="3">
        <f>Table3[[#This Row],[BillAmount]]</f>
        <v>4868.17</v>
      </c>
      <c r="G972" s="3">
        <f>SUMIF(Vendor_Payments!C:C,A972,Vendor_Payments!E:E)</f>
        <v>0</v>
      </c>
      <c r="H972" s="3">
        <f t="shared" si="45"/>
        <v>4868.17</v>
      </c>
      <c r="I972">
        <f t="shared" si="46"/>
        <v>68</v>
      </c>
      <c r="J972" t="str">
        <f t="shared" si="47"/>
        <v>61-90</v>
      </c>
    </row>
    <row r="973" spans="1:10" x14ac:dyDescent="0.3">
      <c r="A973" t="str">
        <f>Table3[[#This Row],[BillID]]</f>
        <v>BILL-00972</v>
      </c>
      <c r="B973" t="str">
        <f>Table3[[#This Row],[VendorID]]</f>
        <v>VEN-034</v>
      </c>
      <c r="C973" t="str">
        <f>VLOOKUP(B973,Vendors!A:B,2,FALSE)</f>
        <v>SocialBoost Agency</v>
      </c>
      <c r="D973" s="9">
        <f>Table3[[#This Row],[BillDate]]</f>
        <v>46091</v>
      </c>
      <c r="E973" s="9">
        <f>Table3[[#This Row],[DueDate]]</f>
        <v>46121</v>
      </c>
      <c r="F973" s="3">
        <f>Table3[[#This Row],[BillAmount]]</f>
        <v>4283.29</v>
      </c>
      <c r="G973" s="3">
        <f>SUMIF(Vendor_Payments!C:C,A973,Vendor_Payments!E:E)</f>
        <v>0</v>
      </c>
      <c r="H973" s="3">
        <f t="shared" si="45"/>
        <v>4283.29</v>
      </c>
      <c r="I973">
        <f t="shared" si="46"/>
        <v>-30</v>
      </c>
      <c r="J973" t="str">
        <f t="shared" si="47"/>
        <v>Current</v>
      </c>
    </row>
    <row r="974" spans="1:10" x14ac:dyDescent="0.3">
      <c r="A974" t="str">
        <f>Table3[[#This Row],[BillID]]</f>
        <v>BILL-00973</v>
      </c>
      <c r="B974" t="str">
        <f>Table3[[#This Row],[VendorID]]</f>
        <v>VEN-008</v>
      </c>
      <c r="C974" t="str">
        <f>VLOOKUP(B974,Vendors!A:B,2,FALSE)</f>
        <v>Ahrefs</v>
      </c>
      <c r="D974" s="9">
        <f>Table3[[#This Row],[BillDate]]</f>
        <v>46082</v>
      </c>
      <c r="E974" s="9">
        <f>Table3[[#This Row],[DueDate]]</f>
        <v>46112</v>
      </c>
      <c r="F974" s="3">
        <f>Table3[[#This Row],[BillAmount]]</f>
        <v>3306.03</v>
      </c>
      <c r="G974" s="3">
        <f>SUMIF(Vendor_Payments!C:C,A974,Vendor_Payments!E:E)</f>
        <v>3306.03</v>
      </c>
      <c r="H974" s="3">
        <f t="shared" si="45"/>
        <v>0</v>
      </c>
      <c r="I974">
        <f t="shared" si="46"/>
        <v>-21</v>
      </c>
      <c r="J974" t="str">
        <f t="shared" si="47"/>
        <v>Current</v>
      </c>
    </row>
    <row r="975" spans="1:10" x14ac:dyDescent="0.3">
      <c r="A975" t="str">
        <f>Table3[[#This Row],[BillID]]</f>
        <v>BILL-00974</v>
      </c>
      <c r="B975" t="str">
        <f>Table3[[#This Row],[VendorID]]</f>
        <v>VEN-005</v>
      </c>
      <c r="C975" t="str">
        <f>VLOOKUP(B975,Vendors!A:B,2,FALSE)</f>
        <v>HubSpot</v>
      </c>
      <c r="D975" s="9">
        <f>Table3[[#This Row],[BillDate]]</f>
        <v>46068</v>
      </c>
      <c r="E975" s="9">
        <f>Table3[[#This Row],[DueDate]]</f>
        <v>46098</v>
      </c>
      <c r="F975" s="3">
        <f>Table3[[#This Row],[BillAmount]]</f>
        <v>6232.26</v>
      </c>
      <c r="G975" s="3">
        <f>SUMIF(Vendor_Payments!C:C,A975,Vendor_Payments!E:E)</f>
        <v>6232.26</v>
      </c>
      <c r="H975" s="3">
        <f t="shared" si="45"/>
        <v>0</v>
      </c>
      <c r="I975">
        <f t="shared" si="46"/>
        <v>-7</v>
      </c>
      <c r="J975" t="str">
        <f t="shared" si="47"/>
        <v>Current</v>
      </c>
    </row>
    <row r="976" spans="1:10" x14ac:dyDescent="0.3">
      <c r="A976" t="str">
        <f>Table3[[#This Row],[BillID]]</f>
        <v>BILL-00975</v>
      </c>
      <c r="B976" t="str">
        <f>Table3[[#This Row],[VendorID]]</f>
        <v>VEN-010</v>
      </c>
      <c r="C976" t="str">
        <f>VLOOKUP(B976,Vendors!A:B,2,FALSE)</f>
        <v>Adobe Creative Cloud</v>
      </c>
      <c r="D976" s="9">
        <f>Table3[[#This Row],[BillDate]]</f>
        <v>46045</v>
      </c>
      <c r="E976" s="9">
        <f>Table3[[#This Row],[DueDate]]</f>
        <v>46075</v>
      </c>
      <c r="F976" s="3">
        <f>Table3[[#This Row],[BillAmount]]</f>
        <v>1556.36</v>
      </c>
      <c r="G976" s="3">
        <f>SUMIF(Vendor_Payments!C:C,A976,Vendor_Payments!E:E)</f>
        <v>0</v>
      </c>
      <c r="H976" s="3">
        <f t="shared" si="45"/>
        <v>1556.36</v>
      </c>
      <c r="I976">
        <f t="shared" si="46"/>
        <v>16</v>
      </c>
      <c r="J976" t="str">
        <f t="shared" si="47"/>
        <v>1-30</v>
      </c>
    </row>
    <row r="977" spans="1:10" x14ac:dyDescent="0.3">
      <c r="A977" t="str">
        <f>Table3[[#This Row],[BillID]]</f>
        <v>BILL-00976</v>
      </c>
      <c r="B977" t="str">
        <f>Table3[[#This Row],[VendorID]]</f>
        <v>VEN-033</v>
      </c>
      <c r="C977" t="str">
        <f>VLOOKUP(B977,Vendors!A:B,2,FALSE)</f>
        <v>AdScale Solutions</v>
      </c>
      <c r="D977" s="9">
        <f>Table3[[#This Row],[BillDate]]</f>
        <v>46063</v>
      </c>
      <c r="E977" s="9">
        <f>Table3[[#This Row],[DueDate]]</f>
        <v>46093</v>
      </c>
      <c r="F977" s="3">
        <f>Table3[[#This Row],[BillAmount]]</f>
        <v>6350.98</v>
      </c>
      <c r="G977" s="3">
        <f>SUMIF(Vendor_Payments!C:C,A977,Vendor_Payments!E:E)</f>
        <v>0</v>
      </c>
      <c r="H977" s="3">
        <f t="shared" si="45"/>
        <v>6350.98</v>
      </c>
      <c r="I977">
        <f t="shared" si="46"/>
        <v>-2</v>
      </c>
      <c r="J977" t="str">
        <f t="shared" si="47"/>
        <v>Current</v>
      </c>
    </row>
    <row r="978" spans="1:10" x14ac:dyDescent="0.3">
      <c r="A978" t="str">
        <f>Table3[[#This Row],[BillID]]</f>
        <v>BILL-00977</v>
      </c>
      <c r="B978" t="str">
        <f>Table3[[#This Row],[VendorID]]</f>
        <v>VEN-017</v>
      </c>
      <c r="C978" t="str">
        <f>VLOOKUP(B978,Vendors!A:B,2,FALSE)</f>
        <v>PayPal</v>
      </c>
      <c r="D978" s="9">
        <f>Table3[[#This Row],[BillDate]]</f>
        <v>46055</v>
      </c>
      <c r="E978" s="9">
        <f>Table3[[#This Row],[DueDate]]</f>
        <v>46085</v>
      </c>
      <c r="F978" s="3">
        <f>Table3[[#This Row],[BillAmount]]</f>
        <v>6306.56</v>
      </c>
      <c r="G978" s="3">
        <f>SUMIF(Vendor_Payments!C:C,A978,Vendor_Payments!E:E)</f>
        <v>0</v>
      </c>
      <c r="H978" s="3">
        <f t="shared" si="45"/>
        <v>6306.56</v>
      </c>
      <c r="I978">
        <f t="shared" si="46"/>
        <v>6</v>
      </c>
      <c r="J978" t="str">
        <f t="shared" si="47"/>
        <v>1-30</v>
      </c>
    </row>
    <row r="979" spans="1:10" x14ac:dyDescent="0.3">
      <c r="A979" t="str">
        <f>Table3[[#This Row],[BillID]]</f>
        <v>BILL-00978</v>
      </c>
      <c r="B979" t="str">
        <f>Table3[[#This Row],[VendorID]]</f>
        <v>VEN-013</v>
      </c>
      <c r="C979" t="str">
        <f>VLOOKUP(B979,Vendors!A:B,2,FALSE)</f>
        <v>Canva Pro</v>
      </c>
      <c r="D979" s="9">
        <f>Table3[[#This Row],[BillDate]]</f>
        <v>46002</v>
      </c>
      <c r="E979" s="9">
        <f>Table3[[#This Row],[DueDate]]</f>
        <v>46032</v>
      </c>
      <c r="F979" s="3">
        <f>Table3[[#This Row],[BillAmount]]</f>
        <v>1263.06</v>
      </c>
      <c r="G979" s="3">
        <f>SUMIF(Vendor_Payments!C:C,A979,Vendor_Payments!E:E)</f>
        <v>1263.06</v>
      </c>
      <c r="H979" s="3">
        <f t="shared" si="45"/>
        <v>0</v>
      </c>
      <c r="I979">
        <f t="shared" si="46"/>
        <v>59</v>
      </c>
      <c r="J979" t="str">
        <f t="shared" si="47"/>
        <v>31-60</v>
      </c>
    </row>
    <row r="980" spans="1:10" x14ac:dyDescent="0.3">
      <c r="A980" t="str">
        <f>Table3[[#This Row],[BillID]]</f>
        <v>BILL-00979</v>
      </c>
      <c r="B980" t="str">
        <f>Table3[[#This Row],[VendorID]]</f>
        <v>VEN-007</v>
      </c>
      <c r="C980" t="str">
        <f>VLOOKUP(B980,Vendors!A:B,2,FALSE)</f>
        <v>Mailchimp</v>
      </c>
      <c r="D980" s="9">
        <f>Table3[[#This Row],[BillDate]]</f>
        <v>46025</v>
      </c>
      <c r="E980" s="9">
        <f>Table3[[#This Row],[DueDate]]</f>
        <v>46055</v>
      </c>
      <c r="F980" s="3">
        <f>Table3[[#This Row],[BillAmount]]</f>
        <v>3811.11</v>
      </c>
      <c r="G980" s="3">
        <f>SUMIF(Vendor_Payments!C:C,A980,Vendor_Payments!E:E)</f>
        <v>0</v>
      </c>
      <c r="H980" s="3">
        <f t="shared" si="45"/>
        <v>3811.11</v>
      </c>
      <c r="I980">
        <f t="shared" si="46"/>
        <v>36</v>
      </c>
      <c r="J980" t="str">
        <f t="shared" si="47"/>
        <v>31-60</v>
      </c>
    </row>
    <row r="981" spans="1:10" x14ac:dyDescent="0.3">
      <c r="A981" t="str">
        <f>Table3[[#This Row],[BillID]]</f>
        <v>BILL-00980</v>
      </c>
      <c r="B981" t="str">
        <f>Table3[[#This Row],[VendorID]]</f>
        <v>VEN-014</v>
      </c>
      <c r="C981" t="str">
        <f>VLOOKUP(B981,Vendors!A:B,2,FALSE)</f>
        <v>Figma</v>
      </c>
      <c r="D981" s="9">
        <f>Table3[[#This Row],[BillDate]]</f>
        <v>46089</v>
      </c>
      <c r="E981" s="9">
        <f>Table3[[#This Row],[DueDate]]</f>
        <v>46119</v>
      </c>
      <c r="F981" s="3">
        <f>Table3[[#This Row],[BillAmount]]</f>
        <v>6508.84</v>
      </c>
      <c r="G981" s="3">
        <f>SUMIF(Vendor_Payments!C:C,A981,Vendor_Payments!E:E)</f>
        <v>6508.84</v>
      </c>
      <c r="H981" s="3">
        <f t="shared" si="45"/>
        <v>0</v>
      </c>
      <c r="I981">
        <f t="shared" si="46"/>
        <v>-28</v>
      </c>
      <c r="J981" t="str">
        <f t="shared" si="47"/>
        <v>Current</v>
      </c>
    </row>
    <row r="982" spans="1:10" x14ac:dyDescent="0.3">
      <c r="A982" t="str">
        <f>Table3[[#This Row],[BillID]]</f>
        <v>BILL-00981</v>
      </c>
      <c r="B982" t="str">
        <f>Table3[[#This Row],[VendorID]]</f>
        <v>VEN-031</v>
      </c>
      <c r="C982" t="str">
        <f>VLOOKUP(B982,Vendors!A:B,2,FALSE)</f>
        <v>DataInsight Analytics</v>
      </c>
      <c r="D982" s="9">
        <f>Table3[[#This Row],[BillDate]]</f>
        <v>46040</v>
      </c>
      <c r="E982" s="9">
        <f>Table3[[#This Row],[DueDate]]</f>
        <v>46070</v>
      </c>
      <c r="F982" s="3">
        <f>Table3[[#This Row],[BillAmount]]</f>
        <v>1413.07</v>
      </c>
      <c r="G982" s="3">
        <f>SUMIF(Vendor_Payments!C:C,A982,Vendor_Payments!E:E)</f>
        <v>0</v>
      </c>
      <c r="H982" s="3">
        <f t="shared" si="45"/>
        <v>1413.07</v>
      </c>
      <c r="I982">
        <f t="shared" si="46"/>
        <v>21</v>
      </c>
      <c r="J982" t="str">
        <f t="shared" si="47"/>
        <v>1-30</v>
      </c>
    </row>
    <row r="983" spans="1:10" x14ac:dyDescent="0.3">
      <c r="A983" t="str">
        <f>Table3[[#This Row],[BillID]]</f>
        <v>BILL-00982</v>
      </c>
      <c r="B983" t="str">
        <f>Table3[[#This Row],[VendorID]]</f>
        <v>VEN-008</v>
      </c>
      <c r="C983" t="str">
        <f>VLOOKUP(B983,Vendors!A:B,2,FALSE)</f>
        <v>Ahrefs</v>
      </c>
      <c r="D983" s="9">
        <f>Table3[[#This Row],[BillDate]]</f>
        <v>45988</v>
      </c>
      <c r="E983" s="9">
        <f>Table3[[#This Row],[DueDate]]</f>
        <v>46018</v>
      </c>
      <c r="F983" s="3">
        <f>Table3[[#This Row],[BillAmount]]</f>
        <v>2060.3200000000002</v>
      </c>
      <c r="G983" s="3">
        <f>SUMIF(Vendor_Payments!C:C,A983,Vendor_Payments!E:E)</f>
        <v>2060.3200000000002</v>
      </c>
      <c r="H983" s="3">
        <f t="shared" si="45"/>
        <v>0</v>
      </c>
      <c r="I983">
        <f t="shared" si="46"/>
        <v>73</v>
      </c>
      <c r="J983" t="str">
        <f t="shared" si="47"/>
        <v>61-90</v>
      </c>
    </row>
    <row r="984" spans="1:10" x14ac:dyDescent="0.3">
      <c r="A984" t="str">
        <f>Table3[[#This Row],[BillID]]</f>
        <v>BILL-00983</v>
      </c>
      <c r="B984" t="str">
        <f>Table3[[#This Row],[VendorID]]</f>
        <v>VEN-038</v>
      </c>
      <c r="C984" t="str">
        <f>VLOOKUP(B984,Vendors!A:B,2,FALSE)</f>
        <v>Insight Marketing Partners</v>
      </c>
      <c r="D984" s="9">
        <f>Table3[[#This Row],[BillDate]]</f>
        <v>46074</v>
      </c>
      <c r="E984" s="9">
        <f>Table3[[#This Row],[DueDate]]</f>
        <v>46104</v>
      </c>
      <c r="F984" s="3">
        <f>Table3[[#This Row],[BillAmount]]</f>
        <v>5027.4399999999996</v>
      </c>
      <c r="G984" s="3">
        <f>SUMIF(Vendor_Payments!C:C,A984,Vendor_Payments!E:E)</f>
        <v>0</v>
      </c>
      <c r="H984" s="3">
        <f t="shared" si="45"/>
        <v>5027.4399999999996</v>
      </c>
      <c r="I984">
        <f t="shared" si="46"/>
        <v>-13</v>
      </c>
      <c r="J984" t="str">
        <f t="shared" si="47"/>
        <v>Current</v>
      </c>
    </row>
    <row r="985" spans="1:10" x14ac:dyDescent="0.3">
      <c r="A985" t="str">
        <f>Table3[[#This Row],[BillID]]</f>
        <v>BILL-00984</v>
      </c>
      <c r="B985" t="str">
        <f>Table3[[#This Row],[VendorID]]</f>
        <v>VEN-009</v>
      </c>
      <c r="C985" t="str">
        <f>VLOOKUP(B985,Vendors!A:B,2,FALSE)</f>
        <v>SEMrush</v>
      </c>
      <c r="D985" s="9">
        <f>Table3[[#This Row],[BillDate]]</f>
        <v>45973</v>
      </c>
      <c r="E985" s="9">
        <f>Table3[[#This Row],[DueDate]]</f>
        <v>46003</v>
      </c>
      <c r="F985" s="3">
        <f>Table3[[#This Row],[BillAmount]]</f>
        <v>2681.42</v>
      </c>
      <c r="G985" s="3">
        <f>SUMIF(Vendor_Payments!C:C,A985,Vendor_Payments!E:E)</f>
        <v>2681.42</v>
      </c>
      <c r="H985" s="3">
        <f t="shared" si="45"/>
        <v>0</v>
      </c>
      <c r="I985">
        <f t="shared" si="46"/>
        <v>88</v>
      </c>
      <c r="J985" t="str">
        <f t="shared" si="47"/>
        <v>61-90</v>
      </c>
    </row>
    <row r="986" spans="1:10" x14ac:dyDescent="0.3">
      <c r="A986" t="str">
        <f>Table3[[#This Row],[BillID]]</f>
        <v>BILL-00985</v>
      </c>
      <c r="B986" t="str">
        <f>Table3[[#This Row],[VendorID]]</f>
        <v>VEN-011</v>
      </c>
      <c r="C986" t="str">
        <f>VLOOKUP(B986,Vendors!A:B,2,FALSE)</f>
        <v>AWS</v>
      </c>
      <c r="D986" s="9">
        <f>Table3[[#This Row],[BillDate]]</f>
        <v>46006</v>
      </c>
      <c r="E986" s="9">
        <f>Table3[[#This Row],[DueDate]]</f>
        <v>46036</v>
      </c>
      <c r="F986" s="3">
        <f>Table3[[#This Row],[BillAmount]]</f>
        <v>6818.03</v>
      </c>
      <c r="G986" s="3">
        <f>SUMIF(Vendor_Payments!C:C,A986,Vendor_Payments!E:E)</f>
        <v>6818.03</v>
      </c>
      <c r="H986" s="3">
        <f t="shared" si="45"/>
        <v>0</v>
      </c>
      <c r="I986">
        <f t="shared" si="46"/>
        <v>55</v>
      </c>
      <c r="J986" t="str">
        <f t="shared" si="47"/>
        <v>31-60</v>
      </c>
    </row>
    <row r="987" spans="1:10" x14ac:dyDescent="0.3">
      <c r="A987" t="str">
        <f>Table3[[#This Row],[BillID]]</f>
        <v>BILL-00986</v>
      </c>
      <c r="B987" t="str">
        <f>Table3[[#This Row],[VendorID]]</f>
        <v>VEN-006</v>
      </c>
      <c r="C987" t="str">
        <f>VLOOKUP(B987,Vendors!A:B,2,FALSE)</f>
        <v>Salesforce</v>
      </c>
      <c r="D987" s="9">
        <f>Table3[[#This Row],[BillDate]]</f>
        <v>46003</v>
      </c>
      <c r="E987" s="9">
        <f>Table3[[#This Row],[DueDate]]</f>
        <v>46033</v>
      </c>
      <c r="F987" s="3">
        <f>Table3[[#This Row],[BillAmount]]</f>
        <v>2593.83</v>
      </c>
      <c r="G987" s="3">
        <f>SUMIF(Vendor_Payments!C:C,A987,Vendor_Payments!E:E)</f>
        <v>2593.83</v>
      </c>
      <c r="H987" s="3">
        <f t="shared" si="45"/>
        <v>0</v>
      </c>
      <c r="I987">
        <f t="shared" si="46"/>
        <v>58</v>
      </c>
      <c r="J987" t="str">
        <f t="shared" si="47"/>
        <v>31-60</v>
      </c>
    </row>
    <row r="988" spans="1:10" x14ac:dyDescent="0.3">
      <c r="A988" t="str">
        <f>Table3[[#This Row],[BillID]]</f>
        <v>BILL-00987</v>
      </c>
      <c r="B988" t="str">
        <f>Table3[[#This Row],[VendorID]]</f>
        <v>VEN-030</v>
      </c>
      <c r="C988" t="str">
        <f>VLOOKUP(B988,Vendors!A:B,2,FALSE)</f>
        <v>ContentCraft Studio</v>
      </c>
      <c r="D988" s="9">
        <f>Table3[[#This Row],[BillDate]]</f>
        <v>45999</v>
      </c>
      <c r="E988" s="9">
        <f>Table3[[#This Row],[DueDate]]</f>
        <v>46029</v>
      </c>
      <c r="F988" s="3">
        <f>Table3[[#This Row],[BillAmount]]</f>
        <v>6076.72</v>
      </c>
      <c r="G988" s="3">
        <f>SUMIF(Vendor_Payments!C:C,A988,Vendor_Payments!E:E)</f>
        <v>6076.72</v>
      </c>
      <c r="H988" s="3">
        <f t="shared" si="45"/>
        <v>0</v>
      </c>
      <c r="I988">
        <f t="shared" si="46"/>
        <v>62</v>
      </c>
      <c r="J988" t="str">
        <f t="shared" si="47"/>
        <v>61-90</v>
      </c>
    </row>
    <row r="989" spans="1:10" x14ac:dyDescent="0.3">
      <c r="A989" t="str">
        <f>Table3[[#This Row],[BillID]]</f>
        <v>BILL-00988</v>
      </c>
      <c r="B989" t="str">
        <f>Table3[[#This Row],[VendorID]]</f>
        <v>VEN-005</v>
      </c>
      <c r="C989" t="str">
        <f>VLOOKUP(B989,Vendors!A:B,2,FALSE)</f>
        <v>HubSpot</v>
      </c>
      <c r="D989" s="9">
        <f>Table3[[#This Row],[BillDate]]</f>
        <v>46058</v>
      </c>
      <c r="E989" s="9">
        <f>Table3[[#This Row],[DueDate]]</f>
        <v>46088</v>
      </c>
      <c r="F989" s="3">
        <f>Table3[[#This Row],[BillAmount]]</f>
        <v>5590.16</v>
      </c>
      <c r="G989" s="3">
        <f>SUMIF(Vendor_Payments!C:C,A989,Vendor_Payments!E:E)</f>
        <v>5590.16</v>
      </c>
      <c r="H989" s="3">
        <f t="shared" si="45"/>
        <v>0</v>
      </c>
      <c r="I989">
        <f t="shared" si="46"/>
        <v>3</v>
      </c>
      <c r="J989" t="str">
        <f t="shared" si="47"/>
        <v>1-30</v>
      </c>
    </row>
    <row r="990" spans="1:10" x14ac:dyDescent="0.3">
      <c r="A990" t="str">
        <f>Table3[[#This Row],[BillID]]</f>
        <v>BILL-00989</v>
      </c>
      <c r="B990" t="str">
        <f>Table3[[#This Row],[VendorID]]</f>
        <v>VEN-033</v>
      </c>
      <c r="C990" t="str">
        <f>VLOOKUP(B990,Vendors!A:B,2,FALSE)</f>
        <v>AdScale Solutions</v>
      </c>
      <c r="D990" s="9">
        <f>Table3[[#This Row],[BillDate]]</f>
        <v>46086</v>
      </c>
      <c r="E990" s="9">
        <f>Table3[[#This Row],[DueDate]]</f>
        <v>46116</v>
      </c>
      <c r="F990" s="3">
        <f>Table3[[#This Row],[BillAmount]]</f>
        <v>3084.71</v>
      </c>
      <c r="G990" s="3">
        <f>SUMIF(Vendor_Payments!C:C,A990,Vendor_Payments!E:E)</f>
        <v>3084.71</v>
      </c>
      <c r="H990" s="3">
        <f t="shared" si="45"/>
        <v>0</v>
      </c>
      <c r="I990">
        <f t="shared" si="46"/>
        <v>-25</v>
      </c>
      <c r="J990" t="str">
        <f t="shared" si="47"/>
        <v>Current</v>
      </c>
    </row>
    <row r="991" spans="1:10" x14ac:dyDescent="0.3">
      <c r="A991" t="str">
        <f>Table3[[#This Row],[BillID]]</f>
        <v>BILL-00990</v>
      </c>
      <c r="B991" t="str">
        <f>Table3[[#This Row],[VendorID]]</f>
        <v>VEN-013</v>
      </c>
      <c r="C991" t="str">
        <f>VLOOKUP(B991,Vendors!A:B,2,FALSE)</f>
        <v>Canva Pro</v>
      </c>
      <c r="D991" s="9">
        <f>Table3[[#This Row],[BillDate]]</f>
        <v>46008</v>
      </c>
      <c r="E991" s="9">
        <f>Table3[[#This Row],[DueDate]]</f>
        <v>46038</v>
      </c>
      <c r="F991" s="3">
        <f>Table3[[#This Row],[BillAmount]]</f>
        <v>4552.22</v>
      </c>
      <c r="G991" s="3">
        <f>SUMIF(Vendor_Payments!C:C,A991,Vendor_Payments!E:E)</f>
        <v>4552.22</v>
      </c>
      <c r="H991" s="3">
        <f t="shared" si="45"/>
        <v>0</v>
      </c>
      <c r="I991">
        <f t="shared" si="46"/>
        <v>53</v>
      </c>
      <c r="J991" t="str">
        <f t="shared" si="47"/>
        <v>31-60</v>
      </c>
    </row>
    <row r="992" spans="1:10" x14ac:dyDescent="0.3">
      <c r="A992" t="str">
        <f>Table3[[#This Row],[BillID]]</f>
        <v>BILL-00991</v>
      </c>
      <c r="B992" t="str">
        <f>Table3[[#This Row],[VendorID]]</f>
        <v>VEN-003</v>
      </c>
      <c r="C992" t="str">
        <f>VLOOKUP(B992,Vendors!A:B,2,FALSE)</f>
        <v>TikTok Ads</v>
      </c>
      <c r="D992" s="9">
        <f>Table3[[#This Row],[BillDate]]</f>
        <v>46064</v>
      </c>
      <c r="E992" s="9">
        <f>Table3[[#This Row],[DueDate]]</f>
        <v>46094</v>
      </c>
      <c r="F992" s="3">
        <f>Table3[[#This Row],[BillAmount]]</f>
        <v>6491.42</v>
      </c>
      <c r="G992" s="3">
        <f>SUMIF(Vendor_Payments!C:C,A992,Vendor_Payments!E:E)</f>
        <v>6491.42</v>
      </c>
      <c r="H992" s="3">
        <f t="shared" si="45"/>
        <v>0</v>
      </c>
      <c r="I992">
        <f t="shared" si="46"/>
        <v>-3</v>
      </c>
      <c r="J992" t="str">
        <f t="shared" si="47"/>
        <v>Current</v>
      </c>
    </row>
    <row r="993" spans="1:10" x14ac:dyDescent="0.3">
      <c r="A993" t="str">
        <f>Table3[[#This Row],[BillID]]</f>
        <v>BILL-00992</v>
      </c>
      <c r="B993" t="str">
        <f>Table3[[#This Row],[VendorID]]</f>
        <v>VEN-025</v>
      </c>
      <c r="C993" t="str">
        <f>VLOOKUP(B993,Vendors!A:B,2,FALSE)</f>
        <v>Digital Growth Consultants</v>
      </c>
      <c r="D993" s="9">
        <f>Table3[[#This Row],[BillDate]]</f>
        <v>46083</v>
      </c>
      <c r="E993" s="9">
        <f>Table3[[#This Row],[DueDate]]</f>
        <v>46113</v>
      </c>
      <c r="F993" s="3">
        <f>Table3[[#This Row],[BillAmount]]</f>
        <v>1557.11</v>
      </c>
      <c r="G993" s="3">
        <f>SUMIF(Vendor_Payments!C:C,A993,Vendor_Payments!E:E)</f>
        <v>1557.11</v>
      </c>
      <c r="H993" s="3">
        <f t="shared" si="45"/>
        <v>0</v>
      </c>
      <c r="I993">
        <f t="shared" si="46"/>
        <v>-22</v>
      </c>
      <c r="J993" t="str">
        <f t="shared" si="47"/>
        <v>Current</v>
      </c>
    </row>
    <row r="994" spans="1:10" x14ac:dyDescent="0.3">
      <c r="A994" t="str">
        <f>Table3[[#This Row],[BillID]]</f>
        <v>BILL-00993</v>
      </c>
      <c r="B994" t="str">
        <f>Table3[[#This Row],[VendorID]]</f>
        <v>VEN-016</v>
      </c>
      <c r="C994" t="str">
        <f>VLOOKUP(B994,Vendors!A:B,2,FALSE)</f>
        <v>Stripe</v>
      </c>
      <c r="D994" s="9">
        <f>Table3[[#This Row],[BillDate]]</f>
        <v>46057</v>
      </c>
      <c r="E994" s="9">
        <f>Table3[[#This Row],[DueDate]]</f>
        <v>46087</v>
      </c>
      <c r="F994" s="3">
        <f>Table3[[#This Row],[BillAmount]]</f>
        <v>4776.78</v>
      </c>
      <c r="G994" s="3">
        <f>SUMIF(Vendor_Payments!C:C,A994,Vendor_Payments!E:E)</f>
        <v>4776.78</v>
      </c>
      <c r="H994" s="3">
        <f t="shared" si="45"/>
        <v>0</v>
      </c>
      <c r="I994">
        <f t="shared" si="46"/>
        <v>4</v>
      </c>
      <c r="J994" t="str">
        <f t="shared" si="47"/>
        <v>1-30</v>
      </c>
    </row>
    <row r="995" spans="1:10" x14ac:dyDescent="0.3">
      <c r="A995" t="str">
        <f>Table3[[#This Row],[BillID]]</f>
        <v>BILL-00994</v>
      </c>
      <c r="B995" t="str">
        <f>Table3[[#This Row],[VendorID]]</f>
        <v>VEN-005</v>
      </c>
      <c r="C995" t="str">
        <f>VLOOKUP(B995,Vendors!A:B,2,FALSE)</f>
        <v>HubSpot</v>
      </c>
      <c r="D995" s="9">
        <f>Table3[[#This Row],[BillDate]]</f>
        <v>46063</v>
      </c>
      <c r="E995" s="9">
        <f>Table3[[#This Row],[DueDate]]</f>
        <v>46093</v>
      </c>
      <c r="F995" s="3">
        <f>Table3[[#This Row],[BillAmount]]</f>
        <v>5201.92</v>
      </c>
      <c r="G995" s="3">
        <f>SUMIF(Vendor_Payments!C:C,A995,Vendor_Payments!E:E)</f>
        <v>5201.92</v>
      </c>
      <c r="H995" s="3">
        <f t="shared" si="45"/>
        <v>0</v>
      </c>
      <c r="I995">
        <f t="shared" si="46"/>
        <v>-2</v>
      </c>
      <c r="J995" t="str">
        <f t="shared" si="47"/>
        <v>Current</v>
      </c>
    </row>
    <row r="996" spans="1:10" x14ac:dyDescent="0.3">
      <c r="A996" t="str">
        <f>Table3[[#This Row],[BillID]]</f>
        <v>BILL-00995</v>
      </c>
      <c r="B996" t="str">
        <f>Table3[[#This Row],[VendorID]]</f>
        <v>VEN-022</v>
      </c>
      <c r="C996" t="str">
        <f>VLOOKUP(B996,Vendors!A:B,2,FALSE)</f>
        <v>Toptal Talent</v>
      </c>
      <c r="D996" s="9">
        <f>Table3[[#This Row],[BillDate]]</f>
        <v>45997</v>
      </c>
      <c r="E996" s="9">
        <f>Table3[[#This Row],[DueDate]]</f>
        <v>46027</v>
      </c>
      <c r="F996" s="3">
        <f>Table3[[#This Row],[BillAmount]]</f>
        <v>1118.67</v>
      </c>
      <c r="G996" s="3">
        <f>SUMIF(Vendor_Payments!C:C,A996,Vendor_Payments!E:E)</f>
        <v>1118.67</v>
      </c>
      <c r="H996" s="3">
        <f t="shared" si="45"/>
        <v>0</v>
      </c>
      <c r="I996">
        <f t="shared" si="46"/>
        <v>64</v>
      </c>
      <c r="J996" t="str">
        <f t="shared" si="47"/>
        <v>61-90</v>
      </c>
    </row>
    <row r="997" spans="1:10" x14ac:dyDescent="0.3">
      <c r="A997" t="str">
        <f>Table3[[#This Row],[BillID]]</f>
        <v>BILL-00996</v>
      </c>
      <c r="B997" t="str">
        <f>Table3[[#This Row],[VendorID]]</f>
        <v>VEN-012</v>
      </c>
      <c r="C997" t="str">
        <f>VLOOKUP(B997,Vendors!A:B,2,FALSE)</f>
        <v>Google Cloud</v>
      </c>
      <c r="D997" s="9">
        <f>Table3[[#This Row],[BillDate]]</f>
        <v>46065</v>
      </c>
      <c r="E997" s="9">
        <f>Table3[[#This Row],[DueDate]]</f>
        <v>46095</v>
      </c>
      <c r="F997" s="3">
        <f>Table3[[#This Row],[BillAmount]]</f>
        <v>3208.92</v>
      </c>
      <c r="G997" s="3">
        <f>SUMIF(Vendor_Payments!C:C,A997,Vendor_Payments!E:E)</f>
        <v>3208.92</v>
      </c>
      <c r="H997" s="3">
        <f t="shared" si="45"/>
        <v>0</v>
      </c>
      <c r="I997">
        <f t="shared" si="46"/>
        <v>-4</v>
      </c>
      <c r="J997" t="str">
        <f t="shared" si="47"/>
        <v>Current</v>
      </c>
    </row>
    <row r="998" spans="1:10" x14ac:dyDescent="0.3">
      <c r="A998" t="str">
        <f>Table3[[#This Row],[BillID]]</f>
        <v>BILL-00997</v>
      </c>
      <c r="B998" t="str">
        <f>Table3[[#This Row],[VendorID]]</f>
        <v>VEN-022</v>
      </c>
      <c r="C998" t="str">
        <f>VLOOKUP(B998,Vendors!A:B,2,FALSE)</f>
        <v>Toptal Talent</v>
      </c>
      <c r="D998" s="9">
        <f>Table3[[#This Row],[BillDate]]</f>
        <v>46028</v>
      </c>
      <c r="E998" s="9">
        <f>Table3[[#This Row],[DueDate]]</f>
        <v>46058</v>
      </c>
      <c r="F998" s="3">
        <f>Table3[[#This Row],[BillAmount]]</f>
        <v>1836.77</v>
      </c>
      <c r="G998" s="3">
        <f>SUMIF(Vendor_Payments!C:C,A998,Vendor_Payments!E:E)</f>
        <v>1836.77</v>
      </c>
      <c r="H998" s="3">
        <f t="shared" si="45"/>
        <v>0</v>
      </c>
      <c r="I998">
        <f t="shared" si="46"/>
        <v>33</v>
      </c>
      <c r="J998" t="str">
        <f t="shared" si="47"/>
        <v>31-60</v>
      </c>
    </row>
    <row r="999" spans="1:10" x14ac:dyDescent="0.3">
      <c r="A999" t="str">
        <f>Table3[[#This Row],[BillID]]</f>
        <v>BILL-00998</v>
      </c>
      <c r="B999" t="str">
        <f>Table3[[#This Row],[VendorID]]</f>
        <v>VEN-032</v>
      </c>
      <c r="C999" t="str">
        <f>VLOOKUP(B999,Vendors!A:B,2,FALSE)</f>
        <v>Marketing Automation Labs</v>
      </c>
      <c r="D999" s="9">
        <f>Table3[[#This Row],[BillDate]]</f>
        <v>46023</v>
      </c>
      <c r="E999" s="9">
        <f>Table3[[#This Row],[DueDate]]</f>
        <v>46053</v>
      </c>
      <c r="F999" s="3">
        <f>Table3[[#This Row],[BillAmount]]</f>
        <v>5385.48</v>
      </c>
      <c r="G999" s="3">
        <f>SUMIF(Vendor_Payments!C:C,A999,Vendor_Payments!E:E)</f>
        <v>0</v>
      </c>
      <c r="H999" s="3">
        <f t="shared" si="45"/>
        <v>5385.48</v>
      </c>
      <c r="I999">
        <f t="shared" si="46"/>
        <v>38</v>
      </c>
      <c r="J999" t="str">
        <f t="shared" si="47"/>
        <v>31-60</v>
      </c>
    </row>
    <row r="1000" spans="1:10" x14ac:dyDescent="0.3">
      <c r="A1000" t="str">
        <f>Table3[[#This Row],[BillID]]</f>
        <v>BILL-00999</v>
      </c>
      <c r="B1000" t="str">
        <f>Table3[[#This Row],[VendorID]]</f>
        <v>VEN-024</v>
      </c>
      <c r="C1000" t="str">
        <f>VLOOKUP(B1000,Vendors!A:B,2,FALSE)</f>
        <v>Growth Strategy Group</v>
      </c>
      <c r="D1000" s="9">
        <f>Table3[[#This Row],[BillDate]]</f>
        <v>46054</v>
      </c>
      <c r="E1000" s="9">
        <f>Table3[[#This Row],[DueDate]]</f>
        <v>46084</v>
      </c>
      <c r="F1000" s="3">
        <f>Table3[[#This Row],[BillAmount]]</f>
        <v>2554.5700000000002</v>
      </c>
      <c r="G1000" s="3">
        <f>SUMIF(Vendor_Payments!C:C,A1000,Vendor_Payments!E:E)</f>
        <v>0</v>
      </c>
      <c r="H1000" s="3">
        <f t="shared" si="45"/>
        <v>2554.5700000000002</v>
      </c>
      <c r="I1000">
        <f t="shared" si="46"/>
        <v>7</v>
      </c>
      <c r="J1000" t="str">
        <f t="shared" si="47"/>
        <v>1-30</v>
      </c>
    </row>
    <row r="1001" spans="1:10" x14ac:dyDescent="0.3">
      <c r="A1001" t="str">
        <f>Table3[[#This Row],[BillID]]</f>
        <v>BILL-01000</v>
      </c>
      <c r="B1001" t="str">
        <f>Table3[[#This Row],[VendorID]]</f>
        <v>VEN-030</v>
      </c>
      <c r="C1001" t="str">
        <f>VLOOKUP(B1001,Vendors!A:B,2,FALSE)</f>
        <v>ContentCraft Studio</v>
      </c>
      <c r="D1001" s="9">
        <f>Table3[[#This Row],[BillDate]]</f>
        <v>46089</v>
      </c>
      <c r="E1001" s="9">
        <f>Table3[[#This Row],[DueDate]]</f>
        <v>46119</v>
      </c>
      <c r="F1001" s="3">
        <f>Table3[[#This Row],[BillAmount]]</f>
        <v>4419.25</v>
      </c>
      <c r="G1001" s="3">
        <f>SUMIF(Vendor_Payments!C:C,A1001,Vendor_Payments!E:E)</f>
        <v>4419.25</v>
      </c>
      <c r="H1001" s="3">
        <f t="shared" si="45"/>
        <v>0</v>
      </c>
      <c r="I1001">
        <f t="shared" si="46"/>
        <v>-28</v>
      </c>
      <c r="J1001" t="str">
        <f t="shared" si="47"/>
        <v>Current</v>
      </c>
    </row>
    <row r="1002" spans="1:10" x14ac:dyDescent="0.3">
      <c r="A1002" t="str">
        <f>Table3[[#This Row],[BillID]]</f>
        <v>BILL-01001</v>
      </c>
      <c r="B1002" t="str">
        <f>Table3[[#This Row],[VendorID]]</f>
        <v>VEN-034</v>
      </c>
      <c r="C1002" t="str">
        <f>VLOOKUP(B1002,Vendors!A:B,2,FALSE)</f>
        <v>SocialBoost Agency</v>
      </c>
      <c r="D1002" s="9">
        <f>Table3[[#This Row],[BillDate]]</f>
        <v>46079</v>
      </c>
      <c r="E1002" s="9">
        <f>Table3[[#This Row],[DueDate]]</f>
        <v>46109</v>
      </c>
      <c r="F1002" s="3">
        <f>Table3[[#This Row],[BillAmount]]</f>
        <v>4059.41</v>
      </c>
      <c r="G1002" s="3">
        <f>SUMIF(Vendor_Payments!C:C,A1002,Vendor_Payments!E:E)</f>
        <v>0</v>
      </c>
      <c r="H1002" s="3">
        <f t="shared" si="45"/>
        <v>4059.41</v>
      </c>
      <c r="I1002">
        <f t="shared" si="46"/>
        <v>-18</v>
      </c>
      <c r="J1002" t="str">
        <f t="shared" si="47"/>
        <v>Current</v>
      </c>
    </row>
    <row r="1003" spans="1:10" x14ac:dyDescent="0.3">
      <c r="A1003" t="str">
        <f>Table3[[#This Row],[BillID]]</f>
        <v>BILL-01002</v>
      </c>
      <c r="B1003" t="str">
        <f>Table3[[#This Row],[VendorID]]</f>
        <v>VEN-039</v>
      </c>
      <c r="C1003" t="str">
        <f>VLOOKUP(B1003,Vendors!A:B,2,FALSE)</f>
        <v>Global Growth Advisors</v>
      </c>
      <c r="D1003" s="9">
        <f>Table3[[#This Row],[BillDate]]</f>
        <v>46084</v>
      </c>
      <c r="E1003" s="9">
        <f>Table3[[#This Row],[DueDate]]</f>
        <v>46114</v>
      </c>
      <c r="F1003" s="3">
        <f>Table3[[#This Row],[BillAmount]]</f>
        <v>2550.42</v>
      </c>
      <c r="G1003" s="3">
        <f>SUMIF(Vendor_Payments!C:C,A1003,Vendor_Payments!E:E)</f>
        <v>2550.42</v>
      </c>
      <c r="H1003" s="3">
        <f t="shared" si="45"/>
        <v>0</v>
      </c>
      <c r="I1003">
        <f t="shared" si="46"/>
        <v>-23</v>
      </c>
      <c r="J1003" t="str">
        <f t="shared" si="47"/>
        <v>Current</v>
      </c>
    </row>
    <row r="1004" spans="1:10" x14ac:dyDescent="0.3">
      <c r="A1004" t="str">
        <f>Table3[[#This Row],[BillID]]</f>
        <v>BILL-01003</v>
      </c>
      <c r="B1004" t="str">
        <f>Table3[[#This Row],[VendorID]]</f>
        <v>VEN-004</v>
      </c>
      <c r="C1004" t="str">
        <f>VLOOKUP(B1004,Vendors!A:B,2,FALSE)</f>
        <v>LinkedIn Ads</v>
      </c>
      <c r="D1004" s="9">
        <f>Table3[[#This Row],[BillDate]]</f>
        <v>46039</v>
      </c>
      <c r="E1004" s="9">
        <f>Table3[[#This Row],[DueDate]]</f>
        <v>46069</v>
      </c>
      <c r="F1004" s="3">
        <f>Table3[[#This Row],[BillAmount]]</f>
        <v>989.88</v>
      </c>
      <c r="G1004" s="3">
        <f>SUMIF(Vendor_Payments!C:C,A1004,Vendor_Payments!E:E)</f>
        <v>989.88</v>
      </c>
      <c r="H1004" s="3">
        <f t="shared" si="45"/>
        <v>0</v>
      </c>
      <c r="I1004">
        <f t="shared" si="46"/>
        <v>22</v>
      </c>
      <c r="J1004" t="str">
        <f t="shared" si="47"/>
        <v>1-30</v>
      </c>
    </row>
    <row r="1005" spans="1:10" x14ac:dyDescent="0.3">
      <c r="A1005" t="str">
        <f>Table3[[#This Row],[BillID]]</f>
        <v>BILL-01004</v>
      </c>
      <c r="B1005" t="str">
        <f>Table3[[#This Row],[VendorID]]</f>
        <v>VEN-022</v>
      </c>
      <c r="C1005" t="str">
        <f>VLOOKUP(B1005,Vendors!A:B,2,FALSE)</f>
        <v>Toptal Talent</v>
      </c>
      <c r="D1005" s="9">
        <f>Table3[[#This Row],[BillDate]]</f>
        <v>45982</v>
      </c>
      <c r="E1005" s="9">
        <f>Table3[[#This Row],[DueDate]]</f>
        <v>46012</v>
      </c>
      <c r="F1005" s="3">
        <f>Table3[[#This Row],[BillAmount]]</f>
        <v>3482.65</v>
      </c>
      <c r="G1005" s="3">
        <f>SUMIF(Vendor_Payments!C:C,A1005,Vendor_Payments!E:E)</f>
        <v>3482.65</v>
      </c>
      <c r="H1005" s="3">
        <f t="shared" si="45"/>
        <v>0</v>
      </c>
      <c r="I1005">
        <f t="shared" si="46"/>
        <v>79</v>
      </c>
      <c r="J1005" t="str">
        <f t="shared" si="47"/>
        <v>61-90</v>
      </c>
    </row>
    <row r="1006" spans="1:10" x14ac:dyDescent="0.3">
      <c r="A1006" t="str">
        <f>Table3[[#This Row],[BillID]]</f>
        <v>BILL-01005</v>
      </c>
      <c r="B1006" t="str">
        <f>Table3[[#This Row],[VendorID]]</f>
        <v>VEN-014</v>
      </c>
      <c r="C1006" t="str">
        <f>VLOOKUP(B1006,Vendors!A:B,2,FALSE)</f>
        <v>Figma</v>
      </c>
      <c r="D1006" s="9">
        <f>Table3[[#This Row],[BillDate]]</f>
        <v>46040</v>
      </c>
      <c r="E1006" s="9">
        <f>Table3[[#This Row],[DueDate]]</f>
        <v>46070</v>
      </c>
      <c r="F1006" s="3">
        <f>Table3[[#This Row],[BillAmount]]</f>
        <v>3066.85</v>
      </c>
      <c r="G1006" s="3">
        <f>SUMIF(Vendor_Payments!C:C,A1006,Vendor_Payments!E:E)</f>
        <v>0</v>
      </c>
      <c r="H1006" s="3">
        <f t="shared" si="45"/>
        <v>3066.85</v>
      </c>
      <c r="I1006">
        <f t="shared" si="46"/>
        <v>21</v>
      </c>
      <c r="J1006" t="str">
        <f t="shared" si="47"/>
        <v>1-30</v>
      </c>
    </row>
    <row r="1007" spans="1:10" x14ac:dyDescent="0.3">
      <c r="A1007" t="str">
        <f>Table3[[#This Row],[BillID]]</f>
        <v>BILL-01006</v>
      </c>
      <c r="B1007" t="str">
        <f>Table3[[#This Row],[VendorID]]</f>
        <v>VEN-012</v>
      </c>
      <c r="C1007" t="str">
        <f>VLOOKUP(B1007,Vendors!A:B,2,FALSE)</f>
        <v>Google Cloud</v>
      </c>
      <c r="D1007" s="9">
        <f>Table3[[#This Row],[BillDate]]</f>
        <v>45965</v>
      </c>
      <c r="E1007" s="9">
        <f>Table3[[#This Row],[DueDate]]</f>
        <v>45995</v>
      </c>
      <c r="F1007" s="3">
        <f>Table3[[#This Row],[BillAmount]]</f>
        <v>3579.18</v>
      </c>
      <c r="G1007" s="3">
        <f>SUMIF(Vendor_Payments!C:C,A1007,Vendor_Payments!E:E)</f>
        <v>0</v>
      </c>
      <c r="H1007" s="3">
        <f t="shared" si="45"/>
        <v>3579.18</v>
      </c>
      <c r="I1007">
        <f t="shared" si="46"/>
        <v>96</v>
      </c>
      <c r="J1007" t="str">
        <f t="shared" si="47"/>
        <v>90+</v>
      </c>
    </row>
    <row r="1008" spans="1:10" x14ac:dyDescent="0.3">
      <c r="A1008" t="str">
        <f>Table3[[#This Row],[BillID]]</f>
        <v>BILL-01007</v>
      </c>
      <c r="B1008" t="str">
        <f>Table3[[#This Row],[VendorID]]</f>
        <v>VEN-025</v>
      </c>
      <c r="C1008" t="str">
        <f>VLOOKUP(B1008,Vendors!A:B,2,FALSE)</f>
        <v>Digital Growth Consultants</v>
      </c>
      <c r="D1008" s="9">
        <f>Table3[[#This Row],[BillDate]]</f>
        <v>46074</v>
      </c>
      <c r="E1008" s="9">
        <f>Table3[[#This Row],[DueDate]]</f>
        <v>46104</v>
      </c>
      <c r="F1008" s="3">
        <f>Table3[[#This Row],[BillAmount]]</f>
        <v>3306.09</v>
      </c>
      <c r="G1008" s="3">
        <f>SUMIF(Vendor_Payments!C:C,A1008,Vendor_Payments!E:E)</f>
        <v>0</v>
      </c>
      <c r="H1008" s="3">
        <f t="shared" si="45"/>
        <v>3306.09</v>
      </c>
      <c r="I1008">
        <f t="shared" si="46"/>
        <v>-13</v>
      </c>
      <c r="J1008" t="str">
        <f t="shared" si="47"/>
        <v>Current</v>
      </c>
    </row>
    <row r="1009" spans="1:10" x14ac:dyDescent="0.3">
      <c r="A1009" t="str">
        <f>Table3[[#This Row],[BillID]]</f>
        <v>BILL-01008</v>
      </c>
      <c r="B1009" t="str">
        <f>Table3[[#This Row],[VendorID]]</f>
        <v>VEN-024</v>
      </c>
      <c r="C1009" t="str">
        <f>VLOOKUP(B1009,Vendors!A:B,2,FALSE)</f>
        <v>Growth Strategy Group</v>
      </c>
      <c r="D1009" s="9">
        <f>Table3[[#This Row],[BillDate]]</f>
        <v>46010</v>
      </c>
      <c r="E1009" s="9">
        <f>Table3[[#This Row],[DueDate]]</f>
        <v>46040</v>
      </c>
      <c r="F1009" s="3">
        <f>Table3[[#This Row],[BillAmount]]</f>
        <v>960.52</v>
      </c>
      <c r="G1009" s="3">
        <f>SUMIF(Vendor_Payments!C:C,A1009,Vendor_Payments!E:E)</f>
        <v>960.52</v>
      </c>
      <c r="H1009" s="3">
        <f t="shared" si="45"/>
        <v>0</v>
      </c>
      <c r="I1009">
        <f t="shared" si="46"/>
        <v>51</v>
      </c>
      <c r="J1009" t="str">
        <f t="shared" si="47"/>
        <v>31-60</v>
      </c>
    </row>
    <row r="1010" spans="1:10" x14ac:dyDescent="0.3">
      <c r="A1010" t="str">
        <f>Table3[[#This Row],[BillID]]</f>
        <v>BILL-01009</v>
      </c>
      <c r="B1010" t="str">
        <f>Table3[[#This Row],[VendorID]]</f>
        <v>VEN-002</v>
      </c>
      <c r="C1010" t="str">
        <f>VLOOKUP(B1010,Vendors!A:B,2,FALSE)</f>
        <v>Meta Ads</v>
      </c>
      <c r="D1010" s="9">
        <f>Table3[[#This Row],[BillDate]]</f>
        <v>45962</v>
      </c>
      <c r="E1010" s="9">
        <f>Table3[[#This Row],[DueDate]]</f>
        <v>45992</v>
      </c>
      <c r="F1010" s="3">
        <f>Table3[[#This Row],[BillAmount]]</f>
        <v>4912.6899999999996</v>
      </c>
      <c r="G1010" s="3">
        <f>SUMIF(Vendor_Payments!C:C,A1010,Vendor_Payments!E:E)</f>
        <v>4912.6899999999996</v>
      </c>
      <c r="H1010" s="3">
        <f t="shared" si="45"/>
        <v>0</v>
      </c>
      <c r="I1010">
        <f t="shared" si="46"/>
        <v>99</v>
      </c>
      <c r="J1010" t="str">
        <f t="shared" si="47"/>
        <v>90+</v>
      </c>
    </row>
    <row r="1011" spans="1:10" x14ac:dyDescent="0.3">
      <c r="A1011" t="str">
        <f>Table3[[#This Row],[BillID]]</f>
        <v>BILL-01010</v>
      </c>
      <c r="B1011" t="str">
        <f>Table3[[#This Row],[VendorID]]</f>
        <v>VEN-018</v>
      </c>
      <c r="C1011" t="str">
        <f>VLOOKUP(B1011,Vendors!A:B,2,FALSE)</f>
        <v>Cloudflare</v>
      </c>
      <c r="D1011" s="9">
        <f>Table3[[#This Row],[BillDate]]</f>
        <v>46051</v>
      </c>
      <c r="E1011" s="9">
        <f>Table3[[#This Row],[DueDate]]</f>
        <v>46081</v>
      </c>
      <c r="F1011" s="3">
        <f>Table3[[#This Row],[BillAmount]]</f>
        <v>1489.64</v>
      </c>
      <c r="G1011" s="3">
        <f>SUMIF(Vendor_Payments!C:C,A1011,Vendor_Payments!E:E)</f>
        <v>1489.64</v>
      </c>
      <c r="H1011" s="3">
        <f t="shared" si="45"/>
        <v>0</v>
      </c>
      <c r="I1011">
        <f t="shared" si="46"/>
        <v>10</v>
      </c>
      <c r="J1011" t="str">
        <f t="shared" si="47"/>
        <v>1-30</v>
      </c>
    </row>
    <row r="1012" spans="1:10" x14ac:dyDescent="0.3">
      <c r="A1012" t="str">
        <f>Table3[[#This Row],[BillID]]</f>
        <v>BILL-01011</v>
      </c>
      <c r="B1012" t="str">
        <f>Table3[[#This Row],[VendorID]]</f>
        <v>VEN-033</v>
      </c>
      <c r="C1012" t="str">
        <f>VLOOKUP(B1012,Vendors!A:B,2,FALSE)</f>
        <v>AdScale Solutions</v>
      </c>
      <c r="D1012" s="9">
        <f>Table3[[#This Row],[BillDate]]</f>
        <v>46086</v>
      </c>
      <c r="E1012" s="9">
        <f>Table3[[#This Row],[DueDate]]</f>
        <v>46116</v>
      </c>
      <c r="F1012" s="3">
        <f>Table3[[#This Row],[BillAmount]]</f>
        <v>4819.3500000000004</v>
      </c>
      <c r="G1012" s="3">
        <f>SUMIF(Vendor_Payments!C:C,A1012,Vendor_Payments!E:E)</f>
        <v>0</v>
      </c>
      <c r="H1012" s="3">
        <f t="shared" si="45"/>
        <v>4819.3500000000004</v>
      </c>
      <c r="I1012">
        <f t="shared" si="46"/>
        <v>-25</v>
      </c>
      <c r="J1012" t="str">
        <f t="shared" si="47"/>
        <v>Current</v>
      </c>
    </row>
    <row r="1013" spans="1:10" x14ac:dyDescent="0.3">
      <c r="A1013" t="str">
        <f>Table3[[#This Row],[BillID]]</f>
        <v>BILL-01012</v>
      </c>
      <c r="B1013" t="str">
        <f>Table3[[#This Row],[VendorID]]</f>
        <v>VEN-017</v>
      </c>
      <c r="C1013" t="str">
        <f>VLOOKUP(B1013,Vendors!A:B,2,FALSE)</f>
        <v>PayPal</v>
      </c>
      <c r="D1013" s="9">
        <f>Table3[[#This Row],[BillDate]]</f>
        <v>46057</v>
      </c>
      <c r="E1013" s="9">
        <f>Table3[[#This Row],[DueDate]]</f>
        <v>46087</v>
      </c>
      <c r="F1013" s="3">
        <f>Table3[[#This Row],[BillAmount]]</f>
        <v>1051.26</v>
      </c>
      <c r="G1013" s="3">
        <f>SUMIF(Vendor_Payments!C:C,A1013,Vendor_Payments!E:E)</f>
        <v>0</v>
      </c>
      <c r="H1013" s="3">
        <f t="shared" si="45"/>
        <v>1051.26</v>
      </c>
      <c r="I1013">
        <f t="shared" si="46"/>
        <v>4</v>
      </c>
      <c r="J1013" t="str">
        <f t="shared" si="47"/>
        <v>1-30</v>
      </c>
    </row>
    <row r="1014" spans="1:10" x14ac:dyDescent="0.3">
      <c r="A1014" t="str">
        <f>Table3[[#This Row],[BillID]]</f>
        <v>BILL-01013</v>
      </c>
      <c r="B1014" t="str">
        <f>Table3[[#This Row],[VendorID]]</f>
        <v>VEN-001</v>
      </c>
      <c r="C1014" t="str">
        <f>VLOOKUP(B1014,Vendors!A:B,2,FALSE)</f>
        <v>Google Ads</v>
      </c>
      <c r="D1014" s="9">
        <f>Table3[[#This Row],[BillDate]]</f>
        <v>46038</v>
      </c>
      <c r="E1014" s="9">
        <f>Table3[[#This Row],[DueDate]]</f>
        <v>46068</v>
      </c>
      <c r="F1014" s="3">
        <f>Table3[[#This Row],[BillAmount]]</f>
        <v>821.27</v>
      </c>
      <c r="G1014" s="3">
        <f>SUMIF(Vendor_Payments!C:C,A1014,Vendor_Payments!E:E)</f>
        <v>821.27</v>
      </c>
      <c r="H1014" s="3">
        <f t="shared" si="45"/>
        <v>0</v>
      </c>
      <c r="I1014">
        <f t="shared" si="46"/>
        <v>23</v>
      </c>
      <c r="J1014" t="str">
        <f t="shared" si="47"/>
        <v>1-30</v>
      </c>
    </row>
    <row r="1015" spans="1:10" x14ac:dyDescent="0.3">
      <c r="A1015" t="str">
        <f>Table3[[#This Row],[BillID]]</f>
        <v>BILL-01014</v>
      </c>
      <c r="B1015" t="str">
        <f>Table3[[#This Row],[VendorID]]</f>
        <v>VEN-027</v>
      </c>
      <c r="C1015" t="str">
        <f>VLOOKUP(B1015,Vendors!A:B,2,FALSE)</f>
        <v>DevCraft Agency</v>
      </c>
      <c r="D1015" s="9">
        <f>Table3[[#This Row],[BillDate]]</f>
        <v>45966</v>
      </c>
      <c r="E1015" s="9">
        <f>Table3[[#This Row],[DueDate]]</f>
        <v>45996</v>
      </c>
      <c r="F1015" s="3">
        <f>Table3[[#This Row],[BillAmount]]</f>
        <v>4157.2700000000004</v>
      </c>
      <c r="G1015" s="3">
        <f>SUMIF(Vendor_Payments!C:C,A1015,Vendor_Payments!E:E)</f>
        <v>4157.2700000000004</v>
      </c>
      <c r="H1015" s="3">
        <f t="shared" si="45"/>
        <v>0</v>
      </c>
      <c r="I1015">
        <f t="shared" si="46"/>
        <v>95</v>
      </c>
      <c r="J1015" t="str">
        <f t="shared" si="47"/>
        <v>90+</v>
      </c>
    </row>
    <row r="1016" spans="1:10" x14ac:dyDescent="0.3">
      <c r="A1016" t="str">
        <f>Table3[[#This Row],[BillID]]</f>
        <v>BILL-01015</v>
      </c>
      <c r="B1016" t="str">
        <f>Table3[[#This Row],[VendorID]]</f>
        <v>VEN-032</v>
      </c>
      <c r="C1016" t="str">
        <f>VLOOKUP(B1016,Vendors!A:B,2,FALSE)</f>
        <v>Marketing Automation Labs</v>
      </c>
      <c r="D1016" s="9">
        <f>Table3[[#This Row],[BillDate]]</f>
        <v>46027</v>
      </c>
      <c r="E1016" s="9">
        <f>Table3[[#This Row],[DueDate]]</f>
        <v>46057</v>
      </c>
      <c r="F1016" s="3">
        <f>Table3[[#This Row],[BillAmount]]</f>
        <v>1640.57</v>
      </c>
      <c r="G1016" s="3">
        <f>SUMIF(Vendor_Payments!C:C,A1016,Vendor_Payments!E:E)</f>
        <v>1640.57</v>
      </c>
      <c r="H1016" s="3">
        <f t="shared" si="45"/>
        <v>0</v>
      </c>
      <c r="I1016">
        <f t="shared" si="46"/>
        <v>34</v>
      </c>
      <c r="J1016" t="str">
        <f t="shared" si="47"/>
        <v>31-60</v>
      </c>
    </row>
    <row r="1017" spans="1:10" x14ac:dyDescent="0.3">
      <c r="A1017" t="str">
        <f>Table3[[#This Row],[BillID]]</f>
        <v>BILL-01016</v>
      </c>
      <c r="B1017" t="str">
        <f>Table3[[#This Row],[VendorID]]</f>
        <v>VEN-011</v>
      </c>
      <c r="C1017" t="str">
        <f>VLOOKUP(B1017,Vendors!A:B,2,FALSE)</f>
        <v>AWS</v>
      </c>
      <c r="D1017" s="9">
        <f>Table3[[#This Row],[BillDate]]</f>
        <v>46056</v>
      </c>
      <c r="E1017" s="9">
        <f>Table3[[#This Row],[DueDate]]</f>
        <v>46086</v>
      </c>
      <c r="F1017" s="3">
        <f>Table3[[#This Row],[BillAmount]]</f>
        <v>1991.48</v>
      </c>
      <c r="G1017" s="3">
        <f>SUMIF(Vendor_Payments!C:C,A1017,Vendor_Payments!E:E)</f>
        <v>0</v>
      </c>
      <c r="H1017" s="3">
        <f t="shared" si="45"/>
        <v>1991.48</v>
      </c>
      <c r="I1017">
        <f t="shared" si="46"/>
        <v>5</v>
      </c>
      <c r="J1017" t="str">
        <f t="shared" si="47"/>
        <v>1-30</v>
      </c>
    </row>
    <row r="1018" spans="1:10" x14ac:dyDescent="0.3">
      <c r="A1018" t="str">
        <f>Table3[[#This Row],[BillID]]</f>
        <v>BILL-01017</v>
      </c>
      <c r="B1018" t="str">
        <f>Table3[[#This Row],[VendorID]]</f>
        <v>VEN-011</v>
      </c>
      <c r="C1018" t="str">
        <f>VLOOKUP(B1018,Vendors!A:B,2,FALSE)</f>
        <v>AWS</v>
      </c>
      <c r="D1018" s="9">
        <f>Table3[[#This Row],[BillDate]]</f>
        <v>45985</v>
      </c>
      <c r="E1018" s="9">
        <f>Table3[[#This Row],[DueDate]]</f>
        <v>46015</v>
      </c>
      <c r="F1018" s="3">
        <f>Table3[[#This Row],[BillAmount]]</f>
        <v>1668.04</v>
      </c>
      <c r="G1018" s="3">
        <f>SUMIF(Vendor_Payments!C:C,A1018,Vendor_Payments!E:E)</f>
        <v>1668.04</v>
      </c>
      <c r="H1018" s="3">
        <f t="shared" si="45"/>
        <v>0</v>
      </c>
      <c r="I1018">
        <f t="shared" si="46"/>
        <v>76</v>
      </c>
      <c r="J1018" t="str">
        <f t="shared" si="47"/>
        <v>61-90</v>
      </c>
    </row>
    <row r="1019" spans="1:10" x14ac:dyDescent="0.3">
      <c r="A1019" t="str">
        <f>Table3[[#This Row],[BillID]]</f>
        <v>BILL-01018</v>
      </c>
      <c r="B1019" t="str">
        <f>Table3[[#This Row],[VendorID]]</f>
        <v>VEN-012</v>
      </c>
      <c r="C1019" t="str">
        <f>VLOOKUP(B1019,Vendors!A:B,2,FALSE)</f>
        <v>Google Cloud</v>
      </c>
      <c r="D1019" s="9">
        <f>Table3[[#This Row],[BillDate]]</f>
        <v>46011</v>
      </c>
      <c r="E1019" s="9">
        <f>Table3[[#This Row],[DueDate]]</f>
        <v>46041</v>
      </c>
      <c r="F1019" s="3">
        <f>Table3[[#This Row],[BillAmount]]</f>
        <v>4247.6099999999997</v>
      </c>
      <c r="G1019" s="3">
        <f>SUMIF(Vendor_Payments!C:C,A1019,Vendor_Payments!E:E)</f>
        <v>4247.6099999999997</v>
      </c>
      <c r="H1019" s="3">
        <f t="shared" si="45"/>
        <v>0</v>
      </c>
      <c r="I1019">
        <f t="shared" si="46"/>
        <v>50</v>
      </c>
      <c r="J1019" t="str">
        <f t="shared" si="47"/>
        <v>31-60</v>
      </c>
    </row>
    <row r="1020" spans="1:10" x14ac:dyDescent="0.3">
      <c r="A1020" t="str">
        <f>Table3[[#This Row],[BillID]]</f>
        <v>BILL-01019</v>
      </c>
      <c r="B1020" t="str">
        <f>Table3[[#This Row],[VendorID]]</f>
        <v>VEN-031</v>
      </c>
      <c r="C1020" t="str">
        <f>VLOOKUP(B1020,Vendors!A:B,2,FALSE)</f>
        <v>DataInsight Analytics</v>
      </c>
      <c r="D1020" s="9">
        <f>Table3[[#This Row],[BillDate]]</f>
        <v>46043</v>
      </c>
      <c r="E1020" s="9">
        <f>Table3[[#This Row],[DueDate]]</f>
        <v>46073</v>
      </c>
      <c r="F1020" s="3">
        <f>Table3[[#This Row],[BillAmount]]</f>
        <v>2825.8</v>
      </c>
      <c r="G1020" s="3">
        <f>SUMIF(Vendor_Payments!C:C,A1020,Vendor_Payments!E:E)</f>
        <v>2825.8</v>
      </c>
      <c r="H1020" s="3">
        <f t="shared" si="45"/>
        <v>0</v>
      </c>
      <c r="I1020">
        <f t="shared" si="46"/>
        <v>18</v>
      </c>
      <c r="J1020" t="str">
        <f t="shared" si="47"/>
        <v>1-30</v>
      </c>
    </row>
    <row r="1021" spans="1:10" x14ac:dyDescent="0.3">
      <c r="A1021" t="str">
        <f>Table3[[#This Row],[BillID]]</f>
        <v>BILL-01020</v>
      </c>
      <c r="B1021" t="str">
        <f>Table3[[#This Row],[VendorID]]</f>
        <v>VEN-039</v>
      </c>
      <c r="C1021" t="str">
        <f>VLOOKUP(B1021,Vendors!A:B,2,FALSE)</f>
        <v>Global Growth Advisors</v>
      </c>
      <c r="D1021" s="9">
        <f>Table3[[#This Row],[BillDate]]</f>
        <v>45967</v>
      </c>
      <c r="E1021" s="9">
        <f>Table3[[#This Row],[DueDate]]</f>
        <v>45997</v>
      </c>
      <c r="F1021" s="3">
        <f>Table3[[#This Row],[BillAmount]]</f>
        <v>4464.54</v>
      </c>
      <c r="G1021" s="3">
        <f>SUMIF(Vendor_Payments!C:C,A1021,Vendor_Payments!E:E)</f>
        <v>4464.54</v>
      </c>
      <c r="H1021" s="3">
        <f t="shared" si="45"/>
        <v>0</v>
      </c>
      <c r="I1021">
        <f t="shared" si="46"/>
        <v>94</v>
      </c>
      <c r="J1021" t="str">
        <f t="shared" si="47"/>
        <v>90+</v>
      </c>
    </row>
    <row r="1022" spans="1:10" x14ac:dyDescent="0.3">
      <c r="A1022" t="str">
        <f>Table3[[#This Row],[BillID]]</f>
        <v>BILL-01021</v>
      </c>
      <c r="B1022" t="str">
        <f>Table3[[#This Row],[VendorID]]</f>
        <v>VEN-006</v>
      </c>
      <c r="C1022" t="str">
        <f>VLOOKUP(B1022,Vendors!A:B,2,FALSE)</f>
        <v>Salesforce</v>
      </c>
      <c r="D1022" s="9">
        <f>Table3[[#This Row],[BillDate]]</f>
        <v>45978</v>
      </c>
      <c r="E1022" s="9">
        <f>Table3[[#This Row],[DueDate]]</f>
        <v>46008</v>
      </c>
      <c r="F1022" s="3">
        <f>Table3[[#This Row],[BillAmount]]</f>
        <v>1041.8900000000001</v>
      </c>
      <c r="G1022" s="3">
        <f>SUMIF(Vendor_Payments!C:C,A1022,Vendor_Payments!E:E)</f>
        <v>0</v>
      </c>
      <c r="H1022" s="3">
        <f t="shared" si="45"/>
        <v>1041.8900000000001</v>
      </c>
      <c r="I1022">
        <f t="shared" si="46"/>
        <v>83</v>
      </c>
      <c r="J1022" t="str">
        <f t="shared" si="47"/>
        <v>61-90</v>
      </c>
    </row>
    <row r="1023" spans="1:10" x14ac:dyDescent="0.3">
      <c r="A1023" t="str">
        <f>Table3[[#This Row],[BillID]]</f>
        <v>BILL-01022</v>
      </c>
      <c r="B1023" t="str">
        <f>Table3[[#This Row],[VendorID]]</f>
        <v>VEN-039</v>
      </c>
      <c r="C1023" t="str">
        <f>VLOOKUP(B1023,Vendors!A:B,2,FALSE)</f>
        <v>Global Growth Advisors</v>
      </c>
      <c r="D1023" s="9">
        <f>Table3[[#This Row],[BillDate]]</f>
        <v>46090</v>
      </c>
      <c r="E1023" s="9">
        <f>Table3[[#This Row],[DueDate]]</f>
        <v>46120</v>
      </c>
      <c r="F1023" s="3">
        <f>Table3[[#This Row],[BillAmount]]</f>
        <v>5775.71</v>
      </c>
      <c r="G1023" s="3">
        <f>SUMIF(Vendor_Payments!C:C,A1023,Vendor_Payments!E:E)</f>
        <v>5775.71</v>
      </c>
      <c r="H1023" s="3">
        <f t="shared" si="45"/>
        <v>0</v>
      </c>
      <c r="I1023">
        <f t="shared" si="46"/>
        <v>-29</v>
      </c>
      <c r="J1023" t="str">
        <f t="shared" si="47"/>
        <v>Current</v>
      </c>
    </row>
    <row r="1024" spans="1:10" x14ac:dyDescent="0.3">
      <c r="A1024" t="str">
        <f>Table3[[#This Row],[BillID]]</f>
        <v>BILL-01023</v>
      </c>
      <c r="B1024" t="str">
        <f>Table3[[#This Row],[VendorID]]</f>
        <v>VEN-008</v>
      </c>
      <c r="C1024" t="str">
        <f>VLOOKUP(B1024,Vendors!A:B,2,FALSE)</f>
        <v>Ahrefs</v>
      </c>
      <c r="D1024" s="9">
        <f>Table3[[#This Row],[BillDate]]</f>
        <v>46006</v>
      </c>
      <c r="E1024" s="9">
        <f>Table3[[#This Row],[DueDate]]</f>
        <v>46036</v>
      </c>
      <c r="F1024" s="3">
        <f>Table3[[#This Row],[BillAmount]]</f>
        <v>6603.28</v>
      </c>
      <c r="G1024" s="3">
        <f>SUMIF(Vendor_Payments!C:C,A1024,Vendor_Payments!E:E)</f>
        <v>6603.28</v>
      </c>
      <c r="H1024" s="3">
        <f t="shared" si="45"/>
        <v>0</v>
      </c>
      <c r="I1024">
        <f t="shared" si="46"/>
        <v>55</v>
      </c>
      <c r="J1024" t="str">
        <f t="shared" si="47"/>
        <v>31-60</v>
      </c>
    </row>
    <row r="1025" spans="1:10" x14ac:dyDescent="0.3">
      <c r="A1025" t="str">
        <f>Table3[[#This Row],[BillID]]</f>
        <v>BILL-01024</v>
      </c>
      <c r="B1025" t="str">
        <f>Table3[[#This Row],[VendorID]]</f>
        <v>VEN-013</v>
      </c>
      <c r="C1025" t="str">
        <f>VLOOKUP(B1025,Vendors!A:B,2,FALSE)</f>
        <v>Canva Pro</v>
      </c>
      <c r="D1025" s="9">
        <f>Table3[[#This Row],[BillDate]]</f>
        <v>45984</v>
      </c>
      <c r="E1025" s="9">
        <f>Table3[[#This Row],[DueDate]]</f>
        <v>46014</v>
      </c>
      <c r="F1025" s="3">
        <f>Table3[[#This Row],[BillAmount]]</f>
        <v>2775.84</v>
      </c>
      <c r="G1025" s="3">
        <f>SUMIF(Vendor_Payments!C:C,A1025,Vendor_Payments!E:E)</f>
        <v>0</v>
      </c>
      <c r="H1025" s="3">
        <f t="shared" si="45"/>
        <v>2775.84</v>
      </c>
      <c r="I1025">
        <f t="shared" si="46"/>
        <v>77</v>
      </c>
      <c r="J1025" t="str">
        <f t="shared" si="47"/>
        <v>61-90</v>
      </c>
    </row>
    <row r="1026" spans="1:10" x14ac:dyDescent="0.3">
      <c r="A1026" t="str">
        <f>Table3[[#This Row],[BillID]]</f>
        <v>BILL-01025</v>
      </c>
      <c r="B1026" t="str">
        <f>Table3[[#This Row],[VendorID]]</f>
        <v>VEN-011</v>
      </c>
      <c r="C1026" t="str">
        <f>VLOOKUP(B1026,Vendors!A:B,2,FALSE)</f>
        <v>AWS</v>
      </c>
      <c r="D1026" s="9">
        <f>Table3[[#This Row],[BillDate]]</f>
        <v>46071</v>
      </c>
      <c r="E1026" s="9">
        <f>Table3[[#This Row],[DueDate]]</f>
        <v>46101</v>
      </c>
      <c r="F1026" s="3">
        <f>Table3[[#This Row],[BillAmount]]</f>
        <v>5550.09</v>
      </c>
      <c r="G1026" s="3">
        <f>SUMIF(Vendor_Payments!C:C,A1026,Vendor_Payments!E:E)</f>
        <v>5550.09</v>
      </c>
      <c r="H1026" s="3">
        <f t="shared" si="45"/>
        <v>0</v>
      </c>
      <c r="I1026">
        <f t="shared" si="46"/>
        <v>-10</v>
      </c>
      <c r="J1026" t="str">
        <f t="shared" si="47"/>
        <v>Current</v>
      </c>
    </row>
    <row r="1027" spans="1:10" x14ac:dyDescent="0.3">
      <c r="A1027" t="str">
        <f>Table3[[#This Row],[BillID]]</f>
        <v>BILL-01026</v>
      </c>
      <c r="B1027" t="str">
        <f>Table3[[#This Row],[VendorID]]</f>
        <v>VEN-028</v>
      </c>
      <c r="C1027" t="str">
        <f>VLOOKUP(B1027,Vendors!A:B,2,FALSE)</f>
        <v>MarketEdge Consulting</v>
      </c>
      <c r="D1027" s="9">
        <f>Table3[[#This Row],[BillDate]]</f>
        <v>45993</v>
      </c>
      <c r="E1027" s="9">
        <f>Table3[[#This Row],[DueDate]]</f>
        <v>46023</v>
      </c>
      <c r="F1027" s="3">
        <f>Table3[[#This Row],[BillAmount]]</f>
        <v>2593.46</v>
      </c>
      <c r="G1027" s="3">
        <f>SUMIF(Vendor_Payments!C:C,A1027,Vendor_Payments!E:E)</f>
        <v>2593.46</v>
      </c>
      <c r="H1027" s="3">
        <f t="shared" ref="H1027:H1090" si="48">F1027-G1027</f>
        <v>0</v>
      </c>
      <c r="I1027">
        <f t="shared" ref="I1027:I1090" si="49">$L$1-E1027</f>
        <v>68</v>
      </c>
      <c r="J1027" t="str">
        <f t="shared" ref="J1027:J1090" si="50">IF(I1027&lt;=0,"Current",IF(I1027&lt;=30,"1-30",IF(I1027&lt;=60,"31-60",IF(I1027&lt;=90,"61-90","90+"))))</f>
        <v>61-90</v>
      </c>
    </row>
    <row r="1028" spans="1:10" x14ac:dyDescent="0.3">
      <c r="A1028" t="str">
        <f>Table3[[#This Row],[BillID]]</f>
        <v>BILL-01027</v>
      </c>
      <c r="B1028" t="str">
        <f>Table3[[#This Row],[VendorID]]</f>
        <v>VEN-032</v>
      </c>
      <c r="C1028" t="str">
        <f>VLOOKUP(B1028,Vendors!A:B,2,FALSE)</f>
        <v>Marketing Automation Labs</v>
      </c>
      <c r="D1028" s="9">
        <f>Table3[[#This Row],[BillDate]]</f>
        <v>46056</v>
      </c>
      <c r="E1028" s="9">
        <f>Table3[[#This Row],[DueDate]]</f>
        <v>46086</v>
      </c>
      <c r="F1028" s="3">
        <f>Table3[[#This Row],[BillAmount]]</f>
        <v>4250.45</v>
      </c>
      <c r="G1028" s="3">
        <f>SUMIF(Vendor_Payments!C:C,A1028,Vendor_Payments!E:E)</f>
        <v>4250.45</v>
      </c>
      <c r="H1028" s="3">
        <f t="shared" si="48"/>
        <v>0</v>
      </c>
      <c r="I1028">
        <f t="shared" si="49"/>
        <v>5</v>
      </c>
      <c r="J1028" t="str">
        <f t="shared" si="50"/>
        <v>1-30</v>
      </c>
    </row>
    <row r="1029" spans="1:10" x14ac:dyDescent="0.3">
      <c r="A1029" t="str">
        <f>Table3[[#This Row],[BillID]]</f>
        <v>BILL-01028</v>
      </c>
      <c r="B1029" t="str">
        <f>Table3[[#This Row],[VendorID]]</f>
        <v>VEN-034</v>
      </c>
      <c r="C1029" t="str">
        <f>VLOOKUP(B1029,Vendors!A:B,2,FALSE)</f>
        <v>SocialBoost Agency</v>
      </c>
      <c r="D1029" s="9">
        <f>Table3[[#This Row],[BillDate]]</f>
        <v>46060</v>
      </c>
      <c r="E1029" s="9">
        <f>Table3[[#This Row],[DueDate]]</f>
        <v>46090</v>
      </c>
      <c r="F1029" s="3">
        <f>Table3[[#This Row],[BillAmount]]</f>
        <v>2289.64</v>
      </c>
      <c r="G1029" s="3">
        <f>SUMIF(Vendor_Payments!C:C,A1029,Vendor_Payments!E:E)</f>
        <v>2289.64</v>
      </c>
      <c r="H1029" s="3">
        <f t="shared" si="48"/>
        <v>0</v>
      </c>
      <c r="I1029">
        <f t="shared" si="49"/>
        <v>1</v>
      </c>
      <c r="J1029" t="str">
        <f t="shared" si="50"/>
        <v>1-30</v>
      </c>
    </row>
    <row r="1030" spans="1:10" x14ac:dyDescent="0.3">
      <c r="A1030" t="str">
        <f>Table3[[#This Row],[BillID]]</f>
        <v>BILL-01029</v>
      </c>
      <c r="B1030" t="str">
        <f>Table3[[#This Row],[VendorID]]</f>
        <v>VEN-005</v>
      </c>
      <c r="C1030" t="str">
        <f>VLOOKUP(B1030,Vendors!A:B,2,FALSE)</f>
        <v>HubSpot</v>
      </c>
      <c r="D1030" s="9">
        <f>Table3[[#This Row],[BillDate]]</f>
        <v>45968</v>
      </c>
      <c r="E1030" s="9">
        <f>Table3[[#This Row],[DueDate]]</f>
        <v>45998</v>
      </c>
      <c r="F1030" s="3">
        <f>Table3[[#This Row],[BillAmount]]</f>
        <v>947.12</v>
      </c>
      <c r="G1030" s="3">
        <f>SUMIF(Vendor_Payments!C:C,A1030,Vendor_Payments!E:E)</f>
        <v>947.12</v>
      </c>
      <c r="H1030" s="3">
        <f t="shared" si="48"/>
        <v>0</v>
      </c>
      <c r="I1030">
        <f t="shared" si="49"/>
        <v>93</v>
      </c>
      <c r="J1030" t="str">
        <f t="shared" si="50"/>
        <v>90+</v>
      </c>
    </row>
    <row r="1031" spans="1:10" x14ac:dyDescent="0.3">
      <c r="A1031" t="str">
        <f>Table3[[#This Row],[BillID]]</f>
        <v>BILL-01030</v>
      </c>
      <c r="B1031" t="str">
        <f>Table3[[#This Row],[VendorID]]</f>
        <v>VEN-022</v>
      </c>
      <c r="C1031" t="str">
        <f>VLOOKUP(B1031,Vendors!A:B,2,FALSE)</f>
        <v>Toptal Talent</v>
      </c>
      <c r="D1031" s="9">
        <f>Table3[[#This Row],[BillDate]]</f>
        <v>45978</v>
      </c>
      <c r="E1031" s="9">
        <f>Table3[[#This Row],[DueDate]]</f>
        <v>46008</v>
      </c>
      <c r="F1031" s="3">
        <f>Table3[[#This Row],[BillAmount]]</f>
        <v>2304.0300000000002</v>
      </c>
      <c r="G1031" s="3">
        <f>SUMIF(Vendor_Payments!C:C,A1031,Vendor_Payments!E:E)</f>
        <v>2304.0300000000002</v>
      </c>
      <c r="H1031" s="3">
        <f t="shared" si="48"/>
        <v>0</v>
      </c>
      <c r="I1031">
        <f t="shared" si="49"/>
        <v>83</v>
      </c>
      <c r="J1031" t="str">
        <f t="shared" si="50"/>
        <v>61-90</v>
      </c>
    </row>
    <row r="1032" spans="1:10" x14ac:dyDescent="0.3">
      <c r="A1032" t="str">
        <f>Table3[[#This Row],[BillID]]</f>
        <v>BILL-01031</v>
      </c>
      <c r="B1032" t="str">
        <f>Table3[[#This Row],[VendorID]]</f>
        <v>VEN-033</v>
      </c>
      <c r="C1032" t="str">
        <f>VLOOKUP(B1032,Vendors!A:B,2,FALSE)</f>
        <v>AdScale Solutions</v>
      </c>
      <c r="D1032" s="9">
        <f>Table3[[#This Row],[BillDate]]</f>
        <v>46045</v>
      </c>
      <c r="E1032" s="9">
        <f>Table3[[#This Row],[DueDate]]</f>
        <v>46075</v>
      </c>
      <c r="F1032" s="3">
        <f>Table3[[#This Row],[BillAmount]]</f>
        <v>5517.89</v>
      </c>
      <c r="G1032" s="3">
        <f>SUMIF(Vendor_Payments!C:C,A1032,Vendor_Payments!E:E)</f>
        <v>5517.89</v>
      </c>
      <c r="H1032" s="3">
        <f t="shared" si="48"/>
        <v>0</v>
      </c>
      <c r="I1032">
        <f t="shared" si="49"/>
        <v>16</v>
      </c>
      <c r="J1032" t="str">
        <f t="shared" si="50"/>
        <v>1-30</v>
      </c>
    </row>
    <row r="1033" spans="1:10" x14ac:dyDescent="0.3">
      <c r="A1033" t="str">
        <f>Table3[[#This Row],[BillID]]</f>
        <v>BILL-01032</v>
      </c>
      <c r="B1033" t="str">
        <f>Table3[[#This Row],[VendorID]]</f>
        <v>VEN-019</v>
      </c>
      <c r="C1033" t="str">
        <f>VLOOKUP(B1033,Vendors!A:B,2,FALSE)</f>
        <v>Notion</v>
      </c>
      <c r="D1033" s="9">
        <f>Table3[[#This Row],[BillDate]]</f>
        <v>45970</v>
      </c>
      <c r="E1033" s="9">
        <f>Table3[[#This Row],[DueDate]]</f>
        <v>46000</v>
      </c>
      <c r="F1033" s="3">
        <f>Table3[[#This Row],[BillAmount]]</f>
        <v>3711.09</v>
      </c>
      <c r="G1033" s="3">
        <f>SUMIF(Vendor_Payments!C:C,A1033,Vendor_Payments!E:E)</f>
        <v>3711.09</v>
      </c>
      <c r="H1033" s="3">
        <f t="shared" si="48"/>
        <v>0</v>
      </c>
      <c r="I1033">
        <f t="shared" si="49"/>
        <v>91</v>
      </c>
      <c r="J1033" t="str">
        <f t="shared" si="50"/>
        <v>90+</v>
      </c>
    </row>
    <row r="1034" spans="1:10" x14ac:dyDescent="0.3">
      <c r="A1034" t="str">
        <f>Table3[[#This Row],[BillID]]</f>
        <v>BILL-01033</v>
      </c>
      <c r="B1034" t="str">
        <f>Table3[[#This Row],[VendorID]]</f>
        <v>VEN-009</v>
      </c>
      <c r="C1034" t="str">
        <f>VLOOKUP(B1034,Vendors!A:B,2,FALSE)</f>
        <v>SEMrush</v>
      </c>
      <c r="D1034" s="9">
        <f>Table3[[#This Row],[BillDate]]</f>
        <v>46075</v>
      </c>
      <c r="E1034" s="9">
        <f>Table3[[#This Row],[DueDate]]</f>
        <v>46105</v>
      </c>
      <c r="F1034" s="3">
        <f>Table3[[#This Row],[BillAmount]]</f>
        <v>4213.74</v>
      </c>
      <c r="G1034" s="3">
        <f>SUMIF(Vendor_Payments!C:C,A1034,Vendor_Payments!E:E)</f>
        <v>4213.74</v>
      </c>
      <c r="H1034" s="3">
        <f t="shared" si="48"/>
        <v>0</v>
      </c>
      <c r="I1034">
        <f t="shared" si="49"/>
        <v>-14</v>
      </c>
      <c r="J1034" t="str">
        <f t="shared" si="50"/>
        <v>Current</v>
      </c>
    </row>
    <row r="1035" spans="1:10" x14ac:dyDescent="0.3">
      <c r="A1035" t="str">
        <f>Table3[[#This Row],[BillID]]</f>
        <v>BILL-01034</v>
      </c>
      <c r="B1035" t="str">
        <f>Table3[[#This Row],[VendorID]]</f>
        <v>VEN-036</v>
      </c>
      <c r="C1035" t="str">
        <f>VLOOKUP(B1035,Vendors!A:B,2,FALSE)</f>
        <v>WebDev Masters</v>
      </c>
      <c r="D1035" s="9">
        <f>Table3[[#This Row],[BillDate]]</f>
        <v>46047</v>
      </c>
      <c r="E1035" s="9">
        <f>Table3[[#This Row],[DueDate]]</f>
        <v>46077</v>
      </c>
      <c r="F1035" s="3">
        <f>Table3[[#This Row],[BillAmount]]</f>
        <v>6543.3</v>
      </c>
      <c r="G1035" s="3">
        <f>SUMIF(Vendor_Payments!C:C,A1035,Vendor_Payments!E:E)</f>
        <v>6543.3</v>
      </c>
      <c r="H1035" s="3">
        <f t="shared" si="48"/>
        <v>0</v>
      </c>
      <c r="I1035">
        <f t="shared" si="49"/>
        <v>14</v>
      </c>
      <c r="J1035" t="str">
        <f t="shared" si="50"/>
        <v>1-30</v>
      </c>
    </row>
    <row r="1036" spans="1:10" x14ac:dyDescent="0.3">
      <c r="A1036" t="str">
        <f>Table3[[#This Row],[BillID]]</f>
        <v>BILL-01035</v>
      </c>
      <c r="B1036" t="str">
        <f>Table3[[#This Row],[VendorID]]</f>
        <v>VEN-023</v>
      </c>
      <c r="C1036" t="str">
        <f>VLOOKUP(B1036,Vendors!A:B,2,FALSE)</f>
        <v>Fiverr Pro</v>
      </c>
      <c r="D1036" s="9">
        <f>Table3[[#This Row],[BillDate]]</f>
        <v>46056</v>
      </c>
      <c r="E1036" s="9">
        <f>Table3[[#This Row],[DueDate]]</f>
        <v>46086</v>
      </c>
      <c r="F1036" s="3">
        <f>Table3[[#This Row],[BillAmount]]</f>
        <v>3885.88</v>
      </c>
      <c r="G1036" s="3">
        <f>SUMIF(Vendor_Payments!C:C,A1036,Vendor_Payments!E:E)</f>
        <v>0</v>
      </c>
      <c r="H1036" s="3">
        <f t="shared" si="48"/>
        <v>3885.88</v>
      </c>
      <c r="I1036">
        <f t="shared" si="49"/>
        <v>5</v>
      </c>
      <c r="J1036" t="str">
        <f t="shared" si="50"/>
        <v>1-30</v>
      </c>
    </row>
    <row r="1037" spans="1:10" x14ac:dyDescent="0.3">
      <c r="A1037" t="str">
        <f>Table3[[#This Row],[BillID]]</f>
        <v>BILL-01036</v>
      </c>
      <c r="B1037" t="str">
        <f>Table3[[#This Row],[VendorID]]</f>
        <v>VEN-002</v>
      </c>
      <c r="C1037" t="str">
        <f>VLOOKUP(B1037,Vendors!A:B,2,FALSE)</f>
        <v>Meta Ads</v>
      </c>
      <c r="D1037" s="9">
        <f>Table3[[#This Row],[BillDate]]</f>
        <v>46008</v>
      </c>
      <c r="E1037" s="9">
        <f>Table3[[#This Row],[DueDate]]</f>
        <v>46038</v>
      </c>
      <c r="F1037" s="3">
        <f>Table3[[#This Row],[BillAmount]]</f>
        <v>4976.87</v>
      </c>
      <c r="G1037" s="3">
        <f>SUMIF(Vendor_Payments!C:C,A1037,Vendor_Payments!E:E)</f>
        <v>4976.87</v>
      </c>
      <c r="H1037" s="3">
        <f t="shared" si="48"/>
        <v>0</v>
      </c>
      <c r="I1037">
        <f t="shared" si="49"/>
        <v>53</v>
      </c>
      <c r="J1037" t="str">
        <f t="shared" si="50"/>
        <v>31-60</v>
      </c>
    </row>
    <row r="1038" spans="1:10" x14ac:dyDescent="0.3">
      <c r="A1038" t="str">
        <f>Table3[[#This Row],[BillID]]</f>
        <v>BILL-01037</v>
      </c>
      <c r="B1038" t="str">
        <f>Table3[[#This Row],[VendorID]]</f>
        <v>VEN-008</v>
      </c>
      <c r="C1038" t="str">
        <f>VLOOKUP(B1038,Vendors!A:B,2,FALSE)</f>
        <v>Ahrefs</v>
      </c>
      <c r="D1038" s="9">
        <f>Table3[[#This Row],[BillDate]]</f>
        <v>46047</v>
      </c>
      <c r="E1038" s="9">
        <f>Table3[[#This Row],[DueDate]]</f>
        <v>46077</v>
      </c>
      <c r="F1038" s="3">
        <f>Table3[[#This Row],[BillAmount]]</f>
        <v>4939.33</v>
      </c>
      <c r="G1038" s="3">
        <f>SUMIF(Vendor_Payments!C:C,A1038,Vendor_Payments!E:E)</f>
        <v>4939.33</v>
      </c>
      <c r="H1038" s="3">
        <f t="shared" si="48"/>
        <v>0</v>
      </c>
      <c r="I1038">
        <f t="shared" si="49"/>
        <v>14</v>
      </c>
      <c r="J1038" t="str">
        <f t="shared" si="50"/>
        <v>1-30</v>
      </c>
    </row>
    <row r="1039" spans="1:10" x14ac:dyDescent="0.3">
      <c r="A1039" t="str">
        <f>Table3[[#This Row],[BillID]]</f>
        <v>BILL-01038</v>
      </c>
      <c r="B1039" t="str">
        <f>Table3[[#This Row],[VendorID]]</f>
        <v>VEN-040</v>
      </c>
      <c r="C1039" t="str">
        <f>VLOOKUP(B1039,Vendors!A:B,2,FALSE)</f>
        <v>Digital Performance Lab</v>
      </c>
      <c r="D1039" s="9">
        <f>Table3[[#This Row],[BillDate]]</f>
        <v>45988</v>
      </c>
      <c r="E1039" s="9">
        <f>Table3[[#This Row],[DueDate]]</f>
        <v>46018</v>
      </c>
      <c r="F1039" s="3">
        <f>Table3[[#This Row],[BillAmount]]</f>
        <v>5297.39</v>
      </c>
      <c r="G1039" s="3">
        <f>SUMIF(Vendor_Payments!C:C,A1039,Vendor_Payments!E:E)</f>
        <v>0</v>
      </c>
      <c r="H1039" s="3">
        <f t="shared" si="48"/>
        <v>5297.39</v>
      </c>
      <c r="I1039">
        <f t="shared" si="49"/>
        <v>73</v>
      </c>
      <c r="J1039" t="str">
        <f t="shared" si="50"/>
        <v>61-90</v>
      </c>
    </row>
    <row r="1040" spans="1:10" x14ac:dyDescent="0.3">
      <c r="A1040" t="str">
        <f>Table3[[#This Row],[BillID]]</f>
        <v>BILL-01039</v>
      </c>
      <c r="B1040" t="str">
        <f>Table3[[#This Row],[VendorID]]</f>
        <v>VEN-026</v>
      </c>
      <c r="C1040" t="str">
        <f>VLOOKUP(B1040,Vendors!A:B,2,FALSE)</f>
        <v>PixelForge Studio</v>
      </c>
      <c r="D1040" s="9">
        <f>Table3[[#This Row],[BillDate]]</f>
        <v>46085</v>
      </c>
      <c r="E1040" s="9">
        <f>Table3[[#This Row],[DueDate]]</f>
        <v>46115</v>
      </c>
      <c r="F1040" s="3">
        <f>Table3[[#This Row],[BillAmount]]</f>
        <v>4496.82</v>
      </c>
      <c r="G1040" s="3">
        <f>SUMIF(Vendor_Payments!C:C,A1040,Vendor_Payments!E:E)</f>
        <v>4496.82</v>
      </c>
      <c r="H1040" s="3">
        <f t="shared" si="48"/>
        <v>0</v>
      </c>
      <c r="I1040">
        <f t="shared" si="49"/>
        <v>-24</v>
      </c>
      <c r="J1040" t="str">
        <f t="shared" si="50"/>
        <v>Current</v>
      </c>
    </row>
    <row r="1041" spans="1:10" x14ac:dyDescent="0.3">
      <c r="A1041" t="str">
        <f>Table3[[#This Row],[BillID]]</f>
        <v>BILL-01040</v>
      </c>
      <c r="B1041" t="str">
        <f>Table3[[#This Row],[VendorID]]</f>
        <v>VEN-036</v>
      </c>
      <c r="C1041" t="str">
        <f>VLOOKUP(B1041,Vendors!A:B,2,FALSE)</f>
        <v>WebDev Masters</v>
      </c>
      <c r="D1041" s="9">
        <f>Table3[[#This Row],[BillDate]]</f>
        <v>46018</v>
      </c>
      <c r="E1041" s="9">
        <f>Table3[[#This Row],[DueDate]]</f>
        <v>46048</v>
      </c>
      <c r="F1041" s="3">
        <f>Table3[[#This Row],[BillAmount]]</f>
        <v>2803.61</v>
      </c>
      <c r="G1041" s="3">
        <f>SUMIF(Vendor_Payments!C:C,A1041,Vendor_Payments!E:E)</f>
        <v>2803.61</v>
      </c>
      <c r="H1041" s="3">
        <f t="shared" si="48"/>
        <v>0</v>
      </c>
      <c r="I1041">
        <f t="shared" si="49"/>
        <v>43</v>
      </c>
      <c r="J1041" t="str">
        <f t="shared" si="50"/>
        <v>31-60</v>
      </c>
    </row>
    <row r="1042" spans="1:10" x14ac:dyDescent="0.3">
      <c r="A1042" t="str">
        <f>Table3[[#This Row],[BillID]]</f>
        <v>BILL-01041</v>
      </c>
      <c r="B1042" t="str">
        <f>Table3[[#This Row],[VendorID]]</f>
        <v>VEN-038</v>
      </c>
      <c r="C1042" t="str">
        <f>VLOOKUP(B1042,Vendors!A:B,2,FALSE)</f>
        <v>Insight Marketing Partners</v>
      </c>
      <c r="D1042" s="9">
        <f>Table3[[#This Row],[BillDate]]</f>
        <v>46062</v>
      </c>
      <c r="E1042" s="9">
        <f>Table3[[#This Row],[DueDate]]</f>
        <v>46092</v>
      </c>
      <c r="F1042" s="3">
        <f>Table3[[#This Row],[BillAmount]]</f>
        <v>4347.42</v>
      </c>
      <c r="G1042" s="3">
        <f>SUMIF(Vendor_Payments!C:C,A1042,Vendor_Payments!E:E)</f>
        <v>4347.42</v>
      </c>
      <c r="H1042" s="3">
        <f t="shared" si="48"/>
        <v>0</v>
      </c>
      <c r="I1042">
        <f t="shared" si="49"/>
        <v>-1</v>
      </c>
      <c r="J1042" t="str">
        <f t="shared" si="50"/>
        <v>Current</v>
      </c>
    </row>
    <row r="1043" spans="1:10" x14ac:dyDescent="0.3">
      <c r="A1043" t="str">
        <f>Table3[[#This Row],[BillID]]</f>
        <v>BILL-01042</v>
      </c>
      <c r="B1043" t="str">
        <f>Table3[[#This Row],[VendorID]]</f>
        <v>VEN-018</v>
      </c>
      <c r="C1043" t="str">
        <f>VLOOKUP(B1043,Vendors!A:B,2,FALSE)</f>
        <v>Cloudflare</v>
      </c>
      <c r="D1043" s="9">
        <f>Table3[[#This Row],[BillDate]]</f>
        <v>45976</v>
      </c>
      <c r="E1043" s="9">
        <f>Table3[[#This Row],[DueDate]]</f>
        <v>46006</v>
      </c>
      <c r="F1043" s="3">
        <f>Table3[[#This Row],[BillAmount]]</f>
        <v>1956.75</v>
      </c>
      <c r="G1043" s="3">
        <f>SUMIF(Vendor_Payments!C:C,A1043,Vendor_Payments!E:E)</f>
        <v>0</v>
      </c>
      <c r="H1043" s="3">
        <f t="shared" si="48"/>
        <v>1956.75</v>
      </c>
      <c r="I1043">
        <f t="shared" si="49"/>
        <v>85</v>
      </c>
      <c r="J1043" t="str">
        <f t="shared" si="50"/>
        <v>61-90</v>
      </c>
    </row>
    <row r="1044" spans="1:10" x14ac:dyDescent="0.3">
      <c r="A1044" t="str">
        <f>Table3[[#This Row],[BillID]]</f>
        <v>BILL-01043</v>
      </c>
      <c r="B1044" t="str">
        <f>Table3[[#This Row],[VendorID]]</f>
        <v>VEN-039</v>
      </c>
      <c r="C1044" t="str">
        <f>VLOOKUP(B1044,Vendors!A:B,2,FALSE)</f>
        <v>Global Growth Advisors</v>
      </c>
      <c r="D1044" s="9">
        <f>Table3[[#This Row],[BillDate]]</f>
        <v>45979</v>
      </c>
      <c r="E1044" s="9">
        <f>Table3[[#This Row],[DueDate]]</f>
        <v>46009</v>
      </c>
      <c r="F1044" s="3">
        <f>Table3[[#This Row],[BillAmount]]</f>
        <v>6781.44</v>
      </c>
      <c r="G1044" s="3">
        <f>SUMIF(Vendor_Payments!C:C,A1044,Vendor_Payments!E:E)</f>
        <v>6781.44</v>
      </c>
      <c r="H1044" s="3">
        <f t="shared" si="48"/>
        <v>0</v>
      </c>
      <c r="I1044">
        <f t="shared" si="49"/>
        <v>82</v>
      </c>
      <c r="J1044" t="str">
        <f t="shared" si="50"/>
        <v>61-90</v>
      </c>
    </row>
    <row r="1045" spans="1:10" x14ac:dyDescent="0.3">
      <c r="A1045" t="str">
        <f>Table3[[#This Row],[BillID]]</f>
        <v>BILL-01044</v>
      </c>
      <c r="B1045" t="str">
        <f>Table3[[#This Row],[VendorID]]</f>
        <v>VEN-020</v>
      </c>
      <c r="C1045" t="str">
        <f>VLOOKUP(B1045,Vendors!A:B,2,FALSE)</f>
        <v>Slack</v>
      </c>
      <c r="D1045" s="9">
        <f>Table3[[#This Row],[BillDate]]</f>
        <v>46017</v>
      </c>
      <c r="E1045" s="9">
        <f>Table3[[#This Row],[DueDate]]</f>
        <v>46047</v>
      </c>
      <c r="F1045" s="3">
        <f>Table3[[#This Row],[BillAmount]]</f>
        <v>3027.57</v>
      </c>
      <c r="G1045" s="3">
        <f>SUMIF(Vendor_Payments!C:C,A1045,Vendor_Payments!E:E)</f>
        <v>3027.57</v>
      </c>
      <c r="H1045" s="3">
        <f t="shared" si="48"/>
        <v>0</v>
      </c>
      <c r="I1045">
        <f t="shared" si="49"/>
        <v>44</v>
      </c>
      <c r="J1045" t="str">
        <f t="shared" si="50"/>
        <v>31-60</v>
      </c>
    </row>
    <row r="1046" spans="1:10" x14ac:dyDescent="0.3">
      <c r="A1046" t="str">
        <f>Table3[[#This Row],[BillID]]</f>
        <v>BILL-01045</v>
      </c>
      <c r="B1046" t="str">
        <f>Table3[[#This Row],[VendorID]]</f>
        <v>VEN-028</v>
      </c>
      <c r="C1046" t="str">
        <f>VLOOKUP(B1046,Vendors!A:B,2,FALSE)</f>
        <v>MarketEdge Consulting</v>
      </c>
      <c r="D1046" s="9">
        <f>Table3[[#This Row],[BillDate]]</f>
        <v>46024</v>
      </c>
      <c r="E1046" s="9">
        <f>Table3[[#This Row],[DueDate]]</f>
        <v>46054</v>
      </c>
      <c r="F1046" s="3">
        <f>Table3[[#This Row],[BillAmount]]</f>
        <v>891.59</v>
      </c>
      <c r="G1046" s="3">
        <f>SUMIF(Vendor_Payments!C:C,A1046,Vendor_Payments!E:E)</f>
        <v>891.59</v>
      </c>
      <c r="H1046" s="3">
        <f t="shared" si="48"/>
        <v>0</v>
      </c>
      <c r="I1046">
        <f t="shared" si="49"/>
        <v>37</v>
      </c>
      <c r="J1046" t="str">
        <f t="shared" si="50"/>
        <v>31-60</v>
      </c>
    </row>
    <row r="1047" spans="1:10" x14ac:dyDescent="0.3">
      <c r="A1047" t="str">
        <f>Table3[[#This Row],[BillID]]</f>
        <v>BILL-01046</v>
      </c>
      <c r="B1047" t="str">
        <f>Table3[[#This Row],[VendorID]]</f>
        <v>VEN-022</v>
      </c>
      <c r="C1047" t="str">
        <f>VLOOKUP(B1047,Vendors!A:B,2,FALSE)</f>
        <v>Toptal Talent</v>
      </c>
      <c r="D1047" s="9">
        <f>Table3[[#This Row],[BillDate]]</f>
        <v>45987</v>
      </c>
      <c r="E1047" s="9">
        <f>Table3[[#This Row],[DueDate]]</f>
        <v>46017</v>
      </c>
      <c r="F1047" s="3">
        <f>Table3[[#This Row],[BillAmount]]</f>
        <v>3406.35</v>
      </c>
      <c r="G1047" s="3">
        <f>SUMIF(Vendor_Payments!C:C,A1047,Vendor_Payments!E:E)</f>
        <v>3406.35</v>
      </c>
      <c r="H1047" s="3">
        <f t="shared" si="48"/>
        <v>0</v>
      </c>
      <c r="I1047">
        <f t="shared" si="49"/>
        <v>74</v>
      </c>
      <c r="J1047" t="str">
        <f t="shared" si="50"/>
        <v>61-90</v>
      </c>
    </row>
    <row r="1048" spans="1:10" x14ac:dyDescent="0.3">
      <c r="A1048" t="str">
        <f>Table3[[#This Row],[BillID]]</f>
        <v>BILL-01047</v>
      </c>
      <c r="B1048" t="str">
        <f>Table3[[#This Row],[VendorID]]</f>
        <v>VEN-024</v>
      </c>
      <c r="C1048" t="str">
        <f>VLOOKUP(B1048,Vendors!A:B,2,FALSE)</f>
        <v>Growth Strategy Group</v>
      </c>
      <c r="D1048" s="9">
        <f>Table3[[#This Row],[BillDate]]</f>
        <v>46040</v>
      </c>
      <c r="E1048" s="9">
        <f>Table3[[#This Row],[DueDate]]</f>
        <v>46070</v>
      </c>
      <c r="F1048" s="3">
        <f>Table3[[#This Row],[BillAmount]]</f>
        <v>3553.12</v>
      </c>
      <c r="G1048" s="3">
        <f>SUMIF(Vendor_Payments!C:C,A1048,Vendor_Payments!E:E)</f>
        <v>3553.12</v>
      </c>
      <c r="H1048" s="3">
        <f t="shared" si="48"/>
        <v>0</v>
      </c>
      <c r="I1048">
        <f t="shared" si="49"/>
        <v>21</v>
      </c>
      <c r="J1048" t="str">
        <f t="shared" si="50"/>
        <v>1-30</v>
      </c>
    </row>
    <row r="1049" spans="1:10" x14ac:dyDescent="0.3">
      <c r="A1049" t="str">
        <f>Table3[[#This Row],[BillID]]</f>
        <v>BILL-01048</v>
      </c>
      <c r="B1049" t="str">
        <f>Table3[[#This Row],[VendorID]]</f>
        <v>VEN-010</v>
      </c>
      <c r="C1049" t="str">
        <f>VLOOKUP(B1049,Vendors!A:B,2,FALSE)</f>
        <v>Adobe Creative Cloud</v>
      </c>
      <c r="D1049" s="9">
        <f>Table3[[#This Row],[BillDate]]</f>
        <v>46020</v>
      </c>
      <c r="E1049" s="9">
        <f>Table3[[#This Row],[DueDate]]</f>
        <v>46050</v>
      </c>
      <c r="F1049" s="3">
        <f>Table3[[#This Row],[BillAmount]]</f>
        <v>3553.79</v>
      </c>
      <c r="G1049" s="3">
        <f>SUMIF(Vendor_Payments!C:C,A1049,Vendor_Payments!E:E)</f>
        <v>3553.79</v>
      </c>
      <c r="H1049" s="3">
        <f t="shared" si="48"/>
        <v>0</v>
      </c>
      <c r="I1049">
        <f t="shared" si="49"/>
        <v>41</v>
      </c>
      <c r="J1049" t="str">
        <f t="shared" si="50"/>
        <v>31-60</v>
      </c>
    </row>
    <row r="1050" spans="1:10" x14ac:dyDescent="0.3">
      <c r="A1050" t="str">
        <f>Table3[[#This Row],[BillID]]</f>
        <v>BILL-01049</v>
      </c>
      <c r="B1050" t="str">
        <f>Table3[[#This Row],[VendorID]]</f>
        <v>VEN-036</v>
      </c>
      <c r="C1050" t="str">
        <f>VLOOKUP(B1050,Vendors!A:B,2,FALSE)</f>
        <v>WebDev Masters</v>
      </c>
      <c r="D1050" s="9">
        <f>Table3[[#This Row],[BillDate]]</f>
        <v>46059</v>
      </c>
      <c r="E1050" s="9">
        <f>Table3[[#This Row],[DueDate]]</f>
        <v>46089</v>
      </c>
      <c r="F1050" s="3">
        <f>Table3[[#This Row],[BillAmount]]</f>
        <v>1228.5</v>
      </c>
      <c r="G1050" s="3">
        <f>SUMIF(Vendor_Payments!C:C,A1050,Vendor_Payments!E:E)</f>
        <v>1228.5</v>
      </c>
      <c r="H1050" s="3">
        <f t="shared" si="48"/>
        <v>0</v>
      </c>
      <c r="I1050">
        <f t="shared" si="49"/>
        <v>2</v>
      </c>
      <c r="J1050" t="str">
        <f t="shared" si="50"/>
        <v>1-30</v>
      </c>
    </row>
    <row r="1051" spans="1:10" x14ac:dyDescent="0.3">
      <c r="A1051" t="str">
        <f>Table3[[#This Row],[BillID]]</f>
        <v>BILL-01050</v>
      </c>
      <c r="B1051" t="str">
        <f>Table3[[#This Row],[VendorID]]</f>
        <v>VEN-009</v>
      </c>
      <c r="C1051" t="str">
        <f>VLOOKUP(B1051,Vendors!A:B,2,FALSE)</f>
        <v>SEMrush</v>
      </c>
      <c r="D1051" s="9">
        <f>Table3[[#This Row],[BillDate]]</f>
        <v>46034</v>
      </c>
      <c r="E1051" s="9">
        <f>Table3[[#This Row],[DueDate]]</f>
        <v>46064</v>
      </c>
      <c r="F1051" s="3">
        <f>Table3[[#This Row],[BillAmount]]</f>
        <v>3017.83</v>
      </c>
      <c r="G1051" s="3">
        <f>SUMIF(Vendor_Payments!C:C,A1051,Vendor_Payments!E:E)</f>
        <v>3017.83</v>
      </c>
      <c r="H1051" s="3">
        <f t="shared" si="48"/>
        <v>0</v>
      </c>
      <c r="I1051">
        <f t="shared" si="49"/>
        <v>27</v>
      </c>
      <c r="J1051" t="str">
        <f t="shared" si="50"/>
        <v>1-30</v>
      </c>
    </row>
    <row r="1052" spans="1:10" x14ac:dyDescent="0.3">
      <c r="A1052" t="str">
        <f>Table3[[#This Row],[BillID]]</f>
        <v>BILL-01051</v>
      </c>
      <c r="B1052" t="str">
        <f>Table3[[#This Row],[VendorID]]</f>
        <v>VEN-013</v>
      </c>
      <c r="C1052" t="str">
        <f>VLOOKUP(B1052,Vendors!A:B,2,FALSE)</f>
        <v>Canva Pro</v>
      </c>
      <c r="D1052" s="9">
        <f>Table3[[#This Row],[BillDate]]</f>
        <v>46053</v>
      </c>
      <c r="E1052" s="9">
        <f>Table3[[#This Row],[DueDate]]</f>
        <v>46083</v>
      </c>
      <c r="F1052" s="3">
        <f>Table3[[#This Row],[BillAmount]]</f>
        <v>3769.25</v>
      </c>
      <c r="G1052" s="3">
        <f>SUMIF(Vendor_Payments!C:C,A1052,Vendor_Payments!E:E)</f>
        <v>3769.25</v>
      </c>
      <c r="H1052" s="3">
        <f t="shared" si="48"/>
        <v>0</v>
      </c>
      <c r="I1052">
        <f t="shared" si="49"/>
        <v>8</v>
      </c>
      <c r="J1052" t="str">
        <f t="shared" si="50"/>
        <v>1-30</v>
      </c>
    </row>
    <row r="1053" spans="1:10" x14ac:dyDescent="0.3">
      <c r="A1053" t="str">
        <f>Table3[[#This Row],[BillID]]</f>
        <v>BILL-01052</v>
      </c>
      <c r="B1053" t="str">
        <f>Table3[[#This Row],[VendorID]]</f>
        <v>VEN-040</v>
      </c>
      <c r="C1053" t="str">
        <f>VLOOKUP(B1053,Vendors!A:B,2,FALSE)</f>
        <v>Digital Performance Lab</v>
      </c>
      <c r="D1053" s="9">
        <f>Table3[[#This Row],[BillDate]]</f>
        <v>46038</v>
      </c>
      <c r="E1053" s="9">
        <f>Table3[[#This Row],[DueDate]]</f>
        <v>46068</v>
      </c>
      <c r="F1053" s="3">
        <f>Table3[[#This Row],[BillAmount]]</f>
        <v>6063.05</v>
      </c>
      <c r="G1053" s="3">
        <f>SUMIF(Vendor_Payments!C:C,A1053,Vendor_Payments!E:E)</f>
        <v>6063.05</v>
      </c>
      <c r="H1053" s="3">
        <f t="shared" si="48"/>
        <v>0</v>
      </c>
      <c r="I1053">
        <f t="shared" si="49"/>
        <v>23</v>
      </c>
      <c r="J1053" t="str">
        <f t="shared" si="50"/>
        <v>1-30</v>
      </c>
    </row>
    <row r="1054" spans="1:10" x14ac:dyDescent="0.3">
      <c r="A1054" t="str">
        <f>Table3[[#This Row],[BillID]]</f>
        <v>BILL-01053</v>
      </c>
      <c r="B1054" t="str">
        <f>Table3[[#This Row],[VendorID]]</f>
        <v>VEN-032</v>
      </c>
      <c r="C1054" t="str">
        <f>VLOOKUP(B1054,Vendors!A:B,2,FALSE)</f>
        <v>Marketing Automation Labs</v>
      </c>
      <c r="D1054" s="9">
        <f>Table3[[#This Row],[BillDate]]</f>
        <v>45962</v>
      </c>
      <c r="E1054" s="9">
        <f>Table3[[#This Row],[DueDate]]</f>
        <v>45992</v>
      </c>
      <c r="F1054" s="3">
        <f>Table3[[#This Row],[BillAmount]]</f>
        <v>6130.02</v>
      </c>
      <c r="G1054" s="3">
        <f>SUMIF(Vendor_Payments!C:C,A1054,Vendor_Payments!E:E)</f>
        <v>6130.02</v>
      </c>
      <c r="H1054" s="3">
        <f t="shared" si="48"/>
        <v>0</v>
      </c>
      <c r="I1054">
        <f t="shared" si="49"/>
        <v>99</v>
      </c>
      <c r="J1054" t="str">
        <f t="shared" si="50"/>
        <v>90+</v>
      </c>
    </row>
    <row r="1055" spans="1:10" x14ac:dyDescent="0.3">
      <c r="A1055" t="str">
        <f>Table3[[#This Row],[BillID]]</f>
        <v>BILL-01054</v>
      </c>
      <c r="B1055" t="str">
        <f>Table3[[#This Row],[VendorID]]</f>
        <v>VEN-035</v>
      </c>
      <c r="C1055" t="str">
        <f>VLOOKUP(B1055,Vendors!A:B,2,FALSE)</f>
        <v>ClickFlow Marketing</v>
      </c>
      <c r="D1055" s="9">
        <f>Table3[[#This Row],[BillDate]]</f>
        <v>46003</v>
      </c>
      <c r="E1055" s="9">
        <f>Table3[[#This Row],[DueDate]]</f>
        <v>46033</v>
      </c>
      <c r="F1055" s="3">
        <f>Table3[[#This Row],[BillAmount]]</f>
        <v>2548.3000000000002</v>
      </c>
      <c r="G1055" s="3">
        <f>SUMIF(Vendor_Payments!C:C,A1055,Vendor_Payments!E:E)</f>
        <v>2548.3000000000002</v>
      </c>
      <c r="H1055" s="3">
        <f t="shared" si="48"/>
        <v>0</v>
      </c>
      <c r="I1055">
        <f t="shared" si="49"/>
        <v>58</v>
      </c>
      <c r="J1055" t="str">
        <f t="shared" si="50"/>
        <v>31-60</v>
      </c>
    </row>
    <row r="1056" spans="1:10" x14ac:dyDescent="0.3">
      <c r="A1056" t="str">
        <f>Table3[[#This Row],[BillID]]</f>
        <v>BILL-01055</v>
      </c>
      <c r="B1056" t="str">
        <f>Table3[[#This Row],[VendorID]]</f>
        <v>VEN-017</v>
      </c>
      <c r="C1056" t="str">
        <f>VLOOKUP(B1056,Vendors!A:B,2,FALSE)</f>
        <v>PayPal</v>
      </c>
      <c r="D1056" s="9">
        <f>Table3[[#This Row],[BillDate]]</f>
        <v>46077</v>
      </c>
      <c r="E1056" s="9">
        <f>Table3[[#This Row],[DueDate]]</f>
        <v>46107</v>
      </c>
      <c r="F1056" s="3">
        <f>Table3[[#This Row],[BillAmount]]</f>
        <v>1879.48</v>
      </c>
      <c r="G1056" s="3">
        <f>SUMIF(Vendor_Payments!C:C,A1056,Vendor_Payments!E:E)</f>
        <v>1879.48</v>
      </c>
      <c r="H1056" s="3">
        <f t="shared" si="48"/>
        <v>0</v>
      </c>
      <c r="I1056">
        <f t="shared" si="49"/>
        <v>-16</v>
      </c>
      <c r="J1056" t="str">
        <f t="shared" si="50"/>
        <v>Current</v>
      </c>
    </row>
    <row r="1057" spans="1:10" x14ac:dyDescent="0.3">
      <c r="A1057" t="str">
        <f>Table3[[#This Row],[BillID]]</f>
        <v>BILL-01056</v>
      </c>
      <c r="B1057" t="str">
        <f>Table3[[#This Row],[VendorID]]</f>
        <v>VEN-018</v>
      </c>
      <c r="C1057" t="str">
        <f>VLOOKUP(B1057,Vendors!A:B,2,FALSE)</f>
        <v>Cloudflare</v>
      </c>
      <c r="D1057" s="9">
        <f>Table3[[#This Row],[BillDate]]</f>
        <v>46037</v>
      </c>
      <c r="E1057" s="9">
        <f>Table3[[#This Row],[DueDate]]</f>
        <v>46067</v>
      </c>
      <c r="F1057" s="3">
        <f>Table3[[#This Row],[BillAmount]]</f>
        <v>1296.0999999999999</v>
      </c>
      <c r="G1057" s="3">
        <f>SUMIF(Vendor_Payments!C:C,A1057,Vendor_Payments!E:E)</f>
        <v>0</v>
      </c>
      <c r="H1057" s="3">
        <f t="shared" si="48"/>
        <v>1296.0999999999999</v>
      </c>
      <c r="I1057">
        <f t="shared" si="49"/>
        <v>24</v>
      </c>
      <c r="J1057" t="str">
        <f t="shared" si="50"/>
        <v>1-30</v>
      </c>
    </row>
    <row r="1058" spans="1:10" x14ac:dyDescent="0.3">
      <c r="A1058" t="str">
        <f>Table3[[#This Row],[BillID]]</f>
        <v>BILL-01057</v>
      </c>
      <c r="B1058" t="str">
        <f>Table3[[#This Row],[VendorID]]</f>
        <v>VEN-022</v>
      </c>
      <c r="C1058" t="str">
        <f>VLOOKUP(B1058,Vendors!A:B,2,FALSE)</f>
        <v>Toptal Talent</v>
      </c>
      <c r="D1058" s="9">
        <f>Table3[[#This Row],[BillDate]]</f>
        <v>46025</v>
      </c>
      <c r="E1058" s="9">
        <f>Table3[[#This Row],[DueDate]]</f>
        <v>46055</v>
      </c>
      <c r="F1058" s="3">
        <f>Table3[[#This Row],[BillAmount]]</f>
        <v>2920.45</v>
      </c>
      <c r="G1058" s="3">
        <f>SUMIF(Vendor_Payments!C:C,A1058,Vendor_Payments!E:E)</f>
        <v>0</v>
      </c>
      <c r="H1058" s="3">
        <f t="shared" si="48"/>
        <v>2920.45</v>
      </c>
      <c r="I1058">
        <f t="shared" si="49"/>
        <v>36</v>
      </c>
      <c r="J1058" t="str">
        <f t="shared" si="50"/>
        <v>31-60</v>
      </c>
    </row>
    <row r="1059" spans="1:10" x14ac:dyDescent="0.3">
      <c r="A1059" t="str">
        <f>Table3[[#This Row],[BillID]]</f>
        <v>BILL-01058</v>
      </c>
      <c r="B1059" t="str">
        <f>Table3[[#This Row],[VendorID]]</f>
        <v>VEN-007</v>
      </c>
      <c r="C1059" t="str">
        <f>VLOOKUP(B1059,Vendors!A:B,2,FALSE)</f>
        <v>Mailchimp</v>
      </c>
      <c r="D1059" s="9">
        <f>Table3[[#This Row],[BillDate]]</f>
        <v>46032</v>
      </c>
      <c r="E1059" s="9">
        <f>Table3[[#This Row],[DueDate]]</f>
        <v>46062</v>
      </c>
      <c r="F1059" s="3">
        <f>Table3[[#This Row],[BillAmount]]</f>
        <v>2831.29</v>
      </c>
      <c r="G1059" s="3">
        <f>SUMIF(Vendor_Payments!C:C,A1059,Vendor_Payments!E:E)</f>
        <v>2831.29</v>
      </c>
      <c r="H1059" s="3">
        <f t="shared" si="48"/>
        <v>0</v>
      </c>
      <c r="I1059">
        <f t="shared" si="49"/>
        <v>29</v>
      </c>
      <c r="J1059" t="str">
        <f t="shared" si="50"/>
        <v>1-30</v>
      </c>
    </row>
    <row r="1060" spans="1:10" x14ac:dyDescent="0.3">
      <c r="A1060" t="str">
        <f>Table3[[#This Row],[BillID]]</f>
        <v>BILL-01059</v>
      </c>
      <c r="B1060" t="str">
        <f>Table3[[#This Row],[VendorID]]</f>
        <v>VEN-038</v>
      </c>
      <c r="C1060" t="str">
        <f>VLOOKUP(B1060,Vendors!A:B,2,FALSE)</f>
        <v>Insight Marketing Partners</v>
      </c>
      <c r="D1060" s="9">
        <f>Table3[[#This Row],[BillDate]]</f>
        <v>46010</v>
      </c>
      <c r="E1060" s="9">
        <f>Table3[[#This Row],[DueDate]]</f>
        <v>46040</v>
      </c>
      <c r="F1060" s="3">
        <f>Table3[[#This Row],[BillAmount]]</f>
        <v>6554.63</v>
      </c>
      <c r="G1060" s="3">
        <f>SUMIF(Vendor_Payments!C:C,A1060,Vendor_Payments!E:E)</f>
        <v>6554.63</v>
      </c>
      <c r="H1060" s="3">
        <f t="shared" si="48"/>
        <v>0</v>
      </c>
      <c r="I1060">
        <f t="shared" si="49"/>
        <v>51</v>
      </c>
      <c r="J1060" t="str">
        <f t="shared" si="50"/>
        <v>31-60</v>
      </c>
    </row>
    <row r="1061" spans="1:10" x14ac:dyDescent="0.3">
      <c r="A1061" t="str">
        <f>Table3[[#This Row],[BillID]]</f>
        <v>BILL-01060</v>
      </c>
      <c r="B1061" t="str">
        <f>Table3[[#This Row],[VendorID]]</f>
        <v>VEN-037</v>
      </c>
      <c r="C1061" t="str">
        <f>VLOOKUP(B1061,Vendors!A:B,2,FALSE)</f>
        <v>CreativeSpark Studio</v>
      </c>
      <c r="D1061" s="9">
        <f>Table3[[#This Row],[BillDate]]</f>
        <v>45967</v>
      </c>
      <c r="E1061" s="9">
        <f>Table3[[#This Row],[DueDate]]</f>
        <v>45997</v>
      </c>
      <c r="F1061" s="3">
        <f>Table3[[#This Row],[BillAmount]]</f>
        <v>5815.76</v>
      </c>
      <c r="G1061" s="3">
        <f>SUMIF(Vendor_Payments!C:C,A1061,Vendor_Payments!E:E)</f>
        <v>5815.76</v>
      </c>
      <c r="H1061" s="3">
        <f t="shared" si="48"/>
        <v>0</v>
      </c>
      <c r="I1061">
        <f t="shared" si="49"/>
        <v>94</v>
      </c>
      <c r="J1061" t="str">
        <f t="shared" si="50"/>
        <v>90+</v>
      </c>
    </row>
    <row r="1062" spans="1:10" x14ac:dyDescent="0.3">
      <c r="A1062" t="str">
        <f>Table3[[#This Row],[BillID]]</f>
        <v>BILL-01061</v>
      </c>
      <c r="B1062" t="str">
        <f>Table3[[#This Row],[VendorID]]</f>
        <v>VEN-024</v>
      </c>
      <c r="C1062" t="str">
        <f>VLOOKUP(B1062,Vendors!A:B,2,FALSE)</f>
        <v>Growth Strategy Group</v>
      </c>
      <c r="D1062" s="9">
        <f>Table3[[#This Row],[BillDate]]</f>
        <v>46000</v>
      </c>
      <c r="E1062" s="9">
        <f>Table3[[#This Row],[DueDate]]</f>
        <v>46030</v>
      </c>
      <c r="F1062" s="3">
        <f>Table3[[#This Row],[BillAmount]]</f>
        <v>3603.51</v>
      </c>
      <c r="G1062" s="3">
        <f>SUMIF(Vendor_Payments!C:C,A1062,Vendor_Payments!E:E)</f>
        <v>3603.51</v>
      </c>
      <c r="H1062" s="3">
        <f t="shared" si="48"/>
        <v>0</v>
      </c>
      <c r="I1062">
        <f t="shared" si="49"/>
        <v>61</v>
      </c>
      <c r="J1062" t="str">
        <f t="shared" si="50"/>
        <v>61-90</v>
      </c>
    </row>
    <row r="1063" spans="1:10" x14ac:dyDescent="0.3">
      <c r="A1063" t="str">
        <f>Table3[[#This Row],[BillID]]</f>
        <v>BILL-01062</v>
      </c>
      <c r="B1063" t="str">
        <f>Table3[[#This Row],[VendorID]]</f>
        <v>VEN-015</v>
      </c>
      <c r="C1063" t="str">
        <f>VLOOKUP(B1063,Vendors!A:B,2,FALSE)</f>
        <v>Zapier</v>
      </c>
      <c r="D1063" s="9">
        <f>Table3[[#This Row],[BillDate]]</f>
        <v>46085</v>
      </c>
      <c r="E1063" s="9">
        <f>Table3[[#This Row],[DueDate]]</f>
        <v>46115</v>
      </c>
      <c r="F1063" s="3">
        <f>Table3[[#This Row],[BillAmount]]</f>
        <v>4874.3900000000003</v>
      </c>
      <c r="G1063" s="3">
        <f>SUMIF(Vendor_Payments!C:C,A1063,Vendor_Payments!E:E)</f>
        <v>4874.3900000000003</v>
      </c>
      <c r="H1063" s="3">
        <f t="shared" si="48"/>
        <v>0</v>
      </c>
      <c r="I1063">
        <f t="shared" si="49"/>
        <v>-24</v>
      </c>
      <c r="J1063" t="str">
        <f t="shared" si="50"/>
        <v>Current</v>
      </c>
    </row>
    <row r="1064" spans="1:10" x14ac:dyDescent="0.3">
      <c r="A1064" t="str">
        <f>Table3[[#This Row],[BillID]]</f>
        <v>BILL-01063</v>
      </c>
      <c r="B1064" t="str">
        <f>Table3[[#This Row],[VendorID]]</f>
        <v>VEN-039</v>
      </c>
      <c r="C1064" t="str">
        <f>VLOOKUP(B1064,Vendors!A:B,2,FALSE)</f>
        <v>Global Growth Advisors</v>
      </c>
      <c r="D1064" s="9">
        <f>Table3[[#This Row],[BillDate]]</f>
        <v>46048</v>
      </c>
      <c r="E1064" s="9">
        <f>Table3[[#This Row],[DueDate]]</f>
        <v>46078</v>
      </c>
      <c r="F1064" s="3">
        <f>Table3[[#This Row],[BillAmount]]</f>
        <v>2604.92</v>
      </c>
      <c r="G1064" s="3">
        <f>SUMIF(Vendor_Payments!C:C,A1064,Vendor_Payments!E:E)</f>
        <v>2604.92</v>
      </c>
      <c r="H1064" s="3">
        <f t="shared" si="48"/>
        <v>0</v>
      </c>
      <c r="I1064">
        <f t="shared" si="49"/>
        <v>13</v>
      </c>
      <c r="J1064" t="str">
        <f t="shared" si="50"/>
        <v>1-30</v>
      </c>
    </row>
    <row r="1065" spans="1:10" x14ac:dyDescent="0.3">
      <c r="A1065" t="str">
        <f>Table3[[#This Row],[BillID]]</f>
        <v>BILL-01064</v>
      </c>
      <c r="B1065" t="str">
        <f>Table3[[#This Row],[VendorID]]</f>
        <v>VEN-021</v>
      </c>
      <c r="C1065" t="str">
        <f>VLOOKUP(B1065,Vendors!A:B,2,FALSE)</f>
        <v>Upwork Freelancers</v>
      </c>
      <c r="D1065" s="9">
        <f>Table3[[#This Row],[BillDate]]</f>
        <v>45985</v>
      </c>
      <c r="E1065" s="9">
        <f>Table3[[#This Row],[DueDate]]</f>
        <v>46015</v>
      </c>
      <c r="F1065" s="3">
        <f>Table3[[#This Row],[BillAmount]]</f>
        <v>4768.22</v>
      </c>
      <c r="G1065" s="3">
        <f>SUMIF(Vendor_Payments!C:C,A1065,Vendor_Payments!E:E)</f>
        <v>0</v>
      </c>
      <c r="H1065" s="3">
        <f t="shared" si="48"/>
        <v>4768.22</v>
      </c>
      <c r="I1065">
        <f t="shared" si="49"/>
        <v>76</v>
      </c>
      <c r="J1065" t="str">
        <f t="shared" si="50"/>
        <v>61-90</v>
      </c>
    </row>
    <row r="1066" spans="1:10" x14ac:dyDescent="0.3">
      <c r="A1066" t="str">
        <f>Table3[[#This Row],[BillID]]</f>
        <v>BILL-01065</v>
      </c>
      <c r="B1066" t="str">
        <f>Table3[[#This Row],[VendorID]]</f>
        <v>VEN-025</v>
      </c>
      <c r="C1066" t="str">
        <f>VLOOKUP(B1066,Vendors!A:B,2,FALSE)</f>
        <v>Digital Growth Consultants</v>
      </c>
      <c r="D1066" s="9">
        <f>Table3[[#This Row],[BillDate]]</f>
        <v>46076</v>
      </c>
      <c r="E1066" s="9">
        <f>Table3[[#This Row],[DueDate]]</f>
        <v>46106</v>
      </c>
      <c r="F1066" s="3">
        <f>Table3[[#This Row],[BillAmount]]</f>
        <v>2203.4299999999998</v>
      </c>
      <c r="G1066" s="3">
        <f>SUMIF(Vendor_Payments!C:C,A1066,Vendor_Payments!E:E)</f>
        <v>2203.4299999999998</v>
      </c>
      <c r="H1066" s="3">
        <f t="shared" si="48"/>
        <v>0</v>
      </c>
      <c r="I1066">
        <f t="shared" si="49"/>
        <v>-15</v>
      </c>
      <c r="J1066" t="str">
        <f t="shared" si="50"/>
        <v>Current</v>
      </c>
    </row>
    <row r="1067" spans="1:10" x14ac:dyDescent="0.3">
      <c r="A1067" t="str">
        <f>Table3[[#This Row],[BillID]]</f>
        <v>BILL-01066</v>
      </c>
      <c r="B1067" t="str">
        <f>Table3[[#This Row],[VendorID]]</f>
        <v>VEN-039</v>
      </c>
      <c r="C1067" t="str">
        <f>VLOOKUP(B1067,Vendors!A:B,2,FALSE)</f>
        <v>Global Growth Advisors</v>
      </c>
      <c r="D1067" s="9">
        <f>Table3[[#This Row],[BillDate]]</f>
        <v>45993</v>
      </c>
      <c r="E1067" s="9">
        <f>Table3[[#This Row],[DueDate]]</f>
        <v>46023</v>
      </c>
      <c r="F1067" s="3">
        <f>Table3[[#This Row],[BillAmount]]</f>
        <v>3497.52</v>
      </c>
      <c r="G1067" s="3">
        <f>SUMIF(Vendor_Payments!C:C,A1067,Vendor_Payments!E:E)</f>
        <v>3497.52</v>
      </c>
      <c r="H1067" s="3">
        <f t="shared" si="48"/>
        <v>0</v>
      </c>
      <c r="I1067">
        <f t="shared" si="49"/>
        <v>68</v>
      </c>
      <c r="J1067" t="str">
        <f t="shared" si="50"/>
        <v>61-90</v>
      </c>
    </row>
    <row r="1068" spans="1:10" x14ac:dyDescent="0.3">
      <c r="A1068" t="str">
        <f>Table3[[#This Row],[BillID]]</f>
        <v>BILL-01067</v>
      </c>
      <c r="B1068" t="str">
        <f>Table3[[#This Row],[VendorID]]</f>
        <v>VEN-040</v>
      </c>
      <c r="C1068" t="str">
        <f>VLOOKUP(B1068,Vendors!A:B,2,FALSE)</f>
        <v>Digital Performance Lab</v>
      </c>
      <c r="D1068" s="9">
        <f>Table3[[#This Row],[BillDate]]</f>
        <v>46028</v>
      </c>
      <c r="E1068" s="9">
        <f>Table3[[#This Row],[DueDate]]</f>
        <v>46058</v>
      </c>
      <c r="F1068" s="3">
        <f>Table3[[#This Row],[BillAmount]]</f>
        <v>4520.58</v>
      </c>
      <c r="G1068" s="3">
        <f>SUMIF(Vendor_Payments!C:C,A1068,Vendor_Payments!E:E)</f>
        <v>4520.58</v>
      </c>
      <c r="H1068" s="3">
        <f t="shared" si="48"/>
        <v>0</v>
      </c>
      <c r="I1068">
        <f t="shared" si="49"/>
        <v>33</v>
      </c>
      <c r="J1068" t="str">
        <f t="shared" si="50"/>
        <v>31-60</v>
      </c>
    </row>
    <row r="1069" spans="1:10" x14ac:dyDescent="0.3">
      <c r="A1069" t="str">
        <f>Table3[[#This Row],[BillID]]</f>
        <v>BILL-01068</v>
      </c>
      <c r="B1069" t="str">
        <f>Table3[[#This Row],[VendorID]]</f>
        <v>VEN-019</v>
      </c>
      <c r="C1069" t="str">
        <f>VLOOKUP(B1069,Vendors!A:B,2,FALSE)</f>
        <v>Notion</v>
      </c>
      <c r="D1069" s="9">
        <f>Table3[[#This Row],[BillDate]]</f>
        <v>46013</v>
      </c>
      <c r="E1069" s="9">
        <f>Table3[[#This Row],[DueDate]]</f>
        <v>46043</v>
      </c>
      <c r="F1069" s="3">
        <f>Table3[[#This Row],[BillAmount]]</f>
        <v>6697.93</v>
      </c>
      <c r="G1069" s="3">
        <f>SUMIF(Vendor_Payments!C:C,A1069,Vendor_Payments!E:E)</f>
        <v>6697.93</v>
      </c>
      <c r="H1069" s="3">
        <f t="shared" si="48"/>
        <v>0</v>
      </c>
      <c r="I1069">
        <f t="shared" si="49"/>
        <v>48</v>
      </c>
      <c r="J1069" t="str">
        <f t="shared" si="50"/>
        <v>31-60</v>
      </c>
    </row>
    <row r="1070" spans="1:10" x14ac:dyDescent="0.3">
      <c r="A1070" t="str">
        <f>Table3[[#This Row],[BillID]]</f>
        <v>BILL-01069</v>
      </c>
      <c r="B1070" t="str">
        <f>Table3[[#This Row],[VendorID]]</f>
        <v>VEN-002</v>
      </c>
      <c r="C1070" t="str">
        <f>VLOOKUP(B1070,Vendors!A:B,2,FALSE)</f>
        <v>Meta Ads</v>
      </c>
      <c r="D1070" s="9">
        <f>Table3[[#This Row],[BillDate]]</f>
        <v>46073</v>
      </c>
      <c r="E1070" s="9">
        <f>Table3[[#This Row],[DueDate]]</f>
        <v>46103</v>
      </c>
      <c r="F1070" s="3">
        <f>Table3[[#This Row],[BillAmount]]</f>
        <v>2672.62</v>
      </c>
      <c r="G1070" s="3">
        <f>SUMIF(Vendor_Payments!C:C,A1070,Vendor_Payments!E:E)</f>
        <v>2672.62</v>
      </c>
      <c r="H1070" s="3">
        <f t="shared" si="48"/>
        <v>0</v>
      </c>
      <c r="I1070">
        <f t="shared" si="49"/>
        <v>-12</v>
      </c>
      <c r="J1070" t="str">
        <f t="shared" si="50"/>
        <v>Current</v>
      </c>
    </row>
    <row r="1071" spans="1:10" x14ac:dyDescent="0.3">
      <c r="A1071" t="str">
        <f>Table3[[#This Row],[BillID]]</f>
        <v>BILL-01070</v>
      </c>
      <c r="B1071" t="str">
        <f>Table3[[#This Row],[VendorID]]</f>
        <v>VEN-008</v>
      </c>
      <c r="C1071" t="str">
        <f>VLOOKUP(B1071,Vendors!A:B,2,FALSE)</f>
        <v>Ahrefs</v>
      </c>
      <c r="D1071" s="9">
        <f>Table3[[#This Row],[BillDate]]</f>
        <v>46076</v>
      </c>
      <c r="E1071" s="9">
        <f>Table3[[#This Row],[DueDate]]</f>
        <v>46106</v>
      </c>
      <c r="F1071" s="3">
        <f>Table3[[#This Row],[BillAmount]]</f>
        <v>3026.93</v>
      </c>
      <c r="G1071" s="3">
        <f>SUMIF(Vendor_Payments!C:C,A1071,Vendor_Payments!E:E)</f>
        <v>3026.93</v>
      </c>
      <c r="H1071" s="3">
        <f t="shared" si="48"/>
        <v>0</v>
      </c>
      <c r="I1071">
        <f t="shared" si="49"/>
        <v>-15</v>
      </c>
      <c r="J1071" t="str">
        <f t="shared" si="50"/>
        <v>Current</v>
      </c>
    </row>
    <row r="1072" spans="1:10" x14ac:dyDescent="0.3">
      <c r="A1072" t="str">
        <f>Table3[[#This Row],[BillID]]</f>
        <v>BILL-01071</v>
      </c>
      <c r="B1072" t="str">
        <f>Table3[[#This Row],[VendorID]]</f>
        <v>VEN-025</v>
      </c>
      <c r="C1072" t="str">
        <f>VLOOKUP(B1072,Vendors!A:B,2,FALSE)</f>
        <v>Digital Growth Consultants</v>
      </c>
      <c r="D1072" s="9">
        <f>Table3[[#This Row],[BillDate]]</f>
        <v>46020</v>
      </c>
      <c r="E1072" s="9">
        <f>Table3[[#This Row],[DueDate]]</f>
        <v>46050</v>
      </c>
      <c r="F1072" s="3">
        <f>Table3[[#This Row],[BillAmount]]</f>
        <v>4545.57</v>
      </c>
      <c r="G1072" s="3">
        <f>SUMIF(Vendor_Payments!C:C,A1072,Vendor_Payments!E:E)</f>
        <v>4545.57</v>
      </c>
      <c r="H1072" s="3">
        <f t="shared" si="48"/>
        <v>0</v>
      </c>
      <c r="I1072">
        <f t="shared" si="49"/>
        <v>41</v>
      </c>
      <c r="J1072" t="str">
        <f t="shared" si="50"/>
        <v>31-60</v>
      </c>
    </row>
    <row r="1073" spans="1:10" x14ac:dyDescent="0.3">
      <c r="A1073" t="str">
        <f>Table3[[#This Row],[BillID]]</f>
        <v>BILL-01072</v>
      </c>
      <c r="B1073" t="str">
        <f>Table3[[#This Row],[VendorID]]</f>
        <v>VEN-026</v>
      </c>
      <c r="C1073" t="str">
        <f>VLOOKUP(B1073,Vendors!A:B,2,FALSE)</f>
        <v>PixelForge Studio</v>
      </c>
      <c r="D1073" s="9">
        <f>Table3[[#This Row],[BillDate]]</f>
        <v>46035</v>
      </c>
      <c r="E1073" s="9">
        <f>Table3[[#This Row],[DueDate]]</f>
        <v>46065</v>
      </c>
      <c r="F1073" s="3">
        <f>Table3[[#This Row],[BillAmount]]</f>
        <v>2172</v>
      </c>
      <c r="G1073" s="3">
        <f>SUMIF(Vendor_Payments!C:C,A1073,Vendor_Payments!E:E)</f>
        <v>2172</v>
      </c>
      <c r="H1073" s="3">
        <f t="shared" si="48"/>
        <v>0</v>
      </c>
      <c r="I1073">
        <f t="shared" si="49"/>
        <v>26</v>
      </c>
      <c r="J1073" t="str">
        <f t="shared" si="50"/>
        <v>1-30</v>
      </c>
    </row>
    <row r="1074" spans="1:10" x14ac:dyDescent="0.3">
      <c r="A1074" t="str">
        <f>Table3[[#This Row],[BillID]]</f>
        <v>BILL-01073</v>
      </c>
      <c r="B1074" t="str">
        <f>Table3[[#This Row],[VendorID]]</f>
        <v>VEN-014</v>
      </c>
      <c r="C1074" t="str">
        <f>VLOOKUP(B1074,Vendors!A:B,2,FALSE)</f>
        <v>Figma</v>
      </c>
      <c r="D1074" s="9">
        <f>Table3[[#This Row],[BillDate]]</f>
        <v>46053</v>
      </c>
      <c r="E1074" s="9">
        <f>Table3[[#This Row],[DueDate]]</f>
        <v>46083</v>
      </c>
      <c r="F1074" s="3">
        <f>Table3[[#This Row],[BillAmount]]</f>
        <v>1550.88</v>
      </c>
      <c r="G1074" s="3">
        <f>SUMIF(Vendor_Payments!C:C,A1074,Vendor_Payments!E:E)</f>
        <v>1550.88</v>
      </c>
      <c r="H1074" s="3">
        <f t="shared" si="48"/>
        <v>0</v>
      </c>
      <c r="I1074">
        <f t="shared" si="49"/>
        <v>8</v>
      </c>
      <c r="J1074" t="str">
        <f t="shared" si="50"/>
        <v>1-30</v>
      </c>
    </row>
    <row r="1075" spans="1:10" x14ac:dyDescent="0.3">
      <c r="A1075" t="str">
        <f>Table3[[#This Row],[BillID]]</f>
        <v>BILL-01074</v>
      </c>
      <c r="B1075" t="str">
        <f>Table3[[#This Row],[VendorID]]</f>
        <v>VEN-003</v>
      </c>
      <c r="C1075" t="str">
        <f>VLOOKUP(B1075,Vendors!A:B,2,FALSE)</f>
        <v>TikTok Ads</v>
      </c>
      <c r="D1075" s="9">
        <f>Table3[[#This Row],[BillDate]]</f>
        <v>46036</v>
      </c>
      <c r="E1075" s="9">
        <f>Table3[[#This Row],[DueDate]]</f>
        <v>46066</v>
      </c>
      <c r="F1075" s="3">
        <f>Table3[[#This Row],[BillAmount]]</f>
        <v>2672.84</v>
      </c>
      <c r="G1075" s="3">
        <f>SUMIF(Vendor_Payments!C:C,A1075,Vendor_Payments!E:E)</f>
        <v>0</v>
      </c>
      <c r="H1075" s="3">
        <f t="shared" si="48"/>
        <v>2672.84</v>
      </c>
      <c r="I1075">
        <f t="shared" si="49"/>
        <v>25</v>
      </c>
      <c r="J1075" t="str">
        <f t="shared" si="50"/>
        <v>1-30</v>
      </c>
    </row>
    <row r="1076" spans="1:10" x14ac:dyDescent="0.3">
      <c r="A1076" t="str">
        <f>Table3[[#This Row],[BillID]]</f>
        <v>BILL-01075</v>
      </c>
      <c r="B1076" t="str">
        <f>Table3[[#This Row],[VendorID]]</f>
        <v>VEN-001</v>
      </c>
      <c r="C1076" t="str">
        <f>VLOOKUP(B1076,Vendors!A:B,2,FALSE)</f>
        <v>Google Ads</v>
      </c>
      <c r="D1076" s="9">
        <f>Table3[[#This Row],[BillDate]]</f>
        <v>46018</v>
      </c>
      <c r="E1076" s="9">
        <f>Table3[[#This Row],[DueDate]]</f>
        <v>46048</v>
      </c>
      <c r="F1076" s="3">
        <f>Table3[[#This Row],[BillAmount]]</f>
        <v>1946.67</v>
      </c>
      <c r="G1076" s="3">
        <f>SUMIF(Vendor_Payments!C:C,A1076,Vendor_Payments!E:E)</f>
        <v>1946.67</v>
      </c>
      <c r="H1076" s="3">
        <f t="shared" si="48"/>
        <v>0</v>
      </c>
      <c r="I1076">
        <f t="shared" si="49"/>
        <v>43</v>
      </c>
      <c r="J1076" t="str">
        <f t="shared" si="50"/>
        <v>31-60</v>
      </c>
    </row>
    <row r="1077" spans="1:10" x14ac:dyDescent="0.3">
      <c r="A1077" t="str">
        <f>Table3[[#This Row],[BillID]]</f>
        <v>BILL-01076</v>
      </c>
      <c r="B1077" t="str">
        <f>Table3[[#This Row],[VendorID]]</f>
        <v>VEN-038</v>
      </c>
      <c r="C1077" t="str">
        <f>VLOOKUP(B1077,Vendors!A:B,2,FALSE)</f>
        <v>Insight Marketing Partners</v>
      </c>
      <c r="D1077" s="9">
        <f>Table3[[#This Row],[BillDate]]</f>
        <v>46087</v>
      </c>
      <c r="E1077" s="9">
        <f>Table3[[#This Row],[DueDate]]</f>
        <v>46117</v>
      </c>
      <c r="F1077" s="3">
        <f>Table3[[#This Row],[BillAmount]]</f>
        <v>1102.24</v>
      </c>
      <c r="G1077" s="3">
        <f>SUMIF(Vendor_Payments!C:C,A1077,Vendor_Payments!E:E)</f>
        <v>1102.24</v>
      </c>
      <c r="H1077" s="3">
        <f t="shared" si="48"/>
        <v>0</v>
      </c>
      <c r="I1077">
        <f t="shared" si="49"/>
        <v>-26</v>
      </c>
      <c r="J1077" t="str">
        <f t="shared" si="50"/>
        <v>Current</v>
      </c>
    </row>
    <row r="1078" spans="1:10" x14ac:dyDescent="0.3">
      <c r="A1078" t="str">
        <f>Table3[[#This Row],[BillID]]</f>
        <v>BILL-01077</v>
      </c>
      <c r="B1078" t="str">
        <f>Table3[[#This Row],[VendorID]]</f>
        <v>VEN-014</v>
      </c>
      <c r="C1078" t="str">
        <f>VLOOKUP(B1078,Vendors!A:B,2,FALSE)</f>
        <v>Figma</v>
      </c>
      <c r="D1078" s="9">
        <f>Table3[[#This Row],[BillDate]]</f>
        <v>45995</v>
      </c>
      <c r="E1078" s="9">
        <f>Table3[[#This Row],[DueDate]]</f>
        <v>46025</v>
      </c>
      <c r="F1078" s="3">
        <f>Table3[[#This Row],[BillAmount]]</f>
        <v>3116.77</v>
      </c>
      <c r="G1078" s="3">
        <f>SUMIF(Vendor_Payments!C:C,A1078,Vendor_Payments!E:E)</f>
        <v>3116.77</v>
      </c>
      <c r="H1078" s="3">
        <f t="shared" si="48"/>
        <v>0</v>
      </c>
      <c r="I1078">
        <f t="shared" si="49"/>
        <v>66</v>
      </c>
      <c r="J1078" t="str">
        <f t="shared" si="50"/>
        <v>61-90</v>
      </c>
    </row>
    <row r="1079" spans="1:10" x14ac:dyDescent="0.3">
      <c r="A1079" t="str">
        <f>Table3[[#This Row],[BillID]]</f>
        <v>BILL-01078</v>
      </c>
      <c r="B1079" t="str">
        <f>Table3[[#This Row],[VendorID]]</f>
        <v>VEN-006</v>
      </c>
      <c r="C1079" t="str">
        <f>VLOOKUP(B1079,Vendors!A:B,2,FALSE)</f>
        <v>Salesforce</v>
      </c>
      <c r="D1079" s="9">
        <f>Table3[[#This Row],[BillDate]]</f>
        <v>45980</v>
      </c>
      <c r="E1079" s="9">
        <f>Table3[[#This Row],[DueDate]]</f>
        <v>46010</v>
      </c>
      <c r="F1079" s="3">
        <f>Table3[[#This Row],[BillAmount]]</f>
        <v>4542.96</v>
      </c>
      <c r="G1079" s="3">
        <f>SUMIF(Vendor_Payments!C:C,A1079,Vendor_Payments!E:E)</f>
        <v>4542.96</v>
      </c>
      <c r="H1079" s="3">
        <f t="shared" si="48"/>
        <v>0</v>
      </c>
      <c r="I1079">
        <f t="shared" si="49"/>
        <v>81</v>
      </c>
      <c r="J1079" t="str">
        <f t="shared" si="50"/>
        <v>61-90</v>
      </c>
    </row>
    <row r="1080" spans="1:10" x14ac:dyDescent="0.3">
      <c r="A1080" t="str">
        <f>Table3[[#This Row],[BillID]]</f>
        <v>BILL-01079</v>
      </c>
      <c r="B1080" t="str">
        <f>Table3[[#This Row],[VendorID]]</f>
        <v>VEN-012</v>
      </c>
      <c r="C1080" t="str">
        <f>VLOOKUP(B1080,Vendors!A:B,2,FALSE)</f>
        <v>Google Cloud</v>
      </c>
      <c r="D1080" s="9">
        <f>Table3[[#This Row],[BillDate]]</f>
        <v>46046</v>
      </c>
      <c r="E1080" s="9">
        <f>Table3[[#This Row],[DueDate]]</f>
        <v>46076</v>
      </c>
      <c r="F1080" s="3">
        <f>Table3[[#This Row],[BillAmount]]</f>
        <v>5194.1499999999996</v>
      </c>
      <c r="G1080" s="3">
        <f>SUMIF(Vendor_Payments!C:C,A1080,Vendor_Payments!E:E)</f>
        <v>5194.1499999999996</v>
      </c>
      <c r="H1080" s="3">
        <f t="shared" si="48"/>
        <v>0</v>
      </c>
      <c r="I1080">
        <f t="shared" si="49"/>
        <v>15</v>
      </c>
      <c r="J1080" t="str">
        <f t="shared" si="50"/>
        <v>1-30</v>
      </c>
    </row>
    <row r="1081" spans="1:10" x14ac:dyDescent="0.3">
      <c r="A1081" t="str">
        <f>Table3[[#This Row],[BillID]]</f>
        <v>BILL-01080</v>
      </c>
      <c r="B1081" t="str">
        <f>Table3[[#This Row],[VendorID]]</f>
        <v>VEN-025</v>
      </c>
      <c r="C1081" t="str">
        <f>VLOOKUP(B1081,Vendors!A:B,2,FALSE)</f>
        <v>Digital Growth Consultants</v>
      </c>
      <c r="D1081" s="9">
        <f>Table3[[#This Row],[BillDate]]</f>
        <v>46070</v>
      </c>
      <c r="E1081" s="9">
        <f>Table3[[#This Row],[DueDate]]</f>
        <v>46100</v>
      </c>
      <c r="F1081" s="3">
        <f>Table3[[#This Row],[BillAmount]]</f>
        <v>1706.59</v>
      </c>
      <c r="G1081" s="3">
        <f>SUMIF(Vendor_Payments!C:C,A1081,Vendor_Payments!E:E)</f>
        <v>0</v>
      </c>
      <c r="H1081" s="3">
        <f t="shared" si="48"/>
        <v>1706.59</v>
      </c>
      <c r="I1081">
        <f t="shared" si="49"/>
        <v>-9</v>
      </c>
      <c r="J1081" t="str">
        <f t="shared" si="50"/>
        <v>Current</v>
      </c>
    </row>
    <row r="1082" spans="1:10" x14ac:dyDescent="0.3">
      <c r="A1082" t="str">
        <f>Table3[[#This Row],[BillID]]</f>
        <v>BILL-01081</v>
      </c>
      <c r="B1082" t="str">
        <f>Table3[[#This Row],[VendorID]]</f>
        <v>VEN-018</v>
      </c>
      <c r="C1082" t="str">
        <f>VLOOKUP(B1082,Vendors!A:B,2,FALSE)</f>
        <v>Cloudflare</v>
      </c>
      <c r="D1082" s="9">
        <f>Table3[[#This Row],[BillDate]]</f>
        <v>46053</v>
      </c>
      <c r="E1082" s="9">
        <f>Table3[[#This Row],[DueDate]]</f>
        <v>46083</v>
      </c>
      <c r="F1082" s="3">
        <f>Table3[[#This Row],[BillAmount]]</f>
        <v>5140.09</v>
      </c>
      <c r="G1082" s="3">
        <f>SUMIF(Vendor_Payments!C:C,A1082,Vendor_Payments!E:E)</f>
        <v>5140.09</v>
      </c>
      <c r="H1082" s="3">
        <f t="shared" si="48"/>
        <v>0</v>
      </c>
      <c r="I1082">
        <f t="shared" si="49"/>
        <v>8</v>
      </c>
      <c r="J1082" t="str">
        <f t="shared" si="50"/>
        <v>1-30</v>
      </c>
    </row>
    <row r="1083" spans="1:10" x14ac:dyDescent="0.3">
      <c r="A1083" t="str">
        <f>Table3[[#This Row],[BillID]]</f>
        <v>BILL-01082</v>
      </c>
      <c r="B1083" t="str">
        <f>Table3[[#This Row],[VendorID]]</f>
        <v>VEN-023</v>
      </c>
      <c r="C1083" t="str">
        <f>VLOOKUP(B1083,Vendors!A:B,2,FALSE)</f>
        <v>Fiverr Pro</v>
      </c>
      <c r="D1083" s="9">
        <f>Table3[[#This Row],[BillDate]]</f>
        <v>45976</v>
      </c>
      <c r="E1083" s="9">
        <f>Table3[[#This Row],[DueDate]]</f>
        <v>46006</v>
      </c>
      <c r="F1083" s="3">
        <f>Table3[[#This Row],[BillAmount]]</f>
        <v>6812.93</v>
      </c>
      <c r="G1083" s="3">
        <f>SUMIF(Vendor_Payments!C:C,A1083,Vendor_Payments!E:E)</f>
        <v>6812.93</v>
      </c>
      <c r="H1083" s="3">
        <f t="shared" si="48"/>
        <v>0</v>
      </c>
      <c r="I1083">
        <f t="shared" si="49"/>
        <v>85</v>
      </c>
      <c r="J1083" t="str">
        <f t="shared" si="50"/>
        <v>61-90</v>
      </c>
    </row>
    <row r="1084" spans="1:10" x14ac:dyDescent="0.3">
      <c r="A1084" t="str">
        <f>Table3[[#This Row],[BillID]]</f>
        <v>BILL-01083</v>
      </c>
      <c r="B1084" t="str">
        <f>Table3[[#This Row],[VendorID]]</f>
        <v>VEN-038</v>
      </c>
      <c r="C1084" t="str">
        <f>VLOOKUP(B1084,Vendors!A:B,2,FALSE)</f>
        <v>Insight Marketing Partners</v>
      </c>
      <c r="D1084" s="9">
        <f>Table3[[#This Row],[BillDate]]</f>
        <v>46078</v>
      </c>
      <c r="E1084" s="9">
        <f>Table3[[#This Row],[DueDate]]</f>
        <v>46108</v>
      </c>
      <c r="F1084" s="3">
        <f>Table3[[#This Row],[BillAmount]]</f>
        <v>6984.51</v>
      </c>
      <c r="G1084" s="3">
        <f>SUMIF(Vendor_Payments!C:C,A1084,Vendor_Payments!E:E)</f>
        <v>0</v>
      </c>
      <c r="H1084" s="3">
        <f t="shared" si="48"/>
        <v>6984.51</v>
      </c>
      <c r="I1084">
        <f t="shared" si="49"/>
        <v>-17</v>
      </c>
      <c r="J1084" t="str">
        <f t="shared" si="50"/>
        <v>Current</v>
      </c>
    </row>
    <row r="1085" spans="1:10" x14ac:dyDescent="0.3">
      <c r="A1085" t="str">
        <f>Table3[[#This Row],[BillID]]</f>
        <v>BILL-01084</v>
      </c>
      <c r="B1085" t="str">
        <f>Table3[[#This Row],[VendorID]]</f>
        <v>VEN-001</v>
      </c>
      <c r="C1085" t="str">
        <f>VLOOKUP(B1085,Vendors!A:B,2,FALSE)</f>
        <v>Google Ads</v>
      </c>
      <c r="D1085" s="9">
        <f>Table3[[#This Row],[BillDate]]</f>
        <v>45970</v>
      </c>
      <c r="E1085" s="9">
        <f>Table3[[#This Row],[DueDate]]</f>
        <v>46000</v>
      </c>
      <c r="F1085" s="3">
        <f>Table3[[#This Row],[BillAmount]]</f>
        <v>2571.06</v>
      </c>
      <c r="G1085" s="3">
        <f>SUMIF(Vendor_Payments!C:C,A1085,Vendor_Payments!E:E)</f>
        <v>0</v>
      </c>
      <c r="H1085" s="3">
        <f t="shared" si="48"/>
        <v>2571.06</v>
      </c>
      <c r="I1085">
        <f t="shared" si="49"/>
        <v>91</v>
      </c>
      <c r="J1085" t="str">
        <f t="shared" si="50"/>
        <v>90+</v>
      </c>
    </row>
    <row r="1086" spans="1:10" x14ac:dyDescent="0.3">
      <c r="A1086" t="str">
        <f>Table3[[#This Row],[BillID]]</f>
        <v>BILL-01085</v>
      </c>
      <c r="B1086" t="str">
        <f>Table3[[#This Row],[VendorID]]</f>
        <v>VEN-009</v>
      </c>
      <c r="C1086" t="str">
        <f>VLOOKUP(B1086,Vendors!A:B,2,FALSE)</f>
        <v>SEMrush</v>
      </c>
      <c r="D1086" s="9">
        <f>Table3[[#This Row],[BillDate]]</f>
        <v>46049</v>
      </c>
      <c r="E1086" s="9">
        <f>Table3[[#This Row],[DueDate]]</f>
        <v>46079</v>
      </c>
      <c r="F1086" s="3">
        <f>Table3[[#This Row],[BillAmount]]</f>
        <v>5405.98</v>
      </c>
      <c r="G1086" s="3">
        <f>SUMIF(Vendor_Payments!C:C,A1086,Vendor_Payments!E:E)</f>
        <v>5405.98</v>
      </c>
      <c r="H1086" s="3">
        <f t="shared" si="48"/>
        <v>0</v>
      </c>
      <c r="I1086">
        <f t="shared" si="49"/>
        <v>12</v>
      </c>
      <c r="J1086" t="str">
        <f t="shared" si="50"/>
        <v>1-30</v>
      </c>
    </row>
    <row r="1087" spans="1:10" x14ac:dyDescent="0.3">
      <c r="A1087" t="str">
        <f>Table3[[#This Row],[BillID]]</f>
        <v>BILL-01086</v>
      </c>
      <c r="B1087" t="str">
        <f>Table3[[#This Row],[VendorID]]</f>
        <v>VEN-030</v>
      </c>
      <c r="C1087" t="str">
        <f>VLOOKUP(B1087,Vendors!A:B,2,FALSE)</f>
        <v>ContentCraft Studio</v>
      </c>
      <c r="D1087" s="9">
        <f>Table3[[#This Row],[BillDate]]</f>
        <v>46011</v>
      </c>
      <c r="E1087" s="9">
        <f>Table3[[#This Row],[DueDate]]</f>
        <v>46041</v>
      </c>
      <c r="F1087" s="3">
        <f>Table3[[#This Row],[BillAmount]]</f>
        <v>3685.93</v>
      </c>
      <c r="G1087" s="3">
        <f>SUMIF(Vendor_Payments!C:C,A1087,Vendor_Payments!E:E)</f>
        <v>0</v>
      </c>
      <c r="H1087" s="3">
        <f t="shared" si="48"/>
        <v>3685.93</v>
      </c>
      <c r="I1087">
        <f t="shared" si="49"/>
        <v>50</v>
      </c>
      <c r="J1087" t="str">
        <f t="shared" si="50"/>
        <v>31-60</v>
      </c>
    </row>
    <row r="1088" spans="1:10" x14ac:dyDescent="0.3">
      <c r="A1088" t="str">
        <f>Table3[[#This Row],[BillID]]</f>
        <v>BILL-01087</v>
      </c>
      <c r="B1088" t="str">
        <f>Table3[[#This Row],[VendorID]]</f>
        <v>VEN-019</v>
      </c>
      <c r="C1088" t="str">
        <f>VLOOKUP(B1088,Vendors!A:B,2,FALSE)</f>
        <v>Notion</v>
      </c>
      <c r="D1088" s="9">
        <f>Table3[[#This Row],[BillDate]]</f>
        <v>46042</v>
      </c>
      <c r="E1088" s="9">
        <f>Table3[[#This Row],[DueDate]]</f>
        <v>46072</v>
      </c>
      <c r="F1088" s="3">
        <f>Table3[[#This Row],[BillAmount]]</f>
        <v>2855.29</v>
      </c>
      <c r="G1088" s="3">
        <f>SUMIF(Vendor_Payments!C:C,A1088,Vendor_Payments!E:E)</f>
        <v>2855.29</v>
      </c>
      <c r="H1088" s="3">
        <f t="shared" si="48"/>
        <v>0</v>
      </c>
      <c r="I1088">
        <f t="shared" si="49"/>
        <v>19</v>
      </c>
      <c r="J1088" t="str">
        <f t="shared" si="50"/>
        <v>1-30</v>
      </c>
    </row>
    <row r="1089" spans="1:10" x14ac:dyDescent="0.3">
      <c r="A1089" t="str">
        <f>Table3[[#This Row],[BillID]]</f>
        <v>BILL-01088</v>
      </c>
      <c r="B1089" t="str">
        <f>Table3[[#This Row],[VendorID]]</f>
        <v>VEN-016</v>
      </c>
      <c r="C1089" t="str">
        <f>VLOOKUP(B1089,Vendors!A:B,2,FALSE)</f>
        <v>Stripe</v>
      </c>
      <c r="D1089" s="9">
        <f>Table3[[#This Row],[BillDate]]</f>
        <v>46014</v>
      </c>
      <c r="E1089" s="9">
        <f>Table3[[#This Row],[DueDate]]</f>
        <v>46044</v>
      </c>
      <c r="F1089" s="3">
        <f>Table3[[#This Row],[BillAmount]]</f>
        <v>3552.41</v>
      </c>
      <c r="G1089" s="3">
        <f>SUMIF(Vendor_Payments!C:C,A1089,Vendor_Payments!E:E)</f>
        <v>0</v>
      </c>
      <c r="H1089" s="3">
        <f t="shared" si="48"/>
        <v>3552.41</v>
      </c>
      <c r="I1089">
        <f t="shared" si="49"/>
        <v>47</v>
      </c>
      <c r="J1089" t="str">
        <f t="shared" si="50"/>
        <v>31-60</v>
      </c>
    </row>
    <row r="1090" spans="1:10" x14ac:dyDescent="0.3">
      <c r="A1090" t="str">
        <f>Table3[[#This Row],[BillID]]</f>
        <v>BILL-01089</v>
      </c>
      <c r="B1090" t="str">
        <f>Table3[[#This Row],[VendorID]]</f>
        <v>VEN-019</v>
      </c>
      <c r="C1090" t="str">
        <f>VLOOKUP(B1090,Vendors!A:B,2,FALSE)</f>
        <v>Notion</v>
      </c>
      <c r="D1090" s="9">
        <f>Table3[[#This Row],[BillDate]]</f>
        <v>46003</v>
      </c>
      <c r="E1090" s="9">
        <f>Table3[[#This Row],[DueDate]]</f>
        <v>46033</v>
      </c>
      <c r="F1090" s="3">
        <f>Table3[[#This Row],[BillAmount]]</f>
        <v>6658.88</v>
      </c>
      <c r="G1090" s="3">
        <f>SUMIF(Vendor_Payments!C:C,A1090,Vendor_Payments!E:E)</f>
        <v>6658.88</v>
      </c>
      <c r="H1090" s="3">
        <f t="shared" si="48"/>
        <v>0</v>
      </c>
      <c r="I1090">
        <f t="shared" si="49"/>
        <v>58</v>
      </c>
      <c r="J1090" t="str">
        <f t="shared" si="50"/>
        <v>31-60</v>
      </c>
    </row>
    <row r="1091" spans="1:10" x14ac:dyDescent="0.3">
      <c r="A1091" t="str">
        <f>Table3[[#This Row],[BillID]]</f>
        <v>BILL-01090</v>
      </c>
      <c r="B1091" t="str">
        <f>Table3[[#This Row],[VendorID]]</f>
        <v>VEN-007</v>
      </c>
      <c r="C1091" t="str">
        <f>VLOOKUP(B1091,Vendors!A:B,2,FALSE)</f>
        <v>Mailchimp</v>
      </c>
      <c r="D1091" s="9">
        <f>Table3[[#This Row],[BillDate]]</f>
        <v>46039</v>
      </c>
      <c r="E1091" s="9">
        <f>Table3[[#This Row],[DueDate]]</f>
        <v>46069</v>
      </c>
      <c r="F1091" s="3">
        <f>Table3[[#This Row],[BillAmount]]</f>
        <v>6503.98</v>
      </c>
      <c r="G1091" s="3">
        <f>SUMIF(Vendor_Payments!C:C,A1091,Vendor_Payments!E:E)</f>
        <v>6503.98</v>
      </c>
      <c r="H1091" s="3">
        <f t="shared" ref="H1091:H1154" si="51">F1091-G1091</f>
        <v>0</v>
      </c>
      <c r="I1091">
        <f t="shared" ref="I1091:I1154" si="52">$L$1-E1091</f>
        <v>22</v>
      </c>
      <c r="J1091" t="str">
        <f t="shared" ref="J1091:J1154" si="53">IF(I1091&lt;=0,"Current",IF(I1091&lt;=30,"1-30",IF(I1091&lt;=60,"31-60",IF(I1091&lt;=90,"61-90","90+"))))</f>
        <v>1-30</v>
      </c>
    </row>
    <row r="1092" spans="1:10" x14ac:dyDescent="0.3">
      <c r="A1092" t="str">
        <f>Table3[[#This Row],[BillID]]</f>
        <v>BILL-01091</v>
      </c>
      <c r="B1092" t="str">
        <f>Table3[[#This Row],[VendorID]]</f>
        <v>VEN-027</v>
      </c>
      <c r="C1092" t="str">
        <f>VLOOKUP(B1092,Vendors!A:B,2,FALSE)</f>
        <v>DevCraft Agency</v>
      </c>
      <c r="D1092" s="9">
        <f>Table3[[#This Row],[BillDate]]</f>
        <v>46051</v>
      </c>
      <c r="E1092" s="9">
        <f>Table3[[#This Row],[DueDate]]</f>
        <v>46081</v>
      </c>
      <c r="F1092" s="3">
        <f>Table3[[#This Row],[BillAmount]]</f>
        <v>5211.29</v>
      </c>
      <c r="G1092" s="3">
        <f>SUMIF(Vendor_Payments!C:C,A1092,Vendor_Payments!E:E)</f>
        <v>5211.29</v>
      </c>
      <c r="H1092" s="3">
        <f t="shared" si="51"/>
        <v>0</v>
      </c>
      <c r="I1092">
        <f t="shared" si="52"/>
        <v>10</v>
      </c>
      <c r="J1092" t="str">
        <f t="shared" si="53"/>
        <v>1-30</v>
      </c>
    </row>
    <row r="1093" spans="1:10" x14ac:dyDescent="0.3">
      <c r="A1093" t="str">
        <f>Table3[[#This Row],[BillID]]</f>
        <v>BILL-01092</v>
      </c>
      <c r="B1093" t="str">
        <f>Table3[[#This Row],[VendorID]]</f>
        <v>VEN-031</v>
      </c>
      <c r="C1093" t="str">
        <f>VLOOKUP(B1093,Vendors!A:B,2,FALSE)</f>
        <v>DataInsight Analytics</v>
      </c>
      <c r="D1093" s="9">
        <f>Table3[[#This Row],[BillDate]]</f>
        <v>45987</v>
      </c>
      <c r="E1093" s="9">
        <f>Table3[[#This Row],[DueDate]]</f>
        <v>46017</v>
      </c>
      <c r="F1093" s="3">
        <f>Table3[[#This Row],[BillAmount]]</f>
        <v>4818.24</v>
      </c>
      <c r="G1093" s="3">
        <f>SUMIF(Vendor_Payments!C:C,A1093,Vendor_Payments!E:E)</f>
        <v>0</v>
      </c>
      <c r="H1093" s="3">
        <f t="shared" si="51"/>
        <v>4818.24</v>
      </c>
      <c r="I1093">
        <f t="shared" si="52"/>
        <v>74</v>
      </c>
      <c r="J1093" t="str">
        <f t="shared" si="53"/>
        <v>61-90</v>
      </c>
    </row>
    <row r="1094" spans="1:10" x14ac:dyDescent="0.3">
      <c r="A1094" t="str">
        <f>Table3[[#This Row],[BillID]]</f>
        <v>BILL-01093</v>
      </c>
      <c r="B1094" t="str">
        <f>Table3[[#This Row],[VendorID]]</f>
        <v>VEN-002</v>
      </c>
      <c r="C1094" t="str">
        <f>VLOOKUP(B1094,Vendors!A:B,2,FALSE)</f>
        <v>Meta Ads</v>
      </c>
      <c r="D1094" s="9">
        <f>Table3[[#This Row],[BillDate]]</f>
        <v>46069</v>
      </c>
      <c r="E1094" s="9">
        <f>Table3[[#This Row],[DueDate]]</f>
        <v>46099</v>
      </c>
      <c r="F1094" s="3">
        <f>Table3[[#This Row],[BillAmount]]</f>
        <v>5659.27</v>
      </c>
      <c r="G1094" s="3">
        <f>SUMIF(Vendor_Payments!C:C,A1094,Vendor_Payments!E:E)</f>
        <v>5659.27</v>
      </c>
      <c r="H1094" s="3">
        <f t="shared" si="51"/>
        <v>0</v>
      </c>
      <c r="I1094">
        <f t="shared" si="52"/>
        <v>-8</v>
      </c>
      <c r="J1094" t="str">
        <f t="shared" si="53"/>
        <v>Current</v>
      </c>
    </row>
    <row r="1095" spans="1:10" x14ac:dyDescent="0.3">
      <c r="A1095" t="str">
        <f>Table3[[#This Row],[BillID]]</f>
        <v>BILL-01094</v>
      </c>
      <c r="B1095" t="str">
        <f>Table3[[#This Row],[VendorID]]</f>
        <v>VEN-021</v>
      </c>
      <c r="C1095" t="str">
        <f>VLOOKUP(B1095,Vendors!A:B,2,FALSE)</f>
        <v>Upwork Freelancers</v>
      </c>
      <c r="D1095" s="9">
        <f>Table3[[#This Row],[BillDate]]</f>
        <v>45976</v>
      </c>
      <c r="E1095" s="9">
        <f>Table3[[#This Row],[DueDate]]</f>
        <v>46006</v>
      </c>
      <c r="F1095" s="3">
        <f>Table3[[#This Row],[BillAmount]]</f>
        <v>3756.1</v>
      </c>
      <c r="G1095" s="3">
        <f>SUMIF(Vendor_Payments!C:C,A1095,Vendor_Payments!E:E)</f>
        <v>3756.1</v>
      </c>
      <c r="H1095" s="3">
        <f t="shared" si="51"/>
        <v>0</v>
      </c>
      <c r="I1095">
        <f t="shared" si="52"/>
        <v>85</v>
      </c>
      <c r="J1095" t="str">
        <f t="shared" si="53"/>
        <v>61-90</v>
      </c>
    </row>
    <row r="1096" spans="1:10" x14ac:dyDescent="0.3">
      <c r="A1096" t="str">
        <f>Table3[[#This Row],[BillID]]</f>
        <v>BILL-01095</v>
      </c>
      <c r="B1096" t="str">
        <f>Table3[[#This Row],[VendorID]]</f>
        <v>VEN-040</v>
      </c>
      <c r="C1096" t="str">
        <f>VLOOKUP(B1096,Vendors!A:B,2,FALSE)</f>
        <v>Digital Performance Lab</v>
      </c>
      <c r="D1096" s="9">
        <f>Table3[[#This Row],[BillDate]]</f>
        <v>46054</v>
      </c>
      <c r="E1096" s="9">
        <f>Table3[[#This Row],[DueDate]]</f>
        <v>46084</v>
      </c>
      <c r="F1096" s="3">
        <f>Table3[[#This Row],[BillAmount]]</f>
        <v>1171.22</v>
      </c>
      <c r="G1096" s="3">
        <f>SUMIF(Vendor_Payments!C:C,A1096,Vendor_Payments!E:E)</f>
        <v>1171.22</v>
      </c>
      <c r="H1096" s="3">
        <f t="shared" si="51"/>
        <v>0</v>
      </c>
      <c r="I1096">
        <f t="shared" si="52"/>
        <v>7</v>
      </c>
      <c r="J1096" t="str">
        <f t="shared" si="53"/>
        <v>1-30</v>
      </c>
    </row>
    <row r="1097" spans="1:10" x14ac:dyDescent="0.3">
      <c r="A1097" t="str">
        <f>Table3[[#This Row],[BillID]]</f>
        <v>BILL-01096</v>
      </c>
      <c r="B1097" t="str">
        <f>Table3[[#This Row],[VendorID]]</f>
        <v>VEN-008</v>
      </c>
      <c r="C1097" t="str">
        <f>VLOOKUP(B1097,Vendors!A:B,2,FALSE)</f>
        <v>Ahrefs</v>
      </c>
      <c r="D1097" s="9">
        <f>Table3[[#This Row],[BillDate]]</f>
        <v>46028</v>
      </c>
      <c r="E1097" s="9">
        <f>Table3[[#This Row],[DueDate]]</f>
        <v>46058</v>
      </c>
      <c r="F1097" s="3">
        <f>Table3[[#This Row],[BillAmount]]</f>
        <v>3222.91</v>
      </c>
      <c r="G1097" s="3">
        <f>SUMIF(Vendor_Payments!C:C,A1097,Vendor_Payments!E:E)</f>
        <v>3222.91</v>
      </c>
      <c r="H1097" s="3">
        <f t="shared" si="51"/>
        <v>0</v>
      </c>
      <c r="I1097">
        <f t="shared" si="52"/>
        <v>33</v>
      </c>
      <c r="J1097" t="str">
        <f t="shared" si="53"/>
        <v>31-60</v>
      </c>
    </row>
    <row r="1098" spans="1:10" x14ac:dyDescent="0.3">
      <c r="A1098" t="str">
        <f>Table3[[#This Row],[BillID]]</f>
        <v>BILL-01097</v>
      </c>
      <c r="B1098" t="str">
        <f>Table3[[#This Row],[VendorID]]</f>
        <v>VEN-002</v>
      </c>
      <c r="C1098" t="str">
        <f>VLOOKUP(B1098,Vendors!A:B,2,FALSE)</f>
        <v>Meta Ads</v>
      </c>
      <c r="D1098" s="9">
        <f>Table3[[#This Row],[BillDate]]</f>
        <v>45996</v>
      </c>
      <c r="E1098" s="9">
        <f>Table3[[#This Row],[DueDate]]</f>
        <v>46026</v>
      </c>
      <c r="F1098" s="3">
        <f>Table3[[#This Row],[BillAmount]]</f>
        <v>3195.57</v>
      </c>
      <c r="G1098" s="3">
        <f>SUMIF(Vendor_Payments!C:C,A1098,Vendor_Payments!E:E)</f>
        <v>0</v>
      </c>
      <c r="H1098" s="3">
        <f t="shared" si="51"/>
        <v>3195.57</v>
      </c>
      <c r="I1098">
        <f t="shared" si="52"/>
        <v>65</v>
      </c>
      <c r="J1098" t="str">
        <f t="shared" si="53"/>
        <v>61-90</v>
      </c>
    </row>
    <row r="1099" spans="1:10" x14ac:dyDescent="0.3">
      <c r="A1099" t="str">
        <f>Table3[[#This Row],[BillID]]</f>
        <v>BILL-01098</v>
      </c>
      <c r="B1099" t="str">
        <f>Table3[[#This Row],[VendorID]]</f>
        <v>VEN-014</v>
      </c>
      <c r="C1099" t="str">
        <f>VLOOKUP(B1099,Vendors!A:B,2,FALSE)</f>
        <v>Figma</v>
      </c>
      <c r="D1099" s="9">
        <f>Table3[[#This Row],[BillDate]]</f>
        <v>45979</v>
      </c>
      <c r="E1099" s="9">
        <f>Table3[[#This Row],[DueDate]]</f>
        <v>46009</v>
      </c>
      <c r="F1099" s="3">
        <f>Table3[[#This Row],[BillAmount]]</f>
        <v>2878.86</v>
      </c>
      <c r="G1099" s="3">
        <f>SUMIF(Vendor_Payments!C:C,A1099,Vendor_Payments!E:E)</f>
        <v>2878.86</v>
      </c>
      <c r="H1099" s="3">
        <f t="shared" si="51"/>
        <v>0</v>
      </c>
      <c r="I1099">
        <f t="shared" si="52"/>
        <v>82</v>
      </c>
      <c r="J1099" t="str">
        <f t="shared" si="53"/>
        <v>61-90</v>
      </c>
    </row>
    <row r="1100" spans="1:10" x14ac:dyDescent="0.3">
      <c r="A1100" t="str">
        <f>Table3[[#This Row],[BillID]]</f>
        <v>BILL-01099</v>
      </c>
      <c r="B1100" t="str">
        <f>Table3[[#This Row],[VendorID]]</f>
        <v>VEN-032</v>
      </c>
      <c r="C1100" t="str">
        <f>VLOOKUP(B1100,Vendors!A:B,2,FALSE)</f>
        <v>Marketing Automation Labs</v>
      </c>
      <c r="D1100" s="9">
        <f>Table3[[#This Row],[BillDate]]</f>
        <v>46046</v>
      </c>
      <c r="E1100" s="9">
        <f>Table3[[#This Row],[DueDate]]</f>
        <v>46076</v>
      </c>
      <c r="F1100" s="3">
        <f>Table3[[#This Row],[BillAmount]]</f>
        <v>1563.25</v>
      </c>
      <c r="G1100" s="3">
        <f>SUMIF(Vendor_Payments!C:C,A1100,Vendor_Payments!E:E)</f>
        <v>1563.25</v>
      </c>
      <c r="H1100" s="3">
        <f t="shared" si="51"/>
        <v>0</v>
      </c>
      <c r="I1100">
        <f t="shared" si="52"/>
        <v>15</v>
      </c>
      <c r="J1100" t="str">
        <f t="shared" si="53"/>
        <v>1-30</v>
      </c>
    </row>
    <row r="1101" spans="1:10" x14ac:dyDescent="0.3">
      <c r="A1101" t="str">
        <f>Table3[[#This Row],[BillID]]</f>
        <v>BILL-01100</v>
      </c>
      <c r="B1101" t="str">
        <f>Table3[[#This Row],[VendorID]]</f>
        <v>VEN-009</v>
      </c>
      <c r="C1101" t="str">
        <f>VLOOKUP(B1101,Vendors!A:B,2,FALSE)</f>
        <v>SEMrush</v>
      </c>
      <c r="D1101" s="9">
        <f>Table3[[#This Row],[BillDate]]</f>
        <v>46004</v>
      </c>
      <c r="E1101" s="9">
        <f>Table3[[#This Row],[DueDate]]</f>
        <v>46034</v>
      </c>
      <c r="F1101" s="3">
        <f>Table3[[#This Row],[BillAmount]]</f>
        <v>3147.01</v>
      </c>
      <c r="G1101" s="3">
        <f>SUMIF(Vendor_Payments!C:C,A1101,Vendor_Payments!E:E)</f>
        <v>3147.01</v>
      </c>
      <c r="H1101" s="3">
        <f t="shared" si="51"/>
        <v>0</v>
      </c>
      <c r="I1101">
        <f t="shared" si="52"/>
        <v>57</v>
      </c>
      <c r="J1101" t="str">
        <f t="shared" si="53"/>
        <v>31-60</v>
      </c>
    </row>
    <row r="1102" spans="1:10" x14ac:dyDescent="0.3">
      <c r="A1102" t="str">
        <f>Table3[[#This Row],[BillID]]</f>
        <v>BILL-01101</v>
      </c>
      <c r="B1102" t="str">
        <f>Table3[[#This Row],[VendorID]]</f>
        <v>VEN-033</v>
      </c>
      <c r="C1102" t="str">
        <f>VLOOKUP(B1102,Vendors!A:B,2,FALSE)</f>
        <v>AdScale Solutions</v>
      </c>
      <c r="D1102" s="9">
        <f>Table3[[#This Row],[BillDate]]</f>
        <v>45963</v>
      </c>
      <c r="E1102" s="9">
        <f>Table3[[#This Row],[DueDate]]</f>
        <v>45993</v>
      </c>
      <c r="F1102" s="3">
        <f>Table3[[#This Row],[BillAmount]]</f>
        <v>3079.33</v>
      </c>
      <c r="G1102" s="3">
        <f>SUMIF(Vendor_Payments!C:C,A1102,Vendor_Payments!E:E)</f>
        <v>3079.33</v>
      </c>
      <c r="H1102" s="3">
        <f t="shared" si="51"/>
        <v>0</v>
      </c>
      <c r="I1102">
        <f t="shared" si="52"/>
        <v>98</v>
      </c>
      <c r="J1102" t="str">
        <f t="shared" si="53"/>
        <v>90+</v>
      </c>
    </row>
    <row r="1103" spans="1:10" x14ac:dyDescent="0.3">
      <c r="A1103" t="str">
        <f>Table3[[#This Row],[BillID]]</f>
        <v>BILL-01102</v>
      </c>
      <c r="B1103" t="str">
        <f>Table3[[#This Row],[VendorID]]</f>
        <v>VEN-006</v>
      </c>
      <c r="C1103" t="str">
        <f>VLOOKUP(B1103,Vendors!A:B,2,FALSE)</f>
        <v>Salesforce</v>
      </c>
      <c r="D1103" s="9">
        <f>Table3[[#This Row],[BillDate]]</f>
        <v>45991</v>
      </c>
      <c r="E1103" s="9">
        <f>Table3[[#This Row],[DueDate]]</f>
        <v>46021</v>
      </c>
      <c r="F1103" s="3">
        <f>Table3[[#This Row],[BillAmount]]</f>
        <v>2573.62</v>
      </c>
      <c r="G1103" s="3">
        <f>SUMIF(Vendor_Payments!C:C,A1103,Vendor_Payments!E:E)</f>
        <v>2573.62</v>
      </c>
      <c r="H1103" s="3">
        <f t="shared" si="51"/>
        <v>0</v>
      </c>
      <c r="I1103">
        <f t="shared" si="52"/>
        <v>70</v>
      </c>
      <c r="J1103" t="str">
        <f t="shared" si="53"/>
        <v>61-90</v>
      </c>
    </row>
    <row r="1104" spans="1:10" x14ac:dyDescent="0.3">
      <c r="A1104" t="str">
        <f>Table3[[#This Row],[BillID]]</f>
        <v>BILL-01103</v>
      </c>
      <c r="B1104" t="str">
        <f>Table3[[#This Row],[VendorID]]</f>
        <v>VEN-002</v>
      </c>
      <c r="C1104" t="str">
        <f>VLOOKUP(B1104,Vendors!A:B,2,FALSE)</f>
        <v>Meta Ads</v>
      </c>
      <c r="D1104" s="9">
        <f>Table3[[#This Row],[BillDate]]</f>
        <v>46024</v>
      </c>
      <c r="E1104" s="9">
        <f>Table3[[#This Row],[DueDate]]</f>
        <v>46054</v>
      </c>
      <c r="F1104" s="3">
        <f>Table3[[#This Row],[BillAmount]]</f>
        <v>1048.26</v>
      </c>
      <c r="G1104" s="3">
        <f>SUMIF(Vendor_Payments!C:C,A1104,Vendor_Payments!E:E)</f>
        <v>0</v>
      </c>
      <c r="H1104" s="3">
        <f t="shared" si="51"/>
        <v>1048.26</v>
      </c>
      <c r="I1104">
        <f t="shared" si="52"/>
        <v>37</v>
      </c>
      <c r="J1104" t="str">
        <f t="shared" si="53"/>
        <v>31-60</v>
      </c>
    </row>
    <row r="1105" spans="1:10" x14ac:dyDescent="0.3">
      <c r="A1105" t="str">
        <f>Table3[[#This Row],[BillID]]</f>
        <v>BILL-01104</v>
      </c>
      <c r="B1105" t="str">
        <f>Table3[[#This Row],[VendorID]]</f>
        <v>VEN-022</v>
      </c>
      <c r="C1105" t="str">
        <f>VLOOKUP(B1105,Vendors!A:B,2,FALSE)</f>
        <v>Toptal Talent</v>
      </c>
      <c r="D1105" s="9">
        <f>Table3[[#This Row],[BillDate]]</f>
        <v>45974</v>
      </c>
      <c r="E1105" s="9">
        <f>Table3[[#This Row],[DueDate]]</f>
        <v>46004</v>
      </c>
      <c r="F1105" s="3">
        <f>Table3[[#This Row],[BillAmount]]</f>
        <v>5592.04</v>
      </c>
      <c r="G1105" s="3">
        <f>SUMIF(Vendor_Payments!C:C,A1105,Vendor_Payments!E:E)</f>
        <v>5592.04</v>
      </c>
      <c r="H1105" s="3">
        <f t="shared" si="51"/>
        <v>0</v>
      </c>
      <c r="I1105">
        <f t="shared" si="52"/>
        <v>87</v>
      </c>
      <c r="J1105" t="str">
        <f t="shared" si="53"/>
        <v>61-90</v>
      </c>
    </row>
    <row r="1106" spans="1:10" x14ac:dyDescent="0.3">
      <c r="A1106" t="str">
        <f>Table3[[#This Row],[BillID]]</f>
        <v>BILL-01105</v>
      </c>
      <c r="B1106" t="str">
        <f>Table3[[#This Row],[VendorID]]</f>
        <v>VEN-037</v>
      </c>
      <c r="C1106" t="str">
        <f>VLOOKUP(B1106,Vendors!A:B,2,FALSE)</f>
        <v>CreativeSpark Studio</v>
      </c>
      <c r="D1106" s="9">
        <f>Table3[[#This Row],[BillDate]]</f>
        <v>46058</v>
      </c>
      <c r="E1106" s="9">
        <f>Table3[[#This Row],[DueDate]]</f>
        <v>46088</v>
      </c>
      <c r="F1106" s="3">
        <f>Table3[[#This Row],[BillAmount]]</f>
        <v>6428.76</v>
      </c>
      <c r="G1106" s="3">
        <f>SUMIF(Vendor_Payments!C:C,A1106,Vendor_Payments!E:E)</f>
        <v>6428.76</v>
      </c>
      <c r="H1106" s="3">
        <f t="shared" si="51"/>
        <v>0</v>
      </c>
      <c r="I1106">
        <f t="shared" si="52"/>
        <v>3</v>
      </c>
      <c r="J1106" t="str">
        <f t="shared" si="53"/>
        <v>1-30</v>
      </c>
    </row>
    <row r="1107" spans="1:10" x14ac:dyDescent="0.3">
      <c r="A1107" t="str">
        <f>Table3[[#This Row],[BillID]]</f>
        <v>BILL-01106</v>
      </c>
      <c r="B1107" t="str">
        <f>Table3[[#This Row],[VendorID]]</f>
        <v>VEN-005</v>
      </c>
      <c r="C1107" t="str">
        <f>VLOOKUP(B1107,Vendors!A:B,2,FALSE)</f>
        <v>HubSpot</v>
      </c>
      <c r="D1107" s="9">
        <f>Table3[[#This Row],[BillDate]]</f>
        <v>46027</v>
      </c>
      <c r="E1107" s="9">
        <f>Table3[[#This Row],[DueDate]]</f>
        <v>46057</v>
      </c>
      <c r="F1107" s="3">
        <f>Table3[[#This Row],[BillAmount]]</f>
        <v>2084.5100000000002</v>
      </c>
      <c r="G1107" s="3">
        <f>SUMIF(Vendor_Payments!C:C,A1107,Vendor_Payments!E:E)</f>
        <v>2084.5100000000002</v>
      </c>
      <c r="H1107" s="3">
        <f t="shared" si="51"/>
        <v>0</v>
      </c>
      <c r="I1107">
        <f t="shared" si="52"/>
        <v>34</v>
      </c>
      <c r="J1107" t="str">
        <f t="shared" si="53"/>
        <v>31-60</v>
      </c>
    </row>
    <row r="1108" spans="1:10" x14ac:dyDescent="0.3">
      <c r="A1108" t="str">
        <f>Table3[[#This Row],[BillID]]</f>
        <v>BILL-01107</v>
      </c>
      <c r="B1108" t="str">
        <f>Table3[[#This Row],[VendorID]]</f>
        <v>VEN-033</v>
      </c>
      <c r="C1108" t="str">
        <f>VLOOKUP(B1108,Vendors!A:B,2,FALSE)</f>
        <v>AdScale Solutions</v>
      </c>
      <c r="D1108" s="9">
        <f>Table3[[#This Row],[BillDate]]</f>
        <v>46048</v>
      </c>
      <c r="E1108" s="9">
        <f>Table3[[#This Row],[DueDate]]</f>
        <v>46078</v>
      </c>
      <c r="F1108" s="3">
        <f>Table3[[#This Row],[BillAmount]]</f>
        <v>6079.03</v>
      </c>
      <c r="G1108" s="3">
        <f>SUMIF(Vendor_Payments!C:C,A1108,Vendor_Payments!E:E)</f>
        <v>6079.03</v>
      </c>
      <c r="H1108" s="3">
        <f t="shared" si="51"/>
        <v>0</v>
      </c>
      <c r="I1108">
        <f t="shared" si="52"/>
        <v>13</v>
      </c>
      <c r="J1108" t="str">
        <f t="shared" si="53"/>
        <v>1-30</v>
      </c>
    </row>
    <row r="1109" spans="1:10" x14ac:dyDescent="0.3">
      <c r="A1109" t="str">
        <f>Table3[[#This Row],[BillID]]</f>
        <v>BILL-01108</v>
      </c>
      <c r="B1109" t="str">
        <f>Table3[[#This Row],[VendorID]]</f>
        <v>VEN-031</v>
      </c>
      <c r="C1109" t="str">
        <f>VLOOKUP(B1109,Vendors!A:B,2,FALSE)</f>
        <v>DataInsight Analytics</v>
      </c>
      <c r="D1109" s="9">
        <f>Table3[[#This Row],[BillDate]]</f>
        <v>46032</v>
      </c>
      <c r="E1109" s="9">
        <f>Table3[[#This Row],[DueDate]]</f>
        <v>46062</v>
      </c>
      <c r="F1109" s="3">
        <f>Table3[[#This Row],[BillAmount]]</f>
        <v>5480.79</v>
      </c>
      <c r="G1109" s="3">
        <f>SUMIF(Vendor_Payments!C:C,A1109,Vendor_Payments!E:E)</f>
        <v>5480.79</v>
      </c>
      <c r="H1109" s="3">
        <f t="shared" si="51"/>
        <v>0</v>
      </c>
      <c r="I1109">
        <f t="shared" si="52"/>
        <v>29</v>
      </c>
      <c r="J1109" t="str">
        <f t="shared" si="53"/>
        <v>1-30</v>
      </c>
    </row>
    <row r="1110" spans="1:10" x14ac:dyDescent="0.3">
      <c r="A1110" t="str">
        <f>Table3[[#This Row],[BillID]]</f>
        <v>BILL-01109</v>
      </c>
      <c r="B1110" t="str">
        <f>Table3[[#This Row],[VendorID]]</f>
        <v>VEN-032</v>
      </c>
      <c r="C1110" t="str">
        <f>VLOOKUP(B1110,Vendors!A:B,2,FALSE)</f>
        <v>Marketing Automation Labs</v>
      </c>
      <c r="D1110" s="9">
        <f>Table3[[#This Row],[BillDate]]</f>
        <v>46038</v>
      </c>
      <c r="E1110" s="9">
        <f>Table3[[#This Row],[DueDate]]</f>
        <v>46068</v>
      </c>
      <c r="F1110" s="3">
        <f>Table3[[#This Row],[BillAmount]]</f>
        <v>4886.49</v>
      </c>
      <c r="G1110" s="3">
        <f>SUMIF(Vendor_Payments!C:C,A1110,Vendor_Payments!E:E)</f>
        <v>4886.49</v>
      </c>
      <c r="H1110" s="3">
        <f t="shared" si="51"/>
        <v>0</v>
      </c>
      <c r="I1110">
        <f t="shared" si="52"/>
        <v>23</v>
      </c>
      <c r="J1110" t="str">
        <f t="shared" si="53"/>
        <v>1-30</v>
      </c>
    </row>
    <row r="1111" spans="1:10" x14ac:dyDescent="0.3">
      <c r="A1111" t="str">
        <f>Table3[[#This Row],[BillID]]</f>
        <v>BILL-01110</v>
      </c>
      <c r="B1111" t="str">
        <f>Table3[[#This Row],[VendorID]]</f>
        <v>VEN-027</v>
      </c>
      <c r="C1111" t="str">
        <f>VLOOKUP(B1111,Vendors!A:B,2,FALSE)</f>
        <v>DevCraft Agency</v>
      </c>
      <c r="D1111" s="9">
        <f>Table3[[#This Row],[BillDate]]</f>
        <v>46044</v>
      </c>
      <c r="E1111" s="9">
        <f>Table3[[#This Row],[DueDate]]</f>
        <v>46074</v>
      </c>
      <c r="F1111" s="3">
        <f>Table3[[#This Row],[BillAmount]]</f>
        <v>2923.49</v>
      </c>
      <c r="G1111" s="3">
        <f>SUMIF(Vendor_Payments!C:C,A1111,Vendor_Payments!E:E)</f>
        <v>2923.49</v>
      </c>
      <c r="H1111" s="3">
        <f t="shared" si="51"/>
        <v>0</v>
      </c>
      <c r="I1111">
        <f t="shared" si="52"/>
        <v>17</v>
      </c>
      <c r="J1111" t="str">
        <f t="shared" si="53"/>
        <v>1-30</v>
      </c>
    </row>
    <row r="1112" spans="1:10" x14ac:dyDescent="0.3">
      <c r="A1112" t="str">
        <f>Table3[[#This Row],[BillID]]</f>
        <v>BILL-01111</v>
      </c>
      <c r="B1112" t="str">
        <f>Table3[[#This Row],[VendorID]]</f>
        <v>VEN-034</v>
      </c>
      <c r="C1112" t="str">
        <f>VLOOKUP(B1112,Vendors!A:B,2,FALSE)</f>
        <v>SocialBoost Agency</v>
      </c>
      <c r="D1112" s="9">
        <f>Table3[[#This Row],[BillDate]]</f>
        <v>46066</v>
      </c>
      <c r="E1112" s="9">
        <f>Table3[[#This Row],[DueDate]]</f>
        <v>46096</v>
      </c>
      <c r="F1112" s="3">
        <f>Table3[[#This Row],[BillAmount]]</f>
        <v>1664.66</v>
      </c>
      <c r="G1112" s="3">
        <f>SUMIF(Vendor_Payments!C:C,A1112,Vendor_Payments!E:E)</f>
        <v>1664.66</v>
      </c>
      <c r="H1112" s="3">
        <f t="shared" si="51"/>
        <v>0</v>
      </c>
      <c r="I1112">
        <f t="shared" si="52"/>
        <v>-5</v>
      </c>
      <c r="J1112" t="str">
        <f t="shared" si="53"/>
        <v>Current</v>
      </c>
    </row>
    <row r="1113" spans="1:10" x14ac:dyDescent="0.3">
      <c r="A1113" t="str">
        <f>Table3[[#This Row],[BillID]]</f>
        <v>BILL-01112</v>
      </c>
      <c r="B1113" t="str">
        <f>Table3[[#This Row],[VendorID]]</f>
        <v>VEN-002</v>
      </c>
      <c r="C1113" t="str">
        <f>VLOOKUP(B1113,Vendors!A:B,2,FALSE)</f>
        <v>Meta Ads</v>
      </c>
      <c r="D1113" s="9">
        <f>Table3[[#This Row],[BillDate]]</f>
        <v>45991</v>
      </c>
      <c r="E1113" s="9">
        <f>Table3[[#This Row],[DueDate]]</f>
        <v>46021</v>
      </c>
      <c r="F1113" s="3">
        <f>Table3[[#This Row],[BillAmount]]</f>
        <v>5850.06</v>
      </c>
      <c r="G1113" s="3">
        <f>SUMIF(Vendor_Payments!C:C,A1113,Vendor_Payments!E:E)</f>
        <v>0</v>
      </c>
      <c r="H1113" s="3">
        <f t="shared" si="51"/>
        <v>5850.06</v>
      </c>
      <c r="I1113">
        <f t="shared" si="52"/>
        <v>70</v>
      </c>
      <c r="J1113" t="str">
        <f t="shared" si="53"/>
        <v>61-90</v>
      </c>
    </row>
    <row r="1114" spans="1:10" x14ac:dyDescent="0.3">
      <c r="A1114" t="str">
        <f>Table3[[#This Row],[BillID]]</f>
        <v>BILL-01113</v>
      </c>
      <c r="B1114" t="str">
        <f>Table3[[#This Row],[VendorID]]</f>
        <v>VEN-028</v>
      </c>
      <c r="C1114" t="str">
        <f>VLOOKUP(B1114,Vendors!A:B,2,FALSE)</f>
        <v>MarketEdge Consulting</v>
      </c>
      <c r="D1114" s="9">
        <f>Table3[[#This Row],[BillDate]]</f>
        <v>46078</v>
      </c>
      <c r="E1114" s="9">
        <f>Table3[[#This Row],[DueDate]]</f>
        <v>46108</v>
      </c>
      <c r="F1114" s="3">
        <f>Table3[[#This Row],[BillAmount]]</f>
        <v>3236.1</v>
      </c>
      <c r="G1114" s="3">
        <f>SUMIF(Vendor_Payments!C:C,A1114,Vendor_Payments!E:E)</f>
        <v>3236.1</v>
      </c>
      <c r="H1114" s="3">
        <f t="shared" si="51"/>
        <v>0</v>
      </c>
      <c r="I1114">
        <f t="shared" si="52"/>
        <v>-17</v>
      </c>
      <c r="J1114" t="str">
        <f t="shared" si="53"/>
        <v>Current</v>
      </c>
    </row>
    <row r="1115" spans="1:10" x14ac:dyDescent="0.3">
      <c r="A1115" t="str">
        <f>Table3[[#This Row],[BillID]]</f>
        <v>BILL-01114</v>
      </c>
      <c r="B1115" t="str">
        <f>Table3[[#This Row],[VendorID]]</f>
        <v>VEN-024</v>
      </c>
      <c r="C1115" t="str">
        <f>VLOOKUP(B1115,Vendors!A:B,2,FALSE)</f>
        <v>Growth Strategy Group</v>
      </c>
      <c r="D1115" s="9">
        <f>Table3[[#This Row],[BillDate]]</f>
        <v>46036</v>
      </c>
      <c r="E1115" s="9">
        <f>Table3[[#This Row],[DueDate]]</f>
        <v>46066</v>
      </c>
      <c r="F1115" s="3">
        <f>Table3[[#This Row],[BillAmount]]</f>
        <v>1194.4000000000001</v>
      </c>
      <c r="G1115" s="3">
        <f>SUMIF(Vendor_Payments!C:C,A1115,Vendor_Payments!E:E)</f>
        <v>1194.4000000000001</v>
      </c>
      <c r="H1115" s="3">
        <f t="shared" si="51"/>
        <v>0</v>
      </c>
      <c r="I1115">
        <f t="shared" si="52"/>
        <v>25</v>
      </c>
      <c r="J1115" t="str">
        <f t="shared" si="53"/>
        <v>1-30</v>
      </c>
    </row>
    <row r="1116" spans="1:10" x14ac:dyDescent="0.3">
      <c r="A1116" t="str">
        <f>Table3[[#This Row],[BillID]]</f>
        <v>BILL-01115</v>
      </c>
      <c r="B1116" t="str">
        <f>Table3[[#This Row],[VendorID]]</f>
        <v>VEN-021</v>
      </c>
      <c r="C1116" t="str">
        <f>VLOOKUP(B1116,Vendors!A:B,2,FALSE)</f>
        <v>Upwork Freelancers</v>
      </c>
      <c r="D1116" s="9">
        <f>Table3[[#This Row],[BillDate]]</f>
        <v>45963</v>
      </c>
      <c r="E1116" s="9">
        <f>Table3[[#This Row],[DueDate]]</f>
        <v>45993</v>
      </c>
      <c r="F1116" s="3">
        <f>Table3[[#This Row],[BillAmount]]</f>
        <v>6647.02</v>
      </c>
      <c r="G1116" s="3">
        <f>SUMIF(Vendor_Payments!C:C,A1116,Vendor_Payments!E:E)</f>
        <v>6647.02</v>
      </c>
      <c r="H1116" s="3">
        <f t="shared" si="51"/>
        <v>0</v>
      </c>
      <c r="I1116">
        <f t="shared" si="52"/>
        <v>98</v>
      </c>
      <c r="J1116" t="str">
        <f t="shared" si="53"/>
        <v>90+</v>
      </c>
    </row>
    <row r="1117" spans="1:10" x14ac:dyDescent="0.3">
      <c r="A1117" t="str">
        <f>Table3[[#This Row],[BillID]]</f>
        <v>BILL-01116</v>
      </c>
      <c r="B1117" t="str">
        <f>Table3[[#This Row],[VendorID]]</f>
        <v>VEN-032</v>
      </c>
      <c r="C1117" t="str">
        <f>VLOOKUP(B1117,Vendors!A:B,2,FALSE)</f>
        <v>Marketing Automation Labs</v>
      </c>
      <c r="D1117" s="9">
        <f>Table3[[#This Row],[BillDate]]</f>
        <v>46060</v>
      </c>
      <c r="E1117" s="9">
        <f>Table3[[#This Row],[DueDate]]</f>
        <v>46090</v>
      </c>
      <c r="F1117" s="3">
        <f>Table3[[#This Row],[BillAmount]]</f>
        <v>6691.13</v>
      </c>
      <c r="G1117" s="3">
        <f>SUMIF(Vendor_Payments!C:C,A1117,Vendor_Payments!E:E)</f>
        <v>6691.13</v>
      </c>
      <c r="H1117" s="3">
        <f t="shared" si="51"/>
        <v>0</v>
      </c>
      <c r="I1117">
        <f t="shared" si="52"/>
        <v>1</v>
      </c>
      <c r="J1117" t="str">
        <f t="shared" si="53"/>
        <v>1-30</v>
      </c>
    </row>
    <row r="1118" spans="1:10" x14ac:dyDescent="0.3">
      <c r="A1118" t="str">
        <f>Table3[[#This Row],[BillID]]</f>
        <v>BILL-01117</v>
      </c>
      <c r="B1118" t="str">
        <f>Table3[[#This Row],[VendorID]]</f>
        <v>VEN-025</v>
      </c>
      <c r="C1118" t="str">
        <f>VLOOKUP(B1118,Vendors!A:B,2,FALSE)</f>
        <v>Digital Growth Consultants</v>
      </c>
      <c r="D1118" s="9">
        <f>Table3[[#This Row],[BillDate]]</f>
        <v>45999</v>
      </c>
      <c r="E1118" s="9">
        <f>Table3[[#This Row],[DueDate]]</f>
        <v>46029</v>
      </c>
      <c r="F1118" s="3">
        <f>Table3[[#This Row],[BillAmount]]</f>
        <v>4604.29</v>
      </c>
      <c r="G1118" s="3">
        <f>SUMIF(Vendor_Payments!C:C,A1118,Vendor_Payments!E:E)</f>
        <v>0</v>
      </c>
      <c r="H1118" s="3">
        <f t="shared" si="51"/>
        <v>4604.29</v>
      </c>
      <c r="I1118">
        <f t="shared" si="52"/>
        <v>62</v>
      </c>
      <c r="J1118" t="str">
        <f t="shared" si="53"/>
        <v>61-90</v>
      </c>
    </row>
    <row r="1119" spans="1:10" x14ac:dyDescent="0.3">
      <c r="A1119" t="str">
        <f>Table3[[#This Row],[BillID]]</f>
        <v>BILL-01118</v>
      </c>
      <c r="B1119" t="str">
        <f>Table3[[#This Row],[VendorID]]</f>
        <v>VEN-029</v>
      </c>
      <c r="C1119" t="str">
        <f>VLOOKUP(B1119,Vendors!A:B,2,FALSE)</f>
        <v>BrightSEO Agency</v>
      </c>
      <c r="D1119" s="9">
        <f>Table3[[#This Row],[BillDate]]</f>
        <v>46003</v>
      </c>
      <c r="E1119" s="9">
        <f>Table3[[#This Row],[DueDate]]</f>
        <v>46033</v>
      </c>
      <c r="F1119" s="3">
        <f>Table3[[#This Row],[BillAmount]]</f>
        <v>3970.12</v>
      </c>
      <c r="G1119" s="3">
        <f>SUMIF(Vendor_Payments!C:C,A1119,Vendor_Payments!E:E)</f>
        <v>3970.12</v>
      </c>
      <c r="H1119" s="3">
        <f t="shared" si="51"/>
        <v>0</v>
      </c>
      <c r="I1119">
        <f t="shared" si="52"/>
        <v>58</v>
      </c>
      <c r="J1119" t="str">
        <f t="shared" si="53"/>
        <v>31-60</v>
      </c>
    </row>
    <row r="1120" spans="1:10" x14ac:dyDescent="0.3">
      <c r="A1120" t="str">
        <f>Table3[[#This Row],[BillID]]</f>
        <v>BILL-01119</v>
      </c>
      <c r="B1120" t="str">
        <f>Table3[[#This Row],[VendorID]]</f>
        <v>VEN-018</v>
      </c>
      <c r="C1120" t="str">
        <f>VLOOKUP(B1120,Vendors!A:B,2,FALSE)</f>
        <v>Cloudflare</v>
      </c>
      <c r="D1120" s="9">
        <f>Table3[[#This Row],[BillDate]]</f>
        <v>46072</v>
      </c>
      <c r="E1120" s="9">
        <f>Table3[[#This Row],[DueDate]]</f>
        <v>46102</v>
      </c>
      <c r="F1120" s="3">
        <f>Table3[[#This Row],[BillAmount]]</f>
        <v>5847.7</v>
      </c>
      <c r="G1120" s="3">
        <f>SUMIF(Vendor_Payments!C:C,A1120,Vendor_Payments!E:E)</f>
        <v>5847.7</v>
      </c>
      <c r="H1120" s="3">
        <f t="shared" si="51"/>
        <v>0</v>
      </c>
      <c r="I1120">
        <f t="shared" si="52"/>
        <v>-11</v>
      </c>
      <c r="J1120" t="str">
        <f t="shared" si="53"/>
        <v>Current</v>
      </c>
    </row>
    <row r="1121" spans="1:10" x14ac:dyDescent="0.3">
      <c r="A1121" t="str">
        <f>Table3[[#This Row],[BillID]]</f>
        <v>BILL-01120</v>
      </c>
      <c r="B1121" t="str">
        <f>Table3[[#This Row],[VendorID]]</f>
        <v>VEN-008</v>
      </c>
      <c r="C1121" t="str">
        <f>VLOOKUP(B1121,Vendors!A:B,2,FALSE)</f>
        <v>Ahrefs</v>
      </c>
      <c r="D1121" s="9">
        <f>Table3[[#This Row],[BillDate]]</f>
        <v>45990</v>
      </c>
      <c r="E1121" s="9">
        <f>Table3[[#This Row],[DueDate]]</f>
        <v>46020</v>
      </c>
      <c r="F1121" s="3">
        <f>Table3[[#This Row],[BillAmount]]</f>
        <v>934.42</v>
      </c>
      <c r="G1121" s="3">
        <f>SUMIF(Vendor_Payments!C:C,A1121,Vendor_Payments!E:E)</f>
        <v>934.42</v>
      </c>
      <c r="H1121" s="3">
        <f t="shared" si="51"/>
        <v>0</v>
      </c>
      <c r="I1121">
        <f t="shared" si="52"/>
        <v>71</v>
      </c>
      <c r="J1121" t="str">
        <f t="shared" si="53"/>
        <v>61-90</v>
      </c>
    </row>
    <row r="1122" spans="1:10" x14ac:dyDescent="0.3">
      <c r="A1122" t="str">
        <f>Table3[[#This Row],[BillID]]</f>
        <v>BILL-01121</v>
      </c>
      <c r="B1122" t="str">
        <f>Table3[[#This Row],[VendorID]]</f>
        <v>VEN-001</v>
      </c>
      <c r="C1122" t="str">
        <f>VLOOKUP(B1122,Vendors!A:B,2,FALSE)</f>
        <v>Google Ads</v>
      </c>
      <c r="D1122" s="9">
        <f>Table3[[#This Row],[BillDate]]</f>
        <v>45980</v>
      </c>
      <c r="E1122" s="9">
        <f>Table3[[#This Row],[DueDate]]</f>
        <v>46010</v>
      </c>
      <c r="F1122" s="3">
        <f>Table3[[#This Row],[BillAmount]]</f>
        <v>6743.16</v>
      </c>
      <c r="G1122" s="3">
        <f>SUMIF(Vendor_Payments!C:C,A1122,Vendor_Payments!E:E)</f>
        <v>6743.16</v>
      </c>
      <c r="H1122" s="3">
        <f t="shared" si="51"/>
        <v>0</v>
      </c>
      <c r="I1122">
        <f t="shared" si="52"/>
        <v>81</v>
      </c>
      <c r="J1122" t="str">
        <f t="shared" si="53"/>
        <v>61-90</v>
      </c>
    </row>
    <row r="1123" spans="1:10" x14ac:dyDescent="0.3">
      <c r="A1123" t="str">
        <f>Table3[[#This Row],[BillID]]</f>
        <v>BILL-01122</v>
      </c>
      <c r="B1123" t="str">
        <f>Table3[[#This Row],[VendorID]]</f>
        <v>VEN-021</v>
      </c>
      <c r="C1123" t="str">
        <f>VLOOKUP(B1123,Vendors!A:B,2,FALSE)</f>
        <v>Upwork Freelancers</v>
      </c>
      <c r="D1123" s="9">
        <f>Table3[[#This Row],[BillDate]]</f>
        <v>45987</v>
      </c>
      <c r="E1123" s="9">
        <f>Table3[[#This Row],[DueDate]]</f>
        <v>46017</v>
      </c>
      <c r="F1123" s="3">
        <f>Table3[[#This Row],[BillAmount]]</f>
        <v>3175.08</v>
      </c>
      <c r="G1123" s="3">
        <f>SUMIF(Vendor_Payments!C:C,A1123,Vendor_Payments!E:E)</f>
        <v>0</v>
      </c>
      <c r="H1123" s="3">
        <f t="shared" si="51"/>
        <v>3175.08</v>
      </c>
      <c r="I1123">
        <f t="shared" si="52"/>
        <v>74</v>
      </c>
      <c r="J1123" t="str">
        <f t="shared" si="53"/>
        <v>61-90</v>
      </c>
    </row>
    <row r="1124" spans="1:10" x14ac:dyDescent="0.3">
      <c r="A1124" t="str">
        <f>Table3[[#This Row],[BillID]]</f>
        <v>BILL-01123</v>
      </c>
      <c r="B1124" t="str">
        <f>Table3[[#This Row],[VendorID]]</f>
        <v>VEN-010</v>
      </c>
      <c r="C1124" t="str">
        <f>VLOOKUP(B1124,Vendors!A:B,2,FALSE)</f>
        <v>Adobe Creative Cloud</v>
      </c>
      <c r="D1124" s="9">
        <f>Table3[[#This Row],[BillDate]]</f>
        <v>46063</v>
      </c>
      <c r="E1124" s="9">
        <f>Table3[[#This Row],[DueDate]]</f>
        <v>46093</v>
      </c>
      <c r="F1124" s="3">
        <f>Table3[[#This Row],[BillAmount]]</f>
        <v>5874.23</v>
      </c>
      <c r="G1124" s="3">
        <f>SUMIF(Vendor_Payments!C:C,A1124,Vendor_Payments!E:E)</f>
        <v>5874.23</v>
      </c>
      <c r="H1124" s="3">
        <f t="shared" si="51"/>
        <v>0</v>
      </c>
      <c r="I1124">
        <f t="shared" si="52"/>
        <v>-2</v>
      </c>
      <c r="J1124" t="str">
        <f t="shared" si="53"/>
        <v>Current</v>
      </c>
    </row>
    <row r="1125" spans="1:10" x14ac:dyDescent="0.3">
      <c r="A1125" t="str">
        <f>Table3[[#This Row],[BillID]]</f>
        <v>BILL-01124</v>
      </c>
      <c r="B1125" t="str">
        <f>Table3[[#This Row],[VendorID]]</f>
        <v>VEN-029</v>
      </c>
      <c r="C1125" t="str">
        <f>VLOOKUP(B1125,Vendors!A:B,2,FALSE)</f>
        <v>BrightSEO Agency</v>
      </c>
      <c r="D1125" s="9">
        <f>Table3[[#This Row],[BillDate]]</f>
        <v>46022</v>
      </c>
      <c r="E1125" s="9">
        <f>Table3[[#This Row],[DueDate]]</f>
        <v>46052</v>
      </c>
      <c r="F1125" s="3">
        <f>Table3[[#This Row],[BillAmount]]</f>
        <v>6230.06</v>
      </c>
      <c r="G1125" s="3">
        <f>SUMIF(Vendor_Payments!C:C,A1125,Vendor_Payments!E:E)</f>
        <v>0</v>
      </c>
      <c r="H1125" s="3">
        <f t="shared" si="51"/>
        <v>6230.06</v>
      </c>
      <c r="I1125">
        <f t="shared" si="52"/>
        <v>39</v>
      </c>
      <c r="J1125" t="str">
        <f t="shared" si="53"/>
        <v>31-60</v>
      </c>
    </row>
    <row r="1126" spans="1:10" x14ac:dyDescent="0.3">
      <c r="A1126" t="str">
        <f>Table3[[#This Row],[BillID]]</f>
        <v>BILL-01125</v>
      </c>
      <c r="B1126" t="str">
        <f>Table3[[#This Row],[VendorID]]</f>
        <v>VEN-015</v>
      </c>
      <c r="C1126" t="str">
        <f>VLOOKUP(B1126,Vendors!A:B,2,FALSE)</f>
        <v>Zapier</v>
      </c>
      <c r="D1126" s="9">
        <f>Table3[[#This Row],[BillDate]]</f>
        <v>46047</v>
      </c>
      <c r="E1126" s="9">
        <f>Table3[[#This Row],[DueDate]]</f>
        <v>46077</v>
      </c>
      <c r="F1126" s="3">
        <f>Table3[[#This Row],[BillAmount]]</f>
        <v>5386.11</v>
      </c>
      <c r="G1126" s="3">
        <f>SUMIF(Vendor_Payments!C:C,A1126,Vendor_Payments!E:E)</f>
        <v>0</v>
      </c>
      <c r="H1126" s="3">
        <f t="shared" si="51"/>
        <v>5386.11</v>
      </c>
      <c r="I1126">
        <f t="shared" si="52"/>
        <v>14</v>
      </c>
      <c r="J1126" t="str">
        <f t="shared" si="53"/>
        <v>1-30</v>
      </c>
    </row>
    <row r="1127" spans="1:10" x14ac:dyDescent="0.3">
      <c r="A1127" t="str">
        <f>Table3[[#This Row],[BillID]]</f>
        <v>BILL-01126</v>
      </c>
      <c r="B1127" t="str">
        <f>Table3[[#This Row],[VendorID]]</f>
        <v>VEN-038</v>
      </c>
      <c r="C1127" t="str">
        <f>VLOOKUP(B1127,Vendors!A:B,2,FALSE)</f>
        <v>Insight Marketing Partners</v>
      </c>
      <c r="D1127" s="9">
        <f>Table3[[#This Row],[BillDate]]</f>
        <v>46012</v>
      </c>
      <c r="E1127" s="9">
        <f>Table3[[#This Row],[DueDate]]</f>
        <v>46042</v>
      </c>
      <c r="F1127" s="3">
        <f>Table3[[#This Row],[BillAmount]]</f>
        <v>5621.28</v>
      </c>
      <c r="G1127" s="3">
        <f>SUMIF(Vendor_Payments!C:C,A1127,Vendor_Payments!E:E)</f>
        <v>5621.28</v>
      </c>
      <c r="H1127" s="3">
        <f t="shared" si="51"/>
        <v>0</v>
      </c>
      <c r="I1127">
        <f t="shared" si="52"/>
        <v>49</v>
      </c>
      <c r="J1127" t="str">
        <f t="shared" si="53"/>
        <v>31-60</v>
      </c>
    </row>
    <row r="1128" spans="1:10" x14ac:dyDescent="0.3">
      <c r="A1128" t="str">
        <f>Table3[[#This Row],[BillID]]</f>
        <v>BILL-01127</v>
      </c>
      <c r="B1128" t="str">
        <f>Table3[[#This Row],[VendorID]]</f>
        <v>VEN-009</v>
      </c>
      <c r="C1128" t="str">
        <f>VLOOKUP(B1128,Vendors!A:B,2,FALSE)</f>
        <v>SEMrush</v>
      </c>
      <c r="D1128" s="9">
        <f>Table3[[#This Row],[BillDate]]</f>
        <v>46015</v>
      </c>
      <c r="E1128" s="9">
        <f>Table3[[#This Row],[DueDate]]</f>
        <v>46045</v>
      </c>
      <c r="F1128" s="3">
        <f>Table3[[#This Row],[BillAmount]]</f>
        <v>1252.29</v>
      </c>
      <c r="G1128" s="3">
        <f>SUMIF(Vendor_Payments!C:C,A1128,Vendor_Payments!E:E)</f>
        <v>1252.29</v>
      </c>
      <c r="H1128" s="3">
        <f t="shared" si="51"/>
        <v>0</v>
      </c>
      <c r="I1128">
        <f t="shared" si="52"/>
        <v>46</v>
      </c>
      <c r="J1128" t="str">
        <f t="shared" si="53"/>
        <v>31-60</v>
      </c>
    </row>
    <row r="1129" spans="1:10" x14ac:dyDescent="0.3">
      <c r="A1129" t="str">
        <f>Table3[[#This Row],[BillID]]</f>
        <v>BILL-01128</v>
      </c>
      <c r="B1129" t="str">
        <f>Table3[[#This Row],[VendorID]]</f>
        <v>VEN-024</v>
      </c>
      <c r="C1129" t="str">
        <f>VLOOKUP(B1129,Vendors!A:B,2,FALSE)</f>
        <v>Growth Strategy Group</v>
      </c>
      <c r="D1129" s="9">
        <f>Table3[[#This Row],[BillDate]]</f>
        <v>45973</v>
      </c>
      <c r="E1129" s="9">
        <f>Table3[[#This Row],[DueDate]]</f>
        <v>46003</v>
      </c>
      <c r="F1129" s="3">
        <f>Table3[[#This Row],[BillAmount]]</f>
        <v>6386.41</v>
      </c>
      <c r="G1129" s="3">
        <f>SUMIF(Vendor_Payments!C:C,A1129,Vendor_Payments!E:E)</f>
        <v>6386.41</v>
      </c>
      <c r="H1129" s="3">
        <f t="shared" si="51"/>
        <v>0</v>
      </c>
      <c r="I1129">
        <f t="shared" si="52"/>
        <v>88</v>
      </c>
      <c r="J1129" t="str">
        <f t="shared" si="53"/>
        <v>61-90</v>
      </c>
    </row>
    <row r="1130" spans="1:10" x14ac:dyDescent="0.3">
      <c r="A1130" t="str">
        <f>Table3[[#This Row],[BillID]]</f>
        <v>BILL-01129</v>
      </c>
      <c r="B1130" t="str">
        <f>Table3[[#This Row],[VendorID]]</f>
        <v>VEN-019</v>
      </c>
      <c r="C1130" t="str">
        <f>VLOOKUP(B1130,Vendors!A:B,2,FALSE)</f>
        <v>Notion</v>
      </c>
      <c r="D1130" s="9">
        <f>Table3[[#This Row],[BillDate]]</f>
        <v>45986</v>
      </c>
      <c r="E1130" s="9">
        <f>Table3[[#This Row],[DueDate]]</f>
        <v>46016</v>
      </c>
      <c r="F1130" s="3">
        <f>Table3[[#This Row],[BillAmount]]</f>
        <v>6336.47</v>
      </c>
      <c r="G1130" s="3">
        <f>SUMIF(Vendor_Payments!C:C,A1130,Vendor_Payments!E:E)</f>
        <v>6336.47</v>
      </c>
      <c r="H1130" s="3">
        <f t="shared" si="51"/>
        <v>0</v>
      </c>
      <c r="I1130">
        <f t="shared" si="52"/>
        <v>75</v>
      </c>
      <c r="J1130" t="str">
        <f t="shared" si="53"/>
        <v>61-90</v>
      </c>
    </row>
    <row r="1131" spans="1:10" x14ac:dyDescent="0.3">
      <c r="A1131" t="str">
        <f>Table3[[#This Row],[BillID]]</f>
        <v>BILL-01130</v>
      </c>
      <c r="B1131" t="str">
        <f>Table3[[#This Row],[VendorID]]</f>
        <v>VEN-001</v>
      </c>
      <c r="C1131" t="str">
        <f>VLOOKUP(B1131,Vendors!A:B,2,FALSE)</f>
        <v>Google Ads</v>
      </c>
      <c r="D1131" s="9">
        <f>Table3[[#This Row],[BillDate]]</f>
        <v>46030</v>
      </c>
      <c r="E1131" s="9">
        <f>Table3[[#This Row],[DueDate]]</f>
        <v>46060</v>
      </c>
      <c r="F1131" s="3">
        <f>Table3[[#This Row],[BillAmount]]</f>
        <v>2578.62</v>
      </c>
      <c r="G1131" s="3">
        <f>SUMIF(Vendor_Payments!C:C,A1131,Vendor_Payments!E:E)</f>
        <v>2578.62</v>
      </c>
      <c r="H1131" s="3">
        <f t="shared" si="51"/>
        <v>0</v>
      </c>
      <c r="I1131">
        <f t="shared" si="52"/>
        <v>31</v>
      </c>
      <c r="J1131" t="str">
        <f t="shared" si="53"/>
        <v>31-60</v>
      </c>
    </row>
    <row r="1132" spans="1:10" x14ac:dyDescent="0.3">
      <c r="A1132" t="str">
        <f>Table3[[#This Row],[BillID]]</f>
        <v>BILL-01131</v>
      </c>
      <c r="B1132" t="str">
        <f>Table3[[#This Row],[VendorID]]</f>
        <v>VEN-037</v>
      </c>
      <c r="C1132" t="str">
        <f>VLOOKUP(B1132,Vendors!A:B,2,FALSE)</f>
        <v>CreativeSpark Studio</v>
      </c>
      <c r="D1132" s="9">
        <f>Table3[[#This Row],[BillDate]]</f>
        <v>45962</v>
      </c>
      <c r="E1132" s="9">
        <f>Table3[[#This Row],[DueDate]]</f>
        <v>45992</v>
      </c>
      <c r="F1132" s="3">
        <f>Table3[[#This Row],[BillAmount]]</f>
        <v>3674.57</v>
      </c>
      <c r="G1132" s="3">
        <f>SUMIF(Vendor_Payments!C:C,A1132,Vendor_Payments!E:E)</f>
        <v>0</v>
      </c>
      <c r="H1132" s="3">
        <f t="shared" si="51"/>
        <v>3674.57</v>
      </c>
      <c r="I1132">
        <f t="shared" si="52"/>
        <v>99</v>
      </c>
      <c r="J1132" t="str">
        <f t="shared" si="53"/>
        <v>90+</v>
      </c>
    </row>
    <row r="1133" spans="1:10" x14ac:dyDescent="0.3">
      <c r="A1133" t="str">
        <f>Table3[[#This Row],[BillID]]</f>
        <v>BILL-01132</v>
      </c>
      <c r="B1133" t="str">
        <f>Table3[[#This Row],[VendorID]]</f>
        <v>VEN-034</v>
      </c>
      <c r="C1133" t="str">
        <f>VLOOKUP(B1133,Vendors!A:B,2,FALSE)</f>
        <v>SocialBoost Agency</v>
      </c>
      <c r="D1133" s="9">
        <f>Table3[[#This Row],[BillDate]]</f>
        <v>45985</v>
      </c>
      <c r="E1133" s="9">
        <f>Table3[[#This Row],[DueDate]]</f>
        <v>46015</v>
      </c>
      <c r="F1133" s="3">
        <f>Table3[[#This Row],[BillAmount]]</f>
        <v>2606.1</v>
      </c>
      <c r="G1133" s="3">
        <f>SUMIF(Vendor_Payments!C:C,A1133,Vendor_Payments!E:E)</f>
        <v>2606.1</v>
      </c>
      <c r="H1133" s="3">
        <f t="shared" si="51"/>
        <v>0</v>
      </c>
      <c r="I1133">
        <f t="shared" si="52"/>
        <v>76</v>
      </c>
      <c r="J1133" t="str">
        <f t="shared" si="53"/>
        <v>61-90</v>
      </c>
    </row>
    <row r="1134" spans="1:10" x14ac:dyDescent="0.3">
      <c r="A1134" t="str">
        <f>Table3[[#This Row],[BillID]]</f>
        <v>BILL-01133</v>
      </c>
      <c r="B1134" t="str">
        <f>Table3[[#This Row],[VendorID]]</f>
        <v>VEN-014</v>
      </c>
      <c r="C1134" t="str">
        <f>VLOOKUP(B1134,Vendors!A:B,2,FALSE)</f>
        <v>Figma</v>
      </c>
      <c r="D1134" s="9">
        <f>Table3[[#This Row],[BillDate]]</f>
        <v>46062</v>
      </c>
      <c r="E1134" s="9">
        <f>Table3[[#This Row],[DueDate]]</f>
        <v>46092</v>
      </c>
      <c r="F1134" s="3">
        <f>Table3[[#This Row],[BillAmount]]</f>
        <v>2227.11</v>
      </c>
      <c r="G1134" s="3">
        <f>SUMIF(Vendor_Payments!C:C,A1134,Vendor_Payments!E:E)</f>
        <v>2227.11</v>
      </c>
      <c r="H1134" s="3">
        <f t="shared" si="51"/>
        <v>0</v>
      </c>
      <c r="I1134">
        <f t="shared" si="52"/>
        <v>-1</v>
      </c>
      <c r="J1134" t="str">
        <f t="shared" si="53"/>
        <v>Current</v>
      </c>
    </row>
    <row r="1135" spans="1:10" x14ac:dyDescent="0.3">
      <c r="A1135" t="str">
        <f>Table3[[#This Row],[BillID]]</f>
        <v>BILL-01134</v>
      </c>
      <c r="B1135" t="str">
        <f>Table3[[#This Row],[VendorID]]</f>
        <v>VEN-019</v>
      </c>
      <c r="C1135" t="str">
        <f>VLOOKUP(B1135,Vendors!A:B,2,FALSE)</f>
        <v>Notion</v>
      </c>
      <c r="D1135" s="9">
        <f>Table3[[#This Row],[BillDate]]</f>
        <v>46014</v>
      </c>
      <c r="E1135" s="9">
        <f>Table3[[#This Row],[DueDate]]</f>
        <v>46044</v>
      </c>
      <c r="F1135" s="3">
        <f>Table3[[#This Row],[BillAmount]]</f>
        <v>3607.26</v>
      </c>
      <c r="G1135" s="3">
        <f>SUMIF(Vendor_Payments!C:C,A1135,Vendor_Payments!E:E)</f>
        <v>3607.26</v>
      </c>
      <c r="H1135" s="3">
        <f t="shared" si="51"/>
        <v>0</v>
      </c>
      <c r="I1135">
        <f t="shared" si="52"/>
        <v>47</v>
      </c>
      <c r="J1135" t="str">
        <f t="shared" si="53"/>
        <v>31-60</v>
      </c>
    </row>
    <row r="1136" spans="1:10" x14ac:dyDescent="0.3">
      <c r="A1136" t="str">
        <f>Table3[[#This Row],[BillID]]</f>
        <v>BILL-01135</v>
      </c>
      <c r="B1136" t="str">
        <f>Table3[[#This Row],[VendorID]]</f>
        <v>VEN-013</v>
      </c>
      <c r="C1136" t="str">
        <f>VLOOKUP(B1136,Vendors!A:B,2,FALSE)</f>
        <v>Canva Pro</v>
      </c>
      <c r="D1136" s="9">
        <f>Table3[[#This Row],[BillDate]]</f>
        <v>46047</v>
      </c>
      <c r="E1136" s="9">
        <f>Table3[[#This Row],[DueDate]]</f>
        <v>46077</v>
      </c>
      <c r="F1136" s="3">
        <f>Table3[[#This Row],[BillAmount]]</f>
        <v>3557.19</v>
      </c>
      <c r="G1136" s="3">
        <f>SUMIF(Vendor_Payments!C:C,A1136,Vendor_Payments!E:E)</f>
        <v>0</v>
      </c>
      <c r="H1136" s="3">
        <f t="shared" si="51"/>
        <v>3557.19</v>
      </c>
      <c r="I1136">
        <f t="shared" si="52"/>
        <v>14</v>
      </c>
      <c r="J1136" t="str">
        <f t="shared" si="53"/>
        <v>1-30</v>
      </c>
    </row>
    <row r="1137" spans="1:10" x14ac:dyDescent="0.3">
      <c r="A1137" t="str">
        <f>Table3[[#This Row],[BillID]]</f>
        <v>BILL-01136</v>
      </c>
      <c r="B1137" t="str">
        <f>Table3[[#This Row],[VendorID]]</f>
        <v>VEN-004</v>
      </c>
      <c r="C1137" t="str">
        <f>VLOOKUP(B1137,Vendors!A:B,2,FALSE)</f>
        <v>LinkedIn Ads</v>
      </c>
      <c r="D1137" s="9">
        <f>Table3[[#This Row],[BillDate]]</f>
        <v>46073</v>
      </c>
      <c r="E1137" s="9">
        <f>Table3[[#This Row],[DueDate]]</f>
        <v>46103</v>
      </c>
      <c r="F1137" s="3">
        <f>Table3[[#This Row],[BillAmount]]</f>
        <v>6544.08</v>
      </c>
      <c r="G1137" s="3">
        <f>SUMIF(Vendor_Payments!C:C,A1137,Vendor_Payments!E:E)</f>
        <v>6544.08</v>
      </c>
      <c r="H1137" s="3">
        <f t="shared" si="51"/>
        <v>0</v>
      </c>
      <c r="I1137">
        <f t="shared" si="52"/>
        <v>-12</v>
      </c>
      <c r="J1137" t="str">
        <f t="shared" si="53"/>
        <v>Current</v>
      </c>
    </row>
    <row r="1138" spans="1:10" x14ac:dyDescent="0.3">
      <c r="A1138" t="str">
        <f>Table3[[#This Row],[BillID]]</f>
        <v>BILL-01137</v>
      </c>
      <c r="B1138" t="str">
        <f>Table3[[#This Row],[VendorID]]</f>
        <v>VEN-005</v>
      </c>
      <c r="C1138" t="str">
        <f>VLOOKUP(B1138,Vendors!A:B,2,FALSE)</f>
        <v>HubSpot</v>
      </c>
      <c r="D1138" s="9">
        <f>Table3[[#This Row],[BillDate]]</f>
        <v>46077</v>
      </c>
      <c r="E1138" s="9">
        <f>Table3[[#This Row],[DueDate]]</f>
        <v>46107</v>
      </c>
      <c r="F1138" s="3">
        <f>Table3[[#This Row],[BillAmount]]</f>
        <v>5250.16</v>
      </c>
      <c r="G1138" s="3">
        <f>SUMIF(Vendor_Payments!C:C,A1138,Vendor_Payments!E:E)</f>
        <v>5250.16</v>
      </c>
      <c r="H1138" s="3">
        <f t="shared" si="51"/>
        <v>0</v>
      </c>
      <c r="I1138">
        <f t="shared" si="52"/>
        <v>-16</v>
      </c>
      <c r="J1138" t="str">
        <f t="shared" si="53"/>
        <v>Current</v>
      </c>
    </row>
    <row r="1139" spans="1:10" x14ac:dyDescent="0.3">
      <c r="A1139" t="str">
        <f>Table3[[#This Row],[BillID]]</f>
        <v>BILL-01138</v>
      </c>
      <c r="B1139" t="str">
        <f>Table3[[#This Row],[VendorID]]</f>
        <v>VEN-029</v>
      </c>
      <c r="C1139" t="str">
        <f>VLOOKUP(B1139,Vendors!A:B,2,FALSE)</f>
        <v>BrightSEO Agency</v>
      </c>
      <c r="D1139" s="9">
        <f>Table3[[#This Row],[BillDate]]</f>
        <v>45980</v>
      </c>
      <c r="E1139" s="9">
        <f>Table3[[#This Row],[DueDate]]</f>
        <v>46010</v>
      </c>
      <c r="F1139" s="3">
        <f>Table3[[#This Row],[BillAmount]]</f>
        <v>872.85</v>
      </c>
      <c r="G1139" s="3">
        <f>SUMIF(Vendor_Payments!C:C,A1139,Vendor_Payments!E:E)</f>
        <v>872.85</v>
      </c>
      <c r="H1139" s="3">
        <f t="shared" si="51"/>
        <v>0</v>
      </c>
      <c r="I1139">
        <f t="shared" si="52"/>
        <v>81</v>
      </c>
      <c r="J1139" t="str">
        <f t="shared" si="53"/>
        <v>61-90</v>
      </c>
    </row>
    <row r="1140" spans="1:10" x14ac:dyDescent="0.3">
      <c r="A1140" t="str">
        <f>Table3[[#This Row],[BillID]]</f>
        <v>BILL-01139</v>
      </c>
      <c r="B1140" t="str">
        <f>Table3[[#This Row],[VendorID]]</f>
        <v>VEN-009</v>
      </c>
      <c r="C1140" t="str">
        <f>VLOOKUP(B1140,Vendors!A:B,2,FALSE)</f>
        <v>SEMrush</v>
      </c>
      <c r="D1140" s="9">
        <f>Table3[[#This Row],[BillDate]]</f>
        <v>46016</v>
      </c>
      <c r="E1140" s="9">
        <f>Table3[[#This Row],[DueDate]]</f>
        <v>46046</v>
      </c>
      <c r="F1140" s="3">
        <f>Table3[[#This Row],[BillAmount]]</f>
        <v>6061.95</v>
      </c>
      <c r="G1140" s="3">
        <f>SUMIF(Vendor_Payments!C:C,A1140,Vendor_Payments!E:E)</f>
        <v>0</v>
      </c>
      <c r="H1140" s="3">
        <f t="shared" si="51"/>
        <v>6061.95</v>
      </c>
      <c r="I1140">
        <f t="shared" si="52"/>
        <v>45</v>
      </c>
      <c r="J1140" t="str">
        <f t="shared" si="53"/>
        <v>31-60</v>
      </c>
    </row>
    <row r="1141" spans="1:10" x14ac:dyDescent="0.3">
      <c r="A1141" t="str">
        <f>Table3[[#This Row],[BillID]]</f>
        <v>BILL-01140</v>
      </c>
      <c r="B1141" t="str">
        <f>Table3[[#This Row],[VendorID]]</f>
        <v>VEN-028</v>
      </c>
      <c r="C1141" t="str">
        <f>VLOOKUP(B1141,Vendors!A:B,2,FALSE)</f>
        <v>MarketEdge Consulting</v>
      </c>
      <c r="D1141" s="9">
        <f>Table3[[#This Row],[BillDate]]</f>
        <v>46034</v>
      </c>
      <c r="E1141" s="9">
        <f>Table3[[#This Row],[DueDate]]</f>
        <v>46064</v>
      </c>
      <c r="F1141" s="3">
        <f>Table3[[#This Row],[BillAmount]]</f>
        <v>2042.86</v>
      </c>
      <c r="G1141" s="3">
        <f>SUMIF(Vendor_Payments!C:C,A1141,Vendor_Payments!E:E)</f>
        <v>2042.86</v>
      </c>
      <c r="H1141" s="3">
        <f t="shared" si="51"/>
        <v>0</v>
      </c>
      <c r="I1141">
        <f t="shared" si="52"/>
        <v>27</v>
      </c>
      <c r="J1141" t="str">
        <f t="shared" si="53"/>
        <v>1-30</v>
      </c>
    </row>
    <row r="1142" spans="1:10" x14ac:dyDescent="0.3">
      <c r="A1142" t="str">
        <f>Table3[[#This Row],[BillID]]</f>
        <v>BILL-01141</v>
      </c>
      <c r="B1142" t="str">
        <f>Table3[[#This Row],[VendorID]]</f>
        <v>VEN-002</v>
      </c>
      <c r="C1142" t="str">
        <f>VLOOKUP(B1142,Vendors!A:B,2,FALSE)</f>
        <v>Meta Ads</v>
      </c>
      <c r="D1142" s="9">
        <f>Table3[[#This Row],[BillDate]]</f>
        <v>46046</v>
      </c>
      <c r="E1142" s="9">
        <f>Table3[[#This Row],[DueDate]]</f>
        <v>46076</v>
      </c>
      <c r="F1142" s="3">
        <f>Table3[[#This Row],[BillAmount]]</f>
        <v>5894.58</v>
      </c>
      <c r="G1142" s="3">
        <f>SUMIF(Vendor_Payments!C:C,A1142,Vendor_Payments!E:E)</f>
        <v>0</v>
      </c>
      <c r="H1142" s="3">
        <f t="shared" si="51"/>
        <v>5894.58</v>
      </c>
      <c r="I1142">
        <f t="shared" si="52"/>
        <v>15</v>
      </c>
      <c r="J1142" t="str">
        <f t="shared" si="53"/>
        <v>1-30</v>
      </c>
    </row>
    <row r="1143" spans="1:10" x14ac:dyDescent="0.3">
      <c r="A1143" t="str">
        <f>Table3[[#This Row],[BillID]]</f>
        <v>BILL-01142</v>
      </c>
      <c r="B1143" t="str">
        <f>Table3[[#This Row],[VendorID]]</f>
        <v>VEN-034</v>
      </c>
      <c r="C1143" t="str">
        <f>VLOOKUP(B1143,Vendors!A:B,2,FALSE)</f>
        <v>SocialBoost Agency</v>
      </c>
      <c r="D1143" s="9">
        <f>Table3[[#This Row],[BillDate]]</f>
        <v>46010</v>
      </c>
      <c r="E1143" s="9">
        <f>Table3[[#This Row],[DueDate]]</f>
        <v>46040</v>
      </c>
      <c r="F1143" s="3">
        <f>Table3[[#This Row],[BillAmount]]</f>
        <v>2611.5</v>
      </c>
      <c r="G1143" s="3">
        <f>SUMIF(Vendor_Payments!C:C,A1143,Vendor_Payments!E:E)</f>
        <v>0</v>
      </c>
      <c r="H1143" s="3">
        <f t="shared" si="51"/>
        <v>2611.5</v>
      </c>
      <c r="I1143">
        <f t="shared" si="52"/>
        <v>51</v>
      </c>
      <c r="J1143" t="str">
        <f t="shared" si="53"/>
        <v>31-60</v>
      </c>
    </row>
    <row r="1144" spans="1:10" x14ac:dyDescent="0.3">
      <c r="A1144" t="str">
        <f>Table3[[#This Row],[BillID]]</f>
        <v>BILL-01143</v>
      </c>
      <c r="B1144" t="str">
        <f>Table3[[#This Row],[VendorID]]</f>
        <v>VEN-017</v>
      </c>
      <c r="C1144" t="str">
        <f>VLOOKUP(B1144,Vendors!A:B,2,FALSE)</f>
        <v>PayPal</v>
      </c>
      <c r="D1144" s="9">
        <f>Table3[[#This Row],[BillDate]]</f>
        <v>46044</v>
      </c>
      <c r="E1144" s="9">
        <f>Table3[[#This Row],[DueDate]]</f>
        <v>46074</v>
      </c>
      <c r="F1144" s="3">
        <f>Table3[[#This Row],[BillAmount]]</f>
        <v>5594.06</v>
      </c>
      <c r="G1144" s="3">
        <f>SUMIF(Vendor_Payments!C:C,A1144,Vendor_Payments!E:E)</f>
        <v>0</v>
      </c>
      <c r="H1144" s="3">
        <f t="shared" si="51"/>
        <v>5594.06</v>
      </c>
      <c r="I1144">
        <f t="shared" si="52"/>
        <v>17</v>
      </c>
      <c r="J1144" t="str">
        <f t="shared" si="53"/>
        <v>1-30</v>
      </c>
    </row>
    <row r="1145" spans="1:10" x14ac:dyDescent="0.3">
      <c r="A1145" t="str">
        <f>Table3[[#This Row],[BillID]]</f>
        <v>BILL-01144</v>
      </c>
      <c r="B1145" t="str">
        <f>Table3[[#This Row],[VendorID]]</f>
        <v>VEN-014</v>
      </c>
      <c r="C1145" t="str">
        <f>VLOOKUP(B1145,Vendors!A:B,2,FALSE)</f>
        <v>Figma</v>
      </c>
      <c r="D1145" s="9">
        <f>Table3[[#This Row],[BillDate]]</f>
        <v>46016</v>
      </c>
      <c r="E1145" s="9">
        <f>Table3[[#This Row],[DueDate]]</f>
        <v>46046</v>
      </c>
      <c r="F1145" s="3">
        <f>Table3[[#This Row],[BillAmount]]</f>
        <v>3421.73</v>
      </c>
      <c r="G1145" s="3">
        <f>SUMIF(Vendor_Payments!C:C,A1145,Vendor_Payments!E:E)</f>
        <v>3421.73</v>
      </c>
      <c r="H1145" s="3">
        <f t="shared" si="51"/>
        <v>0</v>
      </c>
      <c r="I1145">
        <f t="shared" si="52"/>
        <v>45</v>
      </c>
      <c r="J1145" t="str">
        <f t="shared" si="53"/>
        <v>31-60</v>
      </c>
    </row>
    <row r="1146" spans="1:10" x14ac:dyDescent="0.3">
      <c r="A1146" t="str">
        <f>Table3[[#This Row],[BillID]]</f>
        <v>BILL-01145</v>
      </c>
      <c r="B1146" t="str">
        <f>Table3[[#This Row],[VendorID]]</f>
        <v>VEN-002</v>
      </c>
      <c r="C1146" t="str">
        <f>VLOOKUP(B1146,Vendors!A:B,2,FALSE)</f>
        <v>Meta Ads</v>
      </c>
      <c r="D1146" s="9">
        <f>Table3[[#This Row],[BillDate]]</f>
        <v>46082</v>
      </c>
      <c r="E1146" s="9">
        <f>Table3[[#This Row],[DueDate]]</f>
        <v>46112</v>
      </c>
      <c r="F1146" s="3">
        <f>Table3[[#This Row],[BillAmount]]</f>
        <v>6671.38</v>
      </c>
      <c r="G1146" s="3">
        <f>SUMIF(Vendor_Payments!C:C,A1146,Vendor_Payments!E:E)</f>
        <v>6671.38</v>
      </c>
      <c r="H1146" s="3">
        <f t="shared" si="51"/>
        <v>0</v>
      </c>
      <c r="I1146">
        <f t="shared" si="52"/>
        <v>-21</v>
      </c>
      <c r="J1146" t="str">
        <f t="shared" si="53"/>
        <v>Current</v>
      </c>
    </row>
    <row r="1147" spans="1:10" x14ac:dyDescent="0.3">
      <c r="A1147" t="str">
        <f>Table3[[#This Row],[BillID]]</f>
        <v>BILL-01146</v>
      </c>
      <c r="B1147" t="str">
        <f>Table3[[#This Row],[VendorID]]</f>
        <v>VEN-039</v>
      </c>
      <c r="C1147" t="str">
        <f>VLOOKUP(B1147,Vendors!A:B,2,FALSE)</f>
        <v>Global Growth Advisors</v>
      </c>
      <c r="D1147" s="9">
        <f>Table3[[#This Row],[BillDate]]</f>
        <v>46075</v>
      </c>
      <c r="E1147" s="9">
        <f>Table3[[#This Row],[DueDate]]</f>
        <v>46105</v>
      </c>
      <c r="F1147" s="3">
        <f>Table3[[#This Row],[BillAmount]]</f>
        <v>3313.92</v>
      </c>
      <c r="G1147" s="3">
        <f>SUMIF(Vendor_Payments!C:C,A1147,Vendor_Payments!E:E)</f>
        <v>0</v>
      </c>
      <c r="H1147" s="3">
        <f t="shared" si="51"/>
        <v>3313.92</v>
      </c>
      <c r="I1147">
        <f t="shared" si="52"/>
        <v>-14</v>
      </c>
      <c r="J1147" t="str">
        <f t="shared" si="53"/>
        <v>Current</v>
      </c>
    </row>
    <row r="1148" spans="1:10" x14ac:dyDescent="0.3">
      <c r="A1148" t="str">
        <f>Table3[[#This Row],[BillID]]</f>
        <v>BILL-01147</v>
      </c>
      <c r="B1148" t="str">
        <f>Table3[[#This Row],[VendorID]]</f>
        <v>VEN-014</v>
      </c>
      <c r="C1148" t="str">
        <f>VLOOKUP(B1148,Vendors!A:B,2,FALSE)</f>
        <v>Figma</v>
      </c>
      <c r="D1148" s="9">
        <f>Table3[[#This Row],[BillDate]]</f>
        <v>46052</v>
      </c>
      <c r="E1148" s="9">
        <f>Table3[[#This Row],[DueDate]]</f>
        <v>46082</v>
      </c>
      <c r="F1148" s="3">
        <f>Table3[[#This Row],[BillAmount]]</f>
        <v>3163.38</v>
      </c>
      <c r="G1148" s="3">
        <f>SUMIF(Vendor_Payments!C:C,A1148,Vendor_Payments!E:E)</f>
        <v>0</v>
      </c>
      <c r="H1148" s="3">
        <f t="shared" si="51"/>
        <v>3163.38</v>
      </c>
      <c r="I1148">
        <f t="shared" si="52"/>
        <v>9</v>
      </c>
      <c r="J1148" t="str">
        <f t="shared" si="53"/>
        <v>1-30</v>
      </c>
    </row>
    <row r="1149" spans="1:10" x14ac:dyDescent="0.3">
      <c r="A1149" t="str">
        <f>Table3[[#This Row],[BillID]]</f>
        <v>BILL-01148</v>
      </c>
      <c r="B1149" t="str">
        <f>Table3[[#This Row],[VendorID]]</f>
        <v>VEN-017</v>
      </c>
      <c r="C1149" t="str">
        <f>VLOOKUP(B1149,Vendors!A:B,2,FALSE)</f>
        <v>PayPal</v>
      </c>
      <c r="D1149" s="9">
        <f>Table3[[#This Row],[BillDate]]</f>
        <v>46091</v>
      </c>
      <c r="E1149" s="9">
        <f>Table3[[#This Row],[DueDate]]</f>
        <v>46121</v>
      </c>
      <c r="F1149" s="3">
        <f>Table3[[#This Row],[BillAmount]]</f>
        <v>4560.8599999999997</v>
      </c>
      <c r="G1149" s="3">
        <f>SUMIF(Vendor_Payments!C:C,A1149,Vendor_Payments!E:E)</f>
        <v>4560.8599999999997</v>
      </c>
      <c r="H1149" s="3">
        <f t="shared" si="51"/>
        <v>0</v>
      </c>
      <c r="I1149">
        <f t="shared" si="52"/>
        <v>-30</v>
      </c>
      <c r="J1149" t="str">
        <f t="shared" si="53"/>
        <v>Current</v>
      </c>
    </row>
    <row r="1150" spans="1:10" x14ac:dyDescent="0.3">
      <c r="A1150" t="str">
        <f>Table3[[#This Row],[BillID]]</f>
        <v>BILL-01149</v>
      </c>
      <c r="B1150" t="str">
        <f>Table3[[#This Row],[VendorID]]</f>
        <v>VEN-009</v>
      </c>
      <c r="C1150" t="str">
        <f>VLOOKUP(B1150,Vendors!A:B,2,FALSE)</f>
        <v>SEMrush</v>
      </c>
      <c r="D1150" s="9">
        <f>Table3[[#This Row],[BillDate]]</f>
        <v>45968</v>
      </c>
      <c r="E1150" s="9">
        <f>Table3[[#This Row],[DueDate]]</f>
        <v>45998</v>
      </c>
      <c r="F1150" s="3">
        <f>Table3[[#This Row],[BillAmount]]</f>
        <v>948.97</v>
      </c>
      <c r="G1150" s="3">
        <f>SUMIF(Vendor_Payments!C:C,A1150,Vendor_Payments!E:E)</f>
        <v>0</v>
      </c>
      <c r="H1150" s="3">
        <f t="shared" si="51"/>
        <v>948.97</v>
      </c>
      <c r="I1150">
        <f t="shared" si="52"/>
        <v>93</v>
      </c>
      <c r="J1150" t="str">
        <f t="shared" si="53"/>
        <v>90+</v>
      </c>
    </row>
    <row r="1151" spans="1:10" x14ac:dyDescent="0.3">
      <c r="A1151" t="str">
        <f>Table3[[#This Row],[BillID]]</f>
        <v>BILL-01150</v>
      </c>
      <c r="B1151" t="str">
        <f>Table3[[#This Row],[VendorID]]</f>
        <v>VEN-037</v>
      </c>
      <c r="C1151" t="str">
        <f>VLOOKUP(B1151,Vendors!A:B,2,FALSE)</f>
        <v>CreativeSpark Studio</v>
      </c>
      <c r="D1151" s="9">
        <f>Table3[[#This Row],[BillDate]]</f>
        <v>46017</v>
      </c>
      <c r="E1151" s="9">
        <f>Table3[[#This Row],[DueDate]]</f>
        <v>46047</v>
      </c>
      <c r="F1151" s="3">
        <f>Table3[[#This Row],[BillAmount]]</f>
        <v>5234.1899999999996</v>
      </c>
      <c r="G1151" s="3">
        <f>SUMIF(Vendor_Payments!C:C,A1151,Vendor_Payments!E:E)</f>
        <v>5234.1899999999996</v>
      </c>
      <c r="H1151" s="3">
        <f t="shared" si="51"/>
        <v>0</v>
      </c>
      <c r="I1151">
        <f t="shared" si="52"/>
        <v>44</v>
      </c>
      <c r="J1151" t="str">
        <f t="shared" si="53"/>
        <v>31-60</v>
      </c>
    </row>
    <row r="1152" spans="1:10" x14ac:dyDescent="0.3">
      <c r="A1152" t="str">
        <f>Table3[[#This Row],[BillID]]</f>
        <v>BILL-01151</v>
      </c>
      <c r="B1152" t="str">
        <f>Table3[[#This Row],[VendorID]]</f>
        <v>VEN-010</v>
      </c>
      <c r="C1152" t="str">
        <f>VLOOKUP(B1152,Vendors!A:B,2,FALSE)</f>
        <v>Adobe Creative Cloud</v>
      </c>
      <c r="D1152" s="9">
        <f>Table3[[#This Row],[BillDate]]</f>
        <v>46050</v>
      </c>
      <c r="E1152" s="9">
        <f>Table3[[#This Row],[DueDate]]</f>
        <v>46080</v>
      </c>
      <c r="F1152" s="3">
        <f>Table3[[#This Row],[BillAmount]]</f>
        <v>2421.62</v>
      </c>
      <c r="G1152" s="3">
        <f>SUMIF(Vendor_Payments!C:C,A1152,Vendor_Payments!E:E)</f>
        <v>2421.62</v>
      </c>
      <c r="H1152" s="3">
        <f t="shared" si="51"/>
        <v>0</v>
      </c>
      <c r="I1152">
        <f t="shared" si="52"/>
        <v>11</v>
      </c>
      <c r="J1152" t="str">
        <f t="shared" si="53"/>
        <v>1-30</v>
      </c>
    </row>
    <row r="1153" spans="1:10" x14ac:dyDescent="0.3">
      <c r="A1153" t="str">
        <f>Table3[[#This Row],[BillID]]</f>
        <v>BILL-01152</v>
      </c>
      <c r="B1153" t="str">
        <f>Table3[[#This Row],[VendorID]]</f>
        <v>VEN-037</v>
      </c>
      <c r="C1153" t="str">
        <f>VLOOKUP(B1153,Vendors!A:B,2,FALSE)</f>
        <v>CreativeSpark Studio</v>
      </c>
      <c r="D1153" s="9">
        <f>Table3[[#This Row],[BillDate]]</f>
        <v>46018</v>
      </c>
      <c r="E1153" s="9">
        <f>Table3[[#This Row],[DueDate]]</f>
        <v>46048</v>
      </c>
      <c r="F1153" s="3">
        <f>Table3[[#This Row],[BillAmount]]</f>
        <v>6569.28</v>
      </c>
      <c r="G1153" s="3">
        <f>SUMIF(Vendor_Payments!C:C,A1153,Vendor_Payments!E:E)</f>
        <v>6569.28</v>
      </c>
      <c r="H1153" s="3">
        <f t="shared" si="51"/>
        <v>0</v>
      </c>
      <c r="I1153">
        <f t="shared" si="52"/>
        <v>43</v>
      </c>
      <c r="J1153" t="str">
        <f t="shared" si="53"/>
        <v>31-60</v>
      </c>
    </row>
    <row r="1154" spans="1:10" x14ac:dyDescent="0.3">
      <c r="A1154" t="str">
        <f>Table3[[#This Row],[BillID]]</f>
        <v>BILL-01153</v>
      </c>
      <c r="B1154" t="str">
        <f>Table3[[#This Row],[VendorID]]</f>
        <v>VEN-001</v>
      </c>
      <c r="C1154" t="str">
        <f>VLOOKUP(B1154,Vendors!A:B,2,FALSE)</f>
        <v>Google Ads</v>
      </c>
      <c r="D1154" s="9">
        <f>Table3[[#This Row],[BillDate]]</f>
        <v>46043</v>
      </c>
      <c r="E1154" s="9">
        <f>Table3[[#This Row],[DueDate]]</f>
        <v>46073</v>
      </c>
      <c r="F1154" s="3">
        <f>Table3[[#This Row],[BillAmount]]</f>
        <v>1280.1600000000001</v>
      </c>
      <c r="G1154" s="3">
        <f>SUMIF(Vendor_Payments!C:C,A1154,Vendor_Payments!E:E)</f>
        <v>0</v>
      </c>
      <c r="H1154" s="3">
        <f t="shared" si="51"/>
        <v>1280.1600000000001</v>
      </c>
      <c r="I1154">
        <f t="shared" si="52"/>
        <v>18</v>
      </c>
      <c r="J1154" t="str">
        <f t="shared" si="53"/>
        <v>1-30</v>
      </c>
    </row>
    <row r="1155" spans="1:10" x14ac:dyDescent="0.3">
      <c r="A1155" t="str">
        <f>Table3[[#This Row],[BillID]]</f>
        <v>BILL-01154</v>
      </c>
      <c r="B1155" t="str">
        <f>Table3[[#This Row],[VendorID]]</f>
        <v>VEN-008</v>
      </c>
      <c r="C1155" t="str">
        <f>VLOOKUP(B1155,Vendors!A:B,2,FALSE)</f>
        <v>Ahrefs</v>
      </c>
      <c r="D1155" s="9">
        <f>Table3[[#This Row],[BillDate]]</f>
        <v>46064</v>
      </c>
      <c r="E1155" s="9">
        <f>Table3[[#This Row],[DueDate]]</f>
        <v>46094</v>
      </c>
      <c r="F1155" s="3">
        <f>Table3[[#This Row],[BillAmount]]</f>
        <v>3746.2</v>
      </c>
      <c r="G1155" s="3">
        <f>SUMIF(Vendor_Payments!C:C,A1155,Vendor_Payments!E:E)</f>
        <v>0</v>
      </c>
      <c r="H1155" s="3">
        <f t="shared" ref="H1155:H1218" si="54">F1155-G1155</f>
        <v>3746.2</v>
      </c>
      <c r="I1155">
        <f t="shared" ref="I1155:I1218" si="55">$L$1-E1155</f>
        <v>-3</v>
      </c>
      <c r="J1155" t="str">
        <f t="shared" ref="J1155:J1218" si="56">IF(I1155&lt;=0,"Current",IF(I1155&lt;=30,"1-30",IF(I1155&lt;=60,"31-60",IF(I1155&lt;=90,"61-90","90+"))))</f>
        <v>Current</v>
      </c>
    </row>
    <row r="1156" spans="1:10" x14ac:dyDescent="0.3">
      <c r="A1156" t="str">
        <f>Table3[[#This Row],[BillID]]</f>
        <v>BILL-01155</v>
      </c>
      <c r="B1156" t="str">
        <f>Table3[[#This Row],[VendorID]]</f>
        <v>VEN-004</v>
      </c>
      <c r="C1156" t="str">
        <f>VLOOKUP(B1156,Vendors!A:B,2,FALSE)</f>
        <v>LinkedIn Ads</v>
      </c>
      <c r="D1156" s="9">
        <f>Table3[[#This Row],[BillDate]]</f>
        <v>46007</v>
      </c>
      <c r="E1156" s="9">
        <f>Table3[[#This Row],[DueDate]]</f>
        <v>46037</v>
      </c>
      <c r="F1156" s="3">
        <f>Table3[[#This Row],[BillAmount]]</f>
        <v>4153.54</v>
      </c>
      <c r="G1156" s="3">
        <f>SUMIF(Vendor_Payments!C:C,A1156,Vendor_Payments!E:E)</f>
        <v>4153.54</v>
      </c>
      <c r="H1156" s="3">
        <f t="shared" si="54"/>
        <v>0</v>
      </c>
      <c r="I1156">
        <f t="shared" si="55"/>
        <v>54</v>
      </c>
      <c r="J1156" t="str">
        <f t="shared" si="56"/>
        <v>31-60</v>
      </c>
    </row>
    <row r="1157" spans="1:10" x14ac:dyDescent="0.3">
      <c r="A1157" t="str">
        <f>Table3[[#This Row],[BillID]]</f>
        <v>BILL-01156</v>
      </c>
      <c r="B1157" t="str">
        <f>Table3[[#This Row],[VendorID]]</f>
        <v>VEN-033</v>
      </c>
      <c r="C1157" t="str">
        <f>VLOOKUP(B1157,Vendors!A:B,2,FALSE)</f>
        <v>AdScale Solutions</v>
      </c>
      <c r="D1157" s="9">
        <f>Table3[[#This Row],[BillDate]]</f>
        <v>46027</v>
      </c>
      <c r="E1157" s="9">
        <f>Table3[[#This Row],[DueDate]]</f>
        <v>46057</v>
      </c>
      <c r="F1157" s="3">
        <f>Table3[[#This Row],[BillAmount]]</f>
        <v>4377.88</v>
      </c>
      <c r="G1157" s="3">
        <f>SUMIF(Vendor_Payments!C:C,A1157,Vendor_Payments!E:E)</f>
        <v>0</v>
      </c>
      <c r="H1157" s="3">
        <f t="shared" si="54"/>
        <v>4377.88</v>
      </c>
      <c r="I1157">
        <f t="shared" si="55"/>
        <v>34</v>
      </c>
      <c r="J1157" t="str">
        <f t="shared" si="56"/>
        <v>31-60</v>
      </c>
    </row>
    <row r="1158" spans="1:10" x14ac:dyDescent="0.3">
      <c r="A1158" t="str">
        <f>Table3[[#This Row],[BillID]]</f>
        <v>BILL-01157</v>
      </c>
      <c r="B1158" t="str">
        <f>Table3[[#This Row],[VendorID]]</f>
        <v>VEN-019</v>
      </c>
      <c r="C1158" t="str">
        <f>VLOOKUP(B1158,Vendors!A:B,2,FALSE)</f>
        <v>Notion</v>
      </c>
      <c r="D1158" s="9">
        <f>Table3[[#This Row],[BillDate]]</f>
        <v>45968</v>
      </c>
      <c r="E1158" s="9">
        <f>Table3[[#This Row],[DueDate]]</f>
        <v>45998</v>
      </c>
      <c r="F1158" s="3">
        <f>Table3[[#This Row],[BillAmount]]</f>
        <v>2382.7399999999998</v>
      </c>
      <c r="G1158" s="3">
        <f>SUMIF(Vendor_Payments!C:C,A1158,Vendor_Payments!E:E)</f>
        <v>2382.7399999999998</v>
      </c>
      <c r="H1158" s="3">
        <f t="shared" si="54"/>
        <v>0</v>
      </c>
      <c r="I1158">
        <f t="shared" si="55"/>
        <v>93</v>
      </c>
      <c r="J1158" t="str">
        <f t="shared" si="56"/>
        <v>90+</v>
      </c>
    </row>
    <row r="1159" spans="1:10" x14ac:dyDescent="0.3">
      <c r="A1159" t="str">
        <f>Table3[[#This Row],[BillID]]</f>
        <v>BILL-01158</v>
      </c>
      <c r="B1159" t="str">
        <f>Table3[[#This Row],[VendorID]]</f>
        <v>VEN-018</v>
      </c>
      <c r="C1159" t="str">
        <f>VLOOKUP(B1159,Vendors!A:B,2,FALSE)</f>
        <v>Cloudflare</v>
      </c>
      <c r="D1159" s="9">
        <f>Table3[[#This Row],[BillDate]]</f>
        <v>45991</v>
      </c>
      <c r="E1159" s="9">
        <f>Table3[[#This Row],[DueDate]]</f>
        <v>46021</v>
      </c>
      <c r="F1159" s="3">
        <f>Table3[[#This Row],[BillAmount]]</f>
        <v>2300.34</v>
      </c>
      <c r="G1159" s="3">
        <f>SUMIF(Vendor_Payments!C:C,A1159,Vendor_Payments!E:E)</f>
        <v>2300.34</v>
      </c>
      <c r="H1159" s="3">
        <f t="shared" si="54"/>
        <v>0</v>
      </c>
      <c r="I1159">
        <f t="shared" si="55"/>
        <v>70</v>
      </c>
      <c r="J1159" t="str">
        <f t="shared" si="56"/>
        <v>61-90</v>
      </c>
    </row>
    <row r="1160" spans="1:10" x14ac:dyDescent="0.3">
      <c r="A1160" t="str">
        <f>Table3[[#This Row],[BillID]]</f>
        <v>BILL-01159</v>
      </c>
      <c r="B1160" t="str">
        <f>Table3[[#This Row],[VendorID]]</f>
        <v>VEN-022</v>
      </c>
      <c r="C1160" t="str">
        <f>VLOOKUP(B1160,Vendors!A:B,2,FALSE)</f>
        <v>Toptal Talent</v>
      </c>
      <c r="D1160" s="9">
        <f>Table3[[#This Row],[BillDate]]</f>
        <v>45973</v>
      </c>
      <c r="E1160" s="9">
        <f>Table3[[#This Row],[DueDate]]</f>
        <v>46003</v>
      </c>
      <c r="F1160" s="3">
        <f>Table3[[#This Row],[BillAmount]]</f>
        <v>1270.26</v>
      </c>
      <c r="G1160" s="3">
        <f>SUMIF(Vendor_Payments!C:C,A1160,Vendor_Payments!E:E)</f>
        <v>1270.26</v>
      </c>
      <c r="H1160" s="3">
        <f t="shared" si="54"/>
        <v>0</v>
      </c>
      <c r="I1160">
        <f t="shared" si="55"/>
        <v>88</v>
      </c>
      <c r="J1160" t="str">
        <f t="shared" si="56"/>
        <v>61-90</v>
      </c>
    </row>
    <row r="1161" spans="1:10" x14ac:dyDescent="0.3">
      <c r="A1161" t="str">
        <f>Table3[[#This Row],[BillID]]</f>
        <v>BILL-01160</v>
      </c>
      <c r="B1161" t="str">
        <f>Table3[[#This Row],[VendorID]]</f>
        <v>VEN-034</v>
      </c>
      <c r="C1161" t="str">
        <f>VLOOKUP(B1161,Vendors!A:B,2,FALSE)</f>
        <v>SocialBoost Agency</v>
      </c>
      <c r="D1161" s="9">
        <f>Table3[[#This Row],[BillDate]]</f>
        <v>46085</v>
      </c>
      <c r="E1161" s="9">
        <f>Table3[[#This Row],[DueDate]]</f>
        <v>46115</v>
      </c>
      <c r="F1161" s="3">
        <f>Table3[[#This Row],[BillAmount]]</f>
        <v>4732.6899999999996</v>
      </c>
      <c r="G1161" s="3">
        <f>SUMIF(Vendor_Payments!C:C,A1161,Vendor_Payments!E:E)</f>
        <v>4732.6899999999996</v>
      </c>
      <c r="H1161" s="3">
        <f t="shared" si="54"/>
        <v>0</v>
      </c>
      <c r="I1161">
        <f t="shared" si="55"/>
        <v>-24</v>
      </c>
      <c r="J1161" t="str">
        <f t="shared" si="56"/>
        <v>Current</v>
      </c>
    </row>
    <row r="1162" spans="1:10" x14ac:dyDescent="0.3">
      <c r="A1162" t="str">
        <f>Table3[[#This Row],[BillID]]</f>
        <v>BILL-01161</v>
      </c>
      <c r="B1162" t="str">
        <f>Table3[[#This Row],[VendorID]]</f>
        <v>VEN-014</v>
      </c>
      <c r="C1162" t="str">
        <f>VLOOKUP(B1162,Vendors!A:B,2,FALSE)</f>
        <v>Figma</v>
      </c>
      <c r="D1162" s="9">
        <f>Table3[[#This Row],[BillDate]]</f>
        <v>46086</v>
      </c>
      <c r="E1162" s="9">
        <f>Table3[[#This Row],[DueDate]]</f>
        <v>46116</v>
      </c>
      <c r="F1162" s="3">
        <f>Table3[[#This Row],[BillAmount]]</f>
        <v>3759.33</v>
      </c>
      <c r="G1162" s="3">
        <f>SUMIF(Vendor_Payments!C:C,A1162,Vendor_Payments!E:E)</f>
        <v>3759.33</v>
      </c>
      <c r="H1162" s="3">
        <f t="shared" si="54"/>
        <v>0</v>
      </c>
      <c r="I1162">
        <f t="shared" si="55"/>
        <v>-25</v>
      </c>
      <c r="J1162" t="str">
        <f t="shared" si="56"/>
        <v>Current</v>
      </c>
    </row>
    <row r="1163" spans="1:10" x14ac:dyDescent="0.3">
      <c r="A1163" t="str">
        <f>Table3[[#This Row],[BillID]]</f>
        <v>BILL-01162</v>
      </c>
      <c r="B1163" t="str">
        <f>Table3[[#This Row],[VendorID]]</f>
        <v>VEN-004</v>
      </c>
      <c r="C1163" t="str">
        <f>VLOOKUP(B1163,Vendors!A:B,2,FALSE)</f>
        <v>LinkedIn Ads</v>
      </c>
      <c r="D1163" s="9">
        <f>Table3[[#This Row],[BillDate]]</f>
        <v>46054</v>
      </c>
      <c r="E1163" s="9">
        <f>Table3[[#This Row],[DueDate]]</f>
        <v>46084</v>
      </c>
      <c r="F1163" s="3">
        <f>Table3[[#This Row],[BillAmount]]</f>
        <v>2021.93</v>
      </c>
      <c r="G1163" s="3">
        <f>SUMIF(Vendor_Payments!C:C,A1163,Vendor_Payments!E:E)</f>
        <v>2021.93</v>
      </c>
      <c r="H1163" s="3">
        <f t="shared" si="54"/>
        <v>0</v>
      </c>
      <c r="I1163">
        <f t="shared" si="55"/>
        <v>7</v>
      </c>
      <c r="J1163" t="str">
        <f t="shared" si="56"/>
        <v>1-30</v>
      </c>
    </row>
    <row r="1164" spans="1:10" x14ac:dyDescent="0.3">
      <c r="A1164" t="str">
        <f>Table3[[#This Row],[BillID]]</f>
        <v>BILL-01163</v>
      </c>
      <c r="B1164" t="str">
        <f>Table3[[#This Row],[VendorID]]</f>
        <v>VEN-026</v>
      </c>
      <c r="C1164" t="str">
        <f>VLOOKUP(B1164,Vendors!A:B,2,FALSE)</f>
        <v>PixelForge Studio</v>
      </c>
      <c r="D1164" s="9">
        <f>Table3[[#This Row],[BillDate]]</f>
        <v>46007</v>
      </c>
      <c r="E1164" s="9">
        <f>Table3[[#This Row],[DueDate]]</f>
        <v>46037</v>
      </c>
      <c r="F1164" s="3">
        <f>Table3[[#This Row],[BillAmount]]</f>
        <v>4001.18</v>
      </c>
      <c r="G1164" s="3">
        <f>SUMIF(Vendor_Payments!C:C,A1164,Vendor_Payments!E:E)</f>
        <v>4001.18</v>
      </c>
      <c r="H1164" s="3">
        <f t="shared" si="54"/>
        <v>0</v>
      </c>
      <c r="I1164">
        <f t="shared" si="55"/>
        <v>54</v>
      </c>
      <c r="J1164" t="str">
        <f t="shared" si="56"/>
        <v>31-60</v>
      </c>
    </row>
    <row r="1165" spans="1:10" x14ac:dyDescent="0.3">
      <c r="A1165" t="str">
        <f>Table3[[#This Row],[BillID]]</f>
        <v>BILL-01164</v>
      </c>
      <c r="B1165" t="str">
        <f>Table3[[#This Row],[VendorID]]</f>
        <v>VEN-008</v>
      </c>
      <c r="C1165" t="str">
        <f>VLOOKUP(B1165,Vendors!A:B,2,FALSE)</f>
        <v>Ahrefs</v>
      </c>
      <c r="D1165" s="9">
        <f>Table3[[#This Row],[BillDate]]</f>
        <v>46041</v>
      </c>
      <c r="E1165" s="9">
        <f>Table3[[#This Row],[DueDate]]</f>
        <v>46071</v>
      </c>
      <c r="F1165" s="3">
        <f>Table3[[#This Row],[BillAmount]]</f>
        <v>3819.76</v>
      </c>
      <c r="G1165" s="3">
        <f>SUMIF(Vendor_Payments!C:C,A1165,Vendor_Payments!E:E)</f>
        <v>0</v>
      </c>
      <c r="H1165" s="3">
        <f t="shared" si="54"/>
        <v>3819.76</v>
      </c>
      <c r="I1165">
        <f t="shared" si="55"/>
        <v>20</v>
      </c>
      <c r="J1165" t="str">
        <f t="shared" si="56"/>
        <v>1-30</v>
      </c>
    </row>
    <row r="1166" spans="1:10" x14ac:dyDescent="0.3">
      <c r="A1166" t="str">
        <f>Table3[[#This Row],[BillID]]</f>
        <v>BILL-01165</v>
      </c>
      <c r="B1166" t="str">
        <f>Table3[[#This Row],[VendorID]]</f>
        <v>VEN-003</v>
      </c>
      <c r="C1166" t="str">
        <f>VLOOKUP(B1166,Vendors!A:B,2,FALSE)</f>
        <v>TikTok Ads</v>
      </c>
      <c r="D1166" s="9">
        <f>Table3[[#This Row],[BillDate]]</f>
        <v>46035</v>
      </c>
      <c r="E1166" s="9">
        <f>Table3[[#This Row],[DueDate]]</f>
        <v>46065</v>
      </c>
      <c r="F1166" s="3">
        <f>Table3[[#This Row],[BillAmount]]</f>
        <v>1365.51</v>
      </c>
      <c r="G1166" s="3">
        <f>SUMIF(Vendor_Payments!C:C,A1166,Vendor_Payments!E:E)</f>
        <v>0</v>
      </c>
      <c r="H1166" s="3">
        <f t="shared" si="54"/>
        <v>1365.51</v>
      </c>
      <c r="I1166">
        <f t="shared" si="55"/>
        <v>26</v>
      </c>
      <c r="J1166" t="str">
        <f t="shared" si="56"/>
        <v>1-30</v>
      </c>
    </row>
    <row r="1167" spans="1:10" x14ac:dyDescent="0.3">
      <c r="A1167" t="str">
        <f>Table3[[#This Row],[BillID]]</f>
        <v>BILL-01166</v>
      </c>
      <c r="B1167" t="str">
        <f>Table3[[#This Row],[VendorID]]</f>
        <v>VEN-030</v>
      </c>
      <c r="C1167" t="str">
        <f>VLOOKUP(B1167,Vendors!A:B,2,FALSE)</f>
        <v>ContentCraft Studio</v>
      </c>
      <c r="D1167" s="9">
        <f>Table3[[#This Row],[BillDate]]</f>
        <v>46081</v>
      </c>
      <c r="E1167" s="9">
        <f>Table3[[#This Row],[DueDate]]</f>
        <v>46111</v>
      </c>
      <c r="F1167" s="3">
        <f>Table3[[#This Row],[BillAmount]]</f>
        <v>5699.92</v>
      </c>
      <c r="G1167" s="3">
        <f>SUMIF(Vendor_Payments!C:C,A1167,Vendor_Payments!E:E)</f>
        <v>5699.92</v>
      </c>
      <c r="H1167" s="3">
        <f t="shared" si="54"/>
        <v>0</v>
      </c>
      <c r="I1167">
        <f t="shared" si="55"/>
        <v>-20</v>
      </c>
      <c r="J1167" t="str">
        <f t="shared" si="56"/>
        <v>Current</v>
      </c>
    </row>
    <row r="1168" spans="1:10" x14ac:dyDescent="0.3">
      <c r="A1168" t="str">
        <f>Table3[[#This Row],[BillID]]</f>
        <v>BILL-01167</v>
      </c>
      <c r="B1168" t="str">
        <f>Table3[[#This Row],[VendorID]]</f>
        <v>VEN-034</v>
      </c>
      <c r="C1168" t="str">
        <f>VLOOKUP(B1168,Vendors!A:B,2,FALSE)</f>
        <v>SocialBoost Agency</v>
      </c>
      <c r="D1168" s="9">
        <f>Table3[[#This Row],[BillDate]]</f>
        <v>46036</v>
      </c>
      <c r="E1168" s="9">
        <f>Table3[[#This Row],[DueDate]]</f>
        <v>46066</v>
      </c>
      <c r="F1168" s="3">
        <f>Table3[[#This Row],[BillAmount]]</f>
        <v>5102.2700000000004</v>
      </c>
      <c r="G1168" s="3">
        <f>SUMIF(Vendor_Payments!C:C,A1168,Vendor_Payments!E:E)</f>
        <v>5102.2700000000004</v>
      </c>
      <c r="H1168" s="3">
        <f t="shared" si="54"/>
        <v>0</v>
      </c>
      <c r="I1168">
        <f t="shared" si="55"/>
        <v>25</v>
      </c>
      <c r="J1168" t="str">
        <f t="shared" si="56"/>
        <v>1-30</v>
      </c>
    </row>
    <row r="1169" spans="1:10" x14ac:dyDescent="0.3">
      <c r="A1169" t="str">
        <f>Table3[[#This Row],[BillID]]</f>
        <v>BILL-01168</v>
      </c>
      <c r="B1169" t="str">
        <f>Table3[[#This Row],[VendorID]]</f>
        <v>VEN-007</v>
      </c>
      <c r="C1169" t="str">
        <f>VLOOKUP(B1169,Vendors!A:B,2,FALSE)</f>
        <v>Mailchimp</v>
      </c>
      <c r="D1169" s="9">
        <f>Table3[[#This Row],[BillDate]]</f>
        <v>46007</v>
      </c>
      <c r="E1169" s="9">
        <f>Table3[[#This Row],[DueDate]]</f>
        <v>46037</v>
      </c>
      <c r="F1169" s="3">
        <f>Table3[[#This Row],[BillAmount]]</f>
        <v>3502.78</v>
      </c>
      <c r="G1169" s="3">
        <f>SUMIF(Vendor_Payments!C:C,A1169,Vendor_Payments!E:E)</f>
        <v>3502.78</v>
      </c>
      <c r="H1169" s="3">
        <f t="shared" si="54"/>
        <v>0</v>
      </c>
      <c r="I1169">
        <f t="shared" si="55"/>
        <v>54</v>
      </c>
      <c r="J1169" t="str">
        <f t="shared" si="56"/>
        <v>31-60</v>
      </c>
    </row>
    <row r="1170" spans="1:10" x14ac:dyDescent="0.3">
      <c r="A1170" t="str">
        <f>Table3[[#This Row],[BillID]]</f>
        <v>BILL-01169</v>
      </c>
      <c r="B1170" t="str">
        <f>Table3[[#This Row],[VendorID]]</f>
        <v>VEN-028</v>
      </c>
      <c r="C1170" t="str">
        <f>VLOOKUP(B1170,Vendors!A:B,2,FALSE)</f>
        <v>MarketEdge Consulting</v>
      </c>
      <c r="D1170" s="9">
        <f>Table3[[#This Row],[BillDate]]</f>
        <v>45987</v>
      </c>
      <c r="E1170" s="9">
        <f>Table3[[#This Row],[DueDate]]</f>
        <v>46017</v>
      </c>
      <c r="F1170" s="3">
        <f>Table3[[#This Row],[BillAmount]]</f>
        <v>6881.91</v>
      </c>
      <c r="G1170" s="3">
        <f>SUMIF(Vendor_Payments!C:C,A1170,Vendor_Payments!E:E)</f>
        <v>6881.91</v>
      </c>
      <c r="H1170" s="3">
        <f t="shared" si="54"/>
        <v>0</v>
      </c>
      <c r="I1170">
        <f t="shared" si="55"/>
        <v>74</v>
      </c>
      <c r="J1170" t="str">
        <f t="shared" si="56"/>
        <v>61-90</v>
      </c>
    </row>
    <row r="1171" spans="1:10" x14ac:dyDescent="0.3">
      <c r="A1171" t="str">
        <f>Table3[[#This Row],[BillID]]</f>
        <v>BILL-01170</v>
      </c>
      <c r="B1171" t="str">
        <f>Table3[[#This Row],[VendorID]]</f>
        <v>VEN-006</v>
      </c>
      <c r="C1171" t="str">
        <f>VLOOKUP(B1171,Vendors!A:B,2,FALSE)</f>
        <v>Salesforce</v>
      </c>
      <c r="D1171" s="9">
        <f>Table3[[#This Row],[BillDate]]</f>
        <v>46012</v>
      </c>
      <c r="E1171" s="9">
        <f>Table3[[#This Row],[DueDate]]</f>
        <v>46042</v>
      </c>
      <c r="F1171" s="3">
        <f>Table3[[#This Row],[BillAmount]]</f>
        <v>4326.25</v>
      </c>
      <c r="G1171" s="3">
        <f>SUMIF(Vendor_Payments!C:C,A1171,Vendor_Payments!E:E)</f>
        <v>4326.25</v>
      </c>
      <c r="H1171" s="3">
        <f t="shared" si="54"/>
        <v>0</v>
      </c>
      <c r="I1171">
        <f t="shared" si="55"/>
        <v>49</v>
      </c>
      <c r="J1171" t="str">
        <f t="shared" si="56"/>
        <v>31-60</v>
      </c>
    </row>
    <row r="1172" spans="1:10" x14ac:dyDescent="0.3">
      <c r="A1172" t="str">
        <f>Table3[[#This Row],[BillID]]</f>
        <v>BILL-01171</v>
      </c>
      <c r="B1172" t="str">
        <f>Table3[[#This Row],[VendorID]]</f>
        <v>VEN-029</v>
      </c>
      <c r="C1172" t="str">
        <f>VLOOKUP(B1172,Vendors!A:B,2,FALSE)</f>
        <v>BrightSEO Agency</v>
      </c>
      <c r="D1172" s="9">
        <f>Table3[[#This Row],[BillDate]]</f>
        <v>46072</v>
      </c>
      <c r="E1172" s="9">
        <f>Table3[[#This Row],[DueDate]]</f>
        <v>46102</v>
      </c>
      <c r="F1172" s="3">
        <f>Table3[[#This Row],[BillAmount]]</f>
        <v>3008.74</v>
      </c>
      <c r="G1172" s="3">
        <f>SUMIF(Vendor_Payments!C:C,A1172,Vendor_Payments!E:E)</f>
        <v>0</v>
      </c>
      <c r="H1172" s="3">
        <f t="shared" si="54"/>
        <v>3008.74</v>
      </c>
      <c r="I1172">
        <f t="shared" si="55"/>
        <v>-11</v>
      </c>
      <c r="J1172" t="str">
        <f t="shared" si="56"/>
        <v>Current</v>
      </c>
    </row>
    <row r="1173" spans="1:10" x14ac:dyDescent="0.3">
      <c r="A1173" t="str">
        <f>Table3[[#This Row],[BillID]]</f>
        <v>BILL-01172</v>
      </c>
      <c r="B1173" t="str">
        <f>Table3[[#This Row],[VendorID]]</f>
        <v>VEN-013</v>
      </c>
      <c r="C1173" t="str">
        <f>VLOOKUP(B1173,Vendors!A:B,2,FALSE)</f>
        <v>Canva Pro</v>
      </c>
      <c r="D1173" s="9">
        <f>Table3[[#This Row],[BillDate]]</f>
        <v>46084</v>
      </c>
      <c r="E1173" s="9">
        <f>Table3[[#This Row],[DueDate]]</f>
        <v>46114</v>
      </c>
      <c r="F1173" s="3">
        <f>Table3[[#This Row],[BillAmount]]</f>
        <v>1790.95</v>
      </c>
      <c r="G1173" s="3">
        <f>SUMIF(Vendor_Payments!C:C,A1173,Vendor_Payments!E:E)</f>
        <v>1790.95</v>
      </c>
      <c r="H1173" s="3">
        <f t="shared" si="54"/>
        <v>0</v>
      </c>
      <c r="I1173">
        <f t="shared" si="55"/>
        <v>-23</v>
      </c>
      <c r="J1173" t="str">
        <f t="shared" si="56"/>
        <v>Current</v>
      </c>
    </row>
    <row r="1174" spans="1:10" x14ac:dyDescent="0.3">
      <c r="A1174" t="str">
        <f>Table3[[#This Row],[BillID]]</f>
        <v>BILL-01173</v>
      </c>
      <c r="B1174" t="str">
        <f>Table3[[#This Row],[VendorID]]</f>
        <v>VEN-021</v>
      </c>
      <c r="C1174" t="str">
        <f>VLOOKUP(B1174,Vendors!A:B,2,FALSE)</f>
        <v>Upwork Freelancers</v>
      </c>
      <c r="D1174" s="9">
        <f>Table3[[#This Row],[BillDate]]</f>
        <v>46052</v>
      </c>
      <c r="E1174" s="9">
        <f>Table3[[#This Row],[DueDate]]</f>
        <v>46082</v>
      </c>
      <c r="F1174" s="3">
        <f>Table3[[#This Row],[BillAmount]]</f>
        <v>6161.99</v>
      </c>
      <c r="G1174" s="3">
        <f>SUMIF(Vendor_Payments!C:C,A1174,Vendor_Payments!E:E)</f>
        <v>6161.99</v>
      </c>
      <c r="H1174" s="3">
        <f t="shared" si="54"/>
        <v>0</v>
      </c>
      <c r="I1174">
        <f t="shared" si="55"/>
        <v>9</v>
      </c>
      <c r="J1174" t="str">
        <f t="shared" si="56"/>
        <v>1-30</v>
      </c>
    </row>
    <row r="1175" spans="1:10" x14ac:dyDescent="0.3">
      <c r="A1175" t="str">
        <f>Table3[[#This Row],[BillID]]</f>
        <v>BILL-01174</v>
      </c>
      <c r="B1175" t="str">
        <f>Table3[[#This Row],[VendorID]]</f>
        <v>VEN-024</v>
      </c>
      <c r="C1175" t="str">
        <f>VLOOKUP(B1175,Vendors!A:B,2,FALSE)</f>
        <v>Growth Strategy Group</v>
      </c>
      <c r="D1175" s="9">
        <f>Table3[[#This Row],[BillDate]]</f>
        <v>45997</v>
      </c>
      <c r="E1175" s="9">
        <f>Table3[[#This Row],[DueDate]]</f>
        <v>46027</v>
      </c>
      <c r="F1175" s="3">
        <f>Table3[[#This Row],[BillAmount]]</f>
        <v>1975.47</v>
      </c>
      <c r="G1175" s="3">
        <f>SUMIF(Vendor_Payments!C:C,A1175,Vendor_Payments!E:E)</f>
        <v>1975.47</v>
      </c>
      <c r="H1175" s="3">
        <f t="shared" si="54"/>
        <v>0</v>
      </c>
      <c r="I1175">
        <f t="shared" si="55"/>
        <v>64</v>
      </c>
      <c r="J1175" t="str">
        <f t="shared" si="56"/>
        <v>61-90</v>
      </c>
    </row>
    <row r="1176" spans="1:10" x14ac:dyDescent="0.3">
      <c r="A1176" t="str">
        <f>Table3[[#This Row],[BillID]]</f>
        <v>BILL-01175</v>
      </c>
      <c r="B1176" t="str">
        <f>Table3[[#This Row],[VendorID]]</f>
        <v>VEN-038</v>
      </c>
      <c r="C1176" t="str">
        <f>VLOOKUP(B1176,Vendors!A:B,2,FALSE)</f>
        <v>Insight Marketing Partners</v>
      </c>
      <c r="D1176" s="9">
        <f>Table3[[#This Row],[BillDate]]</f>
        <v>46006</v>
      </c>
      <c r="E1176" s="9">
        <f>Table3[[#This Row],[DueDate]]</f>
        <v>46036</v>
      </c>
      <c r="F1176" s="3">
        <f>Table3[[#This Row],[BillAmount]]</f>
        <v>2956.22</v>
      </c>
      <c r="G1176" s="3">
        <f>SUMIF(Vendor_Payments!C:C,A1176,Vendor_Payments!E:E)</f>
        <v>2956.22</v>
      </c>
      <c r="H1176" s="3">
        <f t="shared" si="54"/>
        <v>0</v>
      </c>
      <c r="I1176">
        <f t="shared" si="55"/>
        <v>55</v>
      </c>
      <c r="J1176" t="str">
        <f t="shared" si="56"/>
        <v>31-60</v>
      </c>
    </row>
    <row r="1177" spans="1:10" x14ac:dyDescent="0.3">
      <c r="A1177" t="str">
        <f>Table3[[#This Row],[BillID]]</f>
        <v>BILL-01176</v>
      </c>
      <c r="B1177" t="str">
        <f>Table3[[#This Row],[VendorID]]</f>
        <v>VEN-035</v>
      </c>
      <c r="C1177" t="str">
        <f>VLOOKUP(B1177,Vendors!A:B,2,FALSE)</f>
        <v>ClickFlow Marketing</v>
      </c>
      <c r="D1177" s="9">
        <f>Table3[[#This Row],[BillDate]]</f>
        <v>46010</v>
      </c>
      <c r="E1177" s="9">
        <f>Table3[[#This Row],[DueDate]]</f>
        <v>46040</v>
      </c>
      <c r="F1177" s="3">
        <f>Table3[[#This Row],[BillAmount]]</f>
        <v>3091.63</v>
      </c>
      <c r="G1177" s="3">
        <f>SUMIF(Vendor_Payments!C:C,A1177,Vendor_Payments!E:E)</f>
        <v>3091.63</v>
      </c>
      <c r="H1177" s="3">
        <f t="shared" si="54"/>
        <v>0</v>
      </c>
      <c r="I1177">
        <f t="shared" si="55"/>
        <v>51</v>
      </c>
      <c r="J1177" t="str">
        <f t="shared" si="56"/>
        <v>31-60</v>
      </c>
    </row>
    <row r="1178" spans="1:10" x14ac:dyDescent="0.3">
      <c r="A1178" t="str">
        <f>Table3[[#This Row],[BillID]]</f>
        <v>BILL-01177</v>
      </c>
      <c r="B1178" t="str">
        <f>Table3[[#This Row],[VendorID]]</f>
        <v>VEN-038</v>
      </c>
      <c r="C1178" t="str">
        <f>VLOOKUP(B1178,Vendors!A:B,2,FALSE)</f>
        <v>Insight Marketing Partners</v>
      </c>
      <c r="D1178" s="9">
        <f>Table3[[#This Row],[BillDate]]</f>
        <v>46074</v>
      </c>
      <c r="E1178" s="9">
        <f>Table3[[#This Row],[DueDate]]</f>
        <v>46104</v>
      </c>
      <c r="F1178" s="3">
        <f>Table3[[#This Row],[BillAmount]]</f>
        <v>4868.03</v>
      </c>
      <c r="G1178" s="3">
        <f>SUMIF(Vendor_Payments!C:C,A1178,Vendor_Payments!E:E)</f>
        <v>0</v>
      </c>
      <c r="H1178" s="3">
        <f t="shared" si="54"/>
        <v>4868.03</v>
      </c>
      <c r="I1178">
        <f t="shared" si="55"/>
        <v>-13</v>
      </c>
      <c r="J1178" t="str">
        <f t="shared" si="56"/>
        <v>Current</v>
      </c>
    </row>
    <row r="1179" spans="1:10" x14ac:dyDescent="0.3">
      <c r="A1179" t="str">
        <f>Table3[[#This Row],[BillID]]</f>
        <v>BILL-01178</v>
      </c>
      <c r="B1179" t="str">
        <f>Table3[[#This Row],[VendorID]]</f>
        <v>VEN-019</v>
      </c>
      <c r="C1179" t="str">
        <f>VLOOKUP(B1179,Vendors!A:B,2,FALSE)</f>
        <v>Notion</v>
      </c>
      <c r="D1179" s="9">
        <f>Table3[[#This Row],[BillDate]]</f>
        <v>46005</v>
      </c>
      <c r="E1179" s="9">
        <f>Table3[[#This Row],[DueDate]]</f>
        <v>46035</v>
      </c>
      <c r="F1179" s="3">
        <f>Table3[[#This Row],[BillAmount]]</f>
        <v>1787.18</v>
      </c>
      <c r="G1179" s="3">
        <f>SUMIF(Vendor_Payments!C:C,A1179,Vendor_Payments!E:E)</f>
        <v>1787.18</v>
      </c>
      <c r="H1179" s="3">
        <f t="shared" si="54"/>
        <v>0</v>
      </c>
      <c r="I1179">
        <f t="shared" si="55"/>
        <v>56</v>
      </c>
      <c r="J1179" t="str">
        <f t="shared" si="56"/>
        <v>31-60</v>
      </c>
    </row>
    <row r="1180" spans="1:10" x14ac:dyDescent="0.3">
      <c r="A1180" t="str">
        <f>Table3[[#This Row],[BillID]]</f>
        <v>BILL-01179</v>
      </c>
      <c r="B1180" t="str">
        <f>Table3[[#This Row],[VendorID]]</f>
        <v>VEN-030</v>
      </c>
      <c r="C1180" t="str">
        <f>VLOOKUP(B1180,Vendors!A:B,2,FALSE)</f>
        <v>ContentCraft Studio</v>
      </c>
      <c r="D1180" s="9">
        <f>Table3[[#This Row],[BillDate]]</f>
        <v>46050</v>
      </c>
      <c r="E1180" s="9">
        <f>Table3[[#This Row],[DueDate]]</f>
        <v>46080</v>
      </c>
      <c r="F1180" s="3">
        <f>Table3[[#This Row],[BillAmount]]</f>
        <v>6413.61</v>
      </c>
      <c r="G1180" s="3">
        <f>SUMIF(Vendor_Payments!C:C,A1180,Vendor_Payments!E:E)</f>
        <v>0</v>
      </c>
      <c r="H1180" s="3">
        <f t="shared" si="54"/>
        <v>6413.61</v>
      </c>
      <c r="I1180">
        <f t="shared" si="55"/>
        <v>11</v>
      </c>
      <c r="J1180" t="str">
        <f t="shared" si="56"/>
        <v>1-30</v>
      </c>
    </row>
    <row r="1181" spans="1:10" x14ac:dyDescent="0.3">
      <c r="A1181" t="str">
        <f>Table3[[#This Row],[BillID]]</f>
        <v>BILL-01180</v>
      </c>
      <c r="B1181" t="str">
        <f>Table3[[#This Row],[VendorID]]</f>
        <v>VEN-003</v>
      </c>
      <c r="C1181" t="str">
        <f>VLOOKUP(B1181,Vendors!A:B,2,FALSE)</f>
        <v>TikTok Ads</v>
      </c>
      <c r="D1181" s="9">
        <f>Table3[[#This Row],[BillDate]]</f>
        <v>45988</v>
      </c>
      <c r="E1181" s="9">
        <f>Table3[[#This Row],[DueDate]]</f>
        <v>46018</v>
      </c>
      <c r="F1181" s="3">
        <f>Table3[[#This Row],[BillAmount]]</f>
        <v>1212.52</v>
      </c>
      <c r="G1181" s="3">
        <f>SUMIF(Vendor_Payments!C:C,A1181,Vendor_Payments!E:E)</f>
        <v>1212.52</v>
      </c>
      <c r="H1181" s="3">
        <f t="shared" si="54"/>
        <v>0</v>
      </c>
      <c r="I1181">
        <f t="shared" si="55"/>
        <v>73</v>
      </c>
      <c r="J1181" t="str">
        <f t="shared" si="56"/>
        <v>61-90</v>
      </c>
    </row>
    <row r="1182" spans="1:10" x14ac:dyDescent="0.3">
      <c r="A1182" t="str">
        <f>Table3[[#This Row],[BillID]]</f>
        <v>BILL-01181</v>
      </c>
      <c r="B1182" t="str">
        <f>Table3[[#This Row],[VendorID]]</f>
        <v>VEN-028</v>
      </c>
      <c r="C1182" t="str">
        <f>VLOOKUP(B1182,Vendors!A:B,2,FALSE)</f>
        <v>MarketEdge Consulting</v>
      </c>
      <c r="D1182" s="9">
        <f>Table3[[#This Row],[BillDate]]</f>
        <v>46032</v>
      </c>
      <c r="E1182" s="9">
        <f>Table3[[#This Row],[DueDate]]</f>
        <v>46062</v>
      </c>
      <c r="F1182" s="3">
        <f>Table3[[#This Row],[BillAmount]]</f>
        <v>3452.09</v>
      </c>
      <c r="G1182" s="3">
        <f>SUMIF(Vendor_Payments!C:C,A1182,Vendor_Payments!E:E)</f>
        <v>3452.09</v>
      </c>
      <c r="H1182" s="3">
        <f t="shared" si="54"/>
        <v>0</v>
      </c>
      <c r="I1182">
        <f t="shared" si="55"/>
        <v>29</v>
      </c>
      <c r="J1182" t="str">
        <f t="shared" si="56"/>
        <v>1-30</v>
      </c>
    </row>
    <row r="1183" spans="1:10" x14ac:dyDescent="0.3">
      <c r="A1183" t="str">
        <f>Table3[[#This Row],[BillID]]</f>
        <v>BILL-01182</v>
      </c>
      <c r="B1183" t="str">
        <f>Table3[[#This Row],[VendorID]]</f>
        <v>VEN-001</v>
      </c>
      <c r="C1183" t="str">
        <f>VLOOKUP(B1183,Vendors!A:B,2,FALSE)</f>
        <v>Google Ads</v>
      </c>
      <c r="D1183" s="9">
        <f>Table3[[#This Row],[BillDate]]</f>
        <v>45972</v>
      </c>
      <c r="E1183" s="9">
        <f>Table3[[#This Row],[DueDate]]</f>
        <v>46002</v>
      </c>
      <c r="F1183" s="3">
        <f>Table3[[#This Row],[BillAmount]]</f>
        <v>5851.68</v>
      </c>
      <c r="G1183" s="3">
        <f>SUMIF(Vendor_Payments!C:C,A1183,Vendor_Payments!E:E)</f>
        <v>0</v>
      </c>
      <c r="H1183" s="3">
        <f t="shared" si="54"/>
        <v>5851.68</v>
      </c>
      <c r="I1183">
        <f t="shared" si="55"/>
        <v>89</v>
      </c>
      <c r="J1183" t="str">
        <f t="shared" si="56"/>
        <v>61-90</v>
      </c>
    </row>
    <row r="1184" spans="1:10" x14ac:dyDescent="0.3">
      <c r="A1184" t="str">
        <f>Table3[[#This Row],[BillID]]</f>
        <v>BILL-01183</v>
      </c>
      <c r="B1184" t="str">
        <f>Table3[[#This Row],[VendorID]]</f>
        <v>VEN-033</v>
      </c>
      <c r="C1184" t="str">
        <f>VLOOKUP(B1184,Vendors!A:B,2,FALSE)</f>
        <v>AdScale Solutions</v>
      </c>
      <c r="D1184" s="9">
        <f>Table3[[#This Row],[BillDate]]</f>
        <v>46091</v>
      </c>
      <c r="E1184" s="9">
        <f>Table3[[#This Row],[DueDate]]</f>
        <v>46121</v>
      </c>
      <c r="F1184" s="3">
        <f>Table3[[#This Row],[BillAmount]]</f>
        <v>2914.03</v>
      </c>
      <c r="G1184" s="3">
        <f>SUMIF(Vendor_Payments!C:C,A1184,Vendor_Payments!E:E)</f>
        <v>2914.03</v>
      </c>
      <c r="H1184" s="3">
        <f t="shared" si="54"/>
        <v>0</v>
      </c>
      <c r="I1184">
        <f t="shared" si="55"/>
        <v>-30</v>
      </c>
      <c r="J1184" t="str">
        <f t="shared" si="56"/>
        <v>Current</v>
      </c>
    </row>
    <row r="1185" spans="1:10" x14ac:dyDescent="0.3">
      <c r="A1185" t="str">
        <f>Table3[[#This Row],[BillID]]</f>
        <v>BILL-01184</v>
      </c>
      <c r="B1185" t="str">
        <f>Table3[[#This Row],[VendorID]]</f>
        <v>VEN-012</v>
      </c>
      <c r="C1185" t="str">
        <f>VLOOKUP(B1185,Vendors!A:B,2,FALSE)</f>
        <v>Google Cloud</v>
      </c>
      <c r="D1185" s="9">
        <f>Table3[[#This Row],[BillDate]]</f>
        <v>46084</v>
      </c>
      <c r="E1185" s="9">
        <f>Table3[[#This Row],[DueDate]]</f>
        <v>46114</v>
      </c>
      <c r="F1185" s="3">
        <f>Table3[[#This Row],[BillAmount]]</f>
        <v>3769.74</v>
      </c>
      <c r="G1185" s="3">
        <f>SUMIF(Vendor_Payments!C:C,A1185,Vendor_Payments!E:E)</f>
        <v>3769.74</v>
      </c>
      <c r="H1185" s="3">
        <f t="shared" si="54"/>
        <v>0</v>
      </c>
      <c r="I1185">
        <f t="shared" si="55"/>
        <v>-23</v>
      </c>
      <c r="J1185" t="str">
        <f t="shared" si="56"/>
        <v>Current</v>
      </c>
    </row>
    <row r="1186" spans="1:10" x14ac:dyDescent="0.3">
      <c r="A1186" t="str">
        <f>Table3[[#This Row],[BillID]]</f>
        <v>BILL-01185</v>
      </c>
      <c r="B1186" t="str">
        <f>Table3[[#This Row],[VendorID]]</f>
        <v>VEN-015</v>
      </c>
      <c r="C1186" t="str">
        <f>VLOOKUP(B1186,Vendors!A:B,2,FALSE)</f>
        <v>Zapier</v>
      </c>
      <c r="D1186" s="9">
        <f>Table3[[#This Row],[BillDate]]</f>
        <v>46084</v>
      </c>
      <c r="E1186" s="9">
        <f>Table3[[#This Row],[DueDate]]</f>
        <v>46114</v>
      </c>
      <c r="F1186" s="3">
        <f>Table3[[#This Row],[BillAmount]]</f>
        <v>2381.29</v>
      </c>
      <c r="G1186" s="3">
        <f>SUMIF(Vendor_Payments!C:C,A1186,Vendor_Payments!E:E)</f>
        <v>2381.29</v>
      </c>
      <c r="H1186" s="3">
        <f t="shared" si="54"/>
        <v>0</v>
      </c>
      <c r="I1186">
        <f t="shared" si="55"/>
        <v>-23</v>
      </c>
      <c r="J1186" t="str">
        <f t="shared" si="56"/>
        <v>Current</v>
      </c>
    </row>
    <row r="1187" spans="1:10" x14ac:dyDescent="0.3">
      <c r="A1187" t="str">
        <f>Table3[[#This Row],[BillID]]</f>
        <v>BILL-01186</v>
      </c>
      <c r="B1187" t="str">
        <f>Table3[[#This Row],[VendorID]]</f>
        <v>VEN-004</v>
      </c>
      <c r="C1187" t="str">
        <f>VLOOKUP(B1187,Vendors!A:B,2,FALSE)</f>
        <v>LinkedIn Ads</v>
      </c>
      <c r="D1187" s="9">
        <f>Table3[[#This Row],[BillDate]]</f>
        <v>45988</v>
      </c>
      <c r="E1187" s="9">
        <f>Table3[[#This Row],[DueDate]]</f>
        <v>46018</v>
      </c>
      <c r="F1187" s="3">
        <f>Table3[[#This Row],[BillAmount]]</f>
        <v>1820.56</v>
      </c>
      <c r="G1187" s="3">
        <f>SUMIF(Vendor_Payments!C:C,A1187,Vendor_Payments!E:E)</f>
        <v>1820.56</v>
      </c>
      <c r="H1187" s="3">
        <f t="shared" si="54"/>
        <v>0</v>
      </c>
      <c r="I1187">
        <f t="shared" si="55"/>
        <v>73</v>
      </c>
      <c r="J1187" t="str">
        <f t="shared" si="56"/>
        <v>61-90</v>
      </c>
    </row>
    <row r="1188" spans="1:10" x14ac:dyDescent="0.3">
      <c r="A1188" t="str">
        <f>Table3[[#This Row],[BillID]]</f>
        <v>BILL-01187</v>
      </c>
      <c r="B1188" t="str">
        <f>Table3[[#This Row],[VendorID]]</f>
        <v>VEN-020</v>
      </c>
      <c r="C1188" t="str">
        <f>VLOOKUP(B1188,Vendors!A:B,2,FALSE)</f>
        <v>Slack</v>
      </c>
      <c r="D1188" s="9">
        <f>Table3[[#This Row],[BillDate]]</f>
        <v>46079</v>
      </c>
      <c r="E1188" s="9">
        <f>Table3[[#This Row],[DueDate]]</f>
        <v>46109</v>
      </c>
      <c r="F1188" s="3">
        <f>Table3[[#This Row],[BillAmount]]</f>
        <v>3444.11</v>
      </c>
      <c r="G1188" s="3">
        <f>SUMIF(Vendor_Payments!C:C,A1188,Vendor_Payments!E:E)</f>
        <v>0</v>
      </c>
      <c r="H1188" s="3">
        <f t="shared" si="54"/>
        <v>3444.11</v>
      </c>
      <c r="I1188">
        <f t="shared" si="55"/>
        <v>-18</v>
      </c>
      <c r="J1188" t="str">
        <f t="shared" si="56"/>
        <v>Current</v>
      </c>
    </row>
    <row r="1189" spans="1:10" x14ac:dyDescent="0.3">
      <c r="A1189" t="str">
        <f>Table3[[#This Row],[BillID]]</f>
        <v>BILL-01188</v>
      </c>
      <c r="B1189" t="str">
        <f>Table3[[#This Row],[VendorID]]</f>
        <v>VEN-030</v>
      </c>
      <c r="C1189" t="str">
        <f>VLOOKUP(B1189,Vendors!A:B,2,FALSE)</f>
        <v>ContentCraft Studio</v>
      </c>
      <c r="D1189" s="9">
        <f>Table3[[#This Row],[BillDate]]</f>
        <v>46042</v>
      </c>
      <c r="E1189" s="9">
        <f>Table3[[#This Row],[DueDate]]</f>
        <v>46072</v>
      </c>
      <c r="F1189" s="3">
        <f>Table3[[#This Row],[BillAmount]]</f>
        <v>5872.74</v>
      </c>
      <c r="G1189" s="3">
        <f>SUMIF(Vendor_Payments!C:C,A1189,Vendor_Payments!E:E)</f>
        <v>0</v>
      </c>
      <c r="H1189" s="3">
        <f t="shared" si="54"/>
        <v>5872.74</v>
      </c>
      <c r="I1189">
        <f t="shared" si="55"/>
        <v>19</v>
      </c>
      <c r="J1189" t="str">
        <f t="shared" si="56"/>
        <v>1-30</v>
      </c>
    </row>
    <row r="1190" spans="1:10" x14ac:dyDescent="0.3">
      <c r="A1190" t="str">
        <f>Table3[[#This Row],[BillID]]</f>
        <v>BILL-01189</v>
      </c>
      <c r="B1190" t="str">
        <f>Table3[[#This Row],[VendorID]]</f>
        <v>VEN-037</v>
      </c>
      <c r="C1190" t="str">
        <f>VLOOKUP(B1190,Vendors!A:B,2,FALSE)</f>
        <v>CreativeSpark Studio</v>
      </c>
      <c r="D1190" s="9">
        <f>Table3[[#This Row],[BillDate]]</f>
        <v>46052</v>
      </c>
      <c r="E1190" s="9">
        <f>Table3[[#This Row],[DueDate]]</f>
        <v>46082</v>
      </c>
      <c r="F1190" s="3">
        <f>Table3[[#This Row],[BillAmount]]</f>
        <v>6527.92</v>
      </c>
      <c r="G1190" s="3">
        <f>SUMIF(Vendor_Payments!C:C,A1190,Vendor_Payments!E:E)</f>
        <v>6527.92</v>
      </c>
      <c r="H1190" s="3">
        <f t="shared" si="54"/>
        <v>0</v>
      </c>
      <c r="I1190">
        <f t="shared" si="55"/>
        <v>9</v>
      </c>
      <c r="J1190" t="str">
        <f t="shared" si="56"/>
        <v>1-30</v>
      </c>
    </row>
    <row r="1191" spans="1:10" x14ac:dyDescent="0.3">
      <c r="A1191" t="str">
        <f>Table3[[#This Row],[BillID]]</f>
        <v>BILL-01190</v>
      </c>
      <c r="B1191" t="str">
        <f>Table3[[#This Row],[VendorID]]</f>
        <v>VEN-030</v>
      </c>
      <c r="C1191" t="str">
        <f>VLOOKUP(B1191,Vendors!A:B,2,FALSE)</f>
        <v>ContentCraft Studio</v>
      </c>
      <c r="D1191" s="9">
        <f>Table3[[#This Row],[BillDate]]</f>
        <v>46032</v>
      </c>
      <c r="E1191" s="9">
        <f>Table3[[#This Row],[DueDate]]</f>
        <v>46062</v>
      </c>
      <c r="F1191" s="3">
        <f>Table3[[#This Row],[BillAmount]]</f>
        <v>5546.26</v>
      </c>
      <c r="G1191" s="3">
        <f>SUMIF(Vendor_Payments!C:C,A1191,Vendor_Payments!E:E)</f>
        <v>5546.26</v>
      </c>
      <c r="H1191" s="3">
        <f t="shared" si="54"/>
        <v>0</v>
      </c>
      <c r="I1191">
        <f t="shared" si="55"/>
        <v>29</v>
      </c>
      <c r="J1191" t="str">
        <f t="shared" si="56"/>
        <v>1-30</v>
      </c>
    </row>
    <row r="1192" spans="1:10" x14ac:dyDescent="0.3">
      <c r="A1192" t="str">
        <f>Table3[[#This Row],[BillID]]</f>
        <v>BILL-01191</v>
      </c>
      <c r="B1192" t="str">
        <f>Table3[[#This Row],[VendorID]]</f>
        <v>VEN-011</v>
      </c>
      <c r="C1192" t="str">
        <f>VLOOKUP(B1192,Vendors!A:B,2,FALSE)</f>
        <v>AWS</v>
      </c>
      <c r="D1192" s="9">
        <f>Table3[[#This Row],[BillDate]]</f>
        <v>45970</v>
      </c>
      <c r="E1192" s="9">
        <f>Table3[[#This Row],[DueDate]]</f>
        <v>46000</v>
      </c>
      <c r="F1192" s="3">
        <f>Table3[[#This Row],[BillAmount]]</f>
        <v>6690.81</v>
      </c>
      <c r="G1192" s="3">
        <f>SUMIF(Vendor_Payments!C:C,A1192,Vendor_Payments!E:E)</f>
        <v>0</v>
      </c>
      <c r="H1192" s="3">
        <f t="shared" si="54"/>
        <v>6690.81</v>
      </c>
      <c r="I1192">
        <f t="shared" si="55"/>
        <v>91</v>
      </c>
      <c r="J1192" t="str">
        <f t="shared" si="56"/>
        <v>90+</v>
      </c>
    </row>
    <row r="1193" spans="1:10" x14ac:dyDescent="0.3">
      <c r="A1193" t="str">
        <f>Table3[[#This Row],[BillID]]</f>
        <v>BILL-01192</v>
      </c>
      <c r="B1193" t="str">
        <f>Table3[[#This Row],[VendorID]]</f>
        <v>VEN-008</v>
      </c>
      <c r="C1193" t="str">
        <f>VLOOKUP(B1193,Vendors!A:B,2,FALSE)</f>
        <v>Ahrefs</v>
      </c>
      <c r="D1193" s="9">
        <f>Table3[[#This Row],[BillDate]]</f>
        <v>46055</v>
      </c>
      <c r="E1193" s="9">
        <f>Table3[[#This Row],[DueDate]]</f>
        <v>46085</v>
      </c>
      <c r="F1193" s="3">
        <f>Table3[[#This Row],[BillAmount]]</f>
        <v>1549.4</v>
      </c>
      <c r="G1193" s="3">
        <f>SUMIF(Vendor_Payments!C:C,A1193,Vendor_Payments!E:E)</f>
        <v>0</v>
      </c>
      <c r="H1193" s="3">
        <f t="shared" si="54"/>
        <v>1549.4</v>
      </c>
      <c r="I1193">
        <f t="shared" si="55"/>
        <v>6</v>
      </c>
      <c r="J1193" t="str">
        <f t="shared" si="56"/>
        <v>1-30</v>
      </c>
    </row>
    <row r="1194" spans="1:10" x14ac:dyDescent="0.3">
      <c r="A1194" t="str">
        <f>Table3[[#This Row],[BillID]]</f>
        <v>BILL-01193</v>
      </c>
      <c r="B1194" t="str">
        <f>Table3[[#This Row],[VendorID]]</f>
        <v>VEN-021</v>
      </c>
      <c r="C1194" t="str">
        <f>VLOOKUP(B1194,Vendors!A:B,2,FALSE)</f>
        <v>Upwork Freelancers</v>
      </c>
      <c r="D1194" s="9">
        <f>Table3[[#This Row],[BillDate]]</f>
        <v>46067</v>
      </c>
      <c r="E1194" s="9">
        <f>Table3[[#This Row],[DueDate]]</f>
        <v>46097</v>
      </c>
      <c r="F1194" s="3">
        <f>Table3[[#This Row],[BillAmount]]</f>
        <v>1595.28</v>
      </c>
      <c r="G1194" s="3">
        <f>SUMIF(Vendor_Payments!C:C,A1194,Vendor_Payments!E:E)</f>
        <v>0</v>
      </c>
      <c r="H1194" s="3">
        <f t="shared" si="54"/>
        <v>1595.28</v>
      </c>
      <c r="I1194">
        <f t="shared" si="55"/>
        <v>-6</v>
      </c>
      <c r="J1194" t="str">
        <f t="shared" si="56"/>
        <v>Current</v>
      </c>
    </row>
    <row r="1195" spans="1:10" x14ac:dyDescent="0.3">
      <c r="A1195" t="str">
        <f>Table3[[#This Row],[BillID]]</f>
        <v>BILL-01194</v>
      </c>
      <c r="B1195" t="str">
        <f>Table3[[#This Row],[VendorID]]</f>
        <v>VEN-025</v>
      </c>
      <c r="C1195" t="str">
        <f>VLOOKUP(B1195,Vendors!A:B,2,FALSE)</f>
        <v>Digital Growth Consultants</v>
      </c>
      <c r="D1195" s="9">
        <f>Table3[[#This Row],[BillDate]]</f>
        <v>46019</v>
      </c>
      <c r="E1195" s="9">
        <f>Table3[[#This Row],[DueDate]]</f>
        <v>46049</v>
      </c>
      <c r="F1195" s="3">
        <f>Table3[[#This Row],[BillAmount]]</f>
        <v>2030.2</v>
      </c>
      <c r="G1195" s="3">
        <f>SUMIF(Vendor_Payments!C:C,A1195,Vendor_Payments!E:E)</f>
        <v>0</v>
      </c>
      <c r="H1195" s="3">
        <f t="shared" si="54"/>
        <v>2030.2</v>
      </c>
      <c r="I1195">
        <f t="shared" si="55"/>
        <v>42</v>
      </c>
      <c r="J1195" t="str">
        <f t="shared" si="56"/>
        <v>31-60</v>
      </c>
    </row>
    <row r="1196" spans="1:10" x14ac:dyDescent="0.3">
      <c r="A1196" t="str">
        <f>Table3[[#This Row],[BillID]]</f>
        <v>BILL-01195</v>
      </c>
      <c r="B1196" t="str">
        <f>Table3[[#This Row],[VendorID]]</f>
        <v>VEN-029</v>
      </c>
      <c r="C1196" t="str">
        <f>VLOOKUP(B1196,Vendors!A:B,2,FALSE)</f>
        <v>BrightSEO Agency</v>
      </c>
      <c r="D1196" s="9">
        <f>Table3[[#This Row],[BillDate]]</f>
        <v>46032</v>
      </c>
      <c r="E1196" s="9">
        <f>Table3[[#This Row],[DueDate]]</f>
        <v>46062</v>
      </c>
      <c r="F1196" s="3">
        <f>Table3[[#This Row],[BillAmount]]</f>
        <v>6425.88</v>
      </c>
      <c r="G1196" s="3">
        <f>SUMIF(Vendor_Payments!C:C,A1196,Vendor_Payments!E:E)</f>
        <v>6425.88</v>
      </c>
      <c r="H1196" s="3">
        <f t="shared" si="54"/>
        <v>0</v>
      </c>
      <c r="I1196">
        <f t="shared" si="55"/>
        <v>29</v>
      </c>
      <c r="J1196" t="str">
        <f t="shared" si="56"/>
        <v>1-30</v>
      </c>
    </row>
    <row r="1197" spans="1:10" x14ac:dyDescent="0.3">
      <c r="A1197" t="str">
        <f>Table3[[#This Row],[BillID]]</f>
        <v>BILL-01196</v>
      </c>
      <c r="B1197" t="str">
        <f>Table3[[#This Row],[VendorID]]</f>
        <v>VEN-018</v>
      </c>
      <c r="C1197" t="str">
        <f>VLOOKUP(B1197,Vendors!A:B,2,FALSE)</f>
        <v>Cloudflare</v>
      </c>
      <c r="D1197" s="9">
        <f>Table3[[#This Row],[BillDate]]</f>
        <v>46045</v>
      </c>
      <c r="E1197" s="9">
        <f>Table3[[#This Row],[DueDate]]</f>
        <v>46075</v>
      </c>
      <c r="F1197" s="3">
        <f>Table3[[#This Row],[BillAmount]]</f>
        <v>1673.04</v>
      </c>
      <c r="G1197" s="3">
        <f>SUMIF(Vendor_Payments!C:C,A1197,Vendor_Payments!E:E)</f>
        <v>1673.04</v>
      </c>
      <c r="H1197" s="3">
        <f t="shared" si="54"/>
        <v>0</v>
      </c>
      <c r="I1197">
        <f t="shared" si="55"/>
        <v>16</v>
      </c>
      <c r="J1197" t="str">
        <f t="shared" si="56"/>
        <v>1-30</v>
      </c>
    </row>
    <row r="1198" spans="1:10" x14ac:dyDescent="0.3">
      <c r="A1198" t="str">
        <f>Table3[[#This Row],[BillID]]</f>
        <v>BILL-01197</v>
      </c>
      <c r="B1198" t="str">
        <f>Table3[[#This Row],[VendorID]]</f>
        <v>VEN-014</v>
      </c>
      <c r="C1198" t="str">
        <f>VLOOKUP(B1198,Vendors!A:B,2,FALSE)</f>
        <v>Figma</v>
      </c>
      <c r="D1198" s="9">
        <f>Table3[[#This Row],[BillDate]]</f>
        <v>46051</v>
      </c>
      <c r="E1198" s="9">
        <f>Table3[[#This Row],[DueDate]]</f>
        <v>46081</v>
      </c>
      <c r="F1198" s="3">
        <f>Table3[[#This Row],[BillAmount]]</f>
        <v>6308.38</v>
      </c>
      <c r="G1198" s="3">
        <f>SUMIF(Vendor_Payments!C:C,A1198,Vendor_Payments!E:E)</f>
        <v>0</v>
      </c>
      <c r="H1198" s="3">
        <f t="shared" si="54"/>
        <v>6308.38</v>
      </c>
      <c r="I1198">
        <f t="shared" si="55"/>
        <v>10</v>
      </c>
      <c r="J1198" t="str">
        <f t="shared" si="56"/>
        <v>1-30</v>
      </c>
    </row>
    <row r="1199" spans="1:10" x14ac:dyDescent="0.3">
      <c r="A1199" t="str">
        <f>Table3[[#This Row],[BillID]]</f>
        <v>BILL-01198</v>
      </c>
      <c r="B1199" t="str">
        <f>Table3[[#This Row],[VendorID]]</f>
        <v>VEN-031</v>
      </c>
      <c r="C1199" t="str">
        <f>VLOOKUP(B1199,Vendors!A:B,2,FALSE)</f>
        <v>DataInsight Analytics</v>
      </c>
      <c r="D1199" s="9">
        <f>Table3[[#This Row],[BillDate]]</f>
        <v>45967</v>
      </c>
      <c r="E1199" s="9">
        <f>Table3[[#This Row],[DueDate]]</f>
        <v>45997</v>
      </c>
      <c r="F1199" s="3">
        <f>Table3[[#This Row],[BillAmount]]</f>
        <v>6062.35</v>
      </c>
      <c r="G1199" s="3">
        <f>SUMIF(Vendor_Payments!C:C,A1199,Vendor_Payments!E:E)</f>
        <v>6062.35</v>
      </c>
      <c r="H1199" s="3">
        <f t="shared" si="54"/>
        <v>0</v>
      </c>
      <c r="I1199">
        <f t="shared" si="55"/>
        <v>94</v>
      </c>
      <c r="J1199" t="str">
        <f t="shared" si="56"/>
        <v>90+</v>
      </c>
    </row>
    <row r="1200" spans="1:10" x14ac:dyDescent="0.3">
      <c r="A1200" t="str">
        <f>Table3[[#This Row],[BillID]]</f>
        <v>BILL-01199</v>
      </c>
      <c r="B1200" t="str">
        <f>Table3[[#This Row],[VendorID]]</f>
        <v>VEN-007</v>
      </c>
      <c r="C1200" t="str">
        <f>VLOOKUP(B1200,Vendors!A:B,2,FALSE)</f>
        <v>Mailchimp</v>
      </c>
      <c r="D1200" s="9">
        <f>Table3[[#This Row],[BillDate]]</f>
        <v>45965</v>
      </c>
      <c r="E1200" s="9">
        <f>Table3[[#This Row],[DueDate]]</f>
        <v>45995</v>
      </c>
      <c r="F1200" s="3">
        <f>Table3[[#This Row],[BillAmount]]</f>
        <v>5495.83</v>
      </c>
      <c r="G1200" s="3">
        <f>SUMIF(Vendor_Payments!C:C,A1200,Vendor_Payments!E:E)</f>
        <v>0</v>
      </c>
      <c r="H1200" s="3">
        <f t="shared" si="54"/>
        <v>5495.83</v>
      </c>
      <c r="I1200">
        <f t="shared" si="55"/>
        <v>96</v>
      </c>
      <c r="J1200" t="str">
        <f t="shared" si="56"/>
        <v>90+</v>
      </c>
    </row>
    <row r="1201" spans="1:10" x14ac:dyDescent="0.3">
      <c r="A1201" t="str">
        <f>Table3[[#This Row],[BillID]]</f>
        <v>BILL-01200</v>
      </c>
      <c r="B1201" t="str">
        <f>Table3[[#This Row],[VendorID]]</f>
        <v>VEN-028</v>
      </c>
      <c r="C1201" t="str">
        <f>VLOOKUP(B1201,Vendors!A:B,2,FALSE)</f>
        <v>MarketEdge Consulting</v>
      </c>
      <c r="D1201" s="9">
        <f>Table3[[#This Row],[BillDate]]</f>
        <v>46048</v>
      </c>
      <c r="E1201" s="9">
        <f>Table3[[#This Row],[DueDate]]</f>
        <v>46078</v>
      </c>
      <c r="F1201" s="3">
        <f>Table3[[#This Row],[BillAmount]]</f>
        <v>6594.99</v>
      </c>
      <c r="G1201" s="3">
        <f>SUMIF(Vendor_Payments!C:C,A1201,Vendor_Payments!E:E)</f>
        <v>6594.99</v>
      </c>
      <c r="H1201" s="3">
        <f t="shared" si="54"/>
        <v>0</v>
      </c>
      <c r="I1201">
        <f t="shared" si="55"/>
        <v>13</v>
      </c>
      <c r="J1201" t="str">
        <f t="shared" si="56"/>
        <v>1-30</v>
      </c>
    </row>
    <row r="1202" spans="1:10" x14ac:dyDescent="0.3">
      <c r="A1202" t="str">
        <f>Table3[[#This Row],[BillID]]</f>
        <v>BILL-01201</v>
      </c>
      <c r="B1202" t="str">
        <f>Table3[[#This Row],[VendorID]]</f>
        <v>VEN-031</v>
      </c>
      <c r="C1202" t="str">
        <f>VLOOKUP(B1202,Vendors!A:B,2,FALSE)</f>
        <v>DataInsight Analytics</v>
      </c>
      <c r="D1202" s="9">
        <f>Table3[[#This Row],[BillDate]]</f>
        <v>46007</v>
      </c>
      <c r="E1202" s="9">
        <f>Table3[[#This Row],[DueDate]]</f>
        <v>46037</v>
      </c>
      <c r="F1202" s="3">
        <f>Table3[[#This Row],[BillAmount]]</f>
        <v>1471.69</v>
      </c>
      <c r="G1202" s="3">
        <f>SUMIF(Vendor_Payments!C:C,A1202,Vendor_Payments!E:E)</f>
        <v>1471.69</v>
      </c>
      <c r="H1202" s="3">
        <f t="shared" si="54"/>
        <v>0</v>
      </c>
      <c r="I1202">
        <f t="shared" si="55"/>
        <v>54</v>
      </c>
      <c r="J1202" t="str">
        <f t="shared" si="56"/>
        <v>31-60</v>
      </c>
    </row>
    <row r="1203" spans="1:10" x14ac:dyDescent="0.3">
      <c r="A1203" t="str">
        <f>Table3[[#This Row],[BillID]]</f>
        <v>BILL-01202</v>
      </c>
      <c r="B1203" t="str">
        <f>Table3[[#This Row],[VendorID]]</f>
        <v>VEN-023</v>
      </c>
      <c r="C1203" t="str">
        <f>VLOOKUP(B1203,Vendors!A:B,2,FALSE)</f>
        <v>Fiverr Pro</v>
      </c>
      <c r="D1203" s="9">
        <f>Table3[[#This Row],[BillDate]]</f>
        <v>45993</v>
      </c>
      <c r="E1203" s="9">
        <f>Table3[[#This Row],[DueDate]]</f>
        <v>46023</v>
      </c>
      <c r="F1203" s="3">
        <f>Table3[[#This Row],[BillAmount]]</f>
        <v>5585.66</v>
      </c>
      <c r="G1203" s="3">
        <f>SUMIF(Vendor_Payments!C:C,A1203,Vendor_Payments!E:E)</f>
        <v>5585.66</v>
      </c>
      <c r="H1203" s="3">
        <f t="shared" si="54"/>
        <v>0</v>
      </c>
      <c r="I1203">
        <f t="shared" si="55"/>
        <v>68</v>
      </c>
      <c r="J1203" t="str">
        <f t="shared" si="56"/>
        <v>61-90</v>
      </c>
    </row>
    <row r="1204" spans="1:10" x14ac:dyDescent="0.3">
      <c r="A1204" t="str">
        <f>Table3[[#This Row],[BillID]]</f>
        <v>BILL-01203</v>
      </c>
      <c r="B1204" t="str">
        <f>Table3[[#This Row],[VendorID]]</f>
        <v>VEN-019</v>
      </c>
      <c r="C1204" t="str">
        <f>VLOOKUP(B1204,Vendors!A:B,2,FALSE)</f>
        <v>Notion</v>
      </c>
      <c r="D1204" s="9">
        <f>Table3[[#This Row],[BillDate]]</f>
        <v>46033</v>
      </c>
      <c r="E1204" s="9">
        <f>Table3[[#This Row],[DueDate]]</f>
        <v>46063</v>
      </c>
      <c r="F1204" s="3">
        <f>Table3[[#This Row],[BillAmount]]</f>
        <v>1052.29</v>
      </c>
      <c r="G1204" s="3">
        <f>SUMIF(Vendor_Payments!C:C,A1204,Vendor_Payments!E:E)</f>
        <v>1052.29</v>
      </c>
      <c r="H1204" s="3">
        <f t="shared" si="54"/>
        <v>0</v>
      </c>
      <c r="I1204">
        <f t="shared" si="55"/>
        <v>28</v>
      </c>
      <c r="J1204" t="str">
        <f t="shared" si="56"/>
        <v>1-30</v>
      </c>
    </row>
    <row r="1205" spans="1:10" x14ac:dyDescent="0.3">
      <c r="A1205" t="str">
        <f>Table3[[#This Row],[BillID]]</f>
        <v>BILL-01204</v>
      </c>
      <c r="B1205" t="str">
        <f>Table3[[#This Row],[VendorID]]</f>
        <v>VEN-034</v>
      </c>
      <c r="C1205" t="str">
        <f>VLOOKUP(B1205,Vendors!A:B,2,FALSE)</f>
        <v>SocialBoost Agency</v>
      </c>
      <c r="D1205" s="9">
        <f>Table3[[#This Row],[BillDate]]</f>
        <v>46011</v>
      </c>
      <c r="E1205" s="9">
        <f>Table3[[#This Row],[DueDate]]</f>
        <v>46041</v>
      </c>
      <c r="F1205" s="3">
        <f>Table3[[#This Row],[BillAmount]]</f>
        <v>6099.11</v>
      </c>
      <c r="G1205" s="3">
        <f>SUMIF(Vendor_Payments!C:C,A1205,Vendor_Payments!E:E)</f>
        <v>6099.11</v>
      </c>
      <c r="H1205" s="3">
        <f t="shared" si="54"/>
        <v>0</v>
      </c>
      <c r="I1205">
        <f t="shared" si="55"/>
        <v>50</v>
      </c>
      <c r="J1205" t="str">
        <f t="shared" si="56"/>
        <v>31-60</v>
      </c>
    </row>
    <row r="1206" spans="1:10" x14ac:dyDescent="0.3">
      <c r="A1206" t="str">
        <f>Table3[[#This Row],[BillID]]</f>
        <v>BILL-01205</v>
      </c>
      <c r="B1206" t="str">
        <f>Table3[[#This Row],[VendorID]]</f>
        <v>VEN-002</v>
      </c>
      <c r="C1206" t="str">
        <f>VLOOKUP(B1206,Vendors!A:B,2,FALSE)</f>
        <v>Meta Ads</v>
      </c>
      <c r="D1206" s="9">
        <f>Table3[[#This Row],[BillDate]]</f>
        <v>46023</v>
      </c>
      <c r="E1206" s="9">
        <f>Table3[[#This Row],[DueDate]]</f>
        <v>46053</v>
      </c>
      <c r="F1206" s="3">
        <f>Table3[[#This Row],[BillAmount]]</f>
        <v>908.29</v>
      </c>
      <c r="G1206" s="3">
        <f>SUMIF(Vendor_Payments!C:C,A1206,Vendor_Payments!E:E)</f>
        <v>0</v>
      </c>
      <c r="H1206" s="3">
        <f t="shared" si="54"/>
        <v>908.29</v>
      </c>
      <c r="I1206">
        <f t="shared" si="55"/>
        <v>38</v>
      </c>
      <c r="J1206" t="str">
        <f t="shared" si="56"/>
        <v>31-60</v>
      </c>
    </row>
    <row r="1207" spans="1:10" x14ac:dyDescent="0.3">
      <c r="A1207" t="str">
        <f>Table3[[#This Row],[BillID]]</f>
        <v>BILL-01206</v>
      </c>
      <c r="B1207" t="str">
        <f>Table3[[#This Row],[VendorID]]</f>
        <v>VEN-019</v>
      </c>
      <c r="C1207" t="str">
        <f>VLOOKUP(B1207,Vendors!A:B,2,FALSE)</f>
        <v>Notion</v>
      </c>
      <c r="D1207" s="9">
        <f>Table3[[#This Row],[BillDate]]</f>
        <v>46062</v>
      </c>
      <c r="E1207" s="9">
        <f>Table3[[#This Row],[DueDate]]</f>
        <v>46092</v>
      </c>
      <c r="F1207" s="3">
        <f>Table3[[#This Row],[BillAmount]]</f>
        <v>6658.85</v>
      </c>
      <c r="G1207" s="3">
        <f>SUMIF(Vendor_Payments!C:C,A1207,Vendor_Payments!E:E)</f>
        <v>0</v>
      </c>
      <c r="H1207" s="3">
        <f t="shared" si="54"/>
        <v>6658.85</v>
      </c>
      <c r="I1207">
        <f t="shared" si="55"/>
        <v>-1</v>
      </c>
      <c r="J1207" t="str">
        <f t="shared" si="56"/>
        <v>Current</v>
      </c>
    </row>
    <row r="1208" spans="1:10" x14ac:dyDescent="0.3">
      <c r="A1208" t="str">
        <f>Table3[[#This Row],[BillID]]</f>
        <v>BILL-01207</v>
      </c>
      <c r="B1208" t="str">
        <f>Table3[[#This Row],[VendorID]]</f>
        <v>VEN-024</v>
      </c>
      <c r="C1208" t="str">
        <f>VLOOKUP(B1208,Vendors!A:B,2,FALSE)</f>
        <v>Growth Strategy Group</v>
      </c>
      <c r="D1208" s="9">
        <f>Table3[[#This Row],[BillDate]]</f>
        <v>46017</v>
      </c>
      <c r="E1208" s="9">
        <f>Table3[[#This Row],[DueDate]]</f>
        <v>46047</v>
      </c>
      <c r="F1208" s="3">
        <f>Table3[[#This Row],[BillAmount]]</f>
        <v>2016.92</v>
      </c>
      <c r="G1208" s="3">
        <f>SUMIF(Vendor_Payments!C:C,A1208,Vendor_Payments!E:E)</f>
        <v>2016.92</v>
      </c>
      <c r="H1208" s="3">
        <f t="shared" si="54"/>
        <v>0</v>
      </c>
      <c r="I1208">
        <f t="shared" si="55"/>
        <v>44</v>
      </c>
      <c r="J1208" t="str">
        <f t="shared" si="56"/>
        <v>31-60</v>
      </c>
    </row>
    <row r="1209" spans="1:10" x14ac:dyDescent="0.3">
      <c r="A1209" t="str">
        <f>Table3[[#This Row],[BillID]]</f>
        <v>BILL-01208</v>
      </c>
      <c r="B1209" t="str">
        <f>Table3[[#This Row],[VendorID]]</f>
        <v>VEN-012</v>
      </c>
      <c r="C1209" t="str">
        <f>VLOOKUP(B1209,Vendors!A:B,2,FALSE)</f>
        <v>Google Cloud</v>
      </c>
      <c r="D1209" s="9">
        <f>Table3[[#This Row],[BillDate]]</f>
        <v>46089</v>
      </c>
      <c r="E1209" s="9">
        <f>Table3[[#This Row],[DueDate]]</f>
        <v>46119</v>
      </c>
      <c r="F1209" s="3">
        <f>Table3[[#This Row],[BillAmount]]</f>
        <v>1588.54</v>
      </c>
      <c r="G1209" s="3">
        <f>SUMIF(Vendor_Payments!C:C,A1209,Vendor_Payments!E:E)</f>
        <v>1588.54</v>
      </c>
      <c r="H1209" s="3">
        <f t="shared" si="54"/>
        <v>0</v>
      </c>
      <c r="I1209">
        <f t="shared" si="55"/>
        <v>-28</v>
      </c>
      <c r="J1209" t="str">
        <f t="shared" si="56"/>
        <v>Current</v>
      </c>
    </row>
    <row r="1210" spans="1:10" x14ac:dyDescent="0.3">
      <c r="A1210" t="str">
        <f>Table3[[#This Row],[BillID]]</f>
        <v>BILL-01209</v>
      </c>
      <c r="B1210" t="str">
        <f>Table3[[#This Row],[VendorID]]</f>
        <v>VEN-016</v>
      </c>
      <c r="C1210" t="str">
        <f>VLOOKUP(B1210,Vendors!A:B,2,FALSE)</f>
        <v>Stripe</v>
      </c>
      <c r="D1210" s="9">
        <f>Table3[[#This Row],[BillDate]]</f>
        <v>46003</v>
      </c>
      <c r="E1210" s="9">
        <f>Table3[[#This Row],[DueDate]]</f>
        <v>46033</v>
      </c>
      <c r="F1210" s="3">
        <f>Table3[[#This Row],[BillAmount]]</f>
        <v>6901.26</v>
      </c>
      <c r="G1210" s="3">
        <f>SUMIF(Vendor_Payments!C:C,A1210,Vendor_Payments!E:E)</f>
        <v>0</v>
      </c>
      <c r="H1210" s="3">
        <f t="shared" si="54"/>
        <v>6901.26</v>
      </c>
      <c r="I1210">
        <f t="shared" si="55"/>
        <v>58</v>
      </c>
      <c r="J1210" t="str">
        <f t="shared" si="56"/>
        <v>31-60</v>
      </c>
    </row>
    <row r="1211" spans="1:10" x14ac:dyDescent="0.3">
      <c r="A1211" t="str">
        <f>Table3[[#This Row],[BillID]]</f>
        <v>BILL-01210</v>
      </c>
      <c r="B1211" t="str">
        <f>Table3[[#This Row],[VendorID]]</f>
        <v>VEN-024</v>
      </c>
      <c r="C1211" t="str">
        <f>VLOOKUP(B1211,Vendors!A:B,2,FALSE)</f>
        <v>Growth Strategy Group</v>
      </c>
      <c r="D1211" s="9">
        <f>Table3[[#This Row],[BillDate]]</f>
        <v>45975</v>
      </c>
      <c r="E1211" s="9">
        <f>Table3[[#This Row],[DueDate]]</f>
        <v>46005</v>
      </c>
      <c r="F1211" s="3">
        <f>Table3[[#This Row],[BillAmount]]</f>
        <v>5098.33</v>
      </c>
      <c r="G1211" s="3">
        <f>SUMIF(Vendor_Payments!C:C,A1211,Vendor_Payments!E:E)</f>
        <v>5098.33</v>
      </c>
      <c r="H1211" s="3">
        <f t="shared" si="54"/>
        <v>0</v>
      </c>
      <c r="I1211">
        <f t="shared" si="55"/>
        <v>86</v>
      </c>
      <c r="J1211" t="str">
        <f t="shared" si="56"/>
        <v>61-90</v>
      </c>
    </row>
    <row r="1212" spans="1:10" x14ac:dyDescent="0.3">
      <c r="A1212" t="str">
        <f>Table3[[#This Row],[BillID]]</f>
        <v>BILL-01211</v>
      </c>
      <c r="B1212" t="str">
        <f>Table3[[#This Row],[VendorID]]</f>
        <v>VEN-004</v>
      </c>
      <c r="C1212" t="str">
        <f>VLOOKUP(B1212,Vendors!A:B,2,FALSE)</f>
        <v>LinkedIn Ads</v>
      </c>
      <c r="D1212" s="9">
        <f>Table3[[#This Row],[BillDate]]</f>
        <v>46089</v>
      </c>
      <c r="E1212" s="9">
        <f>Table3[[#This Row],[DueDate]]</f>
        <v>46119</v>
      </c>
      <c r="F1212" s="3">
        <f>Table3[[#This Row],[BillAmount]]</f>
        <v>5526.03</v>
      </c>
      <c r="G1212" s="3">
        <f>SUMIF(Vendor_Payments!C:C,A1212,Vendor_Payments!E:E)</f>
        <v>5526.03</v>
      </c>
      <c r="H1212" s="3">
        <f t="shared" si="54"/>
        <v>0</v>
      </c>
      <c r="I1212">
        <f t="shared" si="55"/>
        <v>-28</v>
      </c>
      <c r="J1212" t="str">
        <f t="shared" si="56"/>
        <v>Current</v>
      </c>
    </row>
    <row r="1213" spans="1:10" x14ac:dyDescent="0.3">
      <c r="A1213" t="str">
        <f>Table3[[#This Row],[BillID]]</f>
        <v>BILL-01212</v>
      </c>
      <c r="B1213" t="str">
        <f>Table3[[#This Row],[VendorID]]</f>
        <v>VEN-038</v>
      </c>
      <c r="C1213" t="str">
        <f>VLOOKUP(B1213,Vendors!A:B,2,FALSE)</f>
        <v>Insight Marketing Partners</v>
      </c>
      <c r="D1213" s="9">
        <f>Table3[[#This Row],[BillDate]]</f>
        <v>46073</v>
      </c>
      <c r="E1213" s="9">
        <f>Table3[[#This Row],[DueDate]]</f>
        <v>46103</v>
      </c>
      <c r="F1213" s="3">
        <f>Table3[[#This Row],[BillAmount]]</f>
        <v>1508.59</v>
      </c>
      <c r="G1213" s="3">
        <f>SUMIF(Vendor_Payments!C:C,A1213,Vendor_Payments!E:E)</f>
        <v>0</v>
      </c>
      <c r="H1213" s="3">
        <f t="shared" si="54"/>
        <v>1508.59</v>
      </c>
      <c r="I1213">
        <f t="shared" si="55"/>
        <v>-12</v>
      </c>
      <c r="J1213" t="str">
        <f t="shared" si="56"/>
        <v>Current</v>
      </c>
    </row>
    <row r="1214" spans="1:10" x14ac:dyDescent="0.3">
      <c r="A1214" t="str">
        <f>Table3[[#This Row],[BillID]]</f>
        <v>BILL-01213</v>
      </c>
      <c r="B1214" t="str">
        <f>Table3[[#This Row],[VendorID]]</f>
        <v>VEN-007</v>
      </c>
      <c r="C1214" t="str">
        <f>VLOOKUP(B1214,Vendors!A:B,2,FALSE)</f>
        <v>Mailchimp</v>
      </c>
      <c r="D1214" s="9">
        <f>Table3[[#This Row],[BillDate]]</f>
        <v>46017</v>
      </c>
      <c r="E1214" s="9">
        <f>Table3[[#This Row],[DueDate]]</f>
        <v>46047</v>
      </c>
      <c r="F1214" s="3">
        <f>Table3[[#This Row],[BillAmount]]</f>
        <v>1071.9100000000001</v>
      </c>
      <c r="G1214" s="3">
        <f>SUMIF(Vendor_Payments!C:C,A1214,Vendor_Payments!E:E)</f>
        <v>1071.9100000000001</v>
      </c>
      <c r="H1214" s="3">
        <f t="shared" si="54"/>
        <v>0</v>
      </c>
      <c r="I1214">
        <f t="shared" si="55"/>
        <v>44</v>
      </c>
      <c r="J1214" t="str">
        <f t="shared" si="56"/>
        <v>31-60</v>
      </c>
    </row>
    <row r="1215" spans="1:10" x14ac:dyDescent="0.3">
      <c r="A1215" t="str">
        <f>Table3[[#This Row],[BillID]]</f>
        <v>BILL-01214</v>
      </c>
      <c r="B1215" t="str">
        <f>Table3[[#This Row],[VendorID]]</f>
        <v>VEN-027</v>
      </c>
      <c r="C1215" t="str">
        <f>VLOOKUP(B1215,Vendors!A:B,2,FALSE)</f>
        <v>DevCraft Agency</v>
      </c>
      <c r="D1215" s="9">
        <f>Table3[[#This Row],[BillDate]]</f>
        <v>45973</v>
      </c>
      <c r="E1215" s="9">
        <f>Table3[[#This Row],[DueDate]]</f>
        <v>46003</v>
      </c>
      <c r="F1215" s="3">
        <f>Table3[[#This Row],[BillAmount]]</f>
        <v>855.26</v>
      </c>
      <c r="G1215" s="3">
        <f>SUMIF(Vendor_Payments!C:C,A1215,Vendor_Payments!E:E)</f>
        <v>855.26</v>
      </c>
      <c r="H1215" s="3">
        <f t="shared" si="54"/>
        <v>0</v>
      </c>
      <c r="I1215">
        <f t="shared" si="55"/>
        <v>88</v>
      </c>
      <c r="J1215" t="str">
        <f t="shared" si="56"/>
        <v>61-90</v>
      </c>
    </row>
    <row r="1216" spans="1:10" x14ac:dyDescent="0.3">
      <c r="A1216" t="str">
        <f>Table3[[#This Row],[BillID]]</f>
        <v>BILL-01215</v>
      </c>
      <c r="B1216" t="str">
        <f>Table3[[#This Row],[VendorID]]</f>
        <v>VEN-023</v>
      </c>
      <c r="C1216" t="str">
        <f>VLOOKUP(B1216,Vendors!A:B,2,FALSE)</f>
        <v>Fiverr Pro</v>
      </c>
      <c r="D1216" s="9">
        <f>Table3[[#This Row],[BillDate]]</f>
        <v>46012</v>
      </c>
      <c r="E1216" s="9">
        <f>Table3[[#This Row],[DueDate]]</f>
        <v>46042</v>
      </c>
      <c r="F1216" s="3">
        <f>Table3[[#This Row],[BillAmount]]</f>
        <v>4275.26</v>
      </c>
      <c r="G1216" s="3">
        <f>SUMIF(Vendor_Payments!C:C,A1216,Vendor_Payments!E:E)</f>
        <v>0</v>
      </c>
      <c r="H1216" s="3">
        <f t="shared" si="54"/>
        <v>4275.26</v>
      </c>
      <c r="I1216">
        <f t="shared" si="55"/>
        <v>49</v>
      </c>
      <c r="J1216" t="str">
        <f t="shared" si="56"/>
        <v>31-60</v>
      </c>
    </row>
    <row r="1217" spans="1:10" x14ac:dyDescent="0.3">
      <c r="A1217" t="str">
        <f>Table3[[#This Row],[BillID]]</f>
        <v>BILL-01216</v>
      </c>
      <c r="B1217" t="str">
        <f>Table3[[#This Row],[VendorID]]</f>
        <v>VEN-030</v>
      </c>
      <c r="C1217" t="str">
        <f>VLOOKUP(B1217,Vendors!A:B,2,FALSE)</f>
        <v>ContentCraft Studio</v>
      </c>
      <c r="D1217" s="9">
        <f>Table3[[#This Row],[BillDate]]</f>
        <v>46016</v>
      </c>
      <c r="E1217" s="9">
        <f>Table3[[#This Row],[DueDate]]</f>
        <v>46046</v>
      </c>
      <c r="F1217" s="3">
        <f>Table3[[#This Row],[BillAmount]]</f>
        <v>6440.36</v>
      </c>
      <c r="G1217" s="3">
        <f>SUMIF(Vendor_Payments!C:C,A1217,Vendor_Payments!E:E)</f>
        <v>6440.36</v>
      </c>
      <c r="H1217" s="3">
        <f t="shared" si="54"/>
        <v>0</v>
      </c>
      <c r="I1217">
        <f t="shared" si="55"/>
        <v>45</v>
      </c>
      <c r="J1217" t="str">
        <f t="shared" si="56"/>
        <v>31-60</v>
      </c>
    </row>
    <row r="1218" spans="1:10" x14ac:dyDescent="0.3">
      <c r="A1218" t="str">
        <f>Table3[[#This Row],[BillID]]</f>
        <v>BILL-01217</v>
      </c>
      <c r="B1218" t="str">
        <f>Table3[[#This Row],[VendorID]]</f>
        <v>VEN-014</v>
      </c>
      <c r="C1218" t="str">
        <f>VLOOKUP(B1218,Vendors!A:B,2,FALSE)</f>
        <v>Figma</v>
      </c>
      <c r="D1218" s="9">
        <f>Table3[[#This Row],[BillDate]]</f>
        <v>46022</v>
      </c>
      <c r="E1218" s="9">
        <f>Table3[[#This Row],[DueDate]]</f>
        <v>46052</v>
      </c>
      <c r="F1218" s="3">
        <f>Table3[[#This Row],[BillAmount]]</f>
        <v>2168.0700000000002</v>
      </c>
      <c r="G1218" s="3">
        <f>SUMIF(Vendor_Payments!C:C,A1218,Vendor_Payments!E:E)</f>
        <v>2168.0700000000002</v>
      </c>
      <c r="H1218" s="3">
        <f t="shared" si="54"/>
        <v>0</v>
      </c>
      <c r="I1218">
        <f t="shared" si="55"/>
        <v>39</v>
      </c>
      <c r="J1218" t="str">
        <f t="shared" si="56"/>
        <v>31-60</v>
      </c>
    </row>
    <row r="1219" spans="1:10" x14ac:dyDescent="0.3">
      <c r="A1219" t="str">
        <f>Table3[[#This Row],[BillID]]</f>
        <v>BILL-01218</v>
      </c>
      <c r="B1219" t="str">
        <f>Table3[[#This Row],[VendorID]]</f>
        <v>VEN-014</v>
      </c>
      <c r="C1219" t="str">
        <f>VLOOKUP(B1219,Vendors!A:B,2,FALSE)</f>
        <v>Figma</v>
      </c>
      <c r="D1219" s="9">
        <f>Table3[[#This Row],[BillDate]]</f>
        <v>46006</v>
      </c>
      <c r="E1219" s="9">
        <f>Table3[[#This Row],[DueDate]]</f>
        <v>46036</v>
      </c>
      <c r="F1219" s="3">
        <f>Table3[[#This Row],[BillAmount]]</f>
        <v>3020.57</v>
      </c>
      <c r="G1219" s="3">
        <f>SUMIF(Vendor_Payments!C:C,A1219,Vendor_Payments!E:E)</f>
        <v>0</v>
      </c>
      <c r="H1219" s="3">
        <f t="shared" ref="H1219:H1282" si="57">F1219-G1219</f>
        <v>3020.57</v>
      </c>
      <c r="I1219">
        <f t="shared" ref="I1219:I1282" si="58">$L$1-E1219</f>
        <v>55</v>
      </c>
      <c r="J1219" t="str">
        <f t="shared" ref="J1219:J1282" si="59">IF(I1219&lt;=0,"Current",IF(I1219&lt;=30,"1-30",IF(I1219&lt;=60,"31-60",IF(I1219&lt;=90,"61-90","90+"))))</f>
        <v>31-60</v>
      </c>
    </row>
    <row r="1220" spans="1:10" x14ac:dyDescent="0.3">
      <c r="A1220" t="str">
        <f>Table3[[#This Row],[BillID]]</f>
        <v>BILL-01219</v>
      </c>
      <c r="B1220" t="str">
        <f>Table3[[#This Row],[VendorID]]</f>
        <v>VEN-007</v>
      </c>
      <c r="C1220" t="str">
        <f>VLOOKUP(B1220,Vendors!A:B,2,FALSE)</f>
        <v>Mailchimp</v>
      </c>
      <c r="D1220" s="9">
        <f>Table3[[#This Row],[BillDate]]</f>
        <v>45998</v>
      </c>
      <c r="E1220" s="9">
        <f>Table3[[#This Row],[DueDate]]</f>
        <v>46028</v>
      </c>
      <c r="F1220" s="3">
        <f>Table3[[#This Row],[BillAmount]]</f>
        <v>2558.87</v>
      </c>
      <c r="G1220" s="3">
        <f>SUMIF(Vendor_Payments!C:C,A1220,Vendor_Payments!E:E)</f>
        <v>2558.87</v>
      </c>
      <c r="H1220" s="3">
        <f t="shared" si="57"/>
        <v>0</v>
      </c>
      <c r="I1220">
        <f t="shared" si="58"/>
        <v>63</v>
      </c>
      <c r="J1220" t="str">
        <f t="shared" si="59"/>
        <v>61-90</v>
      </c>
    </row>
    <row r="1221" spans="1:10" x14ac:dyDescent="0.3">
      <c r="A1221" t="str">
        <f>Table3[[#This Row],[BillID]]</f>
        <v>BILL-01220</v>
      </c>
      <c r="B1221" t="str">
        <f>Table3[[#This Row],[VendorID]]</f>
        <v>VEN-017</v>
      </c>
      <c r="C1221" t="str">
        <f>VLOOKUP(B1221,Vendors!A:B,2,FALSE)</f>
        <v>PayPal</v>
      </c>
      <c r="D1221" s="9">
        <f>Table3[[#This Row],[BillDate]]</f>
        <v>46005</v>
      </c>
      <c r="E1221" s="9">
        <f>Table3[[#This Row],[DueDate]]</f>
        <v>46035</v>
      </c>
      <c r="F1221" s="3">
        <f>Table3[[#This Row],[BillAmount]]</f>
        <v>3183.3</v>
      </c>
      <c r="G1221" s="3">
        <f>SUMIF(Vendor_Payments!C:C,A1221,Vendor_Payments!E:E)</f>
        <v>0</v>
      </c>
      <c r="H1221" s="3">
        <f t="shared" si="57"/>
        <v>3183.3</v>
      </c>
      <c r="I1221">
        <f t="shared" si="58"/>
        <v>56</v>
      </c>
      <c r="J1221" t="str">
        <f t="shared" si="59"/>
        <v>31-60</v>
      </c>
    </row>
    <row r="1222" spans="1:10" x14ac:dyDescent="0.3">
      <c r="A1222" t="str">
        <f>Table3[[#This Row],[BillID]]</f>
        <v>BILL-01221</v>
      </c>
      <c r="B1222" t="str">
        <f>Table3[[#This Row],[VendorID]]</f>
        <v>VEN-027</v>
      </c>
      <c r="C1222" t="str">
        <f>VLOOKUP(B1222,Vendors!A:B,2,FALSE)</f>
        <v>DevCraft Agency</v>
      </c>
      <c r="D1222" s="9">
        <f>Table3[[#This Row],[BillDate]]</f>
        <v>46077</v>
      </c>
      <c r="E1222" s="9">
        <f>Table3[[#This Row],[DueDate]]</f>
        <v>46107</v>
      </c>
      <c r="F1222" s="3">
        <f>Table3[[#This Row],[BillAmount]]</f>
        <v>6906.7</v>
      </c>
      <c r="G1222" s="3">
        <f>SUMIF(Vendor_Payments!C:C,A1222,Vendor_Payments!E:E)</f>
        <v>6906.7</v>
      </c>
      <c r="H1222" s="3">
        <f t="shared" si="57"/>
        <v>0</v>
      </c>
      <c r="I1222">
        <f t="shared" si="58"/>
        <v>-16</v>
      </c>
      <c r="J1222" t="str">
        <f t="shared" si="59"/>
        <v>Current</v>
      </c>
    </row>
    <row r="1223" spans="1:10" x14ac:dyDescent="0.3">
      <c r="A1223" t="str">
        <f>Table3[[#This Row],[BillID]]</f>
        <v>BILL-01222</v>
      </c>
      <c r="B1223" t="str">
        <f>Table3[[#This Row],[VendorID]]</f>
        <v>VEN-016</v>
      </c>
      <c r="C1223" t="str">
        <f>VLOOKUP(B1223,Vendors!A:B,2,FALSE)</f>
        <v>Stripe</v>
      </c>
      <c r="D1223" s="9">
        <f>Table3[[#This Row],[BillDate]]</f>
        <v>46077</v>
      </c>
      <c r="E1223" s="9">
        <f>Table3[[#This Row],[DueDate]]</f>
        <v>46107</v>
      </c>
      <c r="F1223" s="3">
        <f>Table3[[#This Row],[BillAmount]]</f>
        <v>5836.34</v>
      </c>
      <c r="G1223" s="3">
        <f>SUMIF(Vendor_Payments!C:C,A1223,Vendor_Payments!E:E)</f>
        <v>5836.34</v>
      </c>
      <c r="H1223" s="3">
        <f t="shared" si="57"/>
        <v>0</v>
      </c>
      <c r="I1223">
        <f t="shared" si="58"/>
        <v>-16</v>
      </c>
      <c r="J1223" t="str">
        <f t="shared" si="59"/>
        <v>Current</v>
      </c>
    </row>
    <row r="1224" spans="1:10" x14ac:dyDescent="0.3">
      <c r="A1224" t="str">
        <f>Table3[[#This Row],[BillID]]</f>
        <v>BILL-01223</v>
      </c>
      <c r="B1224" t="str">
        <f>Table3[[#This Row],[VendorID]]</f>
        <v>VEN-032</v>
      </c>
      <c r="C1224" t="str">
        <f>VLOOKUP(B1224,Vendors!A:B,2,FALSE)</f>
        <v>Marketing Automation Labs</v>
      </c>
      <c r="D1224" s="9">
        <f>Table3[[#This Row],[BillDate]]</f>
        <v>45969</v>
      </c>
      <c r="E1224" s="9">
        <f>Table3[[#This Row],[DueDate]]</f>
        <v>45999</v>
      </c>
      <c r="F1224" s="3">
        <f>Table3[[#This Row],[BillAmount]]</f>
        <v>5094.57</v>
      </c>
      <c r="G1224" s="3">
        <f>SUMIF(Vendor_Payments!C:C,A1224,Vendor_Payments!E:E)</f>
        <v>0</v>
      </c>
      <c r="H1224" s="3">
        <f t="shared" si="57"/>
        <v>5094.57</v>
      </c>
      <c r="I1224">
        <f t="shared" si="58"/>
        <v>92</v>
      </c>
      <c r="J1224" t="str">
        <f t="shared" si="59"/>
        <v>90+</v>
      </c>
    </row>
    <row r="1225" spans="1:10" x14ac:dyDescent="0.3">
      <c r="A1225" t="str">
        <f>Table3[[#This Row],[BillID]]</f>
        <v>BILL-01224</v>
      </c>
      <c r="B1225" t="str">
        <f>Table3[[#This Row],[VendorID]]</f>
        <v>VEN-024</v>
      </c>
      <c r="C1225" t="str">
        <f>VLOOKUP(B1225,Vendors!A:B,2,FALSE)</f>
        <v>Growth Strategy Group</v>
      </c>
      <c r="D1225" s="9">
        <f>Table3[[#This Row],[BillDate]]</f>
        <v>45964</v>
      </c>
      <c r="E1225" s="9">
        <f>Table3[[#This Row],[DueDate]]</f>
        <v>45994</v>
      </c>
      <c r="F1225" s="3">
        <f>Table3[[#This Row],[BillAmount]]</f>
        <v>1706.77</v>
      </c>
      <c r="G1225" s="3">
        <f>SUMIF(Vendor_Payments!C:C,A1225,Vendor_Payments!E:E)</f>
        <v>1706.77</v>
      </c>
      <c r="H1225" s="3">
        <f t="shared" si="57"/>
        <v>0</v>
      </c>
      <c r="I1225">
        <f t="shared" si="58"/>
        <v>97</v>
      </c>
      <c r="J1225" t="str">
        <f t="shared" si="59"/>
        <v>90+</v>
      </c>
    </row>
    <row r="1226" spans="1:10" x14ac:dyDescent="0.3">
      <c r="A1226" t="str">
        <f>Table3[[#This Row],[BillID]]</f>
        <v>BILL-01225</v>
      </c>
      <c r="B1226" t="str">
        <f>Table3[[#This Row],[VendorID]]</f>
        <v>VEN-035</v>
      </c>
      <c r="C1226" t="str">
        <f>VLOOKUP(B1226,Vendors!A:B,2,FALSE)</f>
        <v>ClickFlow Marketing</v>
      </c>
      <c r="D1226" s="9">
        <f>Table3[[#This Row],[BillDate]]</f>
        <v>46021</v>
      </c>
      <c r="E1226" s="9">
        <f>Table3[[#This Row],[DueDate]]</f>
        <v>46051</v>
      </c>
      <c r="F1226" s="3">
        <f>Table3[[#This Row],[BillAmount]]</f>
        <v>2865.05</v>
      </c>
      <c r="G1226" s="3">
        <f>SUMIF(Vendor_Payments!C:C,A1226,Vendor_Payments!E:E)</f>
        <v>0</v>
      </c>
      <c r="H1226" s="3">
        <f t="shared" si="57"/>
        <v>2865.05</v>
      </c>
      <c r="I1226">
        <f t="shared" si="58"/>
        <v>40</v>
      </c>
      <c r="J1226" t="str">
        <f t="shared" si="59"/>
        <v>31-60</v>
      </c>
    </row>
    <row r="1227" spans="1:10" x14ac:dyDescent="0.3">
      <c r="A1227" t="str">
        <f>Table3[[#This Row],[BillID]]</f>
        <v>BILL-01226</v>
      </c>
      <c r="B1227" t="str">
        <f>Table3[[#This Row],[VendorID]]</f>
        <v>VEN-032</v>
      </c>
      <c r="C1227" t="str">
        <f>VLOOKUP(B1227,Vendors!A:B,2,FALSE)</f>
        <v>Marketing Automation Labs</v>
      </c>
      <c r="D1227" s="9">
        <f>Table3[[#This Row],[BillDate]]</f>
        <v>45978</v>
      </c>
      <c r="E1227" s="9">
        <f>Table3[[#This Row],[DueDate]]</f>
        <v>46008</v>
      </c>
      <c r="F1227" s="3">
        <f>Table3[[#This Row],[BillAmount]]</f>
        <v>4952.83</v>
      </c>
      <c r="G1227" s="3">
        <f>SUMIF(Vendor_Payments!C:C,A1227,Vendor_Payments!E:E)</f>
        <v>4952.83</v>
      </c>
      <c r="H1227" s="3">
        <f t="shared" si="57"/>
        <v>0</v>
      </c>
      <c r="I1227">
        <f t="shared" si="58"/>
        <v>83</v>
      </c>
      <c r="J1227" t="str">
        <f t="shared" si="59"/>
        <v>61-90</v>
      </c>
    </row>
    <row r="1228" spans="1:10" x14ac:dyDescent="0.3">
      <c r="A1228" t="str">
        <f>Table3[[#This Row],[BillID]]</f>
        <v>BILL-01227</v>
      </c>
      <c r="B1228" t="str">
        <f>Table3[[#This Row],[VendorID]]</f>
        <v>VEN-010</v>
      </c>
      <c r="C1228" t="str">
        <f>VLOOKUP(B1228,Vendors!A:B,2,FALSE)</f>
        <v>Adobe Creative Cloud</v>
      </c>
      <c r="D1228" s="9">
        <f>Table3[[#This Row],[BillDate]]</f>
        <v>45963</v>
      </c>
      <c r="E1228" s="9">
        <f>Table3[[#This Row],[DueDate]]</f>
        <v>45993</v>
      </c>
      <c r="F1228" s="3">
        <f>Table3[[#This Row],[BillAmount]]</f>
        <v>928.9</v>
      </c>
      <c r="G1228" s="3">
        <f>SUMIF(Vendor_Payments!C:C,A1228,Vendor_Payments!E:E)</f>
        <v>928.9</v>
      </c>
      <c r="H1228" s="3">
        <f t="shared" si="57"/>
        <v>0</v>
      </c>
      <c r="I1228">
        <f t="shared" si="58"/>
        <v>98</v>
      </c>
      <c r="J1228" t="str">
        <f t="shared" si="59"/>
        <v>90+</v>
      </c>
    </row>
    <row r="1229" spans="1:10" x14ac:dyDescent="0.3">
      <c r="A1229" t="str">
        <f>Table3[[#This Row],[BillID]]</f>
        <v>BILL-01228</v>
      </c>
      <c r="B1229" t="str">
        <f>Table3[[#This Row],[VendorID]]</f>
        <v>VEN-020</v>
      </c>
      <c r="C1229" t="str">
        <f>VLOOKUP(B1229,Vendors!A:B,2,FALSE)</f>
        <v>Slack</v>
      </c>
      <c r="D1229" s="9">
        <f>Table3[[#This Row],[BillDate]]</f>
        <v>46039</v>
      </c>
      <c r="E1229" s="9">
        <f>Table3[[#This Row],[DueDate]]</f>
        <v>46069</v>
      </c>
      <c r="F1229" s="3">
        <f>Table3[[#This Row],[BillAmount]]</f>
        <v>4932.55</v>
      </c>
      <c r="G1229" s="3">
        <f>SUMIF(Vendor_Payments!C:C,A1229,Vendor_Payments!E:E)</f>
        <v>4932.55</v>
      </c>
      <c r="H1229" s="3">
        <f t="shared" si="57"/>
        <v>0</v>
      </c>
      <c r="I1229">
        <f t="shared" si="58"/>
        <v>22</v>
      </c>
      <c r="J1229" t="str">
        <f t="shared" si="59"/>
        <v>1-30</v>
      </c>
    </row>
    <row r="1230" spans="1:10" x14ac:dyDescent="0.3">
      <c r="A1230" t="str">
        <f>Table3[[#This Row],[BillID]]</f>
        <v>BILL-01229</v>
      </c>
      <c r="B1230" t="str">
        <f>Table3[[#This Row],[VendorID]]</f>
        <v>VEN-006</v>
      </c>
      <c r="C1230" t="str">
        <f>VLOOKUP(B1230,Vendors!A:B,2,FALSE)</f>
        <v>Salesforce</v>
      </c>
      <c r="D1230" s="9">
        <f>Table3[[#This Row],[BillDate]]</f>
        <v>46065</v>
      </c>
      <c r="E1230" s="9">
        <f>Table3[[#This Row],[DueDate]]</f>
        <v>46095</v>
      </c>
      <c r="F1230" s="3">
        <f>Table3[[#This Row],[BillAmount]]</f>
        <v>4453.22</v>
      </c>
      <c r="G1230" s="3">
        <f>SUMIF(Vendor_Payments!C:C,A1230,Vendor_Payments!E:E)</f>
        <v>4453.22</v>
      </c>
      <c r="H1230" s="3">
        <f t="shared" si="57"/>
        <v>0</v>
      </c>
      <c r="I1230">
        <f t="shared" si="58"/>
        <v>-4</v>
      </c>
      <c r="J1230" t="str">
        <f t="shared" si="59"/>
        <v>Current</v>
      </c>
    </row>
    <row r="1231" spans="1:10" x14ac:dyDescent="0.3">
      <c r="A1231" t="str">
        <f>Table3[[#This Row],[BillID]]</f>
        <v>BILL-01230</v>
      </c>
      <c r="B1231" t="str">
        <f>Table3[[#This Row],[VendorID]]</f>
        <v>VEN-014</v>
      </c>
      <c r="C1231" t="str">
        <f>VLOOKUP(B1231,Vendors!A:B,2,FALSE)</f>
        <v>Figma</v>
      </c>
      <c r="D1231" s="9">
        <f>Table3[[#This Row],[BillDate]]</f>
        <v>46040</v>
      </c>
      <c r="E1231" s="9">
        <f>Table3[[#This Row],[DueDate]]</f>
        <v>46070</v>
      </c>
      <c r="F1231" s="3">
        <f>Table3[[#This Row],[BillAmount]]</f>
        <v>5908.19</v>
      </c>
      <c r="G1231" s="3">
        <f>SUMIF(Vendor_Payments!C:C,A1231,Vendor_Payments!E:E)</f>
        <v>5908.19</v>
      </c>
      <c r="H1231" s="3">
        <f t="shared" si="57"/>
        <v>0</v>
      </c>
      <c r="I1231">
        <f t="shared" si="58"/>
        <v>21</v>
      </c>
      <c r="J1231" t="str">
        <f t="shared" si="59"/>
        <v>1-30</v>
      </c>
    </row>
    <row r="1232" spans="1:10" x14ac:dyDescent="0.3">
      <c r="A1232" t="str">
        <f>Table3[[#This Row],[BillID]]</f>
        <v>BILL-01231</v>
      </c>
      <c r="B1232" t="str">
        <f>Table3[[#This Row],[VendorID]]</f>
        <v>VEN-013</v>
      </c>
      <c r="C1232" t="str">
        <f>VLOOKUP(B1232,Vendors!A:B,2,FALSE)</f>
        <v>Canva Pro</v>
      </c>
      <c r="D1232" s="9">
        <f>Table3[[#This Row],[BillDate]]</f>
        <v>46020</v>
      </c>
      <c r="E1232" s="9">
        <f>Table3[[#This Row],[DueDate]]</f>
        <v>46050</v>
      </c>
      <c r="F1232" s="3">
        <f>Table3[[#This Row],[BillAmount]]</f>
        <v>5323.73</v>
      </c>
      <c r="G1232" s="3">
        <f>SUMIF(Vendor_Payments!C:C,A1232,Vendor_Payments!E:E)</f>
        <v>0</v>
      </c>
      <c r="H1232" s="3">
        <f t="shared" si="57"/>
        <v>5323.73</v>
      </c>
      <c r="I1232">
        <f t="shared" si="58"/>
        <v>41</v>
      </c>
      <c r="J1232" t="str">
        <f t="shared" si="59"/>
        <v>31-60</v>
      </c>
    </row>
    <row r="1233" spans="1:10" x14ac:dyDescent="0.3">
      <c r="A1233" t="str">
        <f>Table3[[#This Row],[BillID]]</f>
        <v>BILL-01232</v>
      </c>
      <c r="B1233" t="str">
        <f>Table3[[#This Row],[VendorID]]</f>
        <v>VEN-013</v>
      </c>
      <c r="C1233" t="str">
        <f>VLOOKUP(B1233,Vendors!A:B,2,FALSE)</f>
        <v>Canva Pro</v>
      </c>
      <c r="D1233" s="9">
        <f>Table3[[#This Row],[BillDate]]</f>
        <v>45972</v>
      </c>
      <c r="E1233" s="9">
        <f>Table3[[#This Row],[DueDate]]</f>
        <v>46002</v>
      </c>
      <c r="F1233" s="3">
        <f>Table3[[#This Row],[BillAmount]]</f>
        <v>6927.78</v>
      </c>
      <c r="G1233" s="3">
        <f>SUMIF(Vendor_Payments!C:C,A1233,Vendor_Payments!E:E)</f>
        <v>6927.78</v>
      </c>
      <c r="H1233" s="3">
        <f t="shared" si="57"/>
        <v>0</v>
      </c>
      <c r="I1233">
        <f t="shared" si="58"/>
        <v>89</v>
      </c>
      <c r="J1233" t="str">
        <f t="shared" si="59"/>
        <v>61-90</v>
      </c>
    </row>
    <row r="1234" spans="1:10" x14ac:dyDescent="0.3">
      <c r="A1234" t="str">
        <f>Table3[[#This Row],[BillID]]</f>
        <v>BILL-01233</v>
      </c>
      <c r="B1234" t="str">
        <f>Table3[[#This Row],[VendorID]]</f>
        <v>VEN-014</v>
      </c>
      <c r="C1234" t="str">
        <f>VLOOKUP(B1234,Vendors!A:B,2,FALSE)</f>
        <v>Figma</v>
      </c>
      <c r="D1234" s="9">
        <f>Table3[[#This Row],[BillDate]]</f>
        <v>45976</v>
      </c>
      <c r="E1234" s="9">
        <f>Table3[[#This Row],[DueDate]]</f>
        <v>46006</v>
      </c>
      <c r="F1234" s="3">
        <f>Table3[[#This Row],[BillAmount]]</f>
        <v>3164.61</v>
      </c>
      <c r="G1234" s="3">
        <f>SUMIF(Vendor_Payments!C:C,A1234,Vendor_Payments!E:E)</f>
        <v>0</v>
      </c>
      <c r="H1234" s="3">
        <f t="shared" si="57"/>
        <v>3164.61</v>
      </c>
      <c r="I1234">
        <f t="shared" si="58"/>
        <v>85</v>
      </c>
      <c r="J1234" t="str">
        <f t="shared" si="59"/>
        <v>61-90</v>
      </c>
    </row>
    <row r="1235" spans="1:10" x14ac:dyDescent="0.3">
      <c r="A1235" t="str">
        <f>Table3[[#This Row],[BillID]]</f>
        <v>BILL-01234</v>
      </c>
      <c r="B1235" t="str">
        <f>Table3[[#This Row],[VendorID]]</f>
        <v>VEN-001</v>
      </c>
      <c r="C1235" t="str">
        <f>VLOOKUP(B1235,Vendors!A:B,2,FALSE)</f>
        <v>Google Ads</v>
      </c>
      <c r="D1235" s="9">
        <f>Table3[[#This Row],[BillDate]]</f>
        <v>46058</v>
      </c>
      <c r="E1235" s="9">
        <f>Table3[[#This Row],[DueDate]]</f>
        <v>46088</v>
      </c>
      <c r="F1235" s="3">
        <f>Table3[[#This Row],[BillAmount]]</f>
        <v>1354.34</v>
      </c>
      <c r="G1235" s="3">
        <f>SUMIF(Vendor_Payments!C:C,A1235,Vendor_Payments!E:E)</f>
        <v>1354.34</v>
      </c>
      <c r="H1235" s="3">
        <f t="shared" si="57"/>
        <v>0</v>
      </c>
      <c r="I1235">
        <f t="shared" si="58"/>
        <v>3</v>
      </c>
      <c r="J1235" t="str">
        <f t="shared" si="59"/>
        <v>1-30</v>
      </c>
    </row>
    <row r="1236" spans="1:10" x14ac:dyDescent="0.3">
      <c r="A1236" t="str">
        <f>Table3[[#This Row],[BillID]]</f>
        <v>BILL-01235</v>
      </c>
      <c r="B1236" t="str">
        <f>Table3[[#This Row],[VendorID]]</f>
        <v>VEN-038</v>
      </c>
      <c r="C1236" t="str">
        <f>VLOOKUP(B1236,Vendors!A:B,2,FALSE)</f>
        <v>Insight Marketing Partners</v>
      </c>
      <c r="D1236" s="9">
        <f>Table3[[#This Row],[BillDate]]</f>
        <v>45982</v>
      </c>
      <c r="E1236" s="9">
        <f>Table3[[#This Row],[DueDate]]</f>
        <v>46012</v>
      </c>
      <c r="F1236" s="3">
        <f>Table3[[#This Row],[BillAmount]]</f>
        <v>1124.97</v>
      </c>
      <c r="G1236" s="3">
        <f>SUMIF(Vendor_Payments!C:C,A1236,Vendor_Payments!E:E)</f>
        <v>0</v>
      </c>
      <c r="H1236" s="3">
        <f t="shared" si="57"/>
        <v>1124.97</v>
      </c>
      <c r="I1236">
        <f t="shared" si="58"/>
        <v>79</v>
      </c>
      <c r="J1236" t="str">
        <f t="shared" si="59"/>
        <v>61-90</v>
      </c>
    </row>
    <row r="1237" spans="1:10" x14ac:dyDescent="0.3">
      <c r="A1237" t="str">
        <f>Table3[[#This Row],[BillID]]</f>
        <v>BILL-01236</v>
      </c>
      <c r="B1237" t="str">
        <f>Table3[[#This Row],[VendorID]]</f>
        <v>VEN-005</v>
      </c>
      <c r="C1237" t="str">
        <f>VLOOKUP(B1237,Vendors!A:B,2,FALSE)</f>
        <v>HubSpot</v>
      </c>
      <c r="D1237" s="9">
        <f>Table3[[#This Row],[BillDate]]</f>
        <v>46060</v>
      </c>
      <c r="E1237" s="9">
        <f>Table3[[#This Row],[DueDate]]</f>
        <v>46090</v>
      </c>
      <c r="F1237" s="3">
        <f>Table3[[#This Row],[BillAmount]]</f>
        <v>4228.87</v>
      </c>
      <c r="G1237" s="3">
        <f>SUMIF(Vendor_Payments!C:C,A1237,Vendor_Payments!E:E)</f>
        <v>4228.87</v>
      </c>
      <c r="H1237" s="3">
        <f t="shared" si="57"/>
        <v>0</v>
      </c>
      <c r="I1237">
        <f t="shared" si="58"/>
        <v>1</v>
      </c>
      <c r="J1237" t="str">
        <f t="shared" si="59"/>
        <v>1-30</v>
      </c>
    </row>
    <row r="1238" spans="1:10" x14ac:dyDescent="0.3">
      <c r="A1238" t="str">
        <f>Table3[[#This Row],[BillID]]</f>
        <v>BILL-01237</v>
      </c>
      <c r="B1238" t="str">
        <f>Table3[[#This Row],[VendorID]]</f>
        <v>VEN-020</v>
      </c>
      <c r="C1238" t="str">
        <f>VLOOKUP(B1238,Vendors!A:B,2,FALSE)</f>
        <v>Slack</v>
      </c>
      <c r="D1238" s="9">
        <f>Table3[[#This Row],[BillDate]]</f>
        <v>46076</v>
      </c>
      <c r="E1238" s="9">
        <f>Table3[[#This Row],[DueDate]]</f>
        <v>46106</v>
      </c>
      <c r="F1238" s="3">
        <f>Table3[[#This Row],[BillAmount]]</f>
        <v>6092.37</v>
      </c>
      <c r="G1238" s="3">
        <f>SUMIF(Vendor_Payments!C:C,A1238,Vendor_Payments!E:E)</f>
        <v>6092.37</v>
      </c>
      <c r="H1238" s="3">
        <f t="shared" si="57"/>
        <v>0</v>
      </c>
      <c r="I1238">
        <f t="shared" si="58"/>
        <v>-15</v>
      </c>
      <c r="J1238" t="str">
        <f t="shared" si="59"/>
        <v>Current</v>
      </c>
    </row>
    <row r="1239" spans="1:10" x14ac:dyDescent="0.3">
      <c r="A1239" t="str">
        <f>Table3[[#This Row],[BillID]]</f>
        <v>BILL-01238</v>
      </c>
      <c r="B1239" t="str">
        <f>Table3[[#This Row],[VendorID]]</f>
        <v>VEN-034</v>
      </c>
      <c r="C1239" t="str">
        <f>VLOOKUP(B1239,Vendors!A:B,2,FALSE)</f>
        <v>SocialBoost Agency</v>
      </c>
      <c r="D1239" s="9">
        <f>Table3[[#This Row],[BillDate]]</f>
        <v>46068</v>
      </c>
      <c r="E1239" s="9">
        <f>Table3[[#This Row],[DueDate]]</f>
        <v>46098</v>
      </c>
      <c r="F1239" s="3">
        <f>Table3[[#This Row],[BillAmount]]</f>
        <v>4790.92</v>
      </c>
      <c r="G1239" s="3">
        <f>SUMIF(Vendor_Payments!C:C,A1239,Vendor_Payments!E:E)</f>
        <v>0</v>
      </c>
      <c r="H1239" s="3">
        <f t="shared" si="57"/>
        <v>4790.92</v>
      </c>
      <c r="I1239">
        <f t="shared" si="58"/>
        <v>-7</v>
      </c>
      <c r="J1239" t="str">
        <f t="shared" si="59"/>
        <v>Current</v>
      </c>
    </row>
    <row r="1240" spans="1:10" x14ac:dyDescent="0.3">
      <c r="A1240" t="str">
        <f>Table3[[#This Row],[BillID]]</f>
        <v>BILL-01239</v>
      </c>
      <c r="B1240" t="str">
        <f>Table3[[#This Row],[VendorID]]</f>
        <v>VEN-018</v>
      </c>
      <c r="C1240" t="str">
        <f>VLOOKUP(B1240,Vendors!A:B,2,FALSE)</f>
        <v>Cloudflare</v>
      </c>
      <c r="D1240" s="9">
        <f>Table3[[#This Row],[BillDate]]</f>
        <v>46019</v>
      </c>
      <c r="E1240" s="9">
        <f>Table3[[#This Row],[DueDate]]</f>
        <v>46049</v>
      </c>
      <c r="F1240" s="3">
        <f>Table3[[#This Row],[BillAmount]]</f>
        <v>1199.71</v>
      </c>
      <c r="G1240" s="3">
        <f>SUMIF(Vendor_Payments!C:C,A1240,Vendor_Payments!E:E)</f>
        <v>1199.71</v>
      </c>
      <c r="H1240" s="3">
        <f t="shared" si="57"/>
        <v>0</v>
      </c>
      <c r="I1240">
        <f t="shared" si="58"/>
        <v>42</v>
      </c>
      <c r="J1240" t="str">
        <f t="shared" si="59"/>
        <v>31-60</v>
      </c>
    </row>
    <row r="1241" spans="1:10" x14ac:dyDescent="0.3">
      <c r="A1241" t="str">
        <f>Table3[[#This Row],[BillID]]</f>
        <v>BILL-01240</v>
      </c>
      <c r="B1241" t="str">
        <f>Table3[[#This Row],[VendorID]]</f>
        <v>VEN-040</v>
      </c>
      <c r="C1241" t="str">
        <f>VLOOKUP(B1241,Vendors!A:B,2,FALSE)</f>
        <v>Digital Performance Lab</v>
      </c>
      <c r="D1241" s="9">
        <f>Table3[[#This Row],[BillDate]]</f>
        <v>46065</v>
      </c>
      <c r="E1241" s="9">
        <f>Table3[[#This Row],[DueDate]]</f>
        <v>46095</v>
      </c>
      <c r="F1241" s="3">
        <f>Table3[[#This Row],[BillAmount]]</f>
        <v>5034.25</v>
      </c>
      <c r="G1241" s="3">
        <f>SUMIF(Vendor_Payments!C:C,A1241,Vendor_Payments!E:E)</f>
        <v>5034.25</v>
      </c>
      <c r="H1241" s="3">
        <f t="shared" si="57"/>
        <v>0</v>
      </c>
      <c r="I1241">
        <f t="shared" si="58"/>
        <v>-4</v>
      </c>
      <c r="J1241" t="str">
        <f t="shared" si="59"/>
        <v>Current</v>
      </c>
    </row>
    <row r="1242" spans="1:10" x14ac:dyDescent="0.3">
      <c r="A1242" t="str">
        <f>Table3[[#This Row],[BillID]]</f>
        <v>BILL-01241</v>
      </c>
      <c r="B1242" t="str">
        <f>Table3[[#This Row],[VendorID]]</f>
        <v>VEN-017</v>
      </c>
      <c r="C1242" t="str">
        <f>VLOOKUP(B1242,Vendors!A:B,2,FALSE)</f>
        <v>PayPal</v>
      </c>
      <c r="D1242" s="9">
        <f>Table3[[#This Row],[BillDate]]</f>
        <v>46029</v>
      </c>
      <c r="E1242" s="9">
        <f>Table3[[#This Row],[DueDate]]</f>
        <v>46059</v>
      </c>
      <c r="F1242" s="3">
        <f>Table3[[#This Row],[BillAmount]]</f>
        <v>5178.92</v>
      </c>
      <c r="G1242" s="3">
        <f>SUMIF(Vendor_Payments!C:C,A1242,Vendor_Payments!E:E)</f>
        <v>5178.92</v>
      </c>
      <c r="H1242" s="3">
        <f t="shared" si="57"/>
        <v>0</v>
      </c>
      <c r="I1242">
        <f t="shared" si="58"/>
        <v>32</v>
      </c>
      <c r="J1242" t="str">
        <f t="shared" si="59"/>
        <v>31-60</v>
      </c>
    </row>
    <row r="1243" spans="1:10" x14ac:dyDescent="0.3">
      <c r="A1243" t="str">
        <f>Table3[[#This Row],[BillID]]</f>
        <v>BILL-01242</v>
      </c>
      <c r="B1243" t="str">
        <f>Table3[[#This Row],[VendorID]]</f>
        <v>VEN-006</v>
      </c>
      <c r="C1243" t="str">
        <f>VLOOKUP(B1243,Vendors!A:B,2,FALSE)</f>
        <v>Salesforce</v>
      </c>
      <c r="D1243" s="9">
        <f>Table3[[#This Row],[BillDate]]</f>
        <v>46087</v>
      </c>
      <c r="E1243" s="9">
        <f>Table3[[#This Row],[DueDate]]</f>
        <v>46117</v>
      </c>
      <c r="F1243" s="3">
        <f>Table3[[#This Row],[BillAmount]]</f>
        <v>2303.14</v>
      </c>
      <c r="G1243" s="3">
        <f>SUMIF(Vendor_Payments!C:C,A1243,Vendor_Payments!E:E)</f>
        <v>2303.14</v>
      </c>
      <c r="H1243" s="3">
        <f t="shared" si="57"/>
        <v>0</v>
      </c>
      <c r="I1243">
        <f t="shared" si="58"/>
        <v>-26</v>
      </c>
      <c r="J1243" t="str">
        <f t="shared" si="59"/>
        <v>Current</v>
      </c>
    </row>
    <row r="1244" spans="1:10" x14ac:dyDescent="0.3">
      <c r="A1244" t="str">
        <f>Table3[[#This Row],[BillID]]</f>
        <v>BILL-01243</v>
      </c>
      <c r="B1244" t="str">
        <f>Table3[[#This Row],[VendorID]]</f>
        <v>VEN-002</v>
      </c>
      <c r="C1244" t="str">
        <f>VLOOKUP(B1244,Vendors!A:B,2,FALSE)</f>
        <v>Meta Ads</v>
      </c>
      <c r="D1244" s="9">
        <f>Table3[[#This Row],[BillDate]]</f>
        <v>46081</v>
      </c>
      <c r="E1244" s="9">
        <f>Table3[[#This Row],[DueDate]]</f>
        <v>46111</v>
      </c>
      <c r="F1244" s="3">
        <f>Table3[[#This Row],[BillAmount]]</f>
        <v>3973.44</v>
      </c>
      <c r="G1244" s="3">
        <f>SUMIF(Vendor_Payments!C:C,A1244,Vendor_Payments!E:E)</f>
        <v>0</v>
      </c>
      <c r="H1244" s="3">
        <f t="shared" si="57"/>
        <v>3973.44</v>
      </c>
      <c r="I1244">
        <f t="shared" si="58"/>
        <v>-20</v>
      </c>
      <c r="J1244" t="str">
        <f t="shared" si="59"/>
        <v>Current</v>
      </c>
    </row>
    <row r="1245" spans="1:10" x14ac:dyDescent="0.3">
      <c r="A1245" t="str">
        <f>Table3[[#This Row],[BillID]]</f>
        <v>BILL-01244</v>
      </c>
      <c r="B1245" t="str">
        <f>Table3[[#This Row],[VendorID]]</f>
        <v>VEN-028</v>
      </c>
      <c r="C1245" t="str">
        <f>VLOOKUP(B1245,Vendors!A:B,2,FALSE)</f>
        <v>MarketEdge Consulting</v>
      </c>
      <c r="D1245" s="9">
        <f>Table3[[#This Row],[BillDate]]</f>
        <v>46066</v>
      </c>
      <c r="E1245" s="9">
        <f>Table3[[#This Row],[DueDate]]</f>
        <v>46096</v>
      </c>
      <c r="F1245" s="3">
        <f>Table3[[#This Row],[BillAmount]]</f>
        <v>4023.46</v>
      </c>
      <c r="G1245" s="3">
        <f>SUMIF(Vendor_Payments!C:C,A1245,Vendor_Payments!E:E)</f>
        <v>4023.46</v>
      </c>
      <c r="H1245" s="3">
        <f t="shared" si="57"/>
        <v>0</v>
      </c>
      <c r="I1245">
        <f t="shared" si="58"/>
        <v>-5</v>
      </c>
      <c r="J1245" t="str">
        <f t="shared" si="59"/>
        <v>Current</v>
      </c>
    </row>
    <row r="1246" spans="1:10" x14ac:dyDescent="0.3">
      <c r="A1246" t="str">
        <f>Table3[[#This Row],[BillID]]</f>
        <v>BILL-01245</v>
      </c>
      <c r="B1246" t="str">
        <f>Table3[[#This Row],[VendorID]]</f>
        <v>VEN-020</v>
      </c>
      <c r="C1246" t="str">
        <f>VLOOKUP(B1246,Vendors!A:B,2,FALSE)</f>
        <v>Slack</v>
      </c>
      <c r="D1246" s="9">
        <f>Table3[[#This Row],[BillDate]]</f>
        <v>46016</v>
      </c>
      <c r="E1246" s="9">
        <f>Table3[[#This Row],[DueDate]]</f>
        <v>46046</v>
      </c>
      <c r="F1246" s="3">
        <f>Table3[[#This Row],[BillAmount]]</f>
        <v>5634.82</v>
      </c>
      <c r="G1246" s="3">
        <f>SUMIF(Vendor_Payments!C:C,A1246,Vendor_Payments!E:E)</f>
        <v>0</v>
      </c>
      <c r="H1246" s="3">
        <f t="shared" si="57"/>
        <v>5634.82</v>
      </c>
      <c r="I1246">
        <f t="shared" si="58"/>
        <v>45</v>
      </c>
      <c r="J1246" t="str">
        <f t="shared" si="59"/>
        <v>31-60</v>
      </c>
    </row>
    <row r="1247" spans="1:10" x14ac:dyDescent="0.3">
      <c r="A1247" t="str">
        <f>Table3[[#This Row],[BillID]]</f>
        <v>BILL-01246</v>
      </c>
      <c r="B1247" t="str">
        <f>Table3[[#This Row],[VendorID]]</f>
        <v>VEN-001</v>
      </c>
      <c r="C1247" t="str">
        <f>VLOOKUP(B1247,Vendors!A:B,2,FALSE)</f>
        <v>Google Ads</v>
      </c>
      <c r="D1247" s="9">
        <f>Table3[[#This Row],[BillDate]]</f>
        <v>46049</v>
      </c>
      <c r="E1247" s="9">
        <f>Table3[[#This Row],[DueDate]]</f>
        <v>46079</v>
      </c>
      <c r="F1247" s="3">
        <f>Table3[[#This Row],[BillAmount]]</f>
        <v>6205.25</v>
      </c>
      <c r="G1247" s="3">
        <f>SUMIF(Vendor_Payments!C:C,A1247,Vendor_Payments!E:E)</f>
        <v>0</v>
      </c>
      <c r="H1247" s="3">
        <f t="shared" si="57"/>
        <v>6205.25</v>
      </c>
      <c r="I1247">
        <f t="shared" si="58"/>
        <v>12</v>
      </c>
      <c r="J1247" t="str">
        <f t="shared" si="59"/>
        <v>1-30</v>
      </c>
    </row>
    <row r="1248" spans="1:10" x14ac:dyDescent="0.3">
      <c r="A1248" t="str">
        <f>Table3[[#This Row],[BillID]]</f>
        <v>BILL-01247</v>
      </c>
      <c r="B1248" t="str">
        <f>Table3[[#This Row],[VendorID]]</f>
        <v>VEN-006</v>
      </c>
      <c r="C1248" t="str">
        <f>VLOOKUP(B1248,Vendors!A:B,2,FALSE)</f>
        <v>Salesforce</v>
      </c>
      <c r="D1248" s="9">
        <f>Table3[[#This Row],[BillDate]]</f>
        <v>46001</v>
      </c>
      <c r="E1248" s="9">
        <f>Table3[[#This Row],[DueDate]]</f>
        <v>46031</v>
      </c>
      <c r="F1248" s="3">
        <f>Table3[[#This Row],[BillAmount]]</f>
        <v>1025.28</v>
      </c>
      <c r="G1248" s="3">
        <f>SUMIF(Vendor_Payments!C:C,A1248,Vendor_Payments!E:E)</f>
        <v>1025.28</v>
      </c>
      <c r="H1248" s="3">
        <f t="shared" si="57"/>
        <v>0</v>
      </c>
      <c r="I1248">
        <f t="shared" si="58"/>
        <v>60</v>
      </c>
      <c r="J1248" t="str">
        <f t="shared" si="59"/>
        <v>31-60</v>
      </c>
    </row>
    <row r="1249" spans="1:10" x14ac:dyDescent="0.3">
      <c r="A1249" t="str">
        <f>Table3[[#This Row],[BillID]]</f>
        <v>BILL-01248</v>
      </c>
      <c r="B1249" t="str">
        <f>Table3[[#This Row],[VendorID]]</f>
        <v>VEN-016</v>
      </c>
      <c r="C1249" t="str">
        <f>VLOOKUP(B1249,Vendors!A:B,2,FALSE)</f>
        <v>Stripe</v>
      </c>
      <c r="D1249" s="9">
        <f>Table3[[#This Row],[BillDate]]</f>
        <v>46065</v>
      </c>
      <c r="E1249" s="9">
        <f>Table3[[#This Row],[DueDate]]</f>
        <v>46095</v>
      </c>
      <c r="F1249" s="3">
        <f>Table3[[#This Row],[BillAmount]]</f>
        <v>851.88</v>
      </c>
      <c r="G1249" s="3">
        <f>SUMIF(Vendor_Payments!C:C,A1249,Vendor_Payments!E:E)</f>
        <v>851.88</v>
      </c>
      <c r="H1249" s="3">
        <f t="shared" si="57"/>
        <v>0</v>
      </c>
      <c r="I1249">
        <f t="shared" si="58"/>
        <v>-4</v>
      </c>
      <c r="J1249" t="str">
        <f t="shared" si="59"/>
        <v>Current</v>
      </c>
    </row>
    <row r="1250" spans="1:10" x14ac:dyDescent="0.3">
      <c r="A1250" t="str">
        <f>Table3[[#This Row],[BillID]]</f>
        <v>BILL-01249</v>
      </c>
      <c r="B1250" t="str">
        <f>Table3[[#This Row],[VendorID]]</f>
        <v>VEN-039</v>
      </c>
      <c r="C1250" t="str">
        <f>VLOOKUP(B1250,Vendors!A:B,2,FALSE)</f>
        <v>Global Growth Advisors</v>
      </c>
      <c r="D1250" s="9">
        <f>Table3[[#This Row],[BillDate]]</f>
        <v>45976</v>
      </c>
      <c r="E1250" s="9">
        <f>Table3[[#This Row],[DueDate]]</f>
        <v>46006</v>
      </c>
      <c r="F1250" s="3">
        <f>Table3[[#This Row],[BillAmount]]</f>
        <v>3576.76</v>
      </c>
      <c r="G1250" s="3">
        <f>SUMIF(Vendor_Payments!C:C,A1250,Vendor_Payments!E:E)</f>
        <v>3576.76</v>
      </c>
      <c r="H1250" s="3">
        <f t="shared" si="57"/>
        <v>0</v>
      </c>
      <c r="I1250">
        <f t="shared" si="58"/>
        <v>85</v>
      </c>
      <c r="J1250" t="str">
        <f t="shared" si="59"/>
        <v>61-90</v>
      </c>
    </row>
    <row r="1251" spans="1:10" x14ac:dyDescent="0.3">
      <c r="A1251" t="str">
        <f>Table3[[#This Row],[BillID]]</f>
        <v>BILL-01250</v>
      </c>
      <c r="B1251" t="str">
        <f>Table3[[#This Row],[VendorID]]</f>
        <v>VEN-036</v>
      </c>
      <c r="C1251" t="str">
        <f>VLOOKUP(B1251,Vendors!A:B,2,FALSE)</f>
        <v>WebDev Masters</v>
      </c>
      <c r="D1251" s="9">
        <f>Table3[[#This Row],[BillDate]]</f>
        <v>46031</v>
      </c>
      <c r="E1251" s="9">
        <f>Table3[[#This Row],[DueDate]]</f>
        <v>46061</v>
      </c>
      <c r="F1251" s="3">
        <f>Table3[[#This Row],[BillAmount]]</f>
        <v>4424.08</v>
      </c>
      <c r="G1251" s="3">
        <f>SUMIF(Vendor_Payments!C:C,A1251,Vendor_Payments!E:E)</f>
        <v>4424.08</v>
      </c>
      <c r="H1251" s="3">
        <f t="shared" si="57"/>
        <v>0</v>
      </c>
      <c r="I1251">
        <f t="shared" si="58"/>
        <v>30</v>
      </c>
      <c r="J1251" t="str">
        <f t="shared" si="59"/>
        <v>1-30</v>
      </c>
    </row>
    <row r="1252" spans="1:10" x14ac:dyDescent="0.3">
      <c r="A1252" t="str">
        <f>Table3[[#This Row],[BillID]]</f>
        <v>BILL-01251</v>
      </c>
      <c r="B1252" t="str">
        <f>Table3[[#This Row],[VendorID]]</f>
        <v>VEN-028</v>
      </c>
      <c r="C1252" t="str">
        <f>VLOOKUP(B1252,Vendors!A:B,2,FALSE)</f>
        <v>MarketEdge Consulting</v>
      </c>
      <c r="D1252" s="9">
        <f>Table3[[#This Row],[BillDate]]</f>
        <v>45996</v>
      </c>
      <c r="E1252" s="9">
        <f>Table3[[#This Row],[DueDate]]</f>
        <v>46026</v>
      </c>
      <c r="F1252" s="3">
        <f>Table3[[#This Row],[BillAmount]]</f>
        <v>4559.71</v>
      </c>
      <c r="G1252" s="3">
        <f>SUMIF(Vendor_Payments!C:C,A1252,Vendor_Payments!E:E)</f>
        <v>4559.71</v>
      </c>
      <c r="H1252" s="3">
        <f t="shared" si="57"/>
        <v>0</v>
      </c>
      <c r="I1252">
        <f t="shared" si="58"/>
        <v>65</v>
      </c>
      <c r="J1252" t="str">
        <f t="shared" si="59"/>
        <v>61-90</v>
      </c>
    </row>
    <row r="1253" spans="1:10" x14ac:dyDescent="0.3">
      <c r="A1253" t="str">
        <f>Table3[[#This Row],[BillID]]</f>
        <v>BILL-01252</v>
      </c>
      <c r="B1253" t="str">
        <f>Table3[[#This Row],[VendorID]]</f>
        <v>VEN-023</v>
      </c>
      <c r="C1253" t="str">
        <f>VLOOKUP(B1253,Vendors!A:B,2,FALSE)</f>
        <v>Fiverr Pro</v>
      </c>
      <c r="D1253" s="9">
        <f>Table3[[#This Row],[BillDate]]</f>
        <v>46016</v>
      </c>
      <c r="E1253" s="9">
        <f>Table3[[#This Row],[DueDate]]</f>
        <v>46046</v>
      </c>
      <c r="F1253" s="3">
        <f>Table3[[#This Row],[BillAmount]]</f>
        <v>4815.3599999999997</v>
      </c>
      <c r="G1253" s="3">
        <f>SUMIF(Vendor_Payments!C:C,A1253,Vendor_Payments!E:E)</f>
        <v>0</v>
      </c>
      <c r="H1253" s="3">
        <f t="shared" si="57"/>
        <v>4815.3599999999997</v>
      </c>
      <c r="I1253">
        <f t="shared" si="58"/>
        <v>45</v>
      </c>
      <c r="J1253" t="str">
        <f t="shared" si="59"/>
        <v>31-60</v>
      </c>
    </row>
    <row r="1254" spans="1:10" x14ac:dyDescent="0.3">
      <c r="A1254" t="str">
        <f>Table3[[#This Row],[BillID]]</f>
        <v>BILL-01253</v>
      </c>
      <c r="B1254" t="str">
        <f>Table3[[#This Row],[VendorID]]</f>
        <v>VEN-032</v>
      </c>
      <c r="C1254" t="str">
        <f>VLOOKUP(B1254,Vendors!A:B,2,FALSE)</f>
        <v>Marketing Automation Labs</v>
      </c>
      <c r="D1254" s="9">
        <f>Table3[[#This Row],[BillDate]]</f>
        <v>46089</v>
      </c>
      <c r="E1254" s="9">
        <f>Table3[[#This Row],[DueDate]]</f>
        <v>46119</v>
      </c>
      <c r="F1254" s="3">
        <f>Table3[[#This Row],[BillAmount]]</f>
        <v>3448.27</v>
      </c>
      <c r="G1254" s="3">
        <f>SUMIF(Vendor_Payments!C:C,A1254,Vendor_Payments!E:E)</f>
        <v>3448.27</v>
      </c>
      <c r="H1254" s="3">
        <f t="shared" si="57"/>
        <v>0</v>
      </c>
      <c r="I1254">
        <f t="shared" si="58"/>
        <v>-28</v>
      </c>
      <c r="J1254" t="str">
        <f t="shared" si="59"/>
        <v>Current</v>
      </c>
    </row>
    <row r="1255" spans="1:10" x14ac:dyDescent="0.3">
      <c r="A1255" t="str">
        <f>Table3[[#This Row],[BillID]]</f>
        <v>BILL-01254</v>
      </c>
      <c r="B1255" t="str">
        <f>Table3[[#This Row],[VendorID]]</f>
        <v>VEN-032</v>
      </c>
      <c r="C1255" t="str">
        <f>VLOOKUP(B1255,Vendors!A:B,2,FALSE)</f>
        <v>Marketing Automation Labs</v>
      </c>
      <c r="D1255" s="9">
        <f>Table3[[#This Row],[BillDate]]</f>
        <v>46032</v>
      </c>
      <c r="E1255" s="9">
        <f>Table3[[#This Row],[DueDate]]</f>
        <v>46062</v>
      </c>
      <c r="F1255" s="3">
        <f>Table3[[#This Row],[BillAmount]]</f>
        <v>3768.04</v>
      </c>
      <c r="G1255" s="3">
        <f>SUMIF(Vendor_Payments!C:C,A1255,Vendor_Payments!E:E)</f>
        <v>0</v>
      </c>
      <c r="H1255" s="3">
        <f t="shared" si="57"/>
        <v>3768.04</v>
      </c>
      <c r="I1255">
        <f t="shared" si="58"/>
        <v>29</v>
      </c>
      <c r="J1255" t="str">
        <f t="shared" si="59"/>
        <v>1-30</v>
      </c>
    </row>
    <row r="1256" spans="1:10" x14ac:dyDescent="0.3">
      <c r="A1256" t="str">
        <f>Table3[[#This Row],[BillID]]</f>
        <v>BILL-01255</v>
      </c>
      <c r="B1256" t="str">
        <f>Table3[[#This Row],[VendorID]]</f>
        <v>VEN-034</v>
      </c>
      <c r="C1256" t="str">
        <f>VLOOKUP(B1256,Vendors!A:B,2,FALSE)</f>
        <v>SocialBoost Agency</v>
      </c>
      <c r="D1256" s="9">
        <f>Table3[[#This Row],[BillDate]]</f>
        <v>46049</v>
      </c>
      <c r="E1256" s="9">
        <f>Table3[[#This Row],[DueDate]]</f>
        <v>46079</v>
      </c>
      <c r="F1256" s="3">
        <f>Table3[[#This Row],[BillAmount]]</f>
        <v>4164.7</v>
      </c>
      <c r="G1256" s="3">
        <f>SUMIF(Vendor_Payments!C:C,A1256,Vendor_Payments!E:E)</f>
        <v>0</v>
      </c>
      <c r="H1256" s="3">
        <f t="shared" si="57"/>
        <v>4164.7</v>
      </c>
      <c r="I1256">
        <f t="shared" si="58"/>
        <v>12</v>
      </c>
      <c r="J1256" t="str">
        <f t="shared" si="59"/>
        <v>1-30</v>
      </c>
    </row>
    <row r="1257" spans="1:10" x14ac:dyDescent="0.3">
      <c r="A1257" t="str">
        <f>Table3[[#This Row],[BillID]]</f>
        <v>BILL-01256</v>
      </c>
      <c r="B1257" t="str">
        <f>Table3[[#This Row],[VendorID]]</f>
        <v>VEN-028</v>
      </c>
      <c r="C1257" t="str">
        <f>VLOOKUP(B1257,Vendors!A:B,2,FALSE)</f>
        <v>MarketEdge Consulting</v>
      </c>
      <c r="D1257" s="9">
        <f>Table3[[#This Row],[BillDate]]</f>
        <v>46064</v>
      </c>
      <c r="E1257" s="9">
        <f>Table3[[#This Row],[DueDate]]</f>
        <v>46094</v>
      </c>
      <c r="F1257" s="3">
        <f>Table3[[#This Row],[BillAmount]]</f>
        <v>4177.43</v>
      </c>
      <c r="G1257" s="3">
        <f>SUMIF(Vendor_Payments!C:C,A1257,Vendor_Payments!E:E)</f>
        <v>0</v>
      </c>
      <c r="H1257" s="3">
        <f t="shared" si="57"/>
        <v>4177.43</v>
      </c>
      <c r="I1257">
        <f t="shared" si="58"/>
        <v>-3</v>
      </c>
      <c r="J1257" t="str">
        <f t="shared" si="59"/>
        <v>Current</v>
      </c>
    </row>
    <row r="1258" spans="1:10" x14ac:dyDescent="0.3">
      <c r="A1258" t="str">
        <f>Table3[[#This Row],[BillID]]</f>
        <v>BILL-01257</v>
      </c>
      <c r="B1258" t="str">
        <f>Table3[[#This Row],[VendorID]]</f>
        <v>VEN-002</v>
      </c>
      <c r="C1258" t="str">
        <f>VLOOKUP(B1258,Vendors!A:B,2,FALSE)</f>
        <v>Meta Ads</v>
      </c>
      <c r="D1258" s="9">
        <f>Table3[[#This Row],[BillDate]]</f>
        <v>45995</v>
      </c>
      <c r="E1258" s="9">
        <f>Table3[[#This Row],[DueDate]]</f>
        <v>46025</v>
      </c>
      <c r="F1258" s="3">
        <f>Table3[[#This Row],[BillAmount]]</f>
        <v>1344.25</v>
      </c>
      <c r="G1258" s="3">
        <f>SUMIF(Vendor_Payments!C:C,A1258,Vendor_Payments!E:E)</f>
        <v>1344.25</v>
      </c>
      <c r="H1258" s="3">
        <f t="shared" si="57"/>
        <v>0</v>
      </c>
      <c r="I1258">
        <f t="shared" si="58"/>
        <v>66</v>
      </c>
      <c r="J1258" t="str">
        <f t="shared" si="59"/>
        <v>61-90</v>
      </c>
    </row>
    <row r="1259" spans="1:10" x14ac:dyDescent="0.3">
      <c r="A1259" t="str">
        <f>Table3[[#This Row],[BillID]]</f>
        <v>BILL-01258</v>
      </c>
      <c r="B1259" t="str">
        <f>Table3[[#This Row],[VendorID]]</f>
        <v>VEN-011</v>
      </c>
      <c r="C1259" t="str">
        <f>VLOOKUP(B1259,Vendors!A:B,2,FALSE)</f>
        <v>AWS</v>
      </c>
      <c r="D1259" s="9">
        <f>Table3[[#This Row],[BillDate]]</f>
        <v>45996</v>
      </c>
      <c r="E1259" s="9">
        <f>Table3[[#This Row],[DueDate]]</f>
        <v>46026</v>
      </c>
      <c r="F1259" s="3">
        <f>Table3[[#This Row],[BillAmount]]</f>
        <v>3651.32</v>
      </c>
      <c r="G1259" s="3">
        <f>SUMIF(Vendor_Payments!C:C,A1259,Vendor_Payments!E:E)</f>
        <v>3651.32</v>
      </c>
      <c r="H1259" s="3">
        <f t="shared" si="57"/>
        <v>0</v>
      </c>
      <c r="I1259">
        <f t="shared" si="58"/>
        <v>65</v>
      </c>
      <c r="J1259" t="str">
        <f t="shared" si="59"/>
        <v>61-90</v>
      </c>
    </row>
    <row r="1260" spans="1:10" x14ac:dyDescent="0.3">
      <c r="A1260" t="str">
        <f>Table3[[#This Row],[BillID]]</f>
        <v>BILL-01259</v>
      </c>
      <c r="B1260" t="str">
        <f>Table3[[#This Row],[VendorID]]</f>
        <v>VEN-012</v>
      </c>
      <c r="C1260" t="str">
        <f>VLOOKUP(B1260,Vendors!A:B,2,FALSE)</f>
        <v>Google Cloud</v>
      </c>
      <c r="D1260" s="9">
        <f>Table3[[#This Row],[BillDate]]</f>
        <v>46031</v>
      </c>
      <c r="E1260" s="9">
        <f>Table3[[#This Row],[DueDate]]</f>
        <v>46061</v>
      </c>
      <c r="F1260" s="3">
        <f>Table3[[#This Row],[BillAmount]]</f>
        <v>3435.71</v>
      </c>
      <c r="G1260" s="3">
        <f>SUMIF(Vendor_Payments!C:C,A1260,Vendor_Payments!E:E)</f>
        <v>3435.71</v>
      </c>
      <c r="H1260" s="3">
        <f t="shared" si="57"/>
        <v>0</v>
      </c>
      <c r="I1260">
        <f t="shared" si="58"/>
        <v>30</v>
      </c>
      <c r="J1260" t="str">
        <f t="shared" si="59"/>
        <v>1-30</v>
      </c>
    </row>
    <row r="1261" spans="1:10" x14ac:dyDescent="0.3">
      <c r="A1261" t="str">
        <f>Table3[[#This Row],[BillID]]</f>
        <v>BILL-01260</v>
      </c>
      <c r="B1261" t="str">
        <f>Table3[[#This Row],[VendorID]]</f>
        <v>VEN-033</v>
      </c>
      <c r="C1261" t="str">
        <f>VLOOKUP(B1261,Vendors!A:B,2,FALSE)</f>
        <v>AdScale Solutions</v>
      </c>
      <c r="D1261" s="9">
        <f>Table3[[#This Row],[BillDate]]</f>
        <v>46075</v>
      </c>
      <c r="E1261" s="9">
        <f>Table3[[#This Row],[DueDate]]</f>
        <v>46105</v>
      </c>
      <c r="F1261" s="3">
        <f>Table3[[#This Row],[BillAmount]]</f>
        <v>869.4</v>
      </c>
      <c r="G1261" s="3">
        <f>SUMIF(Vendor_Payments!C:C,A1261,Vendor_Payments!E:E)</f>
        <v>869.4</v>
      </c>
      <c r="H1261" s="3">
        <f t="shared" si="57"/>
        <v>0</v>
      </c>
      <c r="I1261">
        <f t="shared" si="58"/>
        <v>-14</v>
      </c>
      <c r="J1261" t="str">
        <f t="shared" si="59"/>
        <v>Current</v>
      </c>
    </row>
    <row r="1262" spans="1:10" x14ac:dyDescent="0.3">
      <c r="A1262" t="str">
        <f>Table3[[#This Row],[BillID]]</f>
        <v>BILL-01261</v>
      </c>
      <c r="B1262" t="str">
        <f>Table3[[#This Row],[VendorID]]</f>
        <v>VEN-026</v>
      </c>
      <c r="C1262" t="str">
        <f>VLOOKUP(B1262,Vendors!A:B,2,FALSE)</f>
        <v>PixelForge Studio</v>
      </c>
      <c r="D1262" s="9">
        <f>Table3[[#This Row],[BillDate]]</f>
        <v>45982</v>
      </c>
      <c r="E1262" s="9">
        <f>Table3[[#This Row],[DueDate]]</f>
        <v>46012</v>
      </c>
      <c r="F1262" s="3">
        <f>Table3[[#This Row],[BillAmount]]</f>
        <v>1330.88</v>
      </c>
      <c r="G1262" s="3">
        <f>SUMIF(Vendor_Payments!C:C,A1262,Vendor_Payments!E:E)</f>
        <v>1330.88</v>
      </c>
      <c r="H1262" s="3">
        <f t="shared" si="57"/>
        <v>0</v>
      </c>
      <c r="I1262">
        <f t="shared" si="58"/>
        <v>79</v>
      </c>
      <c r="J1262" t="str">
        <f t="shared" si="59"/>
        <v>61-90</v>
      </c>
    </row>
    <row r="1263" spans="1:10" x14ac:dyDescent="0.3">
      <c r="A1263" t="str">
        <f>Table3[[#This Row],[BillID]]</f>
        <v>BILL-01262</v>
      </c>
      <c r="B1263" t="str">
        <f>Table3[[#This Row],[VendorID]]</f>
        <v>VEN-011</v>
      </c>
      <c r="C1263" t="str">
        <f>VLOOKUP(B1263,Vendors!A:B,2,FALSE)</f>
        <v>AWS</v>
      </c>
      <c r="D1263" s="9">
        <f>Table3[[#This Row],[BillDate]]</f>
        <v>45993</v>
      </c>
      <c r="E1263" s="9">
        <f>Table3[[#This Row],[DueDate]]</f>
        <v>46023</v>
      </c>
      <c r="F1263" s="3">
        <f>Table3[[#This Row],[BillAmount]]</f>
        <v>1961.02</v>
      </c>
      <c r="G1263" s="3">
        <f>SUMIF(Vendor_Payments!C:C,A1263,Vendor_Payments!E:E)</f>
        <v>0</v>
      </c>
      <c r="H1263" s="3">
        <f t="shared" si="57"/>
        <v>1961.02</v>
      </c>
      <c r="I1263">
        <f t="shared" si="58"/>
        <v>68</v>
      </c>
      <c r="J1263" t="str">
        <f t="shared" si="59"/>
        <v>61-90</v>
      </c>
    </row>
    <row r="1264" spans="1:10" x14ac:dyDescent="0.3">
      <c r="A1264" t="str">
        <f>Table3[[#This Row],[BillID]]</f>
        <v>BILL-01263</v>
      </c>
      <c r="B1264" t="str">
        <f>Table3[[#This Row],[VendorID]]</f>
        <v>VEN-035</v>
      </c>
      <c r="C1264" t="str">
        <f>VLOOKUP(B1264,Vendors!A:B,2,FALSE)</f>
        <v>ClickFlow Marketing</v>
      </c>
      <c r="D1264" s="9">
        <f>Table3[[#This Row],[BillDate]]</f>
        <v>45991</v>
      </c>
      <c r="E1264" s="9">
        <f>Table3[[#This Row],[DueDate]]</f>
        <v>46021</v>
      </c>
      <c r="F1264" s="3">
        <f>Table3[[#This Row],[BillAmount]]</f>
        <v>6798.23</v>
      </c>
      <c r="G1264" s="3">
        <f>SUMIF(Vendor_Payments!C:C,A1264,Vendor_Payments!E:E)</f>
        <v>6798.23</v>
      </c>
      <c r="H1264" s="3">
        <f t="shared" si="57"/>
        <v>0</v>
      </c>
      <c r="I1264">
        <f t="shared" si="58"/>
        <v>70</v>
      </c>
      <c r="J1264" t="str">
        <f t="shared" si="59"/>
        <v>61-90</v>
      </c>
    </row>
    <row r="1265" spans="1:10" x14ac:dyDescent="0.3">
      <c r="A1265" t="str">
        <f>Table3[[#This Row],[BillID]]</f>
        <v>BILL-01264</v>
      </c>
      <c r="B1265" t="str">
        <f>Table3[[#This Row],[VendorID]]</f>
        <v>VEN-038</v>
      </c>
      <c r="C1265" t="str">
        <f>VLOOKUP(B1265,Vendors!A:B,2,FALSE)</f>
        <v>Insight Marketing Partners</v>
      </c>
      <c r="D1265" s="9">
        <f>Table3[[#This Row],[BillDate]]</f>
        <v>46042</v>
      </c>
      <c r="E1265" s="9">
        <f>Table3[[#This Row],[DueDate]]</f>
        <v>46072</v>
      </c>
      <c r="F1265" s="3">
        <f>Table3[[#This Row],[BillAmount]]</f>
        <v>2299.39</v>
      </c>
      <c r="G1265" s="3">
        <f>SUMIF(Vendor_Payments!C:C,A1265,Vendor_Payments!E:E)</f>
        <v>2299.39</v>
      </c>
      <c r="H1265" s="3">
        <f t="shared" si="57"/>
        <v>0</v>
      </c>
      <c r="I1265">
        <f t="shared" si="58"/>
        <v>19</v>
      </c>
      <c r="J1265" t="str">
        <f t="shared" si="59"/>
        <v>1-30</v>
      </c>
    </row>
    <row r="1266" spans="1:10" x14ac:dyDescent="0.3">
      <c r="A1266" t="str">
        <f>Table3[[#This Row],[BillID]]</f>
        <v>BILL-01265</v>
      </c>
      <c r="B1266" t="str">
        <f>Table3[[#This Row],[VendorID]]</f>
        <v>VEN-009</v>
      </c>
      <c r="C1266" t="str">
        <f>VLOOKUP(B1266,Vendors!A:B,2,FALSE)</f>
        <v>SEMrush</v>
      </c>
      <c r="D1266" s="9">
        <f>Table3[[#This Row],[BillDate]]</f>
        <v>46076</v>
      </c>
      <c r="E1266" s="9">
        <f>Table3[[#This Row],[DueDate]]</f>
        <v>46106</v>
      </c>
      <c r="F1266" s="3">
        <f>Table3[[#This Row],[BillAmount]]</f>
        <v>2805.44</v>
      </c>
      <c r="G1266" s="3">
        <f>SUMIF(Vendor_Payments!C:C,A1266,Vendor_Payments!E:E)</f>
        <v>2805.44</v>
      </c>
      <c r="H1266" s="3">
        <f t="shared" si="57"/>
        <v>0</v>
      </c>
      <c r="I1266">
        <f t="shared" si="58"/>
        <v>-15</v>
      </c>
      <c r="J1266" t="str">
        <f t="shared" si="59"/>
        <v>Current</v>
      </c>
    </row>
    <row r="1267" spans="1:10" x14ac:dyDescent="0.3">
      <c r="A1267" t="str">
        <f>Table3[[#This Row],[BillID]]</f>
        <v>BILL-01266</v>
      </c>
      <c r="B1267" t="str">
        <f>Table3[[#This Row],[VendorID]]</f>
        <v>VEN-010</v>
      </c>
      <c r="C1267" t="str">
        <f>VLOOKUP(B1267,Vendors!A:B,2,FALSE)</f>
        <v>Adobe Creative Cloud</v>
      </c>
      <c r="D1267" s="9">
        <f>Table3[[#This Row],[BillDate]]</f>
        <v>46047</v>
      </c>
      <c r="E1267" s="9">
        <f>Table3[[#This Row],[DueDate]]</f>
        <v>46077</v>
      </c>
      <c r="F1267" s="3">
        <f>Table3[[#This Row],[BillAmount]]</f>
        <v>3489.77</v>
      </c>
      <c r="G1267" s="3">
        <f>SUMIF(Vendor_Payments!C:C,A1267,Vendor_Payments!E:E)</f>
        <v>0</v>
      </c>
      <c r="H1267" s="3">
        <f t="shared" si="57"/>
        <v>3489.77</v>
      </c>
      <c r="I1267">
        <f t="shared" si="58"/>
        <v>14</v>
      </c>
      <c r="J1267" t="str">
        <f t="shared" si="59"/>
        <v>1-30</v>
      </c>
    </row>
    <row r="1268" spans="1:10" x14ac:dyDescent="0.3">
      <c r="A1268" t="str">
        <f>Table3[[#This Row],[BillID]]</f>
        <v>BILL-01267</v>
      </c>
      <c r="B1268" t="str">
        <f>Table3[[#This Row],[VendorID]]</f>
        <v>VEN-025</v>
      </c>
      <c r="C1268" t="str">
        <f>VLOOKUP(B1268,Vendors!A:B,2,FALSE)</f>
        <v>Digital Growth Consultants</v>
      </c>
      <c r="D1268" s="9">
        <f>Table3[[#This Row],[BillDate]]</f>
        <v>46037</v>
      </c>
      <c r="E1268" s="9">
        <f>Table3[[#This Row],[DueDate]]</f>
        <v>46067</v>
      </c>
      <c r="F1268" s="3">
        <f>Table3[[#This Row],[BillAmount]]</f>
        <v>2637.59</v>
      </c>
      <c r="G1268" s="3">
        <f>SUMIF(Vendor_Payments!C:C,A1268,Vendor_Payments!E:E)</f>
        <v>2637.59</v>
      </c>
      <c r="H1268" s="3">
        <f t="shared" si="57"/>
        <v>0</v>
      </c>
      <c r="I1268">
        <f t="shared" si="58"/>
        <v>24</v>
      </c>
      <c r="J1268" t="str">
        <f t="shared" si="59"/>
        <v>1-30</v>
      </c>
    </row>
    <row r="1269" spans="1:10" x14ac:dyDescent="0.3">
      <c r="A1269" t="str">
        <f>Table3[[#This Row],[BillID]]</f>
        <v>BILL-01268</v>
      </c>
      <c r="B1269" t="str">
        <f>Table3[[#This Row],[VendorID]]</f>
        <v>VEN-024</v>
      </c>
      <c r="C1269" t="str">
        <f>VLOOKUP(B1269,Vendors!A:B,2,FALSE)</f>
        <v>Growth Strategy Group</v>
      </c>
      <c r="D1269" s="9">
        <f>Table3[[#This Row],[BillDate]]</f>
        <v>46085</v>
      </c>
      <c r="E1269" s="9">
        <f>Table3[[#This Row],[DueDate]]</f>
        <v>46115</v>
      </c>
      <c r="F1269" s="3">
        <f>Table3[[#This Row],[BillAmount]]</f>
        <v>6749.47</v>
      </c>
      <c r="G1269" s="3">
        <f>SUMIF(Vendor_Payments!C:C,A1269,Vendor_Payments!E:E)</f>
        <v>6749.47</v>
      </c>
      <c r="H1269" s="3">
        <f t="shared" si="57"/>
        <v>0</v>
      </c>
      <c r="I1269">
        <f t="shared" si="58"/>
        <v>-24</v>
      </c>
      <c r="J1269" t="str">
        <f t="shared" si="59"/>
        <v>Current</v>
      </c>
    </row>
    <row r="1270" spans="1:10" x14ac:dyDescent="0.3">
      <c r="A1270" t="str">
        <f>Table3[[#This Row],[BillID]]</f>
        <v>BILL-01269</v>
      </c>
      <c r="B1270" t="str">
        <f>Table3[[#This Row],[VendorID]]</f>
        <v>VEN-005</v>
      </c>
      <c r="C1270" t="str">
        <f>VLOOKUP(B1270,Vendors!A:B,2,FALSE)</f>
        <v>HubSpot</v>
      </c>
      <c r="D1270" s="9">
        <f>Table3[[#This Row],[BillDate]]</f>
        <v>46011</v>
      </c>
      <c r="E1270" s="9">
        <f>Table3[[#This Row],[DueDate]]</f>
        <v>46041</v>
      </c>
      <c r="F1270" s="3">
        <f>Table3[[#This Row],[BillAmount]]</f>
        <v>6494.43</v>
      </c>
      <c r="G1270" s="3">
        <f>SUMIF(Vendor_Payments!C:C,A1270,Vendor_Payments!E:E)</f>
        <v>0</v>
      </c>
      <c r="H1270" s="3">
        <f t="shared" si="57"/>
        <v>6494.43</v>
      </c>
      <c r="I1270">
        <f t="shared" si="58"/>
        <v>50</v>
      </c>
      <c r="J1270" t="str">
        <f t="shared" si="59"/>
        <v>31-60</v>
      </c>
    </row>
    <row r="1271" spans="1:10" x14ac:dyDescent="0.3">
      <c r="A1271" t="str">
        <f>Table3[[#This Row],[BillID]]</f>
        <v>BILL-01270</v>
      </c>
      <c r="B1271" t="str">
        <f>Table3[[#This Row],[VendorID]]</f>
        <v>VEN-029</v>
      </c>
      <c r="C1271" t="str">
        <f>VLOOKUP(B1271,Vendors!A:B,2,FALSE)</f>
        <v>BrightSEO Agency</v>
      </c>
      <c r="D1271" s="9">
        <f>Table3[[#This Row],[BillDate]]</f>
        <v>46083</v>
      </c>
      <c r="E1271" s="9">
        <f>Table3[[#This Row],[DueDate]]</f>
        <v>46113</v>
      </c>
      <c r="F1271" s="3">
        <f>Table3[[#This Row],[BillAmount]]</f>
        <v>1478.03</v>
      </c>
      <c r="G1271" s="3">
        <f>SUMIF(Vendor_Payments!C:C,A1271,Vendor_Payments!E:E)</f>
        <v>0</v>
      </c>
      <c r="H1271" s="3">
        <f t="shared" si="57"/>
        <v>1478.03</v>
      </c>
      <c r="I1271">
        <f t="shared" si="58"/>
        <v>-22</v>
      </c>
      <c r="J1271" t="str">
        <f t="shared" si="59"/>
        <v>Current</v>
      </c>
    </row>
    <row r="1272" spans="1:10" x14ac:dyDescent="0.3">
      <c r="A1272" t="str">
        <f>Table3[[#This Row],[BillID]]</f>
        <v>BILL-01271</v>
      </c>
      <c r="B1272" t="str">
        <f>Table3[[#This Row],[VendorID]]</f>
        <v>VEN-031</v>
      </c>
      <c r="C1272" t="str">
        <f>VLOOKUP(B1272,Vendors!A:B,2,FALSE)</f>
        <v>DataInsight Analytics</v>
      </c>
      <c r="D1272" s="9">
        <f>Table3[[#This Row],[BillDate]]</f>
        <v>46090</v>
      </c>
      <c r="E1272" s="9">
        <f>Table3[[#This Row],[DueDate]]</f>
        <v>46120</v>
      </c>
      <c r="F1272" s="3">
        <f>Table3[[#This Row],[BillAmount]]</f>
        <v>4218.8999999999996</v>
      </c>
      <c r="G1272" s="3">
        <f>SUMIF(Vendor_Payments!C:C,A1272,Vendor_Payments!E:E)</f>
        <v>4218.8999999999996</v>
      </c>
      <c r="H1272" s="3">
        <f t="shared" si="57"/>
        <v>0</v>
      </c>
      <c r="I1272">
        <f t="shared" si="58"/>
        <v>-29</v>
      </c>
      <c r="J1272" t="str">
        <f t="shared" si="59"/>
        <v>Current</v>
      </c>
    </row>
    <row r="1273" spans="1:10" x14ac:dyDescent="0.3">
      <c r="A1273" t="str">
        <f>Table3[[#This Row],[BillID]]</f>
        <v>BILL-01272</v>
      </c>
      <c r="B1273" t="str">
        <f>Table3[[#This Row],[VendorID]]</f>
        <v>VEN-038</v>
      </c>
      <c r="C1273" t="str">
        <f>VLOOKUP(B1273,Vendors!A:B,2,FALSE)</f>
        <v>Insight Marketing Partners</v>
      </c>
      <c r="D1273" s="9">
        <f>Table3[[#This Row],[BillDate]]</f>
        <v>45994</v>
      </c>
      <c r="E1273" s="9">
        <f>Table3[[#This Row],[DueDate]]</f>
        <v>46024</v>
      </c>
      <c r="F1273" s="3">
        <f>Table3[[#This Row],[BillAmount]]</f>
        <v>6735.05</v>
      </c>
      <c r="G1273" s="3">
        <f>SUMIF(Vendor_Payments!C:C,A1273,Vendor_Payments!E:E)</f>
        <v>0</v>
      </c>
      <c r="H1273" s="3">
        <f t="shared" si="57"/>
        <v>6735.05</v>
      </c>
      <c r="I1273">
        <f t="shared" si="58"/>
        <v>67</v>
      </c>
      <c r="J1273" t="str">
        <f t="shared" si="59"/>
        <v>61-90</v>
      </c>
    </row>
    <row r="1274" spans="1:10" x14ac:dyDescent="0.3">
      <c r="A1274" t="str">
        <f>Table3[[#This Row],[BillID]]</f>
        <v>BILL-01273</v>
      </c>
      <c r="B1274" t="str">
        <f>Table3[[#This Row],[VendorID]]</f>
        <v>VEN-023</v>
      </c>
      <c r="C1274" t="str">
        <f>VLOOKUP(B1274,Vendors!A:B,2,FALSE)</f>
        <v>Fiverr Pro</v>
      </c>
      <c r="D1274" s="9">
        <f>Table3[[#This Row],[BillDate]]</f>
        <v>45962</v>
      </c>
      <c r="E1274" s="9">
        <f>Table3[[#This Row],[DueDate]]</f>
        <v>45992</v>
      </c>
      <c r="F1274" s="3">
        <f>Table3[[#This Row],[BillAmount]]</f>
        <v>5768.88</v>
      </c>
      <c r="G1274" s="3">
        <f>SUMIF(Vendor_Payments!C:C,A1274,Vendor_Payments!E:E)</f>
        <v>5768.88</v>
      </c>
      <c r="H1274" s="3">
        <f t="shared" si="57"/>
        <v>0</v>
      </c>
      <c r="I1274">
        <f t="shared" si="58"/>
        <v>99</v>
      </c>
      <c r="J1274" t="str">
        <f t="shared" si="59"/>
        <v>90+</v>
      </c>
    </row>
    <row r="1275" spans="1:10" x14ac:dyDescent="0.3">
      <c r="A1275" t="str">
        <f>Table3[[#This Row],[BillID]]</f>
        <v>BILL-01274</v>
      </c>
      <c r="B1275" t="str">
        <f>Table3[[#This Row],[VendorID]]</f>
        <v>VEN-008</v>
      </c>
      <c r="C1275" t="str">
        <f>VLOOKUP(B1275,Vendors!A:B,2,FALSE)</f>
        <v>Ahrefs</v>
      </c>
      <c r="D1275" s="9">
        <f>Table3[[#This Row],[BillDate]]</f>
        <v>45989</v>
      </c>
      <c r="E1275" s="9">
        <f>Table3[[#This Row],[DueDate]]</f>
        <v>46019</v>
      </c>
      <c r="F1275" s="3">
        <f>Table3[[#This Row],[BillAmount]]</f>
        <v>6017.38</v>
      </c>
      <c r="G1275" s="3">
        <f>SUMIF(Vendor_Payments!C:C,A1275,Vendor_Payments!E:E)</f>
        <v>6017.38</v>
      </c>
      <c r="H1275" s="3">
        <f t="shared" si="57"/>
        <v>0</v>
      </c>
      <c r="I1275">
        <f t="shared" si="58"/>
        <v>72</v>
      </c>
      <c r="J1275" t="str">
        <f t="shared" si="59"/>
        <v>61-90</v>
      </c>
    </row>
    <row r="1276" spans="1:10" x14ac:dyDescent="0.3">
      <c r="A1276" t="str">
        <f>Table3[[#This Row],[BillID]]</f>
        <v>BILL-01275</v>
      </c>
      <c r="B1276" t="str">
        <f>Table3[[#This Row],[VendorID]]</f>
        <v>VEN-004</v>
      </c>
      <c r="C1276" t="str">
        <f>VLOOKUP(B1276,Vendors!A:B,2,FALSE)</f>
        <v>LinkedIn Ads</v>
      </c>
      <c r="D1276" s="9">
        <f>Table3[[#This Row],[BillDate]]</f>
        <v>46075</v>
      </c>
      <c r="E1276" s="9">
        <f>Table3[[#This Row],[DueDate]]</f>
        <v>46105</v>
      </c>
      <c r="F1276" s="3">
        <f>Table3[[#This Row],[BillAmount]]</f>
        <v>6212.83</v>
      </c>
      <c r="G1276" s="3">
        <f>SUMIF(Vendor_Payments!C:C,A1276,Vendor_Payments!E:E)</f>
        <v>6212.83</v>
      </c>
      <c r="H1276" s="3">
        <f t="shared" si="57"/>
        <v>0</v>
      </c>
      <c r="I1276">
        <f t="shared" si="58"/>
        <v>-14</v>
      </c>
      <c r="J1276" t="str">
        <f t="shared" si="59"/>
        <v>Current</v>
      </c>
    </row>
    <row r="1277" spans="1:10" x14ac:dyDescent="0.3">
      <c r="A1277" t="str">
        <f>Table3[[#This Row],[BillID]]</f>
        <v>BILL-01276</v>
      </c>
      <c r="B1277" t="str">
        <f>Table3[[#This Row],[VendorID]]</f>
        <v>VEN-039</v>
      </c>
      <c r="C1277" t="str">
        <f>VLOOKUP(B1277,Vendors!A:B,2,FALSE)</f>
        <v>Global Growth Advisors</v>
      </c>
      <c r="D1277" s="9">
        <f>Table3[[#This Row],[BillDate]]</f>
        <v>46029</v>
      </c>
      <c r="E1277" s="9">
        <f>Table3[[#This Row],[DueDate]]</f>
        <v>46059</v>
      </c>
      <c r="F1277" s="3">
        <f>Table3[[#This Row],[BillAmount]]</f>
        <v>1938.54</v>
      </c>
      <c r="G1277" s="3">
        <f>SUMIF(Vendor_Payments!C:C,A1277,Vendor_Payments!E:E)</f>
        <v>1938.54</v>
      </c>
      <c r="H1277" s="3">
        <f t="shared" si="57"/>
        <v>0</v>
      </c>
      <c r="I1277">
        <f t="shared" si="58"/>
        <v>32</v>
      </c>
      <c r="J1277" t="str">
        <f t="shared" si="59"/>
        <v>31-60</v>
      </c>
    </row>
    <row r="1278" spans="1:10" x14ac:dyDescent="0.3">
      <c r="A1278" t="str">
        <f>Table3[[#This Row],[BillID]]</f>
        <v>BILL-01277</v>
      </c>
      <c r="B1278" t="str">
        <f>Table3[[#This Row],[VendorID]]</f>
        <v>VEN-012</v>
      </c>
      <c r="C1278" t="str">
        <f>VLOOKUP(B1278,Vendors!A:B,2,FALSE)</f>
        <v>Google Cloud</v>
      </c>
      <c r="D1278" s="9">
        <f>Table3[[#This Row],[BillDate]]</f>
        <v>46056</v>
      </c>
      <c r="E1278" s="9">
        <f>Table3[[#This Row],[DueDate]]</f>
        <v>46086</v>
      </c>
      <c r="F1278" s="3">
        <f>Table3[[#This Row],[BillAmount]]</f>
        <v>4041.69</v>
      </c>
      <c r="G1278" s="3">
        <f>SUMIF(Vendor_Payments!C:C,A1278,Vendor_Payments!E:E)</f>
        <v>4041.69</v>
      </c>
      <c r="H1278" s="3">
        <f t="shared" si="57"/>
        <v>0</v>
      </c>
      <c r="I1278">
        <f t="shared" si="58"/>
        <v>5</v>
      </c>
      <c r="J1278" t="str">
        <f t="shared" si="59"/>
        <v>1-30</v>
      </c>
    </row>
    <row r="1279" spans="1:10" x14ac:dyDescent="0.3">
      <c r="A1279" t="str">
        <f>Table3[[#This Row],[BillID]]</f>
        <v>BILL-01278</v>
      </c>
      <c r="B1279" t="str">
        <f>Table3[[#This Row],[VendorID]]</f>
        <v>VEN-023</v>
      </c>
      <c r="C1279" t="str">
        <f>VLOOKUP(B1279,Vendors!A:B,2,FALSE)</f>
        <v>Fiverr Pro</v>
      </c>
      <c r="D1279" s="9">
        <f>Table3[[#This Row],[BillDate]]</f>
        <v>46036</v>
      </c>
      <c r="E1279" s="9">
        <f>Table3[[#This Row],[DueDate]]</f>
        <v>46066</v>
      </c>
      <c r="F1279" s="3">
        <f>Table3[[#This Row],[BillAmount]]</f>
        <v>4764.6000000000004</v>
      </c>
      <c r="G1279" s="3">
        <f>SUMIF(Vendor_Payments!C:C,A1279,Vendor_Payments!E:E)</f>
        <v>0</v>
      </c>
      <c r="H1279" s="3">
        <f t="shared" si="57"/>
        <v>4764.6000000000004</v>
      </c>
      <c r="I1279">
        <f t="shared" si="58"/>
        <v>25</v>
      </c>
      <c r="J1279" t="str">
        <f t="shared" si="59"/>
        <v>1-30</v>
      </c>
    </row>
    <row r="1280" spans="1:10" x14ac:dyDescent="0.3">
      <c r="A1280" t="str">
        <f>Table3[[#This Row],[BillID]]</f>
        <v>BILL-01279</v>
      </c>
      <c r="B1280" t="str">
        <f>Table3[[#This Row],[VendorID]]</f>
        <v>VEN-002</v>
      </c>
      <c r="C1280" t="str">
        <f>VLOOKUP(B1280,Vendors!A:B,2,FALSE)</f>
        <v>Meta Ads</v>
      </c>
      <c r="D1280" s="9">
        <f>Table3[[#This Row],[BillDate]]</f>
        <v>45986</v>
      </c>
      <c r="E1280" s="9">
        <f>Table3[[#This Row],[DueDate]]</f>
        <v>46016</v>
      </c>
      <c r="F1280" s="3">
        <f>Table3[[#This Row],[BillAmount]]</f>
        <v>5598.44</v>
      </c>
      <c r="G1280" s="3">
        <f>SUMIF(Vendor_Payments!C:C,A1280,Vendor_Payments!E:E)</f>
        <v>5598.44</v>
      </c>
      <c r="H1280" s="3">
        <f t="shared" si="57"/>
        <v>0</v>
      </c>
      <c r="I1280">
        <f t="shared" si="58"/>
        <v>75</v>
      </c>
      <c r="J1280" t="str">
        <f t="shared" si="59"/>
        <v>61-90</v>
      </c>
    </row>
    <row r="1281" spans="1:10" x14ac:dyDescent="0.3">
      <c r="A1281" t="str">
        <f>Table3[[#This Row],[BillID]]</f>
        <v>BILL-01280</v>
      </c>
      <c r="B1281" t="str">
        <f>Table3[[#This Row],[VendorID]]</f>
        <v>VEN-007</v>
      </c>
      <c r="C1281" t="str">
        <f>VLOOKUP(B1281,Vendors!A:B,2,FALSE)</f>
        <v>Mailchimp</v>
      </c>
      <c r="D1281" s="9">
        <f>Table3[[#This Row],[BillDate]]</f>
        <v>46068</v>
      </c>
      <c r="E1281" s="9">
        <f>Table3[[#This Row],[DueDate]]</f>
        <v>46098</v>
      </c>
      <c r="F1281" s="3">
        <f>Table3[[#This Row],[BillAmount]]</f>
        <v>5332.74</v>
      </c>
      <c r="G1281" s="3">
        <f>SUMIF(Vendor_Payments!C:C,A1281,Vendor_Payments!E:E)</f>
        <v>5332.74</v>
      </c>
      <c r="H1281" s="3">
        <f t="shared" si="57"/>
        <v>0</v>
      </c>
      <c r="I1281">
        <f t="shared" si="58"/>
        <v>-7</v>
      </c>
      <c r="J1281" t="str">
        <f t="shared" si="59"/>
        <v>Current</v>
      </c>
    </row>
    <row r="1282" spans="1:10" x14ac:dyDescent="0.3">
      <c r="A1282" t="str">
        <f>Table3[[#This Row],[BillID]]</f>
        <v>BILL-01281</v>
      </c>
      <c r="B1282" t="str">
        <f>Table3[[#This Row],[VendorID]]</f>
        <v>VEN-005</v>
      </c>
      <c r="C1282" t="str">
        <f>VLOOKUP(B1282,Vendors!A:B,2,FALSE)</f>
        <v>HubSpot</v>
      </c>
      <c r="D1282" s="9">
        <f>Table3[[#This Row],[BillDate]]</f>
        <v>45979</v>
      </c>
      <c r="E1282" s="9">
        <f>Table3[[#This Row],[DueDate]]</f>
        <v>46009</v>
      </c>
      <c r="F1282" s="3">
        <f>Table3[[#This Row],[BillAmount]]</f>
        <v>4791.2299999999996</v>
      </c>
      <c r="G1282" s="3">
        <f>SUMIF(Vendor_Payments!C:C,A1282,Vendor_Payments!E:E)</f>
        <v>4791.2299999999996</v>
      </c>
      <c r="H1282" s="3">
        <f t="shared" si="57"/>
        <v>0</v>
      </c>
      <c r="I1282">
        <f t="shared" si="58"/>
        <v>82</v>
      </c>
      <c r="J1282" t="str">
        <f t="shared" si="59"/>
        <v>61-90</v>
      </c>
    </row>
    <row r="1283" spans="1:10" x14ac:dyDescent="0.3">
      <c r="A1283" t="str">
        <f>Table3[[#This Row],[BillID]]</f>
        <v>BILL-01282</v>
      </c>
      <c r="B1283" t="str">
        <f>Table3[[#This Row],[VendorID]]</f>
        <v>VEN-032</v>
      </c>
      <c r="C1283" t="str">
        <f>VLOOKUP(B1283,Vendors!A:B,2,FALSE)</f>
        <v>Marketing Automation Labs</v>
      </c>
      <c r="D1283" s="9">
        <f>Table3[[#This Row],[BillDate]]</f>
        <v>46048</v>
      </c>
      <c r="E1283" s="9">
        <f>Table3[[#This Row],[DueDate]]</f>
        <v>46078</v>
      </c>
      <c r="F1283" s="3">
        <f>Table3[[#This Row],[BillAmount]]</f>
        <v>2506.4699999999998</v>
      </c>
      <c r="G1283" s="3">
        <f>SUMIF(Vendor_Payments!C:C,A1283,Vendor_Payments!E:E)</f>
        <v>2506.4699999999998</v>
      </c>
      <c r="H1283" s="3">
        <f t="shared" ref="H1283:H1346" si="60">F1283-G1283</f>
        <v>0</v>
      </c>
      <c r="I1283">
        <f t="shared" ref="I1283:I1346" si="61">$L$1-E1283</f>
        <v>13</v>
      </c>
      <c r="J1283" t="str">
        <f t="shared" ref="J1283:J1346" si="62">IF(I1283&lt;=0,"Current",IF(I1283&lt;=30,"1-30",IF(I1283&lt;=60,"31-60",IF(I1283&lt;=90,"61-90","90+"))))</f>
        <v>1-30</v>
      </c>
    </row>
    <row r="1284" spans="1:10" x14ac:dyDescent="0.3">
      <c r="A1284" t="str">
        <f>Table3[[#This Row],[BillID]]</f>
        <v>BILL-01283</v>
      </c>
      <c r="B1284" t="str">
        <f>Table3[[#This Row],[VendorID]]</f>
        <v>VEN-039</v>
      </c>
      <c r="C1284" t="str">
        <f>VLOOKUP(B1284,Vendors!A:B,2,FALSE)</f>
        <v>Global Growth Advisors</v>
      </c>
      <c r="D1284" s="9">
        <f>Table3[[#This Row],[BillDate]]</f>
        <v>46067</v>
      </c>
      <c r="E1284" s="9">
        <f>Table3[[#This Row],[DueDate]]</f>
        <v>46097</v>
      </c>
      <c r="F1284" s="3">
        <f>Table3[[#This Row],[BillAmount]]</f>
        <v>2936.7</v>
      </c>
      <c r="G1284" s="3">
        <f>SUMIF(Vendor_Payments!C:C,A1284,Vendor_Payments!E:E)</f>
        <v>0</v>
      </c>
      <c r="H1284" s="3">
        <f t="shared" si="60"/>
        <v>2936.7</v>
      </c>
      <c r="I1284">
        <f t="shared" si="61"/>
        <v>-6</v>
      </c>
      <c r="J1284" t="str">
        <f t="shared" si="62"/>
        <v>Current</v>
      </c>
    </row>
    <row r="1285" spans="1:10" x14ac:dyDescent="0.3">
      <c r="A1285" t="str">
        <f>Table3[[#This Row],[BillID]]</f>
        <v>BILL-01284</v>
      </c>
      <c r="B1285" t="str">
        <f>Table3[[#This Row],[VendorID]]</f>
        <v>VEN-013</v>
      </c>
      <c r="C1285" t="str">
        <f>VLOOKUP(B1285,Vendors!A:B,2,FALSE)</f>
        <v>Canva Pro</v>
      </c>
      <c r="D1285" s="9">
        <f>Table3[[#This Row],[BillDate]]</f>
        <v>45970</v>
      </c>
      <c r="E1285" s="9">
        <f>Table3[[#This Row],[DueDate]]</f>
        <v>46000</v>
      </c>
      <c r="F1285" s="3">
        <f>Table3[[#This Row],[BillAmount]]</f>
        <v>3330.06</v>
      </c>
      <c r="G1285" s="3">
        <f>SUMIF(Vendor_Payments!C:C,A1285,Vendor_Payments!E:E)</f>
        <v>3330.06</v>
      </c>
      <c r="H1285" s="3">
        <f t="shared" si="60"/>
        <v>0</v>
      </c>
      <c r="I1285">
        <f t="shared" si="61"/>
        <v>91</v>
      </c>
      <c r="J1285" t="str">
        <f t="shared" si="62"/>
        <v>90+</v>
      </c>
    </row>
    <row r="1286" spans="1:10" x14ac:dyDescent="0.3">
      <c r="A1286" t="str">
        <f>Table3[[#This Row],[BillID]]</f>
        <v>BILL-01285</v>
      </c>
      <c r="B1286" t="str">
        <f>Table3[[#This Row],[VendorID]]</f>
        <v>VEN-036</v>
      </c>
      <c r="C1286" t="str">
        <f>VLOOKUP(B1286,Vendors!A:B,2,FALSE)</f>
        <v>WebDev Masters</v>
      </c>
      <c r="D1286" s="9">
        <f>Table3[[#This Row],[BillDate]]</f>
        <v>45986</v>
      </c>
      <c r="E1286" s="9">
        <f>Table3[[#This Row],[DueDate]]</f>
        <v>46016</v>
      </c>
      <c r="F1286" s="3">
        <f>Table3[[#This Row],[BillAmount]]</f>
        <v>897.2</v>
      </c>
      <c r="G1286" s="3">
        <f>SUMIF(Vendor_Payments!C:C,A1286,Vendor_Payments!E:E)</f>
        <v>897.2</v>
      </c>
      <c r="H1286" s="3">
        <f t="shared" si="60"/>
        <v>0</v>
      </c>
      <c r="I1286">
        <f t="shared" si="61"/>
        <v>75</v>
      </c>
      <c r="J1286" t="str">
        <f t="shared" si="62"/>
        <v>61-90</v>
      </c>
    </row>
    <row r="1287" spans="1:10" x14ac:dyDescent="0.3">
      <c r="A1287" t="str">
        <f>Table3[[#This Row],[BillID]]</f>
        <v>BILL-01286</v>
      </c>
      <c r="B1287" t="str">
        <f>Table3[[#This Row],[VendorID]]</f>
        <v>VEN-032</v>
      </c>
      <c r="C1287" t="str">
        <f>VLOOKUP(B1287,Vendors!A:B,2,FALSE)</f>
        <v>Marketing Automation Labs</v>
      </c>
      <c r="D1287" s="9">
        <f>Table3[[#This Row],[BillDate]]</f>
        <v>46082</v>
      </c>
      <c r="E1287" s="9">
        <f>Table3[[#This Row],[DueDate]]</f>
        <v>46112</v>
      </c>
      <c r="F1287" s="3">
        <f>Table3[[#This Row],[BillAmount]]</f>
        <v>4761.42</v>
      </c>
      <c r="G1287" s="3">
        <f>SUMIF(Vendor_Payments!C:C,A1287,Vendor_Payments!E:E)</f>
        <v>4761.42</v>
      </c>
      <c r="H1287" s="3">
        <f t="shared" si="60"/>
        <v>0</v>
      </c>
      <c r="I1287">
        <f t="shared" si="61"/>
        <v>-21</v>
      </c>
      <c r="J1287" t="str">
        <f t="shared" si="62"/>
        <v>Current</v>
      </c>
    </row>
    <row r="1288" spans="1:10" x14ac:dyDescent="0.3">
      <c r="A1288" t="str">
        <f>Table3[[#This Row],[BillID]]</f>
        <v>BILL-01287</v>
      </c>
      <c r="B1288" t="str">
        <f>Table3[[#This Row],[VendorID]]</f>
        <v>VEN-012</v>
      </c>
      <c r="C1288" t="str">
        <f>VLOOKUP(B1288,Vendors!A:B,2,FALSE)</f>
        <v>Google Cloud</v>
      </c>
      <c r="D1288" s="9">
        <f>Table3[[#This Row],[BillDate]]</f>
        <v>46042</v>
      </c>
      <c r="E1288" s="9">
        <f>Table3[[#This Row],[DueDate]]</f>
        <v>46072</v>
      </c>
      <c r="F1288" s="3">
        <f>Table3[[#This Row],[BillAmount]]</f>
        <v>6409.13</v>
      </c>
      <c r="G1288" s="3">
        <f>SUMIF(Vendor_Payments!C:C,A1288,Vendor_Payments!E:E)</f>
        <v>6409.13</v>
      </c>
      <c r="H1288" s="3">
        <f t="shared" si="60"/>
        <v>0</v>
      </c>
      <c r="I1288">
        <f t="shared" si="61"/>
        <v>19</v>
      </c>
      <c r="J1288" t="str">
        <f t="shared" si="62"/>
        <v>1-30</v>
      </c>
    </row>
    <row r="1289" spans="1:10" x14ac:dyDescent="0.3">
      <c r="A1289" t="str">
        <f>Table3[[#This Row],[BillID]]</f>
        <v>BILL-01288</v>
      </c>
      <c r="B1289" t="str">
        <f>Table3[[#This Row],[VendorID]]</f>
        <v>VEN-017</v>
      </c>
      <c r="C1289" t="str">
        <f>VLOOKUP(B1289,Vendors!A:B,2,FALSE)</f>
        <v>PayPal</v>
      </c>
      <c r="D1289" s="9">
        <f>Table3[[#This Row],[BillDate]]</f>
        <v>46019</v>
      </c>
      <c r="E1289" s="9">
        <f>Table3[[#This Row],[DueDate]]</f>
        <v>46049</v>
      </c>
      <c r="F1289" s="3">
        <f>Table3[[#This Row],[BillAmount]]</f>
        <v>5150.84</v>
      </c>
      <c r="G1289" s="3">
        <f>SUMIF(Vendor_Payments!C:C,A1289,Vendor_Payments!E:E)</f>
        <v>5150.84</v>
      </c>
      <c r="H1289" s="3">
        <f t="shared" si="60"/>
        <v>0</v>
      </c>
      <c r="I1289">
        <f t="shared" si="61"/>
        <v>42</v>
      </c>
      <c r="J1289" t="str">
        <f t="shared" si="62"/>
        <v>31-60</v>
      </c>
    </row>
    <row r="1290" spans="1:10" x14ac:dyDescent="0.3">
      <c r="A1290" t="str">
        <f>Table3[[#This Row],[BillID]]</f>
        <v>BILL-01289</v>
      </c>
      <c r="B1290" t="str">
        <f>Table3[[#This Row],[VendorID]]</f>
        <v>VEN-031</v>
      </c>
      <c r="C1290" t="str">
        <f>VLOOKUP(B1290,Vendors!A:B,2,FALSE)</f>
        <v>DataInsight Analytics</v>
      </c>
      <c r="D1290" s="9">
        <f>Table3[[#This Row],[BillDate]]</f>
        <v>46069</v>
      </c>
      <c r="E1290" s="9">
        <f>Table3[[#This Row],[DueDate]]</f>
        <v>46099</v>
      </c>
      <c r="F1290" s="3">
        <f>Table3[[#This Row],[BillAmount]]</f>
        <v>6660.18</v>
      </c>
      <c r="G1290" s="3">
        <f>SUMIF(Vendor_Payments!C:C,A1290,Vendor_Payments!E:E)</f>
        <v>0</v>
      </c>
      <c r="H1290" s="3">
        <f t="shared" si="60"/>
        <v>6660.18</v>
      </c>
      <c r="I1290">
        <f t="shared" si="61"/>
        <v>-8</v>
      </c>
      <c r="J1290" t="str">
        <f t="shared" si="62"/>
        <v>Current</v>
      </c>
    </row>
    <row r="1291" spans="1:10" x14ac:dyDescent="0.3">
      <c r="A1291" t="str">
        <f>Table3[[#This Row],[BillID]]</f>
        <v>BILL-01290</v>
      </c>
      <c r="B1291" t="str">
        <f>Table3[[#This Row],[VendorID]]</f>
        <v>VEN-021</v>
      </c>
      <c r="C1291" t="str">
        <f>VLOOKUP(B1291,Vendors!A:B,2,FALSE)</f>
        <v>Upwork Freelancers</v>
      </c>
      <c r="D1291" s="9">
        <f>Table3[[#This Row],[BillDate]]</f>
        <v>46018</v>
      </c>
      <c r="E1291" s="9">
        <f>Table3[[#This Row],[DueDate]]</f>
        <v>46048</v>
      </c>
      <c r="F1291" s="3">
        <f>Table3[[#This Row],[BillAmount]]</f>
        <v>3867.87</v>
      </c>
      <c r="G1291" s="3">
        <f>SUMIF(Vendor_Payments!C:C,A1291,Vendor_Payments!E:E)</f>
        <v>0</v>
      </c>
      <c r="H1291" s="3">
        <f t="shared" si="60"/>
        <v>3867.87</v>
      </c>
      <c r="I1291">
        <f t="shared" si="61"/>
        <v>43</v>
      </c>
      <c r="J1291" t="str">
        <f t="shared" si="62"/>
        <v>31-60</v>
      </c>
    </row>
    <row r="1292" spans="1:10" x14ac:dyDescent="0.3">
      <c r="A1292" t="str">
        <f>Table3[[#This Row],[BillID]]</f>
        <v>BILL-01291</v>
      </c>
      <c r="B1292" t="str">
        <f>Table3[[#This Row],[VendorID]]</f>
        <v>VEN-018</v>
      </c>
      <c r="C1292" t="str">
        <f>VLOOKUP(B1292,Vendors!A:B,2,FALSE)</f>
        <v>Cloudflare</v>
      </c>
      <c r="D1292" s="9">
        <f>Table3[[#This Row],[BillDate]]</f>
        <v>45991</v>
      </c>
      <c r="E1292" s="9">
        <f>Table3[[#This Row],[DueDate]]</f>
        <v>46021</v>
      </c>
      <c r="F1292" s="3">
        <f>Table3[[#This Row],[BillAmount]]</f>
        <v>2691.47</v>
      </c>
      <c r="G1292" s="3">
        <f>SUMIF(Vendor_Payments!C:C,A1292,Vendor_Payments!E:E)</f>
        <v>0</v>
      </c>
      <c r="H1292" s="3">
        <f t="shared" si="60"/>
        <v>2691.47</v>
      </c>
      <c r="I1292">
        <f t="shared" si="61"/>
        <v>70</v>
      </c>
      <c r="J1292" t="str">
        <f t="shared" si="62"/>
        <v>61-90</v>
      </c>
    </row>
    <row r="1293" spans="1:10" x14ac:dyDescent="0.3">
      <c r="A1293" t="str">
        <f>Table3[[#This Row],[BillID]]</f>
        <v>BILL-01292</v>
      </c>
      <c r="B1293" t="str">
        <f>Table3[[#This Row],[VendorID]]</f>
        <v>VEN-027</v>
      </c>
      <c r="C1293" t="str">
        <f>VLOOKUP(B1293,Vendors!A:B,2,FALSE)</f>
        <v>DevCraft Agency</v>
      </c>
      <c r="D1293" s="9">
        <f>Table3[[#This Row],[BillDate]]</f>
        <v>46084</v>
      </c>
      <c r="E1293" s="9">
        <f>Table3[[#This Row],[DueDate]]</f>
        <v>46114</v>
      </c>
      <c r="F1293" s="3">
        <f>Table3[[#This Row],[BillAmount]]</f>
        <v>5005.3900000000003</v>
      </c>
      <c r="G1293" s="3">
        <f>SUMIF(Vendor_Payments!C:C,A1293,Vendor_Payments!E:E)</f>
        <v>0</v>
      </c>
      <c r="H1293" s="3">
        <f t="shared" si="60"/>
        <v>5005.3900000000003</v>
      </c>
      <c r="I1293">
        <f t="shared" si="61"/>
        <v>-23</v>
      </c>
      <c r="J1293" t="str">
        <f t="shared" si="62"/>
        <v>Current</v>
      </c>
    </row>
    <row r="1294" spans="1:10" x14ac:dyDescent="0.3">
      <c r="A1294" t="str">
        <f>Table3[[#This Row],[BillID]]</f>
        <v>BILL-01293</v>
      </c>
      <c r="B1294" t="str">
        <f>Table3[[#This Row],[VendorID]]</f>
        <v>VEN-025</v>
      </c>
      <c r="C1294" t="str">
        <f>VLOOKUP(B1294,Vendors!A:B,2,FALSE)</f>
        <v>Digital Growth Consultants</v>
      </c>
      <c r="D1294" s="9">
        <f>Table3[[#This Row],[BillDate]]</f>
        <v>46002</v>
      </c>
      <c r="E1294" s="9">
        <f>Table3[[#This Row],[DueDate]]</f>
        <v>46032</v>
      </c>
      <c r="F1294" s="3">
        <f>Table3[[#This Row],[BillAmount]]</f>
        <v>4165.05</v>
      </c>
      <c r="G1294" s="3">
        <f>SUMIF(Vendor_Payments!C:C,A1294,Vendor_Payments!E:E)</f>
        <v>4165.05</v>
      </c>
      <c r="H1294" s="3">
        <f t="shared" si="60"/>
        <v>0</v>
      </c>
      <c r="I1294">
        <f t="shared" si="61"/>
        <v>59</v>
      </c>
      <c r="J1294" t="str">
        <f t="shared" si="62"/>
        <v>31-60</v>
      </c>
    </row>
    <row r="1295" spans="1:10" x14ac:dyDescent="0.3">
      <c r="A1295" t="str">
        <f>Table3[[#This Row],[BillID]]</f>
        <v>BILL-01294</v>
      </c>
      <c r="B1295" t="str">
        <f>Table3[[#This Row],[VendorID]]</f>
        <v>VEN-020</v>
      </c>
      <c r="C1295" t="str">
        <f>VLOOKUP(B1295,Vendors!A:B,2,FALSE)</f>
        <v>Slack</v>
      </c>
      <c r="D1295" s="9">
        <f>Table3[[#This Row],[BillDate]]</f>
        <v>46043</v>
      </c>
      <c r="E1295" s="9">
        <f>Table3[[#This Row],[DueDate]]</f>
        <v>46073</v>
      </c>
      <c r="F1295" s="3">
        <f>Table3[[#This Row],[BillAmount]]</f>
        <v>2369.54</v>
      </c>
      <c r="G1295" s="3">
        <f>SUMIF(Vendor_Payments!C:C,A1295,Vendor_Payments!E:E)</f>
        <v>2369.54</v>
      </c>
      <c r="H1295" s="3">
        <f t="shared" si="60"/>
        <v>0</v>
      </c>
      <c r="I1295">
        <f t="shared" si="61"/>
        <v>18</v>
      </c>
      <c r="J1295" t="str">
        <f t="shared" si="62"/>
        <v>1-30</v>
      </c>
    </row>
    <row r="1296" spans="1:10" x14ac:dyDescent="0.3">
      <c r="A1296" t="str">
        <f>Table3[[#This Row],[BillID]]</f>
        <v>BILL-01295</v>
      </c>
      <c r="B1296" t="str">
        <f>Table3[[#This Row],[VendorID]]</f>
        <v>VEN-005</v>
      </c>
      <c r="C1296" t="str">
        <f>VLOOKUP(B1296,Vendors!A:B,2,FALSE)</f>
        <v>HubSpot</v>
      </c>
      <c r="D1296" s="9">
        <f>Table3[[#This Row],[BillDate]]</f>
        <v>46084</v>
      </c>
      <c r="E1296" s="9">
        <f>Table3[[#This Row],[DueDate]]</f>
        <v>46114</v>
      </c>
      <c r="F1296" s="3">
        <f>Table3[[#This Row],[BillAmount]]</f>
        <v>2540.2600000000002</v>
      </c>
      <c r="G1296" s="3">
        <f>SUMIF(Vendor_Payments!C:C,A1296,Vendor_Payments!E:E)</f>
        <v>2540.2600000000002</v>
      </c>
      <c r="H1296" s="3">
        <f t="shared" si="60"/>
        <v>0</v>
      </c>
      <c r="I1296">
        <f t="shared" si="61"/>
        <v>-23</v>
      </c>
      <c r="J1296" t="str">
        <f t="shared" si="62"/>
        <v>Current</v>
      </c>
    </row>
    <row r="1297" spans="1:10" x14ac:dyDescent="0.3">
      <c r="A1297" t="str">
        <f>Table3[[#This Row],[BillID]]</f>
        <v>BILL-01296</v>
      </c>
      <c r="B1297" t="str">
        <f>Table3[[#This Row],[VendorID]]</f>
        <v>VEN-027</v>
      </c>
      <c r="C1297" t="str">
        <f>VLOOKUP(B1297,Vendors!A:B,2,FALSE)</f>
        <v>DevCraft Agency</v>
      </c>
      <c r="D1297" s="9">
        <f>Table3[[#This Row],[BillDate]]</f>
        <v>46082</v>
      </c>
      <c r="E1297" s="9">
        <f>Table3[[#This Row],[DueDate]]</f>
        <v>46112</v>
      </c>
      <c r="F1297" s="3">
        <f>Table3[[#This Row],[BillAmount]]</f>
        <v>2994.4</v>
      </c>
      <c r="G1297" s="3">
        <f>SUMIF(Vendor_Payments!C:C,A1297,Vendor_Payments!E:E)</f>
        <v>0</v>
      </c>
      <c r="H1297" s="3">
        <f t="shared" si="60"/>
        <v>2994.4</v>
      </c>
      <c r="I1297">
        <f t="shared" si="61"/>
        <v>-21</v>
      </c>
      <c r="J1297" t="str">
        <f t="shared" si="62"/>
        <v>Current</v>
      </c>
    </row>
    <row r="1298" spans="1:10" x14ac:dyDescent="0.3">
      <c r="A1298" t="str">
        <f>Table3[[#This Row],[BillID]]</f>
        <v>BILL-01297</v>
      </c>
      <c r="B1298" t="str">
        <f>Table3[[#This Row],[VendorID]]</f>
        <v>VEN-018</v>
      </c>
      <c r="C1298" t="str">
        <f>VLOOKUP(B1298,Vendors!A:B,2,FALSE)</f>
        <v>Cloudflare</v>
      </c>
      <c r="D1298" s="9">
        <f>Table3[[#This Row],[BillDate]]</f>
        <v>45992</v>
      </c>
      <c r="E1298" s="9">
        <f>Table3[[#This Row],[DueDate]]</f>
        <v>46022</v>
      </c>
      <c r="F1298" s="3">
        <f>Table3[[#This Row],[BillAmount]]</f>
        <v>3941.39</v>
      </c>
      <c r="G1298" s="3">
        <f>SUMIF(Vendor_Payments!C:C,A1298,Vendor_Payments!E:E)</f>
        <v>0</v>
      </c>
      <c r="H1298" s="3">
        <f t="shared" si="60"/>
        <v>3941.39</v>
      </c>
      <c r="I1298">
        <f t="shared" si="61"/>
        <v>69</v>
      </c>
      <c r="J1298" t="str">
        <f t="shared" si="62"/>
        <v>61-90</v>
      </c>
    </row>
    <row r="1299" spans="1:10" x14ac:dyDescent="0.3">
      <c r="A1299" t="str">
        <f>Table3[[#This Row],[BillID]]</f>
        <v>BILL-01298</v>
      </c>
      <c r="B1299" t="str">
        <f>Table3[[#This Row],[VendorID]]</f>
        <v>VEN-015</v>
      </c>
      <c r="C1299" t="str">
        <f>VLOOKUP(B1299,Vendors!A:B,2,FALSE)</f>
        <v>Zapier</v>
      </c>
      <c r="D1299" s="9">
        <f>Table3[[#This Row],[BillDate]]</f>
        <v>46042</v>
      </c>
      <c r="E1299" s="9">
        <f>Table3[[#This Row],[DueDate]]</f>
        <v>46072</v>
      </c>
      <c r="F1299" s="3">
        <f>Table3[[#This Row],[BillAmount]]</f>
        <v>4900.37</v>
      </c>
      <c r="G1299" s="3">
        <f>SUMIF(Vendor_Payments!C:C,A1299,Vendor_Payments!E:E)</f>
        <v>0</v>
      </c>
      <c r="H1299" s="3">
        <f t="shared" si="60"/>
        <v>4900.37</v>
      </c>
      <c r="I1299">
        <f t="shared" si="61"/>
        <v>19</v>
      </c>
      <c r="J1299" t="str">
        <f t="shared" si="62"/>
        <v>1-30</v>
      </c>
    </row>
    <row r="1300" spans="1:10" x14ac:dyDescent="0.3">
      <c r="A1300" t="str">
        <f>Table3[[#This Row],[BillID]]</f>
        <v>BILL-01299</v>
      </c>
      <c r="B1300" t="str">
        <f>Table3[[#This Row],[VendorID]]</f>
        <v>VEN-028</v>
      </c>
      <c r="C1300" t="str">
        <f>VLOOKUP(B1300,Vendors!A:B,2,FALSE)</f>
        <v>MarketEdge Consulting</v>
      </c>
      <c r="D1300" s="9">
        <f>Table3[[#This Row],[BillDate]]</f>
        <v>46078</v>
      </c>
      <c r="E1300" s="9">
        <f>Table3[[#This Row],[DueDate]]</f>
        <v>46108</v>
      </c>
      <c r="F1300" s="3">
        <f>Table3[[#This Row],[BillAmount]]</f>
        <v>4705.88</v>
      </c>
      <c r="G1300" s="3">
        <f>SUMIF(Vendor_Payments!C:C,A1300,Vendor_Payments!E:E)</f>
        <v>0</v>
      </c>
      <c r="H1300" s="3">
        <f t="shared" si="60"/>
        <v>4705.88</v>
      </c>
      <c r="I1300">
        <f t="shared" si="61"/>
        <v>-17</v>
      </c>
      <c r="J1300" t="str">
        <f t="shared" si="62"/>
        <v>Current</v>
      </c>
    </row>
    <row r="1301" spans="1:10" x14ac:dyDescent="0.3">
      <c r="A1301" t="str">
        <f>Table3[[#This Row],[BillID]]</f>
        <v>BILL-01300</v>
      </c>
      <c r="B1301" t="str">
        <f>Table3[[#This Row],[VendorID]]</f>
        <v>VEN-014</v>
      </c>
      <c r="C1301" t="str">
        <f>VLOOKUP(B1301,Vendors!A:B,2,FALSE)</f>
        <v>Figma</v>
      </c>
      <c r="D1301" s="9">
        <f>Table3[[#This Row],[BillDate]]</f>
        <v>45978</v>
      </c>
      <c r="E1301" s="9">
        <f>Table3[[#This Row],[DueDate]]</f>
        <v>46008</v>
      </c>
      <c r="F1301" s="3">
        <f>Table3[[#This Row],[BillAmount]]</f>
        <v>3491.89</v>
      </c>
      <c r="G1301" s="3">
        <f>SUMIF(Vendor_Payments!C:C,A1301,Vendor_Payments!E:E)</f>
        <v>3491.89</v>
      </c>
      <c r="H1301" s="3">
        <f t="shared" si="60"/>
        <v>0</v>
      </c>
      <c r="I1301">
        <f t="shared" si="61"/>
        <v>83</v>
      </c>
      <c r="J1301" t="str">
        <f t="shared" si="62"/>
        <v>61-90</v>
      </c>
    </row>
    <row r="1302" spans="1:10" x14ac:dyDescent="0.3">
      <c r="A1302" t="str">
        <f>Table3[[#This Row],[BillID]]</f>
        <v>BILL-01301</v>
      </c>
      <c r="B1302" t="str">
        <f>Table3[[#This Row],[VendorID]]</f>
        <v>VEN-021</v>
      </c>
      <c r="C1302" t="str">
        <f>VLOOKUP(B1302,Vendors!A:B,2,FALSE)</f>
        <v>Upwork Freelancers</v>
      </c>
      <c r="D1302" s="9">
        <f>Table3[[#This Row],[BillDate]]</f>
        <v>45983</v>
      </c>
      <c r="E1302" s="9">
        <f>Table3[[#This Row],[DueDate]]</f>
        <v>46013</v>
      </c>
      <c r="F1302" s="3">
        <f>Table3[[#This Row],[BillAmount]]</f>
        <v>2290.09</v>
      </c>
      <c r="G1302" s="3">
        <f>SUMIF(Vendor_Payments!C:C,A1302,Vendor_Payments!E:E)</f>
        <v>2290.09</v>
      </c>
      <c r="H1302" s="3">
        <f t="shared" si="60"/>
        <v>0</v>
      </c>
      <c r="I1302">
        <f t="shared" si="61"/>
        <v>78</v>
      </c>
      <c r="J1302" t="str">
        <f t="shared" si="62"/>
        <v>61-90</v>
      </c>
    </row>
    <row r="1303" spans="1:10" x14ac:dyDescent="0.3">
      <c r="A1303" t="str">
        <f>Table3[[#This Row],[BillID]]</f>
        <v>BILL-01302</v>
      </c>
      <c r="B1303" t="str">
        <f>Table3[[#This Row],[VendorID]]</f>
        <v>VEN-031</v>
      </c>
      <c r="C1303" t="str">
        <f>VLOOKUP(B1303,Vendors!A:B,2,FALSE)</f>
        <v>DataInsight Analytics</v>
      </c>
      <c r="D1303" s="9">
        <f>Table3[[#This Row],[BillDate]]</f>
        <v>45974</v>
      </c>
      <c r="E1303" s="9">
        <f>Table3[[#This Row],[DueDate]]</f>
        <v>46004</v>
      </c>
      <c r="F1303" s="3">
        <f>Table3[[#This Row],[BillAmount]]</f>
        <v>3062.5</v>
      </c>
      <c r="G1303" s="3">
        <f>SUMIF(Vendor_Payments!C:C,A1303,Vendor_Payments!E:E)</f>
        <v>3062.5</v>
      </c>
      <c r="H1303" s="3">
        <f t="shared" si="60"/>
        <v>0</v>
      </c>
      <c r="I1303">
        <f t="shared" si="61"/>
        <v>87</v>
      </c>
      <c r="J1303" t="str">
        <f t="shared" si="62"/>
        <v>61-90</v>
      </c>
    </row>
    <row r="1304" spans="1:10" x14ac:dyDescent="0.3">
      <c r="A1304" t="str">
        <f>Table3[[#This Row],[BillID]]</f>
        <v>BILL-01303</v>
      </c>
      <c r="B1304" t="str">
        <f>Table3[[#This Row],[VendorID]]</f>
        <v>VEN-019</v>
      </c>
      <c r="C1304" t="str">
        <f>VLOOKUP(B1304,Vendors!A:B,2,FALSE)</f>
        <v>Notion</v>
      </c>
      <c r="D1304" s="9">
        <f>Table3[[#This Row],[BillDate]]</f>
        <v>46000</v>
      </c>
      <c r="E1304" s="9">
        <f>Table3[[#This Row],[DueDate]]</f>
        <v>46030</v>
      </c>
      <c r="F1304" s="3">
        <f>Table3[[#This Row],[BillAmount]]</f>
        <v>2310.96</v>
      </c>
      <c r="G1304" s="3">
        <f>SUMIF(Vendor_Payments!C:C,A1304,Vendor_Payments!E:E)</f>
        <v>0</v>
      </c>
      <c r="H1304" s="3">
        <f t="shared" si="60"/>
        <v>2310.96</v>
      </c>
      <c r="I1304">
        <f t="shared" si="61"/>
        <v>61</v>
      </c>
      <c r="J1304" t="str">
        <f t="shared" si="62"/>
        <v>61-90</v>
      </c>
    </row>
    <row r="1305" spans="1:10" x14ac:dyDescent="0.3">
      <c r="A1305" t="str">
        <f>Table3[[#This Row],[BillID]]</f>
        <v>BILL-01304</v>
      </c>
      <c r="B1305" t="str">
        <f>Table3[[#This Row],[VendorID]]</f>
        <v>VEN-040</v>
      </c>
      <c r="C1305" t="str">
        <f>VLOOKUP(B1305,Vendors!A:B,2,FALSE)</f>
        <v>Digital Performance Lab</v>
      </c>
      <c r="D1305" s="9">
        <f>Table3[[#This Row],[BillDate]]</f>
        <v>46043</v>
      </c>
      <c r="E1305" s="9">
        <f>Table3[[#This Row],[DueDate]]</f>
        <v>46073</v>
      </c>
      <c r="F1305" s="3">
        <f>Table3[[#This Row],[BillAmount]]</f>
        <v>4277.29</v>
      </c>
      <c r="G1305" s="3">
        <f>SUMIF(Vendor_Payments!C:C,A1305,Vendor_Payments!E:E)</f>
        <v>4277.29</v>
      </c>
      <c r="H1305" s="3">
        <f t="shared" si="60"/>
        <v>0</v>
      </c>
      <c r="I1305">
        <f t="shared" si="61"/>
        <v>18</v>
      </c>
      <c r="J1305" t="str">
        <f t="shared" si="62"/>
        <v>1-30</v>
      </c>
    </row>
    <row r="1306" spans="1:10" x14ac:dyDescent="0.3">
      <c r="A1306" t="str">
        <f>Table3[[#This Row],[BillID]]</f>
        <v>BILL-01305</v>
      </c>
      <c r="B1306" t="str">
        <f>Table3[[#This Row],[VendorID]]</f>
        <v>VEN-020</v>
      </c>
      <c r="C1306" t="str">
        <f>VLOOKUP(B1306,Vendors!A:B,2,FALSE)</f>
        <v>Slack</v>
      </c>
      <c r="D1306" s="9">
        <f>Table3[[#This Row],[BillDate]]</f>
        <v>45968</v>
      </c>
      <c r="E1306" s="9">
        <f>Table3[[#This Row],[DueDate]]</f>
        <v>45998</v>
      </c>
      <c r="F1306" s="3">
        <f>Table3[[#This Row],[BillAmount]]</f>
        <v>2311.9</v>
      </c>
      <c r="G1306" s="3">
        <f>SUMIF(Vendor_Payments!C:C,A1306,Vendor_Payments!E:E)</f>
        <v>0</v>
      </c>
      <c r="H1306" s="3">
        <f t="shared" si="60"/>
        <v>2311.9</v>
      </c>
      <c r="I1306">
        <f t="shared" si="61"/>
        <v>93</v>
      </c>
      <c r="J1306" t="str">
        <f t="shared" si="62"/>
        <v>90+</v>
      </c>
    </row>
    <row r="1307" spans="1:10" x14ac:dyDescent="0.3">
      <c r="A1307" t="str">
        <f>Table3[[#This Row],[BillID]]</f>
        <v>BILL-01306</v>
      </c>
      <c r="B1307" t="str">
        <f>Table3[[#This Row],[VendorID]]</f>
        <v>VEN-022</v>
      </c>
      <c r="C1307" t="str">
        <f>VLOOKUP(B1307,Vendors!A:B,2,FALSE)</f>
        <v>Toptal Talent</v>
      </c>
      <c r="D1307" s="9">
        <f>Table3[[#This Row],[BillDate]]</f>
        <v>46047</v>
      </c>
      <c r="E1307" s="9">
        <f>Table3[[#This Row],[DueDate]]</f>
        <v>46077</v>
      </c>
      <c r="F1307" s="3">
        <f>Table3[[#This Row],[BillAmount]]</f>
        <v>6172.43</v>
      </c>
      <c r="G1307" s="3">
        <f>SUMIF(Vendor_Payments!C:C,A1307,Vendor_Payments!E:E)</f>
        <v>6172.43</v>
      </c>
      <c r="H1307" s="3">
        <f t="shared" si="60"/>
        <v>0</v>
      </c>
      <c r="I1307">
        <f t="shared" si="61"/>
        <v>14</v>
      </c>
      <c r="J1307" t="str">
        <f t="shared" si="62"/>
        <v>1-30</v>
      </c>
    </row>
    <row r="1308" spans="1:10" x14ac:dyDescent="0.3">
      <c r="A1308" t="str">
        <f>Table3[[#This Row],[BillID]]</f>
        <v>BILL-01307</v>
      </c>
      <c r="B1308" t="str">
        <f>Table3[[#This Row],[VendorID]]</f>
        <v>VEN-020</v>
      </c>
      <c r="C1308" t="str">
        <f>VLOOKUP(B1308,Vendors!A:B,2,FALSE)</f>
        <v>Slack</v>
      </c>
      <c r="D1308" s="9">
        <f>Table3[[#This Row],[BillDate]]</f>
        <v>45994</v>
      </c>
      <c r="E1308" s="9">
        <f>Table3[[#This Row],[DueDate]]</f>
        <v>46024</v>
      </c>
      <c r="F1308" s="3">
        <f>Table3[[#This Row],[BillAmount]]</f>
        <v>2778.59</v>
      </c>
      <c r="G1308" s="3">
        <f>SUMIF(Vendor_Payments!C:C,A1308,Vendor_Payments!E:E)</f>
        <v>2778.59</v>
      </c>
      <c r="H1308" s="3">
        <f t="shared" si="60"/>
        <v>0</v>
      </c>
      <c r="I1308">
        <f t="shared" si="61"/>
        <v>67</v>
      </c>
      <c r="J1308" t="str">
        <f t="shared" si="62"/>
        <v>61-90</v>
      </c>
    </row>
    <row r="1309" spans="1:10" x14ac:dyDescent="0.3">
      <c r="A1309" t="str">
        <f>Table3[[#This Row],[BillID]]</f>
        <v>BILL-01308</v>
      </c>
      <c r="B1309" t="str">
        <f>Table3[[#This Row],[VendorID]]</f>
        <v>VEN-039</v>
      </c>
      <c r="C1309" t="str">
        <f>VLOOKUP(B1309,Vendors!A:B,2,FALSE)</f>
        <v>Global Growth Advisors</v>
      </c>
      <c r="D1309" s="9">
        <f>Table3[[#This Row],[BillDate]]</f>
        <v>45980</v>
      </c>
      <c r="E1309" s="9">
        <f>Table3[[#This Row],[DueDate]]</f>
        <v>46010</v>
      </c>
      <c r="F1309" s="3">
        <f>Table3[[#This Row],[BillAmount]]</f>
        <v>1884.18</v>
      </c>
      <c r="G1309" s="3">
        <f>SUMIF(Vendor_Payments!C:C,A1309,Vendor_Payments!E:E)</f>
        <v>1884.18</v>
      </c>
      <c r="H1309" s="3">
        <f t="shared" si="60"/>
        <v>0</v>
      </c>
      <c r="I1309">
        <f t="shared" si="61"/>
        <v>81</v>
      </c>
      <c r="J1309" t="str">
        <f t="shared" si="62"/>
        <v>61-90</v>
      </c>
    </row>
    <row r="1310" spans="1:10" x14ac:dyDescent="0.3">
      <c r="A1310" t="str">
        <f>Table3[[#This Row],[BillID]]</f>
        <v>BILL-01309</v>
      </c>
      <c r="B1310" t="str">
        <f>Table3[[#This Row],[VendorID]]</f>
        <v>VEN-001</v>
      </c>
      <c r="C1310" t="str">
        <f>VLOOKUP(B1310,Vendors!A:B,2,FALSE)</f>
        <v>Google Ads</v>
      </c>
      <c r="D1310" s="9">
        <f>Table3[[#This Row],[BillDate]]</f>
        <v>46011</v>
      </c>
      <c r="E1310" s="9">
        <f>Table3[[#This Row],[DueDate]]</f>
        <v>46041</v>
      </c>
      <c r="F1310" s="3">
        <f>Table3[[#This Row],[BillAmount]]</f>
        <v>1117.05</v>
      </c>
      <c r="G1310" s="3">
        <f>SUMIF(Vendor_Payments!C:C,A1310,Vendor_Payments!E:E)</f>
        <v>1117.05</v>
      </c>
      <c r="H1310" s="3">
        <f t="shared" si="60"/>
        <v>0</v>
      </c>
      <c r="I1310">
        <f t="shared" si="61"/>
        <v>50</v>
      </c>
      <c r="J1310" t="str">
        <f t="shared" si="62"/>
        <v>31-60</v>
      </c>
    </row>
    <row r="1311" spans="1:10" x14ac:dyDescent="0.3">
      <c r="A1311" t="str">
        <f>Table3[[#This Row],[BillID]]</f>
        <v>BILL-01310</v>
      </c>
      <c r="B1311" t="str">
        <f>Table3[[#This Row],[VendorID]]</f>
        <v>VEN-013</v>
      </c>
      <c r="C1311" t="str">
        <f>VLOOKUP(B1311,Vendors!A:B,2,FALSE)</f>
        <v>Canva Pro</v>
      </c>
      <c r="D1311" s="9">
        <f>Table3[[#This Row],[BillDate]]</f>
        <v>46009</v>
      </c>
      <c r="E1311" s="9">
        <f>Table3[[#This Row],[DueDate]]</f>
        <v>46039</v>
      </c>
      <c r="F1311" s="3">
        <f>Table3[[#This Row],[BillAmount]]</f>
        <v>4316.3</v>
      </c>
      <c r="G1311" s="3">
        <f>SUMIF(Vendor_Payments!C:C,A1311,Vendor_Payments!E:E)</f>
        <v>4316.3</v>
      </c>
      <c r="H1311" s="3">
        <f t="shared" si="60"/>
        <v>0</v>
      </c>
      <c r="I1311">
        <f t="shared" si="61"/>
        <v>52</v>
      </c>
      <c r="J1311" t="str">
        <f t="shared" si="62"/>
        <v>31-60</v>
      </c>
    </row>
    <row r="1312" spans="1:10" x14ac:dyDescent="0.3">
      <c r="A1312" t="str">
        <f>Table3[[#This Row],[BillID]]</f>
        <v>BILL-01311</v>
      </c>
      <c r="B1312" t="str">
        <f>Table3[[#This Row],[VendorID]]</f>
        <v>VEN-032</v>
      </c>
      <c r="C1312" t="str">
        <f>VLOOKUP(B1312,Vendors!A:B,2,FALSE)</f>
        <v>Marketing Automation Labs</v>
      </c>
      <c r="D1312" s="9">
        <f>Table3[[#This Row],[BillDate]]</f>
        <v>46030</v>
      </c>
      <c r="E1312" s="9">
        <f>Table3[[#This Row],[DueDate]]</f>
        <v>46060</v>
      </c>
      <c r="F1312" s="3">
        <f>Table3[[#This Row],[BillAmount]]</f>
        <v>6423.31</v>
      </c>
      <c r="G1312" s="3">
        <f>SUMIF(Vendor_Payments!C:C,A1312,Vendor_Payments!E:E)</f>
        <v>0</v>
      </c>
      <c r="H1312" s="3">
        <f t="shared" si="60"/>
        <v>6423.31</v>
      </c>
      <c r="I1312">
        <f t="shared" si="61"/>
        <v>31</v>
      </c>
      <c r="J1312" t="str">
        <f t="shared" si="62"/>
        <v>31-60</v>
      </c>
    </row>
    <row r="1313" spans="1:10" x14ac:dyDescent="0.3">
      <c r="A1313" t="str">
        <f>Table3[[#This Row],[BillID]]</f>
        <v>BILL-01312</v>
      </c>
      <c r="B1313" t="str">
        <f>Table3[[#This Row],[VendorID]]</f>
        <v>VEN-018</v>
      </c>
      <c r="C1313" t="str">
        <f>VLOOKUP(B1313,Vendors!A:B,2,FALSE)</f>
        <v>Cloudflare</v>
      </c>
      <c r="D1313" s="9">
        <f>Table3[[#This Row],[BillDate]]</f>
        <v>46015</v>
      </c>
      <c r="E1313" s="9">
        <f>Table3[[#This Row],[DueDate]]</f>
        <v>46045</v>
      </c>
      <c r="F1313" s="3">
        <f>Table3[[#This Row],[BillAmount]]</f>
        <v>4736.6000000000004</v>
      </c>
      <c r="G1313" s="3">
        <f>SUMIF(Vendor_Payments!C:C,A1313,Vendor_Payments!E:E)</f>
        <v>0</v>
      </c>
      <c r="H1313" s="3">
        <f t="shared" si="60"/>
        <v>4736.6000000000004</v>
      </c>
      <c r="I1313">
        <f t="shared" si="61"/>
        <v>46</v>
      </c>
      <c r="J1313" t="str">
        <f t="shared" si="62"/>
        <v>31-60</v>
      </c>
    </row>
    <row r="1314" spans="1:10" x14ac:dyDescent="0.3">
      <c r="A1314" t="str">
        <f>Table3[[#This Row],[BillID]]</f>
        <v>BILL-01313</v>
      </c>
      <c r="B1314" t="str">
        <f>Table3[[#This Row],[VendorID]]</f>
        <v>VEN-001</v>
      </c>
      <c r="C1314" t="str">
        <f>VLOOKUP(B1314,Vendors!A:B,2,FALSE)</f>
        <v>Google Ads</v>
      </c>
      <c r="D1314" s="9">
        <f>Table3[[#This Row],[BillDate]]</f>
        <v>46056</v>
      </c>
      <c r="E1314" s="9">
        <f>Table3[[#This Row],[DueDate]]</f>
        <v>46086</v>
      </c>
      <c r="F1314" s="3">
        <f>Table3[[#This Row],[BillAmount]]</f>
        <v>2298.4699999999998</v>
      </c>
      <c r="G1314" s="3">
        <f>SUMIF(Vendor_Payments!C:C,A1314,Vendor_Payments!E:E)</f>
        <v>0</v>
      </c>
      <c r="H1314" s="3">
        <f t="shared" si="60"/>
        <v>2298.4699999999998</v>
      </c>
      <c r="I1314">
        <f t="shared" si="61"/>
        <v>5</v>
      </c>
      <c r="J1314" t="str">
        <f t="shared" si="62"/>
        <v>1-30</v>
      </c>
    </row>
    <row r="1315" spans="1:10" x14ac:dyDescent="0.3">
      <c r="A1315" t="str">
        <f>Table3[[#This Row],[BillID]]</f>
        <v>BILL-01314</v>
      </c>
      <c r="B1315" t="str">
        <f>Table3[[#This Row],[VendorID]]</f>
        <v>VEN-009</v>
      </c>
      <c r="C1315" t="str">
        <f>VLOOKUP(B1315,Vendors!A:B,2,FALSE)</f>
        <v>SEMrush</v>
      </c>
      <c r="D1315" s="9">
        <f>Table3[[#This Row],[BillDate]]</f>
        <v>45978</v>
      </c>
      <c r="E1315" s="9">
        <f>Table3[[#This Row],[DueDate]]</f>
        <v>46008</v>
      </c>
      <c r="F1315" s="3">
        <f>Table3[[#This Row],[BillAmount]]</f>
        <v>2877.51</v>
      </c>
      <c r="G1315" s="3">
        <f>SUMIF(Vendor_Payments!C:C,A1315,Vendor_Payments!E:E)</f>
        <v>0</v>
      </c>
      <c r="H1315" s="3">
        <f t="shared" si="60"/>
        <v>2877.51</v>
      </c>
      <c r="I1315">
        <f t="shared" si="61"/>
        <v>83</v>
      </c>
      <c r="J1315" t="str">
        <f t="shared" si="62"/>
        <v>61-90</v>
      </c>
    </row>
    <row r="1316" spans="1:10" x14ac:dyDescent="0.3">
      <c r="A1316" t="str">
        <f>Table3[[#This Row],[BillID]]</f>
        <v>BILL-01315</v>
      </c>
      <c r="B1316" t="str">
        <f>Table3[[#This Row],[VendorID]]</f>
        <v>VEN-003</v>
      </c>
      <c r="C1316" t="str">
        <f>VLOOKUP(B1316,Vendors!A:B,2,FALSE)</f>
        <v>TikTok Ads</v>
      </c>
      <c r="D1316" s="9">
        <f>Table3[[#This Row],[BillDate]]</f>
        <v>46045</v>
      </c>
      <c r="E1316" s="9">
        <f>Table3[[#This Row],[DueDate]]</f>
        <v>46075</v>
      </c>
      <c r="F1316" s="3">
        <f>Table3[[#This Row],[BillAmount]]</f>
        <v>4994.82</v>
      </c>
      <c r="G1316" s="3">
        <f>SUMIF(Vendor_Payments!C:C,A1316,Vendor_Payments!E:E)</f>
        <v>4994.82</v>
      </c>
      <c r="H1316" s="3">
        <f t="shared" si="60"/>
        <v>0</v>
      </c>
      <c r="I1316">
        <f t="shared" si="61"/>
        <v>16</v>
      </c>
      <c r="J1316" t="str">
        <f t="shared" si="62"/>
        <v>1-30</v>
      </c>
    </row>
    <row r="1317" spans="1:10" x14ac:dyDescent="0.3">
      <c r="A1317" t="str">
        <f>Table3[[#This Row],[BillID]]</f>
        <v>BILL-01316</v>
      </c>
      <c r="B1317" t="str">
        <f>Table3[[#This Row],[VendorID]]</f>
        <v>VEN-020</v>
      </c>
      <c r="C1317" t="str">
        <f>VLOOKUP(B1317,Vendors!A:B,2,FALSE)</f>
        <v>Slack</v>
      </c>
      <c r="D1317" s="9">
        <f>Table3[[#This Row],[BillDate]]</f>
        <v>46042</v>
      </c>
      <c r="E1317" s="9">
        <f>Table3[[#This Row],[DueDate]]</f>
        <v>46072</v>
      </c>
      <c r="F1317" s="3">
        <f>Table3[[#This Row],[BillAmount]]</f>
        <v>6953.23</v>
      </c>
      <c r="G1317" s="3">
        <f>SUMIF(Vendor_Payments!C:C,A1317,Vendor_Payments!E:E)</f>
        <v>6953.23</v>
      </c>
      <c r="H1317" s="3">
        <f t="shared" si="60"/>
        <v>0</v>
      </c>
      <c r="I1317">
        <f t="shared" si="61"/>
        <v>19</v>
      </c>
      <c r="J1317" t="str">
        <f t="shared" si="62"/>
        <v>1-30</v>
      </c>
    </row>
    <row r="1318" spans="1:10" x14ac:dyDescent="0.3">
      <c r="A1318" t="str">
        <f>Table3[[#This Row],[BillID]]</f>
        <v>BILL-01317</v>
      </c>
      <c r="B1318" t="str">
        <f>Table3[[#This Row],[VendorID]]</f>
        <v>VEN-007</v>
      </c>
      <c r="C1318" t="str">
        <f>VLOOKUP(B1318,Vendors!A:B,2,FALSE)</f>
        <v>Mailchimp</v>
      </c>
      <c r="D1318" s="9">
        <f>Table3[[#This Row],[BillDate]]</f>
        <v>46048</v>
      </c>
      <c r="E1318" s="9">
        <f>Table3[[#This Row],[DueDate]]</f>
        <v>46078</v>
      </c>
      <c r="F1318" s="3">
        <f>Table3[[#This Row],[BillAmount]]</f>
        <v>2732.24</v>
      </c>
      <c r="G1318" s="3">
        <f>SUMIF(Vendor_Payments!C:C,A1318,Vendor_Payments!E:E)</f>
        <v>2732.24</v>
      </c>
      <c r="H1318" s="3">
        <f t="shared" si="60"/>
        <v>0</v>
      </c>
      <c r="I1318">
        <f t="shared" si="61"/>
        <v>13</v>
      </c>
      <c r="J1318" t="str">
        <f t="shared" si="62"/>
        <v>1-30</v>
      </c>
    </row>
    <row r="1319" spans="1:10" x14ac:dyDescent="0.3">
      <c r="A1319" t="str">
        <f>Table3[[#This Row],[BillID]]</f>
        <v>BILL-01318</v>
      </c>
      <c r="B1319" t="str">
        <f>Table3[[#This Row],[VendorID]]</f>
        <v>VEN-009</v>
      </c>
      <c r="C1319" t="str">
        <f>VLOOKUP(B1319,Vendors!A:B,2,FALSE)</f>
        <v>SEMrush</v>
      </c>
      <c r="D1319" s="9">
        <f>Table3[[#This Row],[BillDate]]</f>
        <v>46024</v>
      </c>
      <c r="E1319" s="9">
        <f>Table3[[#This Row],[DueDate]]</f>
        <v>46054</v>
      </c>
      <c r="F1319" s="3">
        <f>Table3[[#This Row],[BillAmount]]</f>
        <v>6434.91</v>
      </c>
      <c r="G1319" s="3">
        <f>SUMIF(Vendor_Payments!C:C,A1319,Vendor_Payments!E:E)</f>
        <v>6434.91</v>
      </c>
      <c r="H1319" s="3">
        <f t="shared" si="60"/>
        <v>0</v>
      </c>
      <c r="I1319">
        <f t="shared" si="61"/>
        <v>37</v>
      </c>
      <c r="J1319" t="str">
        <f t="shared" si="62"/>
        <v>31-60</v>
      </c>
    </row>
    <row r="1320" spans="1:10" x14ac:dyDescent="0.3">
      <c r="A1320" t="str">
        <f>Table3[[#This Row],[BillID]]</f>
        <v>BILL-01319</v>
      </c>
      <c r="B1320" t="str">
        <f>Table3[[#This Row],[VendorID]]</f>
        <v>VEN-015</v>
      </c>
      <c r="C1320" t="str">
        <f>VLOOKUP(B1320,Vendors!A:B,2,FALSE)</f>
        <v>Zapier</v>
      </c>
      <c r="D1320" s="9">
        <f>Table3[[#This Row],[BillDate]]</f>
        <v>46035</v>
      </c>
      <c r="E1320" s="9">
        <f>Table3[[#This Row],[DueDate]]</f>
        <v>46065</v>
      </c>
      <c r="F1320" s="3">
        <f>Table3[[#This Row],[BillAmount]]</f>
        <v>5911.06</v>
      </c>
      <c r="G1320" s="3">
        <f>SUMIF(Vendor_Payments!C:C,A1320,Vendor_Payments!E:E)</f>
        <v>0</v>
      </c>
      <c r="H1320" s="3">
        <f t="shared" si="60"/>
        <v>5911.06</v>
      </c>
      <c r="I1320">
        <f t="shared" si="61"/>
        <v>26</v>
      </c>
      <c r="J1320" t="str">
        <f t="shared" si="62"/>
        <v>1-30</v>
      </c>
    </row>
    <row r="1321" spans="1:10" x14ac:dyDescent="0.3">
      <c r="A1321" t="str">
        <f>Table3[[#This Row],[BillID]]</f>
        <v>BILL-01320</v>
      </c>
      <c r="B1321" t="str">
        <f>Table3[[#This Row],[VendorID]]</f>
        <v>VEN-013</v>
      </c>
      <c r="C1321" t="str">
        <f>VLOOKUP(B1321,Vendors!A:B,2,FALSE)</f>
        <v>Canva Pro</v>
      </c>
      <c r="D1321" s="9">
        <f>Table3[[#This Row],[BillDate]]</f>
        <v>46041</v>
      </c>
      <c r="E1321" s="9">
        <f>Table3[[#This Row],[DueDate]]</f>
        <v>46071</v>
      </c>
      <c r="F1321" s="3">
        <f>Table3[[#This Row],[BillAmount]]</f>
        <v>1287.75</v>
      </c>
      <c r="G1321" s="3">
        <f>SUMIF(Vendor_Payments!C:C,A1321,Vendor_Payments!E:E)</f>
        <v>0</v>
      </c>
      <c r="H1321" s="3">
        <f t="shared" si="60"/>
        <v>1287.75</v>
      </c>
      <c r="I1321">
        <f t="shared" si="61"/>
        <v>20</v>
      </c>
      <c r="J1321" t="str">
        <f t="shared" si="62"/>
        <v>1-30</v>
      </c>
    </row>
    <row r="1322" spans="1:10" x14ac:dyDescent="0.3">
      <c r="A1322" t="str">
        <f>Table3[[#This Row],[BillID]]</f>
        <v>BILL-01321</v>
      </c>
      <c r="B1322" t="str">
        <f>Table3[[#This Row],[VendorID]]</f>
        <v>VEN-010</v>
      </c>
      <c r="C1322" t="str">
        <f>VLOOKUP(B1322,Vendors!A:B,2,FALSE)</f>
        <v>Adobe Creative Cloud</v>
      </c>
      <c r="D1322" s="9">
        <f>Table3[[#This Row],[BillDate]]</f>
        <v>46081</v>
      </c>
      <c r="E1322" s="9">
        <f>Table3[[#This Row],[DueDate]]</f>
        <v>46111</v>
      </c>
      <c r="F1322" s="3">
        <f>Table3[[#This Row],[BillAmount]]</f>
        <v>2281.8000000000002</v>
      </c>
      <c r="G1322" s="3">
        <f>SUMIF(Vendor_Payments!C:C,A1322,Vendor_Payments!E:E)</f>
        <v>2281.8000000000002</v>
      </c>
      <c r="H1322" s="3">
        <f t="shared" si="60"/>
        <v>0</v>
      </c>
      <c r="I1322">
        <f t="shared" si="61"/>
        <v>-20</v>
      </c>
      <c r="J1322" t="str">
        <f t="shared" si="62"/>
        <v>Current</v>
      </c>
    </row>
    <row r="1323" spans="1:10" x14ac:dyDescent="0.3">
      <c r="A1323" t="str">
        <f>Table3[[#This Row],[BillID]]</f>
        <v>BILL-01322</v>
      </c>
      <c r="B1323" t="str">
        <f>Table3[[#This Row],[VendorID]]</f>
        <v>VEN-011</v>
      </c>
      <c r="C1323" t="str">
        <f>VLOOKUP(B1323,Vendors!A:B,2,FALSE)</f>
        <v>AWS</v>
      </c>
      <c r="D1323" s="9">
        <f>Table3[[#This Row],[BillDate]]</f>
        <v>46049</v>
      </c>
      <c r="E1323" s="9">
        <f>Table3[[#This Row],[DueDate]]</f>
        <v>46079</v>
      </c>
      <c r="F1323" s="3">
        <f>Table3[[#This Row],[BillAmount]]</f>
        <v>3286.85</v>
      </c>
      <c r="G1323" s="3">
        <f>SUMIF(Vendor_Payments!C:C,A1323,Vendor_Payments!E:E)</f>
        <v>3286.85</v>
      </c>
      <c r="H1323" s="3">
        <f t="shared" si="60"/>
        <v>0</v>
      </c>
      <c r="I1323">
        <f t="shared" si="61"/>
        <v>12</v>
      </c>
      <c r="J1323" t="str">
        <f t="shared" si="62"/>
        <v>1-30</v>
      </c>
    </row>
    <row r="1324" spans="1:10" x14ac:dyDescent="0.3">
      <c r="A1324" t="str">
        <f>Table3[[#This Row],[BillID]]</f>
        <v>BILL-01323</v>
      </c>
      <c r="B1324" t="str">
        <f>Table3[[#This Row],[VendorID]]</f>
        <v>VEN-010</v>
      </c>
      <c r="C1324" t="str">
        <f>VLOOKUP(B1324,Vendors!A:B,2,FALSE)</f>
        <v>Adobe Creative Cloud</v>
      </c>
      <c r="D1324" s="9">
        <f>Table3[[#This Row],[BillDate]]</f>
        <v>45999</v>
      </c>
      <c r="E1324" s="9">
        <f>Table3[[#This Row],[DueDate]]</f>
        <v>46029</v>
      </c>
      <c r="F1324" s="3">
        <f>Table3[[#This Row],[BillAmount]]</f>
        <v>4218.4399999999996</v>
      </c>
      <c r="G1324" s="3">
        <f>SUMIF(Vendor_Payments!C:C,A1324,Vendor_Payments!E:E)</f>
        <v>0</v>
      </c>
      <c r="H1324" s="3">
        <f t="shared" si="60"/>
        <v>4218.4399999999996</v>
      </c>
      <c r="I1324">
        <f t="shared" si="61"/>
        <v>62</v>
      </c>
      <c r="J1324" t="str">
        <f t="shared" si="62"/>
        <v>61-90</v>
      </c>
    </row>
    <row r="1325" spans="1:10" x14ac:dyDescent="0.3">
      <c r="A1325" t="str">
        <f>Table3[[#This Row],[BillID]]</f>
        <v>BILL-01324</v>
      </c>
      <c r="B1325" t="str">
        <f>Table3[[#This Row],[VendorID]]</f>
        <v>VEN-023</v>
      </c>
      <c r="C1325" t="str">
        <f>VLOOKUP(B1325,Vendors!A:B,2,FALSE)</f>
        <v>Fiverr Pro</v>
      </c>
      <c r="D1325" s="9">
        <f>Table3[[#This Row],[BillDate]]</f>
        <v>46001</v>
      </c>
      <c r="E1325" s="9">
        <f>Table3[[#This Row],[DueDate]]</f>
        <v>46031</v>
      </c>
      <c r="F1325" s="3">
        <f>Table3[[#This Row],[BillAmount]]</f>
        <v>1488.26</v>
      </c>
      <c r="G1325" s="3">
        <f>SUMIF(Vendor_Payments!C:C,A1325,Vendor_Payments!E:E)</f>
        <v>1488.26</v>
      </c>
      <c r="H1325" s="3">
        <f t="shared" si="60"/>
        <v>0</v>
      </c>
      <c r="I1325">
        <f t="shared" si="61"/>
        <v>60</v>
      </c>
      <c r="J1325" t="str">
        <f t="shared" si="62"/>
        <v>31-60</v>
      </c>
    </row>
    <row r="1326" spans="1:10" x14ac:dyDescent="0.3">
      <c r="A1326" t="str">
        <f>Table3[[#This Row],[BillID]]</f>
        <v>BILL-01325</v>
      </c>
      <c r="B1326" t="str">
        <f>Table3[[#This Row],[VendorID]]</f>
        <v>VEN-015</v>
      </c>
      <c r="C1326" t="str">
        <f>VLOOKUP(B1326,Vendors!A:B,2,FALSE)</f>
        <v>Zapier</v>
      </c>
      <c r="D1326" s="9">
        <f>Table3[[#This Row],[BillDate]]</f>
        <v>45966</v>
      </c>
      <c r="E1326" s="9">
        <f>Table3[[#This Row],[DueDate]]</f>
        <v>45996</v>
      </c>
      <c r="F1326" s="3">
        <f>Table3[[#This Row],[BillAmount]]</f>
        <v>4076.88</v>
      </c>
      <c r="G1326" s="3">
        <f>SUMIF(Vendor_Payments!C:C,A1326,Vendor_Payments!E:E)</f>
        <v>4076.88</v>
      </c>
      <c r="H1326" s="3">
        <f t="shared" si="60"/>
        <v>0</v>
      </c>
      <c r="I1326">
        <f t="shared" si="61"/>
        <v>95</v>
      </c>
      <c r="J1326" t="str">
        <f t="shared" si="62"/>
        <v>90+</v>
      </c>
    </row>
    <row r="1327" spans="1:10" x14ac:dyDescent="0.3">
      <c r="A1327" t="str">
        <f>Table3[[#This Row],[BillID]]</f>
        <v>BILL-01326</v>
      </c>
      <c r="B1327" t="str">
        <f>Table3[[#This Row],[VendorID]]</f>
        <v>VEN-023</v>
      </c>
      <c r="C1327" t="str">
        <f>VLOOKUP(B1327,Vendors!A:B,2,FALSE)</f>
        <v>Fiverr Pro</v>
      </c>
      <c r="D1327" s="9">
        <f>Table3[[#This Row],[BillDate]]</f>
        <v>46004</v>
      </c>
      <c r="E1327" s="9">
        <f>Table3[[#This Row],[DueDate]]</f>
        <v>46034</v>
      </c>
      <c r="F1327" s="3">
        <f>Table3[[#This Row],[BillAmount]]</f>
        <v>2613.84</v>
      </c>
      <c r="G1327" s="3">
        <f>SUMIF(Vendor_Payments!C:C,A1327,Vendor_Payments!E:E)</f>
        <v>0</v>
      </c>
      <c r="H1327" s="3">
        <f t="shared" si="60"/>
        <v>2613.84</v>
      </c>
      <c r="I1327">
        <f t="shared" si="61"/>
        <v>57</v>
      </c>
      <c r="J1327" t="str">
        <f t="shared" si="62"/>
        <v>31-60</v>
      </c>
    </row>
    <row r="1328" spans="1:10" x14ac:dyDescent="0.3">
      <c r="A1328" t="str">
        <f>Table3[[#This Row],[BillID]]</f>
        <v>BILL-01327</v>
      </c>
      <c r="B1328" t="str">
        <f>Table3[[#This Row],[VendorID]]</f>
        <v>VEN-028</v>
      </c>
      <c r="C1328" t="str">
        <f>VLOOKUP(B1328,Vendors!A:B,2,FALSE)</f>
        <v>MarketEdge Consulting</v>
      </c>
      <c r="D1328" s="9">
        <f>Table3[[#This Row],[BillDate]]</f>
        <v>46042</v>
      </c>
      <c r="E1328" s="9">
        <f>Table3[[#This Row],[DueDate]]</f>
        <v>46072</v>
      </c>
      <c r="F1328" s="3">
        <f>Table3[[#This Row],[BillAmount]]</f>
        <v>6856.15</v>
      </c>
      <c r="G1328" s="3">
        <f>SUMIF(Vendor_Payments!C:C,A1328,Vendor_Payments!E:E)</f>
        <v>0</v>
      </c>
      <c r="H1328" s="3">
        <f t="shared" si="60"/>
        <v>6856.15</v>
      </c>
      <c r="I1328">
        <f t="shared" si="61"/>
        <v>19</v>
      </c>
      <c r="J1328" t="str">
        <f t="shared" si="62"/>
        <v>1-30</v>
      </c>
    </row>
    <row r="1329" spans="1:10" x14ac:dyDescent="0.3">
      <c r="A1329" t="str">
        <f>Table3[[#This Row],[BillID]]</f>
        <v>BILL-01328</v>
      </c>
      <c r="B1329" t="str">
        <f>Table3[[#This Row],[VendorID]]</f>
        <v>VEN-006</v>
      </c>
      <c r="C1329" t="str">
        <f>VLOOKUP(B1329,Vendors!A:B,2,FALSE)</f>
        <v>Salesforce</v>
      </c>
      <c r="D1329" s="9">
        <f>Table3[[#This Row],[BillDate]]</f>
        <v>45969</v>
      </c>
      <c r="E1329" s="9">
        <f>Table3[[#This Row],[DueDate]]</f>
        <v>45999</v>
      </c>
      <c r="F1329" s="3">
        <f>Table3[[#This Row],[BillAmount]]</f>
        <v>4424.5200000000004</v>
      </c>
      <c r="G1329" s="3">
        <f>SUMIF(Vendor_Payments!C:C,A1329,Vendor_Payments!E:E)</f>
        <v>4424.5200000000004</v>
      </c>
      <c r="H1329" s="3">
        <f t="shared" si="60"/>
        <v>0</v>
      </c>
      <c r="I1329">
        <f t="shared" si="61"/>
        <v>92</v>
      </c>
      <c r="J1329" t="str">
        <f t="shared" si="62"/>
        <v>90+</v>
      </c>
    </row>
    <row r="1330" spans="1:10" x14ac:dyDescent="0.3">
      <c r="A1330" t="str">
        <f>Table3[[#This Row],[BillID]]</f>
        <v>BILL-01329</v>
      </c>
      <c r="B1330" t="str">
        <f>Table3[[#This Row],[VendorID]]</f>
        <v>VEN-020</v>
      </c>
      <c r="C1330" t="str">
        <f>VLOOKUP(B1330,Vendors!A:B,2,FALSE)</f>
        <v>Slack</v>
      </c>
      <c r="D1330" s="9">
        <f>Table3[[#This Row],[BillDate]]</f>
        <v>46042</v>
      </c>
      <c r="E1330" s="9">
        <f>Table3[[#This Row],[DueDate]]</f>
        <v>46072</v>
      </c>
      <c r="F1330" s="3">
        <f>Table3[[#This Row],[BillAmount]]</f>
        <v>2932.92</v>
      </c>
      <c r="G1330" s="3">
        <f>SUMIF(Vendor_Payments!C:C,A1330,Vendor_Payments!E:E)</f>
        <v>2932.92</v>
      </c>
      <c r="H1330" s="3">
        <f t="shared" si="60"/>
        <v>0</v>
      </c>
      <c r="I1330">
        <f t="shared" si="61"/>
        <v>19</v>
      </c>
      <c r="J1330" t="str">
        <f t="shared" si="62"/>
        <v>1-30</v>
      </c>
    </row>
    <row r="1331" spans="1:10" x14ac:dyDescent="0.3">
      <c r="A1331" t="str">
        <f>Table3[[#This Row],[BillID]]</f>
        <v>BILL-01330</v>
      </c>
      <c r="B1331" t="str">
        <f>Table3[[#This Row],[VendorID]]</f>
        <v>VEN-015</v>
      </c>
      <c r="C1331" t="str">
        <f>VLOOKUP(B1331,Vendors!A:B,2,FALSE)</f>
        <v>Zapier</v>
      </c>
      <c r="D1331" s="9">
        <f>Table3[[#This Row],[BillDate]]</f>
        <v>45978</v>
      </c>
      <c r="E1331" s="9">
        <f>Table3[[#This Row],[DueDate]]</f>
        <v>46008</v>
      </c>
      <c r="F1331" s="3">
        <f>Table3[[#This Row],[BillAmount]]</f>
        <v>5069.55</v>
      </c>
      <c r="G1331" s="3">
        <f>SUMIF(Vendor_Payments!C:C,A1331,Vendor_Payments!E:E)</f>
        <v>5069.55</v>
      </c>
      <c r="H1331" s="3">
        <f t="shared" si="60"/>
        <v>0</v>
      </c>
      <c r="I1331">
        <f t="shared" si="61"/>
        <v>83</v>
      </c>
      <c r="J1331" t="str">
        <f t="shared" si="62"/>
        <v>61-90</v>
      </c>
    </row>
    <row r="1332" spans="1:10" x14ac:dyDescent="0.3">
      <c r="A1332" t="str">
        <f>Table3[[#This Row],[BillID]]</f>
        <v>BILL-01331</v>
      </c>
      <c r="B1332" t="str">
        <f>Table3[[#This Row],[VendorID]]</f>
        <v>VEN-009</v>
      </c>
      <c r="C1332" t="str">
        <f>VLOOKUP(B1332,Vendors!A:B,2,FALSE)</f>
        <v>SEMrush</v>
      </c>
      <c r="D1332" s="9">
        <f>Table3[[#This Row],[BillDate]]</f>
        <v>45997</v>
      </c>
      <c r="E1332" s="9">
        <f>Table3[[#This Row],[DueDate]]</f>
        <v>46027</v>
      </c>
      <c r="F1332" s="3">
        <f>Table3[[#This Row],[BillAmount]]</f>
        <v>3738.22</v>
      </c>
      <c r="G1332" s="3">
        <f>SUMIF(Vendor_Payments!C:C,A1332,Vendor_Payments!E:E)</f>
        <v>3738.22</v>
      </c>
      <c r="H1332" s="3">
        <f t="shared" si="60"/>
        <v>0</v>
      </c>
      <c r="I1332">
        <f t="shared" si="61"/>
        <v>64</v>
      </c>
      <c r="J1332" t="str">
        <f t="shared" si="62"/>
        <v>61-90</v>
      </c>
    </row>
    <row r="1333" spans="1:10" x14ac:dyDescent="0.3">
      <c r="A1333" t="str">
        <f>Table3[[#This Row],[BillID]]</f>
        <v>BILL-01332</v>
      </c>
      <c r="B1333" t="str">
        <f>Table3[[#This Row],[VendorID]]</f>
        <v>VEN-030</v>
      </c>
      <c r="C1333" t="str">
        <f>VLOOKUP(B1333,Vendors!A:B,2,FALSE)</f>
        <v>ContentCraft Studio</v>
      </c>
      <c r="D1333" s="9">
        <f>Table3[[#This Row],[BillDate]]</f>
        <v>46024</v>
      </c>
      <c r="E1333" s="9">
        <f>Table3[[#This Row],[DueDate]]</f>
        <v>46054</v>
      </c>
      <c r="F1333" s="3">
        <f>Table3[[#This Row],[BillAmount]]</f>
        <v>2038.74</v>
      </c>
      <c r="G1333" s="3">
        <f>SUMIF(Vendor_Payments!C:C,A1333,Vendor_Payments!E:E)</f>
        <v>2038.74</v>
      </c>
      <c r="H1333" s="3">
        <f t="shared" si="60"/>
        <v>0</v>
      </c>
      <c r="I1333">
        <f t="shared" si="61"/>
        <v>37</v>
      </c>
      <c r="J1333" t="str">
        <f t="shared" si="62"/>
        <v>31-60</v>
      </c>
    </row>
    <row r="1334" spans="1:10" x14ac:dyDescent="0.3">
      <c r="A1334" t="str">
        <f>Table3[[#This Row],[BillID]]</f>
        <v>BILL-01333</v>
      </c>
      <c r="B1334" t="str">
        <f>Table3[[#This Row],[VendorID]]</f>
        <v>VEN-009</v>
      </c>
      <c r="C1334" t="str">
        <f>VLOOKUP(B1334,Vendors!A:B,2,FALSE)</f>
        <v>SEMrush</v>
      </c>
      <c r="D1334" s="9">
        <f>Table3[[#This Row],[BillDate]]</f>
        <v>46050</v>
      </c>
      <c r="E1334" s="9">
        <f>Table3[[#This Row],[DueDate]]</f>
        <v>46080</v>
      </c>
      <c r="F1334" s="3">
        <f>Table3[[#This Row],[BillAmount]]</f>
        <v>6044.31</v>
      </c>
      <c r="G1334" s="3">
        <f>SUMIF(Vendor_Payments!C:C,A1334,Vendor_Payments!E:E)</f>
        <v>6044.31</v>
      </c>
      <c r="H1334" s="3">
        <f t="shared" si="60"/>
        <v>0</v>
      </c>
      <c r="I1334">
        <f t="shared" si="61"/>
        <v>11</v>
      </c>
      <c r="J1334" t="str">
        <f t="shared" si="62"/>
        <v>1-30</v>
      </c>
    </row>
    <row r="1335" spans="1:10" x14ac:dyDescent="0.3">
      <c r="A1335" t="str">
        <f>Table3[[#This Row],[BillID]]</f>
        <v>BILL-01334</v>
      </c>
      <c r="B1335" t="str">
        <f>Table3[[#This Row],[VendorID]]</f>
        <v>VEN-024</v>
      </c>
      <c r="C1335" t="str">
        <f>VLOOKUP(B1335,Vendors!A:B,2,FALSE)</f>
        <v>Growth Strategy Group</v>
      </c>
      <c r="D1335" s="9">
        <f>Table3[[#This Row],[BillDate]]</f>
        <v>46013</v>
      </c>
      <c r="E1335" s="9">
        <f>Table3[[#This Row],[DueDate]]</f>
        <v>46043</v>
      </c>
      <c r="F1335" s="3">
        <f>Table3[[#This Row],[BillAmount]]</f>
        <v>6772.6</v>
      </c>
      <c r="G1335" s="3">
        <f>SUMIF(Vendor_Payments!C:C,A1335,Vendor_Payments!E:E)</f>
        <v>0</v>
      </c>
      <c r="H1335" s="3">
        <f t="shared" si="60"/>
        <v>6772.6</v>
      </c>
      <c r="I1335">
        <f t="shared" si="61"/>
        <v>48</v>
      </c>
      <c r="J1335" t="str">
        <f t="shared" si="62"/>
        <v>31-60</v>
      </c>
    </row>
    <row r="1336" spans="1:10" x14ac:dyDescent="0.3">
      <c r="A1336" t="str">
        <f>Table3[[#This Row],[BillID]]</f>
        <v>BILL-01335</v>
      </c>
      <c r="B1336" t="str">
        <f>Table3[[#This Row],[VendorID]]</f>
        <v>VEN-011</v>
      </c>
      <c r="C1336" t="str">
        <f>VLOOKUP(B1336,Vendors!A:B,2,FALSE)</f>
        <v>AWS</v>
      </c>
      <c r="D1336" s="9">
        <f>Table3[[#This Row],[BillDate]]</f>
        <v>45967</v>
      </c>
      <c r="E1336" s="9">
        <f>Table3[[#This Row],[DueDate]]</f>
        <v>45997</v>
      </c>
      <c r="F1336" s="3">
        <f>Table3[[#This Row],[BillAmount]]</f>
        <v>5518.51</v>
      </c>
      <c r="G1336" s="3">
        <f>SUMIF(Vendor_Payments!C:C,A1336,Vendor_Payments!E:E)</f>
        <v>5518.51</v>
      </c>
      <c r="H1336" s="3">
        <f t="shared" si="60"/>
        <v>0</v>
      </c>
      <c r="I1336">
        <f t="shared" si="61"/>
        <v>94</v>
      </c>
      <c r="J1336" t="str">
        <f t="shared" si="62"/>
        <v>90+</v>
      </c>
    </row>
    <row r="1337" spans="1:10" x14ac:dyDescent="0.3">
      <c r="A1337" t="str">
        <f>Table3[[#This Row],[BillID]]</f>
        <v>BILL-01336</v>
      </c>
      <c r="B1337" t="str">
        <f>Table3[[#This Row],[VendorID]]</f>
        <v>VEN-028</v>
      </c>
      <c r="C1337" t="str">
        <f>VLOOKUP(B1337,Vendors!A:B,2,FALSE)</f>
        <v>MarketEdge Consulting</v>
      </c>
      <c r="D1337" s="9">
        <f>Table3[[#This Row],[BillDate]]</f>
        <v>46075</v>
      </c>
      <c r="E1337" s="9">
        <f>Table3[[#This Row],[DueDate]]</f>
        <v>46105</v>
      </c>
      <c r="F1337" s="3">
        <f>Table3[[#This Row],[BillAmount]]</f>
        <v>978.23</v>
      </c>
      <c r="G1337" s="3">
        <f>SUMIF(Vendor_Payments!C:C,A1337,Vendor_Payments!E:E)</f>
        <v>978.23</v>
      </c>
      <c r="H1337" s="3">
        <f t="shared" si="60"/>
        <v>0</v>
      </c>
      <c r="I1337">
        <f t="shared" si="61"/>
        <v>-14</v>
      </c>
      <c r="J1337" t="str">
        <f t="shared" si="62"/>
        <v>Current</v>
      </c>
    </row>
    <row r="1338" spans="1:10" x14ac:dyDescent="0.3">
      <c r="A1338" t="str">
        <f>Table3[[#This Row],[BillID]]</f>
        <v>BILL-01337</v>
      </c>
      <c r="B1338" t="str">
        <f>Table3[[#This Row],[VendorID]]</f>
        <v>VEN-029</v>
      </c>
      <c r="C1338" t="str">
        <f>VLOOKUP(B1338,Vendors!A:B,2,FALSE)</f>
        <v>BrightSEO Agency</v>
      </c>
      <c r="D1338" s="9">
        <f>Table3[[#This Row],[BillDate]]</f>
        <v>46023</v>
      </c>
      <c r="E1338" s="9">
        <f>Table3[[#This Row],[DueDate]]</f>
        <v>46053</v>
      </c>
      <c r="F1338" s="3">
        <f>Table3[[#This Row],[BillAmount]]</f>
        <v>3231.98</v>
      </c>
      <c r="G1338" s="3">
        <f>SUMIF(Vendor_Payments!C:C,A1338,Vendor_Payments!E:E)</f>
        <v>3231.98</v>
      </c>
      <c r="H1338" s="3">
        <f t="shared" si="60"/>
        <v>0</v>
      </c>
      <c r="I1338">
        <f t="shared" si="61"/>
        <v>38</v>
      </c>
      <c r="J1338" t="str">
        <f t="shared" si="62"/>
        <v>31-60</v>
      </c>
    </row>
    <row r="1339" spans="1:10" x14ac:dyDescent="0.3">
      <c r="A1339" t="str">
        <f>Table3[[#This Row],[BillID]]</f>
        <v>BILL-01338</v>
      </c>
      <c r="B1339" t="str">
        <f>Table3[[#This Row],[VendorID]]</f>
        <v>VEN-028</v>
      </c>
      <c r="C1339" t="str">
        <f>VLOOKUP(B1339,Vendors!A:B,2,FALSE)</f>
        <v>MarketEdge Consulting</v>
      </c>
      <c r="D1339" s="9">
        <f>Table3[[#This Row],[BillDate]]</f>
        <v>45974</v>
      </c>
      <c r="E1339" s="9">
        <f>Table3[[#This Row],[DueDate]]</f>
        <v>46004</v>
      </c>
      <c r="F1339" s="3">
        <f>Table3[[#This Row],[BillAmount]]</f>
        <v>4340.32</v>
      </c>
      <c r="G1339" s="3">
        <f>SUMIF(Vendor_Payments!C:C,A1339,Vendor_Payments!E:E)</f>
        <v>4340.32</v>
      </c>
      <c r="H1339" s="3">
        <f t="shared" si="60"/>
        <v>0</v>
      </c>
      <c r="I1339">
        <f t="shared" si="61"/>
        <v>87</v>
      </c>
      <c r="J1339" t="str">
        <f t="shared" si="62"/>
        <v>61-90</v>
      </c>
    </row>
    <row r="1340" spans="1:10" x14ac:dyDescent="0.3">
      <c r="A1340" t="str">
        <f>Table3[[#This Row],[BillID]]</f>
        <v>BILL-01339</v>
      </c>
      <c r="B1340" t="str">
        <f>Table3[[#This Row],[VendorID]]</f>
        <v>VEN-016</v>
      </c>
      <c r="C1340" t="str">
        <f>VLOOKUP(B1340,Vendors!A:B,2,FALSE)</f>
        <v>Stripe</v>
      </c>
      <c r="D1340" s="9">
        <f>Table3[[#This Row],[BillDate]]</f>
        <v>46090</v>
      </c>
      <c r="E1340" s="9">
        <f>Table3[[#This Row],[DueDate]]</f>
        <v>46120</v>
      </c>
      <c r="F1340" s="3">
        <f>Table3[[#This Row],[BillAmount]]</f>
        <v>925.1</v>
      </c>
      <c r="G1340" s="3">
        <f>SUMIF(Vendor_Payments!C:C,A1340,Vendor_Payments!E:E)</f>
        <v>0</v>
      </c>
      <c r="H1340" s="3">
        <f t="shared" si="60"/>
        <v>925.1</v>
      </c>
      <c r="I1340">
        <f t="shared" si="61"/>
        <v>-29</v>
      </c>
      <c r="J1340" t="str">
        <f t="shared" si="62"/>
        <v>Current</v>
      </c>
    </row>
    <row r="1341" spans="1:10" x14ac:dyDescent="0.3">
      <c r="A1341" t="str">
        <f>Table3[[#This Row],[BillID]]</f>
        <v>BILL-01340</v>
      </c>
      <c r="B1341" t="str">
        <f>Table3[[#This Row],[VendorID]]</f>
        <v>VEN-022</v>
      </c>
      <c r="C1341" t="str">
        <f>VLOOKUP(B1341,Vendors!A:B,2,FALSE)</f>
        <v>Toptal Talent</v>
      </c>
      <c r="D1341" s="9">
        <f>Table3[[#This Row],[BillDate]]</f>
        <v>45969</v>
      </c>
      <c r="E1341" s="9">
        <f>Table3[[#This Row],[DueDate]]</f>
        <v>45999</v>
      </c>
      <c r="F1341" s="3">
        <f>Table3[[#This Row],[BillAmount]]</f>
        <v>6688.89</v>
      </c>
      <c r="G1341" s="3">
        <f>SUMIF(Vendor_Payments!C:C,A1341,Vendor_Payments!E:E)</f>
        <v>6688.89</v>
      </c>
      <c r="H1341" s="3">
        <f t="shared" si="60"/>
        <v>0</v>
      </c>
      <c r="I1341">
        <f t="shared" si="61"/>
        <v>92</v>
      </c>
      <c r="J1341" t="str">
        <f t="shared" si="62"/>
        <v>90+</v>
      </c>
    </row>
    <row r="1342" spans="1:10" x14ac:dyDescent="0.3">
      <c r="A1342" t="str">
        <f>Table3[[#This Row],[BillID]]</f>
        <v>BILL-01341</v>
      </c>
      <c r="B1342" t="str">
        <f>Table3[[#This Row],[VendorID]]</f>
        <v>VEN-020</v>
      </c>
      <c r="C1342" t="str">
        <f>VLOOKUP(B1342,Vendors!A:B,2,FALSE)</f>
        <v>Slack</v>
      </c>
      <c r="D1342" s="9">
        <f>Table3[[#This Row],[BillDate]]</f>
        <v>46065</v>
      </c>
      <c r="E1342" s="9">
        <f>Table3[[#This Row],[DueDate]]</f>
        <v>46095</v>
      </c>
      <c r="F1342" s="3">
        <f>Table3[[#This Row],[BillAmount]]</f>
        <v>2880.64</v>
      </c>
      <c r="G1342" s="3">
        <f>SUMIF(Vendor_Payments!C:C,A1342,Vendor_Payments!E:E)</f>
        <v>0</v>
      </c>
      <c r="H1342" s="3">
        <f t="shared" si="60"/>
        <v>2880.64</v>
      </c>
      <c r="I1342">
        <f t="shared" si="61"/>
        <v>-4</v>
      </c>
      <c r="J1342" t="str">
        <f t="shared" si="62"/>
        <v>Current</v>
      </c>
    </row>
    <row r="1343" spans="1:10" x14ac:dyDescent="0.3">
      <c r="A1343" t="str">
        <f>Table3[[#This Row],[BillID]]</f>
        <v>BILL-01342</v>
      </c>
      <c r="B1343" t="str">
        <f>Table3[[#This Row],[VendorID]]</f>
        <v>VEN-038</v>
      </c>
      <c r="C1343" t="str">
        <f>VLOOKUP(B1343,Vendors!A:B,2,FALSE)</f>
        <v>Insight Marketing Partners</v>
      </c>
      <c r="D1343" s="9">
        <f>Table3[[#This Row],[BillDate]]</f>
        <v>46059</v>
      </c>
      <c r="E1343" s="9">
        <f>Table3[[#This Row],[DueDate]]</f>
        <v>46089</v>
      </c>
      <c r="F1343" s="3">
        <f>Table3[[#This Row],[BillAmount]]</f>
        <v>4147.09</v>
      </c>
      <c r="G1343" s="3">
        <f>SUMIF(Vendor_Payments!C:C,A1343,Vendor_Payments!E:E)</f>
        <v>0</v>
      </c>
      <c r="H1343" s="3">
        <f t="shared" si="60"/>
        <v>4147.09</v>
      </c>
      <c r="I1343">
        <f t="shared" si="61"/>
        <v>2</v>
      </c>
      <c r="J1343" t="str">
        <f t="shared" si="62"/>
        <v>1-30</v>
      </c>
    </row>
    <row r="1344" spans="1:10" x14ac:dyDescent="0.3">
      <c r="A1344" t="str">
        <f>Table3[[#This Row],[BillID]]</f>
        <v>BILL-01343</v>
      </c>
      <c r="B1344" t="str">
        <f>Table3[[#This Row],[VendorID]]</f>
        <v>VEN-027</v>
      </c>
      <c r="C1344" t="str">
        <f>VLOOKUP(B1344,Vendors!A:B,2,FALSE)</f>
        <v>DevCraft Agency</v>
      </c>
      <c r="D1344" s="9">
        <f>Table3[[#This Row],[BillDate]]</f>
        <v>46076</v>
      </c>
      <c r="E1344" s="9">
        <f>Table3[[#This Row],[DueDate]]</f>
        <v>46106</v>
      </c>
      <c r="F1344" s="3">
        <f>Table3[[#This Row],[BillAmount]]</f>
        <v>3532.42</v>
      </c>
      <c r="G1344" s="3">
        <f>SUMIF(Vendor_Payments!C:C,A1344,Vendor_Payments!E:E)</f>
        <v>3532.42</v>
      </c>
      <c r="H1344" s="3">
        <f t="shared" si="60"/>
        <v>0</v>
      </c>
      <c r="I1344">
        <f t="shared" si="61"/>
        <v>-15</v>
      </c>
      <c r="J1344" t="str">
        <f t="shared" si="62"/>
        <v>Current</v>
      </c>
    </row>
    <row r="1345" spans="1:10" x14ac:dyDescent="0.3">
      <c r="A1345" t="str">
        <f>Table3[[#This Row],[BillID]]</f>
        <v>BILL-01344</v>
      </c>
      <c r="B1345" t="str">
        <f>Table3[[#This Row],[VendorID]]</f>
        <v>VEN-014</v>
      </c>
      <c r="C1345" t="str">
        <f>VLOOKUP(B1345,Vendors!A:B,2,FALSE)</f>
        <v>Figma</v>
      </c>
      <c r="D1345" s="9">
        <f>Table3[[#This Row],[BillDate]]</f>
        <v>46024</v>
      </c>
      <c r="E1345" s="9">
        <f>Table3[[#This Row],[DueDate]]</f>
        <v>46054</v>
      </c>
      <c r="F1345" s="3">
        <f>Table3[[#This Row],[BillAmount]]</f>
        <v>2538.46</v>
      </c>
      <c r="G1345" s="3">
        <f>SUMIF(Vendor_Payments!C:C,A1345,Vendor_Payments!E:E)</f>
        <v>2538.46</v>
      </c>
      <c r="H1345" s="3">
        <f t="shared" si="60"/>
        <v>0</v>
      </c>
      <c r="I1345">
        <f t="shared" si="61"/>
        <v>37</v>
      </c>
      <c r="J1345" t="str">
        <f t="shared" si="62"/>
        <v>31-60</v>
      </c>
    </row>
    <row r="1346" spans="1:10" x14ac:dyDescent="0.3">
      <c r="A1346" t="str">
        <f>Table3[[#This Row],[BillID]]</f>
        <v>BILL-01345</v>
      </c>
      <c r="B1346" t="str">
        <f>Table3[[#This Row],[VendorID]]</f>
        <v>VEN-036</v>
      </c>
      <c r="C1346" t="str">
        <f>VLOOKUP(B1346,Vendors!A:B,2,FALSE)</f>
        <v>WebDev Masters</v>
      </c>
      <c r="D1346" s="9">
        <f>Table3[[#This Row],[BillDate]]</f>
        <v>46018</v>
      </c>
      <c r="E1346" s="9">
        <f>Table3[[#This Row],[DueDate]]</f>
        <v>46048</v>
      </c>
      <c r="F1346" s="3">
        <f>Table3[[#This Row],[BillAmount]]</f>
        <v>4089.67</v>
      </c>
      <c r="G1346" s="3">
        <f>SUMIF(Vendor_Payments!C:C,A1346,Vendor_Payments!E:E)</f>
        <v>4089.67</v>
      </c>
      <c r="H1346" s="3">
        <f t="shared" si="60"/>
        <v>0</v>
      </c>
      <c r="I1346">
        <f t="shared" si="61"/>
        <v>43</v>
      </c>
      <c r="J1346" t="str">
        <f t="shared" si="62"/>
        <v>31-60</v>
      </c>
    </row>
    <row r="1347" spans="1:10" x14ac:dyDescent="0.3">
      <c r="A1347" t="str">
        <f>Table3[[#This Row],[BillID]]</f>
        <v>BILL-01346</v>
      </c>
      <c r="B1347" t="str">
        <f>Table3[[#This Row],[VendorID]]</f>
        <v>VEN-006</v>
      </c>
      <c r="C1347" t="str">
        <f>VLOOKUP(B1347,Vendors!A:B,2,FALSE)</f>
        <v>Salesforce</v>
      </c>
      <c r="D1347" s="9">
        <f>Table3[[#This Row],[BillDate]]</f>
        <v>46065</v>
      </c>
      <c r="E1347" s="9">
        <f>Table3[[#This Row],[DueDate]]</f>
        <v>46095</v>
      </c>
      <c r="F1347" s="3">
        <f>Table3[[#This Row],[BillAmount]]</f>
        <v>4876.9399999999996</v>
      </c>
      <c r="G1347" s="3">
        <f>SUMIF(Vendor_Payments!C:C,A1347,Vendor_Payments!E:E)</f>
        <v>4876.9399999999996</v>
      </c>
      <c r="H1347" s="3">
        <f t="shared" ref="H1347:H1401" si="63">F1347-G1347</f>
        <v>0</v>
      </c>
      <c r="I1347">
        <f t="shared" ref="I1347:I1401" si="64">$L$1-E1347</f>
        <v>-4</v>
      </c>
      <c r="J1347" t="str">
        <f t="shared" ref="J1347:J1401" si="65">IF(I1347&lt;=0,"Current",IF(I1347&lt;=30,"1-30",IF(I1347&lt;=60,"31-60",IF(I1347&lt;=90,"61-90","90+"))))</f>
        <v>Current</v>
      </c>
    </row>
    <row r="1348" spans="1:10" x14ac:dyDescent="0.3">
      <c r="A1348" t="str">
        <f>Table3[[#This Row],[BillID]]</f>
        <v>BILL-01347</v>
      </c>
      <c r="B1348" t="str">
        <f>Table3[[#This Row],[VendorID]]</f>
        <v>VEN-024</v>
      </c>
      <c r="C1348" t="str">
        <f>VLOOKUP(B1348,Vendors!A:B,2,FALSE)</f>
        <v>Growth Strategy Group</v>
      </c>
      <c r="D1348" s="9">
        <f>Table3[[#This Row],[BillDate]]</f>
        <v>46069</v>
      </c>
      <c r="E1348" s="9">
        <f>Table3[[#This Row],[DueDate]]</f>
        <v>46099</v>
      </c>
      <c r="F1348" s="3">
        <f>Table3[[#This Row],[BillAmount]]</f>
        <v>4568.3999999999996</v>
      </c>
      <c r="G1348" s="3">
        <f>SUMIF(Vendor_Payments!C:C,A1348,Vendor_Payments!E:E)</f>
        <v>4568.3999999999996</v>
      </c>
      <c r="H1348" s="3">
        <f t="shared" si="63"/>
        <v>0</v>
      </c>
      <c r="I1348">
        <f t="shared" si="64"/>
        <v>-8</v>
      </c>
      <c r="J1348" t="str">
        <f t="shared" si="65"/>
        <v>Current</v>
      </c>
    </row>
    <row r="1349" spans="1:10" x14ac:dyDescent="0.3">
      <c r="A1349" t="str">
        <f>Table3[[#This Row],[BillID]]</f>
        <v>BILL-01348</v>
      </c>
      <c r="B1349" t="str">
        <f>Table3[[#This Row],[VendorID]]</f>
        <v>VEN-003</v>
      </c>
      <c r="C1349" t="str">
        <f>VLOOKUP(B1349,Vendors!A:B,2,FALSE)</f>
        <v>TikTok Ads</v>
      </c>
      <c r="D1349" s="9">
        <f>Table3[[#This Row],[BillDate]]</f>
        <v>45989</v>
      </c>
      <c r="E1349" s="9">
        <f>Table3[[#This Row],[DueDate]]</f>
        <v>46019</v>
      </c>
      <c r="F1349" s="3">
        <f>Table3[[#This Row],[BillAmount]]</f>
        <v>6125.93</v>
      </c>
      <c r="G1349" s="3">
        <f>SUMIF(Vendor_Payments!C:C,A1349,Vendor_Payments!E:E)</f>
        <v>6125.93</v>
      </c>
      <c r="H1349" s="3">
        <f t="shared" si="63"/>
        <v>0</v>
      </c>
      <c r="I1349">
        <f t="shared" si="64"/>
        <v>72</v>
      </c>
      <c r="J1349" t="str">
        <f t="shared" si="65"/>
        <v>61-90</v>
      </c>
    </row>
    <row r="1350" spans="1:10" x14ac:dyDescent="0.3">
      <c r="A1350" t="str">
        <f>Table3[[#This Row],[BillID]]</f>
        <v>BILL-01349</v>
      </c>
      <c r="B1350" t="str">
        <f>Table3[[#This Row],[VendorID]]</f>
        <v>VEN-016</v>
      </c>
      <c r="C1350" t="str">
        <f>VLOOKUP(B1350,Vendors!A:B,2,FALSE)</f>
        <v>Stripe</v>
      </c>
      <c r="D1350" s="9">
        <f>Table3[[#This Row],[BillDate]]</f>
        <v>46090</v>
      </c>
      <c r="E1350" s="9">
        <f>Table3[[#This Row],[DueDate]]</f>
        <v>46120</v>
      </c>
      <c r="F1350" s="3">
        <f>Table3[[#This Row],[BillAmount]]</f>
        <v>1463.82</v>
      </c>
      <c r="G1350" s="3">
        <f>SUMIF(Vendor_Payments!C:C,A1350,Vendor_Payments!E:E)</f>
        <v>1463.82</v>
      </c>
      <c r="H1350" s="3">
        <f t="shared" si="63"/>
        <v>0</v>
      </c>
      <c r="I1350">
        <f t="shared" si="64"/>
        <v>-29</v>
      </c>
      <c r="J1350" t="str">
        <f t="shared" si="65"/>
        <v>Current</v>
      </c>
    </row>
    <row r="1351" spans="1:10" x14ac:dyDescent="0.3">
      <c r="A1351" t="str">
        <f>Table3[[#This Row],[BillID]]</f>
        <v>BILL-01350</v>
      </c>
      <c r="B1351" t="str">
        <f>Table3[[#This Row],[VendorID]]</f>
        <v>VEN-024</v>
      </c>
      <c r="C1351" t="str">
        <f>VLOOKUP(B1351,Vendors!A:B,2,FALSE)</f>
        <v>Growth Strategy Group</v>
      </c>
      <c r="D1351" s="9">
        <f>Table3[[#This Row],[BillDate]]</f>
        <v>46087</v>
      </c>
      <c r="E1351" s="9">
        <f>Table3[[#This Row],[DueDate]]</f>
        <v>46117</v>
      </c>
      <c r="F1351" s="3">
        <f>Table3[[#This Row],[BillAmount]]</f>
        <v>3537.69</v>
      </c>
      <c r="G1351" s="3">
        <f>SUMIF(Vendor_Payments!C:C,A1351,Vendor_Payments!E:E)</f>
        <v>3537.69</v>
      </c>
      <c r="H1351" s="3">
        <f t="shared" si="63"/>
        <v>0</v>
      </c>
      <c r="I1351">
        <f t="shared" si="64"/>
        <v>-26</v>
      </c>
      <c r="J1351" t="str">
        <f t="shared" si="65"/>
        <v>Current</v>
      </c>
    </row>
    <row r="1352" spans="1:10" x14ac:dyDescent="0.3">
      <c r="A1352" t="str">
        <f>Table3[[#This Row],[BillID]]</f>
        <v>BILL-01351</v>
      </c>
      <c r="B1352" t="str">
        <f>Table3[[#This Row],[VendorID]]</f>
        <v>VEN-005</v>
      </c>
      <c r="C1352" t="str">
        <f>VLOOKUP(B1352,Vendors!A:B,2,FALSE)</f>
        <v>HubSpot</v>
      </c>
      <c r="D1352" s="9">
        <f>Table3[[#This Row],[BillDate]]</f>
        <v>46024</v>
      </c>
      <c r="E1352" s="9">
        <f>Table3[[#This Row],[DueDate]]</f>
        <v>46054</v>
      </c>
      <c r="F1352" s="3">
        <f>Table3[[#This Row],[BillAmount]]</f>
        <v>1483.23</v>
      </c>
      <c r="G1352" s="3">
        <f>SUMIF(Vendor_Payments!C:C,A1352,Vendor_Payments!E:E)</f>
        <v>1483.23</v>
      </c>
      <c r="H1352" s="3">
        <f t="shared" si="63"/>
        <v>0</v>
      </c>
      <c r="I1352">
        <f t="shared" si="64"/>
        <v>37</v>
      </c>
      <c r="J1352" t="str">
        <f t="shared" si="65"/>
        <v>31-60</v>
      </c>
    </row>
    <row r="1353" spans="1:10" x14ac:dyDescent="0.3">
      <c r="A1353" t="str">
        <f>Table3[[#This Row],[BillID]]</f>
        <v>BILL-01352</v>
      </c>
      <c r="B1353" t="str">
        <f>Table3[[#This Row],[VendorID]]</f>
        <v>VEN-019</v>
      </c>
      <c r="C1353" t="str">
        <f>VLOOKUP(B1353,Vendors!A:B,2,FALSE)</f>
        <v>Notion</v>
      </c>
      <c r="D1353" s="9">
        <f>Table3[[#This Row],[BillDate]]</f>
        <v>46001</v>
      </c>
      <c r="E1353" s="9">
        <f>Table3[[#This Row],[DueDate]]</f>
        <v>46031</v>
      </c>
      <c r="F1353" s="3">
        <f>Table3[[#This Row],[BillAmount]]</f>
        <v>4698.01</v>
      </c>
      <c r="G1353" s="3">
        <f>SUMIF(Vendor_Payments!C:C,A1353,Vendor_Payments!E:E)</f>
        <v>4698.01</v>
      </c>
      <c r="H1353" s="3">
        <f t="shared" si="63"/>
        <v>0</v>
      </c>
      <c r="I1353">
        <f t="shared" si="64"/>
        <v>60</v>
      </c>
      <c r="J1353" t="str">
        <f t="shared" si="65"/>
        <v>31-60</v>
      </c>
    </row>
    <row r="1354" spans="1:10" x14ac:dyDescent="0.3">
      <c r="A1354" t="str">
        <f>Table3[[#This Row],[BillID]]</f>
        <v>BILL-01353</v>
      </c>
      <c r="B1354" t="str">
        <f>Table3[[#This Row],[VendorID]]</f>
        <v>VEN-013</v>
      </c>
      <c r="C1354" t="str">
        <f>VLOOKUP(B1354,Vendors!A:B,2,FALSE)</f>
        <v>Canva Pro</v>
      </c>
      <c r="D1354" s="9">
        <f>Table3[[#This Row],[BillDate]]</f>
        <v>45987</v>
      </c>
      <c r="E1354" s="9">
        <f>Table3[[#This Row],[DueDate]]</f>
        <v>46017</v>
      </c>
      <c r="F1354" s="3">
        <f>Table3[[#This Row],[BillAmount]]</f>
        <v>4810.76</v>
      </c>
      <c r="G1354" s="3">
        <f>SUMIF(Vendor_Payments!C:C,A1354,Vendor_Payments!E:E)</f>
        <v>4810.76</v>
      </c>
      <c r="H1354" s="3">
        <f t="shared" si="63"/>
        <v>0</v>
      </c>
      <c r="I1354">
        <f t="shared" si="64"/>
        <v>74</v>
      </c>
      <c r="J1354" t="str">
        <f t="shared" si="65"/>
        <v>61-90</v>
      </c>
    </row>
    <row r="1355" spans="1:10" x14ac:dyDescent="0.3">
      <c r="A1355" t="str">
        <f>Table3[[#This Row],[BillID]]</f>
        <v>BILL-01354</v>
      </c>
      <c r="B1355" t="str">
        <f>Table3[[#This Row],[VendorID]]</f>
        <v>VEN-024</v>
      </c>
      <c r="C1355" t="str">
        <f>VLOOKUP(B1355,Vendors!A:B,2,FALSE)</f>
        <v>Growth Strategy Group</v>
      </c>
      <c r="D1355" s="9">
        <f>Table3[[#This Row],[BillDate]]</f>
        <v>46089</v>
      </c>
      <c r="E1355" s="9">
        <f>Table3[[#This Row],[DueDate]]</f>
        <v>46119</v>
      </c>
      <c r="F1355" s="3">
        <f>Table3[[#This Row],[BillAmount]]</f>
        <v>2195.15</v>
      </c>
      <c r="G1355" s="3">
        <f>SUMIF(Vendor_Payments!C:C,A1355,Vendor_Payments!E:E)</f>
        <v>0</v>
      </c>
      <c r="H1355" s="3">
        <f t="shared" si="63"/>
        <v>2195.15</v>
      </c>
      <c r="I1355">
        <f t="shared" si="64"/>
        <v>-28</v>
      </c>
      <c r="J1355" t="str">
        <f t="shared" si="65"/>
        <v>Current</v>
      </c>
    </row>
    <row r="1356" spans="1:10" x14ac:dyDescent="0.3">
      <c r="A1356" t="str">
        <f>Table3[[#This Row],[BillID]]</f>
        <v>BILL-01355</v>
      </c>
      <c r="B1356" t="str">
        <f>Table3[[#This Row],[VendorID]]</f>
        <v>VEN-011</v>
      </c>
      <c r="C1356" t="str">
        <f>VLOOKUP(B1356,Vendors!A:B,2,FALSE)</f>
        <v>AWS</v>
      </c>
      <c r="D1356" s="9">
        <f>Table3[[#This Row],[BillDate]]</f>
        <v>45988</v>
      </c>
      <c r="E1356" s="9">
        <f>Table3[[#This Row],[DueDate]]</f>
        <v>46018</v>
      </c>
      <c r="F1356" s="3">
        <f>Table3[[#This Row],[BillAmount]]</f>
        <v>4919.7299999999996</v>
      </c>
      <c r="G1356" s="3">
        <f>SUMIF(Vendor_Payments!C:C,A1356,Vendor_Payments!E:E)</f>
        <v>4919.7299999999996</v>
      </c>
      <c r="H1356" s="3">
        <f t="shared" si="63"/>
        <v>0</v>
      </c>
      <c r="I1356">
        <f t="shared" si="64"/>
        <v>73</v>
      </c>
      <c r="J1356" t="str">
        <f t="shared" si="65"/>
        <v>61-90</v>
      </c>
    </row>
    <row r="1357" spans="1:10" x14ac:dyDescent="0.3">
      <c r="A1357" t="str">
        <f>Table3[[#This Row],[BillID]]</f>
        <v>BILL-01356</v>
      </c>
      <c r="B1357" t="str">
        <f>Table3[[#This Row],[VendorID]]</f>
        <v>VEN-007</v>
      </c>
      <c r="C1357" t="str">
        <f>VLOOKUP(B1357,Vendors!A:B,2,FALSE)</f>
        <v>Mailchimp</v>
      </c>
      <c r="D1357" s="9">
        <f>Table3[[#This Row],[BillDate]]</f>
        <v>46023</v>
      </c>
      <c r="E1357" s="9">
        <f>Table3[[#This Row],[DueDate]]</f>
        <v>46053</v>
      </c>
      <c r="F1357" s="3">
        <f>Table3[[#This Row],[BillAmount]]</f>
        <v>2788.3</v>
      </c>
      <c r="G1357" s="3">
        <f>SUMIF(Vendor_Payments!C:C,A1357,Vendor_Payments!E:E)</f>
        <v>2788.3</v>
      </c>
      <c r="H1357" s="3">
        <f t="shared" si="63"/>
        <v>0</v>
      </c>
      <c r="I1357">
        <f t="shared" si="64"/>
        <v>38</v>
      </c>
      <c r="J1357" t="str">
        <f t="shared" si="65"/>
        <v>31-60</v>
      </c>
    </row>
    <row r="1358" spans="1:10" x14ac:dyDescent="0.3">
      <c r="A1358" t="str">
        <f>Table3[[#This Row],[BillID]]</f>
        <v>BILL-01357</v>
      </c>
      <c r="B1358" t="str">
        <f>Table3[[#This Row],[VendorID]]</f>
        <v>VEN-008</v>
      </c>
      <c r="C1358" t="str">
        <f>VLOOKUP(B1358,Vendors!A:B,2,FALSE)</f>
        <v>Ahrefs</v>
      </c>
      <c r="D1358" s="9">
        <f>Table3[[#This Row],[BillDate]]</f>
        <v>45974</v>
      </c>
      <c r="E1358" s="9">
        <f>Table3[[#This Row],[DueDate]]</f>
        <v>46004</v>
      </c>
      <c r="F1358" s="3">
        <f>Table3[[#This Row],[BillAmount]]</f>
        <v>6682.09</v>
      </c>
      <c r="G1358" s="3">
        <f>SUMIF(Vendor_Payments!C:C,A1358,Vendor_Payments!E:E)</f>
        <v>0</v>
      </c>
      <c r="H1358" s="3">
        <f t="shared" si="63"/>
        <v>6682.09</v>
      </c>
      <c r="I1358">
        <f t="shared" si="64"/>
        <v>87</v>
      </c>
      <c r="J1358" t="str">
        <f t="shared" si="65"/>
        <v>61-90</v>
      </c>
    </row>
    <row r="1359" spans="1:10" x14ac:dyDescent="0.3">
      <c r="A1359" t="str">
        <f>Table3[[#This Row],[BillID]]</f>
        <v>BILL-01358</v>
      </c>
      <c r="B1359" t="str">
        <f>Table3[[#This Row],[VendorID]]</f>
        <v>VEN-025</v>
      </c>
      <c r="C1359" t="str">
        <f>VLOOKUP(B1359,Vendors!A:B,2,FALSE)</f>
        <v>Digital Growth Consultants</v>
      </c>
      <c r="D1359" s="9">
        <f>Table3[[#This Row],[BillDate]]</f>
        <v>46068</v>
      </c>
      <c r="E1359" s="9">
        <f>Table3[[#This Row],[DueDate]]</f>
        <v>46098</v>
      </c>
      <c r="F1359" s="3">
        <f>Table3[[#This Row],[BillAmount]]</f>
        <v>6400.15</v>
      </c>
      <c r="G1359" s="3">
        <f>SUMIF(Vendor_Payments!C:C,A1359,Vendor_Payments!E:E)</f>
        <v>0</v>
      </c>
      <c r="H1359" s="3">
        <f t="shared" si="63"/>
        <v>6400.15</v>
      </c>
      <c r="I1359">
        <f t="shared" si="64"/>
        <v>-7</v>
      </c>
      <c r="J1359" t="str">
        <f t="shared" si="65"/>
        <v>Current</v>
      </c>
    </row>
    <row r="1360" spans="1:10" x14ac:dyDescent="0.3">
      <c r="A1360" t="str">
        <f>Table3[[#This Row],[BillID]]</f>
        <v>BILL-01359</v>
      </c>
      <c r="B1360" t="str">
        <f>Table3[[#This Row],[VendorID]]</f>
        <v>VEN-029</v>
      </c>
      <c r="C1360" t="str">
        <f>VLOOKUP(B1360,Vendors!A:B,2,FALSE)</f>
        <v>BrightSEO Agency</v>
      </c>
      <c r="D1360" s="9">
        <f>Table3[[#This Row],[BillDate]]</f>
        <v>45979</v>
      </c>
      <c r="E1360" s="9">
        <f>Table3[[#This Row],[DueDate]]</f>
        <v>46009</v>
      </c>
      <c r="F1360" s="3">
        <f>Table3[[#This Row],[BillAmount]]</f>
        <v>2124.5</v>
      </c>
      <c r="G1360" s="3">
        <f>SUMIF(Vendor_Payments!C:C,A1360,Vendor_Payments!E:E)</f>
        <v>2124.5</v>
      </c>
      <c r="H1360" s="3">
        <f t="shared" si="63"/>
        <v>0</v>
      </c>
      <c r="I1360">
        <f t="shared" si="64"/>
        <v>82</v>
      </c>
      <c r="J1360" t="str">
        <f t="shared" si="65"/>
        <v>61-90</v>
      </c>
    </row>
    <row r="1361" spans="1:10" x14ac:dyDescent="0.3">
      <c r="A1361" t="str">
        <f>Table3[[#This Row],[BillID]]</f>
        <v>BILL-01360</v>
      </c>
      <c r="B1361" t="str">
        <f>Table3[[#This Row],[VendorID]]</f>
        <v>VEN-010</v>
      </c>
      <c r="C1361" t="str">
        <f>VLOOKUP(B1361,Vendors!A:B,2,FALSE)</f>
        <v>Adobe Creative Cloud</v>
      </c>
      <c r="D1361" s="9">
        <f>Table3[[#This Row],[BillDate]]</f>
        <v>46061</v>
      </c>
      <c r="E1361" s="9">
        <f>Table3[[#This Row],[DueDate]]</f>
        <v>46091</v>
      </c>
      <c r="F1361" s="3">
        <f>Table3[[#This Row],[BillAmount]]</f>
        <v>5048.91</v>
      </c>
      <c r="G1361" s="3">
        <f>SUMIF(Vendor_Payments!C:C,A1361,Vendor_Payments!E:E)</f>
        <v>5048.91</v>
      </c>
      <c r="H1361" s="3">
        <f t="shared" si="63"/>
        <v>0</v>
      </c>
      <c r="I1361">
        <f t="shared" si="64"/>
        <v>0</v>
      </c>
      <c r="J1361" t="str">
        <f t="shared" si="65"/>
        <v>Current</v>
      </c>
    </row>
    <row r="1362" spans="1:10" x14ac:dyDescent="0.3">
      <c r="A1362" t="str">
        <f>Table3[[#This Row],[BillID]]</f>
        <v>BILL-01361</v>
      </c>
      <c r="B1362" t="str">
        <f>Table3[[#This Row],[VendorID]]</f>
        <v>VEN-033</v>
      </c>
      <c r="C1362" t="str">
        <f>VLOOKUP(B1362,Vendors!A:B,2,FALSE)</f>
        <v>AdScale Solutions</v>
      </c>
      <c r="D1362" s="9">
        <f>Table3[[#This Row],[BillDate]]</f>
        <v>46000</v>
      </c>
      <c r="E1362" s="9">
        <f>Table3[[#This Row],[DueDate]]</f>
        <v>46030</v>
      </c>
      <c r="F1362" s="3">
        <f>Table3[[#This Row],[BillAmount]]</f>
        <v>3832.87</v>
      </c>
      <c r="G1362" s="3">
        <f>SUMIF(Vendor_Payments!C:C,A1362,Vendor_Payments!E:E)</f>
        <v>0</v>
      </c>
      <c r="H1362" s="3">
        <f t="shared" si="63"/>
        <v>3832.87</v>
      </c>
      <c r="I1362">
        <f t="shared" si="64"/>
        <v>61</v>
      </c>
      <c r="J1362" t="str">
        <f t="shared" si="65"/>
        <v>61-90</v>
      </c>
    </row>
    <row r="1363" spans="1:10" x14ac:dyDescent="0.3">
      <c r="A1363" t="str">
        <f>Table3[[#This Row],[BillID]]</f>
        <v>BILL-01362</v>
      </c>
      <c r="B1363" t="str">
        <f>Table3[[#This Row],[VendorID]]</f>
        <v>VEN-007</v>
      </c>
      <c r="C1363" t="str">
        <f>VLOOKUP(B1363,Vendors!A:B,2,FALSE)</f>
        <v>Mailchimp</v>
      </c>
      <c r="D1363" s="9">
        <f>Table3[[#This Row],[BillDate]]</f>
        <v>46083</v>
      </c>
      <c r="E1363" s="9">
        <f>Table3[[#This Row],[DueDate]]</f>
        <v>46113</v>
      </c>
      <c r="F1363" s="3">
        <f>Table3[[#This Row],[BillAmount]]</f>
        <v>4480.96</v>
      </c>
      <c r="G1363" s="3">
        <f>SUMIF(Vendor_Payments!C:C,A1363,Vendor_Payments!E:E)</f>
        <v>4480.96</v>
      </c>
      <c r="H1363" s="3">
        <f t="shared" si="63"/>
        <v>0</v>
      </c>
      <c r="I1363">
        <f t="shared" si="64"/>
        <v>-22</v>
      </c>
      <c r="J1363" t="str">
        <f t="shared" si="65"/>
        <v>Current</v>
      </c>
    </row>
    <row r="1364" spans="1:10" x14ac:dyDescent="0.3">
      <c r="A1364" t="str">
        <f>Table3[[#This Row],[BillID]]</f>
        <v>BILL-01363</v>
      </c>
      <c r="B1364" t="str">
        <f>Table3[[#This Row],[VendorID]]</f>
        <v>VEN-021</v>
      </c>
      <c r="C1364" t="str">
        <f>VLOOKUP(B1364,Vendors!A:B,2,FALSE)</f>
        <v>Upwork Freelancers</v>
      </c>
      <c r="D1364" s="9">
        <f>Table3[[#This Row],[BillDate]]</f>
        <v>46041</v>
      </c>
      <c r="E1364" s="9">
        <f>Table3[[#This Row],[DueDate]]</f>
        <v>46071</v>
      </c>
      <c r="F1364" s="3">
        <f>Table3[[#This Row],[BillAmount]]</f>
        <v>3544.45</v>
      </c>
      <c r="G1364" s="3">
        <f>SUMIF(Vendor_Payments!C:C,A1364,Vendor_Payments!E:E)</f>
        <v>3544.45</v>
      </c>
      <c r="H1364" s="3">
        <f t="shared" si="63"/>
        <v>0</v>
      </c>
      <c r="I1364">
        <f t="shared" si="64"/>
        <v>20</v>
      </c>
      <c r="J1364" t="str">
        <f t="shared" si="65"/>
        <v>1-30</v>
      </c>
    </row>
    <row r="1365" spans="1:10" x14ac:dyDescent="0.3">
      <c r="A1365" t="str">
        <f>Table3[[#This Row],[BillID]]</f>
        <v>BILL-01364</v>
      </c>
      <c r="B1365" t="str">
        <f>Table3[[#This Row],[VendorID]]</f>
        <v>VEN-008</v>
      </c>
      <c r="C1365" t="str">
        <f>VLOOKUP(B1365,Vendors!A:B,2,FALSE)</f>
        <v>Ahrefs</v>
      </c>
      <c r="D1365" s="9">
        <f>Table3[[#This Row],[BillDate]]</f>
        <v>46051</v>
      </c>
      <c r="E1365" s="9">
        <f>Table3[[#This Row],[DueDate]]</f>
        <v>46081</v>
      </c>
      <c r="F1365" s="3">
        <f>Table3[[#This Row],[BillAmount]]</f>
        <v>5591.83</v>
      </c>
      <c r="G1365" s="3">
        <f>SUMIF(Vendor_Payments!C:C,A1365,Vendor_Payments!E:E)</f>
        <v>5591.83</v>
      </c>
      <c r="H1365" s="3">
        <f t="shared" si="63"/>
        <v>0</v>
      </c>
      <c r="I1365">
        <f t="shared" si="64"/>
        <v>10</v>
      </c>
      <c r="J1365" t="str">
        <f t="shared" si="65"/>
        <v>1-30</v>
      </c>
    </row>
    <row r="1366" spans="1:10" x14ac:dyDescent="0.3">
      <c r="A1366" t="str">
        <f>Table3[[#This Row],[BillID]]</f>
        <v>BILL-01365</v>
      </c>
      <c r="B1366" t="str">
        <f>Table3[[#This Row],[VendorID]]</f>
        <v>VEN-029</v>
      </c>
      <c r="C1366" t="str">
        <f>VLOOKUP(B1366,Vendors!A:B,2,FALSE)</f>
        <v>BrightSEO Agency</v>
      </c>
      <c r="D1366" s="9">
        <f>Table3[[#This Row],[BillDate]]</f>
        <v>46065</v>
      </c>
      <c r="E1366" s="9">
        <f>Table3[[#This Row],[DueDate]]</f>
        <v>46095</v>
      </c>
      <c r="F1366" s="3">
        <f>Table3[[#This Row],[BillAmount]]</f>
        <v>3821.41</v>
      </c>
      <c r="G1366" s="3">
        <f>SUMIF(Vendor_Payments!C:C,A1366,Vendor_Payments!E:E)</f>
        <v>3821.41</v>
      </c>
      <c r="H1366" s="3">
        <f t="shared" si="63"/>
        <v>0</v>
      </c>
      <c r="I1366">
        <f t="shared" si="64"/>
        <v>-4</v>
      </c>
      <c r="J1366" t="str">
        <f t="shared" si="65"/>
        <v>Current</v>
      </c>
    </row>
    <row r="1367" spans="1:10" x14ac:dyDescent="0.3">
      <c r="A1367" t="str">
        <f>Table3[[#This Row],[BillID]]</f>
        <v>BILL-01366</v>
      </c>
      <c r="B1367" t="str">
        <f>Table3[[#This Row],[VendorID]]</f>
        <v>VEN-039</v>
      </c>
      <c r="C1367" t="str">
        <f>VLOOKUP(B1367,Vendors!A:B,2,FALSE)</f>
        <v>Global Growth Advisors</v>
      </c>
      <c r="D1367" s="9">
        <f>Table3[[#This Row],[BillDate]]</f>
        <v>46074</v>
      </c>
      <c r="E1367" s="9">
        <f>Table3[[#This Row],[DueDate]]</f>
        <v>46104</v>
      </c>
      <c r="F1367" s="3">
        <f>Table3[[#This Row],[BillAmount]]</f>
        <v>5391.01</v>
      </c>
      <c r="G1367" s="3">
        <f>SUMIF(Vendor_Payments!C:C,A1367,Vendor_Payments!E:E)</f>
        <v>0</v>
      </c>
      <c r="H1367" s="3">
        <f t="shared" si="63"/>
        <v>5391.01</v>
      </c>
      <c r="I1367">
        <f t="shared" si="64"/>
        <v>-13</v>
      </c>
      <c r="J1367" t="str">
        <f t="shared" si="65"/>
        <v>Current</v>
      </c>
    </row>
    <row r="1368" spans="1:10" x14ac:dyDescent="0.3">
      <c r="A1368" t="str">
        <f>Table3[[#This Row],[BillID]]</f>
        <v>BILL-01367</v>
      </c>
      <c r="B1368" t="str">
        <f>Table3[[#This Row],[VendorID]]</f>
        <v>VEN-013</v>
      </c>
      <c r="C1368" t="str">
        <f>VLOOKUP(B1368,Vendors!A:B,2,FALSE)</f>
        <v>Canva Pro</v>
      </c>
      <c r="D1368" s="9">
        <f>Table3[[#This Row],[BillDate]]</f>
        <v>46052</v>
      </c>
      <c r="E1368" s="9">
        <f>Table3[[#This Row],[DueDate]]</f>
        <v>46082</v>
      </c>
      <c r="F1368" s="3">
        <f>Table3[[#This Row],[BillAmount]]</f>
        <v>1150.17</v>
      </c>
      <c r="G1368" s="3">
        <f>SUMIF(Vendor_Payments!C:C,A1368,Vendor_Payments!E:E)</f>
        <v>1150.17</v>
      </c>
      <c r="H1368" s="3">
        <f t="shared" si="63"/>
        <v>0</v>
      </c>
      <c r="I1368">
        <f t="shared" si="64"/>
        <v>9</v>
      </c>
      <c r="J1368" t="str">
        <f t="shared" si="65"/>
        <v>1-30</v>
      </c>
    </row>
    <row r="1369" spans="1:10" x14ac:dyDescent="0.3">
      <c r="A1369" t="str">
        <f>Table3[[#This Row],[BillID]]</f>
        <v>BILL-01368</v>
      </c>
      <c r="B1369" t="str">
        <f>Table3[[#This Row],[VendorID]]</f>
        <v>VEN-012</v>
      </c>
      <c r="C1369" t="str">
        <f>VLOOKUP(B1369,Vendors!A:B,2,FALSE)</f>
        <v>Google Cloud</v>
      </c>
      <c r="D1369" s="9">
        <f>Table3[[#This Row],[BillDate]]</f>
        <v>46064</v>
      </c>
      <c r="E1369" s="9">
        <f>Table3[[#This Row],[DueDate]]</f>
        <v>46094</v>
      </c>
      <c r="F1369" s="3">
        <f>Table3[[#This Row],[BillAmount]]</f>
        <v>836.45</v>
      </c>
      <c r="G1369" s="3">
        <f>SUMIF(Vendor_Payments!C:C,A1369,Vendor_Payments!E:E)</f>
        <v>0</v>
      </c>
      <c r="H1369" s="3">
        <f t="shared" si="63"/>
        <v>836.45</v>
      </c>
      <c r="I1369">
        <f t="shared" si="64"/>
        <v>-3</v>
      </c>
      <c r="J1369" t="str">
        <f t="shared" si="65"/>
        <v>Current</v>
      </c>
    </row>
    <row r="1370" spans="1:10" x14ac:dyDescent="0.3">
      <c r="A1370" t="str">
        <f>Table3[[#This Row],[BillID]]</f>
        <v>BILL-01369</v>
      </c>
      <c r="B1370" t="str">
        <f>Table3[[#This Row],[VendorID]]</f>
        <v>VEN-034</v>
      </c>
      <c r="C1370" t="str">
        <f>VLOOKUP(B1370,Vendors!A:B,2,FALSE)</f>
        <v>SocialBoost Agency</v>
      </c>
      <c r="D1370" s="9">
        <f>Table3[[#This Row],[BillDate]]</f>
        <v>45979</v>
      </c>
      <c r="E1370" s="9">
        <f>Table3[[#This Row],[DueDate]]</f>
        <v>46009</v>
      </c>
      <c r="F1370" s="3">
        <f>Table3[[#This Row],[BillAmount]]</f>
        <v>2313.02</v>
      </c>
      <c r="G1370" s="3">
        <f>SUMIF(Vendor_Payments!C:C,A1370,Vendor_Payments!E:E)</f>
        <v>2313.02</v>
      </c>
      <c r="H1370" s="3">
        <f t="shared" si="63"/>
        <v>0</v>
      </c>
      <c r="I1370">
        <f t="shared" si="64"/>
        <v>82</v>
      </c>
      <c r="J1370" t="str">
        <f t="shared" si="65"/>
        <v>61-90</v>
      </c>
    </row>
    <row r="1371" spans="1:10" x14ac:dyDescent="0.3">
      <c r="A1371" t="str">
        <f>Table3[[#This Row],[BillID]]</f>
        <v>BILL-01370</v>
      </c>
      <c r="B1371" t="str">
        <f>Table3[[#This Row],[VendorID]]</f>
        <v>VEN-014</v>
      </c>
      <c r="C1371" t="str">
        <f>VLOOKUP(B1371,Vendors!A:B,2,FALSE)</f>
        <v>Figma</v>
      </c>
      <c r="D1371" s="9">
        <f>Table3[[#This Row],[BillDate]]</f>
        <v>45997</v>
      </c>
      <c r="E1371" s="9">
        <f>Table3[[#This Row],[DueDate]]</f>
        <v>46027</v>
      </c>
      <c r="F1371" s="3">
        <f>Table3[[#This Row],[BillAmount]]</f>
        <v>5417.61</v>
      </c>
      <c r="G1371" s="3">
        <f>SUMIF(Vendor_Payments!C:C,A1371,Vendor_Payments!E:E)</f>
        <v>5417.61</v>
      </c>
      <c r="H1371" s="3">
        <f t="shared" si="63"/>
        <v>0</v>
      </c>
      <c r="I1371">
        <f t="shared" si="64"/>
        <v>64</v>
      </c>
      <c r="J1371" t="str">
        <f t="shared" si="65"/>
        <v>61-90</v>
      </c>
    </row>
    <row r="1372" spans="1:10" x14ac:dyDescent="0.3">
      <c r="A1372" t="str">
        <f>Table3[[#This Row],[BillID]]</f>
        <v>BILL-01371</v>
      </c>
      <c r="B1372" t="str">
        <f>Table3[[#This Row],[VendorID]]</f>
        <v>VEN-011</v>
      </c>
      <c r="C1372" t="str">
        <f>VLOOKUP(B1372,Vendors!A:B,2,FALSE)</f>
        <v>AWS</v>
      </c>
      <c r="D1372" s="9">
        <f>Table3[[#This Row],[BillDate]]</f>
        <v>45994</v>
      </c>
      <c r="E1372" s="9">
        <f>Table3[[#This Row],[DueDate]]</f>
        <v>46024</v>
      </c>
      <c r="F1372" s="3">
        <f>Table3[[#This Row],[BillAmount]]</f>
        <v>4485.5600000000004</v>
      </c>
      <c r="G1372" s="3">
        <f>SUMIF(Vendor_Payments!C:C,A1372,Vendor_Payments!E:E)</f>
        <v>4485.5600000000004</v>
      </c>
      <c r="H1372" s="3">
        <f t="shared" si="63"/>
        <v>0</v>
      </c>
      <c r="I1372">
        <f t="shared" si="64"/>
        <v>67</v>
      </c>
      <c r="J1372" t="str">
        <f t="shared" si="65"/>
        <v>61-90</v>
      </c>
    </row>
    <row r="1373" spans="1:10" x14ac:dyDescent="0.3">
      <c r="A1373" t="str">
        <f>Table3[[#This Row],[BillID]]</f>
        <v>BILL-01372</v>
      </c>
      <c r="B1373" t="str">
        <f>Table3[[#This Row],[VendorID]]</f>
        <v>VEN-004</v>
      </c>
      <c r="C1373" t="str">
        <f>VLOOKUP(B1373,Vendors!A:B,2,FALSE)</f>
        <v>LinkedIn Ads</v>
      </c>
      <c r="D1373" s="9">
        <f>Table3[[#This Row],[BillDate]]</f>
        <v>46055</v>
      </c>
      <c r="E1373" s="9">
        <f>Table3[[#This Row],[DueDate]]</f>
        <v>46085</v>
      </c>
      <c r="F1373" s="3">
        <f>Table3[[#This Row],[BillAmount]]</f>
        <v>2273.9899999999998</v>
      </c>
      <c r="G1373" s="3">
        <f>SUMIF(Vendor_Payments!C:C,A1373,Vendor_Payments!E:E)</f>
        <v>0</v>
      </c>
      <c r="H1373" s="3">
        <f t="shared" si="63"/>
        <v>2273.9899999999998</v>
      </c>
      <c r="I1373">
        <f t="shared" si="64"/>
        <v>6</v>
      </c>
      <c r="J1373" t="str">
        <f t="shared" si="65"/>
        <v>1-30</v>
      </c>
    </row>
    <row r="1374" spans="1:10" x14ac:dyDescent="0.3">
      <c r="A1374" t="str">
        <f>Table3[[#This Row],[BillID]]</f>
        <v>BILL-01373</v>
      </c>
      <c r="B1374" t="str">
        <f>Table3[[#This Row],[VendorID]]</f>
        <v>VEN-039</v>
      </c>
      <c r="C1374" t="str">
        <f>VLOOKUP(B1374,Vendors!A:B,2,FALSE)</f>
        <v>Global Growth Advisors</v>
      </c>
      <c r="D1374" s="9">
        <f>Table3[[#This Row],[BillDate]]</f>
        <v>46044</v>
      </c>
      <c r="E1374" s="9">
        <f>Table3[[#This Row],[DueDate]]</f>
        <v>46074</v>
      </c>
      <c r="F1374" s="3">
        <f>Table3[[#This Row],[BillAmount]]</f>
        <v>5641.4</v>
      </c>
      <c r="G1374" s="3">
        <f>SUMIF(Vendor_Payments!C:C,A1374,Vendor_Payments!E:E)</f>
        <v>0</v>
      </c>
      <c r="H1374" s="3">
        <f t="shared" si="63"/>
        <v>5641.4</v>
      </c>
      <c r="I1374">
        <f t="shared" si="64"/>
        <v>17</v>
      </c>
      <c r="J1374" t="str">
        <f t="shared" si="65"/>
        <v>1-30</v>
      </c>
    </row>
    <row r="1375" spans="1:10" x14ac:dyDescent="0.3">
      <c r="A1375" t="str">
        <f>Table3[[#This Row],[BillID]]</f>
        <v>BILL-01374</v>
      </c>
      <c r="B1375" t="str">
        <f>Table3[[#This Row],[VendorID]]</f>
        <v>VEN-030</v>
      </c>
      <c r="C1375" t="str">
        <f>VLOOKUP(B1375,Vendors!A:B,2,FALSE)</f>
        <v>ContentCraft Studio</v>
      </c>
      <c r="D1375" s="9">
        <f>Table3[[#This Row],[BillDate]]</f>
        <v>46091</v>
      </c>
      <c r="E1375" s="9">
        <f>Table3[[#This Row],[DueDate]]</f>
        <v>46121</v>
      </c>
      <c r="F1375" s="3">
        <f>Table3[[#This Row],[BillAmount]]</f>
        <v>5012.3999999999996</v>
      </c>
      <c r="G1375" s="3">
        <f>SUMIF(Vendor_Payments!C:C,A1375,Vendor_Payments!E:E)</f>
        <v>5012.3999999999996</v>
      </c>
      <c r="H1375" s="3">
        <f t="shared" si="63"/>
        <v>0</v>
      </c>
      <c r="I1375">
        <f t="shared" si="64"/>
        <v>-30</v>
      </c>
      <c r="J1375" t="str">
        <f t="shared" si="65"/>
        <v>Current</v>
      </c>
    </row>
    <row r="1376" spans="1:10" x14ac:dyDescent="0.3">
      <c r="A1376" t="str">
        <f>Table3[[#This Row],[BillID]]</f>
        <v>BILL-01375</v>
      </c>
      <c r="B1376" t="str">
        <f>Table3[[#This Row],[VendorID]]</f>
        <v>VEN-010</v>
      </c>
      <c r="C1376" t="str">
        <f>VLOOKUP(B1376,Vendors!A:B,2,FALSE)</f>
        <v>Adobe Creative Cloud</v>
      </c>
      <c r="D1376" s="9">
        <f>Table3[[#This Row],[BillDate]]</f>
        <v>45964</v>
      </c>
      <c r="E1376" s="9">
        <f>Table3[[#This Row],[DueDate]]</f>
        <v>45994</v>
      </c>
      <c r="F1376" s="3">
        <f>Table3[[#This Row],[BillAmount]]</f>
        <v>2288.58</v>
      </c>
      <c r="G1376" s="3">
        <f>SUMIF(Vendor_Payments!C:C,A1376,Vendor_Payments!E:E)</f>
        <v>2288.58</v>
      </c>
      <c r="H1376" s="3">
        <f t="shared" si="63"/>
        <v>0</v>
      </c>
      <c r="I1376">
        <f t="shared" si="64"/>
        <v>97</v>
      </c>
      <c r="J1376" t="str">
        <f t="shared" si="65"/>
        <v>90+</v>
      </c>
    </row>
    <row r="1377" spans="1:10" x14ac:dyDescent="0.3">
      <c r="A1377" t="str">
        <f>Table3[[#This Row],[BillID]]</f>
        <v>BILL-01376</v>
      </c>
      <c r="B1377" t="str">
        <f>Table3[[#This Row],[VendorID]]</f>
        <v>VEN-003</v>
      </c>
      <c r="C1377" t="str">
        <f>VLOOKUP(B1377,Vendors!A:B,2,FALSE)</f>
        <v>TikTok Ads</v>
      </c>
      <c r="D1377" s="9">
        <f>Table3[[#This Row],[BillDate]]</f>
        <v>46042</v>
      </c>
      <c r="E1377" s="9">
        <f>Table3[[#This Row],[DueDate]]</f>
        <v>46072</v>
      </c>
      <c r="F1377" s="3">
        <f>Table3[[#This Row],[BillAmount]]</f>
        <v>1268.21</v>
      </c>
      <c r="G1377" s="3">
        <f>SUMIF(Vendor_Payments!C:C,A1377,Vendor_Payments!E:E)</f>
        <v>1268.21</v>
      </c>
      <c r="H1377" s="3">
        <f t="shared" si="63"/>
        <v>0</v>
      </c>
      <c r="I1377">
        <f t="shared" si="64"/>
        <v>19</v>
      </c>
      <c r="J1377" t="str">
        <f t="shared" si="65"/>
        <v>1-30</v>
      </c>
    </row>
    <row r="1378" spans="1:10" x14ac:dyDescent="0.3">
      <c r="A1378" t="str">
        <f>Table3[[#This Row],[BillID]]</f>
        <v>BILL-01377</v>
      </c>
      <c r="B1378" t="str">
        <f>Table3[[#This Row],[VendorID]]</f>
        <v>VEN-009</v>
      </c>
      <c r="C1378" t="str">
        <f>VLOOKUP(B1378,Vendors!A:B,2,FALSE)</f>
        <v>SEMrush</v>
      </c>
      <c r="D1378" s="9">
        <f>Table3[[#This Row],[BillDate]]</f>
        <v>45987</v>
      </c>
      <c r="E1378" s="9">
        <f>Table3[[#This Row],[DueDate]]</f>
        <v>46017</v>
      </c>
      <c r="F1378" s="3">
        <f>Table3[[#This Row],[BillAmount]]</f>
        <v>3567.72</v>
      </c>
      <c r="G1378" s="3">
        <f>SUMIF(Vendor_Payments!C:C,A1378,Vendor_Payments!E:E)</f>
        <v>3567.72</v>
      </c>
      <c r="H1378" s="3">
        <f t="shared" si="63"/>
        <v>0</v>
      </c>
      <c r="I1378">
        <f t="shared" si="64"/>
        <v>74</v>
      </c>
      <c r="J1378" t="str">
        <f t="shared" si="65"/>
        <v>61-90</v>
      </c>
    </row>
    <row r="1379" spans="1:10" x14ac:dyDescent="0.3">
      <c r="A1379" t="str">
        <f>Table3[[#This Row],[BillID]]</f>
        <v>BILL-01378</v>
      </c>
      <c r="B1379" t="str">
        <f>Table3[[#This Row],[VendorID]]</f>
        <v>VEN-007</v>
      </c>
      <c r="C1379" t="str">
        <f>VLOOKUP(B1379,Vendors!A:B,2,FALSE)</f>
        <v>Mailchimp</v>
      </c>
      <c r="D1379" s="9">
        <f>Table3[[#This Row],[BillDate]]</f>
        <v>45981</v>
      </c>
      <c r="E1379" s="9">
        <f>Table3[[#This Row],[DueDate]]</f>
        <v>46011</v>
      </c>
      <c r="F1379" s="3">
        <f>Table3[[#This Row],[BillAmount]]</f>
        <v>2310.84</v>
      </c>
      <c r="G1379" s="3">
        <f>SUMIF(Vendor_Payments!C:C,A1379,Vendor_Payments!E:E)</f>
        <v>2310.84</v>
      </c>
      <c r="H1379" s="3">
        <f t="shared" si="63"/>
        <v>0</v>
      </c>
      <c r="I1379">
        <f t="shared" si="64"/>
        <v>80</v>
      </c>
      <c r="J1379" t="str">
        <f t="shared" si="65"/>
        <v>61-90</v>
      </c>
    </row>
    <row r="1380" spans="1:10" x14ac:dyDescent="0.3">
      <c r="A1380" t="str">
        <f>Table3[[#This Row],[BillID]]</f>
        <v>BILL-01379</v>
      </c>
      <c r="B1380" t="str">
        <f>Table3[[#This Row],[VendorID]]</f>
        <v>VEN-035</v>
      </c>
      <c r="C1380" t="str">
        <f>VLOOKUP(B1380,Vendors!A:B,2,FALSE)</f>
        <v>ClickFlow Marketing</v>
      </c>
      <c r="D1380" s="9">
        <f>Table3[[#This Row],[BillDate]]</f>
        <v>45984</v>
      </c>
      <c r="E1380" s="9">
        <f>Table3[[#This Row],[DueDate]]</f>
        <v>46014</v>
      </c>
      <c r="F1380" s="3">
        <f>Table3[[#This Row],[BillAmount]]</f>
        <v>2725.13</v>
      </c>
      <c r="G1380" s="3">
        <f>SUMIF(Vendor_Payments!C:C,A1380,Vendor_Payments!E:E)</f>
        <v>2725.13</v>
      </c>
      <c r="H1380" s="3">
        <f t="shared" si="63"/>
        <v>0</v>
      </c>
      <c r="I1380">
        <f t="shared" si="64"/>
        <v>77</v>
      </c>
      <c r="J1380" t="str">
        <f t="shared" si="65"/>
        <v>61-90</v>
      </c>
    </row>
    <row r="1381" spans="1:10" x14ac:dyDescent="0.3">
      <c r="A1381" t="str">
        <f>Table3[[#This Row],[BillID]]</f>
        <v>BILL-01380</v>
      </c>
      <c r="B1381" t="str">
        <f>Table3[[#This Row],[VendorID]]</f>
        <v>VEN-035</v>
      </c>
      <c r="C1381" t="str">
        <f>VLOOKUP(B1381,Vendors!A:B,2,FALSE)</f>
        <v>ClickFlow Marketing</v>
      </c>
      <c r="D1381" s="9">
        <f>Table3[[#This Row],[BillDate]]</f>
        <v>46055</v>
      </c>
      <c r="E1381" s="9">
        <f>Table3[[#This Row],[DueDate]]</f>
        <v>46085</v>
      </c>
      <c r="F1381" s="3">
        <f>Table3[[#This Row],[BillAmount]]</f>
        <v>4876.71</v>
      </c>
      <c r="G1381" s="3">
        <f>SUMIF(Vendor_Payments!C:C,A1381,Vendor_Payments!E:E)</f>
        <v>4876.71</v>
      </c>
      <c r="H1381" s="3">
        <f t="shared" si="63"/>
        <v>0</v>
      </c>
      <c r="I1381">
        <f t="shared" si="64"/>
        <v>6</v>
      </c>
      <c r="J1381" t="str">
        <f t="shared" si="65"/>
        <v>1-30</v>
      </c>
    </row>
    <row r="1382" spans="1:10" x14ac:dyDescent="0.3">
      <c r="A1382" t="str">
        <f>Table3[[#This Row],[BillID]]</f>
        <v>BILL-01381</v>
      </c>
      <c r="B1382" t="str">
        <f>Table3[[#This Row],[VendorID]]</f>
        <v>VEN-012</v>
      </c>
      <c r="C1382" t="str">
        <f>VLOOKUP(B1382,Vendors!A:B,2,FALSE)</f>
        <v>Google Cloud</v>
      </c>
      <c r="D1382" s="9">
        <f>Table3[[#This Row],[BillDate]]</f>
        <v>46049</v>
      </c>
      <c r="E1382" s="9">
        <f>Table3[[#This Row],[DueDate]]</f>
        <v>46079</v>
      </c>
      <c r="F1382" s="3">
        <f>Table3[[#This Row],[BillAmount]]</f>
        <v>995.46</v>
      </c>
      <c r="G1382" s="3">
        <f>SUMIF(Vendor_Payments!C:C,A1382,Vendor_Payments!E:E)</f>
        <v>995.46</v>
      </c>
      <c r="H1382" s="3">
        <f t="shared" si="63"/>
        <v>0</v>
      </c>
      <c r="I1382">
        <f t="shared" si="64"/>
        <v>12</v>
      </c>
      <c r="J1382" t="str">
        <f t="shared" si="65"/>
        <v>1-30</v>
      </c>
    </row>
    <row r="1383" spans="1:10" x14ac:dyDescent="0.3">
      <c r="A1383" t="str">
        <f>Table3[[#This Row],[BillID]]</f>
        <v>BILL-01382</v>
      </c>
      <c r="B1383" t="str">
        <f>Table3[[#This Row],[VendorID]]</f>
        <v>VEN-005</v>
      </c>
      <c r="C1383" t="str">
        <f>VLOOKUP(B1383,Vendors!A:B,2,FALSE)</f>
        <v>HubSpot</v>
      </c>
      <c r="D1383" s="9">
        <f>Table3[[#This Row],[BillDate]]</f>
        <v>46039</v>
      </c>
      <c r="E1383" s="9">
        <f>Table3[[#This Row],[DueDate]]</f>
        <v>46069</v>
      </c>
      <c r="F1383" s="3">
        <f>Table3[[#This Row],[BillAmount]]</f>
        <v>6265.2</v>
      </c>
      <c r="G1383" s="3">
        <f>SUMIF(Vendor_Payments!C:C,A1383,Vendor_Payments!E:E)</f>
        <v>6265.2</v>
      </c>
      <c r="H1383" s="3">
        <f t="shared" si="63"/>
        <v>0</v>
      </c>
      <c r="I1383">
        <f t="shared" si="64"/>
        <v>22</v>
      </c>
      <c r="J1383" t="str">
        <f t="shared" si="65"/>
        <v>1-30</v>
      </c>
    </row>
    <row r="1384" spans="1:10" x14ac:dyDescent="0.3">
      <c r="A1384" t="str">
        <f>Table3[[#This Row],[BillID]]</f>
        <v>BILL-01383</v>
      </c>
      <c r="B1384" t="str">
        <f>Table3[[#This Row],[VendorID]]</f>
        <v>VEN-027</v>
      </c>
      <c r="C1384" t="str">
        <f>VLOOKUP(B1384,Vendors!A:B,2,FALSE)</f>
        <v>DevCraft Agency</v>
      </c>
      <c r="D1384" s="9">
        <f>Table3[[#This Row],[BillDate]]</f>
        <v>46039</v>
      </c>
      <c r="E1384" s="9">
        <f>Table3[[#This Row],[DueDate]]</f>
        <v>46069</v>
      </c>
      <c r="F1384" s="3">
        <f>Table3[[#This Row],[BillAmount]]</f>
        <v>2178.0300000000002</v>
      </c>
      <c r="G1384" s="3">
        <f>SUMIF(Vendor_Payments!C:C,A1384,Vendor_Payments!E:E)</f>
        <v>0</v>
      </c>
      <c r="H1384" s="3">
        <f t="shared" si="63"/>
        <v>2178.0300000000002</v>
      </c>
      <c r="I1384">
        <f t="shared" si="64"/>
        <v>22</v>
      </c>
      <c r="J1384" t="str">
        <f t="shared" si="65"/>
        <v>1-30</v>
      </c>
    </row>
    <row r="1385" spans="1:10" x14ac:dyDescent="0.3">
      <c r="A1385" t="str">
        <f>Table3[[#This Row],[BillID]]</f>
        <v>BILL-01384</v>
      </c>
      <c r="B1385" t="str">
        <f>Table3[[#This Row],[VendorID]]</f>
        <v>VEN-037</v>
      </c>
      <c r="C1385" t="str">
        <f>VLOOKUP(B1385,Vendors!A:B,2,FALSE)</f>
        <v>CreativeSpark Studio</v>
      </c>
      <c r="D1385" s="9">
        <f>Table3[[#This Row],[BillDate]]</f>
        <v>46078</v>
      </c>
      <c r="E1385" s="9">
        <f>Table3[[#This Row],[DueDate]]</f>
        <v>46108</v>
      </c>
      <c r="F1385" s="3">
        <f>Table3[[#This Row],[BillAmount]]</f>
        <v>4995.7700000000004</v>
      </c>
      <c r="G1385" s="3">
        <f>SUMIF(Vendor_Payments!C:C,A1385,Vendor_Payments!E:E)</f>
        <v>4995.7700000000004</v>
      </c>
      <c r="H1385" s="3">
        <f t="shared" si="63"/>
        <v>0</v>
      </c>
      <c r="I1385">
        <f t="shared" si="64"/>
        <v>-17</v>
      </c>
      <c r="J1385" t="str">
        <f t="shared" si="65"/>
        <v>Current</v>
      </c>
    </row>
    <row r="1386" spans="1:10" x14ac:dyDescent="0.3">
      <c r="A1386" t="str">
        <f>Table3[[#This Row],[BillID]]</f>
        <v>BILL-01385</v>
      </c>
      <c r="B1386" t="str">
        <f>Table3[[#This Row],[VendorID]]</f>
        <v>VEN-031</v>
      </c>
      <c r="C1386" t="str">
        <f>VLOOKUP(B1386,Vendors!A:B,2,FALSE)</f>
        <v>DataInsight Analytics</v>
      </c>
      <c r="D1386" s="9">
        <f>Table3[[#This Row],[BillDate]]</f>
        <v>46015</v>
      </c>
      <c r="E1386" s="9">
        <f>Table3[[#This Row],[DueDate]]</f>
        <v>46045</v>
      </c>
      <c r="F1386" s="3">
        <f>Table3[[#This Row],[BillAmount]]</f>
        <v>6940.21</v>
      </c>
      <c r="G1386" s="3">
        <f>SUMIF(Vendor_Payments!C:C,A1386,Vendor_Payments!E:E)</f>
        <v>0</v>
      </c>
      <c r="H1386" s="3">
        <f t="shared" si="63"/>
        <v>6940.21</v>
      </c>
      <c r="I1386">
        <f t="shared" si="64"/>
        <v>46</v>
      </c>
      <c r="J1386" t="str">
        <f t="shared" si="65"/>
        <v>31-60</v>
      </c>
    </row>
    <row r="1387" spans="1:10" x14ac:dyDescent="0.3">
      <c r="A1387" t="str">
        <f>Table3[[#This Row],[BillID]]</f>
        <v>BILL-01386</v>
      </c>
      <c r="B1387" t="str">
        <f>Table3[[#This Row],[VendorID]]</f>
        <v>VEN-030</v>
      </c>
      <c r="C1387" t="str">
        <f>VLOOKUP(B1387,Vendors!A:B,2,FALSE)</f>
        <v>ContentCraft Studio</v>
      </c>
      <c r="D1387" s="9">
        <f>Table3[[#This Row],[BillDate]]</f>
        <v>45963</v>
      </c>
      <c r="E1387" s="9">
        <f>Table3[[#This Row],[DueDate]]</f>
        <v>45993</v>
      </c>
      <c r="F1387" s="3">
        <f>Table3[[#This Row],[BillAmount]]</f>
        <v>5444.33</v>
      </c>
      <c r="G1387" s="3">
        <f>SUMIF(Vendor_Payments!C:C,A1387,Vendor_Payments!E:E)</f>
        <v>5444.33</v>
      </c>
      <c r="H1387" s="3">
        <f t="shared" si="63"/>
        <v>0</v>
      </c>
      <c r="I1387">
        <f t="shared" si="64"/>
        <v>98</v>
      </c>
      <c r="J1387" t="str">
        <f t="shared" si="65"/>
        <v>90+</v>
      </c>
    </row>
    <row r="1388" spans="1:10" x14ac:dyDescent="0.3">
      <c r="A1388" t="str">
        <f>Table3[[#This Row],[BillID]]</f>
        <v>BILL-01387</v>
      </c>
      <c r="B1388" t="str">
        <f>Table3[[#This Row],[VendorID]]</f>
        <v>VEN-032</v>
      </c>
      <c r="C1388" t="str">
        <f>VLOOKUP(B1388,Vendors!A:B,2,FALSE)</f>
        <v>Marketing Automation Labs</v>
      </c>
      <c r="D1388" s="9">
        <f>Table3[[#This Row],[BillDate]]</f>
        <v>45973</v>
      </c>
      <c r="E1388" s="9">
        <f>Table3[[#This Row],[DueDate]]</f>
        <v>46003</v>
      </c>
      <c r="F1388" s="3">
        <f>Table3[[#This Row],[BillAmount]]</f>
        <v>3456.15</v>
      </c>
      <c r="G1388" s="3">
        <f>SUMIF(Vendor_Payments!C:C,A1388,Vendor_Payments!E:E)</f>
        <v>3456.15</v>
      </c>
      <c r="H1388" s="3">
        <f t="shared" si="63"/>
        <v>0</v>
      </c>
      <c r="I1388">
        <f t="shared" si="64"/>
        <v>88</v>
      </c>
      <c r="J1388" t="str">
        <f t="shared" si="65"/>
        <v>61-90</v>
      </c>
    </row>
    <row r="1389" spans="1:10" x14ac:dyDescent="0.3">
      <c r="A1389" t="str">
        <f>Table3[[#This Row],[BillID]]</f>
        <v>BILL-01388</v>
      </c>
      <c r="B1389" t="str">
        <f>Table3[[#This Row],[VendorID]]</f>
        <v>VEN-023</v>
      </c>
      <c r="C1389" t="str">
        <f>VLOOKUP(B1389,Vendors!A:B,2,FALSE)</f>
        <v>Fiverr Pro</v>
      </c>
      <c r="D1389" s="9">
        <f>Table3[[#This Row],[BillDate]]</f>
        <v>45972</v>
      </c>
      <c r="E1389" s="9">
        <f>Table3[[#This Row],[DueDate]]</f>
        <v>46002</v>
      </c>
      <c r="F1389" s="3">
        <f>Table3[[#This Row],[BillAmount]]</f>
        <v>1602.29</v>
      </c>
      <c r="G1389" s="3">
        <f>SUMIF(Vendor_Payments!C:C,A1389,Vendor_Payments!E:E)</f>
        <v>1602.29</v>
      </c>
      <c r="H1389" s="3">
        <f t="shared" si="63"/>
        <v>0</v>
      </c>
      <c r="I1389">
        <f t="shared" si="64"/>
        <v>89</v>
      </c>
      <c r="J1389" t="str">
        <f t="shared" si="65"/>
        <v>61-90</v>
      </c>
    </row>
    <row r="1390" spans="1:10" x14ac:dyDescent="0.3">
      <c r="A1390" t="str">
        <f>Table3[[#This Row],[BillID]]</f>
        <v>BILL-01389</v>
      </c>
      <c r="B1390" t="str">
        <f>Table3[[#This Row],[VendorID]]</f>
        <v>VEN-004</v>
      </c>
      <c r="C1390" t="str">
        <f>VLOOKUP(B1390,Vendors!A:B,2,FALSE)</f>
        <v>LinkedIn Ads</v>
      </c>
      <c r="D1390" s="9">
        <f>Table3[[#This Row],[BillDate]]</f>
        <v>45969</v>
      </c>
      <c r="E1390" s="9">
        <f>Table3[[#This Row],[DueDate]]</f>
        <v>45999</v>
      </c>
      <c r="F1390" s="3">
        <f>Table3[[#This Row],[BillAmount]]</f>
        <v>6792.45</v>
      </c>
      <c r="G1390" s="3">
        <f>SUMIF(Vendor_Payments!C:C,A1390,Vendor_Payments!E:E)</f>
        <v>0</v>
      </c>
      <c r="H1390" s="3">
        <f t="shared" si="63"/>
        <v>6792.45</v>
      </c>
      <c r="I1390">
        <f t="shared" si="64"/>
        <v>92</v>
      </c>
      <c r="J1390" t="str">
        <f t="shared" si="65"/>
        <v>90+</v>
      </c>
    </row>
    <row r="1391" spans="1:10" x14ac:dyDescent="0.3">
      <c r="A1391" t="str">
        <f>Table3[[#This Row],[BillID]]</f>
        <v>BILL-01390</v>
      </c>
      <c r="B1391" t="str">
        <f>Table3[[#This Row],[VendorID]]</f>
        <v>VEN-028</v>
      </c>
      <c r="C1391" t="str">
        <f>VLOOKUP(B1391,Vendors!A:B,2,FALSE)</f>
        <v>MarketEdge Consulting</v>
      </c>
      <c r="D1391" s="9">
        <f>Table3[[#This Row],[BillDate]]</f>
        <v>45975</v>
      </c>
      <c r="E1391" s="9">
        <f>Table3[[#This Row],[DueDate]]</f>
        <v>46005</v>
      </c>
      <c r="F1391" s="3">
        <f>Table3[[#This Row],[BillAmount]]</f>
        <v>2296.9499999999998</v>
      </c>
      <c r="G1391" s="3">
        <f>SUMIF(Vendor_Payments!C:C,A1391,Vendor_Payments!E:E)</f>
        <v>2296.9499999999998</v>
      </c>
      <c r="H1391" s="3">
        <f t="shared" si="63"/>
        <v>0</v>
      </c>
      <c r="I1391">
        <f t="shared" si="64"/>
        <v>86</v>
      </c>
      <c r="J1391" t="str">
        <f t="shared" si="65"/>
        <v>61-90</v>
      </c>
    </row>
    <row r="1392" spans="1:10" x14ac:dyDescent="0.3">
      <c r="A1392" t="str">
        <f>Table3[[#This Row],[BillID]]</f>
        <v>BILL-01391</v>
      </c>
      <c r="B1392" t="str">
        <f>Table3[[#This Row],[VendorID]]</f>
        <v>VEN-035</v>
      </c>
      <c r="C1392" t="str">
        <f>VLOOKUP(B1392,Vendors!A:B,2,FALSE)</f>
        <v>ClickFlow Marketing</v>
      </c>
      <c r="D1392" s="9">
        <f>Table3[[#This Row],[BillDate]]</f>
        <v>46075</v>
      </c>
      <c r="E1392" s="9">
        <f>Table3[[#This Row],[DueDate]]</f>
        <v>46105</v>
      </c>
      <c r="F1392" s="3">
        <f>Table3[[#This Row],[BillAmount]]</f>
        <v>5995.29</v>
      </c>
      <c r="G1392" s="3">
        <f>SUMIF(Vendor_Payments!C:C,A1392,Vendor_Payments!E:E)</f>
        <v>5995.29</v>
      </c>
      <c r="H1392" s="3">
        <f t="shared" si="63"/>
        <v>0</v>
      </c>
      <c r="I1392">
        <f t="shared" si="64"/>
        <v>-14</v>
      </c>
      <c r="J1392" t="str">
        <f t="shared" si="65"/>
        <v>Current</v>
      </c>
    </row>
    <row r="1393" spans="1:10" x14ac:dyDescent="0.3">
      <c r="A1393" t="str">
        <f>Table3[[#This Row],[BillID]]</f>
        <v>BILL-01392</v>
      </c>
      <c r="B1393" t="str">
        <f>Table3[[#This Row],[VendorID]]</f>
        <v>VEN-030</v>
      </c>
      <c r="C1393" t="str">
        <f>VLOOKUP(B1393,Vendors!A:B,2,FALSE)</f>
        <v>ContentCraft Studio</v>
      </c>
      <c r="D1393" s="9">
        <f>Table3[[#This Row],[BillDate]]</f>
        <v>45968</v>
      </c>
      <c r="E1393" s="9">
        <f>Table3[[#This Row],[DueDate]]</f>
        <v>45998</v>
      </c>
      <c r="F1393" s="3">
        <f>Table3[[#This Row],[BillAmount]]</f>
        <v>839.8</v>
      </c>
      <c r="G1393" s="3">
        <f>SUMIF(Vendor_Payments!C:C,A1393,Vendor_Payments!E:E)</f>
        <v>839.8</v>
      </c>
      <c r="H1393" s="3">
        <f t="shared" si="63"/>
        <v>0</v>
      </c>
      <c r="I1393">
        <f t="shared" si="64"/>
        <v>93</v>
      </c>
      <c r="J1393" t="str">
        <f t="shared" si="65"/>
        <v>90+</v>
      </c>
    </row>
    <row r="1394" spans="1:10" x14ac:dyDescent="0.3">
      <c r="A1394" t="str">
        <f>Table3[[#This Row],[BillID]]</f>
        <v>BILL-01393</v>
      </c>
      <c r="B1394" t="str">
        <f>Table3[[#This Row],[VendorID]]</f>
        <v>VEN-038</v>
      </c>
      <c r="C1394" t="str">
        <f>VLOOKUP(B1394,Vendors!A:B,2,FALSE)</f>
        <v>Insight Marketing Partners</v>
      </c>
      <c r="D1394" s="9">
        <f>Table3[[#This Row],[BillDate]]</f>
        <v>45964</v>
      </c>
      <c r="E1394" s="9">
        <f>Table3[[#This Row],[DueDate]]</f>
        <v>45994</v>
      </c>
      <c r="F1394" s="3">
        <f>Table3[[#This Row],[BillAmount]]</f>
        <v>5471.54</v>
      </c>
      <c r="G1394" s="3">
        <f>SUMIF(Vendor_Payments!C:C,A1394,Vendor_Payments!E:E)</f>
        <v>5471.54</v>
      </c>
      <c r="H1394" s="3">
        <f t="shared" si="63"/>
        <v>0</v>
      </c>
      <c r="I1394">
        <f t="shared" si="64"/>
        <v>97</v>
      </c>
      <c r="J1394" t="str">
        <f t="shared" si="65"/>
        <v>90+</v>
      </c>
    </row>
    <row r="1395" spans="1:10" x14ac:dyDescent="0.3">
      <c r="A1395" t="str">
        <f>Table3[[#This Row],[BillID]]</f>
        <v>BILL-01394</v>
      </c>
      <c r="B1395" t="str">
        <f>Table3[[#This Row],[VendorID]]</f>
        <v>VEN-020</v>
      </c>
      <c r="C1395" t="str">
        <f>VLOOKUP(B1395,Vendors!A:B,2,FALSE)</f>
        <v>Slack</v>
      </c>
      <c r="D1395" s="9">
        <f>Table3[[#This Row],[BillDate]]</f>
        <v>45993</v>
      </c>
      <c r="E1395" s="9">
        <f>Table3[[#This Row],[DueDate]]</f>
        <v>46023</v>
      </c>
      <c r="F1395" s="3">
        <f>Table3[[#This Row],[BillAmount]]</f>
        <v>3043.2</v>
      </c>
      <c r="G1395" s="3">
        <f>SUMIF(Vendor_Payments!C:C,A1395,Vendor_Payments!E:E)</f>
        <v>0</v>
      </c>
      <c r="H1395" s="3">
        <f t="shared" si="63"/>
        <v>3043.2</v>
      </c>
      <c r="I1395">
        <f t="shared" si="64"/>
        <v>68</v>
      </c>
      <c r="J1395" t="str">
        <f t="shared" si="65"/>
        <v>61-90</v>
      </c>
    </row>
    <row r="1396" spans="1:10" x14ac:dyDescent="0.3">
      <c r="A1396" t="str">
        <f>Table3[[#This Row],[BillID]]</f>
        <v>BILL-01395</v>
      </c>
      <c r="B1396" t="str">
        <f>Table3[[#This Row],[VendorID]]</f>
        <v>VEN-031</v>
      </c>
      <c r="C1396" t="str">
        <f>VLOOKUP(B1396,Vendors!A:B,2,FALSE)</f>
        <v>DataInsight Analytics</v>
      </c>
      <c r="D1396" s="9">
        <f>Table3[[#This Row],[BillDate]]</f>
        <v>45981</v>
      </c>
      <c r="E1396" s="9">
        <f>Table3[[#This Row],[DueDate]]</f>
        <v>46011</v>
      </c>
      <c r="F1396" s="3">
        <f>Table3[[#This Row],[BillAmount]]</f>
        <v>1678.96</v>
      </c>
      <c r="G1396" s="3">
        <f>SUMIF(Vendor_Payments!C:C,A1396,Vendor_Payments!E:E)</f>
        <v>1678.96</v>
      </c>
      <c r="H1396" s="3">
        <f t="shared" si="63"/>
        <v>0</v>
      </c>
      <c r="I1396">
        <f t="shared" si="64"/>
        <v>80</v>
      </c>
      <c r="J1396" t="str">
        <f t="shared" si="65"/>
        <v>61-90</v>
      </c>
    </row>
    <row r="1397" spans="1:10" x14ac:dyDescent="0.3">
      <c r="A1397" t="str">
        <f>Table3[[#This Row],[BillID]]</f>
        <v>BILL-01396</v>
      </c>
      <c r="B1397" t="str">
        <f>Table3[[#This Row],[VendorID]]</f>
        <v>VEN-008</v>
      </c>
      <c r="C1397" t="str">
        <f>VLOOKUP(B1397,Vendors!A:B,2,FALSE)</f>
        <v>Ahrefs</v>
      </c>
      <c r="D1397" s="9">
        <f>Table3[[#This Row],[BillDate]]</f>
        <v>46015</v>
      </c>
      <c r="E1397" s="9">
        <f>Table3[[#This Row],[DueDate]]</f>
        <v>46045</v>
      </c>
      <c r="F1397" s="3">
        <f>Table3[[#This Row],[BillAmount]]</f>
        <v>4520.25</v>
      </c>
      <c r="G1397" s="3">
        <f>SUMIF(Vendor_Payments!C:C,A1397,Vendor_Payments!E:E)</f>
        <v>4520.25</v>
      </c>
      <c r="H1397" s="3">
        <f t="shared" si="63"/>
        <v>0</v>
      </c>
      <c r="I1397">
        <f t="shared" si="64"/>
        <v>46</v>
      </c>
      <c r="J1397" t="str">
        <f t="shared" si="65"/>
        <v>31-60</v>
      </c>
    </row>
    <row r="1398" spans="1:10" x14ac:dyDescent="0.3">
      <c r="A1398" t="str">
        <f>Table3[[#This Row],[BillID]]</f>
        <v>BILL-01397</v>
      </c>
      <c r="B1398" t="str">
        <f>Table3[[#This Row],[VendorID]]</f>
        <v>VEN-016</v>
      </c>
      <c r="C1398" t="str">
        <f>VLOOKUP(B1398,Vendors!A:B,2,FALSE)</f>
        <v>Stripe</v>
      </c>
      <c r="D1398" s="9">
        <f>Table3[[#This Row],[BillDate]]</f>
        <v>46077</v>
      </c>
      <c r="E1398" s="9">
        <f>Table3[[#This Row],[DueDate]]</f>
        <v>46107</v>
      </c>
      <c r="F1398" s="3">
        <f>Table3[[#This Row],[BillAmount]]</f>
        <v>3522.98</v>
      </c>
      <c r="G1398" s="3">
        <f>SUMIF(Vendor_Payments!C:C,A1398,Vendor_Payments!E:E)</f>
        <v>0</v>
      </c>
      <c r="H1398" s="3">
        <f t="shared" si="63"/>
        <v>3522.98</v>
      </c>
      <c r="I1398">
        <f t="shared" si="64"/>
        <v>-16</v>
      </c>
      <c r="J1398" t="str">
        <f t="shared" si="65"/>
        <v>Current</v>
      </c>
    </row>
    <row r="1399" spans="1:10" x14ac:dyDescent="0.3">
      <c r="A1399" t="str">
        <f>Table3[[#This Row],[BillID]]</f>
        <v>BILL-01398</v>
      </c>
      <c r="B1399" t="str">
        <f>Table3[[#This Row],[VendorID]]</f>
        <v>VEN-033</v>
      </c>
      <c r="C1399" t="str">
        <f>VLOOKUP(B1399,Vendors!A:B,2,FALSE)</f>
        <v>AdScale Solutions</v>
      </c>
      <c r="D1399" s="9">
        <f>Table3[[#This Row],[BillDate]]</f>
        <v>45973</v>
      </c>
      <c r="E1399" s="9">
        <f>Table3[[#This Row],[DueDate]]</f>
        <v>46003</v>
      </c>
      <c r="F1399" s="3">
        <f>Table3[[#This Row],[BillAmount]]</f>
        <v>3902.95</v>
      </c>
      <c r="G1399" s="3">
        <f>SUMIF(Vendor_Payments!C:C,A1399,Vendor_Payments!E:E)</f>
        <v>0</v>
      </c>
      <c r="H1399" s="3">
        <f t="shared" si="63"/>
        <v>3902.95</v>
      </c>
      <c r="I1399">
        <f t="shared" si="64"/>
        <v>88</v>
      </c>
      <c r="J1399" t="str">
        <f t="shared" si="65"/>
        <v>61-90</v>
      </c>
    </row>
    <row r="1400" spans="1:10" x14ac:dyDescent="0.3">
      <c r="A1400" t="str">
        <f>Table3[[#This Row],[BillID]]</f>
        <v>BILL-01399</v>
      </c>
      <c r="B1400" t="str">
        <f>Table3[[#This Row],[VendorID]]</f>
        <v>VEN-016</v>
      </c>
      <c r="C1400" t="str">
        <f>VLOOKUP(B1400,Vendors!A:B,2,FALSE)</f>
        <v>Stripe</v>
      </c>
      <c r="D1400" s="9">
        <f>Table3[[#This Row],[BillDate]]</f>
        <v>46030</v>
      </c>
      <c r="E1400" s="9">
        <f>Table3[[#This Row],[DueDate]]</f>
        <v>46060</v>
      </c>
      <c r="F1400" s="3">
        <f>Table3[[#This Row],[BillAmount]]</f>
        <v>4424.8599999999997</v>
      </c>
      <c r="G1400" s="3">
        <f>SUMIF(Vendor_Payments!C:C,A1400,Vendor_Payments!E:E)</f>
        <v>4424.8599999999997</v>
      </c>
      <c r="H1400" s="3">
        <f t="shared" si="63"/>
        <v>0</v>
      </c>
      <c r="I1400">
        <f t="shared" si="64"/>
        <v>31</v>
      </c>
      <c r="J1400" t="str">
        <f t="shared" si="65"/>
        <v>31-60</v>
      </c>
    </row>
    <row r="1401" spans="1:10" x14ac:dyDescent="0.3">
      <c r="A1401" t="str">
        <f>Table3[[#This Row],[BillID]]</f>
        <v>BILL-01400</v>
      </c>
      <c r="B1401" t="str">
        <f>Table3[[#This Row],[VendorID]]</f>
        <v>VEN-026</v>
      </c>
      <c r="C1401" t="str">
        <f>VLOOKUP(B1401,Vendors!A:B,2,FALSE)</f>
        <v>PixelForge Studio</v>
      </c>
      <c r="D1401" s="9">
        <f>Table3[[#This Row],[BillDate]]</f>
        <v>45968</v>
      </c>
      <c r="E1401" s="9">
        <f>Table3[[#This Row],[DueDate]]</f>
        <v>45998</v>
      </c>
      <c r="F1401" s="3">
        <f>Table3[[#This Row],[BillAmount]]</f>
        <v>5542.46</v>
      </c>
      <c r="G1401" s="3">
        <f>SUMIF(Vendor_Payments!C:C,A1401,Vendor_Payments!E:E)</f>
        <v>5542.46</v>
      </c>
      <c r="H1401" s="3">
        <f t="shared" si="63"/>
        <v>0</v>
      </c>
      <c r="I1401">
        <f t="shared" si="64"/>
        <v>93</v>
      </c>
      <c r="J1401" t="str">
        <f t="shared" si="65"/>
        <v>90+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37.44140625" bestFit="1" customWidth="1"/>
    <col min="2" max="2" width="18.5546875" bestFit="1" customWidth="1"/>
    <col min="3" max="3" width="12.5546875" bestFit="1" customWidth="1"/>
    <col min="7" max="7" width="18.33203125" customWidth="1"/>
  </cols>
  <sheetData>
    <row r="1" spans="1:8" ht="21" x14ac:dyDescent="0.4">
      <c r="A1" s="41" t="s">
        <v>7836</v>
      </c>
    </row>
    <row r="2" spans="1:8" ht="18" x14ac:dyDescent="0.35">
      <c r="A2" s="42" t="s">
        <v>7837</v>
      </c>
    </row>
    <row r="3" spans="1:8" x14ac:dyDescent="0.3">
      <c r="A3" s="43" t="s">
        <v>7838</v>
      </c>
    </row>
    <row r="6" spans="1:8" x14ac:dyDescent="0.3">
      <c r="A6" s="17" t="s">
        <v>7839</v>
      </c>
      <c r="B6" s="17" t="s">
        <v>7825</v>
      </c>
      <c r="C6" s="17" t="s">
        <v>7840</v>
      </c>
      <c r="G6" s="53" t="s">
        <v>7827</v>
      </c>
      <c r="H6" s="55">
        <v>0.23398966979793515</v>
      </c>
    </row>
    <row r="7" spans="1:8" x14ac:dyDescent="0.3">
      <c r="A7" t="s">
        <v>7827</v>
      </c>
      <c r="B7" s="3">
        <f>SUMIF(AP_Aging!J:J,"Current",AP_Aging!H:H)</f>
        <v>369681.95000000019</v>
      </c>
      <c r="C7" s="34">
        <f>B7/$B$12</f>
        <v>0.23398966979793515</v>
      </c>
      <c r="G7" s="53" t="s">
        <v>7830</v>
      </c>
      <c r="H7" s="55">
        <v>0.23022567642804628</v>
      </c>
    </row>
    <row r="8" spans="1:8" x14ac:dyDescent="0.3">
      <c r="A8" t="s">
        <v>7830</v>
      </c>
      <c r="B8" s="3">
        <f>SUMIF(AP_Aging!J:J,"1-30",AP_Aging!H:H)</f>
        <v>363735.19000000012</v>
      </c>
      <c r="C8" s="34">
        <f t="shared" ref="C8:C11" si="0">B8/$B$12</f>
        <v>0.23022567642804628</v>
      </c>
      <c r="G8" s="53" t="s">
        <v>7831</v>
      </c>
      <c r="H8" s="55">
        <v>0.23326671591597453</v>
      </c>
    </row>
    <row r="9" spans="1:8" x14ac:dyDescent="0.3">
      <c r="A9" t="s">
        <v>7831</v>
      </c>
      <c r="B9" s="3">
        <f>SUMIF(AP_Aging!J:J,"31-60",AP_Aging!H:H)</f>
        <v>368539.74999999988</v>
      </c>
      <c r="C9" s="34">
        <f t="shared" si="0"/>
        <v>0.23326671591597453</v>
      </c>
      <c r="G9" s="53" t="s">
        <v>7832</v>
      </c>
      <c r="H9" s="55">
        <v>0.21919067344679508</v>
      </c>
    </row>
    <row r="10" spans="1:8" x14ac:dyDescent="0.3">
      <c r="A10" t="s">
        <v>7832</v>
      </c>
      <c r="B10" s="3">
        <f>SUMIF(AP_Aging!J:J,"61-90",AP_Aging!H:H)</f>
        <v>346300.91000000003</v>
      </c>
      <c r="C10" s="34">
        <f t="shared" si="0"/>
        <v>0.21919067344679508</v>
      </c>
      <c r="G10" s="53" t="s">
        <v>7833</v>
      </c>
      <c r="H10" s="55">
        <v>8.3327264411248853E-2</v>
      </c>
    </row>
    <row r="11" spans="1:8" x14ac:dyDescent="0.3">
      <c r="A11" t="s">
        <v>7833</v>
      </c>
      <c r="B11" s="3">
        <f>SUMIF(AP_Aging!J:J,"90+",AP_Aging!H:H)</f>
        <v>131649.34</v>
      </c>
      <c r="C11" s="34">
        <f t="shared" si="0"/>
        <v>8.3327264411248853E-2</v>
      </c>
    </row>
    <row r="12" spans="1:8" ht="15" thickBot="1" x14ac:dyDescent="0.35">
      <c r="A12" s="44" t="s">
        <v>7841</v>
      </c>
      <c r="B12" s="45">
        <f>SUM(B7:B11)</f>
        <v>1579907.1400000004</v>
      </c>
      <c r="C12" s="46">
        <f>SUM(C7:C11)</f>
        <v>0.99999999999999989</v>
      </c>
    </row>
    <row r="13" spans="1:8" ht="15" thickTop="1" x14ac:dyDescent="0.3"/>
    <row r="18" spans="2:2" x14ac:dyDescent="0.3">
      <c r="B18" t="s">
        <v>7842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4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9.21875" style="9" bestFit="1" customWidth="1"/>
    <col min="2" max="2" width="16.5546875" style="7" bestFit="1" customWidth="1"/>
    <col min="3" max="3" width="12.6640625" style="3" bestFit="1" customWidth="1"/>
    <col min="4" max="4" width="10.44140625" style="7" bestFit="1" customWidth="1"/>
    <col min="5" max="5" width="15.6640625" style="7" bestFit="1" customWidth="1"/>
    <col min="7" max="7" width="9.5546875" bestFit="1" customWidth="1"/>
  </cols>
  <sheetData>
    <row r="1" spans="1:7" x14ac:dyDescent="0.3">
      <c r="A1" s="8" t="s">
        <v>7808</v>
      </c>
      <c r="B1" s="6" t="s">
        <v>7809</v>
      </c>
      <c r="C1" s="2" t="s">
        <v>7810</v>
      </c>
      <c r="D1" s="6" t="s">
        <v>7811</v>
      </c>
      <c r="E1" s="6" t="s">
        <v>7812</v>
      </c>
    </row>
    <row r="2" spans="1:7" x14ac:dyDescent="0.3">
      <c r="A2" s="9">
        <v>46056</v>
      </c>
      <c r="B2" s="7" t="s">
        <v>7817</v>
      </c>
      <c r="C2" s="3">
        <v>-94788.88</v>
      </c>
      <c r="D2" s="7" t="s">
        <v>7816</v>
      </c>
      <c r="E2" s="7" t="s">
        <v>7818</v>
      </c>
      <c r="G2" s="9"/>
    </row>
    <row r="3" spans="1:7" x14ac:dyDescent="0.3">
      <c r="A3" s="9">
        <v>46077</v>
      </c>
      <c r="B3" s="7" t="s">
        <v>7815</v>
      </c>
      <c r="C3" s="3">
        <v>-4415.6099999999997</v>
      </c>
      <c r="D3" s="7" t="s">
        <v>7816</v>
      </c>
      <c r="E3" s="7" t="s">
        <v>7441</v>
      </c>
      <c r="G3" s="9"/>
    </row>
    <row r="4" spans="1:7" x14ac:dyDescent="0.3">
      <c r="A4" s="9">
        <v>46039</v>
      </c>
      <c r="B4" s="7" t="s">
        <v>7813</v>
      </c>
      <c r="C4" s="3">
        <v>2106.5500000000002</v>
      </c>
      <c r="D4" s="7" t="s">
        <v>7814</v>
      </c>
      <c r="E4" s="7" t="s">
        <v>3480</v>
      </c>
      <c r="G4" s="9"/>
    </row>
    <row r="5" spans="1:7" x14ac:dyDescent="0.3">
      <c r="A5" s="9">
        <v>46043</v>
      </c>
      <c r="B5" s="7" t="s">
        <v>7813</v>
      </c>
      <c r="C5" s="3">
        <v>13480.07</v>
      </c>
      <c r="D5" s="7" t="s">
        <v>7814</v>
      </c>
      <c r="E5" s="7" t="s">
        <v>4587</v>
      </c>
      <c r="G5" s="9"/>
    </row>
    <row r="6" spans="1:7" x14ac:dyDescent="0.3">
      <c r="A6" s="9">
        <v>46025</v>
      </c>
      <c r="B6" s="7" t="s">
        <v>7813</v>
      </c>
      <c r="C6" s="3">
        <v>3572.3</v>
      </c>
      <c r="D6" s="7" t="s">
        <v>7814</v>
      </c>
      <c r="E6" s="7" t="s">
        <v>3466</v>
      </c>
      <c r="G6" s="9"/>
    </row>
    <row r="7" spans="1:7" x14ac:dyDescent="0.3">
      <c r="A7" s="9">
        <v>46015</v>
      </c>
      <c r="B7" s="7" t="s">
        <v>7813</v>
      </c>
      <c r="C7" s="3">
        <v>9844.43</v>
      </c>
      <c r="D7" s="7" t="s">
        <v>7814</v>
      </c>
      <c r="E7" s="7" t="s">
        <v>4288</v>
      </c>
      <c r="G7" s="9"/>
    </row>
    <row r="8" spans="1:7" x14ac:dyDescent="0.3">
      <c r="A8" s="9">
        <v>46017</v>
      </c>
      <c r="B8" s="7" t="s">
        <v>7815</v>
      </c>
      <c r="C8" s="3">
        <v>-6110.16</v>
      </c>
      <c r="D8" s="7" t="s">
        <v>7816</v>
      </c>
      <c r="E8" s="7" t="s">
        <v>7039</v>
      </c>
      <c r="G8" s="9"/>
    </row>
    <row r="9" spans="1:7" x14ac:dyDescent="0.3">
      <c r="A9" s="9">
        <v>46080</v>
      </c>
      <c r="B9" s="7" t="s">
        <v>7813</v>
      </c>
      <c r="C9" s="3">
        <v>2818.9</v>
      </c>
      <c r="D9" s="7" t="s">
        <v>7814</v>
      </c>
      <c r="E9" s="7" t="s">
        <v>4647</v>
      </c>
      <c r="G9" s="9"/>
    </row>
    <row r="10" spans="1:7" x14ac:dyDescent="0.3">
      <c r="A10" s="9">
        <v>46022</v>
      </c>
      <c r="B10" s="7" t="s">
        <v>7813</v>
      </c>
      <c r="C10" s="3">
        <v>3428.41</v>
      </c>
      <c r="D10" s="7" t="s">
        <v>7814</v>
      </c>
      <c r="E10" s="7" t="s">
        <v>4382</v>
      </c>
      <c r="G10" s="9"/>
    </row>
    <row r="11" spans="1:7" x14ac:dyDescent="0.3">
      <c r="A11" s="9">
        <v>45966</v>
      </c>
      <c r="B11" s="7" t="s">
        <v>7815</v>
      </c>
      <c r="C11" s="3">
        <v>-2049.86</v>
      </c>
      <c r="D11" s="7" t="s">
        <v>7816</v>
      </c>
      <c r="E11" s="7" t="s">
        <v>7350</v>
      </c>
      <c r="G11" s="9"/>
    </row>
    <row r="12" spans="1:7" x14ac:dyDescent="0.3">
      <c r="A12" s="9">
        <v>46070</v>
      </c>
      <c r="B12" s="7" t="s">
        <v>7813</v>
      </c>
      <c r="C12" s="3">
        <v>13804.52</v>
      </c>
      <c r="D12" s="7" t="s">
        <v>7814</v>
      </c>
      <c r="E12" s="7" t="s">
        <v>5184</v>
      </c>
      <c r="G12" s="9"/>
    </row>
    <row r="13" spans="1:7" x14ac:dyDescent="0.3">
      <c r="A13" s="9">
        <v>46081</v>
      </c>
      <c r="B13" s="7" t="s">
        <v>7815</v>
      </c>
      <c r="C13" s="3">
        <v>-4912.6899999999996</v>
      </c>
      <c r="D13" s="7" t="s">
        <v>7816</v>
      </c>
      <c r="E13" s="7" t="s">
        <v>7531</v>
      </c>
      <c r="G13" s="9"/>
    </row>
    <row r="14" spans="1:7" x14ac:dyDescent="0.3">
      <c r="A14" s="9">
        <v>45986</v>
      </c>
      <c r="B14" s="7" t="s">
        <v>7813</v>
      </c>
      <c r="C14" s="3">
        <v>4945.97</v>
      </c>
      <c r="D14" s="7" t="s">
        <v>7814</v>
      </c>
      <c r="E14" s="7" t="s">
        <v>3847</v>
      </c>
      <c r="G14" s="9"/>
    </row>
    <row r="15" spans="1:7" x14ac:dyDescent="0.3">
      <c r="A15" s="9">
        <v>46060</v>
      </c>
      <c r="B15" s="7" t="s">
        <v>7813</v>
      </c>
      <c r="C15" s="3">
        <v>1663.84</v>
      </c>
      <c r="D15" s="7" t="s">
        <v>7814</v>
      </c>
      <c r="E15" s="7" t="s">
        <v>4834</v>
      </c>
      <c r="G15" s="9"/>
    </row>
    <row r="16" spans="1:7" x14ac:dyDescent="0.3">
      <c r="A16" s="9">
        <v>45963</v>
      </c>
      <c r="B16" s="7" t="s">
        <v>7813</v>
      </c>
      <c r="C16" s="3">
        <v>3430.43</v>
      </c>
      <c r="D16" s="7" t="s">
        <v>7814</v>
      </c>
      <c r="E16" s="7" t="s">
        <v>3569</v>
      </c>
      <c r="G16" s="9"/>
    </row>
    <row r="17" spans="1:7" x14ac:dyDescent="0.3">
      <c r="A17" s="9">
        <v>46036</v>
      </c>
      <c r="B17" s="7" t="s">
        <v>7813</v>
      </c>
      <c r="C17" s="3">
        <v>3467.14</v>
      </c>
      <c r="D17" s="7" t="s">
        <v>7814</v>
      </c>
      <c r="E17" s="7" t="s">
        <v>4365</v>
      </c>
      <c r="G17" s="9"/>
    </row>
    <row r="18" spans="1:7" x14ac:dyDescent="0.3">
      <c r="A18" s="9">
        <v>46055</v>
      </c>
      <c r="B18" s="7" t="s">
        <v>7813</v>
      </c>
      <c r="C18" s="3">
        <v>3639.99</v>
      </c>
      <c r="D18" s="7" t="s">
        <v>7814</v>
      </c>
      <c r="E18" s="7" t="s">
        <v>4752</v>
      </c>
      <c r="G18" s="9"/>
    </row>
    <row r="19" spans="1:7" x14ac:dyDescent="0.3">
      <c r="A19" s="9">
        <v>45964</v>
      </c>
      <c r="B19" s="7" t="s">
        <v>7813</v>
      </c>
      <c r="C19" s="3">
        <v>1042.1400000000001</v>
      </c>
      <c r="D19" s="7" t="s">
        <v>7814</v>
      </c>
      <c r="E19" s="7" t="s">
        <v>3393</v>
      </c>
      <c r="G19" s="9"/>
    </row>
    <row r="20" spans="1:7" x14ac:dyDescent="0.3">
      <c r="A20" s="9">
        <v>45968</v>
      </c>
      <c r="B20" s="7" t="s">
        <v>7813</v>
      </c>
      <c r="C20" s="3">
        <v>2634.5</v>
      </c>
      <c r="D20" s="7" t="s">
        <v>7814</v>
      </c>
      <c r="E20" s="7" t="s">
        <v>3683</v>
      </c>
      <c r="G20" s="9"/>
    </row>
    <row r="21" spans="1:7" x14ac:dyDescent="0.3">
      <c r="A21" s="9">
        <v>46068</v>
      </c>
      <c r="B21" s="7" t="s">
        <v>7815</v>
      </c>
      <c r="C21" s="3">
        <v>-4182.97</v>
      </c>
      <c r="D21" s="7" t="s">
        <v>7816</v>
      </c>
      <c r="E21" s="7" t="s">
        <v>7058</v>
      </c>
      <c r="G21" s="9"/>
    </row>
    <row r="22" spans="1:7" x14ac:dyDescent="0.3">
      <c r="A22" s="9">
        <v>46009</v>
      </c>
      <c r="B22" s="7" t="s">
        <v>7813</v>
      </c>
      <c r="C22" s="3">
        <v>7672.01</v>
      </c>
      <c r="D22" s="7" t="s">
        <v>7814</v>
      </c>
      <c r="E22" s="7" t="s">
        <v>3185</v>
      </c>
      <c r="G22" s="9"/>
    </row>
    <row r="23" spans="1:7" x14ac:dyDescent="0.3">
      <c r="A23" s="9">
        <v>46026</v>
      </c>
      <c r="B23" s="7" t="s">
        <v>7813</v>
      </c>
      <c r="C23" s="3">
        <v>4079.23</v>
      </c>
      <c r="D23" s="7" t="s">
        <v>7814</v>
      </c>
      <c r="E23" s="7" t="s">
        <v>3186</v>
      </c>
      <c r="G23" s="9"/>
    </row>
    <row r="24" spans="1:7" x14ac:dyDescent="0.3">
      <c r="A24" s="9">
        <v>46082</v>
      </c>
      <c r="B24" s="7" t="s">
        <v>7813</v>
      </c>
      <c r="C24" s="3">
        <v>13170.84</v>
      </c>
      <c r="D24" s="7" t="s">
        <v>7814</v>
      </c>
      <c r="E24" s="7" t="s">
        <v>4606</v>
      </c>
      <c r="G24" s="9"/>
    </row>
    <row r="25" spans="1:7" x14ac:dyDescent="0.3">
      <c r="A25" s="9">
        <v>45993</v>
      </c>
      <c r="B25" s="7" t="s">
        <v>7815</v>
      </c>
      <c r="C25" s="3">
        <v>-1672.58</v>
      </c>
      <c r="D25" s="7" t="s">
        <v>7816</v>
      </c>
      <c r="E25" s="7" t="s">
        <v>6943</v>
      </c>
      <c r="G25" s="9"/>
    </row>
    <row r="26" spans="1:7" x14ac:dyDescent="0.3">
      <c r="A26" s="9">
        <v>46063</v>
      </c>
      <c r="B26" s="7" t="s">
        <v>7815</v>
      </c>
      <c r="C26" s="3">
        <v>-2260.5100000000002</v>
      </c>
      <c r="D26" s="7" t="s">
        <v>7816</v>
      </c>
      <c r="E26" s="7" t="s">
        <v>7379</v>
      </c>
      <c r="G26" s="9"/>
    </row>
    <row r="27" spans="1:7" x14ac:dyDescent="0.3">
      <c r="A27" s="9">
        <v>46030</v>
      </c>
      <c r="B27" s="7" t="s">
        <v>7813</v>
      </c>
      <c r="C27" s="3">
        <v>1432.75</v>
      </c>
      <c r="D27" s="7" t="s">
        <v>7814</v>
      </c>
      <c r="E27" s="7" t="s">
        <v>3394</v>
      </c>
      <c r="G27" s="9"/>
    </row>
    <row r="28" spans="1:7" x14ac:dyDescent="0.3">
      <c r="A28" s="9">
        <v>46017</v>
      </c>
      <c r="B28" s="7" t="s">
        <v>7815</v>
      </c>
      <c r="C28" s="3">
        <v>-1868.83</v>
      </c>
      <c r="D28" s="7" t="s">
        <v>7816</v>
      </c>
      <c r="E28" s="7" t="s">
        <v>6890</v>
      </c>
      <c r="G28" s="9"/>
    </row>
    <row r="29" spans="1:7" x14ac:dyDescent="0.3">
      <c r="A29" s="9">
        <v>46083</v>
      </c>
      <c r="B29" s="7" t="s">
        <v>7813</v>
      </c>
      <c r="C29" s="3">
        <v>4727.12</v>
      </c>
      <c r="D29" s="7" t="s">
        <v>7814</v>
      </c>
      <c r="E29" s="7" t="s">
        <v>5129</v>
      </c>
      <c r="G29" s="9"/>
    </row>
    <row r="30" spans="1:7" x14ac:dyDescent="0.3">
      <c r="A30" s="9">
        <v>46080</v>
      </c>
      <c r="B30" s="7" t="s">
        <v>7815</v>
      </c>
      <c r="C30" s="3">
        <v>-4001.18</v>
      </c>
      <c r="D30" s="7" t="s">
        <v>7816</v>
      </c>
      <c r="E30" s="7" t="s">
        <v>7648</v>
      </c>
      <c r="G30" s="9"/>
    </row>
    <row r="31" spans="1:7" x14ac:dyDescent="0.3">
      <c r="A31" s="9">
        <v>46030</v>
      </c>
      <c r="B31" s="7" t="s">
        <v>7813</v>
      </c>
      <c r="C31" s="3">
        <v>1540.75</v>
      </c>
      <c r="D31" s="7" t="s">
        <v>7814</v>
      </c>
      <c r="E31" s="7" t="s">
        <v>3672</v>
      </c>
      <c r="G31" s="9"/>
    </row>
    <row r="32" spans="1:7" x14ac:dyDescent="0.3">
      <c r="A32" s="9">
        <v>46056</v>
      </c>
      <c r="B32" s="7" t="s">
        <v>7813</v>
      </c>
      <c r="C32" s="3">
        <v>1372.73</v>
      </c>
      <c r="D32" s="7" t="s">
        <v>7814</v>
      </c>
      <c r="E32" s="7" t="s">
        <v>4087</v>
      </c>
      <c r="G32" s="9"/>
    </row>
    <row r="33" spans="1:7" x14ac:dyDescent="0.3">
      <c r="A33" s="9">
        <v>45984</v>
      </c>
      <c r="B33" s="7" t="s">
        <v>7813</v>
      </c>
      <c r="C33" s="3">
        <v>3081.09</v>
      </c>
      <c r="D33" s="7" t="s">
        <v>7814</v>
      </c>
      <c r="E33" s="7" t="s">
        <v>4436</v>
      </c>
      <c r="G33" s="9"/>
    </row>
    <row r="34" spans="1:7" x14ac:dyDescent="0.3">
      <c r="A34" s="9">
        <v>45983</v>
      </c>
      <c r="B34" s="7" t="s">
        <v>7813</v>
      </c>
      <c r="C34" s="3">
        <v>2038.85</v>
      </c>
      <c r="D34" s="7" t="s">
        <v>7814</v>
      </c>
      <c r="E34" s="7" t="s">
        <v>5034</v>
      </c>
      <c r="G34" s="9"/>
    </row>
    <row r="35" spans="1:7" x14ac:dyDescent="0.3">
      <c r="A35" s="9">
        <v>45982</v>
      </c>
      <c r="B35" s="7" t="s">
        <v>7813</v>
      </c>
      <c r="C35" s="3">
        <v>10393.64</v>
      </c>
      <c r="D35" s="7" t="s">
        <v>7814</v>
      </c>
      <c r="E35" s="7" t="s">
        <v>5051</v>
      </c>
      <c r="G35" s="9"/>
    </row>
    <row r="36" spans="1:7" x14ac:dyDescent="0.3">
      <c r="A36" s="9">
        <v>46023</v>
      </c>
      <c r="B36" s="7" t="s">
        <v>7813</v>
      </c>
      <c r="C36" s="3">
        <v>5959.06</v>
      </c>
      <c r="D36" s="7" t="s">
        <v>7814</v>
      </c>
      <c r="E36" s="7" t="s">
        <v>5205</v>
      </c>
      <c r="G36" s="9"/>
    </row>
    <row r="37" spans="1:7" x14ac:dyDescent="0.3">
      <c r="A37" s="9">
        <v>45983</v>
      </c>
      <c r="B37" s="7" t="s">
        <v>7813</v>
      </c>
      <c r="C37" s="3">
        <v>1875.58</v>
      </c>
      <c r="D37" s="7" t="s">
        <v>7814</v>
      </c>
      <c r="E37" s="7" t="s">
        <v>3450</v>
      </c>
      <c r="G37" s="9"/>
    </row>
    <row r="38" spans="1:7" x14ac:dyDescent="0.3">
      <c r="A38" s="9">
        <v>46072</v>
      </c>
      <c r="B38" s="7" t="s">
        <v>7813</v>
      </c>
      <c r="C38" s="3">
        <v>13177.15</v>
      </c>
      <c r="D38" s="7" t="s">
        <v>7814</v>
      </c>
      <c r="E38" s="7" t="s">
        <v>3717</v>
      </c>
      <c r="G38" s="9"/>
    </row>
    <row r="39" spans="1:7" x14ac:dyDescent="0.3">
      <c r="A39" s="9">
        <v>45969</v>
      </c>
      <c r="B39" s="7" t="s">
        <v>7813</v>
      </c>
      <c r="C39" s="3">
        <v>3871.55</v>
      </c>
      <c r="D39" s="7" t="s">
        <v>7814</v>
      </c>
      <c r="E39" s="7" t="s">
        <v>3966</v>
      </c>
      <c r="G39" s="9"/>
    </row>
    <row r="40" spans="1:7" x14ac:dyDescent="0.3">
      <c r="A40" s="9">
        <v>46002</v>
      </c>
      <c r="B40" s="7" t="s">
        <v>7815</v>
      </c>
      <c r="C40" s="3">
        <v>-5927.83</v>
      </c>
      <c r="D40" s="7" t="s">
        <v>7816</v>
      </c>
      <c r="E40" s="7" t="s">
        <v>7183</v>
      </c>
      <c r="G40" s="9"/>
    </row>
    <row r="41" spans="1:7" x14ac:dyDescent="0.3">
      <c r="A41" s="9">
        <v>46088</v>
      </c>
      <c r="B41" s="7" t="s">
        <v>7813</v>
      </c>
      <c r="C41" s="3">
        <v>3704.58</v>
      </c>
      <c r="D41" s="7" t="s">
        <v>7814</v>
      </c>
      <c r="E41" s="7" t="s">
        <v>3306</v>
      </c>
      <c r="G41" s="9"/>
    </row>
    <row r="42" spans="1:7" x14ac:dyDescent="0.3">
      <c r="A42" s="9">
        <v>46050</v>
      </c>
      <c r="B42" s="7" t="s">
        <v>7813</v>
      </c>
      <c r="C42" s="3">
        <v>2050.15</v>
      </c>
      <c r="D42" s="7" t="s">
        <v>7814</v>
      </c>
      <c r="E42" s="7" t="s">
        <v>3891</v>
      </c>
      <c r="G42" s="9"/>
    </row>
    <row r="43" spans="1:7" x14ac:dyDescent="0.3">
      <c r="A43" s="9">
        <v>46006</v>
      </c>
      <c r="B43" s="7" t="s">
        <v>7813</v>
      </c>
      <c r="C43" s="3">
        <v>1773.69</v>
      </c>
      <c r="D43" s="7" t="s">
        <v>7814</v>
      </c>
      <c r="E43" s="7" t="s">
        <v>4142</v>
      </c>
      <c r="G43" s="9"/>
    </row>
    <row r="44" spans="1:7" x14ac:dyDescent="0.3">
      <c r="A44" s="9">
        <v>46051</v>
      </c>
      <c r="B44" s="7" t="s">
        <v>7813</v>
      </c>
      <c r="C44" s="3">
        <v>3462.76</v>
      </c>
      <c r="D44" s="7" t="s">
        <v>7814</v>
      </c>
      <c r="E44" s="7" t="s">
        <v>3343</v>
      </c>
      <c r="G44" s="9"/>
    </row>
    <row r="45" spans="1:7" x14ac:dyDescent="0.3">
      <c r="A45" s="9">
        <v>45969</v>
      </c>
      <c r="B45" s="7" t="s">
        <v>7813</v>
      </c>
      <c r="C45" s="3">
        <v>4165.34</v>
      </c>
      <c r="D45" s="7" t="s">
        <v>7814</v>
      </c>
      <c r="E45" s="7" t="s">
        <v>3521</v>
      </c>
      <c r="G45" s="9"/>
    </row>
    <row r="46" spans="1:7" x14ac:dyDescent="0.3">
      <c r="A46" s="9">
        <v>46041</v>
      </c>
      <c r="B46" s="7" t="s">
        <v>7813</v>
      </c>
      <c r="C46" s="3">
        <v>1849.62</v>
      </c>
      <c r="D46" s="7" t="s">
        <v>7814</v>
      </c>
      <c r="E46" s="7" t="s">
        <v>3987</v>
      </c>
      <c r="G46" s="9"/>
    </row>
    <row r="47" spans="1:7" x14ac:dyDescent="0.3">
      <c r="A47" s="9">
        <v>46073</v>
      </c>
      <c r="B47" s="7" t="s">
        <v>7813</v>
      </c>
      <c r="C47" s="3">
        <v>1746.73</v>
      </c>
      <c r="D47" s="7" t="s">
        <v>7814</v>
      </c>
      <c r="E47" s="7" t="s">
        <v>4267</v>
      </c>
      <c r="G47" s="9"/>
    </row>
    <row r="48" spans="1:7" x14ac:dyDescent="0.3">
      <c r="A48" s="9">
        <v>46088</v>
      </c>
      <c r="B48" s="7" t="s">
        <v>7813</v>
      </c>
      <c r="C48" s="3">
        <v>1659.87</v>
      </c>
      <c r="D48" s="7" t="s">
        <v>7814</v>
      </c>
      <c r="E48" s="7" t="s">
        <v>5344</v>
      </c>
      <c r="G48" s="9"/>
    </row>
    <row r="49" spans="1:7" x14ac:dyDescent="0.3">
      <c r="A49" s="9">
        <v>46056</v>
      </c>
      <c r="B49" s="7" t="s">
        <v>7815</v>
      </c>
      <c r="C49" s="3">
        <v>-6928.31</v>
      </c>
      <c r="D49" s="7" t="s">
        <v>7816</v>
      </c>
      <c r="E49" s="7" t="s">
        <v>7267</v>
      </c>
      <c r="G49" s="9"/>
    </row>
    <row r="50" spans="1:7" x14ac:dyDescent="0.3">
      <c r="A50" s="9">
        <v>46072</v>
      </c>
      <c r="B50" s="7" t="s">
        <v>7815</v>
      </c>
      <c r="C50" s="3">
        <v>-2914.03</v>
      </c>
      <c r="D50" s="7" t="s">
        <v>7816</v>
      </c>
      <c r="E50" s="7" t="s">
        <v>7662</v>
      </c>
      <c r="G50" s="9"/>
    </row>
    <row r="51" spans="1:7" x14ac:dyDescent="0.3">
      <c r="A51" s="9">
        <v>45967</v>
      </c>
      <c r="B51" s="7" t="s">
        <v>7813</v>
      </c>
      <c r="C51" s="3">
        <v>1530.4</v>
      </c>
      <c r="D51" s="7" t="s">
        <v>7814</v>
      </c>
      <c r="E51" s="7" t="s">
        <v>4031</v>
      </c>
      <c r="G51" s="9"/>
    </row>
    <row r="52" spans="1:7" x14ac:dyDescent="0.3">
      <c r="A52" s="9">
        <v>45991</v>
      </c>
      <c r="B52" s="7" t="s">
        <v>7813</v>
      </c>
      <c r="C52" s="3">
        <v>1874.42</v>
      </c>
      <c r="D52" s="7" t="s">
        <v>7814</v>
      </c>
      <c r="E52" s="7" t="s">
        <v>4441</v>
      </c>
      <c r="G52" s="9"/>
    </row>
    <row r="53" spans="1:7" x14ac:dyDescent="0.3">
      <c r="A53" s="9">
        <v>46029</v>
      </c>
      <c r="B53" s="7" t="s">
        <v>7813</v>
      </c>
      <c r="C53" s="3">
        <v>10922.12</v>
      </c>
      <c r="D53" s="7" t="s">
        <v>7814</v>
      </c>
      <c r="E53" s="7" t="s">
        <v>4448</v>
      </c>
      <c r="G53" s="9"/>
    </row>
    <row r="54" spans="1:7" x14ac:dyDescent="0.3">
      <c r="A54" s="9">
        <v>46026</v>
      </c>
      <c r="B54" s="7" t="s">
        <v>7813</v>
      </c>
      <c r="C54" s="3">
        <v>4832.6899999999996</v>
      </c>
      <c r="D54" s="7" t="s">
        <v>7814</v>
      </c>
      <c r="E54" s="7" t="s">
        <v>5394</v>
      </c>
      <c r="G54" s="9"/>
    </row>
    <row r="55" spans="1:7" x14ac:dyDescent="0.3">
      <c r="A55" s="9">
        <v>46035</v>
      </c>
      <c r="B55" s="7" t="s">
        <v>7815</v>
      </c>
      <c r="C55" s="3">
        <v>-1591.84</v>
      </c>
      <c r="D55" s="7" t="s">
        <v>7816</v>
      </c>
      <c r="E55" s="7" t="s">
        <v>6881</v>
      </c>
      <c r="G55" s="9"/>
    </row>
    <row r="56" spans="1:7" x14ac:dyDescent="0.3">
      <c r="A56" s="9">
        <v>46052</v>
      </c>
      <c r="B56" s="7" t="s">
        <v>7815</v>
      </c>
      <c r="C56" s="3">
        <v>-4191.59</v>
      </c>
      <c r="D56" s="7" t="s">
        <v>7816</v>
      </c>
      <c r="E56" s="7" t="s">
        <v>6991</v>
      </c>
      <c r="G56" s="9"/>
    </row>
    <row r="57" spans="1:7" x14ac:dyDescent="0.3">
      <c r="A57" s="9">
        <v>45985</v>
      </c>
      <c r="B57" s="7" t="s">
        <v>7815</v>
      </c>
      <c r="C57" s="3">
        <v>-3663.53</v>
      </c>
      <c r="D57" s="7" t="s">
        <v>7816</v>
      </c>
      <c r="E57" s="7" t="s">
        <v>7011</v>
      </c>
      <c r="G57" s="9"/>
    </row>
    <row r="58" spans="1:7" x14ac:dyDescent="0.3">
      <c r="A58" s="9">
        <v>45965</v>
      </c>
      <c r="B58" s="7" t="s">
        <v>7813</v>
      </c>
      <c r="C58" s="3">
        <v>12831.84</v>
      </c>
      <c r="D58" s="7" t="s">
        <v>7814</v>
      </c>
      <c r="E58" s="7" t="s">
        <v>4734</v>
      </c>
      <c r="G58" s="9"/>
    </row>
    <row r="59" spans="1:7" x14ac:dyDescent="0.3">
      <c r="A59" s="9">
        <v>45994</v>
      </c>
      <c r="B59" s="7" t="s">
        <v>7813</v>
      </c>
      <c r="C59" s="3">
        <v>4359.6099999999997</v>
      </c>
      <c r="D59" s="7" t="s">
        <v>7814</v>
      </c>
      <c r="E59" s="7" t="s">
        <v>4751</v>
      </c>
      <c r="G59" s="9"/>
    </row>
    <row r="60" spans="1:7" x14ac:dyDescent="0.3">
      <c r="A60" s="9">
        <v>46014</v>
      </c>
      <c r="B60" s="7" t="s">
        <v>7813</v>
      </c>
      <c r="C60" s="3">
        <v>2636.27</v>
      </c>
      <c r="D60" s="7" t="s">
        <v>7814</v>
      </c>
      <c r="E60" s="7" t="s">
        <v>4959</v>
      </c>
      <c r="G60" s="9"/>
    </row>
    <row r="61" spans="1:7" x14ac:dyDescent="0.3">
      <c r="A61" s="9">
        <v>45964</v>
      </c>
      <c r="B61" s="7" t="s">
        <v>7815</v>
      </c>
      <c r="C61" s="3">
        <v>-1276.92</v>
      </c>
      <c r="D61" s="7" t="s">
        <v>7816</v>
      </c>
      <c r="E61" s="7" t="s">
        <v>7415</v>
      </c>
      <c r="G61" s="9"/>
    </row>
    <row r="62" spans="1:7" x14ac:dyDescent="0.3">
      <c r="A62" s="9">
        <v>46086</v>
      </c>
      <c r="B62" s="7" t="s">
        <v>7815</v>
      </c>
      <c r="C62" s="3">
        <v>-6781.44</v>
      </c>
      <c r="D62" s="7" t="s">
        <v>7816</v>
      </c>
      <c r="E62" s="7" t="s">
        <v>7557</v>
      </c>
      <c r="G62" s="9"/>
    </row>
    <row r="63" spans="1:7" x14ac:dyDescent="0.3">
      <c r="A63" s="9">
        <v>46067</v>
      </c>
      <c r="B63" s="7" t="s">
        <v>7813</v>
      </c>
      <c r="C63" s="3">
        <v>2425.4499999999998</v>
      </c>
      <c r="D63" s="7" t="s">
        <v>7814</v>
      </c>
      <c r="E63" s="7" t="s">
        <v>4651</v>
      </c>
      <c r="G63" s="9"/>
    </row>
    <row r="64" spans="1:7" x14ac:dyDescent="0.3">
      <c r="A64" s="9">
        <v>46005</v>
      </c>
      <c r="B64" s="7" t="s">
        <v>7813</v>
      </c>
      <c r="C64" s="3">
        <v>5122.25</v>
      </c>
      <c r="D64" s="7" t="s">
        <v>7814</v>
      </c>
      <c r="E64" s="7" t="s">
        <v>4853</v>
      </c>
      <c r="G64" s="9"/>
    </row>
    <row r="65" spans="1:7" x14ac:dyDescent="0.3">
      <c r="A65" s="9">
        <v>46049</v>
      </c>
      <c r="B65" s="7" t="s">
        <v>7815</v>
      </c>
      <c r="C65" s="3">
        <v>-2140.36</v>
      </c>
      <c r="D65" s="7" t="s">
        <v>7816</v>
      </c>
      <c r="E65" s="7" t="s">
        <v>6899</v>
      </c>
      <c r="G65" s="9"/>
    </row>
    <row r="66" spans="1:7" x14ac:dyDescent="0.3">
      <c r="A66" s="9">
        <v>46089</v>
      </c>
      <c r="B66" s="7" t="s">
        <v>7815</v>
      </c>
      <c r="C66" s="3">
        <v>-3408.13</v>
      </c>
      <c r="D66" s="7" t="s">
        <v>7816</v>
      </c>
      <c r="E66" s="7" t="s">
        <v>6907</v>
      </c>
      <c r="G66" s="9"/>
    </row>
    <row r="67" spans="1:7" x14ac:dyDescent="0.3">
      <c r="A67" s="9">
        <v>46064</v>
      </c>
      <c r="B67" s="7" t="s">
        <v>7815</v>
      </c>
      <c r="C67" s="3">
        <v>-6844.8</v>
      </c>
      <c r="D67" s="7" t="s">
        <v>7816</v>
      </c>
      <c r="E67" s="7" t="s">
        <v>6962</v>
      </c>
      <c r="G67" s="9"/>
    </row>
    <row r="68" spans="1:7" x14ac:dyDescent="0.3">
      <c r="A68" s="9">
        <v>46005</v>
      </c>
      <c r="B68" s="7" t="s">
        <v>7815</v>
      </c>
      <c r="C68" s="3">
        <v>-4610.04</v>
      </c>
      <c r="D68" s="7" t="s">
        <v>7816</v>
      </c>
      <c r="E68" s="7" t="s">
        <v>7099</v>
      </c>
      <c r="G68" s="9"/>
    </row>
    <row r="69" spans="1:7" x14ac:dyDescent="0.3">
      <c r="A69" s="9">
        <v>46059</v>
      </c>
      <c r="B69" s="7" t="s">
        <v>7813</v>
      </c>
      <c r="C69" s="3">
        <v>13736.47</v>
      </c>
      <c r="D69" s="7" t="s">
        <v>7814</v>
      </c>
      <c r="E69" s="7" t="s">
        <v>3289</v>
      </c>
      <c r="G69" s="9"/>
    </row>
    <row r="70" spans="1:7" x14ac:dyDescent="0.3">
      <c r="A70" s="9">
        <v>46075</v>
      </c>
      <c r="B70" s="7" t="s">
        <v>7813</v>
      </c>
      <c r="C70" s="3">
        <v>3846.2</v>
      </c>
      <c r="D70" s="7" t="s">
        <v>7814</v>
      </c>
      <c r="E70" s="7" t="s">
        <v>4108</v>
      </c>
      <c r="G70" s="9"/>
    </row>
    <row r="71" spans="1:7" x14ac:dyDescent="0.3">
      <c r="A71" s="9">
        <v>45988</v>
      </c>
      <c r="B71" s="7" t="s">
        <v>7813</v>
      </c>
      <c r="C71" s="3">
        <v>11724.27</v>
      </c>
      <c r="D71" s="7" t="s">
        <v>7814</v>
      </c>
      <c r="E71" s="7" t="s">
        <v>4182</v>
      </c>
      <c r="G71" s="9"/>
    </row>
    <row r="72" spans="1:7" x14ac:dyDescent="0.3">
      <c r="A72" s="9">
        <v>46039</v>
      </c>
      <c r="B72" s="7" t="s">
        <v>7813</v>
      </c>
      <c r="C72" s="3">
        <v>3293.15</v>
      </c>
      <c r="D72" s="7" t="s">
        <v>7814</v>
      </c>
      <c r="E72" s="7" t="s">
        <v>4760</v>
      </c>
      <c r="G72" s="9"/>
    </row>
    <row r="73" spans="1:7" x14ac:dyDescent="0.3">
      <c r="A73" s="9">
        <v>46053</v>
      </c>
      <c r="B73" s="7" t="s">
        <v>7815</v>
      </c>
      <c r="C73" s="3">
        <v>-2029.36</v>
      </c>
      <c r="D73" s="7" t="s">
        <v>7816</v>
      </c>
      <c r="E73" s="7" t="s">
        <v>7043</v>
      </c>
      <c r="G73" s="9"/>
    </row>
    <row r="74" spans="1:7" x14ac:dyDescent="0.3">
      <c r="A74" s="9">
        <v>46039</v>
      </c>
      <c r="B74" s="7" t="s">
        <v>7815</v>
      </c>
      <c r="C74" s="3">
        <v>-4624.45</v>
      </c>
      <c r="D74" s="7" t="s">
        <v>7816</v>
      </c>
      <c r="E74" s="7" t="s">
        <v>7301</v>
      </c>
      <c r="G74" s="9"/>
    </row>
    <row r="75" spans="1:7" x14ac:dyDescent="0.3">
      <c r="A75" s="9">
        <v>45971</v>
      </c>
      <c r="B75" s="7" t="s">
        <v>7813</v>
      </c>
      <c r="C75" s="3">
        <v>5166.6899999999996</v>
      </c>
      <c r="D75" s="7" t="s">
        <v>7814</v>
      </c>
      <c r="E75" s="7" t="s">
        <v>3382</v>
      </c>
      <c r="G75" s="9"/>
    </row>
    <row r="76" spans="1:7" x14ac:dyDescent="0.3">
      <c r="A76" s="9">
        <v>46000</v>
      </c>
      <c r="B76" s="7" t="s">
        <v>7815</v>
      </c>
      <c r="C76" s="3">
        <v>-1667</v>
      </c>
      <c r="D76" s="7" t="s">
        <v>7816</v>
      </c>
      <c r="E76" s="7" t="s">
        <v>7461</v>
      </c>
      <c r="G76" s="9"/>
    </row>
    <row r="77" spans="1:7" x14ac:dyDescent="0.3">
      <c r="A77" s="9">
        <v>46013</v>
      </c>
      <c r="B77" s="7" t="s">
        <v>7813</v>
      </c>
      <c r="C77" s="3">
        <v>1884.93</v>
      </c>
      <c r="D77" s="7" t="s">
        <v>7814</v>
      </c>
      <c r="E77" s="7" t="s">
        <v>3933</v>
      </c>
      <c r="G77" s="9"/>
    </row>
    <row r="78" spans="1:7" x14ac:dyDescent="0.3">
      <c r="A78" s="9">
        <v>46067</v>
      </c>
      <c r="B78" s="7" t="s">
        <v>7813</v>
      </c>
      <c r="C78" s="3">
        <v>2162.85</v>
      </c>
      <c r="D78" s="7" t="s">
        <v>7814</v>
      </c>
      <c r="E78" s="7" t="s">
        <v>4149</v>
      </c>
      <c r="G78" s="9"/>
    </row>
    <row r="79" spans="1:7" x14ac:dyDescent="0.3">
      <c r="A79" s="9">
        <v>45978</v>
      </c>
      <c r="B79" s="7" t="s">
        <v>7813</v>
      </c>
      <c r="C79" s="3">
        <v>1730.88</v>
      </c>
      <c r="D79" s="7" t="s">
        <v>7814</v>
      </c>
      <c r="E79" s="7" t="s">
        <v>4548</v>
      </c>
      <c r="G79" s="9"/>
    </row>
    <row r="80" spans="1:7" x14ac:dyDescent="0.3">
      <c r="A80" s="9">
        <v>46065</v>
      </c>
      <c r="B80" s="7" t="s">
        <v>7813</v>
      </c>
      <c r="C80" s="3">
        <v>2598.14</v>
      </c>
      <c r="D80" s="7" t="s">
        <v>7814</v>
      </c>
      <c r="E80" s="7" t="s">
        <v>4586</v>
      </c>
      <c r="G80" s="9"/>
    </row>
    <row r="81" spans="1:7" x14ac:dyDescent="0.3">
      <c r="A81" s="9">
        <v>45994</v>
      </c>
      <c r="B81" s="7" t="s">
        <v>7815</v>
      </c>
      <c r="C81" s="3">
        <v>-2778.59</v>
      </c>
      <c r="D81" s="7" t="s">
        <v>7816</v>
      </c>
      <c r="E81" s="7" t="s">
        <v>7741</v>
      </c>
      <c r="G81" s="9"/>
    </row>
    <row r="82" spans="1:7" x14ac:dyDescent="0.3">
      <c r="A82" s="9">
        <v>46084</v>
      </c>
      <c r="B82" s="7" t="s">
        <v>7815</v>
      </c>
      <c r="C82" s="3">
        <v>-4568.3999999999996</v>
      </c>
      <c r="D82" s="7" t="s">
        <v>7816</v>
      </c>
      <c r="E82" s="7" t="s">
        <v>7768</v>
      </c>
      <c r="G82" s="9"/>
    </row>
    <row r="83" spans="1:7" x14ac:dyDescent="0.3">
      <c r="A83" s="9">
        <v>46033</v>
      </c>
      <c r="B83" s="7" t="s">
        <v>7813</v>
      </c>
      <c r="C83" s="3">
        <v>2631.41</v>
      </c>
      <c r="D83" s="7" t="s">
        <v>7814</v>
      </c>
      <c r="E83" s="7" t="s">
        <v>4753</v>
      </c>
      <c r="G83" s="9"/>
    </row>
    <row r="84" spans="1:7" x14ac:dyDescent="0.3">
      <c r="A84" s="9">
        <v>45966</v>
      </c>
      <c r="B84" s="7" t="s">
        <v>7815</v>
      </c>
      <c r="C84" s="3">
        <v>-928.9</v>
      </c>
      <c r="D84" s="7" t="s">
        <v>7816</v>
      </c>
      <c r="E84" s="7" t="s">
        <v>7689</v>
      </c>
      <c r="G84" s="9"/>
    </row>
    <row r="85" spans="1:7" x14ac:dyDescent="0.3">
      <c r="A85" s="9">
        <v>45964</v>
      </c>
      <c r="B85" s="7" t="s">
        <v>7817</v>
      </c>
      <c r="C85" s="3">
        <v>-93176.97</v>
      </c>
      <c r="D85" s="7" t="s">
        <v>7816</v>
      </c>
      <c r="E85" s="7" t="s">
        <v>7818</v>
      </c>
      <c r="G85" s="9"/>
    </row>
    <row r="86" spans="1:7" x14ac:dyDescent="0.3">
      <c r="A86" s="9">
        <v>45981</v>
      </c>
      <c r="B86" s="7" t="s">
        <v>7813</v>
      </c>
      <c r="C86" s="3">
        <v>4882.57</v>
      </c>
      <c r="D86" s="7" t="s">
        <v>7814</v>
      </c>
      <c r="E86" s="7" t="s">
        <v>3538</v>
      </c>
      <c r="G86" s="9"/>
    </row>
    <row r="87" spans="1:7" x14ac:dyDescent="0.3">
      <c r="A87" s="9">
        <v>46073</v>
      </c>
      <c r="B87" s="7" t="s">
        <v>7813</v>
      </c>
      <c r="C87" s="3">
        <v>2451.2399999999998</v>
      </c>
      <c r="D87" s="7" t="s">
        <v>7814</v>
      </c>
      <c r="E87" s="7" t="s">
        <v>3892</v>
      </c>
      <c r="G87" s="9"/>
    </row>
    <row r="88" spans="1:7" x14ac:dyDescent="0.3">
      <c r="A88" s="9">
        <v>46008</v>
      </c>
      <c r="B88" s="7" t="s">
        <v>7813</v>
      </c>
      <c r="C88" s="3">
        <v>1702.07</v>
      </c>
      <c r="D88" s="7" t="s">
        <v>7814</v>
      </c>
      <c r="E88" s="7" t="s">
        <v>4112</v>
      </c>
      <c r="G88" s="9"/>
    </row>
    <row r="89" spans="1:7" x14ac:dyDescent="0.3">
      <c r="A89" s="9">
        <v>46071</v>
      </c>
      <c r="B89" s="7" t="s">
        <v>7813</v>
      </c>
      <c r="C89" s="3">
        <v>3294.61</v>
      </c>
      <c r="D89" s="7" t="s">
        <v>7814</v>
      </c>
      <c r="E89" s="7" t="s">
        <v>4594</v>
      </c>
      <c r="G89" s="9"/>
    </row>
    <row r="90" spans="1:7" x14ac:dyDescent="0.3">
      <c r="A90" s="9">
        <v>46086</v>
      </c>
      <c r="B90" s="7" t="s">
        <v>7815</v>
      </c>
      <c r="C90" s="3">
        <v>-4260.29</v>
      </c>
      <c r="D90" s="7" t="s">
        <v>7816</v>
      </c>
      <c r="E90" s="7" t="s">
        <v>6984</v>
      </c>
      <c r="G90" s="9"/>
    </row>
    <row r="91" spans="1:7" x14ac:dyDescent="0.3">
      <c r="A91" s="9">
        <v>45983</v>
      </c>
      <c r="B91" s="7" t="s">
        <v>7815</v>
      </c>
      <c r="C91" s="3">
        <v>-5898.62</v>
      </c>
      <c r="D91" s="7" t="s">
        <v>7816</v>
      </c>
      <c r="E91" s="7" t="s">
        <v>7152</v>
      </c>
      <c r="G91" s="9"/>
    </row>
    <row r="92" spans="1:7" x14ac:dyDescent="0.3">
      <c r="A92" s="9">
        <v>45974</v>
      </c>
      <c r="B92" s="7" t="s">
        <v>7813</v>
      </c>
      <c r="C92" s="3">
        <v>11377.81</v>
      </c>
      <c r="D92" s="7" t="s">
        <v>7814</v>
      </c>
      <c r="E92" s="7" t="s">
        <v>3808</v>
      </c>
      <c r="G92" s="9"/>
    </row>
    <row r="93" spans="1:7" x14ac:dyDescent="0.3">
      <c r="A93" s="9">
        <v>45990</v>
      </c>
      <c r="B93" s="7" t="s">
        <v>7813</v>
      </c>
      <c r="C93" s="3">
        <v>975.12</v>
      </c>
      <c r="D93" s="7" t="s">
        <v>7814</v>
      </c>
      <c r="E93" s="7" t="s">
        <v>4088</v>
      </c>
      <c r="G93" s="9"/>
    </row>
    <row r="94" spans="1:7" x14ac:dyDescent="0.3">
      <c r="A94" s="9">
        <v>46047</v>
      </c>
      <c r="B94" s="7" t="s">
        <v>7813</v>
      </c>
      <c r="C94" s="3">
        <v>2419.25</v>
      </c>
      <c r="D94" s="7" t="s">
        <v>7814</v>
      </c>
      <c r="E94" s="7" t="s">
        <v>4463</v>
      </c>
      <c r="G94" s="9"/>
    </row>
    <row r="95" spans="1:7" x14ac:dyDescent="0.3">
      <c r="A95" s="9">
        <v>46004</v>
      </c>
      <c r="B95" s="7" t="s">
        <v>7813</v>
      </c>
      <c r="C95" s="3">
        <v>3546.96</v>
      </c>
      <c r="D95" s="7" t="s">
        <v>7814</v>
      </c>
      <c r="E95" s="7" t="s">
        <v>4632</v>
      </c>
      <c r="G95" s="9"/>
    </row>
    <row r="96" spans="1:7" x14ac:dyDescent="0.3">
      <c r="A96" s="9">
        <v>45980</v>
      </c>
      <c r="B96" s="7" t="s">
        <v>7813</v>
      </c>
      <c r="C96" s="3">
        <v>1174.81</v>
      </c>
      <c r="D96" s="7" t="s">
        <v>7814</v>
      </c>
      <c r="E96" s="7" t="s">
        <v>5022</v>
      </c>
      <c r="G96" s="9"/>
    </row>
    <row r="97" spans="1:7" x14ac:dyDescent="0.3">
      <c r="A97" s="9">
        <v>46087</v>
      </c>
      <c r="B97" s="7" t="s">
        <v>7815</v>
      </c>
      <c r="C97" s="3">
        <v>-2263.98</v>
      </c>
      <c r="D97" s="7" t="s">
        <v>7816</v>
      </c>
      <c r="E97" s="7" t="s">
        <v>7397</v>
      </c>
      <c r="G97" s="9"/>
    </row>
    <row r="98" spans="1:7" x14ac:dyDescent="0.3">
      <c r="A98" s="9">
        <v>46004</v>
      </c>
      <c r="B98" s="7" t="s">
        <v>7815</v>
      </c>
      <c r="C98" s="3">
        <v>-4932.55</v>
      </c>
      <c r="D98" s="7" t="s">
        <v>7816</v>
      </c>
      <c r="E98" s="7" t="s">
        <v>7690</v>
      </c>
      <c r="G98" s="9"/>
    </row>
    <row r="99" spans="1:7" x14ac:dyDescent="0.3">
      <c r="A99" s="9">
        <v>46002</v>
      </c>
      <c r="B99" s="7" t="s">
        <v>7813</v>
      </c>
      <c r="C99" s="3">
        <v>5871.09</v>
      </c>
      <c r="D99" s="7" t="s">
        <v>7814</v>
      </c>
      <c r="E99" s="7" t="s">
        <v>3229</v>
      </c>
      <c r="G99" s="9"/>
    </row>
    <row r="100" spans="1:7" x14ac:dyDescent="0.3">
      <c r="A100" s="9">
        <v>45970</v>
      </c>
      <c r="B100" s="7" t="s">
        <v>7813</v>
      </c>
      <c r="C100" s="3">
        <v>1318.52</v>
      </c>
      <c r="D100" s="7" t="s">
        <v>7814</v>
      </c>
      <c r="E100" s="7" t="s">
        <v>3654</v>
      </c>
      <c r="G100" s="9"/>
    </row>
    <row r="101" spans="1:7" x14ac:dyDescent="0.3">
      <c r="A101" s="9">
        <v>46011</v>
      </c>
      <c r="B101" s="7" t="s">
        <v>7813</v>
      </c>
      <c r="C101" s="3">
        <v>2857.86</v>
      </c>
      <c r="D101" s="7" t="s">
        <v>7814</v>
      </c>
      <c r="E101" s="7" t="s">
        <v>4044</v>
      </c>
      <c r="G101" s="9"/>
    </row>
    <row r="102" spans="1:7" x14ac:dyDescent="0.3">
      <c r="A102" s="9">
        <v>46022</v>
      </c>
      <c r="B102" s="7" t="s">
        <v>7813</v>
      </c>
      <c r="C102" s="3">
        <v>13354.72</v>
      </c>
      <c r="D102" s="7" t="s">
        <v>7814</v>
      </c>
      <c r="E102" s="7" t="s">
        <v>4209</v>
      </c>
      <c r="G102" s="9"/>
    </row>
    <row r="103" spans="1:7" x14ac:dyDescent="0.3">
      <c r="A103" s="9">
        <v>45994</v>
      </c>
      <c r="B103" s="7" t="s">
        <v>7813</v>
      </c>
      <c r="C103" s="3">
        <v>10280.799999999999</v>
      </c>
      <c r="D103" s="7" t="s">
        <v>7814</v>
      </c>
      <c r="E103" s="7" t="s">
        <v>4801</v>
      </c>
      <c r="G103" s="9"/>
    </row>
    <row r="104" spans="1:7" x14ac:dyDescent="0.3">
      <c r="A104" s="9">
        <v>45968</v>
      </c>
      <c r="B104" s="7" t="s">
        <v>7815</v>
      </c>
      <c r="C104" s="3">
        <v>-2794.51</v>
      </c>
      <c r="D104" s="7" t="s">
        <v>7816</v>
      </c>
      <c r="E104" s="7" t="s">
        <v>7241</v>
      </c>
      <c r="G104" s="9"/>
    </row>
    <row r="105" spans="1:7" x14ac:dyDescent="0.3">
      <c r="A105" s="9">
        <v>46080</v>
      </c>
      <c r="B105" s="7" t="s">
        <v>7815</v>
      </c>
      <c r="C105" s="3">
        <v>-3778.62</v>
      </c>
      <c r="D105" s="7" t="s">
        <v>7816</v>
      </c>
      <c r="E105" s="7" t="s">
        <v>7444</v>
      </c>
      <c r="G105" s="9"/>
    </row>
    <row r="106" spans="1:7" x14ac:dyDescent="0.3">
      <c r="A106" s="9">
        <v>45972</v>
      </c>
      <c r="B106" s="7" t="s">
        <v>7813</v>
      </c>
      <c r="C106" s="3">
        <v>3052.84</v>
      </c>
      <c r="D106" s="7" t="s">
        <v>7814</v>
      </c>
      <c r="E106" s="7" t="s">
        <v>4202</v>
      </c>
      <c r="G106" s="9"/>
    </row>
    <row r="107" spans="1:7" x14ac:dyDescent="0.3">
      <c r="A107" s="9">
        <v>46014</v>
      </c>
      <c r="B107" s="7" t="s">
        <v>7813</v>
      </c>
      <c r="C107" s="3">
        <v>4183.9799999999996</v>
      </c>
      <c r="D107" s="7" t="s">
        <v>7814</v>
      </c>
      <c r="E107" s="7" t="s">
        <v>4879</v>
      </c>
      <c r="G107" s="9"/>
    </row>
    <row r="108" spans="1:7" x14ac:dyDescent="0.3">
      <c r="A108" s="9">
        <v>45989</v>
      </c>
      <c r="B108" s="7" t="s">
        <v>7813</v>
      </c>
      <c r="C108" s="3">
        <v>1432.29</v>
      </c>
      <c r="D108" s="7" t="s">
        <v>7814</v>
      </c>
      <c r="E108" s="7" t="s">
        <v>5023</v>
      </c>
      <c r="G108" s="9"/>
    </row>
    <row r="109" spans="1:7" x14ac:dyDescent="0.3">
      <c r="A109" s="9">
        <v>46085</v>
      </c>
      <c r="B109" s="7" t="s">
        <v>7815</v>
      </c>
      <c r="C109" s="3">
        <v>-6650.26</v>
      </c>
      <c r="D109" s="7" t="s">
        <v>7816</v>
      </c>
      <c r="E109" s="7" t="s">
        <v>7029</v>
      </c>
      <c r="G109" s="9"/>
    </row>
    <row r="110" spans="1:7" x14ac:dyDescent="0.3">
      <c r="A110" s="9">
        <v>46038</v>
      </c>
      <c r="B110" s="7" t="s">
        <v>7815</v>
      </c>
      <c r="C110" s="3">
        <v>-2475.54</v>
      </c>
      <c r="D110" s="7" t="s">
        <v>7816</v>
      </c>
      <c r="E110" s="7" t="s">
        <v>7317</v>
      </c>
      <c r="G110" s="9"/>
    </row>
    <row r="111" spans="1:7" x14ac:dyDescent="0.3">
      <c r="A111" s="9">
        <v>45963</v>
      </c>
      <c r="B111" s="7" t="s">
        <v>7815</v>
      </c>
      <c r="C111" s="3">
        <v>-5332.74</v>
      </c>
      <c r="D111" s="7" t="s">
        <v>7816</v>
      </c>
      <c r="E111" s="7" t="s">
        <v>7725</v>
      </c>
      <c r="G111" s="9"/>
    </row>
    <row r="112" spans="1:7" x14ac:dyDescent="0.3">
      <c r="A112" s="9">
        <v>46079</v>
      </c>
      <c r="B112" s="7" t="s">
        <v>7815</v>
      </c>
      <c r="C112" s="3">
        <v>-3286.85</v>
      </c>
      <c r="D112" s="7" t="s">
        <v>7816</v>
      </c>
      <c r="E112" s="7" t="s">
        <v>7750</v>
      </c>
      <c r="G112" s="9"/>
    </row>
    <row r="113" spans="1:7" x14ac:dyDescent="0.3">
      <c r="A113" s="9">
        <v>46023</v>
      </c>
      <c r="B113" s="7" t="s">
        <v>7813</v>
      </c>
      <c r="C113" s="3">
        <v>1991.15</v>
      </c>
      <c r="D113" s="7" t="s">
        <v>7814</v>
      </c>
      <c r="E113" s="7" t="s">
        <v>3440</v>
      </c>
      <c r="G113" s="9"/>
    </row>
    <row r="114" spans="1:7" x14ac:dyDescent="0.3">
      <c r="A114" s="9">
        <v>46046</v>
      </c>
      <c r="B114" s="7" t="s">
        <v>7813</v>
      </c>
      <c r="C114" s="3">
        <v>4802.09</v>
      </c>
      <c r="D114" s="7" t="s">
        <v>7814</v>
      </c>
      <c r="E114" s="7" t="s">
        <v>4854</v>
      </c>
      <c r="G114" s="9"/>
    </row>
    <row r="115" spans="1:7" x14ac:dyDescent="0.3">
      <c r="A115" s="9">
        <v>45984</v>
      </c>
      <c r="B115" s="7" t="s">
        <v>7813</v>
      </c>
      <c r="C115" s="3">
        <v>2535.0300000000002</v>
      </c>
      <c r="D115" s="7" t="s">
        <v>7814</v>
      </c>
      <c r="E115" s="7" t="s">
        <v>4039</v>
      </c>
      <c r="G115" s="9"/>
    </row>
    <row r="116" spans="1:7" x14ac:dyDescent="0.3">
      <c r="A116" s="9">
        <v>46080</v>
      </c>
      <c r="B116" s="7" t="s">
        <v>7813</v>
      </c>
      <c r="C116" s="3">
        <v>2293.98</v>
      </c>
      <c r="D116" s="7" t="s">
        <v>7814</v>
      </c>
      <c r="E116" s="7" t="s">
        <v>4335</v>
      </c>
      <c r="G116" s="9"/>
    </row>
    <row r="117" spans="1:7" x14ac:dyDescent="0.3">
      <c r="A117" s="9">
        <v>46020</v>
      </c>
      <c r="B117" s="7" t="s">
        <v>7813</v>
      </c>
      <c r="C117" s="3">
        <v>843.03</v>
      </c>
      <c r="D117" s="7" t="s">
        <v>7814</v>
      </c>
      <c r="E117" s="7" t="s">
        <v>5345</v>
      </c>
      <c r="G117" s="9"/>
    </row>
    <row r="118" spans="1:7" x14ac:dyDescent="0.3">
      <c r="A118" s="9">
        <v>45990</v>
      </c>
      <c r="B118" s="7" t="s">
        <v>7815</v>
      </c>
      <c r="C118" s="3">
        <v>-2149.0300000000002</v>
      </c>
      <c r="D118" s="7" t="s">
        <v>7816</v>
      </c>
      <c r="E118" s="7" t="s">
        <v>7000</v>
      </c>
      <c r="G118" s="9"/>
    </row>
    <row r="119" spans="1:7" x14ac:dyDescent="0.3">
      <c r="A119" s="9">
        <v>46089</v>
      </c>
      <c r="B119" s="7" t="s">
        <v>7815</v>
      </c>
      <c r="C119" s="3">
        <v>-5429.59</v>
      </c>
      <c r="D119" s="7" t="s">
        <v>7816</v>
      </c>
      <c r="E119" s="7" t="s">
        <v>7357</v>
      </c>
      <c r="G119" s="9"/>
    </row>
    <row r="120" spans="1:7" x14ac:dyDescent="0.3">
      <c r="A120" s="9">
        <v>46051</v>
      </c>
      <c r="B120" s="7" t="s">
        <v>7815</v>
      </c>
      <c r="C120" s="3">
        <v>-4419.25</v>
      </c>
      <c r="D120" s="7" t="s">
        <v>7816</v>
      </c>
      <c r="E120" s="7" t="s">
        <v>7526</v>
      </c>
      <c r="G120" s="9"/>
    </row>
    <row r="121" spans="1:7" x14ac:dyDescent="0.3">
      <c r="A121" s="9">
        <v>45964</v>
      </c>
      <c r="B121" s="7" t="s">
        <v>7815</v>
      </c>
      <c r="C121" s="3">
        <v>-4761.42</v>
      </c>
      <c r="D121" s="7" t="s">
        <v>7816</v>
      </c>
      <c r="E121" s="7" t="s">
        <v>7730</v>
      </c>
      <c r="G121" s="9"/>
    </row>
    <row r="122" spans="1:7" x14ac:dyDescent="0.3">
      <c r="A122" s="9">
        <v>46085</v>
      </c>
      <c r="B122" s="7" t="s">
        <v>7813</v>
      </c>
      <c r="C122" s="3">
        <v>2353.37</v>
      </c>
      <c r="D122" s="7" t="s">
        <v>7814</v>
      </c>
      <c r="E122" s="7" t="s">
        <v>4701</v>
      </c>
      <c r="G122" s="9"/>
    </row>
    <row r="123" spans="1:7" x14ac:dyDescent="0.3">
      <c r="A123" s="9">
        <v>46019</v>
      </c>
      <c r="B123" s="7" t="s">
        <v>7813</v>
      </c>
      <c r="C123" s="3">
        <v>9668.32</v>
      </c>
      <c r="D123" s="7" t="s">
        <v>7814</v>
      </c>
      <c r="E123" s="7" t="s">
        <v>5128</v>
      </c>
      <c r="G123" s="9"/>
    </row>
    <row r="124" spans="1:7" x14ac:dyDescent="0.3">
      <c r="A124" s="9">
        <v>46053</v>
      </c>
      <c r="B124" s="7" t="s">
        <v>7813</v>
      </c>
      <c r="C124" s="3">
        <v>1535.17</v>
      </c>
      <c r="D124" s="7" t="s">
        <v>7814</v>
      </c>
      <c r="E124" s="7" t="s">
        <v>3543</v>
      </c>
      <c r="G124" s="9"/>
    </row>
    <row r="125" spans="1:7" x14ac:dyDescent="0.3">
      <c r="A125" s="9">
        <v>46082</v>
      </c>
      <c r="B125" s="7" t="s">
        <v>7813</v>
      </c>
      <c r="C125" s="3">
        <v>11446.38</v>
      </c>
      <c r="D125" s="7" t="s">
        <v>7814</v>
      </c>
      <c r="E125" s="7" t="s">
        <v>4891</v>
      </c>
      <c r="G125" s="9"/>
    </row>
    <row r="126" spans="1:7" x14ac:dyDescent="0.3">
      <c r="A126" s="9">
        <v>46048</v>
      </c>
      <c r="B126" s="7" t="s">
        <v>7815</v>
      </c>
      <c r="C126" s="3">
        <v>-4058.22</v>
      </c>
      <c r="D126" s="7" t="s">
        <v>7816</v>
      </c>
      <c r="E126" s="7" t="s">
        <v>6915</v>
      </c>
      <c r="G126" s="9"/>
    </row>
    <row r="127" spans="1:7" x14ac:dyDescent="0.3">
      <c r="A127" s="9">
        <v>45975</v>
      </c>
      <c r="B127" s="7" t="s">
        <v>7815</v>
      </c>
      <c r="C127" s="3">
        <v>-2715.74</v>
      </c>
      <c r="D127" s="7" t="s">
        <v>7816</v>
      </c>
      <c r="E127" s="7" t="s">
        <v>7070</v>
      </c>
      <c r="G127" s="9"/>
    </row>
    <row r="128" spans="1:7" x14ac:dyDescent="0.3">
      <c r="A128" s="9">
        <v>45966</v>
      </c>
      <c r="B128" s="7" t="s">
        <v>7815</v>
      </c>
      <c r="C128" s="3">
        <v>-885.52</v>
      </c>
      <c r="D128" s="7" t="s">
        <v>7816</v>
      </c>
      <c r="E128" s="7" t="s">
        <v>7320</v>
      </c>
      <c r="G128" s="9"/>
    </row>
    <row r="129" spans="1:7" x14ac:dyDescent="0.3">
      <c r="A129" s="9">
        <v>45973</v>
      </c>
      <c r="B129" s="7" t="s">
        <v>7815</v>
      </c>
      <c r="C129" s="3">
        <v>-1938.54</v>
      </c>
      <c r="D129" s="7" t="s">
        <v>7816</v>
      </c>
      <c r="E129" s="7" t="s">
        <v>7722</v>
      </c>
      <c r="G129" s="9"/>
    </row>
    <row r="130" spans="1:7" x14ac:dyDescent="0.3">
      <c r="A130" s="9">
        <v>45972</v>
      </c>
      <c r="B130" s="7" t="s">
        <v>7815</v>
      </c>
      <c r="C130" s="3">
        <v>-2288.58</v>
      </c>
      <c r="D130" s="7" t="s">
        <v>7816</v>
      </c>
      <c r="E130" s="7" t="s">
        <v>7788</v>
      </c>
      <c r="G130" s="9"/>
    </row>
    <row r="131" spans="1:7" x14ac:dyDescent="0.3">
      <c r="A131" s="9">
        <v>46069</v>
      </c>
      <c r="B131" s="7" t="s">
        <v>7815</v>
      </c>
      <c r="C131" s="3">
        <v>-1602.29</v>
      </c>
      <c r="D131" s="7" t="s">
        <v>7816</v>
      </c>
      <c r="E131" s="7" t="s">
        <v>7799</v>
      </c>
      <c r="G131" s="9"/>
    </row>
    <row r="132" spans="1:7" x14ac:dyDescent="0.3">
      <c r="A132" s="9">
        <v>46087</v>
      </c>
      <c r="B132" s="7" t="s">
        <v>7813</v>
      </c>
      <c r="C132" s="3">
        <v>2826.63</v>
      </c>
      <c r="D132" s="7" t="s">
        <v>7814</v>
      </c>
      <c r="E132" s="7" t="s">
        <v>3205</v>
      </c>
      <c r="G132" s="9"/>
    </row>
    <row r="133" spans="1:7" x14ac:dyDescent="0.3">
      <c r="A133" s="9">
        <v>46063</v>
      </c>
      <c r="B133" s="7" t="s">
        <v>7813</v>
      </c>
      <c r="C133" s="3">
        <v>9986.1200000000008</v>
      </c>
      <c r="D133" s="7" t="s">
        <v>7814</v>
      </c>
      <c r="E133" s="7" t="s">
        <v>3208</v>
      </c>
      <c r="G133" s="9"/>
    </row>
    <row r="134" spans="1:7" x14ac:dyDescent="0.3">
      <c r="A134" s="9">
        <v>46000</v>
      </c>
      <c r="B134" s="7" t="s">
        <v>7813</v>
      </c>
      <c r="C134" s="3">
        <v>1175.6099999999999</v>
      </c>
      <c r="D134" s="7" t="s">
        <v>7814</v>
      </c>
      <c r="E134" s="7" t="s">
        <v>3996</v>
      </c>
      <c r="G134" s="9"/>
    </row>
    <row r="135" spans="1:7" x14ac:dyDescent="0.3">
      <c r="A135" s="9">
        <v>45999</v>
      </c>
      <c r="B135" s="7" t="s">
        <v>7813</v>
      </c>
      <c r="C135" s="3">
        <v>2540.44</v>
      </c>
      <c r="D135" s="7" t="s">
        <v>7814</v>
      </c>
      <c r="E135" s="7" t="s">
        <v>4903</v>
      </c>
      <c r="G135" s="9"/>
    </row>
    <row r="136" spans="1:7" x14ac:dyDescent="0.3">
      <c r="A136" s="9">
        <v>46079</v>
      </c>
      <c r="B136" s="7" t="s">
        <v>7813</v>
      </c>
      <c r="C136" s="3">
        <v>3343.87</v>
      </c>
      <c r="D136" s="7" t="s">
        <v>7814</v>
      </c>
      <c r="E136" s="7" t="s">
        <v>5190</v>
      </c>
      <c r="G136" s="9"/>
    </row>
    <row r="137" spans="1:7" x14ac:dyDescent="0.3">
      <c r="A137" s="9">
        <v>46051</v>
      </c>
      <c r="B137" s="7" t="s">
        <v>7813</v>
      </c>
      <c r="C137" s="3">
        <v>3221.18</v>
      </c>
      <c r="D137" s="7" t="s">
        <v>7814</v>
      </c>
      <c r="E137" s="7" t="s">
        <v>5324</v>
      </c>
      <c r="G137" s="9"/>
    </row>
    <row r="138" spans="1:7" x14ac:dyDescent="0.3">
      <c r="A138" s="9">
        <v>46011</v>
      </c>
      <c r="B138" s="7" t="s">
        <v>7813</v>
      </c>
      <c r="C138" s="3">
        <v>3742.66</v>
      </c>
      <c r="D138" s="7" t="s">
        <v>7814</v>
      </c>
      <c r="E138" s="7" t="s">
        <v>3574</v>
      </c>
      <c r="G138" s="9"/>
    </row>
    <row r="139" spans="1:7" x14ac:dyDescent="0.3">
      <c r="A139" s="9">
        <v>46034</v>
      </c>
      <c r="B139" s="7" t="s">
        <v>7813</v>
      </c>
      <c r="C139" s="3">
        <v>6386.01</v>
      </c>
      <c r="D139" s="7" t="s">
        <v>7814</v>
      </c>
      <c r="E139" s="7" t="s">
        <v>3812</v>
      </c>
      <c r="G139" s="9"/>
    </row>
    <row r="140" spans="1:7" x14ac:dyDescent="0.3">
      <c r="A140" s="9">
        <v>45983</v>
      </c>
      <c r="B140" s="7" t="s">
        <v>7813</v>
      </c>
      <c r="C140" s="3">
        <v>2844.76</v>
      </c>
      <c r="D140" s="7" t="s">
        <v>7814</v>
      </c>
      <c r="E140" s="7" t="s">
        <v>4300</v>
      </c>
      <c r="G140" s="9"/>
    </row>
    <row r="141" spans="1:7" x14ac:dyDescent="0.3">
      <c r="A141" s="9">
        <v>46083</v>
      </c>
      <c r="B141" s="7" t="s">
        <v>7813</v>
      </c>
      <c r="C141" s="3">
        <v>2463.77</v>
      </c>
      <c r="D141" s="7" t="s">
        <v>7814</v>
      </c>
      <c r="E141" s="7" t="s">
        <v>4795</v>
      </c>
      <c r="G141" s="9"/>
    </row>
    <row r="142" spans="1:7" x14ac:dyDescent="0.3">
      <c r="A142" s="9">
        <v>46037</v>
      </c>
      <c r="B142" s="7" t="s">
        <v>7815</v>
      </c>
      <c r="C142" s="3">
        <v>-3457.39</v>
      </c>
      <c r="D142" s="7" t="s">
        <v>7816</v>
      </c>
      <c r="E142" s="7" t="s">
        <v>7022</v>
      </c>
      <c r="G142" s="9"/>
    </row>
    <row r="143" spans="1:7" x14ac:dyDescent="0.3">
      <c r="A143" s="9">
        <v>46014</v>
      </c>
      <c r="B143" s="7" t="s">
        <v>7813</v>
      </c>
      <c r="C143" s="3">
        <v>2688.8</v>
      </c>
      <c r="D143" s="7" t="s">
        <v>7814</v>
      </c>
      <c r="E143" s="7" t="s">
        <v>3441</v>
      </c>
      <c r="G143" s="9"/>
    </row>
    <row r="144" spans="1:7" x14ac:dyDescent="0.3">
      <c r="A144" s="9">
        <v>46067</v>
      </c>
      <c r="B144" s="7" t="s">
        <v>7813</v>
      </c>
      <c r="C144" s="3">
        <v>2399.2199999999998</v>
      </c>
      <c r="D144" s="7" t="s">
        <v>7814</v>
      </c>
      <c r="E144" s="7" t="s">
        <v>4869</v>
      </c>
      <c r="G144" s="9"/>
    </row>
    <row r="145" spans="1:7" x14ac:dyDescent="0.3">
      <c r="A145" s="9">
        <v>46032</v>
      </c>
      <c r="B145" s="7" t="s">
        <v>7813</v>
      </c>
      <c r="C145" s="3">
        <v>13587.49</v>
      </c>
      <c r="D145" s="7" t="s">
        <v>7814</v>
      </c>
      <c r="E145" s="7" t="s">
        <v>4910</v>
      </c>
      <c r="G145" s="9"/>
    </row>
    <row r="146" spans="1:7" x14ac:dyDescent="0.3">
      <c r="A146" s="9">
        <v>46028</v>
      </c>
      <c r="B146" s="7" t="s">
        <v>7813</v>
      </c>
      <c r="C146" s="3">
        <v>12303.83</v>
      </c>
      <c r="D146" s="7" t="s">
        <v>7814</v>
      </c>
      <c r="E146" s="7" t="s">
        <v>5400</v>
      </c>
      <c r="G146" s="9"/>
    </row>
    <row r="147" spans="1:7" x14ac:dyDescent="0.3">
      <c r="A147" s="9">
        <v>46043</v>
      </c>
      <c r="B147" s="7" t="s">
        <v>7815</v>
      </c>
      <c r="C147" s="3">
        <v>-2101.38</v>
      </c>
      <c r="D147" s="7" t="s">
        <v>7816</v>
      </c>
      <c r="E147" s="7" t="s">
        <v>6830</v>
      </c>
      <c r="G147" s="9"/>
    </row>
    <row r="148" spans="1:7" x14ac:dyDescent="0.3">
      <c r="A148" s="9">
        <v>46090</v>
      </c>
      <c r="B148" s="7" t="s">
        <v>7815</v>
      </c>
      <c r="C148" s="3">
        <v>-1137.28</v>
      </c>
      <c r="D148" s="7" t="s">
        <v>7816</v>
      </c>
      <c r="E148" s="7" t="s">
        <v>7163</v>
      </c>
      <c r="G148" s="9"/>
    </row>
    <row r="149" spans="1:7" x14ac:dyDescent="0.3">
      <c r="A149" s="9">
        <v>46055</v>
      </c>
      <c r="B149" s="7" t="s">
        <v>7813</v>
      </c>
      <c r="C149" s="3">
        <v>1960.64</v>
      </c>
      <c r="D149" s="7" t="s">
        <v>7814</v>
      </c>
      <c r="E149" s="7" t="s">
        <v>3413</v>
      </c>
      <c r="G149" s="9"/>
    </row>
    <row r="150" spans="1:7" x14ac:dyDescent="0.3">
      <c r="A150" s="9">
        <v>46067</v>
      </c>
      <c r="B150" s="7" t="s">
        <v>7813</v>
      </c>
      <c r="C150" s="3">
        <v>1408.1</v>
      </c>
      <c r="D150" s="7" t="s">
        <v>7814</v>
      </c>
      <c r="E150" s="7" t="s">
        <v>3552</v>
      </c>
      <c r="G150" s="9"/>
    </row>
    <row r="151" spans="1:7" x14ac:dyDescent="0.3">
      <c r="A151" s="9">
        <v>46037</v>
      </c>
      <c r="B151" s="7" t="s">
        <v>7813</v>
      </c>
      <c r="C151" s="3">
        <v>2965.83</v>
      </c>
      <c r="D151" s="7" t="s">
        <v>7814</v>
      </c>
      <c r="E151" s="7" t="s">
        <v>3739</v>
      </c>
      <c r="G151" s="9"/>
    </row>
    <row r="152" spans="1:7" x14ac:dyDescent="0.3">
      <c r="A152" s="9">
        <v>46074</v>
      </c>
      <c r="B152" s="7" t="s">
        <v>7813</v>
      </c>
      <c r="C152" s="3">
        <v>10786.38</v>
      </c>
      <c r="D152" s="7" t="s">
        <v>7814</v>
      </c>
      <c r="E152" s="7" t="s">
        <v>3881</v>
      </c>
      <c r="G152" s="9"/>
    </row>
    <row r="153" spans="1:7" x14ac:dyDescent="0.3">
      <c r="A153" s="9">
        <v>46016</v>
      </c>
      <c r="B153" s="7" t="s">
        <v>7813</v>
      </c>
      <c r="C153" s="3">
        <v>3096.65</v>
      </c>
      <c r="D153" s="7" t="s">
        <v>7814</v>
      </c>
      <c r="E153" s="7" t="s">
        <v>4844</v>
      </c>
      <c r="G153" s="9"/>
    </row>
    <row r="154" spans="1:7" x14ac:dyDescent="0.3">
      <c r="A154" s="9">
        <v>45996</v>
      </c>
      <c r="B154" s="7" t="s">
        <v>7813</v>
      </c>
      <c r="C154" s="3">
        <v>3028.64</v>
      </c>
      <c r="D154" s="7" t="s">
        <v>7814</v>
      </c>
      <c r="E154" s="7" t="s">
        <v>5283</v>
      </c>
      <c r="G154" s="9"/>
    </row>
    <row r="155" spans="1:7" x14ac:dyDescent="0.3">
      <c r="A155" s="9">
        <v>45983</v>
      </c>
      <c r="B155" s="7" t="s">
        <v>7815</v>
      </c>
      <c r="C155" s="3">
        <v>-4642.21</v>
      </c>
      <c r="D155" s="7" t="s">
        <v>7816</v>
      </c>
      <c r="E155" s="7" t="s">
        <v>6918</v>
      </c>
      <c r="G155" s="9"/>
    </row>
    <row r="156" spans="1:7" x14ac:dyDescent="0.3">
      <c r="A156" s="9">
        <v>46000</v>
      </c>
      <c r="B156" s="7" t="s">
        <v>7815</v>
      </c>
      <c r="C156" s="3">
        <v>-1601.45</v>
      </c>
      <c r="D156" s="7" t="s">
        <v>7816</v>
      </c>
      <c r="E156" s="7" t="s">
        <v>7264</v>
      </c>
      <c r="G156" s="9"/>
    </row>
    <row r="157" spans="1:7" x14ac:dyDescent="0.3">
      <c r="A157" s="9">
        <v>46076</v>
      </c>
      <c r="B157" s="7" t="s">
        <v>7815</v>
      </c>
      <c r="C157" s="3">
        <v>-1755.82</v>
      </c>
      <c r="D157" s="7" t="s">
        <v>7816</v>
      </c>
      <c r="E157" s="7" t="s">
        <v>7343</v>
      </c>
      <c r="G157" s="9"/>
    </row>
    <row r="158" spans="1:7" x14ac:dyDescent="0.3">
      <c r="A158" s="9">
        <v>46046</v>
      </c>
      <c r="B158" s="7" t="s">
        <v>7815</v>
      </c>
      <c r="C158" s="3">
        <v>-5787.23</v>
      </c>
      <c r="D158" s="7" t="s">
        <v>7816</v>
      </c>
      <c r="E158" s="7" t="s">
        <v>7443</v>
      </c>
      <c r="G158" s="9"/>
    </row>
    <row r="159" spans="1:7" x14ac:dyDescent="0.3">
      <c r="A159" s="9">
        <v>46064</v>
      </c>
      <c r="B159" s="7" t="s">
        <v>7815</v>
      </c>
      <c r="C159" s="3">
        <v>-1673.04</v>
      </c>
      <c r="D159" s="7" t="s">
        <v>7816</v>
      </c>
      <c r="E159" s="7" t="s">
        <v>7669</v>
      </c>
      <c r="G159" s="9"/>
    </row>
    <row r="160" spans="1:7" x14ac:dyDescent="0.3">
      <c r="A160" s="9">
        <v>46013</v>
      </c>
      <c r="B160" s="7" t="s">
        <v>7813</v>
      </c>
      <c r="C160" s="3">
        <v>10092.42</v>
      </c>
      <c r="D160" s="7" t="s">
        <v>7814</v>
      </c>
      <c r="E160" s="7" t="s">
        <v>3195</v>
      </c>
      <c r="G160" s="9"/>
    </row>
    <row r="161" spans="1:7" x14ac:dyDescent="0.3">
      <c r="A161" s="9">
        <v>46041</v>
      </c>
      <c r="B161" s="7" t="s">
        <v>7813</v>
      </c>
      <c r="C161" s="3">
        <v>2254.42</v>
      </c>
      <c r="D161" s="7" t="s">
        <v>7814</v>
      </c>
      <c r="E161" s="7" t="s">
        <v>3985</v>
      </c>
      <c r="G161" s="9"/>
    </row>
    <row r="162" spans="1:7" x14ac:dyDescent="0.3">
      <c r="A162" s="9">
        <v>45998</v>
      </c>
      <c r="B162" s="7" t="s">
        <v>7815</v>
      </c>
      <c r="C162" s="3">
        <v>-3179.13</v>
      </c>
      <c r="D162" s="7" t="s">
        <v>7816</v>
      </c>
      <c r="E162" s="7" t="s">
        <v>7428</v>
      </c>
      <c r="G162" s="9"/>
    </row>
    <row r="163" spans="1:7" x14ac:dyDescent="0.3">
      <c r="A163" s="9">
        <v>46052</v>
      </c>
      <c r="B163" s="7" t="s">
        <v>7813</v>
      </c>
      <c r="C163" s="3">
        <v>2779.12</v>
      </c>
      <c r="D163" s="7" t="s">
        <v>7814</v>
      </c>
      <c r="E163" s="7" t="s">
        <v>3294</v>
      </c>
      <c r="G163" s="9"/>
    </row>
    <row r="164" spans="1:7" x14ac:dyDescent="0.3">
      <c r="A164" s="9">
        <v>46082</v>
      </c>
      <c r="B164" s="7" t="s">
        <v>7813</v>
      </c>
      <c r="C164" s="3">
        <v>4945.1400000000003</v>
      </c>
      <c r="D164" s="7" t="s">
        <v>7814</v>
      </c>
      <c r="E164" s="7" t="s">
        <v>4805</v>
      </c>
      <c r="G164" s="9"/>
    </row>
    <row r="165" spans="1:7" x14ac:dyDescent="0.3">
      <c r="A165" s="9">
        <v>46015</v>
      </c>
      <c r="B165" s="7" t="s">
        <v>7813</v>
      </c>
      <c r="C165" s="3">
        <v>1496.48</v>
      </c>
      <c r="D165" s="7" t="s">
        <v>7814</v>
      </c>
      <c r="E165" s="7" t="s">
        <v>4911</v>
      </c>
      <c r="G165" s="9"/>
    </row>
    <row r="166" spans="1:7" x14ac:dyDescent="0.3">
      <c r="A166" s="9">
        <v>45972</v>
      </c>
      <c r="B166" s="7" t="s">
        <v>7813</v>
      </c>
      <c r="C166" s="3">
        <v>2181.59</v>
      </c>
      <c r="D166" s="7" t="s">
        <v>7814</v>
      </c>
      <c r="E166" s="7" t="s">
        <v>5175</v>
      </c>
      <c r="G166" s="9"/>
    </row>
    <row r="167" spans="1:7" x14ac:dyDescent="0.3">
      <c r="A167" s="9">
        <v>46037</v>
      </c>
      <c r="B167" s="7" t="s">
        <v>7815</v>
      </c>
      <c r="C167" s="3">
        <v>-3293.22</v>
      </c>
      <c r="D167" s="7" t="s">
        <v>7816</v>
      </c>
      <c r="E167" s="7" t="s">
        <v>6874</v>
      </c>
      <c r="G167" s="9"/>
    </row>
    <row r="168" spans="1:7" x14ac:dyDescent="0.3">
      <c r="A168" s="9">
        <v>45991</v>
      </c>
      <c r="B168" s="7" t="s">
        <v>7813</v>
      </c>
      <c r="C168" s="3">
        <v>5272.37</v>
      </c>
      <c r="D168" s="7" t="s">
        <v>7814</v>
      </c>
      <c r="E168" s="7" t="s">
        <v>3620</v>
      </c>
      <c r="G168" s="9"/>
    </row>
    <row r="169" spans="1:7" x14ac:dyDescent="0.3">
      <c r="A169" s="9">
        <v>46074</v>
      </c>
      <c r="B169" s="7" t="s">
        <v>7813</v>
      </c>
      <c r="C169" s="3">
        <v>2540.58</v>
      </c>
      <c r="D169" s="7" t="s">
        <v>7814</v>
      </c>
      <c r="E169" s="7" t="s">
        <v>4003</v>
      </c>
      <c r="G169" s="9"/>
    </row>
    <row r="170" spans="1:7" x14ac:dyDescent="0.3">
      <c r="A170" s="9">
        <v>45990</v>
      </c>
      <c r="B170" s="7" t="s">
        <v>7813</v>
      </c>
      <c r="C170" s="3">
        <v>2815.01</v>
      </c>
      <c r="D170" s="7" t="s">
        <v>7814</v>
      </c>
      <c r="E170" s="7" t="s">
        <v>4872</v>
      </c>
      <c r="G170" s="9"/>
    </row>
    <row r="171" spans="1:7" x14ac:dyDescent="0.3">
      <c r="A171" s="9">
        <v>46045</v>
      </c>
      <c r="B171" s="7" t="s">
        <v>7813</v>
      </c>
      <c r="C171" s="3">
        <v>2154.73</v>
      </c>
      <c r="D171" s="7" t="s">
        <v>7814</v>
      </c>
      <c r="E171" s="7" t="s">
        <v>5259</v>
      </c>
      <c r="G171" s="9"/>
    </row>
    <row r="172" spans="1:7" x14ac:dyDescent="0.3">
      <c r="A172" s="9">
        <v>46061</v>
      </c>
      <c r="B172" s="7" t="s">
        <v>7815</v>
      </c>
      <c r="C172" s="3">
        <v>-1001.09</v>
      </c>
      <c r="D172" s="7" t="s">
        <v>7816</v>
      </c>
      <c r="E172" s="7" t="s">
        <v>6979</v>
      </c>
      <c r="G172" s="9"/>
    </row>
    <row r="173" spans="1:7" x14ac:dyDescent="0.3">
      <c r="A173" s="9">
        <v>46046</v>
      </c>
      <c r="B173" s="7" t="s">
        <v>7813</v>
      </c>
      <c r="C173" s="3">
        <v>2396.2399999999998</v>
      </c>
      <c r="D173" s="7" t="s">
        <v>7814</v>
      </c>
      <c r="E173" s="7" t="s">
        <v>3588</v>
      </c>
      <c r="G173" s="9"/>
    </row>
    <row r="174" spans="1:7" x14ac:dyDescent="0.3">
      <c r="A174" s="9">
        <v>46074</v>
      </c>
      <c r="B174" s="7" t="s">
        <v>7813</v>
      </c>
      <c r="C174" s="3">
        <v>3555</v>
      </c>
      <c r="D174" s="7" t="s">
        <v>7814</v>
      </c>
      <c r="E174" s="7" t="s">
        <v>3807</v>
      </c>
      <c r="G174" s="9"/>
    </row>
    <row r="175" spans="1:7" x14ac:dyDescent="0.3">
      <c r="A175" s="9">
        <v>46077</v>
      </c>
      <c r="B175" s="7" t="s">
        <v>7813</v>
      </c>
      <c r="C175" s="3">
        <v>4576.75</v>
      </c>
      <c r="D175" s="7" t="s">
        <v>7814</v>
      </c>
      <c r="E175" s="7" t="s">
        <v>4119</v>
      </c>
      <c r="G175" s="9"/>
    </row>
    <row r="176" spans="1:7" x14ac:dyDescent="0.3">
      <c r="A176" s="9">
        <v>45981</v>
      </c>
      <c r="B176" s="7" t="s">
        <v>7813</v>
      </c>
      <c r="C176" s="3">
        <v>4054.7</v>
      </c>
      <c r="D176" s="7" t="s">
        <v>7814</v>
      </c>
      <c r="E176" s="7" t="s">
        <v>4936</v>
      </c>
      <c r="G176" s="9"/>
    </row>
    <row r="177" spans="1:7" x14ac:dyDescent="0.3">
      <c r="A177" s="9">
        <v>45988</v>
      </c>
      <c r="B177" s="7" t="s">
        <v>7813</v>
      </c>
      <c r="C177" s="3">
        <v>2967.56</v>
      </c>
      <c r="D177" s="7" t="s">
        <v>7814</v>
      </c>
      <c r="E177" s="7" t="s">
        <v>5276</v>
      </c>
      <c r="G177" s="9"/>
    </row>
    <row r="178" spans="1:7" x14ac:dyDescent="0.3">
      <c r="A178" s="9">
        <v>45994</v>
      </c>
      <c r="B178" s="7" t="s">
        <v>7815</v>
      </c>
      <c r="C178" s="3">
        <v>-5458.41</v>
      </c>
      <c r="D178" s="7" t="s">
        <v>7816</v>
      </c>
      <c r="E178" s="7" t="s">
        <v>7068</v>
      </c>
      <c r="G178" s="9"/>
    </row>
    <row r="179" spans="1:7" x14ac:dyDescent="0.3">
      <c r="A179" s="9">
        <v>46013</v>
      </c>
      <c r="B179" s="7" t="s">
        <v>7813</v>
      </c>
      <c r="C179" s="3">
        <v>7916.35</v>
      </c>
      <c r="D179" s="7" t="s">
        <v>7814</v>
      </c>
      <c r="E179" s="7" t="s">
        <v>3230</v>
      </c>
      <c r="G179" s="9"/>
    </row>
    <row r="180" spans="1:7" x14ac:dyDescent="0.3">
      <c r="A180" s="9">
        <v>46037</v>
      </c>
      <c r="B180" s="7" t="s">
        <v>7813</v>
      </c>
      <c r="C180" s="3">
        <v>1371.99</v>
      </c>
      <c r="D180" s="7" t="s">
        <v>7814</v>
      </c>
      <c r="E180" s="7" t="s">
        <v>3655</v>
      </c>
      <c r="G180" s="9"/>
    </row>
    <row r="181" spans="1:7" x14ac:dyDescent="0.3">
      <c r="A181" s="9">
        <v>46086</v>
      </c>
      <c r="B181" s="7" t="s">
        <v>7813</v>
      </c>
      <c r="C181" s="3">
        <v>2689.21</v>
      </c>
      <c r="D181" s="7" t="s">
        <v>7814</v>
      </c>
      <c r="E181" s="7" t="s">
        <v>3843</v>
      </c>
      <c r="G181" s="9"/>
    </row>
    <row r="182" spans="1:7" x14ac:dyDescent="0.3">
      <c r="A182" s="9">
        <v>45995</v>
      </c>
      <c r="B182" s="7" t="s">
        <v>7815</v>
      </c>
      <c r="C182" s="3">
        <v>-1178.18</v>
      </c>
      <c r="D182" s="7" t="s">
        <v>7816</v>
      </c>
      <c r="E182" s="7" t="s">
        <v>6855</v>
      </c>
      <c r="G182" s="9"/>
    </row>
    <row r="183" spans="1:7" x14ac:dyDescent="0.3">
      <c r="A183" s="9">
        <v>46045</v>
      </c>
      <c r="B183" s="7" t="s">
        <v>7815</v>
      </c>
      <c r="C183" s="3">
        <v>-1459.06</v>
      </c>
      <c r="D183" s="7" t="s">
        <v>7816</v>
      </c>
      <c r="E183" s="7" t="s">
        <v>6912</v>
      </c>
      <c r="G183" s="9"/>
    </row>
    <row r="184" spans="1:7" x14ac:dyDescent="0.3">
      <c r="A184" s="9">
        <v>46042</v>
      </c>
      <c r="B184" s="7" t="s">
        <v>7815</v>
      </c>
      <c r="C184" s="3">
        <v>-2038.22</v>
      </c>
      <c r="D184" s="7" t="s">
        <v>7816</v>
      </c>
      <c r="E184" s="7" t="s">
        <v>7162</v>
      </c>
      <c r="G184" s="9"/>
    </row>
    <row r="185" spans="1:7" x14ac:dyDescent="0.3">
      <c r="A185" s="9">
        <v>46089</v>
      </c>
      <c r="B185" s="7" t="s">
        <v>7813</v>
      </c>
      <c r="C185" s="3">
        <v>9782.23</v>
      </c>
      <c r="D185" s="7" t="s">
        <v>7814</v>
      </c>
      <c r="E185" s="7" t="s">
        <v>3610</v>
      </c>
      <c r="G185" s="9"/>
    </row>
    <row r="186" spans="1:7" x14ac:dyDescent="0.3">
      <c r="A186" s="9">
        <v>45966</v>
      </c>
      <c r="B186" s="7" t="s">
        <v>7813</v>
      </c>
      <c r="C186" s="3">
        <v>1890.21</v>
      </c>
      <c r="D186" s="7" t="s">
        <v>7814</v>
      </c>
      <c r="E186" s="7" t="s">
        <v>4384</v>
      </c>
      <c r="G186" s="9"/>
    </row>
    <row r="187" spans="1:7" x14ac:dyDescent="0.3">
      <c r="A187" s="9">
        <v>46087</v>
      </c>
      <c r="B187" s="7" t="s">
        <v>7813</v>
      </c>
      <c r="C187" s="3">
        <v>1666.66</v>
      </c>
      <c r="D187" s="7" t="s">
        <v>7814</v>
      </c>
      <c r="E187" s="7" t="s">
        <v>4941</v>
      </c>
      <c r="G187" s="9"/>
    </row>
    <row r="188" spans="1:7" x14ac:dyDescent="0.3">
      <c r="A188" s="9">
        <v>46030</v>
      </c>
      <c r="B188" s="7" t="s">
        <v>7813</v>
      </c>
      <c r="C188" s="3">
        <v>2502.79</v>
      </c>
      <c r="D188" s="7" t="s">
        <v>7814</v>
      </c>
      <c r="E188" s="7" t="s">
        <v>5013</v>
      </c>
      <c r="G188" s="9"/>
    </row>
    <row r="189" spans="1:7" x14ac:dyDescent="0.3">
      <c r="A189" s="9">
        <v>46023</v>
      </c>
      <c r="B189" s="7" t="s">
        <v>7813</v>
      </c>
      <c r="C189" s="3">
        <v>3564.52</v>
      </c>
      <c r="D189" s="7" t="s">
        <v>7814</v>
      </c>
      <c r="E189" s="7" t="s">
        <v>5130</v>
      </c>
      <c r="G189" s="9"/>
    </row>
    <row r="190" spans="1:7" x14ac:dyDescent="0.3">
      <c r="A190" s="9">
        <v>46041</v>
      </c>
      <c r="B190" s="7" t="s">
        <v>7815</v>
      </c>
      <c r="C190" s="3">
        <v>-4100.05</v>
      </c>
      <c r="D190" s="7" t="s">
        <v>7816</v>
      </c>
      <c r="E190" s="7" t="s">
        <v>6834</v>
      </c>
      <c r="G190" s="9"/>
    </row>
    <row r="191" spans="1:7" x14ac:dyDescent="0.3">
      <c r="A191" s="9">
        <v>46088</v>
      </c>
      <c r="B191" s="7" t="s">
        <v>7813</v>
      </c>
      <c r="C191" s="3">
        <v>1624.34</v>
      </c>
      <c r="D191" s="7" t="s">
        <v>7814</v>
      </c>
      <c r="E191" s="7" t="s">
        <v>3997</v>
      </c>
      <c r="G191" s="9"/>
    </row>
    <row r="192" spans="1:7" x14ac:dyDescent="0.3">
      <c r="A192" s="9">
        <v>45969</v>
      </c>
      <c r="B192" s="7" t="s">
        <v>7813</v>
      </c>
      <c r="C192" s="3">
        <v>1609.49</v>
      </c>
      <c r="D192" s="7" t="s">
        <v>7814</v>
      </c>
      <c r="E192" s="7" t="s">
        <v>4375</v>
      </c>
      <c r="G192" s="9"/>
    </row>
    <row r="193" spans="1:7" x14ac:dyDescent="0.3">
      <c r="A193" s="9">
        <v>45983</v>
      </c>
      <c r="B193" s="7" t="s">
        <v>7813</v>
      </c>
      <c r="C193" s="3">
        <v>1750.38</v>
      </c>
      <c r="D193" s="7" t="s">
        <v>7814</v>
      </c>
      <c r="E193" s="7" t="s">
        <v>4892</v>
      </c>
      <c r="G193" s="9"/>
    </row>
    <row r="194" spans="1:7" x14ac:dyDescent="0.3">
      <c r="A194" s="9">
        <v>46039</v>
      </c>
      <c r="B194" s="7" t="s">
        <v>7813</v>
      </c>
      <c r="C194" s="3">
        <v>9682.8799999999992</v>
      </c>
      <c r="D194" s="7" t="s">
        <v>7814</v>
      </c>
      <c r="E194" s="7" t="s">
        <v>4896</v>
      </c>
      <c r="G194" s="9"/>
    </row>
    <row r="195" spans="1:7" x14ac:dyDescent="0.3">
      <c r="A195" s="9">
        <v>46021</v>
      </c>
      <c r="B195" s="7" t="s">
        <v>7813</v>
      </c>
      <c r="C195" s="3">
        <v>2582.71</v>
      </c>
      <c r="D195" s="7" t="s">
        <v>7814</v>
      </c>
      <c r="E195" s="7" t="s">
        <v>4927</v>
      </c>
      <c r="G195" s="9"/>
    </row>
    <row r="196" spans="1:7" x14ac:dyDescent="0.3">
      <c r="A196" s="9">
        <v>45978</v>
      </c>
      <c r="B196" s="7" t="s">
        <v>7815</v>
      </c>
      <c r="C196" s="3">
        <v>-5699.92</v>
      </c>
      <c r="D196" s="7" t="s">
        <v>7816</v>
      </c>
      <c r="E196" s="7" t="s">
        <v>7649</v>
      </c>
      <c r="G196" s="9"/>
    </row>
    <row r="197" spans="1:7" x14ac:dyDescent="0.3">
      <c r="A197" s="9">
        <v>46008</v>
      </c>
      <c r="B197" s="7" t="s">
        <v>7813</v>
      </c>
      <c r="C197" s="3">
        <v>1943.1</v>
      </c>
      <c r="D197" s="7" t="s">
        <v>7814</v>
      </c>
      <c r="E197" s="7" t="s">
        <v>3931</v>
      </c>
      <c r="G197" s="9"/>
    </row>
    <row r="198" spans="1:7" x14ac:dyDescent="0.3">
      <c r="A198" s="9">
        <v>46045</v>
      </c>
      <c r="B198" s="7" t="s">
        <v>7813</v>
      </c>
      <c r="C198" s="3">
        <v>3871.22</v>
      </c>
      <c r="D198" s="7" t="s">
        <v>7814</v>
      </c>
      <c r="E198" s="7" t="s">
        <v>3957</v>
      </c>
      <c r="G198" s="9"/>
    </row>
    <row r="199" spans="1:7" x14ac:dyDescent="0.3">
      <c r="A199" s="9">
        <v>45976</v>
      </c>
      <c r="B199" s="7" t="s">
        <v>7813</v>
      </c>
      <c r="C199" s="3">
        <v>13235.2</v>
      </c>
      <c r="D199" s="7" t="s">
        <v>7814</v>
      </c>
      <c r="E199" s="7" t="s">
        <v>4162</v>
      </c>
      <c r="G199" s="9"/>
    </row>
    <row r="200" spans="1:7" x14ac:dyDescent="0.3">
      <c r="A200" s="9">
        <v>46067</v>
      </c>
      <c r="B200" s="7" t="s">
        <v>7813</v>
      </c>
      <c r="C200" s="3">
        <v>5477.27</v>
      </c>
      <c r="D200" s="7" t="s">
        <v>7814</v>
      </c>
      <c r="E200" s="7" t="s">
        <v>4305</v>
      </c>
      <c r="G200" s="9"/>
    </row>
    <row r="201" spans="1:7" x14ac:dyDescent="0.3">
      <c r="A201" s="9">
        <v>46050</v>
      </c>
      <c r="B201" s="7" t="s">
        <v>7813</v>
      </c>
      <c r="C201" s="3">
        <v>14063.39</v>
      </c>
      <c r="D201" s="7" t="s">
        <v>7814</v>
      </c>
      <c r="E201" s="7" t="s">
        <v>5089</v>
      </c>
      <c r="G201" s="9"/>
    </row>
    <row r="202" spans="1:7" x14ac:dyDescent="0.3">
      <c r="A202" s="9">
        <v>46069</v>
      </c>
      <c r="B202" s="7" t="s">
        <v>7815</v>
      </c>
      <c r="C202" s="3">
        <v>-5033.32</v>
      </c>
      <c r="D202" s="7" t="s">
        <v>7816</v>
      </c>
      <c r="E202" s="7" t="s">
        <v>7148</v>
      </c>
      <c r="G202" s="9"/>
    </row>
    <row r="203" spans="1:7" x14ac:dyDescent="0.3">
      <c r="A203" s="9">
        <v>46090</v>
      </c>
      <c r="B203" s="7" t="s">
        <v>7815</v>
      </c>
      <c r="C203" s="3">
        <v>-3064.03</v>
      </c>
      <c r="D203" s="7" t="s">
        <v>7816</v>
      </c>
      <c r="E203" s="7" t="s">
        <v>7281</v>
      </c>
      <c r="G203" s="9"/>
    </row>
    <row r="204" spans="1:7" x14ac:dyDescent="0.3">
      <c r="A204" s="9">
        <v>45983</v>
      </c>
      <c r="B204" s="7" t="s">
        <v>7815</v>
      </c>
      <c r="C204" s="3">
        <v>-2060.3200000000002</v>
      </c>
      <c r="D204" s="7" t="s">
        <v>7816</v>
      </c>
      <c r="E204" s="7" t="s">
        <v>7511</v>
      </c>
      <c r="G204" s="9"/>
    </row>
    <row r="205" spans="1:7" x14ac:dyDescent="0.3">
      <c r="A205" s="9">
        <v>45991</v>
      </c>
      <c r="B205" s="7" t="s">
        <v>7815</v>
      </c>
      <c r="C205" s="3">
        <v>-4453.22</v>
      </c>
      <c r="D205" s="7" t="s">
        <v>7816</v>
      </c>
      <c r="E205" s="7" t="s">
        <v>7691</v>
      </c>
      <c r="G205" s="9"/>
    </row>
    <row r="206" spans="1:7" x14ac:dyDescent="0.3">
      <c r="A206" s="9">
        <v>46016</v>
      </c>
      <c r="B206" s="7" t="s">
        <v>7813</v>
      </c>
      <c r="C206" s="3">
        <v>3487.03</v>
      </c>
      <c r="D206" s="7" t="s">
        <v>7814</v>
      </c>
      <c r="E206" s="7" t="s">
        <v>3329</v>
      </c>
      <c r="G206" s="9"/>
    </row>
    <row r="207" spans="1:7" x14ac:dyDescent="0.3">
      <c r="A207" s="9">
        <v>46025</v>
      </c>
      <c r="B207" s="7" t="s">
        <v>7813</v>
      </c>
      <c r="C207" s="3">
        <v>1933.95</v>
      </c>
      <c r="D207" s="7" t="s">
        <v>7814</v>
      </c>
      <c r="E207" s="7" t="s">
        <v>3753</v>
      </c>
      <c r="G207" s="9"/>
    </row>
    <row r="208" spans="1:7" x14ac:dyDescent="0.3">
      <c r="A208" s="9">
        <v>46007</v>
      </c>
      <c r="B208" s="7" t="s">
        <v>7813</v>
      </c>
      <c r="C208" s="3">
        <v>3722.45</v>
      </c>
      <c r="D208" s="7" t="s">
        <v>7814</v>
      </c>
      <c r="E208" s="7" t="s">
        <v>3898</v>
      </c>
      <c r="G208" s="9"/>
    </row>
    <row r="209" spans="1:7" x14ac:dyDescent="0.3">
      <c r="A209" s="9">
        <v>46020</v>
      </c>
      <c r="B209" s="7" t="s">
        <v>7813</v>
      </c>
      <c r="C209" s="3">
        <v>3858.56</v>
      </c>
      <c r="D209" s="7" t="s">
        <v>7814</v>
      </c>
      <c r="E209" s="7" t="s">
        <v>4138</v>
      </c>
      <c r="G209" s="9"/>
    </row>
    <row r="210" spans="1:7" x14ac:dyDescent="0.3">
      <c r="A210" s="9">
        <v>46044</v>
      </c>
      <c r="B210" s="7" t="s">
        <v>7813</v>
      </c>
      <c r="C210" s="3">
        <v>9875.98</v>
      </c>
      <c r="D210" s="7" t="s">
        <v>7814</v>
      </c>
      <c r="E210" s="7" t="s">
        <v>4598</v>
      </c>
      <c r="G210" s="9"/>
    </row>
    <row r="211" spans="1:7" x14ac:dyDescent="0.3">
      <c r="A211" s="9">
        <v>46063</v>
      </c>
      <c r="B211" s="7" t="s">
        <v>7813</v>
      </c>
      <c r="C211" s="3">
        <v>11424.08</v>
      </c>
      <c r="D211" s="7" t="s">
        <v>7814</v>
      </c>
      <c r="E211" s="7" t="s">
        <v>5362</v>
      </c>
      <c r="G211" s="9"/>
    </row>
    <row r="212" spans="1:7" x14ac:dyDescent="0.3">
      <c r="A212" s="9">
        <v>45998</v>
      </c>
      <c r="B212" s="7" t="s">
        <v>7815</v>
      </c>
      <c r="C212" s="3">
        <v>-3807.71</v>
      </c>
      <c r="D212" s="7" t="s">
        <v>7816</v>
      </c>
      <c r="E212" s="7" t="s">
        <v>7079</v>
      </c>
      <c r="G212" s="9"/>
    </row>
    <row r="213" spans="1:7" x14ac:dyDescent="0.3">
      <c r="A213" s="9">
        <v>46045</v>
      </c>
      <c r="B213" s="7" t="s">
        <v>7815</v>
      </c>
      <c r="C213" s="3">
        <v>-5078.2700000000004</v>
      </c>
      <c r="D213" s="7" t="s">
        <v>7816</v>
      </c>
      <c r="E213" s="7" t="s">
        <v>7305</v>
      </c>
      <c r="G213" s="9"/>
    </row>
    <row r="214" spans="1:7" x14ac:dyDescent="0.3">
      <c r="A214" s="9">
        <v>45995</v>
      </c>
      <c r="B214" s="7" t="s">
        <v>7815</v>
      </c>
      <c r="C214" s="3">
        <v>-5659.27</v>
      </c>
      <c r="D214" s="7" t="s">
        <v>7816</v>
      </c>
      <c r="E214" s="7" t="s">
        <v>7597</v>
      </c>
      <c r="G214" s="9"/>
    </row>
    <row r="215" spans="1:7" x14ac:dyDescent="0.3">
      <c r="A215" s="9">
        <v>46036</v>
      </c>
      <c r="B215" s="7" t="s">
        <v>7815</v>
      </c>
      <c r="C215" s="3">
        <v>-3222.91</v>
      </c>
      <c r="D215" s="7" t="s">
        <v>7816</v>
      </c>
      <c r="E215" s="7" t="s">
        <v>7600</v>
      </c>
      <c r="G215" s="9"/>
    </row>
    <row r="216" spans="1:7" x14ac:dyDescent="0.3">
      <c r="A216" s="9">
        <v>46074</v>
      </c>
      <c r="B216" s="7" t="s">
        <v>7815</v>
      </c>
      <c r="C216" s="3">
        <v>-6527.92</v>
      </c>
      <c r="D216" s="7" t="s">
        <v>7816</v>
      </c>
      <c r="E216" s="7" t="s">
        <v>7666</v>
      </c>
      <c r="G216" s="9"/>
    </row>
    <row r="217" spans="1:7" x14ac:dyDescent="0.3">
      <c r="A217" s="9">
        <v>46012</v>
      </c>
      <c r="B217" s="7" t="s">
        <v>7813</v>
      </c>
      <c r="C217" s="3">
        <v>3196.2</v>
      </c>
      <c r="D217" s="7" t="s">
        <v>7814</v>
      </c>
      <c r="E217" s="7" t="s">
        <v>3192</v>
      </c>
      <c r="G217" s="9"/>
    </row>
    <row r="218" spans="1:7" x14ac:dyDescent="0.3">
      <c r="A218" s="9">
        <v>46052</v>
      </c>
      <c r="B218" s="7" t="s">
        <v>7813</v>
      </c>
      <c r="C218" s="3">
        <v>2038.23</v>
      </c>
      <c r="D218" s="7" t="s">
        <v>7814</v>
      </c>
      <c r="E218" s="7" t="s">
        <v>3662</v>
      </c>
      <c r="G218" s="9"/>
    </row>
    <row r="219" spans="1:7" x14ac:dyDescent="0.3">
      <c r="A219" s="9">
        <v>46075</v>
      </c>
      <c r="B219" s="7" t="s">
        <v>7813</v>
      </c>
      <c r="C219" s="3">
        <v>4451.45</v>
      </c>
      <c r="D219" s="7" t="s">
        <v>7814</v>
      </c>
      <c r="E219" s="7" t="s">
        <v>3813</v>
      </c>
      <c r="G219" s="9"/>
    </row>
    <row r="220" spans="1:7" x14ac:dyDescent="0.3">
      <c r="A220" s="9">
        <v>46022</v>
      </c>
      <c r="B220" s="7" t="s">
        <v>7813</v>
      </c>
      <c r="C220" s="3">
        <v>11513.66</v>
      </c>
      <c r="D220" s="7" t="s">
        <v>7814</v>
      </c>
      <c r="E220" s="7" t="s">
        <v>4958</v>
      </c>
      <c r="G220" s="9"/>
    </row>
    <row r="221" spans="1:7" x14ac:dyDescent="0.3">
      <c r="A221" s="9">
        <v>45981</v>
      </c>
      <c r="B221" s="7" t="s">
        <v>7813</v>
      </c>
      <c r="C221" s="3">
        <v>3475.14</v>
      </c>
      <c r="D221" s="7" t="s">
        <v>7814</v>
      </c>
      <c r="E221" s="7" t="s">
        <v>5001</v>
      </c>
      <c r="G221" s="9"/>
    </row>
    <row r="222" spans="1:7" x14ac:dyDescent="0.3">
      <c r="A222" s="9">
        <v>46024</v>
      </c>
      <c r="B222" s="7" t="s">
        <v>7815</v>
      </c>
      <c r="C222" s="3">
        <v>-6232.26</v>
      </c>
      <c r="D222" s="7" t="s">
        <v>7816</v>
      </c>
      <c r="E222" s="7" t="s">
        <v>7508</v>
      </c>
      <c r="G222" s="9"/>
    </row>
    <row r="223" spans="1:7" x14ac:dyDescent="0.3">
      <c r="A223" s="9">
        <v>45984</v>
      </c>
      <c r="B223" s="7" t="s">
        <v>7815</v>
      </c>
      <c r="C223" s="3">
        <v>-2725.13</v>
      </c>
      <c r="D223" s="7" t="s">
        <v>7816</v>
      </c>
      <c r="E223" s="7" t="s">
        <v>7792</v>
      </c>
      <c r="G223" s="9"/>
    </row>
    <row r="224" spans="1:7" x14ac:dyDescent="0.3">
      <c r="A224" s="9">
        <v>46023</v>
      </c>
      <c r="B224" s="7" t="s">
        <v>7813</v>
      </c>
      <c r="C224" s="3">
        <v>11792.63</v>
      </c>
      <c r="D224" s="7" t="s">
        <v>7814</v>
      </c>
      <c r="E224" s="7" t="s">
        <v>3434</v>
      </c>
      <c r="G224" s="9"/>
    </row>
    <row r="225" spans="1:7" x14ac:dyDescent="0.3">
      <c r="A225" s="9">
        <v>46046</v>
      </c>
      <c r="B225" s="7" t="s">
        <v>7813</v>
      </c>
      <c r="C225" s="3">
        <v>1011.93</v>
      </c>
      <c r="D225" s="7" t="s">
        <v>7814</v>
      </c>
      <c r="E225" s="7" t="s">
        <v>3553</v>
      </c>
      <c r="G225" s="9"/>
    </row>
    <row r="226" spans="1:7" x14ac:dyDescent="0.3">
      <c r="A226" s="9">
        <v>46035</v>
      </c>
      <c r="B226" s="7" t="s">
        <v>7813</v>
      </c>
      <c r="C226" s="3">
        <v>5765.1</v>
      </c>
      <c r="D226" s="7" t="s">
        <v>7814</v>
      </c>
      <c r="E226" s="7" t="s">
        <v>3962</v>
      </c>
      <c r="G226" s="9"/>
    </row>
    <row r="227" spans="1:7" x14ac:dyDescent="0.3">
      <c r="A227" s="9">
        <v>46030</v>
      </c>
      <c r="B227" s="7" t="s">
        <v>7813</v>
      </c>
      <c r="C227" s="3">
        <v>2485.62</v>
      </c>
      <c r="D227" s="7" t="s">
        <v>7814</v>
      </c>
      <c r="E227" s="7" t="s">
        <v>4426</v>
      </c>
      <c r="G227" s="9"/>
    </row>
    <row r="228" spans="1:7" x14ac:dyDescent="0.3">
      <c r="A228" s="9">
        <v>45980</v>
      </c>
      <c r="B228" s="7" t="s">
        <v>7813</v>
      </c>
      <c r="C228" s="3">
        <v>4730.49</v>
      </c>
      <c r="D228" s="7" t="s">
        <v>7814</v>
      </c>
      <c r="E228" s="7" t="s">
        <v>4675</v>
      </c>
      <c r="G228" s="9"/>
    </row>
    <row r="229" spans="1:7" x14ac:dyDescent="0.3">
      <c r="A229" s="9">
        <v>46020</v>
      </c>
      <c r="B229" s="7" t="s">
        <v>7813</v>
      </c>
      <c r="C229" s="3">
        <v>2012.84</v>
      </c>
      <c r="D229" s="7" t="s">
        <v>7814</v>
      </c>
      <c r="E229" s="7" t="s">
        <v>4856</v>
      </c>
      <c r="G229" s="9"/>
    </row>
    <row r="230" spans="1:7" x14ac:dyDescent="0.3">
      <c r="A230" s="9">
        <v>46085</v>
      </c>
      <c r="B230" s="7" t="s">
        <v>7813</v>
      </c>
      <c r="C230" s="3">
        <v>11188.97</v>
      </c>
      <c r="D230" s="7" t="s">
        <v>7814</v>
      </c>
      <c r="E230" s="7" t="s">
        <v>4993</v>
      </c>
      <c r="G230" s="9"/>
    </row>
    <row r="231" spans="1:7" x14ac:dyDescent="0.3">
      <c r="A231" s="9">
        <v>45994</v>
      </c>
      <c r="B231" s="7" t="s">
        <v>7815</v>
      </c>
      <c r="C231" s="3">
        <v>-3637.39</v>
      </c>
      <c r="D231" s="7" t="s">
        <v>7816</v>
      </c>
      <c r="E231" s="7" t="s">
        <v>7168</v>
      </c>
      <c r="G231" s="9"/>
    </row>
    <row r="232" spans="1:7" x14ac:dyDescent="0.3">
      <c r="A232" s="9">
        <v>45987</v>
      </c>
      <c r="B232" s="7" t="s">
        <v>7815</v>
      </c>
      <c r="C232" s="3">
        <v>-978.23</v>
      </c>
      <c r="D232" s="7" t="s">
        <v>7816</v>
      </c>
      <c r="E232" s="7" t="s">
        <v>7760</v>
      </c>
      <c r="G232" s="9"/>
    </row>
    <row r="233" spans="1:7" x14ac:dyDescent="0.3">
      <c r="A233" s="9">
        <v>46035</v>
      </c>
      <c r="B233" s="7" t="s">
        <v>7813</v>
      </c>
      <c r="C233" s="3">
        <v>4858.46</v>
      </c>
      <c r="D233" s="7" t="s">
        <v>7814</v>
      </c>
      <c r="E233" s="7" t="s">
        <v>3541</v>
      </c>
      <c r="G233" s="9"/>
    </row>
    <row r="234" spans="1:7" x14ac:dyDescent="0.3">
      <c r="A234" s="9">
        <v>45962</v>
      </c>
      <c r="B234" s="7" t="s">
        <v>7813</v>
      </c>
      <c r="C234" s="3">
        <v>11715.3</v>
      </c>
      <c r="D234" s="7" t="s">
        <v>7814</v>
      </c>
      <c r="E234" s="7" t="s">
        <v>3707</v>
      </c>
      <c r="G234" s="9"/>
    </row>
    <row r="235" spans="1:7" x14ac:dyDescent="0.3">
      <c r="A235" s="9">
        <v>46053</v>
      </c>
      <c r="B235" s="7" t="s">
        <v>7815</v>
      </c>
      <c r="C235" s="3">
        <v>-4833.05</v>
      </c>
      <c r="D235" s="7" t="s">
        <v>7816</v>
      </c>
      <c r="E235" s="7" t="s">
        <v>7160</v>
      </c>
      <c r="G235" s="9"/>
    </row>
    <row r="236" spans="1:7" x14ac:dyDescent="0.3">
      <c r="A236" s="9">
        <v>46033</v>
      </c>
      <c r="B236" s="7" t="s">
        <v>7815</v>
      </c>
      <c r="C236" s="3">
        <v>-1150.17</v>
      </c>
      <c r="D236" s="7" t="s">
        <v>7816</v>
      </c>
      <c r="E236" s="7" t="s">
        <v>7783</v>
      </c>
      <c r="G236" s="9"/>
    </row>
    <row r="237" spans="1:7" x14ac:dyDescent="0.3">
      <c r="A237" s="9">
        <v>46019</v>
      </c>
      <c r="B237" s="7" t="s">
        <v>7813</v>
      </c>
      <c r="C237" s="3">
        <v>2096.96</v>
      </c>
      <c r="D237" s="7" t="s">
        <v>7814</v>
      </c>
      <c r="E237" s="7" t="s">
        <v>3315</v>
      </c>
      <c r="G237" s="9"/>
    </row>
    <row r="238" spans="1:7" x14ac:dyDescent="0.3">
      <c r="A238" s="9">
        <v>46006</v>
      </c>
      <c r="B238" s="7" t="s">
        <v>7813</v>
      </c>
      <c r="C238" s="3">
        <v>2920.38</v>
      </c>
      <c r="D238" s="7" t="s">
        <v>7814</v>
      </c>
      <c r="E238" s="7" t="s">
        <v>3971</v>
      </c>
      <c r="G238" s="9"/>
    </row>
    <row r="239" spans="1:7" x14ac:dyDescent="0.3">
      <c r="A239" s="9">
        <v>46061</v>
      </c>
      <c r="B239" s="7" t="s">
        <v>7813</v>
      </c>
      <c r="C239" s="3">
        <v>2571.08</v>
      </c>
      <c r="D239" s="7" t="s">
        <v>7814</v>
      </c>
      <c r="E239" s="7" t="s">
        <v>4894</v>
      </c>
      <c r="G239" s="9"/>
    </row>
    <row r="240" spans="1:7" x14ac:dyDescent="0.3">
      <c r="A240" s="9">
        <v>46082</v>
      </c>
      <c r="B240" s="7" t="s">
        <v>7813</v>
      </c>
      <c r="C240" s="3">
        <v>2910.84</v>
      </c>
      <c r="D240" s="7" t="s">
        <v>7814</v>
      </c>
      <c r="E240" s="7" t="s">
        <v>4984</v>
      </c>
      <c r="G240" s="9"/>
    </row>
    <row r="241" spans="1:7" x14ac:dyDescent="0.3">
      <c r="A241" s="9">
        <v>46041</v>
      </c>
      <c r="B241" s="7" t="s">
        <v>7815</v>
      </c>
      <c r="C241" s="3">
        <v>-4269.88</v>
      </c>
      <c r="D241" s="7" t="s">
        <v>7816</v>
      </c>
      <c r="E241" s="7" t="s">
        <v>6990</v>
      </c>
      <c r="G241" s="9"/>
    </row>
    <row r="242" spans="1:7" x14ac:dyDescent="0.3">
      <c r="A242" s="9">
        <v>46024</v>
      </c>
      <c r="B242" s="7" t="s">
        <v>7815</v>
      </c>
      <c r="C242" s="3">
        <v>-2656.98</v>
      </c>
      <c r="D242" s="7" t="s">
        <v>7816</v>
      </c>
      <c r="E242" s="7" t="s">
        <v>7078</v>
      </c>
      <c r="G242" s="9"/>
    </row>
    <row r="243" spans="1:7" x14ac:dyDescent="0.3">
      <c r="A243" s="9">
        <v>45986</v>
      </c>
      <c r="B243" s="7" t="s">
        <v>7813</v>
      </c>
      <c r="C243" s="3">
        <v>4144.1499999999996</v>
      </c>
      <c r="D243" s="7" t="s">
        <v>7814</v>
      </c>
      <c r="E243" s="7" t="s">
        <v>3200</v>
      </c>
      <c r="G243" s="9"/>
    </row>
    <row r="244" spans="1:7" x14ac:dyDescent="0.3">
      <c r="A244" s="9">
        <v>46087</v>
      </c>
      <c r="B244" s="7" t="s">
        <v>7813</v>
      </c>
      <c r="C244" s="3">
        <v>2102.23</v>
      </c>
      <c r="D244" s="7" t="s">
        <v>7814</v>
      </c>
      <c r="E244" s="7" t="s">
        <v>3481</v>
      </c>
      <c r="G244" s="9"/>
    </row>
    <row r="245" spans="1:7" x14ac:dyDescent="0.3">
      <c r="A245" s="9">
        <v>45998</v>
      </c>
      <c r="B245" s="7" t="s">
        <v>7813</v>
      </c>
      <c r="C245" s="3">
        <v>13119.31</v>
      </c>
      <c r="D245" s="7" t="s">
        <v>7814</v>
      </c>
      <c r="E245" s="7" t="s">
        <v>3890</v>
      </c>
      <c r="G245" s="9"/>
    </row>
    <row r="246" spans="1:7" x14ac:dyDescent="0.3">
      <c r="A246" s="9">
        <v>46046</v>
      </c>
      <c r="B246" s="7" t="s">
        <v>7813</v>
      </c>
      <c r="C246" s="3">
        <v>2811.42</v>
      </c>
      <c r="D246" s="7" t="s">
        <v>7814</v>
      </c>
      <c r="E246" s="7" t="s">
        <v>4047</v>
      </c>
      <c r="G246" s="9"/>
    </row>
    <row r="247" spans="1:7" x14ac:dyDescent="0.3">
      <c r="A247" s="9">
        <v>46062</v>
      </c>
      <c r="B247" s="7" t="s">
        <v>7813</v>
      </c>
      <c r="C247" s="3">
        <v>3179.48</v>
      </c>
      <c r="D247" s="7" t="s">
        <v>7814</v>
      </c>
      <c r="E247" s="7" t="s">
        <v>4578</v>
      </c>
      <c r="G247" s="9"/>
    </row>
    <row r="248" spans="1:7" x14ac:dyDescent="0.3">
      <c r="A248" s="9">
        <v>46061</v>
      </c>
      <c r="B248" s="7" t="s">
        <v>7813</v>
      </c>
      <c r="C248" s="3">
        <v>3200.41</v>
      </c>
      <c r="D248" s="7" t="s">
        <v>7814</v>
      </c>
      <c r="E248" s="7" t="s">
        <v>3826</v>
      </c>
      <c r="G248" s="9"/>
    </row>
    <row r="249" spans="1:7" x14ac:dyDescent="0.3">
      <c r="A249" s="9">
        <v>46021</v>
      </c>
      <c r="B249" s="7" t="s">
        <v>7813</v>
      </c>
      <c r="C249" s="3">
        <v>10230.799999999999</v>
      </c>
      <c r="D249" s="7" t="s">
        <v>7814</v>
      </c>
      <c r="E249" s="7" t="s">
        <v>4609</v>
      </c>
      <c r="G249" s="9"/>
    </row>
    <row r="250" spans="1:7" x14ac:dyDescent="0.3">
      <c r="A250" s="9">
        <v>46039</v>
      </c>
      <c r="B250" s="7" t="s">
        <v>7813</v>
      </c>
      <c r="C250" s="3">
        <v>4006.4</v>
      </c>
      <c r="D250" s="7" t="s">
        <v>7814</v>
      </c>
      <c r="E250" s="7" t="s">
        <v>4946</v>
      </c>
      <c r="G250" s="9"/>
    </row>
    <row r="251" spans="1:7" x14ac:dyDescent="0.3">
      <c r="A251" s="9">
        <v>46031</v>
      </c>
      <c r="B251" s="7" t="s">
        <v>7813</v>
      </c>
      <c r="C251" s="3">
        <v>1741.18</v>
      </c>
      <c r="D251" s="7" t="s">
        <v>7814</v>
      </c>
      <c r="E251" s="7" t="s">
        <v>3497</v>
      </c>
      <c r="G251" s="9"/>
    </row>
    <row r="252" spans="1:7" x14ac:dyDescent="0.3">
      <c r="A252" s="9">
        <v>46066</v>
      </c>
      <c r="B252" s="7" t="s">
        <v>7813</v>
      </c>
      <c r="C252" s="3">
        <v>2019.4</v>
      </c>
      <c r="D252" s="7" t="s">
        <v>7814</v>
      </c>
      <c r="E252" s="7" t="s">
        <v>3876</v>
      </c>
      <c r="G252" s="9"/>
    </row>
    <row r="253" spans="1:7" x14ac:dyDescent="0.3">
      <c r="A253" s="9">
        <v>46072</v>
      </c>
      <c r="B253" s="7" t="s">
        <v>7815</v>
      </c>
      <c r="C253" s="3">
        <v>-4489.1400000000003</v>
      </c>
      <c r="D253" s="7" t="s">
        <v>7816</v>
      </c>
      <c r="E253" s="7" t="s">
        <v>7059</v>
      </c>
      <c r="G253" s="9"/>
    </row>
    <row r="254" spans="1:7" x14ac:dyDescent="0.3">
      <c r="A254" s="9">
        <v>45969</v>
      </c>
      <c r="B254" s="7" t="s">
        <v>7815</v>
      </c>
      <c r="C254" s="3">
        <v>-2987.98</v>
      </c>
      <c r="D254" s="7" t="s">
        <v>7816</v>
      </c>
      <c r="E254" s="7" t="s">
        <v>7348</v>
      </c>
      <c r="G254" s="9"/>
    </row>
    <row r="255" spans="1:7" x14ac:dyDescent="0.3">
      <c r="A255" s="9">
        <v>46027</v>
      </c>
      <c r="B255" s="7" t="s">
        <v>7815</v>
      </c>
      <c r="C255" s="3">
        <v>-6425.88</v>
      </c>
      <c r="D255" s="7" t="s">
        <v>7816</v>
      </c>
      <c r="E255" s="7" t="s">
        <v>7668</v>
      </c>
      <c r="G255" s="9"/>
    </row>
    <row r="256" spans="1:7" x14ac:dyDescent="0.3">
      <c r="A256" s="9">
        <v>45981</v>
      </c>
      <c r="B256" s="7" t="s">
        <v>7813</v>
      </c>
      <c r="C256" s="3">
        <v>2026.98</v>
      </c>
      <c r="D256" s="7" t="s">
        <v>7814</v>
      </c>
      <c r="E256" s="7" t="s">
        <v>3728</v>
      </c>
      <c r="G256" s="9"/>
    </row>
    <row r="257" spans="1:7" x14ac:dyDescent="0.3">
      <c r="A257" s="9">
        <v>46056</v>
      </c>
      <c r="B257" s="7" t="s">
        <v>7813</v>
      </c>
      <c r="C257" s="3">
        <v>4671.78</v>
      </c>
      <c r="D257" s="7" t="s">
        <v>7814</v>
      </c>
      <c r="E257" s="7" t="s">
        <v>4097</v>
      </c>
      <c r="G257" s="9"/>
    </row>
    <row r="258" spans="1:7" x14ac:dyDescent="0.3">
      <c r="A258" s="9">
        <v>45981</v>
      </c>
      <c r="B258" s="7" t="s">
        <v>7813</v>
      </c>
      <c r="C258" s="3">
        <v>3316.57</v>
      </c>
      <c r="D258" s="7" t="s">
        <v>7814</v>
      </c>
      <c r="E258" s="7" t="s">
        <v>4468</v>
      </c>
      <c r="G258" s="9"/>
    </row>
    <row r="259" spans="1:7" x14ac:dyDescent="0.3">
      <c r="A259" s="9">
        <v>46075</v>
      </c>
      <c r="B259" s="7" t="s">
        <v>7813</v>
      </c>
      <c r="C259" s="3">
        <v>12448.37</v>
      </c>
      <c r="D259" s="7" t="s">
        <v>7814</v>
      </c>
      <c r="E259" s="7" t="s">
        <v>4980</v>
      </c>
      <c r="G259" s="9"/>
    </row>
    <row r="260" spans="1:7" x14ac:dyDescent="0.3">
      <c r="A260" s="9">
        <v>46086</v>
      </c>
      <c r="B260" s="7" t="s">
        <v>7815</v>
      </c>
      <c r="C260" s="3">
        <v>-3674.32</v>
      </c>
      <c r="D260" s="7" t="s">
        <v>7816</v>
      </c>
      <c r="E260" s="7" t="s">
        <v>6971</v>
      </c>
      <c r="G260" s="9"/>
    </row>
    <row r="261" spans="1:7" x14ac:dyDescent="0.3">
      <c r="A261" s="9">
        <v>46063</v>
      </c>
      <c r="B261" s="7" t="s">
        <v>7815</v>
      </c>
      <c r="C261" s="3">
        <v>-6132.37</v>
      </c>
      <c r="D261" s="7" t="s">
        <v>7816</v>
      </c>
      <c r="E261" s="7" t="s">
        <v>7077</v>
      </c>
      <c r="G261" s="9"/>
    </row>
    <row r="262" spans="1:7" x14ac:dyDescent="0.3">
      <c r="A262" s="9">
        <v>46016</v>
      </c>
      <c r="B262" s="7" t="s">
        <v>7813</v>
      </c>
      <c r="C262" s="3">
        <v>2868.02</v>
      </c>
      <c r="D262" s="7" t="s">
        <v>7814</v>
      </c>
      <c r="E262" s="7" t="s">
        <v>3693</v>
      </c>
      <c r="G262" s="9"/>
    </row>
    <row r="263" spans="1:7" x14ac:dyDescent="0.3">
      <c r="A263" s="9">
        <v>46004</v>
      </c>
      <c r="B263" s="7" t="s">
        <v>7813</v>
      </c>
      <c r="C263" s="3">
        <v>1661.99</v>
      </c>
      <c r="D263" s="7" t="s">
        <v>7814</v>
      </c>
      <c r="E263" s="7" t="s">
        <v>4462</v>
      </c>
      <c r="G263" s="9"/>
    </row>
    <row r="264" spans="1:7" x14ac:dyDescent="0.3">
      <c r="A264" s="9">
        <v>46081</v>
      </c>
      <c r="B264" s="7" t="s">
        <v>7813</v>
      </c>
      <c r="C264" s="3">
        <v>1714.55</v>
      </c>
      <c r="D264" s="7" t="s">
        <v>7814</v>
      </c>
      <c r="E264" s="7" t="s">
        <v>4655</v>
      </c>
      <c r="G264" s="9"/>
    </row>
    <row r="265" spans="1:7" x14ac:dyDescent="0.3">
      <c r="A265" s="9">
        <v>46061</v>
      </c>
      <c r="B265" s="7" t="s">
        <v>7813</v>
      </c>
      <c r="C265" s="3">
        <v>1263.32</v>
      </c>
      <c r="D265" s="7" t="s">
        <v>7814</v>
      </c>
      <c r="E265" s="7" t="s">
        <v>5245</v>
      </c>
      <c r="G265" s="9"/>
    </row>
    <row r="266" spans="1:7" x14ac:dyDescent="0.3">
      <c r="A266" s="9">
        <v>46030</v>
      </c>
      <c r="B266" s="7" t="s">
        <v>7815</v>
      </c>
      <c r="C266" s="3">
        <v>-1887.74</v>
      </c>
      <c r="D266" s="7" t="s">
        <v>7816</v>
      </c>
      <c r="E266" s="7" t="s">
        <v>7035</v>
      </c>
      <c r="G266" s="9"/>
    </row>
    <row r="267" spans="1:7" x14ac:dyDescent="0.3">
      <c r="A267" s="9">
        <v>46004</v>
      </c>
      <c r="B267" s="7" t="s">
        <v>7815</v>
      </c>
      <c r="C267" s="3">
        <v>-4616.07</v>
      </c>
      <c r="D267" s="7" t="s">
        <v>7816</v>
      </c>
      <c r="E267" s="7" t="s">
        <v>7117</v>
      </c>
      <c r="G267" s="9"/>
    </row>
    <row r="268" spans="1:7" x14ac:dyDescent="0.3">
      <c r="A268" s="9">
        <v>45975</v>
      </c>
      <c r="B268" s="7" t="s">
        <v>7815</v>
      </c>
      <c r="C268" s="3">
        <v>-3363.94</v>
      </c>
      <c r="D268" s="7" t="s">
        <v>7816</v>
      </c>
      <c r="E268" s="7" t="s">
        <v>7225</v>
      </c>
      <c r="G268" s="9"/>
    </row>
    <row r="269" spans="1:7" x14ac:dyDescent="0.3">
      <c r="A269" s="9">
        <v>46017</v>
      </c>
      <c r="B269" s="7" t="s">
        <v>7815</v>
      </c>
      <c r="C269" s="3">
        <v>-4994.82</v>
      </c>
      <c r="D269" s="7" t="s">
        <v>7816</v>
      </c>
      <c r="E269" s="7" t="s">
        <v>7745</v>
      </c>
      <c r="G269" s="9"/>
    </row>
    <row r="270" spans="1:7" x14ac:dyDescent="0.3">
      <c r="A270" s="9">
        <v>46012</v>
      </c>
      <c r="B270" s="7" t="s">
        <v>7817</v>
      </c>
      <c r="C270" s="3">
        <v>-111422.54</v>
      </c>
      <c r="D270" s="7" t="s">
        <v>7816</v>
      </c>
      <c r="E270" s="7" t="s">
        <v>7818</v>
      </c>
      <c r="G270" s="9"/>
    </row>
    <row r="271" spans="1:7" x14ac:dyDescent="0.3">
      <c r="A271" s="9">
        <v>45972</v>
      </c>
      <c r="B271" s="7" t="s">
        <v>7813</v>
      </c>
      <c r="C271" s="3">
        <v>3517.42</v>
      </c>
      <c r="D271" s="7" t="s">
        <v>7814</v>
      </c>
      <c r="E271" s="7" t="s">
        <v>3482</v>
      </c>
      <c r="G271" s="9"/>
    </row>
    <row r="272" spans="1:7" x14ac:dyDescent="0.3">
      <c r="A272" s="9">
        <v>45981</v>
      </c>
      <c r="B272" s="7" t="s">
        <v>7813</v>
      </c>
      <c r="C272" s="3">
        <v>11439.92</v>
      </c>
      <c r="D272" s="7" t="s">
        <v>7814</v>
      </c>
      <c r="E272" s="7" t="s">
        <v>3685</v>
      </c>
      <c r="G272" s="9"/>
    </row>
    <row r="273" spans="1:7" x14ac:dyDescent="0.3">
      <c r="A273" s="9">
        <v>46044</v>
      </c>
      <c r="B273" s="7" t="s">
        <v>7813</v>
      </c>
      <c r="C273" s="3">
        <v>1489.4</v>
      </c>
      <c r="D273" s="7" t="s">
        <v>7814</v>
      </c>
      <c r="E273" s="7" t="s">
        <v>3829</v>
      </c>
      <c r="G273" s="9"/>
    </row>
    <row r="274" spans="1:7" x14ac:dyDescent="0.3">
      <c r="A274" s="9">
        <v>46016</v>
      </c>
      <c r="B274" s="7" t="s">
        <v>7813</v>
      </c>
      <c r="C274" s="3">
        <v>2852.72</v>
      </c>
      <c r="D274" s="7" t="s">
        <v>7814</v>
      </c>
      <c r="E274" s="7" t="s">
        <v>4648</v>
      </c>
      <c r="G274" s="9"/>
    </row>
    <row r="275" spans="1:7" x14ac:dyDescent="0.3">
      <c r="A275" s="9">
        <v>46013</v>
      </c>
      <c r="B275" s="7" t="s">
        <v>7815</v>
      </c>
      <c r="C275" s="3">
        <v>-1873.43</v>
      </c>
      <c r="D275" s="7" t="s">
        <v>7816</v>
      </c>
      <c r="E275" s="7" t="s">
        <v>6876</v>
      </c>
      <c r="G275" s="9"/>
    </row>
    <row r="276" spans="1:7" x14ac:dyDescent="0.3">
      <c r="A276" s="9">
        <v>46082</v>
      </c>
      <c r="B276" s="7" t="s">
        <v>7815</v>
      </c>
      <c r="C276" s="3">
        <v>-843.67</v>
      </c>
      <c r="D276" s="7" t="s">
        <v>7816</v>
      </c>
      <c r="E276" s="7" t="s">
        <v>7391</v>
      </c>
      <c r="G276" s="9"/>
    </row>
    <row r="277" spans="1:7" x14ac:dyDescent="0.3">
      <c r="A277" s="9">
        <v>46064</v>
      </c>
      <c r="B277" s="7" t="s">
        <v>7815</v>
      </c>
      <c r="C277" s="3">
        <v>-6658.88</v>
      </c>
      <c r="D277" s="7" t="s">
        <v>7816</v>
      </c>
      <c r="E277" s="7" t="s">
        <v>7594</v>
      </c>
      <c r="G277" s="9"/>
    </row>
    <row r="278" spans="1:7" x14ac:dyDescent="0.3">
      <c r="A278" s="9">
        <v>45993</v>
      </c>
      <c r="B278" s="7" t="s">
        <v>7813</v>
      </c>
      <c r="C278" s="3">
        <v>3743.77</v>
      </c>
      <c r="D278" s="7" t="s">
        <v>7814</v>
      </c>
      <c r="E278" s="7" t="s">
        <v>3568</v>
      </c>
      <c r="G278" s="9"/>
    </row>
    <row r="279" spans="1:7" x14ac:dyDescent="0.3">
      <c r="A279" s="9">
        <v>46029</v>
      </c>
      <c r="B279" s="7" t="s">
        <v>7813</v>
      </c>
      <c r="C279" s="3">
        <v>4012.2</v>
      </c>
      <c r="D279" s="7" t="s">
        <v>7814</v>
      </c>
      <c r="E279" s="7" t="s">
        <v>4544</v>
      </c>
      <c r="G279" s="9"/>
    </row>
    <row r="280" spans="1:7" x14ac:dyDescent="0.3">
      <c r="A280" s="9">
        <v>45978</v>
      </c>
      <c r="B280" s="7" t="s">
        <v>7813</v>
      </c>
      <c r="C280" s="3">
        <v>1988.91</v>
      </c>
      <c r="D280" s="7" t="s">
        <v>7814</v>
      </c>
      <c r="E280" s="7" t="s">
        <v>5407</v>
      </c>
      <c r="G280" s="9"/>
    </row>
    <row r="281" spans="1:7" x14ac:dyDescent="0.3">
      <c r="A281" s="9">
        <v>45990</v>
      </c>
      <c r="B281" s="7" t="s">
        <v>7815</v>
      </c>
      <c r="C281" s="3">
        <v>-1527.06</v>
      </c>
      <c r="D281" s="7" t="s">
        <v>7816</v>
      </c>
      <c r="E281" s="7" t="s">
        <v>6922</v>
      </c>
      <c r="G281" s="9"/>
    </row>
    <row r="282" spans="1:7" x14ac:dyDescent="0.3">
      <c r="A282" s="9">
        <v>46078</v>
      </c>
      <c r="B282" s="7" t="s">
        <v>7815</v>
      </c>
      <c r="C282" s="3">
        <v>-6697.93</v>
      </c>
      <c r="D282" s="7" t="s">
        <v>7816</v>
      </c>
      <c r="E282" s="7" t="s">
        <v>7579</v>
      </c>
      <c r="G282" s="9"/>
    </row>
    <row r="283" spans="1:7" x14ac:dyDescent="0.3">
      <c r="A283" s="9">
        <v>45971</v>
      </c>
      <c r="B283" s="7" t="s">
        <v>7813</v>
      </c>
      <c r="C283" s="3">
        <v>3114.28</v>
      </c>
      <c r="D283" s="7" t="s">
        <v>7814</v>
      </c>
      <c r="E283" s="7" t="s">
        <v>4231</v>
      </c>
      <c r="G283" s="9"/>
    </row>
    <row r="284" spans="1:7" x14ac:dyDescent="0.3">
      <c r="A284" s="9">
        <v>46082</v>
      </c>
      <c r="B284" s="7" t="s">
        <v>7813</v>
      </c>
      <c r="C284" s="3">
        <v>1370.05</v>
      </c>
      <c r="D284" s="7" t="s">
        <v>7814</v>
      </c>
      <c r="E284" s="7" t="s">
        <v>4376</v>
      </c>
      <c r="G284" s="9"/>
    </row>
    <row r="285" spans="1:7" x14ac:dyDescent="0.3">
      <c r="A285" s="9">
        <v>46065</v>
      </c>
      <c r="B285" s="7" t="s">
        <v>7813</v>
      </c>
      <c r="C285" s="3">
        <v>10198.469999999999</v>
      </c>
      <c r="D285" s="7" t="s">
        <v>7814</v>
      </c>
      <c r="E285" s="7" t="s">
        <v>4515</v>
      </c>
      <c r="G285" s="9"/>
    </row>
    <row r="286" spans="1:7" x14ac:dyDescent="0.3">
      <c r="A286" s="9">
        <v>46091</v>
      </c>
      <c r="B286" s="7" t="s">
        <v>7813</v>
      </c>
      <c r="C286" s="3">
        <v>2138.5700000000002</v>
      </c>
      <c r="D286" s="7" t="s">
        <v>7814</v>
      </c>
      <c r="E286" s="7" t="s">
        <v>4754</v>
      </c>
      <c r="G286" s="9"/>
    </row>
    <row r="287" spans="1:7" x14ac:dyDescent="0.3">
      <c r="A287" s="9">
        <v>46089</v>
      </c>
      <c r="B287" s="7" t="s">
        <v>7813</v>
      </c>
      <c r="C287" s="3">
        <v>9889.2800000000007</v>
      </c>
      <c r="D287" s="7" t="s">
        <v>7814</v>
      </c>
      <c r="E287" s="7" t="s">
        <v>4783</v>
      </c>
      <c r="G287" s="9"/>
    </row>
    <row r="288" spans="1:7" x14ac:dyDescent="0.3">
      <c r="A288" s="9">
        <v>46082</v>
      </c>
      <c r="B288" s="7" t="s">
        <v>7813</v>
      </c>
      <c r="C288" s="3">
        <v>4141.05</v>
      </c>
      <c r="D288" s="7" t="s">
        <v>7814</v>
      </c>
      <c r="E288" s="7" t="s">
        <v>5310</v>
      </c>
      <c r="G288" s="9"/>
    </row>
    <row r="289" spans="1:7" x14ac:dyDescent="0.3">
      <c r="A289" s="9">
        <v>46002</v>
      </c>
      <c r="B289" s="7" t="s">
        <v>7815</v>
      </c>
      <c r="C289" s="3">
        <v>-3619.69</v>
      </c>
      <c r="D289" s="7" t="s">
        <v>7816</v>
      </c>
      <c r="E289" s="7" t="s">
        <v>6902</v>
      </c>
      <c r="G289" s="9"/>
    </row>
    <row r="290" spans="1:7" x14ac:dyDescent="0.3">
      <c r="A290" s="9">
        <v>46031</v>
      </c>
      <c r="B290" s="7" t="s">
        <v>7815</v>
      </c>
      <c r="C290" s="3">
        <v>-2302.2800000000002</v>
      </c>
      <c r="D290" s="7" t="s">
        <v>7816</v>
      </c>
      <c r="E290" s="7" t="s">
        <v>6951</v>
      </c>
      <c r="G290" s="9"/>
    </row>
    <row r="291" spans="1:7" x14ac:dyDescent="0.3">
      <c r="A291" s="9">
        <v>46041</v>
      </c>
      <c r="B291" s="7" t="s">
        <v>7815</v>
      </c>
      <c r="C291" s="3">
        <v>-1911.3</v>
      </c>
      <c r="D291" s="7" t="s">
        <v>7816</v>
      </c>
      <c r="E291" s="7" t="s">
        <v>7284</v>
      </c>
      <c r="G291" s="9"/>
    </row>
    <row r="292" spans="1:7" x14ac:dyDescent="0.3">
      <c r="A292" s="9">
        <v>46001</v>
      </c>
      <c r="B292" s="7" t="s">
        <v>7813</v>
      </c>
      <c r="C292" s="3">
        <v>1182.76</v>
      </c>
      <c r="D292" s="7" t="s">
        <v>7814</v>
      </c>
      <c r="E292" s="7" t="s">
        <v>3232</v>
      </c>
      <c r="G292" s="9"/>
    </row>
    <row r="293" spans="1:7" x14ac:dyDescent="0.3">
      <c r="A293" s="9">
        <v>46032</v>
      </c>
      <c r="B293" s="7" t="s">
        <v>7813</v>
      </c>
      <c r="C293" s="3">
        <v>1906.06</v>
      </c>
      <c r="D293" s="7" t="s">
        <v>7814</v>
      </c>
      <c r="E293" s="7" t="s">
        <v>3309</v>
      </c>
      <c r="G293" s="9"/>
    </row>
    <row r="294" spans="1:7" x14ac:dyDescent="0.3">
      <c r="A294" s="9">
        <v>46043</v>
      </c>
      <c r="B294" s="7" t="s">
        <v>7813</v>
      </c>
      <c r="C294" s="3">
        <v>4891.95</v>
      </c>
      <c r="D294" s="7" t="s">
        <v>7814</v>
      </c>
      <c r="E294" s="7" t="s">
        <v>4132</v>
      </c>
      <c r="G294" s="9"/>
    </row>
    <row r="295" spans="1:7" x14ac:dyDescent="0.3">
      <c r="A295" s="9">
        <v>46053</v>
      </c>
      <c r="B295" s="7" t="s">
        <v>7813</v>
      </c>
      <c r="C295" s="3">
        <v>2203.7600000000002</v>
      </c>
      <c r="D295" s="7" t="s">
        <v>7814</v>
      </c>
      <c r="E295" s="7" t="s">
        <v>4739</v>
      </c>
      <c r="G295" s="9"/>
    </row>
    <row r="296" spans="1:7" x14ac:dyDescent="0.3">
      <c r="A296" s="9">
        <v>46013</v>
      </c>
      <c r="B296" s="7" t="s">
        <v>7813</v>
      </c>
      <c r="C296" s="3">
        <v>9674.4599999999991</v>
      </c>
      <c r="D296" s="7" t="s">
        <v>7814</v>
      </c>
      <c r="E296" s="7" t="s">
        <v>4921</v>
      </c>
      <c r="G296" s="9"/>
    </row>
    <row r="297" spans="1:7" x14ac:dyDescent="0.3">
      <c r="A297" s="9">
        <v>46089</v>
      </c>
      <c r="B297" s="7" t="s">
        <v>7813</v>
      </c>
      <c r="C297" s="3">
        <v>2888.85</v>
      </c>
      <c r="D297" s="7" t="s">
        <v>7814</v>
      </c>
      <c r="E297" s="7" t="s">
        <v>4962</v>
      </c>
      <c r="G297" s="9"/>
    </row>
    <row r="298" spans="1:7" x14ac:dyDescent="0.3">
      <c r="A298" s="9">
        <v>46052</v>
      </c>
      <c r="B298" s="7" t="s">
        <v>7813</v>
      </c>
      <c r="C298" s="3">
        <v>2476.81</v>
      </c>
      <c r="D298" s="7" t="s">
        <v>7814</v>
      </c>
      <c r="E298" s="7" t="s">
        <v>4978</v>
      </c>
      <c r="G298" s="9"/>
    </row>
    <row r="299" spans="1:7" x14ac:dyDescent="0.3">
      <c r="A299" s="9">
        <v>46062</v>
      </c>
      <c r="B299" s="7" t="s">
        <v>7815</v>
      </c>
      <c r="C299" s="3">
        <v>-2509.1999999999998</v>
      </c>
      <c r="D299" s="7" t="s">
        <v>7816</v>
      </c>
      <c r="E299" s="7" t="s">
        <v>7251</v>
      </c>
      <c r="G299" s="9"/>
    </row>
    <row r="300" spans="1:7" x14ac:dyDescent="0.3">
      <c r="A300" s="9">
        <v>45973</v>
      </c>
      <c r="B300" s="7" t="s">
        <v>7815</v>
      </c>
      <c r="C300" s="3">
        <v>-3027.57</v>
      </c>
      <c r="D300" s="7" t="s">
        <v>7816</v>
      </c>
      <c r="E300" s="7" t="s">
        <v>7558</v>
      </c>
      <c r="G300" s="9"/>
    </row>
    <row r="301" spans="1:7" x14ac:dyDescent="0.3">
      <c r="A301" s="9">
        <v>46078</v>
      </c>
      <c r="B301" s="7" t="s">
        <v>7815</v>
      </c>
      <c r="C301" s="3">
        <v>-2281.8000000000002</v>
      </c>
      <c r="D301" s="7" t="s">
        <v>7816</v>
      </c>
      <c r="E301" s="7" t="s">
        <v>7749</v>
      </c>
      <c r="G301" s="9"/>
    </row>
    <row r="302" spans="1:7" x14ac:dyDescent="0.3">
      <c r="A302" s="9">
        <v>45991</v>
      </c>
      <c r="B302" s="7" t="s">
        <v>7813</v>
      </c>
      <c r="C302" s="3">
        <v>3053.59</v>
      </c>
      <c r="D302" s="7" t="s">
        <v>7814</v>
      </c>
      <c r="E302" s="7" t="s">
        <v>3675</v>
      </c>
      <c r="G302" s="9"/>
    </row>
    <row r="303" spans="1:7" x14ac:dyDescent="0.3">
      <c r="A303" s="9">
        <v>46001</v>
      </c>
      <c r="B303" s="7" t="s">
        <v>7813</v>
      </c>
      <c r="C303" s="3">
        <v>7638.98</v>
      </c>
      <c r="D303" s="7" t="s">
        <v>7814</v>
      </c>
      <c r="E303" s="7" t="s">
        <v>4306</v>
      </c>
      <c r="G303" s="9"/>
    </row>
    <row r="304" spans="1:7" x14ac:dyDescent="0.3">
      <c r="A304" s="9">
        <v>46001</v>
      </c>
      <c r="B304" s="7" t="s">
        <v>7813</v>
      </c>
      <c r="C304" s="3">
        <v>1149.1600000000001</v>
      </c>
      <c r="D304" s="7" t="s">
        <v>7814</v>
      </c>
      <c r="E304" s="7" t="s">
        <v>4523</v>
      </c>
      <c r="G304" s="9"/>
    </row>
    <row r="305" spans="1:7" x14ac:dyDescent="0.3">
      <c r="A305" s="9">
        <v>45990</v>
      </c>
      <c r="B305" s="7" t="s">
        <v>7813</v>
      </c>
      <c r="C305" s="3">
        <v>1356.08</v>
      </c>
      <c r="D305" s="7" t="s">
        <v>7814</v>
      </c>
      <c r="E305" s="7" t="s">
        <v>4613</v>
      </c>
      <c r="G305" s="9"/>
    </row>
    <row r="306" spans="1:7" x14ac:dyDescent="0.3">
      <c r="A306" s="9">
        <v>45977</v>
      </c>
      <c r="B306" s="7" t="s">
        <v>7815</v>
      </c>
      <c r="C306" s="3">
        <v>-5762.12</v>
      </c>
      <c r="D306" s="7" t="s">
        <v>7816</v>
      </c>
      <c r="E306" s="7" t="s">
        <v>7252</v>
      </c>
      <c r="G306" s="9"/>
    </row>
    <row r="307" spans="1:7" x14ac:dyDescent="0.3">
      <c r="A307" s="9">
        <v>45985</v>
      </c>
      <c r="B307" s="7" t="s">
        <v>7815</v>
      </c>
      <c r="C307" s="3">
        <v>-3889.25</v>
      </c>
      <c r="D307" s="7" t="s">
        <v>7816</v>
      </c>
      <c r="E307" s="7" t="s">
        <v>7363</v>
      </c>
      <c r="G307" s="9"/>
    </row>
    <row r="308" spans="1:7" x14ac:dyDescent="0.3">
      <c r="A308" s="9">
        <v>46007</v>
      </c>
      <c r="B308" s="7" t="s">
        <v>7815</v>
      </c>
      <c r="C308" s="3">
        <v>-2538.46</v>
      </c>
      <c r="D308" s="7" t="s">
        <v>7816</v>
      </c>
      <c r="E308" s="7" t="s">
        <v>7765</v>
      </c>
      <c r="G308" s="9"/>
    </row>
    <row r="309" spans="1:7" x14ac:dyDescent="0.3">
      <c r="A309" s="9">
        <v>46083</v>
      </c>
      <c r="B309" s="7" t="s">
        <v>7813</v>
      </c>
      <c r="C309" s="3">
        <v>3034.41</v>
      </c>
      <c r="D309" s="7" t="s">
        <v>7814</v>
      </c>
      <c r="E309" s="7" t="s">
        <v>3318</v>
      </c>
      <c r="G309" s="9"/>
    </row>
    <row r="310" spans="1:7" x14ac:dyDescent="0.3">
      <c r="A310" s="9">
        <v>46060</v>
      </c>
      <c r="B310" s="7" t="s">
        <v>7813</v>
      </c>
      <c r="C310" s="3">
        <v>2237.64</v>
      </c>
      <c r="D310" s="7" t="s">
        <v>7814</v>
      </c>
      <c r="E310" s="7" t="s">
        <v>3331</v>
      </c>
      <c r="G310" s="9"/>
    </row>
    <row r="311" spans="1:7" x14ac:dyDescent="0.3">
      <c r="A311" s="9">
        <v>46000</v>
      </c>
      <c r="B311" s="7" t="s">
        <v>7813</v>
      </c>
      <c r="C311" s="3">
        <v>3613.73</v>
      </c>
      <c r="D311" s="7" t="s">
        <v>7814</v>
      </c>
      <c r="E311" s="7" t="s">
        <v>4729</v>
      </c>
      <c r="G311" s="9"/>
    </row>
    <row r="312" spans="1:7" x14ac:dyDescent="0.3">
      <c r="A312" s="9">
        <v>46013</v>
      </c>
      <c r="B312" s="7" t="s">
        <v>7813</v>
      </c>
      <c r="C312" s="3">
        <v>14027.4</v>
      </c>
      <c r="D312" s="7" t="s">
        <v>7814</v>
      </c>
      <c r="E312" s="7" t="s">
        <v>4857</v>
      </c>
      <c r="G312" s="9"/>
    </row>
    <row r="313" spans="1:7" x14ac:dyDescent="0.3">
      <c r="A313" s="9">
        <v>45994</v>
      </c>
      <c r="B313" s="7" t="s">
        <v>7815</v>
      </c>
      <c r="C313" s="3">
        <v>-5905.4</v>
      </c>
      <c r="D313" s="7" t="s">
        <v>7816</v>
      </c>
      <c r="E313" s="7" t="s">
        <v>6999</v>
      </c>
      <c r="G313" s="9"/>
    </row>
    <row r="314" spans="1:7" x14ac:dyDescent="0.3">
      <c r="A314" s="9">
        <v>46046</v>
      </c>
      <c r="B314" s="7" t="s">
        <v>7813</v>
      </c>
      <c r="C314" s="3">
        <v>1636.89</v>
      </c>
      <c r="D314" s="7" t="s">
        <v>7814</v>
      </c>
      <c r="E314" s="7" t="s">
        <v>3404</v>
      </c>
      <c r="G314" s="9"/>
    </row>
    <row r="315" spans="1:7" x14ac:dyDescent="0.3">
      <c r="A315" s="9">
        <v>46043</v>
      </c>
      <c r="B315" s="7" t="s">
        <v>7813</v>
      </c>
      <c r="C315" s="3">
        <v>3406.88</v>
      </c>
      <c r="D315" s="7" t="s">
        <v>7814</v>
      </c>
      <c r="E315" s="7" t="s">
        <v>3462</v>
      </c>
      <c r="G315" s="9"/>
    </row>
    <row r="316" spans="1:7" x14ac:dyDescent="0.3">
      <c r="A316" s="9">
        <v>46006</v>
      </c>
      <c r="B316" s="7" t="s">
        <v>7813</v>
      </c>
      <c r="C316" s="3">
        <v>2866.82</v>
      </c>
      <c r="D316" s="7" t="s">
        <v>7814</v>
      </c>
      <c r="E316" s="7" t="s">
        <v>4273</v>
      </c>
      <c r="G316" s="9"/>
    </row>
    <row r="317" spans="1:7" x14ac:dyDescent="0.3">
      <c r="A317" s="9">
        <v>46075</v>
      </c>
      <c r="B317" s="7" t="s">
        <v>7813</v>
      </c>
      <c r="C317" s="3">
        <v>12383.48</v>
      </c>
      <c r="D317" s="7" t="s">
        <v>7814</v>
      </c>
      <c r="E317" s="7" t="s">
        <v>4901</v>
      </c>
      <c r="G317" s="9"/>
    </row>
    <row r="318" spans="1:7" x14ac:dyDescent="0.3">
      <c r="A318" s="9">
        <v>45989</v>
      </c>
      <c r="B318" s="7" t="s">
        <v>7815</v>
      </c>
      <c r="C318" s="3">
        <v>-2522.83</v>
      </c>
      <c r="D318" s="7" t="s">
        <v>7816</v>
      </c>
      <c r="E318" s="7" t="s">
        <v>7459</v>
      </c>
      <c r="G318" s="9"/>
    </row>
    <row r="319" spans="1:7" x14ac:dyDescent="0.3">
      <c r="A319" s="9">
        <v>46022</v>
      </c>
      <c r="B319" s="7" t="s">
        <v>7813</v>
      </c>
      <c r="C319" s="3">
        <v>2416.2600000000002</v>
      </c>
      <c r="D319" s="7" t="s">
        <v>7814</v>
      </c>
      <c r="E319" s="7" t="s">
        <v>3435</v>
      </c>
      <c r="G319" s="9"/>
    </row>
    <row r="320" spans="1:7" x14ac:dyDescent="0.3">
      <c r="A320" s="9">
        <v>45997</v>
      </c>
      <c r="B320" s="7" t="s">
        <v>7813</v>
      </c>
      <c r="C320" s="3">
        <v>4191.7700000000004</v>
      </c>
      <c r="D320" s="7" t="s">
        <v>7814</v>
      </c>
      <c r="E320" s="7" t="s">
        <v>3437</v>
      </c>
      <c r="G320" s="9"/>
    </row>
    <row r="321" spans="1:7" x14ac:dyDescent="0.3">
      <c r="A321" s="9">
        <v>46010</v>
      </c>
      <c r="B321" s="7" t="s">
        <v>7813</v>
      </c>
      <c r="C321" s="3">
        <v>2913.98</v>
      </c>
      <c r="D321" s="7" t="s">
        <v>7814</v>
      </c>
      <c r="E321" s="7" t="s">
        <v>3608</v>
      </c>
      <c r="G321" s="9"/>
    </row>
    <row r="322" spans="1:7" x14ac:dyDescent="0.3">
      <c r="A322" s="9">
        <v>45962</v>
      </c>
      <c r="B322" s="7" t="s">
        <v>7813</v>
      </c>
      <c r="C322" s="3">
        <v>2105.38</v>
      </c>
      <c r="D322" s="7" t="s">
        <v>7814</v>
      </c>
      <c r="E322" s="7" t="s">
        <v>3925</v>
      </c>
      <c r="G322" s="9"/>
    </row>
    <row r="323" spans="1:7" x14ac:dyDescent="0.3">
      <c r="A323" s="9">
        <v>46066</v>
      </c>
      <c r="B323" s="7" t="s">
        <v>7813</v>
      </c>
      <c r="C323" s="3">
        <v>2022.7</v>
      </c>
      <c r="D323" s="7" t="s">
        <v>7814</v>
      </c>
      <c r="E323" s="7" t="s">
        <v>4006</v>
      </c>
      <c r="G323" s="9"/>
    </row>
    <row r="324" spans="1:7" x14ac:dyDescent="0.3">
      <c r="A324" s="9">
        <v>46007</v>
      </c>
      <c r="B324" s="7" t="s">
        <v>7813</v>
      </c>
      <c r="C324" s="3">
        <v>4288.6899999999996</v>
      </c>
      <c r="D324" s="7" t="s">
        <v>7814</v>
      </c>
      <c r="E324" s="7" t="s">
        <v>4329</v>
      </c>
      <c r="G324" s="9"/>
    </row>
    <row r="325" spans="1:7" x14ac:dyDescent="0.3">
      <c r="A325" s="9">
        <v>45995</v>
      </c>
      <c r="B325" s="7" t="s">
        <v>7813</v>
      </c>
      <c r="C325" s="3">
        <v>2119.0100000000002</v>
      </c>
      <c r="D325" s="7" t="s">
        <v>7814</v>
      </c>
      <c r="E325" s="7" t="s">
        <v>4379</v>
      </c>
      <c r="G325" s="9"/>
    </row>
    <row r="326" spans="1:7" x14ac:dyDescent="0.3">
      <c r="A326" s="9">
        <v>46017</v>
      </c>
      <c r="B326" s="7" t="s">
        <v>7813</v>
      </c>
      <c r="C326" s="3">
        <v>1275.6300000000001</v>
      </c>
      <c r="D326" s="7" t="s">
        <v>7814</v>
      </c>
      <c r="E326" s="7" t="s">
        <v>4656</v>
      </c>
      <c r="G326" s="9"/>
    </row>
    <row r="327" spans="1:7" x14ac:dyDescent="0.3">
      <c r="A327" s="9">
        <v>46008</v>
      </c>
      <c r="B327" s="7" t="s">
        <v>7813</v>
      </c>
      <c r="C327" s="3">
        <v>3362.9</v>
      </c>
      <c r="D327" s="7" t="s">
        <v>7814</v>
      </c>
      <c r="E327" s="7" t="s">
        <v>4961</v>
      </c>
      <c r="G327" s="9"/>
    </row>
    <row r="328" spans="1:7" x14ac:dyDescent="0.3">
      <c r="A328" s="9">
        <v>45996</v>
      </c>
      <c r="B328" s="7" t="s">
        <v>7813</v>
      </c>
      <c r="C328" s="3">
        <v>1182.69</v>
      </c>
      <c r="D328" s="7" t="s">
        <v>7814</v>
      </c>
      <c r="E328" s="7" t="s">
        <v>5246</v>
      </c>
      <c r="G328" s="9"/>
    </row>
    <row r="329" spans="1:7" x14ac:dyDescent="0.3">
      <c r="A329" s="9">
        <v>46005</v>
      </c>
      <c r="B329" s="7" t="s">
        <v>7813</v>
      </c>
      <c r="C329" s="3">
        <v>2885.6</v>
      </c>
      <c r="D329" s="7" t="s">
        <v>7814</v>
      </c>
      <c r="E329" s="7" t="s">
        <v>5354</v>
      </c>
      <c r="G329" s="9"/>
    </row>
    <row r="330" spans="1:7" x14ac:dyDescent="0.3">
      <c r="A330" s="9">
        <v>45992</v>
      </c>
      <c r="B330" s="7" t="s">
        <v>7815</v>
      </c>
      <c r="C330" s="3">
        <v>-4536.6000000000004</v>
      </c>
      <c r="D330" s="7" t="s">
        <v>7816</v>
      </c>
      <c r="E330" s="7" t="s">
        <v>6909</v>
      </c>
      <c r="G330" s="9"/>
    </row>
    <row r="331" spans="1:7" x14ac:dyDescent="0.3">
      <c r="A331" s="9">
        <v>46078</v>
      </c>
      <c r="B331" s="7" t="s">
        <v>7815</v>
      </c>
      <c r="C331" s="3">
        <v>-3408.46</v>
      </c>
      <c r="D331" s="7" t="s">
        <v>7816</v>
      </c>
      <c r="E331" s="7" t="s">
        <v>7382</v>
      </c>
      <c r="G331" s="9"/>
    </row>
    <row r="332" spans="1:7" x14ac:dyDescent="0.3">
      <c r="A332" s="9">
        <v>46035</v>
      </c>
      <c r="B332" s="7" t="s">
        <v>7815</v>
      </c>
      <c r="C332" s="3">
        <v>-3406.35</v>
      </c>
      <c r="D332" s="7" t="s">
        <v>7816</v>
      </c>
      <c r="E332" s="7" t="s">
        <v>7560</v>
      </c>
      <c r="G332" s="9"/>
    </row>
    <row r="333" spans="1:7" x14ac:dyDescent="0.3">
      <c r="A333" s="9">
        <v>46074</v>
      </c>
      <c r="B333" s="7" t="s">
        <v>7813</v>
      </c>
      <c r="C333" s="3">
        <v>2851.38</v>
      </c>
      <c r="D333" s="7" t="s">
        <v>7814</v>
      </c>
      <c r="E333" s="7" t="s">
        <v>3213</v>
      </c>
      <c r="G333" s="9"/>
    </row>
    <row r="334" spans="1:7" x14ac:dyDescent="0.3">
      <c r="A334" s="9">
        <v>46021</v>
      </c>
      <c r="B334" s="7" t="s">
        <v>7813</v>
      </c>
      <c r="C334" s="3">
        <v>5947.96</v>
      </c>
      <c r="D334" s="7" t="s">
        <v>7814</v>
      </c>
      <c r="E334" s="7" t="s">
        <v>3606</v>
      </c>
      <c r="G334" s="9"/>
    </row>
    <row r="335" spans="1:7" x14ac:dyDescent="0.3">
      <c r="A335" s="9">
        <v>46070</v>
      </c>
      <c r="B335" s="7" t="s">
        <v>7813</v>
      </c>
      <c r="C335" s="3">
        <v>900.97</v>
      </c>
      <c r="D335" s="7" t="s">
        <v>7814</v>
      </c>
      <c r="E335" s="7" t="s">
        <v>4934</v>
      </c>
      <c r="G335" s="9"/>
    </row>
    <row r="336" spans="1:7" x14ac:dyDescent="0.3">
      <c r="A336" s="9">
        <v>46083</v>
      </c>
      <c r="B336" s="7" t="s">
        <v>7813</v>
      </c>
      <c r="C336" s="3">
        <v>3852.36</v>
      </c>
      <c r="D336" s="7" t="s">
        <v>7814</v>
      </c>
      <c r="E336" s="7" t="s">
        <v>5058</v>
      </c>
      <c r="G336" s="9"/>
    </row>
    <row r="337" spans="1:7" x14ac:dyDescent="0.3">
      <c r="A337" s="9">
        <v>45989</v>
      </c>
      <c r="B337" s="7" t="s">
        <v>7813</v>
      </c>
      <c r="C337" s="3">
        <v>2740.36</v>
      </c>
      <c r="D337" s="7" t="s">
        <v>7814</v>
      </c>
      <c r="E337" s="7" t="s">
        <v>3436</v>
      </c>
      <c r="G337" s="9"/>
    </row>
    <row r="338" spans="1:7" x14ac:dyDescent="0.3">
      <c r="A338" s="9">
        <v>46073</v>
      </c>
      <c r="B338" s="7" t="s">
        <v>7813</v>
      </c>
      <c r="C338" s="3">
        <v>2732.94</v>
      </c>
      <c r="D338" s="7" t="s">
        <v>7814</v>
      </c>
      <c r="E338" s="7" t="s">
        <v>3566</v>
      </c>
      <c r="G338" s="9"/>
    </row>
    <row r="339" spans="1:7" x14ac:dyDescent="0.3">
      <c r="A339" s="9">
        <v>46035</v>
      </c>
      <c r="B339" s="7" t="s">
        <v>7813</v>
      </c>
      <c r="C339" s="3">
        <v>1533.87</v>
      </c>
      <c r="D339" s="7" t="s">
        <v>7814</v>
      </c>
      <c r="E339" s="7" t="s">
        <v>3923</v>
      </c>
      <c r="G339" s="9"/>
    </row>
    <row r="340" spans="1:7" x14ac:dyDescent="0.3">
      <c r="A340" s="9">
        <v>46090</v>
      </c>
      <c r="B340" s="7" t="s">
        <v>7813</v>
      </c>
      <c r="C340" s="3">
        <v>11475.43</v>
      </c>
      <c r="D340" s="7" t="s">
        <v>7814</v>
      </c>
      <c r="E340" s="7" t="s">
        <v>4836</v>
      </c>
      <c r="G340" s="9"/>
    </row>
    <row r="341" spans="1:7" x14ac:dyDescent="0.3">
      <c r="A341" s="9">
        <v>46066</v>
      </c>
      <c r="B341" s="7" t="s">
        <v>7813</v>
      </c>
      <c r="C341" s="3">
        <v>2341.5700000000002</v>
      </c>
      <c r="D341" s="7" t="s">
        <v>7814</v>
      </c>
      <c r="E341" s="7" t="s">
        <v>4920</v>
      </c>
      <c r="G341" s="9"/>
    </row>
    <row r="342" spans="1:7" x14ac:dyDescent="0.3">
      <c r="A342" s="9">
        <v>46082</v>
      </c>
      <c r="B342" s="7" t="s">
        <v>7813</v>
      </c>
      <c r="C342" s="3">
        <v>4602.5600000000004</v>
      </c>
      <c r="D342" s="7" t="s">
        <v>7814</v>
      </c>
      <c r="E342" s="7" t="s">
        <v>5052</v>
      </c>
      <c r="G342" s="9"/>
    </row>
    <row r="343" spans="1:7" x14ac:dyDescent="0.3">
      <c r="A343" s="9">
        <v>46066</v>
      </c>
      <c r="B343" s="7" t="s">
        <v>7813</v>
      </c>
      <c r="C343" s="3">
        <v>1516.2</v>
      </c>
      <c r="D343" s="7" t="s">
        <v>7814</v>
      </c>
      <c r="E343" s="7" t="s">
        <v>5369</v>
      </c>
      <c r="G343" s="9"/>
    </row>
    <row r="344" spans="1:7" x14ac:dyDescent="0.3">
      <c r="A344" s="9">
        <v>46042</v>
      </c>
      <c r="B344" s="7" t="s">
        <v>7813</v>
      </c>
      <c r="C344" s="3">
        <v>764.04</v>
      </c>
      <c r="D344" s="7" t="s">
        <v>7814</v>
      </c>
      <c r="E344" s="7" t="s">
        <v>3233</v>
      </c>
      <c r="G344" s="9"/>
    </row>
    <row r="345" spans="1:7" x14ac:dyDescent="0.3">
      <c r="A345" s="9">
        <v>46001</v>
      </c>
      <c r="B345" s="7" t="s">
        <v>7813</v>
      </c>
      <c r="C345" s="3">
        <v>3489.52</v>
      </c>
      <c r="D345" s="7" t="s">
        <v>7814</v>
      </c>
      <c r="E345" s="7" t="s">
        <v>3412</v>
      </c>
      <c r="G345" s="9"/>
    </row>
    <row r="346" spans="1:7" x14ac:dyDescent="0.3">
      <c r="A346" s="9">
        <v>46071</v>
      </c>
      <c r="B346" s="7" t="s">
        <v>7813</v>
      </c>
      <c r="C346" s="3">
        <v>1724.18</v>
      </c>
      <c r="D346" s="7" t="s">
        <v>7814</v>
      </c>
      <c r="E346" s="7" t="s">
        <v>4333</v>
      </c>
      <c r="G346" s="9"/>
    </row>
    <row r="347" spans="1:7" x14ac:dyDescent="0.3">
      <c r="A347" s="9">
        <v>46048</v>
      </c>
      <c r="B347" s="7" t="s">
        <v>7813</v>
      </c>
      <c r="C347" s="3">
        <v>907.95</v>
      </c>
      <c r="D347" s="7" t="s">
        <v>7814</v>
      </c>
      <c r="E347" s="7" t="s">
        <v>4524</v>
      </c>
      <c r="G347" s="9"/>
    </row>
    <row r="348" spans="1:7" x14ac:dyDescent="0.3">
      <c r="A348" s="9">
        <v>46007</v>
      </c>
      <c r="B348" s="7" t="s">
        <v>7813</v>
      </c>
      <c r="C348" s="3">
        <v>10534.71</v>
      </c>
      <c r="D348" s="7" t="s">
        <v>7814</v>
      </c>
      <c r="E348" s="7" t="s">
        <v>4685</v>
      </c>
      <c r="G348" s="9"/>
    </row>
    <row r="349" spans="1:7" x14ac:dyDescent="0.3">
      <c r="A349" s="9">
        <v>46066</v>
      </c>
      <c r="B349" s="7" t="s">
        <v>7813</v>
      </c>
      <c r="C349" s="3">
        <v>14021.65</v>
      </c>
      <c r="D349" s="7" t="s">
        <v>7814</v>
      </c>
      <c r="E349" s="7" t="s">
        <v>5097</v>
      </c>
      <c r="G349" s="9"/>
    </row>
    <row r="350" spans="1:7" x14ac:dyDescent="0.3">
      <c r="A350" s="9">
        <v>46064</v>
      </c>
      <c r="B350" s="7" t="s">
        <v>7813</v>
      </c>
      <c r="C350" s="3">
        <v>13363.5</v>
      </c>
      <c r="D350" s="7" t="s">
        <v>7814</v>
      </c>
      <c r="E350" s="7" t="s">
        <v>5291</v>
      </c>
      <c r="G350" s="9"/>
    </row>
    <row r="351" spans="1:7" x14ac:dyDescent="0.3">
      <c r="A351" s="9">
        <v>45983</v>
      </c>
      <c r="B351" s="7" t="s">
        <v>7813</v>
      </c>
      <c r="C351" s="3">
        <v>1920.58</v>
      </c>
      <c r="D351" s="7" t="s">
        <v>7814</v>
      </c>
      <c r="E351" s="7" t="s">
        <v>3639</v>
      </c>
      <c r="G351" s="9"/>
    </row>
    <row r="352" spans="1:7" x14ac:dyDescent="0.3">
      <c r="A352" s="9">
        <v>46055</v>
      </c>
      <c r="B352" s="7" t="s">
        <v>7813</v>
      </c>
      <c r="C352" s="3">
        <v>1824.54</v>
      </c>
      <c r="D352" s="7" t="s">
        <v>7814</v>
      </c>
      <c r="E352" s="7" t="s">
        <v>4361</v>
      </c>
      <c r="G352" s="9"/>
    </row>
    <row r="353" spans="1:7" x14ac:dyDescent="0.3">
      <c r="A353" s="9">
        <v>46084</v>
      </c>
      <c r="B353" s="7" t="s">
        <v>7813</v>
      </c>
      <c r="C353" s="3">
        <v>2115.69</v>
      </c>
      <c r="D353" s="7" t="s">
        <v>7814</v>
      </c>
      <c r="E353" s="7" t="s">
        <v>4530</v>
      </c>
      <c r="G353" s="9"/>
    </row>
    <row r="354" spans="1:7" x14ac:dyDescent="0.3">
      <c r="A354" s="9">
        <v>46043</v>
      </c>
      <c r="B354" s="7" t="s">
        <v>7813</v>
      </c>
      <c r="C354" s="3">
        <v>5039.88</v>
      </c>
      <c r="D354" s="7" t="s">
        <v>7814</v>
      </c>
      <c r="E354" s="7" t="s">
        <v>4985</v>
      </c>
      <c r="G354" s="9"/>
    </row>
    <row r="355" spans="1:7" x14ac:dyDescent="0.3">
      <c r="A355" s="9">
        <v>46050</v>
      </c>
      <c r="B355" s="7" t="s">
        <v>7813</v>
      </c>
      <c r="C355" s="3">
        <v>2533.64</v>
      </c>
      <c r="D355" s="7" t="s">
        <v>7814</v>
      </c>
      <c r="E355" s="7" t="s">
        <v>5322</v>
      </c>
      <c r="G355" s="9"/>
    </row>
    <row r="356" spans="1:7" x14ac:dyDescent="0.3">
      <c r="A356" s="9">
        <v>45968</v>
      </c>
      <c r="B356" s="7" t="s">
        <v>7815</v>
      </c>
      <c r="C356" s="3">
        <v>-965.24</v>
      </c>
      <c r="D356" s="7" t="s">
        <v>7816</v>
      </c>
      <c r="E356" s="7" t="s">
        <v>7067</v>
      </c>
      <c r="G356" s="9"/>
    </row>
    <row r="357" spans="1:7" x14ac:dyDescent="0.3">
      <c r="A357" s="9">
        <v>46034</v>
      </c>
      <c r="B357" s="7" t="s">
        <v>7815</v>
      </c>
      <c r="C357" s="3">
        <v>-2038.74</v>
      </c>
      <c r="D357" s="7" t="s">
        <v>7816</v>
      </c>
      <c r="E357" s="7" t="s">
        <v>7757</v>
      </c>
      <c r="G357" s="9"/>
    </row>
    <row r="358" spans="1:7" x14ac:dyDescent="0.3">
      <c r="A358" s="9">
        <v>45974</v>
      </c>
      <c r="B358" s="7" t="s">
        <v>7813</v>
      </c>
      <c r="C358" s="3">
        <v>1039.54</v>
      </c>
      <c r="D358" s="7" t="s">
        <v>7814</v>
      </c>
      <c r="E358" s="7" t="s">
        <v>3835</v>
      </c>
      <c r="G358" s="9"/>
    </row>
    <row r="359" spans="1:7" x14ac:dyDescent="0.3">
      <c r="A359" s="9">
        <v>46065</v>
      </c>
      <c r="B359" s="7" t="s">
        <v>7813</v>
      </c>
      <c r="C359" s="3">
        <v>13442.46</v>
      </c>
      <c r="D359" s="7" t="s">
        <v>7814</v>
      </c>
      <c r="E359" s="7" t="s">
        <v>4559</v>
      </c>
      <c r="G359" s="9"/>
    </row>
    <row r="360" spans="1:7" x14ac:dyDescent="0.3">
      <c r="A360" s="9">
        <v>46042</v>
      </c>
      <c r="B360" s="7" t="s">
        <v>7813</v>
      </c>
      <c r="C360" s="3">
        <v>2131.08</v>
      </c>
      <c r="D360" s="7" t="s">
        <v>7814</v>
      </c>
      <c r="E360" s="7" t="s">
        <v>4863</v>
      </c>
      <c r="G360" s="9"/>
    </row>
    <row r="361" spans="1:7" x14ac:dyDescent="0.3">
      <c r="A361" s="9">
        <v>46006</v>
      </c>
      <c r="B361" s="7" t="s">
        <v>7815</v>
      </c>
      <c r="C361" s="3">
        <v>-956.69</v>
      </c>
      <c r="D361" s="7" t="s">
        <v>7816</v>
      </c>
      <c r="E361" s="7" t="s">
        <v>7040</v>
      </c>
      <c r="G361" s="9"/>
    </row>
    <row r="362" spans="1:7" x14ac:dyDescent="0.3">
      <c r="A362" s="9">
        <v>45970</v>
      </c>
      <c r="B362" s="7" t="s">
        <v>7813</v>
      </c>
      <c r="C362" s="3">
        <v>1809.71</v>
      </c>
      <c r="D362" s="7" t="s">
        <v>7814</v>
      </c>
      <c r="E362" s="7" t="s">
        <v>4163</v>
      </c>
      <c r="G362" s="9"/>
    </row>
    <row r="363" spans="1:7" x14ac:dyDescent="0.3">
      <c r="A363" s="9">
        <v>45962</v>
      </c>
      <c r="B363" s="7" t="s">
        <v>7813</v>
      </c>
      <c r="C363" s="3">
        <v>2114.6799999999998</v>
      </c>
      <c r="D363" s="7" t="s">
        <v>7814</v>
      </c>
      <c r="E363" s="7" t="s">
        <v>4457</v>
      </c>
      <c r="G363" s="9"/>
    </row>
    <row r="364" spans="1:7" x14ac:dyDescent="0.3">
      <c r="A364" s="9">
        <v>46041</v>
      </c>
      <c r="B364" s="7" t="s">
        <v>7815</v>
      </c>
      <c r="C364" s="3">
        <v>-5719.4</v>
      </c>
      <c r="D364" s="7" t="s">
        <v>7816</v>
      </c>
      <c r="E364" s="7" t="s">
        <v>6889</v>
      </c>
      <c r="G364" s="9"/>
    </row>
    <row r="365" spans="1:7" x14ac:dyDescent="0.3">
      <c r="A365" s="9">
        <v>45981</v>
      </c>
      <c r="B365" s="7" t="s">
        <v>7815</v>
      </c>
      <c r="C365" s="3">
        <v>-4523.07</v>
      </c>
      <c r="D365" s="7" t="s">
        <v>7816</v>
      </c>
      <c r="E365" s="7" t="s">
        <v>7504</v>
      </c>
      <c r="G365" s="9"/>
    </row>
    <row r="366" spans="1:7" x14ac:dyDescent="0.3">
      <c r="A366" s="9">
        <v>46024</v>
      </c>
      <c r="B366" s="7" t="s">
        <v>7815</v>
      </c>
      <c r="C366" s="3">
        <v>-5590.16</v>
      </c>
      <c r="D366" s="7" t="s">
        <v>7816</v>
      </c>
      <c r="E366" s="7" t="s">
        <v>7516</v>
      </c>
      <c r="G366" s="9"/>
    </row>
    <row r="367" spans="1:7" x14ac:dyDescent="0.3">
      <c r="A367" s="9">
        <v>46035</v>
      </c>
      <c r="B367" s="7" t="s">
        <v>7813</v>
      </c>
      <c r="C367" s="3">
        <v>3712.17</v>
      </c>
      <c r="D367" s="7" t="s">
        <v>7814</v>
      </c>
      <c r="E367" s="7" t="s">
        <v>4356</v>
      </c>
      <c r="G367" s="9"/>
    </row>
    <row r="368" spans="1:7" x14ac:dyDescent="0.3">
      <c r="A368" s="9">
        <v>45998</v>
      </c>
      <c r="B368" s="7" t="s">
        <v>7813</v>
      </c>
      <c r="C368" s="3">
        <v>11814.51</v>
      </c>
      <c r="D368" s="7" t="s">
        <v>7814</v>
      </c>
      <c r="E368" s="7" t="s">
        <v>4458</v>
      </c>
      <c r="G368" s="9"/>
    </row>
    <row r="369" spans="1:7" x14ac:dyDescent="0.3">
      <c r="A369" s="9">
        <v>46049</v>
      </c>
      <c r="B369" s="7" t="s">
        <v>7813</v>
      </c>
      <c r="C369" s="3">
        <v>10018.709999999999</v>
      </c>
      <c r="D369" s="7" t="s">
        <v>7814</v>
      </c>
      <c r="E369" s="7" t="s">
        <v>4627</v>
      </c>
      <c r="G369" s="9"/>
    </row>
    <row r="370" spans="1:7" x14ac:dyDescent="0.3">
      <c r="A370" s="9">
        <v>46009</v>
      </c>
      <c r="B370" s="7" t="s">
        <v>7813</v>
      </c>
      <c r="C370" s="3">
        <v>5695.61</v>
      </c>
      <c r="D370" s="7" t="s">
        <v>7814</v>
      </c>
      <c r="E370" s="7" t="s">
        <v>4786</v>
      </c>
      <c r="G370" s="9"/>
    </row>
    <row r="371" spans="1:7" x14ac:dyDescent="0.3">
      <c r="A371" s="9">
        <v>45978</v>
      </c>
      <c r="B371" s="7" t="s">
        <v>7815</v>
      </c>
      <c r="C371" s="3">
        <v>-4242.83</v>
      </c>
      <c r="D371" s="7" t="s">
        <v>7816</v>
      </c>
      <c r="E371" s="7" t="s">
        <v>6934</v>
      </c>
      <c r="G371" s="9"/>
    </row>
    <row r="372" spans="1:7" x14ac:dyDescent="0.3">
      <c r="A372" s="9">
        <v>45983</v>
      </c>
      <c r="B372" s="7" t="s">
        <v>7813</v>
      </c>
      <c r="C372" s="3">
        <v>2256.66</v>
      </c>
      <c r="D372" s="7" t="s">
        <v>7814</v>
      </c>
      <c r="E372" s="7" t="s">
        <v>3623</v>
      </c>
      <c r="G372" s="9"/>
    </row>
    <row r="373" spans="1:7" x14ac:dyDescent="0.3">
      <c r="A373" s="9">
        <v>46084</v>
      </c>
      <c r="B373" s="7" t="s">
        <v>7813</v>
      </c>
      <c r="C373" s="3">
        <v>5820.17</v>
      </c>
      <c r="D373" s="7" t="s">
        <v>7814</v>
      </c>
      <c r="E373" s="7" t="s">
        <v>3811</v>
      </c>
      <c r="G373" s="9"/>
    </row>
    <row r="374" spans="1:7" x14ac:dyDescent="0.3">
      <c r="A374" s="9">
        <v>45962</v>
      </c>
      <c r="B374" s="7" t="s">
        <v>7813</v>
      </c>
      <c r="C374" s="3">
        <v>3412.26</v>
      </c>
      <c r="D374" s="7" t="s">
        <v>7814</v>
      </c>
      <c r="E374" s="7" t="s">
        <v>3879</v>
      </c>
      <c r="G374" s="9"/>
    </row>
    <row r="375" spans="1:7" x14ac:dyDescent="0.3">
      <c r="A375" s="9">
        <v>46007</v>
      </c>
      <c r="B375" s="7" t="s">
        <v>7813</v>
      </c>
      <c r="C375" s="3">
        <v>3605.36</v>
      </c>
      <c r="D375" s="7" t="s">
        <v>7814</v>
      </c>
      <c r="E375" s="7" t="s">
        <v>3920</v>
      </c>
      <c r="G375" s="9"/>
    </row>
    <row r="376" spans="1:7" x14ac:dyDescent="0.3">
      <c r="A376" s="9">
        <v>46087</v>
      </c>
      <c r="B376" s="7" t="s">
        <v>7813</v>
      </c>
      <c r="C376" s="3">
        <v>1821.91</v>
      </c>
      <c r="D376" s="7" t="s">
        <v>7814</v>
      </c>
      <c r="E376" s="7" t="s">
        <v>4247</v>
      </c>
      <c r="G376" s="9"/>
    </row>
    <row r="377" spans="1:7" x14ac:dyDescent="0.3">
      <c r="A377" s="9">
        <v>46053</v>
      </c>
      <c r="B377" s="7" t="s">
        <v>7813</v>
      </c>
      <c r="C377" s="3">
        <v>3219.25</v>
      </c>
      <c r="D377" s="7" t="s">
        <v>7814</v>
      </c>
      <c r="E377" s="7" t="s">
        <v>5284</v>
      </c>
      <c r="G377" s="9"/>
    </row>
    <row r="378" spans="1:7" x14ac:dyDescent="0.3">
      <c r="A378" s="9">
        <v>46000</v>
      </c>
      <c r="B378" s="7" t="s">
        <v>7813</v>
      </c>
      <c r="C378" s="3">
        <v>9814.83</v>
      </c>
      <c r="D378" s="7" t="s">
        <v>7814</v>
      </c>
      <c r="E378" s="7" t="s">
        <v>5304</v>
      </c>
      <c r="G378" s="9"/>
    </row>
    <row r="379" spans="1:7" x14ac:dyDescent="0.3">
      <c r="A379" s="9">
        <v>46029</v>
      </c>
      <c r="B379" s="7" t="s">
        <v>7815</v>
      </c>
      <c r="C379" s="3">
        <v>-1070.3900000000001</v>
      </c>
      <c r="D379" s="7" t="s">
        <v>7816</v>
      </c>
      <c r="E379" s="7" t="s">
        <v>6919</v>
      </c>
      <c r="G379" s="9"/>
    </row>
    <row r="380" spans="1:7" x14ac:dyDescent="0.3">
      <c r="A380" s="9">
        <v>46046</v>
      </c>
      <c r="B380" s="7" t="s">
        <v>7815</v>
      </c>
      <c r="C380" s="3">
        <v>-2330.0500000000002</v>
      </c>
      <c r="D380" s="7" t="s">
        <v>7816</v>
      </c>
      <c r="E380" s="7" t="s">
        <v>7007</v>
      </c>
      <c r="G380" s="9"/>
    </row>
    <row r="381" spans="1:7" x14ac:dyDescent="0.3">
      <c r="A381" s="9">
        <v>46064</v>
      </c>
      <c r="B381" s="7" t="s">
        <v>7815</v>
      </c>
      <c r="C381" s="3">
        <v>-3485.43</v>
      </c>
      <c r="D381" s="7" t="s">
        <v>7816</v>
      </c>
      <c r="E381" s="7" t="s">
        <v>7446</v>
      </c>
      <c r="G381" s="9"/>
    </row>
    <row r="382" spans="1:7" x14ac:dyDescent="0.3">
      <c r="A382" s="9">
        <v>46051</v>
      </c>
      <c r="B382" s="7" t="s">
        <v>7813</v>
      </c>
      <c r="C382" s="3">
        <v>9952.76</v>
      </c>
      <c r="D382" s="7" t="s">
        <v>7814</v>
      </c>
      <c r="E382" s="7" t="s">
        <v>3264</v>
      </c>
      <c r="G382" s="9"/>
    </row>
    <row r="383" spans="1:7" x14ac:dyDescent="0.3">
      <c r="A383" s="9">
        <v>45991</v>
      </c>
      <c r="B383" s="7" t="s">
        <v>7813</v>
      </c>
      <c r="C383" s="3">
        <v>2407.96</v>
      </c>
      <c r="D383" s="7" t="s">
        <v>7814</v>
      </c>
      <c r="E383" s="7" t="s">
        <v>3319</v>
      </c>
      <c r="G383" s="9"/>
    </row>
    <row r="384" spans="1:7" x14ac:dyDescent="0.3">
      <c r="A384" s="9">
        <v>46088</v>
      </c>
      <c r="B384" s="7" t="s">
        <v>7813</v>
      </c>
      <c r="C384" s="3">
        <v>2430.33</v>
      </c>
      <c r="D384" s="7" t="s">
        <v>7814</v>
      </c>
      <c r="E384" s="7" t="s">
        <v>3735</v>
      </c>
      <c r="G384" s="9"/>
    </row>
    <row r="385" spans="1:7" x14ac:dyDescent="0.3">
      <c r="A385" s="9">
        <v>45972</v>
      </c>
      <c r="B385" s="7" t="s">
        <v>7813</v>
      </c>
      <c r="C385" s="3">
        <v>2539.88</v>
      </c>
      <c r="D385" s="7" t="s">
        <v>7814</v>
      </c>
      <c r="E385" s="7" t="s">
        <v>4158</v>
      </c>
      <c r="G385" s="9"/>
    </row>
    <row r="386" spans="1:7" x14ac:dyDescent="0.3">
      <c r="A386" s="9">
        <v>46020</v>
      </c>
      <c r="B386" s="7" t="s">
        <v>7813</v>
      </c>
      <c r="C386" s="3">
        <v>2407.02</v>
      </c>
      <c r="D386" s="7" t="s">
        <v>7814</v>
      </c>
      <c r="E386" s="7" t="s">
        <v>4279</v>
      </c>
      <c r="G386" s="9"/>
    </row>
    <row r="387" spans="1:7" x14ac:dyDescent="0.3">
      <c r="A387" s="9">
        <v>46058</v>
      </c>
      <c r="B387" s="7" t="s">
        <v>7813</v>
      </c>
      <c r="C387" s="3">
        <v>2147.71</v>
      </c>
      <c r="D387" s="7" t="s">
        <v>7814</v>
      </c>
      <c r="E387" s="7" t="s">
        <v>4607</v>
      </c>
      <c r="G387" s="9"/>
    </row>
    <row r="388" spans="1:7" x14ac:dyDescent="0.3">
      <c r="A388" s="9">
        <v>46026</v>
      </c>
      <c r="B388" s="7" t="s">
        <v>7815</v>
      </c>
      <c r="C388" s="3">
        <v>-5243.05</v>
      </c>
      <c r="D388" s="7" t="s">
        <v>7816</v>
      </c>
      <c r="E388" s="7" t="s">
        <v>7307</v>
      </c>
      <c r="G388" s="9"/>
    </row>
    <row r="389" spans="1:7" x14ac:dyDescent="0.3">
      <c r="A389" s="9">
        <v>46051</v>
      </c>
      <c r="B389" s="7" t="s">
        <v>7813</v>
      </c>
      <c r="C389" s="3">
        <v>3993.24</v>
      </c>
      <c r="D389" s="7" t="s">
        <v>7814</v>
      </c>
      <c r="E389" s="7" t="s">
        <v>4332</v>
      </c>
      <c r="G389" s="9"/>
    </row>
    <row r="390" spans="1:7" x14ac:dyDescent="0.3">
      <c r="A390" s="9">
        <v>46050</v>
      </c>
      <c r="B390" s="7" t="s">
        <v>7813</v>
      </c>
      <c r="C390" s="3">
        <v>10502</v>
      </c>
      <c r="D390" s="7" t="s">
        <v>7814</v>
      </c>
      <c r="E390" s="7" t="s">
        <v>4784</v>
      </c>
      <c r="G390" s="9"/>
    </row>
    <row r="391" spans="1:7" x14ac:dyDescent="0.3">
      <c r="A391" s="9">
        <v>45963</v>
      </c>
      <c r="B391" s="7" t="s">
        <v>7813</v>
      </c>
      <c r="C391" s="3">
        <v>3008.33</v>
      </c>
      <c r="D391" s="7" t="s">
        <v>7814</v>
      </c>
      <c r="E391" s="7" t="s">
        <v>4904</v>
      </c>
      <c r="G391" s="9"/>
    </row>
    <row r="392" spans="1:7" x14ac:dyDescent="0.3">
      <c r="A392" s="9">
        <v>46066</v>
      </c>
      <c r="B392" s="7" t="s">
        <v>7815</v>
      </c>
      <c r="C392" s="3">
        <v>-6409.13</v>
      </c>
      <c r="D392" s="7" t="s">
        <v>7816</v>
      </c>
      <c r="E392" s="7" t="s">
        <v>7731</v>
      </c>
      <c r="G392" s="9"/>
    </row>
    <row r="393" spans="1:7" x14ac:dyDescent="0.3">
      <c r="A393" s="9">
        <v>46088</v>
      </c>
      <c r="B393" s="7" t="s">
        <v>7813</v>
      </c>
      <c r="C393" s="3">
        <v>10713.15</v>
      </c>
      <c r="D393" s="7" t="s">
        <v>7814</v>
      </c>
      <c r="E393" s="7" t="s">
        <v>4291</v>
      </c>
      <c r="G393" s="9"/>
    </row>
    <row r="394" spans="1:7" x14ac:dyDescent="0.3">
      <c r="A394" s="9">
        <v>46068</v>
      </c>
      <c r="B394" s="7" t="s">
        <v>7813</v>
      </c>
      <c r="C394" s="3">
        <v>2065.98</v>
      </c>
      <c r="D394" s="7" t="s">
        <v>7814</v>
      </c>
      <c r="E394" s="7" t="s">
        <v>4508</v>
      </c>
      <c r="G394" s="9"/>
    </row>
    <row r="395" spans="1:7" x14ac:dyDescent="0.3">
      <c r="A395" s="9">
        <v>46036</v>
      </c>
      <c r="B395" s="7" t="s">
        <v>7813</v>
      </c>
      <c r="C395" s="3">
        <v>926.14</v>
      </c>
      <c r="D395" s="7" t="s">
        <v>7814</v>
      </c>
      <c r="E395" s="7" t="s">
        <v>4614</v>
      </c>
      <c r="G395" s="9"/>
    </row>
    <row r="396" spans="1:7" x14ac:dyDescent="0.3">
      <c r="A396" s="9">
        <v>46079</v>
      </c>
      <c r="B396" s="7" t="s">
        <v>7813</v>
      </c>
      <c r="C396" s="3">
        <v>3217.52</v>
      </c>
      <c r="D396" s="7" t="s">
        <v>7814</v>
      </c>
      <c r="E396" s="7" t="s">
        <v>4868</v>
      </c>
      <c r="G396" s="9"/>
    </row>
    <row r="397" spans="1:7" x14ac:dyDescent="0.3">
      <c r="A397" s="9">
        <v>46085</v>
      </c>
      <c r="B397" s="7" t="s">
        <v>7813</v>
      </c>
      <c r="C397" s="3">
        <v>2491.9299999999998</v>
      </c>
      <c r="D397" s="7" t="s">
        <v>7814</v>
      </c>
      <c r="E397" s="7" t="s">
        <v>4880</v>
      </c>
      <c r="G397" s="9"/>
    </row>
    <row r="398" spans="1:7" x14ac:dyDescent="0.3">
      <c r="A398" s="9">
        <v>46007</v>
      </c>
      <c r="B398" s="7" t="s">
        <v>7813</v>
      </c>
      <c r="C398" s="3">
        <v>3325.03</v>
      </c>
      <c r="D398" s="7" t="s">
        <v>7814</v>
      </c>
      <c r="E398" s="7" t="s">
        <v>5160</v>
      </c>
      <c r="G398" s="9"/>
    </row>
    <row r="399" spans="1:7" x14ac:dyDescent="0.3">
      <c r="A399" s="9">
        <v>46053</v>
      </c>
      <c r="B399" s="7" t="s">
        <v>7815</v>
      </c>
      <c r="C399" s="3">
        <v>-6946.1</v>
      </c>
      <c r="D399" s="7" t="s">
        <v>7816</v>
      </c>
      <c r="E399" s="7" t="s">
        <v>7051</v>
      </c>
      <c r="G399" s="9"/>
    </row>
    <row r="400" spans="1:7" x14ac:dyDescent="0.3">
      <c r="A400" s="9">
        <v>46041</v>
      </c>
      <c r="B400" s="7" t="s">
        <v>7815</v>
      </c>
      <c r="C400" s="3">
        <v>-2157.9499999999998</v>
      </c>
      <c r="D400" s="7" t="s">
        <v>7816</v>
      </c>
      <c r="E400" s="7" t="s">
        <v>7119</v>
      </c>
      <c r="G400" s="9"/>
    </row>
    <row r="401" spans="1:7" x14ac:dyDescent="0.3">
      <c r="A401" s="9">
        <v>46088</v>
      </c>
      <c r="B401" s="7" t="s">
        <v>7815</v>
      </c>
      <c r="C401" s="3">
        <v>-1038.33</v>
      </c>
      <c r="D401" s="7" t="s">
        <v>7816</v>
      </c>
      <c r="E401" s="7" t="s">
        <v>7186</v>
      </c>
      <c r="G401" s="9"/>
    </row>
    <row r="402" spans="1:7" x14ac:dyDescent="0.3">
      <c r="A402" s="9">
        <v>46087</v>
      </c>
      <c r="B402" s="7" t="s">
        <v>7815</v>
      </c>
      <c r="C402" s="3">
        <v>-4111.95</v>
      </c>
      <c r="D402" s="7" t="s">
        <v>7816</v>
      </c>
      <c r="E402" s="7" t="s">
        <v>7462</v>
      </c>
      <c r="G402" s="9"/>
    </row>
    <row r="403" spans="1:7" x14ac:dyDescent="0.3">
      <c r="A403" s="9">
        <v>46031</v>
      </c>
      <c r="B403" s="7" t="s">
        <v>7815</v>
      </c>
      <c r="C403" s="3">
        <v>-2932.92</v>
      </c>
      <c r="D403" s="7" t="s">
        <v>7816</v>
      </c>
      <c r="E403" s="7" t="s">
        <v>7754</v>
      </c>
      <c r="G403" s="9"/>
    </row>
    <row r="404" spans="1:7" x14ac:dyDescent="0.3">
      <c r="A404" s="9">
        <v>46034</v>
      </c>
      <c r="B404" s="7" t="s">
        <v>7813</v>
      </c>
      <c r="C404" s="3">
        <v>12830.29</v>
      </c>
      <c r="D404" s="7" t="s">
        <v>7814</v>
      </c>
      <c r="E404" s="7" t="s">
        <v>3495</v>
      </c>
      <c r="G404" s="9"/>
    </row>
    <row r="405" spans="1:7" x14ac:dyDescent="0.3">
      <c r="A405" s="9">
        <v>46037</v>
      </c>
      <c r="B405" s="7" t="s">
        <v>7813</v>
      </c>
      <c r="C405" s="3">
        <v>1446.41</v>
      </c>
      <c r="D405" s="7" t="s">
        <v>7814</v>
      </c>
      <c r="E405" s="7" t="s">
        <v>3664</v>
      </c>
      <c r="G405" s="9"/>
    </row>
    <row r="406" spans="1:7" x14ac:dyDescent="0.3">
      <c r="A406" s="9">
        <v>46052</v>
      </c>
      <c r="B406" s="7" t="s">
        <v>7813</v>
      </c>
      <c r="C406" s="3">
        <v>1303.1500000000001</v>
      </c>
      <c r="D406" s="7" t="s">
        <v>7814</v>
      </c>
      <c r="E406" s="7" t="s">
        <v>4334</v>
      </c>
      <c r="G406" s="9"/>
    </row>
    <row r="407" spans="1:7" x14ac:dyDescent="0.3">
      <c r="A407" s="9">
        <v>46067</v>
      </c>
      <c r="B407" s="7" t="s">
        <v>7813</v>
      </c>
      <c r="C407" s="3">
        <v>1027.99</v>
      </c>
      <c r="D407" s="7" t="s">
        <v>7814</v>
      </c>
      <c r="E407" s="7" t="s">
        <v>4407</v>
      </c>
      <c r="G407" s="9"/>
    </row>
    <row r="408" spans="1:7" x14ac:dyDescent="0.3">
      <c r="A408" s="9">
        <v>45994</v>
      </c>
      <c r="B408" s="7" t="s">
        <v>7813</v>
      </c>
      <c r="C408" s="3">
        <v>11477.31</v>
      </c>
      <c r="D408" s="7" t="s">
        <v>7814</v>
      </c>
      <c r="E408" s="7" t="s">
        <v>4444</v>
      </c>
      <c r="G408" s="9"/>
    </row>
    <row r="409" spans="1:7" x14ac:dyDescent="0.3">
      <c r="A409" s="9">
        <v>46027</v>
      </c>
      <c r="B409" s="7" t="s">
        <v>7815</v>
      </c>
      <c r="C409" s="3">
        <v>-1392.04</v>
      </c>
      <c r="D409" s="7" t="s">
        <v>7816</v>
      </c>
      <c r="E409" s="7" t="s">
        <v>6941</v>
      </c>
      <c r="G409" s="9"/>
    </row>
    <row r="410" spans="1:7" x14ac:dyDescent="0.3">
      <c r="A410" s="9">
        <v>46026</v>
      </c>
      <c r="B410" s="7" t="s">
        <v>7815</v>
      </c>
      <c r="C410" s="3">
        <v>-897.2</v>
      </c>
      <c r="D410" s="7" t="s">
        <v>7816</v>
      </c>
      <c r="E410" s="7" t="s">
        <v>7729</v>
      </c>
      <c r="G410" s="9"/>
    </row>
    <row r="411" spans="1:7" x14ac:dyDescent="0.3">
      <c r="A411" s="9">
        <v>46048</v>
      </c>
      <c r="B411" s="7" t="s">
        <v>7815</v>
      </c>
      <c r="C411" s="3">
        <v>-4876.71</v>
      </c>
      <c r="D411" s="7" t="s">
        <v>7816</v>
      </c>
      <c r="E411" s="7" t="s">
        <v>7793</v>
      </c>
      <c r="G411" s="9"/>
    </row>
    <row r="412" spans="1:7" x14ac:dyDescent="0.3">
      <c r="A412" s="9">
        <v>46051</v>
      </c>
      <c r="B412" s="7" t="s">
        <v>7813</v>
      </c>
      <c r="C412" s="3">
        <v>2926.88</v>
      </c>
      <c r="D412" s="7" t="s">
        <v>7814</v>
      </c>
      <c r="E412" s="7" t="s">
        <v>3526</v>
      </c>
      <c r="G412" s="9"/>
    </row>
    <row r="413" spans="1:7" x14ac:dyDescent="0.3">
      <c r="A413" s="9">
        <v>45984</v>
      </c>
      <c r="B413" s="7" t="s">
        <v>7813</v>
      </c>
      <c r="C413" s="3">
        <v>2486.9699999999998</v>
      </c>
      <c r="D413" s="7" t="s">
        <v>7814</v>
      </c>
      <c r="E413" s="7" t="s">
        <v>3779</v>
      </c>
      <c r="G413" s="9"/>
    </row>
    <row r="414" spans="1:7" x14ac:dyDescent="0.3">
      <c r="A414" s="9">
        <v>46080</v>
      </c>
      <c r="B414" s="7" t="s">
        <v>7815</v>
      </c>
      <c r="C414" s="3">
        <v>-6647.09</v>
      </c>
      <c r="D414" s="7" t="s">
        <v>7816</v>
      </c>
      <c r="E414" s="7" t="s">
        <v>7024</v>
      </c>
      <c r="G414" s="9"/>
    </row>
    <row r="415" spans="1:7" x14ac:dyDescent="0.3">
      <c r="A415" s="9">
        <v>46049</v>
      </c>
      <c r="B415" s="7" t="s">
        <v>7815</v>
      </c>
      <c r="C415" s="3">
        <v>-3106.08</v>
      </c>
      <c r="D415" s="7" t="s">
        <v>7816</v>
      </c>
      <c r="E415" s="7" t="s">
        <v>7037</v>
      </c>
      <c r="G415" s="9"/>
    </row>
    <row r="416" spans="1:7" x14ac:dyDescent="0.3">
      <c r="A416" s="9">
        <v>46019</v>
      </c>
      <c r="B416" s="7" t="s">
        <v>7813</v>
      </c>
      <c r="C416" s="3">
        <v>12238.69</v>
      </c>
      <c r="D416" s="7" t="s">
        <v>7814</v>
      </c>
      <c r="E416" s="7" t="s">
        <v>3523</v>
      </c>
      <c r="G416" s="9"/>
    </row>
    <row r="417" spans="1:7" x14ac:dyDescent="0.3">
      <c r="A417" s="9">
        <v>46019</v>
      </c>
      <c r="B417" s="7" t="s">
        <v>7813</v>
      </c>
      <c r="C417" s="3">
        <v>4189.45</v>
      </c>
      <c r="D417" s="7" t="s">
        <v>7814</v>
      </c>
      <c r="E417" s="7" t="s">
        <v>3590</v>
      </c>
      <c r="G417" s="9"/>
    </row>
    <row r="418" spans="1:7" x14ac:dyDescent="0.3">
      <c r="A418" s="9">
        <v>46084</v>
      </c>
      <c r="B418" s="7" t="s">
        <v>7813</v>
      </c>
      <c r="C418" s="3">
        <v>1698.67</v>
      </c>
      <c r="D418" s="7" t="s">
        <v>7814</v>
      </c>
      <c r="E418" s="7" t="s">
        <v>4070</v>
      </c>
      <c r="G418" s="9"/>
    </row>
    <row r="419" spans="1:7" x14ac:dyDescent="0.3">
      <c r="A419" s="9">
        <v>45990</v>
      </c>
      <c r="B419" s="7" t="s">
        <v>7813</v>
      </c>
      <c r="C419" s="3">
        <v>2085.4299999999998</v>
      </c>
      <c r="D419" s="7" t="s">
        <v>7814</v>
      </c>
      <c r="E419" s="7" t="s">
        <v>4137</v>
      </c>
      <c r="G419" s="9"/>
    </row>
    <row r="420" spans="1:7" x14ac:dyDescent="0.3">
      <c r="A420" s="9">
        <v>46033</v>
      </c>
      <c r="B420" s="7" t="s">
        <v>7813</v>
      </c>
      <c r="C420" s="3">
        <v>5610.89</v>
      </c>
      <c r="D420" s="7" t="s">
        <v>7814</v>
      </c>
      <c r="E420" s="7" t="s">
        <v>5199</v>
      </c>
      <c r="G420" s="9"/>
    </row>
    <row r="421" spans="1:7" x14ac:dyDescent="0.3">
      <c r="A421" s="9">
        <v>46070</v>
      </c>
      <c r="B421" s="7" t="s">
        <v>7815</v>
      </c>
      <c r="C421" s="3">
        <v>-6703.13</v>
      </c>
      <c r="D421" s="7" t="s">
        <v>7816</v>
      </c>
      <c r="E421" s="7" t="s">
        <v>6887</v>
      </c>
      <c r="G421" s="9"/>
    </row>
    <row r="422" spans="1:7" x14ac:dyDescent="0.3">
      <c r="A422" s="9">
        <v>45997</v>
      </c>
      <c r="B422" s="7" t="s">
        <v>7815</v>
      </c>
      <c r="C422" s="3">
        <v>-1668.04</v>
      </c>
      <c r="D422" s="7" t="s">
        <v>7816</v>
      </c>
      <c r="E422" s="7" t="s">
        <v>7536</v>
      </c>
      <c r="G422" s="9"/>
    </row>
    <row r="423" spans="1:7" x14ac:dyDescent="0.3">
      <c r="A423" s="9">
        <v>45992</v>
      </c>
      <c r="B423" s="7" t="s">
        <v>7813</v>
      </c>
      <c r="C423" s="3">
        <v>1208.72</v>
      </c>
      <c r="D423" s="7" t="s">
        <v>7814</v>
      </c>
      <c r="E423" s="7" t="s">
        <v>3836</v>
      </c>
      <c r="G423" s="9"/>
    </row>
    <row r="424" spans="1:7" x14ac:dyDescent="0.3">
      <c r="A424" s="9">
        <v>46062</v>
      </c>
      <c r="B424" s="7" t="s">
        <v>7813</v>
      </c>
      <c r="C424" s="3">
        <v>12753.27</v>
      </c>
      <c r="D424" s="7" t="s">
        <v>7814</v>
      </c>
      <c r="E424" s="7" t="s">
        <v>3939</v>
      </c>
      <c r="G424" s="9"/>
    </row>
    <row r="425" spans="1:7" x14ac:dyDescent="0.3">
      <c r="A425" s="9">
        <v>46034</v>
      </c>
      <c r="B425" s="7" t="s">
        <v>7813</v>
      </c>
      <c r="C425" s="3">
        <v>3442.73</v>
      </c>
      <c r="D425" s="7" t="s">
        <v>7814</v>
      </c>
      <c r="E425" s="7" t="s">
        <v>4193</v>
      </c>
      <c r="G425" s="9"/>
    </row>
    <row r="426" spans="1:7" x14ac:dyDescent="0.3">
      <c r="A426" s="9">
        <v>46013</v>
      </c>
      <c r="B426" s="7" t="s">
        <v>7813</v>
      </c>
      <c r="C426" s="3">
        <v>3654.56</v>
      </c>
      <c r="D426" s="7" t="s">
        <v>7814</v>
      </c>
      <c r="E426" s="7" t="s">
        <v>4313</v>
      </c>
      <c r="G426" s="9"/>
    </row>
    <row r="427" spans="1:7" x14ac:dyDescent="0.3">
      <c r="A427" s="9">
        <v>46040</v>
      </c>
      <c r="B427" s="7" t="s">
        <v>7813</v>
      </c>
      <c r="C427" s="3">
        <v>14106.83</v>
      </c>
      <c r="D427" s="7" t="s">
        <v>7814</v>
      </c>
      <c r="E427" s="7" t="s">
        <v>4466</v>
      </c>
      <c r="G427" s="9"/>
    </row>
    <row r="428" spans="1:7" x14ac:dyDescent="0.3">
      <c r="A428" s="9">
        <v>45980</v>
      </c>
      <c r="B428" s="7" t="s">
        <v>7813</v>
      </c>
      <c r="C428" s="3">
        <v>739.64</v>
      </c>
      <c r="D428" s="7" t="s">
        <v>7814</v>
      </c>
      <c r="E428" s="7" t="s">
        <v>4935</v>
      </c>
      <c r="G428" s="9"/>
    </row>
    <row r="429" spans="1:7" x14ac:dyDescent="0.3">
      <c r="A429" s="9">
        <v>46031</v>
      </c>
      <c r="B429" s="7" t="s">
        <v>7815</v>
      </c>
      <c r="C429" s="3">
        <v>-3756.1</v>
      </c>
      <c r="D429" s="7" t="s">
        <v>7816</v>
      </c>
      <c r="E429" s="7" t="s">
        <v>7598</v>
      </c>
      <c r="G429" s="9"/>
    </row>
    <row r="430" spans="1:7" x14ac:dyDescent="0.3">
      <c r="A430" s="9">
        <v>45965</v>
      </c>
      <c r="B430" s="7" t="s">
        <v>7815</v>
      </c>
      <c r="C430" s="3">
        <v>-3147.01</v>
      </c>
      <c r="D430" s="7" t="s">
        <v>7816</v>
      </c>
      <c r="E430" s="7" t="s">
        <v>7603</v>
      </c>
      <c r="G430" s="9"/>
    </row>
    <row r="431" spans="1:7" x14ac:dyDescent="0.3">
      <c r="A431" s="9">
        <v>46014</v>
      </c>
      <c r="B431" s="7" t="s">
        <v>7813</v>
      </c>
      <c r="C431" s="3">
        <v>2206.69</v>
      </c>
      <c r="D431" s="7" t="s">
        <v>7814</v>
      </c>
      <c r="E431" s="7" t="s">
        <v>3805</v>
      </c>
      <c r="G431" s="9"/>
    </row>
    <row r="432" spans="1:7" x14ac:dyDescent="0.3">
      <c r="A432" s="9">
        <v>46065</v>
      </c>
      <c r="B432" s="7" t="s">
        <v>7813</v>
      </c>
      <c r="C432" s="3">
        <v>2714.94</v>
      </c>
      <c r="D432" s="7" t="s">
        <v>7814</v>
      </c>
      <c r="E432" s="7" t="s">
        <v>3861</v>
      </c>
      <c r="G432" s="9"/>
    </row>
    <row r="433" spans="1:7" x14ac:dyDescent="0.3">
      <c r="A433" s="9">
        <v>46019</v>
      </c>
      <c r="B433" s="7" t="s">
        <v>7813</v>
      </c>
      <c r="C433" s="3">
        <v>4097.84</v>
      </c>
      <c r="D433" s="7" t="s">
        <v>7814</v>
      </c>
      <c r="E433" s="7" t="s">
        <v>3970</v>
      </c>
      <c r="G433" s="9"/>
    </row>
    <row r="434" spans="1:7" x14ac:dyDescent="0.3">
      <c r="A434" s="9">
        <v>46056</v>
      </c>
      <c r="B434" s="7" t="s">
        <v>7813</v>
      </c>
      <c r="C434" s="3">
        <v>3328.58</v>
      </c>
      <c r="D434" s="7" t="s">
        <v>7814</v>
      </c>
      <c r="E434" s="7" t="s">
        <v>4683</v>
      </c>
      <c r="G434" s="9"/>
    </row>
    <row r="435" spans="1:7" x14ac:dyDescent="0.3">
      <c r="A435" s="9">
        <v>46073</v>
      </c>
      <c r="B435" s="7" t="s">
        <v>7813</v>
      </c>
      <c r="C435" s="3">
        <v>2696.65</v>
      </c>
      <c r="D435" s="7" t="s">
        <v>7814</v>
      </c>
      <c r="E435" s="7" t="s">
        <v>4835</v>
      </c>
      <c r="G435" s="9"/>
    </row>
    <row r="436" spans="1:7" x14ac:dyDescent="0.3">
      <c r="A436" s="9">
        <v>45995</v>
      </c>
      <c r="B436" s="7" t="s">
        <v>7815</v>
      </c>
      <c r="C436" s="3">
        <v>-4949.53</v>
      </c>
      <c r="D436" s="7" t="s">
        <v>7816</v>
      </c>
      <c r="E436" s="7" t="s">
        <v>6869</v>
      </c>
      <c r="G436" s="9"/>
    </row>
    <row r="437" spans="1:7" x14ac:dyDescent="0.3">
      <c r="A437" s="9">
        <v>46007</v>
      </c>
      <c r="B437" s="7" t="s">
        <v>7815</v>
      </c>
      <c r="C437" s="3">
        <v>-2741.88</v>
      </c>
      <c r="D437" s="7" t="s">
        <v>7816</v>
      </c>
      <c r="E437" s="7" t="s">
        <v>6963</v>
      </c>
      <c r="G437" s="9"/>
    </row>
    <row r="438" spans="1:7" x14ac:dyDescent="0.3">
      <c r="A438" s="9">
        <v>46084</v>
      </c>
      <c r="B438" s="7" t="s">
        <v>7815</v>
      </c>
      <c r="C438" s="3">
        <v>-2278.9899999999998</v>
      </c>
      <c r="D438" s="7" t="s">
        <v>7816</v>
      </c>
      <c r="E438" s="7" t="s">
        <v>7239</v>
      </c>
      <c r="G438" s="9"/>
    </row>
    <row r="439" spans="1:7" x14ac:dyDescent="0.3">
      <c r="A439" s="9">
        <v>46047</v>
      </c>
      <c r="B439" s="7" t="s">
        <v>7815</v>
      </c>
      <c r="C439" s="3">
        <v>-3607.26</v>
      </c>
      <c r="D439" s="7" t="s">
        <v>7816</v>
      </c>
      <c r="E439" s="7" t="s">
        <v>7630</v>
      </c>
      <c r="G439" s="9"/>
    </row>
    <row r="440" spans="1:7" x14ac:dyDescent="0.3">
      <c r="A440" s="9">
        <v>45963</v>
      </c>
      <c r="B440" s="7" t="s">
        <v>7815</v>
      </c>
      <c r="C440" s="3">
        <v>-4480.96</v>
      </c>
      <c r="D440" s="7" t="s">
        <v>7816</v>
      </c>
      <c r="E440" s="7" t="s">
        <v>7779</v>
      </c>
      <c r="G440" s="9"/>
    </row>
    <row r="441" spans="1:7" x14ac:dyDescent="0.3">
      <c r="A441" s="9">
        <v>46020</v>
      </c>
      <c r="B441" s="7" t="s">
        <v>7813</v>
      </c>
      <c r="C441" s="3">
        <v>934.02</v>
      </c>
      <c r="D441" s="7" t="s">
        <v>7814</v>
      </c>
      <c r="E441" s="7" t="s">
        <v>3385</v>
      </c>
      <c r="G441" s="9"/>
    </row>
    <row r="442" spans="1:7" x14ac:dyDescent="0.3">
      <c r="A442" s="9">
        <v>45999</v>
      </c>
      <c r="B442" s="7" t="s">
        <v>7813</v>
      </c>
      <c r="C442" s="3">
        <v>1002.03</v>
      </c>
      <c r="D442" s="7" t="s">
        <v>7814</v>
      </c>
      <c r="E442" s="7" t="s">
        <v>4408</v>
      </c>
      <c r="G442" s="9"/>
    </row>
    <row r="443" spans="1:7" x14ac:dyDescent="0.3">
      <c r="A443" s="9">
        <v>46074</v>
      </c>
      <c r="B443" s="7" t="s">
        <v>7813</v>
      </c>
      <c r="C443" s="3">
        <v>1777.87</v>
      </c>
      <c r="D443" s="7" t="s">
        <v>7814</v>
      </c>
      <c r="E443" s="7" t="s">
        <v>4494</v>
      </c>
      <c r="G443" s="9"/>
    </row>
    <row r="444" spans="1:7" x14ac:dyDescent="0.3">
      <c r="A444" s="9">
        <v>45997</v>
      </c>
      <c r="B444" s="7" t="s">
        <v>7813</v>
      </c>
      <c r="C444" s="3">
        <v>2551.98</v>
      </c>
      <c r="D444" s="7" t="s">
        <v>7814</v>
      </c>
      <c r="E444" s="7" t="s">
        <v>5133</v>
      </c>
      <c r="G444" s="9"/>
    </row>
    <row r="445" spans="1:7" x14ac:dyDescent="0.3">
      <c r="A445" s="9">
        <v>46054</v>
      </c>
      <c r="B445" s="7" t="s">
        <v>7815</v>
      </c>
      <c r="C445" s="3">
        <v>-6795.28</v>
      </c>
      <c r="D445" s="7" t="s">
        <v>7816</v>
      </c>
      <c r="E445" s="7" t="s">
        <v>7069</v>
      </c>
      <c r="G445" s="9"/>
    </row>
    <row r="446" spans="1:7" x14ac:dyDescent="0.3">
      <c r="A446" s="9">
        <v>45968</v>
      </c>
      <c r="B446" s="7" t="s">
        <v>7815</v>
      </c>
      <c r="C446" s="3">
        <v>-1307.1400000000001</v>
      </c>
      <c r="D446" s="7" t="s">
        <v>7816</v>
      </c>
      <c r="E446" s="7" t="s">
        <v>7480</v>
      </c>
      <c r="G446" s="9"/>
    </row>
    <row r="447" spans="1:7" x14ac:dyDescent="0.3">
      <c r="A447" s="9">
        <v>46051</v>
      </c>
      <c r="B447" s="7" t="s">
        <v>7813</v>
      </c>
      <c r="C447" s="3">
        <v>13463.02</v>
      </c>
      <c r="D447" s="7" t="s">
        <v>7814</v>
      </c>
      <c r="E447" s="7" t="s">
        <v>3729</v>
      </c>
      <c r="G447" s="9"/>
    </row>
    <row r="448" spans="1:7" x14ac:dyDescent="0.3">
      <c r="A448" s="9">
        <v>46005</v>
      </c>
      <c r="B448" s="7" t="s">
        <v>7813</v>
      </c>
      <c r="C448" s="3">
        <v>10068.950000000001</v>
      </c>
      <c r="D448" s="7" t="s">
        <v>7814</v>
      </c>
      <c r="E448" s="7" t="s">
        <v>4056</v>
      </c>
      <c r="G448" s="9"/>
    </row>
    <row r="449" spans="1:7" x14ac:dyDescent="0.3">
      <c r="A449" s="9">
        <v>45977</v>
      </c>
      <c r="B449" s="7" t="s">
        <v>7813</v>
      </c>
      <c r="C449" s="3">
        <v>5202.93</v>
      </c>
      <c r="D449" s="7" t="s">
        <v>7814</v>
      </c>
      <c r="E449" s="7" t="s">
        <v>4537</v>
      </c>
      <c r="G449" s="9"/>
    </row>
    <row r="450" spans="1:7" x14ac:dyDescent="0.3">
      <c r="A450" s="9">
        <v>46059</v>
      </c>
      <c r="B450" s="7" t="s">
        <v>7813</v>
      </c>
      <c r="C450" s="3">
        <v>12517.52</v>
      </c>
      <c r="D450" s="7" t="s">
        <v>7814</v>
      </c>
      <c r="E450" s="7" t="s">
        <v>5393</v>
      </c>
      <c r="G450" s="9"/>
    </row>
    <row r="451" spans="1:7" x14ac:dyDescent="0.3">
      <c r="A451" s="9">
        <v>46064</v>
      </c>
      <c r="B451" s="7" t="s">
        <v>7815</v>
      </c>
      <c r="C451" s="3">
        <v>-1479</v>
      </c>
      <c r="D451" s="7" t="s">
        <v>7816</v>
      </c>
      <c r="E451" s="7" t="s">
        <v>7360</v>
      </c>
      <c r="G451" s="9"/>
    </row>
    <row r="452" spans="1:7" x14ac:dyDescent="0.3">
      <c r="A452" s="9">
        <v>45976</v>
      </c>
      <c r="B452" s="7" t="s">
        <v>7815</v>
      </c>
      <c r="C452" s="3">
        <v>-6743.16</v>
      </c>
      <c r="D452" s="7" t="s">
        <v>7816</v>
      </c>
      <c r="E452" s="7" t="s">
        <v>7621</v>
      </c>
      <c r="G452" s="9"/>
    </row>
    <row r="453" spans="1:7" x14ac:dyDescent="0.3">
      <c r="A453" s="9">
        <v>45986</v>
      </c>
      <c r="B453" s="7" t="s">
        <v>7815</v>
      </c>
      <c r="C453" s="3">
        <v>-3448.27</v>
      </c>
      <c r="D453" s="7" t="s">
        <v>7816</v>
      </c>
      <c r="E453" s="7" t="s">
        <v>7707</v>
      </c>
      <c r="G453" s="9"/>
    </row>
    <row r="454" spans="1:7" x14ac:dyDescent="0.3">
      <c r="A454" s="9">
        <v>46047</v>
      </c>
      <c r="B454" s="7" t="s">
        <v>7813</v>
      </c>
      <c r="C454" s="3">
        <v>2791.38</v>
      </c>
      <c r="D454" s="7" t="s">
        <v>7814</v>
      </c>
      <c r="E454" s="7" t="s">
        <v>3327</v>
      </c>
      <c r="G454" s="9"/>
    </row>
    <row r="455" spans="1:7" x14ac:dyDescent="0.3">
      <c r="A455" s="9">
        <v>46027</v>
      </c>
      <c r="B455" s="7" t="s">
        <v>7813</v>
      </c>
      <c r="C455" s="3">
        <v>2304.36</v>
      </c>
      <c r="D455" s="7" t="s">
        <v>7814</v>
      </c>
      <c r="E455" s="7" t="s">
        <v>4624</v>
      </c>
      <c r="G455" s="9"/>
    </row>
    <row r="456" spans="1:7" x14ac:dyDescent="0.3">
      <c r="A456" s="9">
        <v>45985</v>
      </c>
      <c r="B456" s="7" t="s">
        <v>7813</v>
      </c>
      <c r="C456" s="3">
        <v>3380.83</v>
      </c>
      <c r="D456" s="7" t="s">
        <v>7814</v>
      </c>
      <c r="E456" s="7" t="s">
        <v>5188</v>
      </c>
      <c r="G456" s="9"/>
    </row>
    <row r="457" spans="1:7" x14ac:dyDescent="0.3">
      <c r="A457" s="9">
        <v>46045</v>
      </c>
      <c r="B457" s="7" t="s">
        <v>7813</v>
      </c>
      <c r="C457" s="3">
        <v>2798.15</v>
      </c>
      <c r="D457" s="7" t="s">
        <v>7814</v>
      </c>
      <c r="E457" s="7" t="s">
        <v>5277</v>
      </c>
      <c r="G457" s="9"/>
    </row>
    <row r="458" spans="1:7" x14ac:dyDescent="0.3">
      <c r="A458" s="9">
        <v>46073</v>
      </c>
      <c r="B458" s="7" t="s">
        <v>7813</v>
      </c>
      <c r="C458" s="3">
        <v>2260.9899999999998</v>
      </c>
      <c r="D458" s="7" t="s">
        <v>7814</v>
      </c>
      <c r="E458" s="7" t="s">
        <v>5406</v>
      </c>
      <c r="G458" s="9"/>
    </row>
    <row r="459" spans="1:7" x14ac:dyDescent="0.3">
      <c r="A459" s="9">
        <v>46013</v>
      </c>
      <c r="B459" s="7" t="s">
        <v>7815</v>
      </c>
      <c r="C459" s="3">
        <v>-5050.47</v>
      </c>
      <c r="D459" s="7" t="s">
        <v>7816</v>
      </c>
      <c r="E459" s="7" t="s">
        <v>6827</v>
      </c>
      <c r="G459" s="9"/>
    </row>
    <row r="460" spans="1:7" x14ac:dyDescent="0.3">
      <c r="A460" s="9">
        <v>46032</v>
      </c>
      <c r="B460" s="7" t="s">
        <v>7815</v>
      </c>
      <c r="C460" s="3">
        <v>-861.03</v>
      </c>
      <c r="D460" s="7" t="s">
        <v>7816</v>
      </c>
      <c r="E460" s="7" t="s">
        <v>7200</v>
      </c>
      <c r="G460" s="9"/>
    </row>
    <row r="461" spans="1:7" x14ac:dyDescent="0.3">
      <c r="A461" s="9">
        <v>45991</v>
      </c>
      <c r="B461" s="7" t="s">
        <v>7813</v>
      </c>
      <c r="C461" s="3">
        <v>12073.35</v>
      </c>
      <c r="D461" s="7" t="s">
        <v>7814</v>
      </c>
      <c r="E461" s="7" t="s">
        <v>3420</v>
      </c>
      <c r="G461" s="9"/>
    </row>
    <row r="462" spans="1:7" x14ac:dyDescent="0.3">
      <c r="A462" s="9">
        <v>45978</v>
      </c>
      <c r="B462" s="7" t="s">
        <v>7813</v>
      </c>
      <c r="C462" s="3">
        <v>1958.61</v>
      </c>
      <c r="D462" s="7" t="s">
        <v>7814</v>
      </c>
      <c r="E462" s="7" t="s">
        <v>3758</v>
      </c>
      <c r="G462" s="9"/>
    </row>
    <row r="463" spans="1:7" x14ac:dyDescent="0.3">
      <c r="A463" s="9">
        <v>46040</v>
      </c>
      <c r="B463" s="7" t="s">
        <v>7813</v>
      </c>
      <c r="C463" s="3">
        <v>4413.51</v>
      </c>
      <c r="D463" s="7" t="s">
        <v>7814</v>
      </c>
      <c r="E463" s="7" t="s">
        <v>3943</v>
      </c>
      <c r="G463" s="9"/>
    </row>
    <row r="464" spans="1:7" x14ac:dyDescent="0.3">
      <c r="A464" s="9">
        <v>46062</v>
      </c>
      <c r="B464" s="7" t="s">
        <v>7813</v>
      </c>
      <c r="C464" s="3">
        <v>2884.7</v>
      </c>
      <c r="D464" s="7" t="s">
        <v>7814</v>
      </c>
      <c r="E464" s="7" t="s">
        <v>4183</v>
      </c>
      <c r="G464" s="9"/>
    </row>
    <row r="465" spans="1:7" x14ac:dyDescent="0.3">
      <c r="A465" s="9">
        <v>46075</v>
      </c>
      <c r="B465" s="7" t="s">
        <v>7813</v>
      </c>
      <c r="C465" s="3">
        <v>3487.37</v>
      </c>
      <c r="D465" s="7" t="s">
        <v>7814</v>
      </c>
      <c r="E465" s="7" t="s">
        <v>5134</v>
      </c>
      <c r="G465" s="9"/>
    </row>
    <row r="466" spans="1:7" x14ac:dyDescent="0.3">
      <c r="A466" s="9">
        <v>46079</v>
      </c>
      <c r="B466" s="7" t="s">
        <v>7813</v>
      </c>
      <c r="C466" s="3">
        <v>2111.5300000000002</v>
      </c>
      <c r="D466" s="7" t="s">
        <v>7814</v>
      </c>
      <c r="E466" s="7" t="s">
        <v>5167</v>
      </c>
      <c r="G466" s="9"/>
    </row>
    <row r="467" spans="1:7" x14ac:dyDescent="0.3">
      <c r="A467" s="9">
        <v>46023</v>
      </c>
      <c r="B467" s="7" t="s">
        <v>7813</v>
      </c>
      <c r="C467" s="3">
        <v>5180.21</v>
      </c>
      <c r="D467" s="7" t="s">
        <v>7814</v>
      </c>
      <c r="E467" s="7" t="s">
        <v>5290</v>
      </c>
      <c r="G467" s="9"/>
    </row>
    <row r="468" spans="1:7" x14ac:dyDescent="0.3">
      <c r="A468" s="9">
        <v>46051</v>
      </c>
      <c r="B468" s="7" t="s">
        <v>7815</v>
      </c>
      <c r="C468" s="3">
        <v>-6888.66</v>
      </c>
      <c r="D468" s="7" t="s">
        <v>7816</v>
      </c>
      <c r="E468" s="7" t="s">
        <v>6843</v>
      </c>
      <c r="G468" s="9"/>
    </row>
    <row r="469" spans="1:7" x14ac:dyDescent="0.3">
      <c r="A469" s="9">
        <v>45992</v>
      </c>
      <c r="B469" s="7" t="s">
        <v>7815</v>
      </c>
      <c r="C469" s="3">
        <v>-6029.56</v>
      </c>
      <c r="D469" s="7" t="s">
        <v>7816</v>
      </c>
      <c r="E469" s="7" t="s">
        <v>6966</v>
      </c>
      <c r="G469" s="9"/>
    </row>
    <row r="470" spans="1:7" x14ac:dyDescent="0.3">
      <c r="A470" s="9">
        <v>46073</v>
      </c>
      <c r="B470" s="7" t="s">
        <v>7815</v>
      </c>
      <c r="C470" s="3">
        <v>-4424.08</v>
      </c>
      <c r="D470" s="7" t="s">
        <v>7816</v>
      </c>
      <c r="E470" s="7" t="s">
        <v>7705</v>
      </c>
      <c r="G470" s="9"/>
    </row>
    <row r="471" spans="1:7" x14ac:dyDescent="0.3">
      <c r="A471" s="9">
        <v>46010</v>
      </c>
      <c r="B471" s="7" t="s">
        <v>7813</v>
      </c>
      <c r="C471" s="3">
        <v>2142.59</v>
      </c>
      <c r="D471" s="7" t="s">
        <v>7814</v>
      </c>
      <c r="E471" s="7" t="s">
        <v>4979</v>
      </c>
      <c r="G471" s="9"/>
    </row>
    <row r="472" spans="1:7" x14ac:dyDescent="0.3">
      <c r="A472" s="9">
        <v>46049</v>
      </c>
      <c r="B472" s="7" t="s">
        <v>7815</v>
      </c>
      <c r="C472" s="3">
        <v>-3058.24</v>
      </c>
      <c r="D472" s="7" t="s">
        <v>7816</v>
      </c>
      <c r="E472" s="7" t="s">
        <v>7177</v>
      </c>
      <c r="G472" s="9"/>
    </row>
    <row r="473" spans="1:7" x14ac:dyDescent="0.3">
      <c r="A473" s="9">
        <v>46076</v>
      </c>
      <c r="B473" s="7" t="s">
        <v>7815</v>
      </c>
      <c r="C473" s="3">
        <v>-1212.2</v>
      </c>
      <c r="D473" s="7" t="s">
        <v>7816</v>
      </c>
      <c r="E473" s="7" t="s">
        <v>7429</v>
      </c>
      <c r="G473" s="9"/>
    </row>
    <row r="474" spans="1:7" x14ac:dyDescent="0.3">
      <c r="A474" s="9">
        <v>46038</v>
      </c>
      <c r="B474" s="7" t="s">
        <v>7815</v>
      </c>
      <c r="C474" s="3">
        <v>-4247.6099999999997</v>
      </c>
      <c r="D474" s="7" t="s">
        <v>7816</v>
      </c>
      <c r="E474" s="7" t="s">
        <v>7537</v>
      </c>
      <c r="G474" s="9"/>
    </row>
    <row r="475" spans="1:7" x14ac:dyDescent="0.3">
      <c r="A475" s="9">
        <v>45978</v>
      </c>
      <c r="B475" s="7" t="s">
        <v>7813</v>
      </c>
      <c r="C475" s="3">
        <v>3173.41</v>
      </c>
      <c r="D475" s="7" t="s">
        <v>7814</v>
      </c>
      <c r="E475" s="7" t="s">
        <v>3346</v>
      </c>
      <c r="G475" s="9"/>
    </row>
    <row r="476" spans="1:7" x14ac:dyDescent="0.3">
      <c r="A476" s="9">
        <v>45996</v>
      </c>
      <c r="B476" s="7" t="s">
        <v>7813</v>
      </c>
      <c r="C476" s="3">
        <v>5557.88</v>
      </c>
      <c r="D476" s="7" t="s">
        <v>7814</v>
      </c>
      <c r="E476" s="7" t="s">
        <v>3839</v>
      </c>
      <c r="G476" s="9"/>
    </row>
    <row r="477" spans="1:7" x14ac:dyDescent="0.3">
      <c r="A477" s="9">
        <v>46085</v>
      </c>
      <c r="B477" s="7" t="s">
        <v>7813</v>
      </c>
      <c r="C477" s="3">
        <v>1537.56</v>
      </c>
      <c r="D477" s="7" t="s">
        <v>7814</v>
      </c>
      <c r="E477" s="7" t="s">
        <v>4150</v>
      </c>
      <c r="G477" s="9"/>
    </row>
    <row r="478" spans="1:7" x14ac:dyDescent="0.3">
      <c r="A478" s="9">
        <v>46038</v>
      </c>
      <c r="B478" s="7" t="s">
        <v>7813</v>
      </c>
      <c r="C478" s="3">
        <v>1603.13</v>
      </c>
      <c r="D478" s="7" t="s">
        <v>7814</v>
      </c>
      <c r="E478" s="7" t="s">
        <v>4160</v>
      </c>
      <c r="G478" s="9"/>
    </row>
    <row r="479" spans="1:7" x14ac:dyDescent="0.3">
      <c r="A479" s="9">
        <v>45962</v>
      </c>
      <c r="B479" s="7" t="s">
        <v>7815</v>
      </c>
      <c r="C479" s="3">
        <v>-1216.8599999999999</v>
      </c>
      <c r="D479" s="7" t="s">
        <v>7816</v>
      </c>
      <c r="E479" s="7" t="s">
        <v>7062</v>
      </c>
      <c r="G479" s="9"/>
    </row>
    <row r="480" spans="1:7" x14ac:dyDescent="0.3">
      <c r="A480" s="9">
        <v>46025</v>
      </c>
      <c r="B480" s="7" t="s">
        <v>7815</v>
      </c>
      <c r="C480" s="3">
        <v>-1538.09</v>
      </c>
      <c r="D480" s="7" t="s">
        <v>7816</v>
      </c>
      <c r="E480" s="7" t="s">
        <v>7380</v>
      </c>
      <c r="G480" s="9"/>
    </row>
    <row r="481" spans="1:7" x14ac:dyDescent="0.3">
      <c r="A481" s="9">
        <v>46009</v>
      </c>
      <c r="B481" s="7" t="s">
        <v>7815</v>
      </c>
      <c r="C481" s="3">
        <v>-2593.46</v>
      </c>
      <c r="D481" s="7" t="s">
        <v>7816</v>
      </c>
      <c r="E481" s="7" t="s">
        <v>7543</v>
      </c>
      <c r="G481" s="9"/>
    </row>
    <row r="482" spans="1:7" x14ac:dyDescent="0.3">
      <c r="A482" s="9">
        <v>46068</v>
      </c>
      <c r="B482" s="7" t="s">
        <v>7815</v>
      </c>
      <c r="C482" s="3">
        <v>-1102.24</v>
      </c>
      <c r="D482" s="7" t="s">
        <v>7816</v>
      </c>
      <c r="E482" s="7" t="s">
        <v>7586</v>
      </c>
      <c r="G482" s="9"/>
    </row>
    <row r="483" spans="1:7" x14ac:dyDescent="0.3">
      <c r="A483" s="9">
        <v>46002</v>
      </c>
      <c r="B483" s="7" t="s">
        <v>7815</v>
      </c>
      <c r="C483" s="3">
        <v>-3330.06</v>
      </c>
      <c r="D483" s="7" t="s">
        <v>7816</v>
      </c>
      <c r="E483" s="7" t="s">
        <v>7728</v>
      </c>
      <c r="G483" s="9"/>
    </row>
    <row r="484" spans="1:7" x14ac:dyDescent="0.3">
      <c r="A484" s="9">
        <v>46043</v>
      </c>
      <c r="B484" s="7" t="s">
        <v>7817</v>
      </c>
      <c r="C484" s="3">
        <v>-95351.51</v>
      </c>
      <c r="D484" s="7" t="s">
        <v>7816</v>
      </c>
      <c r="E484" s="7" t="s">
        <v>7818</v>
      </c>
      <c r="G484" s="9"/>
    </row>
    <row r="485" spans="1:7" x14ac:dyDescent="0.3">
      <c r="A485" s="9">
        <v>46040</v>
      </c>
      <c r="B485" s="7" t="s">
        <v>7813</v>
      </c>
      <c r="C485" s="3">
        <v>5616.92</v>
      </c>
      <c r="D485" s="7" t="s">
        <v>7814</v>
      </c>
      <c r="E485" s="7" t="s">
        <v>3645</v>
      </c>
      <c r="G485" s="9"/>
    </row>
    <row r="486" spans="1:7" x14ac:dyDescent="0.3">
      <c r="A486" s="9">
        <v>46000</v>
      </c>
      <c r="B486" s="7" t="s">
        <v>7813</v>
      </c>
      <c r="C486" s="3">
        <v>13575.61</v>
      </c>
      <c r="D486" s="7" t="s">
        <v>7814</v>
      </c>
      <c r="E486" s="7" t="s">
        <v>3880</v>
      </c>
      <c r="G486" s="9"/>
    </row>
    <row r="487" spans="1:7" x14ac:dyDescent="0.3">
      <c r="A487" s="9">
        <v>45988</v>
      </c>
      <c r="B487" s="7" t="s">
        <v>7813</v>
      </c>
      <c r="C487" s="3">
        <v>3499.41</v>
      </c>
      <c r="D487" s="7" t="s">
        <v>7814</v>
      </c>
      <c r="E487" s="7" t="s">
        <v>4469</v>
      </c>
      <c r="G487" s="9"/>
    </row>
    <row r="488" spans="1:7" x14ac:dyDescent="0.3">
      <c r="A488" s="9">
        <v>45979</v>
      </c>
      <c r="B488" s="7" t="s">
        <v>7813</v>
      </c>
      <c r="C488" s="3">
        <v>3040.04</v>
      </c>
      <c r="D488" s="7" t="s">
        <v>7814</v>
      </c>
      <c r="E488" s="7" t="s">
        <v>4470</v>
      </c>
      <c r="G488" s="9"/>
    </row>
    <row r="489" spans="1:7" x14ac:dyDescent="0.3">
      <c r="A489" s="9">
        <v>46007</v>
      </c>
      <c r="B489" s="7" t="s">
        <v>7813</v>
      </c>
      <c r="C489" s="3">
        <v>4580.37</v>
      </c>
      <c r="D489" s="7" t="s">
        <v>7814</v>
      </c>
      <c r="E489" s="7" t="s">
        <v>4964</v>
      </c>
      <c r="G489" s="9"/>
    </row>
    <row r="490" spans="1:7" x14ac:dyDescent="0.3">
      <c r="A490" s="9">
        <v>46023</v>
      </c>
      <c r="B490" s="7" t="s">
        <v>7813</v>
      </c>
      <c r="C490" s="3">
        <v>1484.87</v>
      </c>
      <c r="D490" s="7" t="s">
        <v>7814</v>
      </c>
      <c r="E490" s="7" t="s">
        <v>5017</v>
      </c>
      <c r="G490" s="9"/>
    </row>
    <row r="491" spans="1:7" x14ac:dyDescent="0.3">
      <c r="A491" s="9">
        <v>46086</v>
      </c>
      <c r="B491" s="7" t="s">
        <v>7813</v>
      </c>
      <c r="C491" s="3">
        <v>5075.22</v>
      </c>
      <c r="D491" s="7" t="s">
        <v>7814</v>
      </c>
      <c r="E491" s="7" t="s">
        <v>3522</v>
      </c>
      <c r="G491" s="9"/>
    </row>
    <row r="492" spans="1:7" x14ac:dyDescent="0.3">
      <c r="A492" s="9">
        <v>46007</v>
      </c>
      <c r="B492" s="7" t="s">
        <v>7813</v>
      </c>
      <c r="C492" s="3">
        <v>1908.06</v>
      </c>
      <c r="D492" s="7" t="s">
        <v>7814</v>
      </c>
      <c r="E492" s="7" t="s">
        <v>3732</v>
      </c>
      <c r="G492" s="9"/>
    </row>
    <row r="493" spans="1:7" x14ac:dyDescent="0.3">
      <c r="A493" s="9">
        <v>45962</v>
      </c>
      <c r="B493" s="7" t="s">
        <v>7813</v>
      </c>
      <c r="C493" s="3">
        <v>2067.98</v>
      </c>
      <c r="D493" s="7" t="s">
        <v>7814</v>
      </c>
      <c r="E493" s="7" t="s">
        <v>3786</v>
      </c>
      <c r="G493" s="9"/>
    </row>
    <row r="494" spans="1:7" x14ac:dyDescent="0.3">
      <c r="A494" s="9">
        <v>46088</v>
      </c>
      <c r="B494" s="7" t="s">
        <v>7813</v>
      </c>
      <c r="C494" s="3">
        <v>2076.0300000000002</v>
      </c>
      <c r="D494" s="7" t="s">
        <v>7814</v>
      </c>
      <c r="E494" s="7" t="s">
        <v>3837</v>
      </c>
      <c r="G494" s="9"/>
    </row>
    <row r="495" spans="1:7" x14ac:dyDescent="0.3">
      <c r="A495" s="9">
        <v>45977</v>
      </c>
      <c r="B495" s="7" t="s">
        <v>7813</v>
      </c>
      <c r="C495" s="3">
        <v>2744.75</v>
      </c>
      <c r="D495" s="7" t="s">
        <v>7814</v>
      </c>
      <c r="E495" s="7" t="s">
        <v>4263</v>
      </c>
      <c r="G495" s="9"/>
    </row>
    <row r="496" spans="1:7" x14ac:dyDescent="0.3">
      <c r="A496" s="9">
        <v>45998</v>
      </c>
      <c r="B496" s="7" t="s">
        <v>7813</v>
      </c>
      <c r="C496" s="3">
        <v>9756.52</v>
      </c>
      <c r="D496" s="7" t="s">
        <v>7814</v>
      </c>
      <c r="E496" s="7" t="s">
        <v>4331</v>
      </c>
      <c r="G496" s="9"/>
    </row>
    <row r="497" spans="1:7" x14ac:dyDescent="0.3">
      <c r="A497" s="9">
        <v>46009</v>
      </c>
      <c r="B497" s="7" t="s">
        <v>7813</v>
      </c>
      <c r="C497" s="3">
        <v>2768.61</v>
      </c>
      <c r="D497" s="7" t="s">
        <v>7814</v>
      </c>
      <c r="E497" s="7" t="s">
        <v>5247</v>
      </c>
      <c r="G497" s="9"/>
    </row>
    <row r="498" spans="1:7" x14ac:dyDescent="0.3">
      <c r="A498" s="9">
        <v>46069</v>
      </c>
      <c r="B498" s="7" t="s">
        <v>7815</v>
      </c>
      <c r="C498" s="3">
        <v>-4023.46</v>
      </c>
      <c r="D498" s="7" t="s">
        <v>7816</v>
      </c>
      <c r="E498" s="7" t="s">
        <v>7701</v>
      </c>
      <c r="G498" s="9"/>
    </row>
    <row r="499" spans="1:7" x14ac:dyDescent="0.3">
      <c r="A499" s="9">
        <v>46058</v>
      </c>
      <c r="B499" s="7" t="s">
        <v>7813</v>
      </c>
      <c r="C499" s="3">
        <v>3646.82</v>
      </c>
      <c r="D499" s="7" t="s">
        <v>7814</v>
      </c>
      <c r="E499" s="7" t="s">
        <v>4971</v>
      </c>
      <c r="G499" s="9"/>
    </row>
    <row r="500" spans="1:7" x14ac:dyDescent="0.3">
      <c r="A500" s="9">
        <v>46054</v>
      </c>
      <c r="B500" s="7" t="s">
        <v>7813</v>
      </c>
      <c r="C500" s="3">
        <v>5974.98</v>
      </c>
      <c r="D500" s="7" t="s">
        <v>7814</v>
      </c>
      <c r="E500" s="7" t="s">
        <v>5331</v>
      </c>
      <c r="G500" s="9"/>
    </row>
    <row r="501" spans="1:7" x14ac:dyDescent="0.3">
      <c r="A501" s="9">
        <v>46051</v>
      </c>
      <c r="B501" s="7" t="s">
        <v>7815</v>
      </c>
      <c r="C501" s="3">
        <v>-4316.3</v>
      </c>
      <c r="D501" s="7" t="s">
        <v>7816</v>
      </c>
      <c r="E501" s="7" t="s">
        <v>7744</v>
      </c>
      <c r="G501" s="9"/>
    </row>
    <row r="502" spans="1:7" x14ac:dyDescent="0.3">
      <c r="A502" s="9">
        <v>45989</v>
      </c>
      <c r="B502" s="7" t="s">
        <v>7813</v>
      </c>
      <c r="C502" s="3">
        <v>1973.34</v>
      </c>
      <c r="D502" s="7" t="s">
        <v>7814</v>
      </c>
      <c r="E502" s="7" t="s">
        <v>4264</v>
      </c>
      <c r="G502" s="9"/>
    </row>
    <row r="503" spans="1:7" x14ac:dyDescent="0.3">
      <c r="A503" s="9">
        <v>46053</v>
      </c>
      <c r="B503" s="7" t="s">
        <v>7813</v>
      </c>
      <c r="C503" s="3">
        <v>2653.06</v>
      </c>
      <c r="D503" s="7" t="s">
        <v>7814</v>
      </c>
      <c r="E503" s="7" t="s">
        <v>4358</v>
      </c>
      <c r="G503" s="9"/>
    </row>
    <row r="504" spans="1:7" x14ac:dyDescent="0.3">
      <c r="A504" s="9">
        <v>46040</v>
      </c>
      <c r="B504" s="7" t="s">
        <v>7815</v>
      </c>
      <c r="C504" s="3">
        <v>-5157.46</v>
      </c>
      <c r="D504" s="7" t="s">
        <v>7816</v>
      </c>
      <c r="E504" s="7" t="s">
        <v>7001</v>
      </c>
      <c r="G504" s="9"/>
    </row>
    <row r="505" spans="1:7" x14ac:dyDescent="0.3">
      <c r="A505" s="9">
        <v>46008</v>
      </c>
      <c r="B505" s="7" t="s">
        <v>7815</v>
      </c>
      <c r="C505" s="3">
        <v>-6141.76</v>
      </c>
      <c r="D505" s="7" t="s">
        <v>7816</v>
      </c>
      <c r="E505" s="7" t="s">
        <v>7349</v>
      </c>
      <c r="G505" s="9"/>
    </row>
    <row r="506" spans="1:7" x14ac:dyDescent="0.3">
      <c r="A506" s="9">
        <v>45996</v>
      </c>
      <c r="B506" s="7" t="s">
        <v>7815</v>
      </c>
      <c r="C506" s="3">
        <v>-5847.7</v>
      </c>
      <c r="D506" s="7" t="s">
        <v>7816</v>
      </c>
      <c r="E506" s="7" t="s">
        <v>7619</v>
      </c>
      <c r="G506" s="9"/>
    </row>
    <row r="507" spans="1:7" x14ac:dyDescent="0.3">
      <c r="A507" s="9">
        <v>46033</v>
      </c>
      <c r="B507" s="7" t="s">
        <v>7813</v>
      </c>
      <c r="C507" s="3">
        <v>4065.32</v>
      </c>
      <c r="D507" s="7" t="s">
        <v>7814</v>
      </c>
      <c r="E507" s="7" t="s">
        <v>4593</v>
      </c>
      <c r="G507" s="9"/>
    </row>
    <row r="508" spans="1:7" x14ac:dyDescent="0.3">
      <c r="A508" s="9">
        <v>46017</v>
      </c>
      <c r="B508" s="7" t="s">
        <v>7813</v>
      </c>
      <c r="C508" s="3">
        <v>10318.64</v>
      </c>
      <c r="D508" s="7" t="s">
        <v>7814</v>
      </c>
      <c r="E508" s="7" t="s">
        <v>4676</v>
      </c>
      <c r="G508" s="9"/>
    </row>
    <row r="509" spans="1:7" x14ac:dyDescent="0.3">
      <c r="A509" s="9">
        <v>46002</v>
      </c>
      <c r="B509" s="7" t="s">
        <v>7813</v>
      </c>
      <c r="C509" s="3">
        <v>3497.01</v>
      </c>
      <c r="D509" s="7" t="s">
        <v>7814</v>
      </c>
      <c r="E509" s="7" t="s">
        <v>5250</v>
      </c>
      <c r="G509" s="9"/>
    </row>
    <row r="510" spans="1:7" x14ac:dyDescent="0.3">
      <c r="A510" s="9">
        <v>45962</v>
      </c>
      <c r="B510" s="7" t="s">
        <v>7815</v>
      </c>
      <c r="C510" s="3">
        <v>-4377.97</v>
      </c>
      <c r="D510" s="7" t="s">
        <v>7816</v>
      </c>
      <c r="E510" s="7" t="s">
        <v>6848</v>
      </c>
      <c r="G510" s="9"/>
    </row>
    <row r="511" spans="1:7" x14ac:dyDescent="0.3">
      <c r="A511" s="9">
        <v>46005</v>
      </c>
      <c r="B511" s="7" t="s">
        <v>7815</v>
      </c>
      <c r="C511" s="3">
        <v>-5446.61</v>
      </c>
      <c r="D511" s="7" t="s">
        <v>7816</v>
      </c>
      <c r="E511" s="7" t="s">
        <v>6959</v>
      </c>
      <c r="G511" s="9"/>
    </row>
    <row r="512" spans="1:7" x14ac:dyDescent="0.3">
      <c r="A512" s="9">
        <v>45993</v>
      </c>
      <c r="B512" s="7" t="s">
        <v>7815</v>
      </c>
      <c r="C512" s="3">
        <v>-4545.57</v>
      </c>
      <c r="D512" s="7" t="s">
        <v>7816</v>
      </c>
      <c r="E512" s="7" t="s">
        <v>7582</v>
      </c>
      <c r="G512" s="9"/>
    </row>
    <row r="513" spans="1:7" x14ac:dyDescent="0.3">
      <c r="A513" s="9">
        <v>45970</v>
      </c>
      <c r="B513" s="7" t="s">
        <v>7813</v>
      </c>
      <c r="C513" s="3">
        <v>1632.56</v>
      </c>
      <c r="D513" s="7" t="s">
        <v>7814</v>
      </c>
      <c r="E513" s="7" t="s">
        <v>3274</v>
      </c>
      <c r="G513" s="9"/>
    </row>
    <row r="514" spans="1:7" x14ac:dyDescent="0.3">
      <c r="A514" s="9">
        <v>46014</v>
      </c>
      <c r="B514" s="7" t="s">
        <v>7813</v>
      </c>
      <c r="C514" s="3">
        <v>2463.7600000000002</v>
      </c>
      <c r="D514" s="7" t="s">
        <v>7814</v>
      </c>
      <c r="E514" s="7" t="s">
        <v>3678</v>
      </c>
      <c r="G514" s="9"/>
    </row>
    <row r="515" spans="1:7" x14ac:dyDescent="0.3">
      <c r="A515" s="9">
        <v>46023</v>
      </c>
      <c r="B515" s="7" t="s">
        <v>7813</v>
      </c>
      <c r="C515" s="3">
        <v>2457.88</v>
      </c>
      <c r="D515" s="7" t="s">
        <v>7814</v>
      </c>
      <c r="E515" s="7" t="s">
        <v>3694</v>
      </c>
      <c r="G515" s="9"/>
    </row>
    <row r="516" spans="1:7" x14ac:dyDescent="0.3">
      <c r="A516" s="9">
        <v>45966</v>
      </c>
      <c r="B516" s="7" t="s">
        <v>7813</v>
      </c>
      <c r="C516" s="3">
        <v>2539.9499999999998</v>
      </c>
      <c r="D516" s="7" t="s">
        <v>7814</v>
      </c>
      <c r="E516" s="7" t="s">
        <v>4552</v>
      </c>
      <c r="G516" s="9"/>
    </row>
    <row r="517" spans="1:7" x14ac:dyDescent="0.3">
      <c r="A517" s="9">
        <v>45984</v>
      </c>
      <c r="B517" s="7" t="s">
        <v>7813</v>
      </c>
      <c r="C517" s="3">
        <v>5054.5200000000004</v>
      </c>
      <c r="D517" s="7" t="s">
        <v>7814</v>
      </c>
      <c r="E517" s="7" t="s">
        <v>4765</v>
      </c>
      <c r="G517" s="9"/>
    </row>
    <row r="518" spans="1:7" x14ac:dyDescent="0.3">
      <c r="A518" s="9">
        <v>46055</v>
      </c>
      <c r="B518" s="7" t="s">
        <v>7813</v>
      </c>
      <c r="C518" s="3">
        <v>5424.82</v>
      </c>
      <c r="D518" s="7" t="s">
        <v>7814</v>
      </c>
      <c r="E518" s="7" t="s">
        <v>5302</v>
      </c>
      <c r="G518" s="9"/>
    </row>
    <row r="519" spans="1:7" x14ac:dyDescent="0.3">
      <c r="A519" s="9">
        <v>46075</v>
      </c>
      <c r="B519" s="7" t="s">
        <v>7815</v>
      </c>
      <c r="C519" s="3">
        <v>-4810.76</v>
      </c>
      <c r="D519" s="7" t="s">
        <v>7816</v>
      </c>
      <c r="E519" s="7" t="s">
        <v>7774</v>
      </c>
      <c r="G519" s="9"/>
    </row>
    <row r="520" spans="1:7" x14ac:dyDescent="0.3">
      <c r="A520" s="9">
        <v>45982</v>
      </c>
      <c r="B520" s="7" t="s">
        <v>7813</v>
      </c>
      <c r="C520" s="3">
        <v>5509.89</v>
      </c>
      <c r="D520" s="7" t="s">
        <v>7814</v>
      </c>
      <c r="E520" s="7" t="s">
        <v>3284</v>
      </c>
      <c r="G520" s="9"/>
    </row>
    <row r="521" spans="1:7" x14ac:dyDescent="0.3">
      <c r="A521" s="9">
        <v>45995</v>
      </c>
      <c r="B521" s="7" t="s">
        <v>7813</v>
      </c>
      <c r="C521" s="3">
        <v>1722.74</v>
      </c>
      <c r="D521" s="7" t="s">
        <v>7814</v>
      </c>
      <c r="E521" s="7" t="s">
        <v>3532</v>
      </c>
      <c r="G521" s="9"/>
    </row>
    <row r="522" spans="1:7" x14ac:dyDescent="0.3">
      <c r="A522" s="9">
        <v>46033</v>
      </c>
      <c r="B522" s="7" t="s">
        <v>7813</v>
      </c>
      <c r="C522" s="3">
        <v>1297.97</v>
      </c>
      <c r="D522" s="7" t="s">
        <v>7814</v>
      </c>
      <c r="E522" s="7" t="s">
        <v>3806</v>
      </c>
      <c r="G522" s="9"/>
    </row>
    <row r="523" spans="1:7" x14ac:dyDescent="0.3">
      <c r="A523" s="9">
        <v>46004</v>
      </c>
      <c r="B523" s="7" t="s">
        <v>7813</v>
      </c>
      <c r="C523" s="3">
        <v>1854.89</v>
      </c>
      <c r="D523" s="7" t="s">
        <v>7814</v>
      </c>
      <c r="E523" s="7" t="s">
        <v>3915</v>
      </c>
      <c r="G523" s="9"/>
    </row>
    <row r="524" spans="1:7" x14ac:dyDescent="0.3">
      <c r="A524" s="9">
        <v>46022</v>
      </c>
      <c r="B524" s="7" t="s">
        <v>7813</v>
      </c>
      <c r="C524" s="3">
        <v>1791.93</v>
      </c>
      <c r="D524" s="7" t="s">
        <v>7814</v>
      </c>
      <c r="E524" s="7" t="s">
        <v>4337</v>
      </c>
      <c r="G524" s="9"/>
    </row>
    <row r="525" spans="1:7" x14ac:dyDescent="0.3">
      <c r="A525" s="9">
        <v>46001</v>
      </c>
      <c r="B525" s="7" t="s">
        <v>7813</v>
      </c>
      <c r="C525" s="3">
        <v>4456.22</v>
      </c>
      <c r="D525" s="7" t="s">
        <v>7814</v>
      </c>
      <c r="E525" s="7" t="s">
        <v>5385</v>
      </c>
      <c r="G525" s="9"/>
    </row>
    <row r="526" spans="1:7" x14ac:dyDescent="0.3">
      <c r="A526" s="9">
        <v>46060</v>
      </c>
      <c r="B526" s="7" t="s">
        <v>7815</v>
      </c>
      <c r="C526" s="3">
        <v>-5048.91</v>
      </c>
      <c r="D526" s="7" t="s">
        <v>7816</v>
      </c>
      <c r="E526" s="7" t="s">
        <v>7778</v>
      </c>
      <c r="G526" s="9"/>
    </row>
    <row r="527" spans="1:7" x14ac:dyDescent="0.3">
      <c r="A527" s="9">
        <v>46043</v>
      </c>
      <c r="B527" s="7" t="s">
        <v>7813</v>
      </c>
      <c r="C527" s="3">
        <v>2012.38</v>
      </c>
      <c r="D527" s="7" t="s">
        <v>7814</v>
      </c>
      <c r="E527" s="7" t="s">
        <v>3461</v>
      </c>
      <c r="G527" s="9"/>
    </row>
    <row r="528" spans="1:7" x14ac:dyDescent="0.3">
      <c r="A528" s="9">
        <v>46017</v>
      </c>
      <c r="B528" s="7" t="s">
        <v>7813</v>
      </c>
      <c r="C528" s="3">
        <v>4024.67</v>
      </c>
      <c r="D528" s="7" t="s">
        <v>7814</v>
      </c>
      <c r="E528" s="7" t="s">
        <v>3765</v>
      </c>
      <c r="G528" s="9"/>
    </row>
    <row r="529" spans="1:7" x14ac:dyDescent="0.3">
      <c r="A529" s="9">
        <v>46064</v>
      </c>
      <c r="B529" s="7" t="s">
        <v>7813</v>
      </c>
      <c r="C529" s="3">
        <v>1643.97</v>
      </c>
      <c r="D529" s="7" t="s">
        <v>7814</v>
      </c>
      <c r="E529" s="7" t="s">
        <v>4057</v>
      </c>
      <c r="G529" s="9"/>
    </row>
    <row r="530" spans="1:7" x14ac:dyDescent="0.3">
      <c r="A530" s="9">
        <v>46032</v>
      </c>
      <c r="B530" s="7" t="s">
        <v>7813</v>
      </c>
      <c r="C530" s="3">
        <v>4318.72</v>
      </c>
      <c r="D530" s="7" t="s">
        <v>7814</v>
      </c>
      <c r="E530" s="7" t="s">
        <v>4208</v>
      </c>
      <c r="G530" s="9"/>
    </row>
    <row r="531" spans="1:7" x14ac:dyDescent="0.3">
      <c r="A531" s="9">
        <v>46066</v>
      </c>
      <c r="B531" s="7" t="s">
        <v>7813</v>
      </c>
      <c r="C531" s="3">
        <v>1752.07</v>
      </c>
      <c r="D531" s="7" t="s">
        <v>7814</v>
      </c>
      <c r="E531" s="7" t="s">
        <v>4490</v>
      </c>
      <c r="G531" s="9"/>
    </row>
    <row r="532" spans="1:7" x14ac:dyDescent="0.3">
      <c r="A532" s="9">
        <v>46064</v>
      </c>
      <c r="B532" s="7" t="s">
        <v>7813</v>
      </c>
      <c r="C532" s="3">
        <v>727.44</v>
      </c>
      <c r="D532" s="7" t="s">
        <v>7814</v>
      </c>
      <c r="E532" s="7" t="s">
        <v>4604</v>
      </c>
      <c r="G532" s="9"/>
    </row>
    <row r="533" spans="1:7" x14ac:dyDescent="0.3">
      <c r="A533" s="9">
        <v>46026</v>
      </c>
      <c r="B533" s="7" t="s">
        <v>7813</v>
      </c>
      <c r="C533" s="3">
        <v>10471.27</v>
      </c>
      <c r="D533" s="7" t="s">
        <v>7814</v>
      </c>
      <c r="E533" s="7" t="s">
        <v>4642</v>
      </c>
      <c r="G533" s="9"/>
    </row>
    <row r="534" spans="1:7" x14ac:dyDescent="0.3">
      <c r="A534" s="9">
        <v>46067</v>
      </c>
      <c r="B534" s="7" t="s">
        <v>7813</v>
      </c>
      <c r="C534" s="3">
        <v>1484.27</v>
      </c>
      <c r="D534" s="7" t="s">
        <v>7814</v>
      </c>
      <c r="E534" s="7" t="s">
        <v>5021</v>
      </c>
      <c r="G534" s="9"/>
    </row>
    <row r="535" spans="1:7" x14ac:dyDescent="0.3">
      <c r="A535" s="9">
        <v>46072</v>
      </c>
      <c r="B535" s="7" t="s">
        <v>7813</v>
      </c>
      <c r="C535" s="3">
        <v>5700.62</v>
      </c>
      <c r="D535" s="7" t="s">
        <v>7814</v>
      </c>
      <c r="E535" s="7" t="s">
        <v>5108</v>
      </c>
      <c r="G535" s="9"/>
    </row>
    <row r="536" spans="1:7" x14ac:dyDescent="0.3">
      <c r="A536" s="9">
        <v>46040</v>
      </c>
      <c r="B536" s="7" t="s">
        <v>7813</v>
      </c>
      <c r="C536" s="3">
        <v>1887.03</v>
      </c>
      <c r="D536" s="7" t="s">
        <v>7814</v>
      </c>
      <c r="E536" s="7" t="s">
        <v>5286</v>
      </c>
      <c r="G536" s="9"/>
    </row>
    <row r="537" spans="1:7" x14ac:dyDescent="0.3">
      <c r="A537" s="9">
        <v>46039</v>
      </c>
      <c r="B537" s="7" t="s">
        <v>7815</v>
      </c>
      <c r="C537" s="3">
        <v>-6532.59</v>
      </c>
      <c r="D537" s="7" t="s">
        <v>7816</v>
      </c>
      <c r="E537" s="7" t="s">
        <v>6849</v>
      </c>
      <c r="G537" s="9"/>
    </row>
    <row r="538" spans="1:7" x14ac:dyDescent="0.3">
      <c r="A538" s="9">
        <v>46071</v>
      </c>
      <c r="B538" s="7" t="s">
        <v>7813</v>
      </c>
      <c r="C538" s="3">
        <v>3534.05</v>
      </c>
      <c r="D538" s="7" t="s">
        <v>7814</v>
      </c>
      <c r="E538" s="7" t="s">
        <v>3417</v>
      </c>
      <c r="G538" s="9"/>
    </row>
    <row r="539" spans="1:7" x14ac:dyDescent="0.3">
      <c r="A539" s="9">
        <v>46009</v>
      </c>
      <c r="B539" s="7" t="s">
        <v>7813</v>
      </c>
      <c r="C539" s="3">
        <v>5706.96</v>
      </c>
      <c r="D539" s="7" t="s">
        <v>7814</v>
      </c>
      <c r="E539" s="7" t="s">
        <v>3874</v>
      </c>
      <c r="G539" s="9"/>
    </row>
    <row r="540" spans="1:7" x14ac:dyDescent="0.3">
      <c r="A540" s="9">
        <v>45964</v>
      </c>
      <c r="B540" s="7" t="s">
        <v>7813</v>
      </c>
      <c r="C540" s="3">
        <v>4915.4799999999996</v>
      </c>
      <c r="D540" s="7" t="s">
        <v>7814</v>
      </c>
      <c r="E540" s="7" t="s">
        <v>4096</v>
      </c>
      <c r="G540" s="9"/>
    </row>
    <row r="541" spans="1:7" x14ac:dyDescent="0.3">
      <c r="A541" s="9">
        <v>46000</v>
      </c>
      <c r="B541" s="7" t="s">
        <v>7813</v>
      </c>
      <c r="C541" s="3">
        <v>3296.39</v>
      </c>
      <c r="D541" s="7" t="s">
        <v>7814</v>
      </c>
      <c r="E541" s="7" t="s">
        <v>4673</v>
      </c>
      <c r="G541" s="9"/>
    </row>
    <row r="542" spans="1:7" x14ac:dyDescent="0.3">
      <c r="A542" s="9">
        <v>45984</v>
      </c>
      <c r="B542" s="7" t="s">
        <v>7813</v>
      </c>
      <c r="C542" s="3">
        <v>4969.01</v>
      </c>
      <c r="D542" s="7" t="s">
        <v>7814</v>
      </c>
      <c r="E542" s="7" t="s">
        <v>4945</v>
      </c>
      <c r="G542" s="9"/>
    </row>
    <row r="543" spans="1:7" x14ac:dyDescent="0.3">
      <c r="A543" s="9">
        <v>46021</v>
      </c>
      <c r="B543" s="7" t="s">
        <v>7815</v>
      </c>
      <c r="C543" s="3">
        <v>-6306.67</v>
      </c>
      <c r="D543" s="7" t="s">
        <v>7816</v>
      </c>
      <c r="E543" s="7" t="s">
        <v>7042</v>
      </c>
      <c r="G543" s="9"/>
    </row>
    <row r="544" spans="1:7" x14ac:dyDescent="0.3">
      <c r="A544" s="9">
        <v>46059</v>
      </c>
      <c r="B544" s="7" t="s">
        <v>7815</v>
      </c>
      <c r="C544" s="3">
        <v>-3758.73</v>
      </c>
      <c r="D544" s="7" t="s">
        <v>7816</v>
      </c>
      <c r="E544" s="7" t="s">
        <v>7098</v>
      </c>
      <c r="G544" s="9"/>
    </row>
    <row r="545" spans="1:7" x14ac:dyDescent="0.3">
      <c r="A545" s="9">
        <v>46013</v>
      </c>
      <c r="B545" s="7" t="s">
        <v>7813</v>
      </c>
      <c r="C545" s="3">
        <v>2814.21</v>
      </c>
      <c r="D545" s="7" t="s">
        <v>7814</v>
      </c>
      <c r="E545" s="7" t="s">
        <v>3182</v>
      </c>
      <c r="G545" s="9"/>
    </row>
    <row r="546" spans="1:7" x14ac:dyDescent="0.3">
      <c r="A546" s="9">
        <v>46002</v>
      </c>
      <c r="B546" s="7" t="s">
        <v>7813</v>
      </c>
      <c r="C546" s="3">
        <v>10521.63</v>
      </c>
      <c r="D546" s="7" t="s">
        <v>7814</v>
      </c>
      <c r="E546" s="7" t="s">
        <v>3316</v>
      </c>
      <c r="G546" s="9"/>
    </row>
    <row r="547" spans="1:7" x14ac:dyDescent="0.3">
      <c r="A547" s="9">
        <v>46067</v>
      </c>
      <c r="B547" s="7" t="s">
        <v>7813</v>
      </c>
      <c r="C547" s="3">
        <v>3439.96</v>
      </c>
      <c r="D547" s="7" t="s">
        <v>7814</v>
      </c>
      <c r="E547" s="7" t="s">
        <v>3332</v>
      </c>
      <c r="G547" s="9"/>
    </row>
    <row r="548" spans="1:7" x14ac:dyDescent="0.3">
      <c r="A548" s="9">
        <v>46044</v>
      </c>
      <c r="B548" s="7" t="s">
        <v>7813</v>
      </c>
      <c r="C548" s="3">
        <v>1111.22</v>
      </c>
      <c r="D548" s="7" t="s">
        <v>7814</v>
      </c>
      <c r="E548" s="7" t="s">
        <v>3386</v>
      </c>
      <c r="G548" s="9"/>
    </row>
    <row r="549" spans="1:7" x14ac:dyDescent="0.3">
      <c r="A549" s="9">
        <v>46077</v>
      </c>
      <c r="B549" s="7" t="s">
        <v>7813</v>
      </c>
      <c r="C549" s="3">
        <v>3552.72</v>
      </c>
      <c r="D549" s="7" t="s">
        <v>7814</v>
      </c>
      <c r="E549" s="7" t="s">
        <v>3557</v>
      </c>
      <c r="G549" s="9"/>
    </row>
    <row r="550" spans="1:7" x14ac:dyDescent="0.3">
      <c r="A550" s="9">
        <v>46011</v>
      </c>
      <c r="B550" s="7" t="s">
        <v>7813</v>
      </c>
      <c r="C550" s="3">
        <v>1652.05</v>
      </c>
      <c r="D550" s="7" t="s">
        <v>7814</v>
      </c>
      <c r="E550" s="7" t="s">
        <v>3616</v>
      </c>
      <c r="G550" s="9"/>
    </row>
    <row r="551" spans="1:7" x14ac:dyDescent="0.3">
      <c r="A551" s="9">
        <v>46026</v>
      </c>
      <c r="B551" s="7" t="s">
        <v>7813</v>
      </c>
      <c r="C551" s="3">
        <v>2525.4</v>
      </c>
      <c r="D551" s="7" t="s">
        <v>7814</v>
      </c>
      <c r="E551" s="7" t="s">
        <v>3744</v>
      </c>
      <c r="G551" s="9"/>
    </row>
    <row r="552" spans="1:7" x14ac:dyDescent="0.3">
      <c r="A552" s="9">
        <v>46047</v>
      </c>
      <c r="B552" s="7" t="s">
        <v>7813</v>
      </c>
      <c r="C552" s="3">
        <v>4671.01</v>
      </c>
      <c r="D552" s="7" t="s">
        <v>7814</v>
      </c>
      <c r="E552" s="7" t="s">
        <v>4079</v>
      </c>
      <c r="G552" s="9"/>
    </row>
    <row r="553" spans="1:7" x14ac:dyDescent="0.3">
      <c r="A553" s="9">
        <v>45962</v>
      </c>
      <c r="B553" s="7" t="s">
        <v>7813</v>
      </c>
      <c r="C553" s="3">
        <v>4204.84</v>
      </c>
      <c r="D553" s="7" t="s">
        <v>7814</v>
      </c>
      <c r="E553" s="7" t="s">
        <v>4156</v>
      </c>
      <c r="G553" s="9"/>
    </row>
    <row r="554" spans="1:7" x14ac:dyDescent="0.3">
      <c r="A554" s="9">
        <v>46038</v>
      </c>
      <c r="B554" s="7" t="s">
        <v>7815</v>
      </c>
      <c r="C554" s="3">
        <v>-5681.04</v>
      </c>
      <c r="D554" s="7" t="s">
        <v>7816</v>
      </c>
      <c r="E554" s="7" t="s">
        <v>6852</v>
      </c>
      <c r="G554" s="9"/>
    </row>
    <row r="555" spans="1:7" x14ac:dyDescent="0.3">
      <c r="A555" s="9">
        <v>46088</v>
      </c>
      <c r="B555" s="7" t="s">
        <v>7815</v>
      </c>
      <c r="C555" s="3">
        <v>-1451.21</v>
      </c>
      <c r="D555" s="7" t="s">
        <v>7816</v>
      </c>
      <c r="E555" s="7" t="s">
        <v>6978</v>
      </c>
      <c r="G555" s="9"/>
    </row>
    <row r="556" spans="1:7" x14ac:dyDescent="0.3">
      <c r="A556" s="9">
        <v>46070</v>
      </c>
      <c r="B556" s="7" t="s">
        <v>7815</v>
      </c>
      <c r="C556" s="3">
        <v>-3180.37</v>
      </c>
      <c r="D556" s="7" t="s">
        <v>7816</v>
      </c>
      <c r="E556" s="7" t="s">
        <v>7071</v>
      </c>
      <c r="G556" s="9"/>
    </row>
    <row r="557" spans="1:7" x14ac:dyDescent="0.3">
      <c r="A557" s="9">
        <v>46014</v>
      </c>
      <c r="B557" s="7" t="s">
        <v>7815</v>
      </c>
      <c r="C557" s="3">
        <v>-3426.69</v>
      </c>
      <c r="D557" s="7" t="s">
        <v>7816</v>
      </c>
      <c r="E557" s="7" t="s">
        <v>7107</v>
      </c>
      <c r="G557" s="9"/>
    </row>
    <row r="558" spans="1:7" x14ac:dyDescent="0.3">
      <c r="A558" s="9">
        <v>46033</v>
      </c>
      <c r="B558" s="7" t="s">
        <v>7815</v>
      </c>
      <c r="C558" s="3">
        <v>-4357.8100000000004</v>
      </c>
      <c r="D558" s="7" t="s">
        <v>7816</v>
      </c>
      <c r="E558" s="7" t="s">
        <v>7488</v>
      </c>
      <c r="G558" s="9"/>
    </row>
    <row r="559" spans="1:7" x14ac:dyDescent="0.3">
      <c r="A559" s="9">
        <v>46082</v>
      </c>
      <c r="B559" s="7" t="s">
        <v>7813</v>
      </c>
      <c r="C559" s="3">
        <v>1740.74</v>
      </c>
      <c r="D559" s="7" t="s">
        <v>7814</v>
      </c>
      <c r="E559" s="7" t="s">
        <v>3291</v>
      </c>
      <c r="G559" s="9"/>
    </row>
    <row r="560" spans="1:7" x14ac:dyDescent="0.3">
      <c r="A560" s="9">
        <v>45966</v>
      </c>
      <c r="B560" s="7" t="s">
        <v>7813</v>
      </c>
      <c r="C560" s="3">
        <v>13939.08</v>
      </c>
      <c r="D560" s="7" t="s">
        <v>7814</v>
      </c>
      <c r="E560" s="7" t="s">
        <v>3320</v>
      </c>
      <c r="G560" s="9"/>
    </row>
    <row r="561" spans="1:7" x14ac:dyDescent="0.3">
      <c r="A561" s="9">
        <v>46047</v>
      </c>
      <c r="B561" s="7" t="s">
        <v>7813</v>
      </c>
      <c r="C561" s="3">
        <v>12941.15</v>
      </c>
      <c r="D561" s="7" t="s">
        <v>7814</v>
      </c>
      <c r="E561" s="7" t="s">
        <v>3328</v>
      </c>
      <c r="G561" s="9"/>
    </row>
    <row r="562" spans="1:7" x14ac:dyDescent="0.3">
      <c r="A562" s="9">
        <v>45976</v>
      </c>
      <c r="B562" s="7" t="s">
        <v>7813</v>
      </c>
      <c r="C562" s="3">
        <v>3695.71</v>
      </c>
      <c r="D562" s="7" t="s">
        <v>7814</v>
      </c>
      <c r="E562" s="7" t="s">
        <v>3365</v>
      </c>
      <c r="G562" s="9"/>
    </row>
    <row r="563" spans="1:7" x14ac:dyDescent="0.3">
      <c r="A563" s="9">
        <v>45980</v>
      </c>
      <c r="B563" s="7" t="s">
        <v>7813</v>
      </c>
      <c r="C563" s="3">
        <v>11874.47</v>
      </c>
      <c r="D563" s="7" t="s">
        <v>7814</v>
      </c>
      <c r="E563" s="7" t="s">
        <v>3952</v>
      </c>
      <c r="G563" s="9"/>
    </row>
    <row r="564" spans="1:7" x14ac:dyDescent="0.3">
      <c r="A564" s="9">
        <v>46018</v>
      </c>
      <c r="B564" s="7" t="s">
        <v>7815</v>
      </c>
      <c r="C564" s="3">
        <v>-5659.28</v>
      </c>
      <c r="D564" s="7" t="s">
        <v>7816</v>
      </c>
      <c r="E564" s="7" t="s">
        <v>7489</v>
      </c>
      <c r="G564" s="9"/>
    </row>
    <row r="565" spans="1:7" x14ac:dyDescent="0.3">
      <c r="A565" s="9">
        <v>45989</v>
      </c>
      <c r="B565" s="7" t="s">
        <v>7813</v>
      </c>
      <c r="C565" s="3">
        <v>14017.09</v>
      </c>
      <c r="D565" s="7" t="s">
        <v>7814</v>
      </c>
      <c r="E565" s="7" t="s">
        <v>3570</v>
      </c>
      <c r="G565" s="9"/>
    </row>
    <row r="566" spans="1:7" x14ac:dyDescent="0.3">
      <c r="A566" s="9">
        <v>46041</v>
      </c>
      <c r="B566" s="7" t="s">
        <v>7813</v>
      </c>
      <c r="C566" s="3">
        <v>1462.19</v>
      </c>
      <c r="D566" s="7" t="s">
        <v>7814</v>
      </c>
      <c r="E566" s="7" t="s">
        <v>3761</v>
      </c>
      <c r="G566" s="9"/>
    </row>
    <row r="567" spans="1:7" x14ac:dyDescent="0.3">
      <c r="A567" s="9">
        <v>45980</v>
      </c>
      <c r="B567" s="7" t="s">
        <v>7813</v>
      </c>
      <c r="C567" s="3">
        <v>1546.53</v>
      </c>
      <c r="D567" s="7" t="s">
        <v>7814</v>
      </c>
      <c r="E567" s="7" t="s">
        <v>4120</v>
      </c>
      <c r="G567" s="9"/>
    </row>
    <row r="568" spans="1:7" x14ac:dyDescent="0.3">
      <c r="A568" s="9">
        <v>46056</v>
      </c>
      <c r="B568" s="7" t="s">
        <v>7813</v>
      </c>
      <c r="C568" s="3">
        <v>1913.01</v>
      </c>
      <c r="D568" s="7" t="s">
        <v>7814</v>
      </c>
      <c r="E568" s="7" t="s">
        <v>4296</v>
      </c>
      <c r="G568" s="9"/>
    </row>
    <row r="569" spans="1:7" x14ac:dyDescent="0.3">
      <c r="A569" s="9">
        <v>46020</v>
      </c>
      <c r="B569" s="7" t="s">
        <v>7813</v>
      </c>
      <c r="C569" s="3">
        <v>1560.88</v>
      </c>
      <c r="D569" s="7" t="s">
        <v>7814</v>
      </c>
      <c r="E569" s="7" t="s">
        <v>4464</v>
      </c>
      <c r="G569" s="9"/>
    </row>
    <row r="570" spans="1:7" x14ac:dyDescent="0.3">
      <c r="A570" s="9">
        <v>46048</v>
      </c>
      <c r="B570" s="7" t="s">
        <v>7813</v>
      </c>
      <c r="C570" s="3">
        <v>13804.1</v>
      </c>
      <c r="D570" s="7" t="s">
        <v>7814</v>
      </c>
      <c r="E570" s="7" t="s">
        <v>4906</v>
      </c>
      <c r="G570" s="9"/>
    </row>
    <row r="571" spans="1:7" x14ac:dyDescent="0.3">
      <c r="A571" s="9">
        <v>46060</v>
      </c>
      <c r="B571" s="7" t="s">
        <v>7813</v>
      </c>
      <c r="C571" s="3">
        <v>3202.93</v>
      </c>
      <c r="D571" s="7" t="s">
        <v>7814</v>
      </c>
      <c r="E571" s="7" t="s">
        <v>5321</v>
      </c>
      <c r="G571" s="9"/>
    </row>
    <row r="572" spans="1:7" x14ac:dyDescent="0.3">
      <c r="A572" s="9">
        <v>46090</v>
      </c>
      <c r="B572" s="7" t="s">
        <v>7813</v>
      </c>
      <c r="C572" s="3">
        <v>3434.67</v>
      </c>
      <c r="D572" s="7" t="s">
        <v>7814</v>
      </c>
      <c r="E572" s="7" t="s">
        <v>5410</v>
      </c>
      <c r="G572" s="9"/>
    </row>
    <row r="573" spans="1:7" x14ac:dyDescent="0.3">
      <c r="A573" s="9">
        <v>46001</v>
      </c>
      <c r="B573" s="7" t="s">
        <v>7815</v>
      </c>
      <c r="C573" s="3">
        <v>-4228.38</v>
      </c>
      <c r="D573" s="7" t="s">
        <v>7816</v>
      </c>
      <c r="E573" s="7" t="s">
        <v>7055</v>
      </c>
      <c r="G573" s="9"/>
    </row>
    <row r="574" spans="1:7" x14ac:dyDescent="0.3">
      <c r="A574" s="9">
        <v>46083</v>
      </c>
      <c r="B574" s="7" t="s">
        <v>7815</v>
      </c>
      <c r="C574" s="3">
        <v>-6516.76</v>
      </c>
      <c r="D574" s="7" t="s">
        <v>7816</v>
      </c>
      <c r="E574" s="7" t="s">
        <v>7095</v>
      </c>
      <c r="G574" s="9"/>
    </row>
    <row r="575" spans="1:7" x14ac:dyDescent="0.3">
      <c r="A575" s="9">
        <v>46057</v>
      </c>
      <c r="B575" s="7" t="s">
        <v>7815</v>
      </c>
      <c r="C575" s="3">
        <v>-4211.66</v>
      </c>
      <c r="D575" s="7" t="s">
        <v>7816</v>
      </c>
      <c r="E575" s="7" t="s">
        <v>7166</v>
      </c>
      <c r="G575" s="9"/>
    </row>
    <row r="576" spans="1:7" x14ac:dyDescent="0.3">
      <c r="A576" s="9">
        <v>46084</v>
      </c>
      <c r="B576" s="7" t="s">
        <v>7815</v>
      </c>
      <c r="C576" s="3">
        <v>-1382.31</v>
      </c>
      <c r="D576" s="7" t="s">
        <v>7816</v>
      </c>
      <c r="E576" s="7" t="s">
        <v>7300</v>
      </c>
      <c r="G576" s="9"/>
    </row>
    <row r="577" spans="1:7" x14ac:dyDescent="0.3">
      <c r="A577" s="9">
        <v>46059</v>
      </c>
      <c r="B577" s="7" t="s">
        <v>7815</v>
      </c>
      <c r="C577" s="3">
        <v>-1053.3900000000001</v>
      </c>
      <c r="D577" s="7" t="s">
        <v>7816</v>
      </c>
      <c r="E577" s="7" t="s">
        <v>7368</v>
      </c>
      <c r="G577" s="9"/>
    </row>
    <row r="578" spans="1:7" x14ac:dyDescent="0.3">
      <c r="A578" s="9">
        <v>46060</v>
      </c>
      <c r="B578" s="7" t="s">
        <v>7813</v>
      </c>
      <c r="C578" s="3">
        <v>2677.61</v>
      </c>
      <c r="D578" s="7" t="s">
        <v>7814</v>
      </c>
      <c r="E578" s="7" t="s">
        <v>3238</v>
      </c>
      <c r="G578" s="9"/>
    </row>
    <row r="579" spans="1:7" x14ac:dyDescent="0.3">
      <c r="A579" s="9">
        <v>46049</v>
      </c>
      <c r="B579" s="7" t="s">
        <v>7813</v>
      </c>
      <c r="C579" s="3">
        <v>2860.87</v>
      </c>
      <c r="D579" s="7" t="s">
        <v>7814</v>
      </c>
      <c r="E579" s="7" t="s">
        <v>3932</v>
      </c>
      <c r="G579" s="9"/>
    </row>
    <row r="580" spans="1:7" x14ac:dyDescent="0.3">
      <c r="A580" s="9">
        <v>45993</v>
      </c>
      <c r="B580" s="7" t="s">
        <v>7813</v>
      </c>
      <c r="C580" s="3">
        <v>1174.07</v>
      </c>
      <c r="D580" s="7" t="s">
        <v>7814</v>
      </c>
      <c r="E580" s="7" t="s">
        <v>4755</v>
      </c>
      <c r="G580" s="9"/>
    </row>
    <row r="581" spans="1:7" x14ac:dyDescent="0.3">
      <c r="A581" s="9">
        <v>46067</v>
      </c>
      <c r="B581" s="7" t="s">
        <v>7813</v>
      </c>
      <c r="C581" s="3">
        <v>4961.8599999999997</v>
      </c>
      <c r="D581" s="7" t="s">
        <v>7814</v>
      </c>
      <c r="E581" s="7" t="s">
        <v>5222</v>
      </c>
      <c r="G581" s="9"/>
    </row>
    <row r="582" spans="1:7" x14ac:dyDescent="0.3">
      <c r="A582" s="9">
        <v>46006</v>
      </c>
      <c r="B582" s="7" t="s">
        <v>7813</v>
      </c>
      <c r="C582" s="3">
        <v>2166.16</v>
      </c>
      <c r="D582" s="7" t="s">
        <v>7814</v>
      </c>
      <c r="E582" s="7" t="s">
        <v>5350</v>
      </c>
      <c r="G582" s="9"/>
    </row>
    <row r="583" spans="1:7" x14ac:dyDescent="0.3">
      <c r="A583" s="9">
        <v>46083</v>
      </c>
      <c r="B583" s="7" t="s">
        <v>7815</v>
      </c>
      <c r="C583" s="3">
        <v>-4891.53</v>
      </c>
      <c r="D583" s="7" t="s">
        <v>7816</v>
      </c>
      <c r="E583" s="7" t="s">
        <v>6968</v>
      </c>
      <c r="G583" s="9"/>
    </row>
    <row r="584" spans="1:7" x14ac:dyDescent="0.3">
      <c r="A584" s="9">
        <v>46011</v>
      </c>
      <c r="B584" s="7" t="s">
        <v>7815</v>
      </c>
      <c r="C584" s="3">
        <v>-3532.42</v>
      </c>
      <c r="D584" s="7" t="s">
        <v>7816</v>
      </c>
      <c r="E584" s="7" t="s">
        <v>7764</v>
      </c>
      <c r="G584" s="9"/>
    </row>
    <row r="585" spans="1:7" x14ac:dyDescent="0.3">
      <c r="A585" s="9">
        <v>46001</v>
      </c>
      <c r="B585" s="7" t="s">
        <v>7813</v>
      </c>
      <c r="C585" s="3">
        <v>2351.02</v>
      </c>
      <c r="D585" s="7" t="s">
        <v>7814</v>
      </c>
      <c r="E585" s="7" t="s">
        <v>3275</v>
      </c>
      <c r="G585" s="9"/>
    </row>
    <row r="586" spans="1:7" x14ac:dyDescent="0.3">
      <c r="A586" s="9">
        <v>45994</v>
      </c>
      <c r="B586" s="7" t="s">
        <v>7813</v>
      </c>
      <c r="C586" s="3">
        <v>2858.71</v>
      </c>
      <c r="D586" s="7" t="s">
        <v>7814</v>
      </c>
      <c r="E586" s="7" t="s">
        <v>3780</v>
      </c>
      <c r="G586" s="9"/>
    </row>
    <row r="587" spans="1:7" x14ac:dyDescent="0.3">
      <c r="A587" s="9">
        <v>46074</v>
      </c>
      <c r="B587" s="7" t="s">
        <v>7813</v>
      </c>
      <c r="C587" s="3">
        <v>2687.98</v>
      </c>
      <c r="D587" s="7" t="s">
        <v>7814</v>
      </c>
      <c r="E587" s="7" t="s">
        <v>4549</v>
      </c>
      <c r="G587" s="9"/>
    </row>
    <row r="588" spans="1:7" x14ac:dyDescent="0.3">
      <c r="A588" s="9">
        <v>45983</v>
      </c>
      <c r="B588" s="7" t="s">
        <v>7813</v>
      </c>
      <c r="C588" s="3">
        <v>1673.2</v>
      </c>
      <c r="D588" s="7" t="s">
        <v>7814</v>
      </c>
      <c r="E588" s="7" t="s">
        <v>5414</v>
      </c>
      <c r="G588" s="9"/>
    </row>
    <row r="589" spans="1:7" x14ac:dyDescent="0.3">
      <c r="A589" s="9">
        <v>45971</v>
      </c>
      <c r="B589" s="7" t="s">
        <v>7815</v>
      </c>
      <c r="C589" s="3">
        <v>-2863.96</v>
      </c>
      <c r="D589" s="7" t="s">
        <v>7816</v>
      </c>
      <c r="E589" s="7" t="s">
        <v>6955</v>
      </c>
      <c r="G589" s="9"/>
    </row>
    <row r="590" spans="1:7" x14ac:dyDescent="0.3">
      <c r="A590" s="9">
        <v>46015</v>
      </c>
      <c r="B590" s="7" t="s">
        <v>7813</v>
      </c>
      <c r="C590" s="3">
        <v>3839.18</v>
      </c>
      <c r="D590" s="7" t="s">
        <v>7814</v>
      </c>
      <c r="E590" s="7" t="s">
        <v>3253</v>
      </c>
      <c r="G590" s="9"/>
    </row>
    <row r="591" spans="1:7" x14ac:dyDescent="0.3">
      <c r="A591" s="9">
        <v>45994</v>
      </c>
      <c r="B591" s="7" t="s">
        <v>7813</v>
      </c>
      <c r="C591" s="3">
        <v>2958.47</v>
      </c>
      <c r="D591" s="7" t="s">
        <v>7814</v>
      </c>
      <c r="E591" s="7" t="s">
        <v>3424</v>
      </c>
      <c r="G591" s="9"/>
    </row>
    <row r="592" spans="1:7" x14ac:dyDescent="0.3">
      <c r="A592" s="9">
        <v>46058</v>
      </c>
      <c r="B592" s="7" t="s">
        <v>7813</v>
      </c>
      <c r="C592" s="3">
        <v>2540.44</v>
      </c>
      <c r="D592" s="7" t="s">
        <v>7814</v>
      </c>
      <c r="E592" s="7" t="s">
        <v>4357</v>
      </c>
      <c r="G592" s="9"/>
    </row>
    <row r="593" spans="1:7" x14ac:dyDescent="0.3">
      <c r="A593" s="9">
        <v>45980</v>
      </c>
      <c r="B593" s="7" t="s">
        <v>7813</v>
      </c>
      <c r="C593" s="3">
        <v>2693.73</v>
      </c>
      <c r="D593" s="7" t="s">
        <v>7814</v>
      </c>
      <c r="E593" s="7" t="s">
        <v>4553</v>
      </c>
      <c r="G593" s="9"/>
    </row>
    <row r="594" spans="1:7" x14ac:dyDescent="0.3">
      <c r="A594" s="9">
        <v>46051</v>
      </c>
      <c r="B594" s="7" t="s">
        <v>7813</v>
      </c>
      <c r="C594" s="3">
        <v>1545.54</v>
      </c>
      <c r="D594" s="7" t="s">
        <v>7814</v>
      </c>
      <c r="E594" s="7" t="s">
        <v>4662</v>
      </c>
      <c r="G594" s="9"/>
    </row>
    <row r="595" spans="1:7" x14ac:dyDescent="0.3">
      <c r="A595" s="9">
        <v>46071</v>
      </c>
      <c r="B595" s="7" t="s">
        <v>7813</v>
      </c>
      <c r="C595" s="3">
        <v>2004.94</v>
      </c>
      <c r="D595" s="7" t="s">
        <v>7814</v>
      </c>
      <c r="E595" s="7" t="s">
        <v>5054</v>
      </c>
      <c r="G595" s="9"/>
    </row>
    <row r="596" spans="1:7" x14ac:dyDescent="0.3">
      <c r="A596" s="9">
        <v>45966</v>
      </c>
      <c r="B596" s="7" t="s">
        <v>7813</v>
      </c>
      <c r="C596" s="3">
        <v>1569.51</v>
      </c>
      <c r="D596" s="7" t="s">
        <v>7814</v>
      </c>
      <c r="E596" s="7" t="s">
        <v>5061</v>
      </c>
      <c r="G596" s="9"/>
    </row>
    <row r="597" spans="1:7" x14ac:dyDescent="0.3">
      <c r="A597" s="9">
        <v>45988</v>
      </c>
      <c r="B597" s="7" t="s">
        <v>7813</v>
      </c>
      <c r="C597" s="3">
        <v>4599.78</v>
      </c>
      <c r="D597" s="7" t="s">
        <v>7814</v>
      </c>
      <c r="E597" s="7" t="s">
        <v>3445</v>
      </c>
      <c r="G597" s="9"/>
    </row>
    <row r="598" spans="1:7" x14ac:dyDescent="0.3">
      <c r="A598" s="9">
        <v>45993</v>
      </c>
      <c r="B598" s="7" t="s">
        <v>7813</v>
      </c>
      <c r="C598" s="3">
        <v>2996.52</v>
      </c>
      <c r="D598" s="7" t="s">
        <v>7814</v>
      </c>
      <c r="E598" s="7" t="s">
        <v>3785</v>
      </c>
      <c r="G598" s="9"/>
    </row>
    <row r="599" spans="1:7" x14ac:dyDescent="0.3">
      <c r="A599" s="9">
        <v>46047</v>
      </c>
      <c r="B599" s="7" t="s">
        <v>7813</v>
      </c>
      <c r="C599" s="3">
        <v>3655.05</v>
      </c>
      <c r="D599" s="7" t="s">
        <v>7814</v>
      </c>
      <c r="E599" s="7" t="s">
        <v>4960</v>
      </c>
      <c r="G599" s="9"/>
    </row>
    <row r="600" spans="1:7" x14ac:dyDescent="0.3">
      <c r="A600" s="9">
        <v>46024</v>
      </c>
      <c r="B600" s="7" t="s">
        <v>7815</v>
      </c>
      <c r="C600" s="3">
        <v>-6933.73</v>
      </c>
      <c r="D600" s="7" t="s">
        <v>7816</v>
      </c>
      <c r="E600" s="7" t="s">
        <v>7063</v>
      </c>
      <c r="G600" s="9"/>
    </row>
    <row r="601" spans="1:7" x14ac:dyDescent="0.3">
      <c r="A601" s="9">
        <v>46034</v>
      </c>
      <c r="B601" s="7" t="s">
        <v>7815</v>
      </c>
      <c r="C601" s="3">
        <v>-3405.54</v>
      </c>
      <c r="D601" s="7" t="s">
        <v>7816</v>
      </c>
      <c r="E601" s="7" t="s">
        <v>7319</v>
      </c>
      <c r="G601" s="9"/>
    </row>
    <row r="602" spans="1:7" x14ac:dyDescent="0.3">
      <c r="A602" s="9">
        <v>45985</v>
      </c>
      <c r="B602" s="7" t="s">
        <v>7815</v>
      </c>
      <c r="C602" s="3">
        <v>-6937.68</v>
      </c>
      <c r="D602" s="7" t="s">
        <v>7816</v>
      </c>
      <c r="E602" s="7" t="s">
        <v>7421</v>
      </c>
      <c r="G602" s="9"/>
    </row>
    <row r="603" spans="1:7" x14ac:dyDescent="0.3">
      <c r="A603" s="9">
        <v>45998</v>
      </c>
      <c r="B603" s="7" t="s">
        <v>7815</v>
      </c>
      <c r="C603" s="3">
        <v>-5480.79</v>
      </c>
      <c r="D603" s="7" t="s">
        <v>7816</v>
      </c>
      <c r="E603" s="7" t="s">
        <v>7610</v>
      </c>
      <c r="G603" s="9"/>
    </row>
    <row r="604" spans="1:7" x14ac:dyDescent="0.3">
      <c r="A604" s="9">
        <v>46045</v>
      </c>
      <c r="B604" s="7" t="s">
        <v>7815</v>
      </c>
      <c r="C604" s="3">
        <v>-6544.08</v>
      </c>
      <c r="D604" s="7" t="s">
        <v>7816</v>
      </c>
      <c r="E604" s="7" t="s">
        <v>7631</v>
      </c>
      <c r="G604" s="9"/>
    </row>
    <row r="605" spans="1:7" x14ac:dyDescent="0.3">
      <c r="A605" s="9">
        <v>45987</v>
      </c>
      <c r="B605" s="7" t="s">
        <v>7815</v>
      </c>
      <c r="C605" s="3">
        <v>-839.8</v>
      </c>
      <c r="D605" s="7" t="s">
        <v>7816</v>
      </c>
      <c r="E605" s="7" t="s">
        <v>7802</v>
      </c>
      <c r="G605" s="9"/>
    </row>
    <row r="606" spans="1:7" x14ac:dyDescent="0.3">
      <c r="A606" s="9">
        <v>46010</v>
      </c>
      <c r="B606" s="7" t="s">
        <v>7813</v>
      </c>
      <c r="C606" s="3">
        <v>2487.9</v>
      </c>
      <c r="D606" s="7" t="s">
        <v>7814</v>
      </c>
      <c r="E606" s="7" t="s">
        <v>3754</v>
      </c>
      <c r="G606" s="9"/>
    </row>
    <row r="607" spans="1:7" x14ac:dyDescent="0.3">
      <c r="A607" s="9">
        <v>46046</v>
      </c>
      <c r="B607" s="7" t="s">
        <v>7813</v>
      </c>
      <c r="C607" s="3">
        <v>2767.03</v>
      </c>
      <c r="D607" s="7" t="s">
        <v>7814</v>
      </c>
      <c r="E607" s="7" t="s">
        <v>3986</v>
      </c>
      <c r="G607" s="9"/>
    </row>
    <row r="608" spans="1:7" x14ac:dyDescent="0.3">
      <c r="A608" s="9">
        <v>46013</v>
      </c>
      <c r="B608" s="7" t="s">
        <v>7813</v>
      </c>
      <c r="C608" s="3">
        <v>2381.7800000000002</v>
      </c>
      <c r="D608" s="7" t="s">
        <v>7814</v>
      </c>
      <c r="E608" s="7" t="s">
        <v>4568</v>
      </c>
      <c r="G608" s="9"/>
    </row>
    <row r="609" spans="1:7" x14ac:dyDescent="0.3">
      <c r="A609" s="9">
        <v>46005</v>
      </c>
      <c r="B609" s="7" t="s">
        <v>7813</v>
      </c>
      <c r="C609" s="3">
        <v>3142.65</v>
      </c>
      <c r="D609" s="7" t="s">
        <v>7814</v>
      </c>
      <c r="E609" s="7" t="s">
        <v>5104</v>
      </c>
      <c r="G609" s="9"/>
    </row>
    <row r="610" spans="1:7" x14ac:dyDescent="0.3">
      <c r="A610" s="9">
        <v>46020</v>
      </c>
      <c r="B610" s="7" t="s">
        <v>7813</v>
      </c>
      <c r="C610" s="3">
        <v>3376.96</v>
      </c>
      <c r="D610" s="7" t="s">
        <v>7814</v>
      </c>
      <c r="E610" s="7" t="s">
        <v>5336</v>
      </c>
      <c r="G610" s="9"/>
    </row>
    <row r="611" spans="1:7" x14ac:dyDescent="0.3">
      <c r="A611" s="9">
        <v>46080</v>
      </c>
      <c r="B611" s="7" t="s">
        <v>7815</v>
      </c>
      <c r="C611" s="3">
        <v>-2203.4299999999998</v>
      </c>
      <c r="D611" s="7" t="s">
        <v>7816</v>
      </c>
      <c r="E611" s="7" t="s">
        <v>7576</v>
      </c>
      <c r="G611" s="9"/>
    </row>
    <row r="612" spans="1:7" x14ac:dyDescent="0.3">
      <c r="A612" s="9">
        <v>45967</v>
      </c>
      <c r="B612" s="7" t="s">
        <v>7813</v>
      </c>
      <c r="C612" s="3">
        <v>3531.85</v>
      </c>
      <c r="D612" s="7" t="s">
        <v>7814</v>
      </c>
      <c r="E612" s="7" t="s">
        <v>3307</v>
      </c>
      <c r="G612" s="9"/>
    </row>
    <row r="613" spans="1:7" x14ac:dyDescent="0.3">
      <c r="A613" s="9">
        <v>45966</v>
      </c>
      <c r="B613" s="7" t="s">
        <v>7813</v>
      </c>
      <c r="C613" s="3">
        <v>2999.44</v>
      </c>
      <c r="D613" s="7" t="s">
        <v>7814</v>
      </c>
      <c r="E613" s="7" t="s">
        <v>3768</v>
      </c>
      <c r="G613" s="9"/>
    </row>
    <row r="614" spans="1:7" x14ac:dyDescent="0.3">
      <c r="A614" s="9">
        <v>46016</v>
      </c>
      <c r="B614" s="7" t="s">
        <v>7813</v>
      </c>
      <c r="C614" s="3">
        <v>5146.97</v>
      </c>
      <c r="D614" s="7" t="s">
        <v>7814</v>
      </c>
      <c r="E614" s="7" t="s">
        <v>3798</v>
      </c>
      <c r="G614" s="9"/>
    </row>
    <row r="615" spans="1:7" x14ac:dyDescent="0.3">
      <c r="A615" s="9">
        <v>46046</v>
      </c>
      <c r="B615" s="7" t="s">
        <v>7813</v>
      </c>
      <c r="C615" s="3">
        <v>13358.92</v>
      </c>
      <c r="D615" s="7" t="s">
        <v>7814</v>
      </c>
      <c r="E615" s="7" t="s">
        <v>3820</v>
      </c>
      <c r="G615" s="9"/>
    </row>
    <row r="616" spans="1:7" x14ac:dyDescent="0.3">
      <c r="A616" s="9">
        <v>46062</v>
      </c>
      <c r="B616" s="7" t="s">
        <v>7813</v>
      </c>
      <c r="C616" s="3">
        <v>12054.79</v>
      </c>
      <c r="D616" s="7" t="s">
        <v>7814</v>
      </c>
      <c r="E616" s="7" t="s">
        <v>4175</v>
      </c>
      <c r="G616" s="9"/>
    </row>
    <row r="617" spans="1:7" x14ac:dyDescent="0.3">
      <c r="A617" s="9">
        <v>46079</v>
      </c>
      <c r="B617" s="7" t="s">
        <v>7815</v>
      </c>
      <c r="C617" s="3">
        <v>-4541.51</v>
      </c>
      <c r="D617" s="7" t="s">
        <v>7816</v>
      </c>
      <c r="E617" s="7" t="s">
        <v>7293</v>
      </c>
      <c r="G617" s="9"/>
    </row>
    <row r="618" spans="1:7" x14ac:dyDescent="0.3">
      <c r="A618" s="9">
        <v>46037</v>
      </c>
      <c r="B618" s="7" t="s">
        <v>7815</v>
      </c>
      <c r="C618" s="3">
        <v>-2247.83</v>
      </c>
      <c r="D618" s="7" t="s">
        <v>7816</v>
      </c>
      <c r="E618" s="7" t="s">
        <v>7408</v>
      </c>
      <c r="G618" s="9"/>
    </row>
    <row r="619" spans="1:7" x14ac:dyDescent="0.3">
      <c r="A619" s="9">
        <v>46052</v>
      </c>
      <c r="B619" s="7" t="s">
        <v>7815</v>
      </c>
      <c r="C619" s="3">
        <v>-1330.88</v>
      </c>
      <c r="D619" s="7" t="s">
        <v>7816</v>
      </c>
      <c r="E619" s="7" t="s">
        <v>7712</v>
      </c>
      <c r="G619" s="9"/>
    </row>
    <row r="620" spans="1:7" x14ac:dyDescent="0.3">
      <c r="A620" s="9">
        <v>46042</v>
      </c>
      <c r="B620" s="7" t="s">
        <v>7813</v>
      </c>
      <c r="C620" s="3">
        <v>2750.19</v>
      </c>
      <c r="D620" s="7" t="s">
        <v>7814</v>
      </c>
      <c r="E620" s="7" t="s">
        <v>3736</v>
      </c>
      <c r="G620" s="9"/>
    </row>
    <row r="621" spans="1:7" x14ac:dyDescent="0.3">
      <c r="A621" s="9">
        <v>46029</v>
      </c>
      <c r="B621" s="7" t="s">
        <v>7813</v>
      </c>
      <c r="C621" s="3">
        <v>12409.09</v>
      </c>
      <c r="D621" s="7" t="s">
        <v>7814</v>
      </c>
      <c r="E621" s="7" t="s">
        <v>4287</v>
      </c>
      <c r="G621" s="9"/>
    </row>
    <row r="622" spans="1:7" x14ac:dyDescent="0.3">
      <c r="A622" s="9">
        <v>45999</v>
      </c>
      <c r="B622" s="7" t="s">
        <v>7813</v>
      </c>
      <c r="C622" s="3">
        <v>2495.17</v>
      </c>
      <c r="D622" s="7" t="s">
        <v>7814</v>
      </c>
      <c r="E622" s="7" t="s">
        <v>4797</v>
      </c>
      <c r="G622" s="9"/>
    </row>
    <row r="623" spans="1:7" x14ac:dyDescent="0.3">
      <c r="A623" s="9">
        <v>46010</v>
      </c>
      <c r="B623" s="7" t="s">
        <v>7813</v>
      </c>
      <c r="C623" s="3">
        <v>2499.6799999999998</v>
      </c>
      <c r="D623" s="7" t="s">
        <v>7814</v>
      </c>
      <c r="E623" s="7" t="s">
        <v>5281</v>
      </c>
      <c r="G623" s="9"/>
    </row>
    <row r="624" spans="1:7" x14ac:dyDescent="0.3">
      <c r="A624" s="9">
        <v>46019</v>
      </c>
      <c r="B624" s="7" t="s">
        <v>7815</v>
      </c>
      <c r="C624" s="3">
        <v>-6764.08</v>
      </c>
      <c r="D624" s="7" t="s">
        <v>7816</v>
      </c>
      <c r="E624" s="7" t="s">
        <v>6920</v>
      </c>
      <c r="G624" s="9"/>
    </row>
    <row r="625" spans="1:7" x14ac:dyDescent="0.3">
      <c r="A625" s="9">
        <v>46052</v>
      </c>
      <c r="B625" s="7" t="s">
        <v>7815</v>
      </c>
      <c r="C625" s="3">
        <v>-3231.98</v>
      </c>
      <c r="D625" s="7" t="s">
        <v>7816</v>
      </c>
      <c r="E625" s="7" t="s">
        <v>7761</v>
      </c>
      <c r="G625" s="9"/>
    </row>
    <row r="626" spans="1:7" x14ac:dyDescent="0.3">
      <c r="A626" s="9">
        <v>46060</v>
      </c>
      <c r="B626" s="7" t="s">
        <v>7813</v>
      </c>
      <c r="C626" s="3">
        <v>12923.32</v>
      </c>
      <c r="D626" s="7" t="s">
        <v>7814</v>
      </c>
      <c r="E626" s="7" t="s">
        <v>4084</v>
      </c>
      <c r="G626" s="9"/>
    </row>
    <row r="627" spans="1:7" x14ac:dyDescent="0.3">
      <c r="A627" s="9">
        <v>46087</v>
      </c>
      <c r="B627" s="7" t="s">
        <v>7813</v>
      </c>
      <c r="C627" s="3">
        <v>3549.64</v>
      </c>
      <c r="D627" s="7" t="s">
        <v>7814</v>
      </c>
      <c r="E627" s="7" t="s">
        <v>4234</v>
      </c>
      <c r="G627" s="9"/>
    </row>
    <row r="628" spans="1:7" x14ac:dyDescent="0.3">
      <c r="A628" s="9">
        <v>46047</v>
      </c>
      <c r="B628" s="7" t="s">
        <v>7813</v>
      </c>
      <c r="C628" s="3">
        <v>3128.39</v>
      </c>
      <c r="D628" s="7" t="s">
        <v>7814</v>
      </c>
      <c r="E628" s="7" t="s">
        <v>4459</v>
      </c>
      <c r="G628" s="9"/>
    </row>
    <row r="629" spans="1:7" x14ac:dyDescent="0.3">
      <c r="A629" s="9">
        <v>46090</v>
      </c>
      <c r="B629" s="7" t="s">
        <v>7813</v>
      </c>
      <c r="C629" s="3">
        <v>1099.5999999999999</v>
      </c>
      <c r="D629" s="7" t="s">
        <v>7814</v>
      </c>
      <c r="E629" s="7" t="s">
        <v>4756</v>
      </c>
      <c r="G629" s="9"/>
    </row>
    <row r="630" spans="1:7" x14ac:dyDescent="0.3">
      <c r="A630" s="9">
        <v>45963</v>
      </c>
      <c r="B630" s="7" t="s">
        <v>7813</v>
      </c>
      <c r="C630" s="3">
        <v>1723.71</v>
      </c>
      <c r="D630" s="7" t="s">
        <v>7814</v>
      </c>
      <c r="E630" s="7" t="s">
        <v>5055</v>
      </c>
      <c r="G630" s="9"/>
    </row>
    <row r="631" spans="1:7" x14ac:dyDescent="0.3">
      <c r="A631" s="9">
        <v>45993</v>
      </c>
      <c r="B631" s="7" t="s">
        <v>7813</v>
      </c>
      <c r="C631" s="3">
        <v>5037.24</v>
      </c>
      <c r="D631" s="7" t="s">
        <v>7814</v>
      </c>
      <c r="E631" s="7" t="s">
        <v>5186</v>
      </c>
      <c r="G631" s="9"/>
    </row>
    <row r="632" spans="1:7" x14ac:dyDescent="0.3">
      <c r="A632" s="9">
        <v>46068</v>
      </c>
      <c r="B632" s="7" t="s">
        <v>7815</v>
      </c>
      <c r="C632" s="3">
        <v>-851.29</v>
      </c>
      <c r="D632" s="7" t="s">
        <v>7816</v>
      </c>
      <c r="E632" s="7" t="s">
        <v>6870</v>
      </c>
      <c r="G632" s="9"/>
    </row>
    <row r="633" spans="1:7" x14ac:dyDescent="0.3">
      <c r="A633" s="9">
        <v>46078</v>
      </c>
      <c r="B633" s="7" t="s">
        <v>7815</v>
      </c>
      <c r="C633" s="3">
        <v>-5695.95</v>
      </c>
      <c r="D633" s="7" t="s">
        <v>7816</v>
      </c>
      <c r="E633" s="7" t="s">
        <v>6945</v>
      </c>
      <c r="G633" s="9"/>
    </row>
    <row r="634" spans="1:7" x14ac:dyDescent="0.3">
      <c r="A634" s="9">
        <v>46047</v>
      </c>
      <c r="B634" s="7" t="s">
        <v>7815</v>
      </c>
      <c r="C634" s="3">
        <v>-4877.3</v>
      </c>
      <c r="D634" s="7" t="s">
        <v>7816</v>
      </c>
      <c r="E634" s="7" t="s">
        <v>7176</v>
      </c>
      <c r="G634" s="9"/>
    </row>
    <row r="635" spans="1:7" x14ac:dyDescent="0.3">
      <c r="A635" s="9">
        <v>46002</v>
      </c>
      <c r="B635" s="7" t="s">
        <v>7813</v>
      </c>
      <c r="C635" s="3">
        <v>1913.8</v>
      </c>
      <c r="D635" s="7" t="s">
        <v>7814</v>
      </c>
      <c r="E635" s="7" t="s">
        <v>3562</v>
      </c>
      <c r="G635" s="9"/>
    </row>
    <row r="636" spans="1:7" x14ac:dyDescent="0.3">
      <c r="A636" s="9">
        <v>46068</v>
      </c>
      <c r="B636" s="7" t="s">
        <v>7813</v>
      </c>
      <c r="C636" s="3">
        <v>14313.34</v>
      </c>
      <c r="D636" s="7" t="s">
        <v>7814</v>
      </c>
      <c r="E636" s="7" t="s">
        <v>4311</v>
      </c>
      <c r="G636" s="9"/>
    </row>
    <row r="637" spans="1:7" x14ac:dyDescent="0.3">
      <c r="A637" s="9">
        <v>46051</v>
      </c>
      <c r="B637" s="7" t="s">
        <v>7813</v>
      </c>
      <c r="C637" s="3">
        <v>3940.12</v>
      </c>
      <c r="D637" s="7" t="s">
        <v>7814</v>
      </c>
      <c r="E637" s="7" t="s">
        <v>4512</v>
      </c>
      <c r="G637" s="9"/>
    </row>
    <row r="638" spans="1:7" x14ac:dyDescent="0.3">
      <c r="A638" s="9">
        <v>46056</v>
      </c>
      <c r="B638" s="7" t="s">
        <v>7815</v>
      </c>
      <c r="C638" s="3">
        <v>-2157.6999999999998</v>
      </c>
      <c r="D638" s="7" t="s">
        <v>7816</v>
      </c>
      <c r="E638" s="7" t="s">
        <v>7050</v>
      </c>
      <c r="G638" s="9"/>
    </row>
    <row r="639" spans="1:7" x14ac:dyDescent="0.3">
      <c r="A639" s="9">
        <v>45982</v>
      </c>
      <c r="B639" s="7" t="s">
        <v>7815</v>
      </c>
      <c r="C639" s="3">
        <v>-4042.57</v>
      </c>
      <c r="D639" s="7" t="s">
        <v>7816</v>
      </c>
      <c r="E639" s="7" t="s">
        <v>7390</v>
      </c>
      <c r="G639" s="9"/>
    </row>
    <row r="640" spans="1:7" x14ac:dyDescent="0.3">
      <c r="A640" s="9">
        <v>46044</v>
      </c>
      <c r="B640" s="7" t="s">
        <v>7815</v>
      </c>
      <c r="C640" s="3">
        <v>-6537.23</v>
      </c>
      <c r="D640" s="7" t="s">
        <v>7816</v>
      </c>
      <c r="E640" s="7" t="s">
        <v>7434</v>
      </c>
      <c r="G640" s="9"/>
    </row>
    <row r="641" spans="1:7" x14ac:dyDescent="0.3">
      <c r="A641" s="9">
        <v>45995</v>
      </c>
      <c r="B641" s="7" t="s">
        <v>7815</v>
      </c>
      <c r="C641" s="3">
        <v>-2369.54</v>
      </c>
      <c r="D641" s="7" t="s">
        <v>7816</v>
      </c>
      <c r="E641" s="7" t="s">
        <v>7734</v>
      </c>
      <c r="G641" s="9"/>
    </row>
    <row r="642" spans="1:7" x14ac:dyDescent="0.3">
      <c r="A642" s="9">
        <v>46065</v>
      </c>
      <c r="B642" s="7" t="s">
        <v>7815</v>
      </c>
      <c r="C642" s="3">
        <v>-1463.82</v>
      </c>
      <c r="D642" s="7" t="s">
        <v>7816</v>
      </c>
      <c r="E642" s="7" t="s">
        <v>7770</v>
      </c>
      <c r="G642" s="9"/>
    </row>
    <row r="643" spans="1:7" x14ac:dyDescent="0.3">
      <c r="A643" s="9">
        <v>45963</v>
      </c>
      <c r="B643" s="7" t="s">
        <v>7813</v>
      </c>
      <c r="C643" s="3">
        <v>1338.88</v>
      </c>
      <c r="D643" s="7" t="s">
        <v>7814</v>
      </c>
      <c r="E643" s="7" t="s">
        <v>3775</v>
      </c>
      <c r="G643" s="9"/>
    </row>
    <row r="644" spans="1:7" x14ac:dyDescent="0.3">
      <c r="A644" s="9">
        <v>46038</v>
      </c>
      <c r="B644" s="7" t="s">
        <v>7813</v>
      </c>
      <c r="C644" s="3">
        <v>3093.78</v>
      </c>
      <c r="D644" s="7" t="s">
        <v>7814</v>
      </c>
      <c r="E644" s="7" t="s">
        <v>3977</v>
      </c>
      <c r="G644" s="9"/>
    </row>
    <row r="645" spans="1:7" x14ac:dyDescent="0.3">
      <c r="A645" s="9">
        <v>46083</v>
      </c>
      <c r="B645" s="7" t="s">
        <v>7813</v>
      </c>
      <c r="C645" s="3">
        <v>855.45</v>
      </c>
      <c r="D645" s="7" t="s">
        <v>7814</v>
      </c>
      <c r="E645" s="7" t="s">
        <v>4605</v>
      </c>
      <c r="G645" s="9"/>
    </row>
    <row r="646" spans="1:7" x14ac:dyDescent="0.3">
      <c r="A646" s="9">
        <v>46084</v>
      </c>
      <c r="B646" s="7" t="s">
        <v>7813</v>
      </c>
      <c r="C646" s="3">
        <v>2107.12</v>
      </c>
      <c r="D646" s="7" t="s">
        <v>7814</v>
      </c>
      <c r="E646" s="7" t="s">
        <v>5370</v>
      </c>
      <c r="G646" s="9"/>
    </row>
    <row r="647" spans="1:7" x14ac:dyDescent="0.3">
      <c r="A647" s="9">
        <v>45964</v>
      </c>
      <c r="B647" s="7" t="s">
        <v>7815</v>
      </c>
      <c r="C647" s="3">
        <v>-4075.06</v>
      </c>
      <c r="D647" s="7" t="s">
        <v>7816</v>
      </c>
      <c r="E647" s="7" t="s">
        <v>6974</v>
      </c>
      <c r="G647" s="9"/>
    </row>
    <row r="648" spans="1:7" x14ac:dyDescent="0.3">
      <c r="A648" s="9">
        <v>46023</v>
      </c>
      <c r="B648" s="7" t="s">
        <v>7815</v>
      </c>
      <c r="C648" s="3">
        <v>-3376.82</v>
      </c>
      <c r="D648" s="7" t="s">
        <v>7816</v>
      </c>
      <c r="E648" s="7" t="s">
        <v>7420</v>
      </c>
      <c r="G648" s="9"/>
    </row>
    <row r="649" spans="1:7" x14ac:dyDescent="0.3">
      <c r="A649" s="9">
        <v>46063</v>
      </c>
      <c r="B649" s="7" t="s">
        <v>7815</v>
      </c>
      <c r="C649" s="3">
        <v>-3502.78</v>
      </c>
      <c r="D649" s="7" t="s">
        <v>7816</v>
      </c>
      <c r="E649" s="7" t="s">
        <v>7651</v>
      </c>
      <c r="G649" s="9"/>
    </row>
    <row r="650" spans="1:7" x14ac:dyDescent="0.3">
      <c r="A650" s="9">
        <v>45968</v>
      </c>
      <c r="B650" s="7" t="s">
        <v>7813</v>
      </c>
      <c r="C650" s="3">
        <v>2061.12</v>
      </c>
      <c r="D650" s="7" t="s">
        <v>7814</v>
      </c>
      <c r="E650" s="7" t="s">
        <v>3965</v>
      </c>
      <c r="G650" s="9"/>
    </row>
    <row r="651" spans="1:7" x14ac:dyDescent="0.3">
      <c r="A651" s="9">
        <v>45979</v>
      </c>
      <c r="B651" s="7" t="s">
        <v>7813</v>
      </c>
      <c r="C651" s="3">
        <v>3963.71</v>
      </c>
      <c r="D651" s="7" t="s">
        <v>7814</v>
      </c>
      <c r="E651" s="7" t="s">
        <v>4485</v>
      </c>
      <c r="G651" s="9"/>
    </row>
    <row r="652" spans="1:7" x14ac:dyDescent="0.3">
      <c r="A652" s="9">
        <v>46023</v>
      </c>
      <c r="B652" s="7" t="s">
        <v>7813</v>
      </c>
      <c r="C652" s="3">
        <v>3051.3</v>
      </c>
      <c r="D652" s="7" t="s">
        <v>7814</v>
      </c>
      <c r="E652" s="7" t="s">
        <v>5072</v>
      </c>
      <c r="G652" s="9"/>
    </row>
    <row r="653" spans="1:7" x14ac:dyDescent="0.3">
      <c r="A653" s="9">
        <v>46011</v>
      </c>
      <c r="B653" s="7" t="s">
        <v>7815</v>
      </c>
      <c r="C653" s="3">
        <v>-4516.8100000000004</v>
      </c>
      <c r="D653" s="7" t="s">
        <v>7816</v>
      </c>
      <c r="E653" s="7" t="s">
        <v>7248</v>
      </c>
      <c r="G653" s="9"/>
    </row>
    <row r="654" spans="1:7" x14ac:dyDescent="0.3">
      <c r="A654" s="9">
        <v>45991</v>
      </c>
      <c r="B654" s="7" t="s">
        <v>7815</v>
      </c>
      <c r="C654" s="3">
        <v>-4464.54</v>
      </c>
      <c r="D654" s="7" t="s">
        <v>7816</v>
      </c>
      <c r="E654" s="7" t="s">
        <v>7539</v>
      </c>
      <c r="G654" s="9"/>
    </row>
    <row r="655" spans="1:7" x14ac:dyDescent="0.3">
      <c r="A655" s="9">
        <v>46008</v>
      </c>
      <c r="B655" s="7" t="s">
        <v>7813</v>
      </c>
      <c r="C655" s="3">
        <v>1930.22</v>
      </c>
      <c r="D655" s="7" t="s">
        <v>7814</v>
      </c>
      <c r="E655" s="7" t="s">
        <v>3243</v>
      </c>
      <c r="G655" s="9"/>
    </row>
    <row r="656" spans="1:7" x14ac:dyDescent="0.3">
      <c r="A656" s="9">
        <v>46054</v>
      </c>
      <c r="B656" s="7" t="s">
        <v>7813</v>
      </c>
      <c r="C656" s="3">
        <v>4530.74</v>
      </c>
      <c r="D656" s="7" t="s">
        <v>7814</v>
      </c>
      <c r="E656" s="7" t="s">
        <v>3260</v>
      </c>
      <c r="G656" s="9"/>
    </row>
    <row r="657" spans="1:7" x14ac:dyDescent="0.3">
      <c r="A657" s="9">
        <v>46053</v>
      </c>
      <c r="B657" s="7" t="s">
        <v>7813</v>
      </c>
      <c r="C657" s="3">
        <v>2614.63</v>
      </c>
      <c r="D657" s="7" t="s">
        <v>7814</v>
      </c>
      <c r="E657" s="7" t="s">
        <v>3426</v>
      </c>
      <c r="G657" s="9"/>
    </row>
    <row r="658" spans="1:7" x14ac:dyDescent="0.3">
      <c r="A658" s="9">
        <v>46004</v>
      </c>
      <c r="B658" s="7" t="s">
        <v>7813</v>
      </c>
      <c r="C658" s="3">
        <v>1619.78</v>
      </c>
      <c r="D658" s="7" t="s">
        <v>7814</v>
      </c>
      <c r="E658" s="7" t="s">
        <v>3776</v>
      </c>
      <c r="G658" s="9"/>
    </row>
    <row r="659" spans="1:7" x14ac:dyDescent="0.3">
      <c r="A659" s="9">
        <v>45999</v>
      </c>
      <c r="B659" s="7" t="s">
        <v>7813</v>
      </c>
      <c r="C659" s="3">
        <v>11577.75</v>
      </c>
      <c r="D659" s="7" t="s">
        <v>7814</v>
      </c>
      <c r="E659" s="7" t="s">
        <v>4085</v>
      </c>
      <c r="G659" s="9"/>
    </row>
    <row r="660" spans="1:7" x14ac:dyDescent="0.3">
      <c r="A660" s="9">
        <v>46081</v>
      </c>
      <c r="B660" s="7" t="s">
        <v>7813</v>
      </c>
      <c r="C660" s="3">
        <v>2733.04</v>
      </c>
      <c r="D660" s="7" t="s">
        <v>7814</v>
      </c>
      <c r="E660" s="7" t="s">
        <v>4511</v>
      </c>
      <c r="G660" s="9"/>
    </row>
    <row r="661" spans="1:7" x14ac:dyDescent="0.3">
      <c r="A661" s="9">
        <v>46081</v>
      </c>
      <c r="B661" s="7" t="s">
        <v>7813</v>
      </c>
      <c r="C661" s="3">
        <v>2897.74</v>
      </c>
      <c r="D661" s="7" t="s">
        <v>7814</v>
      </c>
      <c r="E661" s="7" t="s">
        <v>5019</v>
      </c>
      <c r="G661" s="9"/>
    </row>
    <row r="662" spans="1:7" x14ac:dyDescent="0.3">
      <c r="A662" s="9">
        <v>45994</v>
      </c>
      <c r="B662" s="7" t="s">
        <v>7813</v>
      </c>
      <c r="C662" s="3">
        <v>1472.2</v>
      </c>
      <c r="D662" s="7" t="s">
        <v>7814</v>
      </c>
      <c r="E662" s="7" t="s">
        <v>5301</v>
      </c>
      <c r="G662" s="9"/>
    </row>
    <row r="663" spans="1:7" x14ac:dyDescent="0.3">
      <c r="A663" s="9">
        <v>45990</v>
      </c>
      <c r="B663" s="7" t="s">
        <v>7815</v>
      </c>
      <c r="C663" s="3">
        <v>-6337.77</v>
      </c>
      <c r="D663" s="7" t="s">
        <v>7816</v>
      </c>
      <c r="E663" s="7" t="s">
        <v>7329</v>
      </c>
      <c r="G663" s="9"/>
    </row>
    <row r="664" spans="1:7" x14ac:dyDescent="0.3">
      <c r="A664" s="9">
        <v>45986</v>
      </c>
      <c r="B664" s="7" t="s">
        <v>7815</v>
      </c>
      <c r="C664" s="3">
        <v>-6723.21</v>
      </c>
      <c r="D664" s="7" t="s">
        <v>7816</v>
      </c>
      <c r="E664" s="7" t="s">
        <v>7464</v>
      </c>
      <c r="G664" s="9"/>
    </row>
    <row r="665" spans="1:7" x14ac:dyDescent="0.3">
      <c r="A665" s="9">
        <v>46033</v>
      </c>
      <c r="B665" s="7" t="s">
        <v>7815</v>
      </c>
      <c r="C665" s="3">
        <v>-3421.73</v>
      </c>
      <c r="D665" s="7" t="s">
        <v>7816</v>
      </c>
      <c r="E665" s="7" t="s">
        <v>7635</v>
      </c>
      <c r="G665" s="9"/>
    </row>
    <row r="666" spans="1:7" x14ac:dyDescent="0.3">
      <c r="A666" s="9">
        <v>46081</v>
      </c>
      <c r="B666" s="7" t="s">
        <v>7813</v>
      </c>
      <c r="C666" s="3">
        <v>11378.31</v>
      </c>
      <c r="D666" s="7" t="s">
        <v>7814</v>
      </c>
      <c r="E666" s="7" t="s">
        <v>4367</v>
      </c>
      <c r="G666" s="9"/>
    </row>
    <row r="667" spans="1:7" x14ac:dyDescent="0.3">
      <c r="A667" s="9">
        <v>46033</v>
      </c>
      <c r="B667" s="7" t="s">
        <v>7813</v>
      </c>
      <c r="C667" s="3">
        <v>11023.75</v>
      </c>
      <c r="D667" s="7" t="s">
        <v>7814</v>
      </c>
      <c r="E667" s="7" t="s">
        <v>4476</v>
      </c>
      <c r="G667" s="9"/>
    </row>
    <row r="668" spans="1:7" x14ac:dyDescent="0.3">
      <c r="A668" s="9">
        <v>46025</v>
      </c>
      <c r="B668" s="7" t="s">
        <v>7813</v>
      </c>
      <c r="C668" s="3">
        <v>13510.32</v>
      </c>
      <c r="D668" s="7" t="s">
        <v>7814</v>
      </c>
      <c r="E668" s="7" t="s">
        <v>4663</v>
      </c>
      <c r="G668" s="9"/>
    </row>
    <row r="669" spans="1:7" x14ac:dyDescent="0.3">
      <c r="A669" s="9">
        <v>46065</v>
      </c>
      <c r="B669" s="7" t="s">
        <v>7813</v>
      </c>
      <c r="C669" s="3">
        <v>2813.39</v>
      </c>
      <c r="D669" s="7" t="s">
        <v>7814</v>
      </c>
      <c r="E669" s="7" t="s">
        <v>4767</v>
      </c>
      <c r="G669" s="9"/>
    </row>
    <row r="670" spans="1:7" x14ac:dyDescent="0.3">
      <c r="A670" s="9">
        <v>46070</v>
      </c>
      <c r="B670" s="7" t="s">
        <v>7813</v>
      </c>
      <c r="C670" s="3">
        <v>9714.8700000000008</v>
      </c>
      <c r="D670" s="7" t="s">
        <v>7814</v>
      </c>
      <c r="E670" s="7" t="s">
        <v>4923</v>
      </c>
      <c r="G670" s="9"/>
    </row>
    <row r="671" spans="1:7" x14ac:dyDescent="0.3">
      <c r="A671" s="9">
        <v>45993</v>
      </c>
      <c r="B671" s="7" t="s">
        <v>7815</v>
      </c>
      <c r="C671" s="3">
        <v>-3444.12</v>
      </c>
      <c r="D671" s="7" t="s">
        <v>7816</v>
      </c>
      <c r="E671" s="7" t="s">
        <v>6950</v>
      </c>
      <c r="G671" s="9"/>
    </row>
    <row r="672" spans="1:7" x14ac:dyDescent="0.3">
      <c r="A672" s="9">
        <v>45979</v>
      </c>
      <c r="B672" s="7" t="s">
        <v>7813</v>
      </c>
      <c r="C672" s="3">
        <v>11891.75</v>
      </c>
      <c r="D672" s="7" t="s">
        <v>7814</v>
      </c>
      <c r="E672" s="7" t="s">
        <v>3411</v>
      </c>
      <c r="G672" s="9"/>
    </row>
    <row r="673" spans="1:7" x14ac:dyDescent="0.3">
      <c r="A673" s="9">
        <v>45994</v>
      </c>
      <c r="B673" s="7" t="s">
        <v>7813</v>
      </c>
      <c r="C673" s="3">
        <v>1702.22</v>
      </c>
      <c r="D673" s="7" t="s">
        <v>7814</v>
      </c>
      <c r="E673" s="7" t="s">
        <v>4091</v>
      </c>
      <c r="G673" s="9"/>
    </row>
    <row r="674" spans="1:7" x14ac:dyDescent="0.3">
      <c r="A674" s="9">
        <v>45998</v>
      </c>
      <c r="B674" s="7" t="s">
        <v>7813</v>
      </c>
      <c r="C674" s="3">
        <v>10628.52</v>
      </c>
      <c r="D674" s="7" t="s">
        <v>7814</v>
      </c>
      <c r="E674" s="7" t="s">
        <v>4165</v>
      </c>
      <c r="G674" s="9"/>
    </row>
    <row r="675" spans="1:7" x14ac:dyDescent="0.3">
      <c r="A675" s="9">
        <v>46084</v>
      </c>
      <c r="B675" s="7" t="s">
        <v>7813</v>
      </c>
      <c r="C675" s="3">
        <v>1887.01</v>
      </c>
      <c r="D675" s="7" t="s">
        <v>7814</v>
      </c>
      <c r="E675" s="7" t="s">
        <v>4396</v>
      </c>
      <c r="G675" s="9"/>
    </row>
    <row r="676" spans="1:7" x14ac:dyDescent="0.3">
      <c r="A676" s="9">
        <v>46031</v>
      </c>
      <c r="B676" s="7" t="s">
        <v>7813</v>
      </c>
      <c r="C676" s="3">
        <v>4155.05</v>
      </c>
      <c r="D676" s="7" t="s">
        <v>7814</v>
      </c>
      <c r="E676" s="7" t="s">
        <v>4573</v>
      </c>
      <c r="G676" s="9"/>
    </row>
    <row r="677" spans="1:7" x14ac:dyDescent="0.3">
      <c r="A677" s="9">
        <v>46002</v>
      </c>
      <c r="B677" s="7" t="s">
        <v>7813</v>
      </c>
      <c r="C677" s="3">
        <v>2080.41</v>
      </c>
      <c r="D677" s="7" t="s">
        <v>7814</v>
      </c>
      <c r="E677" s="7" t="s">
        <v>3347</v>
      </c>
      <c r="G677" s="9"/>
    </row>
    <row r="678" spans="1:7" x14ac:dyDescent="0.3">
      <c r="A678" s="9">
        <v>46051</v>
      </c>
      <c r="B678" s="7" t="s">
        <v>7813</v>
      </c>
      <c r="C678" s="3">
        <v>2574.08</v>
      </c>
      <c r="D678" s="7" t="s">
        <v>7814</v>
      </c>
      <c r="E678" s="7" t="s">
        <v>4002</v>
      </c>
      <c r="G678" s="9"/>
    </row>
    <row r="679" spans="1:7" x14ac:dyDescent="0.3">
      <c r="A679" s="9">
        <v>46066</v>
      </c>
      <c r="B679" s="7" t="s">
        <v>7813</v>
      </c>
      <c r="C679" s="3">
        <v>2774.21</v>
      </c>
      <c r="D679" s="7" t="s">
        <v>7814</v>
      </c>
      <c r="E679" s="7" t="s">
        <v>4992</v>
      </c>
      <c r="G679" s="9"/>
    </row>
    <row r="680" spans="1:7" x14ac:dyDescent="0.3">
      <c r="A680" s="9">
        <v>46004</v>
      </c>
      <c r="B680" s="7" t="s">
        <v>7813</v>
      </c>
      <c r="C680" s="3">
        <v>3436.39</v>
      </c>
      <c r="D680" s="7" t="s">
        <v>7814</v>
      </c>
      <c r="E680" s="7" t="s">
        <v>3885</v>
      </c>
      <c r="G680" s="9"/>
    </row>
    <row r="681" spans="1:7" x14ac:dyDescent="0.3">
      <c r="A681" s="9">
        <v>46013</v>
      </c>
      <c r="B681" s="7" t="s">
        <v>7813</v>
      </c>
      <c r="C681" s="3">
        <v>3115.45</v>
      </c>
      <c r="D681" s="7" t="s">
        <v>7814</v>
      </c>
      <c r="E681" s="7" t="s">
        <v>5187</v>
      </c>
      <c r="G681" s="9"/>
    </row>
    <row r="682" spans="1:7" x14ac:dyDescent="0.3">
      <c r="A682" s="9">
        <v>46063</v>
      </c>
      <c r="B682" s="7" t="s">
        <v>7813</v>
      </c>
      <c r="C682" s="3">
        <v>1030.48</v>
      </c>
      <c r="D682" s="7" t="s">
        <v>7814</v>
      </c>
      <c r="E682" s="7" t="s">
        <v>5351</v>
      </c>
      <c r="G682" s="9"/>
    </row>
    <row r="683" spans="1:7" x14ac:dyDescent="0.3">
      <c r="A683" s="9">
        <v>46023</v>
      </c>
      <c r="B683" s="7" t="s">
        <v>7815</v>
      </c>
      <c r="C683" s="3">
        <v>-1947.12</v>
      </c>
      <c r="D683" s="7" t="s">
        <v>7816</v>
      </c>
      <c r="E683" s="7" t="s">
        <v>7454</v>
      </c>
      <c r="G683" s="9"/>
    </row>
    <row r="684" spans="1:7" x14ac:dyDescent="0.3">
      <c r="A684" s="9">
        <v>45991</v>
      </c>
      <c r="B684" s="7" t="s">
        <v>7815</v>
      </c>
      <c r="C684" s="3">
        <v>-1588.54</v>
      </c>
      <c r="D684" s="7" t="s">
        <v>7816</v>
      </c>
      <c r="E684" s="7" t="s">
        <v>7677</v>
      </c>
      <c r="G684" s="9"/>
    </row>
    <row r="685" spans="1:7" x14ac:dyDescent="0.3">
      <c r="A685" s="9">
        <v>46088</v>
      </c>
      <c r="B685" s="7" t="s">
        <v>7813</v>
      </c>
      <c r="C685" s="3">
        <v>13116.41</v>
      </c>
      <c r="D685" s="7" t="s">
        <v>7814</v>
      </c>
      <c r="E685" s="7" t="s">
        <v>3624</v>
      </c>
      <c r="G685" s="9"/>
    </row>
    <row r="686" spans="1:7" x14ac:dyDescent="0.3">
      <c r="A686" s="9">
        <v>46070</v>
      </c>
      <c r="B686" s="7" t="s">
        <v>7813</v>
      </c>
      <c r="C686" s="3">
        <v>1669.07</v>
      </c>
      <c r="D686" s="7" t="s">
        <v>7814</v>
      </c>
      <c r="E686" s="7" t="s">
        <v>5086</v>
      </c>
      <c r="G686" s="9"/>
    </row>
    <row r="687" spans="1:7" x14ac:dyDescent="0.3">
      <c r="A687" s="9">
        <v>45974</v>
      </c>
      <c r="B687" s="7" t="s">
        <v>7813</v>
      </c>
      <c r="C687" s="3">
        <v>5847.82</v>
      </c>
      <c r="D687" s="7" t="s">
        <v>7814</v>
      </c>
      <c r="E687" s="7" t="s">
        <v>5101</v>
      </c>
      <c r="G687" s="9"/>
    </row>
    <row r="688" spans="1:7" x14ac:dyDescent="0.3">
      <c r="A688" s="9">
        <v>46076</v>
      </c>
      <c r="B688" s="7" t="s">
        <v>7815</v>
      </c>
      <c r="C688" s="3">
        <v>-2823.66</v>
      </c>
      <c r="D688" s="7" t="s">
        <v>7816</v>
      </c>
      <c r="E688" s="7" t="s">
        <v>7285</v>
      </c>
      <c r="G688" s="9"/>
    </row>
    <row r="689" spans="1:7" x14ac:dyDescent="0.3">
      <c r="A689" s="9">
        <v>46075</v>
      </c>
      <c r="B689" s="7" t="s">
        <v>7813</v>
      </c>
      <c r="C689" s="3">
        <v>2998.94</v>
      </c>
      <c r="D689" s="7" t="s">
        <v>7814</v>
      </c>
      <c r="E689" s="7" t="s">
        <v>3609</v>
      </c>
      <c r="G689" s="9"/>
    </row>
    <row r="690" spans="1:7" x14ac:dyDescent="0.3">
      <c r="A690" s="9">
        <v>46083</v>
      </c>
      <c r="B690" s="7" t="s">
        <v>7813</v>
      </c>
      <c r="C690" s="3">
        <v>3118.51</v>
      </c>
      <c r="D690" s="7" t="s">
        <v>7814</v>
      </c>
      <c r="E690" s="7" t="s">
        <v>4152</v>
      </c>
      <c r="G690" s="9"/>
    </row>
    <row r="691" spans="1:7" x14ac:dyDescent="0.3">
      <c r="A691" s="9">
        <v>46011</v>
      </c>
      <c r="B691" s="7" t="s">
        <v>7813</v>
      </c>
      <c r="C691" s="3">
        <v>3238.21</v>
      </c>
      <c r="D691" s="7" t="s">
        <v>7814</v>
      </c>
      <c r="E691" s="7" t="s">
        <v>4249</v>
      </c>
      <c r="G691" s="9"/>
    </row>
    <row r="692" spans="1:7" x14ac:dyDescent="0.3">
      <c r="A692" s="9">
        <v>46078</v>
      </c>
      <c r="B692" s="7" t="s">
        <v>7813</v>
      </c>
      <c r="C692" s="3">
        <v>2410.1</v>
      </c>
      <c r="D692" s="7" t="s">
        <v>7814</v>
      </c>
      <c r="E692" s="7" t="s">
        <v>4454</v>
      </c>
      <c r="G692" s="9"/>
    </row>
    <row r="693" spans="1:7" x14ac:dyDescent="0.3">
      <c r="A693" s="9">
        <v>45979</v>
      </c>
      <c r="B693" s="7" t="s">
        <v>7813</v>
      </c>
      <c r="C693" s="3">
        <v>2825.31</v>
      </c>
      <c r="D693" s="7" t="s">
        <v>7814</v>
      </c>
      <c r="E693" s="7" t="s">
        <v>4791</v>
      </c>
      <c r="G693" s="9"/>
    </row>
    <row r="694" spans="1:7" x14ac:dyDescent="0.3">
      <c r="A694" s="9">
        <v>46059</v>
      </c>
      <c r="B694" s="7" t="s">
        <v>7815</v>
      </c>
      <c r="C694" s="3">
        <v>-3623.74</v>
      </c>
      <c r="D694" s="7" t="s">
        <v>7816</v>
      </c>
      <c r="E694" s="7" t="s">
        <v>7034</v>
      </c>
      <c r="G694" s="9"/>
    </row>
    <row r="695" spans="1:7" x14ac:dyDescent="0.3">
      <c r="A695" s="9">
        <v>45986</v>
      </c>
      <c r="B695" s="7" t="s">
        <v>7815</v>
      </c>
      <c r="C695" s="3">
        <v>-5344.21</v>
      </c>
      <c r="D695" s="7" t="s">
        <v>7816</v>
      </c>
      <c r="E695" s="7" t="s">
        <v>7465</v>
      </c>
      <c r="G695" s="9"/>
    </row>
    <row r="696" spans="1:7" x14ac:dyDescent="0.3">
      <c r="A696" s="9">
        <v>46090</v>
      </c>
      <c r="B696" s="7" t="s">
        <v>7817</v>
      </c>
      <c r="C696" s="3">
        <v>-102573.12</v>
      </c>
      <c r="D696" s="7" t="s">
        <v>7816</v>
      </c>
      <c r="E696" s="7" t="s">
        <v>7818</v>
      </c>
      <c r="G696" s="9"/>
    </row>
    <row r="697" spans="1:7" x14ac:dyDescent="0.3">
      <c r="A697" s="9">
        <v>46036</v>
      </c>
      <c r="B697" s="7" t="s">
        <v>7813</v>
      </c>
      <c r="C697" s="3">
        <v>2112.73</v>
      </c>
      <c r="D697" s="7" t="s">
        <v>7814</v>
      </c>
      <c r="E697" s="7" t="s">
        <v>3348</v>
      </c>
      <c r="G697" s="9"/>
    </row>
    <row r="698" spans="1:7" x14ac:dyDescent="0.3">
      <c r="A698" s="9">
        <v>45972</v>
      </c>
      <c r="B698" s="7" t="s">
        <v>7813</v>
      </c>
      <c r="C698" s="3">
        <v>2431.1</v>
      </c>
      <c r="D698" s="7" t="s">
        <v>7814</v>
      </c>
      <c r="E698" s="7" t="s">
        <v>3355</v>
      </c>
      <c r="G698" s="9"/>
    </row>
    <row r="699" spans="1:7" x14ac:dyDescent="0.3">
      <c r="A699" s="9">
        <v>45991</v>
      </c>
      <c r="B699" s="7" t="s">
        <v>7813</v>
      </c>
      <c r="C699" s="3">
        <v>2450.89</v>
      </c>
      <c r="D699" s="7" t="s">
        <v>7814</v>
      </c>
      <c r="E699" s="7" t="s">
        <v>3961</v>
      </c>
      <c r="G699" s="9"/>
    </row>
    <row r="700" spans="1:7" x14ac:dyDescent="0.3">
      <c r="A700" s="9">
        <v>46049</v>
      </c>
      <c r="B700" s="7" t="s">
        <v>7813</v>
      </c>
      <c r="C700" s="3">
        <v>3711.27</v>
      </c>
      <c r="D700" s="7" t="s">
        <v>7814</v>
      </c>
      <c r="E700" s="7" t="s">
        <v>4254</v>
      </c>
      <c r="G700" s="9"/>
    </row>
    <row r="701" spans="1:7" x14ac:dyDescent="0.3">
      <c r="A701" s="9">
        <v>46073</v>
      </c>
      <c r="B701" s="7" t="s">
        <v>7813</v>
      </c>
      <c r="C701" s="3">
        <v>10962.32</v>
      </c>
      <c r="D701" s="7" t="s">
        <v>7814</v>
      </c>
      <c r="E701" s="7" t="s">
        <v>4442</v>
      </c>
      <c r="G701" s="9"/>
    </row>
    <row r="702" spans="1:7" x14ac:dyDescent="0.3">
      <c r="A702" s="9">
        <v>46049</v>
      </c>
      <c r="B702" s="7" t="s">
        <v>7813</v>
      </c>
      <c r="C702" s="3">
        <v>2684.52</v>
      </c>
      <c r="D702" s="7" t="s">
        <v>7814</v>
      </c>
      <c r="E702" s="7" t="s">
        <v>4564</v>
      </c>
      <c r="G702" s="9"/>
    </row>
    <row r="703" spans="1:7" x14ac:dyDescent="0.3">
      <c r="A703" s="9">
        <v>45964</v>
      </c>
      <c r="B703" s="7" t="s">
        <v>7813</v>
      </c>
      <c r="C703" s="3">
        <v>11899.82</v>
      </c>
      <c r="D703" s="7" t="s">
        <v>7814</v>
      </c>
      <c r="E703" s="7" t="s">
        <v>5327</v>
      </c>
      <c r="G703" s="9"/>
    </row>
    <row r="704" spans="1:7" x14ac:dyDescent="0.3">
      <c r="A704" s="9">
        <v>46074</v>
      </c>
      <c r="B704" s="7" t="s">
        <v>7815</v>
      </c>
      <c r="C704" s="3">
        <v>-6207.59</v>
      </c>
      <c r="D704" s="7" t="s">
        <v>7816</v>
      </c>
      <c r="E704" s="7" t="s">
        <v>6867</v>
      </c>
      <c r="G704" s="9"/>
    </row>
    <row r="705" spans="1:7" x14ac:dyDescent="0.3">
      <c r="A705" s="9">
        <v>45980</v>
      </c>
      <c r="B705" s="7" t="s">
        <v>7813</v>
      </c>
      <c r="C705" s="3">
        <v>1882.16</v>
      </c>
      <c r="D705" s="7" t="s">
        <v>7814</v>
      </c>
      <c r="E705" s="7" t="s">
        <v>3510</v>
      </c>
      <c r="G705" s="9"/>
    </row>
    <row r="706" spans="1:7" x14ac:dyDescent="0.3">
      <c r="A706" s="9">
        <v>46043</v>
      </c>
      <c r="B706" s="7" t="s">
        <v>7813</v>
      </c>
      <c r="C706" s="3">
        <v>3229.04</v>
      </c>
      <c r="D706" s="7" t="s">
        <v>7814</v>
      </c>
      <c r="E706" s="7" t="s">
        <v>4197</v>
      </c>
      <c r="G706" s="9"/>
    </row>
    <row r="707" spans="1:7" x14ac:dyDescent="0.3">
      <c r="A707" s="9">
        <v>46063</v>
      </c>
      <c r="B707" s="7" t="s">
        <v>7813</v>
      </c>
      <c r="C707" s="3">
        <v>2154.25</v>
      </c>
      <c r="D707" s="7" t="s">
        <v>7814</v>
      </c>
      <c r="E707" s="7" t="s">
        <v>4484</v>
      </c>
      <c r="G707" s="9"/>
    </row>
    <row r="708" spans="1:7" x14ac:dyDescent="0.3">
      <c r="A708" s="9">
        <v>46016</v>
      </c>
      <c r="B708" s="7" t="s">
        <v>7815</v>
      </c>
      <c r="C708" s="3">
        <v>-1263.06</v>
      </c>
      <c r="D708" s="7" t="s">
        <v>7816</v>
      </c>
      <c r="E708" s="7" t="s">
        <v>7509</v>
      </c>
      <c r="G708" s="9"/>
    </row>
    <row r="709" spans="1:7" x14ac:dyDescent="0.3">
      <c r="A709" s="9">
        <v>46006</v>
      </c>
      <c r="B709" s="7" t="s">
        <v>7813</v>
      </c>
      <c r="C709" s="3">
        <v>3137.77</v>
      </c>
      <c r="D709" s="7" t="s">
        <v>7814</v>
      </c>
      <c r="E709" s="7" t="s">
        <v>3335</v>
      </c>
      <c r="G709" s="9"/>
    </row>
    <row r="710" spans="1:7" x14ac:dyDescent="0.3">
      <c r="A710" s="9">
        <v>45995</v>
      </c>
      <c r="B710" s="7" t="s">
        <v>7813</v>
      </c>
      <c r="C710" s="3">
        <v>3132.38</v>
      </c>
      <c r="D710" s="7" t="s">
        <v>7814</v>
      </c>
      <c r="E710" s="7" t="s">
        <v>3546</v>
      </c>
      <c r="G710" s="9"/>
    </row>
    <row r="711" spans="1:7" x14ac:dyDescent="0.3">
      <c r="A711" s="9">
        <v>45986</v>
      </c>
      <c r="B711" s="7" t="s">
        <v>7813</v>
      </c>
      <c r="C711" s="3">
        <v>13138.14</v>
      </c>
      <c r="D711" s="7" t="s">
        <v>7814</v>
      </c>
      <c r="E711" s="7" t="s">
        <v>3838</v>
      </c>
      <c r="G711" s="9"/>
    </row>
    <row r="712" spans="1:7" x14ac:dyDescent="0.3">
      <c r="A712" s="9">
        <v>45962</v>
      </c>
      <c r="B712" s="7" t="s">
        <v>7813</v>
      </c>
      <c r="C712" s="3">
        <v>2966.74</v>
      </c>
      <c r="D712" s="7" t="s">
        <v>7814</v>
      </c>
      <c r="E712" s="7" t="s">
        <v>4636</v>
      </c>
      <c r="G712" s="9"/>
    </row>
    <row r="713" spans="1:7" x14ac:dyDescent="0.3">
      <c r="A713" s="9">
        <v>45965</v>
      </c>
      <c r="B713" s="7" t="s">
        <v>7815</v>
      </c>
      <c r="C713" s="3">
        <v>-5241.75</v>
      </c>
      <c r="D713" s="7" t="s">
        <v>7816</v>
      </c>
      <c r="E713" s="7" t="s">
        <v>7085</v>
      </c>
      <c r="G713" s="9"/>
    </row>
    <row r="714" spans="1:7" x14ac:dyDescent="0.3">
      <c r="A714" s="9">
        <v>45962</v>
      </c>
      <c r="B714" s="7" t="s">
        <v>7815</v>
      </c>
      <c r="C714" s="3">
        <v>-1510.93</v>
      </c>
      <c r="D714" s="7" t="s">
        <v>7816</v>
      </c>
      <c r="E714" s="7" t="s">
        <v>7109</v>
      </c>
      <c r="G714" s="9"/>
    </row>
    <row r="715" spans="1:7" x14ac:dyDescent="0.3">
      <c r="A715" s="9">
        <v>46001</v>
      </c>
      <c r="B715" s="7" t="s">
        <v>7815</v>
      </c>
      <c r="C715" s="3">
        <v>-6304.69</v>
      </c>
      <c r="D715" s="7" t="s">
        <v>7816</v>
      </c>
      <c r="E715" s="7" t="s">
        <v>7138</v>
      </c>
      <c r="G715" s="9"/>
    </row>
    <row r="716" spans="1:7" x14ac:dyDescent="0.3">
      <c r="A716" s="9">
        <v>46059</v>
      </c>
      <c r="B716" s="7" t="s">
        <v>7815</v>
      </c>
      <c r="C716" s="3">
        <v>-6749.47</v>
      </c>
      <c r="D716" s="7" t="s">
        <v>7816</v>
      </c>
      <c r="E716" s="7" t="s">
        <v>7717</v>
      </c>
      <c r="G716" s="9"/>
    </row>
    <row r="717" spans="1:7" x14ac:dyDescent="0.3">
      <c r="A717" s="9">
        <v>46014</v>
      </c>
      <c r="B717" s="7" t="s">
        <v>7815</v>
      </c>
      <c r="C717" s="3">
        <v>-4995.7700000000004</v>
      </c>
      <c r="D717" s="7" t="s">
        <v>7816</v>
      </c>
      <c r="E717" s="7" t="s">
        <v>7796</v>
      </c>
      <c r="G717" s="9"/>
    </row>
    <row r="718" spans="1:7" x14ac:dyDescent="0.3">
      <c r="A718" s="9">
        <v>46005</v>
      </c>
      <c r="B718" s="7" t="s">
        <v>7813</v>
      </c>
      <c r="C718" s="3">
        <v>5961.55</v>
      </c>
      <c r="D718" s="7" t="s">
        <v>7814</v>
      </c>
      <c r="E718" s="7" t="s">
        <v>3224</v>
      </c>
      <c r="G718" s="9"/>
    </row>
    <row r="719" spans="1:7" x14ac:dyDescent="0.3">
      <c r="A719" s="9">
        <v>45995</v>
      </c>
      <c r="B719" s="7" t="s">
        <v>7813</v>
      </c>
      <c r="C719" s="3">
        <v>2481.65</v>
      </c>
      <c r="D719" s="7" t="s">
        <v>7814</v>
      </c>
      <c r="E719" s="7" t="s">
        <v>3868</v>
      </c>
      <c r="G719" s="9"/>
    </row>
    <row r="720" spans="1:7" x14ac:dyDescent="0.3">
      <c r="A720" s="9">
        <v>46020</v>
      </c>
      <c r="B720" s="7" t="s">
        <v>7813</v>
      </c>
      <c r="C720" s="3">
        <v>2647.79</v>
      </c>
      <c r="D720" s="7" t="s">
        <v>7814</v>
      </c>
      <c r="E720" s="7" t="s">
        <v>4069</v>
      </c>
      <c r="G720" s="9"/>
    </row>
    <row r="721" spans="1:7" x14ac:dyDescent="0.3">
      <c r="A721" s="9">
        <v>46031</v>
      </c>
      <c r="B721" s="7" t="s">
        <v>7813</v>
      </c>
      <c r="C721" s="3">
        <v>3180.09</v>
      </c>
      <c r="D721" s="7" t="s">
        <v>7814</v>
      </c>
      <c r="E721" s="7" t="s">
        <v>4633</v>
      </c>
      <c r="G721" s="9"/>
    </row>
    <row r="722" spans="1:7" x14ac:dyDescent="0.3">
      <c r="A722" s="9">
        <v>46001</v>
      </c>
      <c r="B722" s="7" t="s">
        <v>7813</v>
      </c>
      <c r="C722" s="3">
        <v>10929.14</v>
      </c>
      <c r="D722" s="7" t="s">
        <v>7814</v>
      </c>
      <c r="E722" s="7" t="s">
        <v>4846</v>
      </c>
      <c r="G722" s="9"/>
    </row>
    <row r="723" spans="1:7" x14ac:dyDescent="0.3">
      <c r="A723" s="9">
        <v>46036</v>
      </c>
      <c r="B723" s="7" t="s">
        <v>7815</v>
      </c>
      <c r="C723" s="3">
        <v>-1864.32</v>
      </c>
      <c r="D723" s="7" t="s">
        <v>7816</v>
      </c>
      <c r="E723" s="7" t="s">
        <v>6900</v>
      </c>
      <c r="G723" s="9"/>
    </row>
    <row r="724" spans="1:7" x14ac:dyDescent="0.3">
      <c r="A724" s="9">
        <v>45962</v>
      </c>
      <c r="B724" s="7" t="s">
        <v>7815</v>
      </c>
      <c r="C724" s="3">
        <v>-1074.28</v>
      </c>
      <c r="D724" s="7" t="s">
        <v>7816</v>
      </c>
      <c r="E724" s="7" t="s">
        <v>7394</v>
      </c>
      <c r="G724" s="9"/>
    </row>
    <row r="725" spans="1:7" x14ac:dyDescent="0.3">
      <c r="A725" s="9">
        <v>46048</v>
      </c>
      <c r="B725" s="7" t="s">
        <v>7813</v>
      </c>
      <c r="C725" s="3">
        <v>1466.36</v>
      </c>
      <c r="D725" s="7" t="s">
        <v>7814</v>
      </c>
      <c r="E725" s="7" t="s">
        <v>4420</v>
      </c>
      <c r="G725" s="9"/>
    </row>
    <row r="726" spans="1:7" x14ac:dyDescent="0.3">
      <c r="A726" s="9">
        <v>46009</v>
      </c>
      <c r="B726" s="7" t="s">
        <v>7815</v>
      </c>
      <c r="C726" s="3">
        <v>-5444.05</v>
      </c>
      <c r="D726" s="7" t="s">
        <v>7816</v>
      </c>
      <c r="E726" s="7" t="s">
        <v>7259</v>
      </c>
      <c r="G726" s="9"/>
    </row>
    <row r="727" spans="1:7" x14ac:dyDescent="0.3">
      <c r="A727" s="9">
        <v>46051</v>
      </c>
      <c r="B727" s="7" t="s">
        <v>7813</v>
      </c>
      <c r="C727" s="3">
        <v>12264.85</v>
      </c>
      <c r="D727" s="7" t="s">
        <v>7814</v>
      </c>
      <c r="E727" s="7" t="s">
        <v>3183</v>
      </c>
      <c r="G727" s="9"/>
    </row>
    <row r="728" spans="1:7" x14ac:dyDescent="0.3">
      <c r="A728" s="9">
        <v>45985</v>
      </c>
      <c r="B728" s="7" t="s">
        <v>7813</v>
      </c>
      <c r="C728" s="3">
        <v>11583.59</v>
      </c>
      <c r="D728" s="7" t="s">
        <v>7814</v>
      </c>
      <c r="E728" s="7" t="s">
        <v>3215</v>
      </c>
      <c r="G728" s="9"/>
    </row>
    <row r="729" spans="1:7" x14ac:dyDescent="0.3">
      <c r="A729" s="9">
        <v>46015</v>
      </c>
      <c r="B729" s="7" t="s">
        <v>7813</v>
      </c>
      <c r="C729" s="3">
        <v>2897.33</v>
      </c>
      <c r="D729" s="7" t="s">
        <v>7814</v>
      </c>
      <c r="E729" s="7" t="s">
        <v>3650</v>
      </c>
      <c r="G729" s="9"/>
    </row>
    <row r="730" spans="1:7" x14ac:dyDescent="0.3">
      <c r="A730" s="9">
        <v>45968</v>
      </c>
      <c r="B730" s="7" t="s">
        <v>7813</v>
      </c>
      <c r="C730" s="3">
        <v>4214.1099999999997</v>
      </c>
      <c r="D730" s="7" t="s">
        <v>7814</v>
      </c>
      <c r="E730" s="7" t="s">
        <v>3899</v>
      </c>
      <c r="G730" s="9"/>
    </row>
    <row r="731" spans="1:7" x14ac:dyDescent="0.3">
      <c r="A731" s="9">
        <v>46010</v>
      </c>
      <c r="B731" s="7" t="s">
        <v>7813</v>
      </c>
      <c r="C731" s="3">
        <v>3902.23</v>
      </c>
      <c r="D731" s="7" t="s">
        <v>7814</v>
      </c>
      <c r="E731" s="7" t="s">
        <v>3973</v>
      </c>
      <c r="G731" s="9"/>
    </row>
    <row r="732" spans="1:7" x14ac:dyDescent="0.3">
      <c r="A732" s="9">
        <v>45976</v>
      </c>
      <c r="B732" s="7" t="s">
        <v>7813</v>
      </c>
      <c r="C732" s="3">
        <v>2677.93</v>
      </c>
      <c r="D732" s="7" t="s">
        <v>7814</v>
      </c>
      <c r="E732" s="7" t="s">
        <v>4522</v>
      </c>
      <c r="G732" s="9"/>
    </row>
    <row r="733" spans="1:7" x14ac:dyDescent="0.3">
      <c r="A733" s="9">
        <v>45971</v>
      </c>
      <c r="B733" s="7" t="s">
        <v>7813</v>
      </c>
      <c r="C733" s="3">
        <v>2573.34</v>
      </c>
      <c r="D733" s="7" t="s">
        <v>7814</v>
      </c>
      <c r="E733" s="7" t="s">
        <v>5082</v>
      </c>
      <c r="G733" s="9"/>
    </row>
    <row r="734" spans="1:7" x14ac:dyDescent="0.3">
      <c r="A734" s="9">
        <v>46017</v>
      </c>
      <c r="B734" s="7" t="s">
        <v>7813</v>
      </c>
      <c r="C734" s="3">
        <v>2653.53</v>
      </c>
      <c r="D734" s="7" t="s">
        <v>7814</v>
      </c>
      <c r="E734" s="7" t="s">
        <v>5116</v>
      </c>
      <c r="G734" s="9"/>
    </row>
    <row r="735" spans="1:7" x14ac:dyDescent="0.3">
      <c r="A735" s="9">
        <v>46036</v>
      </c>
      <c r="B735" s="7" t="s">
        <v>7813</v>
      </c>
      <c r="C735" s="3">
        <v>2093.8200000000002</v>
      </c>
      <c r="D735" s="7" t="s">
        <v>7814</v>
      </c>
      <c r="E735" s="7" t="s">
        <v>5242</v>
      </c>
      <c r="G735" s="9"/>
    </row>
    <row r="736" spans="1:7" x14ac:dyDescent="0.3">
      <c r="A736" s="9">
        <v>46071</v>
      </c>
      <c r="B736" s="7" t="s">
        <v>7813</v>
      </c>
      <c r="C736" s="3">
        <v>2068.27</v>
      </c>
      <c r="D736" s="7" t="s">
        <v>7814</v>
      </c>
      <c r="E736" s="7" t="s">
        <v>4102</v>
      </c>
      <c r="G736" s="9"/>
    </row>
    <row r="737" spans="1:7" x14ac:dyDescent="0.3">
      <c r="A737" s="9">
        <v>45978</v>
      </c>
      <c r="B737" s="7" t="s">
        <v>7813</v>
      </c>
      <c r="C737" s="3">
        <v>1776.29</v>
      </c>
      <c r="D737" s="7" t="s">
        <v>7814</v>
      </c>
      <c r="E737" s="7" t="s">
        <v>4486</v>
      </c>
      <c r="G737" s="9"/>
    </row>
    <row r="738" spans="1:7" x14ac:dyDescent="0.3">
      <c r="A738" s="9">
        <v>46047</v>
      </c>
      <c r="B738" s="7" t="s">
        <v>7813</v>
      </c>
      <c r="C738" s="3">
        <v>3170.9</v>
      </c>
      <c r="D738" s="7" t="s">
        <v>7814</v>
      </c>
      <c r="E738" s="7" t="s">
        <v>4637</v>
      </c>
      <c r="G738" s="9"/>
    </row>
    <row r="739" spans="1:7" x14ac:dyDescent="0.3">
      <c r="A739" s="9">
        <v>46069</v>
      </c>
      <c r="B739" s="7" t="s">
        <v>7813</v>
      </c>
      <c r="C739" s="3">
        <v>10032.799999999999</v>
      </c>
      <c r="D739" s="7" t="s">
        <v>7814</v>
      </c>
      <c r="E739" s="7" t="s">
        <v>5053</v>
      </c>
      <c r="G739" s="9"/>
    </row>
    <row r="740" spans="1:7" x14ac:dyDescent="0.3">
      <c r="A740" s="9">
        <v>45998</v>
      </c>
      <c r="B740" s="7" t="s">
        <v>7813</v>
      </c>
      <c r="C740" s="3">
        <v>5972.41</v>
      </c>
      <c r="D740" s="7" t="s">
        <v>7814</v>
      </c>
      <c r="E740" s="7" t="s">
        <v>5273</v>
      </c>
      <c r="G740" s="9"/>
    </row>
    <row r="741" spans="1:7" x14ac:dyDescent="0.3">
      <c r="A741" s="9">
        <v>45962</v>
      </c>
      <c r="B741" s="7" t="s">
        <v>7813</v>
      </c>
      <c r="C741" s="3">
        <v>3188.74</v>
      </c>
      <c r="D741" s="7" t="s">
        <v>7814</v>
      </c>
      <c r="E741" s="7" t="s">
        <v>5391</v>
      </c>
      <c r="G741" s="9"/>
    </row>
    <row r="742" spans="1:7" x14ac:dyDescent="0.3">
      <c r="A742" s="9">
        <v>45994</v>
      </c>
      <c r="B742" s="7" t="s">
        <v>7815</v>
      </c>
      <c r="C742" s="3">
        <v>-1712.41</v>
      </c>
      <c r="D742" s="7" t="s">
        <v>7816</v>
      </c>
      <c r="E742" s="7" t="s">
        <v>7033</v>
      </c>
      <c r="G742" s="9"/>
    </row>
    <row r="743" spans="1:7" x14ac:dyDescent="0.3">
      <c r="A743" s="9">
        <v>46059</v>
      </c>
      <c r="B743" s="7" t="s">
        <v>7815</v>
      </c>
      <c r="C743" s="3">
        <v>-2640.48</v>
      </c>
      <c r="D743" s="7" t="s">
        <v>7816</v>
      </c>
      <c r="E743" s="7" t="s">
        <v>7208</v>
      </c>
      <c r="G743" s="9"/>
    </row>
    <row r="744" spans="1:7" x14ac:dyDescent="0.3">
      <c r="A744" s="9">
        <v>46059</v>
      </c>
      <c r="B744" s="7" t="s">
        <v>7815</v>
      </c>
      <c r="C744" s="3">
        <v>-5526.03</v>
      </c>
      <c r="D744" s="7" t="s">
        <v>7816</v>
      </c>
      <c r="E744" s="7" t="s">
        <v>7679</v>
      </c>
      <c r="G744" s="9"/>
    </row>
    <row r="745" spans="1:7" x14ac:dyDescent="0.3">
      <c r="A745" s="9">
        <v>46004</v>
      </c>
      <c r="B745" s="7" t="s">
        <v>7815</v>
      </c>
      <c r="C745" s="3">
        <v>-2732.24</v>
      </c>
      <c r="D745" s="7" t="s">
        <v>7816</v>
      </c>
      <c r="E745" s="7" t="s">
        <v>7747</v>
      </c>
      <c r="G745" s="9"/>
    </row>
    <row r="746" spans="1:7" x14ac:dyDescent="0.3">
      <c r="A746" s="9">
        <v>46033</v>
      </c>
      <c r="B746" s="7" t="s">
        <v>7815</v>
      </c>
      <c r="C746" s="3">
        <v>-5542.46</v>
      </c>
      <c r="D746" s="7" t="s">
        <v>7816</v>
      </c>
      <c r="E746" s="7" t="s">
        <v>7807</v>
      </c>
      <c r="G746" s="9"/>
    </row>
    <row r="747" spans="1:7" x14ac:dyDescent="0.3">
      <c r="A747" s="9">
        <v>46017</v>
      </c>
      <c r="B747" s="7" t="s">
        <v>7813</v>
      </c>
      <c r="C747" s="3">
        <v>2495.4699999999998</v>
      </c>
      <c r="D747" s="7" t="s">
        <v>7814</v>
      </c>
      <c r="E747" s="7" t="s">
        <v>5375</v>
      </c>
      <c r="G747" s="9"/>
    </row>
    <row r="748" spans="1:7" x14ac:dyDescent="0.3">
      <c r="A748" s="9">
        <v>46052</v>
      </c>
      <c r="B748" s="7" t="s">
        <v>7815</v>
      </c>
      <c r="C748" s="3">
        <v>-5138.78</v>
      </c>
      <c r="D748" s="7" t="s">
        <v>7816</v>
      </c>
      <c r="E748" s="7" t="s">
        <v>7331</v>
      </c>
      <c r="G748" s="9"/>
    </row>
    <row r="749" spans="1:7" x14ac:dyDescent="0.3">
      <c r="A749" s="9">
        <v>46031</v>
      </c>
      <c r="B749" s="7" t="s">
        <v>7815</v>
      </c>
      <c r="C749" s="3">
        <v>-4496.82</v>
      </c>
      <c r="D749" s="7" t="s">
        <v>7816</v>
      </c>
      <c r="E749" s="7" t="s">
        <v>7554</v>
      </c>
      <c r="G749" s="9"/>
    </row>
    <row r="750" spans="1:7" x14ac:dyDescent="0.3">
      <c r="A750" s="9">
        <v>46005</v>
      </c>
      <c r="B750" s="7" t="s">
        <v>7815</v>
      </c>
      <c r="C750" s="3">
        <v>-6647.02</v>
      </c>
      <c r="D750" s="7" t="s">
        <v>7816</v>
      </c>
      <c r="E750" s="7" t="s">
        <v>7616</v>
      </c>
      <c r="G750" s="9"/>
    </row>
    <row r="751" spans="1:7" x14ac:dyDescent="0.3">
      <c r="A751" s="9">
        <v>45988</v>
      </c>
      <c r="B751" s="7" t="s">
        <v>7813</v>
      </c>
      <c r="C751" s="3">
        <v>3192.37</v>
      </c>
      <c r="D751" s="7" t="s">
        <v>7814</v>
      </c>
      <c r="E751" s="7" t="s">
        <v>3840</v>
      </c>
      <c r="G751" s="9"/>
    </row>
    <row r="752" spans="1:7" x14ac:dyDescent="0.3">
      <c r="A752" s="9">
        <v>46011</v>
      </c>
      <c r="B752" s="7" t="s">
        <v>7813</v>
      </c>
      <c r="C752" s="3">
        <v>12730.79</v>
      </c>
      <c r="D752" s="7" t="s">
        <v>7814</v>
      </c>
      <c r="E752" s="7" t="s">
        <v>3924</v>
      </c>
      <c r="G752" s="9"/>
    </row>
    <row r="753" spans="1:7" x14ac:dyDescent="0.3">
      <c r="A753" s="9">
        <v>46087</v>
      </c>
      <c r="B753" s="7" t="s">
        <v>7813</v>
      </c>
      <c r="C753" s="3">
        <v>3088.28</v>
      </c>
      <c r="D753" s="7" t="s">
        <v>7814</v>
      </c>
      <c r="E753" s="7" t="s">
        <v>5334</v>
      </c>
      <c r="G753" s="9"/>
    </row>
    <row r="754" spans="1:7" x14ac:dyDescent="0.3">
      <c r="A754" s="9">
        <v>46063</v>
      </c>
      <c r="B754" s="7" t="s">
        <v>7815</v>
      </c>
      <c r="C754" s="3">
        <v>-6320.21</v>
      </c>
      <c r="D754" s="7" t="s">
        <v>7816</v>
      </c>
      <c r="E754" s="7" t="s">
        <v>7074</v>
      </c>
      <c r="G754" s="9"/>
    </row>
    <row r="755" spans="1:7" x14ac:dyDescent="0.3">
      <c r="A755" s="9">
        <v>46029</v>
      </c>
      <c r="B755" s="7" t="s">
        <v>7815</v>
      </c>
      <c r="C755" s="3">
        <v>-4700.4399999999996</v>
      </c>
      <c r="D755" s="7" t="s">
        <v>7816</v>
      </c>
      <c r="E755" s="7" t="s">
        <v>7164</v>
      </c>
      <c r="G755" s="9"/>
    </row>
    <row r="756" spans="1:7" x14ac:dyDescent="0.3">
      <c r="A756" s="9">
        <v>46004</v>
      </c>
      <c r="B756" s="7" t="s">
        <v>7815</v>
      </c>
      <c r="C756" s="3">
        <v>-1393</v>
      </c>
      <c r="D756" s="7" t="s">
        <v>7816</v>
      </c>
      <c r="E756" s="7" t="s">
        <v>7198</v>
      </c>
      <c r="G756" s="9"/>
    </row>
    <row r="757" spans="1:7" x14ac:dyDescent="0.3">
      <c r="A757" s="9">
        <v>46060</v>
      </c>
      <c r="B757" s="7" t="s">
        <v>7815</v>
      </c>
      <c r="C757" s="3">
        <v>-1420.93</v>
      </c>
      <c r="D757" s="7" t="s">
        <v>7816</v>
      </c>
      <c r="E757" s="7" t="s">
        <v>7398</v>
      </c>
      <c r="G757" s="9"/>
    </row>
    <row r="758" spans="1:7" x14ac:dyDescent="0.3">
      <c r="A758" s="9">
        <v>45968</v>
      </c>
      <c r="B758" s="7" t="s">
        <v>7815</v>
      </c>
      <c r="C758" s="3">
        <v>-6063.78</v>
      </c>
      <c r="D758" s="7" t="s">
        <v>7816</v>
      </c>
      <c r="E758" s="7" t="s">
        <v>7475</v>
      </c>
      <c r="G758" s="9"/>
    </row>
    <row r="759" spans="1:7" x14ac:dyDescent="0.3">
      <c r="A759" s="9">
        <v>46034</v>
      </c>
      <c r="B759" s="7" t="s">
        <v>7813</v>
      </c>
      <c r="C759" s="3">
        <v>3315.73</v>
      </c>
      <c r="D759" s="7" t="s">
        <v>7814</v>
      </c>
      <c r="E759" s="7" t="s">
        <v>3209</v>
      </c>
      <c r="G759" s="9"/>
    </row>
    <row r="760" spans="1:7" x14ac:dyDescent="0.3">
      <c r="A760" s="9">
        <v>46037</v>
      </c>
      <c r="B760" s="7" t="s">
        <v>7813</v>
      </c>
      <c r="C760" s="3">
        <v>3809.18</v>
      </c>
      <c r="D760" s="7" t="s">
        <v>7814</v>
      </c>
      <c r="E760" s="7" t="s">
        <v>3267</v>
      </c>
      <c r="G760" s="9"/>
    </row>
    <row r="761" spans="1:7" x14ac:dyDescent="0.3">
      <c r="A761" s="9">
        <v>46061</v>
      </c>
      <c r="B761" s="7" t="s">
        <v>7813</v>
      </c>
      <c r="C761" s="3">
        <v>3075.03</v>
      </c>
      <c r="D761" s="7" t="s">
        <v>7814</v>
      </c>
      <c r="E761" s="7" t="s">
        <v>3456</v>
      </c>
      <c r="G761" s="9"/>
    </row>
    <row r="762" spans="1:7" x14ac:dyDescent="0.3">
      <c r="A762" s="9">
        <v>46027</v>
      </c>
      <c r="B762" s="7" t="s">
        <v>7813</v>
      </c>
      <c r="C762" s="3">
        <v>1757.78</v>
      </c>
      <c r="D762" s="7" t="s">
        <v>7814</v>
      </c>
      <c r="E762" s="7" t="s">
        <v>3524</v>
      </c>
      <c r="G762" s="9"/>
    </row>
    <row r="763" spans="1:7" x14ac:dyDescent="0.3">
      <c r="A763" s="9">
        <v>46048</v>
      </c>
      <c r="B763" s="7" t="s">
        <v>7813</v>
      </c>
      <c r="C763" s="3">
        <v>1985.94</v>
      </c>
      <c r="D763" s="7" t="s">
        <v>7814</v>
      </c>
      <c r="E763" s="7" t="s">
        <v>3625</v>
      </c>
      <c r="G763" s="9"/>
    </row>
    <row r="764" spans="1:7" x14ac:dyDescent="0.3">
      <c r="A764" s="9">
        <v>45986</v>
      </c>
      <c r="B764" s="7" t="s">
        <v>7813</v>
      </c>
      <c r="C764" s="3">
        <v>2751.46</v>
      </c>
      <c r="D764" s="7" t="s">
        <v>7814</v>
      </c>
      <c r="E764" s="7" t="s">
        <v>3633</v>
      </c>
      <c r="G764" s="9"/>
    </row>
    <row r="765" spans="1:7" x14ac:dyDescent="0.3">
      <c r="A765" s="9">
        <v>45976</v>
      </c>
      <c r="B765" s="7" t="s">
        <v>7813</v>
      </c>
      <c r="C765" s="3">
        <v>13576.45</v>
      </c>
      <c r="D765" s="7" t="s">
        <v>7814</v>
      </c>
      <c r="E765" s="7" t="s">
        <v>3873</v>
      </c>
      <c r="G765" s="9"/>
    </row>
    <row r="766" spans="1:7" x14ac:dyDescent="0.3">
      <c r="A766" s="9">
        <v>46084</v>
      </c>
      <c r="B766" s="7" t="s">
        <v>7813</v>
      </c>
      <c r="C766" s="3">
        <v>3500.39</v>
      </c>
      <c r="D766" s="7" t="s">
        <v>7814</v>
      </c>
      <c r="E766" s="7" t="s">
        <v>4383</v>
      </c>
      <c r="G766" s="9"/>
    </row>
    <row r="767" spans="1:7" x14ac:dyDescent="0.3">
      <c r="A767" s="9">
        <v>46054</v>
      </c>
      <c r="B767" s="7" t="s">
        <v>7813</v>
      </c>
      <c r="C767" s="3">
        <v>2165.65</v>
      </c>
      <c r="D767" s="7" t="s">
        <v>7814</v>
      </c>
      <c r="E767" s="7" t="s">
        <v>4758</v>
      </c>
      <c r="G767" s="9"/>
    </row>
    <row r="768" spans="1:7" x14ac:dyDescent="0.3">
      <c r="A768" s="9">
        <v>46083</v>
      </c>
      <c r="B768" s="7" t="s">
        <v>7813</v>
      </c>
      <c r="C768" s="3">
        <v>3473.33</v>
      </c>
      <c r="D768" s="7" t="s">
        <v>7814</v>
      </c>
      <c r="E768" s="7" t="s">
        <v>5110</v>
      </c>
      <c r="G768" s="9"/>
    </row>
    <row r="769" spans="1:7" x14ac:dyDescent="0.3">
      <c r="A769" s="9">
        <v>46036</v>
      </c>
      <c r="B769" s="7" t="s">
        <v>7815</v>
      </c>
      <c r="C769" s="3">
        <v>-3180.48</v>
      </c>
      <c r="D769" s="7" t="s">
        <v>7816</v>
      </c>
      <c r="E769" s="7" t="s">
        <v>7376</v>
      </c>
      <c r="G769" s="9"/>
    </row>
    <row r="770" spans="1:7" x14ac:dyDescent="0.3">
      <c r="A770" s="9">
        <v>45966</v>
      </c>
      <c r="B770" s="7" t="s">
        <v>7815</v>
      </c>
      <c r="C770" s="3">
        <v>-1025.28</v>
      </c>
      <c r="D770" s="7" t="s">
        <v>7816</v>
      </c>
      <c r="E770" s="7" t="s">
        <v>7702</v>
      </c>
      <c r="G770" s="9"/>
    </row>
    <row r="771" spans="1:7" x14ac:dyDescent="0.3">
      <c r="A771" s="9">
        <v>45982</v>
      </c>
      <c r="B771" s="7" t="s">
        <v>7813</v>
      </c>
      <c r="C771" s="3">
        <v>2025.08</v>
      </c>
      <c r="D771" s="7" t="s">
        <v>7814</v>
      </c>
      <c r="E771" s="7" t="s">
        <v>4255</v>
      </c>
      <c r="G771" s="9"/>
    </row>
    <row r="772" spans="1:7" x14ac:dyDescent="0.3">
      <c r="A772" s="9">
        <v>46010</v>
      </c>
      <c r="B772" s="7" t="s">
        <v>7813</v>
      </c>
      <c r="C772" s="3">
        <v>2937.58</v>
      </c>
      <c r="D772" s="7" t="s">
        <v>7814</v>
      </c>
      <c r="E772" s="7" t="s">
        <v>5117</v>
      </c>
      <c r="G772" s="9"/>
    </row>
    <row r="773" spans="1:7" x14ac:dyDescent="0.3">
      <c r="A773" s="9">
        <v>45962</v>
      </c>
      <c r="B773" s="7" t="s">
        <v>7815</v>
      </c>
      <c r="C773" s="3">
        <v>-4693.63</v>
      </c>
      <c r="D773" s="7" t="s">
        <v>7816</v>
      </c>
      <c r="E773" s="7" t="s">
        <v>6850</v>
      </c>
      <c r="G773" s="9"/>
    </row>
    <row r="774" spans="1:7" x14ac:dyDescent="0.3">
      <c r="A774" s="9">
        <v>46060</v>
      </c>
      <c r="B774" s="7" t="s">
        <v>7815</v>
      </c>
      <c r="C774" s="3">
        <v>-1177.95</v>
      </c>
      <c r="D774" s="7" t="s">
        <v>7816</v>
      </c>
      <c r="E774" s="7" t="s">
        <v>6926</v>
      </c>
      <c r="G774" s="9"/>
    </row>
    <row r="775" spans="1:7" x14ac:dyDescent="0.3">
      <c r="A775" s="9">
        <v>45969</v>
      </c>
      <c r="B775" s="7" t="s">
        <v>7815</v>
      </c>
      <c r="C775" s="3">
        <v>-4455.32</v>
      </c>
      <c r="D775" s="7" t="s">
        <v>7816</v>
      </c>
      <c r="E775" s="7" t="s">
        <v>7084</v>
      </c>
      <c r="G775" s="9"/>
    </row>
    <row r="776" spans="1:7" x14ac:dyDescent="0.3">
      <c r="A776" s="9">
        <v>46004</v>
      </c>
      <c r="B776" s="7" t="s">
        <v>7815</v>
      </c>
      <c r="C776" s="3">
        <v>-1836.77</v>
      </c>
      <c r="D776" s="7" t="s">
        <v>7816</v>
      </c>
      <c r="E776" s="7" t="s">
        <v>7525</v>
      </c>
      <c r="G776" s="9"/>
    </row>
    <row r="777" spans="1:7" x14ac:dyDescent="0.3">
      <c r="A777" s="9">
        <v>45983</v>
      </c>
      <c r="B777" s="7" t="s">
        <v>7813</v>
      </c>
      <c r="C777" s="3">
        <v>1498.45</v>
      </c>
      <c r="D777" s="7" t="s">
        <v>7814</v>
      </c>
      <c r="E777" s="7" t="s">
        <v>3201</v>
      </c>
      <c r="G777" s="9"/>
    </row>
    <row r="778" spans="1:7" x14ac:dyDescent="0.3">
      <c r="A778" s="9">
        <v>46080</v>
      </c>
      <c r="B778" s="7" t="s">
        <v>7813</v>
      </c>
      <c r="C778" s="3">
        <v>1442.51</v>
      </c>
      <c r="D778" s="7" t="s">
        <v>7814</v>
      </c>
      <c r="E778" s="7" t="s">
        <v>3634</v>
      </c>
      <c r="G778" s="9"/>
    </row>
    <row r="779" spans="1:7" x14ac:dyDescent="0.3">
      <c r="A779" s="9">
        <v>46049</v>
      </c>
      <c r="B779" s="7" t="s">
        <v>7813</v>
      </c>
      <c r="C779" s="3">
        <v>3928.46</v>
      </c>
      <c r="D779" s="7" t="s">
        <v>7814</v>
      </c>
      <c r="E779" s="7" t="s">
        <v>3984</v>
      </c>
      <c r="G779" s="9"/>
    </row>
    <row r="780" spans="1:7" x14ac:dyDescent="0.3">
      <c r="A780" s="9">
        <v>46030</v>
      </c>
      <c r="B780" s="7" t="s">
        <v>7813</v>
      </c>
      <c r="C780" s="3">
        <v>2013.32</v>
      </c>
      <c r="D780" s="7" t="s">
        <v>7814</v>
      </c>
      <c r="E780" s="7" t="s">
        <v>5036</v>
      </c>
      <c r="G780" s="9"/>
    </row>
    <row r="781" spans="1:7" x14ac:dyDescent="0.3">
      <c r="A781" s="9">
        <v>46047</v>
      </c>
      <c r="B781" s="7" t="s">
        <v>7813</v>
      </c>
      <c r="C781" s="3">
        <v>2076.9</v>
      </c>
      <c r="D781" s="7" t="s">
        <v>7814</v>
      </c>
      <c r="E781" s="7" t="s">
        <v>5165</v>
      </c>
      <c r="G781" s="9"/>
    </row>
    <row r="782" spans="1:7" x14ac:dyDescent="0.3">
      <c r="A782" s="9">
        <v>46011</v>
      </c>
      <c r="B782" s="7" t="s">
        <v>7813</v>
      </c>
      <c r="C782" s="3">
        <v>4731.3900000000003</v>
      </c>
      <c r="D782" s="7" t="s">
        <v>7814</v>
      </c>
      <c r="E782" s="7" t="s">
        <v>5292</v>
      </c>
      <c r="G782" s="9"/>
    </row>
    <row r="783" spans="1:7" x14ac:dyDescent="0.3">
      <c r="A783" s="9">
        <v>45975</v>
      </c>
      <c r="B783" s="7" t="s">
        <v>7815</v>
      </c>
      <c r="C783" s="3">
        <v>-4825.46</v>
      </c>
      <c r="D783" s="7" t="s">
        <v>7816</v>
      </c>
      <c r="E783" s="7" t="s">
        <v>7271</v>
      </c>
      <c r="G783" s="9"/>
    </row>
    <row r="784" spans="1:7" x14ac:dyDescent="0.3">
      <c r="A784" s="9">
        <v>46074</v>
      </c>
      <c r="B784" s="7" t="s">
        <v>7815</v>
      </c>
      <c r="C784" s="3">
        <v>-1726.33</v>
      </c>
      <c r="D784" s="7" t="s">
        <v>7816</v>
      </c>
      <c r="E784" s="7" t="s">
        <v>7278</v>
      </c>
      <c r="G784" s="9"/>
    </row>
    <row r="785" spans="1:7" x14ac:dyDescent="0.3">
      <c r="A785" s="9">
        <v>45978</v>
      </c>
      <c r="B785" s="7" t="s">
        <v>7815</v>
      </c>
      <c r="C785" s="3">
        <v>-2502.5</v>
      </c>
      <c r="D785" s="7" t="s">
        <v>7816</v>
      </c>
      <c r="E785" s="7" t="s">
        <v>7346</v>
      </c>
      <c r="G785" s="9"/>
    </row>
    <row r="786" spans="1:7" x14ac:dyDescent="0.3">
      <c r="A786" s="9">
        <v>45964</v>
      </c>
      <c r="B786" s="7" t="s">
        <v>7813</v>
      </c>
      <c r="C786" s="3">
        <v>10044.24</v>
      </c>
      <c r="D786" s="7" t="s">
        <v>7814</v>
      </c>
      <c r="E786" s="7" t="s">
        <v>4260</v>
      </c>
      <c r="G786" s="9"/>
    </row>
    <row r="787" spans="1:7" x14ac:dyDescent="0.3">
      <c r="A787" s="9">
        <v>46013</v>
      </c>
      <c r="B787" s="7" t="s">
        <v>7813</v>
      </c>
      <c r="C787" s="3">
        <v>2154.2199999999998</v>
      </c>
      <c r="D787" s="7" t="s">
        <v>7814</v>
      </c>
      <c r="E787" s="7" t="s">
        <v>4902</v>
      </c>
      <c r="G787" s="9"/>
    </row>
    <row r="788" spans="1:7" x14ac:dyDescent="0.3">
      <c r="A788" s="9">
        <v>45982</v>
      </c>
      <c r="B788" s="7" t="s">
        <v>7813</v>
      </c>
      <c r="C788" s="3">
        <v>3721.67</v>
      </c>
      <c r="D788" s="7" t="s">
        <v>7814</v>
      </c>
      <c r="E788" s="7" t="s">
        <v>5039</v>
      </c>
      <c r="G788" s="9"/>
    </row>
    <row r="789" spans="1:7" x14ac:dyDescent="0.3">
      <c r="A789" s="9">
        <v>45976</v>
      </c>
      <c r="B789" s="7" t="s">
        <v>7815</v>
      </c>
      <c r="C789" s="3">
        <v>-6826.09</v>
      </c>
      <c r="D789" s="7" t="s">
        <v>7816</v>
      </c>
      <c r="E789" s="7" t="s">
        <v>7423</v>
      </c>
      <c r="G789" s="9"/>
    </row>
    <row r="790" spans="1:7" x14ac:dyDescent="0.3">
      <c r="A790" s="9">
        <v>46083</v>
      </c>
      <c r="B790" s="7" t="s">
        <v>7815</v>
      </c>
      <c r="C790" s="3">
        <v>-2366.6799999999998</v>
      </c>
      <c r="D790" s="7" t="s">
        <v>7816</v>
      </c>
      <c r="E790" s="7" t="s">
        <v>7437</v>
      </c>
      <c r="G790" s="9"/>
    </row>
    <row r="791" spans="1:7" x14ac:dyDescent="0.3">
      <c r="A791" s="9">
        <v>46050</v>
      </c>
      <c r="B791" s="7" t="s">
        <v>7813</v>
      </c>
      <c r="C791" s="3">
        <v>2836.45</v>
      </c>
      <c r="D791" s="7" t="s">
        <v>7814</v>
      </c>
      <c r="E791" s="7" t="s">
        <v>4172</v>
      </c>
      <c r="G791" s="9"/>
    </row>
    <row r="792" spans="1:7" x14ac:dyDescent="0.3">
      <c r="A792" s="9">
        <v>46084</v>
      </c>
      <c r="B792" s="7" t="s">
        <v>7813</v>
      </c>
      <c r="C792" s="3">
        <v>1918.8</v>
      </c>
      <c r="D792" s="7" t="s">
        <v>7814</v>
      </c>
      <c r="E792" s="7" t="s">
        <v>4308</v>
      </c>
      <c r="G792" s="9"/>
    </row>
    <row r="793" spans="1:7" x14ac:dyDescent="0.3">
      <c r="A793" s="9">
        <v>46077</v>
      </c>
      <c r="B793" s="7" t="s">
        <v>7815</v>
      </c>
      <c r="C793" s="3">
        <v>-3236.1</v>
      </c>
      <c r="D793" s="7" t="s">
        <v>7816</v>
      </c>
      <c r="E793" s="7" t="s">
        <v>7614</v>
      </c>
      <c r="G793" s="9"/>
    </row>
    <row r="794" spans="1:7" x14ac:dyDescent="0.3">
      <c r="A794" s="9">
        <v>45982</v>
      </c>
      <c r="B794" s="7" t="s">
        <v>7813</v>
      </c>
      <c r="C794" s="3">
        <v>1911.26</v>
      </c>
      <c r="D794" s="7" t="s">
        <v>7814</v>
      </c>
      <c r="E794" s="7" t="s">
        <v>4250</v>
      </c>
      <c r="G794" s="9"/>
    </row>
    <row r="795" spans="1:7" x14ac:dyDescent="0.3">
      <c r="A795" s="9">
        <v>46016</v>
      </c>
      <c r="B795" s="7" t="s">
        <v>7813</v>
      </c>
      <c r="C795" s="3">
        <v>3460.56</v>
      </c>
      <c r="D795" s="7" t="s">
        <v>7814</v>
      </c>
      <c r="E795" s="7" t="s">
        <v>4381</v>
      </c>
      <c r="G795" s="9"/>
    </row>
    <row r="796" spans="1:7" x14ac:dyDescent="0.3">
      <c r="A796" s="9">
        <v>46075</v>
      </c>
      <c r="B796" s="7" t="s">
        <v>7813</v>
      </c>
      <c r="C796" s="3">
        <v>1546.1</v>
      </c>
      <c r="D796" s="7" t="s">
        <v>7814</v>
      </c>
      <c r="E796" s="7" t="s">
        <v>4503</v>
      </c>
      <c r="G796" s="9"/>
    </row>
    <row r="797" spans="1:7" x14ac:dyDescent="0.3">
      <c r="A797" s="9">
        <v>46080</v>
      </c>
      <c r="B797" s="7" t="s">
        <v>7813</v>
      </c>
      <c r="C797" s="3">
        <v>1823.91</v>
      </c>
      <c r="D797" s="7" t="s">
        <v>7814</v>
      </c>
      <c r="E797" s="7" t="s">
        <v>4976</v>
      </c>
      <c r="G797" s="9"/>
    </row>
    <row r="798" spans="1:7" x14ac:dyDescent="0.3">
      <c r="A798" s="9">
        <v>46025</v>
      </c>
      <c r="B798" s="7" t="s">
        <v>7813</v>
      </c>
      <c r="C798" s="3">
        <v>3446.52</v>
      </c>
      <c r="D798" s="7" t="s">
        <v>7814</v>
      </c>
      <c r="E798" s="7" t="s">
        <v>5287</v>
      </c>
      <c r="G798" s="9"/>
    </row>
    <row r="799" spans="1:7" x14ac:dyDescent="0.3">
      <c r="A799" s="9">
        <v>46083</v>
      </c>
      <c r="B799" s="7" t="s">
        <v>7815</v>
      </c>
      <c r="C799" s="3">
        <v>-5799.7</v>
      </c>
      <c r="D799" s="7" t="s">
        <v>7816</v>
      </c>
      <c r="E799" s="7" t="s">
        <v>7485</v>
      </c>
      <c r="G799" s="9"/>
    </row>
    <row r="800" spans="1:7" x14ac:dyDescent="0.3">
      <c r="A800" s="9">
        <v>46089</v>
      </c>
      <c r="B800" s="7" t="s">
        <v>7813</v>
      </c>
      <c r="C800" s="3">
        <v>5166.8599999999997</v>
      </c>
      <c r="D800" s="7" t="s">
        <v>7814</v>
      </c>
      <c r="E800" s="7" t="s">
        <v>4133</v>
      </c>
      <c r="G800" s="9"/>
    </row>
    <row r="801" spans="1:7" x14ac:dyDescent="0.3">
      <c r="A801" s="9">
        <v>46026</v>
      </c>
      <c r="B801" s="7" t="s">
        <v>7813</v>
      </c>
      <c r="C801" s="3">
        <v>1068.71</v>
      </c>
      <c r="D801" s="7" t="s">
        <v>7814</v>
      </c>
      <c r="E801" s="7" t="s">
        <v>5011</v>
      </c>
      <c r="G801" s="9"/>
    </row>
    <row r="802" spans="1:7" x14ac:dyDescent="0.3">
      <c r="A802" s="9">
        <v>46029</v>
      </c>
      <c r="B802" s="7" t="s">
        <v>7813</v>
      </c>
      <c r="C802" s="3">
        <v>4011.12</v>
      </c>
      <c r="D802" s="7" t="s">
        <v>7814</v>
      </c>
      <c r="E802" s="7" t="s">
        <v>5230</v>
      </c>
      <c r="G802" s="9"/>
    </row>
    <row r="803" spans="1:7" x14ac:dyDescent="0.3">
      <c r="A803" s="9">
        <v>45981</v>
      </c>
      <c r="B803" s="7" t="s">
        <v>7815</v>
      </c>
      <c r="C803" s="3">
        <v>-2069.0500000000002</v>
      </c>
      <c r="D803" s="7" t="s">
        <v>7816</v>
      </c>
      <c r="E803" s="7" t="s">
        <v>6888</v>
      </c>
      <c r="G803" s="9"/>
    </row>
    <row r="804" spans="1:7" x14ac:dyDescent="0.3">
      <c r="A804" s="9">
        <v>46012</v>
      </c>
      <c r="B804" s="7" t="s">
        <v>7815</v>
      </c>
      <c r="C804" s="3">
        <v>-5592.04</v>
      </c>
      <c r="D804" s="7" t="s">
        <v>7816</v>
      </c>
      <c r="E804" s="7" t="s">
        <v>7606</v>
      </c>
      <c r="G804" s="9"/>
    </row>
    <row r="805" spans="1:7" x14ac:dyDescent="0.3">
      <c r="A805" s="9">
        <v>45985</v>
      </c>
      <c r="B805" s="7" t="s">
        <v>7813</v>
      </c>
      <c r="C805" s="3">
        <v>3553.49</v>
      </c>
      <c r="D805" s="7" t="s">
        <v>7814</v>
      </c>
      <c r="E805" s="7" t="s">
        <v>4563</v>
      </c>
      <c r="G805" s="9"/>
    </row>
    <row r="806" spans="1:7" x14ac:dyDescent="0.3">
      <c r="A806" s="9">
        <v>46072</v>
      </c>
      <c r="B806" s="7" t="s">
        <v>7815</v>
      </c>
      <c r="C806" s="3">
        <v>-903.43</v>
      </c>
      <c r="D806" s="7" t="s">
        <v>7816</v>
      </c>
      <c r="E806" s="7" t="s">
        <v>7204</v>
      </c>
      <c r="G806" s="9"/>
    </row>
    <row r="807" spans="1:7" x14ac:dyDescent="0.3">
      <c r="A807" s="9">
        <v>46060</v>
      </c>
      <c r="B807" s="7" t="s">
        <v>7813</v>
      </c>
      <c r="C807" s="3">
        <v>2553.2600000000002</v>
      </c>
      <c r="D807" s="7" t="s">
        <v>7814</v>
      </c>
      <c r="E807" s="7" t="s">
        <v>4292</v>
      </c>
      <c r="G807" s="9"/>
    </row>
    <row r="808" spans="1:7" x14ac:dyDescent="0.3">
      <c r="A808" s="9">
        <v>46020</v>
      </c>
      <c r="B808" s="7" t="s">
        <v>7815</v>
      </c>
      <c r="C808" s="3">
        <v>-2080.8200000000002</v>
      </c>
      <c r="D808" s="7" t="s">
        <v>7816</v>
      </c>
      <c r="E808" s="7" t="s">
        <v>6856</v>
      </c>
      <c r="G808" s="9"/>
    </row>
    <row r="809" spans="1:7" x14ac:dyDescent="0.3">
      <c r="A809" s="9">
        <v>45969</v>
      </c>
      <c r="B809" s="7" t="s">
        <v>7815</v>
      </c>
      <c r="C809" s="3">
        <v>-6071.91</v>
      </c>
      <c r="D809" s="7" t="s">
        <v>7816</v>
      </c>
      <c r="E809" s="7" t="s">
        <v>7294</v>
      </c>
      <c r="G809" s="9"/>
    </row>
    <row r="810" spans="1:7" x14ac:dyDescent="0.3">
      <c r="A810" s="9">
        <v>46049</v>
      </c>
      <c r="B810" s="7" t="s">
        <v>7815</v>
      </c>
      <c r="C810" s="3">
        <v>-2168.1799999999998</v>
      </c>
      <c r="D810" s="7" t="s">
        <v>7816</v>
      </c>
      <c r="E810" s="7" t="s">
        <v>7497</v>
      </c>
      <c r="G810" s="9"/>
    </row>
    <row r="811" spans="1:7" x14ac:dyDescent="0.3">
      <c r="A811" s="9">
        <v>46019</v>
      </c>
      <c r="B811" s="7" t="s">
        <v>7813</v>
      </c>
      <c r="C811" s="3">
        <v>4954.91</v>
      </c>
      <c r="D811" s="7" t="s">
        <v>7814</v>
      </c>
      <c r="E811" s="7" t="s">
        <v>3421</v>
      </c>
      <c r="G811" s="9"/>
    </row>
    <row r="812" spans="1:7" x14ac:dyDescent="0.3">
      <c r="A812" s="9">
        <v>45992</v>
      </c>
      <c r="B812" s="7" t="s">
        <v>7813</v>
      </c>
      <c r="C812" s="3">
        <v>3152.02</v>
      </c>
      <c r="D812" s="7" t="s">
        <v>7814</v>
      </c>
      <c r="E812" s="7" t="s">
        <v>3687</v>
      </c>
      <c r="G812" s="9"/>
    </row>
    <row r="813" spans="1:7" x14ac:dyDescent="0.3">
      <c r="A813" s="9">
        <v>46053</v>
      </c>
      <c r="B813" s="7" t="s">
        <v>7813</v>
      </c>
      <c r="C813" s="3">
        <v>2726.71</v>
      </c>
      <c r="D813" s="7" t="s">
        <v>7814</v>
      </c>
      <c r="E813" s="7" t="s">
        <v>4238</v>
      </c>
      <c r="G813" s="9"/>
    </row>
    <row r="814" spans="1:7" x14ac:dyDescent="0.3">
      <c r="A814" s="9">
        <v>46087</v>
      </c>
      <c r="B814" s="7" t="s">
        <v>7813</v>
      </c>
      <c r="C814" s="3">
        <v>2109.0300000000002</v>
      </c>
      <c r="D814" s="7" t="s">
        <v>7814</v>
      </c>
      <c r="E814" s="7" t="s">
        <v>4688</v>
      </c>
      <c r="G814" s="9"/>
    </row>
    <row r="815" spans="1:7" x14ac:dyDescent="0.3">
      <c r="A815" s="9">
        <v>45969</v>
      </c>
      <c r="B815" s="7" t="s">
        <v>7815</v>
      </c>
      <c r="C815" s="3">
        <v>-3254.02</v>
      </c>
      <c r="D815" s="7" t="s">
        <v>7816</v>
      </c>
      <c r="E815" s="7" t="s">
        <v>7263</v>
      </c>
      <c r="G815" s="9"/>
    </row>
    <row r="816" spans="1:7" x14ac:dyDescent="0.3">
      <c r="A816" s="9">
        <v>46064</v>
      </c>
      <c r="B816" s="7" t="s">
        <v>7815</v>
      </c>
      <c r="C816" s="3">
        <v>-1571.01</v>
      </c>
      <c r="D816" s="7" t="s">
        <v>7816</v>
      </c>
      <c r="E816" s="7" t="s">
        <v>7275</v>
      </c>
      <c r="G816" s="9"/>
    </row>
    <row r="817" spans="1:7" x14ac:dyDescent="0.3">
      <c r="A817" s="9">
        <v>46019</v>
      </c>
      <c r="B817" s="7" t="s">
        <v>7815</v>
      </c>
      <c r="C817" s="3">
        <v>-5948.34</v>
      </c>
      <c r="D817" s="7" t="s">
        <v>7816</v>
      </c>
      <c r="E817" s="7" t="s">
        <v>7471</v>
      </c>
      <c r="G817" s="9"/>
    </row>
    <row r="818" spans="1:7" x14ac:dyDescent="0.3">
      <c r="A818" s="9">
        <v>46001</v>
      </c>
      <c r="B818" s="7" t="s">
        <v>7813</v>
      </c>
      <c r="C818" s="3">
        <v>2322.3000000000002</v>
      </c>
      <c r="D818" s="7" t="s">
        <v>7814</v>
      </c>
      <c r="E818" s="7" t="s">
        <v>3178</v>
      </c>
      <c r="G818" s="9"/>
    </row>
    <row r="819" spans="1:7" x14ac:dyDescent="0.3">
      <c r="A819" s="9">
        <v>46008</v>
      </c>
      <c r="B819" s="7" t="s">
        <v>7813</v>
      </c>
      <c r="C819" s="3">
        <v>3571.98</v>
      </c>
      <c r="D819" s="7" t="s">
        <v>7814</v>
      </c>
      <c r="E819" s="7" t="s">
        <v>3484</v>
      </c>
      <c r="G819" s="9"/>
    </row>
    <row r="820" spans="1:7" x14ac:dyDescent="0.3">
      <c r="A820" s="9">
        <v>46035</v>
      </c>
      <c r="B820" s="7" t="s">
        <v>7813</v>
      </c>
      <c r="C820" s="3">
        <v>5578.54</v>
      </c>
      <c r="D820" s="7" t="s">
        <v>7814</v>
      </c>
      <c r="E820" s="7" t="s">
        <v>4124</v>
      </c>
      <c r="G820" s="9"/>
    </row>
    <row r="821" spans="1:7" x14ac:dyDescent="0.3">
      <c r="A821" s="9">
        <v>45989</v>
      </c>
      <c r="B821" s="7" t="s">
        <v>7813</v>
      </c>
      <c r="C821" s="3">
        <v>2147.17</v>
      </c>
      <c r="D821" s="7" t="s">
        <v>7814</v>
      </c>
      <c r="E821" s="7" t="s">
        <v>4278</v>
      </c>
      <c r="G821" s="9"/>
    </row>
    <row r="822" spans="1:7" x14ac:dyDescent="0.3">
      <c r="A822" s="9">
        <v>46008</v>
      </c>
      <c r="B822" s="7" t="s">
        <v>7813</v>
      </c>
      <c r="C822" s="3">
        <v>13614.36</v>
      </c>
      <c r="D822" s="7" t="s">
        <v>7814</v>
      </c>
      <c r="E822" s="7" t="s">
        <v>4889</v>
      </c>
      <c r="G822" s="9"/>
    </row>
    <row r="823" spans="1:7" x14ac:dyDescent="0.3">
      <c r="A823" s="9">
        <v>46060</v>
      </c>
      <c r="B823" s="7" t="s">
        <v>7813</v>
      </c>
      <c r="C823" s="3">
        <v>5459.1</v>
      </c>
      <c r="D823" s="7" t="s">
        <v>7814</v>
      </c>
      <c r="E823" s="7" t="s">
        <v>5026</v>
      </c>
      <c r="G823" s="9"/>
    </row>
    <row r="824" spans="1:7" x14ac:dyDescent="0.3">
      <c r="A824" s="9">
        <v>45997</v>
      </c>
      <c r="B824" s="7" t="s">
        <v>7813</v>
      </c>
      <c r="C824" s="3">
        <v>5356.42</v>
      </c>
      <c r="D824" s="7" t="s">
        <v>7814</v>
      </c>
      <c r="E824" s="7" t="s">
        <v>5084</v>
      </c>
      <c r="G824" s="9"/>
    </row>
    <row r="825" spans="1:7" x14ac:dyDescent="0.3">
      <c r="A825" s="9">
        <v>45969</v>
      </c>
      <c r="B825" s="7" t="s">
        <v>7815</v>
      </c>
      <c r="C825" s="3">
        <v>-4441.34</v>
      </c>
      <c r="D825" s="7" t="s">
        <v>7816</v>
      </c>
      <c r="E825" s="7" t="s">
        <v>7153</v>
      </c>
      <c r="G825" s="9"/>
    </row>
    <row r="826" spans="1:7" x14ac:dyDescent="0.3">
      <c r="A826" s="9">
        <v>46005</v>
      </c>
      <c r="B826" s="7" t="s">
        <v>7815</v>
      </c>
      <c r="C826" s="3">
        <v>-1082.6099999999999</v>
      </c>
      <c r="D826" s="7" t="s">
        <v>7816</v>
      </c>
      <c r="E826" s="7" t="s">
        <v>7353</v>
      </c>
      <c r="G826" s="9"/>
    </row>
    <row r="827" spans="1:7" x14ac:dyDescent="0.3">
      <c r="A827" s="9">
        <v>46011</v>
      </c>
      <c r="B827" s="7" t="s">
        <v>7813</v>
      </c>
      <c r="C827" s="3">
        <v>11734.54</v>
      </c>
      <c r="D827" s="7" t="s">
        <v>7814</v>
      </c>
      <c r="E827" s="7" t="s">
        <v>3255</v>
      </c>
      <c r="G827" s="9"/>
    </row>
    <row r="828" spans="1:7" x14ac:dyDescent="0.3">
      <c r="A828" s="9">
        <v>46058</v>
      </c>
      <c r="B828" s="7" t="s">
        <v>7813</v>
      </c>
      <c r="C828" s="3">
        <v>4731.6400000000003</v>
      </c>
      <c r="D828" s="7" t="s">
        <v>7814</v>
      </c>
      <c r="E828" s="7" t="s">
        <v>3782</v>
      </c>
      <c r="G828" s="9"/>
    </row>
    <row r="829" spans="1:7" x14ac:dyDescent="0.3">
      <c r="A829" s="9">
        <v>46070</v>
      </c>
      <c r="B829" s="7" t="s">
        <v>7813</v>
      </c>
      <c r="C829" s="3">
        <v>4104.58</v>
      </c>
      <c r="D829" s="7" t="s">
        <v>7814</v>
      </c>
      <c r="E829" s="7" t="s">
        <v>3851</v>
      </c>
      <c r="G829" s="9"/>
    </row>
    <row r="830" spans="1:7" x14ac:dyDescent="0.3">
      <c r="A830" s="9">
        <v>45977</v>
      </c>
      <c r="B830" s="7" t="s">
        <v>7813</v>
      </c>
      <c r="C830" s="3">
        <v>2938.37</v>
      </c>
      <c r="D830" s="7" t="s">
        <v>7814</v>
      </c>
      <c r="E830" s="7" t="s">
        <v>4882</v>
      </c>
      <c r="G830" s="9"/>
    </row>
    <row r="831" spans="1:7" x14ac:dyDescent="0.3">
      <c r="A831" s="9">
        <v>46029</v>
      </c>
      <c r="B831" s="7" t="s">
        <v>7815</v>
      </c>
      <c r="C831" s="3">
        <v>-1901.35</v>
      </c>
      <c r="D831" s="7" t="s">
        <v>7816</v>
      </c>
      <c r="E831" s="7" t="s">
        <v>7101</v>
      </c>
      <c r="G831" s="9"/>
    </row>
    <row r="832" spans="1:7" x14ac:dyDescent="0.3">
      <c r="A832" s="9">
        <v>46014</v>
      </c>
      <c r="B832" s="7" t="s">
        <v>7815</v>
      </c>
      <c r="C832" s="3">
        <v>-1220.68</v>
      </c>
      <c r="D832" s="7" t="s">
        <v>7816</v>
      </c>
      <c r="E832" s="7" t="s">
        <v>7282</v>
      </c>
      <c r="G832" s="9"/>
    </row>
    <row r="833" spans="1:7" x14ac:dyDescent="0.3">
      <c r="A833" s="9">
        <v>46090</v>
      </c>
      <c r="B833" s="7" t="s">
        <v>7815</v>
      </c>
      <c r="C833" s="3">
        <v>-6489.38</v>
      </c>
      <c r="D833" s="7" t="s">
        <v>7816</v>
      </c>
      <c r="E833" s="7" t="s">
        <v>7500</v>
      </c>
      <c r="G833" s="9"/>
    </row>
    <row r="834" spans="1:7" x14ac:dyDescent="0.3">
      <c r="A834" s="9">
        <v>46065</v>
      </c>
      <c r="B834" s="7" t="s">
        <v>7813</v>
      </c>
      <c r="C834" s="3">
        <v>1571.94</v>
      </c>
      <c r="D834" s="7" t="s">
        <v>7814</v>
      </c>
      <c r="E834" s="7" t="s">
        <v>3485</v>
      </c>
      <c r="G834" s="9"/>
    </row>
    <row r="835" spans="1:7" x14ac:dyDescent="0.3">
      <c r="A835" s="9">
        <v>46026</v>
      </c>
      <c r="B835" s="7" t="s">
        <v>7815</v>
      </c>
      <c r="C835" s="3">
        <v>-2777.39</v>
      </c>
      <c r="D835" s="7" t="s">
        <v>7816</v>
      </c>
      <c r="E835" s="7" t="s">
        <v>7235</v>
      </c>
      <c r="G835" s="9"/>
    </row>
    <row r="836" spans="1:7" x14ac:dyDescent="0.3">
      <c r="A836" s="9">
        <v>46075</v>
      </c>
      <c r="B836" s="7" t="s">
        <v>7815</v>
      </c>
      <c r="C836" s="3">
        <v>-5826.69</v>
      </c>
      <c r="D836" s="7" t="s">
        <v>7816</v>
      </c>
      <c r="E836" s="7" t="s">
        <v>7250</v>
      </c>
      <c r="G836" s="9"/>
    </row>
    <row r="837" spans="1:7" x14ac:dyDescent="0.3">
      <c r="A837" s="9">
        <v>46052</v>
      </c>
      <c r="B837" s="7" t="s">
        <v>7813</v>
      </c>
      <c r="C837" s="3">
        <v>2026.83</v>
      </c>
      <c r="D837" s="7" t="s">
        <v>7814</v>
      </c>
      <c r="E837" s="7" t="s">
        <v>3296</v>
      </c>
      <c r="G837" s="9"/>
    </row>
    <row r="838" spans="1:7" x14ac:dyDescent="0.3">
      <c r="A838" s="9">
        <v>45973</v>
      </c>
      <c r="B838" s="7" t="s">
        <v>7813</v>
      </c>
      <c r="C838" s="3">
        <v>2462.4899999999998</v>
      </c>
      <c r="D838" s="7" t="s">
        <v>7814</v>
      </c>
      <c r="E838" s="7" t="s">
        <v>4204</v>
      </c>
      <c r="G838" s="9"/>
    </row>
    <row r="839" spans="1:7" x14ac:dyDescent="0.3">
      <c r="A839" s="9">
        <v>46030</v>
      </c>
      <c r="B839" s="7" t="s">
        <v>7813</v>
      </c>
      <c r="C839" s="3">
        <v>2342.73</v>
      </c>
      <c r="D839" s="7" t="s">
        <v>7814</v>
      </c>
      <c r="E839" s="7" t="s">
        <v>4480</v>
      </c>
      <c r="G839" s="9"/>
    </row>
    <row r="840" spans="1:7" x14ac:dyDescent="0.3">
      <c r="A840" s="9">
        <v>45981</v>
      </c>
      <c r="B840" s="7" t="s">
        <v>7813</v>
      </c>
      <c r="C840" s="3">
        <v>3550.7</v>
      </c>
      <c r="D840" s="7" t="s">
        <v>7814</v>
      </c>
      <c r="E840" s="7" t="s">
        <v>4668</v>
      </c>
      <c r="G840" s="9"/>
    </row>
    <row r="841" spans="1:7" x14ac:dyDescent="0.3">
      <c r="A841" s="9">
        <v>45982</v>
      </c>
      <c r="B841" s="7" t="s">
        <v>7815</v>
      </c>
      <c r="C841" s="3">
        <v>-3405.76</v>
      </c>
      <c r="D841" s="7" t="s">
        <v>7816</v>
      </c>
      <c r="E841" s="7" t="s">
        <v>7373</v>
      </c>
      <c r="G841" s="9"/>
    </row>
    <row r="842" spans="1:7" x14ac:dyDescent="0.3">
      <c r="A842" s="9">
        <v>45992</v>
      </c>
      <c r="B842" s="7" t="s">
        <v>7815</v>
      </c>
      <c r="C842" s="3">
        <v>-5178.92</v>
      </c>
      <c r="D842" s="7" t="s">
        <v>7816</v>
      </c>
      <c r="E842" s="7" t="s">
        <v>7699</v>
      </c>
      <c r="G842" s="9"/>
    </row>
    <row r="843" spans="1:7" x14ac:dyDescent="0.3">
      <c r="A843" s="9">
        <v>46056</v>
      </c>
      <c r="B843" s="7" t="s">
        <v>7813</v>
      </c>
      <c r="C843" s="3">
        <v>2412.66</v>
      </c>
      <c r="D843" s="7" t="s">
        <v>7814</v>
      </c>
      <c r="E843" s="7" t="s">
        <v>3499</v>
      </c>
      <c r="G843" s="9"/>
    </row>
    <row r="844" spans="1:7" x14ac:dyDescent="0.3">
      <c r="A844" s="9">
        <v>46091</v>
      </c>
      <c r="B844" s="7" t="s">
        <v>7813</v>
      </c>
      <c r="C844" s="3">
        <v>3025.37</v>
      </c>
      <c r="D844" s="7" t="s">
        <v>7814</v>
      </c>
      <c r="E844" s="7" t="s">
        <v>3882</v>
      </c>
      <c r="G844" s="9"/>
    </row>
    <row r="845" spans="1:7" x14ac:dyDescent="0.3">
      <c r="A845" s="9">
        <v>46079</v>
      </c>
      <c r="B845" s="7" t="s">
        <v>7813</v>
      </c>
      <c r="C845" s="3">
        <v>2889.63</v>
      </c>
      <c r="D845" s="7" t="s">
        <v>7814</v>
      </c>
      <c r="E845" s="7" t="s">
        <v>3913</v>
      </c>
      <c r="G845" s="9"/>
    </row>
    <row r="846" spans="1:7" x14ac:dyDescent="0.3">
      <c r="A846" s="9">
        <v>45997</v>
      </c>
      <c r="B846" s="7" t="s">
        <v>7813</v>
      </c>
      <c r="C846" s="3">
        <v>11779.47</v>
      </c>
      <c r="D846" s="7" t="s">
        <v>7814</v>
      </c>
      <c r="E846" s="7" t="s">
        <v>4258</v>
      </c>
      <c r="G846" s="9"/>
    </row>
    <row r="847" spans="1:7" x14ac:dyDescent="0.3">
      <c r="A847" s="9">
        <v>46000</v>
      </c>
      <c r="B847" s="7" t="s">
        <v>7813</v>
      </c>
      <c r="C847" s="3">
        <v>11318.82</v>
      </c>
      <c r="D847" s="7" t="s">
        <v>7814</v>
      </c>
      <c r="E847" s="7" t="s">
        <v>4461</v>
      </c>
      <c r="G847" s="9"/>
    </row>
    <row r="848" spans="1:7" x14ac:dyDescent="0.3">
      <c r="A848" s="9">
        <v>46029</v>
      </c>
      <c r="B848" s="7" t="s">
        <v>7813</v>
      </c>
      <c r="C848" s="3">
        <v>2941.44</v>
      </c>
      <c r="D848" s="7" t="s">
        <v>7814</v>
      </c>
      <c r="E848" s="7" t="s">
        <v>4796</v>
      </c>
      <c r="G848" s="9"/>
    </row>
    <row r="849" spans="1:7" x14ac:dyDescent="0.3">
      <c r="A849" s="9">
        <v>46044</v>
      </c>
      <c r="B849" s="7" t="s">
        <v>7815</v>
      </c>
      <c r="C849" s="3">
        <v>-4756.8100000000004</v>
      </c>
      <c r="D849" s="7" t="s">
        <v>7816</v>
      </c>
      <c r="E849" s="7" t="s">
        <v>6844</v>
      </c>
      <c r="G849" s="9"/>
    </row>
    <row r="850" spans="1:7" x14ac:dyDescent="0.3">
      <c r="A850" s="9">
        <v>46041</v>
      </c>
      <c r="B850" s="7" t="s">
        <v>7815</v>
      </c>
      <c r="C850" s="3">
        <v>-2704.88</v>
      </c>
      <c r="D850" s="7" t="s">
        <v>7816</v>
      </c>
      <c r="E850" s="7" t="s">
        <v>6964</v>
      </c>
      <c r="G850" s="9"/>
    </row>
    <row r="851" spans="1:7" x14ac:dyDescent="0.3">
      <c r="A851" s="9">
        <v>46024</v>
      </c>
      <c r="B851" s="7" t="s">
        <v>7815</v>
      </c>
      <c r="C851" s="3">
        <v>-4051.5</v>
      </c>
      <c r="D851" s="7" t="s">
        <v>7816</v>
      </c>
      <c r="E851" s="7" t="s">
        <v>7190</v>
      </c>
      <c r="G851" s="9"/>
    </row>
    <row r="852" spans="1:7" x14ac:dyDescent="0.3">
      <c r="A852" s="9">
        <v>46022</v>
      </c>
      <c r="B852" s="7" t="s">
        <v>7815</v>
      </c>
      <c r="C852" s="3">
        <v>-2877.36</v>
      </c>
      <c r="D852" s="7" t="s">
        <v>7816</v>
      </c>
      <c r="E852" s="7" t="s">
        <v>7314</v>
      </c>
      <c r="G852" s="9"/>
    </row>
    <row r="853" spans="1:7" x14ac:dyDescent="0.3">
      <c r="A853" s="9">
        <v>46060</v>
      </c>
      <c r="B853" s="7" t="s">
        <v>7813</v>
      </c>
      <c r="C853" s="3">
        <v>12555.13</v>
      </c>
      <c r="D853" s="7" t="s">
        <v>7814</v>
      </c>
      <c r="E853" s="7" t="s">
        <v>3254</v>
      </c>
      <c r="G853" s="9"/>
    </row>
    <row r="854" spans="1:7" x14ac:dyDescent="0.3">
      <c r="A854" s="9">
        <v>46086</v>
      </c>
      <c r="B854" s="7" t="s">
        <v>7813</v>
      </c>
      <c r="C854" s="3">
        <v>12090.34</v>
      </c>
      <c r="D854" s="7" t="s">
        <v>7814</v>
      </c>
      <c r="E854" s="7" t="s">
        <v>4422</v>
      </c>
      <c r="G854" s="9"/>
    </row>
    <row r="855" spans="1:7" x14ac:dyDescent="0.3">
      <c r="A855" s="9">
        <v>46090</v>
      </c>
      <c r="B855" s="7" t="s">
        <v>7815</v>
      </c>
      <c r="C855" s="3">
        <v>-6660.79</v>
      </c>
      <c r="D855" s="7" t="s">
        <v>7816</v>
      </c>
      <c r="E855" s="7" t="s">
        <v>7447</v>
      </c>
      <c r="G855" s="9"/>
    </row>
    <row r="856" spans="1:7" x14ac:dyDescent="0.3">
      <c r="A856" s="9">
        <v>46010</v>
      </c>
      <c r="B856" s="7" t="s">
        <v>7815</v>
      </c>
      <c r="C856" s="3">
        <v>-2084.5100000000002</v>
      </c>
      <c r="D856" s="7" t="s">
        <v>7816</v>
      </c>
      <c r="E856" s="7" t="s">
        <v>7608</v>
      </c>
      <c r="G856" s="9"/>
    </row>
    <row r="857" spans="1:7" x14ac:dyDescent="0.3">
      <c r="A857" s="9">
        <v>45993</v>
      </c>
      <c r="B857" s="7" t="s">
        <v>7813</v>
      </c>
      <c r="C857" s="3">
        <v>3057.78</v>
      </c>
      <c r="D857" s="7" t="s">
        <v>7814</v>
      </c>
      <c r="E857" s="7" t="s">
        <v>3922</v>
      </c>
      <c r="G857" s="9"/>
    </row>
    <row r="858" spans="1:7" x14ac:dyDescent="0.3">
      <c r="A858" s="9">
        <v>46021</v>
      </c>
      <c r="B858" s="7" t="s">
        <v>7815</v>
      </c>
      <c r="C858" s="3">
        <v>-6737.38</v>
      </c>
      <c r="D858" s="7" t="s">
        <v>7816</v>
      </c>
      <c r="E858" s="7" t="s">
        <v>7154</v>
      </c>
      <c r="G858" s="9"/>
    </row>
    <row r="859" spans="1:7" x14ac:dyDescent="0.3">
      <c r="A859" s="9">
        <v>46071</v>
      </c>
      <c r="B859" s="7" t="s">
        <v>7813</v>
      </c>
      <c r="C859" s="3">
        <v>1916.46</v>
      </c>
      <c r="D859" s="7" t="s">
        <v>7814</v>
      </c>
      <c r="E859" s="7" t="s">
        <v>3800</v>
      </c>
      <c r="G859" s="9"/>
    </row>
    <row r="860" spans="1:7" x14ac:dyDescent="0.3">
      <c r="A860" s="9">
        <v>46003</v>
      </c>
      <c r="B860" s="7" t="s">
        <v>7813</v>
      </c>
      <c r="C860" s="3">
        <v>3411.95</v>
      </c>
      <c r="D860" s="7" t="s">
        <v>7814</v>
      </c>
      <c r="E860" s="7" t="s">
        <v>3872</v>
      </c>
      <c r="G860" s="9"/>
    </row>
    <row r="861" spans="1:7" x14ac:dyDescent="0.3">
      <c r="A861" s="9">
        <v>45968</v>
      </c>
      <c r="B861" s="7" t="s">
        <v>7813</v>
      </c>
      <c r="C861" s="3">
        <v>4241.38</v>
      </c>
      <c r="D861" s="7" t="s">
        <v>7814</v>
      </c>
      <c r="E861" s="7" t="s">
        <v>4301</v>
      </c>
      <c r="G861" s="9"/>
    </row>
    <row r="862" spans="1:7" x14ac:dyDescent="0.3">
      <c r="A862" s="9">
        <v>46090</v>
      </c>
      <c r="B862" s="7" t="s">
        <v>7813</v>
      </c>
      <c r="C862" s="3">
        <v>1646.7</v>
      </c>
      <c r="D862" s="7" t="s">
        <v>7814</v>
      </c>
      <c r="E862" s="7" t="s">
        <v>5030</v>
      </c>
      <c r="G862" s="9"/>
    </row>
    <row r="863" spans="1:7" x14ac:dyDescent="0.3">
      <c r="A863" s="9">
        <v>46023</v>
      </c>
      <c r="B863" s="7" t="s">
        <v>7813</v>
      </c>
      <c r="C863" s="3">
        <v>2857.8</v>
      </c>
      <c r="D863" s="7" t="s">
        <v>7814</v>
      </c>
      <c r="E863" s="7" t="s">
        <v>5229</v>
      </c>
      <c r="G863" s="9"/>
    </row>
    <row r="864" spans="1:7" x14ac:dyDescent="0.3">
      <c r="A864" s="9">
        <v>45967</v>
      </c>
      <c r="B864" s="7" t="s">
        <v>7813</v>
      </c>
      <c r="C864" s="3">
        <v>3545.68</v>
      </c>
      <c r="D864" s="7" t="s">
        <v>7814</v>
      </c>
      <c r="E864" s="7" t="s">
        <v>5271</v>
      </c>
      <c r="G864" s="9"/>
    </row>
    <row r="865" spans="1:7" x14ac:dyDescent="0.3">
      <c r="A865" s="9">
        <v>45993</v>
      </c>
      <c r="B865" s="7" t="s">
        <v>7815</v>
      </c>
      <c r="C865" s="3">
        <v>-5191.05</v>
      </c>
      <c r="D865" s="7" t="s">
        <v>7816</v>
      </c>
      <c r="E865" s="7" t="s">
        <v>6976</v>
      </c>
      <c r="G865" s="9"/>
    </row>
    <row r="866" spans="1:7" x14ac:dyDescent="0.3">
      <c r="A866" s="9">
        <v>46040</v>
      </c>
      <c r="B866" s="7" t="s">
        <v>7815</v>
      </c>
      <c r="C866" s="3">
        <v>-6878.18</v>
      </c>
      <c r="D866" s="7" t="s">
        <v>7816</v>
      </c>
      <c r="E866" s="7" t="s">
        <v>7277</v>
      </c>
      <c r="G866" s="9"/>
    </row>
    <row r="867" spans="1:7" x14ac:dyDescent="0.3">
      <c r="A867" s="9">
        <v>45975</v>
      </c>
      <c r="B867" s="7" t="s">
        <v>7815</v>
      </c>
      <c r="C867" s="3">
        <v>-1443.12</v>
      </c>
      <c r="D867" s="7" t="s">
        <v>7816</v>
      </c>
      <c r="E867" s="7" t="s">
        <v>7505</v>
      </c>
      <c r="G867" s="9"/>
    </row>
    <row r="868" spans="1:7" x14ac:dyDescent="0.3">
      <c r="A868" s="9">
        <v>45972</v>
      </c>
      <c r="B868" s="7" t="s">
        <v>7815</v>
      </c>
      <c r="C868" s="3">
        <v>-3603.51</v>
      </c>
      <c r="D868" s="7" t="s">
        <v>7816</v>
      </c>
      <c r="E868" s="7" t="s">
        <v>7573</v>
      </c>
      <c r="G868" s="9"/>
    </row>
    <row r="869" spans="1:7" x14ac:dyDescent="0.3">
      <c r="A869" s="9">
        <v>46034</v>
      </c>
      <c r="B869" s="7" t="s">
        <v>7813</v>
      </c>
      <c r="C869" s="3">
        <v>2654.43</v>
      </c>
      <c r="D869" s="7" t="s">
        <v>7814</v>
      </c>
      <c r="E869" s="7" t="s">
        <v>3676</v>
      </c>
      <c r="G869" s="9"/>
    </row>
    <row r="870" spans="1:7" x14ac:dyDescent="0.3">
      <c r="A870" s="9">
        <v>46013</v>
      </c>
      <c r="B870" s="7" t="s">
        <v>7813</v>
      </c>
      <c r="C870" s="3">
        <v>2385.98</v>
      </c>
      <c r="D870" s="7" t="s">
        <v>7814</v>
      </c>
      <c r="E870" s="7" t="s">
        <v>4251</v>
      </c>
      <c r="G870" s="9"/>
    </row>
    <row r="871" spans="1:7" x14ac:dyDescent="0.3">
      <c r="A871" s="9">
        <v>46046</v>
      </c>
      <c r="B871" s="7" t="s">
        <v>7813</v>
      </c>
      <c r="C871" s="3">
        <v>2814.23</v>
      </c>
      <c r="D871" s="7" t="s">
        <v>7814</v>
      </c>
      <c r="E871" s="7" t="s">
        <v>4509</v>
      </c>
      <c r="G871" s="9"/>
    </row>
    <row r="872" spans="1:7" x14ac:dyDescent="0.3">
      <c r="A872" s="9">
        <v>46076</v>
      </c>
      <c r="B872" s="7" t="s">
        <v>7813</v>
      </c>
      <c r="C872" s="3">
        <v>11700.07</v>
      </c>
      <c r="D872" s="7" t="s">
        <v>7814</v>
      </c>
      <c r="E872" s="7" t="s">
        <v>4861</v>
      </c>
      <c r="G872" s="9"/>
    </row>
    <row r="873" spans="1:7" x14ac:dyDescent="0.3">
      <c r="A873" s="9">
        <v>46085</v>
      </c>
      <c r="B873" s="7" t="s">
        <v>7813</v>
      </c>
      <c r="C873" s="3">
        <v>11121.31</v>
      </c>
      <c r="D873" s="7" t="s">
        <v>7814</v>
      </c>
      <c r="E873" s="7" t="s">
        <v>4914</v>
      </c>
      <c r="G873" s="9"/>
    </row>
    <row r="874" spans="1:7" x14ac:dyDescent="0.3">
      <c r="A874" s="9">
        <v>46062</v>
      </c>
      <c r="B874" s="7" t="s">
        <v>7813</v>
      </c>
      <c r="C874" s="3">
        <v>12754.62</v>
      </c>
      <c r="D874" s="7" t="s">
        <v>7814</v>
      </c>
      <c r="E874" s="7" t="s">
        <v>5085</v>
      </c>
      <c r="G874" s="9"/>
    </row>
    <row r="875" spans="1:7" x14ac:dyDescent="0.3">
      <c r="A875" s="9">
        <v>46008</v>
      </c>
      <c r="B875" s="7" t="s">
        <v>7813</v>
      </c>
      <c r="C875" s="3">
        <v>3315.42</v>
      </c>
      <c r="D875" s="7" t="s">
        <v>7814</v>
      </c>
      <c r="E875" s="7" t="s">
        <v>5146</v>
      </c>
      <c r="G875" s="9"/>
    </row>
    <row r="876" spans="1:7" x14ac:dyDescent="0.3">
      <c r="A876" s="9">
        <v>46064</v>
      </c>
      <c r="B876" s="7" t="s">
        <v>7813</v>
      </c>
      <c r="C876" s="3">
        <v>3700.48</v>
      </c>
      <c r="D876" s="7" t="s">
        <v>7814</v>
      </c>
      <c r="E876" s="7" t="s">
        <v>5296</v>
      </c>
      <c r="G876" s="9"/>
    </row>
    <row r="877" spans="1:7" x14ac:dyDescent="0.3">
      <c r="A877" s="9">
        <v>45966</v>
      </c>
      <c r="B877" s="7" t="s">
        <v>7815</v>
      </c>
      <c r="C877" s="3">
        <v>-6722.95</v>
      </c>
      <c r="D877" s="7" t="s">
        <v>7816</v>
      </c>
      <c r="E877" s="7" t="s">
        <v>6898</v>
      </c>
      <c r="G877" s="9"/>
    </row>
    <row r="878" spans="1:7" x14ac:dyDescent="0.3">
      <c r="A878" s="9">
        <v>46034</v>
      </c>
      <c r="B878" s="7" t="s">
        <v>7815</v>
      </c>
      <c r="C878" s="3">
        <v>-1640.57</v>
      </c>
      <c r="D878" s="7" t="s">
        <v>7816</v>
      </c>
      <c r="E878" s="7" t="s">
        <v>7535</v>
      </c>
      <c r="G878" s="9"/>
    </row>
    <row r="879" spans="1:7" x14ac:dyDescent="0.3">
      <c r="A879" s="9">
        <v>46062</v>
      </c>
      <c r="B879" s="7" t="s">
        <v>7813</v>
      </c>
      <c r="C879" s="3">
        <v>5508.3</v>
      </c>
      <c r="D879" s="7" t="s">
        <v>7814</v>
      </c>
      <c r="E879" s="7" t="s">
        <v>3248</v>
      </c>
      <c r="G879" s="9"/>
    </row>
    <row r="880" spans="1:7" x14ac:dyDescent="0.3">
      <c r="A880" s="9">
        <v>45973</v>
      </c>
      <c r="B880" s="7" t="s">
        <v>7813</v>
      </c>
      <c r="C880" s="3">
        <v>3596.59</v>
      </c>
      <c r="D880" s="7" t="s">
        <v>7814</v>
      </c>
      <c r="E880" s="7" t="s">
        <v>3592</v>
      </c>
      <c r="G880" s="9"/>
    </row>
    <row r="881" spans="1:7" x14ac:dyDescent="0.3">
      <c r="A881" s="9">
        <v>45982</v>
      </c>
      <c r="B881" s="7" t="s">
        <v>7813</v>
      </c>
      <c r="C881" s="3">
        <v>1861.47</v>
      </c>
      <c r="D881" s="7" t="s">
        <v>7814</v>
      </c>
      <c r="E881" s="7" t="s">
        <v>3816</v>
      </c>
      <c r="G881" s="9"/>
    </row>
    <row r="882" spans="1:7" x14ac:dyDescent="0.3">
      <c r="A882" s="9">
        <v>46019</v>
      </c>
      <c r="B882" s="7" t="s">
        <v>7813</v>
      </c>
      <c r="C882" s="3">
        <v>3532.96</v>
      </c>
      <c r="D882" s="7" t="s">
        <v>7814</v>
      </c>
      <c r="E882" s="7" t="s">
        <v>3938</v>
      </c>
      <c r="G882" s="9"/>
    </row>
    <row r="883" spans="1:7" x14ac:dyDescent="0.3">
      <c r="A883" s="9">
        <v>46077</v>
      </c>
      <c r="B883" s="7" t="s">
        <v>7813</v>
      </c>
      <c r="C883" s="3">
        <v>2765.15</v>
      </c>
      <c r="D883" s="7" t="s">
        <v>7814</v>
      </c>
      <c r="E883" s="7" t="s">
        <v>4621</v>
      </c>
      <c r="G883" s="9"/>
    </row>
    <row r="884" spans="1:7" x14ac:dyDescent="0.3">
      <c r="A884" s="9">
        <v>45976</v>
      </c>
      <c r="B884" s="7" t="s">
        <v>7813</v>
      </c>
      <c r="C884" s="3">
        <v>1088.01</v>
      </c>
      <c r="D884" s="7" t="s">
        <v>7814</v>
      </c>
      <c r="E884" s="7" t="s">
        <v>5012</v>
      </c>
      <c r="G884" s="9"/>
    </row>
    <row r="885" spans="1:7" x14ac:dyDescent="0.3">
      <c r="A885" s="9">
        <v>46027</v>
      </c>
      <c r="B885" s="7" t="s">
        <v>7815</v>
      </c>
      <c r="C885" s="3">
        <v>-5795.41</v>
      </c>
      <c r="D885" s="7" t="s">
        <v>7816</v>
      </c>
      <c r="E885" s="7" t="s">
        <v>7292</v>
      </c>
      <c r="G885" s="9"/>
    </row>
    <row r="886" spans="1:7" x14ac:dyDescent="0.3">
      <c r="A886" s="9">
        <v>46023</v>
      </c>
      <c r="B886" s="7" t="s">
        <v>7815</v>
      </c>
      <c r="C886" s="3">
        <v>-3970.12</v>
      </c>
      <c r="D886" s="7" t="s">
        <v>7816</v>
      </c>
      <c r="E886" s="7" t="s">
        <v>7618</v>
      </c>
      <c r="G886" s="9"/>
    </row>
    <row r="887" spans="1:7" x14ac:dyDescent="0.3">
      <c r="A887" s="9">
        <v>46031</v>
      </c>
      <c r="B887" s="7" t="s">
        <v>7813</v>
      </c>
      <c r="C887" s="3">
        <v>2979</v>
      </c>
      <c r="D887" s="7" t="s">
        <v>7814</v>
      </c>
      <c r="E887" s="7" t="s">
        <v>3529</v>
      </c>
      <c r="G887" s="9"/>
    </row>
    <row r="888" spans="1:7" x14ac:dyDescent="0.3">
      <c r="A888" s="9">
        <v>46046</v>
      </c>
      <c r="B888" s="7" t="s">
        <v>7813</v>
      </c>
      <c r="C888" s="3">
        <v>4057.55</v>
      </c>
      <c r="D888" s="7" t="s">
        <v>7814</v>
      </c>
      <c r="E888" s="7" t="s">
        <v>4239</v>
      </c>
      <c r="G888" s="9"/>
    </row>
    <row r="889" spans="1:7" x14ac:dyDescent="0.3">
      <c r="A889" s="9">
        <v>46035</v>
      </c>
      <c r="B889" s="7" t="s">
        <v>7813</v>
      </c>
      <c r="C889" s="3">
        <v>9824.6</v>
      </c>
      <c r="D889" s="7" t="s">
        <v>7814</v>
      </c>
      <c r="E889" s="7" t="s">
        <v>4768</v>
      </c>
      <c r="G889" s="9"/>
    </row>
    <row r="890" spans="1:7" x14ac:dyDescent="0.3">
      <c r="A890" s="9">
        <v>46065</v>
      </c>
      <c r="B890" s="7" t="s">
        <v>7813</v>
      </c>
      <c r="C890" s="3">
        <v>5577.47</v>
      </c>
      <c r="D890" s="7" t="s">
        <v>7814</v>
      </c>
      <c r="E890" s="7" t="s">
        <v>5027</v>
      </c>
      <c r="G890" s="9"/>
    </row>
    <row r="891" spans="1:7" x14ac:dyDescent="0.3">
      <c r="A891" s="9">
        <v>45988</v>
      </c>
      <c r="B891" s="7" t="s">
        <v>7815</v>
      </c>
      <c r="C891" s="3">
        <v>-4910.08</v>
      </c>
      <c r="D891" s="7" t="s">
        <v>7816</v>
      </c>
      <c r="E891" s="7" t="s">
        <v>7506</v>
      </c>
      <c r="G891" s="9"/>
    </row>
    <row r="892" spans="1:7" x14ac:dyDescent="0.3">
      <c r="A892" s="9">
        <v>45999</v>
      </c>
      <c r="B892" s="7" t="s">
        <v>7815</v>
      </c>
      <c r="C892" s="3">
        <v>-4165.05</v>
      </c>
      <c r="D892" s="7" t="s">
        <v>7816</v>
      </c>
      <c r="E892" s="7" t="s">
        <v>7733</v>
      </c>
      <c r="G892" s="9"/>
    </row>
    <row r="893" spans="1:7" x14ac:dyDescent="0.3">
      <c r="A893" s="9">
        <v>46064</v>
      </c>
      <c r="B893" s="7" t="s">
        <v>7815</v>
      </c>
      <c r="C893" s="3">
        <v>-2540.2600000000002</v>
      </c>
      <c r="D893" s="7" t="s">
        <v>7816</v>
      </c>
      <c r="E893" s="7" t="s">
        <v>7735</v>
      </c>
      <c r="G893" s="9"/>
    </row>
    <row r="894" spans="1:7" x14ac:dyDescent="0.3">
      <c r="A894" s="9">
        <v>46067</v>
      </c>
      <c r="B894" s="7" t="s">
        <v>7817</v>
      </c>
      <c r="C894" s="3">
        <v>-111774.89</v>
      </c>
      <c r="D894" s="7" t="s">
        <v>7816</v>
      </c>
      <c r="E894" s="7" t="s">
        <v>7818</v>
      </c>
      <c r="G894" s="9"/>
    </row>
    <row r="895" spans="1:7" x14ac:dyDescent="0.3">
      <c r="A895" s="9">
        <v>46052</v>
      </c>
      <c r="B895" s="7" t="s">
        <v>7813</v>
      </c>
      <c r="C895" s="3">
        <v>1766.48</v>
      </c>
      <c r="D895" s="7" t="s">
        <v>7814</v>
      </c>
      <c r="E895" s="7" t="s">
        <v>4059</v>
      </c>
      <c r="G895" s="9"/>
    </row>
    <row r="896" spans="1:7" x14ac:dyDescent="0.3">
      <c r="A896" s="9">
        <v>46051</v>
      </c>
      <c r="B896" s="7" t="s">
        <v>7813</v>
      </c>
      <c r="C896" s="3">
        <v>11389.59</v>
      </c>
      <c r="D896" s="7" t="s">
        <v>7814</v>
      </c>
      <c r="E896" s="7" t="s">
        <v>4135</v>
      </c>
      <c r="G896" s="9"/>
    </row>
    <row r="897" spans="1:7" x14ac:dyDescent="0.3">
      <c r="A897" s="9">
        <v>46025</v>
      </c>
      <c r="B897" s="7" t="s">
        <v>7813</v>
      </c>
      <c r="C897" s="3">
        <v>13917.84</v>
      </c>
      <c r="D897" s="7" t="s">
        <v>7814</v>
      </c>
      <c r="E897" s="7" t="s">
        <v>5196</v>
      </c>
      <c r="G897" s="9"/>
    </row>
    <row r="898" spans="1:7" x14ac:dyDescent="0.3">
      <c r="A898" s="9">
        <v>46035</v>
      </c>
      <c r="B898" s="7" t="s">
        <v>7813</v>
      </c>
      <c r="C898" s="3">
        <v>4682.6899999999996</v>
      </c>
      <c r="D898" s="7" t="s">
        <v>7814</v>
      </c>
      <c r="E898" s="7" t="s">
        <v>5319</v>
      </c>
      <c r="G898" s="9"/>
    </row>
    <row r="899" spans="1:7" x14ac:dyDescent="0.3">
      <c r="A899" s="9">
        <v>46041</v>
      </c>
      <c r="B899" s="7" t="s">
        <v>7815</v>
      </c>
      <c r="C899" s="3">
        <v>-5468.84</v>
      </c>
      <c r="D899" s="7" t="s">
        <v>7816</v>
      </c>
      <c r="E899" s="7" t="s">
        <v>7340</v>
      </c>
      <c r="G899" s="9"/>
    </row>
    <row r="900" spans="1:7" x14ac:dyDescent="0.3">
      <c r="A900" s="9">
        <v>45984</v>
      </c>
      <c r="B900" s="7" t="s">
        <v>7815</v>
      </c>
      <c r="C900" s="3">
        <v>-5683.96</v>
      </c>
      <c r="D900" s="7" t="s">
        <v>7816</v>
      </c>
      <c r="E900" s="7" t="s">
        <v>7416</v>
      </c>
      <c r="G900" s="9"/>
    </row>
    <row r="901" spans="1:7" x14ac:dyDescent="0.3">
      <c r="A901" s="9">
        <v>46087</v>
      </c>
      <c r="B901" s="7" t="s">
        <v>7815</v>
      </c>
      <c r="C901" s="3">
        <v>-5201.92</v>
      </c>
      <c r="D901" s="7" t="s">
        <v>7816</v>
      </c>
      <c r="E901" s="7" t="s">
        <v>7522</v>
      </c>
      <c r="G901" s="9"/>
    </row>
    <row r="902" spans="1:7" x14ac:dyDescent="0.3">
      <c r="A902" s="9">
        <v>46027</v>
      </c>
      <c r="B902" s="7" t="s">
        <v>7815</v>
      </c>
      <c r="C902" s="3">
        <v>-2299.39</v>
      </c>
      <c r="D902" s="7" t="s">
        <v>7816</v>
      </c>
      <c r="E902" s="7" t="s">
        <v>7714</v>
      </c>
      <c r="G902" s="9"/>
    </row>
    <row r="903" spans="1:7" x14ac:dyDescent="0.3">
      <c r="A903" s="9">
        <v>45981</v>
      </c>
      <c r="B903" s="7" t="s">
        <v>7813</v>
      </c>
      <c r="C903" s="3">
        <v>10900.4</v>
      </c>
      <c r="D903" s="7" t="s">
        <v>7814</v>
      </c>
      <c r="E903" s="7" t="s">
        <v>3189</v>
      </c>
      <c r="G903" s="9"/>
    </row>
    <row r="904" spans="1:7" x14ac:dyDescent="0.3">
      <c r="A904" s="9">
        <v>45998</v>
      </c>
      <c r="B904" s="7" t="s">
        <v>7813</v>
      </c>
      <c r="C904" s="3">
        <v>14249.88</v>
      </c>
      <c r="D904" s="7" t="s">
        <v>7814</v>
      </c>
      <c r="E904" s="7" t="s">
        <v>3492</v>
      </c>
      <c r="G904" s="9"/>
    </row>
    <row r="905" spans="1:7" x14ac:dyDescent="0.3">
      <c r="A905" s="9">
        <v>46008</v>
      </c>
      <c r="B905" s="7" t="s">
        <v>7813</v>
      </c>
      <c r="C905" s="3">
        <v>2318.06</v>
      </c>
      <c r="D905" s="7" t="s">
        <v>7814</v>
      </c>
      <c r="E905" s="7" t="s">
        <v>3583</v>
      </c>
      <c r="G905" s="9"/>
    </row>
    <row r="906" spans="1:7" x14ac:dyDescent="0.3">
      <c r="A906" s="9">
        <v>46060</v>
      </c>
      <c r="B906" s="7" t="s">
        <v>7813</v>
      </c>
      <c r="C906" s="3">
        <v>3817.31</v>
      </c>
      <c r="D906" s="7" t="s">
        <v>7814</v>
      </c>
      <c r="E906" s="7" t="s">
        <v>4492</v>
      </c>
      <c r="G906" s="9"/>
    </row>
    <row r="907" spans="1:7" x14ac:dyDescent="0.3">
      <c r="A907" s="9">
        <v>45979</v>
      </c>
      <c r="B907" s="7" t="s">
        <v>7813</v>
      </c>
      <c r="C907" s="3">
        <v>2968.5</v>
      </c>
      <c r="D907" s="7" t="s">
        <v>7814</v>
      </c>
      <c r="E907" s="7" t="s">
        <v>5404</v>
      </c>
      <c r="G907" s="9"/>
    </row>
    <row r="908" spans="1:7" x14ac:dyDescent="0.3">
      <c r="A908" s="9">
        <v>46060</v>
      </c>
      <c r="B908" s="7" t="s">
        <v>7815</v>
      </c>
      <c r="C908" s="3">
        <v>-1224.1600000000001</v>
      </c>
      <c r="D908" s="7" t="s">
        <v>7816</v>
      </c>
      <c r="E908" s="7" t="s">
        <v>6937</v>
      </c>
      <c r="G908" s="9"/>
    </row>
    <row r="909" spans="1:7" x14ac:dyDescent="0.3">
      <c r="A909" s="9">
        <v>46048</v>
      </c>
      <c r="B909" s="7" t="s">
        <v>7813</v>
      </c>
      <c r="C909" s="3">
        <v>3234.78</v>
      </c>
      <c r="D909" s="7" t="s">
        <v>7814</v>
      </c>
      <c r="E909" s="7" t="s">
        <v>4058</v>
      </c>
      <c r="G909" s="9"/>
    </row>
    <row r="910" spans="1:7" x14ac:dyDescent="0.3">
      <c r="A910" s="9">
        <v>46017</v>
      </c>
      <c r="B910" s="7" t="s">
        <v>7813</v>
      </c>
      <c r="C910" s="3">
        <v>10911.85</v>
      </c>
      <c r="D910" s="7" t="s">
        <v>7814</v>
      </c>
      <c r="E910" s="7" t="s">
        <v>4359</v>
      </c>
      <c r="G910" s="9"/>
    </row>
    <row r="911" spans="1:7" x14ac:dyDescent="0.3">
      <c r="A911" s="9">
        <v>45980</v>
      </c>
      <c r="B911" s="7" t="s">
        <v>7813</v>
      </c>
      <c r="C911" s="3">
        <v>2144.6999999999998</v>
      </c>
      <c r="D911" s="7" t="s">
        <v>7814</v>
      </c>
      <c r="E911" s="7" t="s">
        <v>4536</v>
      </c>
      <c r="G911" s="9"/>
    </row>
    <row r="912" spans="1:7" x14ac:dyDescent="0.3">
      <c r="A912" s="9">
        <v>45980</v>
      </c>
      <c r="B912" s="7" t="s">
        <v>7813</v>
      </c>
      <c r="C912" s="3">
        <v>3317.23</v>
      </c>
      <c r="D912" s="7" t="s">
        <v>7814</v>
      </c>
      <c r="E912" s="7" t="s">
        <v>5161</v>
      </c>
      <c r="G912" s="9"/>
    </row>
    <row r="913" spans="1:7" x14ac:dyDescent="0.3">
      <c r="A913" s="9">
        <v>45987</v>
      </c>
      <c r="B913" s="7" t="s">
        <v>7815</v>
      </c>
      <c r="C913" s="3">
        <v>-4213.0600000000004</v>
      </c>
      <c r="D913" s="7" t="s">
        <v>7816</v>
      </c>
      <c r="E913" s="7" t="s">
        <v>7387</v>
      </c>
      <c r="G913" s="9"/>
    </row>
    <row r="914" spans="1:7" x14ac:dyDescent="0.3">
      <c r="A914" s="9">
        <v>45962</v>
      </c>
      <c r="B914" s="7" t="s">
        <v>7813</v>
      </c>
      <c r="C914" s="3">
        <v>4932.95</v>
      </c>
      <c r="D914" s="7" t="s">
        <v>7814</v>
      </c>
      <c r="E914" s="7" t="s">
        <v>3377</v>
      </c>
      <c r="G914" s="9"/>
    </row>
    <row r="915" spans="1:7" x14ac:dyDescent="0.3">
      <c r="A915" s="9">
        <v>46030</v>
      </c>
      <c r="B915" s="7" t="s">
        <v>7813</v>
      </c>
      <c r="C915" s="3">
        <v>3171.37</v>
      </c>
      <c r="D915" s="7" t="s">
        <v>7814</v>
      </c>
      <c r="E915" s="7" t="s">
        <v>3630</v>
      </c>
      <c r="G915" s="9"/>
    </row>
    <row r="916" spans="1:7" x14ac:dyDescent="0.3">
      <c r="A916" s="9">
        <v>45996</v>
      </c>
      <c r="B916" s="7" t="s">
        <v>7813</v>
      </c>
      <c r="C916" s="3">
        <v>3421.73</v>
      </c>
      <c r="D916" s="7" t="s">
        <v>7814</v>
      </c>
      <c r="E916" s="7" t="s">
        <v>4043</v>
      </c>
      <c r="G916" s="9"/>
    </row>
    <row r="917" spans="1:7" x14ac:dyDescent="0.3">
      <c r="A917" s="9">
        <v>46050</v>
      </c>
      <c r="B917" s="7" t="s">
        <v>7813</v>
      </c>
      <c r="C917" s="3">
        <v>2497.83</v>
      </c>
      <c r="D917" s="7" t="s">
        <v>7814</v>
      </c>
      <c r="E917" s="7" t="s">
        <v>4810</v>
      </c>
      <c r="G917" s="9"/>
    </row>
    <row r="918" spans="1:7" x14ac:dyDescent="0.3">
      <c r="A918" s="9">
        <v>46038</v>
      </c>
      <c r="B918" s="7" t="s">
        <v>7813</v>
      </c>
      <c r="C918" s="3">
        <v>3138.01</v>
      </c>
      <c r="D918" s="7" t="s">
        <v>7814</v>
      </c>
      <c r="E918" s="7" t="s">
        <v>4926</v>
      </c>
      <c r="G918" s="9"/>
    </row>
    <row r="919" spans="1:7" x14ac:dyDescent="0.3">
      <c r="A919" s="9">
        <v>46039</v>
      </c>
      <c r="B919" s="7" t="s">
        <v>7813</v>
      </c>
      <c r="C919" s="3">
        <v>5670.55</v>
      </c>
      <c r="D919" s="7" t="s">
        <v>7814</v>
      </c>
      <c r="E919" s="7" t="s">
        <v>5031</v>
      </c>
      <c r="G919" s="9"/>
    </row>
    <row r="920" spans="1:7" x14ac:dyDescent="0.3">
      <c r="A920" s="9">
        <v>46083</v>
      </c>
      <c r="B920" s="7" t="s">
        <v>7813</v>
      </c>
      <c r="C920" s="3">
        <v>2697.56</v>
      </c>
      <c r="D920" s="7" t="s">
        <v>7814</v>
      </c>
      <c r="E920" s="7" t="s">
        <v>5032</v>
      </c>
      <c r="G920" s="9"/>
    </row>
    <row r="921" spans="1:7" x14ac:dyDescent="0.3">
      <c r="A921" s="9">
        <v>46041</v>
      </c>
      <c r="B921" s="7" t="s">
        <v>7813</v>
      </c>
      <c r="C921" s="3">
        <v>4490.7</v>
      </c>
      <c r="D921" s="7" t="s">
        <v>7814</v>
      </c>
      <c r="E921" s="7" t="s">
        <v>5260</v>
      </c>
      <c r="G921" s="9"/>
    </row>
    <row r="922" spans="1:7" x14ac:dyDescent="0.3">
      <c r="A922" s="9">
        <v>46051</v>
      </c>
      <c r="B922" s="7" t="s">
        <v>7815</v>
      </c>
      <c r="C922" s="3">
        <v>-6527.74</v>
      </c>
      <c r="D922" s="7" t="s">
        <v>7816</v>
      </c>
      <c r="E922" s="7" t="s">
        <v>6882</v>
      </c>
      <c r="G922" s="9"/>
    </row>
    <row r="923" spans="1:7" x14ac:dyDescent="0.3">
      <c r="A923" s="9">
        <v>45976</v>
      </c>
      <c r="B923" s="7" t="s">
        <v>7815</v>
      </c>
      <c r="C923" s="3">
        <v>-5551.77</v>
      </c>
      <c r="D923" s="7" t="s">
        <v>7816</v>
      </c>
      <c r="E923" s="7" t="s">
        <v>6969</v>
      </c>
      <c r="G923" s="9"/>
    </row>
    <row r="924" spans="1:7" x14ac:dyDescent="0.3">
      <c r="A924" s="9">
        <v>46020</v>
      </c>
      <c r="B924" s="7" t="s">
        <v>7813</v>
      </c>
      <c r="C924" s="3">
        <v>2773.68</v>
      </c>
      <c r="D924" s="7" t="s">
        <v>7814</v>
      </c>
      <c r="E924" s="7" t="s">
        <v>3958</v>
      </c>
      <c r="G924" s="9"/>
    </row>
    <row r="925" spans="1:7" x14ac:dyDescent="0.3">
      <c r="A925" s="9">
        <v>46064</v>
      </c>
      <c r="B925" s="7" t="s">
        <v>7815</v>
      </c>
      <c r="C925" s="3">
        <v>-4975.29</v>
      </c>
      <c r="D925" s="7" t="s">
        <v>7816</v>
      </c>
      <c r="E925" s="7" t="s">
        <v>7308</v>
      </c>
      <c r="G925" s="9"/>
    </row>
    <row r="926" spans="1:7" x14ac:dyDescent="0.3">
      <c r="A926" s="9">
        <v>46091</v>
      </c>
      <c r="B926" s="7" t="s">
        <v>7815</v>
      </c>
      <c r="C926" s="3">
        <v>-6265.2</v>
      </c>
      <c r="D926" s="7" t="s">
        <v>7816</v>
      </c>
      <c r="E926" s="7" t="s">
        <v>7795</v>
      </c>
      <c r="G926" s="9"/>
    </row>
    <row r="927" spans="1:7" x14ac:dyDescent="0.3">
      <c r="A927" s="9">
        <v>45996</v>
      </c>
      <c r="B927" s="7" t="s">
        <v>7813</v>
      </c>
      <c r="C927" s="3">
        <v>1534.62</v>
      </c>
      <c r="D927" s="7" t="s">
        <v>7814</v>
      </c>
      <c r="E927" s="7" t="s">
        <v>3245</v>
      </c>
      <c r="G927" s="9"/>
    </row>
    <row r="928" spans="1:7" x14ac:dyDescent="0.3">
      <c r="A928" s="9">
        <v>46067</v>
      </c>
      <c r="B928" s="7" t="s">
        <v>7813</v>
      </c>
      <c r="C928" s="3">
        <v>2845.93</v>
      </c>
      <c r="D928" s="7" t="s">
        <v>7814</v>
      </c>
      <c r="E928" s="7" t="s">
        <v>3367</v>
      </c>
      <c r="G928" s="9"/>
    </row>
    <row r="929" spans="1:7" x14ac:dyDescent="0.3">
      <c r="A929" s="9">
        <v>46041</v>
      </c>
      <c r="B929" s="7" t="s">
        <v>7813</v>
      </c>
      <c r="C929" s="3">
        <v>2117.86</v>
      </c>
      <c r="D929" s="7" t="s">
        <v>7814</v>
      </c>
      <c r="E929" s="7" t="s">
        <v>3515</v>
      </c>
      <c r="G929" s="9"/>
    </row>
    <row r="930" spans="1:7" x14ac:dyDescent="0.3">
      <c r="A930" s="9">
        <v>46033</v>
      </c>
      <c r="B930" s="7" t="s">
        <v>7813</v>
      </c>
      <c r="C930" s="3">
        <v>3387.36</v>
      </c>
      <c r="D930" s="7" t="s">
        <v>7814</v>
      </c>
      <c r="E930" s="7" t="s">
        <v>4141</v>
      </c>
      <c r="G930" s="9"/>
    </row>
    <row r="931" spans="1:7" x14ac:dyDescent="0.3">
      <c r="A931" s="9">
        <v>46003</v>
      </c>
      <c r="B931" s="7" t="s">
        <v>7813</v>
      </c>
      <c r="C931" s="3">
        <v>3646.6</v>
      </c>
      <c r="D931" s="7" t="s">
        <v>7814</v>
      </c>
      <c r="E931" s="7" t="s">
        <v>4626</v>
      </c>
      <c r="G931" s="9"/>
    </row>
    <row r="932" spans="1:7" x14ac:dyDescent="0.3">
      <c r="A932" s="9">
        <v>45963</v>
      </c>
      <c r="B932" s="7" t="s">
        <v>7813</v>
      </c>
      <c r="C932" s="3">
        <v>1719.1</v>
      </c>
      <c r="D932" s="7" t="s">
        <v>7814</v>
      </c>
      <c r="E932" s="7" t="s">
        <v>4698</v>
      </c>
      <c r="G932" s="9"/>
    </row>
    <row r="933" spans="1:7" x14ac:dyDescent="0.3">
      <c r="A933" s="9">
        <v>46054</v>
      </c>
      <c r="B933" s="7" t="s">
        <v>7813</v>
      </c>
      <c r="C933" s="3">
        <v>5706.12</v>
      </c>
      <c r="D933" s="7" t="s">
        <v>7814</v>
      </c>
      <c r="E933" s="7" t="s">
        <v>4708</v>
      </c>
      <c r="G933" s="9"/>
    </row>
    <row r="934" spans="1:7" x14ac:dyDescent="0.3">
      <c r="A934" s="9">
        <v>45973</v>
      </c>
      <c r="B934" s="7" t="s">
        <v>7815</v>
      </c>
      <c r="C934" s="3">
        <v>-5775.71</v>
      </c>
      <c r="D934" s="7" t="s">
        <v>7816</v>
      </c>
      <c r="E934" s="7" t="s">
        <v>7540</v>
      </c>
      <c r="G934" s="9"/>
    </row>
    <row r="935" spans="1:7" x14ac:dyDescent="0.3">
      <c r="A935" s="9">
        <v>46016</v>
      </c>
      <c r="B935" s="7" t="s">
        <v>7815</v>
      </c>
      <c r="C935" s="3">
        <v>-1228.5</v>
      </c>
      <c r="D935" s="7" t="s">
        <v>7816</v>
      </c>
      <c r="E935" s="7" t="s">
        <v>7563</v>
      </c>
      <c r="G935" s="9"/>
    </row>
    <row r="936" spans="1:7" x14ac:dyDescent="0.3">
      <c r="A936" s="9">
        <v>46063</v>
      </c>
      <c r="B936" s="7" t="s">
        <v>7813</v>
      </c>
      <c r="C936" s="3">
        <v>5355.39</v>
      </c>
      <c r="D936" s="7" t="s">
        <v>7814</v>
      </c>
      <c r="E936" s="7" t="s">
        <v>3663</v>
      </c>
      <c r="G936" s="9"/>
    </row>
    <row r="937" spans="1:7" x14ac:dyDescent="0.3">
      <c r="A937" s="9">
        <v>46040</v>
      </c>
      <c r="B937" s="7" t="s">
        <v>7813</v>
      </c>
      <c r="C937" s="3">
        <v>4640.93</v>
      </c>
      <c r="D937" s="7" t="s">
        <v>7814</v>
      </c>
      <c r="E937" s="7" t="s">
        <v>4116</v>
      </c>
      <c r="G937" s="9"/>
    </row>
    <row r="938" spans="1:7" x14ac:dyDescent="0.3">
      <c r="A938" s="9">
        <v>46042</v>
      </c>
      <c r="B938" s="7" t="s">
        <v>7813</v>
      </c>
      <c r="C938" s="3">
        <v>5589.8</v>
      </c>
      <c r="D938" s="7" t="s">
        <v>7814</v>
      </c>
      <c r="E938" s="7" t="s">
        <v>4414</v>
      </c>
      <c r="G938" s="9"/>
    </row>
    <row r="939" spans="1:7" x14ac:dyDescent="0.3">
      <c r="A939" s="9">
        <v>46045</v>
      </c>
      <c r="B939" s="7" t="s">
        <v>7813</v>
      </c>
      <c r="C939" s="3">
        <v>4127.4399999999996</v>
      </c>
      <c r="D939" s="7" t="s">
        <v>7814</v>
      </c>
      <c r="E939" s="7" t="s">
        <v>5087</v>
      </c>
      <c r="G939" s="9"/>
    </row>
    <row r="940" spans="1:7" x14ac:dyDescent="0.3">
      <c r="A940" s="9">
        <v>46005</v>
      </c>
      <c r="B940" s="7" t="s">
        <v>7815</v>
      </c>
      <c r="C940" s="3">
        <v>-1998.93</v>
      </c>
      <c r="D940" s="7" t="s">
        <v>7816</v>
      </c>
      <c r="E940" s="7" t="s">
        <v>7221</v>
      </c>
      <c r="G940" s="9"/>
    </row>
    <row r="941" spans="1:7" x14ac:dyDescent="0.3">
      <c r="A941" s="9">
        <v>46059</v>
      </c>
      <c r="B941" s="7" t="s">
        <v>7815</v>
      </c>
      <c r="C941" s="3">
        <v>-4776.78</v>
      </c>
      <c r="D941" s="7" t="s">
        <v>7816</v>
      </c>
      <c r="E941" s="7" t="s">
        <v>7521</v>
      </c>
      <c r="G941" s="9"/>
    </row>
    <row r="942" spans="1:7" x14ac:dyDescent="0.3">
      <c r="A942" s="9">
        <v>45972</v>
      </c>
      <c r="B942" s="7" t="s">
        <v>7813</v>
      </c>
      <c r="C942" s="3">
        <v>2015.91</v>
      </c>
      <c r="D942" s="7" t="s">
        <v>7814</v>
      </c>
      <c r="E942" s="7" t="s">
        <v>4153</v>
      </c>
      <c r="G942" s="9"/>
    </row>
    <row r="943" spans="1:7" x14ac:dyDescent="0.3">
      <c r="A943" s="9">
        <v>46079</v>
      </c>
      <c r="B943" s="7" t="s">
        <v>7813</v>
      </c>
      <c r="C943" s="3">
        <v>3459.37</v>
      </c>
      <c r="D943" s="7" t="s">
        <v>7814</v>
      </c>
      <c r="E943" s="7" t="s">
        <v>4870</v>
      </c>
      <c r="G943" s="9"/>
    </row>
    <row r="944" spans="1:7" x14ac:dyDescent="0.3">
      <c r="A944" s="9">
        <v>46026</v>
      </c>
      <c r="B944" s="7" t="s">
        <v>7813</v>
      </c>
      <c r="C944" s="3">
        <v>11377.1</v>
      </c>
      <c r="D944" s="7" t="s">
        <v>7814</v>
      </c>
      <c r="E944" s="7" t="s">
        <v>5262</v>
      </c>
      <c r="G944" s="9"/>
    </row>
    <row r="945" spans="1:7" x14ac:dyDescent="0.3">
      <c r="A945" s="9">
        <v>46046</v>
      </c>
      <c r="B945" s="7" t="s">
        <v>7815</v>
      </c>
      <c r="C945" s="3">
        <v>-1677.43</v>
      </c>
      <c r="D945" s="7" t="s">
        <v>7816</v>
      </c>
      <c r="E945" s="7" t="s">
        <v>6935</v>
      </c>
      <c r="G945" s="9"/>
    </row>
    <row r="946" spans="1:7" x14ac:dyDescent="0.3">
      <c r="A946" s="9">
        <v>46060</v>
      </c>
      <c r="B946" s="7" t="s">
        <v>7813</v>
      </c>
      <c r="C946" s="3">
        <v>1544.07</v>
      </c>
      <c r="D946" s="7" t="s">
        <v>7814</v>
      </c>
      <c r="E946" s="7" t="s">
        <v>3621</v>
      </c>
      <c r="G946" s="9"/>
    </row>
    <row r="947" spans="1:7" x14ac:dyDescent="0.3">
      <c r="A947" s="9">
        <v>46012</v>
      </c>
      <c r="B947" s="7" t="s">
        <v>7813</v>
      </c>
      <c r="C947" s="3">
        <v>3388.61</v>
      </c>
      <c r="D947" s="7" t="s">
        <v>7814</v>
      </c>
      <c r="E947" s="7" t="s">
        <v>3689</v>
      </c>
      <c r="G947" s="9"/>
    </row>
    <row r="948" spans="1:7" x14ac:dyDescent="0.3">
      <c r="A948" s="9">
        <v>45974</v>
      </c>
      <c r="B948" s="7" t="s">
        <v>7813</v>
      </c>
      <c r="C948" s="3">
        <v>10847.07</v>
      </c>
      <c r="D948" s="7" t="s">
        <v>7814</v>
      </c>
      <c r="E948" s="7" t="s">
        <v>3869</v>
      </c>
      <c r="G948" s="9"/>
    </row>
    <row r="949" spans="1:7" x14ac:dyDescent="0.3">
      <c r="A949" s="9">
        <v>46023</v>
      </c>
      <c r="B949" s="7" t="s">
        <v>7813</v>
      </c>
      <c r="C949" s="3">
        <v>5826.3</v>
      </c>
      <c r="D949" s="7" t="s">
        <v>7814</v>
      </c>
      <c r="E949" s="7" t="s">
        <v>5042</v>
      </c>
      <c r="G949" s="9"/>
    </row>
    <row r="950" spans="1:7" x14ac:dyDescent="0.3">
      <c r="A950" s="9">
        <v>46041</v>
      </c>
      <c r="B950" s="7" t="s">
        <v>7813</v>
      </c>
      <c r="C950" s="3">
        <v>11378.13</v>
      </c>
      <c r="D950" s="7" t="s">
        <v>7814</v>
      </c>
      <c r="E950" s="7" t="s">
        <v>5384</v>
      </c>
      <c r="G950" s="9"/>
    </row>
    <row r="951" spans="1:7" x14ac:dyDescent="0.3">
      <c r="A951" s="9">
        <v>46043</v>
      </c>
      <c r="B951" s="7" t="s">
        <v>7815</v>
      </c>
      <c r="C951" s="3">
        <v>-5445.05</v>
      </c>
      <c r="D951" s="7" t="s">
        <v>7816</v>
      </c>
      <c r="E951" s="7" t="s">
        <v>6916</v>
      </c>
      <c r="G951" s="9"/>
    </row>
    <row r="952" spans="1:7" x14ac:dyDescent="0.3">
      <c r="A952" s="9">
        <v>46064</v>
      </c>
      <c r="B952" s="7" t="s">
        <v>7815</v>
      </c>
      <c r="C952" s="3">
        <v>-3130.75</v>
      </c>
      <c r="D952" s="7" t="s">
        <v>7816</v>
      </c>
      <c r="E952" s="7" t="s">
        <v>7258</v>
      </c>
      <c r="G952" s="9"/>
    </row>
    <row r="953" spans="1:7" x14ac:dyDescent="0.3">
      <c r="A953" s="9">
        <v>45998</v>
      </c>
      <c r="B953" s="7" t="s">
        <v>7815</v>
      </c>
      <c r="C953" s="3">
        <v>-4400.57</v>
      </c>
      <c r="D953" s="7" t="s">
        <v>7816</v>
      </c>
      <c r="E953" s="7" t="s">
        <v>7288</v>
      </c>
      <c r="G953" s="9"/>
    </row>
    <row r="954" spans="1:7" x14ac:dyDescent="0.3">
      <c r="A954" s="9">
        <v>46048</v>
      </c>
      <c r="B954" s="7" t="s">
        <v>7815</v>
      </c>
      <c r="C954" s="3">
        <v>-4361.93</v>
      </c>
      <c r="D954" s="7" t="s">
        <v>7816</v>
      </c>
      <c r="E954" s="7" t="s">
        <v>7405</v>
      </c>
      <c r="G954" s="9"/>
    </row>
    <row r="955" spans="1:7" x14ac:dyDescent="0.3">
      <c r="A955" s="9">
        <v>46035</v>
      </c>
      <c r="B955" s="7" t="s">
        <v>7813</v>
      </c>
      <c r="C955" s="3">
        <v>2103.0700000000002</v>
      </c>
      <c r="D955" s="7" t="s">
        <v>7814</v>
      </c>
      <c r="E955" s="7" t="s">
        <v>3231</v>
      </c>
      <c r="G955" s="9"/>
    </row>
    <row r="956" spans="1:7" x14ac:dyDescent="0.3">
      <c r="A956" s="9">
        <v>46060</v>
      </c>
      <c r="B956" s="7" t="s">
        <v>7813</v>
      </c>
      <c r="C956" s="3">
        <v>3017.45</v>
      </c>
      <c r="D956" s="7" t="s">
        <v>7814</v>
      </c>
      <c r="E956" s="7" t="s">
        <v>3794</v>
      </c>
      <c r="G956" s="9"/>
    </row>
    <row r="957" spans="1:7" x14ac:dyDescent="0.3">
      <c r="A957" s="9">
        <v>45975</v>
      </c>
      <c r="B957" s="7" t="s">
        <v>7813</v>
      </c>
      <c r="C957" s="3">
        <v>2613.02</v>
      </c>
      <c r="D957" s="7" t="s">
        <v>7814</v>
      </c>
      <c r="E957" s="7" t="s">
        <v>4802</v>
      </c>
      <c r="G957" s="9"/>
    </row>
    <row r="958" spans="1:7" x14ac:dyDescent="0.3">
      <c r="A958" s="9">
        <v>45966</v>
      </c>
      <c r="B958" s="7" t="s">
        <v>7813</v>
      </c>
      <c r="C958" s="3">
        <v>2020.61</v>
      </c>
      <c r="D958" s="7" t="s">
        <v>7814</v>
      </c>
      <c r="E958" s="7" t="s">
        <v>5316</v>
      </c>
      <c r="G958" s="9"/>
    </row>
    <row r="959" spans="1:7" x14ac:dyDescent="0.3">
      <c r="A959" s="9">
        <v>46020</v>
      </c>
      <c r="B959" s="7" t="s">
        <v>7815</v>
      </c>
      <c r="C959" s="3">
        <v>-1343.26</v>
      </c>
      <c r="D959" s="7" t="s">
        <v>7816</v>
      </c>
      <c r="E959" s="7" t="s">
        <v>6828</v>
      </c>
      <c r="G959" s="9"/>
    </row>
    <row r="960" spans="1:7" x14ac:dyDescent="0.3">
      <c r="A960" s="9">
        <v>46052</v>
      </c>
      <c r="B960" s="7" t="s">
        <v>7813</v>
      </c>
      <c r="C960" s="3">
        <v>1878.39</v>
      </c>
      <c r="D960" s="7" t="s">
        <v>7814</v>
      </c>
      <c r="E960" s="7" t="s">
        <v>3218</v>
      </c>
      <c r="G960" s="9"/>
    </row>
    <row r="961" spans="1:7" x14ac:dyDescent="0.3">
      <c r="A961" s="9">
        <v>46080</v>
      </c>
      <c r="B961" s="7" t="s">
        <v>7813</v>
      </c>
      <c r="C961" s="3">
        <v>5615.19</v>
      </c>
      <c r="D961" s="7" t="s">
        <v>7814</v>
      </c>
      <c r="E961" s="7" t="s">
        <v>3586</v>
      </c>
      <c r="G961" s="9"/>
    </row>
    <row r="962" spans="1:7" x14ac:dyDescent="0.3">
      <c r="A962" s="9">
        <v>46017</v>
      </c>
      <c r="B962" s="7" t="s">
        <v>7813</v>
      </c>
      <c r="C962" s="3">
        <v>2606.5700000000002</v>
      </c>
      <c r="D962" s="7" t="s">
        <v>7814</v>
      </c>
      <c r="E962" s="7" t="s">
        <v>3760</v>
      </c>
      <c r="G962" s="9"/>
    </row>
    <row r="963" spans="1:7" x14ac:dyDescent="0.3">
      <c r="A963" s="9">
        <v>46059</v>
      </c>
      <c r="B963" s="7" t="s">
        <v>7813</v>
      </c>
      <c r="C963" s="3">
        <v>2028.05</v>
      </c>
      <c r="D963" s="7" t="s">
        <v>7814</v>
      </c>
      <c r="E963" s="7" t="s">
        <v>4686</v>
      </c>
      <c r="G963" s="9"/>
    </row>
    <row r="964" spans="1:7" x14ac:dyDescent="0.3">
      <c r="A964" s="9">
        <v>46038</v>
      </c>
      <c r="B964" s="7" t="s">
        <v>7813</v>
      </c>
      <c r="C964" s="3">
        <v>3478.1</v>
      </c>
      <c r="D964" s="7" t="s">
        <v>7814</v>
      </c>
      <c r="E964" s="7" t="s">
        <v>4808</v>
      </c>
      <c r="G964" s="9"/>
    </row>
    <row r="965" spans="1:7" x14ac:dyDescent="0.3">
      <c r="A965" s="9">
        <v>46070</v>
      </c>
      <c r="B965" s="7" t="s">
        <v>7815</v>
      </c>
      <c r="C965" s="3">
        <v>-1563.25</v>
      </c>
      <c r="D965" s="7" t="s">
        <v>7816</v>
      </c>
      <c r="E965" s="7" t="s">
        <v>7602</v>
      </c>
      <c r="G965" s="9"/>
    </row>
    <row r="966" spans="1:7" x14ac:dyDescent="0.3">
      <c r="A966" s="9">
        <v>45962</v>
      </c>
      <c r="B966" s="7" t="s">
        <v>7815</v>
      </c>
      <c r="C966" s="3">
        <v>-4886.49</v>
      </c>
      <c r="D966" s="7" t="s">
        <v>7816</v>
      </c>
      <c r="E966" s="7" t="s">
        <v>7611</v>
      </c>
      <c r="G966" s="9"/>
    </row>
    <row r="967" spans="1:7" x14ac:dyDescent="0.3">
      <c r="A967" s="9">
        <v>46022</v>
      </c>
      <c r="B967" s="7" t="s">
        <v>7813</v>
      </c>
      <c r="C967" s="3">
        <v>1924.21</v>
      </c>
      <c r="D967" s="7" t="s">
        <v>7814</v>
      </c>
      <c r="E967" s="7" t="s">
        <v>3383</v>
      </c>
      <c r="G967" s="9"/>
    </row>
    <row r="968" spans="1:7" x14ac:dyDescent="0.3">
      <c r="A968" s="9">
        <v>46060</v>
      </c>
      <c r="B968" s="7" t="s">
        <v>7813</v>
      </c>
      <c r="C968" s="3">
        <v>3217.9</v>
      </c>
      <c r="D968" s="7" t="s">
        <v>7814</v>
      </c>
      <c r="E968" s="7" t="s">
        <v>3402</v>
      </c>
      <c r="G968" s="9"/>
    </row>
    <row r="969" spans="1:7" x14ac:dyDescent="0.3">
      <c r="A969" s="9">
        <v>46066</v>
      </c>
      <c r="B969" s="7" t="s">
        <v>7813</v>
      </c>
      <c r="C969" s="3">
        <v>3221.31</v>
      </c>
      <c r="D969" s="7" t="s">
        <v>7814</v>
      </c>
      <c r="E969" s="7" t="s">
        <v>3473</v>
      </c>
      <c r="G969" s="9"/>
    </row>
    <row r="970" spans="1:7" x14ac:dyDescent="0.3">
      <c r="A970" s="9">
        <v>45972</v>
      </c>
      <c r="B970" s="7" t="s">
        <v>7813</v>
      </c>
      <c r="C970" s="3">
        <v>902.56</v>
      </c>
      <c r="D970" s="7" t="s">
        <v>7814</v>
      </c>
      <c r="E970" s="7" t="s">
        <v>3622</v>
      </c>
      <c r="G970" s="9"/>
    </row>
    <row r="971" spans="1:7" x14ac:dyDescent="0.3">
      <c r="A971" s="9">
        <v>46077</v>
      </c>
      <c r="B971" s="7" t="s">
        <v>7813</v>
      </c>
      <c r="C971" s="3">
        <v>2054.33</v>
      </c>
      <c r="D971" s="7" t="s">
        <v>7814</v>
      </c>
      <c r="E971" s="7" t="s">
        <v>4049</v>
      </c>
      <c r="G971" s="9"/>
    </row>
    <row r="972" spans="1:7" x14ac:dyDescent="0.3">
      <c r="A972" s="9">
        <v>46043</v>
      </c>
      <c r="B972" s="7" t="s">
        <v>7813</v>
      </c>
      <c r="C972" s="3">
        <v>2532.96</v>
      </c>
      <c r="D972" s="7" t="s">
        <v>7814</v>
      </c>
      <c r="E972" s="7" t="s">
        <v>4776</v>
      </c>
      <c r="G972" s="9"/>
    </row>
    <row r="973" spans="1:7" x14ac:dyDescent="0.3">
      <c r="A973" s="9">
        <v>46061</v>
      </c>
      <c r="B973" s="7" t="s">
        <v>7813</v>
      </c>
      <c r="C973" s="3">
        <v>1967.36</v>
      </c>
      <c r="D973" s="7" t="s">
        <v>7814</v>
      </c>
      <c r="E973" s="7" t="s">
        <v>5231</v>
      </c>
      <c r="G973" s="9"/>
    </row>
    <row r="974" spans="1:7" x14ac:dyDescent="0.3">
      <c r="A974" s="9">
        <v>46050</v>
      </c>
      <c r="B974" s="7" t="s">
        <v>7815</v>
      </c>
      <c r="C974" s="3">
        <v>-4559.71</v>
      </c>
      <c r="D974" s="7" t="s">
        <v>7816</v>
      </c>
      <c r="E974" s="7" t="s">
        <v>7706</v>
      </c>
      <c r="G974" s="9"/>
    </row>
    <row r="975" spans="1:7" x14ac:dyDescent="0.3">
      <c r="A975" s="9">
        <v>46029</v>
      </c>
      <c r="B975" s="7" t="s">
        <v>7813</v>
      </c>
      <c r="C975" s="3">
        <v>1608.07</v>
      </c>
      <c r="D975" s="7" t="s">
        <v>7814</v>
      </c>
      <c r="E975" s="7" t="s">
        <v>3203</v>
      </c>
      <c r="G975" s="9"/>
    </row>
    <row r="976" spans="1:7" x14ac:dyDescent="0.3">
      <c r="A976" s="9">
        <v>46007</v>
      </c>
      <c r="B976" s="7" t="s">
        <v>7813</v>
      </c>
      <c r="C976" s="3">
        <v>10157.379999999999</v>
      </c>
      <c r="D976" s="7" t="s">
        <v>7814</v>
      </c>
      <c r="E976" s="7" t="s">
        <v>3252</v>
      </c>
      <c r="G976" s="9"/>
    </row>
    <row r="977" spans="1:7" x14ac:dyDescent="0.3">
      <c r="A977" s="9">
        <v>46049</v>
      </c>
      <c r="B977" s="7" t="s">
        <v>7813</v>
      </c>
      <c r="C977" s="3">
        <v>12821.4</v>
      </c>
      <c r="D977" s="7" t="s">
        <v>7814</v>
      </c>
      <c r="E977" s="7" t="s">
        <v>4000</v>
      </c>
      <c r="G977" s="9"/>
    </row>
    <row r="978" spans="1:7" x14ac:dyDescent="0.3">
      <c r="A978" s="9">
        <v>45969</v>
      </c>
      <c r="B978" s="7" t="s">
        <v>7813</v>
      </c>
      <c r="C978" s="3">
        <v>2782.53</v>
      </c>
      <c r="D978" s="7" t="s">
        <v>7814</v>
      </c>
      <c r="E978" s="7" t="s">
        <v>4046</v>
      </c>
      <c r="G978" s="9"/>
    </row>
    <row r="979" spans="1:7" x14ac:dyDescent="0.3">
      <c r="A979" s="9">
        <v>46012</v>
      </c>
      <c r="B979" s="7" t="s">
        <v>7813</v>
      </c>
      <c r="C979" s="3">
        <v>2333.44</v>
      </c>
      <c r="D979" s="7" t="s">
        <v>7814</v>
      </c>
      <c r="E979" s="7" t="s">
        <v>4067</v>
      </c>
      <c r="G979" s="9"/>
    </row>
    <row r="980" spans="1:7" x14ac:dyDescent="0.3">
      <c r="A980" s="9">
        <v>46088</v>
      </c>
      <c r="B980" s="7" t="s">
        <v>7813</v>
      </c>
      <c r="C980" s="3">
        <v>4265.42</v>
      </c>
      <c r="D980" s="7" t="s">
        <v>7814</v>
      </c>
      <c r="E980" s="7" t="s">
        <v>4106</v>
      </c>
      <c r="G980" s="9"/>
    </row>
    <row r="981" spans="1:7" x14ac:dyDescent="0.3">
      <c r="A981" s="9">
        <v>45963</v>
      </c>
      <c r="B981" s="7" t="s">
        <v>7813</v>
      </c>
      <c r="C981" s="3">
        <v>4066.47</v>
      </c>
      <c r="D981" s="7" t="s">
        <v>7814</v>
      </c>
      <c r="E981" s="7" t="s">
        <v>4562</v>
      </c>
      <c r="G981" s="9"/>
    </row>
    <row r="982" spans="1:7" x14ac:dyDescent="0.3">
      <c r="A982" s="9">
        <v>46030</v>
      </c>
      <c r="B982" s="7" t="s">
        <v>7813</v>
      </c>
      <c r="C982" s="3">
        <v>1569.89</v>
      </c>
      <c r="D982" s="7" t="s">
        <v>7814</v>
      </c>
      <c r="E982" s="7" t="s">
        <v>4643</v>
      </c>
      <c r="G982" s="9"/>
    </row>
    <row r="983" spans="1:7" x14ac:dyDescent="0.3">
      <c r="A983" s="9">
        <v>46079</v>
      </c>
      <c r="B983" s="7" t="s">
        <v>7813</v>
      </c>
      <c r="C983" s="3">
        <v>5280.43</v>
      </c>
      <c r="D983" s="7" t="s">
        <v>7814</v>
      </c>
      <c r="E983" s="7" t="s">
        <v>4714</v>
      </c>
      <c r="G983" s="9"/>
    </row>
    <row r="984" spans="1:7" x14ac:dyDescent="0.3">
      <c r="A984" s="9">
        <v>46033</v>
      </c>
      <c r="B984" s="7" t="s">
        <v>7815</v>
      </c>
      <c r="C984" s="3">
        <v>-3000.13</v>
      </c>
      <c r="D984" s="7" t="s">
        <v>7816</v>
      </c>
      <c r="E984" s="7" t="s">
        <v>7180</v>
      </c>
      <c r="G984" s="9"/>
    </row>
    <row r="985" spans="1:7" x14ac:dyDescent="0.3">
      <c r="A985" s="9">
        <v>46082</v>
      </c>
      <c r="B985" s="7" t="s">
        <v>7815</v>
      </c>
      <c r="C985" s="3">
        <v>-3303.04</v>
      </c>
      <c r="D985" s="7" t="s">
        <v>7816</v>
      </c>
      <c r="E985" s="7" t="s">
        <v>7457</v>
      </c>
      <c r="G985" s="9"/>
    </row>
    <row r="986" spans="1:7" x14ac:dyDescent="0.3">
      <c r="A986" s="9">
        <v>46024</v>
      </c>
      <c r="B986" s="7" t="s">
        <v>7815</v>
      </c>
      <c r="C986" s="3">
        <v>-4210.91</v>
      </c>
      <c r="D986" s="7" t="s">
        <v>7816</v>
      </c>
      <c r="E986" s="7" t="s">
        <v>7470</v>
      </c>
      <c r="G986" s="9"/>
    </row>
    <row r="987" spans="1:7" x14ac:dyDescent="0.3">
      <c r="A987" s="9">
        <v>46089</v>
      </c>
      <c r="B987" s="7" t="s">
        <v>7813</v>
      </c>
      <c r="C987" s="3">
        <v>3326.69</v>
      </c>
      <c r="D987" s="7" t="s">
        <v>7814</v>
      </c>
      <c r="E987" s="7" t="s">
        <v>4944</v>
      </c>
      <c r="G987" s="9"/>
    </row>
    <row r="988" spans="1:7" x14ac:dyDescent="0.3">
      <c r="A988" s="9">
        <v>46004</v>
      </c>
      <c r="B988" s="7" t="s">
        <v>7813</v>
      </c>
      <c r="C988" s="3">
        <v>4104.0200000000004</v>
      </c>
      <c r="D988" s="7" t="s">
        <v>7814</v>
      </c>
      <c r="E988" s="7" t="s">
        <v>5359</v>
      </c>
      <c r="G988" s="9"/>
    </row>
    <row r="989" spans="1:7" x14ac:dyDescent="0.3">
      <c r="A989" s="9">
        <v>45982</v>
      </c>
      <c r="B989" s="7" t="s">
        <v>7815</v>
      </c>
      <c r="C989" s="3">
        <v>-2592.39</v>
      </c>
      <c r="D989" s="7" t="s">
        <v>7816</v>
      </c>
      <c r="E989" s="7" t="s">
        <v>7296</v>
      </c>
      <c r="G989" s="9"/>
    </row>
    <row r="990" spans="1:7" x14ac:dyDescent="0.3">
      <c r="A990" s="9">
        <v>46013</v>
      </c>
      <c r="B990" s="7" t="s">
        <v>7813</v>
      </c>
      <c r="C990" s="3">
        <v>5771.58</v>
      </c>
      <c r="D990" s="7" t="s">
        <v>7814</v>
      </c>
      <c r="E990" s="7" t="s">
        <v>3342</v>
      </c>
      <c r="G990" s="9"/>
    </row>
    <row r="991" spans="1:7" x14ac:dyDescent="0.3">
      <c r="A991" s="9">
        <v>46035</v>
      </c>
      <c r="B991" s="7" t="s">
        <v>7813</v>
      </c>
      <c r="C991" s="3">
        <v>2334.9699999999998</v>
      </c>
      <c r="D991" s="7" t="s">
        <v>7814</v>
      </c>
      <c r="E991" s="7" t="s">
        <v>4053</v>
      </c>
      <c r="G991" s="9"/>
    </row>
    <row r="992" spans="1:7" x14ac:dyDescent="0.3">
      <c r="A992" s="9">
        <v>46076</v>
      </c>
      <c r="B992" s="7" t="s">
        <v>7813</v>
      </c>
      <c r="C992" s="3">
        <v>1839.1</v>
      </c>
      <c r="D992" s="7" t="s">
        <v>7814</v>
      </c>
      <c r="E992" s="7" t="s">
        <v>4290</v>
      </c>
      <c r="G992" s="9"/>
    </row>
    <row r="993" spans="1:7" x14ac:dyDescent="0.3">
      <c r="A993" s="9">
        <v>46029</v>
      </c>
      <c r="B993" s="7" t="s">
        <v>7813</v>
      </c>
      <c r="C993" s="3">
        <v>2986.14</v>
      </c>
      <c r="D993" s="7" t="s">
        <v>7814</v>
      </c>
      <c r="E993" s="7" t="s">
        <v>4702</v>
      </c>
      <c r="G993" s="9"/>
    </row>
    <row r="994" spans="1:7" x14ac:dyDescent="0.3">
      <c r="A994" s="9">
        <v>46031</v>
      </c>
      <c r="B994" s="7" t="s">
        <v>7815</v>
      </c>
      <c r="C994" s="3">
        <v>-1940.45</v>
      </c>
      <c r="D994" s="7" t="s">
        <v>7816</v>
      </c>
      <c r="E994" s="7" t="s">
        <v>7490</v>
      </c>
      <c r="G994" s="9"/>
    </row>
    <row r="995" spans="1:7" x14ac:dyDescent="0.3">
      <c r="A995" s="9">
        <v>46046</v>
      </c>
      <c r="B995" s="7" t="s">
        <v>7815</v>
      </c>
      <c r="C995" s="3">
        <v>-5012.3999999999996</v>
      </c>
      <c r="D995" s="7" t="s">
        <v>7816</v>
      </c>
      <c r="E995" s="7" t="s">
        <v>7787</v>
      </c>
      <c r="G995" s="9"/>
    </row>
    <row r="996" spans="1:7" x14ac:dyDescent="0.3">
      <c r="A996" s="9">
        <v>45972</v>
      </c>
      <c r="B996" s="7" t="s">
        <v>7813</v>
      </c>
      <c r="C996" s="3">
        <v>3443.74</v>
      </c>
      <c r="D996" s="7" t="s">
        <v>7814</v>
      </c>
      <c r="E996" s="7" t="s">
        <v>3917</v>
      </c>
      <c r="G996" s="9"/>
    </row>
    <row r="997" spans="1:7" x14ac:dyDescent="0.3">
      <c r="A997" s="9">
        <v>46001</v>
      </c>
      <c r="B997" s="7" t="s">
        <v>7813</v>
      </c>
      <c r="C997" s="3">
        <v>2200.56</v>
      </c>
      <c r="D997" s="7" t="s">
        <v>7814</v>
      </c>
      <c r="E997" s="7" t="s">
        <v>3999</v>
      </c>
      <c r="G997" s="9"/>
    </row>
    <row r="998" spans="1:7" x14ac:dyDescent="0.3">
      <c r="A998" s="9">
        <v>46043</v>
      </c>
      <c r="B998" s="7" t="s">
        <v>7813</v>
      </c>
      <c r="C998" s="3">
        <v>1945.97</v>
      </c>
      <c r="D998" s="7" t="s">
        <v>7814</v>
      </c>
      <c r="E998" s="7" t="s">
        <v>4554</v>
      </c>
      <c r="G998" s="9"/>
    </row>
    <row r="999" spans="1:7" x14ac:dyDescent="0.3">
      <c r="A999" s="9">
        <v>46005</v>
      </c>
      <c r="B999" s="7" t="s">
        <v>7813</v>
      </c>
      <c r="C999" s="3">
        <v>2519.38</v>
      </c>
      <c r="D999" s="7" t="s">
        <v>7814</v>
      </c>
      <c r="E999" s="7" t="s">
        <v>4989</v>
      </c>
      <c r="G999" s="9"/>
    </row>
    <row r="1000" spans="1:7" x14ac:dyDescent="0.3">
      <c r="A1000" s="9">
        <v>46025</v>
      </c>
      <c r="B1000" s="7" t="s">
        <v>7813</v>
      </c>
      <c r="C1000" s="3">
        <v>10533.36</v>
      </c>
      <c r="D1000" s="7" t="s">
        <v>7814</v>
      </c>
      <c r="E1000" s="7" t="s">
        <v>4134</v>
      </c>
      <c r="G1000" s="9"/>
    </row>
    <row r="1001" spans="1:7" x14ac:dyDescent="0.3">
      <c r="A1001" s="9">
        <v>46023</v>
      </c>
      <c r="B1001" s="7" t="s">
        <v>7813</v>
      </c>
      <c r="C1001" s="3">
        <v>11399.12</v>
      </c>
      <c r="D1001" s="7" t="s">
        <v>7814</v>
      </c>
      <c r="E1001" s="7" t="s">
        <v>5335</v>
      </c>
      <c r="G1001" s="9"/>
    </row>
    <row r="1002" spans="1:7" x14ac:dyDescent="0.3">
      <c r="A1002" s="9">
        <v>46047</v>
      </c>
      <c r="B1002" s="7" t="s">
        <v>7815</v>
      </c>
      <c r="C1002" s="3">
        <v>-1065.69</v>
      </c>
      <c r="D1002" s="7" t="s">
        <v>7816</v>
      </c>
      <c r="E1002" s="7" t="s">
        <v>6868</v>
      </c>
      <c r="G1002" s="9"/>
    </row>
    <row r="1003" spans="1:7" x14ac:dyDescent="0.3">
      <c r="A1003" s="9">
        <v>46035</v>
      </c>
      <c r="B1003" s="7" t="s">
        <v>7813</v>
      </c>
      <c r="C1003" s="3">
        <v>915.16</v>
      </c>
      <c r="D1003" s="7" t="s">
        <v>7814</v>
      </c>
      <c r="E1003" s="7" t="s">
        <v>4026</v>
      </c>
      <c r="G1003" s="9"/>
    </row>
    <row r="1004" spans="1:7" x14ac:dyDescent="0.3">
      <c r="A1004" s="9">
        <v>46059</v>
      </c>
      <c r="B1004" s="7" t="s">
        <v>7813</v>
      </c>
      <c r="C1004" s="3">
        <v>2566.48</v>
      </c>
      <c r="D1004" s="7" t="s">
        <v>7814</v>
      </c>
      <c r="E1004" s="7" t="s">
        <v>4774</v>
      </c>
      <c r="G1004" s="9"/>
    </row>
    <row r="1005" spans="1:7" x14ac:dyDescent="0.3">
      <c r="A1005" s="9">
        <v>46054</v>
      </c>
      <c r="B1005" s="7" t="s">
        <v>7813</v>
      </c>
      <c r="C1005" s="3">
        <v>3519.5</v>
      </c>
      <c r="D1005" s="7" t="s">
        <v>7814</v>
      </c>
      <c r="E1005" s="7" t="s">
        <v>4785</v>
      </c>
      <c r="G1005" s="9"/>
    </row>
    <row r="1006" spans="1:7" x14ac:dyDescent="0.3">
      <c r="A1006" s="9">
        <v>46032</v>
      </c>
      <c r="B1006" s="7" t="s">
        <v>7813</v>
      </c>
      <c r="C1006" s="3">
        <v>3760.94</v>
      </c>
      <c r="D1006" s="7" t="s">
        <v>7814</v>
      </c>
      <c r="E1006" s="7" t="s">
        <v>5071</v>
      </c>
      <c r="G1006" s="9"/>
    </row>
    <row r="1007" spans="1:7" x14ac:dyDescent="0.3">
      <c r="A1007" s="9">
        <v>46060</v>
      </c>
      <c r="B1007" s="7" t="s">
        <v>7813</v>
      </c>
      <c r="C1007" s="3">
        <v>763.42</v>
      </c>
      <c r="D1007" s="7" t="s">
        <v>7814</v>
      </c>
      <c r="E1007" s="7" t="s">
        <v>5119</v>
      </c>
      <c r="G1007" s="9"/>
    </row>
    <row r="1008" spans="1:7" x14ac:dyDescent="0.3">
      <c r="A1008" s="9">
        <v>46015</v>
      </c>
      <c r="B1008" s="7" t="s">
        <v>7813</v>
      </c>
      <c r="C1008" s="3">
        <v>2881.76</v>
      </c>
      <c r="D1008" s="7" t="s">
        <v>7814</v>
      </c>
      <c r="E1008" s="7" t="s">
        <v>5172</v>
      </c>
      <c r="G1008" s="9"/>
    </row>
    <row r="1009" spans="1:7" x14ac:dyDescent="0.3">
      <c r="A1009" s="9">
        <v>45984</v>
      </c>
      <c r="B1009" s="7" t="s">
        <v>7815</v>
      </c>
      <c r="C1009" s="3">
        <v>-3456.15</v>
      </c>
      <c r="D1009" s="7" t="s">
        <v>7816</v>
      </c>
      <c r="E1009" s="7" t="s">
        <v>7798</v>
      </c>
      <c r="G1009" s="9"/>
    </row>
    <row r="1010" spans="1:7" x14ac:dyDescent="0.3">
      <c r="A1010" s="9">
        <v>46066</v>
      </c>
      <c r="B1010" s="7" t="s">
        <v>7813</v>
      </c>
      <c r="C1010" s="3">
        <v>13650.09</v>
      </c>
      <c r="D1010" s="7" t="s">
        <v>7814</v>
      </c>
      <c r="E1010" s="7" t="s">
        <v>3635</v>
      </c>
      <c r="G1010" s="9"/>
    </row>
    <row r="1011" spans="1:7" x14ac:dyDescent="0.3">
      <c r="A1011" s="9">
        <v>45967</v>
      </c>
      <c r="B1011" s="7" t="s">
        <v>7813</v>
      </c>
      <c r="C1011" s="3">
        <v>1741.01</v>
      </c>
      <c r="D1011" s="7" t="s">
        <v>7814</v>
      </c>
      <c r="E1011" s="7" t="s">
        <v>4622</v>
      </c>
      <c r="G1011" s="9"/>
    </row>
    <row r="1012" spans="1:7" x14ac:dyDescent="0.3">
      <c r="A1012" s="9">
        <v>46086</v>
      </c>
      <c r="B1012" s="7" t="s">
        <v>7813</v>
      </c>
      <c r="C1012" s="3">
        <v>4374.1000000000004</v>
      </c>
      <c r="D1012" s="7" t="s">
        <v>7814</v>
      </c>
      <c r="E1012" s="7" t="s">
        <v>5377</v>
      </c>
      <c r="G1012" s="9"/>
    </row>
    <row r="1013" spans="1:7" x14ac:dyDescent="0.3">
      <c r="A1013" s="9">
        <v>46077</v>
      </c>
      <c r="B1013" s="7" t="s">
        <v>7813</v>
      </c>
      <c r="C1013" s="3">
        <v>2107.7399999999998</v>
      </c>
      <c r="D1013" s="7" t="s">
        <v>7814</v>
      </c>
      <c r="E1013" s="7" t="s">
        <v>5409</v>
      </c>
      <c r="G1013" s="9"/>
    </row>
    <row r="1014" spans="1:7" x14ac:dyDescent="0.3">
      <c r="A1014" s="9">
        <v>45976</v>
      </c>
      <c r="B1014" s="7" t="s">
        <v>7815</v>
      </c>
      <c r="C1014" s="3">
        <v>-1168.8800000000001</v>
      </c>
      <c r="D1014" s="7" t="s">
        <v>7816</v>
      </c>
      <c r="E1014" s="7" t="s">
        <v>6886</v>
      </c>
      <c r="G1014" s="9"/>
    </row>
    <row r="1015" spans="1:7" x14ac:dyDescent="0.3">
      <c r="A1015" s="9">
        <v>46043</v>
      </c>
      <c r="B1015" s="7" t="s">
        <v>7815</v>
      </c>
      <c r="C1015" s="3">
        <v>-3035.38</v>
      </c>
      <c r="D1015" s="7" t="s">
        <v>7816</v>
      </c>
      <c r="E1015" s="7" t="s">
        <v>6903</v>
      </c>
      <c r="G1015" s="9"/>
    </row>
    <row r="1016" spans="1:7" x14ac:dyDescent="0.3">
      <c r="A1016" s="9">
        <v>46059</v>
      </c>
      <c r="B1016" s="7" t="s">
        <v>7815</v>
      </c>
      <c r="C1016" s="3">
        <v>-6517.56</v>
      </c>
      <c r="D1016" s="7" t="s">
        <v>7816</v>
      </c>
      <c r="E1016" s="7" t="s">
        <v>6913</v>
      </c>
      <c r="G1016" s="9"/>
    </row>
    <row r="1017" spans="1:7" x14ac:dyDescent="0.3">
      <c r="A1017" s="9">
        <v>46042</v>
      </c>
      <c r="B1017" s="7" t="s">
        <v>7813</v>
      </c>
      <c r="C1017" s="3">
        <v>3144.1</v>
      </c>
      <c r="D1017" s="7" t="s">
        <v>7814</v>
      </c>
      <c r="E1017" s="7" t="s">
        <v>3597</v>
      </c>
      <c r="G1017" s="9"/>
    </row>
    <row r="1018" spans="1:7" x14ac:dyDescent="0.3">
      <c r="A1018" s="9">
        <v>46021</v>
      </c>
      <c r="B1018" s="7" t="s">
        <v>7813</v>
      </c>
      <c r="C1018" s="3">
        <v>5767.33</v>
      </c>
      <c r="D1018" s="7" t="s">
        <v>7814</v>
      </c>
      <c r="E1018" s="7" t="s">
        <v>3982</v>
      </c>
      <c r="G1018" s="9"/>
    </row>
    <row r="1019" spans="1:7" x14ac:dyDescent="0.3">
      <c r="A1019" s="9">
        <v>46060</v>
      </c>
      <c r="B1019" s="7" t="s">
        <v>7813</v>
      </c>
      <c r="C1019" s="3">
        <v>12503.27</v>
      </c>
      <c r="D1019" s="7" t="s">
        <v>7814</v>
      </c>
      <c r="E1019" s="7" t="s">
        <v>4449</v>
      </c>
      <c r="G1019" s="9"/>
    </row>
    <row r="1020" spans="1:7" x14ac:dyDescent="0.3">
      <c r="A1020" s="9">
        <v>46047</v>
      </c>
      <c r="B1020" s="7" t="s">
        <v>7813</v>
      </c>
      <c r="C1020" s="3">
        <v>2076.29</v>
      </c>
      <c r="D1020" s="7" t="s">
        <v>7814</v>
      </c>
      <c r="E1020" s="7" t="s">
        <v>4657</v>
      </c>
      <c r="G1020" s="9"/>
    </row>
    <row r="1021" spans="1:7" x14ac:dyDescent="0.3">
      <c r="A1021" s="9">
        <v>46007</v>
      </c>
      <c r="B1021" s="7" t="s">
        <v>7813</v>
      </c>
      <c r="C1021" s="3">
        <v>5918.62</v>
      </c>
      <c r="D1021" s="7" t="s">
        <v>7814</v>
      </c>
      <c r="E1021" s="7" t="s">
        <v>5252</v>
      </c>
      <c r="G1021" s="9"/>
    </row>
    <row r="1022" spans="1:7" x14ac:dyDescent="0.3">
      <c r="A1022" s="9">
        <v>45984</v>
      </c>
      <c r="B1022" s="7" t="s">
        <v>7813</v>
      </c>
      <c r="C1022" s="3">
        <v>1980.97</v>
      </c>
      <c r="D1022" s="7" t="s">
        <v>7814</v>
      </c>
      <c r="E1022" s="7" t="s">
        <v>3525</v>
      </c>
      <c r="G1022" s="9"/>
    </row>
    <row r="1023" spans="1:7" x14ac:dyDescent="0.3">
      <c r="A1023" s="9">
        <v>46051</v>
      </c>
      <c r="B1023" s="7" t="s">
        <v>7813</v>
      </c>
      <c r="C1023" s="3">
        <v>4989.43</v>
      </c>
      <c r="D1023" s="7" t="s">
        <v>7814</v>
      </c>
      <c r="E1023" s="7" t="s">
        <v>3536</v>
      </c>
      <c r="G1023" s="9"/>
    </row>
    <row r="1024" spans="1:7" x14ac:dyDescent="0.3">
      <c r="A1024" s="9">
        <v>46069</v>
      </c>
      <c r="B1024" s="7" t="s">
        <v>7813</v>
      </c>
      <c r="C1024" s="3">
        <v>1493.01</v>
      </c>
      <c r="D1024" s="7" t="s">
        <v>7814</v>
      </c>
      <c r="E1024" s="7" t="s">
        <v>4351</v>
      </c>
      <c r="G1024" s="9"/>
    </row>
    <row r="1025" spans="1:7" x14ac:dyDescent="0.3">
      <c r="A1025" s="9">
        <v>46034</v>
      </c>
      <c r="B1025" s="7" t="s">
        <v>7813</v>
      </c>
      <c r="C1025" s="3">
        <v>3982.77</v>
      </c>
      <c r="D1025" s="7" t="s">
        <v>7814</v>
      </c>
      <c r="E1025" s="7" t="s">
        <v>4706</v>
      </c>
      <c r="G1025" s="9"/>
    </row>
    <row r="1026" spans="1:7" x14ac:dyDescent="0.3">
      <c r="A1026" s="9">
        <v>45972</v>
      </c>
      <c r="B1026" s="7" t="s">
        <v>7813</v>
      </c>
      <c r="C1026" s="3">
        <v>2541.96</v>
      </c>
      <c r="D1026" s="7" t="s">
        <v>7814</v>
      </c>
      <c r="E1026" s="7" t="s">
        <v>5059</v>
      </c>
      <c r="G1026" s="9"/>
    </row>
    <row r="1027" spans="1:7" x14ac:dyDescent="0.3">
      <c r="A1027" s="9">
        <v>46044</v>
      </c>
      <c r="B1027" s="7" t="s">
        <v>7813</v>
      </c>
      <c r="C1027" s="3">
        <v>1988.46</v>
      </c>
      <c r="D1027" s="7" t="s">
        <v>7814</v>
      </c>
      <c r="E1027" s="7" t="s">
        <v>5099</v>
      </c>
      <c r="G1027" s="9"/>
    </row>
    <row r="1028" spans="1:7" x14ac:dyDescent="0.3">
      <c r="A1028" s="9">
        <v>45964</v>
      </c>
      <c r="B1028" s="7" t="s">
        <v>7813</v>
      </c>
      <c r="C1028" s="3">
        <v>13823.88</v>
      </c>
      <c r="D1028" s="7" t="s">
        <v>7814</v>
      </c>
      <c r="E1028" s="7" t="s">
        <v>5386</v>
      </c>
      <c r="G1028" s="9"/>
    </row>
    <row r="1029" spans="1:7" x14ac:dyDescent="0.3">
      <c r="A1029" s="9">
        <v>46003</v>
      </c>
      <c r="B1029" s="7" t="s">
        <v>7813</v>
      </c>
      <c r="C1029" s="3">
        <v>2132.73</v>
      </c>
      <c r="D1029" s="7" t="s">
        <v>7814</v>
      </c>
      <c r="E1029" s="7" t="s">
        <v>3414</v>
      </c>
      <c r="G1029" s="9"/>
    </row>
    <row r="1030" spans="1:7" x14ac:dyDescent="0.3">
      <c r="A1030" s="9">
        <v>45992</v>
      </c>
      <c r="B1030" s="7" t="s">
        <v>7813</v>
      </c>
      <c r="C1030" s="3">
        <v>3480.14</v>
      </c>
      <c r="D1030" s="7" t="s">
        <v>7814</v>
      </c>
      <c r="E1030" s="7" t="s">
        <v>3773</v>
      </c>
      <c r="G1030" s="9"/>
    </row>
    <row r="1031" spans="1:7" x14ac:dyDescent="0.3">
      <c r="A1031" s="9">
        <v>46082</v>
      </c>
      <c r="B1031" s="7" t="s">
        <v>7813</v>
      </c>
      <c r="C1031" s="3">
        <v>1194.54</v>
      </c>
      <c r="D1031" s="7" t="s">
        <v>7814</v>
      </c>
      <c r="E1031" s="7" t="s">
        <v>4027</v>
      </c>
      <c r="G1031" s="9"/>
    </row>
    <row r="1032" spans="1:7" x14ac:dyDescent="0.3">
      <c r="A1032" s="9">
        <v>46029</v>
      </c>
      <c r="B1032" s="7" t="s">
        <v>7813</v>
      </c>
      <c r="C1032" s="3">
        <v>2604.37</v>
      </c>
      <c r="D1032" s="7" t="s">
        <v>7814</v>
      </c>
      <c r="E1032" s="7" t="s">
        <v>4518</v>
      </c>
      <c r="G1032" s="9"/>
    </row>
    <row r="1033" spans="1:7" x14ac:dyDescent="0.3">
      <c r="A1033" s="9">
        <v>45973</v>
      </c>
      <c r="B1033" s="7" t="s">
        <v>7813</v>
      </c>
      <c r="C1033" s="3">
        <v>1447.85</v>
      </c>
      <c r="D1033" s="7" t="s">
        <v>7814</v>
      </c>
      <c r="E1033" s="7" t="s">
        <v>4763</v>
      </c>
      <c r="G1033" s="9"/>
    </row>
    <row r="1034" spans="1:7" x14ac:dyDescent="0.3">
      <c r="A1034" s="9">
        <v>46024</v>
      </c>
      <c r="B1034" s="7" t="s">
        <v>7813</v>
      </c>
      <c r="C1034" s="3">
        <v>4842.82</v>
      </c>
      <c r="D1034" s="7" t="s">
        <v>7814</v>
      </c>
      <c r="E1034" s="7" t="s">
        <v>5041</v>
      </c>
      <c r="G1034" s="9"/>
    </row>
    <row r="1035" spans="1:7" x14ac:dyDescent="0.3">
      <c r="A1035" s="9">
        <v>45981</v>
      </c>
      <c r="B1035" s="7" t="s">
        <v>7813</v>
      </c>
      <c r="C1035" s="3">
        <v>3301.67</v>
      </c>
      <c r="D1035" s="7" t="s">
        <v>7814</v>
      </c>
      <c r="E1035" s="7" t="s">
        <v>5096</v>
      </c>
      <c r="G1035" s="9"/>
    </row>
    <row r="1036" spans="1:7" x14ac:dyDescent="0.3">
      <c r="A1036" s="9">
        <v>46038</v>
      </c>
      <c r="B1036" s="7" t="s">
        <v>7813</v>
      </c>
      <c r="C1036" s="3">
        <v>1638.34</v>
      </c>
      <c r="D1036" s="7" t="s">
        <v>7814</v>
      </c>
      <c r="E1036" s="7" t="s">
        <v>5225</v>
      </c>
      <c r="G1036" s="9"/>
    </row>
    <row r="1037" spans="1:7" x14ac:dyDescent="0.3">
      <c r="A1037" s="9">
        <v>46041</v>
      </c>
      <c r="B1037" s="7" t="s">
        <v>7815</v>
      </c>
      <c r="C1037" s="3">
        <v>-3854.36</v>
      </c>
      <c r="D1037" s="7" t="s">
        <v>7816</v>
      </c>
      <c r="E1037" s="7" t="s">
        <v>7082</v>
      </c>
      <c r="G1037" s="9"/>
    </row>
    <row r="1038" spans="1:7" x14ac:dyDescent="0.3">
      <c r="A1038" s="9">
        <v>46080</v>
      </c>
      <c r="B1038" s="7" t="s">
        <v>7815</v>
      </c>
      <c r="C1038" s="3">
        <v>-1316.47</v>
      </c>
      <c r="D1038" s="7" t="s">
        <v>7816</v>
      </c>
      <c r="E1038" s="7" t="s">
        <v>7483</v>
      </c>
      <c r="G1038" s="9"/>
    </row>
    <row r="1039" spans="1:7" x14ac:dyDescent="0.3">
      <c r="A1039" s="9">
        <v>45995</v>
      </c>
      <c r="B1039" s="7" t="s">
        <v>7815</v>
      </c>
      <c r="C1039" s="3">
        <v>-2300.34</v>
      </c>
      <c r="D1039" s="7" t="s">
        <v>7816</v>
      </c>
      <c r="E1039" s="7" t="s">
        <v>7643</v>
      </c>
      <c r="G1039" s="9"/>
    </row>
    <row r="1040" spans="1:7" x14ac:dyDescent="0.3">
      <c r="A1040" s="9">
        <v>46010</v>
      </c>
      <c r="B1040" s="7" t="s">
        <v>7813</v>
      </c>
      <c r="C1040" s="3">
        <v>757.02</v>
      </c>
      <c r="D1040" s="7" t="s">
        <v>7814</v>
      </c>
      <c r="E1040" s="7" t="s">
        <v>3333</v>
      </c>
      <c r="G1040" s="9"/>
    </row>
    <row r="1041" spans="1:7" x14ac:dyDescent="0.3">
      <c r="A1041" s="9">
        <v>46026</v>
      </c>
      <c r="B1041" s="7" t="s">
        <v>7813</v>
      </c>
      <c r="C1041" s="3">
        <v>1464.96</v>
      </c>
      <c r="D1041" s="7" t="s">
        <v>7814</v>
      </c>
      <c r="E1041" s="7" t="s">
        <v>3910</v>
      </c>
      <c r="G1041" s="9"/>
    </row>
    <row r="1042" spans="1:7" x14ac:dyDescent="0.3">
      <c r="A1042" s="9">
        <v>46069</v>
      </c>
      <c r="B1042" s="7" t="s">
        <v>7813</v>
      </c>
      <c r="C1042" s="3">
        <v>10310.459999999999</v>
      </c>
      <c r="D1042" s="7" t="s">
        <v>7814</v>
      </c>
      <c r="E1042" s="7" t="s">
        <v>3921</v>
      </c>
      <c r="G1042" s="9"/>
    </row>
    <row r="1043" spans="1:7" x14ac:dyDescent="0.3">
      <c r="A1043" s="9">
        <v>46072</v>
      </c>
      <c r="B1043" s="7" t="s">
        <v>7813</v>
      </c>
      <c r="C1043" s="3">
        <v>12355.03</v>
      </c>
      <c r="D1043" s="7" t="s">
        <v>7814</v>
      </c>
      <c r="E1043" s="7" t="s">
        <v>4040</v>
      </c>
      <c r="G1043" s="9"/>
    </row>
    <row r="1044" spans="1:7" x14ac:dyDescent="0.3">
      <c r="A1044" s="9">
        <v>46080</v>
      </c>
      <c r="B1044" s="7" t="s">
        <v>7813</v>
      </c>
      <c r="C1044" s="3">
        <v>10311.200000000001</v>
      </c>
      <c r="D1044" s="7" t="s">
        <v>7814</v>
      </c>
      <c r="E1044" s="7" t="s">
        <v>4843</v>
      </c>
      <c r="G1044" s="9"/>
    </row>
    <row r="1045" spans="1:7" x14ac:dyDescent="0.3">
      <c r="A1045" s="9">
        <v>45981</v>
      </c>
      <c r="B1045" s="7" t="s">
        <v>7815</v>
      </c>
      <c r="C1045" s="3">
        <v>-5517.3</v>
      </c>
      <c r="D1045" s="7" t="s">
        <v>7816</v>
      </c>
      <c r="E1045" s="7" t="s">
        <v>7121</v>
      </c>
      <c r="G1045" s="9"/>
    </row>
    <row r="1046" spans="1:7" x14ac:dyDescent="0.3">
      <c r="A1046" s="9">
        <v>46063</v>
      </c>
      <c r="B1046" s="7" t="s">
        <v>7815</v>
      </c>
      <c r="C1046" s="3">
        <v>-5274.13</v>
      </c>
      <c r="D1046" s="7" t="s">
        <v>7816</v>
      </c>
      <c r="E1046" s="7" t="s">
        <v>7371</v>
      </c>
      <c r="G1046" s="9"/>
    </row>
    <row r="1047" spans="1:7" x14ac:dyDescent="0.3">
      <c r="A1047" s="9">
        <v>46001</v>
      </c>
      <c r="B1047" s="7" t="s">
        <v>7813</v>
      </c>
      <c r="C1047" s="3">
        <v>5582.56</v>
      </c>
      <c r="D1047" s="7" t="s">
        <v>7814</v>
      </c>
      <c r="E1047" s="7" t="s">
        <v>5403</v>
      </c>
      <c r="G1047" s="9"/>
    </row>
    <row r="1048" spans="1:7" x14ac:dyDescent="0.3">
      <c r="A1048" s="9">
        <v>46008</v>
      </c>
      <c r="B1048" s="7" t="s">
        <v>7815</v>
      </c>
      <c r="C1048" s="3">
        <v>-3560.06</v>
      </c>
      <c r="D1048" s="7" t="s">
        <v>7816</v>
      </c>
      <c r="E1048" s="7" t="s">
        <v>6825</v>
      </c>
      <c r="G1048" s="9"/>
    </row>
    <row r="1049" spans="1:7" x14ac:dyDescent="0.3">
      <c r="A1049" s="9">
        <v>45974</v>
      </c>
      <c r="B1049" s="7" t="s">
        <v>7815</v>
      </c>
      <c r="C1049" s="3">
        <v>-2967.28</v>
      </c>
      <c r="D1049" s="7" t="s">
        <v>7816</v>
      </c>
      <c r="E1049" s="7" t="s">
        <v>6853</v>
      </c>
      <c r="G1049" s="9"/>
    </row>
    <row r="1050" spans="1:7" x14ac:dyDescent="0.3">
      <c r="A1050" s="9">
        <v>45992</v>
      </c>
      <c r="B1050" s="7" t="s">
        <v>7815</v>
      </c>
      <c r="C1050" s="3">
        <v>-2187.77</v>
      </c>
      <c r="D1050" s="7" t="s">
        <v>7816</v>
      </c>
      <c r="E1050" s="7" t="s">
        <v>7298</v>
      </c>
      <c r="G1050" s="9"/>
    </row>
    <row r="1051" spans="1:7" x14ac:dyDescent="0.3">
      <c r="A1051" s="9">
        <v>46010</v>
      </c>
      <c r="B1051" s="7" t="s">
        <v>7815</v>
      </c>
      <c r="C1051" s="3">
        <v>-2290.09</v>
      </c>
      <c r="D1051" s="7" t="s">
        <v>7816</v>
      </c>
      <c r="E1051" s="7" t="s">
        <v>7737</v>
      </c>
      <c r="G1051" s="9"/>
    </row>
    <row r="1052" spans="1:7" x14ac:dyDescent="0.3">
      <c r="A1052" s="9">
        <v>45970</v>
      </c>
      <c r="B1052" s="7" t="s">
        <v>7813</v>
      </c>
      <c r="C1052" s="3">
        <v>1054.05</v>
      </c>
      <c r="D1052" s="7" t="s">
        <v>7814</v>
      </c>
      <c r="E1052" s="7" t="s">
        <v>3334</v>
      </c>
      <c r="G1052" s="9"/>
    </row>
    <row r="1053" spans="1:7" x14ac:dyDescent="0.3">
      <c r="A1053" s="9">
        <v>45995</v>
      </c>
      <c r="B1053" s="7" t="s">
        <v>7813</v>
      </c>
      <c r="C1053" s="3">
        <v>2563.81</v>
      </c>
      <c r="D1053" s="7" t="s">
        <v>7814</v>
      </c>
      <c r="E1053" s="7" t="s">
        <v>3576</v>
      </c>
      <c r="G1053" s="9"/>
    </row>
    <row r="1054" spans="1:7" x14ac:dyDescent="0.3">
      <c r="A1054" s="9">
        <v>46046</v>
      </c>
      <c r="B1054" s="7" t="s">
        <v>7813</v>
      </c>
      <c r="C1054" s="3">
        <v>5359.16</v>
      </c>
      <c r="D1054" s="7" t="s">
        <v>7814</v>
      </c>
      <c r="E1054" s="7" t="s">
        <v>3778</v>
      </c>
      <c r="G1054" s="9"/>
    </row>
    <row r="1055" spans="1:7" x14ac:dyDescent="0.3">
      <c r="A1055" s="9">
        <v>46032</v>
      </c>
      <c r="B1055" s="7" t="s">
        <v>7813</v>
      </c>
      <c r="C1055" s="3">
        <v>2348.31</v>
      </c>
      <c r="D1055" s="7" t="s">
        <v>7814</v>
      </c>
      <c r="E1055" s="7" t="s">
        <v>3926</v>
      </c>
      <c r="G1055" s="9"/>
    </row>
    <row r="1056" spans="1:7" x14ac:dyDescent="0.3">
      <c r="A1056" s="9">
        <v>45982</v>
      </c>
      <c r="B1056" s="7" t="s">
        <v>7813</v>
      </c>
      <c r="C1056" s="3">
        <v>2451.91</v>
      </c>
      <c r="D1056" s="7" t="s">
        <v>7814</v>
      </c>
      <c r="E1056" s="7" t="s">
        <v>3994</v>
      </c>
      <c r="G1056" s="9"/>
    </row>
    <row r="1057" spans="1:7" x14ac:dyDescent="0.3">
      <c r="A1057" s="9">
        <v>46041</v>
      </c>
      <c r="B1057" s="7" t="s">
        <v>7813</v>
      </c>
      <c r="C1057" s="3">
        <v>2040.7</v>
      </c>
      <c r="D1057" s="7" t="s">
        <v>7814</v>
      </c>
      <c r="E1057" s="7" t="s">
        <v>4433</v>
      </c>
      <c r="G1057" s="9"/>
    </row>
    <row r="1058" spans="1:7" x14ac:dyDescent="0.3">
      <c r="A1058" s="9">
        <v>46005</v>
      </c>
      <c r="B1058" s="7" t="s">
        <v>7813</v>
      </c>
      <c r="C1058" s="3">
        <v>3740.64</v>
      </c>
      <c r="D1058" s="7" t="s">
        <v>7814</v>
      </c>
      <c r="E1058" s="7" t="s">
        <v>5147</v>
      </c>
      <c r="G1058" s="9"/>
    </row>
    <row r="1059" spans="1:7" x14ac:dyDescent="0.3">
      <c r="A1059" s="9">
        <v>46014</v>
      </c>
      <c r="B1059" s="7" t="s">
        <v>7815</v>
      </c>
      <c r="C1059" s="3">
        <v>-1071.9100000000001</v>
      </c>
      <c r="D1059" s="7" t="s">
        <v>7816</v>
      </c>
      <c r="E1059" s="7" t="s">
        <v>7680</v>
      </c>
      <c r="G1059" s="9"/>
    </row>
    <row r="1060" spans="1:7" x14ac:dyDescent="0.3">
      <c r="A1060" s="9">
        <v>46074</v>
      </c>
      <c r="B1060" s="7" t="s">
        <v>7815</v>
      </c>
      <c r="C1060" s="3">
        <v>-5836.34</v>
      </c>
      <c r="D1060" s="7" t="s">
        <v>7816</v>
      </c>
      <c r="E1060" s="7" t="s">
        <v>7686</v>
      </c>
      <c r="G1060" s="9"/>
    </row>
    <row r="1061" spans="1:7" x14ac:dyDescent="0.3">
      <c r="A1061" s="9">
        <v>46082</v>
      </c>
      <c r="B1061" s="7" t="s">
        <v>7813</v>
      </c>
      <c r="C1061" s="3">
        <v>1960.97</v>
      </c>
      <c r="D1061" s="7" t="s">
        <v>7814</v>
      </c>
      <c r="E1061" s="7" t="s">
        <v>3700</v>
      </c>
      <c r="G1061" s="9"/>
    </row>
    <row r="1062" spans="1:7" x14ac:dyDescent="0.3">
      <c r="A1062" s="9">
        <v>45967</v>
      </c>
      <c r="B1062" s="7" t="s">
        <v>7813</v>
      </c>
      <c r="C1062" s="3">
        <v>1475.97</v>
      </c>
      <c r="D1062" s="7" t="s">
        <v>7814</v>
      </c>
      <c r="E1062" s="7" t="s">
        <v>4076</v>
      </c>
      <c r="G1062" s="9"/>
    </row>
    <row r="1063" spans="1:7" x14ac:dyDescent="0.3">
      <c r="A1063" s="9">
        <v>46086</v>
      </c>
      <c r="B1063" s="7" t="s">
        <v>7813</v>
      </c>
      <c r="C1063" s="3">
        <v>3192.52</v>
      </c>
      <c r="D1063" s="7" t="s">
        <v>7814</v>
      </c>
      <c r="E1063" s="7" t="s">
        <v>4623</v>
      </c>
      <c r="G1063" s="9"/>
    </row>
    <row r="1064" spans="1:7" x14ac:dyDescent="0.3">
      <c r="A1064" s="9">
        <v>46008</v>
      </c>
      <c r="B1064" s="7" t="s">
        <v>7813</v>
      </c>
      <c r="C1064" s="3">
        <v>1697.51</v>
      </c>
      <c r="D1064" s="7" t="s">
        <v>7814</v>
      </c>
      <c r="E1064" s="7" t="s">
        <v>5005</v>
      </c>
      <c r="G1064" s="9"/>
    </row>
    <row r="1065" spans="1:7" x14ac:dyDescent="0.3">
      <c r="A1065" s="9">
        <v>46061</v>
      </c>
      <c r="B1065" s="7" t="s">
        <v>7815</v>
      </c>
      <c r="C1065" s="3">
        <v>-4174.1499999999996</v>
      </c>
      <c r="D1065" s="7" t="s">
        <v>7816</v>
      </c>
      <c r="E1065" s="7" t="s">
        <v>7422</v>
      </c>
      <c r="G1065" s="9"/>
    </row>
    <row r="1066" spans="1:7" x14ac:dyDescent="0.3">
      <c r="A1066" s="9">
        <v>45984</v>
      </c>
      <c r="B1066" s="7" t="s">
        <v>7813</v>
      </c>
      <c r="C1066" s="3">
        <v>2564.44</v>
      </c>
      <c r="D1066" s="7" t="s">
        <v>7814</v>
      </c>
      <c r="E1066" s="7" t="s">
        <v>3391</v>
      </c>
      <c r="G1066" s="9"/>
    </row>
    <row r="1067" spans="1:7" x14ac:dyDescent="0.3">
      <c r="A1067" s="9">
        <v>45991</v>
      </c>
      <c r="B1067" s="7" t="s">
        <v>7813</v>
      </c>
      <c r="C1067" s="3">
        <v>5454.72</v>
      </c>
      <c r="D1067" s="7" t="s">
        <v>7814</v>
      </c>
      <c r="E1067" s="7" t="s">
        <v>4940</v>
      </c>
      <c r="G1067" s="9"/>
    </row>
    <row r="1068" spans="1:7" x14ac:dyDescent="0.3">
      <c r="A1068" s="9">
        <v>45969</v>
      </c>
      <c r="B1068" s="7" t="s">
        <v>7813</v>
      </c>
      <c r="C1068" s="3">
        <v>862.28</v>
      </c>
      <c r="D1068" s="7" t="s">
        <v>7814</v>
      </c>
      <c r="E1068" s="7" t="s">
        <v>5120</v>
      </c>
      <c r="G1068" s="9"/>
    </row>
    <row r="1069" spans="1:7" x14ac:dyDescent="0.3">
      <c r="A1069" s="9">
        <v>46067</v>
      </c>
      <c r="B1069" s="7" t="s">
        <v>7813</v>
      </c>
      <c r="C1069" s="3">
        <v>2727.15</v>
      </c>
      <c r="D1069" s="7" t="s">
        <v>7814</v>
      </c>
      <c r="E1069" s="7" t="s">
        <v>5383</v>
      </c>
      <c r="G1069" s="9"/>
    </row>
    <row r="1070" spans="1:7" x14ac:dyDescent="0.3">
      <c r="A1070" s="9">
        <v>46065</v>
      </c>
      <c r="B1070" s="7" t="s">
        <v>7815</v>
      </c>
      <c r="C1070" s="3">
        <v>-1940.52</v>
      </c>
      <c r="D1070" s="7" t="s">
        <v>7816</v>
      </c>
      <c r="E1070" s="7" t="s">
        <v>6824</v>
      </c>
      <c r="G1070" s="9"/>
    </row>
    <row r="1071" spans="1:7" x14ac:dyDescent="0.3">
      <c r="A1071" s="9">
        <v>46048</v>
      </c>
      <c r="B1071" s="7" t="s">
        <v>7815</v>
      </c>
      <c r="C1071" s="3">
        <v>-1709.79</v>
      </c>
      <c r="D1071" s="7" t="s">
        <v>7816</v>
      </c>
      <c r="E1071" s="7" t="s">
        <v>7254</v>
      </c>
      <c r="G1071" s="9"/>
    </row>
    <row r="1072" spans="1:7" x14ac:dyDescent="0.3">
      <c r="A1072" s="9">
        <v>46047</v>
      </c>
      <c r="B1072" s="7" t="s">
        <v>7815</v>
      </c>
      <c r="C1072" s="3">
        <v>-989</v>
      </c>
      <c r="D1072" s="7" t="s">
        <v>7816</v>
      </c>
      <c r="E1072" s="7" t="s">
        <v>7280</v>
      </c>
      <c r="G1072" s="9"/>
    </row>
    <row r="1073" spans="1:7" x14ac:dyDescent="0.3">
      <c r="A1073" s="9">
        <v>46065</v>
      </c>
      <c r="B1073" s="7" t="s">
        <v>7815</v>
      </c>
      <c r="C1073" s="3">
        <v>-2950.54</v>
      </c>
      <c r="D1073" s="7" t="s">
        <v>7816</v>
      </c>
      <c r="E1073" s="7" t="s">
        <v>7283</v>
      </c>
      <c r="G1073" s="9"/>
    </row>
    <row r="1074" spans="1:7" x14ac:dyDescent="0.3">
      <c r="A1074" s="9">
        <v>46091</v>
      </c>
      <c r="B1074" s="7" t="s">
        <v>7815</v>
      </c>
      <c r="C1074" s="3">
        <v>-1545.85</v>
      </c>
      <c r="D1074" s="7" t="s">
        <v>7816</v>
      </c>
      <c r="E1074" s="7" t="s">
        <v>7426</v>
      </c>
      <c r="G1074" s="9"/>
    </row>
    <row r="1075" spans="1:7" x14ac:dyDescent="0.3">
      <c r="A1075" s="9">
        <v>46036</v>
      </c>
      <c r="B1075" s="7" t="s">
        <v>7813</v>
      </c>
      <c r="C1075" s="3">
        <v>2993.17</v>
      </c>
      <c r="D1075" s="7" t="s">
        <v>7814</v>
      </c>
      <c r="E1075" s="7" t="s">
        <v>3180</v>
      </c>
      <c r="G1075" s="9"/>
    </row>
    <row r="1076" spans="1:7" x14ac:dyDescent="0.3">
      <c r="A1076" s="9">
        <v>46003</v>
      </c>
      <c r="B1076" s="7" t="s">
        <v>7813</v>
      </c>
      <c r="C1076" s="3">
        <v>10502.18</v>
      </c>
      <c r="D1076" s="7" t="s">
        <v>7814</v>
      </c>
      <c r="E1076" s="7" t="s">
        <v>4788</v>
      </c>
      <c r="G1076" s="9"/>
    </row>
    <row r="1077" spans="1:7" x14ac:dyDescent="0.3">
      <c r="A1077" s="9">
        <v>46049</v>
      </c>
      <c r="B1077" s="7" t="s">
        <v>7815</v>
      </c>
      <c r="C1077" s="3">
        <v>-2576.9899999999998</v>
      </c>
      <c r="D1077" s="7" t="s">
        <v>7816</v>
      </c>
      <c r="E1077" s="7" t="s">
        <v>7222</v>
      </c>
      <c r="G1077" s="9"/>
    </row>
    <row r="1078" spans="1:7" x14ac:dyDescent="0.3">
      <c r="A1078" s="9">
        <v>46059</v>
      </c>
      <c r="B1078" s="7" t="s">
        <v>7815</v>
      </c>
      <c r="C1078" s="3">
        <v>-5327.18</v>
      </c>
      <c r="D1078" s="7" t="s">
        <v>7816</v>
      </c>
      <c r="E1078" s="7" t="s">
        <v>7352</v>
      </c>
      <c r="G1078" s="9"/>
    </row>
    <row r="1079" spans="1:7" x14ac:dyDescent="0.3">
      <c r="A1079" s="9">
        <v>45985</v>
      </c>
      <c r="B1079" s="7" t="s">
        <v>7813</v>
      </c>
      <c r="C1079" s="3">
        <v>2644.62</v>
      </c>
      <c r="D1079" s="7" t="s">
        <v>7814</v>
      </c>
      <c r="E1079" s="7" t="s">
        <v>3548</v>
      </c>
      <c r="G1079" s="9"/>
    </row>
    <row r="1080" spans="1:7" x14ac:dyDescent="0.3">
      <c r="A1080" s="9">
        <v>46065</v>
      </c>
      <c r="B1080" s="7" t="s">
        <v>7813</v>
      </c>
      <c r="C1080" s="3">
        <v>1141.1400000000001</v>
      </c>
      <c r="D1080" s="7" t="s">
        <v>7814</v>
      </c>
      <c r="E1080" s="7" t="s">
        <v>5006</v>
      </c>
      <c r="G1080" s="9"/>
    </row>
    <row r="1081" spans="1:7" x14ac:dyDescent="0.3">
      <c r="A1081" s="9">
        <v>45967</v>
      </c>
      <c r="B1081" s="7" t="s">
        <v>7813</v>
      </c>
      <c r="C1081" s="3">
        <v>3702.71</v>
      </c>
      <c r="D1081" s="7" t="s">
        <v>7814</v>
      </c>
      <c r="E1081" s="7" t="s">
        <v>5325</v>
      </c>
      <c r="G1081" s="9"/>
    </row>
    <row r="1082" spans="1:7" x14ac:dyDescent="0.3">
      <c r="A1082" s="9">
        <v>46035</v>
      </c>
      <c r="B1082" s="7" t="s">
        <v>7815</v>
      </c>
      <c r="C1082" s="3">
        <v>-6522.29</v>
      </c>
      <c r="D1082" s="7" t="s">
        <v>7816</v>
      </c>
      <c r="E1082" s="7" t="s">
        <v>6908</v>
      </c>
      <c r="G1082" s="9"/>
    </row>
    <row r="1083" spans="1:7" x14ac:dyDescent="0.3">
      <c r="A1083" s="9">
        <v>46090</v>
      </c>
      <c r="B1083" s="7" t="s">
        <v>7815</v>
      </c>
      <c r="C1083" s="3">
        <v>-898.86</v>
      </c>
      <c r="D1083" s="7" t="s">
        <v>7816</v>
      </c>
      <c r="E1083" s="7" t="s">
        <v>7017</v>
      </c>
      <c r="G1083" s="9"/>
    </row>
    <row r="1084" spans="1:7" x14ac:dyDescent="0.3">
      <c r="A1084" s="9">
        <v>46055</v>
      </c>
      <c r="B1084" s="7" t="s">
        <v>7815</v>
      </c>
      <c r="C1084" s="3">
        <v>-4548.83</v>
      </c>
      <c r="D1084" s="7" t="s">
        <v>7816</v>
      </c>
      <c r="E1084" s="7" t="s">
        <v>7303</v>
      </c>
      <c r="G1084" s="9"/>
    </row>
    <row r="1085" spans="1:7" x14ac:dyDescent="0.3">
      <c r="A1085" s="9">
        <v>45968</v>
      </c>
      <c r="B1085" s="7" t="s">
        <v>7813</v>
      </c>
      <c r="C1085" s="3">
        <v>2136.64</v>
      </c>
      <c r="D1085" s="7" t="s">
        <v>7814</v>
      </c>
      <c r="E1085" s="7" t="s">
        <v>3358</v>
      </c>
      <c r="G1085" s="9"/>
    </row>
    <row r="1086" spans="1:7" x14ac:dyDescent="0.3">
      <c r="A1086" s="9">
        <v>46076</v>
      </c>
      <c r="B1086" s="7" t="s">
        <v>7813</v>
      </c>
      <c r="C1086" s="3">
        <v>14219.09</v>
      </c>
      <c r="D1086" s="7" t="s">
        <v>7814</v>
      </c>
      <c r="E1086" s="7" t="s">
        <v>3703</v>
      </c>
      <c r="G1086" s="9"/>
    </row>
    <row r="1087" spans="1:7" x14ac:dyDescent="0.3">
      <c r="A1087" s="9">
        <v>45987</v>
      </c>
      <c r="B1087" s="7" t="s">
        <v>7813</v>
      </c>
      <c r="C1087" s="3">
        <v>2807.14</v>
      </c>
      <c r="D1087" s="7" t="s">
        <v>7814</v>
      </c>
      <c r="E1087" s="7" t="s">
        <v>4072</v>
      </c>
      <c r="G1087" s="9"/>
    </row>
    <row r="1088" spans="1:7" x14ac:dyDescent="0.3">
      <c r="A1088" s="9">
        <v>46091</v>
      </c>
      <c r="B1088" s="7" t="s">
        <v>7813</v>
      </c>
      <c r="C1088" s="3">
        <v>1866.97</v>
      </c>
      <c r="D1088" s="7" t="s">
        <v>7814</v>
      </c>
      <c r="E1088" s="7" t="s">
        <v>4230</v>
      </c>
      <c r="G1088" s="9"/>
    </row>
    <row r="1089" spans="1:7" x14ac:dyDescent="0.3">
      <c r="A1089" s="9">
        <v>46066</v>
      </c>
      <c r="B1089" s="7" t="s">
        <v>7813</v>
      </c>
      <c r="C1089" s="3">
        <v>896.93</v>
      </c>
      <c r="D1089" s="7" t="s">
        <v>7814</v>
      </c>
      <c r="E1089" s="7" t="s">
        <v>4352</v>
      </c>
      <c r="G1089" s="9"/>
    </row>
    <row r="1090" spans="1:7" x14ac:dyDescent="0.3">
      <c r="A1090" s="9">
        <v>45978</v>
      </c>
      <c r="B1090" s="7" t="s">
        <v>7813</v>
      </c>
      <c r="C1090" s="3">
        <v>11081.64</v>
      </c>
      <c r="D1090" s="7" t="s">
        <v>7814</v>
      </c>
      <c r="E1090" s="7" t="s">
        <v>4398</v>
      </c>
      <c r="G1090" s="9"/>
    </row>
    <row r="1091" spans="1:7" x14ac:dyDescent="0.3">
      <c r="A1091" s="9">
        <v>45999</v>
      </c>
      <c r="B1091" s="7" t="s">
        <v>7813</v>
      </c>
      <c r="C1091" s="3">
        <v>2169.7199999999998</v>
      </c>
      <c r="D1091" s="7" t="s">
        <v>7814</v>
      </c>
      <c r="E1091" s="7" t="s">
        <v>4700</v>
      </c>
      <c r="G1091" s="9"/>
    </row>
    <row r="1092" spans="1:7" x14ac:dyDescent="0.3">
      <c r="A1092" s="9">
        <v>46063</v>
      </c>
      <c r="B1092" s="7" t="s">
        <v>7815</v>
      </c>
      <c r="C1092" s="3">
        <v>-5517.89</v>
      </c>
      <c r="D1092" s="7" t="s">
        <v>7816</v>
      </c>
      <c r="E1092" s="7" t="s">
        <v>7548</v>
      </c>
      <c r="G1092" s="9"/>
    </row>
    <row r="1093" spans="1:7" x14ac:dyDescent="0.3">
      <c r="A1093" s="9">
        <v>46016</v>
      </c>
      <c r="B1093" s="7" t="s">
        <v>7815</v>
      </c>
      <c r="C1093" s="3">
        <v>-6130.02</v>
      </c>
      <c r="D1093" s="7" t="s">
        <v>7816</v>
      </c>
      <c r="E1093" s="7" t="s">
        <v>7567</v>
      </c>
      <c r="G1093" s="9"/>
    </row>
    <row r="1094" spans="1:7" x14ac:dyDescent="0.3">
      <c r="A1094" s="9">
        <v>46009</v>
      </c>
      <c r="B1094" s="7" t="s">
        <v>7817</v>
      </c>
      <c r="C1094" s="3">
        <v>-86227.09</v>
      </c>
      <c r="D1094" s="7" t="s">
        <v>7816</v>
      </c>
      <c r="E1094" s="7" t="s">
        <v>7818</v>
      </c>
      <c r="G1094" s="9"/>
    </row>
    <row r="1095" spans="1:7" x14ac:dyDescent="0.3">
      <c r="A1095" s="9">
        <v>45985</v>
      </c>
      <c r="B1095" s="7" t="s">
        <v>7813</v>
      </c>
      <c r="C1095" s="3">
        <v>11084.98</v>
      </c>
      <c r="D1095" s="7" t="s">
        <v>7814</v>
      </c>
      <c r="E1095" s="7" t="s">
        <v>3862</v>
      </c>
      <c r="G1095" s="9"/>
    </row>
    <row r="1096" spans="1:7" x14ac:dyDescent="0.3">
      <c r="A1096" s="9">
        <v>46014</v>
      </c>
      <c r="B1096" s="7" t="s">
        <v>7813</v>
      </c>
      <c r="C1096" s="3">
        <v>3777.99</v>
      </c>
      <c r="D1096" s="7" t="s">
        <v>7814</v>
      </c>
      <c r="E1096" s="7" t="s">
        <v>4677</v>
      </c>
      <c r="G1096" s="9"/>
    </row>
    <row r="1097" spans="1:7" x14ac:dyDescent="0.3">
      <c r="A1097" s="9">
        <v>46001</v>
      </c>
      <c r="B1097" s="7" t="s">
        <v>7813</v>
      </c>
      <c r="C1097" s="3">
        <v>7683.71</v>
      </c>
      <c r="D1097" s="7" t="s">
        <v>7814</v>
      </c>
      <c r="E1097" s="7" t="s">
        <v>5002</v>
      </c>
      <c r="G1097" s="9"/>
    </row>
    <row r="1098" spans="1:7" x14ac:dyDescent="0.3">
      <c r="A1098" s="9">
        <v>46005</v>
      </c>
      <c r="B1098" s="7" t="s">
        <v>7813</v>
      </c>
      <c r="C1098" s="3">
        <v>1546.54</v>
      </c>
      <c r="D1098" s="7" t="s">
        <v>7814</v>
      </c>
      <c r="E1098" s="7" t="s">
        <v>5060</v>
      </c>
      <c r="G1098" s="9"/>
    </row>
    <row r="1099" spans="1:7" x14ac:dyDescent="0.3">
      <c r="A1099" s="9">
        <v>45985</v>
      </c>
      <c r="B1099" s="7" t="s">
        <v>7815</v>
      </c>
      <c r="C1099" s="3">
        <v>-5511.55</v>
      </c>
      <c r="D1099" s="7" t="s">
        <v>7816</v>
      </c>
      <c r="E1099" s="7" t="s">
        <v>7141</v>
      </c>
      <c r="G1099" s="9"/>
    </row>
    <row r="1100" spans="1:7" x14ac:dyDescent="0.3">
      <c r="A1100" s="9">
        <v>45991</v>
      </c>
      <c r="B1100" s="7" t="s">
        <v>7813</v>
      </c>
      <c r="C1100" s="3">
        <v>3559.04</v>
      </c>
      <c r="D1100" s="7" t="s">
        <v>7814</v>
      </c>
      <c r="E1100" s="7" t="s">
        <v>3359</v>
      </c>
      <c r="G1100" s="9"/>
    </row>
    <row r="1101" spans="1:7" x14ac:dyDescent="0.3">
      <c r="A1101" s="9">
        <v>45965</v>
      </c>
      <c r="B1101" s="7" t="s">
        <v>7813</v>
      </c>
      <c r="C1101" s="3">
        <v>2090.5500000000002</v>
      </c>
      <c r="D1101" s="7" t="s">
        <v>7814</v>
      </c>
      <c r="E1101" s="7" t="s">
        <v>3767</v>
      </c>
      <c r="G1101" s="9"/>
    </row>
    <row r="1102" spans="1:7" x14ac:dyDescent="0.3">
      <c r="A1102" s="9">
        <v>46085</v>
      </c>
      <c r="B1102" s="7" t="s">
        <v>7813</v>
      </c>
      <c r="C1102" s="3">
        <v>2412.4299999999998</v>
      </c>
      <c r="D1102" s="7" t="s">
        <v>7814</v>
      </c>
      <c r="E1102" s="7" t="s">
        <v>3834</v>
      </c>
      <c r="G1102" s="9"/>
    </row>
    <row r="1103" spans="1:7" x14ac:dyDescent="0.3">
      <c r="A1103" s="9">
        <v>46016</v>
      </c>
      <c r="B1103" s="7" t="s">
        <v>7813</v>
      </c>
      <c r="C1103" s="3">
        <v>2975.74</v>
      </c>
      <c r="D1103" s="7" t="s">
        <v>7814</v>
      </c>
      <c r="E1103" s="7" t="s">
        <v>4107</v>
      </c>
      <c r="G1103" s="9"/>
    </row>
    <row r="1104" spans="1:7" x14ac:dyDescent="0.3">
      <c r="A1104" s="9">
        <v>45968</v>
      </c>
      <c r="B1104" s="7" t="s">
        <v>7813</v>
      </c>
      <c r="C1104" s="3">
        <v>2723.15</v>
      </c>
      <c r="D1104" s="7" t="s">
        <v>7814</v>
      </c>
      <c r="E1104" s="7" t="s">
        <v>4354</v>
      </c>
      <c r="G1104" s="9"/>
    </row>
    <row r="1105" spans="1:7" x14ac:dyDescent="0.3">
      <c r="A1105" s="9">
        <v>46005</v>
      </c>
      <c r="B1105" s="7" t="s">
        <v>7815</v>
      </c>
      <c r="C1105" s="3">
        <v>-5250.16</v>
      </c>
      <c r="D1105" s="7" t="s">
        <v>7816</v>
      </c>
      <c r="E1105" s="7" t="s">
        <v>7632</v>
      </c>
      <c r="G1105" s="9"/>
    </row>
    <row r="1106" spans="1:7" x14ac:dyDescent="0.3">
      <c r="A1106" s="9">
        <v>45967</v>
      </c>
      <c r="B1106" s="7" t="s">
        <v>7813</v>
      </c>
      <c r="C1106" s="3">
        <v>5671.85</v>
      </c>
      <c r="D1106" s="7" t="s">
        <v>7814</v>
      </c>
      <c r="E1106" s="7" t="s">
        <v>3587</v>
      </c>
      <c r="G1106" s="9"/>
    </row>
    <row r="1107" spans="1:7" x14ac:dyDescent="0.3">
      <c r="A1107" s="9">
        <v>46072</v>
      </c>
      <c r="B1107" s="7" t="s">
        <v>7813</v>
      </c>
      <c r="C1107" s="3">
        <v>2860.37</v>
      </c>
      <c r="D1107" s="7" t="s">
        <v>7814</v>
      </c>
      <c r="E1107" s="7" t="s">
        <v>3864</v>
      </c>
      <c r="G1107" s="9"/>
    </row>
    <row r="1108" spans="1:7" x14ac:dyDescent="0.3">
      <c r="A1108" s="9">
        <v>46076</v>
      </c>
      <c r="B1108" s="7" t="s">
        <v>7813</v>
      </c>
      <c r="C1108" s="3">
        <v>1889.51</v>
      </c>
      <c r="D1108" s="7" t="s">
        <v>7814</v>
      </c>
      <c r="E1108" s="7" t="s">
        <v>4042</v>
      </c>
      <c r="G1108" s="9"/>
    </row>
    <row r="1109" spans="1:7" x14ac:dyDescent="0.3">
      <c r="A1109" s="9">
        <v>46023</v>
      </c>
      <c r="B1109" s="7" t="s">
        <v>7813</v>
      </c>
      <c r="C1109" s="3">
        <v>1836.69</v>
      </c>
      <c r="D1109" s="7" t="s">
        <v>7814</v>
      </c>
      <c r="E1109" s="7" t="s">
        <v>4131</v>
      </c>
      <c r="G1109" s="9"/>
    </row>
    <row r="1110" spans="1:7" x14ac:dyDescent="0.3">
      <c r="A1110" s="9">
        <v>45988</v>
      </c>
      <c r="B1110" s="7" t="s">
        <v>7813</v>
      </c>
      <c r="C1110" s="3">
        <v>2405.0700000000002</v>
      </c>
      <c r="D1110" s="7" t="s">
        <v>7814</v>
      </c>
      <c r="E1110" s="7" t="s">
        <v>4716</v>
      </c>
      <c r="G1110" s="9"/>
    </row>
    <row r="1111" spans="1:7" x14ac:dyDescent="0.3">
      <c r="A1111" s="9">
        <v>45993</v>
      </c>
      <c r="B1111" s="7" t="s">
        <v>7813</v>
      </c>
      <c r="C1111" s="3">
        <v>5015.12</v>
      </c>
      <c r="D1111" s="7" t="s">
        <v>7814</v>
      </c>
      <c r="E1111" s="7" t="s">
        <v>4733</v>
      </c>
      <c r="G1111" s="9"/>
    </row>
    <row r="1112" spans="1:7" x14ac:dyDescent="0.3">
      <c r="A1112" s="9">
        <v>46039</v>
      </c>
      <c r="B1112" s="7" t="s">
        <v>7813</v>
      </c>
      <c r="C1112" s="3">
        <v>4237.1000000000004</v>
      </c>
      <c r="D1112" s="7" t="s">
        <v>7814</v>
      </c>
      <c r="E1112" s="7" t="s">
        <v>4933</v>
      </c>
      <c r="G1112" s="9"/>
    </row>
    <row r="1113" spans="1:7" x14ac:dyDescent="0.3">
      <c r="A1113" s="9">
        <v>45970</v>
      </c>
      <c r="B1113" s="7" t="s">
        <v>7813</v>
      </c>
      <c r="C1113" s="3">
        <v>4200.2299999999996</v>
      </c>
      <c r="D1113" s="7" t="s">
        <v>7814</v>
      </c>
      <c r="E1113" s="7" t="s">
        <v>5194</v>
      </c>
      <c r="G1113" s="9"/>
    </row>
    <row r="1114" spans="1:7" x14ac:dyDescent="0.3">
      <c r="A1114" s="9">
        <v>46052</v>
      </c>
      <c r="B1114" s="7" t="s">
        <v>7813</v>
      </c>
      <c r="C1114" s="3">
        <v>1857.21</v>
      </c>
      <c r="D1114" s="7" t="s">
        <v>7814</v>
      </c>
      <c r="E1114" s="7" t="s">
        <v>3415</v>
      </c>
      <c r="G1114" s="9"/>
    </row>
    <row r="1115" spans="1:7" x14ac:dyDescent="0.3">
      <c r="A1115" s="9">
        <v>46021</v>
      </c>
      <c r="B1115" s="7" t="s">
        <v>7813</v>
      </c>
      <c r="C1115" s="3">
        <v>13396.3</v>
      </c>
      <c r="D1115" s="7" t="s">
        <v>7814</v>
      </c>
      <c r="E1115" s="7" t="s">
        <v>4761</v>
      </c>
      <c r="G1115" s="9"/>
    </row>
    <row r="1116" spans="1:7" x14ac:dyDescent="0.3">
      <c r="A1116" s="9">
        <v>46006</v>
      </c>
      <c r="B1116" s="7" t="s">
        <v>7813</v>
      </c>
      <c r="C1116" s="3">
        <v>1517.71</v>
      </c>
      <c r="D1116" s="7" t="s">
        <v>7814</v>
      </c>
      <c r="E1116" s="7" t="s">
        <v>4811</v>
      </c>
      <c r="G1116" s="9"/>
    </row>
    <row r="1117" spans="1:7" x14ac:dyDescent="0.3">
      <c r="A1117" s="9">
        <v>45999</v>
      </c>
      <c r="B1117" s="7" t="s">
        <v>7813</v>
      </c>
      <c r="C1117" s="3">
        <v>2261.61</v>
      </c>
      <c r="D1117" s="7" t="s">
        <v>7814</v>
      </c>
      <c r="E1117" s="7" t="s">
        <v>4957</v>
      </c>
      <c r="G1117" s="9"/>
    </row>
    <row r="1118" spans="1:7" x14ac:dyDescent="0.3">
      <c r="A1118" s="9">
        <v>46017</v>
      </c>
      <c r="B1118" s="7" t="s">
        <v>7813</v>
      </c>
      <c r="C1118" s="3">
        <v>3840.88</v>
      </c>
      <c r="D1118" s="7" t="s">
        <v>7814</v>
      </c>
      <c r="E1118" s="7" t="s">
        <v>4972</v>
      </c>
      <c r="G1118" s="9"/>
    </row>
    <row r="1119" spans="1:7" x14ac:dyDescent="0.3">
      <c r="A1119" s="9">
        <v>45989</v>
      </c>
      <c r="B1119" s="7" t="s">
        <v>7815</v>
      </c>
      <c r="C1119" s="3">
        <v>-4871.22</v>
      </c>
      <c r="D1119" s="7" t="s">
        <v>7816</v>
      </c>
      <c r="E1119" s="7" t="s">
        <v>7216</v>
      </c>
      <c r="G1119" s="9"/>
    </row>
    <row r="1120" spans="1:7" x14ac:dyDescent="0.3">
      <c r="A1120" s="9">
        <v>45998</v>
      </c>
      <c r="B1120" s="7" t="s">
        <v>7815</v>
      </c>
      <c r="C1120" s="3">
        <v>-2021.93</v>
      </c>
      <c r="D1120" s="7" t="s">
        <v>7816</v>
      </c>
      <c r="E1120" s="7" t="s">
        <v>7647</v>
      </c>
      <c r="G1120" s="9"/>
    </row>
    <row r="1121" spans="1:7" x14ac:dyDescent="0.3">
      <c r="A1121" s="9">
        <v>46064</v>
      </c>
      <c r="B1121" s="7" t="s">
        <v>7813</v>
      </c>
      <c r="C1121" s="3">
        <v>4495.0200000000004</v>
      </c>
      <c r="D1121" s="7" t="s">
        <v>7814</v>
      </c>
      <c r="E1121" s="7" t="s">
        <v>3439</v>
      </c>
      <c r="G1121" s="9"/>
    </row>
    <row r="1122" spans="1:7" x14ac:dyDescent="0.3">
      <c r="A1122" s="9">
        <v>45980</v>
      </c>
      <c r="B1122" s="7" t="s">
        <v>7813</v>
      </c>
      <c r="C1122" s="3">
        <v>9892.7000000000007</v>
      </c>
      <c r="D1122" s="7" t="s">
        <v>7814</v>
      </c>
      <c r="E1122" s="7" t="s">
        <v>3598</v>
      </c>
      <c r="G1122" s="9"/>
    </row>
    <row r="1123" spans="1:7" x14ac:dyDescent="0.3">
      <c r="A1123" s="9">
        <v>46089</v>
      </c>
      <c r="B1123" s="7" t="s">
        <v>7813</v>
      </c>
      <c r="C1123" s="3">
        <v>1818.05</v>
      </c>
      <c r="D1123" s="7" t="s">
        <v>7814</v>
      </c>
      <c r="E1123" s="7" t="s">
        <v>4635</v>
      </c>
      <c r="G1123" s="9"/>
    </row>
    <row r="1124" spans="1:7" x14ac:dyDescent="0.3">
      <c r="A1124" s="9">
        <v>45987</v>
      </c>
      <c r="B1124" s="7" t="s">
        <v>7813</v>
      </c>
      <c r="C1124" s="3">
        <v>3067.74</v>
      </c>
      <c r="D1124" s="7" t="s">
        <v>7814</v>
      </c>
      <c r="E1124" s="7" t="s">
        <v>4772</v>
      </c>
      <c r="G1124" s="9"/>
    </row>
    <row r="1125" spans="1:7" x14ac:dyDescent="0.3">
      <c r="A1125" s="9">
        <v>46010</v>
      </c>
      <c r="B1125" s="7" t="s">
        <v>7813</v>
      </c>
      <c r="C1125" s="3">
        <v>2462.91</v>
      </c>
      <c r="D1125" s="7" t="s">
        <v>7814</v>
      </c>
      <c r="E1125" s="7" t="s">
        <v>5411</v>
      </c>
      <c r="G1125" s="9"/>
    </row>
    <row r="1126" spans="1:7" x14ac:dyDescent="0.3">
      <c r="A1126" s="9">
        <v>45963</v>
      </c>
      <c r="B1126" s="7" t="s">
        <v>7815</v>
      </c>
      <c r="C1126" s="3">
        <v>-6174.01</v>
      </c>
      <c r="D1126" s="7" t="s">
        <v>7816</v>
      </c>
      <c r="E1126" s="7" t="s">
        <v>7326</v>
      </c>
      <c r="G1126" s="9"/>
    </row>
    <row r="1127" spans="1:7" x14ac:dyDescent="0.3">
      <c r="A1127" s="9">
        <v>46001</v>
      </c>
      <c r="B1127" s="7" t="s">
        <v>7813</v>
      </c>
      <c r="C1127" s="3">
        <v>11139.04</v>
      </c>
      <c r="D1127" s="7" t="s">
        <v>7814</v>
      </c>
      <c r="E1127" s="7" t="s">
        <v>3714</v>
      </c>
      <c r="G1127" s="9"/>
    </row>
    <row r="1128" spans="1:7" x14ac:dyDescent="0.3">
      <c r="A1128" s="9">
        <v>45992</v>
      </c>
      <c r="B1128" s="7" t="s">
        <v>7813</v>
      </c>
      <c r="C1128" s="3">
        <v>11555.03</v>
      </c>
      <c r="D1128" s="7" t="s">
        <v>7814</v>
      </c>
      <c r="E1128" s="7" t="s">
        <v>4619</v>
      </c>
      <c r="G1128" s="9"/>
    </row>
    <row r="1129" spans="1:7" x14ac:dyDescent="0.3">
      <c r="A1129" s="9">
        <v>46016</v>
      </c>
      <c r="B1129" s="7" t="s">
        <v>7813</v>
      </c>
      <c r="C1129" s="3">
        <v>4975.16</v>
      </c>
      <c r="D1129" s="7" t="s">
        <v>7814</v>
      </c>
      <c r="E1129" s="7" t="s">
        <v>5144</v>
      </c>
      <c r="G1129" s="9"/>
    </row>
    <row r="1130" spans="1:7" x14ac:dyDescent="0.3">
      <c r="A1130" s="9">
        <v>46001</v>
      </c>
      <c r="B1130" s="7" t="s">
        <v>7813</v>
      </c>
      <c r="C1130" s="3">
        <v>2825.62</v>
      </c>
      <c r="D1130" s="7" t="s">
        <v>7814</v>
      </c>
      <c r="E1130" s="7" t="s">
        <v>5182</v>
      </c>
      <c r="G1130" s="9"/>
    </row>
    <row r="1131" spans="1:7" x14ac:dyDescent="0.3">
      <c r="A1131" s="9">
        <v>45962</v>
      </c>
      <c r="B1131" s="7" t="s">
        <v>7815</v>
      </c>
      <c r="C1131" s="3">
        <v>-1664.66</v>
      </c>
      <c r="D1131" s="7" t="s">
        <v>7816</v>
      </c>
      <c r="E1131" s="7" t="s">
        <v>7613</v>
      </c>
      <c r="G1131" s="9"/>
    </row>
    <row r="1132" spans="1:7" x14ac:dyDescent="0.3">
      <c r="A1132" s="9">
        <v>46004</v>
      </c>
      <c r="B1132" s="7" t="s">
        <v>7813</v>
      </c>
      <c r="C1132" s="3">
        <v>10242.89</v>
      </c>
      <c r="D1132" s="7" t="s">
        <v>7814</v>
      </c>
      <c r="E1132" s="7" t="s">
        <v>3384</v>
      </c>
      <c r="G1132" s="9"/>
    </row>
    <row r="1133" spans="1:7" x14ac:dyDescent="0.3">
      <c r="A1133" s="9">
        <v>46058</v>
      </c>
      <c r="B1133" s="7" t="s">
        <v>7813</v>
      </c>
      <c r="C1133" s="3">
        <v>2506.33</v>
      </c>
      <c r="D1133" s="7" t="s">
        <v>7814</v>
      </c>
      <c r="E1133" s="7" t="s">
        <v>4224</v>
      </c>
      <c r="G1133" s="9"/>
    </row>
    <row r="1134" spans="1:7" x14ac:dyDescent="0.3">
      <c r="A1134" s="9">
        <v>45990</v>
      </c>
      <c r="B1134" s="7" t="s">
        <v>7813</v>
      </c>
      <c r="C1134" s="3">
        <v>10239.379999999999</v>
      </c>
      <c r="D1134" s="7" t="s">
        <v>7814</v>
      </c>
      <c r="E1134" s="7" t="s">
        <v>4241</v>
      </c>
      <c r="G1134" s="9"/>
    </row>
    <row r="1135" spans="1:7" x14ac:dyDescent="0.3">
      <c r="A1135" s="9">
        <v>46056</v>
      </c>
      <c r="B1135" s="7" t="s">
        <v>7813</v>
      </c>
      <c r="C1135" s="3">
        <v>9833.5300000000007</v>
      </c>
      <c r="D1135" s="7" t="s">
        <v>7814</v>
      </c>
      <c r="E1135" s="7" t="s">
        <v>4336</v>
      </c>
      <c r="G1135" s="9"/>
    </row>
    <row r="1136" spans="1:7" x14ac:dyDescent="0.3">
      <c r="A1136" s="9">
        <v>46071</v>
      </c>
      <c r="B1136" s="7" t="s">
        <v>7813</v>
      </c>
      <c r="C1136" s="3">
        <v>2374.15</v>
      </c>
      <c r="D1136" s="7" t="s">
        <v>7814</v>
      </c>
      <c r="E1136" s="7" t="s">
        <v>4349</v>
      </c>
      <c r="G1136" s="9"/>
    </row>
    <row r="1137" spans="1:7" x14ac:dyDescent="0.3">
      <c r="A1137" s="9">
        <v>46074</v>
      </c>
      <c r="B1137" s="7" t="s">
        <v>7815</v>
      </c>
      <c r="C1137" s="3">
        <v>-2079</v>
      </c>
      <c r="D1137" s="7" t="s">
        <v>7816</v>
      </c>
      <c r="E1137" s="7" t="s">
        <v>7061</v>
      </c>
      <c r="G1137" s="9"/>
    </row>
    <row r="1138" spans="1:7" x14ac:dyDescent="0.3">
      <c r="A1138" s="9">
        <v>45972</v>
      </c>
      <c r="B1138" s="7" t="s">
        <v>7813</v>
      </c>
      <c r="C1138" s="3">
        <v>11816.06</v>
      </c>
      <c r="D1138" s="7" t="s">
        <v>7814</v>
      </c>
      <c r="E1138" s="7" t="s">
        <v>3321</v>
      </c>
      <c r="G1138" s="9"/>
    </row>
    <row r="1139" spans="1:7" x14ac:dyDescent="0.3">
      <c r="A1139" s="9">
        <v>46052</v>
      </c>
      <c r="B1139" s="7" t="s">
        <v>7813</v>
      </c>
      <c r="C1139" s="3">
        <v>2511.75</v>
      </c>
      <c r="D1139" s="7" t="s">
        <v>7814</v>
      </c>
      <c r="E1139" s="7" t="s">
        <v>3974</v>
      </c>
      <c r="G1139" s="9"/>
    </row>
    <row r="1140" spans="1:7" x14ac:dyDescent="0.3">
      <c r="A1140" s="9">
        <v>45999</v>
      </c>
      <c r="B1140" s="7" t="s">
        <v>7813</v>
      </c>
      <c r="C1140" s="3">
        <v>2791.91</v>
      </c>
      <c r="D1140" s="7" t="s">
        <v>7814</v>
      </c>
      <c r="E1140" s="7" t="s">
        <v>4430</v>
      </c>
      <c r="G1140" s="9"/>
    </row>
    <row r="1141" spans="1:7" x14ac:dyDescent="0.3">
      <c r="A1141" s="9">
        <v>46072</v>
      </c>
      <c r="B1141" s="7" t="s">
        <v>7813</v>
      </c>
      <c r="C1141" s="3">
        <v>3422.27</v>
      </c>
      <c r="D1141" s="7" t="s">
        <v>7814</v>
      </c>
      <c r="E1141" s="7" t="s">
        <v>4845</v>
      </c>
      <c r="G1141" s="9"/>
    </row>
    <row r="1142" spans="1:7" x14ac:dyDescent="0.3">
      <c r="A1142" s="9">
        <v>46068</v>
      </c>
      <c r="B1142" s="7" t="s">
        <v>7813</v>
      </c>
      <c r="C1142" s="3">
        <v>3508.26</v>
      </c>
      <c r="D1142" s="7" t="s">
        <v>7814</v>
      </c>
      <c r="E1142" s="7" t="s">
        <v>4859</v>
      </c>
      <c r="G1142" s="9"/>
    </row>
    <row r="1143" spans="1:7" x14ac:dyDescent="0.3">
      <c r="A1143" s="9">
        <v>46085</v>
      </c>
      <c r="B1143" s="7" t="s">
        <v>7815</v>
      </c>
      <c r="C1143" s="3">
        <v>-4367.1400000000003</v>
      </c>
      <c r="D1143" s="7" t="s">
        <v>7816</v>
      </c>
      <c r="E1143" s="7" t="s">
        <v>6873</v>
      </c>
      <c r="G1143" s="9"/>
    </row>
    <row r="1144" spans="1:7" x14ac:dyDescent="0.3">
      <c r="A1144" s="9">
        <v>46000</v>
      </c>
      <c r="B1144" s="7" t="s">
        <v>7815</v>
      </c>
      <c r="C1144" s="3">
        <v>-4349.1499999999996</v>
      </c>
      <c r="D1144" s="7" t="s">
        <v>7816</v>
      </c>
      <c r="E1144" s="7" t="s">
        <v>7106</v>
      </c>
      <c r="G1144" s="9"/>
    </row>
    <row r="1145" spans="1:7" x14ac:dyDescent="0.3">
      <c r="A1145" s="9">
        <v>45966</v>
      </c>
      <c r="B1145" s="7" t="s">
        <v>7815</v>
      </c>
      <c r="C1145" s="3">
        <v>-6823.92</v>
      </c>
      <c r="D1145" s="7" t="s">
        <v>7816</v>
      </c>
      <c r="E1145" s="7" t="s">
        <v>7229</v>
      </c>
      <c r="G1145" s="9"/>
    </row>
    <row r="1146" spans="1:7" x14ac:dyDescent="0.3">
      <c r="A1146" s="9">
        <v>45962</v>
      </c>
      <c r="B1146" s="7" t="s">
        <v>7815</v>
      </c>
      <c r="C1146" s="3">
        <v>-3232.88</v>
      </c>
      <c r="D1146" s="7" t="s">
        <v>7816</v>
      </c>
      <c r="E1146" s="7" t="s">
        <v>7232</v>
      </c>
      <c r="G1146" s="9"/>
    </row>
    <row r="1147" spans="1:7" x14ac:dyDescent="0.3">
      <c r="A1147" s="9">
        <v>45996</v>
      </c>
      <c r="B1147" s="7" t="s">
        <v>7815</v>
      </c>
      <c r="C1147" s="3">
        <v>-1322.71</v>
      </c>
      <c r="D1147" s="7" t="s">
        <v>7816</v>
      </c>
      <c r="E1147" s="7" t="s">
        <v>7445</v>
      </c>
      <c r="G1147" s="9"/>
    </row>
    <row r="1148" spans="1:7" x14ac:dyDescent="0.3">
      <c r="A1148" s="9">
        <v>45967</v>
      </c>
      <c r="B1148" s="7" t="s">
        <v>7815</v>
      </c>
      <c r="C1148" s="3">
        <v>-6125.93</v>
      </c>
      <c r="D1148" s="7" t="s">
        <v>7816</v>
      </c>
      <c r="E1148" s="7" t="s">
        <v>7769</v>
      </c>
      <c r="G1148" s="9"/>
    </row>
    <row r="1149" spans="1:7" x14ac:dyDescent="0.3">
      <c r="A1149" s="9">
        <v>46073</v>
      </c>
      <c r="B1149" s="7" t="s">
        <v>7813</v>
      </c>
      <c r="C1149" s="3">
        <v>2793.5</v>
      </c>
      <c r="D1149" s="7" t="s">
        <v>7814</v>
      </c>
      <c r="E1149" s="7" t="s">
        <v>3349</v>
      </c>
      <c r="G1149" s="9"/>
    </row>
    <row r="1150" spans="1:7" x14ac:dyDescent="0.3">
      <c r="A1150" s="9">
        <v>46061</v>
      </c>
      <c r="B1150" s="7" t="s">
        <v>7813</v>
      </c>
      <c r="C1150" s="3">
        <v>13255.82</v>
      </c>
      <c r="D1150" s="7" t="s">
        <v>7814</v>
      </c>
      <c r="E1150" s="7" t="s">
        <v>3455</v>
      </c>
      <c r="G1150" s="9"/>
    </row>
    <row r="1151" spans="1:7" x14ac:dyDescent="0.3">
      <c r="A1151" s="9">
        <v>46041</v>
      </c>
      <c r="B1151" s="7" t="s">
        <v>7813</v>
      </c>
      <c r="C1151" s="3">
        <v>14250.82</v>
      </c>
      <c r="D1151" s="7" t="s">
        <v>7814</v>
      </c>
      <c r="E1151" s="7" t="s">
        <v>3476</v>
      </c>
      <c r="G1151" s="9"/>
    </row>
    <row r="1152" spans="1:7" x14ac:dyDescent="0.3">
      <c r="A1152" s="9">
        <v>45990</v>
      </c>
      <c r="B1152" s="7" t="s">
        <v>7813</v>
      </c>
      <c r="C1152" s="3">
        <v>1743.68</v>
      </c>
      <c r="D1152" s="7" t="s">
        <v>7814</v>
      </c>
      <c r="E1152" s="7" t="s">
        <v>4350</v>
      </c>
      <c r="G1152" s="9"/>
    </row>
    <row r="1153" spans="1:7" x14ac:dyDescent="0.3">
      <c r="A1153" s="9">
        <v>46059</v>
      </c>
      <c r="B1153" s="7" t="s">
        <v>7813</v>
      </c>
      <c r="C1153" s="3">
        <v>10058.59</v>
      </c>
      <c r="D1153" s="7" t="s">
        <v>7814</v>
      </c>
      <c r="E1153" s="7" t="s">
        <v>4577</v>
      </c>
      <c r="G1153" s="9"/>
    </row>
    <row r="1154" spans="1:7" x14ac:dyDescent="0.3">
      <c r="A1154" s="9">
        <v>46076</v>
      </c>
      <c r="B1154" s="7" t="s">
        <v>7813</v>
      </c>
      <c r="C1154" s="3">
        <v>2816.89</v>
      </c>
      <c r="D1154" s="7" t="s">
        <v>7814</v>
      </c>
      <c r="E1154" s="7" t="s">
        <v>5125</v>
      </c>
      <c r="G1154" s="9"/>
    </row>
    <row r="1155" spans="1:7" x14ac:dyDescent="0.3">
      <c r="A1155" s="9">
        <v>45963</v>
      </c>
      <c r="B1155" s="7" t="s">
        <v>7813</v>
      </c>
      <c r="C1155" s="3">
        <v>4323.7700000000004</v>
      </c>
      <c r="D1155" s="7" t="s">
        <v>7814</v>
      </c>
      <c r="E1155" s="7" t="s">
        <v>5206</v>
      </c>
      <c r="G1155" s="9"/>
    </row>
    <row r="1156" spans="1:7" x14ac:dyDescent="0.3">
      <c r="A1156" s="9">
        <v>46040</v>
      </c>
      <c r="B1156" s="7" t="s">
        <v>7813</v>
      </c>
      <c r="C1156" s="3">
        <v>13218.03</v>
      </c>
      <c r="D1156" s="7" t="s">
        <v>7814</v>
      </c>
      <c r="E1156" s="7" t="s">
        <v>3422</v>
      </c>
      <c r="G1156" s="9"/>
    </row>
    <row r="1157" spans="1:7" x14ac:dyDescent="0.3">
      <c r="A1157" s="9">
        <v>46074</v>
      </c>
      <c r="B1157" s="7" t="s">
        <v>7813</v>
      </c>
      <c r="C1157" s="3">
        <v>1834.68</v>
      </c>
      <c r="D1157" s="7" t="s">
        <v>7814</v>
      </c>
      <c r="E1157" s="7" t="s">
        <v>3611</v>
      </c>
      <c r="G1157" s="9"/>
    </row>
    <row r="1158" spans="1:7" x14ac:dyDescent="0.3">
      <c r="A1158" s="9">
        <v>46008</v>
      </c>
      <c r="B1158" s="7" t="s">
        <v>7813</v>
      </c>
      <c r="C1158" s="3">
        <v>4162.37</v>
      </c>
      <c r="D1158" s="7" t="s">
        <v>7814</v>
      </c>
      <c r="E1158" s="7" t="s">
        <v>3699</v>
      </c>
      <c r="G1158" s="9"/>
    </row>
    <row r="1159" spans="1:7" x14ac:dyDescent="0.3">
      <c r="A1159" s="9">
        <v>46071</v>
      </c>
      <c r="B1159" s="7" t="s">
        <v>7813</v>
      </c>
      <c r="C1159" s="3">
        <v>1763.57</v>
      </c>
      <c r="D1159" s="7" t="s">
        <v>7814</v>
      </c>
      <c r="E1159" s="7" t="s">
        <v>3964</v>
      </c>
      <c r="G1159" s="9"/>
    </row>
    <row r="1160" spans="1:7" x14ac:dyDescent="0.3">
      <c r="A1160" s="9">
        <v>46027</v>
      </c>
      <c r="B1160" s="7" t="s">
        <v>7813</v>
      </c>
      <c r="C1160" s="3">
        <v>2645.35</v>
      </c>
      <c r="D1160" s="7" t="s">
        <v>7814</v>
      </c>
      <c r="E1160" s="7" t="s">
        <v>4425</v>
      </c>
      <c r="G1160" s="9"/>
    </row>
    <row r="1161" spans="1:7" x14ac:dyDescent="0.3">
      <c r="A1161" s="9">
        <v>46089</v>
      </c>
      <c r="B1161" s="7" t="s">
        <v>7813</v>
      </c>
      <c r="C1161" s="3">
        <v>5211.7</v>
      </c>
      <c r="D1161" s="7" t="s">
        <v>7814</v>
      </c>
      <c r="E1161" s="7" t="s">
        <v>4487</v>
      </c>
      <c r="G1161" s="9"/>
    </row>
    <row r="1162" spans="1:7" x14ac:dyDescent="0.3">
      <c r="A1162" s="9">
        <v>45972</v>
      </c>
      <c r="B1162" s="7" t="s">
        <v>7813</v>
      </c>
      <c r="C1162" s="3">
        <v>1691.17</v>
      </c>
      <c r="D1162" s="7" t="s">
        <v>7814</v>
      </c>
      <c r="E1162" s="7" t="s">
        <v>4813</v>
      </c>
      <c r="G1162" s="9"/>
    </row>
    <row r="1163" spans="1:7" x14ac:dyDescent="0.3">
      <c r="A1163" s="9">
        <v>46018</v>
      </c>
      <c r="B1163" s="7" t="s">
        <v>7815</v>
      </c>
      <c r="C1163" s="3">
        <v>-4505.25</v>
      </c>
      <c r="D1163" s="7" t="s">
        <v>7816</v>
      </c>
      <c r="E1163" s="7" t="s">
        <v>7220</v>
      </c>
      <c r="G1163" s="9"/>
    </row>
    <row r="1164" spans="1:7" x14ac:dyDescent="0.3">
      <c r="A1164" s="9">
        <v>46002</v>
      </c>
      <c r="B1164" s="7" t="s">
        <v>7815</v>
      </c>
      <c r="C1164" s="3">
        <v>-5901.82</v>
      </c>
      <c r="D1164" s="7" t="s">
        <v>7816</v>
      </c>
      <c r="E1164" s="7" t="s">
        <v>7256</v>
      </c>
      <c r="G1164" s="9"/>
    </row>
    <row r="1165" spans="1:7" x14ac:dyDescent="0.3">
      <c r="A1165" s="9">
        <v>46048</v>
      </c>
      <c r="B1165" s="7" t="s">
        <v>7815</v>
      </c>
      <c r="C1165" s="3">
        <v>-3011.77</v>
      </c>
      <c r="D1165" s="7" t="s">
        <v>7816</v>
      </c>
      <c r="E1165" s="7" t="s">
        <v>7413</v>
      </c>
      <c r="G1165" s="9"/>
    </row>
    <row r="1166" spans="1:7" x14ac:dyDescent="0.3">
      <c r="A1166" s="9">
        <v>45993</v>
      </c>
      <c r="B1166" s="7" t="s">
        <v>7813</v>
      </c>
      <c r="C1166" s="3">
        <v>2788.52</v>
      </c>
      <c r="D1166" s="7" t="s">
        <v>7814</v>
      </c>
      <c r="E1166" s="7" t="s">
        <v>3338</v>
      </c>
      <c r="G1166" s="9"/>
    </row>
    <row r="1167" spans="1:7" x14ac:dyDescent="0.3">
      <c r="A1167" s="9">
        <v>46051</v>
      </c>
      <c r="B1167" s="7" t="s">
        <v>7813</v>
      </c>
      <c r="C1167" s="3">
        <v>2125.17</v>
      </c>
      <c r="D1167" s="7" t="s">
        <v>7814</v>
      </c>
      <c r="E1167" s="7" t="s">
        <v>3368</v>
      </c>
      <c r="G1167" s="9"/>
    </row>
    <row r="1168" spans="1:7" x14ac:dyDescent="0.3">
      <c r="A1168" s="9">
        <v>46002</v>
      </c>
      <c r="B1168" s="7" t="s">
        <v>7813</v>
      </c>
      <c r="C1168" s="3">
        <v>1093.01</v>
      </c>
      <c r="D1168" s="7" t="s">
        <v>7814</v>
      </c>
      <c r="E1168" s="7" t="s">
        <v>3416</v>
      </c>
      <c r="G1168" s="9"/>
    </row>
    <row r="1169" spans="1:7" x14ac:dyDescent="0.3">
      <c r="A1169" s="9">
        <v>46032</v>
      </c>
      <c r="B1169" s="7" t="s">
        <v>7813</v>
      </c>
      <c r="C1169" s="3">
        <v>12565.1</v>
      </c>
      <c r="D1169" s="7" t="s">
        <v>7814</v>
      </c>
      <c r="E1169" s="7" t="s">
        <v>3875</v>
      </c>
      <c r="G1169" s="9"/>
    </row>
    <row r="1170" spans="1:7" x14ac:dyDescent="0.3">
      <c r="A1170" s="9">
        <v>46001</v>
      </c>
      <c r="B1170" s="7" t="s">
        <v>7813</v>
      </c>
      <c r="C1170" s="3">
        <v>12322.61</v>
      </c>
      <c r="D1170" s="7" t="s">
        <v>7814</v>
      </c>
      <c r="E1170" s="7" t="s">
        <v>4016</v>
      </c>
      <c r="G1170" s="9"/>
    </row>
    <row r="1171" spans="1:7" x14ac:dyDescent="0.3">
      <c r="A1171" s="9">
        <v>46053</v>
      </c>
      <c r="B1171" s="7" t="s">
        <v>7813</v>
      </c>
      <c r="C1171" s="3">
        <v>2147.7800000000002</v>
      </c>
      <c r="D1171" s="7" t="s">
        <v>7814</v>
      </c>
      <c r="E1171" s="7" t="s">
        <v>4363</v>
      </c>
      <c r="G1171" s="9"/>
    </row>
    <row r="1172" spans="1:7" x14ac:dyDescent="0.3">
      <c r="A1172" s="9">
        <v>46084</v>
      </c>
      <c r="B1172" s="7" t="s">
        <v>7813</v>
      </c>
      <c r="C1172" s="3">
        <v>1464.73</v>
      </c>
      <c r="D1172" s="7" t="s">
        <v>7814</v>
      </c>
      <c r="E1172" s="7" t="s">
        <v>4538</v>
      </c>
      <c r="G1172" s="9"/>
    </row>
    <row r="1173" spans="1:7" x14ac:dyDescent="0.3">
      <c r="A1173" s="9">
        <v>46058</v>
      </c>
      <c r="B1173" s="7" t="s">
        <v>7813</v>
      </c>
      <c r="C1173" s="3">
        <v>2713.8</v>
      </c>
      <c r="D1173" s="7" t="s">
        <v>7814</v>
      </c>
      <c r="E1173" s="7" t="s">
        <v>5121</v>
      </c>
      <c r="G1173" s="9"/>
    </row>
    <row r="1174" spans="1:7" x14ac:dyDescent="0.3">
      <c r="A1174" s="9">
        <v>46059</v>
      </c>
      <c r="B1174" s="7" t="s">
        <v>7813</v>
      </c>
      <c r="C1174" s="3">
        <v>2931.56</v>
      </c>
      <c r="D1174" s="7" t="s">
        <v>7814</v>
      </c>
      <c r="E1174" s="7" t="s">
        <v>5346</v>
      </c>
      <c r="G1174" s="9"/>
    </row>
    <row r="1175" spans="1:7" x14ac:dyDescent="0.3">
      <c r="A1175" s="9">
        <v>46027</v>
      </c>
      <c r="B1175" s="7" t="s">
        <v>7815</v>
      </c>
      <c r="C1175" s="3">
        <v>-4168.49</v>
      </c>
      <c r="D1175" s="7" t="s">
        <v>7816</v>
      </c>
      <c r="E1175" s="7" t="s">
        <v>6823</v>
      </c>
      <c r="G1175" s="9"/>
    </row>
    <row r="1176" spans="1:7" x14ac:dyDescent="0.3">
      <c r="A1176" s="9">
        <v>45999</v>
      </c>
      <c r="B1176" s="7" t="s">
        <v>7815</v>
      </c>
      <c r="C1176" s="3">
        <v>-6131.81</v>
      </c>
      <c r="D1176" s="7" t="s">
        <v>7816</v>
      </c>
      <c r="E1176" s="7" t="s">
        <v>7080</v>
      </c>
      <c r="G1176" s="9"/>
    </row>
    <row r="1177" spans="1:7" x14ac:dyDescent="0.3">
      <c r="A1177" s="9">
        <v>46012</v>
      </c>
      <c r="B1177" s="7" t="s">
        <v>7815</v>
      </c>
      <c r="C1177" s="3">
        <v>-4732.6899999999996</v>
      </c>
      <c r="D1177" s="7" t="s">
        <v>7816</v>
      </c>
      <c r="E1177" s="7" t="s">
        <v>7645</v>
      </c>
      <c r="G1177" s="9"/>
    </row>
    <row r="1178" spans="1:7" x14ac:dyDescent="0.3">
      <c r="A1178" s="9">
        <v>45977</v>
      </c>
      <c r="B1178" s="7" t="s">
        <v>7813</v>
      </c>
      <c r="C1178" s="3">
        <v>3712.57</v>
      </c>
      <c r="D1178" s="7" t="s">
        <v>7814</v>
      </c>
      <c r="E1178" s="7" t="s">
        <v>3305</v>
      </c>
      <c r="G1178" s="9"/>
    </row>
    <row r="1179" spans="1:7" x14ac:dyDescent="0.3">
      <c r="A1179" s="9">
        <v>46087</v>
      </c>
      <c r="B1179" s="7" t="s">
        <v>7813</v>
      </c>
      <c r="C1179" s="3">
        <v>2151.96</v>
      </c>
      <c r="D1179" s="7" t="s">
        <v>7814</v>
      </c>
      <c r="E1179" s="7" t="s">
        <v>3427</v>
      </c>
      <c r="G1179" s="9"/>
    </row>
    <row r="1180" spans="1:7" x14ac:dyDescent="0.3">
      <c r="A1180" s="9">
        <v>46086</v>
      </c>
      <c r="B1180" s="7" t="s">
        <v>7813</v>
      </c>
      <c r="C1180" s="3">
        <v>2881.94</v>
      </c>
      <c r="D1180" s="7" t="s">
        <v>7814</v>
      </c>
      <c r="E1180" s="7" t="s">
        <v>5329</v>
      </c>
      <c r="G1180" s="9"/>
    </row>
    <row r="1181" spans="1:7" x14ac:dyDescent="0.3">
      <c r="A1181" s="9">
        <v>46069</v>
      </c>
      <c r="B1181" s="7" t="s">
        <v>7815</v>
      </c>
      <c r="C1181" s="3">
        <v>-1609.05</v>
      </c>
      <c r="D1181" s="7" t="s">
        <v>7816</v>
      </c>
      <c r="E1181" s="7" t="s">
        <v>7460</v>
      </c>
      <c r="G1181" s="9"/>
    </row>
    <row r="1182" spans="1:7" x14ac:dyDescent="0.3">
      <c r="A1182" s="9">
        <v>46075</v>
      </c>
      <c r="B1182" s="7" t="s">
        <v>7815</v>
      </c>
      <c r="C1182" s="3">
        <v>-1550.88</v>
      </c>
      <c r="D1182" s="7" t="s">
        <v>7816</v>
      </c>
      <c r="E1182" s="7" t="s">
        <v>7584</v>
      </c>
      <c r="G1182" s="9"/>
    </row>
    <row r="1183" spans="1:7" x14ac:dyDescent="0.3">
      <c r="A1183" s="9">
        <v>45995</v>
      </c>
      <c r="B1183" s="7" t="s">
        <v>7815</v>
      </c>
      <c r="C1183" s="3">
        <v>-4485.5600000000004</v>
      </c>
      <c r="D1183" s="7" t="s">
        <v>7816</v>
      </c>
      <c r="E1183" s="7" t="s">
        <v>7786</v>
      </c>
      <c r="G1183" s="9"/>
    </row>
    <row r="1184" spans="1:7" x14ac:dyDescent="0.3">
      <c r="A1184" s="9">
        <v>45985</v>
      </c>
      <c r="B1184" s="7" t="s">
        <v>7813</v>
      </c>
      <c r="C1184" s="3">
        <v>999.59</v>
      </c>
      <c r="D1184" s="7" t="s">
        <v>7814</v>
      </c>
      <c r="E1184" s="7" t="s">
        <v>3581</v>
      </c>
      <c r="G1184" s="9"/>
    </row>
    <row r="1185" spans="1:7" x14ac:dyDescent="0.3">
      <c r="A1185" s="9">
        <v>46000</v>
      </c>
      <c r="B1185" s="7" t="s">
        <v>7813</v>
      </c>
      <c r="C1185" s="3">
        <v>10818.13</v>
      </c>
      <c r="D1185" s="7" t="s">
        <v>7814</v>
      </c>
      <c r="E1185" s="7" t="s">
        <v>3818</v>
      </c>
      <c r="G1185" s="9"/>
    </row>
    <row r="1186" spans="1:7" x14ac:dyDescent="0.3">
      <c r="A1186" s="9">
        <v>45993</v>
      </c>
      <c r="B1186" s="7" t="s">
        <v>7813</v>
      </c>
      <c r="C1186" s="3">
        <v>3223.13</v>
      </c>
      <c r="D1186" s="7" t="s">
        <v>7814</v>
      </c>
      <c r="E1186" s="7" t="s">
        <v>3888</v>
      </c>
      <c r="G1186" s="9"/>
    </row>
    <row r="1187" spans="1:7" x14ac:dyDescent="0.3">
      <c r="A1187" s="9">
        <v>46031</v>
      </c>
      <c r="B1187" s="7" t="s">
        <v>7813</v>
      </c>
      <c r="C1187" s="3">
        <v>3351.98</v>
      </c>
      <c r="D1187" s="7" t="s">
        <v>7814</v>
      </c>
      <c r="E1187" s="7" t="s">
        <v>4028</v>
      </c>
      <c r="G1187" s="9"/>
    </row>
    <row r="1188" spans="1:7" x14ac:dyDescent="0.3">
      <c r="A1188" s="9">
        <v>45987</v>
      </c>
      <c r="B1188" s="7" t="s">
        <v>7813</v>
      </c>
      <c r="C1188" s="3">
        <v>2219.85</v>
      </c>
      <c r="D1188" s="7" t="s">
        <v>7814</v>
      </c>
      <c r="E1188" s="7" t="s">
        <v>4099</v>
      </c>
      <c r="G1188" s="9"/>
    </row>
    <row r="1189" spans="1:7" x14ac:dyDescent="0.3">
      <c r="A1189" s="9">
        <v>46071</v>
      </c>
      <c r="B1189" s="7" t="s">
        <v>7813</v>
      </c>
      <c r="C1189" s="3">
        <v>4469.24</v>
      </c>
      <c r="D1189" s="7" t="s">
        <v>7814</v>
      </c>
      <c r="E1189" s="7" t="s">
        <v>4192</v>
      </c>
      <c r="G1189" s="9"/>
    </row>
    <row r="1190" spans="1:7" x14ac:dyDescent="0.3">
      <c r="A1190" s="9">
        <v>46080</v>
      </c>
      <c r="B1190" s="7" t="s">
        <v>7813</v>
      </c>
      <c r="C1190" s="3">
        <v>2144.67</v>
      </c>
      <c r="D1190" s="7" t="s">
        <v>7814</v>
      </c>
      <c r="E1190" s="7" t="s">
        <v>4664</v>
      </c>
      <c r="G1190" s="9"/>
    </row>
    <row r="1191" spans="1:7" x14ac:dyDescent="0.3">
      <c r="A1191" s="9">
        <v>46033</v>
      </c>
      <c r="B1191" s="7" t="s">
        <v>7813</v>
      </c>
      <c r="C1191" s="3">
        <v>2119.13</v>
      </c>
      <c r="D1191" s="7" t="s">
        <v>7814</v>
      </c>
      <c r="E1191" s="7" t="s">
        <v>5028</v>
      </c>
      <c r="G1191" s="9"/>
    </row>
    <row r="1192" spans="1:7" x14ac:dyDescent="0.3">
      <c r="A1192" s="9">
        <v>46085</v>
      </c>
      <c r="B1192" s="7" t="s">
        <v>7815</v>
      </c>
      <c r="C1192" s="3">
        <v>-4335.41</v>
      </c>
      <c r="D1192" s="7" t="s">
        <v>7816</v>
      </c>
      <c r="E1192" s="7" t="s">
        <v>7210</v>
      </c>
      <c r="G1192" s="9"/>
    </row>
    <row r="1193" spans="1:7" x14ac:dyDescent="0.3">
      <c r="A1193" s="9">
        <v>46038</v>
      </c>
      <c r="B1193" s="7" t="s">
        <v>7813</v>
      </c>
      <c r="C1193" s="3">
        <v>2284.5500000000002</v>
      </c>
      <c r="D1193" s="7" t="s">
        <v>7814</v>
      </c>
      <c r="E1193" s="7" t="s">
        <v>3791</v>
      </c>
      <c r="G1193" s="9"/>
    </row>
    <row r="1194" spans="1:7" x14ac:dyDescent="0.3">
      <c r="A1194" s="9">
        <v>46062</v>
      </c>
      <c r="B1194" s="7" t="s">
        <v>7813</v>
      </c>
      <c r="C1194" s="3">
        <v>3041.3</v>
      </c>
      <c r="D1194" s="7" t="s">
        <v>7814</v>
      </c>
      <c r="E1194" s="7" t="s">
        <v>4154</v>
      </c>
      <c r="G1194" s="9"/>
    </row>
    <row r="1195" spans="1:7" x14ac:dyDescent="0.3">
      <c r="A1195" s="9">
        <v>46025</v>
      </c>
      <c r="B1195" s="7" t="s">
        <v>7813</v>
      </c>
      <c r="C1195" s="3">
        <v>2157.0300000000002</v>
      </c>
      <c r="D1195" s="7" t="s">
        <v>7814</v>
      </c>
      <c r="E1195" s="7" t="s">
        <v>4304</v>
      </c>
      <c r="G1195" s="9"/>
    </row>
    <row r="1196" spans="1:7" x14ac:dyDescent="0.3">
      <c r="A1196" s="9">
        <v>45977</v>
      </c>
      <c r="B1196" s="7" t="s">
        <v>7813</v>
      </c>
      <c r="C1196" s="3">
        <v>5107.53</v>
      </c>
      <c r="D1196" s="7" t="s">
        <v>7814</v>
      </c>
      <c r="E1196" s="7" t="s">
        <v>5003</v>
      </c>
      <c r="G1196" s="9"/>
    </row>
    <row r="1197" spans="1:7" x14ac:dyDescent="0.3">
      <c r="A1197" s="9">
        <v>46018</v>
      </c>
      <c r="B1197" s="7" t="s">
        <v>7813</v>
      </c>
      <c r="C1197" s="3">
        <v>2126.3000000000002</v>
      </c>
      <c r="D1197" s="7" t="s">
        <v>7814</v>
      </c>
      <c r="E1197" s="7" t="s">
        <v>5211</v>
      </c>
      <c r="G1197" s="9"/>
    </row>
    <row r="1198" spans="1:7" x14ac:dyDescent="0.3">
      <c r="A1198" s="9">
        <v>46071</v>
      </c>
      <c r="B1198" s="7" t="s">
        <v>7813</v>
      </c>
      <c r="C1198" s="3">
        <v>3368.65</v>
      </c>
      <c r="D1198" s="7" t="s">
        <v>7814</v>
      </c>
      <c r="E1198" s="7" t="s">
        <v>5289</v>
      </c>
      <c r="G1198" s="9"/>
    </row>
    <row r="1199" spans="1:7" x14ac:dyDescent="0.3">
      <c r="A1199" s="9">
        <v>45962</v>
      </c>
      <c r="B1199" s="7" t="s">
        <v>7813</v>
      </c>
      <c r="C1199" s="3">
        <v>5059.2700000000004</v>
      </c>
      <c r="D1199" s="7" t="s">
        <v>7814</v>
      </c>
      <c r="E1199" s="7" t="s">
        <v>5396</v>
      </c>
      <c r="G1199" s="9"/>
    </row>
    <row r="1200" spans="1:7" x14ac:dyDescent="0.3">
      <c r="A1200" s="9">
        <v>46063</v>
      </c>
      <c r="B1200" s="7" t="s">
        <v>7813</v>
      </c>
      <c r="C1200" s="3">
        <v>3438.96</v>
      </c>
      <c r="D1200" s="7" t="s">
        <v>7814</v>
      </c>
      <c r="E1200" s="7" t="s">
        <v>3344</v>
      </c>
      <c r="G1200" s="9"/>
    </row>
    <row r="1201" spans="1:7" x14ac:dyDescent="0.3">
      <c r="A1201" s="9">
        <v>45992</v>
      </c>
      <c r="B1201" s="7" t="s">
        <v>7813</v>
      </c>
      <c r="C1201" s="3">
        <v>4852.93</v>
      </c>
      <c r="D1201" s="7" t="s">
        <v>7814</v>
      </c>
      <c r="E1201" s="7" t="s">
        <v>3942</v>
      </c>
      <c r="G1201" s="9"/>
    </row>
    <row r="1202" spans="1:7" x14ac:dyDescent="0.3">
      <c r="A1202" s="9">
        <v>46063</v>
      </c>
      <c r="B1202" s="7" t="s">
        <v>7813</v>
      </c>
      <c r="C1202" s="3">
        <v>12502</v>
      </c>
      <c r="D1202" s="7" t="s">
        <v>7814</v>
      </c>
      <c r="E1202" s="7" t="s">
        <v>4178</v>
      </c>
      <c r="G1202" s="9"/>
    </row>
    <row r="1203" spans="1:7" x14ac:dyDescent="0.3">
      <c r="A1203" s="9">
        <v>46023</v>
      </c>
      <c r="B1203" s="7" t="s">
        <v>7815</v>
      </c>
      <c r="C1203" s="3">
        <v>-1427.82</v>
      </c>
      <c r="D1203" s="7" t="s">
        <v>7816</v>
      </c>
      <c r="E1203" s="7" t="s">
        <v>6863</v>
      </c>
      <c r="G1203" s="9"/>
    </row>
    <row r="1204" spans="1:7" x14ac:dyDescent="0.3">
      <c r="A1204" s="9">
        <v>46026</v>
      </c>
      <c r="B1204" s="7" t="s">
        <v>7815</v>
      </c>
      <c r="C1204" s="3">
        <v>-4564.7</v>
      </c>
      <c r="D1204" s="7" t="s">
        <v>7816</v>
      </c>
      <c r="E1204" s="7" t="s">
        <v>6939</v>
      </c>
      <c r="G1204" s="9"/>
    </row>
    <row r="1205" spans="1:7" x14ac:dyDescent="0.3">
      <c r="A1205" s="9">
        <v>46014</v>
      </c>
      <c r="B1205" s="7" t="s">
        <v>7813</v>
      </c>
      <c r="C1205" s="3">
        <v>2941.45</v>
      </c>
      <c r="D1205" s="7" t="s">
        <v>7814</v>
      </c>
      <c r="E1205" s="7" t="s">
        <v>3614</v>
      </c>
      <c r="G1205" s="9"/>
    </row>
    <row r="1206" spans="1:7" x14ac:dyDescent="0.3">
      <c r="A1206" s="9">
        <v>46079</v>
      </c>
      <c r="B1206" s="7" t="s">
        <v>7813</v>
      </c>
      <c r="C1206" s="3">
        <v>2226.2399999999998</v>
      </c>
      <c r="D1206" s="7" t="s">
        <v>7814</v>
      </c>
      <c r="E1206" s="7" t="s">
        <v>3638</v>
      </c>
      <c r="G1206" s="9"/>
    </row>
    <row r="1207" spans="1:7" x14ac:dyDescent="0.3">
      <c r="A1207" s="9">
        <v>46025</v>
      </c>
      <c r="B1207" s="7" t="s">
        <v>7813</v>
      </c>
      <c r="C1207" s="3">
        <v>3912.45</v>
      </c>
      <c r="D1207" s="7" t="s">
        <v>7814</v>
      </c>
      <c r="E1207" s="7" t="s">
        <v>4309</v>
      </c>
      <c r="G1207" s="9"/>
    </row>
    <row r="1208" spans="1:7" x14ac:dyDescent="0.3">
      <c r="A1208" s="9">
        <v>46019</v>
      </c>
      <c r="B1208" s="7" t="s">
        <v>7813</v>
      </c>
      <c r="C1208" s="3">
        <v>2107.16</v>
      </c>
      <c r="D1208" s="7" t="s">
        <v>7814</v>
      </c>
      <c r="E1208" s="7" t="s">
        <v>4599</v>
      </c>
      <c r="G1208" s="9"/>
    </row>
    <row r="1209" spans="1:7" x14ac:dyDescent="0.3">
      <c r="A1209" s="9">
        <v>46069</v>
      </c>
      <c r="B1209" s="7" t="s">
        <v>7813</v>
      </c>
      <c r="C1209" s="3">
        <v>11337.03</v>
      </c>
      <c r="D1209" s="7" t="s">
        <v>7814</v>
      </c>
      <c r="E1209" s="7" t="s">
        <v>4917</v>
      </c>
      <c r="G1209" s="9"/>
    </row>
    <row r="1210" spans="1:7" x14ac:dyDescent="0.3">
      <c r="A1210" s="9">
        <v>46080</v>
      </c>
      <c r="B1210" s="7" t="s">
        <v>7813</v>
      </c>
      <c r="C1210" s="3">
        <v>2611.4299999999998</v>
      </c>
      <c r="D1210" s="7" t="s">
        <v>7814</v>
      </c>
      <c r="E1210" s="7" t="s">
        <v>4954</v>
      </c>
      <c r="G1210" s="9"/>
    </row>
    <row r="1211" spans="1:7" x14ac:dyDescent="0.3">
      <c r="A1211" s="9">
        <v>46048</v>
      </c>
      <c r="B1211" s="7" t="s">
        <v>7813</v>
      </c>
      <c r="C1211" s="3">
        <v>1723.42</v>
      </c>
      <c r="D1211" s="7" t="s">
        <v>7814</v>
      </c>
      <c r="E1211" s="7" t="s">
        <v>4977</v>
      </c>
      <c r="G1211" s="9"/>
    </row>
    <row r="1212" spans="1:7" x14ac:dyDescent="0.3">
      <c r="A1212" s="9">
        <v>46087</v>
      </c>
      <c r="B1212" s="7" t="s">
        <v>7813</v>
      </c>
      <c r="C1212" s="3">
        <v>1549.59</v>
      </c>
      <c r="D1212" s="7" t="s">
        <v>7814</v>
      </c>
      <c r="E1212" s="7" t="s">
        <v>5170</v>
      </c>
      <c r="G1212" s="9"/>
    </row>
    <row r="1213" spans="1:7" x14ac:dyDescent="0.3">
      <c r="A1213" s="9">
        <v>45963</v>
      </c>
      <c r="B1213" s="7" t="s">
        <v>7815</v>
      </c>
      <c r="C1213" s="3">
        <v>-4225.32</v>
      </c>
      <c r="D1213" s="7" t="s">
        <v>7816</v>
      </c>
      <c r="E1213" s="7" t="s">
        <v>7093</v>
      </c>
      <c r="G1213" s="9"/>
    </row>
    <row r="1214" spans="1:7" x14ac:dyDescent="0.3">
      <c r="A1214" s="9">
        <v>46065</v>
      </c>
      <c r="B1214" s="7" t="s">
        <v>7815</v>
      </c>
      <c r="C1214" s="3">
        <v>-2587.5</v>
      </c>
      <c r="D1214" s="7" t="s">
        <v>7816</v>
      </c>
      <c r="E1214" s="7" t="s">
        <v>7456</v>
      </c>
      <c r="G1214" s="9"/>
    </row>
    <row r="1215" spans="1:7" x14ac:dyDescent="0.3">
      <c r="A1215" s="9">
        <v>46015</v>
      </c>
      <c r="B1215" s="7" t="s">
        <v>7813</v>
      </c>
      <c r="C1215" s="3">
        <v>3894.76</v>
      </c>
      <c r="D1215" s="7" t="s">
        <v>7814</v>
      </c>
      <c r="E1215" s="7" t="s">
        <v>3493</v>
      </c>
      <c r="G1215" s="9"/>
    </row>
    <row r="1216" spans="1:7" x14ac:dyDescent="0.3">
      <c r="A1216" s="9">
        <v>46049</v>
      </c>
      <c r="B1216" s="7" t="s">
        <v>7813</v>
      </c>
      <c r="C1216" s="3">
        <v>14010.09</v>
      </c>
      <c r="D1216" s="7" t="s">
        <v>7814</v>
      </c>
      <c r="E1216" s="7" t="s">
        <v>3531</v>
      </c>
      <c r="G1216" s="9"/>
    </row>
    <row r="1217" spans="1:7" x14ac:dyDescent="0.3">
      <c r="A1217" s="9">
        <v>46079</v>
      </c>
      <c r="B1217" s="7" t="s">
        <v>7813</v>
      </c>
      <c r="C1217" s="3">
        <v>3057.53</v>
      </c>
      <c r="D1217" s="7" t="s">
        <v>7814</v>
      </c>
      <c r="E1217" s="7" t="s">
        <v>4541</v>
      </c>
      <c r="G1217" s="9"/>
    </row>
    <row r="1218" spans="1:7" x14ac:dyDescent="0.3">
      <c r="A1218" s="9">
        <v>45991</v>
      </c>
      <c r="B1218" s="7" t="s">
        <v>7813</v>
      </c>
      <c r="C1218" s="3">
        <v>10852.23</v>
      </c>
      <c r="D1218" s="7" t="s">
        <v>7814</v>
      </c>
      <c r="E1218" s="7" t="s">
        <v>4871</v>
      </c>
      <c r="G1218" s="9"/>
    </row>
    <row r="1219" spans="1:7" x14ac:dyDescent="0.3">
      <c r="A1219" s="9">
        <v>45993</v>
      </c>
      <c r="B1219" s="7" t="s">
        <v>7813</v>
      </c>
      <c r="C1219" s="3">
        <v>1925.76</v>
      </c>
      <c r="D1219" s="7" t="s">
        <v>7814</v>
      </c>
      <c r="E1219" s="7" t="s">
        <v>5274</v>
      </c>
      <c r="G1219" s="9"/>
    </row>
    <row r="1220" spans="1:7" x14ac:dyDescent="0.3">
      <c r="A1220" s="9">
        <v>46050</v>
      </c>
      <c r="B1220" s="7" t="s">
        <v>7813</v>
      </c>
      <c r="C1220" s="3">
        <v>2236.9899999999998</v>
      </c>
      <c r="D1220" s="7" t="s">
        <v>7814</v>
      </c>
      <c r="E1220" s="7" t="s">
        <v>5340</v>
      </c>
      <c r="G1220" s="9"/>
    </row>
    <row r="1221" spans="1:7" x14ac:dyDescent="0.3">
      <c r="A1221" s="9">
        <v>45984</v>
      </c>
      <c r="B1221" s="7" t="s">
        <v>7813</v>
      </c>
      <c r="C1221" s="3">
        <v>2444.9299999999998</v>
      </c>
      <c r="D1221" s="7" t="s">
        <v>7814</v>
      </c>
      <c r="E1221" s="7" t="s">
        <v>5364</v>
      </c>
      <c r="G1221" s="9"/>
    </row>
    <row r="1222" spans="1:7" x14ac:dyDescent="0.3">
      <c r="A1222" s="9">
        <v>46022</v>
      </c>
      <c r="B1222" s="7" t="s">
        <v>7815</v>
      </c>
      <c r="C1222" s="3">
        <v>-6844.73</v>
      </c>
      <c r="D1222" s="7" t="s">
        <v>7816</v>
      </c>
      <c r="E1222" s="7" t="s">
        <v>7366</v>
      </c>
      <c r="G1222" s="9"/>
    </row>
    <row r="1223" spans="1:7" x14ac:dyDescent="0.3">
      <c r="A1223" s="9">
        <v>46013</v>
      </c>
      <c r="B1223" s="7" t="s">
        <v>7813</v>
      </c>
      <c r="C1223" s="3">
        <v>5140.54</v>
      </c>
      <c r="D1223" s="7" t="s">
        <v>7814</v>
      </c>
      <c r="E1223" s="7" t="s">
        <v>3300</v>
      </c>
      <c r="G1223" s="9"/>
    </row>
    <row r="1224" spans="1:7" x14ac:dyDescent="0.3">
      <c r="A1224" s="9">
        <v>45974</v>
      </c>
      <c r="B1224" s="7" t="s">
        <v>7813</v>
      </c>
      <c r="C1224" s="3">
        <v>3205.54</v>
      </c>
      <c r="D1224" s="7" t="s">
        <v>7814</v>
      </c>
      <c r="E1224" s="7" t="s">
        <v>3373</v>
      </c>
      <c r="G1224" s="9"/>
    </row>
    <row r="1225" spans="1:7" x14ac:dyDescent="0.3">
      <c r="A1225" s="9">
        <v>46051</v>
      </c>
      <c r="B1225" s="7" t="s">
        <v>7813</v>
      </c>
      <c r="C1225" s="3">
        <v>1261.4000000000001</v>
      </c>
      <c r="D1225" s="7" t="s">
        <v>7814</v>
      </c>
      <c r="E1225" s="7" t="s">
        <v>3582</v>
      </c>
      <c r="G1225" s="9"/>
    </row>
    <row r="1226" spans="1:7" x14ac:dyDescent="0.3">
      <c r="A1226" s="9">
        <v>45992</v>
      </c>
      <c r="B1226" s="7" t="s">
        <v>7813</v>
      </c>
      <c r="C1226" s="3">
        <v>1634.5</v>
      </c>
      <c r="D1226" s="7" t="s">
        <v>7814</v>
      </c>
      <c r="E1226" s="7" t="s">
        <v>3612</v>
      </c>
      <c r="G1226" s="9"/>
    </row>
    <row r="1227" spans="1:7" x14ac:dyDescent="0.3">
      <c r="A1227" s="9">
        <v>46080</v>
      </c>
      <c r="B1227" s="7" t="s">
        <v>7813</v>
      </c>
      <c r="C1227" s="3">
        <v>2748.19</v>
      </c>
      <c r="D1227" s="7" t="s">
        <v>7814</v>
      </c>
      <c r="E1227" s="7" t="s">
        <v>3792</v>
      </c>
      <c r="G1227" s="9"/>
    </row>
    <row r="1228" spans="1:7" x14ac:dyDescent="0.3">
      <c r="A1228" s="9">
        <v>45982</v>
      </c>
      <c r="B1228" s="7" t="s">
        <v>7813</v>
      </c>
      <c r="C1228" s="3">
        <v>2672.01</v>
      </c>
      <c r="D1228" s="7" t="s">
        <v>7814</v>
      </c>
      <c r="E1228" s="7" t="s">
        <v>4653</v>
      </c>
      <c r="G1228" s="9"/>
    </row>
    <row r="1229" spans="1:7" x14ac:dyDescent="0.3">
      <c r="A1229" s="9">
        <v>46039</v>
      </c>
      <c r="B1229" s="7" t="s">
        <v>7813</v>
      </c>
      <c r="C1229" s="3">
        <v>2803.89</v>
      </c>
      <c r="D1229" s="7" t="s">
        <v>7814</v>
      </c>
      <c r="E1229" s="7" t="s">
        <v>4806</v>
      </c>
      <c r="G1229" s="9"/>
    </row>
    <row r="1230" spans="1:7" x14ac:dyDescent="0.3">
      <c r="A1230" s="9">
        <v>46055</v>
      </c>
      <c r="B1230" s="7" t="s">
        <v>7813</v>
      </c>
      <c r="C1230" s="3">
        <v>2064.38</v>
      </c>
      <c r="D1230" s="7" t="s">
        <v>7814</v>
      </c>
      <c r="E1230" s="7" t="s">
        <v>5341</v>
      </c>
      <c r="G1230" s="9"/>
    </row>
    <row r="1231" spans="1:7" x14ac:dyDescent="0.3">
      <c r="A1231" s="9">
        <v>45972</v>
      </c>
      <c r="B1231" s="7" t="s">
        <v>7815</v>
      </c>
      <c r="C1231" s="3">
        <v>-1174.19</v>
      </c>
      <c r="D1231" s="7" t="s">
        <v>7816</v>
      </c>
      <c r="E1231" s="7" t="s">
        <v>6860</v>
      </c>
      <c r="G1231" s="9"/>
    </row>
    <row r="1232" spans="1:7" x14ac:dyDescent="0.3">
      <c r="A1232" s="9">
        <v>46060</v>
      </c>
      <c r="B1232" s="7" t="s">
        <v>7815</v>
      </c>
      <c r="C1232" s="3">
        <v>-5908.19</v>
      </c>
      <c r="D1232" s="7" t="s">
        <v>7816</v>
      </c>
      <c r="E1232" s="7" t="s">
        <v>7692</v>
      </c>
      <c r="G1232" s="9"/>
    </row>
    <row r="1233" spans="1:7" x14ac:dyDescent="0.3">
      <c r="A1233" s="9">
        <v>46023</v>
      </c>
      <c r="B1233" s="7" t="s">
        <v>7815</v>
      </c>
      <c r="C1233" s="3">
        <v>-4520.25</v>
      </c>
      <c r="D1233" s="7" t="s">
        <v>7816</v>
      </c>
      <c r="E1233" s="7" t="s">
        <v>7805</v>
      </c>
      <c r="G1233" s="9"/>
    </row>
    <row r="1234" spans="1:7" x14ac:dyDescent="0.3">
      <c r="A1234" s="9">
        <v>46036</v>
      </c>
      <c r="B1234" s="7" t="s">
        <v>7813</v>
      </c>
      <c r="C1234" s="3">
        <v>1766.54</v>
      </c>
      <c r="D1234" s="7" t="s">
        <v>7814</v>
      </c>
      <c r="E1234" s="7" t="s">
        <v>4928</v>
      </c>
      <c r="G1234" s="9"/>
    </row>
    <row r="1235" spans="1:7" x14ac:dyDescent="0.3">
      <c r="A1235" s="9">
        <v>46073</v>
      </c>
      <c r="B1235" s="7" t="s">
        <v>7813</v>
      </c>
      <c r="C1235" s="3">
        <v>2410.25</v>
      </c>
      <c r="D1235" s="7" t="s">
        <v>7814</v>
      </c>
      <c r="E1235" s="7" t="s">
        <v>5173</v>
      </c>
      <c r="G1235" s="9"/>
    </row>
    <row r="1236" spans="1:7" x14ac:dyDescent="0.3">
      <c r="A1236" s="9">
        <v>45992</v>
      </c>
      <c r="B1236" s="7" t="s">
        <v>7815</v>
      </c>
      <c r="C1236" s="3">
        <v>-1520.41</v>
      </c>
      <c r="D1236" s="7" t="s">
        <v>7816</v>
      </c>
      <c r="E1236" s="7" t="s">
        <v>6948</v>
      </c>
      <c r="G1236" s="9"/>
    </row>
    <row r="1237" spans="1:7" x14ac:dyDescent="0.3">
      <c r="A1237" s="9">
        <v>45990</v>
      </c>
      <c r="B1237" s="7" t="s">
        <v>7815</v>
      </c>
      <c r="C1237" s="3">
        <v>-6386.41</v>
      </c>
      <c r="D1237" s="7" t="s">
        <v>7816</v>
      </c>
      <c r="E1237" s="7" t="s">
        <v>7625</v>
      </c>
      <c r="G1237" s="9"/>
    </row>
    <row r="1238" spans="1:7" x14ac:dyDescent="0.3">
      <c r="A1238" s="9">
        <v>46068</v>
      </c>
      <c r="B1238" s="7" t="s">
        <v>7813</v>
      </c>
      <c r="C1238" s="3">
        <v>3869.03</v>
      </c>
      <c r="D1238" s="7" t="s">
        <v>7814</v>
      </c>
      <c r="E1238" s="7" t="s">
        <v>4159</v>
      </c>
      <c r="G1238" s="9"/>
    </row>
    <row r="1239" spans="1:7" x14ac:dyDescent="0.3">
      <c r="A1239" s="9">
        <v>45977</v>
      </c>
      <c r="B1239" s="7" t="s">
        <v>7813</v>
      </c>
      <c r="C1239" s="3">
        <v>2119.12</v>
      </c>
      <c r="D1239" s="7" t="s">
        <v>7814</v>
      </c>
      <c r="E1239" s="7" t="s">
        <v>4174</v>
      </c>
      <c r="G1239" s="9"/>
    </row>
    <row r="1240" spans="1:7" x14ac:dyDescent="0.3">
      <c r="A1240" s="9">
        <v>45980</v>
      </c>
      <c r="B1240" s="7" t="s">
        <v>7813</v>
      </c>
      <c r="C1240" s="3">
        <v>11121.7</v>
      </c>
      <c r="D1240" s="7" t="s">
        <v>7814</v>
      </c>
      <c r="E1240" s="7" t="s">
        <v>4424</v>
      </c>
      <c r="G1240" s="9"/>
    </row>
    <row r="1241" spans="1:7" x14ac:dyDescent="0.3">
      <c r="A1241" s="9">
        <v>46035</v>
      </c>
      <c r="B1241" s="7" t="s">
        <v>7813</v>
      </c>
      <c r="C1241" s="3">
        <v>3908.28</v>
      </c>
      <c r="D1241" s="7" t="s">
        <v>7814</v>
      </c>
      <c r="E1241" s="7" t="s">
        <v>4777</v>
      </c>
      <c r="G1241" s="9"/>
    </row>
    <row r="1242" spans="1:7" x14ac:dyDescent="0.3">
      <c r="A1242" s="9">
        <v>45963</v>
      </c>
      <c r="B1242" s="7" t="s">
        <v>7813</v>
      </c>
      <c r="C1242" s="3">
        <v>9796.57</v>
      </c>
      <c r="D1242" s="7" t="s">
        <v>7814</v>
      </c>
      <c r="E1242" s="7" t="s">
        <v>4818</v>
      </c>
      <c r="G1242" s="9"/>
    </row>
    <row r="1243" spans="1:7" x14ac:dyDescent="0.3">
      <c r="A1243" s="9">
        <v>46082</v>
      </c>
      <c r="B1243" s="7" t="s">
        <v>7813</v>
      </c>
      <c r="C1243" s="3">
        <v>2843.62</v>
      </c>
      <c r="D1243" s="7" t="s">
        <v>7814</v>
      </c>
      <c r="E1243" s="7" t="s">
        <v>4908</v>
      </c>
      <c r="G1243" s="9"/>
    </row>
    <row r="1244" spans="1:7" x14ac:dyDescent="0.3">
      <c r="A1244" s="9">
        <v>46091</v>
      </c>
      <c r="B1244" s="7" t="s">
        <v>7813</v>
      </c>
      <c r="C1244" s="3">
        <v>3260.72</v>
      </c>
      <c r="D1244" s="7" t="s">
        <v>7814</v>
      </c>
      <c r="E1244" s="7" t="s">
        <v>5200</v>
      </c>
      <c r="G1244" s="9"/>
    </row>
    <row r="1245" spans="1:7" x14ac:dyDescent="0.3">
      <c r="A1245" s="9">
        <v>46024</v>
      </c>
      <c r="B1245" s="7" t="s">
        <v>7815</v>
      </c>
      <c r="C1245" s="3">
        <v>-2551.4</v>
      </c>
      <c r="D1245" s="7" t="s">
        <v>7816</v>
      </c>
      <c r="E1245" s="7" t="s">
        <v>7242</v>
      </c>
      <c r="G1245" s="9"/>
    </row>
    <row r="1246" spans="1:7" x14ac:dyDescent="0.3">
      <c r="A1246" s="9">
        <v>45989</v>
      </c>
      <c r="B1246" s="7" t="s">
        <v>7813</v>
      </c>
      <c r="C1246" s="3">
        <v>13547.6</v>
      </c>
      <c r="D1246" s="7" t="s">
        <v>7814</v>
      </c>
      <c r="E1246" s="7" t="s">
        <v>3251</v>
      </c>
      <c r="G1246" s="9"/>
    </row>
    <row r="1247" spans="1:7" x14ac:dyDescent="0.3">
      <c r="A1247" s="9">
        <v>46060</v>
      </c>
      <c r="B1247" s="7" t="s">
        <v>7813</v>
      </c>
      <c r="C1247" s="3">
        <v>2970.4</v>
      </c>
      <c r="D1247" s="7" t="s">
        <v>7814</v>
      </c>
      <c r="E1247" s="7" t="s">
        <v>4011</v>
      </c>
      <c r="G1247" s="9"/>
    </row>
    <row r="1248" spans="1:7" x14ac:dyDescent="0.3">
      <c r="A1248" s="9">
        <v>45964</v>
      </c>
      <c r="B1248" s="7" t="s">
        <v>7813</v>
      </c>
      <c r="C1248" s="3">
        <v>2993.09</v>
      </c>
      <c r="D1248" s="7" t="s">
        <v>7814</v>
      </c>
      <c r="E1248" s="7" t="s">
        <v>4748</v>
      </c>
      <c r="G1248" s="9"/>
    </row>
    <row r="1249" spans="1:7" x14ac:dyDescent="0.3">
      <c r="A1249" s="9">
        <v>46061</v>
      </c>
      <c r="B1249" s="7" t="s">
        <v>7815</v>
      </c>
      <c r="C1249" s="3">
        <v>-4764.0200000000004</v>
      </c>
      <c r="D1249" s="7" t="s">
        <v>7816</v>
      </c>
      <c r="E1249" s="7" t="s">
        <v>7431</v>
      </c>
      <c r="G1249" s="9"/>
    </row>
    <row r="1250" spans="1:7" x14ac:dyDescent="0.3">
      <c r="A1250" s="9">
        <v>46089</v>
      </c>
      <c r="B1250" s="7" t="s">
        <v>7815</v>
      </c>
      <c r="C1250" s="3">
        <v>-4399.47</v>
      </c>
      <c r="D1250" s="7" t="s">
        <v>7816</v>
      </c>
      <c r="E1250" s="7" t="s">
        <v>7477</v>
      </c>
      <c r="G1250" s="9"/>
    </row>
    <row r="1251" spans="1:7" x14ac:dyDescent="0.3">
      <c r="A1251" s="9">
        <v>46069</v>
      </c>
      <c r="B1251" s="7" t="s">
        <v>7815</v>
      </c>
      <c r="C1251" s="3">
        <v>-1118.67</v>
      </c>
      <c r="D1251" s="7" t="s">
        <v>7816</v>
      </c>
      <c r="E1251" s="7" t="s">
        <v>7523</v>
      </c>
      <c r="G1251" s="9"/>
    </row>
    <row r="1252" spans="1:7" x14ac:dyDescent="0.3">
      <c r="A1252" s="9">
        <v>46006</v>
      </c>
      <c r="B1252" s="7" t="s">
        <v>7813</v>
      </c>
      <c r="C1252" s="3">
        <v>3302.54</v>
      </c>
      <c r="D1252" s="7" t="s">
        <v>7814</v>
      </c>
      <c r="E1252" s="7" t="s">
        <v>3241</v>
      </c>
      <c r="G1252" s="9"/>
    </row>
    <row r="1253" spans="1:7" x14ac:dyDescent="0.3">
      <c r="A1253" s="9">
        <v>46020</v>
      </c>
      <c r="B1253" s="7" t="s">
        <v>7813</v>
      </c>
      <c r="C1253" s="3">
        <v>1559.18</v>
      </c>
      <c r="D1253" s="7" t="s">
        <v>7814</v>
      </c>
      <c r="E1253" s="7" t="s">
        <v>3540</v>
      </c>
      <c r="G1253" s="9"/>
    </row>
    <row r="1254" spans="1:7" x14ac:dyDescent="0.3">
      <c r="A1254" s="9">
        <v>46051</v>
      </c>
      <c r="B1254" s="7" t="s">
        <v>7813</v>
      </c>
      <c r="C1254" s="3">
        <v>2494.9299999999998</v>
      </c>
      <c r="D1254" s="7" t="s">
        <v>7814</v>
      </c>
      <c r="E1254" s="7" t="s">
        <v>3855</v>
      </c>
      <c r="G1254" s="9"/>
    </row>
    <row r="1255" spans="1:7" x14ac:dyDescent="0.3">
      <c r="A1255" s="9">
        <v>46016</v>
      </c>
      <c r="B1255" s="7" t="s">
        <v>7813</v>
      </c>
      <c r="C1255" s="3">
        <v>2944.89</v>
      </c>
      <c r="D1255" s="7" t="s">
        <v>7814</v>
      </c>
      <c r="E1255" s="7" t="s">
        <v>4393</v>
      </c>
      <c r="G1255" s="9"/>
    </row>
    <row r="1256" spans="1:7" x14ac:dyDescent="0.3">
      <c r="A1256" s="9">
        <v>46083</v>
      </c>
      <c r="B1256" s="7" t="s">
        <v>7813</v>
      </c>
      <c r="C1256" s="3">
        <v>2273.7600000000002</v>
      </c>
      <c r="D1256" s="7" t="s">
        <v>7814</v>
      </c>
      <c r="E1256" s="7" t="s">
        <v>5024</v>
      </c>
      <c r="G1256" s="9"/>
    </row>
    <row r="1257" spans="1:7" x14ac:dyDescent="0.3">
      <c r="A1257" s="9">
        <v>46034</v>
      </c>
      <c r="B1257" s="7" t="s">
        <v>7813</v>
      </c>
      <c r="C1257" s="3">
        <v>9823.2000000000007</v>
      </c>
      <c r="D1257" s="7" t="s">
        <v>7814</v>
      </c>
      <c r="E1257" s="7" t="s">
        <v>5193</v>
      </c>
      <c r="G1257" s="9"/>
    </row>
    <row r="1258" spans="1:7" x14ac:dyDescent="0.3">
      <c r="A1258" s="9">
        <v>46027</v>
      </c>
      <c r="B1258" s="7" t="s">
        <v>7813</v>
      </c>
      <c r="C1258" s="3">
        <v>3785.28</v>
      </c>
      <c r="D1258" s="7" t="s">
        <v>7814</v>
      </c>
      <c r="E1258" s="7" t="s">
        <v>3452</v>
      </c>
      <c r="G1258" s="9"/>
    </row>
    <row r="1259" spans="1:7" x14ac:dyDescent="0.3">
      <c r="A1259" s="9">
        <v>46078</v>
      </c>
      <c r="B1259" s="7" t="s">
        <v>7813</v>
      </c>
      <c r="C1259" s="3">
        <v>2170.11</v>
      </c>
      <c r="D1259" s="7" t="s">
        <v>7814</v>
      </c>
      <c r="E1259" s="7" t="s">
        <v>3626</v>
      </c>
      <c r="G1259" s="9"/>
    </row>
    <row r="1260" spans="1:7" x14ac:dyDescent="0.3">
      <c r="A1260" s="9">
        <v>46055</v>
      </c>
      <c r="B1260" s="7" t="s">
        <v>7813</v>
      </c>
      <c r="C1260" s="3">
        <v>5326.67</v>
      </c>
      <c r="D1260" s="7" t="s">
        <v>7814</v>
      </c>
      <c r="E1260" s="7" t="s">
        <v>3746</v>
      </c>
      <c r="G1260" s="9"/>
    </row>
    <row r="1261" spans="1:7" x14ac:dyDescent="0.3">
      <c r="A1261" s="9">
        <v>45971</v>
      </c>
      <c r="B1261" s="7" t="s">
        <v>7813</v>
      </c>
      <c r="C1261" s="3">
        <v>5725.18</v>
      </c>
      <c r="D1261" s="7" t="s">
        <v>7814</v>
      </c>
      <c r="E1261" s="7" t="s">
        <v>3944</v>
      </c>
      <c r="G1261" s="9"/>
    </row>
    <row r="1262" spans="1:7" x14ac:dyDescent="0.3">
      <c r="A1262" s="9">
        <v>45976</v>
      </c>
      <c r="B1262" s="7" t="s">
        <v>7813</v>
      </c>
      <c r="C1262" s="3">
        <v>3916.11</v>
      </c>
      <c r="D1262" s="7" t="s">
        <v>7814</v>
      </c>
      <c r="E1262" s="7" t="s">
        <v>4385</v>
      </c>
      <c r="G1262" s="9"/>
    </row>
    <row r="1263" spans="1:7" x14ac:dyDescent="0.3">
      <c r="A1263" s="9">
        <v>45966</v>
      </c>
      <c r="B1263" s="7" t="s">
        <v>7813</v>
      </c>
      <c r="C1263" s="3">
        <v>3592.54</v>
      </c>
      <c r="D1263" s="7" t="s">
        <v>7814</v>
      </c>
      <c r="E1263" s="7" t="s">
        <v>4403</v>
      </c>
      <c r="G1263" s="9"/>
    </row>
    <row r="1264" spans="1:7" x14ac:dyDescent="0.3">
      <c r="A1264" s="9">
        <v>45992</v>
      </c>
      <c r="B1264" s="7" t="s">
        <v>7813</v>
      </c>
      <c r="C1264" s="3">
        <v>1954.31</v>
      </c>
      <c r="D1264" s="7" t="s">
        <v>7814</v>
      </c>
      <c r="E1264" s="7" t="s">
        <v>4608</v>
      </c>
      <c r="G1264" s="9"/>
    </row>
    <row r="1265" spans="1:7" x14ac:dyDescent="0.3">
      <c r="A1265" s="9">
        <v>45983</v>
      </c>
      <c r="B1265" s="7" t="s">
        <v>7813</v>
      </c>
      <c r="C1265" s="3">
        <v>1133.92</v>
      </c>
      <c r="D1265" s="7" t="s">
        <v>7814</v>
      </c>
      <c r="E1265" s="7" t="s">
        <v>5279</v>
      </c>
      <c r="G1265" s="9"/>
    </row>
    <row r="1266" spans="1:7" x14ac:dyDescent="0.3">
      <c r="A1266" s="9">
        <v>46039</v>
      </c>
      <c r="B1266" s="7" t="s">
        <v>7813</v>
      </c>
      <c r="C1266" s="3">
        <v>1703.9</v>
      </c>
      <c r="D1266" s="7" t="s">
        <v>7814</v>
      </c>
      <c r="E1266" s="7" t="s">
        <v>5365</v>
      </c>
      <c r="G1266" s="9"/>
    </row>
    <row r="1267" spans="1:7" x14ac:dyDescent="0.3">
      <c r="A1267" s="9">
        <v>46047</v>
      </c>
      <c r="B1267" s="7" t="s">
        <v>7815</v>
      </c>
      <c r="C1267" s="3">
        <v>-4432.93</v>
      </c>
      <c r="D1267" s="7" t="s">
        <v>7816</v>
      </c>
      <c r="E1267" s="7" t="s">
        <v>7072</v>
      </c>
      <c r="G1267" s="9"/>
    </row>
    <row r="1268" spans="1:7" x14ac:dyDescent="0.3">
      <c r="A1268" s="9">
        <v>46070</v>
      </c>
      <c r="B1268" s="7" t="s">
        <v>7813</v>
      </c>
      <c r="C1268" s="3">
        <v>4509.99</v>
      </c>
      <c r="D1268" s="7" t="s">
        <v>7814</v>
      </c>
      <c r="E1268" s="7" t="s">
        <v>3448</v>
      </c>
      <c r="G1268" s="9"/>
    </row>
    <row r="1269" spans="1:7" x14ac:dyDescent="0.3">
      <c r="A1269" s="9">
        <v>46091</v>
      </c>
      <c r="B1269" s="7" t="s">
        <v>7813</v>
      </c>
      <c r="C1269" s="3">
        <v>1809.97</v>
      </c>
      <c r="D1269" s="7" t="s">
        <v>7814</v>
      </c>
      <c r="E1269" s="7" t="s">
        <v>3741</v>
      </c>
      <c r="G1269" s="9"/>
    </row>
    <row r="1270" spans="1:7" x14ac:dyDescent="0.3">
      <c r="A1270" s="9">
        <v>46010</v>
      </c>
      <c r="B1270" s="7" t="s">
        <v>7813</v>
      </c>
      <c r="C1270" s="3">
        <v>3879.88</v>
      </c>
      <c r="D1270" s="7" t="s">
        <v>7814</v>
      </c>
      <c r="E1270" s="7" t="s">
        <v>4021</v>
      </c>
      <c r="G1270" s="9"/>
    </row>
    <row r="1271" spans="1:7" x14ac:dyDescent="0.3">
      <c r="A1271" s="9">
        <v>46067</v>
      </c>
      <c r="B1271" s="7" t="s">
        <v>7813</v>
      </c>
      <c r="C1271" s="3">
        <v>4023.25</v>
      </c>
      <c r="D1271" s="7" t="s">
        <v>7814</v>
      </c>
      <c r="E1271" s="7" t="s">
        <v>4432</v>
      </c>
      <c r="G1271" s="9"/>
    </row>
    <row r="1272" spans="1:7" x14ac:dyDescent="0.3">
      <c r="A1272" s="9">
        <v>46018</v>
      </c>
      <c r="B1272" s="7" t="s">
        <v>7815</v>
      </c>
      <c r="C1272" s="3">
        <v>-5729.97</v>
      </c>
      <c r="D1272" s="7" t="s">
        <v>7816</v>
      </c>
      <c r="E1272" s="7" t="s">
        <v>6930</v>
      </c>
      <c r="G1272" s="9"/>
    </row>
    <row r="1273" spans="1:7" x14ac:dyDescent="0.3">
      <c r="A1273" s="9">
        <v>46058</v>
      </c>
      <c r="B1273" s="7" t="s">
        <v>7815</v>
      </c>
      <c r="C1273" s="3">
        <v>-1199.71</v>
      </c>
      <c r="D1273" s="7" t="s">
        <v>7816</v>
      </c>
      <c r="E1273" s="7" t="s">
        <v>7697</v>
      </c>
      <c r="G1273" s="9"/>
    </row>
    <row r="1274" spans="1:7" x14ac:dyDescent="0.3">
      <c r="A1274" s="9">
        <v>45980</v>
      </c>
      <c r="B1274" s="7" t="s">
        <v>7813</v>
      </c>
      <c r="C1274" s="3">
        <v>2089.44</v>
      </c>
      <c r="D1274" s="7" t="s">
        <v>7814</v>
      </c>
      <c r="E1274" s="7" t="s">
        <v>3370</v>
      </c>
      <c r="G1274" s="9"/>
    </row>
    <row r="1275" spans="1:7" x14ac:dyDescent="0.3">
      <c r="A1275" s="9">
        <v>46007</v>
      </c>
      <c r="B1275" s="7" t="s">
        <v>7813</v>
      </c>
      <c r="C1275" s="3">
        <v>14162.65</v>
      </c>
      <c r="D1275" s="7" t="s">
        <v>7814</v>
      </c>
      <c r="E1275" s="7" t="s">
        <v>4731</v>
      </c>
      <c r="G1275" s="9"/>
    </row>
    <row r="1276" spans="1:7" x14ac:dyDescent="0.3">
      <c r="A1276" s="9">
        <v>46076</v>
      </c>
      <c r="B1276" s="7" t="s">
        <v>7813</v>
      </c>
      <c r="C1276" s="3">
        <v>2780.21</v>
      </c>
      <c r="D1276" s="7" t="s">
        <v>7814</v>
      </c>
      <c r="E1276" s="7" t="s">
        <v>4884</v>
      </c>
      <c r="G1276" s="9"/>
    </row>
    <row r="1277" spans="1:7" x14ac:dyDescent="0.3">
      <c r="A1277" s="9">
        <v>46058</v>
      </c>
      <c r="B1277" s="7" t="s">
        <v>7813</v>
      </c>
      <c r="C1277" s="3">
        <v>2294.8000000000002</v>
      </c>
      <c r="D1277" s="7" t="s">
        <v>7814</v>
      </c>
      <c r="E1277" s="7" t="s">
        <v>5155</v>
      </c>
      <c r="G1277" s="9"/>
    </row>
    <row r="1278" spans="1:7" x14ac:dyDescent="0.3">
      <c r="A1278" s="9">
        <v>46039</v>
      </c>
      <c r="B1278" s="7" t="s">
        <v>7815</v>
      </c>
      <c r="C1278" s="3">
        <v>-1234.49</v>
      </c>
      <c r="D1278" s="7" t="s">
        <v>7816</v>
      </c>
      <c r="E1278" s="7" t="s">
        <v>6895</v>
      </c>
      <c r="G1278" s="9"/>
    </row>
    <row r="1279" spans="1:7" x14ac:dyDescent="0.3">
      <c r="A1279" s="9">
        <v>46014</v>
      </c>
      <c r="B1279" s="7" t="s">
        <v>7813</v>
      </c>
      <c r="C1279" s="3">
        <v>3700.64</v>
      </c>
      <c r="D1279" s="7" t="s">
        <v>7814</v>
      </c>
      <c r="E1279" s="7" t="s">
        <v>3715</v>
      </c>
      <c r="G1279" s="9"/>
    </row>
    <row r="1280" spans="1:7" x14ac:dyDescent="0.3">
      <c r="A1280" s="9">
        <v>46021</v>
      </c>
      <c r="B1280" s="7" t="s">
        <v>7813</v>
      </c>
      <c r="C1280" s="3">
        <v>2123.0700000000002</v>
      </c>
      <c r="D1280" s="7" t="s">
        <v>7814</v>
      </c>
      <c r="E1280" s="7" t="s">
        <v>4216</v>
      </c>
      <c r="G1280" s="9"/>
    </row>
    <row r="1281" spans="1:7" x14ac:dyDescent="0.3">
      <c r="A1281" s="9">
        <v>45973</v>
      </c>
      <c r="B1281" s="7" t="s">
        <v>7813</v>
      </c>
      <c r="C1281" s="3">
        <v>3822.52</v>
      </c>
      <c r="D1281" s="7" t="s">
        <v>7814</v>
      </c>
      <c r="E1281" s="7" t="s">
        <v>4495</v>
      </c>
      <c r="G1281" s="9"/>
    </row>
    <row r="1282" spans="1:7" x14ac:dyDescent="0.3">
      <c r="A1282" s="9">
        <v>46038</v>
      </c>
      <c r="B1282" s="7" t="s">
        <v>7813</v>
      </c>
      <c r="C1282" s="3">
        <v>3359.75</v>
      </c>
      <c r="D1282" s="7" t="s">
        <v>7814</v>
      </c>
      <c r="E1282" s="7" t="s">
        <v>5180</v>
      </c>
      <c r="G1282" s="9"/>
    </row>
    <row r="1283" spans="1:7" x14ac:dyDescent="0.3">
      <c r="A1283" s="9">
        <v>45969</v>
      </c>
      <c r="B1283" s="7" t="s">
        <v>7813</v>
      </c>
      <c r="C1283" s="3">
        <v>1049.07</v>
      </c>
      <c r="D1283" s="7" t="s">
        <v>7814</v>
      </c>
      <c r="E1283" s="7" t="s">
        <v>5280</v>
      </c>
      <c r="G1283" s="9"/>
    </row>
    <row r="1284" spans="1:7" x14ac:dyDescent="0.3">
      <c r="A1284" s="9">
        <v>46043</v>
      </c>
      <c r="B1284" s="7" t="s">
        <v>7813</v>
      </c>
      <c r="C1284" s="3">
        <v>12765.17</v>
      </c>
      <c r="D1284" s="7" t="s">
        <v>7814</v>
      </c>
      <c r="E1284" s="7" t="s">
        <v>5360</v>
      </c>
      <c r="G1284" s="9"/>
    </row>
    <row r="1285" spans="1:7" x14ac:dyDescent="0.3">
      <c r="A1285" s="9">
        <v>46002</v>
      </c>
      <c r="B1285" s="7" t="s">
        <v>7815</v>
      </c>
      <c r="C1285" s="3">
        <v>-1055.29</v>
      </c>
      <c r="D1285" s="7" t="s">
        <v>7816</v>
      </c>
      <c r="E1285" s="7" t="s">
        <v>7118</v>
      </c>
      <c r="G1285" s="9"/>
    </row>
    <row r="1286" spans="1:7" x14ac:dyDescent="0.3">
      <c r="A1286" s="9">
        <v>46040</v>
      </c>
      <c r="B1286" s="7" t="s">
        <v>7815</v>
      </c>
      <c r="C1286" s="3">
        <v>-2806.37</v>
      </c>
      <c r="D1286" s="7" t="s">
        <v>7816</v>
      </c>
      <c r="E1286" s="7" t="s">
        <v>7306</v>
      </c>
      <c r="G1286" s="9"/>
    </row>
    <row r="1287" spans="1:7" x14ac:dyDescent="0.3">
      <c r="A1287" s="9">
        <v>46043</v>
      </c>
      <c r="B1287" s="7" t="s">
        <v>7813</v>
      </c>
      <c r="C1287" s="3">
        <v>12115.02</v>
      </c>
      <c r="D1287" s="7" t="s">
        <v>7814</v>
      </c>
      <c r="E1287" s="7" t="s">
        <v>3293</v>
      </c>
      <c r="G1287" s="9"/>
    </row>
    <row r="1288" spans="1:7" x14ac:dyDescent="0.3">
      <c r="A1288" s="9">
        <v>46038</v>
      </c>
      <c r="B1288" s="7" t="s">
        <v>7813</v>
      </c>
      <c r="C1288" s="3">
        <v>5058.92</v>
      </c>
      <c r="D1288" s="7" t="s">
        <v>7814</v>
      </c>
      <c r="E1288" s="7" t="s">
        <v>3354</v>
      </c>
      <c r="G1288" s="9"/>
    </row>
    <row r="1289" spans="1:7" x14ac:dyDescent="0.3">
      <c r="A1289" s="9">
        <v>45988</v>
      </c>
      <c r="B1289" s="7" t="s">
        <v>7813</v>
      </c>
      <c r="C1289" s="3">
        <v>2523.84</v>
      </c>
      <c r="D1289" s="7" t="s">
        <v>7814</v>
      </c>
      <c r="E1289" s="7" t="s">
        <v>3544</v>
      </c>
      <c r="G1289" s="9"/>
    </row>
    <row r="1290" spans="1:7" x14ac:dyDescent="0.3">
      <c r="A1290" s="9">
        <v>46018</v>
      </c>
      <c r="B1290" s="7" t="s">
        <v>7813</v>
      </c>
      <c r="C1290" s="3">
        <v>13389.87</v>
      </c>
      <c r="D1290" s="7" t="s">
        <v>7814</v>
      </c>
      <c r="E1290" s="7" t="s">
        <v>3809</v>
      </c>
      <c r="G1290" s="9"/>
    </row>
    <row r="1291" spans="1:7" x14ac:dyDescent="0.3">
      <c r="A1291" s="9">
        <v>45994</v>
      </c>
      <c r="B1291" s="7" t="s">
        <v>7813</v>
      </c>
      <c r="C1291" s="3">
        <v>2456.1999999999998</v>
      </c>
      <c r="D1291" s="7" t="s">
        <v>7814</v>
      </c>
      <c r="E1291" s="7" t="s">
        <v>4412</v>
      </c>
      <c r="G1291" s="9"/>
    </row>
    <row r="1292" spans="1:7" x14ac:dyDescent="0.3">
      <c r="A1292" s="9">
        <v>46071</v>
      </c>
      <c r="B1292" s="7" t="s">
        <v>7813</v>
      </c>
      <c r="C1292" s="3">
        <v>2199.2199999999998</v>
      </c>
      <c r="D1292" s="7" t="s">
        <v>7814</v>
      </c>
      <c r="E1292" s="7" t="s">
        <v>3240</v>
      </c>
      <c r="G1292" s="9"/>
    </row>
    <row r="1293" spans="1:7" x14ac:dyDescent="0.3">
      <c r="A1293" s="9">
        <v>46083</v>
      </c>
      <c r="B1293" s="7" t="s">
        <v>7813</v>
      </c>
      <c r="C1293" s="3">
        <v>5037.41</v>
      </c>
      <c r="D1293" s="7" t="s">
        <v>7814</v>
      </c>
      <c r="E1293" s="7" t="s">
        <v>3956</v>
      </c>
      <c r="G1293" s="9"/>
    </row>
    <row r="1294" spans="1:7" x14ac:dyDescent="0.3">
      <c r="A1294" s="9">
        <v>45968</v>
      </c>
      <c r="B1294" s="7" t="s">
        <v>7813</v>
      </c>
      <c r="C1294" s="3">
        <v>2857.22</v>
      </c>
      <c r="D1294" s="7" t="s">
        <v>7814</v>
      </c>
      <c r="E1294" s="7" t="s">
        <v>4113</v>
      </c>
      <c r="G1294" s="9"/>
    </row>
    <row r="1295" spans="1:7" x14ac:dyDescent="0.3">
      <c r="A1295" s="9">
        <v>46065</v>
      </c>
      <c r="B1295" s="7" t="s">
        <v>7813</v>
      </c>
      <c r="C1295" s="3">
        <v>4240.92</v>
      </c>
      <c r="D1295" s="7" t="s">
        <v>7814</v>
      </c>
      <c r="E1295" s="7" t="s">
        <v>4617</v>
      </c>
      <c r="G1295" s="9"/>
    </row>
    <row r="1296" spans="1:7" x14ac:dyDescent="0.3">
      <c r="A1296" s="9">
        <v>46036</v>
      </c>
      <c r="B1296" s="7" t="s">
        <v>7815</v>
      </c>
      <c r="C1296" s="3">
        <v>-6333.75</v>
      </c>
      <c r="D1296" s="7" t="s">
        <v>7816</v>
      </c>
      <c r="E1296" s="7" t="s">
        <v>7193</v>
      </c>
      <c r="G1296" s="9"/>
    </row>
    <row r="1297" spans="1:7" x14ac:dyDescent="0.3">
      <c r="A1297" s="9">
        <v>46044</v>
      </c>
      <c r="B1297" s="7" t="s">
        <v>7815</v>
      </c>
      <c r="C1297" s="3">
        <v>-2831.29</v>
      </c>
      <c r="D1297" s="7" t="s">
        <v>7816</v>
      </c>
      <c r="E1297" s="7" t="s">
        <v>7570</v>
      </c>
      <c r="G1297" s="9"/>
    </row>
    <row r="1298" spans="1:7" x14ac:dyDescent="0.3">
      <c r="A1298" s="9">
        <v>46070</v>
      </c>
      <c r="B1298" s="7" t="s">
        <v>7815</v>
      </c>
      <c r="C1298" s="3">
        <v>-6079.03</v>
      </c>
      <c r="D1298" s="7" t="s">
        <v>7816</v>
      </c>
      <c r="E1298" s="7" t="s">
        <v>7609</v>
      </c>
      <c r="G1298" s="9"/>
    </row>
    <row r="1299" spans="1:7" x14ac:dyDescent="0.3">
      <c r="A1299" s="9">
        <v>45970</v>
      </c>
      <c r="B1299" s="7" t="s">
        <v>7813</v>
      </c>
      <c r="C1299" s="3">
        <v>2913.13</v>
      </c>
      <c r="D1299" s="7" t="s">
        <v>7814</v>
      </c>
      <c r="E1299" s="7" t="s">
        <v>3632</v>
      </c>
      <c r="G1299" s="9"/>
    </row>
    <row r="1300" spans="1:7" x14ac:dyDescent="0.3">
      <c r="A1300" s="9">
        <v>46012</v>
      </c>
      <c r="B1300" s="7" t="s">
        <v>7813</v>
      </c>
      <c r="C1300" s="3">
        <v>5007.49</v>
      </c>
      <c r="D1300" s="7" t="s">
        <v>7814</v>
      </c>
      <c r="E1300" s="7" t="s">
        <v>4246</v>
      </c>
      <c r="G1300" s="9"/>
    </row>
    <row r="1301" spans="1:7" x14ac:dyDescent="0.3">
      <c r="A1301" s="9">
        <v>46068</v>
      </c>
      <c r="B1301" s="7" t="s">
        <v>7813</v>
      </c>
      <c r="C1301" s="3">
        <v>1980.82</v>
      </c>
      <c r="D1301" s="7" t="s">
        <v>7814</v>
      </c>
      <c r="E1301" s="7" t="s">
        <v>4418</v>
      </c>
      <c r="G1301" s="9"/>
    </row>
    <row r="1302" spans="1:7" x14ac:dyDescent="0.3">
      <c r="A1302" s="9">
        <v>46076</v>
      </c>
      <c r="B1302" s="7" t="s">
        <v>7813</v>
      </c>
      <c r="C1302" s="3">
        <v>1894.68</v>
      </c>
      <c r="D1302" s="7" t="s">
        <v>7814</v>
      </c>
      <c r="E1302" s="7" t="s">
        <v>4742</v>
      </c>
      <c r="G1302" s="9"/>
    </row>
    <row r="1303" spans="1:7" x14ac:dyDescent="0.3">
      <c r="A1303" s="9">
        <v>46085</v>
      </c>
      <c r="B1303" s="7" t="s">
        <v>7813</v>
      </c>
      <c r="C1303" s="3">
        <v>1168.44</v>
      </c>
      <c r="D1303" s="7" t="s">
        <v>7814</v>
      </c>
      <c r="E1303" s="7" t="s">
        <v>5232</v>
      </c>
      <c r="G1303" s="9"/>
    </row>
    <row r="1304" spans="1:7" x14ac:dyDescent="0.3">
      <c r="A1304" s="9">
        <v>46037</v>
      </c>
      <c r="B1304" s="7" t="s">
        <v>7813</v>
      </c>
      <c r="C1304" s="3">
        <v>1547.56</v>
      </c>
      <c r="D1304" s="7" t="s">
        <v>7814</v>
      </c>
      <c r="E1304" s="7" t="s">
        <v>5388</v>
      </c>
      <c r="G1304" s="9"/>
    </row>
    <row r="1305" spans="1:7" x14ac:dyDescent="0.3">
      <c r="A1305" s="9">
        <v>46077</v>
      </c>
      <c r="B1305" s="7" t="s">
        <v>7815</v>
      </c>
      <c r="C1305" s="3">
        <v>-3117.51</v>
      </c>
      <c r="D1305" s="7" t="s">
        <v>7816</v>
      </c>
      <c r="E1305" s="7" t="s">
        <v>7438</v>
      </c>
      <c r="G1305" s="9"/>
    </row>
    <row r="1306" spans="1:7" x14ac:dyDescent="0.3">
      <c r="A1306" s="9">
        <v>46043</v>
      </c>
      <c r="B1306" s="7" t="s">
        <v>7813</v>
      </c>
      <c r="C1306" s="3">
        <v>2096.7199999999998</v>
      </c>
      <c r="D1306" s="7" t="s">
        <v>7814</v>
      </c>
      <c r="E1306" s="7" t="s">
        <v>4151</v>
      </c>
      <c r="G1306" s="9"/>
    </row>
    <row r="1307" spans="1:7" x14ac:dyDescent="0.3">
      <c r="A1307" s="9">
        <v>46066</v>
      </c>
      <c r="B1307" s="7" t="s">
        <v>7813</v>
      </c>
      <c r="C1307" s="3">
        <v>2831.47</v>
      </c>
      <c r="D1307" s="7" t="s">
        <v>7814</v>
      </c>
      <c r="E1307" s="7" t="s">
        <v>4864</v>
      </c>
      <c r="G1307" s="9"/>
    </row>
    <row r="1308" spans="1:7" x14ac:dyDescent="0.3">
      <c r="A1308" s="9">
        <v>45971</v>
      </c>
      <c r="B1308" s="7" t="s">
        <v>7815</v>
      </c>
      <c r="C1308" s="3">
        <v>-5016.0600000000004</v>
      </c>
      <c r="D1308" s="7" t="s">
        <v>7816</v>
      </c>
      <c r="E1308" s="7" t="s">
        <v>7286</v>
      </c>
      <c r="G1308" s="9"/>
    </row>
    <row r="1309" spans="1:7" x14ac:dyDescent="0.3">
      <c r="A1309" s="9">
        <v>45988</v>
      </c>
      <c r="B1309" s="7" t="s">
        <v>7815</v>
      </c>
      <c r="C1309" s="3">
        <v>-4053.75</v>
      </c>
      <c r="D1309" s="7" t="s">
        <v>7816</v>
      </c>
      <c r="E1309" s="7" t="s">
        <v>7399</v>
      </c>
      <c r="G1309" s="9"/>
    </row>
    <row r="1310" spans="1:7" x14ac:dyDescent="0.3">
      <c r="A1310" s="9">
        <v>45991</v>
      </c>
      <c r="B1310" s="7" t="s">
        <v>7815</v>
      </c>
      <c r="C1310" s="3">
        <v>-1820.56</v>
      </c>
      <c r="D1310" s="7" t="s">
        <v>7816</v>
      </c>
      <c r="E1310" s="7" t="s">
        <v>7665</v>
      </c>
      <c r="G1310" s="9"/>
    </row>
    <row r="1311" spans="1:7" x14ac:dyDescent="0.3">
      <c r="A1311" s="9">
        <v>45980</v>
      </c>
      <c r="B1311" s="7" t="s">
        <v>7815</v>
      </c>
      <c r="C1311" s="3">
        <v>-6044.31</v>
      </c>
      <c r="D1311" s="7" t="s">
        <v>7816</v>
      </c>
      <c r="E1311" s="7" t="s">
        <v>7758</v>
      </c>
      <c r="G1311" s="9"/>
    </row>
    <row r="1312" spans="1:7" x14ac:dyDescent="0.3">
      <c r="A1312" s="9">
        <v>46089</v>
      </c>
      <c r="B1312" s="7" t="s">
        <v>7817</v>
      </c>
      <c r="C1312" s="3">
        <v>-111715.93</v>
      </c>
      <c r="D1312" s="7" t="s">
        <v>7816</v>
      </c>
      <c r="E1312" s="7" t="s">
        <v>7818</v>
      </c>
      <c r="G1312" s="9"/>
    </row>
    <row r="1313" spans="1:7" x14ac:dyDescent="0.3">
      <c r="A1313" s="9">
        <v>45966</v>
      </c>
      <c r="B1313" s="7" t="s">
        <v>7813</v>
      </c>
      <c r="C1313" s="3">
        <v>3215.41</v>
      </c>
      <c r="D1313" s="7" t="s">
        <v>7814</v>
      </c>
      <c r="E1313" s="7" t="s">
        <v>5378</v>
      </c>
      <c r="G1313" s="9"/>
    </row>
    <row r="1314" spans="1:7" x14ac:dyDescent="0.3">
      <c r="A1314" s="9">
        <v>45975</v>
      </c>
      <c r="B1314" s="7" t="s">
        <v>7815</v>
      </c>
      <c r="C1314" s="3">
        <v>-1354.54</v>
      </c>
      <c r="D1314" s="7" t="s">
        <v>7816</v>
      </c>
      <c r="E1314" s="7" t="s">
        <v>6998</v>
      </c>
      <c r="G1314" s="9"/>
    </row>
    <row r="1315" spans="1:7" x14ac:dyDescent="0.3">
      <c r="A1315" s="9">
        <v>46041</v>
      </c>
      <c r="B1315" s="7" t="s">
        <v>7815</v>
      </c>
      <c r="C1315" s="3">
        <v>-4803.2700000000004</v>
      </c>
      <c r="D1315" s="7" t="s">
        <v>7816</v>
      </c>
      <c r="E1315" s="7" t="s">
        <v>7323</v>
      </c>
      <c r="G1315" s="9"/>
    </row>
    <row r="1316" spans="1:7" x14ac:dyDescent="0.3">
      <c r="A1316" s="9">
        <v>46066</v>
      </c>
      <c r="B1316" s="7" t="s">
        <v>7815</v>
      </c>
      <c r="C1316" s="3">
        <v>-2606.1</v>
      </c>
      <c r="D1316" s="7" t="s">
        <v>7816</v>
      </c>
      <c r="E1316" s="7" t="s">
        <v>7628</v>
      </c>
      <c r="G1316" s="9"/>
    </row>
    <row r="1317" spans="1:7" x14ac:dyDescent="0.3">
      <c r="A1317" s="9">
        <v>46073</v>
      </c>
      <c r="B1317" s="7" t="s">
        <v>7813</v>
      </c>
      <c r="C1317" s="3">
        <v>2875.74</v>
      </c>
      <c r="D1317" s="7" t="s">
        <v>7814</v>
      </c>
      <c r="E1317" s="7" t="s">
        <v>3326</v>
      </c>
      <c r="G1317" s="9"/>
    </row>
    <row r="1318" spans="1:7" x14ac:dyDescent="0.3">
      <c r="A1318" s="9">
        <v>46062</v>
      </c>
      <c r="B1318" s="7" t="s">
        <v>7813</v>
      </c>
      <c r="C1318" s="3">
        <v>2939.83</v>
      </c>
      <c r="D1318" s="7" t="s">
        <v>7814</v>
      </c>
      <c r="E1318" s="7" t="s">
        <v>3850</v>
      </c>
      <c r="G1318" s="9"/>
    </row>
    <row r="1319" spans="1:7" x14ac:dyDescent="0.3">
      <c r="A1319" s="9">
        <v>45970</v>
      </c>
      <c r="B1319" s="7" t="s">
        <v>7813</v>
      </c>
      <c r="C1319" s="3">
        <v>2476.04</v>
      </c>
      <c r="D1319" s="7" t="s">
        <v>7814</v>
      </c>
      <c r="E1319" s="7" t="s">
        <v>4117</v>
      </c>
      <c r="G1319" s="9"/>
    </row>
    <row r="1320" spans="1:7" x14ac:dyDescent="0.3">
      <c r="A1320" s="9">
        <v>46027</v>
      </c>
      <c r="B1320" s="7" t="s">
        <v>7813</v>
      </c>
      <c r="C1320" s="3">
        <v>12337.7</v>
      </c>
      <c r="D1320" s="7" t="s">
        <v>7814</v>
      </c>
      <c r="E1320" s="7" t="s">
        <v>4196</v>
      </c>
      <c r="G1320" s="9"/>
    </row>
    <row r="1321" spans="1:7" x14ac:dyDescent="0.3">
      <c r="A1321" s="9">
        <v>46045</v>
      </c>
      <c r="B1321" s="7" t="s">
        <v>7813</v>
      </c>
      <c r="C1321" s="3">
        <v>4137.1499999999996</v>
      </c>
      <c r="D1321" s="7" t="s">
        <v>7814</v>
      </c>
      <c r="E1321" s="7" t="s">
        <v>4724</v>
      </c>
      <c r="G1321" s="9"/>
    </row>
    <row r="1322" spans="1:7" x14ac:dyDescent="0.3">
      <c r="A1322" s="9">
        <v>46028</v>
      </c>
      <c r="B1322" s="7" t="s">
        <v>7813</v>
      </c>
      <c r="C1322" s="3">
        <v>2577.48</v>
      </c>
      <c r="D1322" s="7" t="s">
        <v>7814</v>
      </c>
      <c r="E1322" s="7" t="s">
        <v>4809</v>
      </c>
      <c r="G1322" s="9"/>
    </row>
    <row r="1323" spans="1:7" x14ac:dyDescent="0.3">
      <c r="A1323" s="9">
        <v>46086</v>
      </c>
      <c r="B1323" s="7" t="s">
        <v>7813</v>
      </c>
      <c r="C1323" s="3">
        <v>11345.09</v>
      </c>
      <c r="D1323" s="7" t="s">
        <v>7814</v>
      </c>
      <c r="E1323" s="7" t="s">
        <v>5333</v>
      </c>
      <c r="G1323" s="9"/>
    </row>
    <row r="1324" spans="1:7" x14ac:dyDescent="0.3">
      <c r="A1324" s="9">
        <v>46018</v>
      </c>
      <c r="B1324" s="7" t="s">
        <v>7815</v>
      </c>
      <c r="C1324" s="3">
        <v>-3553.79</v>
      </c>
      <c r="D1324" s="7" t="s">
        <v>7816</v>
      </c>
      <c r="E1324" s="7" t="s">
        <v>7562</v>
      </c>
      <c r="G1324" s="9"/>
    </row>
    <row r="1325" spans="1:7" x14ac:dyDescent="0.3">
      <c r="A1325" s="9">
        <v>46087</v>
      </c>
      <c r="B1325" s="7" t="s">
        <v>7813</v>
      </c>
      <c r="C1325" s="3">
        <v>6582.06</v>
      </c>
      <c r="D1325" s="7" t="s">
        <v>7814</v>
      </c>
      <c r="E1325" s="7" t="s">
        <v>3301</v>
      </c>
      <c r="G1325" s="9"/>
    </row>
    <row r="1326" spans="1:7" x14ac:dyDescent="0.3">
      <c r="A1326" s="9">
        <v>45971</v>
      </c>
      <c r="B1326" s="7" t="s">
        <v>7813</v>
      </c>
      <c r="C1326" s="3">
        <v>1626.66</v>
      </c>
      <c r="D1326" s="7" t="s">
        <v>7814</v>
      </c>
      <c r="E1326" s="7" t="s">
        <v>3565</v>
      </c>
      <c r="G1326" s="9"/>
    </row>
    <row r="1327" spans="1:7" x14ac:dyDescent="0.3">
      <c r="A1327" s="9">
        <v>46059</v>
      </c>
      <c r="B1327" s="7" t="s">
        <v>7813</v>
      </c>
      <c r="C1327" s="3">
        <v>10809.71</v>
      </c>
      <c r="D1327" s="7" t="s">
        <v>7814</v>
      </c>
      <c r="E1327" s="7" t="s">
        <v>4981</v>
      </c>
      <c r="G1327" s="9"/>
    </row>
    <row r="1328" spans="1:7" x14ac:dyDescent="0.3">
      <c r="A1328" s="9">
        <v>46017</v>
      </c>
      <c r="B1328" s="7" t="s">
        <v>7813</v>
      </c>
      <c r="C1328" s="3">
        <v>5120.29</v>
      </c>
      <c r="D1328" s="7" t="s">
        <v>7814</v>
      </c>
      <c r="E1328" s="7" t="s">
        <v>5004</v>
      </c>
      <c r="G1328" s="9"/>
    </row>
    <row r="1329" spans="1:7" x14ac:dyDescent="0.3">
      <c r="A1329" s="9">
        <v>45994</v>
      </c>
      <c r="B1329" s="7" t="s">
        <v>7813</v>
      </c>
      <c r="C1329" s="3">
        <v>1225.8499999999999</v>
      </c>
      <c r="D1329" s="7" t="s">
        <v>7814</v>
      </c>
      <c r="E1329" s="7" t="s">
        <v>5048</v>
      </c>
      <c r="G1329" s="9"/>
    </row>
    <row r="1330" spans="1:7" x14ac:dyDescent="0.3">
      <c r="A1330" s="9">
        <v>46072</v>
      </c>
      <c r="B1330" s="7" t="s">
        <v>7813</v>
      </c>
      <c r="C1330" s="3">
        <v>3187.04</v>
      </c>
      <c r="D1330" s="7" t="s">
        <v>7814</v>
      </c>
      <c r="E1330" s="7" t="s">
        <v>5064</v>
      </c>
      <c r="G1330" s="9"/>
    </row>
    <row r="1331" spans="1:7" x14ac:dyDescent="0.3">
      <c r="A1331" s="9">
        <v>46082</v>
      </c>
      <c r="B1331" s="7" t="s">
        <v>7815</v>
      </c>
      <c r="C1331" s="3">
        <v>-852.21</v>
      </c>
      <c r="D1331" s="7" t="s">
        <v>7816</v>
      </c>
      <c r="E1331" s="7" t="s">
        <v>6946</v>
      </c>
      <c r="G1331" s="9"/>
    </row>
    <row r="1332" spans="1:7" x14ac:dyDescent="0.3">
      <c r="A1332" s="9">
        <v>45979</v>
      </c>
      <c r="B1332" s="7" t="s">
        <v>7815</v>
      </c>
      <c r="C1332" s="3">
        <v>-3403.21</v>
      </c>
      <c r="D1332" s="7" t="s">
        <v>7816</v>
      </c>
      <c r="E1332" s="7" t="s">
        <v>7103</v>
      </c>
      <c r="G1332" s="9"/>
    </row>
    <row r="1333" spans="1:7" x14ac:dyDescent="0.3">
      <c r="A1333" s="9">
        <v>45999</v>
      </c>
      <c r="B1333" s="7" t="s">
        <v>7815</v>
      </c>
      <c r="C1333" s="3">
        <v>-5014.37</v>
      </c>
      <c r="D1333" s="7" t="s">
        <v>7816</v>
      </c>
      <c r="E1333" s="7" t="s">
        <v>7143</v>
      </c>
      <c r="G1333" s="9"/>
    </row>
    <row r="1334" spans="1:7" x14ac:dyDescent="0.3">
      <c r="A1334" s="9">
        <v>46009</v>
      </c>
      <c r="B1334" s="7" t="s">
        <v>7813</v>
      </c>
      <c r="C1334" s="3">
        <v>2128.9299999999998</v>
      </c>
      <c r="D1334" s="7" t="s">
        <v>7814</v>
      </c>
      <c r="E1334" s="7" t="s">
        <v>3688</v>
      </c>
      <c r="G1334" s="9"/>
    </row>
    <row r="1335" spans="1:7" x14ac:dyDescent="0.3">
      <c r="A1335" s="9">
        <v>46032</v>
      </c>
      <c r="B1335" s="7" t="s">
        <v>7813</v>
      </c>
      <c r="C1335" s="3">
        <v>1502.82</v>
      </c>
      <c r="D1335" s="7" t="s">
        <v>7814</v>
      </c>
      <c r="E1335" s="7" t="s">
        <v>4669</v>
      </c>
      <c r="G1335" s="9"/>
    </row>
    <row r="1336" spans="1:7" x14ac:dyDescent="0.3">
      <c r="A1336" s="9">
        <v>45993</v>
      </c>
      <c r="B1336" s="7" t="s">
        <v>7813</v>
      </c>
      <c r="C1336" s="3">
        <v>2702.1</v>
      </c>
      <c r="D1336" s="7" t="s">
        <v>7814</v>
      </c>
      <c r="E1336" s="7" t="s">
        <v>5139</v>
      </c>
      <c r="G1336" s="9"/>
    </row>
    <row r="1337" spans="1:7" x14ac:dyDescent="0.3">
      <c r="A1337" s="9">
        <v>46029</v>
      </c>
      <c r="B1337" s="7" t="s">
        <v>7813</v>
      </c>
      <c r="C1337" s="3">
        <v>3553.56</v>
      </c>
      <c r="D1337" s="7" t="s">
        <v>7814</v>
      </c>
      <c r="E1337" s="7" t="s">
        <v>5254</v>
      </c>
      <c r="G1337" s="9"/>
    </row>
    <row r="1338" spans="1:7" x14ac:dyDescent="0.3">
      <c r="A1338" s="9">
        <v>46042</v>
      </c>
      <c r="B1338" s="7" t="s">
        <v>7815</v>
      </c>
      <c r="C1338" s="3">
        <v>-4256.3100000000004</v>
      </c>
      <c r="D1338" s="7" t="s">
        <v>7816</v>
      </c>
      <c r="E1338" s="7" t="s">
        <v>7172</v>
      </c>
      <c r="G1338" s="9"/>
    </row>
    <row r="1339" spans="1:7" x14ac:dyDescent="0.3">
      <c r="A1339" s="9">
        <v>46061</v>
      </c>
      <c r="B1339" s="7" t="s">
        <v>7815</v>
      </c>
      <c r="C1339" s="3">
        <v>-3284.81</v>
      </c>
      <c r="D1339" s="7" t="s">
        <v>7816</v>
      </c>
      <c r="E1339" s="7" t="s">
        <v>7344</v>
      </c>
      <c r="G1339" s="9"/>
    </row>
    <row r="1340" spans="1:7" x14ac:dyDescent="0.3">
      <c r="A1340" s="9">
        <v>46082</v>
      </c>
      <c r="B1340" s="7" t="s">
        <v>7813</v>
      </c>
      <c r="C1340" s="3">
        <v>3386.54</v>
      </c>
      <c r="D1340" s="7" t="s">
        <v>7814</v>
      </c>
      <c r="E1340" s="7" t="s">
        <v>3196</v>
      </c>
      <c r="G1340" s="9"/>
    </row>
    <row r="1341" spans="1:7" x14ac:dyDescent="0.3">
      <c r="A1341" s="9">
        <v>46050</v>
      </c>
      <c r="B1341" s="7" t="s">
        <v>7813</v>
      </c>
      <c r="C1341" s="3">
        <v>1813.31</v>
      </c>
      <c r="D1341" s="7" t="s">
        <v>7814</v>
      </c>
      <c r="E1341" s="7" t="s">
        <v>5218</v>
      </c>
      <c r="G1341" s="9"/>
    </row>
    <row r="1342" spans="1:7" x14ac:dyDescent="0.3">
      <c r="A1342" s="9">
        <v>46084</v>
      </c>
      <c r="B1342" s="7" t="s">
        <v>7815</v>
      </c>
      <c r="C1342" s="3">
        <v>-2632.94</v>
      </c>
      <c r="D1342" s="7" t="s">
        <v>7816</v>
      </c>
      <c r="E1342" s="7" t="s">
        <v>7012</v>
      </c>
      <c r="G1342" s="9"/>
    </row>
    <row r="1343" spans="1:7" x14ac:dyDescent="0.3">
      <c r="A1343" s="9">
        <v>46067</v>
      </c>
      <c r="B1343" s="7" t="s">
        <v>7813</v>
      </c>
      <c r="C1343" s="3">
        <v>13528.35</v>
      </c>
      <c r="D1343" s="7" t="s">
        <v>7814</v>
      </c>
      <c r="E1343" s="7" t="s">
        <v>3641</v>
      </c>
      <c r="G1343" s="9"/>
    </row>
    <row r="1344" spans="1:7" x14ac:dyDescent="0.3">
      <c r="A1344" s="9">
        <v>46084</v>
      </c>
      <c r="B1344" s="7" t="s">
        <v>7813</v>
      </c>
      <c r="C1344" s="3">
        <v>753.68</v>
      </c>
      <c r="D1344" s="7" t="s">
        <v>7814</v>
      </c>
      <c r="E1344" s="7" t="s">
        <v>4004</v>
      </c>
      <c r="G1344" s="9"/>
    </row>
    <row r="1345" spans="1:7" x14ac:dyDescent="0.3">
      <c r="A1345" s="9">
        <v>46051</v>
      </c>
      <c r="B1345" s="7" t="s">
        <v>7813</v>
      </c>
      <c r="C1345" s="3">
        <v>14258.36</v>
      </c>
      <c r="D1345" s="7" t="s">
        <v>7814</v>
      </c>
      <c r="E1345" s="7" t="s">
        <v>4496</v>
      </c>
      <c r="G1345" s="9"/>
    </row>
    <row r="1346" spans="1:7" x14ac:dyDescent="0.3">
      <c r="A1346" s="9">
        <v>46070</v>
      </c>
      <c r="B1346" s="7" t="s">
        <v>7813</v>
      </c>
      <c r="C1346" s="3">
        <v>2144.9</v>
      </c>
      <c r="D1346" s="7" t="s">
        <v>7814</v>
      </c>
      <c r="E1346" s="7" t="s">
        <v>4723</v>
      </c>
      <c r="G1346" s="9"/>
    </row>
    <row r="1347" spans="1:7" x14ac:dyDescent="0.3">
      <c r="A1347" s="9">
        <v>46071</v>
      </c>
      <c r="B1347" s="7" t="s">
        <v>7815</v>
      </c>
      <c r="C1347" s="3">
        <v>-993.3</v>
      </c>
      <c r="D1347" s="7" t="s">
        <v>7816</v>
      </c>
      <c r="E1347" s="7" t="s">
        <v>6896</v>
      </c>
      <c r="G1347" s="9"/>
    </row>
    <row r="1348" spans="1:7" x14ac:dyDescent="0.3">
      <c r="A1348" s="9">
        <v>46070</v>
      </c>
      <c r="B1348" s="7" t="s">
        <v>7815</v>
      </c>
      <c r="C1348" s="3">
        <v>-1598.63</v>
      </c>
      <c r="D1348" s="7" t="s">
        <v>7816</v>
      </c>
      <c r="E1348" s="7" t="s">
        <v>7191</v>
      </c>
      <c r="G1348" s="9"/>
    </row>
    <row r="1349" spans="1:7" x14ac:dyDescent="0.3">
      <c r="A1349" s="9">
        <v>46049</v>
      </c>
      <c r="B1349" s="7" t="s">
        <v>7815</v>
      </c>
      <c r="C1349" s="3">
        <v>-4664.34</v>
      </c>
      <c r="D1349" s="7" t="s">
        <v>7816</v>
      </c>
      <c r="E1349" s="7" t="s">
        <v>7272</v>
      </c>
      <c r="G1349" s="9"/>
    </row>
    <row r="1350" spans="1:7" x14ac:dyDescent="0.3">
      <c r="A1350" s="9">
        <v>46009</v>
      </c>
      <c r="B1350" s="7" t="s">
        <v>7815</v>
      </c>
      <c r="C1350" s="3">
        <v>-6922.19</v>
      </c>
      <c r="D1350" s="7" t="s">
        <v>7816</v>
      </c>
      <c r="E1350" s="7" t="s">
        <v>7338</v>
      </c>
      <c r="G1350" s="9"/>
    </row>
    <row r="1351" spans="1:7" x14ac:dyDescent="0.3">
      <c r="A1351" s="9">
        <v>46085</v>
      </c>
      <c r="B1351" s="7" t="s">
        <v>7813</v>
      </c>
      <c r="C1351" s="3">
        <v>4028.17</v>
      </c>
      <c r="D1351" s="7" t="s">
        <v>7814</v>
      </c>
      <c r="E1351" s="7" t="s">
        <v>3419</v>
      </c>
      <c r="G1351" s="9"/>
    </row>
    <row r="1352" spans="1:7" x14ac:dyDescent="0.3">
      <c r="A1352" s="9">
        <v>46013</v>
      </c>
      <c r="B1352" s="7" t="s">
        <v>7813</v>
      </c>
      <c r="C1352" s="3">
        <v>3538.42</v>
      </c>
      <c r="D1352" s="7" t="s">
        <v>7814</v>
      </c>
      <c r="E1352" s="7" t="s">
        <v>3554</v>
      </c>
      <c r="G1352" s="9"/>
    </row>
    <row r="1353" spans="1:7" x14ac:dyDescent="0.3">
      <c r="A1353" s="9">
        <v>46038</v>
      </c>
      <c r="B1353" s="7" t="s">
        <v>7813</v>
      </c>
      <c r="C1353" s="3">
        <v>1822.24</v>
      </c>
      <c r="D1353" s="7" t="s">
        <v>7814</v>
      </c>
      <c r="E1353" s="7" t="s">
        <v>4790</v>
      </c>
      <c r="G1353" s="9"/>
    </row>
    <row r="1354" spans="1:7" x14ac:dyDescent="0.3">
      <c r="A1354" s="9">
        <v>46011</v>
      </c>
      <c r="B1354" s="7" t="s">
        <v>7813</v>
      </c>
      <c r="C1354" s="3">
        <v>2372.2800000000002</v>
      </c>
      <c r="D1354" s="7" t="s">
        <v>7814</v>
      </c>
      <c r="E1354" s="7" t="s">
        <v>5040</v>
      </c>
      <c r="G1354" s="9"/>
    </row>
    <row r="1355" spans="1:7" x14ac:dyDescent="0.3">
      <c r="A1355" s="9">
        <v>45972</v>
      </c>
      <c r="B1355" s="7" t="s">
        <v>7813</v>
      </c>
      <c r="C1355" s="3">
        <v>5466.82</v>
      </c>
      <c r="D1355" s="7" t="s">
        <v>7814</v>
      </c>
      <c r="E1355" s="7" t="s">
        <v>5214</v>
      </c>
      <c r="G1355" s="9"/>
    </row>
    <row r="1356" spans="1:7" x14ac:dyDescent="0.3">
      <c r="A1356" s="9">
        <v>46003</v>
      </c>
      <c r="B1356" s="7" t="s">
        <v>7815</v>
      </c>
      <c r="C1356" s="3">
        <v>-1288.97</v>
      </c>
      <c r="D1356" s="7" t="s">
        <v>7816</v>
      </c>
      <c r="E1356" s="7" t="s">
        <v>6858</v>
      </c>
      <c r="G1356" s="9"/>
    </row>
    <row r="1357" spans="1:7" x14ac:dyDescent="0.3">
      <c r="A1357" s="9">
        <v>45972</v>
      </c>
      <c r="B1357" s="7" t="s">
        <v>7815</v>
      </c>
      <c r="C1357" s="3">
        <v>-872.85</v>
      </c>
      <c r="D1357" s="7" t="s">
        <v>7816</v>
      </c>
      <c r="E1357" s="7" t="s">
        <v>7633</v>
      </c>
      <c r="G1357" s="9"/>
    </row>
    <row r="1358" spans="1:7" x14ac:dyDescent="0.3">
      <c r="A1358" s="9">
        <v>45966</v>
      </c>
      <c r="B1358" s="7" t="s">
        <v>7815</v>
      </c>
      <c r="C1358" s="3">
        <v>-4218.8999999999996</v>
      </c>
      <c r="D1358" s="7" t="s">
        <v>7816</v>
      </c>
      <c r="E1358" s="7" t="s">
        <v>7718</v>
      </c>
      <c r="G1358" s="9"/>
    </row>
    <row r="1359" spans="1:7" x14ac:dyDescent="0.3">
      <c r="A1359" s="9">
        <v>45981</v>
      </c>
      <c r="B1359" s="7" t="s">
        <v>7813</v>
      </c>
      <c r="C1359" s="3">
        <v>2115.36</v>
      </c>
      <c r="D1359" s="7" t="s">
        <v>7814</v>
      </c>
      <c r="E1359" s="7" t="s">
        <v>3314</v>
      </c>
      <c r="G1359" s="9"/>
    </row>
    <row r="1360" spans="1:7" x14ac:dyDescent="0.3">
      <c r="A1360" s="9">
        <v>46084</v>
      </c>
      <c r="B1360" s="7" t="s">
        <v>7813</v>
      </c>
      <c r="C1360" s="3">
        <v>10227.68</v>
      </c>
      <c r="D1360" s="7" t="s">
        <v>7814</v>
      </c>
      <c r="E1360" s="7" t="s">
        <v>3376</v>
      </c>
      <c r="G1360" s="9"/>
    </row>
    <row r="1361" spans="1:7" x14ac:dyDescent="0.3">
      <c r="A1361" s="9">
        <v>46061</v>
      </c>
      <c r="B1361" s="7" t="s">
        <v>7813</v>
      </c>
      <c r="C1361" s="3">
        <v>1665.65</v>
      </c>
      <c r="D1361" s="7" t="s">
        <v>7814</v>
      </c>
      <c r="E1361" s="7" t="s">
        <v>3512</v>
      </c>
      <c r="G1361" s="9"/>
    </row>
    <row r="1362" spans="1:7" x14ac:dyDescent="0.3">
      <c r="A1362" s="9">
        <v>45977</v>
      </c>
      <c r="B1362" s="7" t="s">
        <v>7813</v>
      </c>
      <c r="C1362" s="3">
        <v>3362.18</v>
      </c>
      <c r="D1362" s="7" t="s">
        <v>7814</v>
      </c>
      <c r="E1362" s="7" t="s">
        <v>3908</v>
      </c>
      <c r="G1362" s="9"/>
    </row>
    <row r="1363" spans="1:7" x14ac:dyDescent="0.3">
      <c r="A1363" s="9">
        <v>46086</v>
      </c>
      <c r="B1363" s="7" t="s">
        <v>7813</v>
      </c>
      <c r="C1363" s="3">
        <v>11249.56</v>
      </c>
      <c r="D1363" s="7" t="s">
        <v>7814</v>
      </c>
      <c r="E1363" s="7" t="s">
        <v>4456</v>
      </c>
      <c r="G1363" s="9"/>
    </row>
    <row r="1364" spans="1:7" x14ac:dyDescent="0.3">
      <c r="A1364" s="9">
        <v>46058</v>
      </c>
      <c r="B1364" s="7" t="s">
        <v>7813</v>
      </c>
      <c r="C1364" s="3">
        <v>1481.55</v>
      </c>
      <c r="D1364" s="7" t="s">
        <v>7814</v>
      </c>
      <c r="E1364" s="7" t="s">
        <v>4498</v>
      </c>
      <c r="G1364" s="9"/>
    </row>
    <row r="1365" spans="1:7" x14ac:dyDescent="0.3">
      <c r="A1365" s="9">
        <v>46091</v>
      </c>
      <c r="B1365" s="7" t="s">
        <v>7813</v>
      </c>
      <c r="C1365" s="3">
        <v>1562.41</v>
      </c>
      <c r="D1365" s="7" t="s">
        <v>7814</v>
      </c>
      <c r="E1365" s="7" t="s">
        <v>5091</v>
      </c>
      <c r="G1365" s="9"/>
    </row>
    <row r="1366" spans="1:7" x14ac:dyDescent="0.3">
      <c r="A1366" s="9">
        <v>46002</v>
      </c>
      <c r="B1366" s="7" t="s">
        <v>7815</v>
      </c>
      <c r="C1366" s="3">
        <v>-5869.27</v>
      </c>
      <c r="D1366" s="7" t="s">
        <v>7816</v>
      </c>
      <c r="E1366" s="7" t="s">
        <v>7049</v>
      </c>
      <c r="G1366" s="9"/>
    </row>
    <row r="1367" spans="1:7" x14ac:dyDescent="0.3">
      <c r="A1367" s="9">
        <v>45985</v>
      </c>
      <c r="B1367" s="7" t="s">
        <v>7813</v>
      </c>
      <c r="C1367" s="3">
        <v>1565.35</v>
      </c>
      <c r="D1367" s="7" t="s">
        <v>7814</v>
      </c>
      <c r="E1367" s="7" t="s">
        <v>3360</v>
      </c>
      <c r="G1367" s="9"/>
    </row>
    <row r="1368" spans="1:7" x14ac:dyDescent="0.3">
      <c r="A1368" s="9">
        <v>46037</v>
      </c>
      <c r="B1368" s="7" t="s">
        <v>7813</v>
      </c>
      <c r="C1368" s="3">
        <v>1869.27</v>
      </c>
      <c r="D1368" s="7" t="s">
        <v>7814</v>
      </c>
      <c r="E1368" s="7" t="s">
        <v>3887</v>
      </c>
      <c r="G1368" s="9"/>
    </row>
    <row r="1369" spans="1:7" x14ac:dyDescent="0.3">
      <c r="A1369" s="9">
        <v>46072</v>
      </c>
      <c r="B1369" s="7" t="s">
        <v>7813</v>
      </c>
      <c r="C1369" s="3">
        <v>5599.13</v>
      </c>
      <c r="D1369" s="7" t="s">
        <v>7814</v>
      </c>
      <c r="E1369" s="7" t="s">
        <v>3983</v>
      </c>
      <c r="G1369" s="9"/>
    </row>
    <row r="1370" spans="1:7" x14ac:dyDescent="0.3">
      <c r="A1370" s="9">
        <v>46065</v>
      </c>
      <c r="B1370" s="7" t="s">
        <v>7813</v>
      </c>
      <c r="C1370" s="3">
        <v>1657.43</v>
      </c>
      <c r="D1370" s="7" t="s">
        <v>7814</v>
      </c>
      <c r="E1370" s="7" t="s">
        <v>5080</v>
      </c>
      <c r="G1370" s="9"/>
    </row>
    <row r="1371" spans="1:7" x14ac:dyDescent="0.3">
      <c r="A1371" s="9">
        <v>46085</v>
      </c>
      <c r="B1371" s="7" t="s">
        <v>7815</v>
      </c>
      <c r="C1371" s="3">
        <v>-6554.38</v>
      </c>
      <c r="D1371" s="7" t="s">
        <v>7816</v>
      </c>
      <c r="E1371" s="7" t="s">
        <v>7262</v>
      </c>
      <c r="G1371" s="9"/>
    </row>
    <row r="1372" spans="1:7" x14ac:dyDescent="0.3">
      <c r="A1372" s="9">
        <v>46024</v>
      </c>
      <c r="B1372" s="7" t="s">
        <v>7815</v>
      </c>
      <c r="C1372" s="3">
        <v>-1270.26</v>
      </c>
      <c r="D1372" s="7" t="s">
        <v>7816</v>
      </c>
      <c r="E1372" s="7" t="s">
        <v>7644</v>
      </c>
      <c r="G1372" s="9"/>
    </row>
    <row r="1373" spans="1:7" x14ac:dyDescent="0.3">
      <c r="A1373" s="9">
        <v>46059</v>
      </c>
      <c r="B1373" s="7" t="s">
        <v>7815</v>
      </c>
      <c r="C1373" s="3">
        <v>-1212.52</v>
      </c>
      <c r="D1373" s="7" t="s">
        <v>7816</v>
      </c>
      <c r="E1373" s="7" t="s">
        <v>7660</v>
      </c>
      <c r="G1373" s="9"/>
    </row>
    <row r="1374" spans="1:7" x14ac:dyDescent="0.3">
      <c r="A1374" s="9">
        <v>45979</v>
      </c>
      <c r="B1374" s="7" t="s">
        <v>7813</v>
      </c>
      <c r="C1374" s="3">
        <v>1854.81</v>
      </c>
      <c r="D1374" s="7" t="s">
        <v>7814</v>
      </c>
      <c r="E1374" s="7" t="s">
        <v>3810</v>
      </c>
      <c r="G1374" s="9"/>
    </row>
    <row r="1375" spans="1:7" x14ac:dyDescent="0.3">
      <c r="A1375" s="9">
        <v>45983</v>
      </c>
      <c r="B1375" s="7" t="s">
        <v>7813</v>
      </c>
      <c r="C1375" s="3">
        <v>2098.8000000000002</v>
      </c>
      <c r="D1375" s="7" t="s">
        <v>7814</v>
      </c>
      <c r="E1375" s="7" t="s">
        <v>5243</v>
      </c>
      <c r="G1375" s="9"/>
    </row>
    <row r="1376" spans="1:7" x14ac:dyDescent="0.3">
      <c r="A1376" s="9">
        <v>46031</v>
      </c>
      <c r="B1376" s="7" t="s">
        <v>7813</v>
      </c>
      <c r="C1376" s="3">
        <v>10781.33</v>
      </c>
      <c r="D1376" s="7" t="s">
        <v>7814</v>
      </c>
      <c r="E1376" s="7" t="s">
        <v>5398</v>
      </c>
      <c r="G1376" s="9"/>
    </row>
    <row r="1377" spans="1:7" x14ac:dyDescent="0.3">
      <c r="A1377" s="9">
        <v>46060</v>
      </c>
      <c r="B1377" s="7" t="s">
        <v>7815</v>
      </c>
      <c r="C1377" s="3">
        <v>-6062.59</v>
      </c>
      <c r="D1377" s="7" t="s">
        <v>7816</v>
      </c>
      <c r="E1377" s="7" t="s">
        <v>7458</v>
      </c>
      <c r="G1377" s="9"/>
    </row>
    <row r="1378" spans="1:7" x14ac:dyDescent="0.3">
      <c r="A1378" s="9">
        <v>45997</v>
      </c>
      <c r="B1378" s="7" t="s">
        <v>7815</v>
      </c>
      <c r="C1378" s="3">
        <v>-1488.26</v>
      </c>
      <c r="D1378" s="7" t="s">
        <v>7816</v>
      </c>
      <c r="E1378" s="7" t="s">
        <v>7751</v>
      </c>
      <c r="G1378" s="9"/>
    </row>
    <row r="1379" spans="1:7" x14ac:dyDescent="0.3">
      <c r="A1379" s="9">
        <v>46000</v>
      </c>
      <c r="B1379" s="7" t="s">
        <v>7813</v>
      </c>
      <c r="C1379" s="3">
        <v>722.65</v>
      </c>
      <c r="D1379" s="7" t="s">
        <v>7814</v>
      </c>
      <c r="E1379" s="7" t="s">
        <v>4005</v>
      </c>
      <c r="G1379" s="9"/>
    </row>
    <row r="1380" spans="1:7" x14ac:dyDescent="0.3">
      <c r="A1380" s="9">
        <v>46031</v>
      </c>
      <c r="B1380" s="7" t="s">
        <v>7813</v>
      </c>
      <c r="C1380" s="3">
        <v>2102.3200000000002</v>
      </c>
      <c r="D1380" s="7" t="s">
        <v>7814</v>
      </c>
      <c r="E1380" s="7" t="s">
        <v>4588</v>
      </c>
      <c r="G1380" s="9"/>
    </row>
    <row r="1381" spans="1:7" x14ac:dyDescent="0.3">
      <c r="A1381" s="9">
        <v>46007</v>
      </c>
      <c r="B1381" s="7" t="s">
        <v>7813</v>
      </c>
      <c r="C1381" s="3">
        <v>873.69</v>
      </c>
      <c r="D1381" s="7" t="s">
        <v>7814</v>
      </c>
      <c r="E1381" s="7" t="s">
        <v>5233</v>
      </c>
      <c r="G1381" s="9"/>
    </row>
    <row r="1382" spans="1:7" x14ac:dyDescent="0.3">
      <c r="A1382" s="9">
        <v>45985</v>
      </c>
      <c r="B1382" s="7" t="s">
        <v>7813</v>
      </c>
      <c r="C1382" s="3">
        <v>1978.75</v>
      </c>
      <c r="D1382" s="7" t="s">
        <v>7814</v>
      </c>
      <c r="E1382" s="7" t="s">
        <v>3547</v>
      </c>
      <c r="G1382" s="9"/>
    </row>
    <row r="1383" spans="1:7" x14ac:dyDescent="0.3">
      <c r="A1383" s="9">
        <v>46074</v>
      </c>
      <c r="B1383" s="7" t="s">
        <v>7813</v>
      </c>
      <c r="C1383" s="3">
        <v>10311.200000000001</v>
      </c>
      <c r="D1383" s="7" t="s">
        <v>7814</v>
      </c>
      <c r="E1383" s="7" t="s">
        <v>4285</v>
      </c>
      <c r="G1383" s="9"/>
    </row>
    <row r="1384" spans="1:7" x14ac:dyDescent="0.3">
      <c r="A1384" s="9">
        <v>46064</v>
      </c>
      <c r="B1384" s="7" t="s">
        <v>7813</v>
      </c>
      <c r="C1384" s="3">
        <v>1728.13</v>
      </c>
      <c r="D1384" s="7" t="s">
        <v>7814</v>
      </c>
      <c r="E1384" s="7" t="s">
        <v>5049</v>
      </c>
      <c r="G1384" s="9"/>
    </row>
    <row r="1385" spans="1:7" x14ac:dyDescent="0.3">
      <c r="A1385" s="9">
        <v>46065</v>
      </c>
      <c r="B1385" s="7" t="s">
        <v>7813</v>
      </c>
      <c r="C1385" s="3">
        <v>4074.32</v>
      </c>
      <c r="D1385" s="7" t="s">
        <v>7814</v>
      </c>
      <c r="E1385" s="7" t="s">
        <v>5349</v>
      </c>
      <c r="G1385" s="9"/>
    </row>
    <row r="1386" spans="1:7" x14ac:dyDescent="0.3">
      <c r="A1386" s="9">
        <v>46087</v>
      </c>
      <c r="B1386" s="7" t="s">
        <v>7815</v>
      </c>
      <c r="C1386" s="3">
        <v>-6994.87</v>
      </c>
      <c r="D1386" s="7" t="s">
        <v>7816</v>
      </c>
      <c r="E1386" s="7" t="s">
        <v>6958</v>
      </c>
      <c r="G1386" s="9"/>
    </row>
    <row r="1387" spans="1:7" x14ac:dyDescent="0.3">
      <c r="A1387" s="9">
        <v>45995</v>
      </c>
      <c r="B1387" s="7" t="s">
        <v>7815</v>
      </c>
      <c r="C1387" s="3">
        <v>-4964.66</v>
      </c>
      <c r="D1387" s="7" t="s">
        <v>7816</v>
      </c>
      <c r="E1387" s="7" t="s">
        <v>7019</v>
      </c>
      <c r="G1387" s="9"/>
    </row>
    <row r="1388" spans="1:7" x14ac:dyDescent="0.3">
      <c r="A1388" s="9">
        <v>46064</v>
      </c>
      <c r="B1388" s="7" t="s">
        <v>7815</v>
      </c>
      <c r="C1388" s="3">
        <v>-3092.28</v>
      </c>
      <c r="D1388" s="7" t="s">
        <v>7816</v>
      </c>
      <c r="E1388" s="7" t="s">
        <v>7122</v>
      </c>
      <c r="G1388" s="9"/>
    </row>
    <row r="1389" spans="1:7" x14ac:dyDescent="0.3">
      <c r="A1389" s="9">
        <v>45962</v>
      </c>
      <c r="B1389" s="7" t="s">
        <v>7815</v>
      </c>
      <c r="C1389" s="3">
        <v>-4840.53</v>
      </c>
      <c r="D1389" s="7" t="s">
        <v>7816</v>
      </c>
      <c r="E1389" s="7" t="s">
        <v>7450</v>
      </c>
      <c r="G1389" s="9"/>
    </row>
    <row r="1390" spans="1:7" x14ac:dyDescent="0.3">
      <c r="A1390" s="9">
        <v>46002</v>
      </c>
      <c r="B1390" s="7" t="s">
        <v>7813</v>
      </c>
      <c r="C1390" s="3">
        <v>2682.61</v>
      </c>
      <c r="D1390" s="7" t="s">
        <v>7814</v>
      </c>
      <c r="E1390" s="7" t="s">
        <v>3600</v>
      </c>
      <c r="G1390" s="9"/>
    </row>
    <row r="1391" spans="1:7" x14ac:dyDescent="0.3">
      <c r="A1391" s="9">
        <v>45975</v>
      </c>
      <c r="B1391" s="7" t="s">
        <v>7813</v>
      </c>
      <c r="C1391" s="3">
        <v>2991.95</v>
      </c>
      <c r="D1391" s="7" t="s">
        <v>7814</v>
      </c>
      <c r="E1391" s="7" t="s">
        <v>4191</v>
      </c>
      <c r="G1391" s="9"/>
    </row>
    <row r="1392" spans="1:7" x14ac:dyDescent="0.3">
      <c r="A1392" s="9">
        <v>46076</v>
      </c>
      <c r="B1392" s="7" t="s">
        <v>7813</v>
      </c>
      <c r="C1392" s="3">
        <v>4165.18</v>
      </c>
      <c r="D1392" s="7" t="s">
        <v>7814</v>
      </c>
      <c r="E1392" s="7" t="s">
        <v>4631</v>
      </c>
      <c r="G1392" s="9"/>
    </row>
    <row r="1393" spans="1:7" x14ac:dyDescent="0.3">
      <c r="A1393" s="9">
        <v>45965</v>
      </c>
      <c r="B1393" s="7" t="s">
        <v>7813</v>
      </c>
      <c r="C1393" s="3">
        <v>4041.04</v>
      </c>
      <c r="D1393" s="7" t="s">
        <v>7814</v>
      </c>
      <c r="E1393" s="7" t="s">
        <v>4652</v>
      </c>
      <c r="G1393" s="9"/>
    </row>
    <row r="1394" spans="1:7" x14ac:dyDescent="0.3">
      <c r="A1394" s="9">
        <v>46008</v>
      </c>
      <c r="B1394" s="7" t="s">
        <v>7813</v>
      </c>
      <c r="C1394" s="3">
        <v>1458.97</v>
      </c>
      <c r="D1394" s="7" t="s">
        <v>7814</v>
      </c>
      <c r="E1394" s="7" t="s">
        <v>4674</v>
      </c>
      <c r="G1394" s="9"/>
    </row>
    <row r="1395" spans="1:7" x14ac:dyDescent="0.3">
      <c r="A1395" s="9">
        <v>45965</v>
      </c>
      <c r="B1395" s="7" t="s">
        <v>7813</v>
      </c>
      <c r="C1395" s="3">
        <v>2425.84</v>
      </c>
      <c r="D1395" s="7" t="s">
        <v>7814</v>
      </c>
      <c r="E1395" s="7" t="s">
        <v>4924</v>
      </c>
      <c r="G1395" s="9"/>
    </row>
    <row r="1396" spans="1:7" x14ac:dyDescent="0.3">
      <c r="A1396" s="9">
        <v>45993</v>
      </c>
      <c r="B1396" s="7" t="s">
        <v>7815</v>
      </c>
      <c r="C1396" s="3">
        <v>-4286.79</v>
      </c>
      <c r="D1396" s="7" t="s">
        <v>7816</v>
      </c>
      <c r="E1396" s="7" t="s">
        <v>7330</v>
      </c>
      <c r="G1396" s="9"/>
    </row>
    <row r="1397" spans="1:7" x14ac:dyDescent="0.3">
      <c r="A1397" s="9">
        <v>46058</v>
      </c>
      <c r="B1397" s="7" t="s">
        <v>7815</v>
      </c>
      <c r="C1397" s="3">
        <v>-5150.84</v>
      </c>
      <c r="D1397" s="7" t="s">
        <v>7816</v>
      </c>
      <c r="E1397" s="7" t="s">
        <v>7732</v>
      </c>
      <c r="G1397" s="9"/>
    </row>
    <row r="1398" spans="1:7" x14ac:dyDescent="0.3">
      <c r="A1398" s="9">
        <v>46061</v>
      </c>
      <c r="B1398" s="7" t="s">
        <v>7813</v>
      </c>
      <c r="C1398" s="3">
        <v>2058.73</v>
      </c>
      <c r="D1398" s="7" t="s">
        <v>7814</v>
      </c>
      <c r="E1398" s="7" t="s">
        <v>3228</v>
      </c>
      <c r="G1398" s="9"/>
    </row>
    <row r="1399" spans="1:7" x14ac:dyDescent="0.3">
      <c r="A1399" s="9">
        <v>45977</v>
      </c>
      <c r="B1399" s="7" t="s">
        <v>7813</v>
      </c>
      <c r="C1399" s="3">
        <v>1329.28</v>
      </c>
      <c r="D1399" s="7" t="s">
        <v>7814</v>
      </c>
      <c r="E1399" s="7" t="s">
        <v>5412</v>
      </c>
      <c r="G1399" s="9"/>
    </row>
    <row r="1400" spans="1:7" x14ac:dyDescent="0.3">
      <c r="A1400" s="9">
        <v>46055</v>
      </c>
      <c r="B1400" s="7" t="s">
        <v>7815</v>
      </c>
      <c r="C1400" s="3">
        <v>-5012.51</v>
      </c>
      <c r="D1400" s="7" t="s">
        <v>7816</v>
      </c>
      <c r="E1400" s="7" t="s">
        <v>7131</v>
      </c>
      <c r="G1400" s="9"/>
    </row>
    <row r="1401" spans="1:7" x14ac:dyDescent="0.3">
      <c r="A1401" s="9">
        <v>46082</v>
      </c>
      <c r="B1401" s="7" t="s">
        <v>7815</v>
      </c>
      <c r="C1401" s="3">
        <v>-4626.62</v>
      </c>
      <c r="D1401" s="7" t="s">
        <v>7816</v>
      </c>
      <c r="E1401" s="7" t="s">
        <v>7424</v>
      </c>
      <c r="G1401" s="9"/>
    </row>
    <row r="1402" spans="1:7" x14ac:dyDescent="0.3">
      <c r="A1402" s="9">
        <v>46061</v>
      </c>
      <c r="B1402" s="7" t="s">
        <v>7815</v>
      </c>
      <c r="C1402" s="3">
        <v>-6062.35</v>
      </c>
      <c r="D1402" s="7" t="s">
        <v>7816</v>
      </c>
      <c r="E1402" s="7" t="s">
        <v>7670</v>
      </c>
      <c r="G1402" s="9"/>
    </row>
    <row r="1403" spans="1:7" x14ac:dyDescent="0.3">
      <c r="A1403" s="9">
        <v>45970</v>
      </c>
      <c r="B1403" s="7" t="s">
        <v>7813</v>
      </c>
      <c r="C1403" s="3">
        <v>2418.7800000000002</v>
      </c>
      <c r="D1403" s="7" t="s">
        <v>7814</v>
      </c>
      <c r="E1403" s="7" t="s">
        <v>3399</v>
      </c>
      <c r="G1403" s="9"/>
    </row>
    <row r="1404" spans="1:7" x14ac:dyDescent="0.3">
      <c r="A1404" s="9">
        <v>45988</v>
      </c>
      <c r="B1404" s="7" t="s">
        <v>7813</v>
      </c>
      <c r="C1404" s="3">
        <v>1973.28</v>
      </c>
      <c r="D1404" s="7" t="s">
        <v>7814</v>
      </c>
      <c r="E1404" s="7" t="s">
        <v>3571</v>
      </c>
      <c r="G1404" s="9"/>
    </row>
    <row r="1405" spans="1:7" x14ac:dyDescent="0.3">
      <c r="A1405" s="9">
        <v>45989</v>
      </c>
      <c r="B1405" s="7" t="s">
        <v>7813</v>
      </c>
      <c r="C1405" s="3">
        <v>2555.29</v>
      </c>
      <c r="D1405" s="7" t="s">
        <v>7814</v>
      </c>
      <c r="E1405" s="7" t="s">
        <v>3684</v>
      </c>
      <c r="G1405" s="9"/>
    </row>
    <row r="1406" spans="1:7" x14ac:dyDescent="0.3">
      <c r="A1406" s="9">
        <v>45988</v>
      </c>
      <c r="B1406" s="7" t="s">
        <v>7813</v>
      </c>
      <c r="C1406" s="3">
        <v>5729.9</v>
      </c>
      <c r="D1406" s="7" t="s">
        <v>7814</v>
      </c>
      <c r="E1406" s="7" t="s">
        <v>3751</v>
      </c>
      <c r="G1406" s="9"/>
    </row>
    <row r="1407" spans="1:7" x14ac:dyDescent="0.3">
      <c r="A1407" s="9">
        <v>46004</v>
      </c>
      <c r="B1407" s="7" t="s">
        <v>7813</v>
      </c>
      <c r="C1407" s="3">
        <v>2713.33</v>
      </c>
      <c r="D1407" s="7" t="s">
        <v>7814</v>
      </c>
      <c r="E1407" s="7" t="s">
        <v>3830</v>
      </c>
      <c r="G1407" s="9"/>
    </row>
    <row r="1408" spans="1:7" x14ac:dyDescent="0.3">
      <c r="A1408" s="9">
        <v>46090</v>
      </c>
      <c r="B1408" s="7" t="s">
        <v>7813</v>
      </c>
      <c r="C1408" s="3">
        <v>2446.87</v>
      </c>
      <c r="D1408" s="7" t="s">
        <v>7814</v>
      </c>
      <c r="E1408" s="7" t="s">
        <v>4986</v>
      </c>
      <c r="G1408" s="9"/>
    </row>
    <row r="1409" spans="1:7" x14ac:dyDescent="0.3">
      <c r="A1409" s="9">
        <v>46063</v>
      </c>
      <c r="B1409" s="7" t="s">
        <v>7813</v>
      </c>
      <c r="C1409" s="3">
        <v>1737.56</v>
      </c>
      <c r="D1409" s="7" t="s">
        <v>7814</v>
      </c>
      <c r="E1409" s="7" t="s">
        <v>5219</v>
      </c>
      <c r="G1409" s="9"/>
    </row>
    <row r="1410" spans="1:7" x14ac:dyDescent="0.3">
      <c r="A1410" s="9">
        <v>46076</v>
      </c>
      <c r="B1410" s="7" t="s">
        <v>7813</v>
      </c>
      <c r="C1410" s="3">
        <v>2984.4</v>
      </c>
      <c r="D1410" s="7" t="s">
        <v>7814</v>
      </c>
      <c r="E1410" s="7" t="s">
        <v>5303</v>
      </c>
      <c r="G1410" s="9"/>
    </row>
    <row r="1411" spans="1:7" x14ac:dyDescent="0.3">
      <c r="A1411" s="9">
        <v>45971</v>
      </c>
      <c r="B1411" s="7" t="s">
        <v>7815</v>
      </c>
      <c r="C1411" s="3">
        <v>-1177.1600000000001</v>
      </c>
      <c r="D1411" s="7" t="s">
        <v>7816</v>
      </c>
      <c r="E1411" s="7" t="s">
        <v>6949</v>
      </c>
      <c r="G1411" s="9"/>
    </row>
    <row r="1412" spans="1:7" x14ac:dyDescent="0.3">
      <c r="A1412" s="9">
        <v>46067</v>
      </c>
      <c r="B1412" s="7" t="s">
        <v>7815</v>
      </c>
      <c r="C1412" s="3">
        <v>-6681.49</v>
      </c>
      <c r="D1412" s="7" t="s">
        <v>7816</v>
      </c>
      <c r="E1412" s="7" t="s">
        <v>7192</v>
      </c>
      <c r="G1412" s="9"/>
    </row>
    <row r="1413" spans="1:7" x14ac:dyDescent="0.3">
      <c r="A1413" s="9">
        <v>46003</v>
      </c>
      <c r="B1413" s="7" t="s">
        <v>7813</v>
      </c>
      <c r="C1413" s="3">
        <v>11562.09</v>
      </c>
      <c r="D1413" s="7" t="s">
        <v>7814</v>
      </c>
      <c r="E1413" s="7" t="s">
        <v>3308</v>
      </c>
      <c r="G1413" s="9"/>
    </row>
    <row r="1414" spans="1:7" x14ac:dyDescent="0.3">
      <c r="A1414" s="9">
        <v>46014</v>
      </c>
      <c r="B1414" s="7" t="s">
        <v>7813</v>
      </c>
      <c r="C1414" s="3">
        <v>3338.43</v>
      </c>
      <c r="D1414" s="7" t="s">
        <v>7814</v>
      </c>
      <c r="E1414" s="7" t="s">
        <v>4030</v>
      </c>
      <c r="G1414" s="9"/>
    </row>
    <row r="1415" spans="1:7" x14ac:dyDescent="0.3">
      <c r="A1415" s="9">
        <v>46077</v>
      </c>
      <c r="B1415" s="7" t="s">
        <v>7813</v>
      </c>
      <c r="C1415" s="3">
        <v>11464.66</v>
      </c>
      <c r="D1415" s="7" t="s">
        <v>7814</v>
      </c>
      <c r="E1415" s="7" t="s">
        <v>4221</v>
      </c>
      <c r="G1415" s="9"/>
    </row>
    <row r="1416" spans="1:7" x14ac:dyDescent="0.3">
      <c r="A1416" s="9">
        <v>46009</v>
      </c>
      <c r="B1416" s="7" t="s">
        <v>7813</v>
      </c>
      <c r="C1416" s="3">
        <v>2039.82</v>
      </c>
      <c r="D1416" s="7" t="s">
        <v>7814</v>
      </c>
      <c r="E1416" s="7" t="s">
        <v>4822</v>
      </c>
      <c r="G1416" s="9"/>
    </row>
    <row r="1417" spans="1:7" x14ac:dyDescent="0.3">
      <c r="A1417" s="9">
        <v>45979</v>
      </c>
      <c r="B1417" s="7" t="s">
        <v>7813</v>
      </c>
      <c r="C1417" s="3">
        <v>2405.59</v>
      </c>
      <c r="D1417" s="7" t="s">
        <v>7814</v>
      </c>
      <c r="E1417" s="7" t="s">
        <v>5285</v>
      </c>
      <c r="G1417" s="9"/>
    </row>
    <row r="1418" spans="1:7" x14ac:dyDescent="0.3">
      <c r="A1418" s="9">
        <v>46055</v>
      </c>
      <c r="B1418" s="7" t="s">
        <v>7815</v>
      </c>
      <c r="C1418" s="3">
        <v>-5963.5</v>
      </c>
      <c r="D1418" s="7" t="s">
        <v>7816</v>
      </c>
      <c r="E1418" s="7" t="s">
        <v>7207</v>
      </c>
      <c r="G1418" s="9"/>
    </row>
    <row r="1419" spans="1:7" x14ac:dyDescent="0.3">
      <c r="A1419" s="9">
        <v>46019</v>
      </c>
      <c r="B1419" s="7" t="s">
        <v>7815</v>
      </c>
      <c r="C1419" s="3">
        <v>-2604.92</v>
      </c>
      <c r="D1419" s="7" t="s">
        <v>7816</v>
      </c>
      <c r="E1419" s="7" t="s">
        <v>7575</v>
      </c>
      <c r="G1419" s="9"/>
    </row>
    <row r="1420" spans="1:7" x14ac:dyDescent="0.3">
      <c r="A1420" s="9">
        <v>45981</v>
      </c>
      <c r="B1420" s="7" t="s">
        <v>7813</v>
      </c>
      <c r="C1420" s="3">
        <v>5826.87</v>
      </c>
      <c r="D1420" s="7" t="s">
        <v>7814</v>
      </c>
      <c r="E1420" s="7" t="s">
        <v>3658</v>
      </c>
      <c r="G1420" s="9"/>
    </row>
    <row r="1421" spans="1:7" x14ac:dyDescent="0.3">
      <c r="A1421" s="9">
        <v>46045</v>
      </c>
      <c r="B1421" s="7" t="s">
        <v>7813</v>
      </c>
      <c r="C1421" s="3">
        <v>1638.27</v>
      </c>
      <c r="D1421" s="7" t="s">
        <v>7814</v>
      </c>
      <c r="E1421" s="7" t="s">
        <v>3666</v>
      </c>
      <c r="G1421" s="9"/>
    </row>
    <row r="1422" spans="1:7" x14ac:dyDescent="0.3">
      <c r="A1422" s="9">
        <v>45991</v>
      </c>
      <c r="B1422" s="7" t="s">
        <v>7813</v>
      </c>
      <c r="C1422" s="3">
        <v>2896.38</v>
      </c>
      <c r="D1422" s="7" t="s">
        <v>7814</v>
      </c>
      <c r="E1422" s="7" t="s">
        <v>3802</v>
      </c>
      <c r="G1422" s="9"/>
    </row>
    <row r="1423" spans="1:7" x14ac:dyDescent="0.3">
      <c r="A1423" s="9">
        <v>46081</v>
      </c>
      <c r="B1423" s="7" t="s">
        <v>7813</v>
      </c>
      <c r="C1423" s="3">
        <v>3196.38</v>
      </c>
      <c r="D1423" s="7" t="s">
        <v>7814</v>
      </c>
      <c r="E1423" s="7" t="s">
        <v>3897</v>
      </c>
      <c r="G1423" s="9"/>
    </row>
    <row r="1424" spans="1:7" x14ac:dyDescent="0.3">
      <c r="A1424" s="9">
        <v>46063</v>
      </c>
      <c r="B1424" s="7" t="s">
        <v>7813</v>
      </c>
      <c r="C1424" s="3">
        <v>1875.19</v>
      </c>
      <c r="D1424" s="7" t="s">
        <v>7814</v>
      </c>
      <c r="E1424" s="7" t="s">
        <v>4032</v>
      </c>
      <c r="G1424" s="9"/>
    </row>
    <row r="1425" spans="1:7" x14ac:dyDescent="0.3">
      <c r="A1425" s="9">
        <v>46011</v>
      </c>
      <c r="B1425" s="7" t="s">
        <v>7813</v>
      </c>
      <c r="C1425" s="3">
        <v>10580.18</v>
      </c>
      <c r="D1425" s="7" t="s">
        <v>7814</v>
      </c>
      <c r="E1425" s="7" t="s">
        <v>4438</v>
      </c>
      <c r="G1425" s="9"/>
    </row>
    <row r="1426" spans="1:7" x14ac:dyDescent="0.3">
      <c r="A1426" s="9">
        <v>46028</v>
      </c>
      <c r="B1426" s="7" t="s">
        <v>7813</v>
      </c>
      <c r="C1426" s="3">
        <v>2952.29</v>
      </c>
      <c r="D1426" s="7" t="s">
        <v>7814</v>
      </c>
      <c r="E1426" s="7" t="s">
        <v>5268</v>
      </c>
      <c r="G1426" s="9"/>
    </row>
    <row r="1427" spans="1:7" x14ac:dyDescent="0.3">
      <c r="A1427" s="9">
        <v>46007</v>
      </c>
      <c r="B1427" s="7" t="s">
        <v>7815</v>
      </c>
      <c r="C1427" s="3">
        <v>-4425.66</v>
      </c>
      <c r="D1427" s="7" t="s">
        <v>7816</v>
      </c>
      <c r="E1427" s="7" t="s">
        <v>6862</v>
      </c>
      <c r="G1427" s="9"/>
    </row>
    <row r="1428" spans="1:7" x14ac:dyDescent="0.3">
      <c r="A1428" s="9">
        <v>45990</v>
      </c>
      <c r="B1428" s="7" t="s">
        <v>7815</v>
      </c>
      <c r="C1428" s="3">
        <v>-3460.2</v>
      </c>
      <c r="D1428" s="7" t="s">
        <v>7816</v>
      </c>
      <c r="E1428" s="7" t="s">
        <v>7030</v>
      </c>
      <c r="G1428" s="9"/>
    </row>
    <row r="1429" spans="1:7" x14ac:dyDescent="0.3">
      <c r="A1429" s="9">
        <v>45982</v>
      </c>
      <c r="B1429" s="7" t="s">
        <v>7815</v>
      </c>
      <c r="C1429" s="3">
        <v>-4843.75</v>
      </c>
      <c r="D1429" s="7" t="s">
        <v>7816</v>
      </c>
      <c r="E1429" s="7" t="s">
        <v>7053</v>
      </c>
      <c r="G1429" s="9"/>
    </row>
    <row r="1430" spans="1:7" x14ac:dyDescent="0.3">
      <c r="A1430" s="9">
        <v>46000</v>
      </c>
      <c r="B1430" s="7" t="s">
        <v>7815</v>
      </c>
      <c r="C1430" s="3">
        <v>-960.52</v>
      </c>
      <c r="D1430" s="7" t="s">
        <v>7816</v>
      </c>
      <c r="E1430" s="7" t="s">
        <v>7530</v>
      </c>
      <c r="G1430" s="9"/>
    </row>
    <row r="1431" spans="1:7" x14ac:dyDescent="0.3">
      <c r="A1431" s="9">
        <v>46037</v>
      </c>
      <c r="B1431" s="7" t="s">
        <v>7815</v>
      </c>
      <c r="C1431" s="3">
        <v>-5140.09</v>
      </c>
      <c r="D1431" s="7" t="s">
        <v>7816</v>
      </c>
      <c r="E1431" s="7" t="s">
        <v>7590</v>
      </c>
      <c r="G1431" s="9"/>
    </row>
    <row r="1432" spans="1:7" x14ac:dyDescent="0.3">
      <c r="A1432" s="9">
        <v>46028</v>
      </c>
      <c r="B1432" s="7" t="s">
        <v>7815</v>
      </c>
      <c r="C1432" s="3">
        <v>-4076.88</v>
      </c>
      <c r="D1432" s="7" t="s">
        <v>7816</v>
      </c>
      <c r="E1432" s="7" t="s">
        <v>7752</v>
      </c>
      <c r="G1432" s="9"/>
    </row>
    <row r="1433" spans="1:7" x14ac:dyDescent="0.3">
      <c r="A1433" s="9">
        <v>46008</v>
      </c>
      <c r="B1433" s="7" t="s">
        <v>7813</v>
      </c>
      <c r="C1433" s="3">
        <v>2964.01</v>
      </c>
      <c r="D1433" s="7" t="s">
        <v>7814</v>
      </c>
      <c r="E1433" s="7" t="s">
        <v>3211</v>
      </c>
      <c r="G1433" s="9"/>
    </row>
    <row r="1434" spans="1:7" x14ac:dyDescent="0.3">
      <c r="A1434" s="9">
        <v>46008</v>
      </c>
      <c r="B1434" s="7" t="s">
        <v>7813</v>
      </c>
      <c r="C1434" s="3">
        <v>9808.9699999999993</v>
      </c>
      <c r="D1434" s="7" t="s">
        <v>7814</v>
      </c>
      <c r="E1434" s="7" t="s">
        <v>3337</v>
      </c>
      <c r="G1434" s="9"/>
    </row>
    <row r="1435" spans="1:7" x14ac:dyDescent="0.3">
      <c r="A1435" s="9">
        <v>46002</v>
      </c>
      <c r="B1435" s="7" t="s">
        <v>7813</v>
      </c>
      <c r="C1435" s="3">
        <v>4661.9799999999996</v>
      </c>
      <c r="D1435" s="7" t="s">
        <v>7814</v>
      </c>
      <c r="E1435" s="7" t="s">
        <v>3508</v>
      </c>
      <c r="G1435" s="9"/>
    </row>
    <row r="1436" spans="1:7" x14ac:dyDescent="0.3">
      <c r="A1436" s="9">
        <v>46040</v>
      </c>
      <c r="B1436" s="7" t="s">
        <v>7813</v>
      </c>
      <c r="C1436" s="3">
        <v>2093.34</v>
      </c>
      <c r="D1436" s="7" t="s">
        <v>7814</v>
      </c>
      <c r="E1436" s="7" t="s">
        <v>3539</v>
      </c>
      <c r="G1436" s="9"/>
    </row>
    <row r="1437" spans="1:7" x14ac:dyDescent="0.3">
      <c r="A1437" s="9">
        <v>46078</v>
      </c>
      <c r="B1437" s="7" t="s">
        <v>7813</v>
      </c>
      <c r="C1437" s="3">
        <v>1989.13</v>
      </c>
      <c r="D1437" s="7" t="s">
        <v>7814</v>
      </c>
      <c r="E1437" s="7" t="s">
        <v>4008</v>
      </c>
      <c r="G1437" s="9"/>
    </row>
    <row r="1438" spans="1:7" x14ac:dyDescent="0.3">
      <c r="A1438" s="9">
        <v>45999</v>
      </c>
      <c r="B1438" s="7" t="s">
        <v>7813</v>
      </c>
      <c r="C1438" s="3">
        <v>1801.24</v>
      </c>
      <c r="D1438" s="7" t="s">
        <v>7814</v>
      </c>
      <c r="E1438" s="7" t="s">
        <v>4035</v>
      </c>
      <c r="G1438" s="9"/>
    </row>
    <row r="1439" spans="1:7" x14ac:dyDescent="0.3">
      <c r="A1439" s="9">
        <v>45967</v>
      </c>
      <c r="B1439" s="7" t="s">
        <v>7813</v>
      </c>
      <c r="C1439" s="3">
        <v>1674.71</v>
      </c>
      <c r="D1439" s="7" t="s">
        <v>7814</v>
      </c>
      <c r="E1439" s="7" t="s">
        <v>4589</v>
      </c>
      <c r="G1439" s="9"/>
    </row>
    <row r="1440" spans="1:7" x14ac:dyDescent="0.3">
      <c r="A1440" s="9">
        <v>46087</v>
      </c>
      <c r="B1440" s="7" t="s">
        <v>7813</v>
      </c>
      <c r="C1440" s="3">
        <v>4655.8900000000003</v>
      </c>
      <c r="D1440" s="7" t="s">
        <v>7814</v>
      </c>
      <c r="E1440" s="7" t="s">
        <v>5202</v>
      </c>
      <c r="G1440" s="9"/>
    </row>
    <row r="1441" spans="1:7" x14ac:dyDescent="0.3">
      <c r="A1441" s="9">
        <v>45990</v>
      </c>
      <c r="B1441" s="7" t="s">
        <v>7813</v>
      </c>
      <c r="C1441" s="3">
        <v>3220.15</v>
      </c>
      <c r="D1441" s="7" t="s">
        <v>7814</v>
      </c>
      <c r="E1441" s="7" t="s">
        <v>5355</v>
      </c>
      <c r="G1441" s="9"/>
    </row>
    <row r="1442" spans="1:7" x14ac:dyDescent="0.3">
      <c r="A1442" s="9">
        <v>45975</v>
      </c>
      <c r="B1442" s="7" t="s">
        <v>7813</v>
      </c>
      <c r="C1442" s="3">
        <v>1502.52</v>
      </c>
      <c r="D1442" s="7" t="s">
        <v>7814</v>
      </c>
      <c r="E1442" s="7" t="s">
        <v>5413</v>
      </c>
      <c r="G1442" s="9"/>
    </row>
    <row r="1443" spans="1:7" x14ac:dyDescent="0.3">
      <c r="A1443" s="9">
        <v>46034</v>
      </c>
      <c r="B1443" s="7" t="s">
        <v>7815</v>
      </c>
      <c r="C1443" s="3">
        <v>-3876.37</v>
      </c>
      <c r="D1443" s="7" t="s">
        <v>7816</v>
      </c>
      <c r="E1443" s="7" t="s">
        <v>6857</v>
      </c>
      <c r="G1443" s="9"/>
    </row>
    <row r="1444" spans="1:7" x14ac:dyDescent="0.3">
      <c r="A1444" s="9">
        <v>45997</v>
      </c>
      <c r="B1444" s="7" t="s">
        <v>7815</v>
      </c>
      <c r="C1444" s="3">
        <v>-2922.39</v>
      </c>
      <c r="D1444" s="7" t="s">
        <v>7816</v>
      </c>
      <c r="E1444" s="7" t="s">
        <v>6904</v>
      </c>
      <c r="G1444" s="9"/>
    </row>
    <row r="1445" spans="1:7" x14ac:dyDescent="0.3">
      <c r="A1445" s="9">
        <v>46058</v>
      </c>
      <c r="B1445" s="7" t="s">
        <v>7815</v>
      </c>
      <c r="C1445" s="3">
        <v>-4779.9399999999996</v>
      </c>
      <c r="D1445" s="7" t="s">
        <v>7816</v>
      </c>
      <c r="E1445" s="7" t="s">
        <v>7174</v>
      </c>
      <c r="G1445" s="9"/>
    </row>
    <row r="1446" spans="1:7" x14ac:dyDescent="0.3">
      <c r="A1446" s="9">
        <v>46020</v>
      </c>
      <c r="B1446" s="7" t="s">
        <v>7815</v>
      </c>
      <c r="C1446" s="3">
        <v>-1194.4000000000001</v>
      </c>
      <c r="D1446" s="7" t="s">
        <v>7816</v>
      </c>
      <c r="E1446" s="7" t="s">
        <v>7615</v>
      </c>
      <c r="G1446" s="9"/>
    </row>
    <row r="1447" spans="1:7" x14ac:dyDescent="0.3">
      <c r="A1447" s="9">
        <v>45988</v>
      </c>
      <c r="B1447" s="7" t="s">
        <v>7815</v>
      </c>
      <c r="C1447" s="3">
        <v>-5234.1899999999996</v>
      </c>
      <c r="D1447" s="7" t="s">
        <v>7816</v>
      </c>
      <c r="E1447" s="7" t="s">
        <v>7638</v>
      </c>
      <c r="G1447" s="9"/>
    </row>
    <row r="1448" spans="1:7" x14ac:dyDescent="0.3">
      <c r="A1448" s="9">
        <v>46058</v>
      </c>
      <c r="B1448" s="7" t="s">
        <v>7813</v>
      </c>
      <c r="C1448" s="3">
        <v>2816.64</v>
      </c>
      <c r="D1448" s="7" t="s">
        <v>7814</v>
      </c>
      <c r="E1448" s="7" t="s">
        <v>3175</v>
      </c>
      <c r="G1448" s="9"/>
    </row>
    <row r="1449" spans="1:7" x14ac:dyDescent="0.3">
      <c r="A1449" s="9">
        <v>46021</v>
      </c>
      <c r="B1449" s="7" t="s">
        <v>7813</v>
      </c>
      <c r="C1449" s="3">
        <v>2713.86</v>
      </c>
      <c r="D1449" s="7" t="s">
        <v>7814</v>
      </c>
      <c r="E1449" s="7" t="s">
        <v>3423</v>
      </c>
      <c r="G1449" s="9"/>
    </row>
    <row r="1450" spans="1:7" x14ac:dyDescent="0.3">
      <c r="A1450" s="9">
        <v>46066</v>
      </c>
      <c r="B1450" s="7" t="s">
        <v>7813</v>
      </c>
      <c r="C1450" s="3">
        <v>2947.74</v>
      </c>
      <c r="D1450" s="7" t="s">
        <v>7814</v>
      </c>
      <c r="E1450" s="7" t="s">
        <v>3660</v>
      </c>
      <c r="G1450" s="9"/>
    </row>
    <row r="1451" spans="1:7" x14ac:dyDescent="0.3">
      <c r="A1451" s="9">
        <v>46054</v>
      </c>
      <c r="B1451" s="7" t="s">
        <v>7813</v>
      </c>
      <c r="C1451" s="3">
        <v>873.25</v>
      </c>
      <c r="D1451" s="7" t="s">
        <v>7814</v>
      </c>
      <c r="E1451" s="7" t="s">
        <v>3691</v>
      </c>
      <c r="G1451" s="9"/>
    </row>
    <row r="1452" spans="1:7" x14ac:dyDescent="0.3">
      <c r="A1452" s="9">
        <v>46008</v>
      </c>
      <c r="B1452" s="7" t="s">
        <v>7813</v>
      </c>
      <c r="C1452" s="3">
        <v>1446.7</v>
      </c>
      <c r="D1452" s="7" t="s">
        <v>7814</v>
      </c>
      <c r="E1452" s="7" t="s">
        <v>3696</v>
      </c>
      <c r="G1452" s="9"/>
    </row>
    <row r="1453" spans="1:7" x14ac:dyDescent="0.3">
      <c r="A1453" s="9">
        <v>46069</v>
      </c>
      <c r="B1453" s="7" t="s">
        <v>7813</v>
      </c>
      <c r="C1453" s="3">
        <v>3510.52</v>
      </c>
      <c r="D1453" s="7" t="s">
        <v>7814</v>
      </c>
      <c r="E1453" s="7" t="s">
        <v>3953</v>
      </c>
      <c r="G1453" s="9"/>
    </row>
    <row r="1454" spans="1:7" x14ac:dyDescent="0.3">
      <c r="A1454" s="9">
        <v>46058</v>
      </c>
      <c r="B1454" s="7" t="s">
        <v>7813</v>
      </c>
      <c r="C1454" s="3">
        <v>2029.16</v>
      </c>
      <c r="D1454" s="7" t="s">
        <v>7814</v>
      </c>
      <c r="E1454" s="7" t="s">
        <v>4148</v>
      </c>
      <c r="G1454" s="9"/>
    </row>
    <row r="1455" spans="1:7" x14ac:dyDescent="0.3">
      <c r="A1455" s="9">
        <v>46044</v>
      </c>
      <c r="B1455" s="7" t="s">
        <v>7813</v>
      </c>
      <c r="C1455" s="3">
        <v>10717.55</v>
      </c>
      <c r="D1455" s="7" t="s">
        <v>7814</v>
      </c>
      <c r="E1455" s="7" t="s">
        <v>4341</v>
      </c>
      <c r="G1455" s="9"/>
    </row>
    <row r="1456" spans="1:7" x14ac:dyDescent="0.3">
      <c r="A1456" s="9">
        <v>46053</v>
      </c>
      <c r="B1456" s="7" t="s">
        <v>7813</v>
      </c>
      <c r="C1456" s="3">
        <v>3502.94</v>
      </c>
      <c r="D1456" s="7" t="s">
        <v>7814</v>
      </c>
      <c r="E1456" s="7" t="s">
        <v>4389</v>
      </c>
      <c r="G1456" s="9"/>
    </row>
    <row r="1457" spans="1:7" x14ac:dyDescent="0.3">
      <c r="A1457" s="9">
        <v>46051</v>
      </c>
      <c r="B1457" s="7" t="s">
        <v>7813</v>
      </c>
      <c r="C1457" s="3">
        <v>2816.85</v>
      </c>
      <c r="D1457" s="7" t="s">
        <v>7814</v>
      </c>
      <c r="E1457" s="7" t="s">
        <v>4519</v>
      </c>
      <c r="G1457" s="9"/>
    </row>
    <row r="1458" spans="1:7" x14ac:dyDescent="0.3">
      <c r="A1458" s="9">
        <v>46065</v>
      </c>
      <c r="B1458" s="7" t="s">
        <v>7813</v>
      </c>
      <c r="C1458" s="3">
        <v>3111</v>
      </c>
      <c r="D1458" s="7" t="s">
        <v>7814</v>
      </c>
      <c r="E1458" s="7" t="s">
        <v>4535</v>
      </c>
      <c r="G1458" s="9"/>
    </row>
    <row r="1459" spans="1:7" x14ac:dyDescent="0.3">
      <c r="A1459" s="9">
        <v>46063</v>
      </c>
      <c r="B1459" s="7" t="s">
        <v>7813</v>
      </c>
      <c r="C1459" s="3">
        <v>1834.73</v>
      </c>
      <c r="D1459" s="7" t="s">
        <v>7814</v>
      </c>
      <c r="E1459" s="7" t="s">
        <v>4912</v>
      </c>
      <c r="G1459" s="9"/>
    </row>
    <row r="1460" spans="1:7" x14ac:dyDescent="0.3">
      <c r="A1460" s="9">
        <v>46014</v>
      </c>
      <c r="B1460" s="7" t="s">
        <v>7813</v>
      </c>
      <c r="C1460" s="3">
        <v>2999.44</v>
      </c>
      <c r="D1460" s="7" t="s">
        <v>7814</v>
      </c>
      <c r="E1460" s="7" t="s">
        <v>5258</v>
      </c>
      <c r="G1460" s="9"/>
    </row>
    <row r="1461" spans="1:7" x14ac:dyDescent="0.3">
      <c r="A1461" s="9">
        <v>45971</v>
      </c>
      <c r="B1461" s="7" t="s">
        <v>7815</v>
      </c>
      <c r="C1461" s="3">
        <v>-1089.75</v>
      </c>
      <c r="D1461" s="7" t="s">
        <v>7816</v>
      </c>
      <c r="E1461" s="7" t="s">
        <v>7299</v>
      </c>
      <c r="G1461" s="9"/>
    </row>
    <row r="1462" spans="1:7" x14ac:dyDescent="0.3">
      <c r="A1462" s="9">
        <v>45971</v>
      </c>
      <c r="B1462" s="7" t="s">
        <v>7815</v>
      </c>
      <c r="C1462" s="3">
        <v>-4288.87</v>
      </c>
      <c r="D1462" s="7" t="s">
        <v>7816</v>
      </c>
      <c r="E1462" s="7" t="s">
        <v>7472</v>
      </c>
      <c r="G1462" s="9"/>
    </row>
    <row r="1463" spans="1:7" x14ac:dyDescent="0.3">
      <c r="A1463" s="9">
        <v>45997</v>
      </c>
      <c r="B1463" s="7" t="s">
        <v>7815</v>
      </c>
      <c r="C1463" s="3">
        <v>-5550.09</v>
      </c>
      <c r="D1463" s="7" t="s">
        <v>7816</v>
      </c>
      <c r="E1463" s="7" t="s">
        <v>7542</v>
      </c>
      <c r="G1463" s="9"/>
    </row>
    <row r="1464" spans="1:7" x14ac:dyDescent="0.3">
      <c r="A1464" s="9">
        <v>45991</v>
      </c>
      <c r="B1464" s="7" t="s">
        <v>7813</v>
      </c>
      <c r="C1464" s="3">
        <v>5855.35</v>
      </c>
      <c r="D1464" s="7" t="s">
        <v>7814</v>
      </c>
      <c r="E1464" s="7" t="s">
        <v>3217</v>
      </c>
      <c r="G1464" s="9"/>
    </row>
    <row r="1465" spans="1:7" x14ac:dyDescent="0.3">
      <c r="A1465" s="9">
        <v>45989</v>
      </c>
      <c r="B1465" s="7" t="s">
        <v>7813</v>
      </c>
      <c r="C1465" s="3">
        <v>1230.17</v>
      </c>
      <c r="D1465" s="7" t="s">
        <v>7814</v>
      </c>
      <c r="E1465" s="7" t="s">
        <v>3601</v>
      </c>
      <c r="G1465" s="9"/>
    </row>
    <row r="1466" spans="1:7" x14ac:dyDescent="0.3">
      <c r="A1466" s="9">
        <v>45973</v>
      </c>
      <c r="B1466" s="7" t="s">
        <v>7813</v>
      </c>
      <c r="C1466" s="3">
        <v>1558.8</v>
      </c>
      <c r="D1466" s="7" t="s">
        <v>7814</v>
      </c>
      <c r="E1466" s="7" t="s">
        <v>3628</v>
      </c>
      <c r="G1466" s="9"/>
    </row>
    <row r="1467" spans="1:7" x14ac:dyDescent="0.3">
      <c r="A1467" s="9">
        <v>46011</v>
      </c>
      <c r="B1467" s="7" t="s">
        <v>7813</v>
      </c>
      <c r="C1467" s="3">
        <v>11118.74</v>
      </c>
      <c r="D1467" s="7" t="s">
        <v>7814</v>
      </c>
      <c r="E1467" s="7" t="s">
        <v>3757</v>
      </c>
      <c r="G1467" s="9"/>
    </row>
    <row r="1468" spans="1:7" x14ac:dyDescent="0.3">
      <c r="A1468" s="9">
        <v>46072</v>
      </c>
      <c r="B1468" s="7" t="s">
        <v>7813</v>
      </c>
      <c r="C1468" s="3">
        <v>1833.37</v>
      </c>
      <c r="D1468" s="7" t="s">
        <v>7814</v>
      </c>
      <c r="E1468" s="7" t="s">
        <v>4595</v>
      </c>
      <c r="G1468" s="9"/>
    </row>
    <row r="1469" spans="1:7" x14ac:dyDescent="0.3">
      <c r="A1469" s="9">
        <v>46001</v>
      </c>
      <c r="B1469" s="7" t="s">
        <v>7813</v>
      </c>
      <c r="C1469" s="3">
        <v>4956.6000000000004</v>
      </c>
      <c r="D1469" s="7" t="s">
        <v>7814</v>
      </c>
      <c r="E1469" s="7" t="s">
        <v>5136</v>
      </c>
      <c r="G1469" s="9"/>
    </row>
    <row r="1470" spans="1:7" x14ac:dyDescent="0.3">
      <c r="A1470" s="9">
        <v>46014</v>
      </c>
      <c r="B1470" s="7" t="s">
        <v>7815</v>
      </c>
      <c r="C1470" s="3">
        <v>-5035.79</v>
      </c>
      <c r="D1470" s="7" t="s">
        <v>7816</v>
      </c>
      <c r="E1470" s="7" t="s">
        <v>7023</v>
      </c>
      <c r="G1470" s="9"/>
    </row>
    <row r="1471" spans="1:7" x14ac:dyDescent="0.3">
      <c r="A1471" s="9">
        <v>45972</v>
      </c>
      <c r="B1471" s="7" t="s">
        <v>7815</v>
      </c>
      <c r="C1471" s="3">
        <v>-1893.46</v>
      </c>
      <c r="D1471" s="7" t="s">
        <v>7816</v>
      </c>
      <c r="E1471" s="7" t="s">
        <v>7027</v>
      </c>
      <c r="G1471" s="9"/>
    </row>
    <row r="1472" spans="1:7" x14ac:dyDescent="0.3">
      <c r="A1472" s="9">
        <v>46076</v>
      </c>
      <c r="B1472" s="7" t="s">
        <v>7813</v>
      </c>
      <c r="C1472" s="3">
        <v>12972.24</v>
      </c>
      <c r="D1472" s="7" t="s">
        <v>7814</v>
      </c>
      <c r="E1472" s="7" t="s">
        <v>3907</v>
      </c>
      <c r="G1472" s="9"/>
    </row>
    <row r="1473" spans="1:7" x14ac:dyDescent="0.3">
      <c r="A1473" s="9">
        <v>46043</v>
      </c>
      <c r="B1473" s="7" t="s">
        <v>7813</v>
      </c>
      <c r="C1473" s="3">
        <v>9817.24</v>
      </c>
      <c r="D1473" s="7" t="s">
        <v>7814</v>
      </c>
      <c r="E1473" s="7" t="s">
        <v>4275</v>
      </c>
      <c r="G1473" s="9"/>
    </row>
    <row r="1474" spans="1:7" x14ac:dyDescent="0.3">
      <c r="A1474" s="9">
        <v>46045</v>
      </c>
      <c r="B1474" s="7" t="s">
        <v>7813</v>
      </c>
      <c r="C1474" s="3">
        <v>10376.799999999999</v>
      </c>
      <c r="D1474" s="7" t="s">
        <v>7814</v>
      </c>
      <c r="E1474" s="7" t="s">
        <v>4603</v>
      </c>
      <c r="G1474" s="9"/>
    </row>
    <row r="1475" spans="1:7" x14ac:dyDescent="0.3">
      <c r="A1475" s="9">
        <v>46082</v>
      </c>
      <c r="B1475" s="7" t="s">
        <v>7813</v>
      </c>
      <c r="C1475" s="3">
        <v>1518.01</v>
      </c>
      <c r="D1475" s="7" t="s">
        <v>7814</v>
      </c>
      <c r="E1475" s="7" t="s">
        <v>4711</v>
      </c>
      <c r="G1475" s="9"/>
    </row>
    <row r="1476" spans="1:7" x14ac:dyDescent="0.3">
      <c r="A1476" s="9">
        <v>46020</v>
      </c>
      <c r="B1476" s="7" t="s">
        <v>7813</v>
      </c>
      <c r="C1476" s="3">
        <v>13463.59</v>
      </c>
      <c r="D1476" s="7" t="s">
        <v>7814</v>
      </c>
      <c r="E1476" s="7" t="s">
        <v>5278</v>
      </c>
      <c r="G1476" s="9"/>
    </row>
    <row r="1477" spans="1:7" x14ac:dyDescent="0.3">
      <c r="A1477" s="9">
        <v>45964</v>
      </c>
      <c r="B1477" s="7" t="s">
        <v>7815</v>
      </c>
      <c r="C1477" s="3">
        <v>-1166.24</v>
      </c>
      <c r="D1477" s="7" t="s">
        <v>7816</v>
      </c>
      <c r="E1477" s="7" t="s">
        <v>6854</v>
      </c>
      <c r="G1477" s="9"/>
    </row>
    <row r="1478" spans="1:7" x14ac:dyDescent="0.3">
      <c r="A1478" s="9">
        <v>46089</v>
      </c>
      <c r="B1478" s="7" t="s">
        <v>7815</v>
      </c>
      <c r="C1478" s="3">
        <v>-1080.3800000000001</v>
      </c>
      <c r="D1478" s="7" t="s">
        <v>7816</v>
      </c>
      <c r="E1478" s="7" t="s">
        <v>7355</v>
      </c>
      <c r="G1478" s="9"/>
    </row>
    <row r="1479" spans="1:7" x14ac:dyDescent="0.3">
      <c r="A1479" s="9">
        <v>46020</v>
      </c>
      <c r="B1479" s="7" t="s">
        <v>7813</v>
      </c>
      <c r="C1479" s="3">
        <v>3204.04</v>
      </c>
      <c r="D1479" s="7" t="s">
        <v>7814</v>
      </c>
      <c r="E1479" s="7" t="s">
        <v>3387</v>
      </c>
      <c r="G1479" s="9"/>
    </row>
    <row r="1480" spans="1:7" x14ac:dyDescent="0.3">
      <c r="A1480" s="9">
        <v>46083</v>
      </c>
      <c r="B1480" s="7" t="s">
        <v>7813</v>
      </c>
      <c r="C1480" s="3">
        <v>1660.23</v>
      </c>
      <c r="D1480" s="7" t="s">
        <v>7814</v>
      </c>
      <c r="E1480" s="7" t="s">
        <v>4925</v>
      </c>
      <c r="G1480" s="9"/>
    </row>
    <row r="1481" spans="1:7" x14ac:dyDescent="0.3">
      <c r="A1481" s="9">
        <v>46009</v>
      </c>
      <c r="B1481" s="7" t="s">
        <v>7815</v>
      </c>
      <c r="C1481" s="3">
        <v>-827.96</v>
      </c>
      <c r="D1481" s="7" t="s">
        <v>7816</v>
      </c>
      <c r="E1481" s="7" t="s">
        <v>7075</v>
      </c>
      <c r="G1481" s="9"/>
    </row>
    <row r="1482" spans="1:7" x14ac:dyDescent="0.3">
      <c r="A1482" s="9">
        <v>46008</v>
      </c>
      <c r="B1482" s="7" t="s">
        <v>7813</v>
      </c>
      <c r="C1482" s="3">
        <v>11837.06</v>
      </c>
      <c r="D1482" s="7" t="s">
        <v>7814</v>
      </c>
      <c r="E1482" s="7" t="s">
        <v>3585</v>
      </c>
      <c r="G1482" s="9"/>
    </row>
    <row r="1483" spans="1:7" x14ac:dyDescent="0.3">
      <c r="A1483" s="9">
        <v>46091</v>
      </c>
      <c r="B1483" s="7" t="s">
        <v>7813</v>
      </c>
      <c r="C1483" s="3">
        <v>4160.55</v>
      </c>
      <c r="D1483" s="7" t="s">
        <v>7814</v>
      </c>
      <c r="E1483" s="7" t="s">
        <v>4672</v>
      </c>
      <c r="G1483" s="9"/>
    </row>
    <row r="1484" spans="1:7" x14ac:dyDescent="0.3">
      <c r="A1484" s="9">
        <v>46030</v>
      </c>
      <c r="B1484" s="7" t="s">
        <v>7813</v>
      </c>
      <c r="C1484" s="3">
        <v>9677.5</v>
      </c>
      <c r="D1484" s="7" t="s">
        <v>7814</v>
      </c>
      <c r="E1484" s="7" t="s">
        <v>5181</v>
      </c>
      <c r="G1484" s="9"/>
    </row>
    <row r="1485" spans="1:7" x14ac:dyDescent="0.3">
      <c r="A1485" s="9">
        <v>45962</v>
      </c>
      <c r="B1485" s="7" t="s">
        <v>7815</v>
      </c>
      <c r="C1485" s="3">
        <v>-4218.95</v>
      </c>
      <c r="D1485" s="7" t="s">
        <v>7816</v>
      </c>
      <c r="E1485" s="7" t="s">
        <v>7478</v>
      </c>
      <c r="G1485" s="9"/>
    </row>
    <row r="1486" spans="1:7" x14ac:dyDescent="0.3">
      <c r="A1486" s="9">
        <v>46038</v>
      </c>
      <c r="B1486" s="7" t="s">
        <v>7815</v>
      </c>
      <c r="C1486" s="3">
        <v>-5102.2700000000004</v>
      </c>
      <c r="D1486" s="7" t="s">
        <v>7816</v>
      </c>
      <c r="E1486" s="7" t="s">
        <v>7650</v>
      </c>
      <c r="G1486" s="9"/>
    </row>
    <row r="1487" spans="1:7" x14ac:dyDescent="0.3">
      <c r="A1487" s="9">
        <v>46077</v>
      </c>
      <c r="B1487" s="7" t="s">
        <v>7813</v>
      </c>
      <c r="C1487" s="3">
        <v>3218.82</v>
      </c>
      <c r="D1487" s="7" t="s">
        <v>7814</v>
      </c>
      <c r="E1487" s="7" t="s">
        <v>3239</v>
      </c>
      <c r="G1487" s="9"/>
    </row>
    <row r="1488" spans="1:7" x14ac:dyDescent="0.3">
      <c r="A1488" s="9">
        <v>46046</v>
      </c>
      <c r="B1488" s="7" t="s">
        <v>7813</v>
      </c>
      <c r="C1488" s="3">
        <v>9647.14</v>
      </c>
      <c r="D1488" s="7" t="s">
        <v>7814</v>
      </c>
      <c r="E1488" s="7" t="s">
        <v>4991</v>
      </c>
      <c r="G1488" s="9"/>
    </row>
    <row r="1489" spans="1:7" x14ac:dyDescent="0.3">
      <c r="A1489" s="9">
        <v>46049</v>
      </c>
      <c r="B1489" s="7" t="s">
        <v>7815</v>
      </c>
      <c r="C1489" s="3">
        <v>-4000.41</v>
      </c>
      <c r="D1489" s="7" t="s">
        <v>7816</v>
      </c>
      <c r="E1489" s="7" t="s">
        <v>7021</v>
      </c>
      <c r="G1489" s="9"/>
    </row>
    <row r="1490" spans="1:7" x14ac:dyDescent="0.3">
      <c r="A1490" s="9">
        <v>45986</v>
      </c>
      <c r="B1490" s="7" t="s">
        <v>7815</v>
      </c>
      <c r="C1490" s="3">
        <v>-3754.97</v>
      </c>
      <c r="D1490" s="7" t="s">
        <v>7816</v>
      </c>
      <c r="E1490" s="7" t="s">
        <v>7113</v>
      </c>
      <c r="G1490" s="9"/>
    </row>
    <row r="1491" spans="1:7" x14ac:dyDescent="0.3">
      <c r="A1491" s="9">
        <v>45966</v>
      </c>
      <c r="B1491" s="7" t="s">
        <v>7815</v>
      </c>
      <c r="C1491" s="3">
        <v>-5326.7</v>
      </c>
      <c r="D1491" s="7" t="s">
        <v>7816</v>
      </c>
      <c r="E1491" s="7" t="s">
        <v>7312</v>
      </c>
      <c r="G1491" s="9"/>
    </row>
    <row r="1492" spans="1:7" x14ac:dyDescent="0.3">
      <c r="A1492" s="9">
        <v>46080</v>
      </c>
      <c r="B1492" s="7" t="s">
        <v>7813</v>
      </c>
      <c r="C1492" s="3">
        <v>10399.89</v>
      </c>
      <c r="D1492" s="7" t="s">
        <v>7814</v>
      </c>
      <c r="E1492" s="7" t="s">
        <v>3350</v>
      </c>
      <c r="G1492" s="9"/>
    </row>
    <row r="1493" spans="1:7" x14ac:dyDescent="0.3">
      <c r="A1493" s="9">
        <v>46056</v>
      </c>
      <c r="B1493" s="7" t="s">
        <v>7813</v>
      </c>
      <c r="C1493" s="3">
        <v>3478.67</v>
      </c>
      <c r="D1493" s="7" t="s">
        <v>7814</v>
      </c>
      <c r="E1493" s="7" t="s">
        <v>3433</v>
      </c>
      <c r="G1493" s="9"/>
    </row>
    <row r="1494" spans="1:7" x14ac:dyDescent="0.3">
      <c r="A1494" s="9">
        <v>45977</v>
      </c>
      <c r="B1494" s="7" t="s">
        <v>7813</v>
      </c>
      <c r="C1494" s="3">
        <v>5021.6499999999996</v>
      </c>
      <c r="D1494" s="7" t="s">
        <v>7814</v>
      </c>
      <c r="E1494" s="7" t="s">
        <v>3516</v>
      </c>
      <c r="G1494" s="9"/>
    </row>
    <row r="1495" spans="1:7" x14ac:dyDescent="0.3">
      <c r="A1495" s="9">
        <v>45972</v>
      </c>
      <c r="B1495" s="7" t="s">
        <v>7813</v>
      </c>
      <c r="C1495" s="3">
        <v>11854.44</v>
      </c>
      <c r="D1495" s="7" t="s">
        <v>7814</v>
      </c>
      <c r="E1495" s="7" t="s">
        <v>3788</v>
      </c>
      <c r="G1495" s="9"/>
    </row>
    <row r="1496" spans="1:7" x14ac:dyDescent="0.3">
      <c r="A1496" s="9">
        <v>46061</v>
      </c>
      <c r="B1496" s="7" t="s">
        <v>7813</v>
      </c>
      <c r="C1496" s="3">
        <v>4445.76</v>
      </c>
      <c r="D1496" s="7" t="s">
        <v>7814</v>
      </c>
      <c r="E1496" s="7" t="s">
        <v>4730</v>
      </c>
      <c r="G1496" s="9"/>
    </row>
    <row r="1497" spans="1:7" x14ac:dyDescent="0.3">
      <c r="A1497" s="9">
        <v>46082</v>
      </c>
      <c r="B1497" s="7" t="s">
        <v>7813</v>
      </c>
      <c r="C1497" s="3">
        <v>2460.2199999999998</v>
      </c>
      <c r="D1497" s="7" t="s">
        <v>7814</v>
      </c>
      <c r="E1497" s="7" t="s">
        <v>4823</v>
      </c>
      <c r="G1497" s="9"/>
    </row>
    <row r="1498" spans="1:7" x14ac:dyDescent="0.3">
      <c r="A1498" s="9">
        <v>46033</v>
      </c>
      <c r="B1498" s="7" t="s">
        <v>7813</v>
      </c>
      <c r="C1498" s="3">
        <v>9767.17</v>
      </c>
      <c r="D1498" s="7" t="s">
        <v>7814</v>
      </c>
      <c r="E1498" s="7" t="s">
        <v>5062</v>
      </c>
      <c r="G1498" s="9"/>
    </row>
    <row r="1499" spans="1:7" x14ac:dyDescent="0.3">
      <c r="A1499" s="9">
        <v>46067</v>
      </c>
      <c r="B1499" s="7" t="s">
        <v>7813</v>
      </c>
      <c r="C1499" s="3">
        <v>3598.82</v>
      </c>
      <c r="D1499" s="7" t="s">
        <v>7814</v>
      </c>
      <c r="E1499" s="7" t="s">
        <v>5105</v>
      </c>
      <c r="G1499" s="9"/>
    </row>
    <row r="1500" spans="1:7" x14ac:dyDescent="0.3">
      <c r="A1500" s="9">
        <v>46056</v>
      </c>
      <c r="B1500" s="7" t="s">
        <v>7813</v>
      </c>
      <c r="C1500" s="3">
        <v>10804.56</v>
      </c>
      <c r="D1500" s="7" t="s">
        <v>7814</v>
      </c>
      <c r="E1500" s="7" t="s">
        <v>5379</v>
      </c>
      <c r="G1500" s="9"/>
    </row>
    <row r="1501" spans="1:7" x14ac:dyDescent="0.3">
      <c r="A1501" s="9">
        <v>45962</v>
      </c>
      <c r="B1501" s="7" t="s">
        <v>7813</v>
      </c>
      <c r="C1501" s="3">
        <v>3857.91</v>
      </c>
      <c r="D1501" s="7" t="s">
        <v>7814</v>
      </c>
      <c r="E1501" s="7" t="s">
        <v>5381</v>
      </c>
      <c r="G1501" s="9"/>
    </row>
    <row r="1502" spans="1:7" x14ac:dyDescent="0.3">
      <c r="A1502" s="9">
        <v>46056</v>
      </c>
      <c r="B1502" s="7" t="s">
        <v>7815</v>
      </c>
      <c r="C1502" s="3">
        <v>-3297.53</v>
      </c>
      <c r="D1502" s="7" t="s">
        <v>7816</v>
      </c>
      <c r="E1502" s="7" t="s">
        <v>7020</v>
      </c>
      <c r="G1502" s="9"/>
    </row>
    <row r="1503" spans="1:7" x14ac:dyDescent="0.3">
      <c r="A1503" s="9">
        <v>46017</v>
      </c>
      <c r="B1503" s="7" t="s">
        <v>7815</v>
      </c>
      <c r="C1503" s="3">
        <v>-5474.18</v>
      </c>
      <c r="D1503" s="7" t="s">
        <v>7816</v>
      </c>
      <c r="E1503" s="7" t="s">
        <v>7181</v>
      </c>
      <c r="G1503" s="9"/>
    </row>
    <row r="1504" spans="1:7" x14ac:dyDescent="0.3">
      <c r="A1504" s="9">
        <v>46064</v>
      </c>
      <c r="B1504" s="7" t="s">
        <v>7815</v>
      </c>
      <c r="C1504" s="3">
        <v>-2605.25</v>
      </c>
      <c r="D1504" s="7" t="s">
        <v>7816</v>
      </c>
      <c r="E1504" s="7" t="s">
        <v>7347</v>
      </c>
      <c r="G1504" s="9"/>
    </row>
    <row r="1505" spans="1:7" x14ac:dyDescent="0.3">
      <c r="A1505" s="9">
        <v>45991</v>
      </c>
      <c r="B1505" s="7" t="s">
        <v>7815</v>
      </c>
      <c r="C1505" s="3">
        <v>-6185.03</v>
      </c>
      <c r="D1505" s="7" t="s">
        <v>7816</v>
      </c>
      <c r="E1505" s="7" t="s">
        <v>7427</v>
      </c>
      <c r="G1505" s="9"/>
    </row>
    <row r="1506" spans="1:7" x14ac:dyDescent="0.3">
      <c r="A1506" s="9">
        <v>45973</v>
      </c>
      <c r="B1506" s="7" t="s">
        <v>7815</v>
      </c>
      <c r="C1506" s="3">
        <v>-2935.73</v>
      </c>
      <c r="D1506" s="7" t="s">
        <v>7816</v>
      </c>
      <c r="E1506" s="7" t="s">
        <v>7492</v>
      </c>
      <c r="G1506" s="9"/>
    </row>
    <row r="1507" spans="1:7" x14ac:dyDescent="0.3">
      <c r="A1507" s="9">
        <v>46007</v>
      </c>
      <c r="B1507" s="7" t="s">
        <v>7815</v>
      </c>
      <c r="C1507" s="3">
        <v>-2296.9499999999998</v>
      </c>
      <c r="D1507" s="7" t="s">
        <v>7816</v>
      </c>
      <c r="E1507" s="7" t="s">
        <v>7800</v>
      </c>
      <c r="G1507" s="9"/>
    </row>
    <row r="1508" spans="1:7" x14ac:dyDescent="0.3">
      <c r="A1508" s="9">
        <v>46064</v>
      </c>
      <c r="B1508" s="7" t="s">
        <v>7813</v>
      </c>
      <c r="C1508" s="3">
        <v>5311.84</v>
      </c>
      <c r="D1508" s="7" t="s">
        <v>7814</v>
      </c>
      <c r="E1508" s="7" t="s">
        <v>4848</v>
      </c>
      <c r="G1508" s="9"/>
    </row>
    <row r="1509" spans="1:7" x14ac:dyDescent="0.3">
      <c r="A1509" s="9">
        <v>46047</v>
      </c>
      <c r="B1509" s="7" t="s">
        <v>7813</v>
      </c>
      <c r="C1509" s="3">
        <v>3069.49</v>
      </c>
      <c r="D1509" s="7" t="s">
        <v>7814</v>
      </c>
      <c r="E1509" s="7" t="s">
        <v>5008</v>
      </c>
      <c r="G1509" s="9"/>
    </row>
    <row r="1510" spans="1:7" x14ac:dyDescent="0.3">
      <c r="A1510" s="9">
        <v>46000</v>
      </c>
      <c r="B1510" s="7" t="s">
        <v>7815</v>
      </c>
      <c r="C1510" s="3">
        <v>-1064.04</v>
      </c>
      <c r="D1510" s="7" t="s">
        <v>7816</v>
      </c>
      <c r="E1510" s="7" t="s">
        <v>6864</v>
      </c>
      <c r="G1510" s="9"/>
    </row>
    <row r="1511" spans="1:7" x14ac:dyDescent="0.3">
      <c r="A1511" s="9">
        <v>46074</v>
      </c>
      <c r="B1511" s="7" t="s">
        <v>7815</v>
      </c>
      <c r="C1511" s="3">
        <v>-5282.68</v>
      </c>
      <c r="D1511" s="7" t="s">
        <v>7816</v>
      </c>
      <c r="E1511" s="7" t="s">
        <v>6932</v>
      </c>
      <c r="G1511" s="9"/>
    </row>
    <row r="1512" spans="1:7" x14ac:dyDescent="0.3">
      <c r="A1512" s="9">
        <v>46062</v>
      </c>
      <c r="B1512" s="7" t="s">
        <v>7815</v>
      </c>
      <c r="C1512" s="3">
        <v>-5367.82</v>
      </c>
      <c r="D1512" s="7" t="s">
        <v>7816</v>
      </c>
      <c r="E1512" s="7" t="s">
        <v>7031</v>
      </c>
      <c r="G1512" s="9"/>
    </row>
    <row r="1513" spans="1:7" x14ac:dyDescent="0.3">
      <c r="A1513" s="9">
        <v>45991</v>
      </c>
      <c r="B1513" s="7" t="s">
        <v>7815</v>
      </c>
      <c r="C1513" s="3">
        <v>-2550.42</v>
      </c>
      <c r="D1513" s="7" t="s">
        <v>7816</v>
      </c>
      <c r="E1513" s="7" t="s">
        <v>7527</v>
      </c>
      <c r="G1513" s="9"/>
    </row>
    <row r="1514" spans="1:7" x14ac:dyDescent="0.3">
      <c r="A1514" s="9">
        <v>45988</v>
      </c>
      <c r="B1514" s="7" t="s">
        <v>7813</v>
      </c>
      <c r="C1514" s="3">
        <v>2906.91</v>
      </c>
      <c r="D1514" s="7" t="s">
        <v>7814</v>
      </c>
      <c r="E1514" s="7" t="s">
        <v>3673</v>
      </c>
      <c r="G1514" s="9"/>
    </row>
    <row r="1515" spans="1:7" x14ac:dyDescent="0.3">
      <c r="A1515" s="9">
        <v>45965</v>
      </c>
      <c r="B1515" s="7" t="s">
        <v>7813</v>
      </c>
      <c r="C1515" s="3">
        <v>4188.57</v>
      </c>
      <c r="D1515" s="7" t="s">
        <v>7814</v>
      </c>
      <c r="E1515" s="7" t="s">
        <v>3912</v>
      </c>
      <c r="G1515" s="9"/>
    </row>
    <row r="1516" spans="1:7" x14ac:dyDescent="0.3">
      <c r="A1516" s="9">
        <v>46082</v>
      </c>
      <c r="B1516" s="7" t="s">
        <v>7813</v>
      </c>
      <c r="C1516" s="3">
        <v>609.30999999999995</v>
      </c>
      <c r="D1516" s="7" t="s">
        <v>7814</v>
      </c>
      <c r="E1516" s="7" t="s">
        <v>3992</v>
      </c>
      <c r="G1516" s="9"/>
    </row>
    <row r="1517" spans="1:7" x14ac:dyDescent="0.3">
      <c r="A1517" s="9">
        <v>46022</v>
      </c>
      <c r="B1517" s="7" t="s">
        <v>7813</v>
      </c>
      <c r="C1517" s="3">
        <v>10445.64</v>
      </c>
      <c r="D1517" s="7" t="s">
        <v>7814</v>
      </c>
      <c r="E1517" s="7" t="s">
        <v>4020</v>
      </c>
      <c r="G1517" s="9"/>
    </row>
    <row r="1518" spans="1:7" x14ac:dyDescent="0.3">
      <c r="A1518" s="9">
        <v>46080</v>
      </c>
      <c r="B1518" s="7" t="s">
        <v>7813</v>
      </c>
      <c r="C1518" s="3">
        <v>2074.3200000000002</v>
      </c>
      <c r="D1518" s="7" t="s">
        <v>7814</v>
      </c>
      <c r="E1518" s="7" t="s">
        <v>4451</v>
      </c>
      <c r="G1518" s="9"/>
    </row>
    <row r="1519" spans="1:7" x14ac:dyDescent="0.3">
      <c r="A1519" s="9">
        <v>46026</v>
      </c>
      <c r="B1519" s="7" t="s">
        <v>7815</v>
      </c>
      <c r="C1519" s="3">
        <v>-6379.55</v>
      </c>
      <c r="D1519" s="7" t="s">
        <v>7816</v>
      </c>
      <c r="E1519" s="7" t="s">
        <v>7111</v>
      </c>
      <c r="G1519" s="9"/>
    </row>
    <row r="1520" spans="1:7" x14ac:dyDescent="0.3">
      <c r="A1520" s="9">
        <v>45980</v>
      </c>
      <c r="B1520" s="7" t="s">
        <v>7815</v>
      </c>
      <c r="C1520" s="3">
        <v>-2303.14</v>
      </c>
      <c r="D1520" s="7" t="s">
        <v>7816</v>
      </c>
      <c r="E1520" s="7" t="s">
        <v>7700</v>
      </c>
      <c r="G1520" s="9"/>
    </row>
    <row r="1521" spans="1:7" x14ac:dyDescent="0.3">
      <c r="A1521" s="9">
        <v>46002</v>
      </c>
      <c r="B1521" s="7" t="s">
        <v>7813</v>
      </c>
      <c r="C1521" s="3">
        <v>3259.25</v>
      </c>
      <c r="D1521" s="7" t="s">
        <v>7814</v>
      </c>
      <c r="E1521" s="7" t="s">
        <v>3341</v>
      </c>
      <c r="G1521" s="9"/>
    </row>
    <row r="1522" spans="1:7" x14ac:dyDescent="0.3">
      <c r="A1522" s="9">
        <v>46049</v>
      </c>
      <c r="B1522" s="7" t="s">
        <v>7813</v>
      </c>
      <c r="C1522" s="3">
        <v>5013.37</v>
      </c>
      <c r="D1522" s="7" t="s">
        <v>7814</v>
      </c>
      <c r="E1522" s="7" t="s">
        <v>4186</v>
      </c>
      <c r="G1522" s="9"/>
    </row>
    <row r="1523" spans="1:7" x14ac:dyDescent="0.3">
      <c r="A1523" s="9">
        <v>46049</v>
      </c>
      <c r="B1523" s="7" t="s">
        <v>7813</v>
      </c>
      <c r="C1523" s="3">
        <v>2117.77</v>
      </c>
      <c r="D1523" s="7" t="s">
        <v>7814</v>
      </c>
      <c r="E1523" s="7" t="s">
        <v>4323</v>
      </c>
      <c r="G1523" s="9"/>
    </row>
    <row r="1524" spans="1:7" x14ac:dyDescent="0.3">
      <c r="A1524" s="9">
        <v>46019</v>
      </c>
      <c r="B1524" s="7" t="s">
        <v>7815</v>
      </c>
      <c r="C1524" s="3">
        <v>-3182.5</v>
      </c>
      <c r="D1524" s="7" t="s">
        <v>7816</v>
      </c>
      <c r="E1524" s="7" t="s">
        <v>7015</v>
      </c>
      <c r="G1524" s="9"/>
    </row>
    <row r="1525" spans="1:7" x14ac:dyDescent="0.3">
      <c r="A1525" s="9">
        <v>46077</v>
      </c>
      <c r="B1525" s="7" t="s">
        <v>7813</v>
      </c>
      <c r="C1525" s="3">
        <v>2731.05</v>
      </c>
      <c r="D1525" s="7" t="s">
        <v>7814</v>
      </c>
      <c r="E1525" s="7" t="s">
        <v>3578</v>
      </c>
      <c r="G1525" s="9"/>
    </row>
    <row r="1526" spans="1:7" x14ac:dyDescent="0.3">
      <c r="A1526" s="9">
        <v>46089</v>
      </c>
      <c r="B1526" s="7" t="s">
        <v>7813</v>
      </c>
      <c r="C1526" s="3">
        <v>1701.57</v>
      </c>
      <c r="D1526" s="7" t="s">
        <v>7814</v>
      </c>
      <c r="E1526" s="7" t="s">
        <v>3720</v>
      </c>
      <c r="G1526" s="9"/>
    </row>
    <row r="1527" spans="1:7" x14ac:dyDescent="0.3">
      <c r="A1527" s="9">
        <v>46052</v>
      </c>
      <c r="B1527" s="7" t="s">
        <v>7813</v>
      </c>
      <c r="C1527" s="3">
        <v>2684.31</v>
      </c>
      <c r="D1527" s="7" t="s">
        <v>7814</v>
      </c>
      <c r="E1527" s="7" t="s">
        <v>3937</v>
      </c>
      <c r="G1527" s="9"/>
    </row>
    <row r="1528" spans="1:7" x14ac:dyDescent="0.3">
      <c r="A1528" s="9">
        <v>46022</v>
      </c>
      <c r="B1528" s="7" t="s">
        <v>7813</v>
      </c>
      <c r="C1528" s="3">
        <v>2226.1</v>
      </c>
      <c r="D1528" s="7" t="s">
        <v>7814</v>
      </c>
      <c r="E1528" s="7" t="s">
        <v>4602</v>
      </c>
      <c r="G1528" s="9"/>
    </row>
    <row r="1529" spans="1:7" x14ac:dyDescent="0.3">
      <c r="A1529" s="9">
        <v>45980</v>
      </c>
      <c r="B1529" s="7" t="s">
        <v>7813</v>
      </c>
      <c r="C1529" s="3">
        <v>3702.76</v>
      </c>
      <c r="D1529" s="7" t="s">
        <v>7814</v>
      </c>
      <c r="E1529" s="7" t="s">
        <v>5000</v>
      </c>
      <c r="G1529" s="9"/>
    </row>
    <row r="1530" spans="1:7" x14ac:dyDescent="0.3">
      <c r="A1530" s="9">
        <v>46026</v>
      </c>
      <c r="B1530" s="7" t="s">
        <v>7813</v>
      </c>
      <c r="C1530" s="3">
        <v>1501.99</v>
      </c>
      <c r="D1530" s="7" t="s">
        <v>7814</v>
      </c>
      <c r="E1530" s="7" t="s">
        <v>5025</v>
      </c>
      <c r="G1530" s="9"/>
    </row>
    <row r="1531" spans="1:7" x14ac:dyDescent="0.3">
      <c r="A1531" s="9">
        <v>46033</v>
      </c>
      <c r="B1531" s="7" t="s">
        <v>7815</v>
      </c>
      <c r="C1531" s="3">
        <v>-5480.86</v>
      </c>
      <c r="D1531" s="7" t="s">
        <v>7816</v>
      </c>
      <c r="E1531" s="7" t="s">
        <v>6872</v>
      </c>
      <c r="G1531" s="9"/>
    </row>
    <row r="1532" spans="1:7" x14ac:dyDescent="0.3">
      <c r="A1532" s="9">
        <v>45975</v>
      </c>
      <c r="B1532" s="7" t="s">
        <v>7815</v>
      </c>
      <c r="C1532" s="3">
        <v>-1419.22</v>
      </c>
      <c r="D1532" s="7" t="s">
        <v>7816</v>
      </c>
      <c r="E1532" s="7" t="s">
        <v>7073</v>
      </c>
      <c r="G1532" s="9"/>
    </row>
    <row r="1533" spans="1:7" x14ac:dyDescent="0.3">
      <c r="A1533" s="9">
        <v>46035</v>
      </c>
      <c r="B1533" s="7" t="s">
        <v>7815</v>
      </c>
      <c r="C1533" s="3">
        <v>-3341.44</v>
      </c>
      <c r="D1533" s="7" t="s">
        <v>7816</v>
      </c>
      <c r="E1533" s="7" t="s">
        <v>7096</v>
      </c>
      <c r="G1533" s="9"/>
    </row>
    <row r="1534" spans="1:7" x14ac:dyDescent="0.3">
      <c r="A1534" s="9">
        <v>46042</v>
      </c>
      <c r="B1534" s="7" t="s">
        <v>7815</v>
      </c>
      <c r="C1534" s="3">
        <v>-5833.74</v>
      </c>
      <c r="D1534" s="7" t="s">
        <v>7816</v>
      </c>
      <c r="E1534" s="7" t="s">
        <v>7432</v>
      </c>
      <c r="G1534" s="9"/>
    </row>
    <row r="1535" spans="1:7" x14ac:dyDescent="0.3">
      <c r="A1535" s="9">
        <v>45989</v>
      </c>
      <c r="B1535" s="7" t="s">
        <v>7815</v>
      </c>
      <c r="C1535" s="3">
        <v>-6212.83</v>
      </c>
      <c r="D1535" s="7" t="s">
        <v>7816</v>
      </c>
      <c r="E1535" s="7" t="s">
        <v>7721</v>
      </c>
      <c r="G1535" s="9"/>
    </row>
    <row r="1536" spans="1:7" x14ac:dyDescent="0.3">
      <c r="A1536" s="9">
        <v>46045</v>
      </c>
      <c r="B1536" s="7" t="s">
        <v>7813</v>
      </c>
      <c r="C1536" s="3">
        <v>4062.16</v>
      </c>
      <c r="D1536" s="7" t="s">
        <v>7814</v>
      </c>
      <c r="E1536" s="7" t="s">
        <v>3589</v>
      </c>
      <c r="G1536" s="9"/>
    </row>
    <row r="1537" spans="1:7" x14ac:dyDescent="0.3">
      <c r="A1537" s="9">
        <v>46076</v>
      </c>
      <c r="B1537" s="7" t="s">
        <v>7813</v>
      </c>
      <c r="C1537" s="3">
        <v>923.73</v>
      </c>
      <c r="D1537" s="7" t="s">
        <v>7814</v>
      </c>
      <c r="E1537" s="7" t="s">
        <v>4009</v>
      </c>
      <c r="G1537" s="9"/>
    </row>
    <row r="1538" spans="1:7" x14ac:dyDescent="0.3">
      <c r="A1538" s="9">
        <v>46086</v>
      </c>
      <c r="B1538" s="7" t="s">
        <v>7813</v>
      </c>
      <c r="C1538" s="3">
        <v>3267.24</v>
      </c>
      <c r="D1538" s="7" t="s">
        <v>7814</v>
      </c>
      <c r="E1538" s="7" t="s">
        <v>4792</v>
      </c>
      <c r="G1538" s="9"/>
    </row>
    <row r="1539" spans="1:7" x14ac:dyDescent="0.3">
      <c r="A1539" s="9">
        <v>46069</v>
      </c>
      <c r="B1539" s="7" t="s">
        <v>7813</v>
      </c>
      <c r="C1539" s="3">
        <v>2797.9</v>
      </c>
      <c r="D1539" s="7" t="s">
        <v>7814</v>
      </c>
      <c r="E1539" s="7" t="s">
        <v>5192</v>
      </c>
      <c r="G1539" s="9"/>
    </row>
    <row r="1540" spans="1:7" x14ac:dyDescent="0.3">
      <c r="A1540" s="9">
        <v>46036</v>
      </c>
      <c r="B1540" s="7" t="s">
        <v>7815</v>
      </c>
      <c r="C1540" s="3">
        <v>-1144.06</v>
      </c>
      <c r="D1540" s="7" t="s">
        <v>7816</v>
      </c>
      <c r="E1540" s="7" t="s">
        <v>7244</v>
      </c>
      <c r="G1540" s="9"/>
    </row>
    <row r="1541" spans="1:7" x14ac:dyDescent="0.3">
      <c r="A1541" s="9">
        <v>46078</v>
      </c>
      <c r="B1541" s="7" t="s">
        <v>7815</v>
      </c>
      <c r="C1541" s="3">
        <v>-821.27</v>
      </c>
      <c r="D1541" s="7" t="s">
        <v>7816</v>
      </c>
      <c r="E1541" s="7" t="s">
        <v>7533</v>
      </c>
      <c r="G1541" s="9"/>
    </row>
    <row r="1542" spans="1:7" x14ac:dyDescent="0.3">
      <c r="A1542" s="9">
        <v>46073</v>
      </c>
      <c r="B1542" s="7" t="s">
        <v>7817</v>
      </c>
      <c r="C1542" s="3">
        <v>-99536.67</v>
      </c>
      <c r="D1542" s="7" t="s">
        <v>7816</v>
      </c>
      <c r="E1542" s="7" t="s">
        <v>7818</v>
      </c>
      <c r="G1542" s="9"/>
    </row>
    <row r="1543" spans="1:7" x14ac:dyDescent="0.3">
      <c r="A1543" s="9">
        <v>46020</v>
      </c>
      <c r="B1543" s="7" t="s">
        <v>7813</v>
      </c>
      <c r="C1543" s="3">
        <v>1137.08</v>
      </c>
      <c r="D1543" s="7" t="s">
        <v>7814</v>
      </c>
      <c r="E1543" s="7" t="s">
        <v>3692</v>
      </c>
      <c r="G1543" s="9"/>
    </row>
    <row r="1544" spans="1:7" x14ac:dyDescent="0.3">
      <c r="A1544" s="9">
        <v>46087</v>
      </c>
      <c r="B1544" s="7" t="s">
        <v>7813</v>
      </c>
      <c r="C1544" s="3">
        <v>2019.09</v>
      </c>
      <c r="D1544" s="7" t="s">
        <v>7814</v>
      </c>
      <c r="E1544" s="7" t="s">
        <v>3815</v>
      </c>
      <c r="G1544" s="9"/>
    </row>
    <row r="1545" spans="1:7" x14ac:dyDescent="0.3">
      <c r="A1545" s="9">
        <v>45996</v>
      </c>
      <c r="B1545" s="7" t="s">
        <v>7813</v>
      </c>
      <c r="C1545" s="3">
        <v>1636.36</v>
      </c>
      <c r="D1545" s="7" t="s">
        <v>7814</v>
      </c>
      <c r="E1545" s="7" t="s">
        <v>4629</v>
      </c>
      <c r="G1545" s="9"/>
    </row>
    <row r="1546" spans="1:7" x14ac:dyDescent="0.3">
      <c r="A1546" s="9">
        <v>46055</v>
      </c>
      <c r="B1546" s="7" t="s">
        <v>7813</v>
      </c>
      <c r="C1546" s="3">
        <v>4044.23</v>
      </c>
      <c r="D1546" s="7" t="s">
        <v>7814</v>
      </c>
      <c r="E1546" s="7" t="s">
        <v>5269</v>
      </c>
      <c r="G1546" s="9"/>
    </row>
    <row r="1547" spans="1:7" x14ac:dyDescent="0.3">
      <c r="A1547" s="9">
        <v>46085</v>
      </c>
      <c r="B1547" s="7" t="s">
        <v>7815</v>
      </c>
      <c r="C1547" s="3">
        <v>-6115.82</v>
      </c>
      <c r="D1547" s="7" t="s">
        <v>7816</v>
      </c>
      <c r="E1547" s="7" t="s">
        <v>7108</v>
      </c>
      <c r="G1547" s="9"/>
    </row>
    <row r="1548" spans="1:7" x14ac:dyDescent="0.3">
      <c r="A1548" s="9">
        <v>46035</v>
      </c>
      <c r="B1548" s="7" t="s">
        <v>7815</v>
      </c>
      <c r="C1548" s="3">
        <v>-3208.92</v>
      </c>
      <c r="D1548" s="7" t="s">
        <v>7816</v>
      </c>
      <c r="E1548" s="7" t="s">
        <v>7524</v>
      </c>
      <c r="G1548" s="9"/>
    </row>
    <row r="1549" spans="1:7" x14ac:dyDescent="0.3">
      <c r="A1549" s="9">
        <v>45965</v>
      </c>
      <c r="B1549" s="7" t="s">
        <v>7813</v>
      </c>
      <c r="C1549" s="3">
        <v>2860.17</v>
      </c>
      <c r="D1549" s="7" t="s">
        <v>7814</v>
      </c>
      <c r="E1549" s="7" t="s">
        <v>3199</v>
      </c>
      <c r="G1549" s="9"/>
    </row>
    <row r="1550" spans="1:7" x14ac:dyDescent="0.3">
      <c r="A1550" s="9">
        <v>46042</v>
      </c>
      <c r="B1550" s="7" t="s">
        <v>7813</v>
      </c>
      <c r="C1550" s="3">
        <v>3532.18</v>
      </c>
      <c r="D1550" s="7" t="s">
        <v>7814</v>
      </c>
      <c r="E1550" s="7" t="s">
        <v>3755</v>
      </c>
      <c r="G1550" s="9"/>
    </row>
    <row r="1551" spans="1:7" x14ac:dyDescent="0.3">
      <c r="A1551" s="9">
        <v>46038</v>
      </c>
      <c r="B1551" s="7" t="s">
        <v>7813</v>
      </c>
      <c r="C1551" s="3">
        <v>1782.51</v>
      </c>
      <c r="D1551" s="7" t="s">
        <v>7814</v>
      </c>
      <c r="E1551" s="7" t="s">
        <v>3968</v>
      </c>
      <c r="G1551" s="9"/>
    </row>
    <row r="1552" spans="1:7" x14ac:dyDescent="0.3">
      <c r="A1552" s="9">
        <v>46080</v>
      </c>
      <c r="B1552" s="7" t="s">
        <v>7813</v>
      </c>
      <c r="C1552" s="3">
        <v>2173.62</v>
      </c>
      <c r="D1552" s="7" t="s">
        <v>7814</v>
      </c>
      <c r="E1552" s="7" t="s">
        <v>4467</v>
      </c>
      <c r="G1552" s="9"/>
    </row>
    <row r="1553" spans="1:7" x14ac:dyDescent="0.3">
      <c r="A1553" s="9">
        <v>46090</v>
      </c>
      <c r="B1553" s="7" t="s">
        <v>7815</v>
      </c>
      <c r="C1553" s="3">
        <v>-5804.52</v>
      </c>
      <c r="D1553" s="7" t="s">
        <v>7816</v>
      </c>
      <c r="E1553" s="7" t="s">
        <v>7009</v>
      </c>
      <c r="G1553" s="9"/>
    </row>
    <row r="1554" spans="1:7" x14ac:dyDescent="0.3">
      <c r="A1554" s="9">
        <v>46060</v>
      </c>
      <c r="B1554" s="7" t="s">
        <v>7815</v>
      </c>
      <c r="C1554" s="3">
        <v>-6642.94</v>
      </c>
      <c r="D1554" s="7" t="s">
        <v>7816</v>
      </c>
      <c r="E1554" s="7" t="s">
        <v>7211</v>
      </c>
      <c r="G1554" s="9"/>
    </row>
    <row r="1555" spans="1:7" x14ac:dyDescent="0.3">
      <c r="A1555" s="9">
        <v>45998</v>
      </c>
      <c r="B1555" s="7" t="s">
        <v>7815</v>
      </c>
      <c r="C1555" s="3">
        <v>-4823.38</v>
      </c>
      <c r="D1555" s="7" t="s">
        <v>7816</v>
      </c>
      <c r="E1555" s="7" t="s">
        <v>7336</v>
      </c>
      <c r="G1555" s="9"/>
    </row>
    <row r="1556" spans="1:7" x14ac:dyDescent="0.3">
      <c r="A1556" s="9">
        <v>46041</v>
      </c>
      <c r="B1556" s="7" t="s">
        <v>7815</v>
      </c>
      <c r="C1556" s="3">
        <v>-2016.92</v>
      </c>
      <c r="D1556" s="7" t="s">
        <v>7816</v>
      </c>
      <c r="E1556" s="7" t="s">
        <v>7676</v>
      </c>
      <c r="G1556" s="9"/>
    </row>
    <row r="1557" spans="1:7" x14ac:dyDescent="0.3">
      <c r="A1557" s="9">
        <v>45998</v>
      </c>
      <c r="B1557" s="7" t="s">
        <v>7815</v>
      </c>
      <c r="C1557" s="3">
        <v>-2313.02</v>
      </c>
      <c r="D1557" s="7" t="s">
        <v>7816</v>
      </c>
      <c r="E1557" s="7" t="s">
        <v>7784</v>
      </c>
      <c r="G1557" s="9"/>
    </row>
    <row r="1558" spans="1:7" x14ac:dyDescent="0.3">
      <c r="A1558" s="9">
        <v>46015</v>
      </c>
      <c r="B1558" s="7" t="s">
        <v>7813</v>
      </c>
      <c r="C1558" s="3">
        <v>2623.26</v>
      </c>
      <c r="D1558" s="7" t="s">
        <v>7814</v>
      </c>
      <c r="E1558" s="7" t="s">
        <v>3227</v>
      </c>
      <c r="G1558" s="9"/>
    </row>
    <row r="1559" spans="1:7" x14ac:dyDescent="0.3">
      <c r="A1559" s="9">
        <v>46062</v>
      </c>
      <c r="B1559" s="7" t="s">
        <v>7813</v>
      </c>
      <c r="C1559" s="3">
        <v>11582.49</v>
      </c>
      <c r="D1559" s="7" t="s">
        <v>7814</v>
      </c>
      <c r="E1559" s="7" t="s">
        <v>4274</v>
      </c>
      <c r="G1559" s="9"/>
    </row>
    <row r="1560" spans="1:7" x14ac:dyDescent="0.3">
      <c r="A1560" s="9">
        <v>46006</v>
      </c>
      <c r="B1560" s="7" t="s">
        <v>7813</v>
      </c>
      <c r="C1560" s="3">
        <v>3721.88</v>
      </c>
      <c r="D1560" s="7" t="s">
        <v>7814</v>
      </c>
      <c r="E1560" s="7" t="s">
        <v>4507</v>
      </c>
      <c r="G1560" s="9"/>
    </row>
    <row r="1561" spans="1:7" x14ac:dyDescent="0.3">
      <c r="A1561" s="9">
        <v>46086</v>
      </c>
      <c r="B1561" s="7" t="s">
        <v>7813</v>
      </c>
      <c r="C1561" s="3">
        <v>2451.5</v>
      </c>
      <c r="D1561" s="7" t="s">
        <v>7814</v>
      </c>
      <c r="E1561" s="7" t="s">
        <v>5094</v>
      </c>
      <c r="G1561" s="9"/>
    </row>
    <row r="1562" spans="1:7" x14ac:dyDescent="0.3">
      <c r="A1562" s="9">
        <v>46011</v>
      </c>
      <c r="B1562" s="7" t="s">
        <v>7813</v>
      </c>
      <c r="C1562" s="3">
        <v>4752.3900000000003</v>
      </c>
      <c r="D1562" s="7" t="s">
        <v>7814</v>
      </c>
      <c r="E1562" s="7" t="s">
        <v>3277</v>
      </c>
      <c r="G1562" s="9"/>
    </row>
    <row r="1563" spans="1:7" x14ac:dyDescent="0.3">
      <c r="A1563" s="9">
        <v>45965</v>
      </c>
      <c r="B1563" s="7" t="s">
        <v>7813</v>
      </c>
      <c r="C1563" s="3">
        <v>3991.82</v>
      </c>
      <c r="D1563" s="7" t="s">
        <v>7814</v>
      </c>
      <c r="E1563" s="7" t="s">
        <v>4164</v>
      </c>
      <c r="G1563" s="9"/>
    </row>
    <row r="1564" spans="1:7" x14ac:dyDescent="0.3">
      <c r="A1564" s="9">
        <v>46071</v>
      </c>
      <c r="B1564" s="7" t="s">
        <v>7813</v>
      </c>
      <c r="C1564" s="3">
        <v>3480.69</v>
      </c>
      <c r="D1564" s="7" t="s">
        <v>7814</v>
      </c>
      <c r="E1564" s="7" t="s">
        <v>4210</v>
      </c>
      <c r="G1564" s="9"/>
    </row>
    <row r="1565" spans="1:7" x14ac:dyDescent="0.3">
      <c r="A1565" s="9">
        <v>45979</v>
      </c>
      <c r="B1565" s="7" t="s">
        <v>7813</v>
      </c>
      <c r="C1565" s="3">
        <v>2301.48</v>
      </c>
      <c r="D1565" s="7" t="s">
        <v>7814</v>
      </c>
      <c r="E1565" s="7" t="s">
        <v>4628</v>
      </c>
      <c r="G1565" s="9"/>
    </row>
    <row r="1566" spans="1:7" x14ac:dyDescent="0.3">
      <c r="A1566" s="9">
        <v>46030</v>
      </c>
      <c r="B1566" s="7" t="s">
        <v>7813</v>
      </c>
      <c r="C1566" s="3">
        <v>1477.03</v>
      </c>
      <c r="D1566" s="7" t="s">
        <v>7814</v>
      </c>
      <c r="E1566" s="7" t="s">
        <v>4681</v>
      </c>
      <c r="G1566" s="9"/>
    </row>
    <row r="1567" spans="1:7" x14ac:dyDescent="0.3">
      <c r="A1567" s="9">
        <v>46027</v>
      </c>
      <c r="B1567" s="7" t="s">
        <v>7813</v>
      </c>
      <c r="C1567" s="3">
        <v>1715.42</v>
      </c>
      <c r="D1567" s="7" t="s">
        <v>7814</v>
      </c>
      <c r="E1567" s="7" t="s">
        <v>4793</v>
      </c>
      <c r="G1567" s="9"/>
    </row>
    <row r="1568" spans="1:7" x14ac:dyDescent="0.3">
      <c r="A1568" s="9">
        <v>46050</v>
      </c>
      <c r="B1568" s="7" t="s">
        <v>7813</v>
      </c>
      <c r="C1568" s="3">
        <v>2881.94</v>
      </c>
      <c r="D1568" s="7" t="s">
        <v>7814</v>
      </c>
      <c r="E1568" s="7" t="s">
        <v>5305</v>
      </c>
      <c r="G1568" s="9"/>
    </row>
    <row r="1569" spans="1:7" x14ac:dyDescent="0.3">
      <c r="A1569" s="9">
        <v>46005</v>
      </c>
      <c r="B1569" s="7" t="s">
        <v>7815</v>
      </c>
      <c r="C1569" s="3">
        <v>-1487.56</v>
      </c>
      <c r="D1569" s="7" t="s">
        <v>7816</v>
      </c>
      <c r="E1569" s="7" t="s">
        <v>7105</v>
      </c>
      <c r="G1569" s="9"/>
    </row>
    <row r="1570" spans="1:7" x14ac:dyDescent="0.3">
      <c r="A1570" s="9">
        <v>45991</v>
      </c>
      <c r="B1570" s="7" t="s">
        <v>7815</v>
      </c>
      <c r="C1570" s="3">
        <v>-6720.04</v>
      </c>
      <c r="D1570" s="7" t="s">
        <v>7816</v>
      </c>
      <c r="E1570" s="7" t="s">
        <v>7290</v>
      </c>
      <c r="G1570" s="9"/>
    </row>
    <row r="1571" spans="1:7" x14ac:dyDescent="0.3">
      <c r="A1571" s="9">
        <v>46009</v>
      </c>
      <c r="B1571" s="7" t="s">
        <v>7815</v>
      </c>
      <c r="C1571" s="3">
        <v>-4326.25</v>
      </c>
      <c r="D1571" s="7" t="s">
        <v>7816</v>
      </c>
      <c r="E1571" s="7" t="s">
        <v>7653</v>
      </c>
      <c r="G1571" s="9"/>
    </row>
    <row r="1572" spans="1:7" x14ac:dyDescent="0.3">
      <c r="A1572" s="9">
        <v>46090</v>
      </c>
      <c r="B1572" s="7" t="s">
        <v>7813</v>
      </c>
      <c r="C1572" s="3">
        <v>2189.62</v>
      </c>
      <c r="D1572" s="7" t="s">
        <v>7814</v>
      </c>
      <c r="E1572" s="7" t="s">
        <v>3824</v>
      </c>
      <c r="G1572" s="9"/>
    </row>
    <row r="1573" spans="1:7" x14ac:dyDescent="0.3">
      <c r="A1573" s="9">
        <v>46000</v>
      </c>
      <c r="B1573" s="7" t="s">
        <v>7813</v>
      </c>
      <c r="C1573" s="3">
        <v>13348.68</v>
      </c>
      <c r="D1573" s="7" t="s">
        <v>7814</v>
      </c>
      <c r="E1573" s="7" t="s">
        <v>3857</v>
      </c>
      <c r="G1573" s="9"/>
    </row>
    <row r="1574" spans="1:7" x14ac:dyDescent="0.3">
      <c r="A1574" s="9">
        <v>46076</v>
      </c>
      <c r="B1574" s="7" t="s">
        <v>7813</v>
      </c>
      <c r="C1574" s="3">
        <v>5009.53</v>
      </c>
      <c r="D1574" s="7" t="s">
        <v>7814</v>
      </c>
      <c r="E1574" s="7" t="s">
        <v>4339</v>
      </c>
      <c r="G1574" s="9"/>
    </row>
    <row r="1575" spans="1:7" x14ac:dyDescent="0.3">
      <c r="A1575" s="9">
        <v>46086</v>
      </c>
      <c r="B1575" s="7" t="s">
        <v>7813</v>
      </c>
      <c r="C1575" s="3">
        <v>1136.3599999999999</v>
      </c>
      <c r="D1575" s="7" t="s">
        <v>7814</v>
      </c>
      <c r="E1575" s="7" t="s">
        <v>4596</v>
      </c>
      <c r="G1575" s="9"/>
    </row>
    <row r="1576" spans="1:7" x14ac:dyDescent="0.3">
      <c r="A1576" s="9">
        <v>45982</v>
      </c>
      <c r="B1576" s="7" t="s">
        <v>7813</v>
      </c>
      <c r="C1576" s="3">
        <v>4672.3599999999997</v>
      </c>
      <c r="D1576" s="7" t="s">
        <v>7814</v>
      </c>
      <c r="E1576" s="7" t="s">
        <v>4620</v>
      </c>
      <c r="G1576" s="9"/>
    </row>
    <row r="1577" spans="1:7" x14ac:dyDescent="0.3">
      <c r="A1577" s="9">
        <v>45993</v>
      </c>
      <c r="B1577" s="7" t="s">
        <v>7813</v>
      </c>
      <c r="C1577" s="3">
        <v>1148.72</v>
      </c>
      <c r="D1577" s="7" t="s">
        <v>7814</v>
      </c>
      <c r="E1577" s="7" t="s">
        <v>5389</v>
      </c>
      <c r="G1577" s="9"/>
    </row>
    <row r="1578" spans="1:7" x14ac:dyDescent="0.3">
      <c r="A1578" s="9">
        <v>46020</v>
      </c>
      <c r="B1578" s="7" t="s">
        <v>7815</v>
      </c>
      <c r="C1578" s="3">
        <v>-6011.33</v>
      </c>
      <c r="D1578" s="7" t="s">
        <v>7816</v>
      </c>
      <c r="E1578" s="7" t="s">
        <v>7018</v>
      </c>
      <c r="G1578" s="9"/>
    </row>
    <row r="1579" spans="1:7" x14ac:dyDescent="0.3">
      <c r="A1579" s="9">
        <v>45984</v>
      </c>
      <c r="B1579" s="7" t="s">
        <v>7815</v>
      </c>
      <c r="C1579" s="3">
        <v>-6493.4</v>
      </c>
      <c r="D1579" s="7" t="s">
        <v>7816</v>
      </c>
      <c r="E1579" s="7" t="s">
        <v>7179</v>
      </c>
      <c r="G1579" s="9"/>
    </row>
    <row r="1580" spans="1:7" x14ac:dyDescent="0.3">
      <c r="A1580" s="9">
        <v>46054</v>
      </c>
      <c r="B1580" s="7" t="s">
        <v>7815</v>
      </c>
      <c r="C1580" s="3">
        <v>-2608.15</v>
      </c>
      <c r="D1580" s="7" t="s">
        <v>7816</v>
      </c>
      <c r="E1580" s="7" t="s">
        <v>7412</v>
      </c>
      <c r="G1580" s="9"/>
    </row>
    <row r="1581" spans="1:7" x14ac:dyDescent="0.3">
      <c r="A1581" s="9">
        <v>46034</v>
      </c>
      <c r="B1581" s="7" t="s">
        <v>7815</v>
      </c>
      <c r="C1581" s="3">
        <v>-3434.54</v>
      </c>
      <c r="D1581" s="7" t="s">
        <v>7816</v>
      </c>
      <c r="E1581" s="7" t="s">
        <v>7442</v>
      </c>
      <c r="G1581" s="9"/>
    </row>
    <row r="1582" spans="1:7" x14ac:dyDescent="0.3">
      <c r="A1582" s="9">
        <v>45996</v>
      </c>
      <c r="B1582" s="7" t="s">
        <v>7813</v>
      </c>
      <c r="C1582" s="3">
        <v>2748.25</v>
      </c>
      <c r="D1582" s="7" t="s">
        <v>7814</v>
      </c>
      <c r="E1582" s="7" t="s">
        <v>3378</v>
      </c>
      <c r="G1582" s="9"/>
    </row>
    <row r="1583" spans="1:7" x14ac:dyDescent="0.3">
      <c r="A1583" s="9">
        <v>45965</v>
      </c>
      <c r="B1583" s="7" t="s">
        <v>7813</v>
      </c>
      <c r="C1583" s="3">
        <v>1570.08</v>
      </c>
      <c r="D1583" s="7" t="s">
        <v>7814</v>
      </c>
      <c r="E1583" s="7" t="s">
        <v>3579</v>
      </c>
      <c r="G1583" s="9"/>
    </row>
    <row r="1584" spans="1:7" x14ac:dyDescent="0.3">
      <c r="A1584" s="9">
        <v>46086</v>
      </c>
      <c r="B1584" s="7" t="s">
        <v>7813</v>
      </c>
      <c r="C1584" s="3">
        <v>853.46</v>
      </c>
      <c r="D1584" s="7" t="s">
        <v>7814</v>
      </c>
      <c r="E1584" s="7" t="s">
        <v>3993</v>
      </c>
      <c r="G1584" s="9"/>
    </row>
    <row r="1585" spans="1:7" x14ac:dyDescent="0.3">
      <c r="A1585" s="9">
        <v>46090</v>
      </c>
      <c r="B1585" s="7" t="s">
        <v>7813</v>
      </c>
      <c r="C1585" s="3">
        <v>10606.01</v>
      </c>
      <c r="D1585" s="7" t="s">
        <v>7814</v>
      </c>
      <c r="E1585" s="7" t="s">
        <v>4431</v>
      </c>
      <c r="G1585" s="9"/>
    </row>
    <row r="1586" spans="1:7" x14ac:dyDescent="0.3">
      <c r="A1586" s="9">
        <v>46013</v>
      </c>
      <c r="B1586" s="7" t="s">
        <v>7813</v>
      </c>
      <c r="C1586" s="3">
        <v>1216.6300000000001</v>
      </c>
      <c r="D1586" s="7" t="s">
        <v>7814</v>
      </c>
      <c r="E1586" s="7" t="s">
        <v>4974</v>
      </c>
      <c r="G1586" s="9"/>
    </row>
    <row r="1587" spans="1:7" x14ac:dyDescent="0.3">
      <c r="A1587" s="9">
        <v>46083</v>
      </c>
      <c r="B1587" s="7" t="s">
        <v>7813</v>
      </c>
      <c r="C1587" s="3">
        <v>2624.5</v>
      </c>
      <c r="D1587" s="7" t="s">
        <v>7814</v>
      </c>
      <c r="E1587" s="7" t="s">
        <v>4997</v>
      </c>
      <c r="G1587" s="9"/>
    </row>
    <row r="1588" spans="1:7" x14ac:dyDescent="0.3">
      <c r="A1588" s="9">
        <v>46090</v>
      </c>
      <c r="B1588" s="7" t="s">
        <v>7815</v>
      </c>
      <c r="C1588" s="3">
        <v>-4186.16</v>
      </c>
      <c r="D1588" s="7" t="s">
        <v>7816</v>
      </c>
      <c r="E1588" s="7" t="s">
        <v>6893</v>
      </c>
      <c r="G1588" s="9"/>
    </row>
    <row r="1589" spans="1:7" x14ac:dyDescent="0.3">
      <c r="A1589" s="9">
        <v>45982</v>
      </c>
      <c r="B1589" s="7" t="s">
        <v>7815</v>
      </c>
      <c r="C1589" s="3">
        <v>-5688.92</v>
      </c>
      <c r="D1589" s="7" t="s">
        <v>7816</v>
      </c>
      <c r="E1589" s="7" t="s">
        <v>7087</v>
      </c>
      <c r="G1589" s="9"/>
    </row>
    <row r="1590" spans="1:7" x14ac:dyDescent="0.3">
      <c r="A1590" s="9">
        <v>45984</v>
      </c>
      <c r="B1590" s="7" t="s">
        <v>7815</v>
      </c>
      <c r="C1590" s="3">
        <v>-1712.11</v>
      </c>
      <c r="D1590" s="7" t="s">
        <v>7816</v>
      </c>
      <c r="E1590" s="7" t="s">
        <v>7481</v>
      </c>
      <c r="G1590" s="9"/>
    </row>
    <row r="1591" spans="1:7" x14ac:dyDescent="0.3">
      <c r="A1591" s="9">
        <v>46029</v>
      </c>
      <c r="B1591" s="7" t="s">
        <v>7813</v>
      </c>
      <c r="C1591" s="3">
        <v>2996.86</v>
      </c>
      <c r="D1591" s="7" t="s">
        <v>7814</v>
      </c>
      <c r="E1591" s="7" t="s">
        <v>3288</v>
      </c>
      <c r="G1591" s="9"/>
    </row>
    <row r="1592" spans="1:7" x14ac:dyDescent="0.3">
      <c r="A1592" s="9">
        <v>46074</v>
      </c>
      <c r="B1592" s="7" t="s">
        <v>7813</v>
      </c>
      <c r="C1592" s="3">
        <v>13065.57</v>
      </c>
      <c r="D1592" s="7" t="s">
        <v>7814</v>
      </c>
      <c r="E1592" s="7" t="s">
        <v>3504</v>
      </c>
      <c r="G1592" s="9"/>
    </row>
    <row r="1593" spans="1:7" x14ac:dyDescent="0.3">
      <c r="A1593" s="9">
        <v>46008</v>
      </c>
      <c r="B1593" s="7" t="s">
        <v>7813</v>
      </c>
      <c r="C1593" s="3">
        <v>2880.13</v>
      </c>
      <c r="D1593" s="7" t="s">
        <v>7814</v>
      </c>
      <c r="E1593" s="7" t="s">
        <v>3947</v>
      </c>
      <c r="G1593" s="9"/>
    </row>
    <row r="1594" spans="1:7" x14ac:dyDescent="0.3">
      <c r="A1594" s="9">
        <v>46061</v>
      </c>
      <c r="B1594" s="7" t="s">
        <v>7813</v>
      </c>
      <c r="C1594" s="3">
        <v>917.04</v>
      </c>
      <c r="D1594" s="7" t="s">
        <v>7814</v>
      </c>
      <c r="E1594" s="7" t="s">
        <v>4630</v>
      </c>
      <c r="G1594" s="9"/>
    </row>
    <row r="1595" spans="1:7" x14ac:dyDescent="0.3">
      <c r="A1595" s="9">
        <v>46076</v>
      </c>
      <c r="B1595" s="7" t="s">
        <v>7813</v>
      </c>
      <c r="C1595" s="3">
        <v>2572.25</v>
      </c>
      <c r="D1595" s="7" t="s">
        <v>7814</v>
      </c>
      <c r="E1595" s="7" t="s">
        <v>4778</v>
      </c>
      <c r="G1595" s="9"/>
    </row>
    <row r="1596" spans="1:7" x14ac:dyDescent="0.3">
      <c r="A1596" s="9">
        <v>46026</v>
      </c>
      <c r="B1596" s="7" t="s">
        <v>7813</v>
      </c>
      <c r="C1596" s="3">
        <v>2943.53</v>
      </c>
      <c r="D1596" s="7" t="s">
        <v>7814</v>
      </c>
      <c r="E1596" s="7" t="s">
        <v>4965</v>
      </c>
      <c r="G1596" s="9"/>
    </row>
    <row r="1597" spans="1:7" x14ac:dyDescent="0.3">
      <c r="A1597" s="9">
        <v>46082</v>
      </c>
      <c r="B1597" s="7" t="s">
        <v>7813</v>
      </c>
      <c r="C1597" s="3">
        <v>3818.68</v>
      </c>
      <c r="D1597" s="7" t="s">
        <v>7814</v>
      </c>
      <c r="E1597" s="7" t="s">
        <v>5069</v>
      </c>
      <c r="G1597" s="9"/>
    </row>
    <row r="1598" spans="1:7" x14ac:dyDescent="0.3">
      <c r="A1598" s="9">
        <v>46043</v>
      </c>
      <c r="B1598" s="7" t="s">
        <v>7813</v>
      </c>
      <c r="C1598" s="3">
        <v>4657.28</v>
      </c>
      <c r="D1598" s="7" t="s">
        <v>7814</v>
      </c>
      <c r="E1598" s="7" t="s">
        <v>5140</v>
      </c>
      <c r="G1598" s="9"/>
    </row>
    <row r="1599" spans="1:7" x14ac:dyDescent="0.3">
      <c r="A1599" s="9">
        <v>45984</v>
      </c>
      <c r="B1599" s="7" t="s">
        <v>7813</v>
      </c>
      <c r="C1599" s="3">
        <v>1270.95</v>
      </c>
      <c r="D1599" s="7" t="s">
        <v>7814</v>
      </c>
      <c r="E1599" s="7" t="s">
        <v>5390</v>
      </c>
      <c r="G1599" s="9"/>
    </row>
    <row r="1600" spans="1:7" x14ac:dyDescent="0.3">
      <c r="A1600" s="9">
        <v>46009</v>
      </c>
      <c r="B1600" s="7" t="s">
        <v>7815</v>
      </c>
      <c r="C1600" s="3">
        <v>-1958.28</v>
      </c>
      <c r="D1600" s="7" t="s">
        <v>7816</v>
      </c>
      <c r="E1600" s="7" t="s">
        <v>7149</v>
      </c>
      <c r="G1600" s="9"/>
    </row>
    <row r="1601" spans="1:7" x14ac:dyDescent="0.3">
      <c r="A1601" s="9">
        <v>45964</v>
      </c>
      <c r="B1601" s="7" t="s">
        <v>7815</v>
      </c>
      <c r="C1601" s="3">
        <v>-6251.95</v>
      </c>
      <c r="D1601" s="7" t="s">
        <v>7816</v>
      </c>
      <c r="E1601" s="7" t="s">
        <v>7212</v>
      </c>
      <c r="G1601" s="9"/>
    </row>
    <row r="1602" spans="1:7" x14ac:dyDescent="0.3">
      <c r="A1602" s="9">
        <v>45967</v>
      </c>
      <c r="B1602" s="7" t="s">
        <v>7813</v>
      </c>
      <c r="C1602" s="3">
        <v>5948.8</v>
      </c>
      <c r="D1602" s="7" t="s">
        <v>7814</v>
      </c>
      <c r="E1602" s="7" t="s">
        <v>3629</v>
      </c>
      <c r="G1602" s="9"/>
    </row>
    <row r="1603" spans="1:7" x14ac:dyDescent="0.3">
      <c r="A1603" s="9">
        <v>46089</v>
      </c>
      <c r="B1603" s="7" t="s">
        <v>7813</v>
      </c>
      <c r="C1603" s="3">
        <v>8075.55</v>
      </c>
      <c r="D1603" s="7" t="s">
        <v>7814</v>
      </c>
      <c r="E1603" s="7" t="s">
        <v>4033</v>
      </c>
      <c r="G1603" s="9"/>
    </row>
    <row r="1604" spans="1:7" x14ac:dyDescent="0.3">
      <c r="A1604" s="9">
        <v>46057</v>
      </c>
      <c r="B1604" s="7" t="s">
        <v>7813</v>
      </c>
      <c r="C1604" s="3">
        <v>4002.18</v>
      </c>
      <c r="D1604" s="7" t="s">
        <v>7814</v>
      </c>
      <c r="E1604" s="7" t="s">
        <v>4400</v>
      </c>
      <c r="G1604" s="9"/>
    </row>
    <row r="1605" spans="1:7" x14ac:dyDescent="0.3">
      <c r="A1605" s="9">
        <v>46029</v>
      </c>
      <c r="B1605" s="7" t="s">
        <v>7813</v>
      </c>
      <c r="C1605" s="3">
        <v>10395.950000000001</v>
      </c>
      <c r="D1605" s="7" t="s">
        <v>7814</v>
      </c>
      <c r="E1605" s="7" t="s">
        <v>4506</v>
      </c>
      <c r="G1605" s="9"/>
    </row>
    <row r="1606" spans="1:7" x14ac:dyDescent="0.3">
      <c r="A1606" s="9">
        <v>46083</v>
      </c>
      <c r="B1606" s="7" t="s">
        <v>7813</v>
      </c>
      <c r="C1606" s="3">
        <v>3128.75</v>
      </c>
      <c r="D1606" s="7" t="s">
        <v>7814</v>
      </c>
      <c r="E1606" s="7" t="s">
        <v>4759</v>
      </c>
      <c r="G1606" s="9"/>
    </row>
    <row r="1607" spans="1:7" x14ac:dyDescent="0.3">
      <c r="A1607" s="9">
        <v>46079</v>
      </c>
      <c r="B1607" s="7" t="s">
        <v>7813</v>
      </c>
      <c r="C1607" s="3">
        <v>4131.12</v>
      </c>
      <c r="D1607" s="7" t="s">
        <v>7814</v>
      </c>
      <c r="E1607" s="7" t="s">
        <v>5145</v>
      </c>
      <c r="G1607" s="9"/>
    </row>
    <row r="1608" spans="1:7" x14ac:dyDescent="0.3">
      <c r="A1608" s="9">
        <v>46070</v>
      </c>
      <c r="B1608" s="7" t="s">
        <v>7815</v>
      </c>
      <c r="C1608" s="3">
        <v>-5246.81</v>
      </c>
      <c r="D1608" s="7" t="s">
        <v>7816</v>
      </c>
      <c r="E1608" s="7" t="s">
        <v>7365</v>
      </c>
      <c r="G1608" s="9"/>
    </row>
    <row r="1609" spans="1:7" x14ac:dyDescent="0.3">
      <c r="A1609" s="9">
        <v>46003</v>
      </c>
      <c r="B1609" s="7" t="s">
        <v>7815</v>
      </c>
      <c r="C1609" s="3">
        <v>-3084.71</v>
      </c>
      <c r="D1609" s="7" t="s">
        <v>7816</v>
      </c>
      <c r="E1609" s="7" t="s">
        <v>7517</v>
      </c>
      <c r="G1609" s="9"/>
    </row>
    <row r="1610" spans="1:7" x14ac:dyDescent="0.3">
      <c r="A1610" s="9">
        <v>45981</v>
      </c>
      <c r="B1610" s="7" t="s">
        <v>7815</v>
      </c>
      <c r="C1610" s="3">
        <v>-1706.77</v>
      </c>
      <c r="D1610" s="7" t="s">
        <v>7816</v>
      </c>
      <c r="E1610" s="7" t="s">
        <v>7687</v>
      </c>
      <c r="G1610" s="9"/>
    </row>
    <row r="1611" spans="1:7" x14ac:dyDescent="0.3">
      <c r="A1611" s="9">
        <v>45971</v>
      </c>
      <c r="B1611" s="7" t="s">
        <v>7813</v>
      </c>
      <c r="C1611" s="3">
        <v>1658.95</v>
      </c>
      <c r="D1611" s="7" t="s">
        <v>7814</v>
      </c>
      <c r="E1611" s="7" t="s">
        <v>3207</v>
      </c>
      <c r="G1611" s="9"/>
    </row>
    <row r="1612" spans="1:7" x14ac:dyDescent="0.3">
      <c r="A1612" s="9">
        <v>46048</v>
      </c>
      <c r="B1612" s="7" t="s">
        <v>7813</v>
      </c>
      <c r="C1612" s="3">
        <v>5557.88</v>
      </c>
      <c r="D1612" s="7" t="s">
        <v>7814</v>
      </c>
      <c r="E1612" s="7" t="s">
        <v>3682</v>
      </c>
      <c r="G1612" s="9"/>
    </row>
    <row r="1613" spans="1:7" x14ac:dyDescent="0.3">
      <c r="A1613" s="9">
        <v>45989</v>
      </c>
      <c r="B1613" s="7" t="s">
        <v>7813</v>
      </c>
      <c r="C1613" s="3">
        <v>1426.46</v>
      </c>
      <c r="D1613" s="7" t="s">
        <v>7814</v>
      </c>
      <c r="E1613" s="7" t="s">
        <v>4018</v>
      </c>
      <c r="G1613" s="9"/>
    </row>
    <row r="1614" spans="1:7" x14ac:dyDescent="0.3">
      <c r="A1614" s="9">
        <v>45966</v>
      </c>
      <c r="B1614" s="7" t="s">
        <v>7813</v>
      </c>
      <c r="C1614" s="3">
        <v>13849.98</v>
      </c>
      <c r="D1614" s="7" t="s">
        <v>7814</v>
      </c>
      <c r="E1614" s="7" t="s">
        <v>4265</v>
      </c>
      <c r="G1614" s="9"/>
    </row>
    <row r="1615" spans="1:7" x14ac:dyDescent="0.3">
      <c r="A1615" s="9">
        <v>46081</v>
      </c>
      <c r="B1615" s="7" t="s">
        <v>7813</v>
      </c>
      <c r="C1615" s="3">
        <v>10649.25</v>
      </c>
      <c r="D1615" s="7" t="s">
        <v>7814</v>
      </c>
      <c r="E1615" s="7" t="s">
        <v>4421</v>
      </c>
      <c r="G1615" s="9"/>
    </row>
    <row r="1616" spans="1:7" x14ac:dyDescent="0.3">
      <c r="A1616" s="9">
        <v>46016</v>
      </c>
      <c r="B1616" s="7" t="s">
        <v>7813</v>
      </c>
      <c r="C1616" s="3">
        <v>2090.73</v>
      </c>
      <c r="D1616" s="7" t="s">
        <v>7814</v>
      </c>
      <c r="E1616" s="7" t="s">
        <v>5239</v>
      </c>
      <c r="G1616" s="9"/>
    </row>
    <row r="1617" spans="1:7" x14ac:dyDescent="0.3">
      <c r="A1617" s="9">
        <v>46073</v>
      </c>
      <c r="B1617" s="7" t="s">
        <v>7813</v>
      </c>
      <c r="C1617" s="3">
        <v>12913.35</v>
      </c>
      <c r="D1617" s="7" t="s">
        <v>7814</v>
      </c>
      <c r="E1617" s="7" t="s">
        <v>5307</v>
      </c>
      <c r="G1617" s="9"/>
    </row>
    <row r="1618" spans="1:7" x14ac:dyDescent="0.3">
      <c r="A1618" s="9">
        <v>46007</v>
      </c>
      <c r="B1618" s="7" t="s">
        <v>7813</v>
      </c>
      <c r="C1618" s="3">
        <v>4390.26</v>
      </c>
      <c r="D1618" s="7" t="s">
        <v>7814</v>
      </c>
      <c r="E1618" s="7" t="s">
        <v>3520</v>
      </c>
      <c r="G1618" s="9"/>
    </row>
    <row r="1619" spans="1:7" x14ac:dyDescent="0.3">
      <c r="A1619" s="9">
        <v>46007</v>
      </c>
      <c r="B1619" s="7" t="s">
        <v>7813</v>
      </c>
      <c r="C1619" s="3">
        <v>755.78</v>
      </c>
      <c r="D1619" s="7" t="s">
        <v>7814</v>
      </c>
      <c r="E1619" s="7" t="s">
        <v>3710</v>
      </c>
      <c r="G1619" s="9"/>
    </row>
    <row r="1620" spans="1:7" x14ac:dyDescent="0.3">
      <c r="A1620" s="9">
        <v>45994</v>
      </c>
      <c r="B1620" s="7" t="s">
        <v>7813</v>
      </c>
      <c r="C1620" s="3">
        <v>1716.12</v>
      </c>
      <c r="D1620" s="7" t="s">
        <v>7814</v>
      </c>
      <c r="E1620" s="7" t="s">
        <v>4242</v>
      </c>
      <c r="G1620" s="9"/>
    </row>
    <row r="1621" spans="1:7" x14ac:dyDescent="0.3">
      <c r="A1621" s="9">
        <v>45964</v>
      </c>
      <c r="B1621" s="7" t="s">
        <v>7813</v>
      </c>
      <c r="C1621" s="3">
        <v>989.63</v>
      </c>
      <c r="D1621" s="7" t="s">
        <v>7814</v>
      </c>
      <c r="E1621" s="7" t="s">
        <v>4665</v>
      </c>
      <c r="G1621" s="9"/>
    </row>
    <row r="1622" spans="1:7" x14ac:dyDescent="0.3">
      <c r="A1622" s="9">
        <v>45979</v>
      </c>
      <c r="B1622" s="7" t="s">
        <v>7813</v>
      </c>
      <c r="C1622" s="3">
        <v>10148.77</v>
      </c>
      <c r="D1622" s="7" t="s">
        <v>7814</v>
      </c>
      <c r="E1622" s="7" t="s">
        <v>4713</v>
      </c>
      <c r="G1622" s="9"/>
    </row>
    <row r="1623" spans="1:7" x14ac:dyDescent="0.3">
      <c r="A1623" s="9">
        <v>45973</v>
      </c>
      <c r="B1623" s="7" t="s">
        <v>7813</v>
      </c>
      <c r="C1623" s="3">
        <v>3320.54</v>
      </c>
      <c r="D1623" s="7" t="s">
        <v>7814</v>
      </c>
      <c r="E1623" s="7" t="s">
        <v>5169</v>
      </c>
      <c r="G1623" s="9"/>
    </row>
    <row r="1624" spans="1:7" x14ac:dyDescent="0.3">
      <c r="A1624" s="9">
        <v>46043</v>
      </c>
      <c r="B1624" s="7" t="s">
        <v>7813</v>
      </c>
      <c r="C1624" s="3">
        <v>2647.09</v>
      </c>
      <c r="D1624" s="7" t="s">
        <v>7814</v>
      </c>
      <c r="E1624" s="7" t="s">
        <v>5240</v>
      </c>
      <c r="G1624" s="9"/>
    </row>
    <row r="1625" spans="1:7" x14ac:dyDescent="0.3">
      <c r="A1625" s="9">
        <v>45998</v>
      </c>
      <c r="B1625" s="7" t="s">
        <v>7813</v>
      </c>
      <c r="C1625" s="3">
        <v>4893.37</v>
      </c>
      <c r="D1625" s="7" t="s">
        <v>7814</v>
      </c>
      <c r="E1625" s="7" t="s">
        <v>5408</v>
      </c>
      <c r="G1625" s="9"/>
    </row>
    <row r="1626" spans="1:7" x14ac:dyDescent="0.3">
      <c r="A1626" s="9">
        <v>46005</v>
      </c>
      <c r="B1626" s="7" t="s">
        <v>7813</v>
      </c>
      <c r="C1626" s="3">
        <v>11373.13</v>
      </c>
      <c r="D1626" s="7" t="s">
        <v>7814</v>
      </c>
      <c r="E1626" s="7" t="s">
        <v>3637</v>
      </c>
      <c r="G1626" s="9"/>
    </row>
    <row r="1627" spans="1:7" x14ac:dyDescent="0.3">
      <c r="A1627" s="9">
        <v>46016</v>
      </c>
      <c r="B1627" s="7" t="s">
        <v>7813</v>
      </c>
      <c r="C1627" s="3">
        <v>1129.3499999999999</v>
      </c>
      <c r="D1627" s="7" t="s">
        <v>7814</v>
      </c>
      <c r="E1627" s="7" t="s">
        <v>3711</v>
      </c>
      <c r="G1627" s="9"/>
    </row>
    <row r="1628" spans="1:7" x14ac:dyDescent="0.3">
      <c r="A1628" s="9">
        <v>46036</v>
      </c>
      <c r="B1628" s="7" t="s">
        <v>7813</v>
      </c>
      <c r="C1628" s="3">
        <v>3270.92</v>
      </c>
      <c r="D1628" s="7" t="s">
        <v>7814</v>
      </c>
      <c r="E1628" s="7" t="s">
        <v>4423</v>
      </c>
      <c r="G1628" s="9"/>
    </row>
    <row r="1629" spans="1:7" x14ac:dyDescent="0.3">
      <c r="A1629" s="9">
        <v>46029</v>
      </c>
      <c r="B1629" s="7" t="s">
        <v>7813</v>
      </c>
      <c r="C1629" s="3">
        <v>11407.31</v>
      </c>
      <c r="D1629" s="7" t="s">
        <v>7814</v>
      </c>
      <c r="E1629" s="7" t="s">
        <v>4850</v>
      </c>
      <c r="G1629" s="9"/>
    </row>
    <row r="1630" spans="1:7" x14ac:dyDescent="0.3">
      <c r="A1630" s="9">
        <v>46059</v>
      </c>
      <c r="B1630" s="7" t="s">
        <v>7815</v>
      </c>
      <c r="C1630" s="3">
        <v>-5566.57</v>
      </c>
      <c r="D1630" s="7" t="s">
        <v>7816</v>
      </c>
      <c r="E1630" s="7" t="s">
        <v>6851</v>
      </c>
      <c r="G1630" s="9"/>
    </row>
    <row r="1631" spans="1:7" x14ac:dyDescent="0.3">
      <c r="A1631" s="9">
        <v>45971</v>
      </c>
      <c r="B1631" s="7" t="s">
        <v>7815</v>
      </c>
      <c r="C1631" s="3">
        <v>-3872.81</v>
      </c>
      <c r="D1631" s="7" t="s">
        <v>7816</v>
      </c>
      <c r="E1631" s="7" t="s">
        <v>6901</v>
      </c>
      <c r="G1631" s="9"/>
    </row>
    <row r="1632" spans="1:7" x14ac:dyDescent="0.3">
      <c r="A1632" s="9">
        <v>46004</v>
      </c>
      <c r="B1632" s="7" t="s">
        <v>7815</v>
      </c>
      <c r="C1632" s="3">
        <v>-4481.21</v>
      </c>
      <c r="D1632" s="7" t="s">
        <v>7816</v>
      </c>
      <c r="E1632" s="7" t="s">
        <v>6927</v>
      </c>
      <c r="G1632" s="9"/>
    </row>
    <row r="1633" spans="1:7" x14ac:dyDescent="0.3">
      <c r="A1633" s="9">
        <v>46021</v>
      </c>
      <c r="B1633" s="7" t="s">
        <v>7815</v>
      </c>
      <c r="C1633" s="3">
        <v>-6132.2</v>
      </c>
      <c r="D1633" s="7" t="s">
        <v>7816</v>
      </c>
      <c r="E1633" s="7" t="s">
        <v>7158</v>
      </c>
      <c r="G1633" s="9"/>
    </row>
    <row r="1634" spans="1:7" x14ac:dyDescent="0.3">
      <c r="A1634" s="9">
        <v>46020</v>
      </c>
      <c r="B1634" s="7" t="s">
        <v>7815</v>
      </c>
      <c r="C1634" s="3">
        <v>-4213.74</v>
      </c>
      <c r="D1634" s="7" t="s">
        <v>7816</v>
      </c>
      <c r="E1634" s="7" t="s">
        <v>7550</v>
      </c>
      <c r="G1634" s="9"/>
    </row>
    <row r="1635" spans="1:7" x14ac:dyDescent="0.3">
      <c r="A1635" s="9">
        <v>46077</v>
      </c>
      <c r="B1635" s="7" t="s">
        <v>7813</v>
      </c>
      <c r="C1635" s="3">
        <v>13667.03</v>
      </c>
      <c r="D1635" s="7" t="s">
        <v>7814</v>
      </c>
      <c r="E1635" s="7" t="s">
        <v>3263</v>
      </c>
      <c r="G1635" s="9"/>
    </row>
    <row r="1636" spans="1:7" x14ac:dyDescent="0.3">
      <c r="A1636" s="9">
        <v>45995</v>
      </c>
      <c r="B1636" s="7" t="s">
        <v>7813</v>
      </c>
      <c r="C1636" s="3">
        <v>3199.81</v>
      </c>
      <c r="D1636" s="7" t="s">
        <v>7814</v>
      </c>
      <c r="E1636" s="7" t="s">
        <v>3357</v>
      </c>
      <c r="G1636" s="9"/>
    </row>
    <row r="1637" spans="1:7" x14ac:dyDescent="0.3">
      <c r="A1637" s="9">
        <v>46001</v>
      </c>
      <c r="B1637" s="7" t="s">
        <v>7813</v>
      </c>
      <c r="C1637" s="3">
        <v>1496.9</v>
      </c>
      <c r="D1637" s="7" t="s">
        <v>7814</v>
      </c>
      <c r="E1637" s="7" t="s">
        <v>3406</v>
      </c>
      <c r="G1637" s="9"/>
    </row>
    <row r="1638" spans="1:7" x14ac:dyDescent="0.3">
      <c r="A1638" s="9">
        <v>46058</v>
      </c>
      <c r="B1638" s="7" t="s">
        <v>7813</v>
      </c>
      <c r="C1638" s="3">
        <v>12384.76</v>
      </c>
      <c r="D1638" s="7" t="s">
        <v>7814</v>
      </c>
      <c r="E1638" s="7" t="s">
        <v>5103</v>
      </c>
      <c r="G1638" s="9"/>
    </row>
    <row r="1639" spans="1:7" x14ac:dyDescent="0.3">
      <c r="A1639" s="9">
        <v>45988</v>
      </c>
      <c r="B1639" s="7" t="s">
        <v>7815</v>
      </c>
      <c r="C1639" s="3">
        <v>-6447.2</v>
      </c>
      <c r="D1639" s="7" t="s">
        <v>7816</v>
      </c>
      <c r="E1639" s="7" t="s">
        <v>6837</v>
      </c>
      <c r="G1639" s="9"/>
    </row>
    <row r="1640" spans="1:7" x14ac:dyDescent="0.3">
      <c r="A1640" s="9">
        <v>46029</v>
      </c>
      <c r="B1640" s="7" t="s">
        <v>7815</v>
      </c>
      <c r="C1640" s="3">
        <v>-1052.29</v>
      </c>
      <c r="D1640" s="7" t="s">
        <v>7816</v>
      </c>
      <c r="E1640" s="7" t="s">
        <v>7674</v>
      </c>
      <c r="G1640" s="9"/>
    </row>
    <row r="1641" spans="1:7" x14ac:dyDescent="0.3">
      <c r="A1641" s="9">
        <v>45992</v>
      </c>
      <c r="B1641" s="7" t="s">
        <v>7813</v>
      </c>
      <c r="C1641" s="3">
        <v>1319.43</v>
      </c>
      <c r="D1641" s="7" t="s">
        <v>7814</v>
      </c>
      <c r="E1641" s="7" t="s">
        <v>3302</v>
      </c>
      <c r="G1641" s="9"/>
    </row>
    <row r="1642" spans="1:7" x14ac:dyDescent="0.3">
      <c r="A1642" s="9">
        <v>45994</v>
      </c>
      <c r="B1642" s="7" t="s">
        <v>7813</v>
      </c>
      <c r="C1642" s="3">
        <v>1732.39</v>
      </c>
      <c r="D1642" s="7" t="s">
        <v>7814</v>
      </c>
      <c r="E1642" s="7" t="s">
        <v>3374</v>
      </c>
      <c r="G1642" s="9"/>
    </row>
    <row r="1643" spans="1:7" x14ac:dyDescent="0.3">
      <c r="A1643" s="9">
        <v>46011</v>
      </c>
      <c r="B1643" s="7" t="s">
        <v>7813</v>
      </c>
      <c r="C1643" s="3">
        <v>2289.79</v>
      </c>
      <c r="D1643" s="7" t="s">
        <v>7814</v>
      </c>
      <c r="E1643" s="7" t="s">
        <v>3756</v>
      </c>
      <c r="G1643" s="9"/>
    </row>
    <row r="1644" spans="1:7" x14ac:dyDescent="0.3">
      <c r="A1644" s="9">
        <v>46017</v>
      </c>
      <c r="B1644" s="7" t="s">
        <v>7813</v>
      </c>
      <c r="C1644" s="3">
        <v>1684.14</v>
      </c>
      <c r="D1644" s="7" t="s">
        <v>7814</v>
      </c>
      <c r="E1644" s="7" t="s">
        <v>4019</v>
      </c>
      <c r="G1644" s="9"/>
    </row>
    <row r="1645" spans="1:7" x14ac:dyDescent="0.3">
      <c r="A1645" s="9">
        <v>46084</v>
      </c>
      <c r="B1645" s="7" t="s">
        <v>7813</v>
      </c>
      <c r="C1645" s="3">
        <v>4881.1499999999996</v>
      </c>
      <c r="D1645" s="7" t="s">
        <v>7814</v>
      </c>
      <c r="E1645" s="7" t="s">
        <v>4061</v>
      </c>
      <c r="G1645" s="9"/>
    </row>
    <row r="1646" spans="1:7" x14ac:dyDescent="0.3">
      <c r="A1646" s="9">
        <v>46003</v>
      </c>
      <c r="B1646" s="7" t="s">
        <v>7813</v>
      </c>
      <c r="C1646" s="3">
        <v>1329.69</v>
      </c>
      <c r="D1646" s="7" t="s">
        <v>7814</v>
      </c>
      <c r="E1646" s="7" t="s">
        <v>4666</v>
      </c>
      <c r="G1646" s="9"/>
    </row>
    <row r="1647" spans="1:7" x14ac:dyDescent="0.3">
      <c r="A1647" s="9">
        <v>45993</v>
      </c>
      <c r="B1647" s="7" t="s">
        <v>7813</v>
      </c>
      <c r="C1647" s="3">
        <v>2688.67</v>
      </c>
      <c r="D1647" s="7" t="s">
        <v>7814</v>
      </c>
      <c r="E1647" s="7" t="s">
        <v>4789</v>
      </c>
      <c r="G1647" s="9"/>
    </row>
    <row r="1648" spans="1:7" x14ac:dyDescent="0.3">
      <c r="A1648" s="9">
        <v>45962</v>
      </c>
      <c r="B1648" s="7" t="s">
        <v>7813</v>
      </c>
      <c r="C1648" s="3">
        <v>2345.39</v>
      </c>
      <c r="D1648" s="7" t="s">
        <v>7814</v>
      </c>
      <c r="E1648" s="7" t="s">
        <v>5076</v>
      </c>
      <c r="G1648" s="9"/>
    </row>
    <row r="1649" spans="1:7" x14ac:dyDescent="0.3">
      <c r="A1649" s="9">
        <v>46049</v>
      </c>
      <c r="B1649" s="7" t="s">
        <v>7813</v>
      </c>
      <c r="C1649" s="3">
        <v>1561.65</v>
      </c>
      <c r="D1649" s="7" t="s">
        <v>7814</v>
      </c>
      <c r="E1649" s="7" t="s">
        <v>5115</v>
      </c>
      <c r="G1649" s="9"/>
    </row>
    <row r="1650" spans="1:7" x14ac:dyDescent="0.3">
      <c r="A1650" s="9">
        <v>46044</v>
      </c>
      <c r="B1650" s="7" t="s">
        <v>7813</v>
      </c>
      <c r="C1650" s="3">
        <v>3232.76</v>
      </c>
      <c r="D1650" s="7" t="s">
        <v>7814</v>
      </c>
      <c r="E1650" s="7" t="s">
        <v>5338</v>
      </c>
      <c r="G1650" s="9"/>
    </row>
    <row r="1651" spans="1:7" x14ac:dyDescent="0.3">
      <c r="A1651" s="9">
        <v>46051</v>
      </c>
      <c r="B1651" s="7" t="s">
        <v>7815</v>
      </c>
      <c r="C1651" s="3">
        <v>-4316.37</v>
      </c>
      <c r="D1651" s="7" t="s">
        <v>7816</v>
      </c>
      <c r="E1651" s="7" t="s">
        <v>7496</v>
      </c>
      <c r="G1651" s="9"/>
    </row>
    <row r="1652" spans="1:7" x14ac:dyDescent="0.3">
      <c r="A1652" s="9">
        <v>45997</v>
      </c>
      <c r="B1652" s="7" t="s">
        <v>7813</v>
      </c>
      <c r="C1652" s="3">
        <v>13753.25</v>
      </c>
      <c r="D1652" s="7" t="s">
        <v>7814</v>
      </c>
      <c r="E1652" s="7" t="s">
        <v>3223</v>
      </c>
      <c r="G1652" s="9"/>
    </row>
    <row r="1653" spans="1:7" x14ac:dyDescent="0.3">
      <c r="A1653" s="9">
        <v>46062</v>
      </c>
      <c r="B1653" s="7" t="s">
        <v>7813</v>
      </c>
      <c r="C1653" s="3">
        <v>1485.76</v>
      </c>
      <c r="D1653" s="7" t="s">
        <v>7814</v>
      </c>
      <c r="E1653" s="7" t="s">
        <v>3261</v>
      </c>
      <c r="G1653" s="9"/>
    </row>
    <row r="1654" spans="1:7" x14ac:dyDescent="0.3">
      <c r="A1654" s="9">
        <v>46041</v>
      </c>
      <c r="B1654" s="7" t="s">
        <v>7813</v>
      </c>
      <c r="C1654" s="3">
        <v>2614.85</v>
      </c>
      <c r="D1654" s="7" t="s">
        <v>7814</v>
      </c>
      <c r="E1654" s="7" t="s">
        <v>3351</v>
      </c>
      <c r="G1654" s="9"/>
    </row>
    <row r="1655" spans="1:7" x14ac:dyDescent="0.3">
      <c r="A1655" s="9">
        <v>45983</v>
      </c>
      <c r="B1655" s="7" t="s">
        <v>7813</v>
      </c>
      <c r="C1655" s="3">
        <v>11594.98</v>
      </c>
      <c r="D1655" s="7" t="s">
        <v>7814</v>
      </c>
      <c r="E1655" s="7" t="s">
        <v>3375</v>
      </c>
      <c r="G1655" s="9"/>
    </row>
    <row r="1656" spans="1:7" x14ac:dyDescent="0.3">
      <c r="A1656" s="9">
        <v>46014</v>
      </c>
      <c r="B1656" s="7" t="s">
        <v>7813</v>
      </c>
      <c r="C1656" s="3">
        <v>1507.06</v>
      </c>
      <c r="D1656" s="7" t="s">
        <v>7814</v>
      </c>
      <c r="E1656" s="7" t="s">
        <v>3535</v>
      </c>
      <c r="G1656" s="9"/>
    </row>
    <row r="1657" spans="1:7" x14ac:dyDescent="0.3">
      <c r="A1657" s="9">
        <v>46048</v>
      </c>
      <c r="B1657" s="7" t="s">
        <v>7813</v>
      </c>
      <c r="C1657" s="3">
        <v>4549.96</v>
      </c>
      <c r="D1657" s="7" t="s">
        <v>7814</v>
      </c>
      <c r="E1657" s="7" t="s">
        <v>3596</v>
      </c>
      <c r="G1657" s="9"/>
    </row>
    <row r="1658" spans="1:7" x14ac:dyDescent="0.3">
      <c r="A1658" s="9">
        <v>46090</v>
      </c>
      <c r="B1658" s="7" t="s">
        <v>7813</v>
      </c>
      <c r="C1658" s="3">
        <v>2971</v>
      </c>
      <c r="D1658" s="7" t="s">
        <v>7814</v>
      </c>
      <c r="E1658" s="7" t="s">
        <v>3884</v>
      </c>
      <c r="G1658" s="9"/>
    </row>
    <row r="1659" spans="1:7" x14ac:dyDescent="0.3">
      <c r="A1659" s="9">
        <v>46031</v>
      </c>
      <c r="B1659" s="7" t="s">
        <v>7815</v>
      </c>
      <c r="C1659" s="3">
        <v>-4045.03</v>
      </c>
      <c r="D1659" s="7" t="s">
        <v>7816</v>
      </c>
      <c r="E1659" s="7" t="s">
        <v>6933</v>
      </c>
      <c r="G1659" s="9"/>
    </row>
    <row r="1660" spans="1:7" x14ac:dyDescent="0.3">
      <c r="A1660" s="9">
        <v>46025</v>
      </c>
      <c r="B1660" s="7" t="s">
        <v>7815</v>
      </c>
      <c r="C1660" s="3">
        <v>-2779.77</v>
      </c>
      <c r="D1660" s="7" t="s">
        <v>7816</v>
      </c>
      <c r="E1660" s="7" t="s">
        <v>7287</v>
      </c>
      <c r="G1660" s="9"/>
    </row>
    <row r="1661" spans="1:7" x14ac:dyDescent="0.3">
      <c r="A1661" s="9">
        <v>46054</v>
      </c>
      <c r="B1661" s="7" t="s">
        <v>7815</v>
      </c>
      <c r="C1661" s="3">
        <v>-6017.38</v>
      </c>
      <c r="D1661" s="7" t="s">
        <v>7816</v>
      </c>
      <c r="E1661" s="7" t="s">
        <v>7720</v>
      </c>
      <c r="G1661" s="9"/>
    </row>
    <row r="1662" spans="1:7" x14ac:dyDescent="0.3">
      <c r="A1662" s="9">
        <v>46058</v>
      </c>
      <c r="B1662" s="7" t="s">
        <v>7813</v>
      </c>
      <c r="C1662" s="3">
        <v>1889.29</v>
      </c>
      <c r="D1662" s="7" t="s">
        <v>7814</v>
      </c>
      <c r="E1662" s="7" t="s">
        <v>4392</v>
      </c>
      <c r="G1662" s="9"/>
    </row>
    <row r="1663" spans="1:7" x14ac:dyDescent="0.3">
      <c r="A1663" s="9">
        <v>45973</v>
      </c>
      <c r="B1663" s="7" t="s">
        <v>7813</v>
      </c>
      <c r="C1663" s="3">
        <v>1885.64</v>
      </c>
      <c r="D1663" s="7" t="s">
        <v>7814</v>
      </c>
      <c r="E1663" s="7" t="s">
        <v>4703</v>
      </c>
      <c r="G1663" s="9"/>
    </row>
    <row r="1664" spans="1:7" x14ac:dyDescent="0.3">
      <c r="A1664" s="9">
        <v>46003</v>
      </c>
      <c r="B1664" s="7" t="s">
        <v>7813</v>
      </c>
      <c r="C1664" s="3">
        <v>3397.1</v>
      </c>
      <c r="D1664" s="7" t="s">
        <v>7814</v>
      </c>
      <c r="E1664" s="7" t="s">
        <v>4938</v>
      </c>
      <c r="G1664" s="9"/>
    </row>
    <row r="1665" spans="1:7" x14ac:dyDescent="0.3">
      <c r="A1665" s="9">
        <v>46060</v>
      </c>
      <c r="B1665" s="7" t="s">
        <v>7815</v>
      </c>
      <c r="C1665" s="3">
        <v>-5591.83</v>
      </c>
      <c r="D1665" s="7" t="s">
        <v>7816</v>
      </c>
      <c r="E1665" s="7" t="s">
        <v>7781</v>
      </c>
      <c r="G1665" s="9"/>
    </row>
    <row r="1666" spans="1:7" x14ac:dyDescent="0.3">
      <c r="A1666" s="9">
        <v>46011</v>
      </c>
      <c r="B1666" s="7" t="s">
        <v>7813</v>
      </c>
      <c r="C1666" s="3">
        <v>853.88</v>
      </c>
      <c r="D1666" s="7" t="s">
        <v>7814</v>
      </c>
      <c r="E1666" s="7" t="s">
        <v>3470</v>
      </c>
      <c r="G1666" s="9"/>
    </row>
    <row r="1667" spans="1:7" x14ac:dyDescent="0.3">
      <c r="A1667" s="9">
        <v>46003</v>
      </c>
      <c r="B1667" s="7" t="s">
        <v>7813</v>
      </c>
      <c r="C1667" s="3">
        <v>3472.68</v>
      </c>
      <c r="D1667" s="7" t="s">
        <v>7814</v>
      </c>
      <c r="E1667" s="7" t="s">
        <v>4147</v>
      </c>
      <c r="G1667" s="9"/>
    </row>
    <row r="1668" spans="1:7" x14ac:dyDescent="0.3">
      <c r="A1668" s="9">
        <v>46020</v>
      </c>
      <c r="B1668" s="7" t="s">
        <v>7813</v>
      </c>
      <c r="C1668" s="3">
        <v>1953.07</v>
      </c>
      <c r="D1668" s="7" t="s">
        <v>7814</v>
      </c>
      <c r="E1668" s="7" t="s">
        <v>4826</v>
      </c>
      <c r="G1668" s="9"/>
    </row>
    <row r="1669" spans="1:7" x14ac:dyDescent="0.3">
      <c r="A1669" s="9">
        <v>45977</v>
      </c>
      <c r="B1669" s="7" t="s">
        <v>7813</v>
      </c>
      <c r="C1669" s="3">
        <v>1568.24</v>
      </c>
      <c r="D1669" s="7" t="s">
        <v>7814</v>
      </c>
      <c r="E1669" s="7" t="s">
        <v>4947</v>
      </c>
      <c r="G1669" s="9"/>
    </row>
    <row r="1670" spans="1:7" x14ac:dyDescent="0.3">
      <c r="A1670" s="9">
        <v>46058</v>
      </c>
      <c r="B1670" s="7" t="s">
        <v>7815</v>
      </c>
      <c r="C1670" s="3">
        <v>-6000.97</v>
      </c>
      <c r="D1670" s="7" t="s">
        <v>7816</v>
      </c>
      <c r="E1670" s="7" t="s">
        <v>6885</v>
      </c>
      <c r="G1670" s="9"/>
    </row>
    <row r="1671" spans="1:7" x14ac:dyDescent="0.3">
      <c r="A1671" s="9">
        <v>45995</v>
      </c>
      <c r="B1671" s="7" t="s">
        <v>7815</v>
      </c>
      <c r="C1671" s="3">
        <v>-1652.32</v>
      </c>
      <c r="D1671" s="7" t="s">
        <v>7816</v>
      </c>
      <c r="E1671" s="7" t="s">
        <v>7332</v>
      </c>
      <c r="G1671" s="9"/>
    </row>
    <row r="1672" spans="1:7" x14ac:dyDescent="0.3">
      <c r="A1672" s="9">
        <v>46085</v>
      </c>
      <c r="B1672" s="7" t="s">
        <v>7813</v>
      </c>
      <c r="C1672" s="3">
        <v>11226.87</v>
      </c>
      <c r="D1672" s="7" t="s">
        <v>7814</v>
      </c>
      <c r="E1672" s="7" t="s">
        <v>3268</v>
      </c>
      <c r="G1672" s="9"/>
    </row>
    <row r="1673" spans="1:7" x14ac:dyDescent="0.3">
      <c r="A1673" s="9">
        <v>46077</v>
      </c>
      <c r="B1673" s="7" t="s">
        <v>7813</v>
      </c>
      <c r="C1673" s="3">
        <v>1998.65</v>
      </c>
      <c r="D1673" s="7" t="s">
        <v>7814</v>
      </c>
      <c r="E1673" s="7" t="s">
        <v>3842</v>
      </c>
      <c r="G1673" s="9"/>
    </row>
    <row r="1674" spans="1:7" x14ac:dyDescent="0.3">
      <c r="A1674" s="9">
        <v>45970</v>
      </c>
      <c r="B1674" s="7" t="s">
        <v>7813</v>
      </c>
      <c r="C1674" s="3">
        <v>3462.88</v>
      </c>
      <c r="D1674" s="7" t="s">
        <v>7814</v>
      </c>
      <c r="E1674" s="7" t="s">
        <v>4101</v>
      </c>
      <c r="G1674" s="9"/>
    </row>
    <row r="1675" spans="1:7" x14ac:dyDescent="0.3">
      <c r="A1675" s="9">
        <v>46014</v>
      </c>
      <c r="B1675" s="7" t="s">
        <v>7813</v>
      </c>
      <c r="C1675" s="3">
        <v>13108.58</v>
      </c>
      <c r="D1675" s="7" t="s">
        <v>7814</v>
      </c>
      <c r="E1675" s="7" t="s">
        <v>5045</v>
      </c>
      <c r="G1675" s="9"/>
    </row>
    <row r="1676" spans="1:7" x14ac:dyDescent="0.3">
      <c r="A1676" s="9">
        <v>46004</v>
      </c>
      <c r="B1676" s="7" t="s">
        <v>7815</v>
      </c>
      <c r="C1676" s="3">
        <v>-5693.92</v>
      </c>
      <c r="D1676" s="7" t="s">
        <v>7816</v>
      </c>
      <c r="E1676" s="7" t="s">
        <v>6995</v>
      </c>
      <c r="G1676" s="9"/>
    </row>
    <row r="1677" spans="1:7" x14ac:dyDescent="0.3">
      <c r="A1677" s="9">
        <v>46070</v>
      </c>
      <c r="B1677" s="7" t="s">
        <v>7815</v>
      </c>
      <c r="C1677" s="3">
        <v>-1027.4100000000001</v>
      </c>
      <c r="D1677" s="7" t="s">
        <v>7816</v>
      </c>
      <c r="E1677" s="7" t="s">
        <v>7014</v>
      </c>
      <c r="G1677" s="9"/>
    </row>
    <row r="1678" spans="1:7" x14ac:dyDescent="0.3">
      <c r="A1678" s="9">
        <v>46027</v>
      </c>
      <c r="B1678" s="7" t="s">
        <v>7815</v>
      </c>
      <c r="C1678" s="3">
        <v>-2552.89</v>
      </c>
      <c r="D1678" s="7" t="s">
        <v>7816</v>
      </c>
      <c r="E1678" s="7" t="s">
        <v>7322</v>
      </c>
      <c r="G1678" s="9"/>
    </row>
    <row r="1679" spans="1:7" x14ac:dyDescent="0.3">
      <c r="A1679" s="9">
        <v>46009</v>
      </c>
      <c r="B1679" s="7" t="s">
        <v>7815</v>
      </c>
      <c r="C1679" s="3">
        <v>-2227.11</v>
      </c>
      <c r="D1679" s="7" t="s">
        <v>7816</v>
      </c>
      <c r="E1679" s="7" t="s">
        <v>7629</v>
      </c>
      <c r="G1679" s="9"/>
    </row>
    <row r="1680" spans="1:7" x14ac:dyDescent="0.3">
      <c r="A1680" s="9">
        <v>46058</v>
      </c>
      <c r="B1680" s="7" t="s">
        <v>7815</v>
      </c>
      <c r="C1680" s="3">
        <v>-2788.3</v>
      </c>
      <c r="D1680" s="7" t="s">
        <v>7816</v>
      </c>
      <c r="E1680" s="7" t="s">
        <v>7776</v>
      </c>
      <c r="G1680" s="9"/>
    </row>
    <row r="1681" spans="1:7" x14ac:dyDescent="0.3">
      <c r="A1681" s="9">
        <v>46031</v>
      </c>
      <c r="B1681" s="7" t="s">
        <v>7813</v>
      </c>
      <c r="C1681" s="3">
        <v>2539.94</v>
      </c>
      <c r="D1681" s="7" t="s">
        <v>7814</v>
      </c>
      <c r="E1681" s="7" t="s">
        <v>3555</v>
      </c>
      <c r="G1681" s="9"/>
    </row>
    <row r="1682" spans="1:7" x14ac:dyDescent="0.3">
      <c r="A1682" s="9">
        <v>45963</v>
      </c>
      <c r="B1682" s="7" t="s">
        <v>7813</v>
      </c>
      <c r="C1682" s="3">
        <v>1777.16</v>
      </c>
      <c r="D1682" s="7" t="s">
        <v>7814</v>
      </c>
      <c r="E1682" s="7" t="s">
        <v>4007</v>
      </c>
      <c r="G1682" s="9"/>
    </row>
    <row r="1683" spans="1:7" x14ac:dyDescent="0.3">
      <c r="A1683" s="9">
        <v>46036</v>
      </c>
      <c r="B1683" s="7" t="s">
        <v>7813</v>
      </c>
      <c r="C1683" s="3">
        <v>2373.0100000000002</v>
      </c>
      <c r="D1683" s="7" t="s">
        <v>7814</v>
      </c>
      <c r="E1683" s="7" t="s">
        <v>4155</v>
      </c>
      <c r="G1683" s="9"/>
    </row>
    <row r="1684" spans="1:7" x14ac:dyDescent="0.3">
      <c r="A1684" s="9">
        <v>46001</v>
      </c>
      <c r="B1684" s="7" t="s">
        <v>7813</v>
      </c>
      <c r="C1684" s="3">
        <v>4821.4399999999996</v>
      </c>
      <c r="D1684" s="7" t="s">
        <v>7814</v>
      </c>
      <c r="E1684" s="7" t="s">
        <v>4601</v>
      </c>
      <c r="G1684" s="9"/>
    </row>
    <row r="1685" spans="1:7" x14ac:dyDescent="0.3">
      <c r="A1685" s="9">
        <v>46043</v>
      </c>
      <c r="B1685" s="7" t="s">
        <v>7813</v>
      </c>
      <c r="C1685" s="3">
        <v>1470.67</v>
      </c>
      <c r="D1685" s="7" t="s">
        <v>7814</v>
      </c>
      <c r="E1685" s="7" t="s">
        <v>4779</v>
      </c>
      <c r="G1685" s="9"/>
    </row>
    <row r="1686" spans="1:7" x14ac:dyDescent="0.3">
      <c r="A1686" s="9">
        <v>46004</v>
      </c>
      <c r="B1686" s="7" t="s">
        <v>7813</v>
      </c>
      <c r="C1686" s="3">
        <v>3465.02</v>
      </c>
      <c r="D1686" s="7" t="s">
        <v>7814</v>
      </c>
      <c r="E1686" s="7" t="s">
        <v>4873</v>
      </c>
      <c r="G1686" s="9"/>
    </row>
    <row r="1687" spans="1:7" x14ac:dyDescent="0.3">
      <c r="A1687" s="9">
        <v>46014</v>
      </c>
      <c r="B1687" s="7" t="s">
        <v>7813</v>
      </c>
      <c r="C1687" s="3">
        <v>3338.35</v>
      </c>
      <c r="D1687" s="7" t="s">
        <v>7814</v>
      </c>
      <c r="E1687" s="7" t="s">
        <v>5209</v>
      </c>
      <c r="G1687" s="9"/>
    </row>
    <row r="1688" spans="1:7" x14ac:dyDescent="0.3">
      <c r="A1688" s="9">
        <v>46085</v>
      </c>
      <c r="B1688" s="7" t="s">
        <v>7813</v>
      </c>
      <c r="C1688" s="3">
        <v>6380.62</v>
      </c>
      <c r="D1688" s="7" t="s">
        <v>7814</v>
      </c>
      <c r="E1688" s="7" t="s">
        <v>5234</v>
      </c>
      <c r="G1688" s="9"/>
    </row>
    <row r="1689" spans="1:7" x14ac:dyDescent="0.3">
      <c r="A1689" s="9">
        <v>46068</v>
      </c>
      <c r="B1689" s="7" t="s">
        <v>7815</v>
      </c>
      <c r="C1689" s="3">
        <v>-4665.8999999999996</v>
      </c>
      <c r="D1689" s="7" t="s">
        <v>7816</v>
      </c>
      <c r="E1689" s="7" t="s">
        <v>7341</v>
      </c>
      <c r="G1689" s="9"/>
    </row>
    <row r="1690" spans="1:7" x14ac:dyDescent="0.3">
      <c r="A1690" s="9">
        <v>46061</v>
      </c>
      <c r="B1690" s="7" t="s">
        <v>7815</v>
      </c>
      <c r="C1690" s="3">
        <v>-1247.43</v>
      </c>
      <c r="D1690" s="7" t="s">
        <v>7816</v>
      </c>
      <c r="E1690" s="7" t="s">
        <v>7425</v>
      </c>
      <c r="G1690" s="9"/>
    </row>
    <row r="1691" spans="1:7" x14ac:dyDescent="0.3">
      <c r="A1691" s="9">
        <v>46049</v>
      </c>
      <c r="B1691" s="7" t="s">
        <v>7813</v>
      </c>
      <c r="C1691" s="3">
        <v>2454.6999999999998</v>
      </c>
      <c r="D1691" s="7" t="s">
        <v>7814</v>
      </c>
      <c r="E1691" s="7" t="s">
        <v>3534</v>
      </c>
      <c r="G1691" s="9"/>
    </row>
    <row r="1692" spans="1:7" x14ac:dyDescent="0.3">
      <c r="A1692" s="9">
        <v>46050</v>
      </c>
      <c r="B1692" s="7" t="s">
        <v>7813</v>
      </c>
      <c r="C1692" s="3">
        <v>12345.71</v>
      </c>
      <c r="D1692" s="7" t="s">
        <v>7814</v>
      </c>
      <c r="E1692" s="7" t="s">
        <v>3652</v>
      </c>
      <c r="G1692" s="9"/>
    </row>
    <row r="1693" spans="1:7" x14ac:dyDescent="0.3">
      <c r="A1693" s="9">
        <v>46023</v>
      </c>
      <c r="B1693" s="7" t="s">
        <v>7813</v>
      </c>
      <c r="C1693" s="3">
        <v>2580.8200000000002</v>
      </c>
      <c r="D1693" s="7" t="s">
        <v>7814</v>
      </c>
      <c r="E1693" s="7" t="s">
        <v>3878</v>
      </c>
      <c r="G1693" s="9"/>
    </row>
    <row r="1694" spans="1:7" x14ac:dyDescent="0.3">
      <c r="A1694" s="9">
        <v>46033</v>
      </c>
      <c r="B1694" s="7" t="s">
        <v>7813</v>
      </c>
      <c r="C1694" s="3">
        <v>1232.32</v>
      </c>
      <c r="D1694" s="7" t="s">
        <v>7814</v>
      </c>
      <c r="E1694" s="7" t="s">
        <v>4682</v>
      </c>
      <c r="G1694" s="9"/>
    </row>
    <row r="1695" spans="1:7" x14ac:dyDescent="0.3">
      <c r="A1695" s="9">
        <v>45976</v>
      </c>
      <c r="B1695" s="7" t="s">
        <v>7813</v>
      </c>
      <c r="C1695" s="3">
        <v>1450.07</v>
      </c>
      <c r="D1695" s="7" t="s">
        <v>7814</v>
      </c>
      <c r="E1695" s="7" t="s">
        <v>4975</v>
      </c>
      <c r="G1695" s="9"/>
    </row>
    <row r="1696" spans="1:7" x14ac:dyDescent="0.3">
      <c r="A1696" s="9">
        <v>45982</v>
      </c>
      <c r="B1696" s="7" t="s">
        <v>7813</v>
      </c>
      <c r="C1696" s="3">
        <v>13889.97</v>
      </c>
      <c r="D1696" s="7" t="s">
        <v>7814</v>
      </c>
      <c r="E1696" s="7" t="s">
        <v>5220</v>
      </c>
      <c r="G1696" s="9"/>
    </row>
    <row r="1697" spans="1:7" x14ac:dyDescent="0.3">
      <c r="A1697" s="9">
        <v>46070</v>
      </c>
      <c r="B1697" s="7" t="s">
        <v>7815</v>
      </c>
      <c r="C1697" s="3">
        <v>-1429.47</v>
      </c>
      <c r="D1697" s="7" t="s">
        <v>7816</v>
      </c>
      <c r="E1697" s="7" t="s">
        <v>6826</v>
      </c>
      <c r="G1697" s="9"/>
    </row>
    <row r="1698" spans="1:7" x14ac:dyDescent="0.3">
      <c r="A1698" s="9">
        <v>45962</v>
      </c>
      <c r="B1698" s="7" t="s">
        <v>7815</v>
      </c>
      <c r="C1698" s="3">
        <v>-5798.59</v>
      </c>
      <c r="D1698" s="7" t="s">
        <v>7816</v>
      </c>
      <c r="E1698" s="7" t="s">
        <v>7041</v>
      </c>
      <c r="G1698" s="9"/>
    </row>
    <row r="1699" spans="1:7" x14ac:dyDescent="0.3">
      <c r="A1699" s="9">
        <v>46005</v>
      </c>
      <c r="B1699" s="7" t="s">
        <v>7815</v>
      </c>
      <c r="C1699" s="3">
        <v>-5136.3500000000004</v>
      </c>
      <c r="D1699" s="7" t="s">
        <v>7816</v>
      </c>
      <c r="E1699" s="7" t="s">
        <v>7279</v>
      </c>
      <c r="G1699" s="9"/>
    </row>
    <row r="1700" spans="1:7" x14ac:dyDescent="0.3">
      <c r="A1700" s="9">
        <v>46080</v>
      </c>
      <c r="B1700" s="7" t="s">
        <v>7815</v>
      </c>
      <c r="C1700" s="3">
        <v>-3092.34</v>
      </c>
      <c r="D1700" s="7" t="s">
        <v>7816</v>
      </c>
      <c r="E1700" s="7" t="s">
        <v>7473</v>
      </c>
      <c r="G1700" s="9"/>
    </row>
    <row r="1701" spans="1:7" x14ac:dyDescent="0.3">
      <c r="A1701" s="9">
        <v>45987</v>
      </c>
      <c r="B1701" s="7" t="s">
        <v>7815</v>
      </c>
      <c r="C1701" s="3">
        <v>-5098.33</v>
      </c>
      <c r="D1701" s="7" t="s">
        <v>7816</v>
      </c>
      <c r="E1701" s="7" t="s">
        <v>7678</v>
      </c>
      <c r="G1701" s="9"/>
    </row>
    <row r="1702" spans="1:7" x14ac:dyDescent="0.3">
      <c r="A1702" s="9">
        <v>46005</v>
      </c>
      <c r="B1702" s="7" t="s">
        <v>7815</v>
      </c>
      <c r="C1702" s="3">
        <v>-6172.43</v>
      </c>
      <c r="D1702" s="7" t="s">
        <v>7816</v>
      </c>
      <c r="E1702" s="7" t="s">
        <v>7740</v>
      </c>
      <c r="G1702" s="9"/>
    </row>
    <row r="1703" spans="1:7" x14ac:dyDescent="0.3">
      <c r="A1703" s="9">
        <v>46073</v>
      </c>
      <c r="B1703" s="7" t="s">
        <v>7813</v>
      </c>
      <c r="C1703" s="3">
        <v>9711.25</v>
      </c>
      <c r="D1703" s="7" t="s">
        <v>7814</v>
      </c>
      <c r="E1703" s="7" t="s">
        <v>3381</v>
      </c>
      <c r="G1703" s="9"/>
    </row>
    <row r="1704" spans="1:7" x14ac:dyDescent="0.3">
      <c r="A1704" s="9">
        <v>45969</v>
      </c>
      <c r="B1704" s="7" t="s">
        <v>7813</v>
      </c>
      <c r="C1704" s="3">
        <v>3476.1</v>
      </c>
      <c r="D1704" s="7" t="s">
        <v>7814</v>
      </c>
      <c r="E1704" s="7" t="s">
        <v>3727</v>
      </c>
      <c r="G1704" s="9"/>
    </row>
    <row r="1705" spans="1:7" x14ac:dyDescent="0.3">
      <c r="A1705" s="9">
        <v>46042</v>
      </c>
      <c r="B1705" s="7" t="s">
        <v>7813</v>
      </c>
      <c r="C1705" s="3">
        <v>2934.82</v>
      </c>
      <c r="D1705" s="7" t="s">
        <v>7814</v>
      </c>
      <c r="E1705" s="7" t="s">
        <v>3804</v>
      </c>
      <c r="G1705" s="9"/>
    </row>
    <row r="1706" spans="1:7" x14ac:dyDescent="0.3">
      <c r="A1706" s="9">
        <v>46055</v>
      </c>
      <c r="B1706" s="7" t="s">
        <v>7813</v>
      </c>
      <c r="C1706" s="3">
        <v>3090.96</v>
      </c>
      <c r="D1706" s="7" t="s">
        <v>7814</v>
      </c>
      <c r="E1706" s="7" t="s">
        <v>3825</v>
      </c>
      <c r="G1706" s="9"/>
    </row>
    <row r="1707" spans="1:7" x14ac:dyDescent="0.3">
      <c r="A1707" s="9">
        <v>46091</v>
      </c>
      <c r="B1707" s="7" t="s">
        <v>7813</v>
      </c>
      <c r="C1707" s="3">
        <v>1661.6</v>
      </c>
      <c r="D1707" s="7" t="s">
        <v>7814</v>
      </c>
      <c r="E1707" s="7" t="s">
        <v>4372</v>
      </c>
      <c r="G1707" s="9"/>
    </row>
    <row r="1708" spans="1:7" x14ac:dyDescent="0.3">
      <c r="A1708" s="9">
        <v>45975</v>
      </c>
      <c r="B1708" s="7" t="s">
        <v>7813</v>
      </c>
      <c r="C1708" s="3">
        <v>2334.9899999999998</v>
      </c>
      <c r="D1708" s="7" t="s">
        <v>7814</v>
      </c>
      <c r="E1708" s="7" t="s">
        <v>4907</v>
      </c>
      <c r="G1708" s="9"/>
    </row>
    <row r="1709" spans="1:7" x14ac:dyDescent="0.3">
      <c r="A1709" s="9">
        <v>45995</v>
      </c>
      <c r="B1709" s="7" t="s">
        <v>7813</v>
      </c>
      <c r="C1709" s="3">
        <v>3967.93</v>
      </c>
      <c r="D1709" s="7" t="s">
        <v>7814</v>
      </c>
      <c r="E1709" s="7" t="s">
        <v>5063</v>
      </c>
      <c r="G1709" s="9"/>
    </row>
    <row r="1710" spans="1:7" x14ac:dyDescent="0.3">
      <c r="A1710" s="9">
        <v>45984</v>
      </c>
      <c r="B1710" s="7" t="s">
        <v>7813</v>
      </c>
      <c r="C1710" s="3">
        <v>5718.11</v>
      </c>
      <c r="D1710" s="7" t="s">
        <v>7814</v>
      </c>
      <c r="E1710" s="7" t="s">
        <v>5100</v>
      </c>
      <c r="G1710" s="9"/>
    </row>
    <row r="1711" spans="1:7" x14ac:dyDescent="0.3">
      <c r="A1711" s="9">
        <v>46026</v>
      </c>
      <c r="B1711" s="7" t="s">
        <v>7813</v>
      </c>
      <c r="C1711" s="3">
        <v>4384.55</v>
      </c>
      <c r="D1711" s="7" t="s">
        <v>7814</v>
      </c>
      <c r="E1711" s="7" t="s">
        <v>5235</v>
      </c>
      <c r="G1711" s="9"/>
    </row>
    <row r="1712" spans="1:7" x14ac:dyDescent="0.3">
      <c r="A1712" s="9">
        <v>46004</v>
      </c>
      <c r="B1712" s="7" t="s">
        <v>7813</v>
      </c>
      <c r="C1712" s="3">
        <v>4739.1400000000003</v>
      </c>
      <c r="D1712" s="7" t="s">
        <v>7814</v>
      </c>
      <c r="E1712" s="7" t="s">
        <v>5397</v>
      </c>
      <c r="G1712" s="9"/>
    </row>
    <row r="1713" spans="1:7" x14ac:dyDescent="0.3">
      <c r="A1713" s="9">
        <v>46043</v>
      </c>
      <c r="B1713" s="7" t="s">
        <v>7815</v>
      </c>
      <c r="C1713" s="3">
        <v>-6277.21</v>
      </c>
      <c r="D1713" s="7" t="s">
        <v>7816</v>
      </c>
      <c r="E1713" s="7" t="s">
        <v>7086</v>
      </c>
      <c r="G1713" s="9"/>
    </row>
    <row r="1714" spans="1:7" x14ac:dyDescent="0.3">
      <c r="A1714" s="9">
        <v>46059</v>
      </c>
      <c r="B1714" s="7" t="s">
        <v>7815</v>
      </c>
      <c r="C1714" s="3">
        <v>-1620.08</v>
      </c>
      <c r="D1714" s="7" t="s">
        <v>7816</v>
      </c>
      <c r="E1714" s="7" t="s">
        <v>7257</v>
      </c>
      <c r="G1714" s="9"/>
    </row>
    <row r="1715" spans="1:7" x14ac:dyDescent="0.3">
      <c r="A1715" s="9">
        <v>46035</v>
      </c>
      <c r="B1715" s="7" t="s">
        <v>7813</v>
      </c>
      <c r="C1715" s="3">
        <v>10078.620000000001</v>
      </c>
      <c r="D1715" s="7" t="s">
        <v>7814</v>
      </c>
      <c r="E1715" s="7" t="s">
        <v>3226</v>
      </c>
      <c r="G1715" s="9"/>
    </row>
    <row r="1716" spans="1:7" x14ac:dyDescent="0.3">
      <c r="A1716" s="9">
        <v>46091</v>
      </c>
      <c r="B1716" s="7" t="s">
        <v>7813</v>
      </c>
      <c r="C1716" s="3">
        <v>2301.13</v>
      </c>
      <c r="D1716" s="7" t="s">
        <v>7814</v>
      </c>
      <c r="E1716" s="7" t="s">
        <v>3486</v>
      </c>
      <c r="G1716" s="9"/>
    </row>
    <row r="1717" spans="1:7" x14ac:dyDescent="0.3">
      <c r="A1717" s="9">
        <v>46046</v>
      </c>
      <c r="B1717" s="7" t="s">
        <v>7813</v>
      </c>
      <c r="C1717" s="3">
        <v>1550.98</v>
      </c>
      <c r="D1717" s="7" t="s">
        <v>7814</v>
      </c>
      <c r="E1717" s="7" t="s">
        <v>3496</v>
      </c>
      <c r="G1717" s="9"/>
    </row>
    <row r="1718" spans="1:7" x14ac:dyDescent="0.3">
      <c r="A1718" s="9">
        <v>46009</v>
      </c>
      <c r="B1718" s="7" t="s">
        <v>7813</v>
      </c>
      <c r="C1718" s="3">
        <v>604.79</v>
      </c>
      <c r="D1718" s="7" t="s">
        <v>7814</v>
      </c>
      <c r="E1718" s="7" t="s">
        <v>3563</v>
      </c>
      <c r="G1718" s="9"/>
    </row>
    <row r="1719" spans="1:7" x14ac:dyDescent="0.3">
      <c r="A1719" s="9">
        <v>45983</v>
      </c>
      <c r="B1719" s="7" t="s">
        <v>7813</v>
      </c>
      <c r="C1719" s="3">
        <v>2040.66</v>
      </c>
      <c r="D1719" s="7" t="s">
        <v>7814</v>
      </c>
      <c r="E1719" s="7" t="s">
        <v>4143</v>
      </c>
      <c r="G1719" s="9"/>
    </row>
    <row r="1720" spans="1:7" x14ac:dyDescent="0.3">
      <c r="A1720" s="9">
        <v>45972</v>
      </c>
      <c r="B1720" s="7" t="s">
        <v>7813</v>
      </c>
      <c r="C1720" s="3">
        <v>2512.8200000000002</v>
      </c>
      <c r="D1720" s="7" t="s">
        <v>7814</v>
      </c>
      <c r="E1720" s="7" t="s">
        <v>3454</v>
      </c>
      <c r="G1720" s="9"/>
    </row>
    <row r="1721" spans="1:7" x14ac:dyDescent="0.3">
      <c r="A1721" s="9">
        <v>45962</v>
      </c>
      <c r="B1721" s="7" t="s">
        <v>7813</v>
      </c>
      <c r="C1721" s="3">
        <v>4174.29</v>
      </c>
      <c r="D1721" s="7" t="s">
        <v>7814</v>
      </c>
      <c r="E1721" s="7" t="s">
        <v>4034</v>
      </c>
      <c r="G1721" s="9"/>
    </row>
    <row r="1722" spans="1:7" x14ac:dyDescent="0.3">
      <c r="A1722" s="9">
        <v>45979</v>
      </c>
      <c r="B1722" s="7" t="s">
        <v>7813</v>
      </c>
      <c r="C1722" s="3">
        <v>4189.17</v>
      </c>
      <c r="D1722" s="7" t="s">
        <v>7814</v>
      </c>
      <c r="E1722" s="7" t="s">
        <v>5210</v>
      </c>
      <c r="G1722" s="9"/>
    </row>
    <row r="1723" spans="1:7" x14ac:dyDescent="0.3">
      <c r="A1723" s="9">
        <v>46029</v>
      </c>
      <c r="B1723" s="7" t="s">
        <v>7813</v>
      </c>
      <c r="C1723" s="3">
        <v>709.52</v>
      </c>
      <c r="D1723" s="7" t="s">
        <v>7814</v>
      </c>
      <c r="E1723" s="7" t="s">
        <v>3471</v>
      </c>
      <c r="G1723" s="9"/>
    </row>
    <row r="1724" spans="1:7" x14ac:dyDescent="0.3">
      <c r="A1724" s="9">
        <v>46083</v>
      </c>
      <c r="B1724" s="7" t="s">
        <v>7813</v>
      </c>
      <c r="C1724" s="3">
        <v>843.38</v>
      </c>
      <c r="D1724" s="7" t="s">
        <v>7814</v>
      </c>
      <c r="E1724" s="7" t="s">
        <v>3564</v>
      </c>
      <c r="G1724" s="9"/>
    </row>
    <row r="1725" spans="1:7" x14ac:dyDescent="0.3">
      <c r="A1725" s="9">
        <v>46046</v>
      </c>
      <c r="B1725" s="7" t="s">
        <v>7813</v>
      </c>
      <c r="C1725" s="3">
        <v>2821.02</v>
      </c>
      <c r="D1725" s="7" t="s">
        <v>7814</v>
      </c>
      <c r="E1725" s="7" t="s">
        <v>3659</v>
      </c>
      <c r="G1725" s="9"/>
    </row>
    <row r="1726" spans="1:7" x14ac:dyDescent="0.3">
      <c r="A1726" s="9">
        <v>46058</v>
      </c>
      <c r="B1726" s="7" t="s">
        <v>7813</v>
      </c>
      <c r="C1726" s="3">
        <v>2662.58</v>
      </c>
      <c r="D1726" s="7" t="s">
        <v>7814</v>
      </c>
      <c r="E1726" s="7" t="s">
        <v>3787</v>
      </c>
      <c r="G1726" s="9"/>
    </row>
    <row r="1727" spans="1:7" x14ac:dyDescent="0.3">
      <c r="A1727" s="9">
        <v>45995</v>
      </c>
      <c r="B1727" s="7" t="s">
        <v>7813</v>
      </c>
      <c r="C1727" s="3">
        <v>2542.73</v>
      </c>
      <c r="D1727" s="7" t="s">
        <v>7814</v>
      </c>
      <c r="E1727" s="7" t="s">
        <v>3893</v>
      </c>
      <c r="G1727" s="9"/>
    </row>
    <row r="1728" spans="1:7" x14ac:dyDescent="0.3">
      <c r="A1728" s="9">
        <v>46089</v>
      </c>
      <c r="B1728" s="7" t="s">
        <v>7813</v>
      </c>
      <c r="C1728" s="3">
        <v>2633.87</v>
      </c>
      <c r="D1728" s="7" t="s">
        <v>7814</v>
      </c>
      <c r="E1728" s="7" t="s">
        <v>5399</v>
      </c>
      <c r="G1728" s="9"/>
    </row>
    <row r="1729" spans="1:7" x14ac:dyDescent="0.3">
      <c r="A1729" s="9">
        <v>46029</v>
      </c>
      <c r="B1729" s="7" t="s">
        <v>7815</v>
      </c>
      <c r="C1729" s="3">
        <v>-2573.62</v>
      </c>
      <c r="D1729" s="7" t="s">
        <v>7816</v>
      </c>
      <c r="E1729" s="7" t="s">
        <v>7605</v>
      </c>
      <c r="G1729" s="9"/>
    </row>
    <row r="1730" spans="1:7" x14ac:dyDescent="0.3">
      <c r="A1730" s="9">
        <v>46080</v>
      </c>
      <c r="B1730" s="7" t="s">
        <v>7813</v>
      </c>
      <c r="C1730" s="3">
        <v>14338.52</v>
      </c>
      <c r="D1730" s="7" t="s">
        <v>7814</v>
      </c>
      <c r="E1730" s="7" t="s">
        <v>3681</v>
      </c>
      <c r="G1730" s="9"/>
    </row>
    <row r="1731" spans="1:7" x14ac:dyDescent="0.3">
      <c r="A1731" s="9">
        <v>46036</v>
      </c>
      <c r="B1731" s="7" t="s">
        <v>7813</v>
      </c>
      <c r="C1731" s="3">
        <v>11929.84</v>
      </c>
      <c r="D1731" s="7" t="s">
        <v>7814</v>
      </c>
      <c r="E1731" s="7" t="s">
        <v>4207</v>
      </c>
      <c r="G1731" s="9"/>
    </row>
    <row r="1732" spans="1:7" x14ac:dyDescent="0.3">
      <c r="A1732" s="9">
        <v>46079</v>
      </c>
      <c r="B1732" s="7" t="s">
        <v>7813</v>
      </c>
      <c r="C1732" s="3">
        <v>1186.4100000000001</v>
      </c>
      <c r="D1732" s="7" t="s">
        <v>7814</v>
      </c>
      <c r="E1732" s="7" t="s">
        <v>4952</v>
      </c>
      <c r="G1732" s="9"/>
    </row>
    <row r="1733" spans="1:7" x14ac:dyDescent="0.3">
      <c r="A1733" s="9">
        <v>46068</v>
      </c>
      <c r="B1733" s="7" t="s">
        <v>7813</v>
      </c>
      <c r="C1733" s="3">
        <v>5865.69</v>
      </c>
      <c r="D1733" s="7" t="s">
        <v>7814</v>
      </c>
      <c r="E1733" s="7" t="s">
        <v>5149</v>
      </c>
      <c r="G1733" s="9"/>
    </row>
    <row r="1734" spans="1:7" x14ac:dyDescent="0.3">
      <c r="A1734" s="9">
        <v>46073</v>
      </c>
      <c r="B1734" s="7" t="s">
        <v>7813</v>
      </c>
      <c r="C1734" s="3">
        <v>13841.38</v>
      </c>
      <c r="D1734" s="7" t="s">
        <v>7814</v>
      </c>
      <c r="E1734" s="7" t="s">
        <v>5332</v>
      </c>
      <c r="G1734" s="9"/>
    </row>
    <row r="1735" spans="1:7" x14ac:dyDescent="0.3">
      <c r="A1735" s="9">
        <v>46071</v>
      </c>
      <c r="B1735" s="7" t="s">
        <v>7815</v>
      </c>
      <c r="C1735" s="3">
        <v>-1455.86</v>
      </c>
      <c r="D1735" s="7" t="s">
        <v>7816</v>
      </c>
      <c r="E1735" s="7" t="s">
        <v>6986</v>
      </c>
      <c r="G1735" s="9"/>
    </row>
    <row r="1736" spans="1:7" x14ac:dyDescent="0.3">
      <c r="A1736" s="9">
        <v>46007</v>
      </c>
      <c r="B1736" s="7" t="s">
        <v>7815</v>
      </c>
      <c r="C1736" s="3">
        <v>-5399.72</v>
      </c>
      <c r="D1736" s="7" t="s">
        <v>7816</v>
      </c>
      <c r="E1736" s="7" t="s">
        <v>7145</v>
      </c>
      <c r="G1736" s="9"/>
    </row>
    <row r="1737" spans="1:7" x14ac:dyDescent="0.3">
      <c r="A1737" s="9">
        <v>46070</v>
      </c>
      <c r="B1737" s="7" t="s">
        <v>7815</v>
      </c>
      <c r="C1737" s="3">
        <v>-3553.12</v>
      </c>
      <c r="D1737" s="7" t="s">
        <v>7816</v>
      </c>
      <c r="E1737" s="7" t="s">
        <v>7561</v>
      </c>
      <c r="G1737" s="9"/>
    </row>
    <row r="1738" spans="1:7" x14ac:dyDescent="0.3">
      <c r="A1738" s="9">
        <v>46051</v>
      </c>
      <c r="B1738" s="7" t="s">
        <v>7813</v>
      </c>
      <c r="C1738" s="3">
        <v>1323.58</v>
      </c>
      <c r="D1738" s="7" t="s">
        <v>7814</v>
      </c>
      <c r="E1738" s="7" t="s">
        <v>3446</v>
      </c>
      <c r="G1738" s="9"/>
    </row>
    <row r="1739" spans="1:7" x14ac:dyDescent="0.3">
      <c r="A1739" s="9">
        <v>46046</v>
      </c>
      <c r="B1739" s="7" t="s">
        <v>7813</v>
      </c>
      <c r="C1739" s="3">
        <v>3226.9</v>
      </c>
      <c r="D1739" s="7" t="s">
        <v>7814</v>
      </c>
      <c r="E1739" s="7" t="s">
        <v>3936</v>
      </c>
      <c r="G1739" s="9"/>
    </row>
    <row r="1740" spans="1:7" x14ac:dyDescent="0.3">
      <c r="A1740" s="9">
        <v>45991</v>
      </c>
      <c r="B1740" s="7" t="s">
        <v>7813</v>
      </c>
      <c r="C1740" s="3">
        <v>1625.49</v>
      </c>
      <c r="D1740" s="7" t="s">
        <v>7814</v>
      </c>
      <c r="E1740" s="7" t="s">
        <v>4527</v>
      </c>
      <c r="G1740" s="9"/>
    </row>
    <row r="1741" spans="1:7" x14ac:dyDescent="0.3">
      <c r="A1741" s="9">
        <v>46002</v>
      </c>
      <c r="B1741" s="7" t="s">
        <v>7813</v>
      </c>
      <c r="C1741" s="3">
        <v>5525.24</v>
      </c>
      <c r="D1741" s="7" t="s">
        <v>7814</v>
      </c>
      <c r="E1741" s="7" t="s">
        <v>5342</v>
      </c>
      <c r="G1741" s="9"/>
    </row>
    <row r="1742" spans="1:7" x14ac:dyDescent="0.3">
      <c r="A1742" s="9">
        <v>46012</v>
      </c>
      <c r="B1742" s="7" t="s">
        <v>7815</v>
      </c>
      <c r="C1742" s="3">
        <v>-6554.63</v>
      </c>
      <c r="D1742" s="7" t="s">
        <v>7816</v>
      </c>
      <c r="E1742" s="7" t="s">
        <v>7571</v>
      </c>
      <c r="G1742" s="9"/>
    </row>
    <row r="1743" spans="1:7" x14ac:dyDescent="0.3">
      <c r="A1743" s="9">
        <v>46068</v>
      </c>
      <c r="B1743" s="7" t="s">
        <v>7815</v>
      </c>
      <c r="C1743" s="3">
        <v>-1678.96</v>
      </c>
      <c r="D1743" s="7" t="s">
        <v>7816</v>
      </c>
      <c r="E1743" s="7" t="s">
        <v>7804</v>
      </c>
      <c r="G1743" s="9"/>
    </row>
    <row r="1744" spans="1:7" x14ac:dyDescent="0.3">
      <c r="A1744" s="9">
        <v>46083</v>
      </c>
      <c r="B1744" s="7" t="s">
        <v>7813</v>
      </c>
      <c r="C1744" s="3">
        <v>1584.44</v>
      </c>
      <c r="D1744" s="7" t="s">
        <v>7814</v>
      </c>
      <c r="E1744" s="7" t="s">
        <v>3303</v>
      </c>
      <c r="G1744" s="9"/>
    </row>
    <row r="1745" spans="1:7" x14ac:dyDescent="0.3">
      <c r="A1745" s="9">
        <v>46011</v>
      </c>
      <c r="B1745" s="7" t="s">
        <v>7813</v>
      </c>
      <c r="C1745" s="3">
        <v>2662.46</v>
      </c>
      <c r="D1745" s="7" t="s">
        <v>7814</v>
      </c>
      <c r="E1745" s="7" t="s">
        <v>3464</v>
      </c>
      <c r="G1745" s="9"/>
    </row>
    <row r="1746" spans="1:7" x14ac:dyDescent="0.3">
      <c r="A1746" s="9">
        <v>46055</v>
      </c>
      <c r="B1746" s="7" t="s">
        <v>7813</v>
      </c>
      <c r="C1746" s="3">
        <v>2950.97</v>
      </c>
      <c r="D1746" s="7" t="s">
        <v>7814</v>
      </c>
      <c r="E1746" s="7" t="s">
        <v>3518</v>
      </c>
      <c r="G1746" s="9"/>
    </row>
    <row r="1747" spans="1:7" x14ac:dyDescent="0.3">
      <c r="A1747" s="9">
        <v>46034</v>
      </c>
      <c r="B1747" s="7" t="s">
        <v>7813</v>
      </c>
      <c r="C1747" s="3">
        <v>2514.31</v>
      </c>
      <c r="D1747" s="7" t="s">
        <v>7814</v>
      </c>
      <c r="E1747" s="7" t="s">
        <v>3749</v>
      </c>
      <c r="G1747" s="9"/>
    </row>
    <row r="1748" spans="1:7" x14ac:dyDescent="0.3">
      <c r="A1748" s="9">
        <v>46068</v>
      </c>
      <c r="B1748" s="7" t="s">
        <v>7813</v>
      </c>
      <c r="C1748" s="3">
        <v>1679.26</v>
      </c>
      <c r="D1748" s="7" t="s">
        <v>7814</v>
      </c>
      <c r="E1748" s="7" t="s">
        <v>4145</v>
      </c>
      <c r="G1748" s="9"/>
    </row>
    <row r="1749" spans="1:7" x14ac:dyDescent="0.3">
      <c r="A1749" s="9">
        <v>46039</v>
      </c>
      <c r="B1749" s="7" t="s">
        <v>7813</v>
      </c>
      <c r="C1749" s="3">
        <v>5813.69</v>
      </c>
      <c r="D1749" s="7" t="s">
        <v>7814</v>
      </c>
      <c r="E1749" s="7" t="s">
        <v>4232</v>
      </c>
      <c r="G1749" s="9"/>
    </row>
    <row r="1750" spans="1:7" x14ac:dyDescent="0.3">
      <c r="A1750" s="9">
        <v>45979</v>
      </c>
      <c r="B1750" s="7" t="s">
        <v>7813</v>
      </c>
      <c r="C1750" s="3">
        <v>3900.98</v>
      </c>
      <c r="D1750" s="7" t="s">
        <v>7814</v>
      </c>
      <c r="E1750" s="7" t="s">
        <v>3336</v>
      </c>
      <c r="G1750" s="9"/>
    </row>
    <row r="1751" spans="1:7" x14ac:dyDescent="0.3">
      <c r="A1751" s="9">
        <v>45973</v>
      </c>
      <c r="B1751" s="7" t="s">
        <v>7813</v>
      </c>
      <c r="C1751" s="3">
        <v>2720.26</v>
      </c>
      <c r="D1751" s="7" t="s">
        <v>7814</v>
      </c>
      <c r="E1751" s="7" t="s">
        <v>3796</v>
      </c>
      <c r="G1751" s="9"/>
    </row>
    <row r="1752" spans="1:7" x14ac:dyDescent="0.3">
      <c r="A1752" s="9">
        <v>46030</v>
      </c>
      <c r="B1752" s="7" t="s">
        <v>7813</v>
      </c>
      <c r="C1752" s="3">
        <v>1680.38</v>
      </c>
      <c r="D1752" s="7" t="s">
        <v>7814</v>
      </c>
      <c r="E1752" s="7" t="s">
        <v>4704</v>
      </c>
      <c r="G1752" s="9"/>
    </row>
    <row r="1753" spans="1:7" x14ac:dyDescent="0.3">
      <c r="A1753" s="9">
        <v>45969</v>
      </c>
      <c r="B1753" s="7" t="s">
        <v>7813</v>
      </c>
      <c r="C1753" s="3">
        <v>2772.64</v>
      </c>
      <c r="D1753" s="7" t="s">
        <v>7814</v>
      </c>
      <c r="E1753" s="7" t="s">
        <v>4781</v>
      </c>
      <c r="G1753" s="9"/>
    </row>
    <row r="1754" spans="1:7" x14ac:dyDescent="0.3">
      <c r="A1754" s="9">
        <v>46009</v>
      </c>
      <c r="B1754" s="7" t="s">
        <v>7813</v>
      </c>
      <c r="C1754" s="3">
        <v>2143.98</v>
      </c>
      <c r="D1754" s="7" t="s">
        <v>7814</v>
      </c>
      <c r="E1754" s="7" t="s">
        <v>5330</v>
      </c>
      <c r="G1754" s="9"/>
    </row>
    <row r="1755" spans="1:7" x14ac:dyDescent="0.3">
      <c r="A1755" s="9">
        <v>46058</v>
      </c>
      <c r="B1755" s="7" t="s">
        <v>7815</v>
      </c>
      <c r="C1755" s="3">
        <v>-1332.88</v>
      </c>
      <c r="D1755" s="7" t="s">
        <v>7816</v>
      </c>
      <c r="E1755" s="7" t="s">
        <v>6861</v>
      </c>
      <c r="G1755" s="9"/>
    </row>
    <row r="1756" spans="1:7" x14ac:dyDescent="0.3">
      <c r="A1756" s="9">
        <v>46054</v>
      </c>
      <c r="B1756" s="7" t="s">
        <v>7815</v>
      </c>
      <c r="C1756" s="3">
        <v>-5162.2700000000004</v>
      </c>
      <c r="D1756" s="7" t="s">
        <v>7816</v>
      </c>
      <c r="E1756" s="7" t="s">
        <v>6960</v>
      </c>
      <c r="G1756" s="9"/>
    </row>
    <row r="1757" spans="1:7" x14ac:dyDescent="0.3">
      <c r="A1757" s="9">
        <v>45964</v>
      </c>
      <c r="B1757" s="7" t="s">
        <v>7815</v>
      </c>
      <c r="C1757" s="3">
        <v>-6379.94</v>
      </c>
      <c r="D1757" s="7" t="s">
        <v>7816</v>
      </c>
      <c r="E1757" s="7" t="s">
        <v>7175</v>
      </c>
      <c r="G1757" s="9"/>
    </row>
    <row r="1758" spans="1:7" x14ac:dyDescent="0.3">
      <c r="A1758" s="9">
        <v>46041</v>
      </c>
      <c r="B1758" s="7" t="s">
        <v>7815</v>
      </c>
      <c r="C1758" s="3">
        <v>-6017.5</v>
      </c>
      <c r="D1758" s="7" t="s">
        <v>7816</v>
      </c>
      <c r="E1758" s="7" t="s">
        <v>7367</v>
      </c>
      <c r="G1758" s="9"/>
    </row>
    <row r="1759" spans="1:7" x14ac:dyDescent="0.3">
      <c r="A1759" s="9">
        <v>45979</v>
      </c>
      <c r="B1759" s="7" t="s">
        <v>7815</v>
      </c>
      <c r="C1759" s="3">
        <v>-1117.05</v>
      </c>
      <c r="D1759" s="7" t="s">
        <v>7816</v>
      </c>
      <c r="E1759" s="7" t="s">
        <v>7743</v>
      </c>
      <c r="G1759" s="9"/>
    </row>
    <row r="1760" spans="1:7" x14ac:dyDescent="0.3">
      <c r="A1760" s="9">
        <v>46027</v>
      </c>
      <c r="B1760" s="7" t="s">
        <v>7813</v>
      </c>
      <c r="C1760" s="3">
        <v>2834.91</v>
      </c>
      <c r="D1760" s="7" t="s">
        <v>7814</v>
      </c>
      <c r="E1760" s="7" t="s">
        <v>3995</v>
      </c>
      <c r="G1760" s="9"/>
    </row>
    <row r="1761" spans="1:7" x14ac:dyDescent="0.3">
      <c r="A1761" s="9">
        <v>46007</v>
      </c>
      <c r="B1761" s="7" t="s">
        <v>7813</v>
      </c>
      <c r="C1761" s="3">
        <v>3700.67</v>
      </c>
      <c r="D1761" s="7" t="s">
        <v>7814</v>
      </c>
      <c r="E1761" s="7" t="s">
        <v>4062</v>
      </c>
      <c r="G1761" s="9"/>
    </row>
    <row r="1762" spans="1:7" x14ac:dyDescent="0.3">
      <c r="A1762" s="9">
        <v>46070</v>
      </c>
      <c r="B1762" s="7" t="s">
        <v>7813</v>
      </c>
      <c r="C1762" s="3">
        <v>11413.04</v>
      </c>
      <c r="D1762" s="7" t="s">
        <v>7814</v>
      </c>
      <c r="E1762" s="7" t="s">
        <v>4489</v>
      </c>
      <c r="G1762" s="9"/>
    </row>
    <row r="1763" spans="1:7" x14ac:dyDescent="0.3">
      <c r="A1763" s="9">
        <v>46026</v>
      </c>
      <c r="B1763" s="7" t="s">
        <v>7813</v>
      </c>
      <c r="C1763" s="3">
        <v>5526.35</v>
      </c>
      <c r="D1763" s="7" t="s">
        <v>7814</v>
      </c>
      <c r="E1763" s="7" t="s">
        <v>5047</v>
      </c>
      <c r="G1763" s="9"/>
    </row>
    <row r="1764" spans="1:7" x14ac:dyDescent="0.3">
      <c r="A1764" s="9">
        <v>46077</v>
      </c>
      <c r="B1764" s="7" t="s">
        <v>7813</v>
      </c>
      <c r="C1764" s="3">
        <v>10563.78</v>
      </c>
      <c r="D1764" s="7" t="s">
        <v>7814</v>
      </c>
      <c r="E1764" s="7" t="s">
        <v>5314</v>
      </c>
      <c r="G1764" s="9"/>
    </row>
    <row r="1765" spans="1:7" x14ac:dyDescent="0.3">
      <c r="A1765" s="9">
        <v>45976</v>
      </c>
      <c r="B1765" s="7" t="s">
        <v>7815</v>
      </c>
      <c r="C1765" s="3">
        <v>-1787.18</v>
      </c>
      <c r="D1765" s="7" t="s">
        <v>7816</v>
      </c>
      <c r="E1765" s="7" t="s">
        <v>7659</v>
      </c>
      <c r="G1765" s="9"/>
    </row>
    <row r="1766" spans="1:7" x14ac:dyDescent="0.3">
      <c r="A1766" s="9">
        <v>46025</v>
      </c>
      <c r="B1766" s="7" t="s">
        <v>7813</v>
      </c>
      <c r="C1766" s="3">
        <v>7401.49</v>
      </c>
      <c r="D1766" s="7" t="s">
        <v>7814</v>
      </c>
      <c r="E1766" s="7" t="s">
        <v>3282</v>
      </c>
      <c r="G1766" s="9"/>
    </row>
    <row r="1767" spans="1:7" x14ac:dyDescent="0.3">
      <c r="A1767" s="9">
        <v>46005</v>
      </c>
      <c r="B1767" s="7" t="s">
        <v>7813</v>
      </c>
      <c r="C1767" s="3">
        <v>2076.9499999999998</v>
      </c>
      <c r="D1767" s="7" t="s">
        <v>7814</v>
      </c>
      <c r="E1767" s="7" t="s">
        <v>3599</v>
      </c>
      <c r="G1767" s="9"/>
    </row>
    <row r="1768" spans="1:7" x14ac:dyDescent="0.3">
      <c r="A1768" s="9">
        <v>45972</v>
      </c>
      <c r="B1768" s="7" t="s">
        <v>7815</v>
      </c>
      <c r="C1768" s="3">
        <v>-3769.25</v>
      </c>
      <c r="D1768" s="7" t="s">
        <v>7816</v>
      </c>
      <c r="E1768" s="7" t="s">
        <v>7565</v>
      </c>
      <c r="G1768" s="9"/>
    </row>
    <row r="1769" spans="1:7" x14ac:dyDescent="0.3">
      <c r="A1769" s="9">
        <v>45966</v>
      </c>
      <c r="B1769" s="7" t="s">
        <v>7815</v>
      </c>
      <c r="C1769" s="3">
        <v>-1790.95</v>
      </c>
      <c r="D1769" s="7" t="s">
        <v>7816</v>
      </c>
      <c r="E1769" s="7" t="s">
        <v>7654</v>
      </c>
      <c r="G1769" s="9"/>
    </row>
    <row r="1770" spans="1:7" x14ac:dyDescent="0.3">
      <c r="A1770" s="9">
        <v>46041</v>
      </c>
      <c r="B1770" s="7" t="s">
        <v>7813</v>
      </c>
      <c r="C1770" s="3">
        <v>1042.02</v>
      </c>
      <c r="D1770" s="7" t="s">
        <v>7814</v>
      </c>
      <c r="E1770" s="7" t="s">
        <v>3487</v>
      </c>
      <c r="G1770" s="9"/>
    </row>
    <row r="1771" spans="1:7" x14ac:dyDescent="0.3">
      <c r="A1771" s="9">
        <v>45988</v>
      </c>
      <c r="B1771" s="7" t="s">
        <v>7813</v>
      </c>
      <c r="C1771" s="3">
        <v>1334.01</v>
      </c>
      <c r="D1771" s="7" t="s">
        <v>7814</v>
      </c>
      <c r="E1771" s="7" t="s">
        <v>3556</v>
      </c>
      <c r="G1771" s="9"/>
    </row>
    <row r="1772" spans="1:7" x14ac:dyDescent="0.3">
      <c r="A1772" s="9">
        <v>46078</v>
      </c>
      <c r="B1772" s="7" t="s">
        <v>7813</v>
      </c>
      <c r="C1772" s="3">
        <v>3925.78</v>
      </c>
      <c r="D1772" s="7" t="s">
        <v>7814</v>
      </c>
      <c r="E1772" s="7" t="s">
        <v>4200</v>
      </c>
      <c r="G1772" s="9"/>
    </row>
    <row r="1773" spans="1:7" x14ac:dyDescent="0.3">
      <c r="A1773" s="9">
        <v>46082</v>
      </c>
      <c r="B1773" s="7" t="s">
        <v>7813</v>
      </c>
      <c r="C1773" s="3">
        <v>3832.9</v>
      </c>
      <c r="D1773" s="7" t="s">
        <v>7814</v>
      </c>
      <c r="E1773" s="7" t="s">
        <v>4225</v>
      </c>
      <c r="G1773" s="9"/>
    </row>
    <row r="1774" spans="1:7" x14ac:dyDescent="0.3">
      <c r="A1774" s="9">
        <v>45994</v>
      </c>
      <c r="B1774" s="7" t="s">
        <v>7813</v>
      </c>
      <c r="C1774" s="3">
        <v>591.02</v>
      </c>
      <c r="D1774" s="7" t="s">
        <v>7814</v>
      </c>
      <c r="E1774" s="7" t="s">
        <v>4590</v>
      </c>
      <c r="G1774" s="9"/>
    </row>
    <row r="1775" spans="1:7" x14ac:dyDescent="0.3">
      <c r="A1775" s="9">
        <v>45995</v>
      </c>
      <c r="B1775" s="7" t="s">
        <v>7815</v>
      </c>
      <c r="C1775" s="3">
        <v>-1586.79</v>
      </c>
      <c r="D1775" s="7" t="s">
        <v>7816</v>
      </c>
      <c r="E1775" s="7" t="s">
        <v>6914</v>
      </c>
      <c r="G1775" s="9"/>
    </row>
    <row r="1776" spans="1:7" x14ac:dyDescent="0.3">
      <c r="A1776" s="9">
        <v>46049</v>
      </c>
      <c r="B1776" s="7" t="s">
        <v>7815</v>
      </c>
      <c r="C1776" s="3">
        <v>-2500.79</v>
      </c>
      <c r="D1776" s="7" t="s">
        <v>7816</v>
      </c>
      <c r="E1776" s="7" t="s">
        <v>6923</v>
      </c>
      <c r="G1776" s="9"/>
    </row>
    <row r="1777" spans="1:7" x14ac:dyDescent="0.3">
      <c r="A1777" s="9">
        <v>46059</v>
      </c>
      <c r="B1777" s="7" t="s">
        <v>7815</v>
      </c>
      <c r="C1777" s="3">
        <v>-6070.03</v>
      </c>
      <c r="D1777" s="7" t="s">
        <v>7816</v>
      </c>
      <c r="E1777" s="7" t="s">
        <v>7245</v>
      </c>
      <c r="G1777" s="9"/>
    </row>
    <row r="1778" spans="1:7" x14ac:dyDescent="0.3">
      <c r="A1778" s="9">
        <v>46041</v>
      </c>
      <c r="B1778" s="7" t="s">
        <v>7817</v>
      </c>
      <c r="C1778" s="3">
        <v>-93019.7</v>
      </c>
      <c r="D1778" s="7" t="s">
        <v>7816</v>
      </c>
      <c r="E1778" s="7" t="s">
        <v>7818</v>
      </c>
      <c r="G1778" s="9"/>
    </row>
    <row r="1779" spans="1:7" x14ac:dyDescent="0.3">
      <c r="A1779" s="9">
        <v>46029</v>
      </c>
      <c r="B1779" s="7" t="s">
        <v>7813</v>
      </c>
      <c r="C1779" s="3">
        <v>1379.08</v>
      </c>
      <c r="D1779" s="7" t="s">
        <v>7814</v>
      </c>
      <c r="E1779" s="7" t="s">
        <v>3488</v>
      </c>
      <c r="G1779" s="9"/>
    </row>
    <row r="1780" spans="1:7" x14ac:dyDescent="0.3">
      <c r="A1780" s="9">
        <v>46065</v>
      </c>
      <c r="B1780" s="7" t="s">
        <v>7813</v>
      </c>
      <c r="C1780" s="3">
        <v>1993.99</v>
      </c>
      <c r="D1780" s="7" t="s">
        <v>7814</v>
      </c>
      <c r="E1780" s="7" t="s">
        <v>4270</v>
      </c>
      <c r="G1780" s="9"/>
    </row>
    <row r="1781" spans="1:7" x14ac:dyDescent="0.3">
      <c r="A1781" s="9">
        <v>46011</v>
      </c>
      <c r="B1781" s="7" t="s">
        <v>7813</v>
      </c>
      <c r="C1781" s="3">
        <v>5477.56</v>
      </c>
      <c r="D1781" s="7" t="s">
        <v>7814</v>
      </c>
      <c r="E1781" s="7" t="s">
        <v>4286</v>
      </c>
      <c r="G1781" s="9"/>
    </row>
    <row r="1782" spans="1:7" x14ac:dyDescent="0.3">
      <c r="A1782" s="9">
        <v>45976</v>
      </c>
      <c r="B1782" s="7" t="s">
        <v>7815</v>
      </c>
      <c r="C1782" s="3">
        <v>-6814.97</v>
      </c>
      <c r="D1782" s="7" t="s">
        <v>7816</v>
      </c>
      <c r="E1782" s="7" t="s">
        <v>7187</v>
      </c>
      <c r="G1782" s="9"/>
    </row>
    <row r="1783" spans="1:7" x14ac:dyDescent="0.3">
      <c r="A1783" s="9">
        <v>45985</v>
      </c>
      <c r="B1783" s="7" t="s">
        <v>7813</v>
      </c>
      <c r="C1783" s="3">
        <v>3241.89</v>
      </c>
      <c r="D1783" s="7" t="s">
        <v>7814</v>
      </c>
      <c r="E1783" s="7" t="s">
        <v>4833</v>
      </c>
      <c r="G1783" s="9"/>
    </row>
    <row r="1784" spans="1:7" x14ac:dyDescent="0.3">
      <c r="A1784" s="9">
        <v>46031</v>
      </c>
      <c r="B1784" s="7" t="s">
        <v>7813</v>
      </c>
      <c r="C1784" s="3">
        <v>3192.34</v>
      </c>
      <c r="D1784" s="7" t="s">
        <v>7814</v>
      </c>
      <c r="E1784" s="7" t="s">
        <v>5358</v>
      </c>
      <c r="G1784" s="9"/>
    </row>
    <row r="1785" spans="1:7" x14ac:dyDescent="0.3">
      <c r="A1785" s="9">
        <v>46022</v>
      </c>
      <c r="B1785" s="7" t="s">
        <v>7815</v>
      </c>
      <c r="C1785" s="3">
        <v>-4876.9399999999996</v>
      </c>
      <c r="D1785" s="7" t="s">
        <v>7816</v>
      </c>
      <c r="E1785" s="7" t="s">
        <v>7767</v>
      </c>
      <c r="G1785" s="9"/>
    </row>
    <row r="1786" spans="1:7" x14ac:dyDescent="0.3">
      <c r="A1786" s="9">
        <v>46064</v>
      </c>
      <c r="B1786" s="7" t="s">
        <v>7813</v>
      </c>
      <c r="C1786" s="3">
        <v>2829.24</v>
      </c>
      <c r="D1786" s="7" t="s">
        <v>7814</v>
      </c>
      <c r="E1786" s="7" t="s">
        <v>3759</v>
      </c>
      <c r="G1786" s="9"/>
    </row>
    <row r="1787" spans="1:7" x14ac:dyDescent="0.3">
      <c r="A1787" s="9">
        <v>46023</v>
      </c>
      <c r="B1787" s="7" t="s">
        <v>7813</v>
      </c>
      <c r="C1787" s="3">
        <v>3897.3</v>
      </c>
      <c r="D1787" s="7" t="s">
        <v>7814</v>
      </c>
      <c r="E1787" s="7" t="s">
        <v>3817</v>
      </c>
      <c r="G1787" s="9"/>
    </row>
    <row r="1788" spans="1:7" x14ac:dyDescent="0.3">
      <c r="A1788" s="9">
        <v>46024</v>
      </c>
      <c r="B1788" s="7" t="s">
        <v>7813</v>
      </c>
      <c r="C1788" s="3">
        <v>4132.2700000000004</v>
      </c>
      <c r="D1788" s="7" t="s">
        <v>7814</v>
      </c>
      <c r="E1788" s="7" t="s">
        <v>3954</v>
      </c>
      <c r="G1788" s="9"/>
    </row>
    <row r="1789" spans="1:7" x14ac:dyDescent="0.3">
      <c r="A1789" s="9">
        <v>46033</v>
      </c>
      <c r="B1789" s="7" t="s">
        <v>7813</v>
      </c>
      <c r="C1789" s="3">
        <v>4031.26</v>
      </c>
      <c r="D1789" s="7" t="s">
        <v>7814</v>
      </c>
      <c r="E1789" s="7" t="s">
        <v>4082</v>
      </c>
      <c r="G1789" s="9"/>
    </row>
    <row r="1790" spans="1:7" x14ac:dyDescent="0.3">
      <c r="A1790" s="9">
        <v>45988</v>
      </c>
      <c r="B1790" s="7" t="s">
        <v>7813</v>
      </c>
      <c r="C1790" s="3">
        <v>14082.33</v>
      </c>
      <c r="D1790" s="7" t="s">
        <v>7814</v>
      </c>
      <c r="E1790" s="7" t="s">
        <v>4721</v>
      </c>
      <c r="G1790" s="9"/>
    </row>
    <row r="1791" spans="1:7" x14ac:dyDescent="0.3">
      <c r="A1791" s="9">
        <v>46031</v>
      </c>
      <c r="B1791" s="7" t="s">
        <v>7813</v>
      </c>
      <c r="C1791" s="3">
        <v>3559.55</v>
      </c>
      <c r="D1791" s="7" t="s">
        <v>7814</v>
      </c>
      <c r="E1791" s="7" t="s">
        <v>5212</v>
      </c>
      <c r="G1791" s="9"/>
    </row>
    <row r="1792" spans="1:7" x14ac:dyDescent="0.3">
      <c r="A1792" s="9">
        <v>46072</v>
      </c>
      <c r="B1792" s="7" t="s">
        <v>7815</v>
      </c>
      <c r="C1792" s="3">
        <v>-5942.28</v>
      </c>
      <c r="D1792" s="7" t="s">
        <v>7816</v>
      </c>
      <c r="E1792" s="7" t="s">
        <v>6880</v>
      </c>
      <c r="G1792" s="9"/>
    </row>
    <row r="1793" spans="1:7" x14ac:dyDescent="0.3">
      <c r="A1793" s="9">
        <v>46058</v>
      </c>
      <c r="B1793" s="7" t="s">
        <v>7815</v>
      </c>
      <c r="C1793" s="3">
        <v>-3537.69</v>
      </c>
      <c r="D1793" s="7" t="s">
        <v>7816</v>
      </c>
      <c r="E1793" s="7" t="s">
        <v>7771</v>
      </c>
      <c r="G1793" s="9"/>
    </row>
    <row r="1794" spans="1:7" x14ac:dyDescent="0.3">
      <c r="A1794" s="9">
        <v>46014</v>
      </c>
      <c r="B1794" s="7" t="s">
        <v>7813</v>
      </c>
      <c r="C1794" s="3">
        <v>1751.28</v>
      </c>
      <c r="D1794" s="7" t="s">
        <v>7814</v>
      </c>
      <c r="E1794" s="7" t="s">
        <v>3447</v>
      </c>
      <c r="G1794" s="9"/>
    </row>
    <row r="1795" spans="1:7" x14ac:dyDescent="0.3">
      <c r="A1795" s="9">
        <v>46053</v>
      </c>
      <c r="B1795" s="7" t="s">
        <v>7813</v>
      </c>
      <c r="C1795" s="3">
        <v>3681.38</v>
      </c>
      <c r="D1795" s="7" t="s">
        <v>7814</v>
      </c>
      <c r="E1795" s="7" t="s">
        <v>4269</v>
      </c>
      <c r="G1795" s="9"/>
    </row>
    <row r="1796" spans="1:7" x14ac:dyDescent="0.3">
      <c r="A1796" s="9">
        <v>45979</v>
      </c>
      <c r="B1796" s="7" t="s">
        <v>7813</v>
      </c>
      <c r="C1796" s="3">
        <v>2726.51</v>
      </c>
      <c r="D1796" s="7" t="s">
        <v>7814</v>
      </c>
      <c r="E1796" s="7" t="s">
        <v>4321</v>
      </c>
      <c r="G1796" s="9"/>
    </row>
    <row r="1797" spans="1:7" x14ac:dyDescent="0.3">
      <c r="A1797" s="9">
        <v>46017</v>
      </c>
      <c r="B1797" s="7" t="s">
        <v>7813</v>
      </c>
      <c r="C1797" s="3">
        <v>5431.78</v>
      </c>
      <c r="D1797" s="7" t="s">
        <v>7814</v>
      </c>
      <c r="E1797" s="7" t="s">
        <v>5256</v>
      </c>
      <c r="G1797" s="9"/>
    </row>
    <row r="1798" spans="1:7" x14ac:dyDescent="0.3">
      <c r="A1798" s="9">
        <v>46076</v>
      </c>
      <c r="B1798" s="7" t="s">
        <v>7815</v>
      </c>
      <c r="C1798" s="3">
        <v>-5369.64</v>
      </c>
      <c r="D1798" s="7" t="s">
        <v>7816</v>
      </c>
      <c r="E1798" s="7" t="s">
        <v>7128</v>
      </c>
      <c r="G1798" s="9"/>
    </row>
    <row r="1799" spans="1:7" x14ac:dyDescent="0.3">
      <c r="A1799" s="9">
        <v>46070</v>
      </c>
      <c r="B1799" s="7" t="s">
        <v>7815</v>
      </c>
      <c r="C1799" s="3">
        <v>-4453.5200000000004</v>
      </c>
      <c r="D1799" s="7" t="s">
        <v>7816</v>
      </c>
      <c r="E1799" s="7" t="s">
        <v>7325</v>
      </c>
      <c r="G1799" s="9"/>
    </row>
    <row r="1800" spans="1:7" x14ac:dyDescent="0.3">
      <c r="A1800" s="9">
        <v>46042</v>
      </c>
      <c r="B1800" s="7" t="s">
        <v>7813</v>
      </c>
      <c r="C1800" s="3">
        <v>5375.82</v>
      </c>
      <c r="D1800" s="7" t="s">
        <v>7814</v>
      </c>
      <c r="E1800" s="7" t="s">
        <v>3283</v>
      </c>
      <c r="G1800" s="9"/>
    </row>
    <row r="1801" spans="1:7" x14ac:dyDescent="0.3">
      <c r="A1801" s="9">
        <v>46028</v>
      </c>
      <c r="B1801" s="7" t="s">
        <v>7813</v>
      </c>
      <c r="C1801" s="3">
        <v>13364.5</v>
      </c>
      <c r="D1801" s="7" t="s">
        <v>7814</v>
      </c>
      <c r="E1801" s="7" t="s">
        <v>3503</v>
      </c>
      <c r="G1801" s="9"/>
    </row>
    <row r="1802" spans="1:7" x14ac:dyDescent="0.3">
      <c r="A1802" s="9">
        <v>46016</v>
      </c>
      <c r="B1802" s="7" t="s">
        <v>7813</v>
      </c>
      <c r="C1802" s="3">
        <v>3350.92</v>
      </c>
      <c r="D1802" s="7" t="s">
        <v>7814</v>
      </c>
      <c r="E1802" s="7" t="s">
        <v>4014</v>
      </c>
      <c r="G1802" s="9"/>
    </row>
    <row r="1803" spans="1:7" x14ac:dyDescent="0.3">
      <c r="A1803" s="9">
        <v>46042</v>
      </c>
      <c r="B1803" s="7" t="s">
        <v>7813</v>
      </c>
      <c r="C1803" s="3">
        <v>2406.4299999999998</v>
      </c>
      <c r="D1803" s="7" t="s">
        <v>7814</v>
      </c>
      <c r="E1803" s="7" t="s">
        <v>4244</v>
      </c>
      <c r="G1803" s="9"/>
    </row>
    <row r="1804" spans="1:7" x14ac:dyDescent="0.3">
      <c r="A1804" s="9">
        <v>45988</v>
      </c>
      <c r="B1804" s="7" t="s">
        <v>7813</v>
      </c>
      <c r="C1804" s="3">
        <v>907.5</v>
      </c>
      <c r="D1804" s="7" t="s">
        <v>7814</v>
      </c>
      <c r="E1804" s="7" t="s">
        <v>4373</v>
      </c>
      <c r="G1804" s="9"/>
    </row>
    <row r="1805" spans="1:7" x14ac:dyDescent="0.3">
      <c r="A1805" s="9">
        <v>46052</v>
      </c>
      <c r="B1805" s="7" t="s">
        <v>7813</v>
      </c>
      <c r="C1805" s="3">
        <v>3575.91</v>
      </c>
      <c r="D1805" s="7" t="s">
        <v>7814</v>
      </c>
      <c r="E1805" s="7" t="s">
        <v>4560</v>
      </c>
      <c r="G1805" s="9"/>
    </row>
    <row r="1806" spans="1:7" x14ac:dyDescent="0.3">
      <c r="A1806" s="9">
        <v>46015</v>
      </c>
      <c r="B1806" s="7" t="s">
        <v>7813</v>
      </c>
      <c r="C1806" s="3">
        <v>2521.61</v>
      </c>
      <c r="D1806" s="7" t="s">
        <v>7814</v>
      </c>
      <c r="E1806" s="7" t="s">
        <v>4600</v>
      </c>
      <c r="G1806" s="9"/>
    </row>
    <row r="1807" spans="1:7" x14ac:dyDescent="0.3">
      <c r="A1807" s="9">
        <v>45977</v>
      </c>
      <c r="B1807" s="7" t="s">
        <v>7813</v>
      </c>
      <c r="C1807" s="3">
        <v>2092.0300000000002</v>
      </c>
      <c r="D1807" s="7" t="s">
        <v>7814</v>
      </c>
      <c r="E1807" s="7" t="s">
        <v>4803</v>
      </c>
      <c r="G1807" s="9"/>
    </row>
    <row r="1808" spans="1:7" x14ac:dyDescent="0.3">
      <c r="A1808" s="9">
        <v>45992</v>
      </c>
      <c r="B1808" s="7" t="s">
        <v>7815</v>
      </c>
      <c r="C1808" s="3">
        <v>-3812.29</v>
      </c>
      <c r="D1808" s="7" t="s">
        <v>7816</v>
      </c>
      <c r="E1808" s="7" t="s">
        <v>7104</v>
      </c>
      <c r="G1808" s="9"/>
    </row>
    <row r="1809" spans="1:7" x14ac:dyDescent="0.3">
      <c r="A1809" s="9">
        <v>46059</v>
      </c>
      <c r="B1809" s="7" t="s">
        <v>7813</v>
      </c>
      <c r="C1809" s="3">
        <v>4831.8599999999997</v>
      </c>
      <c r="D1809" s="7" t="s">
        <v>7814</v>
      </c>
      <c r="E1809" s="7" t="s">
        <v>3745</v>
      </c>
      <c r="G1809" s="9"/>
    </row>
    <row r="1810" spans="1:7" x14ac:dyDescent="0.3">
      <c r="A1810" s="9">
        <v>46022</v>
      </c>
      <c r="B1810" s="7" t="s">
        <v>7813</v>
      </c>
      <c r="C1810" s="3">
        <v>3531.56</v>
      </c>
      <c r="D1810" s="7" t="s">
        <v>7814</v>
      </c>
      <c r="E1810" s="7" t="s">
        <v>3814</v>
      </c>
      <c r="G1810" s="9"/>
    </row>
    <row r="1811" spans="1:7" x14ac:dyDescent="0.3">
      <c r="A1811" s="9">
        <v>46001</v>
      </c>
      <c r="B1811" s="7" t="s">
        <v>7813</v>
      </c>
      <c r="C1811" s="3">
        <v>1638.4</v>
      </c>
      <c r="D1811" s="7" t="s">
        <v>7814</v>
      </c>
      <c r="E1811" s="7" t="s">
        <v>4146</v>
      </c>
      <c r="G1811" s="9"/>
    </row>
    <row r="1812" spans="1:7" x14ac:dyDescent="0.3">
      <c r="A1812" s="9">
        <v>45971</v>
      </c>
      <c r="B1812" s="7" t="s">
        <v>7813</v>
      </c>
      <c r="C1812" s="3">
        <v>5138.6099999999997</v>
      </c>
      <c r="D1812" s="7" t="s">
        <v>7814</v>
      </c>
      <c r="E1812" s="7" t="s">
        <v>5106</v>
      </c>
      <c r="G1812" s="9"/>
    </row>
    <row r="1813" spans="1:7" x14ac:dyDescent="0.3">
      <c r="A1813" s="9">
        <v>46011</v>
      </c>
      <c r="B1813" s="7" t="s">
        <v>7815</v>
      </c>
      <c r="C1813" s="3">
        <v>-2423.9299999999998</v>
      </c>
      <c r="D1813" s="7" t="s">
        <v>7816</v>
      </c>
      <c r="E1813" s="7" t="s">
        <v>7129</v>
      </c>
      <c r="G1813" s="9"/>
    </row>
    <row r="1814" spans="1:7" x14ac:dyDescent="0.3">
      <c r="A1814" s="9">
        <v>46035</v>
      </c>
      <c r="B1814" s="7" t="s">
        <v>7815</v>
      </c>
      <c r="C1814" s="3">
        <v>-4347.42</v>
      </c>
      <c r="D1814" s="7" t="s">
        <v>7816</v>
      </c>
      <c r="E1814" s="7" t="s">
        <v>7556</v>
      </c>
      <c r="G1814" s="9"/>
    </row>
    <row r="1815" spans="1:7" x14ac:dyDescent="0.3">
      <c r="A1815" s="9">
        <v>46028</v>
      </c>
      <c r="B1815" s="7" t="s">
        <v>7815</v>
      </c>
      <c r="C1815" s="3">
        <v>-2956.22</v>
      </c>
      <c r="D1815" s="7" t="s">
        <v>7816</v>
      </c>
      <c r="E1815" s="7" t="s">
        <v>7657</v>
      </c>
      <c r="G1815" s="9"/>
    </row>
    <row r="1816" spans="1:7" x14ac:dyDescent="0.3">
      <c r="A1816" s="9">
        <v>46013</v>
      </c>
      <c r="B1816" s="7" t="s">
        <v>7813</v>
      </c>
      <c r="C1816" s="3">
        <v>1455.78</v>
      </c>
      <c r="D1816" s="7" t="s">
        <v>7814</v>
      </c>
      <c r="E1816" s="7" t="s">
        <v>3690</v>
      </c>
      <c r="G1816" s="9"/>
    </row>
    <row r="1817" spans="1:7" x14ac:dyDescent="0.3">
      <c r="A1817" s="9">
        <v>46000</v>
      </c>
      <c r="B1817" s="7" t="s">
        <v>7813</v>
      </c>
      <c r="C1817" s="3">
        <v>1895.25</v>
      </c>
      <c r="D1817" s="7" t="s">
        <v>7814</v>
      </c>
      <c r="E1817" s="7" t="s">
        <v>4166</v>
      </c>
      <c r="G1817" s="9"/>
    </row>
    <row r="1818" spans="1:7" x14ac:dyDescent="0.3">
      <c r="A1818" s="9">
        <v>46030</v>
      </c>
      <c r="B1818" s="7" t="s">
        <v>7813</v>
      </c>
      <c r="C1818" s="3">
        <v>1494.66</v>
      </c>
      <c r="D1818" s="7" t="s">
        <v>7814</v>
      </c>
      <c r="E1818" s="7" t="s">
        <v>4271</v>
      </c>
      <c r="G1818" s="9"/>
    </row>
    <row r="1819" spans="1:7" x14ac:dyDescent="0.3">
      <c r="A1819" s="9">
        <v>46057</v>
      </c>
      <c r="B1819" s="7" t="s">
        <v>7813</v>
      </c>
      <c r="C1819" s="3">
        <v>12934.95</v>
      </c>
      <c r="D1819" s="7" t="s">
        <v>7814</v>
      </c>
      <c r="E1819" s="7" t="s">
        <v>4402</v>
      </c>
      <c r="G1819" s="9"/>
    </row>
    <row r="1820" spans="1:7" x14ac:dyDescent="0.3">
      <c r="A1820" s="9">
        <v>46004</v>
      </c>
      <c r="B1820" s="7" t="s">
        <v>7813</v>
      </c>
      <c r="C1820" s="3">
        <v>5682.85</v>
      </c>
      <c r="D1820" s="7" t="s">
        <v>7814</v>
      </c>
      <c r="E1820" s="7" t="s">
        <v>4887</v>
      </c>
      <c r="G1820" s="9"/>
    </row>
    <row r="1821" spans="1:7" x14ac:dyDescent="0.3">
      <c r="A1821" s="9">
        <v>46032</v>
      </c>
      <c r="B1821" s="7" t="s">
        <v>7813</v>
      </c>
      <c r="C1821" s="3">
        <v>1233.18</v>
      </c>
      <c r="D1821" s="7" t="s">
        <v>7814</v>
      </c>
      <c r="E1821" s="7" t="s">
        <v>4953</v>
      </c>
      <c r="G1821" s="9"/>
    </row>
    <row r="1822" spans="1:7" x14ac:dyDescent="0.3">
      <c r="A1822" s="9">
        <v>46074</v>
      </c>
      <c r="B1822" s="7" t="s">
        <v>7813</v>
      </c>
      <c r="C1822" s="3">
        <v>5045.42</v>
      </c>
      <c r="D1822" s="7" t="s">
        <v>7814</v>
      </c>
      <c r="E1822" s="7" t="s">
        <v>3803</v>
      </c>
      <c r="G1822" s="9"/>
    </row>
    <row r="1823" spans="1:7" x14ac:dyDescent="0.3">
      <c r="A1823" s="9">
        <v>45996</v>
      </c>
      <c r="B1823" s="7" t="s">
        <v>7813</v>
      </c>
      <c r="C1823" s="3">
        <v>3409.22</v>
      </c>
      <c r="D1823" s="7" t="s">
        <v>7814</v>
      </c>
      <c r="E1823" s="7" t="s">
        <v>4235</v>
      </c>
      <c r="G1823" s="9"/>
    </row>
    <row r="1824" spans="1:7" x14ac:dyDescent="0.3">
      <c r="A1824" s="9">
        <v>46015</v>
      </c>
      <c r="B1824" s="7" t="s">
        <v>7813</v>
      </c>
      <c r="C1824" s="3">
        <v>5154.3100000000004</v>
      </c>
      <c r="D1824" s="7" t="s">
        <v>7814</v>
      </c>
      <c r="E1824" s="7" t="s">
        <v>4545</v>
      </c>
      <c r="G1824" s="9"/>
    </row>
    <row r="1825" spans="1:7" x14ac:dyDescent="0.3">
      <c r="A1825" s="9">
        <v>46017</v>
      </c>
      <c r="B1825" s="7" t="s">
        <v>7813</v>
      </c>
      <c r="C1825" s="3">
        <v>10061</v>
      </c>
      <c r="D1825" s="7" t="s">
        <v>7814</v>
      </c>
      <c r="E1825" s="7" t="s">
        <v>4825</v>
      </c>
      <c r="G1825" s="9"/>
    </row>
    <row r="1826" spans="1:7" x14ac:dyDescent="0.3">
      <c r="A1826" s="9">
        <v>46081</v>
      </c>
      <c r="B1826" s="7" t="s">
        <v>7815</v>
      </c>
      <c r="C1826" s="3">
        <v>-2424.9</v>
      </c>
      <c r="D1826" s="7" t="s">
        <v>7816</v>
      </c>
      <c r="E1826" s="7" t="s">
        <v>6944</v>
      </c>
      <c r="G1826" s="9"/>
    </row>
    <row r="1827" spans="1:7" x14ac:dyDescent="0.3">
      <c r="A1827" s="9">
        <v>45970</v>
      </c>
      <c r="B1827" s="7" t="s">
        <v>7815</v>
      </c>
      <c r="C1827" s="3">
        <v>-1604.39</v>
      </c>
      <c r="D1827" s="7" t="s">
        <v>7816</v>
      </c>
      <c r="E1827" s="7" t="s">
        <v>7260</v>
      </c>
      <c r="G1827" s="9"/>
    </row>
    <row r="1828" spans="1:7" x14ac:dyDescent="0.3">
      <c r="A1828" s="9">
        <v>46015</v>
      </c>
      <c r="B1828" s="7" t="s">
        <v>7815</v>
      </c>
      <c r="C1828" s="3">
        <v>-2063.2600000000002</v>
      </c>
      <c r="D1828" s="7" t="s">
        <v>7816</v>
      </c>
      <c r="E1828" s="7" t="s">
        <v>7310</v>
      </c>
      <c r="G1828" s="9"/>
    </row>
    <row r="1829" spans="1:7" x14ac:dyDescent="0.3">
      <c r="A1829" s="9">
        <v>46073</v>
      </c>
      <c r="B1829" s="7" t="s">
        <v>7815</v>
      </c>
      <c r="C1829" s="3">
        <v>-1268.21</v>
      </c>
      <c r="D1829" s="7" t="s">
        <v>7816</v>
      </c>
      <c r="E1829" s="7" t="s">
        <v>7789</v>
      </c>
      <c r="G1829" s="9"/>
    </row>
    <row r="1830" spans="1:7" x14ac:dyDescent="0.3">
      <c r="A1830" s="9">
        <v>45968</v>
      </c>
      <c r="B1830" s="7" t="s">
        <v>7813</v>
      </c>
      <c r="C1830" s="3">
        <v>4473.47</v>
      </c>
      <c r="D1830" s="7" t="s">
        <v>7814</v>
      </c>
      <c r="E1830" s="7" t="s">
        <v>3361</v>
      </c>
      <c r="G1830" s="9"/>
    </row>
    <row r="1831" spans="1:7" x14ac:dyDescent="0.3">
      <c r="A1831" s="9">
        <v>45980</v>
      </c>
      <c r="B1831" s="7" t="s">
        <v>7813</v>
      </c>
      <c r="C1831" s="3">
        <v>4034.32</v>
      </c>
      <c r="D1831" s="7" t="s">
        <v>7814</v>
      </c>
      <c r="E1831" s="7" t="s">
        <v>3642</v>
      </c>
      <c r="G1831" s="9"/>
    </row>
    <row r="1832" spans="1:7" x14ac:dyDescent="0.3">
      <c r="A1832" s="9">
        <v>46028</v>
      </c>
      <c r="B1832" s="7" t="s">
        <v>7813</v>
      </c>
      <c r="C1832" s="3">
        <v>4745.83</v>
      </c>
      <c r="D1832" s="7" t="s">
        <v>7814</v>
      </c>
      <c r="E1832" s="7" t="s">
        <v>4129</v>
      </c>
      <c r="G1832" s="9"/>
    </row>
    <row r="1833" spans="1:7" x14ac:dyDescent="0.3">
      <c r="A1833" s="9">
        <v>46081</v>
      </c>
      <c r="B1833" s="7" t="s">
        <v>7813</v>
      </c>
      <c r="C1833" s="3">
        <v>2790.14</v>
      </c>
      <c r="D1833" s="7" t="s">
        <v>7814</v>
      </c>
      <c r="E1833" s="7" t="s">
        <v>5168</v>
      </c>
      <c r="G1833" s="9"/>
    </row>
    <row r="1834" spans="1:7" x14ac:dyDescent="0.3">
      <c r="A1834" s="9">
        <v>46069</v>
      </c>
      <c r="B1834" s="7" t="s">
        <v>7813</v>
      </c>
      <c r="C1834" s="3">
        <v>2988.56</v>
      </c>
      <c r="D1834" s="7" t="s">
        <v>7814</v>
      </c>
      <c r="E1834" s="7" t="s">
        <v>5298</v>
      </c>
      <c r="G1834" s="9"/>
    </row>
    <row r="1835" spans="1:7" x14ac:dyDescent="0.3">
      <c r="A1835" s="9">
        <v>45994</v>
      </c>
      <c r="B1835" s="7" t="s">
        <v>7815</v>
      </c>
      <c r="C1835" s="3">
        <v>-4449.1099999999997</v>
      </c>
      <c r="D1835" s="7" t="s">
        <v>7816</v>
      </c>
      <c r="E1835" s="7" t="s">
        <v>7238</v>
      </c>
      <c r="G1835" s="9"/>
    </row>
    <row r="1836" spans="1:7" x14ac:dyDescent="0.3">
      <c r="A1836" s="9">
        <v>46074</v>
      </c>
      <c r="B1836" s="7" t="s">
        <v>7815</v>
      </c>
      <c r="C1836" s="3">
        <v>-6002.41</v>
      </c>
      <c r="D1836" s="7" t="s">
        <v>7816</v>
      </c>
      <c r="E1836" s="7" t="s">
        <v>7372</v>
      </c>
      <c r="G1836" s="9"/>
    </row>
    <row r="1837" spans="1:7" x14ac:dyDescent="0.3">
      <c r="A1837" s="9">
        <v>46089</v>
      </c>
      <c r="B1837" s="7" t="s">
        <v>7813</v>
      </c>
      <c r="C1837" s="3">
        <v>2158.86</v>
      </c>
      <c r="D1837" s="7" t="s">
        <v>7814</v>
      </c>
      <c r="E1837" s="7" t="s">
        <v>3519</v>
      </c>
      <c r="G1837" s="9"/>
    </row>
    <row r="1838" spans="1:7" x14ac:dyDescent="0.3">
      <c r="A1838" s="9">
        <v>46048</v>
      </c>
      <c r="B1838" s="7" t="s">
        <v>7813</v>
      </c>
      <c r="C1838" s="3">
        <v>3379.87</v>
      </c>
      <c r="D1838" s="7" t="s">
        <v>7814</v>
      </c>
      <c r="E1838" s="7" t="s">
        <v>4684</v>
      </c>
      <c r="G1838" s="9"/>
    </row>
    <row r="1839" spans="1:7" x14ac:dyDescent="0.3">
      <c r="A1839" s="9">
        <v>45980</v>
      </c>
      <c r="B1839" s="7" t="s">
        <v>7815</v>
      </c>
      <c r="C1839" s="3">
        <v>-3698.44</v>
      </c>
      <c r="D1839" s="7" t="s">
        <v>7816</v>
      </c>
      <c r="E1839" s="7" t="s">
        <v>7270</v>
      </c>
      <c r="G1839" s="9"/>
    </row>
    <row r="1840" spans="1:7" x14ac:dyDescent="0.3">
      <c r="A1840" s="9">
        <v>46052</v>
      </c>
      <c r="B1840" s="7" t="s">
        <v>7815</v>
      </c>
      <c r="C1840" s="3">
        <v>-3483.73</v>
      </c>
      <c r="D1840" s="7" t="s">
        <v>7816</v>
      </c>
      <c r="E1840" s="7" t="s">
        <v>7411</v>
      </c>
      <c r="G1840" s="9"/>
    </row>
    <row r="1841" spans="1:7" x14ac:dyDescent="0.3">
      <c r="A1841" s="9">
        <v>45969</v>
      </c>
      <c r="B1841" s="7" t="s">
        <v>7813</v>
      </c>
      <c r="C1841" s="3">
        <v>4850.28</v>
      </c>
      <c r="D1841" s="7" t="s">
        <v>7814</v>
      </c>
      <c r="E1841" s="7" t="s">
        <v>3204</v>
      </c>
      <c r="G1841" s="9"/>
    </row>
    <row r="1842" spans="1:7" x14ac:dyDescent="0.3">
      <c r="A1842" s="9">
        <v>46086</v>
      </c>
      <c r="B1842" s="7" t="s">
        <v>7813</v>
      </c>
      <c r="C1842" s="3">
        <v>3083.02</v>
      </c>
      <c r="D1842" s="7" t="s">
        <v>7814</v>
      </c>
      <c r="E1842" s="7" t="s">
        <v>3431</v>
      </c>
      <c r="G1842" s="9"/>
    </row>
    <row r="1843" spans="1:7" x14ac:dyDescent="0.3">
      <c r="A1843" s="9">
        <v>46047</v>
      </c>
      <c r="B1843" s="7" t="s">
        <v>7813</v>
      </c>
      <c r="C1843" s="3">
        <v>3351.71</v>
      </c>
      <c r="D1843" s="7" t="s">
        <v>7814</v>
      </c>
      <c r="E1843" s="7" t="s">
        <v>3766</v>
      </c>
      <c r="G1843" s="9"/>
    </row>
    <row r="1844" spans="1:7" x14ac:dyDescent="0.3">
      <c r="A1844" s="9">
        <v>46060</v>
      </c>
      <c r="B1844" s="7" t="s">
        <v>7813</v>
      </c>
      <c r="C1844" s="3">
        <v>2145.13</v>
      </c>
      <c r="D1844" s="7" t="s">
        <v>7814</v>
      </c>
      <c r="E1844" s="7" t="s">
        <v>3978</v>
      </c>
      <c r="G1844" s="9"/>
    </row>
    <row r="1845" spans="1:7" x14ac:dyDescent="0.3">
      <c r="A1845" s="9">
        <v>45982</v>
      </c>
      <c r="B1845" s="7" t="s">
        <v>7813</v>
      </c>
      <c r="C1845" s="3">
        <v>9875.7800000000007</v>
      </c>
      <c r="D1845" s="7" t="s">
        <v>7814</v>
      </c>
      <c r="E1845" s="7" t="s">
        <v>4443</v>
      </c>
      <c r="G1845" s="9"/>
    </row>
    <row r="1846" spans="1:7" x14ac:dyDescent="0.3">
      <c r="A1846" s="9">
        <v>46047</v>
      </c>
      <c r="B1846" s="7" t="s">
        <v>7813</v>
      </c>
      <c r="C1846" s="3">
        <v>5402.22</v>
      </c>
      <c r="D1846" s="7" t="s">
        <v>7814</v>
      </c>
      <c r="E1846" s="7" t="s">
        <v>4543</v>
      </c>
      <c r="G1846" s="9"/>
    </row>
    <row r="1847" spans="1:7" x14ac:dyDescent="0.3">
      <c r="A1847" s="9">
        <v>45990</v>
      </c>
      <c r="B1847" s="7" t="s">
        <v>7813</v>
      </c>
      <c r="C1847" s="3">
        <v>3160.28</v>
      </c>
      <c r="D1847" s="7" t="s">
        <v>7814</v>
      </c>
      <c r="E1847" s="7" t="s">
        <v>4807</v>
      </c>
      <c r="G1847" s="9"/>
    </row>
    <row r="1848" spans="1:7" x14ac:dyDescent="0.3">
      <c r="A1848" s="9">
        <v>46005</v>
      </c>
      <c r="B1848" s="7" t="s">
        <v>7815</v>
      </c>
      <c r="C1848" s="3">
        <v>-1113.5899999999999</v>
      </c>
      <c r="D1848" s="7" t="s">
        <v>7816</v>
      </c>
      <c r="E1848" s="7" t="s">
        <v>7234</v>
      </c>
      <c r="G1848" s="9"/>
    </row>
    <row r="1849" spans="1:7" x14ac:dyDescent="0.3">
      <c r="A1849" s="9">
        <v>46010</v>
      </c>
      <c r="B1849" s="7" t="s">
        <v>7815</v>
      </c>
      <c r="C1849" s="3">
        <v>-3669.17</v>
      </c>
      <c r="D1849" s="7" t="s">
        <v>7816</v>
      </c>
      <c r="E1849" s="7" t="s">
        <v>7384</v>
      </c>
      <c r="G1849" s="9"/>
    </row>
    <row r="1850" spans="1:7" x14ac:dyDescent="0.3">
      <c r="A1850" s="9">
        <v>45968</v>
      </c>
      <c r="B1850" s="7" t="s">
        <v>7815</v>
      </c>
      <c r="C1850" s="3">
        <v>-3365.35</v>
      </c>
      <c r="D1850" s="7" t="s">
        <v>7816</v>
      </c>
      <c r="E1850" s="7" t="s">
        <v>7395</v>
      </c>
      <c r="G1850" s="9"/>
    </row>
    <row r="1851" spans="1:7" x14ac:dyDescent="0.3">
      <c r="A1851" s="9">
        <v>45966</v>
      </c>
      <c r="B1851" s="7" t="s">
        <v>7813</v>
      </c>
      <c r="C1851" s="3">
        <v>2591.69</v>
      </c>
      <c r="D1851" s="7" t="s">
        <v>7814</v>
      </c>
      <c r="E1851" s="7" t="s">
        <v>3577</v>
      </c>
      <c r="G1851" s="9"/>
    </row>
    <row r="1852" spans="1:7" x14ac:dyDescent="0.3">
      <c r="A1852" s="9">
        <v>46070</v>
      </c>
      <c r="B1852" s="7" t="s">
        <v>7813</v>
      </c>
      <c r="C1852" s="3">
        <v>4222.22</v>
      </c>
      <c r="D1852" s="7" t="s">
        <v>7814</v>
      </c>
      <c r="E1852" s="7" t="s">
        <v>4098</v>
      </c>
      <c r="G1852" s="9"/>
    </row>
    <row r="1853" spans="1:7" x14ac:dyDescent="0.3">
      <c r="A1853" s="9">
        <v>46064</v>
      </c>
      <c r="B1853" s="7" t="s">
        <v>7813</v>
      </c>
      <c r="C1853" s="3">
        <v>854.23</v>
      </c>
      <c r="D1853" s="7" t="s">
        <v>7814</v>
      </c>
      <c r="E1853" s="7" t="s">
        <v>4591</v>
      </c>
      <c r="G1853" s="9"/>
    </row>
    <row r="1854" spans="1:7" x14ac:dyDescent="0.3">
      <c r="A1854" s="9">
        <v>45972</v>
      </c>
      <c r="B1854" s="7" t="s">
        <v>7813</v>
      </c>
      <c r="C1854" s="3">
        <v>2442.7199999999998</v>
      </c>
      <c r="D1854" s="7" t="s">
        <v>7814</v>
      </c>
      <c r="E1854" s="7" t="s">
        <v>4874</v>
      </c>
      <c r="G1854" s="9"/>
    </row>
    <row r="1855" spans="1:7" x14ac:dyDescent="0.3">
      <c r="A1855" s="9">
        <v>45998</v>
      </c>
      <c r="B1855" s="7" t="s">
        <v>7813</v>
      </c>
      <c r="C1855" s="3">
        <v>4516.43</v>
      </c>
      <c r="D1855" s="7" t="s">
        <v>7814</v>
      </c>
      <c r="E1855" s="7" t="s">
        <v>5038</v>
      </c>
      <c r="G1855" s="9"/>
    </row>
    <row r="1856" spans="1:7" x14ac:dyDescent="0.3">
      <c r="A1856" s="9">
        <v>46004</v>
      </c>
      <c r="B1856" s="7" t="s">
        <v>7815</v>
      </c>
      <c r="C1856" s="3">
        <v>-2129.58</v>
      </c>
      <c r="D1856" s="7" t="s">
        <v>7816</v>
      </c>
      <c r="E1856" s="7" t="s">
        <v>6879</v>
      </c>
      <c r="G1856" s="9"/>
    </row>
    <row r="1857" spans="1:7" x14ac:dyDescent="0.3">
      <c r="A1857" s="9">
        <v>46047</v>
      </c>
      <c r="B1857" s="7" t="s">
        <v>7815</v>
      </c>
      <c r="C1857" s="3">
        <v>-1852.24</v>
      </c>
      <c r="D1857" s="7" t="s">
        <v>7816</v>
      </c>
      <c r="E1857" s="7" t="s">
        <v>6993</v>
      </c>
      <c r="G1857" s="9"/>
    </row>
    <row r="1858" spans="1:7" x14ac:dyDescent="0.3">
      <c r="A1858" s="9">
        <v>46020</v>
      </c>
      <c r="B1858" s="7" t="s">
        <v>7815</v>
      </c>
      <c r="C1858" s="3">
        <v>-4966.16</v>
      </c>
      <c r="D1858" s="7" t="s">
        <v>7816</v>
      </c>
      <c r="E1858" s="7" t="s">
        <v>7127</v>
      </c>
      <c r="G1858" s="9"/>
    </row>
    <row r="1859" spans="1:7" x14ac:dyDescent="0.3">
      <c r="A1859" s="9">
        <v>45972</v>
      </c>
      <c r="B1859" s="7" t="s">
        <v>7815</v>
      </c>
      <c r="C1859" s="3">
        <v>-3821.77</v>
      </c>
      <c r="D1859" s="7" t="s">
        <v>7816</v>
      </c>
      <c r="E1859" s="7" t="s">
        <v>7246</v>
      </c>
      <c r="G1859" s="9"/>
    </row>
    <row r="1860" spans="1:7" x14ac:dyDescent="0.3">
      <c r="A1860" s="9">
        <v>46031</v>
      </c>
      <c r="B1860" s="7" t="s">
        <v>7815</v>
      </c>
      <c r="C1860" s="3">
        <v>-2398.3000000000002</v>
      </c>
      <c r="D1860" s="7" t="s">
        <v>7816</v>
      </c>
      <c r="E1860" s="7" t="s">
        <v>7273</v>
      </c>
      <c r="G1860" s="9"/>
    </row>
    <row r="1861" spans="1:7" x14ac:dyDescent="0.3">
      <c r="A1861" s="9">
        <v>45998</v>
      </c>
      <c r="B1861" s="7" t="s">
        <v>7813</v>
      </c>
      <c r="C1861" s="3">
        <v>2507.31</v>
      </c>
      <c r="D1861" s="7" t="s">
        <v>7814</v>
      </c>
      <c r="E1861" s="7" t="s">
        <v>3392</v>
      </c>
      <c r="G1861" s="9"/>
    </row>
    <row r="1862" spans="1:7" x14ac:dyDescent="0.3">
      <c r="A1862" s="9">
        <v>46074</v>
      </c>
      <c r="B1862" s="7" t="s">
        <v>7813</v>
      </c>
      <c r="C1862" s="3">
        <v>1714.43</v>
      </c>
      <c r="D1862" s="7" t="s">
        <v>7814</v>
      </c>
      <c r="E1862" s="7" t="s">
        <v>3444</v>
      </c>
      <c r="G1862" s="9"/>
    </row>
    <row r="1863" spans="1:7" x14ac:dyDescent="0.3">
      <c r="A1863" s="9">
        <v>46029</v>
      </c>
      <c r="B1863" s="7" t="s">
        <v>7813</v>
      </c>
      <c r="C1863" s="3">
        <v>2380.66</v>
      </c>
      <c r="D1863" s="7" t="s">
        <v>7814</v>
      </c>
      <c r="E1863" s="7" t="s">
        <v>3453</v>
      </c>
      <c r="G1863" s="9"/>
    </row>
    <row r="1864" spans="1:7" x14ac:dyDescent="0.3">
      <c r="A1864" s="9">
        <v>46080</v>
      </c>
      <c r="B1864" s="7" t="s">
        <v>7813</v>
      </c>
      <c r="C1864" s="3">
        <v>2062.41</v>
      </c>
      <c r="D1864" s="7" t="s">
        <v>7814</v>
      </c>
      <c r="E1864" s="7" t="s">
        <v>4025</v>
      </c>
      <c r="G1864" s="9"/>
    </row>
    <row r="1865" spans="1:7" x14ac:dyDescent="0.3">
      <c r="A1865" s="9">
        <v>46023</v>
      </c>
      <c r="B1865" s="7" t="s">
        <v>7813</v>
      </c>
      <c r="C1865" s="3">
        <v>3191.67</v>
      </c>
      <c r="D1865" s="7" t="s">
        <v>7814</v>
      </c>
      <c r="E1865" s="7" t="s">
        <v>4743</v>
      </c>
      <c r="G1865" s="9"/>
    </row>
    <row r="1866" spans="1:7" x14ac:dyDescent="0.3">
      <c r="A1866" s="9">
        <v>46045</v>
      </c>
      <c r="B1866" s="7" t="s">
        <v>7813</v>
      </c>
      <c r="C1866" s="3">
        <v>1324.5</v>
      </c>
      <c r="D1866" s="7" t="s">
        <v>7814</v>
      </c>
      <c r="E1866" s="7" t="s">
        <v>5215</v>
      </c>
      <c r="G1866" s="9"/>
    </row>
    <row r="1867" spans="1:7" x14ac:dyDescent="0.3">
      <c r="A1867" s="9">
        <v>46004</v>
      </c>
      <c r="B1867" s="7" t="s">
        <v>7813</v>
      </c>
      <c r="C1867" s="3">
        <v>2938.29</v>
      </c>
      <c r="D1867" s="7" t="s">
        <v>7814</v>
      </c>
      <c r="E1867" s="7" t="s">
        <v>5294</v>
      </c>
      <c r="G1867" s="9"/>
    </row>
    <row r="1868" spans="1:7" x14ac:dyDescent="0.3">
      <c r="A1868" s="9">
        <v>46015</v>
      </c>
      <c r="B1868" s="7" t="s">
        <v>7813</v>
      </c>
      <c r="C1868" s="3">
        <v>5633.45</v>
      </c>
      <c r="D1868" s="7" t="s">
        <v>7814</v>
      </c>
      <c r="E1868" s="7" t="s">
        <v>5308</v>
      </c>
      <c r="G1868" s="9"/>
    </row>
    <row r="1869" spans="1:7" x14ac:dyDescent="0.3">
      <c r="A1869" s="9">
        <v>46067</v>
      </c>
      <c r="B1869" s="7" t="s">
        <v>7813</v>
      </c>
      <c r="C1869" s="3">
        <v>9919.2000000000007</v>
      </c>
      <c r="D1869" s="7" t="s">
        <v>7814</v>
      </c>
      <c r="E1869" s="7" t="s">
        <v>5311</v>
      </c>
      <c r="G1869" s="9"/>
    </row>
    <row r="1870" spans="1:7" x14ac:dyDescent="0.3">
      <c r="A1870" s="9">
        <v>46009</v>
      </c>
      <c r="B1870" s="7" t="s">
        <v>7815</v>
      </c>
      <c r="C1870" s="3">
        <v>-6063.31</v>
      </c>
      <c r="D1870" s="7" t="s">
        <v>7816</v>
      </c>
      <c r="E1870" s="7" t="s">
        <v>6845</v>
      </c>
      <c r="G1870" s="9"/>
    </row>
    <row r="1871" spans="1:7" x14ac:dyDescent="0.3">
      <c r="A1871" s="9">
        <v>45994</v>
      </c>
      <c r="B1871" s="7" t="s">
        <v>7815</v>
      </c>
      <c r="C1871" s="3">
        <v>-2142.38</v>
      </c>
      <c r="D1871" s="7" t="s">
        <v>7816</v>
      </c>
      <c r="E1871" s="7" t="s">
        <v>7016</v>
      </c>
      <c r="G1871" s="9"/>
    </row>
    <row r="1872" spans="1:7" x14ac:dyDescent="0.3">
      <c r="A1872" s="9">
        <v>46015</v>
      </c>
      <c r="B1872" s="7" t="s">
        <v>7813</v>
      </c>
      <c r="C1872" s="3">
        <v>3397.67</v>
      </c>
      <c r="D1872" s="7" t="s">
        <v>7814</v>
      </c>
      <c r="E1872" s="7" t="s">
        <v>3366</v>
      </c>
      <c r="G1872" s="9"/>
    </row>
    <row r="1873" spans="1:7" x14ac:dyDescent="0.3">
      <c r="A1873" s="9">
        <v>46000</v>
      </c>
      <c r="B1873" s="7" t="s">
        <v>7813</v>
      </c>
      <c r="C1873" s="3">
        <v>1792.08</v>
      </c>
      <c r="D1873" s="7" t="s">
        <v>7814</v>
      </c>
      <c r="E1873" s="7" t="s">
        <v>3403</v>
      </c>
      <c r="G1873" s="9"/>
    </row>
    <row r="1874" spans="1:7" x14ac:dyDescent="0.3">
      <c r="A1874" s="9">
        <v>45982</v>
      </c>
      <c r="B1874" s="7" t="s">
        <v>7813</v>
      </c>
      <c r="C1874" s="3">
        <v>4687.7700000000004</v>
      </c>
      <c r="D1874" s="7" t="s">
        <v>7814</v>
      </c>
      <c r="E1874" s="7" t="s">
        <v>3870</v>
      </c>
      <c r="G1874" s="9"/>
    </row>
    <row r="1875" spans="1:7" x14ac:dyDescent="0.3">
      <c r="A1875" s="9">
        <v>46035</v>
      </c>
      <c r="B1875" s="7" t="s">
        <v>7813</v>
      </c>
      <c r="C1875" s="3">
        <v>3085.17</v>
      </c>
      <c r="D1875" s="7" t="s">
        <v>7814</v>
      </c>
      <c r="E1875" s="7" t="s">
        <v>4211</v>
      </c>
      <c r="G1875" s="9"/>
    </row>
    <row r="1876" spans="1:7" x14ac:dyDescent="0.3">
      <c r="A1876" s="9">
        <v>45969</v>
      </c>
      <c r="B1876" s="7" t="s">
        <v>7813</v>
      </c>
      <c r="C1876" s="3">
        <v>2843.15</v>
      </c>
      <c r="D1876" s="7" t="s">
        <v>7814</v>
      </c>
      <c r="E1876" s="7" t="s">
        <v>4327</v>
      </c>
      <c r="G1876" s="9"/>
    </row>
    <row r="1877" spans="1:7" x14ac:dyDescent="0.3">
      <c r="A1877" s="9">
        <v>45985</v>
      </c>
      <c r="B1877" s="7" t="s">
        <v>7813</v>
      </c>
      <c r="C1877" s="3">
        <v>4679.63</v>
      </c>
      <c r="D1877" s="7" t="s">
        <v>7814</v>
      </c>
      <c r="E1877" s="7" t="s">
        <v>4410</v>
      </c>
      <c r="G1877" s="9"/>
    </row>
    <row r="1878" spans="1:7" x14ac:dyDescent="0.3">
      <c r="A1878" s="9">
        <v>46031</v>
      </c>
      <c r="B1878" s="7" t="s">
        <v>7813</v>
      </c>
      <c r="C1878" s="3">
        <v>2712.49</v>
      </c>
      <c r="D1878" s="7" t="s">
        <v>7814</v>
      </c>
      <c r="E1878" s="7" t="s">
        <v>4419</v>
      </c>
      <c r="G1878" s="9"/>
    </row>
    <row r="1879" spans="1:7" x14ac:dyDescent="0.3">
      <c r="A1879" s="9">
        <v>46059</v>
      </c>
      <c r="B1879" s="7" t="s">
        <v>7813</v>
      </c>
      <c r="C1879" s="3">
        <v>1020.78</v>
      </c>
      <c r="D1879" s="7" t="s">
        <v>7814</v>
      </c>
      <c r="E1879" s="7" t="s">
        <v>4804</v>
      </c>
      <c r="G1879" s="9"/>
    </row>
    <row r="1880" spans="1:7" x14ac:dyDescent="0.3">
      <c r="A1880" s="9">
        <v>46080</v>
      </c>
      <c r="B1880" s="7" t="s">
        <v>7813</v>
      </c>
      <c r="C1880" s="3">
        <v>12465.31</v>
      </c>
      <c r="D1880" s="7" t="s">
        <v>7814</v>
      </c>
      <c r="E1880" s="7" t="s">
        <v>5057</v>
      </c>
      <c r="G1880" s="9"/>
    </row>
    <row r="1881" spans="1:7" x14ac:dyDescent="0.3">
      <c r="A1881" s="9">
        <v>45973</v>
      </c>
      <c r="B1881" s="7" t="s">
        <v>7813</v>
      </c>
      <c r="C1881" s="3">
        <v>5319.3</v>
      </c>
      <c r="D1881" s="7" t="s">
        <v>7814</v>
      </c>
      <c r="E1881" s="7" t="s">
        <v>5337</v>
      </c>
      <c r="G1881" s="9"/>
    </row>
    <row r="1882" spans="1:7" x14ac:dyDescent="0.3">
      <c r="A1882" s="9">
        <v>45998</v>
      </c>
      <c r="B1882" s="7" t="s">
        <v>7815</v>
      </c>
      <c r="C1882" s="3">
        <v>-3285.85</v>
      </c>
      <c r="D1882" s="7" t="s">
        <v>7816</v>
      </c>
      <c r="E1882" s="7" t="s">
        <v>6859</v>
      </c>
      <c r="G1882" s="9"/>
    </row>
    <row r="1883" spans="1:7" x14ac:dyDescent="0.3">
      <c r="A1883" s="9">
        <v>46024</v>
      </c>
      <c r="B1883" s="7" t="s">
        <v>7815</v>
      </c>
      <c r="C1883" s="3">
        <v>-3814.19</v>
      </c>
      <c r="D1883" s="7" t="s">
        <v>7816</v>
      </c>
      <c r="E1883" s="7" t="s">
        <v>6865</v>
      </c>
      <c r="G1883" s="9"/>
    </row>
    <row r="1884" spans="1:7" x14ac:dyDescent="0.3">
      <c r="A1884" s="9">
        <v>46001</v>
      </c>
      <c r="B1884" s="7" t="s">
        <v>7815</v>
      </c>
      <c r="C1884" s="3">
        <v>-6435.76</v>
      </c>
      <c r="D1884" s="7" t="s">
        <v>7816</v>
      </c>
      <c r="E1884" s="7" t="s">
        <v>7335</v>
      </c>
      <c r="G1884" s="9"/>
    </row>
    <row r="1885" spans="1:7" x14ac:dyDescent="0.3">
      <c r="A1885" s="9">
        <v>45983</v>
      </c>
      <c r="B1885" s="7" t="s">
        <v>7815</v>
      </c>
      <c r="C1885" s="3">
        <v>-5211.29</v>
      </c>
      <c r="D1885" s="7" t="s">
        <v>7816</v>
      </c>
      <c r="E1885" s="7" t="s">
        <v>7596</v>
      </c>
      <c r="G1885" s="9"/>
    </row>
    <row r="1886" spans="1:7" x14ac:dyDescent="0.3">
      <c r="A1886" s="9">
        <v>46000</v>
      </c>
      <c r="B1886" s="7" t="s">
        <v>7815</v>
      </c>
      <c r="C1886" s="3">
        <v>-3576.76</v>
      </c>
      <c r="D1886" s="7" t="s">
        <v>7816</v>
      </c>
      <c r="E1886" s="7" t="s">
        <v>7704</v>
      </c>
      <c r="G1886" s="9"/>
    </row>
    <row r="1887" spans="1:7" x14ac:dyDescent="0.3">
      <c r="A1887" s="9">
        <v>46024</v>
      </c>
      <c r="B1887" s="7" t="s">
        <v>7813</v>
      </c>
      <c r="C1887" s="3">
        <v>14307.93</v>
      </c>
      <c r="D1887" s="7" t="s">
        <v>7814</v>
      </c>
      <c r="E1887" s="7" t="s">
        <v>3340</v>
      </c>
      <c r="G1887" s="9"/>
    </row>
    <row r="1888" spans="1:7" x14ac:dyDescent="0.3">
      <c r="A1888" s="9">
        <v>46059</v>
      </c>
      <c r="B1888" s="7" t="s">
        <v>7813</v>
      </c>
      <c r="C1888" s="3">
        <v>2861.74</v>
      </c>
      <c r="D1888" s="7" t="s">
        <v>7814</v>
      </c>
      <c r="E1888" s="7" t="s">
        <v>4169</v>
      </c>
      <c r="G1888" s="9"/>
    </row>
    <row r="1889" spans="1:7" x14ac:dyDescent="0.3">
      <c r="A1889" s="9">
        <v>45979</v>
      </c>
      <c r="B1889" s="7" t="s">
        <v>7813</v>
      </c>
      <c r="C1889" s="3">
        <v>2016.84</v>
      </c>
      <c r="D1889" s="7" t="s">
        <v>7814</v>
      </c>
      <c r="E1889" s="7" t="s">
        <v>4738</v>
      </c>
      <c r="G1889" s="9"/>
    </row>
    <row r="1890" spans="1:7" x14ac:dyDescent="0.3">
      <c r="A1890" s="9">
        <v>46035</v>
      </c>
      <c r="B1890" s="7" t="s">
        <v>7813</v>
      </c>
      <c r="C1890" s="3">
        <v>1577.84</v>
      </c>
      <c r="D1890" s="7" t="s">
        <v>7814</v>
      </c>
      <c r="E1890" s="7" t="s">
        <v>5122</v>
      </c>
      <c r="G1890" s="9"/>
    </row>
    <row r="1891" spans="1:7" x14ac:dyDescent="0.3">
      <c r="A1891" s="9">
        <v>45965</v>
      </c>
      <c r="B1891" s="7" t="s">
        <v>7813</v>
      </c>
      <c r="C1891" s="3">
        <v>1039.68</v>
      </c>
      <c r="D1891" s="7" t="s">
        <v>7814</v>
      </c>
      <c r="E1891" s="7" t="s">
        <v>5141</v>
      </c>
      <c r="G1891" s="9"/>
    </row>
    <row r="1892" spans="1:7" x14ac:dyDescent="0.3">
      <c r="A1892" s="9">
        <v>45967</v>
      </c>
      <c r="B1892" s="7" t="s">
        <v>7813</v>
      </c>
      <c r="C1892" s="3">
        <v>2672.03</v>
      </c>
      <c r="D1892" s="7" t="s">
        <v>7814</v>
      </c>
      <c r="E1892" s="7" t="s">
        <v>5352</v>
      </c>
      <c r="G1892" s="9"/>
    </row>
    <row r="1893" spans="1:7" x14ac:dyDescent="0.3">
      <c r="A1893" s="9">
        <v>46085</v>
      </c>
      <c r="B1893" s="7" t="s">
        <v>7813</v>
      </c>
      <c r="C1893" s="3">
        <v>1928.51</v>
      </c>
      <c r="D1893" s="7" t="s">
        <v>7814</v>
      </c>
      <c r="E1893" s="7" t="s">
        <v>3285</v>
      </c>
      <c r="G1893" s="9"/>
    </row>
    <row r="1894" spans="1:7" x14ac:dyDescent="0.3">
      <c r="A1894" s="9">
        <v>46023</v>
      </c>
      <c r="B1894" s="7" t="s">
        <v>7813</v>
      </c>
      <c r="C1894" s="3">
        <v>4929.3999999999996</v>
      </c>
      <c r="D1894" s="7" t="s">
        <v>7814</v>
      </c>
      <c r="E1894" s="7" t="s">
        <v>3783</v>
      </c>
      <c r="G1894" s="9"/>
    </row>
    <row r="1895" spans="1:7" x14ac:dyDescent="0.3">
      <c r="A1895" s="9">
        <v>46023</v>
      </c>
      <c r="B1895" s="7" t="s">
        <v>7813</v>
      </c>
      <c r="C1895" s="3">
        <v>1809.49</v>
      </c>
      <c r="D1895" s="7" t="s">
        <v>7814</v>
      </c>
      <c r="E1895" s="7" t="s">
        <v>4330</v>
      </c>
      <c r="G1895" s="9"/>
    </row>
    <row r="1896" spans="1:7" x14ac:dyDescent="0.3">
      <c r="A1896" s="9">
        <v>46015</v>
      </c>
      <c r="B1896" s="7" t="s">
        <v>7815</v>
      </c>
      <c r="C1896" s="3">
        <v>-5062.76</v>
      </c>
      <c r="D1896" s="7" t="s">
        <v>7816</v>
      </c>
      <c r="E1896" s="7" t="s">
        <v>6892</v>
      </c>
      <c r="G1896" s="9"/>
    </row>
    <row r="1897" spans="1:7" x14ac:dyDescent="0.3">
      <c r="A1897" s="9">
        <v>46043</v>
      </c>
      <c r="B1897" s="7" t="s">
        <v>7815</v>
      </c>
      <c r="C1897" s="3">
        <v>-6965.66</v>
      </c>
      <c r="D1897" s="7" t="s">
        <v>7816</v>
      </c>
      <c r="E1897" s="7" t="s">
        <v>7236</v>
      </c>
      <c r="G1897" s="9"/>
    </row>
    <row r="1898" spans="1:7" x14ac:dyDescent="0.3">
      <c r="A1898" s="9">
        <v>45997</v>
      </c>
      <c r="B1898" s="7" t="s">
        <v>7815</v>
      </c>
      <c r="C1898" s="3">
        <v>-3017.83</v>
      </c>
      <c r="D1898" s="7" t="s">
        <v>7816</v>
      </c>
      <c r="E1898" s="7" t="s">
        <v>7564</v>
      </c>
      <c r="G1898" s="9"/>
    </row>
    <row r="1899" spans="1:7" x14ac:dyDescent="0.3">
      <c r="A1899" s="9">
        <v>46054</v>
      </c>
      <c r="B1899" s="7" t="s">
        <v>7813</v>
      </c>
      <c r="C1899" s="3">
        <v>2351.98</v>
      </c>
      <c r="D1899" s="7" t="s">
        <v>7814</v>
      </c>
      <c r="E1899" s="7" t="s">
        <v>3513</v>
      </c>
      <c r="G1899" s="9"/>
    </row>
    <row r="1900" spans="1:7" x14ac:dyDescent="0.3">
      <c r="A1900" s="9">
        <v>46018</v>
      </c>
      <c r="B1900" s="7" t="s">
        <v>7813</v>
      </c>
      <c r="C1900" s="3">
        <v>1359.83</v>
      </c>
      <c r="D1900" s="7" t="s">
        <v>7814</v>
      </c>
      <c r="E1900" s="7" t="s">
        <v>3604</v>
      </c>
      <c r="G1900" s="9"/>
    </row>
    <row r="1901" spans="1:7" x14ac:dyDescent="0.3">
      <c r="A1901" s="9">
        <v>45991</v>
      </c>
      <c r="B1901" s="7" t="s">
        <v>7813</v>
      </c>
      <c r="C1901" s="3">
        <v>1063.83</v>
      </c>
      <c r="D1901" s="7" t="s">
        <v>7814</v>
      </c>
      <c r="E1901" s="7" t="s">
        <v>4167</v>
      </c>
      <c r="G1901" s="9"/>
    </row>
    <row r="1902" spans="1:7" x14ac:dyDescent="0.3">
      <c r="A1902" s="9">
        <v>45997</v>
      </c>
      <c r="B1902" s="7" t="s">
        <v>7813</v>
      </c>
      <c r="C1902" s="3">
        <v>4650.97</v>
      </c>
      <c r="D1902" s="7" t="s">
        <v>7814</v>
      </c>
      <c r="E1902" s="7" t="s">
        <v>5158</v>
      </c>
      <c r="G1902" s="9"/>
    </row>
    <row r="1903" spans="1:7" x14ac:dyDescent="0.3">
      <c r="A1903" s="9">
        <v>46061</v>
      </c>
      <c r="B1903" s="7" t="s">
        <v>7815</v>
      </c>
      <c r="C1903" s="3">
        <v>-986.16</v>
      </c>
      <c r="D1903" s="7" t="s">
        <v>7816</v>
      </c>
      <c r="E1903" s="7" t="s">
        <v>6897</v>
      </c>
      <c r="G1903" s="9"/>
    </row>
    <row r="1904" spans="1:7" x14ac:dyDescent="0.3">
      <c r="A1904" s="9">
        <v>45982</v>
      </c>
      <c r="B1904" s="7" t="s">
        <v>7813</v>
      </c>
      <c r="C1904" s="3">
        <v>4996.53</v>
      </c>
      <c r="D1904" s="7" t="s">
        <v>7814</v>
      </c>
      <c r="E1904" s="7" t="s">
        <v>3380</v>
      </c>
      <c r="G1904" s="9"/>
    </row>
    <row r="1905" spans="1:7" x14ac:dyDescent="0.3">
      <c r="A1905" s="9">
        <v>46004</v>
      </c>
      <c r="B1905" s="7" t="s">
        <v>7813</v>
      </c>
      <c r="C1905" s="3">
        <v>1659.31</v>
      </c>
      <c r="D1905" s="7" t="s">
        <v>7814</v>
      </c>
      <c r="E1905" s="7" t="s">
        <v>3718</v>
      </c>
      <c r="G1905" s="9"/>
    </row>
    <row r="1906" spans="1:7" x14ac:dyDescent="0.3">
      <c r="A1906" s="9">
        <v>46058</v>
      </c>
      <c r="B1906" s="7" t="s">
        <v>7813</v>
      </c>
      <c r="C1906" s="3">
        <v>3445.77</v>
      </c>
      <c r="D1906" s="7" t="s">
        <v>7814</v>
      </c>
      <c r="E1906" s="7" t="s">
        <v>3769</v>
      </c>
      <c r="G1906" s="9"/>
    </row>
    <row r="1907" spans="1:7" x14ac:dyDescent="0.3">
      <c r="A1907" s="9">
        <v>46088</v>
      </c>
      <c r="B1907" s="7" t="s">
        <v>7813</v>
      </c>
      <c r="C1907" s="3">
        <v>3061.91</v>
      </c>
      <c r="D1907" s="7" t="s">
        <v>7814</v>
      </c>
      <c r="E1907" s="7" t="s">
        <v>3781</v>
      </c>
      <c r="G1907" s="9"/>
    </row>
    <row r="1908" spans="1:7" x14ac:dyDescent="0.3">
      <c r="A1908" s="9">
        <v>46036</v>
      </c>
      <c r="B1908" s="7" t="s">
        <v>7813</v>
      </c>
      <c r="C1908" s="3">
        <v>1838.72</v>
      </c>
      <c r="D1908" s="7" t="s">
        <v>7814</v>
      </c>
      <c r="E1908" s="7" t="s">
        <v>4185</v>
      </c>
      <c r="G1908" s="9"/>
    </row>
    <row r="1909" spans="1:7" x14ac:dyDescent="0.3">
      <c r="A1909" s="9">
        <v>45972</v>
      </c>
      <c r="B1909" s="7" t="s">
        <v>7813</v>
      </c>
      <c r="C1909" s="3">
        <v>3261.15</v>
      </c>
      <c r="D1909" s="7" t="s">
        <v>7814</v>
      </c>
      <c r="E1909" s="7" t="s">
        <v>4310</v>
      </c>
      <c r="G1909" s="9"/>
    </row>
    <row r="1910" spans="1:7" x14ac:dyDescent="0.3">
      <c r="A1910" s="9">
        <v>45982</v>
      </c>
      <c r="B1910" s="7" t="s">
        <v>7813</v>
      </c>
      <c r="C1910" s="3">
        <v>11477.1</v>
      </c>
      <c r="D1910" s="7" t="s">
        <v>7814</v>
      </c>
      <c r="E1910" s="7" t="s">
        <v>4542</v>
      </c>
      <c r="G1910" s="9"/>
    </row>
    <row r="1911" spans="1:7" x14ac:dyDescent="0.3">
      <c r="A1911" s="9">
        <v>46034</v>
      </c>
      <c r="B1911" s="7" t="s">
        <v>7813</v>
      </c>
      <c r="C1911" s="3">
        <v>2748.08</v>
      </c>
      <c r="D1911" s="7" t="s">
        <v>7814</v>
      </c>
      <c r="E1911" s="7" t="s">
        <v>4597</v>
      </c>
      <c r="G1911" s="9"/>
    </row>
    <row r="1912" spans="1:7" x14ac:dyDescent="0.3">
      <c r="A1912" s="9">
        <v>46091</v>
      </c>
      <c r="B1912" s="7" t="s">
        <v>7813</v>
      </c>
      <c r="C1912" s="3">
        <v>11390.98</v>
      </c>
      <c r="D1912" s="7" t="s">
        <v>7814</v>
      </c>
      <c r="E1912" s="7" t="s">
        <v>4726</v>
      </c>
      <c r="G1912" s="9"/>
    </row>
    <row r="1913" spans="1:7" x14ac:dyDescent="0.3">
      <c r="A1913" s="9">
        <v>46069</v>
      </c>
      <c r="B1913" s="7" t="s">
        <v>7813</v>
      </c>
      <c r="C1913" s="3">
        <v>1402.18</v>
      </c>
      <c r="D1913" s="7" t="s">
        <v>7814</v>
      </c>
      <c r="E1913" s="7" t="s">
        <v>4744</v>
      </c>
      <c r="G1913" s="9"/>
    </row>
    <row r="1914" spans="1:7" x14ac:dyDescent="0.3">
      <c r="A1914" s="9">
        <v>46036</v>
      </c>
      <c r="B1914" s="7" t="s">
        <v>7813</v>
      </c>
      <c r="C1914" s="3">
        <v>13866.62</v>
      </c>
      <c r="D1914" s="7" t="s">
        <v>7814</v>
      </c>
      <c r="E1914" s="7" t="s">
        <v>4939</v>
      </c>
      <c r="G1914" s="9"/>
    </row>
    <row r="1915" spans="1:7" x14ac:dyDescent="0.3">
      <c r="A1915" s="9">
        <v>46014</v>
      </c>
      <c r="B1915" s="7" t="s">
        <v>7813</v>
      </c>
      <c r="C1915" s="3">
        <v>13144.99</v>
      </c>
      <c r="D1915" s="7" t="s">
        <v>7814</v>
      </c>
      <c r="E1915" s="7" t="s">
        <v>5300</v>
      </c>
      <c r="G1915" s="9"/>
    </row>
    <row r="1916" spans="1:7" x14ac:dyDescent="0.3">
      <c r="A1916" s="9">
        <v>46026</v>
      </c>
      <c r="B1916" s="7" t="s">
        <v>7815</v>
      </c>
      <c r="C1916" s="3">
        <v>-6164</v>
      </c>
      <c r="D1916" s="7" t="s">
        <v>7816</v>
      </c>
      <c r="E1916" s="7" t="s">
        <v>7195</v>
      </c>
      <c r="G1916" s="9"/>
    </row>
    <row r="1917" spans="1:7" x14ac:dyDescent="0.3">
      <c r="A1917" s="9">
        <v>46000</v>
      </c>
      <c r="B1917" s="7" t="s">
        <v>7813</v>
      </c>
      <c r="C1917" s="3">
        <v>11352.07</v>
      </c>
      <c r="D1917" s="7" t="s">
        <v>7814</v>
      </c>
      <c r="E1917" s="7" t="s">
        <v>3494</v>
      </c>
      <c r="G1917" s="9"/>
    </row>
    <row r="1918" spans="1:7" x14ac:dyDescent="0.3">
      <c r="A1918" s="9">
        <v>46032</v>
      </c>
      <c r="B1918" s="7" t="s">
        <v>7813</v>
      </c>
      <c r="C1918" s="3">
        <v>1612.57</v>
      </c>
      <c r="D1918" s="7" t="s">
        <v>7814</v>
      </c>
      <c r="E1918" s="7" t="s">
        <v>4219</v>
      </c>
      <c r="G1918" s="9"/>
    </row>
    <row r="1919" spans="1:7" x14ac:dyDescent="0.3">
      <c r="A1919" s="9">
        <v>46077</v>
      </c>
      <c r="B1919" s="7" t="s">
        <v>7813</v>
      </c>
      <c r="C1919" s="3">
        <v>1630.23</v>
      </c>
      <c r="D1919" s="7" t="s">
        <v>7814</v>
      </c>
      <c r="E1919" s="7" t="s">
        <v>4749</v>
      </c>
      <c r="G1919" s="9"/>
    </row>
    <row r="1920" spans="1:7" x14ac:dyDescent="0.3">
      <c r="A1920" s="9">
        <v>45976</v>
      </c>
      <c r="B1920" s="7" t="s">
        <v>7813</v>
      </c>
      <c r="C1920" s="3">
        <v>2545.86</v>
      </c>
      <c r="D1920" s="7" t="s">
        <v>7814</v>
      </c>
      <c r="E1920" s="7" t="s">
        <v>5070</v>
      </c>
      <c r="G1920" s="9"/>
    </row>
    <row r="1921" spans="1:7" x14ac:dyDescent="0.3">
      <c r="A1921" s="9">
        <v>45963</v>
      </c>
      <c r="B1921" s="7" t="s">
        <v>7813</v>
      </c>
      <c r="C1921" s="3">
        <v>1611.12</v>
      </c>
      <c r="D1921" s="7" t="s">
        <v>7814</v>
      </c>
      <c r="E1921" s="7" t="s">
        <v>5326</v>
      </c>
      <c r="G1921" s="9"/>
    </row>
    <row r="1922" spans="1:7" x14ac:dyDescent="0.3">
      <c r="A1922" s="9">
        <v>46091</v>
      </c>
      <c r="B1922" s="7" t="s">
        <v>7815</v>
      </c>
      <c r="C1922" s="3">
        <v>-6347.81</v>
      </c>
      <c r="D1922" s="7" t="s">
        <v>7816</v>
      </c>
      <c r="E1922" s="7" t="s">
        <v>7052</v>
      </c>
      <c r="G1922" s="9"/>
    </row>
    <row r="1923" spans="1:7" x14ac:dyDescent="0.3">
      <c r="A1923" s="9">
        <v>46075</v>
      </c>
      <c r="B1923" s="7" t="s">
        <v>7815</v>
      </c>
      <c r="C1923" s="3">
        <v>-3789.98</v>
      </c>
      <c r="D1923" s="7" t="s">
        <v>7816</v>
      </c>
      <c r="E1923" s="7" t="s">
        <v>7088</v>
      </c>
      <c r="G1923" s="9"/>
    </row>
    <row r="1924" spans="1:7" x14ac:dyDescent="0.3">
      <c r="A1924" s="9">
        <v>46011</v>
      </c>
      <c r="B1924" s="7" t="s">
        <v>7815</v>
      </c>
      <c r="C1924" s="3">
        <v>-2139.71</v>
      </c>
      <c r="D1924" s="7" t="s">
        <v>7816</v>
      </c>
      <c r="E1924" s="7" t="s">
        <v>7261</v>
      </c>
      <c r="G1924" s="9"/>
    </row>
    <row r="1925" spans="1:7" x14ac:dyDescent="0.3">
      <c r="A1925" s="9">
        <v>46037</v>
      </c>
      <c r="B1925" s="7" t="s">
        <v>7815</v>
      </c>
      <c r="C1925" s="3">
        <v>-4153.47</v>
      </c>
      <c r="D1925" s="7" t="s">
        <v>7816</v>
      </c>
      <c r="E1925" s="7" t="s">
        <v>7377</v>
      </c>
      <c r="G1925" s="9"/>
    </row>
    <row r="1926" spans="1:7" x14ac:dyDescent="0.3">
      <c r="A1926" s="9">
        <v>45981</v>
      </c>
      <c r="B1926" s="7" t="s">
        <v>7815</v>
      </c>
      <c r="C1926" s="3">
        <v>-947.12</v>
      </c>
      <c r="D1926" s="7" t="s">
        <v>7816</v>
      </c>
      <c r="E1926" s="7" t="s">
        <v>7546</v>
      </c>
      <c r="G1926" s="9"/>
    </row>
    <row r="1927" spans="1:7" x14ac:dyDescent="0.3">
      <c r="A1927" s="9">
        <v>46025</v>
      </c>
      <c r="B1927" s="7" t="s">
        <v>7813</v>
      </c>
      <c r="C1927" s="3">
        <v>4398.12</v>
      </c>
      <c r="D1927" s="7" t="s">
        <v>7814</v>
      </c>
      <c r="E1927" s="7" t="s">
        <v>3390</v>
      </c>
      <c r="G1927" s="9"/>
    </row>
    <row r="1928" spans="1:7" x14ac:dyDescent="0.3">
      <c r="A1928" s="9">
        <v>46085</v>
      </c>
      <c r="B1928" s="7" t="s">
        <v>7813</v>
      </c>
      <c r="C1928" s="3">
        <v>3270.21</v>
      </c>
      <c r="D1928" s="7" t="s">
        <v>7814</v>
      </c>
      <c r="E1928" s="7" t="s">
        <v>3904</v>
      </c>
      <c r="G1928" s="9"/>
    </row>
    <row r="1929" spans="1:7" x14ac:dyDescent="0.3">
      <c r="A1929" s="9">
        <v>46058</v>
      </c>
      <c r="B1929" s="7" t="s">
        <v>7813</v>
      </c>
      <c r="C1929" s="3">
        <v>10754.46</v>
      </c>
      <c r="D1929" s="7" t="s">
        <v>7814</v>
      </c>
      <c r="E1929" s="7" t="s">
        <v>4105</v>
      </c>
      <c r="G1929" s="9"/>
    </row>
    <row r="1930" spans="1:7" x14ac:dyDescent="0.3">
      <c r="A1930" s="9">
        <v>46087</v>
      </c>
      <c r="B1930" s="7" t="s">
        <v>7813</v>
      </c>
      <c r="C1930" s="3">
        <v>11848.75</v>
      </c>
      <c r="D1930" s="7" t="s">
        <v>7814</v>
      </c>
      <c r="E1930" s="7" t="s">
        <v>4710</v>
      </c>
      <c r="G1930" s="9"/>
    </row>
    <row r="1931" spans="1:7" x14ac:dyDescent="0.3">
      <c r="A1931" s="9">
        <v>46046</v>
      </c>
      <c r="B1931" s="7" t="s">
        <v>7813</v>
      </c>
      <c r="C1931" s="3">
        <v>2829.99</v>
      </c>
      <c r="D1931" s="7" t="s">
        <v>7814</v>
      </c>
      <c r="E1931" s="7" t="s">
        <v>5293</v>
      </c>
      <c r="G1931" s="9"/>
    </row>
    <row r="1932" spans="1:7" x14ac:dyDescent="0.3">
      <c r="A1932" s="9">
        <v>45978</v>
      </c>
      <c r="B1932" s="7" t="s">
        <v>7815</v>
      </c>
      <c r="C1932" s="3">
        <v>-6184.44</v>
      </c>
      <c r="D1932" s="7" t="s">
        <v>7816</v>
      </c>
      <c r="E1932" s="7" t="s">
        <v>7144</v>
      </c>
      <c r="G1932" s="9"/>
    </row>
    <row r="1933" spans="1:7" x14ac:dyDescent="0.3">
      <c r="A1933" s="9">
        <v>45977</v>
      </c>
      <c r="B1933" s="7" t="s">
        <v>7815</v>
      </c>
      <c r="C1933" s="3">
        <v>-4782.6499999999996</v>
      </c>
      <c r="D1933" s="7" t="s">
        <v>7816</v>
      </c>
      <c r="E1933" s="7" t="s">
        <v>7218</v>
      </c>
      <c r="G1933" s="9"/>
    </row>
    <row r="1934" spans="1:7" x14ac:dyDescent="0.3">
      <c r="A1934" s="9">
        <v>45991</v>
      </c>
      <c r="B1934" s="7" t="s">
        <v>7813</v>
      </c>
      <c r="C1934" s="3">
        <v>5127.92</v>
      </c>
      <c r="D1934" s="7" t="s">
        <v>7814</v>
      </c>
      <c r="E1934" s="7" t="s">
        <v>3474</v>
      </c>
      <c r="G1934" s="9"/>
    </row>
    <row r="1935" spans="1:7" x14ac:dyDescent="0.3">
      <c r="A1935" s="9">
        <v>46062</v>
      </c>
      <c r="B1935" s="7" t="s">
        <v>7813</v>
      </c>
      <c r="C1935" s="3">
        <v>9715.4699999999993</v>
      </c>
      <c r="D1935" s="7" t="s">
        <v>7814</v>
      </c>
      <c r="E1935" s="7" t="s">
        <v>4347</v>
      </c>
      <c r="G1935" s="9"/>
    </row>
    <row r="1936" spans="1:7" x14ac:dyDescent="0.3">
      <c r="A1936" s="9">
        <v>45983</v>
      </c>
      <c r="B1936" s="7" t="s">
        <v>7813</v>
      </c>
      <c r="C1936" s="3">
        <v>2178.33</v>
      </c>
      <c r="D1936" s="7" t="s">
        <v>7814</v>
      </c>
      <c r="E1936" s="7" t="s">
        <v>4999</v>
      </c>
      <c r="G1936" s="9"/>
    </row>
    <row r="1937" spans="1:7" x14ac:dyDescent="0.3">
      <c r="A1937" s="9">
        <v>46090</v>
      </c>
      <c r="B1937" s="7" t="s">
        <v>7813</v>
      </c>
      <c r="C1937" s="3">
        <v>5248.53</v>
      </c>
      <c r="D1937" s="7" t="s">
        <v>7814</v>
      </c>
      <c r="E1937" s="7" t="s">
        <v>5095</v>
      </c>
      <c r="G1937" s="9"/>
    </row>
    <row r="1938" spans="1:7" x14ac:dyDescent="0.3">
      <c r="A1938" s="9">
        <v>46014</v>
      </c>
      <c r="B1938" s="7" t="s">
        <v>7813</v>
      </c>
      <c r="C1938" s="3">
        <v>2552.38</v>
      </c>
      <c r="D1938" s="7" t="s">
        <v>7814</v>
      </c>
      <c r="E1938" s="7" t="s">
        <v>5363</v>
      </c>
      <c r="G1938" s="9"/>
    </row>
    <row r="1939" spans="1:7" x14ac:dyDescent="0.3">
      <c r="A1939" s="9">
        <v>45989</v>
      </c>
      <c r="B1939" s="7" t="s">
        <v>7815</v>
      </c>
      <c r="C1939" s="3">
        <v>-3977.86</v>
      </c>
      <c r="D1939" s="7" t="s">
        <v>7816</v>
      </c>
      <c r="E1939" s="7" t="s">
        <v>7351</v>
      </c>
      <c r="G1939" s="9"/>
    </row>
    <row r="1940" spans="1:7" x14ac:dyDescent="0.3">
      <c r="A1940" s="9">
        <v>46072</v>
      </c>
      <c r="B1940" s="7" t="s">
        <v>7815</v>
      </c>
      <c r="C1940" s="3">
        <v>-1975.47</v>
      </c>
      <c r="D1940" s="7" t="s">
        <v>7816</v>
      </c>
      <c r="E1940" s="7" t="s">
        <v>7656</v>
      </c>
      <c r="G1940" s="9"/>
    </row>
    <row r="1941" spans="1:7" x14ac:dyDescent="0.3">
      <c r="A1941" s="9">
        <v>46079</v>
      </c>
      <c r="B1941" s="7" t="s">
        <v>7815</v>
      </c>
      <c r="C1941" s="3">
        <v>-851.88</v>
      </c>
      <c r="D1941" s="7" t="s">
        <v>7816</v>
      </c>
      <c r="E1941" s="7" t="s">
        <v>7703</v>
      </c>
      <c r="G1941" s="9"/>
    </row>
    <row r="1942" spans="1:7" x14ac:dyDescent="0.3">
      <c r="A1942" s="9">
        <v>46042</v>
      </c>
      <c r="B1942" s="7" t="s">
        <v>7813</v>
      </c>
      <c r="C1942" s="3">
        <v>1629.59</v>
      </c>
      <c r="D1942" s="7" t="s">
        <v>7814</v>
      </c>
      <c r="E1942" s="7" t="s">
        <v>3789</v>
      </c>
      <c r="G1942" s="9"/>
    </row>
    <row r="1943" spans="1:7" x14ac:dyDescent="0.3">
      <c r="A1943" s="9">
        <v>45981</v>
      </c>
      <c r="B1943" s="7" t="s">
        <v>7813</v>
      </c>
      <c r="C1943" s="3">
        <v>3084.58</v>
      </c>
      <c r="D1943" s="7" t="s">
        <v>7814</v>
      </c>
      <c r="E1943" s="7" t="s">
        <v>3914</v>
      </c>
      <c r="G1943" s="9"/>
    </row>
    <row r="1944" spans="1:7" x14ac:dyDescent="0.3">
      <c r="A1944" s="9">
        <v>45993</v>
      </c>
      <c r="B1944" s="7" t="s">
        <v>7813</v>
      </c>
      <c r="C1944" s="3">
        <v>5392.59</v>
      </c>
      <c r="D1944" s="7" t="s">
        <v>7814</v>
      </c>
      <c r="E1944" s="7" t="s">
        <v>4080</v>
      </c>
      <c r="G1944" s="9"/>
    </row>
    <row r="1945" spans="1:7" x14ac:dyDescent="0.3">
      <c r="A1945" s="9">
        <v>46002</v>
      </c>
      <c r="B1945" s="7" t="s">
        <v>7813</v>
      </c>
      <c r="C1945" s="3">
        <v>3838.33</v>
      </c>
      <c r="D1945" s="7" t="s">
        <v>7814</v>
      </c>
      <c r="E1945" s="7" t="s">
        <v>4840</v>
      </c>
      <c r="G1945" s="9"/>
    </row>
    <row r="1946" spans="1:7" x14ac:dyDescent="0.3">
      <c r="A1946" s="9">
        <v>46087</v>
      </c>
      <c r="B1946" s="7" t="s">
        <v>7813</v>
      </c>
      <c r="C1946" s="3">
        <v>2038.38</v>
      </c>
      <c r="D1946" s="7" t="s">
        <v>7814</v>
      </c>
      <c r="E1946" s="7" t="s">
        <v>5198</v>
      </c>
      <c r="G1946" s="9"/>
    </row>
    <row r="1947" spans="1:7" x14ac:dyDescent="0.3">
      <c r="A1947" s="9">
        <v>46082</v>
      </c>
      <c r="B1947" s="7" t="s">
        <v>7813</v>
      </c>
      <c r="C1947" s="3">
        <v>1798.09</v>
      </c>
      <c r="D1947" s="7" t="s">
        <v>7814</v>
      </c>
      <c r="E1947" s="7" t="s">
        <v>5216</v>
      </c>
      <c r="G1947" s="9"/>
    </row>
    <row r="1948" spans="1:7" x14ac:dyDescent="0.3">
      <c r="A1948" s="9">
        <v>45983</v>
      </c>
      <c r="B1948" s="7" t="s">
        <v>7815</v>
      </c>
      <c r="C1948" s="3">
        <v>-6825.52</v>
      </c>
      <c r="D1948" s="7" t="s">
        <v>7816</v>
      </c>
      <c r="E1948" s="7" t="s">
        <v>7400</v>
      </c>
      <c r="G1948" s="9"/>
    </row>
    <row r="1949" spans="1:7" x14ac:dyDescent="0.3">
      <c r="A1949" s="9">
        <v>45978</v>
      </c>
      <c r="B1949" s="7" t="s">
        <v>7813</v>
      </c>
      <c r="C1949" s="3">
        <v>3103.76</v>
      </c>
      <c r="D1949" s="7" t="s">
        <v>7814</v>
      </c>
      <c r="E1949" s="7" t="s">
        <v>3270</v>
      </c>
      <c r="G1949" s="9"/>
    </row>
    <row r="1950" spans="1:7" x14ac:dyDescent="0.3">
      <c r="A1950" s="9">
        <v>46081</v>
      </c>
      <c r="B1950" s="7" t="s">
        <v>7813</v>
      </c>
      <c r="C1950" s="3">
        <v>11251.36</v>
      </c>
      <c r="D1950" s="7" t="s">
        <v>7814</v>
      </c>
      <c r="E1950" s="7" t="s">
        <v>3602</v>
      </c>
      <c r="G1950" s="9"/>
    </row>
    <row r="1951" spans="1:7" x14ac:dyDescent="0.3">
      <c r="A1951" s="9">
        <v>45965</v>
      </c>
      <c r="B1951" s="7" t="s">
        <v>7813</v>
      </c>
      <c r="C1951" s="3">
        <v>5570.98</v>
      </c>
      <c r="D1951" s="7" t="s">
        <v>7814</v>
      </c>
      <c r="E1951" s="7" t="s">
        <v>4092</v>
      </c>
      <c r="G1951" s="9"/>
    </row>
    <row r="1952" spans="1:7" x14ac:dyDescent="0.3">
      <c r="A1952" s="9">
        <v>46007</v>
      </c>
      <c r="B1952" s="7" t="s">
        <v>7813</v>
      </c>
      <c r="C1952" s="3">
        <v>2978.6</v>
      </c>
      <c r="D1952" s="7" t="s">
        <v>7814</v>
      </c>
      <c r="E1952" s="7" t="s">
        <v>4526</v>
      </c>
      <c r="G1952" s="9"/>
    </row>
    <row r="1953" spans="1:7" x14ac:dyDescent="0.3">
      <c r="A1953" s="9">
        <v>45977</v>
      </c>
      <c r="B1953" s="7" t="s">
        <v>7813</v>
      </c>
      <c r="C1953" s="3">
        <v>1266.26</v>
      </c>
      <c r="D1953" s="7" t="s">
        <v>7814</v>
      </c>
      <c r="E1953" s="7" t="s">
        <v>4750</v>
      </c>
      <c r="G1953" s="9"/>
    </row>
    <row r="1954" spans="1:7" x14ac:dyDescent="0.3">
      <c r="A1954" s="9">
        <v>46055</v>
      </c>
      <c r="B1954" s="7" t="s">
        <v>7813</v>
      </c>
      <c r="C1954" s="3">
        <v>1224.52</v>
      </c>
      <c r="D1954" s="7" t="s">
        <v>7814</v>
      </c>
      <c r="E1954" s="7" t="s">
        <v>5142</v>
      </c>
      <c r="G1954" s="9"/>
    </row>
    <row r="1955" spans="1:7" x14ac:dyDescent="0.3">
      <c r="A1955" s="9">
        <v>46043</v>
      </c>
      <c r="B1955" s="7" t="s">
        <v>7813</v>
      </c>
      <c r="C1955" s="3">
        <v>10769.91</v>
      </c>
      <c r="D1955" s="7" t="s">
        <v>7814</v>
      </c>
      <c r="E1955" s="7" t="s">
        <v>3220</v>
      </c>
      <c r="G1955" s="9"/>
    </row>
    <row r="1956" spans="1:7" x14ac:dyDescent="0.3">
      <c r="A1956" s="9">
        <v>45972</v>
      </c>
      <c r="B1956" s="7" t="s">
        <v>7813</v>
      </c>
      <c r="C1956" s="3">
        <v>2467.41</v>
      </c>
      <c r="D1956" s="7" t="s">
        <v>7814</v>
      </c>
      <c r="E1956" s="7" t="s">
        <v>3362</v>
      </c>
      <c r="G1956" s="9"/>
    </row>
    <row r="1957" spans="1:7" x14ac:dyDescent="0.3">
      <c r="A1957" s="9">
        <v>46085</v>
      </c>
      <c r="B1957" s="7" t="s">
        <v>7813</v>
      </c>
      <c r="C1957" s="3">
        <v>4010.36</v>
      </c>
      <c r="D1957" s="7" t="s">
        <v>7814</v>
      </c>
      <c r="E1957" s="7" t="s">
        <v>3410</v>
      </c>
      <c r="G1957" s="9"/>
    </row>
    <row r="1958" spans="1:7" x14ac:dyDescent="0.3">
      <c r="A1958" s="9">
        <v>45995</v>
      </c>
      <c r="B1958" s="7" t="s">
        <v>7813</v>
      </c>
      <c r="C1958" s="3">
        <v>2562.14</v>
      </c>
      <c r="D1958" s="7" t="s">
        <v>7814</v>
      </c>
      <c r="E1958" s="7" t="s">
        <v>3848</v>
      </c>
      <c r="G1958" s="9"/>
    </row>
    <row r="1959" spans="1:7" x14ac:dyDescent="0.3">
      <c r="A1959" s="9">
        <v>46083</v>
      </c>
      <c r="B1959" s="7" t="s">
        <v>7813</v>
      </c>
      <c r="C1959" s="3">
        <v>1213.49</v>
      </c>
      <c r="D1959" s="7" t="s">
        <v>7814</v>
      </c>
      <c r="E1959" s="7" t="s">
        <v>4394</v>
      </c>
      <c r="G1959" s="9"/>
    </row>
    <row r="1960" spans="1:7" x14ac:dyDescent="0.3">
      <c r="A1960" s="9">
        <v>46036</v>
      </c>
      <c r="B1960" s="7" t="s">
        <v>7813</v>
      </c>
      <c r="C1960" s="3">
        <v>6757.51</v>
      </c>
      <c r="D1960" s="7" t="s">
        <v>7814</v>
      </c>
      <c r="E1960" s="7" t="s">
        <v>4736</v>
      </c>
      <c r="G1960" s="9"/>
    </row>
    <row r="1961" spans="1:7" x14ac:dyDescent="0.3">
      <c r="A1961" s="9">
        <v>46024</v>
      </c>
      <c r="B1961" s="7" t="s">
        <v>7815</v>
      </c>
      <c r="C1961" s="3">
        <v>-2212.5100000000002</v>
      </c>
      <c r="D1961" s="7" t="s">
        <v>7816</v>
      </c>
      <c r="E1961" s="7" t="s">
        <v>7463</v>
      </c>
      <c r="G1961" s="9"/>
    </row>
    <row r="1962" spans="1:7" x14ac:dyDescent="0.3">
      <c r="A1962" s="9">
        <v>46042</v>
      </c>
      <c r="B1962" s="7" t="s">
        <v>7815</v>
      </c>
      <c r="C1962" s="3">
        <v>-3544.45</v>
      </c>
      <c r="D1962" s="7" t="s">
        <v>7816</v>
      </c>
      <c r="E1962" s="7" t="s">
        <v>7780</v>
      </c>
      <c r="G1962" s="9"/>
    </row>
    <row r="1963" spans="1:7" x14ac:dyDescent="0.3">
      <c r="A1963" s="9">
        <v>45971</v>
      </c>
      <c r="B1963" s="7" t="s">
        <v>7813</v>
      </c>
      <c r="C1963" s="3">
        <v>3612.73</v>
      </c>
      <c r="D1963" s="7" t="s">
        <v>7814</v>
      </c>
      <c r="E1963" s="7" t="s">
        <v>3500</v>
      </c>
      <c r="G1963" s="9"/>
    </row>
    <row r="1964" spans="1:7" x14ac:dyDescent="0.3">
      <c r="A1964" s="9">
        <v>46083</v>
      </c>
      <c r="B1964" s="7" t="s">
        <v>7813</v>
      </c>
      <c r="C1964" s="3">
        <v>4129.54</v>
      </c>
      <c r="D1964" s="7" t="s">
        <v>7814</v>
      </c>
      <c r="E1964" s="7" t="s">
        <v>4212</v>
      </c>
      <c r="G1964" s="9"/>
    </row>
    <row r="1965" spans="1:7" x14ac:dyDescent="0.3">
      <c r="A1965" s="9">
        <v>46046</v>
      </c>
      <c r="B1965" s="7" t="s">
        <v>7813</v>
      </c>
      <c r="C1965" s="3">
        <v>2318.86</v>
      </c>
      <c r="D1965" s="7" t="s">
        <v>7814</v>
      </c>
      <c r="E1965" s="7" t="s">
        <v>4885</v>
      </c>
      <c r="G1965" s="9"/>
    </row>
    <row r="1966" spans="1:7" x14ac:dyDescent="0.3">
      <c r="A1966" s="9">
        <v>45963</v>
      </c>
      <c r="B1966" s="7" t="s">
        <v>7813</v>
      </c>
      <c r="C1966" s="3">
        <v>4655.68</v>
      </c>
      <c r="D1966" s="7" t="s">
        <v>7814</v>
      </c>
      <c r="E1966" s="7" t="s">
        <v>5164</v>
      </c>
      <c r="G1966" s="9"/>
    </row>
    <row r="1967" spans="1:7" x14ac:dyDescent="0.3">
      <c r="A1967" s="9">
        <v>45971</v>
      </c>
      <c r="B1967" s="7" t="s">
        <v>7815</v>
      </c>
      <c r="C1967" s="3">
        <v>-4914.1400000000003</v>
      </c>
      <c r="D1967" s="7" t="s">
        <v>7816</v>
      </c>
      <c r="E1967" s="7" t="s">
        <v>6835</v>
      </c>
      <c r="G1967" s="9"/>
    </row>
    <row r="1968" spans="1:7" x14ac:dyDescent="0.3">
      <c r="A1968" s="9">
        <v>46036</v>
      </c>
      <c r="B1968" s="7" t="s">
        <v>7815</v>
      </c>
      <c r="C1968" s="3">
        <v>-5133.6899999999996</v>
      </c>
      <c r="D1968" s="7" t="s">
        <v>7816</v>
      </c>
      <c r="E1968" s="7" t="s">
        <v>7324</v>
      </c>
      <c r="G1968" s="9"/>
    </row>
    <row r="1969" spans="1:7" x14ac:dyDescent="0.3">
      <c r="A1969" s="9">
        <v>45964</v>
      </c>
      <c r="B1969" s="7" t="s">
        <v>7815</v>
      </c>
      <c r="C1969" s="3">
        <v>-3026.93</v>
      </c>
      <c r="D1969" s="7" t="s">
        <v>7816</v>
      </c>
      <c r="E1969" s="7" t="s">
        <v>7581</v>
      </c>
      <c r="G1969" s="9"/>
    </row>
    <row r="1970" spans="1:7" x14ac:dyDescent="0.3">
      <c r="A1970" s="9">
        <v>46069</v>
      </c>
      <c r="B1970" s="7" t="s">
        <v>7813</v>
      </c>
      <c r="C1970" s="3">
        <v>12832.8</v>
      </c>
      <c r="D1970" s="7" t="s">
        <v>7814</v>
      </c>
      <c r="E1970" s="7" t="s">
        <v>3438</v>
      </c>
      <c r="G1970" s="9"/>
    </row>
    <row r="1971" spans="1:7" x14ac:dyDescent="0.3">
      <c r="A1971" s="9">
        <v>46054</v>
      </c>
      <c r="B1971" s="7" t="s">
        <v>7813</v>
      </c>
      <c r="C1971" s="3">
        <v>4766.37</v>
      </c>
      <c r="D1971" s="7" t="s">
        <v>7814</v>
      </c>
      <c r="E1971" s="7" t="s">
        <v>4667</v>
      </c>
      <c r="G1971" s="9"/>
    </row>
    <row r="1972" spans="1:7" x14ac:dyDescent="0.3">
      <c r="A1972" s="9">
        <v>45990</v>
      </c>
      <c r="B1972" s="7" t="s">
        <v>7813</v>
      </c>
      <c r="C1972" s="3">
        <v>7182.51</v>
      </c>
      <c r="D1972" s="7" t="s">
        <v>7814</v>
      </c>
      <c r="E1972" s="7" t="s">
        <v>4737</v>
      </c>
      <c r="G1972" s="9"/>
    </row>
    <row r="1973" spans="1:7" x14ac:dyDescent="0.3">
      <c r="A1973" s="9">
        <v>46050</v>
      </c>
      <c r="B1973" s="7" t="s">
        <v>7813</v>
      </c>
      <c r="C1973" s="3">
        <v>1289.03</v>
      </c>
      <c r="D1973" s="7" t="s">
        <v>7814</v>
      </c>
      <c r="E1973" s="7" t="s">
        <v>5266</v>
      </c>
      <c r="G1973" s="9"/>
    </row>
    <row r="1974" spans="1:7" x14ac:dyDescent="0.3">
      <c r="A1974" s="9">
        <v>45972</v>
      </c>
      <c r="B1974" s="7" t="s">
        <v>7815</v>
      </c>
      <c r="C1974" s="3">
        <v>-869.4</v>
      </c>
      <c r="D1974" s="7" t="s">
        <v>7816</v>
      </c>
      <c r="E1974" s="7" t="s">
        <v>7711</v>
      </c>
      <c r="G1974" s="9"/>
    </row>
    <row r="1975" spans="1:7" x14ac:dyDescent="0.3">
      <c r="A1975" s="9">
        <v>45966</v>
      </c>
      <c r="B1975" s="7" t="s">
        <v>7813</v>
      </c>
      <c r="C1975" s="3">
        <v>3024.48</v>
      </c>
      <c r="D1975" s="7" t="s">
        <v>7814</v>
      </c>
      <c r="E1975" s="7" t="s">
        <v>3894</v>
      </c>
      <c r="G1975" s="9"/>
    </row>
    <row r="1976" spans="1:7" x14ac:dyDescent="0.3">
      <c r="A1976" s="9">
        <v>45990</v>
      </c>
      <c r="B1976" s="7" t="s">
        <v>7813</v>
      </c>
      <c r="C1976" s="3">
        <v>3878.7</v>
      </c>
      <c r="D1976" s="7" t="s">
        <v>7814</v>
      </c>
      <c r="E1976" s="7" t="s">
        <v>4055</v>
      </c>
      <c r="G1976" s="9"/>
    </row>
    <row r="1977" spans="1:7" x14ac:dyDescent="0.3">
      <c r="A1977" s="9">
        <v>46071</v>
      </c>
      <c r="B1977" s="7" t="s">
        <v>7813</v>
      </c>
      <c r="C1977" s="3">
        <v>10121.459999999999</v>
      </c>
      <c r="D1977" s="7" t="s">
        <v>7814</v>
      </c>
      <c r="E1977" s="7" t="s">
        <v>4439</v>
      </c>
      <c r="G1977" s="9"/>
    </row>
    <row r="1978" spans="1:7" x14ac:dyDescent="0.3">
      <c r="A1978" s="9">
        <v>45980</v>
      </c>
      <c r="B1978" s="7" t="s">
        <v>7813</v>
      </c>
      <c r="C1978" s="3">
        <v>3538.62</v>
      </c>
      <c r="D1978" s="7" t="s">
        <v>7814</v>
      </c>
      <c r="E1978" s="7" t="s">
        <v>4780</v>
      </c>
      <c r="G1978" s="9"/>
    </row>
    <row r="1979" spans="1:7" x14ac:dyDescent="0.3">
      <c r="A1979" s="9">
        <v>46071</v>
      </c>
      <c r="B1979" s="7" t="s">
        <v>7813</v>
      </c>
      <c r="C1979" s="3">
        <v>897.44</v>
      </c>
      <c r="D1979" s="7" t="s">
        <v>7814</v>
      </c>
      <c r="E1979" s="7" t="s">
        <v>5123</v>
      </c>
      <c r="G1979" s="9"/>
    </row>
    <row r="1980" spans="1:7" x14ac:dyDescent="0.3">
      <c r="A1980" s="9">
        <v>46086</v>
      </c>
      <c r="B1980" s="7" t="s">
        <v>7813</v>
      </c>
      <c r="C1980" s="3">
        <v>5174.2700000000004</v>
      </c>
      <c r="D1980" s="7" t="s">
        <v>7814</v>
      </c>
      <c r="E1980" s="7" t="s">
        <v>5126</v>
      </c>
      <c r="G1980" s="9"/>
    </row>
    <row r="1981" spans="1:7" x14ac:dyDescent="0.3">
      <c r="A1981" s="9">
        <v>46010</v>
      </c>
      <c r="B1981" s="7" t="s">
        <v>7813</v>
      </c>
      <c r="C1981" s="3">
        <v>656.51</v>
      </c>
      <c r="D1981" s="7" t="s">
        <v>7814</v>
      </c>
      <c r="E1981" s="7" t="s">
        <v>5267</v>
      </c>
      <c r="G1981" s="9"/>
    </row>
    <row r="1982" spans="1:7" x14ac:dyDescent="0.3">
      <c r="A1982" s="9">
        <v>46053</v>
      </c>
      <c r="B1982" s="7" t="s">
        <v>7813</v>
      </c>
      <c r="C1982" s="3">
        <v>3088.43</v>
      </c>
      <c r="D1982" s="7" t="s">
        <v>7814</v>
      </c>
      <c r="E1982" s="7" t="s">
        <v>5353</v>
      </c>
      <c r="G1982" s="9"/>
    </row>
    <row r="1983" spans="1:7" x14ac:dyDescent="0.3">
      <c r="A1983" s="9">
        <v>46015</v>
      </c>
      <c r="B1983" s="7" t="s">
        <v>7815</v>
      </c>
      <c r="C1983" s="3">
        <v>-804.92</v>
      </c>
      <c r="D1983" s="7" t="s">
        <v>7816</v>
      </c>
      <c r="E1983" s="7" t="s">
        <v>7436</v>
      </c>
      <c r="G1983" s="9"/>
    </row>
    <row r="1984" spans="1:7" x14ac:dyDescent="0.3">
      <c r="A1984" s="9">
        <v>46059</v>
      </c>
      <c r="B1984" s="7" t="s">
        <v>7813</v>
      </c>
      <c r="C1984" s="3">
        <v>3137.01</v>
      </c>
      <c r="D1984" s="7" t="s">
        <v>7814</v>
      </c>
      <c r="E1984" s="7" t="s">
        <v>3909</v>
      </c>
      <c r="G1984" s="9"/>
    </row>
    <row r="1985" spans="1:7" x14ac:dyDescent="0.3">
      <c r="A1985" s="9">
        <v>46051</v>
      </c>
      <c r="B1985" s="7" t="s">
        <v>7813</v>
      </c>
      <c r="C1985" s="3">
        <v>1707.05</v>
      </c>
      <c r="D1985" s="7" t="s">
        <v>7814</v>
      </c>
      <c r="E1985" s="7" t="s">
        <v>4245</v>
      </c>
      <c r="G1985" s="9"/>
    </row>
    <row r="1986" spans="1:7" x14ac:dyDescent="0.3">
      <c r="A1986" s="9">
        <v>46054</v>
      </c>
      <c r="B1986" s="7" t="s">
        <v>7813</v>
      </c>
      <c r="C1986" s="3">
        <v>2057.9</v>
      </c>
      <c r="D1986" s="7" t="s">
        <v>7814</v>
      </c>
      <c r="E1986" s="7" t="s">
        <v>4284</v>
      </c>
      <c r="G1986" s="9"/>
    </row>
    <row r="1987" spans="1:7" x14ac:dyDescent="0.3">
      <c r="A1987" s="9">
        <v>46006</v>
      </c>
      <c r="B1987" s="7" t="s">
        <v>7813</v>
      </c>
      <c r="C1987" s="3">
        <v>2969.26</v>
      </c>
      <c r="D1987" s="7" t="s">
        <v>7814</v>
      </c>
      <c r="E1987" s="7" t="s">
        <v>4973</v>
      </c>
      <c r="G1987" s="9"/>
    </row>
    <row r="1988" spans="1:7" x14ac:dyDescent="0.3">
      <c r="A1988" s="9">
        <v>46007</v>
      </c>
      <c r="B1988" s="7" t="s">
        <v>7813</v>
      </c>
      <c r="C1988" s="3">
        <v>3846.99</v>
      </c>
      <c r="D1988" s="7" t="s">
        <v>7814</v>
      </c>
      <c r="E1988" s="7" t="s">
        <v>5299</v>
      </c>
      <c r="G1988" s="9"/>
    </row>
    <row r="1989" spans="1:7" x14ac:dyDescent="0.3">
      <c r="A1989" s="9">
        <v>46077</v>
      </c>
      <c r="B1989" s="7" t="s">
        <v>7815</v>
      </c>
      <c r="C1989" s="3">
        <v>-3486.03</v>
      </c>
      <c r="D1989" s="7" t="s">
        <v>7816</v>
      </c>
      <c r="E1989" s="7" t="s">
        <v>7046</v>
      </c>
      <c r="G1989" s="9"/>
    </row>
    <row r="1990" spans="1:7" x14ac:dyDescent="0.3">
      <c r="A1990" s="9">
        <v>46057</v>
      </c>
      <c r="B1990" s="7" t="s">
        <v>7815</v>
      </c>
      <c r="C1990" s="3">
        <v>-6048.18</v>
      </c>
      <c r="D1990" s="7" t="s">
        <v>7816</v>
      </c>
      <c r="E1990" s="7" t="s">
        <v>7495</v>
      </c>
      <c r="G1990" s="9"/>
    </row>
    <row r="1991" spans="1:7" x14ac:dyDescent="0.3">
      <c r="A1991" s="9">
        <v>45987</v>
      </c>
      <c r="B1991" s="7" t="s">
        <v>7813</v>
      </c>
      <c r="C1991" s="3">
        <v>3084.09</v>
      </c>
      <c r="D1991" s="7" t="s">
        <v>7814</v>
      </c>
      <c r="E1991" s="7" t="s">
        <v>3528</v>
      </c>
      <c r="G1991" s="9"/>
    </row>
    <row r="1992" spans="1:7" x14ac:dyDescent="0.3">
      <c r="A1992" s="9">
        <v>46058</v>
      </c>
      <c r="B1992" s="7" t="s">
        <v>7813</v>
      </c>
      <c r="C1992" s="3">
        <v>2121.7199999999998</v>
      </c>
      <c r="D1992" s="7" t="s">
        <v>7814</v>
      </c>
      <c r="E1992" s="7" t="s">
        <v>4380</v>
      </c>
      <c r="G1992" s="9"/>
    </row>
    <row r="1993" spans="1:7" x14ac:dyDescent="0.3">
      <c r="A1993" s="9">
        <v>46091</v>
      </c>
      <c r="B1993" s="7" t="s">
        <v>7813</v>
      </c>
      <c r="C1993" s="3">
        <v>12868.43</v>
      </c>
      <c r="D1993" s="7" t="s">
        <v>7814</v>
      </c>
      <c r="E1993" s="7" t="s">
        <v>4817</v>
      </c>
      <c r="G1993" s="9"/>
    </row>
    <row r="1994" spans="1:7" x14ac:dyDescent="0.3">
      <c r="A1994" s="9">
        <v>45966</v>
      </c>
      <c r="B1994" s="7" t="s">
        <v>7813</v>
      </c>
      <c r="C1994" s="3">
        <v>5902.99</v>
      </c>
      <c r="D1994" s="7" t="s">
        <v>7814</v>
      </c>
      <c r="E1994" s="7" t="s">
        <v>5050</v>
      </c>
      <c r="G1994" s="9"/>
    </row>
    <row r="1995" spans="1:7" x14ac:dyDescent="0.3">
      <c r="A1995" s="9">
        <v>46032</v>
      </c>
      <c r="B1995" s="7" t="s">
        <v>7815</v>
      </c>
      <c r="C1995" s="3">
        <v>-6777.04</v>
      </c>
      <c r="D1995" s="7" t="s">
        <v>7816</v>
      </c>
      <c r="E1995" s="7" t="s">
        <v>6956</v>
      </c>
      <c r="G1995" s="9"/>
    </row>
    <row r="1996" spans="1:7" x14ac:dyDescent="0.3">
      <c r="A1996" s="9">
        <v>46091</v>
      </c>
      <c r="B1996" s="7" t="s">
        <v>7815</v>
      </c>
      <c r="C1996" s="3">
        <v>-5601.69</v>
      </c>
      <c r="D1996" s="7" t="s">
        <v>7816</v>
      </c>
      <c r="E1996" s="7" t="s">
        <v>7224</v>
      </c>
      <c r="G1996" s="9"/>
    </row>
    <row r="1997" spans="1:7" x14ac:dyDescent="0.3">
      <c r="A1997" s="9">
        <v>46090</v>
      </c>
      <c r="B1997" s="7" t="s">
        <v>7813</v>
      </c>
      <c r="C1997" s="3">
        <v>3203.8</v>
      </c>
      <c r="D1997" s="7" t="s">
        <v>7814</v>
      </c>
      <c r="E1997" s="7" t="s">
        <v>3408</v>
      </c>
      <c r="G1997" s="9"/>
    </row>
    <row r="1998" spans="1:7" x14ac:dyDescent="0.3">
      <c r="A1998" s="9">
        <v>46080</v>
      </c>
      <c r="B1998" s="7" t="s">
        <v>7813</v>
      </c>
      <c r="C1998" s="3">
        <v>698.76</v>
      </c>
      <c r="D1998" s="7" t="s">
        <v>7814</v>
      </c>
      <c r="E1998" s="7" t="s">
        <v>3605</v>
      </c>
      <c r="G1998" s="9"/>
    </row>
    <row r="1999" spans="1:7" x14ac:dyDescent="0.3">
      <c r="A1999" s="9">
        <v>46044</v>
      </c>
      <c r="B1999" s="7" t="s">
        <v>7813</v>
      </c>
      <c r="C1999" s="3">
        <v>3592.53</v>
      </c>
      <c r="D1999" s="7" t="s">
        <v>7814</v>
      </c>
      <c r="E1999" s="7" t="s">
        <v>4127</v>
      </c>
      <c r="G1999" s="9"/>
    </row>
    <row r="2000" spans="1:7" x14ac:dyDescent="0.3">
      <c r="A2000" s="9">
        <v>46015</v>
      </c>
      <c r="B2000" s="7" t="s">
        <v>7813</v>
      </c>
      <c r="C2000" s="3">
        <v>2417.16</v>
      </c>
      <c r="D2000" s="7" t="s">
        <v>7814</v>
      </c>
      <c r="E2000" s="7" t="s">
        <v>4144</v>
      </c>
      <c r="G2000" s="9"/>
    </row>
    <row r="2001" spans="1:7" x14ac:dyDescent="0.3">
      <c r="A2001" s="9">
        <v>46085</v>
      </c>
      <c r="B2001" s="7" t="s">
        <v>7815</v>
      </c>
      <c r="C2001" s="3">
        <v>-6150.76</v>
      </c>
      <c r="D2001" s="7" t="s">
        <v>7816</v>
      </c>
      <c r="E2001" s="7" t="s">
        <v>7045</v>
      </c>
      <c r="G2001" s="9"/>
    </row>
    <row r="2002" spans="1:7" x14ac:dyDescent="0.3">
      <c r="A2002" s="9">
        <v>46069</v>
      </c>
      <c r="B2002" s="7" t="s">
        <v>7815</v>
      </c>
      <c r="C2002" s="3">
        <v>-5611.83</v>
      </c>
      <c r="D2002" s="7" t="s">
        <v>7816</v>
      </c>
      <c r="E2002" s="7" t="s">
        <v>7139</v>
      </c>
      <c r="G2002" s="9"/>
    </row>
    <row r="2003" spans="1:7" x14ac:dyDescent="0.3">
      <c r="A2003" s="9">
        <v>45974</v>
      </c>
      <c r="B2003" s="7" t="s">
        <v>7815</v>
      </c>
      <c r="C2003" s="3">
        <v>-4490.51</v>
      </c>
      <c r="D2003" s="7" t="s">
        <v>7816</v>
      </c>
      <c r="E2003" s="7" t="s">
        <v>7276</v>
      </c>
      <c r="G2003" s="9"/>
    </row>
    <row r="2004" spans="1:7" x14ac:dyDescent="0.3">
      <c r="A2004" s="9">
        <v>45997</v>
      </c>
      <c r="B2004" s="7" t="s">
        <v>7817</v>
      </c>
      <c r="C2004" s="3">
        <v>-107432.16</v>
      </c>
      <c r="D2004" s="7" t="s">
        <v>7816</v>
      </c>
      <c r="E2004" s="7" t="s">
        <v>7818</v>
      </c>
      <c r="G2004" s="9"/>
    </row>
    <row r="2005" spans="1:7" x14ac:dyDescent="0.3">
      <c r="A2005" s="9">
        <v>45994</v>
      </c>
      <c r="B2005" s="7" t="s">
        <v>7813</v>
      </c>
      <c r="C2005" s="3">
        <v>2112.41</v>
      </c>
      <c r="D2005" s="7" t="s">
        <v>7814</v>
      </c>
      <c r="E2005" s="7" t="s">
        <v>3465</v>
      </c>
      <c r="G2005" s="9"/>
    </row>
    <row r="2006" spans="1:7" x14ac:dyDescent="0.3">
      <c r="A2006" s="9">
        <v>46063</v>
      </c>
      <c r="B2006" s="7" t="s">
        <v>7813</v>
      </c>
      <c r="C2006" s="3">
        <v>11420.47</v>
      </c>
      <c r="D2006" s="7" t="s">
        <v>7814</v>
      </c>
      <c r="E2006" s="7" t="s">
        <v>3469</v>
      </c>
      <c r="G2006" s="9"/>
    </row>
    <row r="2007" spans="1:7" x14ac:dyDescent="0.3">
      <c r="A2007" s="9">
        <v>45977</v>
      </c>
      <c r="B2007" s="7" t="s">
        <v>7813</v>
      </c>
      <c r="C2007" s="3">
        <v>11050.3</v>
      </c>
      <c r="D2007" s="7" t="s">
        <v>7814</v>
      </c>
      <c r="E2007" s="7" t="s">
        <v>3667</v>
      </c>
      <c r="G2007" s="9"/>
    </row>
    <row r="2008" spans="1:7" x14ac:dyDescent="0.3">
      <c r="A2008" s="9">
        <v>46073</v>
      </c>
      <c r="B2008" s="7" t="s">
        <v>7813</v>
      </c>
      <c r="C2008" s="3">
        <v>5593.53</v>
      </c>
      <c r="D2008" s="7" t="s">
        <v>7814</v>
      </c>
      <c r="E2008" s="7" t="s">
        <v>3871</v>
      </c>
      <c r="G2008" s="9"/>
    </row>
    <row r="2009" spans="1:7" x14ac:dyDescent="0.3">
      <c r="A2009" s="9">
        <v>46028</v>
      </c>
      <c r="B2009" s="7" t="s">
        <v>7813</v>
      </c>
      <c r="C2009" s="3">
        <v>1403.64</v>
      </c>
      <c r="D2009" s="7" t="s">
        <v>7814</v>
      </c>
      <c r="E2009" s="7" t="s">
        <v>4317</v>
      </c>
      <c r="G2009" s="9"/>
    </row>
    <row r="2010" spans="1:7" x14ac:dyDescent="0.3">
      <c r="A2010" s="9">
        <v>46043</v>
      </c>
      <c r="B2010" s="7" t="s">
        <v>7813</v>
      </c>
      <c r="C2010" s="3">
        <v>2259.7600000000002</v>
      </c>
      <c r="D2010" s="7" t="s">
        <v>7814</v>
      </c>
      <c r="E2010" s="7" t="s">
        <v>4322</v>
      </c>
      <c r="G2010" s="9"/>
    </row>
    <row r="2011" spans="1:7" x14ac:dyDescent="0.3">
      <c r="A2011" s="9">
        <v>46047</v>
      </c>
      <c r="B2011" s="7" t="s">
        <v>7813</v>
      </c>
      <c r="C2011" s="3">
        <v>1762.88</v>
      </c>
      <c r="D2011" s="7" t="s">
        <v>7814</v>
      </c>
      <c r="E2011" s="7" t="s">
        <v>4395</v>
      </c>
      <c r="G2011" s="9"/>
    </row>
    <row r="2012" spans="1:7" x14ac:dyDescent="0.3">
      <c r="A2012" s="9">
        <v>45965</v>
      </c>
      <c r="B2012" s="7" t="s">
        <v>7813</v>
      </c>
      <c r="C2012" s="3">
        <v>4487.62</v>
      </c>
      <c r="D2012" s="7" t="s">
        <v>7814</v>
      </c>
      <c r="E2012" s="7" t="s">
        <v>4650</v>
      </c>
      <c r="G2012" s="9"/>
    </row>
    <row r="2013" spans="1:7" x14ac:dyDescent="0.3">
      <c r="A2013" s="9">
        <v>46045</v>
      </c>
      <c r="B2013" s="7" t="s">
        <v>7813</v>
      </c>
      <c r="C2013" s="3">
        <v>2667.54</v>
      </c>
      <c r="D2013" s="7" t="s">
        <v>7814</v>
      </c>
      <c r="E2013" s="7" t="s">
        <v>4841</v>
      </c>
      <c r="G2013" s="9"/>
    </row>
    <row r="2014" spans="1:7" x14ac:dyDescent="0.3">
      <c r="A2014" s="9">
        <v>45972</v>
      </c>
      <c r="B2014" s="7" t="s">
        <v>7813</v>
      </c>
      <c r="C2014" s="3">
        <v>2649.06</v>
      </c>
      <c r="D2014" s="7" t="s">
        <v>7814</v>
      </c>
      <c r="E2014" s="7" t="s">
        <v>5093</v>
      </c>
      <c r="G2014" s="9"/>
    </row>
    <row r="2015" spans="1:7" x14ac:dyDescent="0.3">
      <c r="A2015" s="9">
        <v>46057</v>
      </c>
      <c r="B2015" s="7" t="s">
        <v>7813</v>
      </c>
      <c r="C2015" s="3">
        <v>2284.6999999999998</v>
      </c>
      <c r="D2015" s="7" t="s">
        <v>7814</v>
      </c>
      <c r="E2015" s="7" t="s">
        <v>5313</v>
      </c>
      <c r="G2015" s="9"/>
    </row>
    <row r="2016" spans="1:7" x14ac:dyDescent="0.3">
      <c r="A2016" s="9">
        <v>45967</v>
      </c>
      <c r="B2016" s="7" t="s">
        <v>7815</v>
      </c>
      <c r="C2016" s="3">
        <v>-5388.08</v>
      </c>
      <c r="D2016" s="7" t="s">
        <v>7816</v>
      </c>
      <c r="E2016" s="7" t="s">
        <v>6929</v>
      </c>
      <c r="G2016" s="9"/>
    </row>
    <row r="2017" spans="1:7" x14ac:dyDescent="0.3">
      <c r="A2017" s="9">
        <v>45962</v>
      </c>
      <c r="B2017" s="7" t="s">
        <v>7815</v>
      </c>
      <c r="C2017" s="3">
        <v>-3961.55</v>
      </c>
      <c r="D2017" s="7" t="s">
        <v>7816</v>
      </c>
      <c r="E2017" s="7" t="s">
        <v>7386</v>
      </c>
      <c r="G2017" s="9"/>
    </row>
    <row r="2018" spans="1:7" x14ac:dyDescent="0.3">
      <c r="A2018" s="9">
        <v>46055</v>
      </c>
      <c r="B2018" s="7" t="s">
        <v>7815</v>
      </c>
      <c r="C2018" s="3">
        <v>-6733.38</v>
      </c>
      <c r="D2018" s="7" t="s">
        <v>7816</v>
      </c>
      <c r="E2018" s="7" t="s">
        <v>7501</v>
      </c>
      <c r="G2018" s="9"/>
    </row>
    <row r="2019" spans="1:7" x14ac:dyDescent="0.3">
      <c r="A2019" s="9">
        <v>46055</v>
      </c>
      <c r="B2019" s="7" t="s">
        <v>7815</v>
      </c>
      <c r="C2019" s="3">
        <v>-6881.91</v>
      </c>
      <c r="D2019" s="7" t="s">
        <v>7816</v>
      </c>
      <c r="E2019" s="7" t="s">
        <v>7652</v>
      </c>
      <c r="G2019" s="9"/>
    </row>
    <row r="2020" spans="1:7" x14ac:dyDescent="0.3">
      <c r="A2020" s="9">
        <v>46035</v>
      </c>
      <c r="B2020" s="7" t="s">
        <v>7813</v>
      </c>
      <c r="C2020" s="3">
        <v>902.77</v>
      </c>
      <c r="D2020" s="7" t="s">
        <v>7814</v>
      </c>
      <c r="E2020" s="7" t="s">
        <v>3429</v>
      </c>
      <c r="G2020" s="9"/>
    </row>
    <row r="2021" spans="1:7" x14ac:dyDescent="0.3">
      <c r="A2021" s="9">
        <v>45998</v>
      </c>
      <c r="B2021" s="7" t="s">
        <v>7813</v>
      </c>
      <c r="C2021" s="3">
        <v>2783.18</v>
      </c>
      <c r="D2021" s="7" t="s">
        <v>7814</v>
      </c>
      <c r="E2021" s="7" t="s">
        <v>3919</v>
      </c>
      <c r="G2021" s="9"/>
    </row>
    <row r="2022" spans="1:7" x14ac:dyDescent="0.3">
      <c r="A2022" s="9">
        <v>45969</v>
      </c>
      <c r="B2022" s="7" t="s">
        <v>7813</v>
      </c>
      <c r="C2022" s="3">
        <v>3575.74</v>
      </c>
      <c r="D2022" s="7" t="s">
        <v>7814</v>
      </c>
      <c r="E2022" s="7" t="s">
        <v>4348</v>
      </c>
      <c r="G2022" s="9"/>
    </row>
    <row r="2023" spans="1:7" x14ac:dyDescent="0.3">
      <c r="A2023" s="9">
        <v>45976</v>
      </c>
      <c r="B2023" s="7" t="s">
        <v>7813</v>
      </c>
      <c r="C2023" s="3">
        <v>2400.2800000000002</v>
      </c>
      <c r="D2023" s="7" t="s">
        <v>7814</v>
      </c>
      <c r="E2023" s="7" t="s">
        <v>4482</v>
      </c>
      <c r="G2023" s="9"/>
    </row>
    <row r="2024" spans="1:7" x14ac:dyDescent="0.3">
      <c r="A2024" s="9">
        <v>46041</v>
      </c>
      <c r="B2024" s="7" t="s">
        <v>7813</v>
      </c>
      <c r="C2024" s="3">
        <v>2858.51</v>
      </c>
      <c r="D2024" s="7" t="s">
        <v>7814</v>
      </c>
      <c r="E2024" s="7" t="s">
        <v>4893</v>
      </c>
      <c r="G2024" s="9"/>
    </row>
    <row r="2025" spans="1:7" x14ac:dyDescent="0.3">
      <c r="A2025" s="9">
        <v>46067</v>
      </c>
      <c r="B2025" s="7" t="s">
        <v>7813</v>
      </c>
      <c r="C2025" s="3">
        <v>5416.48</v>
      </c>
      <c r="D2025" s="7" t="s">
        <v>7814</v>
      </c>
      <c r="E2025" s="7" t="s">
        <v>5373</v>
      </c>
      <c r="G2025" s="9"/>
    </row>
    <row r="2026" spans="1:7" x14ac:dyDescent="0.3">
      <c r="A2026" s="9">
        <v>46074</v>
      </c>
      <c r="B2026" s="7" t="s">
        <v>7815</v>
      </c>
      <c r="C2026" s="3">
        <v>-1743.69</v>
      </c>
      <c r="D2026" s="7" t="s">
        <v>7816</v>
      </c>
      <c r="E2026" s="7" t="s">
        <v>6942</v>
      </c>
      <c r="G2026" s="9"/>
    </row>
    <row r="2027" spans="1:7" x14ac:dyDescent="0.3">
      <c r="A2027" s="9">
        <v>46082</v>
      </c>
      <c r="B2027" s="7" t="s">
        <v>7815</v>
      </c>
      <c r="C2027" s="3">
        <v>-3595.83</v>
      </c>
      <c r="D2027" s="7" t="s">
        <v>7816</v>
      </c>
      <c r="E2027" s="7" t="s">
        <v>7196</v>
      </c>
      <c r="G2027" s="9"/>
    </row>
    <row r="2028" spans="1:7" x14ac:dyDescent="0.3">
      <c r="A2028" s="9">
        <v>46024</v>
      </c>
      <c r="B2028" s="7" t="s">
        <v>7815</v>
      </c>
      <c r="C2028" s="3">
        <v>-3759.33</v>
      </c>
      <c r="D2028" s="7" t="s">
        <v>7816</v>
      </c>
      <c r="E2028" s="7" t="s">
        <v>7646</v>
      </c>
      <c r="G2028" s="9"/>
    </row>
    <row r="2029" spans="1:7" x14ac:dyDescent="0.3">
      <c r="A2029" s="9">
        <v>45999</v>
      </c>
      <c r="B2029" s="7" t="s">
        <v>7815</v>
      </c>
      <c r="C2029" s="3">
        <v>-2805.44</v>
      </c>
      <c r="D2029" s="7" t="s">
        <v>7816</v>
      </c>
      <c r="E2029" s="7" t="s">
        <v>7715</v>
      </c>
      <c r="G2029" s="9"/>
    </row>
    <row r="2030" spans="1:7" x14ac:dyDescent="0.3">
      <c r="A2030" s="9">
        <v>46055</v>
      </c>
      <c r="B2030" s="7" t="s">
        <v>7813</v>
      </c>
      <c r="C2030" s="3">
        <v>817.93</v>
      </c>
      <c r="D2030" s="7" t="s">
        <v>7814</v>
      </c>
      <c r="E2030" s="7" t="s">
        <v>3278</v>
      </c>
      <c r="G2030" s="9"/>
    </row>
    <row r="2031" spans="1:7" x14ac:dyDescent="0.3">
      <c r="A2031" s="9">
        <v>46070</v>
      </c>
      <c r="B2031" s="7" t="s">
        <v>7813</v>
      </c>
      <c r="C2031" s="3">
        <v>2327.3000000000002</v>
      </c>
      <c r="D2031" s="7" t="s">
        <v>7814</v>
      </c>
      <c r="E2031" s="7" t="s">
        <v>3575</v>
      </c>
      <c r="G2031" s="9"/>
    </row>
    <row r="2032" spans="1:7" x14ac:dyDescent="0.3">
      <c r="A2032" s="9">
        <v>46015</v>
      </c>
      <c r="B2032" s="7" t="s">
        <v>7813</v>
      </c>
      <c r="C2032" s="3">
        <v>3475.74</v>
      </c>
      <c r="D2032" s="7" t="s">
        <v>7814</v>
      </c>
      <c r="E2032" s="7" t="s">
        <v>3706</v>
      </c>
      <c r="G2032" s="9"/>
    </row>
    <row r="2033" spans="1:7" x14ac:dyDescent="0.3">
      <c r="A2033" s="9">
        <v>46009</v>
      </c>
      <c r="B2033" s="7" t="s">
        <v>7813</v>
      </c>
      <c r="C2033" s="3">
        <v>680.64</v>
      </c>
      <c r="D2033" s="7" t="s">
        <v>7814</v>
      </c>
      <c r="E2033" s="7" t="s">
        <v>4318</v>
      </c>
      <c r="G2033" s="9"/>
    </row>
    <row r="2034" spans="1:7" x14ac:dyDescent="0.3">
      <c r="A2034" s="9">
        <v>46006</v>
      </c>
      <c r="B2034" s="7" t="s">
        <v>7813</v>
      </c>
      <c r="C2034" s="3">
        <v>2009.5</v>
      </c>
      <c r="D2034" s="7" t="s">
        <v>7814</v>
      </c>
      <c r="E2034" s="7" t="s">
        <v>4581</v>
      </c>
      <c r="G2034" s="9"/>
    </row>
    <row r="2035" spans="1:7" x14ac:dyDescent="0.3">
      <c r="A2035" s="9">
        <v>46026</v>
      </c>
      <c r="B2035" s="7" t="s">
        <v>7813</v>
      </c>
      <c r="C2035" s="3">
        <v>797.72</v>
      </c>
      <c r="D2035" s="7" t="s">
        <v>7814</v>
      </c>
      <c r="E2035" s="7" t="s">
        <v>3430</v>
      </c>
      <c r="G2035" s="9"/>
    </row>
    <row r="2036" spans="1:7" x14ac:dyDescent="0.3">
      <c r="A2036" s="9">
        <v>45969</v>
      </c>
      <c r="B2036" s="7" t="s">
        <v>7813</v>
      </c>
      <c r="C2036" s="3">
        <v>1660.09</v>
      </c>
      <c r="D2036" s="7" t="s">
        <v>7814</v>
      </c>
      <c r="E2036" s="7" t="s">
        <v>3774</v>
      </c>
      <c r="G2036" s="9"/>
    </row>
    <row r="2037" spans="1:7" x14ac:dyDescent="0.3">
      <c r="A2037" s="9">
        <v>46087</v>
      </c>
      <c r="B2037" s="7" t="s">
        <v>7813</v>
      </c>
      <c r="C2037" s="3">
        <v>1550.82</v>
      </c>
      <c r="D2037" s="7" t="s">
        <v>7814</v>
      </c>
      <c r="E2037" s="7" t="s">
        <v>3889</v>
      </c>
      <c r="G2037" s="9"/>
    </row>
    <row r="2038" spans="1:7" x14ac:dyDescent="0.3">
      <c r="A2038" s="9">
        <v>45964</v>
      </c>
      <c r="B2038" s="7" t="s">
        <v>7815</v>
      </c>
      <c r="C2038" s="3">
        <v>-2476.16</v>
      </c>
      <c r="D2038" s="7" t="s">
        <v>7816</v>
      </c>
      <c r="E2038" s="7" t="s">
        <v>6910</v>
      </c>
      <c r="G2038" s="9"/>
    </row>
    <row r="2039" spans="1:7" x14ac:dyDescent="0.3">
      <c r="A2039" s="9">
        <v>46019</v>
      </c>
      <c r="B2039" s="7" t="s">
        <v>7815</v>
      </c>
      <c r="C2039" s="3">
        <v>-2381.29</v>
      </c>
      <c r="D2039" s="7" t="s">
        <v>7816</v>
      </c>
      <c r="E2039" s="7" t="s">
        <v>7664</v>
      </c>
      <c r="G2039" s="9"/>
    </row>
    <row r="2040" spans="1:7" x14ac:dyDescent="0.3">
      <c r="A2040" s="9">
        <v>46035</v>
      </c>
      <c r="B2040" s="7" t="s">
        <v>7813</v>
      </c>
      <c r="C2040" s="3">
        <v>1334.6</v>
      </c>
      <c r="D2040" s="7" t="s">
        <v>7814</v>
      </c>
      <c r="E2040" s="7" t="s">
        <v>3190</v>
      </c>
      <c r="G2040" s="9"/>
    </row>
    <row r="2041" spans="1:7" x14ac:dyDescent="0.3">
      <c r="A2041" s="9">
        <v>45974</v>
      </c>
      <c r="B2041" s="7" t="s">
        <v>7813</v>
      </c>
      <c r="C2041" s="3">
        <v>11895.94</v>
      </c>
      <c r="D2041" s="7" t="s">
        <v>7814</v>
      </c>
      <c r="E2041" s="7" t="s">
        <v>3841</v>
      </c>
      <c r="G2041" s="9"/>
    </row>
    <row r="2042" spans="1:7" x14ac:dyDescent="0.3">
      <c r="A2042" s="9">
        <v>46069</v>
      </c>
      <c r="B2042" s="7" t="s">
        <v>7813</v>
      </c>
      <c r="C2042" s="3">
        <v>2898.74</v>
      </c>
      <c r="D2042" s="7" t="s">
        <v>7814</v>
      </c>
      <c r="E2042" s="7" t="s">
        <v>4764</v>
      </c>
      <c r="G2042" s="9"/>
    </row>
    <row r="2043" spans="1:7" x14ac:dyDescent="0.3">
      <c r="A2043" s="9">
        <v>46053</v>
      </c>
      <c r="B2043" s="7" t="s">
        <v>7815</v>
      </c>
      <c r="C2043" s="3">
        <v>-1019.77</v>
      </c>
      <c r="D2043" s="7" t="s">
        <v>7816</v>
      </c>
      <c r="E2043" s="7" t="s">
        <v>6891</v>
      </c>
      <c r="G2043" s="9"/>
    </row>
    <row r="2044" spans="1:7" x14ac:dyDescent="0.3">
      <c r="A2044" s="9">
        <v>46035</v>
      </c>
      <c r="B2044" s="7" t="s">
        <v>7815</v>
      </c>
      <c r="C2044" s="3">
        <v>-1724.75</v>
      </c>
      <c r="D2044" s="7" t="s">
        <v>7816</v>
      </c>
      <c r="E2044" s="7" t="s">
        <v>7132</v>
      </c>
      <c r="G2044" s="9"/>
    </row>
    <row r="2045" spans="1:7" x14ac:dyDescent="0.3">
      <c r="A2045" s="9">
        <v>46001</v>
      </c>
      <c r="B2045" s="7" t="s">
        <v>7813</v>
      </c>
      <c r="C2045" s="3">
        <v>3115.96</v>
      </c>
      <c r="D2045" s="7" t="s">
        <v>7814</v>
      </c>
      <c r="E2045" s="7" t="s">
        <v>3198</v>
      </c>
      <c r="G2045" s="9"/>
    </row>
    <row r="2046" spans="1:7" x14ac:dyDescent="0.3">
      <c r="A2046" s="9">
        <v>46065</v>
      </c>
      <c r="B2046" s="7" t="s">
        <v>7813</v>
      </c>
      <c r="C2046" s="3">
        <v>4264.32</v>
      </c>
      <c r="D2046" s="7" t="s">
        <v>7814</v>
      </c>
      <c r="E2046" s="7" t="s">
        <v>3246</v>
      </c>
      <c r="G2046" s="9"/>
    </row>
    <row r="2047" spans="1:7" x14ac:dyDescent="0.3">
      <c r="A2047" s="9">
        <v>46070</v>
      </c>
      <c r="B2047" s="7" t="s">
        <v>7813</v>
      </c>
      <c r="C2047" s="3">
        <v>2973.72</v>
      </c>
      <c r="D2047" s="7" t="s">
        <v>7814</v>
      </c>
      <c r="E2047" s="7" t="s">
        <v>3345</v>
      </c>
      <c r="G2047" s="9"/>
    </row>
    <row r="2048" spans="1:7" x14ac:dyDescent="0.3">
      <c r="A2048" s="9">
        <v>46073</v>
      </c>
      <c r="B2048" s="7" t="s">
        <v>7813</v>
      </c>
      <c r="C2048" s="3">
        <v>2382.85</v>
      </c>
      <c r="D2048" s="7" t="s">
        <v>7814</v>
      </c>
      <c r="E2048" s="7" t="s">
        <v>3353</v>
      </c>
      <c r="G2048" s="9"/>
    </row>
    <row r="2049" spans="1:7" x14ac:dyDescent="0.3">
      <c r="A2049" s="9">
        <v>45964</v>
      </c>
      <c r="B2049" s="7" t="s">
        <v>7813</v>
      </c>
      <c r="C2049" s="3">
        <v>1561.42</v>
      </c>
      <c r="D2049" s="7" t="s">
        <v>7814</v>
      </c>
      <c r="E2049" s="7" t="s">
        <v>3369</v>
      </c>
      <c r="G2049" s="9"/>
    </row>
    <row r="2050" spans="1:7" x14ac:dyDescent="0.3">
      <c r="A2050" s="9">
        <v>45969</v>
      </c>
      <c r="B2050" s="7" t="s">
        <v>7813</v>
      </c>
      <c r="C2050" s="3">
        <v>2995.38</v>
      </c>
      <c r="D2050" s="7" t="s">
        <v>7814</v>
      </c>
      <c r="E2050" s="7" t="s">
        <v>3567</v>
      </c>
      <c r="G2050" s="9"/>
    </row>
    <row r="2051" spans="1:7" x14ac:dyDescent="0.3">
      <c r="A2051" s="9">
        <v>46079</v>
      </c>
      <c r="B2051" s="7" t="s">
        <v>7813</v>
      </c>
      <c r="C2051" s="3">
        <v>10820.67</v>
      </c>
      <c r="D2051" s="7" t="s">
        <v>7814</v>
      </c>
      <c r="E2051" s="7" t="s">
        <v>4215</v>
      </c>
      <c r="G2051" s="9"/>
    </row>
    <row r="2052" spans="1:7" x14ac:dyDescent="0.3">
      <c r="A2052" s="9">
        <v>46015</v>
      </c>
      <c r="B2052" s="7" t="s">
        <v>7815</v>
      </c>
      <c r="C2052" s="3">
        <v>-6425.28</v>
      </c>
      <c r="D2052" s="7" t="s">
        <v>7816</v>
      </c>
      <c r="E2052" s="7" t="s">
        <v>6842</v>
      </c>
      <c r="G2052" s="9"/>
    </row>
    <row r="2053" spans="1:7" x14ac:dyDescent="0.3">
      <c r="A2053" s="9">
        <v>46055</v>
      </c>
      <c r="B2053" s="7" t="s">
        <v>7815</v>
      </c>
      <c r="C2053" s="3">
        <v>-3017.11</v>
      </c>
      <c r="D2053" s="7" t="s">
        <v>7816</v>
      </c>
      <c r="E2053" s="7" t="s">
        <v>7439</v>
      </c>
      <c r="G2053" s="9"/>
    </row>
    <row r="2054" spans="1:7" x14ac:dyDescent="0.3">
      <c r="A2054" s="9">
        <v>46005</v>
      </c>
      <c r="B2054" s="7" t="s">
        <v>7813</v>
      </c>
      <c r="C2054" s="3">
        <v>10298.74</v>
      </c>
      <c r="D2054" s="7" t="s">
        <v>7814</v>
      </c>
      <c r="E2054" s="7" t="s">
        <v>3236</v>
      </c>
      <c r="G2054" s="9"/>
    </row>
    <row r="2055" spans="1:7" x14ac:dyDescent="0.3">
      <c r="A2055" s="9">
        <v>45994</v>
      </c>
      <c r="B2055" s="7" t="s">
        <v>7813</v>
      </c>
      <c r="C2055" s="3">
        <v>4790.53</v>
      </c>
      <c r="D2055" s="7" t="s">
        <v>7814</v>
      </c>
      <c r="E2055" s="7" t="s">
        <v>3286</v>
      </c>
      <c r="G2055" s="9"/>
    </row>
    <row r="2056" spans="1:7" x14ac:dyDescent="0.3">
      <c r="A2056" s="9">
        <v>46061</v>
      </c>
      <c r="B2056" s="7" t="s">
        <v>7813</v>
      </c>
      <c r="C2056" s="3">
        <v>4108.66</v>
      </c>
      <c r="D2056" s="7" t="s">
        <v>7814</v>
      </c>
      <c r="E2056" s="7" t="s">
        <v>3457</v>
      </c>
      <c r="G2056" s="9"/>
    </row>
    <row r="2057" spans="1:7" x14ac:dyDescent="0.3">
      <c r="A2057" s="9">
        <v>46005</v>
      </c>
      <c r="B2057" s="7" t="s">
        <v>7813</v>
      </c>
      <c r="C2057" s="3">
        <v>2048.29</v>
      </c>
      <c r="D2057" s="7" t="s">
        <v>7814</v>
      </c>
      <c r="E2057" s="7" t="s">
        <v>4930</v>
      </c>
      <c r="G2057" s="9"/>
    </row>
    <row r="2058" spans="1:7" x14ac:dyDescent="0.3">
      <c r="A2058" s="9">
        <v>45971</v>
      </c>
      <c r="B2058" s="7" t="s">
        <v>7813</v>
      </c>
      <c r="C2058" s="3">
        <v>2508.65</v>
      </c>
      <c r="D2058" s="7" t="s">
        <v>7814</v>
      </c>
      <c r="E2058" s="7" t="s">
        <v>5255</v>
      </c>
      <c r="G2058" s="9"/>
    </row>
    <row r="2059" spans="1:7" x14ac:dyDescent="0.3">
      <c r="A2059" s="9">
        <v>45962</v>
      </c>
      <c r="B2059" s="7" t="s">
        <v>7815</v>
      </c>
      <c r="C2059" s="3">
        <v>-4243.78</v>
      </c>
      <c r="D2059" s="7" t="s">
        <v>7816</v>
      </c>
      <c r="E2059" s="7" t="s">
        <v>7091</v>
      </c>
      <c r="G2059" s="9"/>
    </row>
    <row r="2060" spans="1:7" x14ac:dyDescent="0.3">
      <c r="A2060" s="9">
        <v>46002</v>
      </c>
      <c r="B2060" s="7" t="s">
        <v>7815</v>
      </c>
      <c r="C2060" s="3">
        <v>-1054.26</v>
      </c>
      <c r="D2060" s="7" t="s">
        <v>7816</v>
      </c>
      <c r="E2060" s="7" t="s">
        <v>7134</v>
      </c>
      <c r="G2060" s="9"/>
    </row>
    <row r="2061" spans="1:7" x14ac:dyDescent="0.3">
      <c r="A2061" s="9">
        <v>45973</v>
      </c>
      <c r="B2061" s="7" t="s">
        <v>7815</v>
      </c>
      <c r="C2061" s="3">
        <v>-5444.33</v>
      </c>
      <c r="D2061" s="7" t="s">
        <v>7816</v>
      </c>
      <c r="E2061" s="7" t="s">
        <v>7797</v>
      </c>
      <c r="G2061" s="9"/>
    </row>
    <row r="2062" spans="1:7" x14ac:dyDescent="0.3">
      <c r="A2062" s="9">
        <v>46064</v>
      </c>
      <c r="B2062" s="7" t="s">
        <v>7813</v>
      </c>
      <c r="C2062" s="3">
        <v>13391.56</v>
      </c>
      <c r="D2062" s="7" t="s">
        <v>7814</v>
      </c>
      <c r="E2062" s="7" t="s">
        <v>3743</v>
      </c>
      <c r="G2062" s="9"/>
    </row>
    <row r="2063" spans="1:7" x14ac:dyDescent="0.3">
      <c r="A2063" s="9">
        <v>46005</v>
      </c>
      <c r="B2063" s="7" t="s">
        <v>7813</v>
      </c>
      <c r="C2063" s="3">
        <v>12758.02</v>
      </c>
      <c r="D2063" s="7" t="s">
        <v>7814</v>
      </c>
      <c r="E2063" s="7" t="s">
        <v>3900</v>
      </c>
      <c r="G2063" s="9"/>
    </row>
    <row r="2064" spans="1:7" x14ac:dyDescent="0.3">
      <c r="A2064" s="9">
        <v>46008</v>
      </c>
      <c r="B2064" s="7" t="s">
        <v>7813</v>
      </c>
      <c r="C2064" s="3">
        <v>1459.86</v>
      </c>
      <c r="D2064" s="7" t="s">
        <v>7814</v>
      </c>
      <c r="E2064" s="7" t="s">
        <v>5272</v>
      </c>
      <c r="G2064" s="9"/>
    </row>
    <row r="2065" spans="1:7" x14ac:dyDescent="0.3">
      <c r="A2065" s="9">
        <v>46007</v>
      </c>
      <c r="B2065" s="7" t="s">
        <v>7813</v>
      </c>
      <c r="C2065" s="3">
        <v>2814.95</v>
      </c>
      <c r="D2065" s="7" t="s">
        <v>7814</v>
      </c>
      <c r="E2065" s="7" t="s">
        <v>5361</v>
      </c>
      <c r="G2065" s="9"/>
    </row>
    <row r="2066" spans="1:7" x14ac:dyDescent="0.3">
      <c r="A2066" s="9">
        <v>46014</v>
      </c>
      <c r="B2066" s="7" t="s">
        <v>7815</v>
      </c>
      <c r="C2066" s="3">
        <v>-4456.1000000000004</v>
      </c>
      <c r="D2066" s="7" t="s">
        <v>7816</v>
      </c>
      <c r="E2066" s="7" t="s">
        <v>6980</v>
      </c>
      <c r="G2066" s="9"/>
    </row>
    <row r="2067" spans="1:7" x14ac:dyDescent="0.3">
      <c r="A2067" s="9">
        <v>45985</v>
      </c>
      <c r="B2067" s="7" t="s">
        <v>7815</v>
      </c>
      <c r="C2067" s="3">
        <v>-6167.05</v>
      </c>
      <c r="D2067" s="7" t="s">
        <v>7816</v>
      </c>
      <c r="E2067" s="7" t="s">
        <v>7249</v>
      </c>
      <c r="G2067" s="9"/>
    </row>
    <row r="2068" spans="1:7" x14ac:dyDescent="0.3">
      <c r="A2068" s="9">
        <v>45990</v>
      </c>
      <c r="B2068" s="7" t="s">
        <v>7813</v>
      </c>
      <c r="C2068" s="3">
        <v>13307.24</v>
      </c>
      <c r="D2068" s="7" t="s">
        <v>7814</v>
      </c>
      <c r="E2068" s="7" t="s">
        <v>3501</v>
      </c>
      <c r="G2068" s="9"/>
    </row>
    <row r="2069" spans="1:7" x14ac:dyDescent="0.3">
      <c r="A2069" s="9">
        <v>46081</v>
      </c>
      <c r="B2069" s="7" t="s">
        <v>7813</v>
      </c>
      <c r="C2069" s="3">
        <v>2032.08</v>
      </c>
      <c r="D2069" s="7" t="s">
        <v>7814</v>
      </c>
      <c r="E2069" s="7" t="s">
        <v>3911</v>
      </c>
      <c r="G2069" s="9"/>
    </row>
    <row r="2070" spans="1:7" x14ac:dyDescent="0.3">
      <c r="A2070" s="9">
        <v>46090</v>
      </c>
      <c r="B2070" s="7" t="s">
        <v>7813</v>
      </c>
      <c r="C2070" s="3">
        <v>3396.37</v>
      </c>
      <c r="D2070" s="7" t="s">
        <v>7814</v>
      </c>
      <c r="E2070" s="7" t="s">
        <v>4177</v>
      </c>
      <c r="G2070" s="9"/>
    </row>
    <row r="2071" spans="1:7" x14ac:dyDescent="0.3">
      <c r="A2071" s="9">
        <v>46027</v>
      </c>
      <c r="B2071" s="7" t="s">
        <v>7813</v>
      </c>
      <c r="C2071" s="3">
        <v>1741.69</v>
      </c>
      <c r="D2071" s="7" t="s">
        <v>7814</v>
      </c>
      <c r="E2071" s="7" t="s">
        <v>5223</v>
      </c>
      <c r="G2071" s="9"/>
    </row>
    <row r="2072" spans="1:7" x14ac:dyDescent="0.3">
      <c r="A2072" s="9">
        <v>45996</v>
      </c>
      <c r="B2072" s="7" t="s">
        <v>7815</v>
      </c>
      <c r="C2072" s="3">
        <v>-6387.1</v>
      </c>
      <c r="D2072" s="7" t="s">
        <v>7816</v>
      </c>
      <c r="E2072" s="7" t="s">
        <v>6878</v>
      </c>
      <c r="G2072" s="9"/>
    </row>
    <row r="2073" spans="1:7" x14ac:dyDescent="0.3">
      <c r="A2073" s="9">
        <v>46046</v>
      </c>
      <c r="B2073" s="7" t="s">
        <v>7813</v>
      </c>
      <c r="C2073" s="3">
        <v>3814.03</v>
      </c>
      <c r="D2073" s="7" t="s">
        <v>7814</v>
      </c>
      <c r="E2073" s="7" t="s">
        <v>3451</v>
      </c>
      <c r="G2073" s="9"/>
    </row>
    <row r="2074" spans="1:7" x14ac:dyDescent="0.3">
      <c r="A2074" s="9">
        <v>46088</v>
      </c>
      <c r="B2074" s="7" t="s">
        <v>7813</v>
      </c>
      <c r="C2074" s="3">
        <v>2036.8</v>
      </c>
      <c r="D2074" s="7" t="s">
        <v>7814</v>
      </c>
      <c r="E2074" s="7" t="s">
        <v>4370</v>
      </c>
      <c r="G2074" s="9"/>
    </row>
    <row r="2075" spans="1:7" x14ac:dyDescent="0.3">
      <c r="A2075" s="9">
        <v>45990</v>
      </c>
      <c r="B2075" s="7" t="s">
        <v>7813</v>
      </c>
      <c r="C2075" s="3">
        <v>2553.2199999999998</v>
      </c>
      <c r="D2075" s="7" t="s">
        <v>7814</v>
      </c>
      <c r="E2075" s="7" t="s">
        <v>4397</v>
      </c>
      <c r="G2075" s="9"/>
    </row>
    <row r="2076" spans="1:7" x14ac:dyDescent="0.3">
      <c r="A2076" s="9">
        <v>46084</v>
      </c>
      <c r="B2076" s="7" t="s">
        <v>7813</v>
      </c>
      <c r="C2076" s="3">
        <v>2429.67</v>
      </c>
      <c r="D2076" s="7" t="s">
        <v>7814</v>
      </c>
      <c r="E2076" s="7" t="s">
        <v>4612</v>
      </c>
      <c r="G2076" s="9"/>
    </row>
    <row r="2077" spans="1:7" x14ac:dyDescent="0.3">
      <c r="A2077" s="9">
        <v>46065</v>
      </c>
      <c r="B2077" s="7" t="s">
        <v>7813</v>
      </c>
      <c r="C2077" s="3">
        <v>1585.86</v>
      </c>
      <c r="D2077" s="7" t="s">
        <v>7814</v>
      </c>
      <c r="E2077" s="7" t="s">
        <v>4998</v>
      </c>
      <c r="G2077" s="9"/>
    </row>
    <row r="2078" spans="1:7" x14ac:dyDescent="0.3">
      <c r="A2078" s="9">
        <v>46024</v>
      </c>
      <c r="B2078" s="7" t="s">
        <v>7813</v>
      </c>
      <c r="C2078" s="3">
        <v>2030.75</v>
      </c>
      <c r="D2078" s="7" t="s">
        <v>7814</v>
      </c>
      <c r="E2078" s="7" t="s">
        <v>5077</v>
      </c>
      <c r="G2078" s="9"/>
    </row>
    <row r="2079" spans="1:7" x14ac:dyDescent="0.3">
      <c r="A2079" s="9">
        <v>46062</v>
      </c>
      <c r="B2079" s="7" t="s">
        <v>7815</v>
      </c>
      <c r="C2079" s="3">
        <v>-3863.5</v>
      </c>
      <c r="D2079" s="7" t="s">
        <v>7816</v>
      </c>
      <c r="E2079" s="7" t="s">
        <v>7385</v>
      </c>
      <c r="G2079" s="9"/>
    </row>
    <row r="2080" spans="1:7" x14ac:dyDescent="0.3">
      <c r="A2080" s="9">
        <v>46028</v>
      </c>
      <c r="B2080" s="7" t="s">
        <v>7815</v>
      </c>
      <c r="C2080" s="3">
        <v>-1672.23</v>
      </c>
      <c r="D2080" s="7" t="s">
        <v>7816</v>
      </c>
      <c r="E2080" s="7" t="s">
        <v>7435</v>
      </c>
      <c r="G2080" s="9"/>
    </row>
    <row r="2081" spans="1:7" x14ac:dyDescent="0.3">
      <c r="A2081" s="9">
        <v>46000</v>
      </c>
      <c r="B2081" s="7" t="s">
        <v>7813</v>
      </c>
      <c r="C2081" s="3">
        <v>3047.85</v>
      </c>
      <c r="D2081" s="7" t="s">
        <v>7814</v>
      </c>
      <c r="E2081" s="7" t="s">
        <v>3866</v>
      </c>
      <c r="G2081" s="9"/>
    </row>
    <row r="2082" spans="1:7" x14ac:dyDescent="0.3">
      <c r="A2082" s="9">
        <v>45969</v>
      </c>
      <c r="B2082" s="7" t="s">
        <v>7813</v>
      </c>
      <c r="C2082" s="3">
        <v>3850.5</v>
      </c>
      <c r="D2082" s="7" t="s">
        <v>7814</v>
      </c>
      <c r="E2082" s="7" t="s">
        <v>3930</v>
      </c>
      <c r="G2082" s="9"/>
    </row>
    <row r="2083" spans="1:7" x14ac:dyDescent="0.3">
      <c r="A2083" s="9">
        <v>45969</v>
      </c>
      <c r="B2083" s="7" t="s">
        <v>7813</v>
      </c>
      <c r="C2083" s="3">
        <v>5442.81</v>
      </c>
      <c r="D2083" s="7" t="s">
        <v>7814</v>
      </c>
      <c r="E2083" s="7" t="s">
        <v>4093</v>
      </c>
      <c r="G2083" s="9"/>
    </row>
    <row r="2084" spans="1:7" x14ac:dyDescent="0.3">
      <c r="A2084" s="9">
        <v>46052</v>
      </c>
      <c r="B2084" s="7" t="s">
        <v>7813</v>
      </c>
      <c r="C2084" s="3">
        <v>4147.0600000000004</v>
      </c>
      <c r="D2084" s="7" t="s">
        <v>7814</v>
      </c>
      <c r="E2084" s="7" t="s">
        <v>4094</v>
      </c>
      <c r="G2084" s="9"/>
    </row>
    <row r="2085" spans="1:7" x14ac:dyDescent="0.3">
      <c r="A2085" s="9">
        <v>45963</v>
      </c>
      <c r="B2085" s="7" t="s">
        <v>7815</v>
      </c>
      <c r="C2085" s="3">
        <v>-2178.21</v>
      </c>
      <c r="D2085" s="7" t="s">
        <v>7816</v>
      </c>
      <c r="E2085" s="7" t="s">
        <v>7047</v>
      </c>
      <c r="G2085" s="9"/>
    </row>
    <row r="2086" spans="1:7" x14ac:dyDescent="0.3">
      <c r="A2086" s="9">
        <v>46010</v>
      </c>
      <c r="B2086" s="7" t="s">
        <v>7815</v>
      </c>
      <c r="C2086" s="3">
        <v>-3841.34</v>
      </c>
      <c r="D2086" s="7" t="s">
        <v>7816</v>
      </c>
      <c r="E2086" s="7" t="s">
        <v>7151</v>
      </c>
      <c r="G2086" s="9"/>
    </row>
    <row r="2087" spans="1:7" x14ac:dyDescent="0.3">
      <c r="A2087" s="9">
        <v>46070</v>
      </c>
      <c r="B2087" s="7" t="s">
        <v>7813</v>
      </c>
      <c r="C2087" s="3">
        <v>2140.9899999999998</v>
      </c>
      <c r="D2087" s="7" t="s">
        <v>7814</v>
      </c>
      <c r="E2087" s="7" t="s">
        <v>3242</v>
      </c>
      <c r="G2087" s="9"/>
    </row>
    <row r="2088" spans="1:7" x14ac:dyDescent="0.3">
      <c r="A2088" s="9">
        <v>46001</v>
      </c>
      <c r="B2088" s="7" t="s">
        <v>7813</v>
      </c>
      <c r="C2088" s="3">
        <v>14259.39</v>
      </c>
      <c r="D2088" s="7" t="s">
        <v>7814</v>
      </c>
      <c r="E2088" s="7" t="s">
        <v>3640</v>
      </c>
      <c r="G2088" s="9"/>
    </row>
    <row r="2089" spans="1:7" x14ac:dyDescent="0.3">
      <c r="A2089" s="9">
        <v>46015</v>
      </c>
      <c r="B2089" s="7" t="s">
        <v>7813</v>
      </c>
      <c r="C2089" s="3">
        <v>1724.5</v>
      </c>
      <c r="D2089" s="7" t="s">
        <v>7814</v>
      </c>
      <c r="E2089" s="7" t="s">
        <v>3828</v>
      </c>
      <c r="G2089" s="9"/>
    </row>
    <row r="2090" spans="1:7" x14ac:dyDescent="0.3">
      <c r="A2090" s="9">
        <v>46012</v>
      </c>
      <c r="B2090" s="7" t="s">
        <v>7813</v>
      </c>
      <c r="C2090" s="3">
        <v>2862.73</v>
      </c>
      <c r="D2090" s="7" t="s">
        <v>7814</v>
      </c>
      <c r="E2090" s="7" t="s">
        <v>5275</v>
      </c>
      <c r="G2090" s="9"/>
    </row>
    <row r="2091" spans="1:7" x14ac:dyDescent="0.3">
      <c r="A2091" s="9">
        <v>46012</v>
      </c>
      <c r="B2091" s="7" t="s">
        <v>7813</v>
      </c>
      <c r="C2091" s="3">
        <v>1542.79</v>
      </c>
      <c r="D2091" s="7" t="s">
        <v>7814</v>
      </c>
      <c r="E2091" s="7" t="s">
        <v>5317</v>
      </c>
      <c r="G2091" s="9"/>
    </row>
    <row r="2092" spans="1:7" x14ac:dyDescent="0.3">
      <c r="A2092" s="9">
        <v>46054</v>
      </c>
      <c r="B2092" s="7" t="s">
        <v>7815</v>
      </c>
      <c r="C2092" s="3">
        <v>-891.59</v>
      </c>
      <c r="D2092" s="7" t="s">
        <v>7816</v>
      </c>
      <c r="E2092" s="7" t="s">
        <v>7559</v>
      </c>
      <c r="G2092" s="9"/>
    </row>
    <row r="2093" spans="1:7" x14ac:dyDescent="0.3">
      <c r="A2093" s="9">
        <v>46064</v>
      </c>
      <c r="B2093" s="7" t="s">
        <v>7813</v>
      </c>
      <c r="C2093" s="3">
        <v>4999.17</v>
      </c>
      <c r="D2093" s="7" t="s">
        <v>7814</v>
      </c>
      <c r="E2093" s="7" t="s">
        <v>3551</v>
      </c>
      <c r="G2093" s="9"/>
    </row>
    <row r="2094" spans="1:7" x14ac:dyDescent="0.3">
      <c r="A2094" s="9">
        <v>46024</v>
      </c>
      <c r="B2094" s="7" t="s">
        <v>7813</v>
      </c>
      <c r="C2094" s="3">
        <v>2728.8</v>
      </c>
      <c r="D2094" s="7" t="s">
        <v>7814</v>
      </c>
      <c r="E2094" s="7" t="s">
        <v>3657</v>
      </c>
      <c r="G2094" s="9"/>
    </row>
    <row r="2095" spans="1:7" x14ac:dyDescent="0.3">
      <c r="A2095" s="9">
        <v>46038</v>
      </c>
      <c r="B2095" s="7" t="s">
        <v>7813</v>
      </c>
      <c r="C2095" s="3">
        <v>4108.8</v>
      </c>
      <c r="D2095" s="7" t="s">
        <v>7814</v>
      </c>
      <c r="E2095" s="7" t="s">
        <v>3865</v>
      </c>
      <c r="G2095" s="9"/>
    </row>
    <row r="2096" spans="1:7" x14ac:dyDescent="0.3">
      <c r="A2096" s="9">
        <v>46081</v>
      </c>
      <c r="B2096" s="7" t="s">
        <v>7813</v>
      </c>
      <c r="C2096" s="3">
        <v>2839.62</v>
      </c>
      <c r="D2096" s="7" t="s">
        <v>7814</v>
      </c>
      <c r="E2096" s="7" t="s">
        <v>3901</v>
      </c>
      <c r="G2096" s="9"/>
    </row>
    <row r="2097" spans="1:7" x14ac:dyDescent="0.3">
      <c r="A2097" s="9">
        <v>46068</v>
      </c>
      <c r="B2097" s="7" t="s">
        <v>7813</v>
      </c>
      <c r="C2097" s="3">
        <v>13785.67</v>
      </c>
      <c r="D2097" s="7" t="s">
        <v>7814</v>
      </c>
      <c r="E2097" s="7" t="s">
        <v>4328</v>
      </c>
      <c r="G2097" s="9"/>
    </row>
    <row r="2098" spans="1:7" x14ac:dyDescent="0.3">
      <c r="A2098" s="9">
        <v>46071</v>
      </c>
      <c r="B2098" s="7" t="s">
        <v>7813</v>
      </c>
      <c r="C2098" s="3">
        <v>1690.17</v>
      </c>
      <c r="D2098" s="7" t="s">
        <v>7814</v>
      </c>
      <c r="E2098" s="7" t="s">
        <v>4638</v>
      </c>
      <c r="G2098" s="9"/>
    </row>
    <row r="2099" spans="1:7" x14ac:dyDescent="0.3">
      <c r="A2099" s="9">
        <v>45981</v>
      </c>
      <c r="B2099" s="7" t="s">
        <v>7813</v>
      </c>
      <c r="C2099" s="3">
        <v>2920.19</v>
      </c>
      <c r="D2099" s="7" t="s">
        <v>7814</v>
      </c>
      <c r="E2099" s="7" t="s">
        <v>4820</v>
      </c>
      <c r="G2099" s="9"/>
    </row>
    <row r="2100" spans="1:7" x14ac:dyDescent="0.3">
      <c r="A2100" s="9">
        <v>46032</v>
      </c>
      <c r="B2100" s="7" t="s">
        <v>7815</v>
      </c>
      <c r="C2100" s="3">
        <v>-4661.72</v>
      </c>
      <c r="D2100" s="7" t="s">
        <v>7816</v>
      </c>
      <c r="E2100" s="7" t="s">
        <v>7378</v>
      </c>
      <c r="G2100" s="9"/>
    </row>
    <row r="2101" spans="1:7" x14ac:dyDescent="0.3">
      <c r="A2101" s="9">
        <v>46021</v>
      </c>
      <c r="B2101" s="7" t="s">
        <v>7815</v>
      </c>
      <c r="C2101" s="3">
        <v>-1483.23</v>
      </c>
      <c r="D2101" s="7" t="s">
        <v>7816</v>
      </c>
      <c r="E2101" s="7" t="s">
        <v>7772</v>
      </c>
      <c r="G2101" s="9"/>
    </row>
    <row r="2102" spans="1:7" x14ac:dyDescent="0.3">
      <c r="A2102" s="9">
        <v>45981</v>
      </c>
      <c r="B2102" s="7" t="s">
        <v>7813</v>
      </c>
      <c r="C2102" s="3">
        <v>14374.21</v>
      </c>
      <c r="D2102" s="7" t="s">
        <v>7814</v>
      </c>
      <c r="E2102" s="7" t="s">
        <v>3266</v>
      </c>
      <c r="G2102" s="9"/>
    </row>
    <row r="2103" spans="1:7" x14ac:dyDescent="0.3">
      <c r="A2103" s="9">
        <v>46030</v>
      </c>
      <c r="B2103" s="7" t="s">
        <v>7813</v>
      </c>
      <c r="C2103" s="3">
        <v>9974.11</v>
      </c>
      <c r="D2103" s="7" t="s">
        <v>7814</v>
      </c>
      <c r="E2103" s="7" t="s">
        <v>3542</v>
      </c>
      <c r="G2103" s="9"/>
    </row>
    <row r="2104" spans="1:7" x14ac:dyDescent="0.3">
      <c r="A2104" s="9">
        <v>46090</v>
      </c>
      <c r="B2104" s="7" t="s">
        <v>7813</v>
      </c>
      <c r="C2104" s="3">
        <v>2767.94</v>
      </c>
      <c r="D2104" s="7" t="s">
        <v>7814</v>
      </c>
      <c r="E2104" s="7" t="s">
        <v>4012</v>
      </c>
      <c r="G2104" s="9"/>
    </row>
    <row r="2105" spans="1:7" x14ac:dyDescent="0.3">
      <c r="A2105" s="9">
        <v>46018</v>
      </c>
      <c r="B2105" s="7" t="s">
        <v>7813</v>
      </c>
      <c r="C2105" s="3">
        <v>4432.33</v>
      </c>
      <c r="D2105" s="7" t="s">
        <v>7814</v>
      </c>
      <c r="E2105" s="7" t="s">
        <v>4095</v>
      </c>
      <c r="G2105" s="9"/>
    </row>
    <row r="2106" spans="1:7" x14ac:dyDescent="0.3">
      <c r="A2106" s="9">
        <v>46076</v>
      </c>
      <c r="B2106" s="7" t="s">
        <v>7813</v>
      </c>
      <c r="C2106" s="3">
        <v>2073.5100000000002</v>
      </c>
      <c r="D2106" s="7" t="s">
        <v>7814</v>
      </c>
      <c r="E2106" s="7" t="s">
        <v>4319</v>
      </c>
      <c r="G2106" s="9"/>
    </row>
    <row r="2107" spans="1:7" x14ac:dyDescent="0.3">
      <c r="A2107" s="9">
        <v>45977</v>
      </c>
      <c r="B2107" s="7" t="s">
        <v>7813</v>
      </c>
      <c r="C2107" s="3">
        <v>3621.81</v>
      </c>
      <c r="D2107" s="7" t="s">
        <v>7814</v>
      </c>
      <c r="E2107" s="7" t="s">
        <v>4429</v>
      </c>
      <c r="G2107" s="9"/>
    </row>
    <row r="2108" spans="1:7" x14ac:dyDescent="0.3">
      <c r="A2108" s="9">
        <v>46023</v>
      </c>
      <c r="B2108" s="7" t="s">
        <v>7813</v>
      </c>
      <c r="C2108" s="3">
        <v>12661.17</v>
      </c>
      <c r="D2108" s="7" t="s">
        <v>7814</v>
      </c>
      <c r="E2108" s="7" t="s">
        <v>4897</v>
      </c>
      <c r="G2108" s="9"/>
    </row>
    <row r="2109" spans="1:7" x14ac:dyDescent="0.3">
      <c r="A2109" s="9">
        <v>45963</v>
      </c>
      <c r="B2109" s="7" t="s">
        <v>7813</v>
      </c>
      <c r="C2109" s="3">
        <v>1283.0999999999999</v>
      </c>
      <c r="D2109" s="7" t="s">
        <v>7814</v>
      </c>
      <c r="E2109" s="7" t="s">
        <v>4994</v>
      </c>
      <c r="G2109" s="9"/>
    </row>
    <row r="2110" spans="1:7" x14ac:dyDescent="0.3">
      <c r="A2110" s="9">
        <v>45986</v>
      </c>
      <c r="B2110" s="7" t="s">
        <v>7815</v>
      </c>
      <c r="C2110" s="3">
        <v>-6003.69</v>
      </c>
      <c r="D2110" s="7" t="s">
        <v>7816</v>
      </c>
      <c r="E2110" s="7" t="s">
        <v>7150</v>
      </c>
      <c r="G2110" s="9"/>
    </row>
    <row r="2111" spans="1:7" x14ac:dyDescent="0.3">
      <c r="A2111" s="9">
        <v>46005</v>
      </c>
      <c r="B2111" s="7" t="s">
        <v>7815</v>
      </c>
      <c r="C2111" s="3">
        <v>-1744.3</v>
      </c>
      <c r="D2111" s="7" t="s">
        <v>7816</v>
      </c>
      <c r="E2111" s="7" t="s">
        <v>7205</v>
      </c>
      <c r="G2111" s="9"/>
    </row>
    <row r="2112" spans="1:7" x14ac:dyDescent="0.3">
      <c r="A2112" s="9">
        <v>46004</v>
      </c>
      <c r="B2112" s="7" t="s">
        <v>7815</v>
      </c>
      <c r="C2112" s="3">
        <v>-4698.01</v>
      </c>
      <c r="D2112" s="7" t="s">
        <v>7816</v>
      </c>
      <c r="E2112" s="7" t="s">
        <v>7773</v>
      </c>
      <c r="G2112" s="9"/>
    </row>
    <row r="2113" spans="1:7" x14ac:dyDescent="0.3">
      <c r="A2113" s="9">
        <v>45980</v>
      </c>
      <c r="B2113" s="7" t="s">
        <v>7813</v>
      </c>
      <c r="C2113" s="3">
        <v>2181.4899999999998</v>
      </c>
      <c r="D2113" s="7" t="s">
        <v>7814</v>
      </c>
      <c r="E2113" s="7" t="s">
        <v>3210</v>
      </c>
      <c r="G2113" s="9"/>
    </row>
    <row r="2114" spans="1:7" x14ac:dyDescent="0.3">
      <c r="A2114" s="9">
        <v>45971</v>
      </c>
      <c r="B2114" s="7" t="s">
        <v>7813</v>
      </c>
      <c r="C2114" s="3">
        <v>4153.51</v>
      </c>
      <c r="D2114" s="7" t="s">
        <v>7814</v>
      </c>
      <c r="E2114" s="7" t="s">
        <v>3935</v>
      </c>
      <c r="G2114" s="9"/>
    </row>
    <row r="2115" spans="1:7" x14ac:dyDescent="0.3">
      <c r="A2115" s="9">
        <v>45970</v>
      </c>
      <c r="B2115" s="7" t="s">
        <v>7813</v>
      </c>
      <c r="C2115" s="3">
        <v>2693.66</v>
      </c>
      <c r="D2115" s="7" t="s">
        <v>7814</v>
      </c>
      <c r="E2115" s="7" t="s">
        <v>3969</v>
      </c>
      <c r="G2115" s="9"/>
    </row>
    <row r="2116" spans="1:7" x14ac:dyDescent="0.3">
      <c r="A2116" s="9">
        <v>46003</v>
      </c>
      <c r="B2116" s="7" t="s">
        <v>7813</v>
      </c>
      <c r="C2116" s="3">
        <v>1621.51</v>
      </c>
      <c r="D2116" s="7" t="s">
        <v>7814</v>
      </c>
      <c r="E2116" s="7" t="s">
        <v>4483</v>
      </c>
      <c r="G2116" s="9"/>
    </row>
    <row r="2117" spans="1:7" x14ac:dyDescent="0.3">
      <c r="A2117" s="9">
        <v>46055</v>
      </c>
      <c r="B2117" s="7" t="s">
        <v>7813</v>
      </c>
      <c r="C2117" s="3">
        <v>5202.8599999999997</v>
      </c>
      <c r="D2117" s="7" t="s">
        <v>7814</v>
      </c>
      <c r="E2117" s="7" t="s">
        <v>4769</v>
      </c>
      <c r="G2117" s="9"/>
    </row>
    <row r="2118" spans="1:7" x14ac:dyDescent="0.3">
      <c r="A2118" s="9">
        <v>46051</v>
      </c>
      <c r="B2118" s="7" t="s">
        <v>7813</v>
      </c>
      <c r="C2118" s="3">
        <v>5704.71</v>
      </c>
      <c r="D2118" s="7" t="s">
        <v>7814</v>
      </c>
      <c r="E2118" s="7" t="s">
        <v>5148</v>
      </c>
      <c r="G2118" s="9"/>
    </row>
    <row r="2119" spans="1:7" x14ac:dyDescent="0.3">
      <c r="A2119" s="9">
        <v>45983</v>
      </c>
      <c r="B2119" s="7" t="s">
        <v>7813</v>
      </c>
      <c r="C2119" s="3">
        <v>5179.62</v>
      </c>
      <c r="D2119" s="7" t="s">
        <v>7814</v>
      </c>
      <c r="E2119" s="7" t="s">
        <v>5163</v>
      </c>
      <c r="G2119" s="9"/>
    </row>
    <row r="2120" spans="1:7" x14ac:dyDescent="0.3">
      <c r="A2120" s="9">
        <v>45962</v>
      </c>
      <c r="B2120" s="7" t="s">
        <v>7815</v>
      </c>
      <c r="C2120" s="3">
        <v>-5936.3</v>
      </c>
      <c r="D2120" s="7" t="s">
        <v>7816</v>
      </c>
      <c r="E2120" s="7" t="s">
        <v>7147</v>
      </c>
      <c r="G2120" s="9"/>
    </row>
    <row r="2121" spans="1:7" x14ac:dyDescent="0.3">
      <c r="A2121" s="9">
        <v>46029</v>
      </c>
      <c r="B2121" s="7" t="s">
        <v>7815</v>
      </c>
      <c r="C2121" s="3">
        <v>-3782.5</v>
      </c>
      <c r="D2121" s="7" t="s">
        <v>7816</v>
      </c>
      <c r="E2121" s="7" t="s">
        <v>7393</v>
      </c>
      <c r="G2121" s="9"/>
    </row>
    <row r="2122" spans="1:7" x14ac:dyDescent="0.3">
      <c r="A2122" s="9">
        <v>45995</v>
      </c>
      <c r="B2122" s="7" t="s">
        <v>7813</v>
      </c>
      <c r="C2122" s="3">
        <v>784.95</v>
      </c>
      <c r="D2122" s="7" t="s">
        <v>7814</v>
      </c>
      <c r="E2122" s="7" t="s">
        <v>3191</v>
      </c>
      <c r="G2122" s="9"/>
    </row>
    <row r="2123" spans="1:7" x14ac:dyDescent="0.3">
      <c r="A2123" s="9">
        <v>46045</v>
      </c>
      <c r="B2123" s="7" t="s">
        <v>7813</v>
      </c>
      <c r="C2123" s="3">
        <v>5360.68</v>
      </c>
      <c r="D2123" s="7" t="s">
        <v>7814</v>
      </c>
      <c r="E2123" s="7" t="s">
        <v>3428</v>
      </c>
      <c r="G2123" s="9"/>
    </row>
    <row r="2124" spans="1:7" x14ac:dyDescent="0.3">
      <c r="A2124" s="9">
        <v>46039</v>
      </c>
      <c r="B2124" s="7" t="s">
        <v>7813</v>
      </c>
      <c r="C2124" s="3">
        <v>4048.89</v>
      </c>
      <c r="D2124" s="7" t="s">
        <v>7814</v>
      </c>
      <c r="E2124" s="7" t="s">
        <v>3713</v>
      </c>
      <c r="G2124" s="9"/>
    </row>
    <row r="2125" spans="1:7" x14ac:dyDescent="0.3">
      <c r="A2125" s="9">
        <v>46072</v>
      </c>
      <c r="B2125" s="7" t="s">
        <v>7813</v>
      </c>
      <c r="C2125" s="3">
        <v>1970.51</v>
      </c>
      <c r="D2125" s="7" t="s">
        <v>7814</v>
      </c>
      <c r="E2125" s="7" t="s">
        <v>3731</v>
      </c>
      <c r="G2125" s="9"/>
    </row>
    <row r="2126" spans="1:7" x14ac:dyDescent="0.3">
      <c r="A2126" s="9">
        <v>46080</v>
      </c>
      <c r="B2126" s="7" t="s">
        <v>7815</v>
      </c>
      <c r="C2126" s="3">
        <v>-5374.91</v>
      </c>
      <c r="D2126" s="7" t="s">
        <v>7816</v>
      </c>
      <c r="E2126" s="7" t="s">
        <v>6846</v>
      </c>
      <c r="G2126" s="9"/>
    </row>
    <row r="2127" spans="1:7" x14ac:dyDescent="0.3">
      <c r="A2127" s="9">
        <v>46064</v>
      </c>
      <c r="B2127" s="7" t="s">
        <v>7813</v>
      </c>
      <c r="C2127" s="3">
        <v>855.63</v>
      </c>
      <c r="D2127" s="7" t="s">
        <v>7814</v>
      </c>
      <c r="E2127" s="7" t="s">
        <v>3279</v>
      </c>
      <c r="G2127" s="9"/>
    </row>
    <row r="2128" spans="1:7" x14ac:dyDescent="0.3">
      <c r="A2128" s="9">
        <v>45980</v>
      </c>
      <c r="B2128" s="7" t="s">
        <v>7813</v>
      </c>
      <c r="C2128" s="3">
        <v>3612.44</v>
      </c>
      <c r="D2128" s="7" t="s">
        <v>7814</v>
      </c>
      <c r="E2128" s="7" t="s">
        <v>3679</v>
      </c>
      <c r="G2128" s="9"/>
    </row>
    <row r="2129" spans="1:7" x14ac:dyDescent="0.3">
      <c r="A2129" s="9">
        <v>46074</v>
      </c>
      <c r="B2129" s="7" t="s">
        <v>7813</v>
      </c>
      <c r="C2129" s="3">
        <v>3938.41</v>
      </c>
      <c r="D2129" s="7" t="s">
        <v>7814</v>
      </c>
      <c r="E2129" s="7" t="s">
        <v>3831</v>
      </c>
      <c r="G2129" s="9"/>
    </row>
    <row r="2130" spans="1:7" x14ac:dyDescent="0.3">
      <c r="A2130" s="9">
        <v>45967</v>
      </c>
      <c r="B2130" s="7" t="s">
        <v>7813</v>
      </c>
      <c r="C2130" s="3">
        <v>2414.5100000000002</v>
      </c>
      <c r="D2130" s="7" t="s">
        <v>7814</v>
      </c>
      <c r="E2130" s="7" t="s">
        <v>4139</v>
      </c>
      <c r="G2130" s="9"/>
    </row>
    <row r="2131" spans="1:7" x14ac:dyDescent="0.3">
      <c r="A2131" s="9">
        <v>46026</v>
      </c>
      <c r="B2131" s="7" t="s">
        <v>7813</v>
      </c>
      <c r="C2131" s="3">
        <v>4099.57</v>
      </c>
      <c r="D2131" s="7" t="s">
        <v>7814</v>
      </c>
      <c r="E2131" s="7" t="s">
        <v>4233</v>
      </c>
      <c r="G2131" s="9"/>
    </row>
    <row r="2132" spans="1:7" x14ac:dyDescent="0.3">
      <c r="A2132" s="9">
        <v>45995</v>
      </c>
      <c r="B2132" s="7" t="s">
        <v>7815</v>
      </c>
      <c r="C2132" s="3">
        <v>-3111.57</v>
      </c>
      <c r="D2132" s="7" t="s">
        <v>7816</v>
      </c>
      <c r="E2132" s="7" t="s">
        <v>7188</v>
      </c>
      <c r="G2132" s="9"/>
    </row>
    <row r="2133" spans="1:7" x14ac:dyDescent="0.3">
      <c r="A2133" s="9">
        <v>45969</v>
      </c>
      <c r="B2133" s="7" t="s">
        <v>7815</v>
      </c>
      <c r="C2133" s="3">
        <v>-6280.2</v>
      </c>
      <c r="D2133" s="7" t="s">
        <v>7816</v>
      </c>
      <c r="E2133" s="7" t="s">
        <v>7381</v>
      </c>
      <c r="G2133" s="9"/>
    </row>
    <row r="2134" spans="1:7" x14ac:dyDescent="0.3">
      <c r="A2134" s="9">
        <v>46000</v>
      </c>
      <c r="B2134" s="7" t="s">
        <v>7815</v>
      </c>
      <c r="C2134" s="3">
        <v>-6671.38</v>
      </c>
      <c r="D2134" s="7" t="s">
        <v>7816</v>
      </c>
      <c r="E2134" s="7" t="s">
        <v>7636</v>
      </c>
      <c r="G2134" s="9"/>
    </row>
    <row r="2135" spans="1:7" x14ac:dyDescent="0.3">
      <c r="A2135" s="9">
        <v>45974</v>
      </c>
      <c r="B2135" s="7" t="s">
        <v>7813</v>
      </c>
      <c r="C2135" s="3">
        <v>4116.32</v>
      </c>
      <c r="D2135" s="7" t="s">
        <v>7814</v>
      </c>
      <c r="E2135" s="7" t="s">
        <v>3330</v>
      </c>
      <c r="G2135" s="9"/>
    </row>
    <row r="2136" spans="1:7" x14ac:dyDescent="0.3">
      <c r="A2136" s="9">
        <v>45994</v>
      </c>
      <c r="B2136" s="7" t="s">
        <v>7813</v>
      </c>
      <c r="C2136" s="3">
        <v>1537.44</v>
      </c>
      <c r="D2136" s="7" t="s">
        <v>7814</v>
      </c>
      <c r="E2136" s="7" t="s">
        <v>4995</v>
      </c>
      <c r="G2136" s="9"/>
    </row>
    <row r="2137" spans="1:7" x14ac:dyDescent="0.3">
      <c r="A2137" s="9">
        <v>46064</v>
      </c>
      <c r="B2137" s="7" t="s">
        <v>7813</v>
      </c>
      <c r="C2137" s="3">
        <v>12582.3</v>
      </c>
      <c r="D2137" s="7" t="s">
        <v>7814</v>
      </c>
      <c r="E2137" s="7" t="s">
        <v>5208</v>
      </c>
      <c r="G2137" s="9"/>
    </row>
    <row r="2138" spans="1:7" x14ac:dyDescent="0.3">
      <c r="A2138" s="9">
        <v>46014</v>
      </c>
      <c r="B2138" s="7" t="s">
        <v>7815</v>
      </c>
      <c r="C2138" s="3">
        <v>-3388.93</v>
      </c>
      <c r="D2138" s="7" t="s">
        <v>7816</v>
      </c>
      <c r="E2138" s="7" t="s">
        <v>7025</v>
      </c>
      <c r="G2138" s="9"/>
    </row>
    <row r="2139" spans="1:7" x14ac:dyDescent="0.3">
      <c r="A2139" s="9">
        <v>45965</v>
      </c>
      <c r="B2139" s="7" t="s">
        <v>7813</v>
      </c>
      <c r="C2139" s="3">
        <v>2311.79</v>
      </c>
      <c r="D2139" s="7" t="s">
        <v>7814</v>
      </c>
      <c r="E2139" s="7" t="s">
        <v>3280</v>
      </c>
      <c r="G2139" s="9"/>
    </row>
    <row r="2140" spans="1:7" x14ac:dyDescent="0.3">
      <c r="A2140" s="9">
        <v>46070</v>
      </c>
      <c r="B2140" s="7" t="s">
        <v>7813</v>
      </c>
      <c r="C2140" s="3">
        <v>5559.87</v>
      </c>
      <c r="D2140" s="7" t="s">
        <v>7814</v>
      </c>
      <c r="E2140" s="7" t="s">
        <v>3584</v>
      </c>
      <c r="G2140" s="9"/>
    </row>
    <row r="2141" spans="1:7" x14ac:dyDescent="0.3">
      <c r="A2141" s="9">
        <v>46052</v>
      </c>
      <c r="B2141" s="7" t="s">
        <v>7813</v>
      </c>
      <c r="C2141" s="3">
        <v>5344.18</v>
      </c>
      <c r="D2141" s="7" t="s">
        <v>7814</v>
      </c>
      <c r="E2141" s="7" t="s">
        <v>3972</v>
      </c>
      <c r="G2141" s="9"/>
    </row>
    <row r="2142" spans="1:7" x14ac:dyDescent="0.3">
      <c r="A2142" s="9">
        <v>45971</v>
      </c>
      <c r="B2142" s="7" t="s">
        <v>7813</v>
      </c>
      <c r="C2142" s="3">
        <v>3587.69</v>
      </c>
      <c r="D2142" s="7" t="s">
        <v>7814</v>
      </c>
      <c r="E2142" s="7" t="s">
        <v>3981</v>
      </c>
      <c r="G2142" s="9"/>
    </row>
    <row r="2143" spans="1:7" x14ac:dyDescent="0.3">
      <c r="A2143" s="9">
        <v>46014</v>
      </c>
      <c r="B2143" s="7" t="s">
        <v>7813</v>
      </c>
      <c r="C2143" s="3">
        <v>3549.96</v>
      </c>
      <c r="D2143" s="7" t="s">
        <v>7814</v>
      </c>
      <c r="E2143" s="7" t="s">
        <v>4001</v>
      </c>
      <c r="G2143" s="9"/>
    </row>
    <row r="2144" spans="1:7" x14ac:dyDescent="0.3">
      <c r="A2144" s="9">
        <v>46038</v>
      </c>
      <c r="B2144" s="7" t="s">
        <v>7813</v>
      </c>
      <c r="C2144" s="3">
        <v>5434.4</v>
      </c>
      <c r="D2144" s="7" t="s">
        <v>7814</v>
      </c>
      <c r="E2144" s="7" t="s">
        <v>4086</v>
      </c>
      <c r="G2144" s="9"/>
    </row>
    <row r="2145" spans="1:7" x14ac:dyDescent="0.3">
      <c r="A2145" s="9">
        <v>45994</v>
      </c>
      <c r="B2145" s="7" t="s">
        <v>7813</v>
      </c>
      <c r="C2145" s="3">
        <v>5775.16</v>
      </c>
      <c r="D2145" s="7" t="s">
        <v>7814</v>
      </c>
      <c r="E2145" s="7" t="s">
        <v>4314</v>
      </c>
      <c r="G2145" s="9"/>
    </row>
    <row r="2146" spans="1:7" x14ac:dyDescent="0.3">
      <c r="A2146" s="9">
        <v>46076</v>
      </c>
      <c r="B2146" s="7" t="s">
        <v>7813</v>
      </c>
      <c r="C2146" s="3">
        <v>4114.82</v>
      </c>
      <c r="D2146" s="7" t="s">
        <v>7814</v>
      </c>
      <c r="E2146" s="7" t="s">
        <v>4447</v>
      </c>
      <c r="G2146" s="9"/>
    </row>
    <row r="2147" spans="1:7" x14ac:dyDescent="0.3">
      <c r="A2147" s="9">
        <v>46008</v>
      </c>
      <c r="B2147" s="7" t="s">
        <v>7813</v>
      </c>
      <c r="C2147" s="3">
        <v>11808.98</v>
      </c>
      <c r="D2147" s="7" t="s">
        <v>7814</v>
      </c>
      <c r="E2147" s="7" t="s">
        <v>4450</v>
      </c>
      <c r="G2147" s="9"/>
    </row>
    <row r="2148" spans="1:7" x14ac:dyDescent="0.3">
      <c r="A2148" s="9">
        <v>46011</v>
      </c>
      <c r="B2148" s="7" t="s">
        <v>7813</v>
      </c>
      <c r="C2148" s="3">
        <v>3896.3</v>
      </c>
      <c r="D2148" s="7" t="s">
        <v>7814</v>
      </c>
      <c r="E2148" s="7" t="s">
        <v>4719</v>
      </c>
      <c r="G2148" s="9"/>
    </row>
    <row r="2149" spans="1:7" x14ac:dyDescent="0.3">
      <c r="A2149" s="9">
        <v>46050</v>
      </c>
      <c r="B2149" s="7" t="s">
        <v>7813</v>
      </c>
      <c r="C2149" s="3">
        <v>1277.01</v>
      </c>
      <c r="D2149" s="7" t="s">
        <v>7814</v>
      </c>
      <c r="E2149" s="7" t="s">
        <v>5043</v>
      </c>
      <c r="G2149" s="9"/>
    </row>
    <row r="2150" spans="1:7" x14ac:dyDescent="0.3">
      <c r="A2150" s="9">
        <v>46066</v>
      </c>
      <c r="B2150" s="7" t="s">
        <v>7813</v>
      </c>
      <c r="C2150" s="3">
        <v>1896.56</v>
      </c>
      <c r="D2150" s="7" t="s">
        <v>7814</v>
      </c>
      <c r="E2150" s="7" t="s">
        <v>5067</v>
      </c>
      <c r="G2150" s="9"/>
    </row>
    <row r="2151" spans="1:7" x14ac:dyDescent="0.3">
      <c r="A2151" s="9">
        <v>46027</v>
      </c>
      <c r="B2151" s="7" t="s">
        <v>7815</v>
      </c>
      <c r="C2151" s="3">
        <v>-5834.93</v>
      </c>
      <c r="D2151" s="7" t="s">
        <v>7816</v>
      </c>
      <c r="E2151" s="7" t="s">
        <v>6822</v>
      </c>
      <c r="G2151" s="9"/>
    </row>
    <row r="2152" spans="1:7" x14ac:dyDescent="0.3">
      <c r="A2152" s="9">
        <v>46033</v>
      </c>
      <c r="B2152" s="7" t="s">
        <v>7815</v>
      </c>
      <c r="C2152" s="3">
        <v>-6745.18</v>
      </c>
      <c r="D2152" s="7" t="s">
        <v>7816</v>
      </c>
      <c r="E2152" s="7" t="s">
        <v>6866</v>
      </c>
      <c r="G2152" s="9"/>
    </row>
    <row r="2153" spans="1:7" x14ac:dyDescent="0.3">
      <c r="A2153" s="9">
        <v>45985</v>
      </c>
      <c r="B2153" s="7" t="s">
        <v>7815</v>
      </c>
      <c r="C2153" s="3">
        <v>-1005.67</v>
      </c>
      <c r="D2153" s="7" t="s">
        <v>7816</v>
      </c>
      <c r="E2153" s="7" t="s">
        <v>7206</v>
      </c>
      <c r="G2153" s="9"/>
    </row>
    <row r="2154" spans="1:7" x14ac:dyDescent="0.3">
      <c r="A2154" s="9">
        <v>46027</v>
      </c>
      <c r="B2154" s="7" t="s">
        <v>7815</v>
      </c>
      <c r="C2154" s="3">
        <v>-2825.8</v>
      </c>
      <c r="D2154" s="7" t="s">
        <v>7816</v>
      </c>
      <c r="E2154" s="7" t="s">
        <v>7538</v>
      </c>
      <c r="G2154" s="9"/>
    </row>
    <row r="2155" spans="1:7" x14ac:dyDescent="0.3">
      <c r="A2155" s="9">
        <v>46039</v>
      </c>
      <c r="B2155" s="7" t="s">
        <v>7813</v>
      </c>
      <c r="C2155" s="3">
        <v>2455.13</v>
      </c>
      <c r="D2155" s="7" t="s">
        <v>7814</v>
      </c>
      <c r="E2155" s="7" t="s">
        <v>3537</v>
      </c>
      <c r="G2155" s="9"/>
    </row>
    <row r="2156" spans="1:7" x14ac:dyDescent="0.3">
      <c r="A2156" s="9">
        <v>45992</v>
      </c>
      <c r="B2156" s="7" t="s">
        <v>7813</v>
      </c>
      <c r="C2156" s="3">
        <v>3013.9</v>
      </c>
      <c r="D2156" s="7" t="s">
        <v>7814</v>
      </c>
      <c r="E2156" s="7" t="s">
        <v>3698</v>
      </c>
      <c r="G2156" s="9"/>
    </row>
    <row r="2157" spans="1:7" x14ac:dyDescent="0.3">
      <c r="A2157" s="9">
        <v>46023</v>
      </c>
      <c r="B2157" s="7" t="s">
        <v>7813</v>
      </c>
      <c r="C2157" s="3">
        <v>2002.23</v>
      </c>
      <c r="D2157" s="7" t="s">
        <v>7814</v>
      </c>
      <c r="E2157" s="7" t="s">
        <v>4909</v>
      </c>
      <c r="G2157" s="9"/>
    </row>
    <row r="2158" spans="1:7" x14ac:dyDescent="0.3">
      <c r="A2158" s="9">
        <v>45997</v>
      </c>
      <c r="B2158" s="7" t="s">
        <v>7813</v>
      </c>
      <c r="C2158" s="3">
        <v>3625.13</v>
      </c>
      <c r="D2158" s="7" t="s">
        <v>7814</v>
      </c>
      <c r="E2158" s="7" t="s">
        <v>5137</v>
      </c>
      <c r="G2158" s="9"/>
    </row>
    <row r="2159" spans="1:7" x14ac:dyDescent="0.3">
      <c r="A2159" s="9">
        <v>45962</v>
      </c>
      <c r="B2159" s="7" t="s">
        <v>7815</v>
      </c>
      <c r="C2159" s="3">
        <v>-3606.39</v>
      </c>
      <c r="D2159" s="7" t="s">
        <v>7816</v>
      </c>
      <c r="E2159" s="7" t="s">
        <v>7056</v>
      </c>
      <c r="G2159" s="9"/>
    </row>
    <row r="2160" spans="1:7" x14ac:dyDescent="0.3">
      <c r="A2160" s="9">
        <v>46070</v>
      </c>
      <c r="B2160" s="7" t="s">
        <v>7815</v>
      </c>
      <c r="C2160" s="3">
        <v>-867.88</v>
      </c>
      <c r="D2160" s="7" t="s">
        <v>7816</v>
      </c>
      <c r="E2160" s="7" t="s">
        <v>7266</v>
      </c>
      <c r="G2160" s="9"/>
    </row>
    <row r="2161" spans="1:7" x14ac:dyDescent="0.3">
      <c r="A2161" s="9">
        <v>46030</v>
      </c>
      <c r="B2161" s="7" t="s">
        <v>7815</v>
      </c>
      <c r="C2161" s="3">
        <v>-989.88</v>
      </c>
      <c r="D2161" s="7" t="s">
        <v>7816</v>
      </c>
      <c r="E2161" s="7" t="s">
        <v>7528</v>
      </c>
      <c r="G2161" s="9"/>
    </row>
    <row r="2162" spans="1:7" x14ac:dyDescent="0.3">
      <c r="A2162" s="9">
        <v>46059</v>
      </c>
      <c r="B2162" s="7" t="s">
        <v>7813</v>
      </c>
      <c r="C2162" s="3">
        <v>4124.75</v>
      </c>
      <c r="D2162" s="7" t="s">
        <v>7814</v>
      </c>
      <c r="E2162" s="7" t="s">
        <v>4103</v>
      </c>
      <c r="G2162" s="9"/>
    </row>
    <row r="2163" spans="1:7" x14ac:dyDescent="0.3">
      <c r="A2163" s="9">
        <v>46048</v>
      </c>
      <c r="B2163" s="7" t="s">
        <v>7813</v>
      </c>
      <c r="C2163" s="3">
        <v>1681.83</v>
      </c>
      <c r="D2163" s="7" t="s">
        <v>7814</v>
      </c>
      <c r="E2163" s="7" t="s">
        <v>4122</v>
      </c>
      <c r="G2163" s="9"/>
    </row>
    <row r="2164" spans="1:7" x14ac:dyDescent="0.3">
      <c r="A2164" s="9">
        <v>46083</v>
      </c>
      <c r="B2164" s="7" t="s">
        <v>7815</v>
      </c>
      <c r="C2164" s="3">
        <v>-6851.5</v>
      </c>
      <c r="D2164" s="7" t="s">
        <v>7816</v>
      </c>
      <c r="E2164" s="7" t="s">
        <v>7199</v>
      </c>
      <c r="G2164" s="9"/>
    </row>
    <row r="2165" spans="1:7" x14ac:dyDescent="0.3">
      <c r="A2165" s="9">
        <v>45995</v>
      </c>
      <c r="B2165" s="7" t="s">
        <v>7813</v>
      </c>
      <c r="C2165" s="3">
        <v>2065.1999999999998</v>
      </c>
      <c r="D2165" s="7" t="s">
        <v>7814</v>
      </c>
      <c r="E2165" s="7" t="s">
        <v>3708</v>
      </c>
      <c r="G2165" s="9"/>
    </row>
    <row r="2166" spans="1:7" x14ac:dyDescent="0.3">
      <c r="A2166" s="9">
        <v>46026</v>
      </c>
      <c r="B2166" s="7" t="s">
        <v>7813</v>
      </c>
      <c r="C2166" s="3">
        <v>3542.7</v>
      </c>
      <c r="D2166" s="7" t="s">
        <v>7814</v>
      </c>
      <c r="E2166" s="7" t="s">
        <v>3747</v>
      </c>
      <c r="G2166" s="9"/>
    </row>
    <row r="2167" spans="1:7" x14ac:dyDescent="0.3">
      <c r="A2167" s="9">
        <v>46012</v>
      </c>
      <c r="B2167" s="7" t="s">
        <v>7813</v>
      </c>
      <c r="C2167" s="3">
        <v>1780.55</v>
      </c>
      <c r="D2167" s="7" t="s">
        <v>7814</v>
      </c>
      <c r="E2167" s="7" t="s">
        <v>4532</v>
      </c>
      <c r="G2167" s="9"/>
    </row>
    <row r="2168" spans="1:7" x14ac:dyDescent="0.3">
      <c r="A2168" s="9">
        <v>46061</v>
      </c>
      <c r="B2168" s="7" t="s">
        <v>7813</v>
      </c>
      <c r="C2168" s="3">
        <v>2864.28</v>
      </c>
      <c r="D2168" s="7" t="s">
        <v>7814</v>
      </c>
      <c r="E2168" s="7" t="s">
        <v>5372</v>
      </c>
      <c r="G2168" s="9"/>
    </row>
    <row r="2169" spans="1:7" x14ac:dyDescent="0.3">
      <c r="A2169" s="9">
        <v>45964</v>
      </c>
      <c r="B2169" s="7" t="s">
        <v>7813</v>
      </c>
      <c r="C2169" s="3">
        <v>2867.37</v>
      </c>
      <c r="D2169" s="7" t="s">
        <v>7814</v>
      </c>
      <c r="E2169" s="7" t="s">
        <v>3852</v>
      </c>
      <c r="G2169" s="9"/>
    </row>
    <row r="2170" spans="1:7" x14ac:dyDescent="0.3">
      <c r="A2170" s="9">
        <v>46015</v>
      </c>
      <c r="B2170" s="7" t="s">
        <v>7813</v>
      </c>
      <c r="C2170" s="3">
        <v>1684.47</v>
      </c>
      <c r="D2170" s="7" t="s">
        <v>7814</v>
      </c>
      <c r="E2170" s="7" t="s">
        <v>4198</v>
      </c>
      <c r="G2170" s="9"/>
    </row>
    <row r="2171" spans="1:7" x14ac:dyDescent="0.3">
      <c r="A2171" s="9">
        <v>46007</v>
      </c>
      <c r="B2171" s="7" t="s">
        <v>7813</v>
      </c>
      <c r="C2171" s="3">
        <v>5015.2700000000004</v>
      </c>
      <c r="D2171" s="7" t="s">
        <v>7814</v>
      </c>
      <c r="E2171" s="7" t="s">
        <v>4295</v>
      </c>
      <c r="G2171" s="9"/>
    </row>
    <row r="2172" spans="1:7" x14ac:dyDescent="0.3">
      <c r="A2172" s="9">
        <v>46055</v>
      </c>
      <c r="B2172" s="7" t="s">
        <v>7813</v>
      </c>
      <c r="C2172" s="3">
        <v>3326.15</v>
      </c>
      <c r="D2172" s="7" t="s">
        <v>7814</v>
      </c>
      <c r="E2172" s="7" t="s">
        <v>5237</v>
      </c>
      <c r="G2172" s="9"/>
    </row>
    <row r="2173" spans="1:7" x14ac:dyDescent="0.3">
      <c r="A2173" s="9">
        <v>46013</v>
      </c>
      <c r="B2173" s="7" t="s">
        <v>7815</v>
      </c>
      <c r="C2173" s="3">
        <v>-1995.04</v>
      </c>
      <c r="D2173" s="7" t="s">
        <v>7816</v>
      </c>
      <c r="E2173" s="7" t="s">
        <v>7065</v>
      </c>
      <c r="G2173" s="9"/>
    </row>
    <row r="2174" spans="1:7" x14ac:dyDescent="0.3">
      <c r="A2174" s="9">
        <v>45971</v>
      </c>
      <c r="B2174" s="7" t="s">
        <v>7813</v>
      </c>
      <c r="C2174" s="3">
        <v>5500.95</v>
      </c>
      <c r="D2174" s="7" t="s">
        <v>7814</v>
      </c>
      <c r="E2174" s="7" t="s">
        <v>3179</v>
      </c>
      <c r="G2174" s="9"/>
    </row>
    <row r="2175" spans="1:7" x14ac:dyDescent="0.3">
      <c r="A2175" s="9">
        <v>46079</v>
      </c>
      <c r="B2175" s="7" t="s">
        <v>7813</v>
      </c>
      <c r="C2175" s="3">
        <v>2105.39</v>
      </c>
      <c r="D2175" s="7" t="s">
        <v>7814</v>
      </c>
      <c r="E2175" s="7" t="s">
        <v>3298</v>
      </c>
      <c r="G2175" s="9"/>
    </row>
    <row r="2176" spans="1:7" x14ac:dyDescent="0.3">
      <c r="A2176" s="9">
        <v>46057</v>
      </c>
      <c r="B2176" s="7" t="s">
        <v>7813</v>
      </c>
      <c r="C2176" s="3">
        <v>2616.8000000000002</v>
      </c>
      <c r="D2176" s="7" t="s">
        <v>7814</v>
      </c>
      <c r="E2176" s="7" t="s">
        <v>4558</v>
      </c>
      <c r="G2176" s="9"/>
    </row>
    <row r="2177" spans="1:7" x14ac:dyDescent="0.3">
      <c r="A2177" s="9">
        <v>45993</v>
      </c>
      <c r="B2177" s="7" t="s">
        <v>7813</v>
      </c>
      <c r="C2177" s="3">
        <v>2522.48</v>
      </c>
      <c r="D2177" s="7" t="s">
        <v>7814</v>
      </c>
      <c r="E2177" s="7" t="s">
        <v>4988</v>
      </c>
      <c r="G2177" s="9"/>
    </row>
    <row r="2178" spans="1:7" x14ac:dyDescent="0.3">
      <c r="A2178" s="9">
        <v>46015</v>
      </c>
      <c r="B2178" s="7" t="s">
        <v>7815</v>
      </c>
      <c r="C2178" s="3">
        <v>-6605.3</v>
      </c>
      <c r="D2178" s="7" t="s">
        <v>7816</v>
      </c>
      <c r="E2178" s="7" t="s">
        <v>6821</v>
      </c>
      <c r="G2178" s="9"/>
    </row>
    <row r="2179" spans="1:7" x14ac:dyDescent="0.3">
      <c r="A2179" s="9">
        <v>45973</v>
      </c>
      <c r="B2179" s="7" t="s">
        <v>7815</v>
      </c>
      <c r="C2179" s="3">
        <v>-5278.72</v>
      </c>
      <c r="D2179" s="7" t="s">
        <v>7816</v>
      </c>
      <c r="E2179" s="7" t="s">
        <v>7243</v>
      </c>
      <c r="G2179" s="9"/>
    </row>
    <row r="2180" spans="1:7" x14ac:dyDescent="0.3">
      <c r="A2180" s="9">
        <v>46066</v>
      </c>
      <c r="B2180" s="7" t="s">
        <v>7815</v>
      </c>
      <c r="C2180" s="3">
        <v>-6622.09</v>
      </c>
      <c r="D2180" s="7" t="s">
        <v>7816</v>
      </c>
      <c r="E2180" s="7" t="s">
        <v>7333</v>
      </c>
      <c r="G2180" s="9"/>
    </row>
    <row r="2181" spans="1:7" x14ac:dyDescent="0.3">
      <c r="A2181" s="9">
        <v>45977</v>
      </c>
      <c r="B2181" s="7" t="s">
        <v>7813</v>
      </c>
      <c r="C2181" s="3">
        <v>2003.03</v>
      </c>
      <c r="D2181" s="7" t="s">
        <v>7814</v>
      </c>
      <c r="E2181" s="7" t="s">
        <v>3281</v>
      </c>
      <c r="G2181" s="9"/>
    </row>
    <row r="2182" spans="1:7" x14ac:dyDescent="0.3">
      <c r="A2182" s="9">
        <v>46066</v>
      </c>
      <c r="B2182" s="7" t="s">
        <v>7813</v>
      </c>
      <c r="C2182" s="3">
        <v>4741.67</v>
      </c>
      <c r="D2182" s="7" t="s">
        <v>7814</v>
      </c>
      <c r="E2182" s="7" t="s">
        <v>3823</v>
      </c>
      <c r="G2182" s="9"/>
    </row>
    <row r="2183" spans="1:7" x14ac:dyDescent="0.3">
      <c r="A2183" s="9">
        <v>45972</v>
      </c>
      <c r="B2183" s="7" t="s">
        <v>7813</v>
      </c>
      <c r="C2183" s="3">
        <v>3657.31</v>
      </c>
      <c r="D2183" s="7" t="s">
        <v>7814</v>
      </c>
      <c r="E2183" s="7" t="s">
        <v>3949</v>
      </c>
      <c r="G2183" s="9"/>
    </row>
    <row r="2184" spans="1:7" x14ac:dyDescent="0.3">
      <c r="A2184" s="9">
        <v>46003</v>
      </c>
      <c r="B2184" s="7" t="s">
        <v>7813</v>
      </c>
      <c r="C2184" s="3">
        <v>1763.57</v>
      </c>
      <c r="D2184" s="7" t="s">
        <v>7814</v>
      </c>
      <c r="E2184" s="7" t="s">
        <v>4189</v>
      </c>
      <c r="G2184" s="9"/>
    </row>
    <row r="2185" spans="1:7" x14ac:dyDescent="0.3">
      <c r="A2185" s="9">
        <v>46062</v>
      </c>
      <c r="B2185" s="7" t="s">
        <v>7813</v>
      </c>
      <c r="C2185" s="3">
        <v>1790.44</v>
      </c>
      <c r="D2185" s="7" t="s">
        <v>7814</v>
      </c>
      <c r="E2185" s="7" t="s">
        <v>4280</v>
      </c>
      <c r="G2185" s="9"/>
    </row>
    <row r="2186" spans="1:7" x14ac:dyDescent="0.3">
      <c r="A2186" s="9">
        <v>46061</v>
      </c>
      <c r="B2186" s="7" t="s">
        <v>7813</v>
      </c>
      <c r="C2186" s="3">
        <v>3150.42</v>
      </c>
      <c r="D2186" s="7" t="s">
        <v>7814</v>
      </c>
      <c r="E2186" s="7" t="s">
        <v>4387</v>
      </c>
      <c r="G2186" s="9"/>
    </row>
    <row r="2187" spans="1:7" x14ac:dyDescent="0.3">
      <c r="A2187" s="9">
        <v>46012</v>
      </c>
      <c r="B2187" s="7" t="s">
        <v>7813</v>
      </c>
      <c r="C2187" s="3">
        <v>1581.93</v>
      </c>
      <c r="D2187" s="7" t="s">
        <v>7814</v>
      </c>
      <c r="E2187" s="7" t="s">
        <v>5356</v>
      </c>
      <c r="G2187" s="9"/>
    </row>
    <row r="2188" spans="1:7" x14ac:dyDescent="0.3">
      <c r="A2188" s="9">
        <v>46009</v>
      </c>
      <c r="B2188" s="7" t="s">
        <v>7815</v>
      </c>
      <c r="C2188" s="3">
        <v>-5206.16</v>
      </c>
      <c r="D2188" s="7" t="s">
        <v>7816</v>
      </c>
      <c r="E2188" s="7" t="s">
        <v>7409</v>
      </c>
      <c r="G2188" s="9"/>
    </row>
    <row r="2189" spans="1:7" x14ac:dyDescent="0.3">
      <c r="A2189" s="9">
        <v>45979</v>
      </c>
      <c r="B2189" s="7" t="s">
        <v>7815</v>
      </c>
      <c r="C2189" s="3">
        <v>-4228.87</v>
      </c>
      <c r="D2189" s="7" t="s">
        <v>7816</v>
      </c>
      <c r="E2189" s="7" t="s">
        <v>7695</v>
      </c>
      <c r="G2189" s="9"/>
    </row>
    <row r="2190" spans="1:7" x14ac:dyDescent="0.3">
      <c r="A2190" s="9">
        <v>46027</v>
      </c>
      <c r="B2190" s="7" t="s">
        <v>7813</v>
      </c>
      <c r="C2190" s="3">
        <v>10156.74</v>
      </c>
      <c r="D2190" s="7" t="s">
        <v>7814</v>
      </c>
      <c r="E2190" s="7" t="s">
        <v>3561</v>
      </c>
      <c r="G2190" s="9"/>
    </row>
    <row r="2191" spans="1:7" x14ac:dyDescent="0.3">
      <c r="A2191" s="9">
        <v>46027</v>
      </c>
      <c r="B2191" s="7" t="s">
        <v>7813</v>
      </c>
      <c r="C2191" s="3">
        <v>1771.72</v>
      </c>
      <c r="D2191" s="7" t="s">
        <v>7814</v>
      </c>
      <c r="E2191" s="7" t="s">
        <v>3832</v>
      </c>
      <c r="G2191" s="9"/>
    </row>
    <row r="2192" spans="1:7" x14ac:dyDescent="0.3">
      <c r="A2192" s="9">
        <v>46022</v>
      </c>
      <c r="B2192" s="7" t="s">
        <v>7813</v>
      </c>
      <c r="C2192" s="3">
        <v>3099.27</v>
      </c>
      <c r="D2192" s="7" t="s">
        <v>7814</v>
      </c>
      <c r="E2192" s="7" t="s">
        <v>4024</v>
      </c>
      <c r="G2192" s="9"/>
    </row>
    <row r="2193" spans="1:7" x14ac:dyDescent="0.3">
      <c r="A2193" s="9">
        <v>46068</v>
      </c>
      <c r="B2193" s="7" t="s">
        <v>7813</v>
      </c>
      <c r="C2193" s="3">
        <v>5846.82</v>
      </c>
      <c r="D2193" s="7" t="s">
        <v>7814</v>
      </c>
      <c r="E2193" s="7" t="s">
        <v>4477</v>
      </c>
      <c r="G2193" s="9"/>
    </row>
    <row r="2194" spans="1:7" x14ac:dyDescent="0.3">
      <c r="A2194" s="9">
        <v>46017</v>
      </c>
      <c r="B2194" s="7" t="s">
        <v>7813</v>
      </c>
      <c r="C2194" s="3">
        <v>734.83</v>
      </c>
      <c r="D2194" s="7" t="s">
        <v>7814</v>
      </c>
      <c r="E2194" s="7" t="s">
        <v>4746</v>
      </c>
      <c r="G2194" s="9"/>
    </row>
    <row r="2195" spans="1:7" x14ac:dyDescent="0.3">
      <c r="A2195" s="9">
        <v>46076</v>
      </c>
      <c r="B2195" s="7" t="s">
        <v>7813</v>
      </c>
      <c r="C2195" s="3">
        <v>1465.66</v>
      </c>
      <c r="D2195" s="7" t="s">
        <v>7814</v>
      </c>
      <c r="E2195" s="7" t="s">
        <v>4943</v>
      </c>
      <c r="G2195" s="9"/>
    </row>
    <row r="2196" spans="1:7" x14ac:dyDescent="0.3">
      <c r="A2196" s="9">
        <v>45993</v>
      </c>
      <c r="B2196" s="7" t="s">
        <v>7813</v>
      </c>
      <c r="C2196" s="3">
        <v>3848.54</v>
      </c>
      <c r="D2196" s="7" t="s">
        <v>7814</v>
      </c>
      <c r="E2196" s="7" t="s">
        <v>3206</v>
      </c>
      <c r="G2196" s="9"/>
    </row>
    <row r="2197" spans="1:7" x14ac:dyDescent="0.3">
      <c r="A2197" s="9">
        <v>45975</v>
      </c>
      <c r="B2197" s="7" t="s">
        <v>7813</v>
      </c>
      <c r="C2197" s="3">
        <v>2710.43</v>
      </c>
      <c r="D2197" s="7" t="s">
        <v>7814</v>
      </c>
      <c r="E2197" s="7" t="s">
        <v>3856</v>
      </c>
      <c r="G2197" s="9"/>
    </row>
    <row r="2198" spans="1:7" x14ac:dyDescent="0.3">
      <c r="A2198" s="9">
        <v>46059</v>
      </c>
      <c r="B2198" s="7" t="s">
        <v>7813</v>
      </c>
      <c r="C2198" s="3">
        <v>2083.92</v>
      </c>
      <c r="D2198" s="7" t="s">
        <v>7814</v>
      </c>
      <c r="E2198" s="7" t="s">
        <v>4324</v>
      </c>
      <c r="G2198" s="9"/>
    </row>
    <row r="2199" spans="1:7" x14ac:dyDescent="0.3">
      <c r="A2199" s="9">
        <v>45973</v>
      </c>
      <c r="B2199" s="7" t="s">
        <v>7813</v>
      </c>
      <c r="C2199" s="3">
        <v>1173.52</v>
      </c>
      <c r="D2199" s="7" t="s">
        <v>7814</v>
      </c>
      <c r="E2199" s="7" t="s">
        <v>4533</v>
      </c>
      <c r="G2199" s="9"/>
    </row>
    <row r="2200" spans="1:7" x14ac:dyDescent="0.3">
      <c r="A2200" s="9">
        <v>46038</v>
      </c>
      <c r="B2200" s="7" t="s">
        <v>7813</v>
      </c>
      <c r="C2200" s="3">
        <v>2845.25</v>
      </c>
      <c r="D2200" s="7" t="s">
        <v>7814</v>
      </c>
      <c r="E2200" s="7" t="s">
        <v>4585</v>
      </c>
      <c r="G2200" s="9"/>
    </row>
    <row r="2201" spans="1:7" x14ac:dyDescent="0.3">
      <c r="A2201" s="9">
        <v>46057</v>
      </c>
      <c r="B2201" s="7" t="s">
        <v>7813</v>
      </c>
      <c r="C2201" s="3">
        <v>5188.1000000000004</v>
      </c>
      <c r="D2201" s="7" t="s">
        <v>7814</v>
      </c>
      <c r="E2201" s="7" t="s">
        <v>4794</v>
      </c>
      <c r="G2201" s="9"/>
    </row>
    <row r="2202" spans="1:7" x14ac:dyDescent="0.3">
      <c r="A2202" s="9">
        <v>45968</v>
      </c>
      <c r="B2202" s="7" t="s">
        <v>7813</v>
      </c>
      <c r="C2202" s="3">
        <v>3917.49</v>
      </c>
      <c r="D2202" s="7" t="s">
        <v>7814</v>
      </c>
      <c r="E2202" s="7" t="s">
        <v>4913</v>
      </c>
      <c r="G2202" s="9"/>
    </row>
    <row r="2203" spans="1:7" x14ac:dyDescent="0.3">
      <c r="A2203" s="9">
        <v>46045</v>
      </c>
      <c r="B2203" s="7" t="s">
        <v>7813</v>
      </c>
      <c r="C2203" s="3">
        <v>3504.29</v>
      </c>
      <c r="D2203" s="7" t="s">
        <v>7814</v>
      </c>
      <c r="E2203" s="7" t="s">
        <v>5143</v>
      </c>
      <c r="G2203" s="9"/>
    </row>
    <row r="2204" spans="1:7" x14ac:dyDescent="0.3">
      <c r="A2204" s="9">
        <v>46050</v>
      </c>
      <c r="B2204" s="7" t="s">
        <v>7815</v>
      </c>
      <c r="C2204" s="3">
        <v>-3435.71</v>
      </c>
      <c r="D2204" s="7" t="s">
        <v>7816</v>
      </c>
      <c r="E2204" s="7" t="s">
        <v>7710</v>
      </c>
      <c r="G2204" s="9"/>
    </row>
    <row r="2205" spans="1:7" x14ac:dyDescent="0.3">
      <c r="A2205" s="9">
        <v>46080</v>
      </c>
      <c r="B2205" s="7" t="s">
        <v>7813</v>
      </c>
      <c r="C2205" s="3">
        <v>1613.4</v>
      </c>
      <c r="D2205" s="7" t="s">
        <v>7814</v>
      </c>
      <c r="E2205" s="7" t="s">
        <v>3237</v>
      </c>
      <c r="G2205" s="9"/>
    </row>
    <row r="2206" spans="1:7" x14ac:dyDescent="0.3">
      <c r="A2206" s="9">
        <v>45982</v>
      </c>
      <c r="B2206" s="7" t="s">
        <v>7813</v>
      </c>
      <c r="C2206" s="3">
        <v>7307.97</v>
      </c>
      <c r="D2206" s="7" t="s">
        <v>7814</v>
      </c>
      <c r="E2206" s="7" t="s">
        <v>3459</v>
      </c>
      <c r="G2206" s="9"/>
    </row>
    <row r="2207" spans="1:7" x14ac:dyDescent="0.3">
      <c r="A2207" s="9">
        <v>46014</v>
      </c>
      <c r="B2207" s="7" t="s">
        <v>7813</v>
      </c>
      <c r="C2207" s="3">
        <v>13016.05</v>
      </c>
      <c r="D2207" s="7" t="s">
        <v>7814</v>
      </c>
      <c r="E2207" s="7" t="s">
        <v>3479</v>
      </c>
      <c r="G2207" s="9"/>
    </row>
    <row r="2208" spans="1:7" x14ac:dyDescent="0.3">
      <c r="A2208" s="9">
        <v>46039</v>
      </c>
      <c r="B2208" s="7" t="s">
        <v>7813</v>
      </c>
      <c r="C2208" s="3">
        <v>2668.52</v>
      </c>
      <c r="D2208" s="7" t="s">
        <v>7814</v>
      </c>
      <c r="E2208" s="7" t="s">
        <v>3665</v>
      </c>
      <c r="G2208" s="9"/>
    </row>
    <row r="2209" spans="1:7" x14ac:dyDescent="0.3">
      <c r="A2209" s="9">
        <v>46057</v>
      </c>
      <c r="B2209" s="7" t="s">
        <v>7813</v>
      </c>
      <c r="C2209" s="3">
        <v>4538.82</v>
      </c>
      <c r="D2209" s="7" t="s">
        <v>7814</v>
      </c>
      <c r="E2209" s="7" t="s">
        <v>3845</v>
      </c>
      <c r="G2209" s="9"/>
    </row>
    <row r="2210" spans="1:7" x14ac:dyDescent="0.3">
      <c r="A2210" s="9">
        <v>46048</v>
      </c>
      <c r="B2210" s="7" t="s">
        <v>7813</v>
      </c>
      <c r="C2210" s="3">
        <v>2726.97</v>
      </c>
      <c r="D2210" s="7" t="s">
        <v>7814</v>
      </c>
      <c r="E2210" s="7" t="s">
        <v>4041</v>
      </c>
      <c r="G2210" s="9"/>
    </row>
    <row r="2211" spans="1:7" x14ac:dyDescent="0.3">
      <c r="A2211" s="9">
        <v>46085</v>
      </c>
      <c r="B2211" s="7" t="s">
        <v>7813</v>
      </c>
      <c r="C2211" s="3">
        <v>11508.8</v>
      </c>
      <c r="D2211" s="7" t="s">
        <v>7814</v>
      </c>
      <c r="E2211" s="7" t="s">
        <v>4505</v>
      </c>
      <c r="G2211" s="9"/>
    </row>
    <row r="2212" spans="1:7" x14ac:dyDescent="0.3">
      <c r="A2212" s="9">
        <v>46061</v>
      </c>
      <c r="B2212" s="7" t="s">
        <v>7815</v>
      </c>
      <c r="C2212" s="3">
        <v>-6508.84</v>
      </c>
      <c r="D2212" s="7" t="s">
        <v>7816</v>
      </c>
      <c r="E2212" s="7" t="s">
        <v>7510</v>
      </c>
      <c r="G2212" s="9"/>
    </row>
    <row r="2213" spans="1:7" x14ac:dyDescent="0.3">
      <c r="A2213" s="9">
        <v>45978</v>
      </c>
      <c r="B2213" s="7" t="s">
        <v>7815</v>
      </c>
      <c r="C2213" s="3">
        <v>-5598.44</v>
      </c>
      <c r="D2213" s="7" t="s">
        <v>7816</v>
      </c>
      <c r="E2213" s="7" t="s">
        <v>7724</v>
      </c>
      <c r="G2213" s="9"/>
    </row>
    <row r="2214" spans="1:7" x14ac:dyDescent="0.3">
      <c r="A2214" s="9">
        <v>46058</v>
      </c>
      <c r="B2214" s="7" t="s">
        <v>7815</v>
      </c>
      <c r="C2214" s="3">
        <v>-2506.4699999999998</v>
      </c>
      <c r="D2214" s="7" t="s">
        <v>7816</v>
      </c>
      <c r="E2214" s="7" t="s">
        <v>7727</v>
      </c>
      <c r="G2214" s="9"/>
    </row>
    <row r="2215" spans="1:7" x14ac:dyDescent="0.3">
      <c r="A2215" s="9">
        <v>46079</v>
      </c>
      <c r="B2215" s="7" t="s">
        <v>7813</v>
      </c>
      <c r="C2215" s="3">
        <v>2223.2399999999998</v>
      </c>
      <c r="D2215" s="7" t="s">
        <v>7814</v>
      </c>
      <c r="E2215" s="7" t="s">
        <v>3615</v>
      </c>
      <c r="G2215" s="9"/>
    </row>
    <row r="2216" spans="1:7" x14ac:dyDescent="0.3">
      <c r="A2216" s="9">
        <v>46064</v>
      </c>
      <c r="B2216" s="7" t="s">
        <v>7813</v>
      </c>
      <c r="C2216" s="3">
        <v>3160.66</v>
      </c>
      <c r="D2216" s="7" t="s">
        <v>7814</v>
      </c>
      <c r="E2216" s="7" t="s">
        <v>3918</v>
      </c>
      <c r="G2216" s="9"/>
    </row>
    <row r="2217" spans="1:7" x14ac:dyDescent="0.3">
      <c r="A2217" s="9">
        <v>45975</v>
      </c>
      <c r="B2217" s="7" t="s">
        <v>7813</v>
      </c>
      <c r="C2217" s="3">
        <v>4547.55</v>
      </c>
      <c r="D2217" s="7" t="s">
        <v>7814</v>
      </c>
      <c r="E2217" s="7" t="s">
        <v>4453</v>
      </c>
      <c r="G2217" s="9"/>
    </row>
    <row r="2218" spans="1:7" x14ac:dyDescent="0.3">
      <c r="A2218" s="9">
        <v>46066</v>
      </c>
      <c r="B2218" s="7" t="s">
        <v>7813</v>
      </c>
      <c r="C2218" s="3">
        <v>2375.15</v>
      </c>
      <c r="D2218" s="7" t="s">
        <v>7814</v>
      </c>
      <c r="E2218" s="7" t="s">
        <v>4493</v>
      </c>
      <c r="G2218" s="9"/>
    </row>
    <row r="2219" spans="1:7" x14ac:dyDescent="0.3">
      <c r="A2219" s="9">
        <v>46020</v>
      </c>
      <c r="B2219" s="7" t="s">
        <v>7813</v>
      </c>
      <c r="C2219" s="3">
        <v>3386.33</v>
      </c>
      <c r="D2219" s="7" t="s">
        <v>7814</v>
      </c>
      <c r="E2219" s="7" t="s">
        <v>4831</v>
      </c>
      <c r="G2219" s="9"/>
    </row>
    <row r="2220" spans="1:7" x14ac:dyDescent="0.3">
      <c r="A2220" s="9">
        <v>45983</v>
      </c>
      <c r="B2220" s="7" t="s">
        <v>7813</v>
      </c>
      <c r="C2220" s="3">
        <v>12986.41</v>
      </c>
      <c r="D2220" s="7" t="s">
        <v>7814</v>
      </c>
      <c r="E2220" s="7" t="s">
        <v>4886</v>
      </c>
      <c r="G2220" s="9"/>
    </row>
    <row r="2221" spans="1:7" x14ac:dyDescent="0.3">
      <c r="A2221" s="9">
        <v>46032</v>
      </c>
      <c r="B2221" s="7" t="s">
        <v>7813</v>
      </c>
      <c r="C2221" s="3">
        <v>2770.5</v>
      </c>
      <c r="D2221" s="7" t="s">
        <v>7814</v>
      </c>
      <c r="E2221" s="7" t="s">
        <v>5098</v>
      </c>
      <c r="G2221" s="9"/>
    </row>
    <row r="2222" spans="1:7" x14ac:dyDescent="0.3">
      <c r="A2222" s="9">
        <v>46073</v>
      </c>
      <c r="B2222" s="7" t="s">
        <v>7815</v>
      </c>
      <c r="C2222" s="3">
        <v>-6152.03</v>
      </c>
      <c r="D2222" s="7" t="s">
        <v>7816</v>
      </c>
      <c r="E2222" s="7" t="s">
        <v>6940</v>
      </c>
      <c r="G2222" s="9"/>
    </row>
    <row r="2223" spans="1:7" x14ac:dyDescent="0.3">
      <c r="A2223" s="9">
        <v>45976</v>
      </c>
      <c r="B2223" s="7" t="s">
        <v>7815</v>
      </c>
      <c r="C2223" s="3">
        <v>-6692.59</v>
      </c>
      <c r="D2223" s="7" t="s">
        <v>7816</v>
      </c>
      <c r="E2223" s="7" t="s">
        <v>6947</v>
      </c>
      <c r="G2223" s="9"/>
    </row>
    <row r="2224" spans="1:7" x14ac:dyDescent="0.3">
      <c r="A2224" s="9">
        <v>46048</v>
      </c>
      <c r="B2224" s="7" t="s">
        <v>7815</v>
      </c>
      <c r="C2224" s="3">
        <v>-4952.83</v>
      </c>
      <c r="D2224" s="7" t="s">
        <v>7816</v>
      </c>
      <c r="E2224" s="7" t="s">
        <v>7688</v>
      </c>
      <c r="G2224" s="9"/>
    </row>
    <row r="2225" spans="1:7" x14ac:dyDescent="0.3">
      <c r="A2225" s="9">
        <v>46045</v>
      </c>
      <c r="B2225" s="7" t="s">
        <v>7813</v>
      </c>
      <c r="C2225" s="3">
        <v>2921.04</v>
      </c>
      <c r="D2225" s="7" t="s">
        <v>7814</v>
      </c>
      <c r="E2225" s="7" t="s">
        <v>3618</v>
      </c>
      <c r="G2225" s="9"/>
    </row>
    <row r="2226" spans="1:7" x14ac:dyDescent="0.3">
      <c r="A2226" s="9">
        <v>46003</v>
      </c>
      <c r="B2226" s="7" t="s">
        <v>7813</v>
      </c>
      <c r="C2226" s="3">
        <v>11528.08</v>
      </c>
      <c r="D2226" s="7" t="s">
        <v>7814</v>
      </c>
      <c r="E2226" s="7" t="s">
        <v>4391</v>
      </c>
      <c r="G2226" s="9"/>
    </row>
    <row r="2227" spans="1:7" x14ac:dyDescent="0.3">
      <c r="A2227" s="9">
        <v>46073</v>
      </c>
      <c r="B2227" s="7" t="s">
        <v>7813</v>
      </c>
      <c r="C2227" s="3">
        <v>2679.13</v>
      </c>
      <c r="D2227" s="7" t="s">
        <v>7814</v>
      </c>
      <c r="E2227" s="7" t="s">
        <v>4474</v>
      </c>
      <c r="G2227" s="9"/>
    </row>
    <row r="2228" spans="1:7" x14ac:dyDescent="0.3">
      <c r="A2228" s="9">
        <v>46027</v>
      </c>
      <c r="B2228" s="7" t="s">
        <v>7813</v>
      </c>
      <c r="C2228" s="3">
        <v>5268.59</v>
      </c>
      <c r="D2228" s="7" t="s">
        <v>7814</v>
      </c>
      <c r="E2228" s="7" t="s">
        <v>4722</v>
      </c>
      <c r="G2228" s="9"/>
    </row>
    <row r="2229" spans="1:7" x14ac:dyDescent="0.3">
      <c r="A2229" s="9">
        <v>46043</v>
      </c>
      <c r="B2229" s="7" t="s">
        <v>7813</v>
      </c>
      <c r="C2229" s="3">
        <v>13199.73</v>
      </c>
      <c r="D2229" s="7" t="s">
        <v>7814</v>
      </c>
      <c r="E2229" s="7" t="s">
        <v>4728</v>
      </c>
      <c r="G2229" s="9"/>
    </row>
    <row r="2230" spans="1:7" x14ac:dyDescent="0.3">
      <c r="A2230" s="9">
        <v>46082</v>
      </c>
      <c r="B2230" s="7" t="s">
        <v>7813</v>
      </c>
      <c r="C2230" s="3">
        <v>3411.69</v>
      </c>
      <c r="D2230" s="7" t="s">
        <v>7814</v>
      </c>
      <c r="E2230" s="7" t="s">
        <v>4773</v>
      </c>
      <c r="G2230" s="9"/>
    </row>
    <row r="2231" spans="1:7" x14ac:dyDescent="0.3">
      <c r="A2231" s="9">
        <v>46016</v>
      </c>
      <c r="B2231" s="7" t="s">
        <v>7813</v>
      </c>
      <c r="C2231" s="3">
        <v>5664.81</v>
      </c>
      <c r="D2231" s="7" t="s">
        <v>7814</v>
      </c>
      <c r="E2231" s="7" t="s">
        <v>4866</v>
      </c>
      <c r="G2231" s="9"/>
    </row>
    <row r="2232" spans="1:7" x14ac:dyDescent="0.3">
      <c r="A2232" s="9">
        <v>45967</v>
      </c>
      <c r="B2232" s="7" t="s">
        <v>7813</v>
      </c>
      <c r="C2232" s="3">
        <v>11589.72</v>
      </c>
      <c r="D2232" s="7" t="s">
        <v>7814</v>
      </c>
      <c r="E2232" s="7" t="s">
        <v>5261</v>
      </c>
      <c r="G2232" s="9"/>
    </row>
    <row r="2233" spans="1:7" x14ac:dyDescent="0.3">
      <c r="A2233" s="9">
        <v>46059</v>
      </c>
      <c r="B2233" s="7" t="s">
        <v>7815</v>
      </c>
      <c r="C2233" s="3">
        <v>-2721.12</v>
      </c>
      <c r="D2233" s="7" t="s">
        <v>7816</v>
      </c>
      <c r="E2233" s="7" t="s">
        <v>7006</v>
      </c>
      <c r="G2233" s="9"/>
    </row>
    <row r="2234" spans="1:7" x14ac:dyDescent="0.3">
      <c r="A2234" s="9">
        <v>46018</v>
      </c>
      <c r="B2234" s="7" t="s">
        <v>7815</v>
      </c>
      <c r="C2234" s="3">
        <v>-2449.09</v>
      </c>
      <c r="D2234" s="7" t="s">
        <v>7816</v>
      </c>
      <c r="E2234" s="7" t="s">
        <v>7265</v>
      </c>
      <c r="G2234" s="9"/>
    </row>
    <row r="2235" spans="1:7" x14ac:dyDescent="0.3">
      <c r="A2235" s="9">
        <v>46049</v>
      </c>
      <c r="B2235" s="7" t="s">
        <v>7815</v>
      </c>
      <c r="C2235" s="3">
        <v>-4413.2299999999996</v>
      </c>
      <c r="D2235" s="7" t="s">
        <v>7816</v>
      </c>
      <c r="E2235" s="7" t="s">
        <v>7401</v>
      </c>
      <c r="G2235" s="9"/>
    </row>
    <row r="2236" spans="1:7" x14ac:dyDescent="0.3">
      <c r="A2236" s="9">
        <v>46078</v>
      </c>
      <c r="B2236" s="7" t="s">
        <v>7815</v>
      </c>
      <c r="C2236" s="3">
        <v>-4153.54</v>
      </c>
      <c r="D2236" s="7" t="s">
        <v>7816</v>
      </c>
      <c r="E2236" s="7" t="s">
        <v>7641</v>
      </c>
      <c r="G2236" s="9"/>
    </row>
    <row r="2237" spans="1:7" x14ac:dyDescent="0.3">
      <c r="A2237" s="9">
        <v>46060</v>
      </c>
      <c r="B2237" s="7" t="s">
        <v>7815</v>
      </c>
      <c r="C2237" s="3">
        <v>-3567.72</v>
      </c>
      <c r="D2237" s="7" t="s">
        <v>7816</v>
      </c>
      <c r="E2237" s="7" t="s">
        <v>7790</v>
      </c>
      <c r="G2237" s="9"/>
    </row>
    <row r="2238" spans="1:7" x14ac:dyDescent="0.3">
      <c r="A2238" s="9">
        <v>45964</v>
      </c>
      <c r="B2238" s="7" t="s">
        <v>7817</v>
      </c>
      <c r="C2238" s="3">
        <v>-114716.89</v>
      </c>
      <c r="D2238" s="7" t="s">
        <v>7816</v>
      </c>
      <c r="E2238" s="7" t="s">
        <v>7818</v>
      </c>
      <c r="G2238" s="9"/>
    </row>
    <row r="2239" spans="1:7" x14ac:dyDescent="0.3">
      <c r="A2239" s="9">
        <v>45968</v>
      </c>
      <c r="B2239" s="7" t="s">
        <v>7813</v>
      </c>
      <c r="C2239" s="3">
        <v>3248.09</v>
      </c>
      <c r="D2239" s="7" t="s">
        <v>7814</v>
      </c>
      <c r="E2239" s="7" t="s">
        <v>4083</v>
      </c>
      <c r="G2239" s="9"/>
    </row>
    <row r="2240" spans="1:7" x14ac:dyDescent="0.3">
      <c r="A2240" s="9">
        <v>45965</v>
      </c>
      <c r="B2240" s="7" t="s">
        <v>7813</v>
      </c>
      <c r="C2240" s="3">
        <v>2335.09</v>
      </c>
      <c r="D2240" s="7" t="s">
        <v>7814</v>
      </c>
      <c r="E2240" s="7" t="s">
        <v>4735</v>
      </c>
      <c r="G2240" s="9"/>
    </row>
    <row r="2241" spans="1:7" x14ac:dyDescent="0.3">
      <c r="A2241" s="9">
        <v>45992</v>
      </c>
      <c r="B2241" s="7" t="s">
        <v>7813</v>
      </c>
      <c r="C2241" s="3">
        <v>1493.87</v>
      </c>
      <c r="D2241" s="7" t="s">
        <v>7814</v>
      </c>
      <c r="E2241" s="7" t="s">
        <v>4766</v>
      </c>
      <c r="G2241" s="9"/>
    </row>
    <row r="2242" spans="1:7" x14ac:dyDescent="0.3">
      <c r="A2242" s="9">
        <v>46005</v>
      </c>
      <c r="B2242" s="7" t="s">
        <v>7813</v>
      </c>
      <c r="C2242" s="3">
        <v>1673.34</v>
      </c>
      <c r="D2242" s="7" t="s">
        <v>7814</v>
      </c>
      <c r="E2242" s="7" t="s">
        <v>4852</v>
      </c>
      <c r="G2242" s="9"/>
    </row>
    <row r="2243" spans="1:7" x14ac:dyDescent="0.3">
      <c r="A2243" s="9">
        <v>45999</v>
      </c>
      <c r="B2243" s="7" t="s">
        <v>7815</v>
      </c>
      <c r="C2243" s="3">
        <v>-6337.32</v>
      </c>
      <c r="D2243" s="7" t="s">
        <v>7816</v>
      </c>
      <c r="E2243" s="7" t="s">
        <v>7026</v>
      </c>
      <c r="G2243" s="9"/>
    </row>
    <row r="2244" spans="1:7" x14ac:dyDescent="0.3">
      <c r="A2244" s="9">
        <v>45968</v>
      </c>
      <c r="B2244" s="7" t="s">
        <v>7815</v>
      </c>
      <c r="C2244" s="3">
        <v>-6063.05</v>
      </c>
      <c r="D2244" s="7" t="s">
        <v>7816</v>
      </c>
      <c r="E2244" s="7" t="s">
        <v>7566</v>
      </c>
      <c r="G2244" s="9"/>
    </row>
    <row r="2245" spans="1:7" x14ac:dyDescent="0.3">
      <c r="A2245" s="9">
        <v>45980</v>
      </c>
      <c r="B2245" s="7" t="s">
        <v>7815</v>
      </c>
      <c r="C2245" s="3">
        <v>-4542.96</v>
      </c>
      <c r="D2245" s="7" t="s">
        <v>7816</v>
      </c>
      <c r="E2245" s="7" t="s">
        <v>7588</v>
      </c>
      <c r="G2245" s="9"/>
    </row>
    <row r="2246" spans="1:7" x14ac:dyDescent="0.3">
      <c r="A2246" s="9">
        <v>45970</v>
      </c>
      <c r="B2246" s="7" t="s">
        <v>7815</v>
      </c>
      <c r="C2246" s="3">
        <v>-5034.25</v>
      </c>
      <c r="D2246" s="7" t="s">
        <v>7816</v>
      </c>
      <c r="E2246" s="7" t="s">
        <v>7698</v>
      </c>
      <c r="G2246" s="9"/>
    </row>
    <row r="2247" spans="1:7" x14ac:dyDescent="0.3">
      <c r="A2247" s="9">
        <v>45985</v>
      </c>
      <c r="B2247" s="7" t="s">
        <v>7815</v>
      </c>
      <c r="C2247" s="3">
        <v>-6798.23</v>
      </c>
      <c r="D2247" s="7" t="s">
        <v>7816</v>
      </c>
      <c r="E2247" s="7" t="s">
        <v>7713</v>
      </c>
      <c r="G2247" s="9"/>
    </row>
    <row r="2248" spans="1:7" x14ac:dyDescent="0.3">
      <c r="A2248" s="9">
        <v>46020</v>
      </c>
      <c r="B2248" s="7" t="s">
        <v>7815</v>
      </c>
      <c r="C2248" s="3">
        <v>-4791.2299999999996</v>
      </c>
      <c r="D2248" s="7" t="s">
        <v>7816</v>
      </c>
      <c r="E2248" s="7" t="s">
        <v>7726</v>
      </c>
      <c r="G2248" s="9"/>
    </row>
    <row r="2249" spans="1:7" x14ac:dyDescent="0.3">
      <c r="A2249" s="9">
        <v>46014</v>
      </c>
      <c r="B2249" s="7" t="s">
        <v>7815</v>
      </c>
      <c r="C2249" s="3">
        <v>-4340.32</v>
      </c>
      <c r="D2249" s="7" t="s">
        <v>7816</v>
      </c>
      <c r="E2249" s="7" t="s">
        <v>7762</v>
      </c>
      <c r="G2249" s="9"/>
    </row>
    <row r="2250" spans="1:7" x14ac:dyDescent="0.3">
      <c r="A2250" s="9">
        <v>46026</v>
      </c>
      <c r="B2250" s="7" t="s">
        <v>7813</v>
      </c>
      <c r="C2250" s="3">
        <v>2421.8200000000002</v>
      </c>
      <c r="D2250" s="7" t="s">
        <v>7814</v>
      </c>
      <c r="E2250" s="7" t="s">
        <v>3854</v>
      </c>
      <c r="G2250" s="9"/>
    </row>
    <row r="2251" spans="1:7" x14ac:dyDescent="0.3">
      <c r="A2251" s="9">
        <v>45983</v>
      </c>
      <c r="B2251" s="7" t="s">
        <v>7813</v>
      </c>
      <c r="C2251" s="3">
        <v>1074.0899999999999</v>
      </c>
      <c r="D2251" s="7" t="s">
        <v>7814</v>
      </c>
      <c r="E2251" s="7" t="s">
        <v>4190</v>
      </c>
      <c r="G2251" s="9"/>
    </row>
    <row r="2252" spans="1:7" x14ac:dyDescent="0.3">
      <c r="A2252" s="9">
        <v>46083</v>
      </c>
      <c r="B2252" s="7" t="s">
        <v>7813</v>
      </c>
      <c r="C2252" s="3">
        <v>2780.74</v>
      </c>
      <c r="D2252" s="7" t="s">
        <v>7814</v>
      </c>
      <c r="E2252" s="7" t="s">
        <v>4712</v>
      </c>
      <c r="G2252" s="9"/>
    </row>
    <row r="2253" spans="1:7" x14ac:dyDescent="0.3">
      <c r="A2253" s="9">
        <v>46035</v>
      </c>
      <c r="B2253" s="7" t="s">
        <v>7813</v>
      </c>
      <c r="C2253" s="3">
        <v>2731.56</v>
      </c>
      <c r="D2253" s="7" t="s">
        <v>7814</v>
      </c>
      <c r="E2253" s="7" t="s">
        <v>5374</v>
      </c>
      <c r="G2253" s="9"/>
    </row>
    <row r="2254" spans="1:7" x14ac:dyDescent="0.3">
      <c r="A2254" s="9">
        <v>46078</v>
      </c>
      <c r="B2254" s="7" t="s">
        <v>7815</v>
      </c>
      <c r="C2254" s="3">
        <v>-6221.48</v>
      </c>
      <c r="D2254" s="7" t="s">
        <v>7816</v>
      </c>
      <c r="E2254" s="7" t="s">
        <v>6973</v>
      </c>
      <c r="G2254" s="9"/>
    </row>
    <row r="2255" spans="1:7" x14ac:dyDescent="0.3">
      <c r="A2255" s="9">
        <v>46077</v>
      </c>
      <c r="B2255" s="7" t="s">
        <v>7815</v>
      </c>
      <c r="C2255" s="3">
        <v>-2854.68</v>
      </c>
      <c r="D2255" s="7" t="s">
        <v>7816</v>
      </c>
      <c r="E2255" s="7" t="s">
        <v>7304</v>
      </c>
      <c r="G2255" s="9"/>
    </row>
    <row r="2256" spans="1:7" x14ac:dyDescent="0.3">
      <c r="A2256" s="9">
        <v>46071</v>
      </c>
      <c r="B2256" s="7" t="s">
        <v>7815</v>
      </c>
      <c r="C2256" s="3">
        <v>-5716.92</v>
      </c>
      <c r="D2256" s="7" t="s">
        <v>7816</v>
      </c>
      <c r="E2256" s="7" t="s">
        <v>7467</v>
      </c>
      <c r="G2256" s="9"/>
    </row>
    <row r="2257" spans="1:7" x14ac:dyDescent="0.3">
      <c r="A2257" s="9">
        <v>46091</v>
      </c>
      <c r="B2257" s="7" t="s">
        <v>7815</v>
      </c>
      <c r="C2257" s="3">
        <v>-5417.61</v>
      </c>
      <c r="D2257" s="7" t="s">
        <v>7816</v>
      </c>
      <c r="E2257" s="7" t="s">
        <v>7785</v>
      </c>
      <c r="G2257" s="9"/>
    </row>
    <row r="2258" spans="1:7" x14ac:dyDescent="0.3">
      <c r="A2258" s="9">
        <v>45981</v>
      </c>
      <c r="B2258" s="7" t="s">
        <v>7813</v>
      </c>
      <c r="C2258" s="3">
        <v>3434.53</v>
      </c>
      <c r="D2258" s="7" t="s">
        <v>7814</v>
      </c>
      <c r="E2258" s="7" t="s">
        <v>3290</v>
      </c>
      <c r="G2258" s="9"/>
    </row>
    <row r="2259" spans="1:7" x14ac:dyDescent="0.3">
      <c r="A2259" s="9">
        <v>46024</v>
      </c>
      <c r="B2259" s="7" t="s">
        <v>7813</v>
      </c>
      <c r="C2259" s="3">
        <v>3383.22</v>
      </c>
      <c r="D2259" s="7" t="s">
        <v>7814</v>
      </c>
      <c r="E2259" s="7" t="s">
        <v>3372</v>
      </c>
      <c r="G2259" s="9"/>
    </row>
    <row r="2260" spans="1:7" x14ac:dyDescent="0.3">
      <c r="A2260" s="9">
        <v>46076</v>
      </c>
      <c r="B2260" s="7" t="s">
        <v>7813</v>
      </c>
      <c r="C2260" s="3">
        <v>4052.13</v>
      </c>
      <c r="D2260" s="7" t="s">
        <v>7814</v>
      </c>
      <c r="E2260" s="7" t="s">
        <v>3603</v>
      </c>
      <c r="G2260" s="9"/>
    </row>
    <row r="2261" spans="1:7" x14ac:dyDescent="0.3">
      <c r="A2261" s="9">
        <v>45979</v>
      </c>
      <c r="B2261" s="7" t="s">
        <v>7813</v>
      </c>
      <c r="C2261" s="3">
        <v>2130.0700000000002</v>
      </c>
      <c r="D2261" s="7" t="s">
        <v>7814</v>
      </c>
      <c r="E2261" s="7" t="s">
        <v>3742</v>
      </c>
      <c r="G2261" s="9"/>
    </row>
    <row r="2262" spans="1:7" x14ac:dyDescent="0.3">
      <c r="A2262" s="9">
        <v>45970</v>
      </c>
      <c r="B2262" s="7" t="s">
        <v>7813</v>
      </c>
      <c r="C2262" s="3">
        <v>1649.8</v>
      </c>
      <c r="D2262" s="7" t="s">
        <v>7814</v>
      </c>
      <c r="E2262" s="7" t="s">
        <v>5044</v>
      </c>
      <c r="G2262" s="9"/>
    </row>
    <row r="2263" spans="1:7" x14ac:dyDescent="0.3">
      <c r="A2263" s="9">
        <v>45982</v>
      </c>
      <c r="B2263" s="7" t="s">
        <v>7815</v>
      </c>
      <c r="C2263" s="3">
        <v>-6543.3</v>
      </c>
      <c r="D2263" s="7" t="s">
        <v>7816</v>
      </c>
      <c r="E2263" s="7" t="s">
        <v>7551</v>
      </c>
      <c r="G2263" s="9"/>
    </row>
    <row r="2264" spans="1:7" x14ac:dyDescent="0.3">
      <c r="A2264" s="9">
        <v>46044</v>
      </c>
      <c r="B2264" s="7" t="s">
        <v>7813</v>
      </c>
      <c r="C2264" s="3">
        <v>5915.45</v>
      </c>
      <c r="D2264" s="7" t="s">
        <v>7814</v>
      </c>
      <c r="E2264" s="7" t="s">
        <v>5405</v>
      </c>
      <c r="G2264" s="9"/>
    </row>
    <row r="2265" spans="1:7" x14ac:dyDescent="0.3">
      <c r="A2265" s="9">
        <v>46008</v>
      </c>
      <c r="B2265" s="7" t="s">
        <v>7815</v>
      </c>
      <c r="C2265" s="3">
        <v>-1660.96</v>
      </c>
      <c r="D2265" s="7" t="s">
        <v>7816</v>
      </c>
      <c r="E2265" s="7" t="s">
        <v>6928</v>
      </c>
      <c r="G2265" s="9"/>
    </row>
    <row r="2266" spans="1:7" x14ac:dyDescent="0.3">
      <c r="A2266" s="9">
        <v>45972</v>
      </c>
      <c r="B2266" s="7" t="s">
        <v>7815</v>
      </c>
      <c r="C2266" s="3">
        <v>-1780.09</v>
      </c>
      <c r="D2266" s="7" t="s">
        <v>7816</v>
      </c>
      <c r="E2266" s="7" t="s">
        <v>7269</v>
      </c>
      <c r="G2266" s="9"/>
    </row>
    <row r="2267" spans="1:7" x14ac:dyDescent="0.3">
      <c r="A2267" s="9">
        <v>46020</v>
      </c>
      <c r="B2267" s="7" t="s">
        <v>7815</v>
      </c>
      <c r="C2267" s="3">
        <v>-4641.45</v>
      </c>
      <c r="D2267" s="7" t="s">
        <v>7816</v>
      </c>
      <c r="E2267" s="7" t="s">
        <v>7474</v>
      </c>
      <c r="G2267" s="9"/>
    </row>
    <row r="2268" spans="1:7" x14ac:dyDescent="0.3">
      <c r="A2268" s="9">
        <v>46011</v>
      </c>
      <c r="B2268" s="7" t="s">
        <v>7815</v>
      </c>
      <c r="C2268" s="3">
        <v>-5194.1499999999996</v>
      </c>
      <c r="D2268" s="7" t="s">
        <v>7816</v>
      </c>
      <c r="E2268" s="7" t="s">
        <v>7589</v>
      </c>
      <c r="G2268" s="9"/>
    </row>
    <row r="2269" spans="1:7" x14ac:dyDescent="0.3">
      <c r="A2269" s="9">
        <v>45967</v>
      </c>
      <c r="B2269" s="7" t="s">
        <v>7813</v>
      </c>
      <c r="C2269" s="3">
        <v>1664.99</v>
      </c>
      <c r="D2269" s="7" t="s">
        <v>7814</v>
      </c>
      <c r="E2269" s="7" t="s">
        <v>3998</v>
      </c>
      <c r="G2269" s="9"/>
    </row>
    <row r="2270" spans="1:7" x14ac:dyDescent="0.3">
      <c r="A2270" s="9">
        <v>45990</v>
      </c>
      <c r="B2270" s="7" t="s">
        <v>7813</v>
      </c>
      <c r="C2270" s="3">
        <v>2901.09</v>
      </c>
      <c r="D2270" s="7" t="s">
        <v>7814</v>
      </c>
      <c r="E2270" s="7" t="s">
        <v>4338</v>
      </c>
      <c r="G2270" s="9"/>
    </row>
    <row r="2271" spans="1:7" x14ac:dyDescent="0.3">
      <c r="A2271" s="9">
        <v>46001</v>
      </c>
      <c r="B2271" s="7" t="s">
        <v>7813</v>
      </c>
      <c r="C2271" s="3">
        <v>9916.6</v>
      </c>
      <c r="D2271" s="7" t="s">
        <v>7814</v>
      </c>
      <c r="E2271" s="7" t="s">
        <v>4574</v>
      </c>
      <c r="G2271" s="9"/>
    </row>
    <row r="2272" spans="1:7" x14ac:dyDescent="0.3">
      <c r="A2272" s="9">
        <v>46009</v>
      </c>
      <c r="B2272" s="7" t="s">
        <v>7813</v>
      </c>
      <c r="C2272" s="3">
        <v>10895.27</v>
      </c>
      <c r="D2272" s="7" t="s">
        <v>7814</v>
      </c>
      <c r="E2272" s="7" t="s">
        <v>4715</v>
      </c>
      <c r="G2272" s="9"/>
    </row>
    <row r="2273" spans="1:7" x14ac:dyDescent="0.3">
      <c r="A2273" s="9">
        <v>46039</v>
      </c>
      <c r="B2273" s="7" t="s">
        <v>7813</v>
      </c>
      <c r="C2273" s="3">
        <v>2756.8</v>
      </c>
      <c r="D2273" s="7" t="s">
        <v>7814</v>
      </c>
      <c r="E2273" s="7" t="s">
        <v>4824</v>
      </c>
      <c r="G2273" s="9"/>
    </row>
    <row r="2274" spans="1:7" x14ac:dyDescent="0.3">
      <c r="A2274" s="9">
        <v>45977</v>
      </c>
      <c r="B2274" s="7" t="s">
        <v>7813</v>
      </c>
      <c r="C2274" s="3">
        <v>2731.73</v>
      </c>
      <c r="D2274" s="7" t="s">
        <v>7814</v>
      </c>
      <c r="E2274" s="7" t="s">
        <v>4898</v>
      </c>
      <c r="G2274" s="9"/>
    </row>
    <row r="2275" spans="1:7" x14ac:dyDescent="0.3">
      <c r="A2275" s="9">
        <v>46053</v>
      </c>
      <c r="B2275" s="7" t="s">
        <v>7815</v>
      </c>
      <c r="C2275" s="3">
        <v>-4405.62</v>
      </c>
      <c r="D2275" s="7" t="s">
        <v>7816</v>
      </c>
      <c r="E2275" s="7" t="s">
        <v>7126</v>
      </c>
      <c r="G2275" s="9"/>
    </row>
    <row r="2276" spans="1:7" x14ac:dyDescent="0.3">
      <c r="A2276" s="9">
        <v>45996</v>
      </c>
      <c r="B2276" s="7" t="s">
        <v>7815</v>
      </c>
      <c r="C2276" s="3">
        <v>-6515.32</v>
      </c>
      <c r="D2276" s="7" t="s">
        <v>7816</v>
      </c>
      <c r="E2276" s="7" t="s">
        <v>7233</v>
      </c>
      <c r="G2276" s="9"/>
    </row>
    <row r="2277" spans="1:7" x14ac:dyDescent="0.3">
      <c r="A2277" s="9">
        <v>46002</v>
      </c>
      <c r="B2277" s="7" t="s">
        <v>7815</v>
      </c>
      <c r="C2277" s="3">
        <v>-1194.58</v>
      </c>
      <c r="D2277" s="7" t="s">
        <v>7816</v>
      </c>
      <c r="E2277" s="7" t="s">
        <v>7414</v>
      </c>
      <c r="G2277" s="9"/>
    </row>
    <row r="2278" spans="1:7" x14ac:dyDescent="0.3">
      <c r="A2278" s="9">
        <v>45986</v>
      </c>
      <c r="B2278" s="7" t="s">
        <v>7815</v>
      </c>
      <c r="C2278" s="3">
        <v>-2558.87</v>
      </c>
      <c r="D2278" s="7" t="s">
        <v>7816</v>
      </c>
      <c r="E2278" s="7" t="s">
        <v>7684</v>
      </c>
      <c r="G2278" s="9"/>
    </row>
    <row r="2279" spans="1:7" x14ac:dyDescent="0.3">
      <c r="A2279" s="9">
        <v>46014</v>
      </c>
      <c r="B2279" s="7" t="s">
        <v>7813</v>
      </c>
      <c r="C2279" s="3">
        <v>3562.08</v>
      </c>
      <c r="D2279" s="7" t="s">
        <v>7814</v>
      </c>
      <c r="E2279" s="7" t="s">
        <v>3271</v>
      </c>
      <c r="G2279" s="9"/>
    </row>
    <row r="2280" spans="1:7" x14ac:dyDescent="0.3">
      <c r="A2280" s="9">
        <v>45993</v>
      </c>
      <c r="B2280" s="7" t="s">
        <v>7813</v>
      </c>
      <c r="C2280" s="3">
        <v>5626.96</v>
      </c>
      <c r="D2280" s="7" t="s">
        <v>7814</v>
      </c>
      <c r="E2280" s="7" t="s">
        <v>3379</v>
      </c>
      <c r="G2280" s="9"/>
    </row>
    <row r="2281" spans="1:7" x14ac:dyDescent="0.3">
      <c r="A2281" s="9">
        <v>45990</v>
      </c>
      <c r="B2281" s="7" t="s">
        <v>7813</v>
      </c>
      <c r="C2281" s="3">
        <v>6931.27</v>
      </c>
      <c r="D2281" s="7" t="s">
        <v>7814</v>
      </c>
      <c r="E2281" s="7" t="s">
        <v>3460</v>
      </c>
      <c r="G2281" s="9"/>
    </row>
    <row r="2282" spans="1:7" x14ac:dyDescent="0.3">
      <c r="A2282" s="9">
        <v>46048</v>
      </c>
      <c r="B2282" s="7" t="s">
        <v>7813</v>
      </c>
      <c r="C2282" s="3">
        <v>1619.11</v>
      </c>
      <c r="D2282" s="7" t="s">
        <v>7814</v>
      </c>
      <c r="E2282" s="7" t="s">
        <v>3905</v>
      </c>
      <c r="G2282" s="9"/>
    </row>
    <row r="2283" spans="1:7" x14ac:dyDescent="0.3">
      <c r="A2283" s="9">
        <v>46064</v>
      </c>
      <c r="B2283" s="7" t="s">
        <v>7813</v>
      </c>
      <c r="C2283" s="3">
        <v>2322.6799999999998</v>
      </c>
      <c r="D2283" s="7" t="s">
        <v>7814</v>
      </c>
      <c r="E2283" s="7" t="s">
        <v>4465</v>
      </c>
      <c r="G2283" s="9"/>
    </row>
    <row r="2284" spans="1:7" x14ac:dyDescent="0.3">
      <c r="A2284" s="9">
        <v>46032</v>
      </c>
      <c r="B2284" s="7" t="s">
        <v>7815</v>
      </c>
      <c r="C2284" s="3">
        <v>-1638.69</v>
      </c>
      <c r="D2284" s="7" t="s">
        <v>7816</v>
      </c>
      <c r="E2284" s="7" t="s">
        <v>7315</v>
      </c>
      <c r="G2284" s="9"/>
    </row>
    <row r="2285" spans="1:7" x14ac:dyDescent="0.3">
      <c r="A2285" s="9">
        <v>46057</v>
      </c>
      <c r="B2285" s="7" t="s">
        <v>7815</v>
      </c>
      <c r="C2285" s="3">
        <v>-2155.5</v>
      </c>
      <c r="D2285" s="7" t="s">
        <v>7816</v>
      </c>
      <c r="E2285" s="7" t="s">
        <v>7407</v>
      </c>
      <c r="G2285" s="9"/>
    </row>
    <row r="2286" spans="1:7" x14ac:dyDescent="0.3">
      <c r="A2286" s="9">
        <v>45975</v>
      </c>
      <c r="B2286" s="7" t="s">
        <v>7815</v>
      </c>
      <c r="C2286" s="3">
        <v>-5578.03</v>
      </c>
      <c r="D2286" s="7" t="s">
        <v>7816</v>
      </c>
      <c r="E2286" s="7" t="s">
        <v>7419</v>
      </c>
      <c r="G2286" s="9"/>
    </row>
    <row r="2287" spans="1:7" x14ac:dyDescent="0.3">
      <c r="A2287" s="9">
        <v>46060</v>
      </c>
      <c r="B2287" s="7" t="s">
        <v>7815</v>
      </c>
      <c r="C2287" s="3">
        <v>-5334.57</v>
      </c>
      <c r="D2287" s="7" t="s">
        <v>7816</v>
      </c>
      <c r="E2287" s="7" t="s">
        <v>7498</v>
      </c>
      <c r="G2287" s="9"/>
    </row>
    <row r="2288" spans="1:7" x14ac:dyDescent="0.3">
      <c r="A2288" s="9">
        <v>45970</v>
      </c>
      <c r="B2288" s="7" t="s">
        <v>7815</v>
      </c>
      <c r="C2288" s="3">
        <v>-4939.33</v>
      </c>
      <c r="D2288" s="7" t="s">
        <v>7816</v>
      </c>
      <c r="E2288" s="7" t="s">
        <v>7553</v>
      </c>
      <c r="G2288" s="9"/>
    </row>
    <row r="2289" spans="1:7" x14ac:dyDescent="0.3">
      <c r="A2289" s="9">
        <v>46054</v>
      </c>
      <c r="B2289" s="7" t="s">
        <v>7813</v>
      </c>
      <c r="C2289" s="3">
        <v>4943.34</v>
      </c>
      <c r="D2289" s="7" t="s">
        <v>7814</v>
      </c>
      <c r="E2289" s="7" t="s">
        <v>3822</v>
      </c>
      <c r="G2289" s="9"/>
    </row>
    <row r="2290" spans="1:7" x14ac:dyDescent="0.3">
      <c r="A2290" s="9">
        <v>45968</v>
      </c>
      <c r="B2290" s="7" t="s">
        <v>7813</v>
      </c>
      <c r="C2290" s="3">
        <v>2290.84</v>
      </c>
      <c r="D2290" s="7" t="s">
        <v>7814</v>
      </c>
      <c r="E2290" s="7" t="s">
        <v>4697</v>
      </c>
      <c r="G2290" s="9"/>
    </row>
    <row r="2291" spans="1:7" x14ac:dyDescent="0.3">
      <c r="A2291" s="9">
        <v>45963</v>
      </c>
      <c r="B2291" s="7" t="s">
        <v>7813</v>
      </c>
      <c r="C2291" s="3">
        <v>13724.71</v>
      </c>
      <c r="D2291" s="7" t="s">
        <v>7814</v>
      </c>
      <c r="E2291" s="7" t="s">
        <v>4837</v>
      </c>
      <c r="G2291" s="9"/>
    </row>
    <row r="2292" spans="1:7" x14ac:dyDescent="0.3">
      <c r="A2292" s="9">
        <v>46068</v>
      </c>
      <c r="B2292" s="7" t="s">
        <v>7813</v>
      </c>
      <c r="C2292" s="3">
        <v>5977.74</v>
      </c>
      <c r="D2292" s="7" t="s">
        <v>7814</v>
      </c>
      <c r="E2292" s="7" t="s">
        <v>4860</v>
      </c>
      <c r="G2292" s="9"/>
    </row>
    <row r="2293" spans="1:7" x14ac:dyDescent="0.3">
      <c r="A2293" s="9">
        <v>46002</v>
      </c>
      <c r="B2293" s="7" t="s">
        <v>7813</v>
      </c>
      <c r="C2293" s="3">
        <v>2653.33</v>
      </c>
      <c r="D2293" s="7" t="s">
        <v>7814</v>
      </c>
      <c r="E2293" s="7" t="s">
        <v>4918</v>
      </c>
      <c r="G2293" s="9"/>
    </row>
    <row r="2294" spans="1:7" x14ac:dyDescent="0.3">
      <c r="A2294" s="9">
        <v>46063</v>
      </c>
      <c r="B2294" s="7" t="s">
        <v>7813</v>
      </c>
      <c r="C2294" s="3">
        <v>11163.29</v>
      </c>
      <c r="D2294" s="7" t="s">
        <v>7814</v>
      </c>
      <c r="E2294" s="7" t="s">
        <v>5156</v>
      </c>
      <c r="G2294" s="9"/>
    </row>
    <row r="2295" spans="1:7" x14ac:dyDescent="0.3">
      <c r="A2295" s="9">
        <v>45973</v>
      </c>
      <c r="B2295" s="7" t="s">
        <v>7815</v>
      </c>
      <c r="C2295" s="3">
        <v>-2109.9</v>
      </c>
      <c r="D2295" s="7" t="s">
        <v>7816</v>
      </c>
      <c r="E2295" s="7" t="s">
        <v>7135</v>
      </c>
      <c r="G2295" s="9"/>
    </row>
    <row r="2296" spans="1:7" x14ac:dyDescent="0.3">
      <c r="A2296" s="9">
        <v>46002</v>
      </c>
      <c r="B2296" s="7" t="s">
        <v>7815</v>
      </c>
      <c r="C2296" s="3">
        <v>-3821.41</v>
      </c>
      <c r="D2296" s="7" t="s">
        <v>7816</v>
      </c>
      <c r="E2296" s="7" t="s">
        <v>7782</v>
      </c>
      <c r="G2296" s="9"/>
    </row>
    <row r="2297" spans="1:7" x14ac:dyDescent="0.3">
      <c r="A2297" s="9">
        <v>46017</v>
      </c>
      <c r="B2297" s="7" t="s">
        <v>7813</v>
      </c>
      <c r="C2297" s="3">
        <v>2805.54</v>
      </c>
      <c r="D2297" s="7" t="s">
        <v>7814</v>
      </c>
      <c r="E2297" s="7" t="s">
        <v>3627</v>
      </c>
      <c r="G2297" s="9"/>
    </row>
    <row r="2298" spans="1:7" x14ac:dyDescent="0.3">
      <c r="A2298" s="9">
        <v>45996</v>
      </c>
      <c r="B2298" s="7" t="s">
        <v>7813</v>
      </c>
      <c r="C2298" s="3">
        <v>12476.92</v>
      </c>
      <c r="D2298" s="7" t="s">
        <v>7814</v>
      </c>
      <c r="E2298" s="7" t="s">
        <v>3799</v>
      </c>
      <c r="G2298" s="9"/>
    </row>
    <row r="2299" spans="1:7" x14ac:dyDescent="0.3">
      <c r="A2299" s="9">
        <v>46089</v>
      </c>
      <c r="B2299" s="7" t="s">
        <v>7813</v>
      </c>
      <c r="C2299" s="3">
        <v>1806.11</v>
      </c>
      <c r="D2299" s="7" t="s">
        <v>7814</v>
      </c>
      <c r="E2299" s="7" t="s">
        <v>4658</v>
      </c>
      <c r="G2299" s="9"/>
    </row>
    <row r="2300" spans="1:7" x14ac:dyDescent="0.3">
      <c r="A2300" s="9">
        <v>46050</v>
      </c>
      <c r="B2300" s="7" t="s">
        <v>7813</v>
      </c>
      <c r="C2300" s="3">
        <v>2107.85</v>
      </c>
      <c r="D2300" s="7" t="s">
        <v>7814</v>
      </c>
      <c r="E2300" s="7" t="s">
        <v>5014</v>
      </c>
      <c r="G2300" s="9"/>
    </row>
    <row r="2301" spans="1:7" x14ac:dyDescent="0.3">
      <c r="A2301" s="9">
        <v>46065</v>
      </c>
      <c r="B2301" s="7" t="s">
        <v>7813</v>
      </c>
      <c r="C2301" s="3">
        <v>11158.24</v>
      </c>
      <c r="D2301" s="7" t="s">
        <v>7814</v>
      </c>
      <c r="E2301" s="7" t="s">
        <v>5073</v>
      </c>
      <c r="G2301" s="9"/>
    </row>
    <row r="2302" spans="1:7" x14ac:dyDescent="0.3">
      <c r="A2302" s="9">
        <v>46081</v>
      </c>
      <c r="B2302" s="7" t="s">
        <v>7815</v>
      </c>
      <c r="C2302" s="3">
        <v>-3711.09</v>
      </c>
      <c r="D2302" s="7" t="s">
        <v>7816</v>
      </c>
      <c r="E2302" s="7" t="s">
        <v>7549</v>
      </c>
      <c r="G2302" s="9"/>
    </row>
    <row r="2303" spans="1:7" x14ac:dyDescent="0.3">
      <c r="A2303" s="9">
        <v>46020</v>
      </c>
      <c r="B2303" s="7" t="s">
        <v>7813</v>
      </c>
      <c r="C2303" s="3">
        <v>2993.75</v>
      </c>
      <c r="D2303" s="7" t="s">
        <v>7814</v>
      </c>
      <c r="E2303" s="7" t="s">
        <v>4293</v>
      </c>
      <c r="G2303" s="9"/>
    </row>
    <row r="2304" spans="1:7" x14ac:dyDescent="0.3">
      <c r="A2304" s="9">
        <v>45982</v>
      </c>
      <c r="B2304" s="7" t="s">
        <v>7813</v>
      </c>
      <c r="C2304" s="3">
        <v>2545.73</v>
      </c>
      <c r="D2304" s="7" t="s">
        <v>7814</v>
      </c>
      <c r="E2304" s="7" t="s">
        <v>4832</v>
      </c>
      <c r="G2304" s="9"/>
    </row>
    <row r="2305" spans="1:7" x14ac:dyDescent="0.3">
      <c r="A2305" s="9">
        <v>46021</v>
      </c>
      <c r="B2305" s="7" t="s">
        <v>7813</v>
      </c>
      <c r="C2305" s="3">
        <v>2670.28</v>
      </c>
      <c r="D2305" s="7" t="s">
        <v>7814</v>
      </c>
      <c r="E2305" s="7" t="s">
        <v>5320</v>
      </c>
      <c r="G2305" s="9"/>
    </row>
    <row r="2306" spans="1:7" x14ac:dyDescent="0.3">
      <c r="A2306" s="9">
        <v>46018</v>
      </c>
      <c r="B2306" s="7" t="s">
        <v>7815</v>
      </c>
      <c r="C2306" s="3">
        <v>-5884.01</v>
      </c>
      <c r="D2306" s="7" t="s">
        <v>7816</v>
      </c>
      <c r="E2306" s="7" t="s">
        <v>6841</v>
      </c>
      <c r="G2306" s="9"/>
    </row>
    <row r="2307" spans="1:7" x14ac:dyDescent="0.3">
      <c r="A2307" s="9">
        <v>46025</v>
      </c>
      <c r="B2307" s="7" t="s">
        <v>7815</v>
      </c>
      <c r="C2307" s="3">
        <v>-1400.99</v>
      </c>
      <c r="D2307" s="7" t="s">
        <v>7816</v>
      </c>
      <c r="E2307" s="7" t="s">
        <v>7217</v>
      </c>
      <c r="G2307" s="9"/>
    </row>
    <row r="2308" spans="1:7" x14ac:dyDescent="0.3">
      <c r="A2308" s="9">
        <v>46085</v>
      </c>
      <c r="B2308" s="7" t="s">
        <v>7815</v>
      </c>
      <c r="C2308" s="3">
        <v>-881.73</v>
      </c>
      <c r="D2308" s="7" t="s">
        <v>7816</v>
      </c>
      <c r="E2308" s="7" t="s">
        <v>7361</v>
      </c>
      <c r="G2308" s="9"/>
    </row>
    <row r="2309" spans="1:7" x14ac:dyDescent="0.3">
      <c r="A2309" s="9">
        <v>45988</v>
      </c>
      <c r="B2309" s="7" t="s">
        <v>7813</v>
      </c>
      <c r="C2309" s="3">
        <v>10259.959999999999</v>
      </c>
      <c r="D2309" s="7" t="s">
        <v>7814</v>
      </c>
      <c r="E2309" s="7" t="s">
        <v>3463</v>
      </c>
      <c r="G2309" s="9"/>
    </row>
    <row r="2310" spans="1:7" x14ac:dyDescent="0.3">
      <c r="A2310" s="9">
        <v>46006</v>
      </c>
      <c r="B2310" s="7" t="s">
        <v>7813</v>
      </c>
      <c r="C2310" s="3">
        <v>4481.9399999999996</v>
      </c>
      <c r="D2310" s="7" t="s">
        <v>7814</v>
      </c>
      <c r="E2310" s="7" t="s">
        <v>3467</v>
      </c>
      <c r="G2310" s="9"/>
    </row>
    <row r="2311" spans="1:7" x14ac:dyDescent="0.3">
      <c r="A2311" s="9">
        <v>46002</v>
      </c>
      <c r="B2311" s="7" t="s">
        <v>7813</v>
      </c>
      <c r="C2311" s="3">
        <v>11986.91</v>
      </c>
      <c r="D2311" s="7" t="s">
        <v>7814</v>
      </c>
      <c r="E2311" s="7" t="s">
        <v>4176</v>
      </c>
      <c r="G2311" s="9"/>
    </row>
    <row r="2312" spans="1:7" x14ac:dyDescent="0.3">
      <c r="A2312" s="9">
        <v>46005</v>
      </c>
      <c r="B2312" s="7" t="s">
        <v>7813</v>
      </c>
      <c r="C2312" s="3">
        <v>13234.78</v>
      </c>
      <c r="D2312" s="7" t="s">
        <v>7814</v>
      </c>
      <c r="E2312" s="7" t="s">
        <v>4475</v>
      </c>
      <c r="G2312" s="9"/>
    </row>
    <row r="2313" spans="1:7" x14ac:dyDescent="0.3">
      <c r="A2313" s="9">
        <v>46050</v>
      </c>
      <c r="B2313" s="7" t="s">
        <v>7815</v>
      </c>
      <c r="C2313" s="3">
        <v>-6592.35</v>
      </c>
      <c r="D2313" s="7" t="s">
        <v>7816</v>
      </c>
      <c r="E2313" s="7" t="s">
        <v>6894</v>
      </c>
      <c r="G2313" s="9"/>
    </row>
    <row r="2314" spans="1:7" x14ac:dyDescent="0.3">
      <c r="A2314" s="9">
        <v>46034</v>
      </c>
      <c r="B2314" s="7" t="s">
        <v>7813</v>
      </c>
      <c r="C2314" s="3">
        <v>2570.25</v>
      </c>
      <c r="D2314" s="7" t="s">
        <v>7814</v>
      </c>
      <c r="E2314" s="7" t="s">
        <v>3276</v>
      </c>
      <c r="G2314" s="9"/>
    </row>
    <row r="2315" spans="1:7" x14ac:dyDescent="0.3">
      <c r="A2315" s="9">
        <v>46024</v>
      </c>
      <c r="B2315" s="7" t="s">
        <v>7813</v>
      </c>
      <c r="C2315" s="3">
        <v>5424.4</v>
      </c>
      <c r="D2315" s="7" t="s">
        <v>7814</v>
      </c>
      <c r="E2315" s="7" t="s">
        <v>3777</v>
      </c>
      <c r="G2315" s="9"/>
    </row>
    <row r="2316" spans="1:7" x14ac:dyDescent="0.3">
      <c r="A2316" s="9">
        <v>46074</v>
      </c>
      <c r="B2316" s="7" t="s">
        <v>7813</v>
      </c>
      <c r="C2316" s="3">
        <v>721.83</v>
      </c>
      <c r="D2316" s="7" t="s">
        <v>7814</v>
      </c>
      <c r="E2316" s="7" t="s">
        <v>4747</v>
      </c>
      <c r="G2316" s="9"/>
    </row>
    <row r="2317" spans="1:7" x14ac:dyDescent="0.3">
      <c r="A2317" s="9">
        <v>46075</v>
      </c>
      <c r="B2317" s="7" t="s">
        <v>7813</v>
      </c>
      <c r="C2317" s="3">
        <v>2985.64</v>
      </c>
      <c r="D2317" s="7" t="s">
        <v>7814</v>
      </c>
      <c r="E2317" s="7" t="s">
        <v>5282</v>
      </c>
      <c r="G2317" s="9"/>
    </row>
    <row r="2318" spans="1:7" x14ac:dyDescent="0.3">
      <c r="A2318" s="9">
        <v>45974</v>
      </c>
      <c r="B2318" s="7" t="s">
        <v>7815</v>
      </c>
      <c r="C2318" s="3">
        <v>-1172.56</v>
      </c>
      <c r="D2318" s="7" t="s">
        <v>7816</v>
      </c>
      <c r="E2318" s="7" t="s">
        <v>6961</v>
      </c>
      <c r="G2318" s="9"/>
    </row>
    <row r="2319" spans="1:7" x14ac:dyDescent="0.3">
      <c r="A2319" s="9">
        <v>45975</v>
      </c>
      <c r="B2319" s="7" t="s">
        <v>7815</v>
      </c>
      <c r="C2319" s="3">
        <v>-3886.05</v>
      </c>
      <c r="D2319" s="7" t="s">
        <v>7816</v>
      </c>
      <c r="E2319" s="7" t="s">
        <v>7010</v>
      </c>
      <c r="G2319" s="9"/>
    </row>
    <row r="2320" spans="1:7" x14ac:dyDescent="0.3">
      <c r="A2320" s="9">
        <v>45993</v>
      </c>
      <c r="B2320" s="7" t="s">
        <v>7815</v>
      </c>
      <c r="C2320" s="3">
        <v>-1217.83</v>
      </c>
      <c r="D2320" s="7" t="s">
        <v>7816</v>
      </c>
      <c r="E2320" s="7" t="s">
        <v>7337</v>
      </c>
      <c r="G2320" s="9"/>
    </row>
    <row r="2321" spans="1:7" x14ac:dyDescent="0.3">
      <c r="A2321" s="9">
        <v>45998</v>
      </c>
      <c r="B2321" s="7" t="s">
        <v>7813</v>
      </c>
      <c r="C2321" s="3">
        <v>12018.43</v>
      </c>
      <c r="D2321" s="7" t="s">
        <v>7814</v>
      </c>
      <c r="E2321" s="7" t="s">
        <v>3262</v>
      </c>
      <c r="G2321" s="9"/>
    </row>
    <row r="2322" spans="1:7" x14ac:dyDescent="0.3">
      <c r="A2322" s="9">
        <v>45986</v>
      </c>
      <c r="B2322" s="7" t="s">
        <v>7813</v>
      </c>
      <c r="C2322" s="3">
        <v>2854.77</v>
      </c>
      <c r="D2322" s="7" t="s">
        <v>7814</v>
      </c>
      <c r="E2322" s="7" t="s">
        <v>4771</v>
      </c>
      <c r="G2322" s="9"/>
    </row>
    <row r="2323" spans="1:7" x14ac:dyDescent="0.3">
      <c r="A2323" s="9">
        <v>46065</v>
      </c>
      <c r="B2323" s="7" t="s">
        <v>7813</v>
      </c>
      <c r="C2323" s="3">
        <v>2785.73</v>
      </c>
      <c r="D2323" s="7" t="s">
        <v>7814</v>
      </c>
      <c r="E2323" s="7" t="s">
        <v>4982</v>
      </c>
      <c r="G2323" s="9"/>
    </row>
    <row r="2324" spans="1:7" x14ac:dyDescent="0.3">
      <c r="A2324" s="9">
        <v>45984</v>
      </c>
      <c r="B2324" s="7" t="s">
        <v>7815</v>
      </c>
      <c r="C2324" s="3">
        <v>-4892.4399999999996</v>
      </c>
      <c r="D2324" s="7" t="s">
        <v>7816</v>
      </c>
      <c r="E2324" s="7" t="s">
        <v>7240</v>
      </c>
      <c r="G2324" s="9"/>
    </row>
    <row r="2325" spans="1:7" x14ac:dyDescent="0.3">
      <c r="A2325" s="9">
        <v>46021</v>
      </c>
      <c r="B2325" s="7" t="s">
        <v>7815</v>
      </c>
      <c r="C2325" s="3">
        <v>-1557.11</v>
      </c>
      <c r="D2325" s="7" t="s">
        <v>7816</v>
      </c>
      <c r="E2325" s="7" t="s">
        <v>7520</v>
      </c>
      <c r="G2325" s="9"/>
    </row>
    <row r="2326" spans="1:7" x14ac:dyDescent="0.3">
      <c r="A2326" s="9">
        <v>46004</v>
      </c>
      <c r="B2326" s="7" t="s">
        <v>7813</v>
      </c>
      <c r="C2326" s="3">
        <v>11795.46</v>
      </c>
      <c r="D2326" s="7" t="s">
        <v>7814</v>
      </c>
      <c r="E2326" s="7" t="s">
        <v>3726</v>
      </c>
      <c r="G2326" s="9"/>
    </row>
    <row r="2327" spans="1:7" x14ac:dyDescent="0.3">
      <c r="A2327" s="9">
        <v>46090</v>
      </c>
      <c r="B2327" s="7" t="s">
        <v>7813</v>
      </c>
      <c r="C2327" s="3">
        <v>2790.52</v>
      </c>
      <c r="D2327" s="7" t="s">
        <v>7814</v>
      </c>
      <c r="E2327" s="7" t="s">
        <v>3844</v>
      </c>
      <c r="G2327" s="9"/>
    </row>
    <row r="2328" spans="1:7" x14ac:dyDescent="0.3">
      <c r="A2328" s="9">
        <v>46074</v>
      </c>
      <c r="B2328" s="7" t="s">
        <v>7813</v>
      </c>
      <c r="C2328" s="3">
        <v>1756.93</v>
      </c>
      <c r="D2328" s="7" t="s">
        <v>7814</v>
      </c>
      <c r="E2328" s="7" t="s">
        <v>4048</v>
      </c>
      <c r="G2328" s="9"/>
    </row>
    <row r="2329" spans="1:7" x14ac:dyDescent="0.3">
      <c r="A2329" s="9">
        <v>46037</v>
      </c>
      <c r="B2329" s="7" t="s">
        <v>7813</v>
      </c>
      <c r="C2329" s="3">
        <v>13396.79</v>
      </c>
      <c r="D2329" s="7" t="s">
        <v>7814</v>
      </c>
      <c r="E2329" s="7" t="s">
        <v>4417</v>
      </c>
      <c r="G2329" s="9"/>
    </row>
    <row r="2330" spans="1:7" x14ac:dyDescent="0.3">
      <c r="A2330" s="9">
        <v>46035</v>
      </c>
      <c r="B2330" s="7" t="s">
        <v>7813</v>
      </c>
      <c r="C2330" s="3">
        <v>2199.7600000000002</v>
      </c>
      <c r="D2330" s="7" t="s">
        <v>7814</v>
      </c>
      <c r="E2330" s="7" t="s">
        <v>4501</v>
      </c>
      <c r="G2330" s="9"/>
    </row>
    <row r="2331" spans="1:7" x14ac:dyDescent="0.3">
      <c r="A2331" s="9">
        <v>46022</v>
      </c>
      <c r="B2331" s="7" t="s">
        <v>7813</v>
      </c>
      <c r="C2331" s="3">
        <v>2952.87</v>
      </c>
      <c r="D2331" s="7" t="s">
        <v>7814</v>
      </c>
      <c r="E2331" s="7" t="s">
        <v>4514</v>
      </c>
      <c r="G2331" s="9"/>
    </row>
    <row r="2332" spans="1:7" x14ac:dyDescent="0.3">
      <c r="A2332" s="9">
        <v>46037</v>
      </c>
      <c r="B2332" s="7" t="s">
        <v>7813</v>
      </c>
      <c r="C2332" s="3">
        <v>4736.8599999999997</v>
      </c>
      <c r="D2332" s="7" t="s">
        <v>7814</v>
      </c>
      <c r="E2332" s="7" t="s">
        <v>4521</v>
      </c>
      <c r="G2332" s="9"/>
    </row>
    <row r="2333" spans="1:7" x14ac:dyDescent="0.3">
      <c r="A2333" s="9">
        <v>46005</v>
      </c>
      <c r="B2333" s="7" t="s">
        <v>7813</v>
      </c>
      <c r="C2333" s="3">
        <v>2679.21</v>
      </c>
      <c r="D2333" s="7" t="s">
        <v>7814</v>
      </c>
      <c r="E2333" s="7" t="s">
        <v>4900</v>
      </c>
      <c r="G2333" s="9"/>
    </row>
    <row r="2334" spans="1:7" x14ac:dyDescent="0.3">
      <c r="A2334" s="9">
        <v>46000</v>
      </c>
      <c r="B2334" s="7" t="s">
        <v>7815</v>
      </c>
      <c r="C2334" s="3">
        <v>-2393.11</v>
      </c>
      <c r="D2334" s="7" t="s">
        <v>7816</v>
      </c>
      <c r="E2334" s="7" t="s">
        <v>6831</v>
      </c>
      <c r="G2334" s="9"/>
    </row>
    <row r="2335" spans="1:7" x14ac:dyDescent="0.3">
      <c r="A2335" s="9">
        <v>46003</v>
      </c>
      <c r="B2335" s="7" t="s">
        <v>7815</v>
      </c>
      <c r="C2335" s="3">
        <v>-2029.3</v>
      </c>
      <c r="D2335" s="7" t="s">
        <v>7816</v>
      </c>
      <c r="E2335" s="7" t="s">
        <v>7083</v>
      </c>
      <c r="G2335" s="9"/>
    </row>
    <row r="2336" spans="1:7" x14ac:dyDescent="0.3">
      <c r="A2336" s="9">
        <v>45983</v>
      </c>
      <c r="B2336" s="7" t="s">
        <v>7813</v>
      </c>
      <c r="C2336" s="3">
        <v>1890.02</v>
      </c>
      <c r="D2336" s="7" t="s">
        <v>7814</v>
      </c>
      <c r="E2336" s="7" t="s">
        <v>3489</v>
      </c>
      <c r="G2336" s="9"/>
    </row>
    <row r="2337" spans="1:7" x14ac:dyDescent="0.3">
      <c r="A2337" s="9">
        <v>46066</v>
      </c>
      <c r="B2337" s="7" t="s">
        <v>7813</v>
      </c>
      <c r="C2337" s="3">
        <v>2563.25</v>
      </c>
      <c r="D2337" s="7" t="s">
        <v>7814</v>
      </c>
      <c r="E2337" s="7" t="s">
        <v>4256</v>
      </c>
      <c r="G2337" s="9"/>
    </row>
    <row r="2338" spans="1:7" x14ac:dyDescent="0.3">
      <c r="A2338" s="9">
        <v>45976</v>
      </c>
      <c r="B2338" s="7" t="s">
        <v>7813</v>
      </c>
      <c r="C2338" s="3">
        <v>3860.66</v>
      </c>
      <c r="D2338" s="7" t="s">
        <v>7814</v>
      </c>
      <c r="E2338" s="7" t="s">
        <v>4343</v>
      </c>
      <c r="G2338" s="9"/>
    </row>
    <row r="2339" spans="1:7" x14ac:dyDescent="0.3">
      <c r="A2339" s="9">
        <v>45998</v>
      </c>
      <c r="B2339" s="7" t="s">
        <v>7813</v>
      </c>
      <c r="C2339" s="3">
        <v>4852.6099999999997</v>
      </c>
      <c r="D2339" s="7" t="s">
        <v>7814</v>
      </c>
      <c r="E2339" s="7" t="s">
        <v>4618</v>
      </c>
      <c r="G2339" s="9"/>
    </row>
    <row r="2340" spans="1:7" x14ac:dyDescent="0.3">
      <c r="A2340" s="9">
        <v>46017</v>
      </c>
      <c r="B2340" s="7" t="s">
        <v>7813</v>
      </c>
      <c r="C2340" s="3">
        <v>2190.5700000000002</v>
      </c>
      <c r="D2340" s="7" t="s">
        <v>7814</v>
      </c>
      <c r="E2340" s="7" t="s">
        <v>4814</v>
      </c>
      <c r="G2340" s="9"/>
    </row>
    <row r="2341" spans="1:7" x14ac:dyDescent="0.3">
      <c r="A2341" s="9">
        <v>45985</v>
      </c>
      <c r="B2341" s="7" t="s">
        <v>7815</v>
      </c>
      <c r="C2341" s="3">
        <v>-937.97</v>
      </c>
      <c r="D2341" s="7" t="s">
        <v>7816</v>
      </c>
      <c r="E2341" s="7" t="s">
        <v>7136</v>
      </c>
      <c r="G2341" s="9"/>
    </row>
    <row r="2342" spans="1:7" x14ac:dyDescent="0.3">
      <c r="A2342" s="9">
        <v>46082</v>
      </c>
      <c r="B2342" s="7" t="s">
        <v>7815</v>
      </c>
      <c r="C2342" s="3">
        <v>-6031.82</v>
      </c>
      <c r="D2342" s="7" t="s">
        <v>7816</v>
      </c>
      <c r="E2342" s="7" t="s">
        <v>7146</v>
      </c>
      <c r="G2342" s="9"/>
    </row>
    <row r="2343" spans="1:7" x14ac:dyDescent="0.3">
      <c r="A2343" s="9">
        <v>45979</v>
      </c>
      <c r="B2343" s="7" t="s">
        <v>7815</v>
      </c>
      <c r="C2343" s="3">
        <v>-1144.79</v>
      </c>
      <c r="D2343" s="7" t="s">
        <v>7816</v>
      </c>
      <c r="E2343" s="7" t="s">
        <v>7209</v>
      </c>
      <c r="G2343" s="9"/>
    </row>
    <row r="2344" spans="1:7" x14ac:dyDescent="0.3">
      <c r="A2344" s="9">
        <v>46040</v>
      </c>
      <c r="B2344" s="7" t="s">
        <v>7815</v>
      </c>
      <c r="C2344" s="3">
        <v>-4711.34</v>
      </c>
      <c r="D2344" s="7" t="s">
        <v>7816</v>
      </c>
      <c r="E2344" s="7" t="s">
        <v>7449</v>
      </c>
      <c r="G2344" s="9"/>
    </row>
    <row r="2345" spans="1:7" x14ac:dyDescent="0.3">
      <c r="A2345" s="9">
        <v>46054</v>
      </c>
      <c r="B2345" s="7" t="s">
        <v>7813</v>
      </c>
      <c r="C2345" s="3">
        <v>2825.31</v>
      </c>
      <c r="D2345" s="7" t="s">
        <v>7814</v>
      </c>
      <c r="E2345" s="7" t="s">
        <v>3388</v>
      </c>
      <c r="G2345" s="9"/>
    </row>
    <row r="2346" spans="1:7" x14ac:dyDescent="0.3">
      <c r="A2346" s="9">
        <v>46023</v>
      </c>
      <c r="B2346" s="7" t="s">
        <v>7813</v>
      </c>
      <c r="C2346" s="3">
        <v>2259.66</v>
      </c>
      <c r="D2346" s="7" t="s">
        <v>7814</v>
      </c>
      <c r="E2346" s="7" t="s">
        <v>3980</v>
      </c>
      <c r="G2346" s="9"/>
    </row>
    <row r="2347" spans="1:7" x14ac:dyDescent="0.3">
      <c r="A2347" s="9">
        <v>46063</v>
      </c>
      <c r="B2347" s="7" t="s">
        <v>7813</v>
      </c>
      <c r="C2347" s="3">
        <v>12216.57</v>
      </c>
      <c r="D2347" s="7" t="s">
        <v>7814</v>
      </c>
      <c r="E2347" s="7" t="s">
        <v>4029</v>
      </c>
      <c r="G2347" s="9"/>
    </row>
    <row r="2348" spans="1:7" x14ac:dyDescent="0.3">
      <c r="A2348" s="9">
        <v>45964</v>
      </c>
      <c r="B2348" s="7" t="s">
        <v>7813</v>
      </c>
      <c r="C2348" s="3">
        <v>2554.08</v>
      </c>
      <c r="D2348" s="7" t="s">
        <v>7814</v>
      </c>
      <c r="E2348" s="7" t="s">
        <v>4355</v>
      </c>
      <c r="G2348" s="9"/>
    </row>
    <row r="2349" spans="1:7" x14ac:dyDescent="0.3">
      <c r="A2349" s="9">
        <v>45968</v>
      </c>
      <c r="B2349" s="7" t="s">
        <v>7813</v>
      </c>
      <c r="C2349" s="3">
        <v>1668.59</v>
      </c>
      <c r="D2349" s="7" t="s">
        <v>7814</v>
      </c>
      <c r="E2349" s="7" t="s">
        <v>4659</v>
      </c>
      <c r="G2349" s="9"/>
    </row>
    <row r="2350" spans="1:7" x14ac:dyDescent="0.3">
      <c r="A2350" s="9">
        <v>45989</v>
      </c>
      <c r="B2350" s="7" t="s">
        <v>7813</v>
      </c>
      <c r="C2350" s="3">
        <v>3542.82</v>
      </c>
      <c r="D2350" s="7" t="s">
        <v>7814</v>
      </c>
      <c r="E2350" s="7" t="s">
        <v>5343</v>
      </c>
      <c r="G2350" s="9"/>
    </row>
    <row r="2351" spans="1:7" x14ac:dyDescent="0.3">
      <c r="A2351" s="9">
        <v>46024</v>
      </c>
      <c r="B2351" s="7" t="s">
        <v>7815</v>
      </c>
      <c r="C2351" s="3">
        <v>-4477.1499999999996</v>
      </c>
      <c r="D2351" s="7" t="s">
        <v>7816</v>
      </c>
      <c r="E2351" s="7" t="s">
        <v>7228</v>
      </c>
      <c r="G2351" s="9"/>
    </row>
    <row r="2352" spans="1:7" x14ac:dyDescent="0.3">
      <c r="A2352" s="9">
        <v>46005</v>
      </c>
      <c r="B2352" s="7" t="s">
        <v>7815</v>
      </c>
      <c r="C2352" s="3">
        <v>-6953.23</v>
      </c>
      <c r="D2352" s="7" t="s">
        <v>7816</v>
      </c>
      <c r="E2352" s="7" t="s">
        <v>7746</v>
      </c>
      <c r="G2352" s="9"/>
    </row>
    <row r="2353" spans="1:7" x14ac:dyDescent="0.3">
      <c r="A2353" s="9">
        <v>46087</v>
      </c>
      <c r="B2353" s="7" t="s">
        <v>7813</v>
      </c>
      <c r="C2353" s="3">
        <v>2360.21</v>
      </c>
      <c r="D2353" s="7" t="s">
        <v>7814</v>
      </c>
      <c r="E2353" s="7" t="s">
        <v>3701</v>
      </c>
      <c r="G2353" s="9"/>
    </row>
    <row r="2354" spans="1:7" x14ac:dyDescent="0.3">
      <c r="A2354" s="9">
        <v>46026</v>
      </c>
      <c r="B2354" s="7" t="s">
        <v>7813</v>
      </c>
      <c r="C2354" s="3">
        <v>11353.42</v>
      </c>
      <c r="D2354" s="7" t="s">
        <v>7814</v>
      </c>
      <c r="E2354" s="7" t="s">
        <v>3790</v>
      </c>
      <c r="G2354" s="9"/>
    </row>
    <row r="2355" spans="1:7" x14ac:dyDescent="0.3">
      <c r="A2355" s="9">
        <v>45998</v>
      </c>
      <c r="B2355" s="7" t="s">
        <v>7813</v>
      </c>
      <c r="C2355" s="3">
        <v>2864.25</v>
      </c>
      <c r="D2355" s="7" t="s">
        <v>7814</v>
      </c>
      <c r="E2355" s="7" t="s">
        <v>3299</v>
      </c>
      <c r="G2355" s="9"/>
    </row>
    <row r="2356" spans="1:7" x14ac:dyDescent="0.3">
      <c r="A2356" s="9">
        <v>45994</v>
      </c>
      <c r="B2356" s="7" t="s">
        <v>7813</v>
      </c>
      <c r="C2356" s="3">
        <v>2205.4499999999998</v>
      </c>
      <c r="D2356" s="7" t="s">
        <v>7814</v>
      </c>
      <c r="E2356" s="7" t="s">
        <v>3549</v>
      </c>
      <c r="G2356" s="9"/>
    </row>
    <row r="2357" spans="1:7" x14ac:dyDescent="0.3">
      <c r="A2357" s="9">
        <v>45973</v>
      </c>
      <c r="B2357" s="7" t="s">
        <v>7813</v>
      </c>
      <c r="C2357" s="3">
        <v>1440.98</v>
      </c>
      <c r="D2357" s="7" t="s">
        <v>7814</v>
      </c>
      <c r="E2357" s="7" t="s">
        <v>4110</v>
      </c>
      <c r="G2357" s="9"/>
    </row>
    <row r="2358" spans="1:7" x14ac:dyDescent="0.3">
      <c r="A2358" s="9">
        <v>46074</v>
      </c>
      <c r="B2358" s="7" t="s">
        <v>7813</v>
      </c>
      <c r="C2358" s="3">
        <v>2037.38</v>
      </c>
      <c r="D2358" s="7" t="s">
        <v>7814</v>
      </c>
      <c r="E2358" s="7" t="s">
        <v>4194</v>
      </c>
      <c r="G2358" s="9"/>
    </row>
    <row r="2359" spans="1:7" x14ac:dyDescent="0.3">
      <c r="A2359" s="9">
        <v>45989</v>
      </c>
      <c r="B2359" s="7" t="s">
        <v>7813</v>
      </c>
      <c r="C2359" s="3">
        <v>2128.4899999999998</v>
      </c>
      <c r="D2359" s="7" t="s">
        <v>7814</v>
      </c>
      <c r="E2359" s="7" t="s">
        <v>4567</v>
      </c>
      <c r="G2359" s="9"/>
    </row>
    <row r="2360" spans="1:7" x14ac:dyDescent="0.3">
      <c r="A2360" s="9">
        <v>45973</v>
      </c>
      <c r="B2360" s="7" t="s">
        <v>7813</v>
      </c>
      <c r="C2360" s="3">
        <v>2575.14</v>
      </c>
      <c r="D2360" s="7" t="s">
        <v>7814</v>
      </c>
      <c r="E2360" s="7" t="s">
        <v>4932</v>
      </c>
      <c r="G2360" s="9"/>
    </row>
    <row r="2361" spans="1:7" x14ac:dyDescent="0.3">
      <c r="A2361" s="9">
        <v>45990</v>
      </c>
      <c r="B2361" s="7" t="s">
        <v>7815</v>
      </c>
      <c r="C2361" s="3">
        <v>-1079.98</v>
      </c>
      <c r="D2361" s="7" t="s">
        <v>7816</v>
      </c>
      <c r="E2361" s="7" t="s">
        <v>7364</v>
      </c>
      <c r="G2361" s="9"/>
    </row>
    <row r="2362" spans="1:7" x14ac:dyDescent="0.3">
      <c r="A2362" s="9">
        <v>46032</v>
      </c>
      <c r="B2362" s="7" t="s">
        <v>7815</v>
      </c>
      <c r="C2362" s="3">
        <v>-870.36</v>
      </c>
      <c r="D2362" s="7" t="s">
        <v>7816</v>
      </c>
      <c r="E2362" s="7" t="s">
        <v>7494</v>
      </c>
      <c r="G2362" s="9"/>
    </row>
    <row r="2363" spans="1:7" x14ac:dyDescent="0.3">
      <c r="A2363" s="9">
        <v>45980</v>
      </c>
      <c r="B2363" s="7" t="s">
        <v>7813</v>
      </c>
      <c r="C2363" s="3">
        <v>14211.78</v>
      </c>
      <c r="D2363" s="7" t="s">
        <v>7814</v>
      </c>
      <c r="E2363" s="7" t="s">
        <v>3176</v>
      </c>
      <c r="G2363" s="9"/>
    </row>
    <row r="2364" spans="1:7" x14ac:dyDescent="0.3">
      <c r="A2364" s="9">
        <v>46077</v>
      </c>
      <c r="B2364" s="7" t="s">
        <v>7813</v>
      </c>
      <c r="C2364" s="3">
        <v>3097.83</v>
      </c>
      <c r="D2364" s="7" t="s">
        <v>7814</v>
      </c>
      <c r="E2364" s="7" t="s">
        <v>3272</v>
      </c>
      <c r="G2364" s="9"/>
    </row>
    <row r="2365" spans="1:7" x14ac:dyDescent="0.3">
      <c r="A2365" s="9">
        <v>46035</v>
      </c>
      <c r="B2365" s="7" t="s">
        <v>7813</v>
      </c>
      <c r="C2365" s="3">
        <v>2128.2199999999998</v>
      </c>
      <c r="D2365" s="7" t="s">
        <v>7814</v>
      </c>
      <c r="E2365" s="7" t="s">
        <v>3772</v>
      </c>
      <c r="G2365" s="9"/>
    </row>
    <row r="2366" spans="1:7" x14ac:dyDescent="0.3">
      <c r="A2366" s="9">
        <v>45981</v>
      </c>
      <c r="B2366" s="7" t="s">
        <v>7813</v>
      </c>
      <c r="C2366" s="3">
        <v>4288.8100000000004</v>
      </c>
      <c r="D2366" s="7" t="s">
        <v>7814</v>
      </c>
      <c r="E2366" s="7" t="s">
        <v>5328</v>
      </c>
      <c r="G2366" s="9"/>
    </row>
    <row r="2367" spans="1:7" x14ac:dyDescent="0.3">
      <c r="A2367" s="9">
        <v>45963</v>
      </c>
      <c r="B2367" s="7" t="s">
        <v>7815</v>
      </c>
      <c r="C2367" s="3">
        <v>-1825.09</v>
      </c>
      <c r="D2367" s="7" t="s">
        <v>7816</v>
      </c>
      <c r="E2367" s="7" t="s">
        <v>7297</v>
      </c>
      <c r="G2367" s="9"/>
    </row>
    <row r="2368" spans="1:7" x14ac:dyDescent="0.3">
      <c r="A2368" s="9">
        <v>46024</v>
      </c>
      <c r="B2368" s="7" t="s">
        <v>7815</v>
      </c>
      <c r="C2368" s="3">
        <v>-5585.66</v>
      </c>
      <c r="D2368" s="7" t="s">
        <v>7816</v>
      </c>
      <c r="E2368" s="7" t="s">
        <v>7673</v>
      </c>
      <c r="G2368" s="9"/>
    </row>
    <row r="2369" spans="1:7" x14ac:dyDescent="0.3">
      <c r="A2369" s="9">
        <v>46073</v>
      </c>
      <c r="B2369" s="7" t="s">
        <v>7813</v>
      </c>
      <c r="C2369" s="3">
        <v>2952.74</v>
      </c>
      <c r="D2369" s="7" t="s">
        <v>7814</v>
      </c>
      <c r="E2369" s="7" t="s">
        <v>3310</v>
      </c>
      <c r="G2369" s="9"/>
    </row>
    <row r="2370" spans="1:7" x14ac:dyDescent="0.3">
      <c r="A2370" s="9">
        <v>45978</v>
      </c>
      <c r="B2370" s="7" t="s">
        <v>7813</v>
      </c>
      <c r="C2370" s="3">
        <v>3546.49</v>
      </c>
      <c r="D2370" s="7" t="s">
        <v>7814</v>
      </c>
      <c r="E2370" s="7" t="s">
        <v>3750</v>
      </c>
      <c r="G2370" s="9"/>
    </row>
    <row r="2371" spans="1:7" x14ac:dyDescent="0.3">
      <c r="A2371" s="9">
        <v>46002</v>
      </c>
      <c r="B2371" s="7" t="s">
        <v>7813</v>
      </c>
      <c r="C2371" s="3">
        <v>3930.44</v>
      </c>
      <c r="D2371" s="7" t="s">
        <v>7814</v>
      </c>
      <c r="E2371" s="7" t="s">
        <v>3967</v>
      </c>
      <c r="G2371" s="9"/>
    </row>
    <row r="2372" spans="1:7" x14ac:dyDescent="0.3">
      <c r="A2372" s="9">
        <v>45976</v>
      </c>
      <c r="B2372" s="7" t="s">
        <v>7813</v>
      </c>
      <c r="C2372" s="3">
        <v>3208.1</v>
      </c>
      <c r="D2372" s="7" t="s">
        <v>7814</v>
      </c>
      <c r="E2372" s="7" t="s">
        <v>4023</v>
      </c>
      <c r="G2372" s="9"/>
    </row>
    <row r="2373" spans="1:7" x14ac:dyDescent="0.3">
      <c r="A2373" s="9">
        <v>46078</v>
      </c>
      <c r="B2373" s="7" t="s">
        <v>7813</v>
      </c>
      <c r="C2373" s="3">
        <v>1645.83</v>
      </c>
      <c r="D2373" s="7" t="s">
        <v>7814</v>
      </c>
      <c r="E2373" s="7" t="s">
        <v>4226</v>
      </c>
      <c r="G2373" s="9"/>
    </row>
    <row r="2374" spans="1:7" x14ac:dyDescent="0.3">
      <c r="A2374" s="9">
        <v>46081</v>
      </c>
      <c r="B2374" s="7" t="s">
        <v>7813</v>
      </c>
      <c r="C2374" s="3">
        <v>3621.02</v>
      </c>
      <c r="D2374" s="7" t="s">
        <v>7814</v>
      </c>
      <c r="E2374" s="7" t="s">
        <v>4399</v>
      </c>
      <c r="G2374" s="9"/>
    </row>
    <row r="2375" spans="1:7" x14ac:dyDescent="0.3">
      <c r="A2375" s="9">
        <v>45992</v>
      </c>
      <c r="B2375" s="7" t="s">
        <v>7813</v>
      </c>
      <c r="C2375" s="3">
        <v>4846.1000000000004</v>
      </c>
      <c r="D2375" s="7" t="s">
        <v>7814</v>
      </c>
      <c r="E2375" s="7" t="s">
        <v>4561</v>
      </c>
      <c r="G2375" s="9"/>
    </row>
    <row r="2376" spans="1:7" x14ac:dyDescent="0.3">
      <c r="A2376" s="9">
        <v>45968</v>
      </c>
      <c r="B2376" s="7" t="s">
        <v>7813</v>
      </c>
      <c r="C2376" s="3">
        <v>2333.0100000000002</v>
      </c>
      <c r="D2376" s="7" t="s">
        <v>7814</v>
      </c>
      <c r="E2376" s="7" t="s">
        <v>5166</v>
      </c>
      <c r="G2376" s="9"/>
    </row>
    <row r="2377" spans="1:7" x14ac:dyDescent="0.3">
      <c r="A2377" s="9">
        <v>46006</v>
      </c>
      <c r="B2377" s="7" t="s">
        <v>7815</v>
      </c>
      <c r="C2377" s="3">
        <v>-3116.77</v>
      </c>
      <c r="D2377" s="7" t="s">
        <v>7816</v>
      </c>
      <c r="E2377" s="7" t="s">
        <v>7587</v>
      </c>
      <c r="G2377" s="9"/>
    </row>
    <row r="2378" spans="1:7" x14ac:dyDescent="0.3">
      <c r="A2378" s="9">
        <v>45995</v>
      </c>
      <c r="B2378" s="7" t="s">
        <v>7813</v>
      </c>
      <c r="C2378" s="3">
        <v>4179.68</v>
      </c>
      <c r="D2378" s="7" t="s">
        <v>7814</v>
      </c>
      <c r="E2378" s="7" t="s">
        <v>3530</v>
      </c>
      <c r="G2378" s="9"/>
    </row>
    <row r="2379" spans="1:7" x14ac:dyDescent="0.3">
      <c r="A2379" s="9">
        <v>45964</v>
      </c>
      <c r="B2379" s="7" t="s">
        <v>7813</v>
      </c>
      <c r="C2379" s="3">
        <v>2928.47</v>
      </c>
      <c r="D2379" s="7" t="s">
        <v>7814</v>
      </c>
      <c r="E2379" s="7" t="s">
        <v>5176</v>
      </c>
      <c r="G2379" s="9"/>
    </row>
    <row r="2380" spans="1:7" x14ac:dyDescent="0.3">
      <c r="A2380" s="9">
        <v>46025</v>
      </c>
      <c r="B2380" s="7" t="s">
        <v>7813</v>
      </c>
      <c r="C2380" s="3">
        <v>2081.1999999999998</v>
      </c>
      <c r="D2380" s="7" t="s">
        <v>7814</v>
      </c>
      <c r="E2380" s="7" t="s">
        <v>5380</v>
      </c>
      <c r="G2380" s="9"/>
    </row>
    <row r="2381" spans="1:7" x14ac:dyDescent="0.3">
      <c r="A2381" s="9">
        <v>45986</v>
      </c>
      <c r="B2381" s="7" t="s">
        <v>7815</v>
      </c>
      <c r="C2381" s="3">
        <v>-3462.27</v>
      </c>
      <c r="D2381" s="7" t="s">
        <v>7816</v>
      </c>
      <c r="E2381" s="7" t="s">
        <v>7468</v>
      </c>
      <c r="G2381" s="9"/>
    </row>
    <row r="2382" spans="1:7" x14ac:dyDescent="0.3">
      <c r="A2382" s="9">
        <v>45966</v>
      </c>
      <c r="B2382" s="7" t="s">
        <v>7813</v>
      </c>
      <c r="C2382" s="3">
        <v>5359.39</v>
      </c>
      <c r="D2382" s="7" t="s">
        <v>7814</v>
      </c>
      <c r="E2382" s="7" t="s">
        <v>3477</v>
      </c>
      <c r="G2382" s="9"/>
    </row>
    <row r="2383" spans="1:7" x14ac:dyDescent="0.3">
      <c r="A2383" s="9">
        <v>46051</v>
      </c>
      <c r="B2383" s="7" t="s">
        <v>7813</v>
      </c>
      <c r="C2383" s="3">
        <v>4556.25</v>
      </c>
      <c r="D2383" s="7" t="s">
        <v>7814</v>
      </c>
      <c r="E2383" s="7" t="s">
        <v>4478</v>
      </c>
      <c r="G2383" s="9"/>
    </row>
    <row r="2384" spans="1:7" x14ac:dyDescent="0.3">
      <c r="A2384" s="9">
        <v>45976</v>
      </c>
      <c r="B2384" s="7" t="s">
        <v>7813</v>
      </c>
      <c r="C2384" s="3">
        <v>2563.64</v>
      </c>
      <c r="D2384" s="7" t="s">
        <v>7814</v>
      </c>
      <c r="E2384" s="7" t="s">
        <v>4571</v>
      </c>
      <c r="G2384" s="9"/>
    </row>
    <row r="2385" spans="1:7" x14ac:dyDescent="0.3">
      <c r="A2385" s="9">
        <v>45971</v>
      </c>
      <c r="B2385" s="7" t="s">
        <v>7813</v>
      </c>
      <c r="C2385" s="3">
        <v>5449.32</v>
      </c>
      <c r="D2385" s="7" t="s">
        <v>7814</v>
      </c>
      <c r="E2385" s="7" t="s">
        <v>4950</v>
      </c>
      <c r="G2385" s="9"/>
    </row>
    <row r="2386" spans="1:7" x14ac:dyDescent="0.3">
      <c r="A2386" s="9">
        <v>46067</v>
      </c>
      <c r="B2386" s="7" t="s">
        <v>7813</v>
      </c>
      <c r="C2386" s="3">
        <v>2819.84</v>
      </c>
      <c r="D2386" s="7" t="s">
        <v>7814</v>
      </c>
      <c r="E2386" s="7" t="s">
        <v>5020</v>
      </c>
      <c r="G2386" s="9"/>
    </row>
    <row r="2387" spans="1:7" x14ac:dyDescent="0.3">
      <c r="A2387" s="9">
        <v>46012</v>
      </c>
      <c r="B2387" s="7" t="s">
        <v>7813</v>
      </c>
      <c r="C2387" s="3">
        <v>10245.15</v>
      </c>
      <c r="D2387" s="7" t="s">
        <v>7814</v>
      </c>
      <c r="E2387" s="7" t="s">
        <v>5195</v>
      </c>
      <c r="G2387" s="9"/>
    </row>
    <row r="2388" spans="1:7" x14ac:dyDescent="0.3">
      <c r="A2388" s="9">
        <v>46066</v>
      </c>
      <c r="B2388" s="7" t="s">
        <v>7813</v>
      </c>
      <c r="C2388" s="3">
        <v>1663.64</v>
      </c>
      <c r="D2388" s="7" t="s">
        <v>7814</v>
      </c>
      <c r="E2388" s="7" t="s">
        <v>5395</v>
      </c>
      <c r="G2388" s="9"/>
    </row>
    <row r="2389" spans="1:7" x14ac:dyDescent="0.3">
      <c r="A2389" s="9">
        <v>45975</v>
      </c>
      <c r="B2389" s="7" t="s">
        <v>7815</v>
      </c>
      <c r="C2389" s="3">
        <v>-3983.61</v>
      </c>
      <c r="D2389" s="7" t="s">
        <v>7816</v>
      </c>
      <c r="E2389" s="7" t="s">
        <v>7370</v>
      </c>
      <c r="G2389" s="9"/>
    </row>
    <row r="2390" spans="1:7" x14ac:dyDescent="0.3">
      <c r="A2390" s="9">
        <v>46063</v>
      </c>
      <c r="B2390" s="7" t="s">
        <v>7813</v>
      </c>
      <c r="C2390" s="3">
        <v>1234.96</v>
      </c>
      <c r="D2390" s="7" t="s">
        <v>7814</v>
      </c>
      <c r="E2390" s="7" t="s">
        <v>4227</v>
      </c>
      <c r="G2390" s="9"/>
    </row>
    <row r="2391" spans="1:7" x14ac:dyDescent="0.3">
      <c r="A2391" s="9">
        <v>46040</v>
      </c>
      <c r="B2391" s="7" t="s">
        <v>7813</v>
      </c>
      <c r="C2391" s="3">
        <v>2069.06</v>
      </c>
      <c r="D2391" s="7" t="s">
        <v>7814</v>
      </c>
      <c r="E2391" s="7" t="s">
        <v>4303</v>
      </c>
      <c r="G2391" s="9"/>
    </row>
    <row r="2392" spans="1:7" x14ac:dyDescent="0.3">
      <c r="A2392" s="9">
        <v>46059</v>
      </c>
      <c r="B2392" s="7" t="s">
        <v>7815</v>
      </c>
      <c r="C2392" s="3">
        <v>-2975.25</v>
      </c>
      <c r="D2392" s="7" t="s">
        <v>7816</v>
      </c>
      <c r="E2392" s="7" t="s">
        <v>6952</v>
      </c>
      <c r="G2392" s="9"/>
    </row>
    <row r="2393" spans="1:7" x14ac:dyDescent="0.3">
      <c r="A2393" s="9">
        <v>46046</v>
      </c>
      <c r="B2393" s="7" t="s">
        <v>7813</v>
      </c>
      <c r="C2393" s="3">
        <v>1615.18</v>
      </c>
      <c r="D2393" s="7" t="s">
        <v>7814</v>
      </c>
      <c r="E2393" s="7" t="s">
        <v>3187</v>
      </c>
      <c r="G2393" s="9"/>
    </row>
    <row r="2394" spans="1:7" x14ac:dyDescent="0.3">
      <c r="A2394" s="9">
        <v>46086</v>
      </c>
      <c r="B2394" s="7" t="s">
        <v>7813</v>
      </c>
      <c r="C2394" s="3">
        <v>6503.75</v>
      </c>
      <c r="D2394" s="7" t="s">
        <v>7814</v>
      </c>
      <c r="E2394" s="7" t="s">
        <v>4951</v>
      </c>
      <c r="G2394" s="9"/>
    </row>
    <row r="2395" spans="1:7" x14ac:dyDescent="0.3">
      <c r="A2395" s="9">
        <v>46041</v>
      </c>
      <c r="B2395" s="7" t="s">
        <v>7815</v>
      </c>
      <c r="C2395" s="3">
        <v>-4693.2700000000004</v>
      </c>
      <c r="D2395" s="7" t="s">
        <v>7816</v>
      </c>
      <c r="E2395" s="7" t="s">
        <v>7213</v>
      </c>
      <c r="G2395" s="9"/>
    </row>
    <row r="2396" spans="1:7" x14ac:dyDescent="0.3">
      <c r="A2396" s="9">
        <v>46014</v>
      </c>
      <c r="B2396" s="7" t="s">
        <v>7813</v>
      </c>
      <c r="C2396" s="3">
        <v>2137.27</v>
      </c>
      <c r="D2396" s="7" t="s">
        <v>7814</v>
      </c>
      <c r="E2396" s="7" t="s">
        <v>3407</v>
      </c>
      <c r="G2396" s="9"/>
    </row>
    <row r="2397" spans="1:7" x14ac:dyDescent="0.3">
      <c r="A2397" s="9">
        <v>46030</v>
      </c>
      <c r="B2397" s="7" t="s">
        <v>7813</v>
      </c>
      <c r="C2397" s="3">
        <v>3343.86</v>
      </c>
      <c r="D2397" s="7" t="s">
        <v>7814</v>
      </c>
      <c r="E2397" s="7" t="s">
        <v>3649</v>
      </c>
      <c r="G2397" s="9"/>
    </row>
    <row r="2398" spans="1:7" x14ac:dyDescent="0.3">
      <c r="A2398" s="9">
        <v>45965</v>
      </c>
      <c r="B2398" s="7" t="s">
        <v>7813</v>
      </c>
      <c r="C2398" s="3">
        <v>12024.61</v>
      </c>
      <c r="D2398" s="7" t="s">
        <v>7814</v>
      </c>
      <c r="E2398" s="7" t="s">
        <v>3661</v>
      </c>
      <c r="G2398" s="9"/>
    </row>
    <row r="2399" spans="1:7" x14ac:dyDescent="0.3">
      <c r="A2399" s="9">
        <v>46053</v>
      </c>
      <c r="B2399" s="7" t="s">
        <v>7813</v>
      </c>
      <c r="C2399" s="3">
        <v>13598.79</v>
      </c>
      <c r="D2399" s="7" t="s">
        <v>7814</v>
      </c>
      <c r="E2399" s="7" t="s">
        <v>4297</v>
      </c>
      <c r="G2399" s="9"/>
    </row>
    <row r="2400" spans="1:7" x14ac:dyDescent="0.3">
      <c r="A2400" s="9">
        <v>46081</v>
      </c>
      <c r="B2400" s="7" t="s">
        <v>7813</v>
      </c>
      <c r="C2400" s="3">
        <v>2956.91</v>
      </c>
      <c r="D2400" s="7" t="s">
        <v>7814</v>
      </c>
      <c r="E2400" s="7" t="s">
        <v>5197</v>
      </c>
      <c r="G2400" s="9"/>
    </row>
    <row r="2401" spans="1:7" x14ac:dyDescent="0.3">
      <c r="A2401" s="9">
        <v>46074</v>
      </c>
      <c r="B2401" s="7" t="s">
        <v>7815</v>
      </c>
      <c r="C2401" s="3">
        <v>-4432.1899999999996</v>
      </c>
      <c r="D2401" s="7" t="s">
        <v>7816</v>
      </c>
      <c r="E2401" s="7" t="s">
        <v>6833</v>
      </c>
      <c r="G2401" s="9"/>
    </row>
    <row r="2402" spans="1:7" x14ac:dyDescent="0.3">
      <c r="A2402" s="9">
        <v>46075</v>
      </c>
      <c r="B2402" s="7" t="s">
        <v>7815</v>
      </c>
      <c r="C2402" s="3">
        <v>-1787.87</v>
      </c>
      <c r="D2402" s="7" t="s">
        <v>7816</v>
      </c>
      <c r="E2402" s="7" t="s">
        <v>7165</v>
      </c>
      <c r="G2402" s="9"/>
    </row>
    <row r="2403" spans="1:7" x14ac:dyDescent="0.3">
      <c r="A2403" s="9">
        <v>45979</v>
      </c>
      <c r="B2403" s="7" t="s">
        <v>7815</v>
      </c>
      <c r="C2403" s="3">
        <v>-4482.8</v>
      </c>
      <c r="D2403" s="7" t="s">
        <v>7816</v>
      </c>
      <c r="E2403" s="7" t="s">
        <v>7253</v>
      </c>
      <c r="G2403" s="9"/>
    </row>
    <row r="2404" spans="1:7" x14ac:dyDescent="0.3">
      <c r="A2404" s="9">
        <v>46018</v>
      </c>
      <c r="B2404" s="7" t="s">
        <v>7813</v>
      </c>
      <c r="C2404" s="3">
        <v>1481.98</v>
      </c>
      <c r="D2404" s="7" t="s">
        <v>7814</v>
      </c>
      <c r="E2404" s="7" t="s">
        <v>3903</v>
      </c>
      <c r="G2404" s="9"/>
    </row>
    <row r="2405" spans="1:7" x14ac:dyDescent="0.3">
      <c r="A2405" s="9">
        <v>46040</v>
      </c>
      <c r="B2405" s="7" t="s">
        <v>7813</v>
      </c>
      <c r="C2405" s="3">
        <v>3456.27</v>
      </c>
      <c r="D2405" s="7" t="s">
        <v>7814</v>
      </c>
      <c r="E2405" s="7" t="s">
        <v>3951</v>
      </c>
      <c r="G2405" s="9"/>
    </row>
    <row r="2406" spans="1:7" x14ac:dyDescent="0.3">
      <c r="A2406" s="9">
        <v>46071</v>
      </c>
      <c r="B2406" s="7" t="s">
        <v>7813</v>
      </c>
      <c r="C2406" s="3">
        <v>2153.64</v>
      </c>
      <c r="D2406" s="7" t="s">
        <v>7814</v>
      </c>
      <c r="E2406" s="7" t="s">
        <v>4550</v>
      </c>
      <c r="G2406" s="9"/>
    </row>
    <row r="2407" spans="1:7" x14ac:dyDescent="0.3">
      <c r="A2407" s="9">
        <v>46071</v>
      </c>
      <c r="B2407" s="7" t="s">
        <v>7815</v>
      </c>
      <c r="C2407" s="3">
        <v>-4382.8999999999996</v>
      </c>
      <c r="D2407" s="7" t="s">
        <v>7816</v>
      </c>
      <c r="E2407" s="7" t="s">
        <v>7002</v>
      </c>
      <c r="G2407" s="9"/>
    </row>
    <row r="2408" spans="1:7" x14ac:dyDescent="0.3">
      <c r="A2408" s="9">
        <v>45985</v>
      </c>
      <c r="B2408" s="7" t="s">
        <v>7815</v>
      </c>
      <c r="C2408" s="3">
        <v>-6974.76</v>
      </c>
      <c r="D2408" s="7" t="s">
        <v>7816</v>
      </c>
      <c r="E2408" s="7" t="s">
        <v>7410</v>
      </c>
      <c r="G2408" s="9"/>
    </row>
    <row r="2409" spans="1:7" x14ac:dyDescent="0.3">
      <c r="A2409" s="9">
        <v>45967</v>
      </c>
      <c r="B2409" s="7" t="s">
        <v>7815</v>
      </c>
      <c r="C2409" s="3">
        <v>-3482.65</v>
      </c>
      <c r="D2409" s="7" t="s">
        <v>7816</v>
      </c>
      <c r="E2409" s="7" t="s">
        <v>7529</v>
      </c>
      <c r="G2409" s="9"/>
    </row>
    <row r="2410" spans="1:7" x14ac:dyDescent="0.3">
      <c r="A2410" s="9">
        <v>46061</v>
      </c>
      <c r="B2410" s="7" t="s">
        <v>7813</v>
      </c>
      <c r="C2410" s="3">
        <v>3418.58</v>
      </c>
      <c r="D2410" s="7" t="s">
        <v>7814</v>
      </c>
      <c r="E2410" s="7" t="s">
        <v>3432</v>
      </c>
      <c r="G2410" s="9"/>
    </row>
    <row r="2411" spans="1:7" x14ac:dyDescent="0.3">
      <c r="A2411" s="9">
        <v>45989</v>
      </c>
      <c r="B2411" s="7" t="s">
        <v>7813</v>
      </c>
      <c r="C2411" s="3">
        <v>1541.95</v>
      </c>
      <c r="D2411" s="7" t="s">
        <v>7814</v>
      </c>
      <c r="E2411" s="7" t="s">
        <v>4074</v>
      </c>
      <c r="G2411" s="9"/>
    </row>
    <row r="2412" spans="1:7" x14ac:dyDescent="0.3">
      <c r="A2412" s="9">
        <v>46000</v>
      </c>
      <c r="B2412" s="7" t="s">
        <v>7813</v>
      </c>
      <c r="C2412" s="3">
        <v>961.93</v>
      </c>
      <c r="D2412" s="7" t="s">
        <v>7814</v>
      </c>
      <c r="E2412" s="7" t="s">
        <v>4125</v>
      </c>
      <c r="G2412" s="9"/>
    </row>
    <row r="2413" spans="1:7" x14ac:dyDescent="0.3">
      <c r="A2413" s="9">
        <v>46037</v>
      </c>
      <c r="B2413" s="7" t="s">
        <v>7813</v>
      </c>
      <c r="C2413" s="3">
        <v>12108.78</v>
      </c>
      <c r="D2413" s="7" t="s">
        <v>7814</v>
      </c>
      <c r="E2413" s="7" t="s">
        <v>4171</v>
      </c>
      <c r="G2413" s="9"/>
    </row>
    <row r="2414" spans="1:7" x14ac:dyDescent="0.3">
      <c r="A2414" s="9">
        <v>46052</v>
      </c>
      <c r="B2414" s="7" t="s">
        <v>7813</v>
      </c>
      <c r="C2414" s="3">
        <v>10569.27</v>
      </c>
      <c r="D2414" s="7" t="s">
        <v>7814</v>
      </c>
      <c r="E2414" s="7" t="s">
        <v>4179</v>
      </c>
      <c r="G2414" s="9"/>
    </row>
    <row r="2415" spans="1:7" x14ac:dyDescent="0.3">
      <c r="A2415" s="9">
        <v>46023</v>
      </c>
      <c r="B2415" s="7" t="s">
        <v>7813</v>
      </c>
      <c r="C2415" s="3">
        <v>3681.78</v>
      </c>
      <c r="D2415" s="7" t="s">
        <v>7814</v>
      </c>
      <c r="E2415" s="7" t="s">
        <v>4437</v>
      </c>
      <c r="G2415" s="9"/>
    </row>
    <row r="2416" spans="1:7" x14ac:dyDescent="0.3">
      <c r="A2416" s="9">
        <v>46040</v>
      </c>
      <c r="B2416" s="7" t="s">
        <v>7813</v>
      </c>
      <c r="C2416" s="3">
        <v>3583.64</v>
      </c>
      <c r="D2416" s="7" t="s">
        <v>7814</v>
      </c>
      <c r="E2416" s="7" t="s">
        <v>4565</v>
      </c>
      <c r="G2416" s="9"/>
    </row>
    <row r="2417" spans="1:7" x14ac:dyDescent="0.3">
      <c r="A2417" s="9">
        <v>45996</v>
      </c>
      <c r="B2417" s="7" t="s">
        <v>7813</v>
      </c>
      <c r="C2417" s="3">
        <v>1258.07</v>
      </c>
      <c r="D2417" s="7" t="s">
        <v>7814</v>
      </c>
      <c r="E2417" s="7" t="s">
        <v>4948</v>
      </c>
      <c r="G2417" s="9"/>
    </row>
    <row r="2418" spans="1:7" x14ac:dyDescent="0.3">
      <c r="A2418" s="9">
        <v>46037</v>
      </c>
      <c r="B2418" s="7" t="s">
        <v>7813</v>
      </c>
      <c r="C2418" s="3">
        <v>12485.08</v>
      </c>
      <c r="D2418" s="7" t="s">
        <v>7814</v>
      </c>
      <c r="E2418" s="7" t="s">
        <v>4955</v>
      </c>
      <c r="G2418" s="9"/>
    </row>
    <row r="2419" spans="1:7" x14ac:dyDescent="0.3">
      <c r="A2419" s="9">
        <v>45979</v>
      </c>
      <c r="B2419" s="7" t="s">
        <v>7813</v>
      </c>
      <c r="C2419" s="3">
        <v>5910.72</v>
      </c>
      <c r="D2419" s="7" t="s">
        <v>7814</v>
      </c>
      <c r="E2419" s="7" t="s">
        <v>5007</v>
      </c>
      <c r="G2419" s="9"/>
    </row>
    <row r="2420" spans="1:7" x14ac:dyDescent="0.3">
      <c r="A2420" s="9">
        <v>46085</v>
      </c>
      <c r="B2420" s="7" t="s">
        <v>7815</v>
      </c>
      <c r="C2420" s="3">
        <v>-1350.67</v>
      </c>
      <c r="D2420" s="7" t="s">
        <v>7816</v>
      </c>
      <c r="E2420" s="7" t="s">
        <v>7170</v>
      </c>
      <c r="G2420" s="9"/>
    </row>
    <row r="2421" spans="1:7" x14ac:dyDescent="0.3">
      <c r="A2421" s="9">
        <v>46055</v>
      </c>
      <c r="B2421" s="7" t="s">
        <v>7815</v>
      </c>
      <c r="C2421" s="3">
        <v>-4123.29</v>
      </c>
      <c r="D2421" s="7" t="s">
        <v>7816</v>
      </c>
      <c r="E2421" s="7" t="s">
        <v>7418</v>
      </c>
      <c r="G2421" s="9"/>
    </row>
    <row r="2422" spans="1:7" x14ac:dyDescent="0.3">
      <c r="A2422" s="9">
        <v>46010</v>
      </c>
      <c r="B2422" s="7" t="s">
        <v>7815</v>
      </c>
      <c r="C2422" s="3">
        <v>-2304.0300000000002</v>
      </c>
      <c r="D2422" s="7" t="s">
        <v>7816</v>
      </c>
      <c r="E2422" s="7" t="s">
        <v>7547</v>
      </c>
      <c r="G2422" s="9"/>
    </row>
    <row r="2423" spans="1:7" x14ac:dyDescent="0.3">
      <c r="A2423" s="9">
        <v>46021</v>
      </c>
      <c r="B2423" s="7" t="s">
        <v>7815</v>
      </c>
      <c r="C2423" s="3">
        <v>-6927.78</v>
      </c>
      <c r="D2423" s="7" t="s">
        <v>7816</v>
      </c>
      <c r="E2423" s="7" t="s">
        <v>7693</v>
      </c>
      <c r="G2423" s="9"/>
    </row>
    <row r="2424" spans="1:7" x14ac:dyDescent="0.3">
      <c r="A2424" s="9">
        <v>46082</v>
      </c>
      <c r="B2424" s="7" t="s">
        <v>7813</v>
      </c>
      <c r="C2424" s="3">
        <v>3064.03</v>
      </c>
      <c r="D2424" s="7" t="s">
        <v>7814</v>
      </c>
      <c r="E2424" s="7" t="s">
        <v>3194</v>
      </c>
      <c r="G2424" s="9"/>
    </row>
    <row r="2425" spans="1:7" x14ac:dyDescent="0.3">
      <c r="A2425" s="9">
        <v>46045</v>
      </c>
      <c r="B2425" s="7" t="s">
        <v>7813</v>
      </c>
      <c r="C2425" s="3">
        <v>1037.21</v>
      </c>
      <c r="D2425" s="7" t="s">
        <v>7814</v>
      </c>
      <c r="E2425" s="7" t="s">
        <v>4502</v>
      </c>
      <c r="G2425" s="9"/>
    </row>
    <row r="2426" spans="1:7" x14ac:dyDescent="0.3">
      <c r="A2426" s="9">
        <v>45992</v>
      </c>
      <c r="B2426" s="7" t="s">
        <v>7813</v>
      </c>
      <c r="C2426" s="3">
        <v>5635</v>
      </c>
      <c r="D2426" s="7" t="s">
        <v>7814</v>
      </c>
      <c r="E2426" s="7" t="s">
        <v>4644</v>
      </c>
      <c r="G2426" s="9"/>
    </row>
    <row r="2427" spans="1:7" x14ac:dyDescent="0.3">
      <c r="A2427" s="9">
        <v>46032</v>
      </c>
      <c r="B2427" s="7" t="s">
        <v>7813</v>
      </c>
      <c r="C2427" s="3">
        <v>11102.48</v>
      </c>
      <c r="D2427" s="7" t="s">
        <v>7814</v>
      </c>
      <c r="E2427" s="7" t="s">
        <v>4983</v>
      </c>
      <c r="G2427" s="9"/>
    </row>
    <row r="2428" spans="1:7" x14ac:dyDescent="0.3">
      <c r="A2428" s="9">
        <v>45963</v>
      </c>
      <c r="B2428" s="7" t="s">
        <v>7815</v>
      </c>
      <c r="C2428" s="3">
        <v>-5631.02</v>
      </c>
      <c r="D2428" s="7" t="s">
        <v>7816</v>
      </c>
      <c r="E2428" s="7" t="s">
        <v>6987</v>
      </c>
      <c r="G2428" s="9"/>
    </row>
    <row r="2429" spans="1:7" x14ac:dyDescent="0.3">
      <c r="A2429" s="9">
        <v>45998</v>
      </c>
      <c r="B2429" s="7" t="s">
        <v>7815</v>
      </c>
      <c r="C2429" s="3">
        <v>-6952.88</v>
      </c>
      <c r="D2429" s="7" t="s">
        <v>7816</v>
      </c>
      <c r="E2429" s="7" t="s">
        <v>7247</v>
      </c>
      <c r="G2429" s="9"/>
    </row>
    <row r="2430" spans="1:7" x14ac:dyDescent="0.3">
      <c r="A2430" s="9">
        <v>45985</v>
      </c>
      <c r="B2430" s="7" t="s">
        <v>7813</v>
      </c>
      <c r="C2430" s="3">
        <v>2544.4699999999998</v>
      </c>
      <c r="D2430" s="7" t="s">
        <v>7814</v>
      </c>
      <c r="E2430" s="7" t="s">
        <v>3256</v>
      </c>
      <c r="G2430" s="9"/>
    </row>
    <row r="2431" spans="1:7" x14ac:dyDescent="0.3">
      <c r="A2431" s="9">
        <v>45994</v>
      </c>
      <c r="B2431" s="7" t="s">
        <v>7813</v>
      </c>
      <c r="C2431" s="3">
        <v>3834.55</v>
      </c>
      <c r="D2431" s="7" t="s">
        <v>7814</v>
      </c>
      <c r="E2431" s="7" t="s">
        <v>4045</v>
      </c>
      <c r="G2431" s="9"/>
    </row>
    <row r="2432" spans="1:7" x14ac:dyDescent="0.3">
      <c r="A2432" s="9">
        <v>46036</v>
      </c>
      <c r="B2432" s="7" t="s">
        <v>7813</v>
      </c>
      <c r="C2432" s="3">
        <v>2651.08</v>
      </c>
      <c r="D2432" s="7" t="s">
        <v>7814</v>
      </c>
      <c r="E2432" s="7" t="s">
        <v>4283</v>
      </c>
      <c r="G2432" s="9"/>
    </row>
    <row r="2433" spans="1:7" x14ac:dyDescent="0.3">
      <c r="A2433" s="9">
        <v>46025</v>
      </c>
      <c r="B2433" s="7" t="s">
        <v>7813</v>
      </c>
      <c r="C2433" s="3">
        <v>8618.82</v>
      </c>
      <c r="D2433" s="7" t="s">
        <v>7814</v>
      </c>
      <c r="E2433" s="7" t="s">
        <v>4434</v>
      </c>
      <c r="G2433" s="9"/>
    </row>
    <row r="2434" spans="1:7" x14ac:dyDescent="0.3">
      <c r="A2434" s="9">
        <v>45973</v>
      </c>
      <c r="B2434" s="7" t="s">
        <v>7813</v>
      </c>
      <c r="C2434" s="3">
        <v>3356.95</v>
      </c>
      <c r="D2434" s="7" t="s">
        <v>7814</v>
      </c>
      <c r="E2434" s="7" t="s">
        <v>4881</v>
      </c>
      <c r="G2434" s="9"/>
    </row>
    <row r="2435" spans="1:7" x14ac:dyDescent="0.3">
      <c r="A2435" s="9">
        <v>46010</v>
      </c>
      <c r="B2435" s="7" t="s">
        <v>7813</v>
      </c>
      <c r="C2435" s="3">
        <v>13200.92</v>
      </c>
      <c r="D2435" s="7" t="s">
        <v>7814</v>
      </c>
      <c r="E2435" s="7" t="s">
        <v>5401</v>
      </c>
      <c r="G2435" s="9"/>
    </row>
    <row r="2436" spans="1:7" x14ac:dyDescent="0.3">
      <c r="A2436" s="9">
        <v>45985</v>
      </c>
      <c r="B2436" s="7" t="s">
        <v>7815</v>
      </c>
      <c r="C2436" s="3">
        <v>-1423.13</v>
      </c>
      <c r="D2436" s="7" t="s">
        <v>7816</v>
      </c>
      <c r="E2436" s="7" t="s">
        <v>7214</v>
      </c>
      <c r="G2436" s="9"/>
    </row>
    <row r="2437" spans="1:7" x14ac:dyDescent="0.3">
      <c r="A2437" s="9">
        <v>46040</v>
      </c>
      <c r="B2437" s="7" t="s">
        <v>7815</v>
      </c>
      <c r="C2437" s="3">
        <v>-2878.86</v>
      </c>
      <c r="D2437" s="7" t="s">
        <v>7816</v>
      </c>
      <c r="E2437" s="7" t="s">
        <v>7601</v>
      </c>
      <c r="G2437" s="9"/>
    </row>
    <row r="2438" spans="1:7" x14ac:dyDescent="0.3">
      <c r="A2438" s="9">
        <v>45991</v>
      </c>
      <c r="B2438" s="7" t="s">
        <v>7815</v>
      </c>
      <c r="C2438" s="3">
        <v>-5621.28</v>
      </c>
      <c r="D2438" s="7" t="s">
        <v>7816</v>
      </c>
      <c r="E2438" s="7" t="s">
        <v>7623</v>
      </c>
      <c r="G2438" s="9"/>
    </row>
    <row r="2439" spans="1:7" x14ac:dyDescent="0.3">
      <c r="A2439" s="9">
        <v>46065</v>
      </c>
      <c r="B2439" s="7" t="s">
        <v>7815</v>
      </c>
      <c r="C2439" s="3">
        <v>-1471.69</v>
      </c>
      <c r="D2439" s="7" t="s">
        <v>7816</v>
      </c>
      <c r="E2439" s="7" t="s">
        <v>7672</v>
      </c>
      <c r="G2439" s="9"/>
    </row>
    <row r="2440" spans="1:7" x14ac:dyDescent="0.3">
      <c r="A2440" s="9">
        <v>46076</v>
      </c>
      <c r="B2440" s="7" t="s">
        <v>7813</v>
      </c>
      <c r="C2440" s="3">
        <v>5467.59</v>
      </c>
      <c r="D2440" s="7" t="s">
        <v>7814</v>
      </c>
      <c r="E2440" s="7" t="s">
        <v>3177</v>
      </c>
      <c r="G2440" s="9"/>
    </row>
    <row r="2441" spans="1:7" x14ac:dyDescent="0.3">
      <c r="A2441" s="9">
        <v>46040</v>
      </c>
      <c r="B2441" s="7" t="s">
        <v>7813</v>
      </c>
      <c r="C2441" s="3">
        <v>4550.03</v>
      </c>
      <c r="D2441" s="7" t="s">
        <v>7814</v>
      </c>
      <c r="E2441" s="7" t="s">
        <v>3265</v>
      </c>
      <c r="G2441" s="9"/>
    </row>
    <row r="2442" spans="1:7" x14ac:dyDescent="0.3">
      <c r="A2442" s="9">
        <v>45973</v>
      </c>
      <c r="B2442" s="7" t="s">
        <v>7813</v>
      </c>
      <c r="C2442" s="3">
        <v>3680.64</v>
      </c>
      <c r="D2442" s="7" t="s">
        <v>7814</v>
      </c>
      <c r="E2442" s="7" t="s">
        <v>3396</v>
      </c>
      <c r="G2442" s="9"/>
    </row>
    <row r="2443" spans="1:7" x14ac:dyDescent="0.3">
      <c r="A2443" s="9">
        <v>46067</v>
      </c>
      <c r="B2443" s="7" t="s">
        <v>7813</v>
      </c>
      <c r="C2443" s="3">
        <v>5955.79</v>
      </c>
      <c r="D2443" s="7" t="s">
        <v>7814</v>
      </c>
      <c r="E2443" s="7" t="s">
        <v>3709</v>
      </c>
      <c r="G2443" s="9"/>
    </row>
    <row r="2444" spans="1:7" x14ac:dyDescent="0.3">
      <c r="A2444" s="9">
        <v>46027</v>
      </c>
      <c r="B2444" s="7" t="s">
        <v>7813</v>
      </c>
      <c r="C2444" s="3">
        <v>10451.64</v>
      </c>
      <c r="D2444" s="7" t="s">
        <v>7814</v>
      </c>
      <c r="E2444" s="7" t="s">
        <v>3740</v>
      </c>
      <c r="G2444" s="9"/>
    </row>
    <row r="2445" spans="1:7" x14ac:dyDescent="0.3">
      <c r="A2445" s="9">
        <v>46091</v>
      </c>
      <c r="B2445" s="7" t="s">
        <v>7813</v>
      </c>
      <c r="C2445" s="3">
        <v>3310.11</v>
      </c>
      <c r="D2445" s="7" t="s">
        <v>7814</v>
      </c>
      <c r="E2445" s="7" t="s">
        <v>4368</v>
      </c>
      <c r="G2445" s="9"/>
    </row>
    <row r="2446" spans="1:7" x14ac:dyDescent="0.3">
      <c r="A2446" s="9">
        <v>45976</v>
      </c>
      <c r="B2446" s="7" t="s">
        <v>7813</v>
      </c>
      <c r="C2446" s="3">
        <v>13350.71</v>
      </c>
      <c r="D2446" s="7" t="s">
        <v>7814</v>
      </c>
      <c r="E2446" s="7" t="s">
        <v>4678</v>
      </c>
      <c r="G2446" s="9"/>
    </row>
    <row r="2447" spans="1:7" x14ac:dyDescent="0.3">
      <c r="A2447" s="9">
        <v>46004</v>
      </c>
      <c r="B2447" s="7" t="s">
        <v>7813</v>
      </c>
      <c r="C2447" s="3">
        <v>1516.48</v>
      </c>
      <c r="D2447" s="7" t="s">
        <v>7814</v>
      </c>
      <c r="E2447" s="7" t="s">
        <v>4855</v>
      </c>
      <c r="G2447" s="9"/>
    </row>
    <row r="2448" spans="1:7" x14ac:dyDescent="0.3">
      <c r="A2448" s="9">
        <v>46003</v>
      </c>
      <c r="B2448" s="7" t="s">
        <v>7813</v>
      </c>
      <c r="C2448" s="3">
        <v>3716.45</v>
      </c>
      <c r="D2448" s="7" t="s">
        <v>7814</v>
      </c>
      <c r="E2448" s="7" t="s">
        <v>3458</v>
      </c>
      <c r="G2448" s="9"/>
    </row>
    <row r="2449" spans="1:7" x14ac:dyDescent="0.3">
      <c r="A2449" s="9">
        <v>45974</v>
      </c>
      <c r="B2449" s="7" t="s">
        <v>7813</v>
      </c>
      <c r="C2449" s="3">
        <v>4642.82</v>
      </c>
      <c r="D2449" s="7" t="s">
        <v>7814</v>
      </c>
      <c r="E2449" s="7" t="s">
        <v>4435</v>
      </c>
      <c r="G2449" s="9"/>
    </row>
    <row r="2450" spans="1:7" x14ac:dyDescent="0.3">
      <c r="A2450" s="9">
        <v>46083</v>
      </c>
      <c r="B2450" s="7" t="s">
        <v>7813</v>
      </c>
      <c r="C2450" s="3">
        <v>2331.21</v>
      </c>
      <c r="D2450" s="7" t="s">
        <v>7814</v>
      </c>
      <c r="E2450" s="7" t="s">
        <v>4566</v>
      </c>
      <c r="G2450" s="9"/>
    </row>
    <row r="2451" spans="1:7" x14ac:dyDescent="0.3">
      <c r="A2451" s="9">
        <v>46068</v>
      </c>
      <c r="B2451" s="7" t="s">
        <v>7813</v>
      </c>
      <c r="C2451" s="3">
        <v>11302.52</v>
      </c>
      <c r="D2451" s="7" t="s">
        <v>7814</v>
      </c>
      <c r="E2451" s="7" t="s">
        <v>4718</v>
      </c>
      <c r="G2451" s="9"/>
    </row>
    <row r="2452" spans="1:7" x14ac:dyDescent="0.3">
      <c r="A2452" s="9">
        <v>45982</v>
      </c>
      <c r="B2452" s="7" t="s">
        <v>7813</v>
      </c>
      <c r="C2452" s="3">
        <v>1656.5</v>
      </c>
      <c r="D2452" s="7" t="s">
        <v>7814</v>
      </c>
      <c r="E2452" s="7" t="s">
        <v>5183</v>
      </c>
      <c r="G2452" s="9"/>
    </row>
    <row r="2453" spans="1:7" x14ac:dyDescent="0.3">
      <c r="A2453" s="9">
        <v>46088</v>
      </c>
      <c r="B2453" s="7" t="s">
        <v>7815</v>
      </c>
      <c r="C2453" s="3">
        <v>-2026.73</v>
      </c>
      <c r="D2453" s="7" t="s">
        <v>7816</v>
      </c>
      <c r="E2453" s="7" t="s">
        <v>7124</v>
      </c>
      <c r="G2453" s="9"/>
    </row>
    <row r="2454" spans="1:7" x14ac:dyDescent="0.3">
      <c r="A2454" s="9">
        <v>46066</v>
      </c>
      <c r="B2454" s="7" t="s">
        <v>7817</v>
      </c>
      <c r="C2454" s="3">
        <v>-103989.75999999999</v>
      </c>
      <c r="D2454" s="7" t="s">
        <v>7816</v>
      </c>
      <c r="E2454" s="7" t="s">
        <v>7818</v>
      </c>
      <c r="G2454" s="9"/>
    </row>
    <row r="2455" spans="1:7" x14ac:dyDescent="0.3">
      <c r="A2455" s="9">
        <v>45992</v>
      </c>
      <c r="B2455" s="7" t="s">
        <v>7813</v>
      </c>
      <c r="C2455" s="3">
        <v>3659</v>
      </c>
      <c r="D2455" s="7" t="s">
        <v>7814</v>
      </c>
      <c r="E2455" s="7" t="s">
        <v>3273</v>
      </c>
      <c r="G2455" s="9"/>
    </row>
    <row r="2456" spans="1:7" x14ac:dyDescent="0.3">
      <c r="A2456" s="9">
        <v>46073</v>
      </c>
      <c r="B2456" s="7" t="s">
        <v>7813</v>
      </c>
      <c r="C2456" s="3">
        <v>2663.71</v>
      </c>
      <c r="D2456" s="7" t="s">
        <v>7814</v>
      </c>
      <c r="E2456" s="7" t="s">
        <v>3712</v>
      </c>
      <c r="G2456" s="9"/>
    </row>
    <row r="2457" spans="1:7" x14ac:dyDescent="0.3">
      <c r="A2457" s="9">
        <v>46085</v>
      </c>
      <c r="B2457" s="7" t="s">
        <v>7813</v>
      </c>
      <c r="C2457" s="3">
        <v>11531.04</v>
      </c>
      <c r="D2457" s="7" t="s">
        <v>7814</v>
      </c>
      <c r="E2457" s="7" t="s">
        <v>4201</v>
      </c>
      <c r="G2457" s="9"/>
    </row>
    <row r="2458" spans="1:7" x14ac:dyDescent="0.3">
      <c r="A2458" s="9">
        <v>46072</v>
      </c>
      <c r="B2458" s="7" t="s">
        <v>7813</v>
      </c>
      <c r="C2458" s="3">
        <v>1767.6</v>
      </c>
      <c r="D2458" s="7" t="s">
        <v>7814</v>
      </c>
      <c r="E2458" s="7" t="s">
        <v>4276</v>
      </c>
      <c r="G2458" s="9"/>
    </row>
    <row r="2459" spans="1:7" x14ac:dyDescent="0.3">
      <c r="A2459" s="9">
        <v>46089</v>
      </c>
      <c r="B2459" s="7" t="s">
        <v>7813</v>
      </c>
      <c r="C2459" s="3">
        <v>3014.27</v>
      </c>
      <c r="D2459" s="7" t="s">
        <v>7814</v>
      </c>
      <c r="E2459" s="7" t="s">
        <v>4740</v>
      </c>
      <c r="G2459" s="9"/>
    </row>
    <row r="2460" spans="1:7" x14ac:dyDescent="0.3">
      <c r="A2460" s="9">
        <v>46052</v>
      </c>
      <c r="B2460" s="7" t="s">
        <v>7815</v>
      </c>
      <c r="C2460" s="3">
        <v>-5399.89</v>
      </c>
      <c r="D2460" s="7" t="s">
        <v>7816</v>
      </c>
      <c r="E2460" s="7" t="s">
        <v>7125</v>
      </c>
      <c r="G2460" s="9"/>
    </row>
    <row r="2461" spans="1:7" x14ac:dyDescent="0.3">
      <c r="A2461" s="9">
        <v>46081</v>
      </c>
      <c r="B2461" s="7" t="s">
        <v>7813</v>
      </c>
      <c r="C2461" s="3">
        <v>2426.7600000000002</v>
      </c>
      <c r="D2461" s="7" t="s">
        <v>7814</v>
      </c>
      <c r="E2461" s="7" t="s">
        <v>3269</v>
      </c>
      <c r="G2461" s="9"/>
    </row>
    <row r="2462" spans="1:7" x14ac:dyDescent="0.3">
      <c r="A2462" s="9">
        <v>46015</v>
      </c>
      <c r="B2462" s="7" t="s">
        <v>7813</v>
      </c>
      <c r="C2462" s="3">
        <v>1713.98</v>
      </c>
      <c r="D2462" s="7" t="s">
        <v>7814</v>
      </c>
      <c r="E2462" s="7" t="s">
        <v>3311</v>
      </c>
      <c r="G2462" s="9"/>
    </row>
    <row r="2463" spans="1:7" x14ac:dyDescent="0.3">
      <c r="A2463" s="9">
        <v>46069</v>
      </c>
      <c r="B2463" s="7" t="s">
        <v>7813</v>
      </c>
      <c r="C2463" s="3">
        <v>3195.75</v>
      </c>
      <c r="D2463" s="7" t="s">
        <v>7814</v>
      </c>
      <c r="E2463" s="7" t="s">
        <v>3669</v>
      </c>
      <c r="G2463" s="9"/>
    </row>
    <row r="2464" spans="1:7" x14ac:dyDescent="0.3">
      <c r="A2464" s="9">
        <v>46044</v>
      </c>
      <c r="B2464" s="7" t="s">
        <v>7813</v>
      </c>
      <c r="C2464" s="3">
        <v>2484.66</v>
      </c>
      <c r="D2464" s="7" t="s">
        <v>7814</v>
      </c>
      <c r="E2464" s="7" t="s">
        <v>3934</v>
      </c>
      <c r="G2464" s="9"/>
    </row>
    <row r="2465" spans="1:7" x14ac:dyDescent="0.3">
      <c r="A2465" s="9">
        <v>46038</v>
      </c>
      <c r="B2465" s="7" t="s">
        <v>7813</v>
      </c>
      <c r="C2465" s="3">
        <v>5079.2700000000004</v>
      </c>
      <c r="D2465" s="7" t="s">
        <v>7814</v>
      </c>
      <c r="E2465" s="7" t="s">
        <v>4115</v>
      </c>
      <c r="G2465" s="9"/>
    </row>
    <row r="2466" spans="1:7" x14ac:dyDescent="0.3">
      <c r="A2466" s="9">
        <v>45986</v>
      </c>
      <c r="B2466" s="7" t="s">
        <v>7813</v>
      </c>
      <c r="C2466" s="3">
        <v>2483.81</v>
      </c>
      <c r="D2466" s="7" t="s">
        <v>7814</v>
      </c>
      <c r="E2466" s="7" t="s">
        <v>4510</v>
      </c>
      <c r="G2466" s="9"/>
    </row>
    <row r="2467" spans="1:7" x14ac:dyDescent="0.3">
      <c r="A2467" s="9">
        <v>46016</v>
      </c>
      <c r="B2467" s="7" t="s">
        <v>7813</v>
      </c>
      <c r="C2467" s="3">
        <v>2024.24</v>
      </c>
      <c r="D2467" s="7" t="s">
        <v>7814</v>
      </c>
      <c r="E2467" s="7" t="s">
        <v>4966</v>
      </c>
      <c r="G2467" s="9"/>
    </row>
    <row r="2468" spans="1:7" x14ac:dyDescent="0.3">
      <c r="A2468" s="9">
        <v>45966</v>
      </c>
      <c r="B2468" s="7" t="s">
        <v>7813</v>
      </c>
      <c r="C2468" s="3">
        <v>2762.93</v>
      </c>
      <c r="D2468" s="7" t="s">
        <v>7814</v>
      </c>
      <c r="E2468" s="7" t="s">
        <v>5102</v>
      </c>
      <c r="G2468" s="9"/>
    </row>
    <row r="2469" spans="1:7" x14ac:dyDescent="0.3">
      <c r="A2469" s="9">
        <v>46063</v>
      </c>
      <c r="B2469" s="7" t="s">
        <v>7813</v>
      </c>
      <c r="C2469" s="3">
        <v>1559.26</v>
      </c>
      <c r="D2469" s="7" t="s">
        <v>7814</v>
      </c>
      <c r="E2469" s="7" t="s">
        <v>5217</v>
      </c>
      <c r="G2469" s="9"/>
    </row>
    <row r="2470" spans="1:7" x14ac:dyDescent="0.3">
      <c r="A2470" s="9">
        <v>45987</v>
      </c>
      <c r="B2470" s="7" t="s">
        <v>7813</v>
      </c>
      <c r="C2470" s="3">
        <v>2919.56</v>
      </c>
      <c r="D2470" s="7" t="s">
        <v>7814</v>
      </c>
      <c r="E2470" s="7" t="s">
        <v>5371</v>
      </c>
      <c r="G2470" s="9"/>
    </row>
    <row r="2471" spans="1:7" x14ac:dyDescent="0.3">
      <c r="A2471" s="9">
        <v>46066</v>
      </c>
      <c r="B2471" s="7" t="s">
        <v>7815</v>
      </c>
      <c r="C2471" s="3">
        <v>-5235.05</v>
      </c>
      <c r="D2471" s="7" t="s">
        <v>7816</v>
      </c>
      <c r="E2471" s="7" t="s">
        <v>6953</v>
      </c>
      <c r="G2471" s="9"/>
    </row>
    <row r="2472" spans="1:7" x14ac:dyDescent="0.3">
      <c r="A2472" s="9">
        <v>46037</v>
      </c>
      <c r="B2472" s="7" t="s">
        <v>7815</v>
      </c>
      <c r="C2472" s="3">
        <v>-6027.36</v>
      </c>
      <c r="D2472" s="7" t="s">
        <v>7816</v>
      </c>
      <c r="E2472" s="7" t="s">
        <v>7133</v>
      </c>
      <c r="G2472" s="9"/>
    </row>
    <row r="2473" spans="1:7" x14ac:dyDescent="0.3">
      <c r="A2473" s="9">
        <v>45981</v>
      </c>
      <c r="B2473" s="7" t="s">
        <v>7815</v>
      </c>
      <c r="C2473" s="3">
        <v>-4912.6099999999997</v>
      </c>
      <c r="D2473" s="7" t="s">
        <v>7816</v>
      </c>
      <c r="E2473" s="7" t="s">
        <v>7159</v>
      </c>
      <c r="G2473" s="9"/>
    </row>
    <row r="2474" spans="1:7" x14ac:dyDescent="0.3">
      <c r="A2474" s="9">
        <v>46065</v>
      </c>
      <c r="B2474" s="7" t="s">
        <v>7815</v>
      </c>
      <c r="C2474" s="3">
        <v>-1171.22</v>
      </c>
      <c r="D2474" s="7" t="s">
        <v>7816</v>
      </c>
      <c r="E2474" s="7" t="s">
        <v>7599</v>
      </c>
      <c r="G2474" s="9"/>
    </row>
    <row r="2475" spans="1:7" x14ac:dyDescent="0.3">
      <c r="A2475" s="9">
        <v>46087</v>
      </c>
      <c r="B2475" s="7" t="s">
        <v>7813</v>
      </c>
      <c r="C2475" s="3">
        <v>2016.44</v>
      </c>
      <c r="D2475" s="7" t="s">
        <v>7814</v>
      </c>
      <c r="E2475" s="7" t="s">
        <v>3514</v>
      </c>
      <c r="G2475" s="9"/>
    </row>
    <row r="2476" spans="1:7" x14ac:dyDescent="0.3">
      <c r="A2476" s="9">
        <v>46023</v>
      </c>
      <c r="B2476" s="7" t="s">
        <v>7813</v>
      </c>
      <c r="C2476" s="3">
        <v>4119.74</v>
      </c>
      <c r="D2476" s="7" t="s">
        <v>7814</v>
      </c>
      <c r="E2476" s="7" t="s">
        <v>3734</v>
      </c>
      <c r="G2476" s="9"/>
    </row>
    <row r="2477" spans="1:7" x14ac:dyDescent="0.3">
      <c r="A2477" s="9">
        <v>45975</v>
      </c>
      <c r="B2477" s="7" t="s">
        <v>7813</v>
      </c>
      <c r="C2477" s="3">
        <v>4739.28</v>
      </c>
      <c r="D2477" s="7" t="s">
        <v>7814</v>
      </c>
      <c r="E2477" s="7" t="s">
        <v>4240</v>
      </c>
      <c r="G2477" s="9"/>
    </row>
    <row r="2478" spans="1:7" x14ac:dyDescent="0.3">
      <c r="A2478" s="9">
        <v>46086</v>
      </c>
      <c r="B2478" s="7" t="s">
        <v>7813</v>
      </c>
      <c r="C2478" s="3">
        <v>10408.58</v>
      </c>
      <c r="D2478" s="7" t="s">
        <v>7814</v>
      </c>
      <c r="E2478" s="7" t="s">
        <v>4460</v>
      </c>
      <c r="G2478" s="9"/>
    </row>
    <row r="2479" spans="1:7" x14ac:dyDescent="0.3">
      <c r="A2479" s="9">
        <v>45980</v>
      </c>
      <c r="B2479" s="7" t="s">
        <v>7813</v>
      </c>
      <c r="C2479" s="3">
        <v>1710.38</v>
      </c>
      <c r="D2479" s="7" t="s">
        <v>7814</v>
      </c>
      <c r="E2479" s="7" t="s">
        <v>4610</v>
      </c>
      <c r="G2479" s="9"/>
    </row>
    <row r="2480" spans="1:7" x14ac:dyDescent="0.3">
      <c r="A2480" s="9">
        <v>45986</v>
      </c>
      <c r="B2480" s="7" t="s">
        <v>7813</v>
      </c>
      <c r="C2480" s="3">
        <v>2140.13</v>
      </c>
      <c r="D2480" s="7" t="s">
        <v>7814</v>
      </c>
      <c r="E2480" s="7" t="s">
        <v>4916</v>
      </c>
      <c r="G2480" s="9"/>
    </row>
    <row r="2481" spans="1:7" x14ac:dyDescent="0.3">
      <c r="A2481" s="9">
        <v>46076</v>
      </c>
      <c r="B2481" s="7" t="s">
        <v>7813</v>
      </c>
      <c r="C2481" s="3">
        <v>4154.8100000000004</v>
      </c>
      <c r="D2481" s="7" t="s">
        <v>7814</v>
      </c>
      <c r="E2481" s="7" t="s">
        <v>5092</v>
      </c>
      <c r="G2481" s="9"/>
    </row>
    <row r="2482" spans="1:7" x14ac:dyDescent="0.3">
      <c r="A2482" s="9">
        <v>46011</v>
      </c>
      <c r="B2482" s="7" t="s">
        <v>7815</v>
      </c>
      <c r="C2482" s="3">
        <v>-1500.32</v>
      </c>
      <c r="D2482" s="7" t="s">
        <v>7816</v>
      </c>
      <c r="E2482" s="7" t="s">
        <v>7155</v>
      </c>
      <c r="G2482" s="9"/>
    </row>
    <row r="2483" spans="1:7" x14ac:dyDescent="0.3">
      <c r="A2483" s="9">
        <v>46087</v>
      </c>
      <c r="B2483" s="7" t="s">
        <v>7813</v>
      </c>
      <c r="C2483" s="3">
        <v>5283.15</v>
      </c>
      <c r="D2483" s="7" t="s">
        <v>7814</v>
      </c>
      <c r="E2483" s="7" t="s">
        <v>3545</v>
      </c>
      <c r="G2483" s="9"/>
    </row>
    <row r="2484" spans="1:7" x14ac:dyDescent="0.3">
      <c r="A2484" s="9">
        <v>46021</v>
      </c>
      <c r="B2484" s="7" t="s">
        <v>7813</v>
      </c>
      <c r="C2484" s="3">
        <v>2800.85</v>
      </c>
      <c r="D2484" s="7" t="s">
        <v>7814</v>
      </c>
      <c r="E2484" s="7" t="s">
        <v>3821</v>
      </c>
      <c r="G2484" s="9"/>
    </row>
    <row r="2485" spans="1:7" x14ac:dyDescent="0.3">
      <c r="A2485" s="9">
        <v>46044</v>
      </c>
      <c r="B2485" s="7" t="s">
        <v>7813</v>
      </c>
      <c r="C2485" s="3">
        <v>2903.16</v>
      </c>
      <c r="D2485" s="7" t="s">
        <v>7814</v>
      </c>
      <c r="E2485" s="7" t="s">
        <v>4220</v>
      </c>
      <c r="G2485" s="9"/>
    </row>
    <row r="2486" spans="1:7" x14ac:dyDescent="0.3">
      <c r="A2486" s="9">
        <v>45976</v>
      </c>
      <c r="B2486" s="7" t="s">
        <v>7813</v>
      </c>
      <c r="C2486" s="3">
        <v>11529.61</v>
      </c>
      <c r="D2486" s="7" t="s">
        <v>7814</v>
      </c>
      <c r="E2486" s="7" t="s">
        <v>4312</v>
      </c>
      <c r="G2486" s="9"/>
    </row>
    <row r="2487" spans="1:7" x14ac:dyDescent="0.3">
      <c r="A2487" s="9">
        <v>46020</v>
      </c>
      <c r="B2487" s="7" t="s">
        <v>7813</v>
      </c>
      <c r="C2487" s="3">
        <v>4553.71</v>
      </c>
      <c r="D2487" s="7" t="s">
        <v>7814</v>
      </c>
      <c r="E2487" s="7" t="s">
        <v>5083</v>
      </c>
      <c r="G2487" s="9"/>
    </row>
    <row r="2488" spans="1:7" x14ac:dyDescent="0.3">
      <c r="A2488" s="9">
        <v>46030</v>
      </c>
      <c r="B2488" s="7" t="s">
        <v>7813</v>
      </c>
      <c r="C2488" s="3">
        <v>4585.92</v>
      </c>
      <c r="D2488" s="7" t="s">
        <v>7814</v>
      </c>
      <c r="E2488" s="7" t="s">
        <v>5297</v>
      </c>
      <c r="G2488" s="9"/>
    </row>
    <row r="2489" spans="1:7" x14ac:dyDescent="0.3">
      <c r="A2489" s="9">
        <v>45964</v>
      </c>
      <c r="B2489" s="7" t="s">
        <v>7815</v>
      </c>
      <c r="C2489" s="3">
        <v>-4582.28</v>
      </c>
      <c r="D2489" s="7" t="s">
        <v>7816</v>
      </c>
      <c r="E2489" s="7" t="s">
        <v>7178</v>
      </c>
      <c r="G2489" s="9"/>
    </row>
    <row r="2490" spans="1:7" x14ac:dyDescent="0.3">
      <c r="A2490" s="9">
        <v>46079</v>
      </c>
      <c r="B2490" s="7" t="s">
        <v>7813</v>
      </c>
      <c r="C2490" s="3">
        <v>2013.73</v>
      </c>
      <c r="D2490" s="7" t="s">
        <v>7814</v>
      </c>
      <c r="E2490" s="7" t="s">
        <v>3927</v>
      </c>
      <c r="G2490" s="9"/>
    </row>
    <row r="2491" spans="1:7" x14ac:dyDescent="0.3">
      <c r="A2491" s="9">
        <v>46034</v>
      </c>
      <c r="B2491" s="7" t="s">
        <v>7813</v>
      </c>
      <c r="C2491" s="3">
        <v>2413.5</v>
      </c>
      <c r="D2491" s="7" t="s">
        <v>7814</v>
      </c>
      <c r="E2491" s="7" t="s">
        <v>3940</v>
      </c>
      <c r="G2491" s="9"/>
    </row>
    <row r="2492" spans="1:7" x14ac:dyDescent="0.3">
      <c r="A2492" s="9">
        <v>46060</v>
      </c>
      <c r="B2492" s="7" t="s">
        <v>7813</v>
      </c>
      <c r="C2492" s="3">
        <v>4410.3100000000004</v>
      </c>
      <c r="D2492" s="7" t="s">
        <v>7814</v>
      </c>
      <c r="E2492" s="7" t="s">
        <v>4128</v>
      </c>
      <c r="G2492" s="9"/>
    </row>
    <row r="2493" spans="1:7" x14ac:dyDescent="0.3">
      <c r="A2493" s="9">
        <v>46033</v>
      </c>
      <c r="B2493" s="7" t="s">
        <v>7813</v>
      </c>
      <c r="C2493" s="3">
        <v>4025.57</v>
      </c>
      <c r="D2493" s="7" t="s">
        <v>7814</v>
      </c>
      <c r="E2493" s="7" t="s">
        <v>4170</v>
      </c>
      <c r="G2493" s="9"/>
    </row>
    <row r="2494" spans="1:7" x14ac:dyDescent="0.3">
      <c r="A2494" s="9">
        <v>46058</v>
      </c>
      <c r="B2494" s="7" t="s">
        <v>7813</v>
      </c>
      <c r="C2494" s="3">
        <v>13297.88</v>
      </c>
      <c r="D2494" s="7" t="s">
        <v>7814</v>
      </c>
      <c r="E2494" s="7" t="s">
        <v>4745</v>
      </c>
      <c r="G2494" s="9"/>
    </row>
    <row r="2495" spans="1:7" x14ac:dyDescent="0.3">
      <c r="A2495" s="9">
        <v>46024</v>
      </c>
      <c r="B2495" s="7" t="s">
        <v>7813</v>
      </c>
      <c r="C2495" s="3">
        <v>3273.03</v>
      </c>
      <c r="D2495" s="7" t="s">
        <v>7814</v>
      </c>
      <c r="E2495" s="7" t="s">
        <v>5046</v>
      </c>
      <c r="G2495" s="9"/>
    </row>
    <row r="2496" spans="1:7" x14ac:dyDescent="0.3">
      <c r="A2496" s="9">
        <v>46011</v>
      </c>
      <c r="B2496" s="7" t="s">
        <v>7813</v>
      </c>
      <c r="C2496" s="3">
        <v>2342.44</v>
      </c>
      <c r="D2496" s="7" t="s">
        <v>7814</v>
      </c>
      <c r="E2496" s="7" t="s">
        <v>5118</v>
      </c>
      <c r="G2496" s="9"/>
    </row>
    <row r="2497" spans="1:7" x14ac:dyDescent="0.3">
      <c r="A2497" s="9">
        <v>46081</v>
      </c>
      <c r="B2497" s="7" t="s">
        <v>7815</v>
      </c>
      <c r="C2497" s="3">
        <v>-4277.29</v>
      </c>
      <c r="D2497" s="7" t="s">
        <v>7816</v>
      </c>
      <c r="E2497" s="7" t="s">
        <v>7739</v>
      </c>
      <c r="G2497" s="9"/>
    </row>
    <row r="2498" spans="1:7" x14ac:dyDescent="0.3">
      <c r="A2498" s="9">
        <v>46032</v>
      </c>
      <c r="B2498" s="7" t="s">
        <v>7813</v>
      </c>
      <c r="C2498" s="3">
        <v>4659.6099999999997</v>
      </c>
      <c r="D2498" s="7" t="s">
        <v>7814</v>
      </c>
      <c r="E2498" s="7" t="s">
        <v>3212</v>
      </c>
      <c r="G2498" s="9"/>
    </row>
    <row r="2499" spans="1:7" x14ac:dyDescent="0.3">
      <c r="A2499" s="9">
        <v>46000</v>
      </c>
      <c r="B2499" s="7" t="s">
        <v>7813</v>
      </c>
      <c r="C2499" s="3">
        <v>2490.0500000000002</v>
      </c>
      <c r="D2499" s="7" t="s">
        <v>7814</v>
      </c>
      <c r="E2499" s="7" t="s">
        <v>3352</v>
      </c>
      <c r="G2499" s="9"/>
    </row>
    <row r="2500" spans="1:7" x14ac:dyDescent="0.3">
      <c r="A2500" s="9">
        <v>45979</v>
      </c>
      <c r="B2500" s="7" t="s">
        <v>7813</v>
      </c>
      <c r="C2500" s="3">
        <v>2497.4699999999998</v>
      </c>
      <c r="D2500" s="7" t="s">
        <v>7814</v>
      </c>
      <c r="E2500" s="7" t="s">
        <v>3371</v>
      </c>
      <c r="G2500" s="9"/>
    </row>
    <row r="2501" spans="1:7" x14ac:dyDescent="0.3">
      <c r="A2501" s="9">
        <v>46020</v>
      </c>
      <c r="B2501" s="7" t="s">
        <v>7813</v>
      </c>
      <c r="C2501" s="3">
        <v>3153.83</v>
      </c>
      <c r="D2501" s="7" t="s">
        <v>7814</v>
      </c>
      <c r="E2501" s="7" t="s">
        <v>3695</v>
      </c>
      <c r="G2501" s="9"/>
    </row>
    <row r="2502" spans="1:7" x14ac:dyDescent="0.3">
      <c r="A2502" s="9">
        <v>46054</v>
      </c>
      <c r="B2502" s="7" t="s">
        <v>7813</v>
      </c>
      <c r="C2502" s="3">
        <v>12835.7</v>
      </c>
      <c r="D2502" s="7" t="s">
        <v>7814</v>
      </c>
      <c r="E2502" s="7" t="s">
        <v>4919</v>
      </c>
      <c r="G2502" s="9"/>
    </row>
    <row r="2503" spans="1:7" x14ac:dyDescent="0.3">
      <c r="A2503" s="9">
        <v>46014</v>
      </c>
      <c r="B2503" s="7" t="s">
        <v>7815</v>
      </c>
      <c r="C2503" s="3">
        <v>-6584.7</v>
      </c>
      <c r="D2503" s="7" t="s">
        <v>7816</v>
      </c>
      <c r="E2503" s="7" t="s">
        <v>7137</v>
      </c>
      <c r="G2503" s="9"/>
    </row>
    <row r="2504" spans="1:7" x14ac:dyDescent="0.3">
      <c r="A2504" s="9">
        <v>46082</v>
      </c>
      <c r="B2504" s="7" t="s">
        <v>7813</v>
      </c>
      <c r="C2504" s="3">
        <v>2895.96</v>
      </c>
      <c r="D2504" s="7" t="s">
        <v>7814</v>
      </c>
      <c r="E2504" s="7" t="s">
        <v>3409</v>
      </c>
      <c r="G2504" s="9"/>
    </row>
    <row r="2505" spans="1:7" x14ac:dyDescent="0.3">
      <c r="A2505" s="9">
        <v>46022</v>
      </c>
      <c r="B2505" s="7" t="s">
        <v>7813</v>
      </c>
      <c r="C2505" s="3">
        <v>2476.63</v>
      </c>
      <c r="D2505" s="7" t="s">
        <v>7814</v>
      </c>
      <c r="E2505" s="7" t="s">
        <v>5270</v>
      </c>
      <c r="G2505" s="9"/>
    </row>
    <row r="2506" spans="1:7" x14ac:dyDescent="0.3">
      <c r="A2506" s="9">
        <v>46023</v>
      </c>
      <c r="B2506" s="7" t="s">
        <v>7815</v>
      </c>
      <c r="C2506" s="3">
        <v>-1208.69</v>
      </c>
      <c r="D2506" s="7" t="s">
        <v>7816</v>
      </c>
      <c r="E2506" s="7" t="s">
        <v>6924</v>
      </c>
      <c r="G2506" s="9"/>
    </row>
    <row r="2507" spans="1:7" x14ac:dyDescent="0.3">
      <c r="A2507" s="9">
        <v>46019</v>
      </c>
      <c r="B2507" s="7" t="s">
        <v>7813</v>
      </c>
      <c r="C2507" s="3">
        <v>2876.26</v>
      </c>
      <c r="D2507" s="7" t="s">
        <v>7814</v>
      </c>
      <c r="E2507" s="7" t="s">
        <v>3443</v>
      </c>
      <c r="G2507" s="9"/>
    </row>
    <row r="2508" spans="1:7" x14ac:dyDescent="0.3">
      <c r="A2508" s="9">
        <v>46026</v>
      </c>
      <c r="B2508" s="7" t="s">
        <v>7813</v>
      </c>
      <c r="C2508" s="3">
        <v>9823.2000000000007</v>
      </c>
      <c r="D2508" s="7" t="s">
        <v>7814</v>
      </c>
      <c r="E2508" s="7" t="s">
        <v>3725</v>
      </c>
      <c r="G2508" s="9"/>
    </row>
    <row r="2509" spans="1:7" x14ac:dyDescent="0.3">
      <c r="A2509" s="9">
        <v>45980</v>
      </c>
      <c r="B2509" s="7" t="s">
        <v>7813</v>
      </c>
      <c r="C2509" s="3">
        <v>5230.38</v>
      </c>
      <c r="D2509" s="7" t="s">
        <v>7814</v>
      </c>
      <c r="E2509" s="7" t="s">
        <v>3827</v>
      </c>
      <c r="G2509" s="9"/>
    </row>
    <row r="2510" spans="1:7" x14ac:dyDescent="0.3">
      <c r="A2510" s="9">
        <v>46071</v>
      </c>
      <c r="B2510" s="7" t="s">
        <v>7813</v>
      </c>
      <c r="C2510" s="3">
        <v>2929.82</v>
      </c>
      <c r="D2510" s="7" t="s">
        <v>7814</v>
      </c>
      <c r="E2510" s="7" t="s">
        <v>4252</v>
      </c>
      <c r="G2510" s="9"/>
    </row>
    <row r="2511" spans="1:7" x14ac:dyDescent="0.3">
      <c r="A2511" s="9">
        <v>46001</v>
      </c>
      <c r="B2511" s="7" t="s">
        <v>7813</v>
      </c>
      <c r="C2511" s="3">
        <v>602.34</v>
      </c>
      <c r="D2511" s="7" t="s">
        <v>7814</v>
      </c>
      <c r="E2511" s="7" t="s">
        <v>4949</v>
      </c>
      <c r="G2511" s="9"/>
    </row>
    <row r="2512" spans="1:7" x14ac:dyDescent="0.3">
      <c r="A2512" s="9">
        <v>45986</v>
      </c>
      <c r="B2512" s="7" t="s">
        <v>7813</v>
      </c>
      <c r="C2512" s="3">
        <v>1572.81</v>
      </c>
      <c r="D2512" s="7" t="s">
        <v>7814</v>
      </c>
      <c r="E2512" s="7" t="s">
        <v>3509</v>
      </c>
      <c r="G2512" s="9"/>
    </row>
    <row r="2513" spans="1:7" x14ac:dyDescent="0.3">
      <c r="A2513" s="9">
        <v>45986</v>
      </c>
      <c r="B2513" s="7" t="s">
        <v>7813</v>
      </c>
      <c r="C2513" s="3">
        <v>3409.77</v>
      </c>
      <c r="D2513" s="7" t="s">
        <v>7814</v>
      </c>
      <c r="E2513" s="7" t="s">
        <v>4218</v>
      </c>
      <c r="G2513" s="9"/>
    </row>
    <row r="2514" spans="1:7" x14ac:dyDescent="0.3">
      <c r="A2514" s="9">
        <v>45966</v>
      </c>
      <c r="B2514" s="7" t="s">
        <v>7813</v>
      </c>
      <c r="C2514" s="3">
        <v>2348.86</v>
      </c>
      <c r="D2514" s="7" t="s">
        <v>7814</v>
      </c>
      <c r="E2514" s="7" t="s">
        <v>5033</v>
      </c>
      <c r="G2514" s="9"/>
    </row>
    <row r="2515" spans="1:7" x14ac:dyDescent="0.3">
      <c r="A2515" s="9">
        <v>46056</v>
      </c>
      <c r="B2515" s="7" t="s">
        <v>7813</v>
      </c>
      <c r="C2515" s="3">
        <v>1972.55</v>
      </c>
      <c r="D2515" s="7" t="s">
        <v>7814</v>
      </c>
      <c r="E2515" s="7" t="s">
        <v>5224</v>
      </c>
      <c r="G2515" s="9"/>
    </row>
    <row r="2516" spans="1:7" x14ac:dyDescent="0.3">
      <c r="A2516" s="9">
        <v>46073</v>
      </c>
      <c r="B2516" s="7" t="s">
        <v>7815</v>
      </c>
      <c r="C2516" s="3">
        <v>-2435.83</v>
      </c>
      <c r="D2516" s="7" t="s">
        <v>7816</v>
      </c>
      <c r="E2516" s="7" t="s">
        <v>7289</v>
      </c>
      <c r="G2516" s="9"/>
    </row>
    <row r="2517" spans="1:7" x14ac:dyDescent="0.3">
      <c r="A2517" s="9">
        <v>45962</v>
      </c>
      <c r="B2517" s="7" t="s">
        <v>7815</v>
      </c>
      <c r="C2517" s="3">
        <v>-5767.99</v>
      </c>
      <c r="D2517" s="7" t="s">
        <v>7816</v>
      </c>
      <c r="E2517" s="7" t="s">
        <v>7291</v>
      </c>
      <c r="G2517" s="9"/>
    </row>
    <row r="2518" spans="1:7" x14ac:dyDescent="0.3">
      <c r="A2518" s="9">
        <v>46017</v>
      </c>
      <c r="B2518" s="7" t="s">
        <v>7813</v>
      </c>
      <c r="C2518" s="3">
        <v>10610.56</v>
      </c>
      <c r="D2518" s="7" t="s">
        <v>7814</v>
      </c>
      <c r="E2518" s="7" t="s">
        <v>3846</v>
      </c>
      <c r="G2518" s="9"/>
    </row>
    <row r="2519" spans="1:7" x14ac:dyDescent="0.3">
      <c r="A2519" s="9">
        <v>46032</v>
      </c>
      <c r="B2519" s="7" t="s">
        <v>7813</v>
      </c>
      <c r="C2519" s="3">
        <v>976.93</v>
      </c>
      <c r="D2519" s="7" t="s">
        <v>7814</v>
      </c>
      <c r="E2519" s="7" t="s">
        <v>4126</v>
      </c>
      <c r="G2519" s="9"/>
    </row>
    <row r="2520" spans="1:7" x14ac:dyDescent="0.3">
      <c r="A2520" s="9">
        <v>45988</v>
      </c>
      <c r="B2520" s="7" t="s">
        <v>7813</v>
      </c>
      <c r="C2520" s="3">
        <v>2038.29</v>
      </c>
      <c r="D2520" s="7" t="s">
        <v>7814</v>
      </c>
      <c r="E2520" s="7" t="s">
        <v>5078</v>
      </c>
      <c r="G2520" s="9"/>
    </row>
    <row r="2521" spans="1:7" x14ac:dyDescent="0.3">
      <c r="A2521" s="9">
        <v>46042</v>
      </c>
      <c r="B2521" s="7" t="s">
        <v>7813</v>
      </c>
      <c r="C2521" s="3">
        <v>4350.42</v>
      </c>
      <c r="D2521" s="7" t="s">
        <v>7814</v>
      </c>
      <c r="E2521" s="7" t="s">
        <v>5109</v>
      </c>
      <c r="G2521" s="9"/>
    </row>
    <row r="2522" spans="1:7" x14ac:dyDescent="0.3">
      <c r="A2522" s="9">
        <v>46041</v>
      </c>
      <c r="B2522" s="7" t="s">
        <v>7813</v>
      </c>
      <c r="C2522" s="3">
        <v>2184.63</v>
      </c>
      <c r="D2522" s="7" t="s">
        <v>7814</v>
      </c>
      <c r="E2522" s="7" t="s">
        <v>5201</v>
      </c>
      <c r="G2522" s="9"/>
    </row>
    <row r="2523" spans="1:7" x14ac:dyDescent="0.3">
      <c r="A2523" s="9">
        <v>46027</v>
      </c>
      <c r="B2523" s="7" t="s">
        <v>7813</v>
      </c>
      <c r="C2523" s="3">
        <v>3588.2</v>
      </c>
      <c r="D2523" s="7" t="s">
        <v>7814</v>
      </c>
      <c r="E2523" s="7" t="s">
        <v>5295</v>
      </c>
      <c r="G2523" s="9"/>
    </row>
    <row r="2524" spans="1:7" x14ac:dyDescent="0.3">
      <c r="A2524" s="9">
        <v>45982</v>
      </c>
      <c r="B2524" s="7" t="s">
        <v>7813</v>
      </c>
      <c r="C2524" s="3">
        <v>10491.62</v>
      </c>
      <c r="D2524" s="7" t="s">
        <v>7814</v>
      </c>
      <c r="E2524" s="7" t="s">
        <v>3517</v>
      </c>
      <c r="G2524" s="9"/>
    </row>
    <row r="2525" spans="1:7" x14ac:dyDescent="0.3">
      <c r="A2525" s="9">
        <v>45968</v>
      </c>
      <c r="B2525" s="7" t="s">
        <v>7813</v>
      </c>
      <c r="C2525" s="3">
        <v>3408.97</v>
      </c>
      <c r="D2525" s="7" t="s">
        <v>7814</v>
      </c>
      <c r="E2525" s="7" t="s">
        <v>3867</v>
      </c>
      <c r="G2525" s="9"/>
    </row>
    <row r="2526" spans="1:7" x14ac:dyDescent="0.3">
      <c r="A2526" s="9">
        <v>46014</v>
      </c>
      <c r="B2526" s="7" t="s">
        <v>7813</v>
      </c>
      <c r="C2526" s="3">
        <v>1746.25</v>
      </c>
      <c r="D2526" s="7" t="s">
        <v>7814</v>
      </c>
      <c r="E2526" s="7" t="s">
        <v>4569</v>
      </c>
      <c r="G2526" s="9"/>
    </row>
    <row r="2527" spans="1:7" x14ac:dyDescent="0.3">
      <c r="A2527" s="9">
        <v>46072</v>
      </c>
      <c r="B2527" s="7" t="s">
        <v>7813</v>
      </c>
      <c r="C2527" s="3">
        <v>13275.27</v>
      </c>
      <c r="D2527" s="7" t="s">
        <v>7814</v>
      </c>
      <c r="E2527" s="7" t="s">
        <v>4878</v>
      </c>
      <c r="G2527" s="9"/>
    </row>
    <row r="2528" spans="1:7" x14ac:dyDescent="0.3">
      <c r="A2528" s="9">
        <v>45981</v>
      </c>
      <c r="B2528" s="7" t="s">
        <v>7813</v>
      </c>
      <c r="C2528" s="3">
        <v>4489.7299999999996</v>
      </c>
      <c r="D2528" s="7" t="s">
        <v>7814</v>
      </c>
      <c r="E2528" s="7" t="s">
        <v>5111</v>
      </c>
      <c r="G2528" s="9"/>
    </row>
    <row r="2529" spans="1:7" x14ac:dyDescent="0.3">
      <c r="A2529" s="9">
        <v>46059</v>
      </c>
      <c r="B2529" s="7" t="s">
        <v>7813</v>
      </c>
      <c r="C2529" s="3">
        <v>2489.84</v>
      </c>
      <c r="D2529" s="7" t="s">
        <v>7814</v>
      </c>
      <c r="E2529" s="7" t="s">
        <v>5221</v>
      </c>
      <c r="G2529" s="9"/>
    </row>
    <row r="2530" spans="1:7" x14ac:dyDescent="0.3">
      <c r="A2530" s="9">
        <v>45977</v>
      </c>
      <c r="B2530" s="7" t="s">
        <v>7813</v>
      </c>
      <c r="C2530" s="3">
        <v>2771.15</v>
      </c>
      <c r="D2530" s="7" t="s">
        <v>7814</v>
      </c>
      <c r="E2530" s="7" t="s">
        <v>3363</v>
      </c>
      <c r="G2530" s="9"/>
    </row>
    <row r="2531" spans="1:7" x14ac:dyDescent="0.3">
      <c r="A2531" s="9">
        <v>46048</v>
      </c>
      <c r="B2531" s="7" t="s">
        <v>7813</v>
      </c>
      <c r="C2531" s="3">
        <v>1601.45</v>
      </c>
      <c r="D2531" s="7" t="s">
        <v>7814</v>
      </c>
      <c r="E2531" s="7" t="s">
        <v>4268</v>
      </c>
      <c r="G2531" s="9"/>
    </row>
    <row r="2532" spans="1:7" x14ac:dyDescent="0.3">
      <c r="A2532" s="9">
        <v>46057</v>
      </c>
      <c r="B2532" s="7" t="s">
        <v>7813</v>
      </c>
      <c r="C2532" s="3">
        <v>1967.53</v>
      </c>
      <c r="D2532" s="7" t="s">
        <v>7814</v>
      </c>
      <c r="E2532" s="7" t="s">
        <v>4570</v>
      </c>
      <c r="G2532" s="9"/>
    </row>
    <row r="2533" spans="1:7" x14ac:dyDescent="0.3">
      <c r="A2533" s="9">
        <v>45974</v>
      </c>
      <c r="B2533" s="7" t="s">
        <v>7813</v>
      </c>
      <c r="C2533" s="3">
        <v>4340.47</v>
      </c>
      <c r="D2533" s="7" t="s">
        <v>7814</v>
      </c>
      <c r="E2533" s="7" t="s">
        <v>4800</v>
      </c>
      <c r="G2533" s="9"/>
    </row>
    <row r="2534" spans="1:7" x14ac:dyDescent="0.3">
      <c r="A2534" s="9">
        <v>45974</v>
      </c>
      <c r="B2534" s="7" t="s">
        <v>7815</v>
      </c>
      <c r="C2534" s="3">
        <v>-3591.3</v>
      </c>
      <c r="D2534" s="7" t="s">
        <v>7816</v>
      </c>
      <c r="E2534" s="7" t="s">
        <v>6884</v>
      </c>
      <c r="G2534" s="9"/>
    </row>
    <row r="2535" spans="1:7" x14ac:dyDescent="0.3">
      <c r="A2535" s="9">
        <v>46008</v>
      </c>
      <c r="B2535" s="7" t="s">
        <v>7815</v>
      </c>
      <c r="C2535" s="3">
        <v>-5142.55</v>
      </c>
      <c r="D2535" s="7" t="s">
        <v>7816</v>
      </c>
      <c r="E2535" s="7" t="s">
        <v>7081</v>
      </c>
      <c r="G2535" s="9"/>
    </row>
    <row r="2536" spans="1:7" x14ac:dyDescent="0.3">
      <c r="A2536" s="9">
        <v>46067</v>
      </c>
      <c r="B2536" s="7" t="s">
        <v>7815</v>
      </c>
      <c r="C2536" s="3">
        <v>-6688.89</v>
      </c>
      <c r="D2536" s="7" t="s">
        <v>7816</v>
      </c>
      <c r="E2536" s="7" t="s">
        <v>7763</v>
      </c>
      <c r="G2536" s="9"/>
    </row>
    <row r="2537" spans="1:7" x14ac:dyDescent="0.3">
      <c r="A2537" s="9">
        <v>46009</v>
      </c>
      <c r="B2537" s="7" t="s">
        <v>7813</v>
      </c>
      <c r="C2537" s="3">
        <v>3530.78</v>
      </c>
      <c r="D2537" s="7" t="s">
        <v>7814</v>
      </c>
      <c r="E2537" s="7" t="s">
        <v>3721</v>
      </c>
      <c r="G2537" s="9"/>
    </row>
    <row r="2538" spans="1:7" x14ac:dyDescent="0.3">
      <c r="A2538" s="9">
        <v>46056</v>
      </c>
      <c r="B2538" s="7" t="s">
        <v>7813</v>
      </c>
      <c r="C2538" s="3">
        <v>3081.78</v>
      </c>
      <c r="D2538" s="7" t="s">
        <v>7814</v>
      </c>
      <c r="E2538" s="7" t="s">
        <v>4036</v>
      </c>
      <c r="G2538" s="9"/>
    </row>
    <row r="2539" spans="1:7" x14ac:dyDescent="0.3">
      <c r="A2539" s="9">
        <v>46056</v>
      </c>
      <c r="B2539" s="7" t="s">
        <v>7813</v>
      </c>
      <c r="C2539" s="3">
        <v>1715.11</v>
      </c>
      <c r="D2539" s="7" t="s">
        <v>7814</v>
      </c>
      <c r="E2539" s="7" t="s">
        <v>4551</v>
      </c>
      <c r="G2539" s="9"/>
    </row>
    <row r="2540" spans="1:7" x14ac:dyDescent="0.3">
      <c r="A2540" s="9">
        <v>46024</v>
      </c>
      <c r="B2540" s="7" t="s">
        <v>7813</v>
      </c>
      <c r="C2540" s="3">
        <v>5988.44</v>
      </c>
      <c r="D2540" s="7" t="s">
        <v>7814</v>
      </c>
      <c r="E2540" s="7" t="s">
        <v>4592</v>
      </c>
      <c r="G2540" s="9"/>
    </row>
    <row r="2541" spans="1:7" x14ac:dyDescent="0.3">
      <c r="A2541" s="9">
        <v>46022</v>
      </c>
      <c r="B2541" s="7" t="s">
        <v>7815</v>
      </c>
      <c r="C2541" s="3">
        <v>-4416.71</v>
      </c>
      <c r="D2541" s="7" t="s">
        <v>7816</v>
      </c>
      <c r="E2541" s="7" t="s">
        <v>6905</v>
      </c>
      <c r="G2541" s="9"/>
    </row>
    <row r="2542" spans="1:7" x14ac:dyDescent="0.3">
      <c r="A2542" s="9">
        <v>45966</v>
      </c>
      <c r="B2542" s="7" t="s">
        <v>7815</v>
      </c>
      <c r="C2542" s="3">
        <v>-5790.07</v>
      </c>
      <c r="D2542" s="7" t="s">
        <v>7816</v>
      </c>
      <c r="E2542" s="7" t="s">
        <v>7321</v>
      </c>
      <c r="G2542" s="9"/>
    </row>
    <row r="2543" spans="1:7" x14ac:dyDescent="0.3">
      <c r="A2543" s="9">
        <v>45983</v>
      </c>
      <c r="B2543" s="7" t="s">
        <v>7813</v>
      </c>
      <c r="C2543" s="3">
        <v>1994.29</v>
      </c>
      <c r="D2543" s="7" t="s">
        <v>7814</v>
      </c>
      <c r="E2543" s="7" t="s">
        <v>3425</v>
      </c>
      <c r="G2543" s="9"/>
    </row>
    <row r="2544" spans="1:7" x14ac:dyDescent="0.3">
      <c r="A2544" s="9">
        <v>46044</v>
      </c>
      <c r="B2544" s="7" t="s">
        <v>7813</v>
      </c>
      <c r="C2544" s="3">
        <v>2092.46</v>
      </c>
      <c r="D2544" s="7" t="s">
        <v>7814</v>
      </c>
      <c r="E2544" s="7" t="s">
        <v>3449</v>
      </c>
      <c r="G2544" s="9"/>
    </row>
    <row r="2545" spans="1:7" x14ac:dyDescent="0.3">
      <c r="A2545" s="9">
        <v>45987</v>
      </c>
      <c r="B2545" s="7" t="s">
        <v>7813</v>
      </c>
      <c r="C2545" s="3">
        <v>2158.61</v>
      </c>
      <c r="D2545" s="7" t="s">
        <v>7814</v>
      </c>
      <c r="E2545" s="7" t="s">
        <v>3883</v>
      </c>
      <c r="G2545" s="9"/>
    </row>
    <row r="2546" spans="1:7" x14ac:dyDescent="0.3">
      <c r="A2546" s="9">
        <v>45976</v>
      </c>
      <c r="B2546" s="7" t="s">
        <v>7813</v>
      </c>
      <c r="C2546" s="3">
        <v>4107.45</v>
      </c>
      <c r="D2546" s="7" t="s">
        <v>7814</v>
      </c>
      <c r="E2546" s="7" t="s">
        <v>3979</v>
      </c>
      <c r="G2546" s="9"/>
    </row>
    <row r="2547" spans="1:7" x14ac:dyDescent="0.3">
      <c r="A2547" s="9">
        <v>46050</v>
      </c>
      <c r="B2547" s="7" t="s">
        <v>7813</v>
      </c>
      <c r="C2547" s="3">
        <v>9915.7900000000009</v>
      </c>
      <c r="D2547" s="7" t="s">
        <v>7814</v>
      </c>
      <c r="E2547" s="7" t="s">
        <v>4390</v>
      </c>
      <c r="G2547" s="9"/>
    </row>
    <row r="2548" spans="1:7" x14ac:dyDescent="0.3">
      <c r="A2548" s="9">
        <v>45963</v>
      </c>
      <c r="B2548" s="7" t="s">
        <v>7815</v>
      </c>
      <c r="C2548" s="3">
        <v>-4148.3100000000004</v>
      </c>
      <c r="D2548" s="7" t="s">
        <v>7816</v>
      </c>
      <c r="E2548" s="7" t="s">
        <v>6911</v>
      </c>
      <c r="G2548" s="9"/>
    </row>
    <row r="2549" spans="1:7" x14ac:dyDescent="0.3">
      <c r="A2549" s="9">
        <v>46083</v>
      </c>
      <c r="B2549" s="7" t="s">
        <v>7813</v>
      </c>
      <c r="C2549" s="3">
        <v>4604.54</v>
      </c>
      <c r="D2549" s="7" t="s">
        <v>7814</v>
      </c>
      <c r="E2549" s="7" t="s">
        <v>3193</v>
      </c>
      <c r="G2549" s="9"/>
    </row>
    <row r="2550" spans="1:7" x14ac:dyDescent="0.3">
      <c r="A2550" s="9">
        <v>46085</v>
      </c>
      <c r="B2550" s="7" t="s">
        <v>7813</v>
      </c>
      <c r="C2550" s="3">
        <v>1630.8</v>
      </c>
      <c r="D2550" s="7" t="s">
        <v>7814</v>
      </c>
      <c r="E2550" s="7" t="s">
        <v>3636</v>
      </c>
      <c r="G2550" s="9"/>
    </row>
    <row r="2551" spans="1:7" x14ac:dyDescent="0.3">
      <c r="A2551" s="9">
        <v>46068</v>
      </c>
      <c r="B2551" s="7" t="s">
        <v>7813</v>
      </c>
      <c r="C2551" s="3">
        <v>1608.28</v>
      </c>
      <c r="D2551" s="7" t="s">
        <v>7814</v>
      </c>
      <c r="E2551" s="7" t="s">
        <v>3941</v>
      </c>
      <c r="G2551" s="9"/>
    </row>
    <row r="2552" spans="1:7" x14ac:dyDescent="0.3">
      <c r="A2552" s="9">
        <v>45970</v>
      </c>
      <c r="B2552" s="7" t="s">
        <v>7813</v>
      </c>
      <c r="C2552" s="3">
        <v>3166.52</v>
      </c>
      <c r="D2552" s="7" t="s">
        <v>7814</v>
      </c>
      <c r="E2552" s="7" t="s">
        <v>4405</v>
      </c>
      <c r="G2552" s="9"/>
    </row>
    <row r="2553" spans="1:7" x14ac:dyDescent="0.3">
      <c r="A2553" s="9">
        <v>46084</v>
      </c>
      <c r="B2553" s="7" t="s">
        <v>7813</v>
      </c>
      <c r="C2553" s="3">
        <v>1724.74</v>
      </c>
      <c r="D2553" s="7" t="s">
        <v>7814</v>
      </c>
      <c r="E2553" s="7" t="s">
        <v>5309</v>
      </c>
      <c r="G2553" s="9"/>
    </row>
    <row r="2554" spans="1:7" x14ac:dyDescent="0.3">
      <c r="A2554" s="9">
        <v>46060</v>
      </c>
      <c r="B2554" s="7" t="s">
        <v>7813</v>
      </c>
      <c r="C2554" s="3">
        <v>12492.48</v>
      </c>
      <c r="D2554" s="7" t="s">
        <v>7814</v>
      </c>
      <c r="E2554" s="7" t="s">
        <v>5402</v>
      </c>
      <c r="G2554" s="9"/>
    </row>
    <row r="2555" spans="1:7" x14ac:dyDescent="0.3">
      <c r="A2555" s="9">
        <v>46006</v>
      </c>
      <c r="B2555" s="7" t="s">
        <v>7815</v>
      </c>
      <c r="C2555" s="3">
        <v>-2701.68</v>
      </c>
      <c r="D2555" s="7" t="s">
        <v>7816</v>
      </c>
      <c r="E2555" s="7" t="s">
        <v>6972</v>
      </c>
      <c r="G2555" s="9"/>
    </row>
    <row r="2556" spans="1:7" x14ac:dyDescent="0.3">
      <c r="A2556" s="9">
        <v>46049</v>
      </c>
      <c r="B2556" s="7" t="s">
        <v>7813</v>
      </c>
      <c r="C2556" s="3">
        <v>1647.56</v>
      </c>
      <c r="D2556" s="7" t="s">
        <v>7814</v>
      </c>
      <c r="E2556" s="7" t="s">
        <v>4168</v>
      </c>
      <c r="G2556" s="9"/>
    </row>
    <row r="2557" spans="1:7" x14ac:dyDescent="0.3">
      <c r="A2557" s="9">
        <v>45964</v>
      </c>
      <c r="B2557" s="7" t="s">
        <v>7813</v>
      </c>
      <c r="C2557" s="3">
        <v>2599.61</v>
      </c>
      <c r="D2557" s="7" t="s">
        <v>7814</v>
      </c>
      <c r="E2557" s="7" t="s">
        <v>4660</v>
      </c>
      <c r="G2557" s="9"/>
    </row>
    <row r="2558" spans="1:7" x14ac:dyDescent="0.3">
      <c r="A2558" s="9">
        <v>46017</v>
      </c>
      <c r="B2558" s="7" t="s">
        <v>7813</v>
      </c>
      <c r="C2558" s="3">
        <v>11563.36</v>
      </c>
      <c r="D2558" s="7" t="s">
        <v>7814</v>
      </c>
      <c r="E2558" s="7" t="s">
        <v>4705</v>
      </c>
      <c r="G2558" s="9"/>
    </row>
    <row r="2559" spans="1:7" x14ac:dyDescent="0.3">
      <c r="A2559" s="9">
        <v>46084</v>
      </c>
      <c r="B2559" s="7" t="s">
        <v>7815</v>
      </c>
      <c r="C2559" s="3">
        <v>-5918.09</v>
      </c>
      <c r="D2559" s="7" t="s">
        <v>7816</v>
      </c>
      <c r="E2559" s="7" t="s">
        <v>6819</v>
      </c>
      <c r="G2559" s="9"/>
    </row>
    <row r="2560" spans="1:7" x14ac:dyDescent="0.3">
      <c r="A2560" s="9">
        <v>46041</v>
      </c>
      <c r="B2560" s="7" t="s">
        <v>7815</v>
      </c>
      <c r="C2560" s="3">
        <v>-3091.63</v>
      </c>
      <c r="D2560" s="7" t="s">
        <v>7816</v>
      </c>
      <c r="E2560" s="7" t="s">
        <v>7658</v>
      </c>
      <c r="G2560" s="9"/>
    </row>
    <row r="2561" spans="1:7" x14ac:dyDescent="0.3">
      <c r="A2561" s="9">
        <v>46046</v>
      </c>
      <c r="B2561" s="7" t="s">
        <v>7813</v>
      </c>
      <c r="C2561" s="3">
        <v>2036.78</v>
      </c>
      <c r="D2561" s="7" t="s">
        <v>7814</v>
      </c>
      <c r="E2561" s="7" t="s">
        <v>3397</v>
      </c>
      <c r="G2561" s="9"/>
    </row>
    <row r="2562" spans="1:7" x14ac:dyDescent="0.3">
      <c r="A2562" s="9">
        <v>46084</v>
      </c>
      <c r="B2562" s="7" t="s">
        <v>7813</v>
      </c>
      <c r="C2562" s="3">
        <v>997.25</v>
      </c>
      <c r="D2562" s="7" t="s">
        <v>7814</v>
      </c>
      <c r="E2562" s="7" t="s">
        <v>4798</v>
      </c>
      <c r="G2562" s="9"/>
    </row>
    <row r="2563" spans="1:7" x14ac:dyDescent="0.3">
      <c r="A2563" s="9">
        <v>46007</v>
      </c>
      <c r="B2563" s="7" t="s">
        <v>7813</v>
      </c>
      <c r="C2563" s="3">
        <v>4456.68</v>
      </c>
      <c r="D2563" s="7" t="s">
        <v>7814</v>
      </c>
      <c r="E2563" s="7" t="s">
        <v>5132</v>
      </c>
      <c r="G2563" s="9"/>
    </row>
    <row r="2564" spans="1:7" x14ac:dyDescent="0.3">
      <c r="A2564" s="9">
        <v>46010</v>
      </c>
      <c r="B2564" s="7" t="s">
        <v>7815</v>
      </c>
      <c r="C2564" s="3">
        <v>-6440.36</v>
      </c>
      <c r="D2564" s="7" t="s">
        <v>7816</v>
      </c>
      <c r="E2564" s="7" t="s">
        <v>7682</v>
      </c>
      <c r="G2564" s="9"/>
    </row>
    <row r="2565" spans="1:7" x14ac:dyDescent="0.3">
      <c r="A2565" s="9">
        <v>46057</v>
      </c>
      <c r="B2565" s="7" t="s">
        <v>7813</v>
      </c>
      <c r="C2565" s="3">
        <v>1650.14</v>
      </c>
      <c r="D2565" s="7" t="s">
        <v>7814</v>
      </c>
      <c r="E2565" s="7" t="s">
        <v>3219</v>
      </c>
      <c r="G2565" s="9"/>
    </row>
    <row r="2566" spans="1:7" x14ac:dyDescent="0.3">
      <c r="A2566" s="9">
        <v>46039</v>
      </c>
      <c r="B2566" s="7" t="s">
        <v>7813</v>
      </c>
      <c r="C2566" s="3">
        <v>1349.72</v>
      </c>
      <c r="D2566" s="7" t="s">
        <v>7814</v>
      </c>
      <c r="E2566" s="7" t="s">
        <v>3312</v>
      </c>
      <c r="G2566" s="9"/>
    </row>
    <row r="2567" spans="1:7" x14ac:dyDescent="0.3">
      <c r="A2567" s="9">
        <v>45993</v>
      </c>
      <c r="B2567" s="7" t="s">
        <v>7813</v>
      </c>
      <c r="C2567" s="3">
        <v>1979.46</v>
      </c>
      <c r="D2567" s="7" t="s">
        <v>7814</v>
      </c>
      <c r="E2567" s="7" t="s">
        <v>4299</v>
      </c>
      <c r="G2567" s="9"/>
    </row>
    <row r="2568" spans="1:7" x14ac:dyDescent="0.3">
      <c r="A2568" s="9">
        <v>46034</v>
      </c>
      <c r="B2568" s="7" t="s">
        <v>7813</v>
      </c>
      <c r="C2568" s="3">
        <v>1108.73</v>
      </c>
      <c r="D2568" s="7" t="s">
        <v>7814</v>
      </c>
      <c r="E2568" s="7" t="s">
        <v>4611</v>
      </c>
      <c r="G2568" s="9"/>
    </row>
    <row r="2569" spans="1:7" x14ac:dyDescent="0.3">
      <c r="A2569" s="9">
        <v>46045</v>
      </c>
      <c r="B2569" s="7" t="s">
        <v>7813</v>
      </c>
      <c r="C2569" s="3">
        <v>2858.3</v>
      </c>
      <c r="D2569" s="7" t="s">
        <v>7814</v>
      </c>
      <c r="E2569" s="7" t="s">
        <v>5079</v>
      </c>
      <c r="G2569" s="9"/>
    </row>
    <row r="2570" spans="1:7" x14ac:dyDescent="0.3">
      <c r="A2570" s="9">
        <v>45963</v>
      </c>
      <c r="B2570" s="7" t="s">
        <v>7815</v>
      </c>
      <c r="C2570" s="3">
        <v>-3249.82</v>
      </c>
      <c r="D2570" s="7" t="s">
        <v>7816</v>
      </c>
      <c r="E2570" s="7" t="s">
        <v>7054</v>
      </c>
      <c r="G2570" s="9"/>
    </row>
    <row r="2571" spans="1:7" x14ac:dyDescent="0.3">
      <c r="A2571" s="9">
        <v>46065</v>
      </c>
      <c r="B2571" s="7" t="s">
        <v>7815</v>
      </c>
      <c r="C2571" s="3">
        <v>-4250.45</v>
      </c>
      <c r="D2571" s="7" t="s">
        <v>7816</v>
      </c>
      <c r="E2571" s="7" t="s">
        <v>7544</v>
      </c>
      <c r="G2571" s="9"/>
    </row>
    <row r="2572" spans="1:7" x14ac:dyDescent="0.3">
      <c r="A2572" s="9">
        <v>46052</v>
      </c>
      <c r="B2572" s="7" t="s">
        <v>7815</v>
      </c>
      <c r="C2572" s="3">
        <v>-4560.8599999999997</v>
      </c>
      <c r="D2572" s="7" t="s">
        <v>7816</v>
      </c>
      <c r="E2572" s="7" t="s">
        <v>7637</v>
      </c>
      <c r="G2572" s="9"/>
    </row>
    <row r="2573" spans="1:7" x14ac:dyDescent="0.3">
      <c r="A2573" s="9">
        <v>45962</v>
      </c>
      <c r="B2573" s="7" t="s">
        <v>7813</v>
      </c>
      <c r="C2573" s="3">
        <v>1695.61</v>
      </c>
      <c r="D2573" s="7" t="s">
        <v>7814</v>
      </c>
      <c r="E2573" s="7" t="s">
        <v>3498</v>
      </c>
      <c r="G2573" s="9"/>
    </row>
    <row r="2574" spans="1:7" x14ac:dyDescent="0.3">
      <c r="A2574" s="9">
        <v>45963</v>
      </c>
      <c r="B2574" s="7" t="s">
        <v>7813</v>
      </c>
      <c r="C2574" s="3">
        <v>3397.58</v>
      </c>
      <c r="D2574" s="7" t="s">
        <v>7814</v>
      </c>
      <c r="E2574" s="7" t="s">
        <v>3502</v>
      </c>
      <c r="G2574" s="9"/>
    </row>
    <row r="2575" spans="1:7" x14ac:dyDescent="0.3">
      <c r="A2575" s="9">
        <v>46048</v>
      </c>
      <c r="B2575" s="7" t="s">
        <v>7813</v>
      </c>
      <c r="C2575" s="3">
        <v>2141.64</v>
      </c>
      <c r="D2575" s="7" t="s">
        <v>7814</v>
      </c>
      <c r="E2575" s="7" t="s">
        <v>4584</v>
      </c>
      <c r="G2575" s="9"/>
    </row>
    <row r="2576" spans="1:7" x14ac:dyDescent="0.3">
      <c r="A2576" s="9">
        <v>45982</v>
      </c>
      <c r="B2576" s="7" t="s">
        <v>7813</v>
      </c>
      <c r="C2576" s="3">
        <v>4245.5</v>
      </c>
      <c r="D2576" s="7" t="s">
        <v>7814</v>
      </c>
      <c r="E2576" s="7" t="s">
        <v>4888</v>
      </c>
      <c r="G2576" s="9"/>
    </row>
    <row r="2577" spans="1:7" x14ac:dyDescent="0.3">
      <c r="A2577" s="9">
        <v>46008</v>
      </c>
      <c r="B2577" s="7" t="s">
        <v>7815</v>
      </c>
      <c r="C2577" s="3">
        <v>-1071.8399999999999</v>
      </c>
      <c r="D2577" s="7" t="s">
        <v>7816</v>
      </c>
      <c r="E2577" s="7" t="s">
        <v>7274</v>
      </c>
      <c r="G2577" s="9"/>
    </row>
    <row r="2578" spans="1:7" x14ac:dyDescent="0.3">
      <c r="A2578" s="9">
        <v>46089</v>
      </c>
      <c r="B2578" s="7" t="s">
        <v>7815</v>
      </c>
      <c r="C2578" s="3">
        <v>-3062.5</v>
      </c>
      <c r="D2578" s="7" t="s">
        <v>7816</v>
      </c>
      <c r="E2578" s="7" t="s">
        <v>7738</v>
      </c>
      <c r="G2578" s="9"/>
    </row>
    <row r="2579" spans="1:7" x14ac:dyDescent="0.3">
      <c r="A2579" s="9">
        <v>46063</v>
      </c>
      <c r="B2579" s="7" t="s">
        <v>7813</v>
      </c>
      <c r="C2579" s="3">
        <v>1209.1199999999999</v>
      </c>
      <c r="D2579" s="7" t="s">
        <v>7814</v>
      </c>
      <c r="E2579" s="7" t="s">
        <v>3490</v>
      </c>
      <c r="G2579" s="9"/>
    </row>
    <row r="2580" spans="1:7" x14ac:dyDescent="0.3">
      <c r="A2580" s="9">
        <v>45982</v>
      </c>
      <c r="B2580" s="7" t="s">
        <v>7813</v>
      </c>
      <c r="C2580" s="3">
        <v>2033.52</v>
      </c>
      <c r="D2580" s="7" t="s">
        <v>7814</v>
      </c>
      <c r="E2580" s="7" t="s">
        <v>3955</v>
      </c>
      <c r="G2580" s="9"/>
    </row>
    <row r="2581" spans="1:7" x14ac:dyDescent="0.3">
      <c r="A2581" s="9">
        <v>45979</v>
      </c>
      <c r="B2581" s="7" t="s">
        <v>7813</v>
      </c>
      <c r="C2581" s="3">
        <v>12052.93</v>
      </c>
      <c r="D2581" s="7" t="s">
        <v>7814</v>
      </c>
      <c r="E2581" s="7" t="s">
        <v>4473</v>
      </c>
      <c r="G2581" s="9"/>
    </row>
    <row r="2582" spans="1:7" x14ac:dyDescent="0.3">
      <c r="A2582" s="9">
        <v>46025</v>
      </c>
      <c r="B2582" s="7" t="s">
        <v>7815</v>
      </c>
      <c r="C2582" s="3">
        <v>-1744.63</v>
      </c>
      <c r="D2582" s="7" t="s">
        <v>7816</v>
      </c>
      <c r="E2582" s="7" t="s">
        <v>6965</v>
      </c>
      <c r="G2582" s="9"/>
    </row>
    <row r="2583" spans="1:7" x14ac:dyDescent="0.3">
      <c r="A2583" s="9">
        <v>46025</v>
      </c>
      <c r="B2583" s="7" t="s">
        <v>7815</v>
      </c>
      <c r="C2583" s="3">
        <v>-1291.5</v>
      </c>
      <c r="D2583" s="7" t="s">
        <v>7816</v>
      </c>
      <c r="E2583" s="7" t="s">
        <v>7388</v>
      </c>
      <c r="G2583" s="9"/>
    </row>
    <row r="2584" spans="1:7" x14ac:dyDescent="0.3">
      <c r="A2584" s="9">
        <v>46054</v>
      </c>
      <c r="B2584" s="7" t="s">
        <v>7813</v>
      </c>
      <c r="C2584" s="3">
        <v>2945.74</v>
      </c>
      <c r="D2584" s="7" t="s">
        <v>7814</v>
      </c>
      <c r="E2584" s="7" t="s">
        <v>3250</v>
      </c>
      <c r="G2584" s="9"/>
    </row>
    <row r="2585" spans="1:7" x14ac:dyDescent="0.3">
      <c r="A2585" s="9">
        <v>46079</v>
      </c>
      <c r="B2585" s="7" t="s">
        <v>7813</v>
      </c>
      <c r="C2585" s="3">
        <v>3013.82</v>
      </c>
      <c r="D2585" s="7" t="s">
        <v>7814</v>
      </c>
      <c r="E2585" s="7" t="s">
        <v>3668</v>
      </c>
      <c r="G2585" s="9"/>
    </row>
    <row r="2586" spans="1:7" x14ac:dyDescent="0.3">
      <c r="A2586" s="9">
        <v>45982</v>
      </c>
      <c r="B2586" s="7" t="s">
        <v>7813</v>
      </c>
      <c r="C2586" s="3">
        <v>2622.8</v>
      </c>
      <c r="D2586" s="7" t="s">
        <v>7814</v>
      </c>
      <c r="E2586" s="7" t="s">
        <v>3697</v>
      </c>
      <c r="G2586" s="9"/>
    </row>
    <row r="2587" spans="1:7" x14ac:dyDescent="0.3">
      <c r="A2587" s="9">
        <v>45963</v>
      </c>
      <c r="B2587" s="7" t="s">
        <v>7813</v>
      </c>
      <c r="C2587" s="3">
        <v>4759.6000000000004</v>
      </c>
      <c r="D2587" s="7" t="s">
        <v>7814</v>
      </c>
      <c r="E2587" s="7" t="s">
        <v>4050</v>
      </c>
      <c r="G2587" s="9"/>
    </row>
    <row r="2588" spans="1:7" x14ac:dyDescent="0.3">
      <c r="A2588" s="9">
        <v>46057</v>
      </c>
      <c r="B2588" s="7" t="s">
        <v>7815</v>
      </c>
      <c r="C2588" s="3">
        <v>-5704.73</v>
      </c>
      <c r="D2588" s="7" t="s">
        <v>7816</v>
      </c>
      <c r="E2588" s="7" t="s">
        <v>7316</v>
      </c>
      <c r="G2588" s="9"/>
    </row>
    <row r="2589" spans="1:7" x14ac:dyDescent="0.3">
      <c r="A2589" s="9">
        <v>46010</v>
      </c>
      <c r="B2589" s="7" t="s">
        <v>7815</v>
      </c>
      <c r="C2589" s="3">
        <v>-934.42</v>
      </c>
      <c r="D2589" s="7" t="s">
        <v>7816</v>
      </c>
      <c r="E2589" s="7" t="s">
        <v>7620</v>
      </c>
      <c r="G2589" s="9"/>
    </row>
    <row r="2590" spans="1:7" x14ac:dyDescent="0.3">
      <c r="A2590" s="9">
        <v>46008</v>
      </c>
      <c r="B2590" s="7" t="s">
        <v>7813</v>
      </c>
      <c r="C2590" s="3">
        <v>1617.98</v>
      </c>
      <c r="D2590" s="7" t="s">
        <v>7814</v>
      </c>
      <c r="E2590" s="7" t="s">
        <v>3313</v>
      </c>
      <c r="G2590" s="9"/>
    </row>
    <row r="2591" spans="1:7" x14ac:dyDescent="0.3">
      <c r="A2591" s="9">
        <v>45974</v>
      </c>
      <c r="B2591" s="7" t="s">
        <v>7813</v>
      </c>
      <c r="C2591" s="3">
        <v>3325.8</v>
      </c>
      <c r="D2591" s="7" t="s">
        <v>7814</v>
      </c>
      <c r="E2591" s="7" t="s">
        <v>3339</v>
      </c>
      <c r="G2591" s="9"/>
    </row>
    <row r="2592" spans="1:7" x14ac:dyDescent="0.3">
      <c r="A2592" s="9">
        <v>46009</v>
      </c>
      <c r="B2592" s="7" t="s">
        <v>7813</v>
      </c>
      <c r="C2592" s="3">
        <v>2939.97</v>
      </c>
      <c r="D2592" s="7" t="s">
        <v>7814</v>
      </c>
      <c r="E2592" s="7" t="s">
        <v>3364</v>
      </c>
      <c r="G2592" s="9"/>
    </row>
    <row r="2593" spans="1:7" x14ac:dyDescent="0.3">
      <c r="A2593" s="9">
        <v>46064</v>
      </c>
      <c r="B2593" s="7" t="s">
        <v>7813</v>
      </c>
      <c r="C2593" s="3">
        <v>2026.36</v>
      </c>
      <c r="D2593" s="7" t="s">
        <v>7814</v>
      </c>
      <c r="E2593" s="7" t="s">
        <v>3398</v>
      </c>
      <c r="G2593" s="9"/>
    </row>
    <row r="2594" spans="1:7" x14ac:dyDescent="0.3">
      <c r="A2594" s="9">
        <v>46070</v>
      </c>
      <c r="B2594" s="7" t="s">
        <v>7813</v>
      </c>
      <c r="C2594" s="3">
        <v>4033.19</v>
      </c>
      <c r="D2594" s="7" t="s">
        <v>7814</v>
      </c>
      <c r="E2594" s="7" t="s">
        <v>4111</v>
      </c>
      <c r="G2594" s="9"/>
    </row>
    <row r="2595" spans="1:7" x14ac:dyDescent="0.3">
      <c r="A2595" s="9">
        <v>46002</v>
      </c>
      <c r="B2595" s="7" t="s">
        <v>7813</v>
      </c>
      <c r="C2595" s="3">
        <v>5843.38</v>
      </c>
      <c r="D2595" s="7" t="s">
        <v>7814</v>
      </c>
      <c r="E2595" s="7" t="s">
        <v>4654</v>
      </c>
      <c r="G2595" s="9"/>
    </row>
    <row r="2596" spans="1:7" x14ac:dyDescent="0.3">
      <c r="A2596" s="9">
        <v>46016</v>
      </c>
      <c r="B2596" s="7" t="s">
        <v>7813</v>
      </c>
      <c r="C2596" s="3">
        <v>12421.99</v>
      </c>
      <c r="D2596" s="7" t="s">
        <v>7814</v>
      </c>
      <c r="E2596" s="7" t="s">
        <v>5088</v>
      </c>
      <c r="G2596" s="9"/>
    </row>
    <row r="2597" spans="1:7" x14ac:dyDescent="0.3">
      <c r="A2597" s="9">
        <v>46036</v>
      </c>
      <c r="B2597" s="7" t="s">
        <v>7813</v>
      </c>
      <c r="C2597" s="3">
        <v>14086.25</v>
      </c>
      <c r="D2597" s="7" t="s">
        <v>7814</v>
      </c>
      <c r="E2597" s="7" t="s">
        <v>4203</v>
      </c>
      <c r="G2597" s="9"/>
    </row>
    <row r="2598" spans="1:7" x14ac:dyDescent="0.3">
      <c r="A2598" s="9">
        <v>46021</v>
      </c>
      <c r="B2598" s="7" t="s">
        <v>7813</v>
      </c>
      <c r="C2598" s="3">
        <v>2015.87</v>
      </c>
      <c r="D2598" s="7" t="s">
        <v>7814</v>
      </c>
      <c r="E2598" s="7" t="s">
        <v>4364</v>
      </c>
      <c r="G2598" s="9"/>
    </row>
    <row r="2599" spans="1:7" x14ac:dyDescent="0.3">
      <c r="A2599" s="9">
        <v>45979</v>
      </c>
      <c r="B2599" s="7" t="s">
        <v>7813</v>
      </c>
      <c r="C2599" s="3">
        <v>2028.84</v>
      </c>
      <c r="D2599" s="7" t="s">
        <v>7814</v>
      </c>
      <c r="E2599" s="7" t="s">
        <v>5015</v>
      </c>
      <c r="G2599" s="9"/>
    </row>
    <row r="2600" spans="1:7" x14ac:dyDescent="0.3">
      <c r="A2600" s="9">
        <v>46049</v>
      </c>
      <c r="B2600" s="7" t="s">
        <v>7813</v>
      </c>
      <c r="C2600" s="3">
        <v>11880.42</v>
      </c>
      <c r="D2600" s="7" t="s">
        <v>7814</v>
      </c>
      <c r="E2600" s="7" t="s">
        <v>5347</v>
      </c>
      <c r="G2600" s="9"/>
    </row>
    <row r="2601" spans="1:7" x14ac:dyDescent="0.3">
      <c r="A2601" s="9">
        <v>46051</v>
      </c>
      <c r="B2601" s="7" t="s">
        <v>7815</v>
      </c>
      <c r="C2601" s="3">
        <v>-1356.94</v>
      </c>
      <c r="D2601" s="7" t="s">
        <v>7816</v>
      </c>
      <c r="E2601" s="7" t="s">
        <v>7227</v>
      </c>
      <c r="G2601" s="9"/>
    </row>
    <row r="2602" spans="1:7" x14ac:dyDescent="0.3">
      <c r="A2602" s="9">
        <v>46059</v>
      </c>
      <c r="B2602" s="7" t="s">
        <v>7815</v>
      </c>
      <c r="C2602" s="3">
        <v>-4783.09</v>
      </c>
      <c r="D2602" s="7" t="s">
        <v>7816</v>
      </c>
      <c r="E2602" s="7" t="s">
        <v>7339</v>
      </c>
      <c r="G2602" s="9"/>
    </row>
    <row r="2603" spans="1:7" x14ac:dyDescent="0.3">
      <c r="A2603" s="9">
        <v>46049</v>
      </c>
      <c r="B2603" s="7" t="s">
        <v>7815</v>
      </c>
      <c r="C2603" s="3">
        <v>-3721.22</v>
      </c>
      <c r="D2603" s="7" t="s">
        <v>7816</v>
      </c>
      <c r="E2603" s="7" t="s">
        <v>7369</v>
      </c>
      <c r="G2603" s="9"/>
    </row>
    <row r="2604" spans="1:7" x14ac:dyDescent="0.3">
      <c r="A2604" s="9">
        <v>46073</v>
      </c>
      <c r="B2604" s="7" t="s">
        <v>7813</v>
      </c>
      <c r="C2604" s="3">
        <v>3140.49</v>
      </c>
      <c r="D2604" s="7" t="s">
        <v>7814</v>
      </c>
      <c r="E2604" s="7" t="s">
        <v>3468</v>
      </c>
      <c r="G2604" s="9"/>
    </row>
    <row r="2605" spans="1:7" x14ac:dyDescent="0.3">
      <c r="A2605" s="9">
        <v>46018</v>
      </c>
      <c r="B2605" s="7" t="s">
        <v>7813</v>
      </c>
      <c r="C2605" s="3">
        <v>10831.63</v>
      </c>
      <c r="D2605" s="7" t="s">
        <v>7814</v>
      </c>
      <c r="E2605" s="7" t="s">
        <v>3748</v>
      </c>
      <c r="G2605" s="9"/>
    </row>
    <row r="2606" spans="1:7" x14ac:dyDescent="0.3">
      <c r="A2606" s="9">
        <v>45992</v>
      </c>
      <c r="B2606" s="7" t="s">
        <v>7813</v>
      </c>
      <c r="C2606" s="3">
        <v>2072.62</v>
      </c>
      <c r="D2606" s="7" t="s">
        <v>7814</v>
      </c>
      <c r="E2606" s="7" t="s">
        <v>3752</v>
      </c>
      <c r="G2606" s="9"/>
    </row>
    <row r="2607" spans="1:7" x14ac:dyDescent="0.3">
      <c r="A2607" s="9">
        <v>46075</v>
      </c>
      <c r="B2607" s="7" t="s">
        <v>7813</v>
      </c>
      <c r="C2607" s="3">
        <v>2922.64</v>
      </c>
      <c r="D2607" s="7" t="s">
        <v>7814</v>
      </c>
      <c r="E2607" s="7" t="s">
        <v>4136</v>
      </c>
      <c r="G2607" s="9"/>
    </row>
    <row r="2608" spans="1:7" x14ac:dyDescent="0.3">
      <c r="A2608" s="9">
        <v>46045</v>
      </c>
      <c r="B2608" s="7" t="s">
        <v>7813</v>
      </c>
      <c r="C2608" s="3">
        <v>1620.37</v>
      </c>
      <c r="D2608" s="7" t="s">
        <v>7814</v>
      </c>
      <c r="E2608" s="7" t="s">
        <v>4895</v>
      </c>
      <c r="G2608" s="9"/>
    </row>
    <row r="2609" spans="1:7" x14ac:dyDescent="0.3">
      <c r="A2609" s="9">
        <v>46022</v>
      </c>
      <c r="B2609" s="7" t="s">
        <v>7813</v>
      </c>
      <c r="C2609" s="3">
        <v>1720.85</v>
      </c>
      <c r="D2609" s="7" t="s">
        <v>7814</v>
      </c>
      <c r="E2609" s="7" t="s">
        <v>5159</v>
      </c>
      <c r="G2609" s="9"/>
    </row>
    <row r="2610" spans="1:7" x14ac:dyDescent="0.3">
      <c r="A2610" s="9">
        <v>45983</v>
      </c>
      <c r="B2610" s="7" t="s">
        <v>7815</v>
      </c>
      <c r="C2610" s="3">
        <v>-6394.79</v>
      </c>
      <c r="D2610" s="7" t="s">
        <v>7816</v>
      </c>
      <c r="E2610" s="7" t="s">
        <v>7076</v>
      </c>
      <c r="G2610" s="9"/>
    </row>
    <row r="2611" spans="1:7" x14ac:dyDescent="0.3">
      <c r="A2611" s="9">
        <v>45998</v>
      </c>
      <c r="B2611" s="7" t="s">
        <v>7815</v>
      </c>
      <c r="C2611" s="3">
        <v>-1879.48</v>
      </c>
      <c r="D2611" s="7" t="s">
        <v>7816</v>
      </c>
      <c r="E2611" s="7" t="s">
        <v>7569</v>
      </c>
      <c r="G2611" s="9"/>
    </row>
    <row r="2612" spans="1:7" x14ac:dyDescent="0.3">
      <c r="A2612" s="9">
        <v>46077</v>
      </c>
      <c r="B2612" s="7" t="s">
        <v>7815</v>
      </c>
      <c r="C2612" s="3">
        <v>-6092.37</v>
      </c>
      <c r="D2612" s="7" t="s">
        <v>7816</v>
      </c>
      <c r="E2612" s="7" t="s">
        <v>7696</v>
      </c>
      <c r="G2612" s="9"/>
    </row>
    <row r="2613" spans="1:7" x14ac:dyDescent="0.3">
      <c r="A2613" s="9">
        <v>45969</v>
      </c>
      <c r="B2613" s="7" t="s">
        <v>7813</v>
      </c>
      <c r="C2613" s="3">
        <v>10275.09</v>
      </c>
      <c r="D2613" s="7" t="s">
        <v>7814</v>
      </c>
      <c r="E2613" s="7" t="s">
        <v>3619</v>
      </c>
      <c r="G2613" s="9"/>
    </row>
    <row r="2614" spans="1:7" x14ac:dyDescent="0.3">
      <c r="A2614" s="9">
        <v>46045</v>
      </c>
      <c r="B2614" s="7" t="s">
        <v>7813</v>
      </c>
      <c r="C2614" s="3">
        <v>9728.25</v>
      </c>
      <c r="D2614" s="7" t="s">
        <v>7814</v>
      </c>
      <c r="E2614" s="7" t="s">
        <v>4455</v>
      </c>
      <c r="G2614" s="9"/>
    </row>
    <row r="2615" spans="1:7" x14ac:dyDescent="0.3">
      <c r="A2615" s="9">
        <v>46041</v>
      </c>
      <c r="B2615" s="7" t="s">
        <v>7815</v>
      </c>
      <c r="C2615" s="3">
        <v>-5599.48</v>
      </c>
      <c r="D2615" s="7" t="s">
        <v>7816</v>
      </c>
      <c r="E2615" s="7" t="s">
        <v>6970</v>
      </c>
      <c r="G2615" s="9"/>
    </row>
    <row r="2616" spans="1:7" x14ac:dyDescent="0.3">
      <c r="A2616" s="9">
        <v>45971</v>
      </c>
      <c r="B2616" s="7" t="s">
        <v>7815</v>
      </c>
      <c r="C2616" s="3">
        <v>-2412.6799999999998</v>
      </c>
      <c r="D2616" s="7" t="s">
        <v>7816</v>
      </c>
      <c r="E2616" s="7" t="s">
        <v>7048</v>
      </c>
      <c r="G2616" s="9"/>
    </row>
    <row r="2617" spans="1:7" x14ac:dyDescent="0.3">
      <c r="A2617" s="9">
        <v>46017</v>
      </c>
      <c r="B2617" s="7" t="s">
        <v>7815</v>
      </c>
      <c r="C2617" s="3">
        <v>-1710.12</v>
      </c>
      <c r="D2617" s="7" t="s">
        <v>7816</v>
      </c>
      <c r="E2617" s="7" t="s">
        <v>7201</v>
      </c>
      <c r="G2617" s="9"/>
    </row>
    <row r="2618" spans="1:7" x14ac:dyDescent="0.3">
      <c r="A2618" s="9">
        <v>46055</v>
      </c>
      <c r="B2618" s="7" t="s">
        <v>7815</v>
      </c>
      <c r="C2618" s="3">
        <v>-4591.07</v>
      </c>
      <c r="D2618" s="7" t="s">
        <v>7816</v>
      </c>
      <c r="E2618" s="7" t="s">
        <v>7356</v>
      </c>
      <c r="G2618" s="9"/>
    </row>
    <row r="2619" spans="1:7" x14ac:dyDescent="0.3">
      <c r="A2619" s="9">
        <v>46061</v>
      </c>
      <c r="B2619" s="7" t="s">
        <v>7815</v>
      </c>
      <c r="C2619" s="3">
        <v>-6099.11</v>
      </c>
      <c r="D2619" s="7" t="s">
        <v>7816</v>
      </c>
      <c r="E2619" s="7" t="s">
        <v>7675</v>
      </c>
      <c r="G2619" s="9"/>
    </row>
    <row r="2620" spans="1:7" x14ac:dyDescent="0.3">
      <c r="A2620" s="9">
        <v>46080</v>
      </c>
      <c r="B2620" s="7" t="s">
        <v>7813</v>
      </c>
      <c r="C2620" s="3">
        <v>1111.55</v>
      </c>
      <c r="D2620" s="7" t="s">
        <v>7814</v>
      </c>
      <c r="E2620" s="7" t="s">
        <v>3491</v>
      </c>
      <c r="G2620" s="9"/>
    </row>
    <row r="2621" spans="1:7" x14ac:dyDescent="0.3">
      <c r="A2621" s="9">
        <v>46012</v>
      </c>
      <c r="B2621" s="7" t="s">
        <v>7813</v>
      </c>
      <c r="C2621" s="3">
        <v>5859.84</v>
      </c>
      <c r="D2621" s="7" t="s">
        <v>7814</v>
      </c>
      <c r="E2621" s="7" t="s">
        <v>3507</v>
      </c>
      <c r="G2621" s="9"/>
    </row>
    <row r="2622" spans="1:7" x14ac:dyDescent="0.3">
      <c r="A2622" s="9">
        <v>46087</v>
      </c>
      <c r="B2622" s="7" t="s">
        <v>7813</v>
      </c>
      <c r="C2622" s="3">
        <v>10879.77</v>
      </c>
      <c r="D2622" s="7" t="s">
        <v>7814</v>
      </c>
      <c r="E2622" s="7" t="s">
        <v>4195</v>
      </c>
      <c r="G2622" s="9"/>
    </row>
    <row r="2623" spans="1:7" x14ac:dyDescent="0.3">
      <c r="A2623" s="9">
        <v>45976</v>
      </c>
      <c r="B2623" s="7" t="s">
        <v>7813</v>
      </c>
      <c r="C2623" s="3">
        <v>2593.6</v>
      </c>
      <c r="D2623" s="7" t="s">
        <v>7814</v>
      </c>
      <c r="E2623" s="7" t="s">
        <v>4294</v>
      </c>
      <c r="G2623" s="9"/>
    </row>
    <row r="2624" spans="1:7" x14ac:dyDescent="0.3">
      <c r="A2624" s="9">
        <v>46013</v>
      </c>
      <c r="B2624" s="7" t="s">
        <v>7813</v>
      </c>
      <c r="C2624" s="3">
        <v>3216.07</v>
      </c>
      <c r="D2624" s="7" t="s">
        <v>7814</v>
      </c>
      <c r="E2624" s="7" t="s">
        <v>4582</v>
      </c>
      <c r="G2624" s="9"/>
    </row>
    <row r="2625" spans="1:7" x14ac:dyDescent="0.3">
      <c r="A2625" s="9">
        <v>46004</v>
      </c>
      <c r="B2625" s="7" t="s">
        <v>7813</v>
      </c>
      <c r="C2625" s="3">
        <v>1946.76</v>
      </c>
      <c r="D2625" s="7" t="s">
        <v>7814</v>
      </c>
      <c r="E2625" s="7" t="s">
        <v>4732</v>
      </c>
      <c r="G2625" s="9"/>
    </row>
    <row r="2626" spans="1:7" x14ac:dyDescent="0.3">
      <c r="A2626" s="9">
        <v>46069</v>
      </c>
      <c r="B2626" s="7" t="s">
        <v>7813</v>
      </c>
      <c r="C2626" s="3">
        <v>2932.74</v>
      </c>
      <c r="D2626" s="7" t="s">
        <v>7814</v>
      </c>
      <c r="E2626" s="7" t="s">
        <v>5177</v>
      </c>
      <c r="G2626" s="9"/>
    </row>
    <row r="2627" spans="1:7" x14ac:dyDescent="0.3">
      <c r="A2627" s="9">
        <v>46028</v>
      </c>
      <c r="B2627" s="7" t="s">
        <v>7815</v>
      </c>
      <c r="C2627" s="3">
        <v>-6855.67</v>
      </c>
      <c r="D2627" s="7" t="s">
        <v>7816</v>
      </c>
      <c r="E2627" s="7" t="s">
        <v>6917</v>
      </c>
      <c r="G2627" s="9"/>
    </row>
    <row r="2628" spans="1:7" x14ac:dyDescent="0.3">
      <c r="A2628" s="9">
        <v>45972</v>
      </c>
      <c r="B2628" s="7" t="s">
        <v>7815</v>
      </c>
      <c r="C2628" s="3">
        <v>-4976.87</v>
      </c>
      <c r="D2628" s="7" t="s">
        <v>7816</v>
      </c>
      <c r="E2628" s="7" t="s">
        <v>7552</v>
      </c>
      <c r="G2628" s="9"/>
    </row>
    <row r="2629" spans="1:7" x14ac:dyDescent="0.3">
      <c r="A2629" s="9">
        <v>46013</v>
      </c>
      <c r="B2629" s="7" t="s">
        <v>7815</v>
      </c>
      <c r="C2629" s="3">
        <v>-1344.25</v>
      </c>
      <c r="D2629" s="7" t="s">
        <v>7816</v>
      </c>
      <c r="E2629" s="7" t="s">
        <v>7708</v>
      </c>
      <c r="G2629" s="9"/>
    </row>
    <row r="2630" spans="1:7" x14ac:dyDescent="0.3">
      <c r="A2630" s="9">
        <v>46082</v>
      </c>
      <c r="B2630" s="7" t="s">
        <v>7813</v>
      </c>
      <c r="C2630" s="3">
        <v>9741.52</v>
      </c>
      <c r="D2630" s="7" t="s">
        <v>7814</v>
      </c>
      <c r="E2630" s="7" t="s">
        <v>3595</v>
      </c>
      <c r="G2630" s="9"/>
    </row>
    <row r="2631" spans="1:7" x14ac:dyDescent="0.3">
      <c r="A2631" s="9">
        <v>46018</v>
      </c>
      <c r="B2631" s="7" t="s">
        <v>7813</v>
      </c>
      <c r="C2631" s="3">
        <v>13968.8</v>
      </c>
      <c r="D2631" s="7" t="s">
        <v>7814</v>
      </c>
      <c r="E2631" s="7" t="s">
        <v>4529</v>
      </c>
      <c r="G2631" s="9"/>
    </row>
    <row r="2632" spans="1:7" x14ac:dyDescent="0.3">
      <c r="A2632" s="9">
        <v>46043</v>
      </c>
      <c r="B2632" s="7" t="s">
        <v>7813</v>
      </c>
      <c r="C2632" s="3">
        <v>2109.69</v>
      </c>
      <c r="D2632" s="7" t="s">
        <v>7814</v>
      </c>
      <c r="E2632" s="7" t="s">
        <v>4922</v>
      </c>
      <c r="G2632" s="9"/>
    </row>
    <row r="2633" spans="1:7" x14ac:dyDescent="0.3">
      <c r="A2633" s="9">
        <v>46043</v>
      </c>
      <c r="B2633" s="7" t="s">
        <v>7813</v>
      </c>
      <c r="C2633" s="3">
        <v>3376.78</v>
      </c>
      <c r="D2633" s="7" t="s">
        <v>7814</v>
      </c>
      <c r="E2633" s="7" t="s">
        <v>4931</v>
      </c>
      <c r="G2633" s="9"/>
    </row>
    <row r="2634" spans="1:7" x14ac:dyDescent="0.3">
      <c r="A2634" s="9">
        <v>46091</v>
      </c>
      <c r="B2634" s="7" t="s">
        <v>7813</v>
      </c>
      <c r="C2634" s="3">
        <v>4161.8100000000004</v>
      </c>
      <c r="D2634" s="7" t="s">
        <v>7814</v>
      </c>
      <c r="E2634" s="7" t="s">
        <v>5376</v>
      </c>
      <c r="G2634" s="9"/>
    </row>
    <row r="2635" spans="1:7" x14ac:dyDescent="0.3">
      <c r="A2635" s="9">
        <v>45989</v>
      </c>
      <c r="B2635" s="7" t="s">
        <v>7815</v>
      </c>
      <c r="C2635" s="3">
        <v>-3012.89</v>
      </c>
      <c r="D2635" s="7" t="s">
        <v>7816</v>
      </c>
      <c r="E2635" s="7" t="s">
        <v>6967</v>
      </c>
      <c r="G2635" s="9"/>
    </row>
    <row r="2636" spans="1:7" x14ac:dyDescent="0.3">
      <c r="A2636" s="9">
        <v>45981</v>
      </c>
      <c r="B2636" s="7" t="s">
        <v>7815</v>
      </c>
      <c r="C2636" s="3">
        <v>-2984.95</v>
      </c>
      <c r="D2636" s="7" t="s">
        <v>7816</v>
      </c>
      <c r="E2636" s="7" t="s">
        <v>6996</v>
      </c>
      <c r="G2636" s="9"/>
    </row>
    <row r="2637" spans="1:7" x14ac:dyDescent="0.3">
      <c r="A2637" s="9">
        <v>46004</v>
      </c>
      <c r="B2637" s="7" t="s">
        <v>7815</v>
      </c>
      <c r="C2637" s="3">
        <v>-6503.98</v>
      </c>
      <c r="D2637" s="7" t="s">
        <v>7816</v>
      </c>
      <c r="E2637" s="7" t="s">
        <v>7595</v>
      </c>
      <c r="G2637" s="9"/>
    </row>
    <row r="2638" spans="1:7" x14ac:dyDescent="0.3">
      <c r="A2638" s="9">
        <v>46050</v>
      </c>
      <c r="B2638" s="7" t="s">
        <v>7813</v>
      </c>
      <c r="C2638" s="3">
        <v>3509.76</v>
      </c>
      <c r="D2638" s="7" t="s">
        <v>7814</v>
      </c>
      <c r="E2638" s="7" t="s">
        <v>5065</v>
      </c>
      <c r="G2638" s="9"/>
    </row>
    <row r="2639" spans="1:7" x14ac:dyDescent="0.3">
      <c r="A2639" s="9">
        <v>46038</v>
      </c>
      <c r="B2639" s="7" t="s">
        <v>7813</v>
      </c>
      <c r="C2639" s="3">
        <v>2970.39</v>
      </c>
      <c r="D2639" s="7" t="s">
        <v>7814</v>
      </c>
      <c r="E2639" s="7" t="s">
        <v>5178</v>
      </c>
      <c r="G2639" s="9"/>
    </row>
    <row r="2640" spans="1:7" x14ac:dyDescent="0.3">
      <c r="A2640" s="9">
        <v>45976</v>
      </c>
      <c r="B2640" s="7" t="s">
        <v>7815</v>
      </c>
      <c r="C2640" s="3">
        <v>-6067.36</v>
      </c>
      <c r="D2640" s="7" t="s">
        <v>7816</v>
      </c>
      <c r="E2640" s="7" t="s">
        <v>7215</v>
      </c>
      <c r="G2640" s="9"/>
    </row>
    <row r="2641" spans="1:7" x14ac:dyDescent="0.3">
      <c r="A2641" s="9">
        <v>46037</v>
      </c>
      <c r="B2641" s="7" t="s">
        <v>7815</v>
      </c>
      <c r="C2641" s="3">
        <v>-5867.25</v>
      </c>
      <c r="D2641" s="7" t="s">
        <v>7816</v>
      </c>
      <c r="E2641" s="7" t="s">
        <v>7417</v>
      </c>
      <c r="G2641" s="9"/>
    </row>
    <row r="2642" spans="1:7" x14ac:dyDescent="0.3">
      <c r="A2642" s="9">
        <v>46063</v>
      </c>
      <c r="B2642" s="7" t="s">
        <v>7813</v>
      </c>
      <c r="C2642" s="3">
        <v>3281.26</v>
      </c>
      <c r="D2642" s="7" t="s">
        <v>7814</v>
      </c>
      <c r="E2642" s="7" t="s">
        <v>3188</v>
      </c>
      <c r="G2642" s="9"/>
    </row>
    <row r="2643" spans="1:7" x14ac:dyDescent="0.3">
      <c r="A2643" s="9">
        <v>46086</v>
      </c>
      <c r="B2643" s="7" t="s">
        <v>7813</v>
      </c>
      <c r="C2643" s="3">
        <v>2319.75</v>
      </c>
      <c r="D2643" s="7" t="s">
        <v>7814</v>
      </c>
      <c r="E2643" s="7" t="s">
        <v>3647</v>
      </c>
      <c r="G2643" s="9"/>
    </row>
    <row r="2644" spans="1:7" x14ac:dyDescent="0.3">
      <c r="A2644" s="9">
        <v>46070</v>
      </c>
      <c r="B2644" s="7" t="s">
        <v>7813</v>
      </c>
      <c r="C2644" s="3">
        <v>11813.32</v>
      </c>
      <c r="D2644" s="7" t="s">
        <v>7814</v>
      </c>
      <c r="E2644" s="7" t="s">
        <v>4054</v>
      </c>
      <c r="G2644" s="9"/>
    </row>
    <row r="2645" spans="1:7" x14ac:dyDescent="0.3">
      <c r="A2645" s="9">
        <v>46046</v>
      </c>
      <c r="B2645" s="7" t="s">
        <v>7813</v>
      </c>
      <c r="C2645" s="3">
        <v>1541.53</v>
      </c>
      <c r="D2645" s="7" t="s">
        <v>7814</v>
      </c>
      <c r="E2645" s="7" t="s">
        <v>4583</v>
      </c>
      <c r="G2645" s="9"/>
    </row>
    <row r="2646" spans="1:7" x14ac:dyDescent="0.3">
      <c r="A2646" s="9">
        <v>46021</v>
      </c>
      <c r="B2646" s="7" t="s">
        <v>7813</v>
      </c>
      <c r="C2646" s="3">
        <v>3072.84</v>
      </c>
      <c r="D2646" s="7" t="s">
        <v>7814</v>
      </c>
      <c r="E2646" s="7" t="s">
        <v>4690</v>
      </c>
      <c r="G2646" s="9"/>
    </row>
    <row r="2647" spans="1:7" x14ac:dyDescent="0.3">
      <c r="A2647" s="9">
        <v>45997</v>
      </c>
      <c r="B2647" s="7" t="s">
        <v>7813</v>
      </c>
      <c r="C2647" s="3">
        <v>1946.51</v>
      </c>
      <c r="D2647" s="7" t="s">
        <v>7814</v>
      </c>
      <c r="E2647" s="7" t="s">
        <v>4970</v>
      </c>
      <c r="G2647" s="9"/>
    </row>
    <row r="2648" spans="1:7" x14ac:dyDescent="0.3">
      <c r="A2648" s="9">
        <v>45986</v>
      </c>
      <c r="B2648" s="7" t="s">
        <v>7813</v>
      </c>
      <c r="C2648" s="3">
        <v>5310.21</v>
      </c>
      <c r="D2648" s="7" t="s">
        <v>7814</v>
      </c>
      <c r="E2648" s="7" t="s">
        <v>5018</v>
      </c>
      <c r="G2648" s="9"/>
    </row>
    <row r="2649" spans="1:7" x14ac:dyDescent="0.3">
      <c r="A2649" s="9">
        <v>45970</v>
      </c>
      <c r="B2649" s="7" t="s">
        <v>7813</v>
      </c>
      <c r="C2649" s="3">
        <v>971.89</v>
      </c>
      <c r="D2649" s="7" t="s">
        <v>7814</v>
      </c>
      <c r="E2649" s="7" t="s">
        <v>5153</v>
      </c>
      <c r="G2649" s="9"/>
    </row>
    <row r="2650" spans="1:7" x14ac:dyDescent="0.3">
      <c r="A2650" s="9">
        <v>45988</v>
      </c>
      <c r="B2650" s="7" t="s">
        <v>7813</v>
      </c>
      <c r="C2650" s="3">
        <v>3808.68</v>
      </c>
      <c r="D2650" s="7" t="s">
        <v>7814</v>
      </c>
      <c r="E2650" s="7" t="s">
        <v>5323</v>
      </c>
      <c r="G2650" s="9"/>
    </row>
    <row r="2651" spans="1:7" x14ac:dyDescent="0.3">
      <c r="A2651" s="9">
        <v>46060</v>
      </c>
      <c r="B2651" s="7" t="s">
        <v>7815</v>
      </c>
      <c r="C2651" s="3">
        <v>-6527.43</v>
      </c>
      <c r="D2651" s="7" t="s">
        <v>7816</v>
      </c>
      <c r="E2651" s="7" t="s">
        <v>7479</v>
      </c>
      <c r="G2651" s="9"/>
    </row>
    <row r="2652" spans="1:7" x14ac:dyDescent="0.3">
      <c r="A2652" s="9">
        <v>46075</v>
      </c>
      <c r="B2652" s="7" t="s">
        <v>7815</v>
      </c>
      <c r="C2652" s="3">
        <v>-2923.49</v>
      </c>
      <c r="D2652" s="7" t="s">
        <v>7816</v>
      </c>
      <c r="E2652" s="7" t="s">
        <v>7612</v>
      </c>
      <c r="G2652" s="9"/>
    </row>
    <row r="2653" spans="1:7" x14ac:dyDescent="0.3">
      <c r="A2653" s="9">
        <v>45978</v>
      </c>
      <c r="B2653" s="7" t="s">
        <v>7813</v>
      </c>
      <c r="C2653" s="3">
        <v>3608.69</v>
      </c>
      <c r="D2653" s="7" t="s">
        <v>7814</v>
      </c>
      <c r="E2653" s="7" t="s">
        <v>3395</v>
      </c>
      <c r="G2653" s="9"/>
    </row>
    <row r="2654" spans="1:7" x14ac:dyDescent="0.3">
      <c r="A2654" s="9">
        <v>46029</v>
      </c>
      <c r="B2654" s="7" t="s">
        <v>7813</v>
      </c>
      <c r="C2654" s="3">
        <v>1047.5899999999999</v>
      </c>
      <c r="D2654" s="7" t="s">
        <v>7814</v>
      </c>
      <c r="E2654" s="7" t="s">
        <v>5154</v>
      </c>
      <c r="G2654" s="9"/>
    </row>
    <row r="2655" spans="1:7" x14ac:dyDescent="0.3">
      <c r="A2655" s="9">
        <v>45973</v>
      </c>
      <c r="B2655" s="7" t="s">
        <v>7815</v>
      </c>
      <c r="C2655" s="3">
        <v>-4473.4399999999996</v>
      </c>
      <c r="D2655" s="7" t="s">
        <v>7816</v>
      </c>
      <c r="E2655" s="7" t="s">
        <v>6829</v>
      </c>
      <c r="G2655" s="9"/>
    </row>
    <row r="2656" spans="1:7" x14ac:dyDescent="0.3">
      <c r="A2656" s="9">
        <v>46012</v>
      </c>
      <c r="B2656" s="7" t="s">
        <v>7815</v>
      </c>
      <c r="C2656" s="3">
        <v>-5832.68</v>
      </c>
      <c r="D2656" s="7" t="s">
        <v>7816</v>
      </c>
      <c r="E2656" s="7" t="s">
        <v>7156</v>
      </c>
      <c r="G2656" s="9"/>
    </row>
    <row r="2657" spans="1:7" x14ac:dyDescent="0.3">
      <c r="A2657" s="9">
        <v>46008</v>
      </c>
      <c r="B2657" s="7" t="s">
        <v>7815</v>
      </c>
      <c r="C2657" s="3">
        <v>-6698.74</v>
      </c>
      <c r="D2657" s="7" t="s">
        <v>7816</v>
      </c>
      <c r="E2657" s="7" t="s">
        <v>7169</v>
      </c>
      <c r="G2657" s="9"/>
    </row>
    <row r="2658" spans="1:7" x14ac:dyDescent="0.3">
      <c r="A2658" s="9">
        <v>46064</v>
      </c>
      <c r="B2658" s="7" t="s">
        <v>7815</v>
      </c>
      <c r="C2658" s="3">
        <v>-6464.39</v>
      </c>
      <c r="D2658" s="7" t="s">
        <v>7816</v>
      </c>
      <c r="E2658" s="7" t="s">
        <v>7309</v>
      </c>
      <c r="G2658" s="9"/>
    </row>
    <row r="2659" spans="1:7" x14ac:dyDescent="0.3">
      <c r="A2659" s="9">
        <v>45967</v>
      </c>
      <c r="B2659" s="7" t="s">
        <v>7815</v>
      </c>
      <c r="C2659" s="3">
        <v>-6246.66</v>
      </c>
      <c r="D2659" s="7" t="s">
        <v>7816</v>
      </c>
      <c r="E2659" s="7" t="s">
        <v>7389</v>
      </c>
      <c r="G2659" s="9"/>
    </row>
    <row r="2660" spans="1:7" x14ac:dyDescent="0.3">
      <c r="A2660" s="9">
        <v>45962</v>
      </c>
      <c r="B2660" s="7" t="s">
        <v>7815</v>
      </c>
      <c r="C2660" s="3">
        <v>-3079.33</v>
      </c>
      <c r="D2660" s="7" t="s">
        <v>7816</v>
      </c>
      <c r="E2660" s="7" t="s">
        <v>7604</v>
      </c>
      <c r="G2660" s="9"/>
    </row>
    <row r="2661" spans="1:7" x14ac:dyDescent="0.3">
      <c r="A2661" s="9">
        <v>46016</v>
      </c>
      <c r="B2661" s="7" t="s">
        <v>7815</v>
      </c>
      <c r="C2661" s="3">
        <v>-2382.7399999999998</v>
      </c>
      <c r="D2661" s="7" t="s">
        <v>7816</v>
      </c>
      <c r="E2661" s="7" t="s">
        <v>7642</v>
      </c>
      <c r="G2661" s="9"/>
    </row>
    <row r="2662" spans="1:7" x14ac:dyDescent="0.3">
      <c r="A2662" s="9">
        <v>46002</v>
      </c>
      <c r="B2662" s="7" t="s">
        <v>7817</v>
      </c>
      <c r="C2662" s="3">
        <v>-89133.58</v>
      </c>
      <c r="D2662" s="7" t="s">
        <v>7816</v>
      </c>
      <c r="E2662" s="7" t="s">
        <v>7818</v>
      </c>
      <c r="G2662" s="9"/>
    </row>
    <row r="2663" spans="1:7" x14ac:dyDescent="0.3">
      <c r="A2663" s="9">
        <v>45990</v>
      </c>
      <c r="B2663" s="7" t="s">
        <v>7813</v>
      </c>
      <c r="C2663" s="3">
        <v>5802.55</v>
      </c>
      <c r="D2663" s="7" t="s">
        <v>7814</v>
      </c>
      <c r="E2663" s="7" t="s">
        <v>3472</v>
      </c>
      <c r="G2663" s="9"/>
    </row>
    <row r="2664" spans="1:7" x14ac:dyDescent="0.3">
      <c r="A2664" s="9">
        <v>45968</v>
      </c>
      <c r="B2664" s="7" t="s">
        <v>7813</v>
      </c>
      <c r="C2664" s="3">
        <v>3134.3</v>
      </c>
      <c r="D2664" s="7" t="s">
        <v>7814</v>
      </c>
      <c r="E2664" s="7" t="s">
        <v>3896</v>
      </c>
      <c r="G2664" s="9"/>
    </row>
    <row r="2665" spans="1:7" x14ac:dyDescent="0.3">
      <c r="A2665" s="9">
        <v>46011</v>
      </c>
      <c r="B2665" s="7" t="s">
        <v>7813</v>
      </c>
      <c r="C2665" s="3">
        <v>1847.31</v>
      </c>
      <c r="D2665" s="7" t="s">
        <v>7814</v>
      </c>
      <c r="E2665" s="7" t="s">
        <v>4374</v>
      </c>
      <c r="G2665" s="9"/>
    </row>
    <row r="2666" spans="1:7" x14ac:dyDescent="0.3">
      <c r="A2666" s="9">
        <v>46003</v>
      </c>
      <c r="B2666" s="7" t="s">
        <v>7813</v>
      </c>
      <c r="C2666" s="3">
        <v>2605.71</v>
      </c>
      <c r="D2666" s="7" t="s">
        <v>7814</v>
      </c>
      <c r="E2666" s="7" t="s">
        <v>4440</v>
      </c>
      <c r="G2666" s="9"/>
    </row>
    <row r="2667" spans="1:7" x14ac:dyDescent="0.3">
      <c r="A2667" s="9">
        <v>46011</v>
      </c>
      <c r="B2667" s="7" t="s">
        <v>7813</v>
      </c>
      <c r="C2667" s="3">
        <v>11928.93</v>
      </c>
      <c r="D2667" s="7" t="s">
        <v>7814</v>
      </c>
      <c r="E2667" s="7" t="s">
        <v>4516</v>
      </c>
      <c r="G2667" s="9"/>
    </row>
    <row r="2668" spans="1:7" x14ac:dyDescent="0.3">
      <c r="A2668" s="9">
        <v>46088</v>
      </c>
      <c r="B2668" s="7" t="s">
        <v>7813</v>
      </c>
      <c r="C2668" s="3">
        <v>1819.28</v>
      </c>
      <c r="D2668" s="7" t="s">
        <v>7814</v>
      </c>
      <c r="E2668" s="7" t="s">
        <v>4645</v>
      </c>
      <c r="G2668" s="9"/>
    </row>
    <row r="2669" spans="1:7" x14ac:dyDescent="0.3">
      <c r="A2669" s="9">
        <v>46069</v>
      </c>
      <c r="B2669" s="7" t="s">
        <v>7813</v>
      </c>
      <c r="C2669" s="3">
        <v>872.1</v>
      </c>
      <c r="D2669" s="7" t="s">
        <v>7814</v>
      </c>
      <c r="E2669" s="7" t="s">
        <v>4799</v>
      </c>
      <c r="G2669" s="9"/>
    </row>
    <row r="2670" spans="1:7" x14ac:dyDescent="0.3">
      <c r="A2670" s="9">
        <v>46062</v>
      </c>
      <c r="B2670" s="7" t="s">
        <v>7813</v>
      </c>
      <c r="C2670" s="3">
        <v>12989.88</v>
      </c>
      <c r="D2670" s="7" t="s">
        <v>7814</v>
      </c>
      <c r="E2670" s="7" t="s">
        <v>5056</v>
      </c>
      <c r="G2670" s="9"/>
    </row>
    <row r="2671" spans="1:7" x14ac:dyDescent="0.3">
      <c r="A2671" s="9">
        <v>46090</v>
      </c>
      <c r="B2671" s="7" t="s">
        <v>7815</v>
      </c>
      <c r="C2671" s="3">
        <v>-4185.25</v>
      </c>
      <c r="D2671" s="7" t="s">
        <v>7816</v>
      </c>
      <c r="E2671" s="7" t="s">
        <v>7008</v>
      </c>
      <c r="G2671" s="9"/>
    </row>
    <row r="2672" spans="1:7" x14ac:dyDescent="0.3">
      <c r="A2672" s="9">
        <v>46087</v>
      </c>
      <c r="B2672" s="7" t="s">
        <v>7815</v>
      </c>
      <c r="C2672" s="3">
        <v>-1884.18</v>
      </c>
      <c r="D2672" s="7" t="s">
        <v>7816</v>
      </c>
      <c r="E2672" s="7" t="s">
        <v>7742</v>
      </c>
      <c r="G2672" s="9"/>
    </row>
    <row r="2673" spans="1:7" x14ac:dyDescent="0.3">
      <c r="A2673" s="9">
        <v>46083</v>
      </c>
      <c r="B2673" s="7" t="s">
        <v>7813</v>
      </c>
      <c r="C2673" s="3">
        <v>5534.7</v>
      </c>
      <c r="D2673" s="7" t="s">
        <v>7814</v>
      </c>
      <c r="E2673" s="7" t="s">
        <v>3287</v>
      </c>
      <c r="G2673" s="9"/>
    </row>
    <row r="2674" spans="1:7" x14ac:dyDescent="0.3">
      <c r="A2674" s="9">
        <v>46082</v>
      </c>
      <c r="B2674" s="7" t="s">
        <v>7813</v>
      </c>
      <c r="C2674" s="3">
        <v>5614.21</v>
      </c>
      <c r="D2674" s="7" t="s">
        <v>7814</v>
      </c>
      <c r="E2674" s="7" t="s">
        <v>4073</v>
      </c>
      <c r="G2674" s="9"/>
    </row>
    <row r="2675" spans="1:7" x14ac:dyDescent="0.3">
      <c r="A2675" s="9">
        <v>45965</v>
      </c>
      <c r="B2675" s="7" t="s">
        <v>7813</v>
      </c>
      <c r="C2675" s="3">
        <v>2358.59</v>
      </c>
      <c r="D2675" s="7" t="s">
        <v>7814</v>
      </c>
      <c r="E2675" s="7" t="s">
        <v>5244</v>
      </c>
      <c r="G2675" s="9"/>
    </row>
    <row r="2676" spans="1:7" x14ac:dyDescent="0.3">
      <c r="A2676" s="9">
        <v>46010</v>
      </c>
      <c r="B2676" s="7" t="s">
        <v>7813</v>
      </c>
      <c r="C2676" s="3">
        <v>10097.4</v>
      </c>
      <c r="D2676" s="7" t="s">
        <v>7814</v>
      </c>
      <c r="E2676" s="7" t="s">
        <v>5257</v>
      </c>
      <c r="G2676" s="9"/>
    </row>
    <row r="2677" spans="1:7" x14ac:dyDescent="0.3">
      <c r="A2677" s="9">
        <v>46026</v>
      </c>
      <c r="B2677" s="7" t="s">
        <v>7815</v>
      </c>
      <c r="C2677" s="3">
        <v>-6123.65</v>
      </c>
      <c r="D2677" s="7" t="s">
        <v>7816</v>
      </c>
      <c r="E2677" s="7" t="s">
        <v>7114</v>
      </c>
      <c r="G2677" s="9"/>
    </row>
    <row r="2678" spans="1:7" x14ac:dyDescent="0.3">
      <c r="A2678" s="9">
        <v>46067</v>
      </c>
      <c r="B2678" s="7" t="s">
        <v>7815</v>
      </c>
      <c r="C2678" s="3">
        <v>-5395.39</v>
      </c>
      <c r="D2678" s="7" t="s">
        <v>7816</v>
      </c>
      <c r="E2678" s="7" t="s">
        <v>7202</v>
      </c>
      <c r="G2678" s="9"/>
    </row>
    <row r="2679" spans="1:7" x14ac:dyDescent="0.3">
      <c r="A2679" s="9">
        <v>46084</v>
      </c>
      <c r="B2679" s="7" t="s">
        <v>7815</v>
      </c>
      <c r="C2679" s="3">
        <v>-6213.07</v>
      </c>
      <c r="D2679" s="7" t="s">
        <v>7816</v>
      </c>
      <c r="E2679" s="7" t="s">
        <v>7392</v>
      </c>
      <c r="G2679" s="9"/>
    </row>
    <row r="2680" spans="1:7" x14ac:dyDescent="0.3">
      <c r="A2680" s="9">
        <v>46021</v>
      </c>
      <c r="B2680" s="7" t="s">
        <v>7815</v>
      </c>
      <c r="C2680" s="3">
        <v>-6694.68</v>
      </c>
      <c r="D2680" s="7" t="s">
        <v>7816</v>
      </c>
      <c r="E2680" s="7" t="s">
        <v>7469</v>
      </c>
      <c r="G2680" s="9"/>
    </row>
    <row r="2681" spans="1:7" x14ac:dyDescent="0.3">
      <c r="A2681" s="9">
        <v>46082</v>
      </c>
      <c r="B2681" s="7" t="s">
        <v>7815</v>
      </c>
      <c r="C2681" s="3">
        <v>-2203.81</v>
      </c>
      <c r="D2681" s="7" t="s">
        <v>7816</v>
      </c>
      <c r="E2681" s="7" t="s">
        <v>7499</v>
      </c>
      <c r="G2681" s="9"/>
    </row>
    <row r="2682" spans="1:7" x14ac:dyDescent="0.3">
      <c r="A2682" s="9">
        <v>46063</v>
      </c>
      <c r="B2682" s="7" t="s">
        <v>7815</v>
      </c>
      <c r="C2682" s="3">
        <v>-5546.26</v>
      </c>
      <c r="D2682" s="7" t="s">
        <v>7816</v>
      </c>
      <c r="E2682" s="7" t="s">
        <v>7667</v>
      </c>
      <c r="G2682" s="9"/>
    </row>
    <row r="2683" spans="1:7" x14ac:dyDescent="0.3">
      <c r="A2683" s="9">
        <v>46081</v>
      </c>
      <c r="B2683" s="7" t="s">
        <v>7813</v>
      </c>
      <c r="C2683" s="3">
        <v>2890.22</v>
      </c>
      <c r="D2683" s="7" t="s">
        <v>7814</v>
      </c>
      <c r="E2683" s="7" t="s">
        <v>3202</v>
      </c>
      <c r="G2683" s="9"/>
    </row>
    <row r="2684" spans="1:7" x14ac:dyDescent="0.3">
      <c r="A2684" s="9">
        <v>46008</v>
      </c>
      <c r="B2684" s="7" t="s">
        <v>7813</v>
      </c>
      <c r="C2684" s="3">
        <v>2967.74</v>
      </c>
      <c r="D2684" s="7" t="s">
        <v>7814</v>
      </c>
      <c r="E2684" s="7" t="s">
        <v>3680</v>
      </c>
      <c r="G2684" s="9"/>
    </row>
    <row r="2685" spans="1:7" x14ac:dyDescent="0.3">
      <c r="A2685" s="9">
        <v>45986</v>
      </c>
      <c r="B2685" s="7" t="s">
        <v>7813</v>
      </c>
      <c r="C2685" s="3">
        <v>13181.32</v>
      </c>
      <c r="D2685" s="7" t="s">
        <v>7814</v>
      </c>
      <c r="E2685" s="7" t="s">
        <v>3906</v>
      </c>
      <c r="G2685" s="9"/>
    </row>
    <row r="2686" spans="1:7" x14ac:dyDescent="0.3">
      <c r="A2686" s="9">
        <v>46000</v>
      </c>
      <c r="B2686" s="7" t="s">
        <v>7813</v>
      </c>
      <c r="C2686" s="3">
        <v>2864.12</v>
      </c>
      <c r="D2686" s="7" t="s">
        <v>7814</v>
      </c>
      <c r="E2686" s="7" t="s">
        <v>4075</v>
      </c>
      <c r="G2686" s="9"/>
    </row>
    <row r="2687" spans="1:7" x14ac:dyDescent="0.3">
      <c r="A2687" s="9">
        <v>46064</v>
      </c>
      <c r="B2687" s="7" t="s">
        <v>7813</v>
      </c>
      <c r="C2687" s="3">
        <v>2879.47</v>
      </c>
      <c r="D2687" s="7" t="s">
        <v>7814</v>
      </c>
      <c r="E2687" s="7" t="s">
        <v>4222</v>
      </c>
      <c r="G2687" s="9"/>
    </row>
    <row r="2688" spans="1:7" x14ac:dyDescent="0.3">
      <c r="A2688" s="9">
        <v>46057</v>
      </c>
      <c r="B2688" s="7" t="s">
        <v>7813</v>
      </c>
      <c r="C2688" s="3">
        <v>1946.38</v>
      </c>
      <c r="D2688" s="7" t="s">
        <v>7814</v>
      </c>
      <c r="E2688" s="7" t="s">
        <v>4366</v>
      </c>
      <c r="G2688" s="9"/>
    </row>
    <row r="2689" spans="1:7" x14ac:dyDescent="0.3">
      <c r="A2689" s="9">
        <v>46013</v>
      </c>
      <c r="B2689" s="7" t="s">
        <v>7813</v>
      </c>
      <c r="C2689" s="3">
        <v>2996.74</v>
      </c>
      <c r="D2689" s="7" t="s">
        <v>7814</v>
      </c>
      <c r="E2689" s="7" t="s">
        <v>4243</v>
      </c>
      <c r="G2689" s="9"/>
    </row>
    <row r="2690" spans="1:7" x14ac:dyDescent="0.3">
      <c r="A2690" s="9">
        <v>46053</v>
      </c>
      <c r="B2690" s="7" t="s">
        <v>7813</v>
      </c>
      <c r="C2690" s="3">
        <v>3741.41</v>
      </c>
      <c r="D2690" s="7" t="s">
        <v>7814</v>
      </c>
      <c r="E2690" s="7" t="s">
        <v>4325</v>
      </c>
      <c r="G2690" s="9"/>
    </row>
    <row r="2691" spans="1:7" x14ac:dyDescent="0.3">
      <c r="A2691" s="9">
        <v>46001</v>
      </c>
      <c r="B2691" s="7" t="s">
        <v>7813</v>
      </c>
      <c r="C2691" s="3">
        <v>2432.1999999999998</v>
      </c>
      <c r="D2691" s="7" t="s">
        <v>7814</v>
      </c>
      <c r="E2691" s="7" t="s">
        <v>4446</v>
      </c>
      <c r="G2691" s="9"/>
    </row>
    <row r="2692" spans="1:7" x14ac:dyDescent="0.3">
      <c r="A2692" s="9">
        <v>46041</v>
      </c>
      <c r="B2692" s="7" t="s">
        <v>7813</v>
      </c>
      <c r="C2692" s="3">
        <v>10968.13</v>
      </c>
      <c r="D2692" s="7" t="s">
        <v>7814</v>
      </c>
      <c r="E2692" s="7" t="s">
        <v>4727</v>
      </c>
      <c r="G2692" s="9"/>
    </row>
    <row r="2693" spans="1:7" x14ac:dyDescent="0.3">
      <c r="A2693" s="9">
        <v>45977</v>
      </c>
      <c r="B2693" s="7" t="s">
        <v>7815</v>
      </c>
      <c r="C2693" s="3">
        <v>-1211.02</v>
      </c>
      <c r="D2693" s="7" t="s">
        <v>7816</v>
      </c>
      <c r="E2693" s="7" t="s">
        <v>6997</v>
      </c>
      <c r="G2693" s="9"/>
    </row>
    <row r="2694" spans="1:7" x14ac:dyDescent="0.3">
      <c r="A2694" s="9">
        <v>46009</v>
      </c>
      <c r="B2694" s="7" t="s">
        <v>7815</v>
      </c>
      <c r="C2694" s="3">
        <v>-6988.08</v>
      </c>
      <c r="D2694" s="7" t="s">
        <v>7816</v>
      </c>
      <c r="E2694" s="7" t="s">
        <v>7185</v>
      </c>
      <c r="G2694" s="9"/>
    </row>
    <row r="2695" spans="1:7" x14ac:dyDescent="0.3">
      <c r="A2695" s="9">
        <v>46030</v>
      </c>
      <c r="B2695" s="7" t="s">
        <v>7815</v>
      </c>
      <c r="C2695" s="3">
        <v>-2289.64</v>
      </c>
      <c r="D2695" s="7" t="s">
        <v>7816</v>
      </c>
      <c r="E2695" s="7" t="s">
        <v>7545</v>
      </c>
      <c r="G2695" s="9"/>
    </row>
    <row r="2696" spans="1:7" x14ac:dyDescent="0.3">
      <c r="A2696" s="9">
        <v>46021</v>
      </c>
      <c r="B2696" s="7" t="s">
        <v>7815</v>
      </c>
      <c r="C2696" s="3">
        <v>-5405.98</v>
      </c>
      <c r="D2696" s="7" t="s">
        <v>7816</v>
      </c>
      <c r="E2696" s="7" t="s">
        <v>7592</v>
      </c>
      <c r="G2696" s="9"/>
    </row>
    <row r="2697" spans="1:7" x14ac:dyDescent="0.3">
      <c r="A2697" s="9">
        <v>46009</v>
      </c>
      <c r="B2697" s="7" t="s">
        <v>7813</v>
      </c>
      <c r="C2697" s="3">
        <v>2798.06</v>
      </c>
      <c r="D2697" s="7" t="s">
        <v>7814</v>
      </c>
      <c r="E2697" s="7" t="s">
        <v>3478</v>
      </c>
      <c r="G2697" s="9"/>
    </row>
    <row r="2698" spans="1:7" x14ac:dyDescent="0.3">
      <c r="A2698" s="9">
        <v>46042</v>
      </c>
      <c r="B2698" s="7" t="s">
        <v>7813</v>
      </c>
      <c r="C2698" s="3">
        <v>5494.82</v>
      </c>
      <c r="D2698" s="7" t="s">
        <v>7814</v>
      </c>
      <c r="E2698" s="7" t="s">
        <v>5029</v>
      </c>
      <c r="G2698" s="9"/>
    </row>
    <row r="2699" spans="1:7" x14ac:dyDescent="0.3">
      <c r="A2699" s="9">
        <v>46039</v>
      </c>
      <c r="B2699" s="7" t="s">
        <v>7813</v>
      </c>
      <c r="C2699" s="3">
        <v>4512.1400000000003</v>
      </c>
      <c r="D2699" s="7" t="s">
        <v>7814</v>
      </c>
      <c r="E2699" s="7" t="s">
        <v>5131</v>
      </c>
      <c r="G2699" s="9"/>
    </row>
    <row r="2700" spans="1:7" x14ac:dyDescent="0.3">
      <c r="A2700" s="9">
        <v>46067</v>
      </c>
      <c r="B2700" s="7" t="s">
        <v>7813</v>
      </c>
      <c r="C2700" s="3">
        <v>12669.48</v>
      </c>
      <c r="D2700" s="7" t="s">
        <v>7814</v>
      </c>
      <c r="E2700" s="7" t="s">
        <v>5251</v>
      </c>
      <c r="G2700" s="9"/>
    </row>
    <row r="2701" spans="1:7" x14ac:dyDescent="0.3">
      <c r="A2701" s="9">
        <v>46031</v>
      </c>
      <c r="B2701" s="7" t="s">
        <v>7813</v>
      </c>
      <c r="C2701" s="3">
        <v>3589.53</v>
      </c>
      <c r="D2701" s="7" t="s">
        <v>7814</v>
      </c>
      <c r="E2701" s="7" t="s">
        <v>4104</v>
      </c>
      <c r="G2701" s="9"/>
    </row>
    <row r="2702" spans="1:7" x14ac:dyDescent="0.3">
      <c r="A2702" s="9">
        <v>46085</v>
      </c>
      <c r="B2702" s="7" t="s">
        <v>7813</v>
      </c>
      <c r="C2702" s="3">
        <v>1720.14</v>
      </c>
      <c r="D2702" s="7" t="s">
        <v>7814</v>
      </c>
      <c r="E2702" s="7" t="s">
        <v>4184</v>
      </c>
      <c r="G2702" s="9"/>
    </row>
    <row r="2703" spans="1:7" x14ac:dyDescent="0.3">
      <c r="A2703" s="9">
        <v>46023</v>
      </c>
      <c r="B2703" s="7" t="s">
        <v>7813</v>
      </c>
      <c r="C2703" s="3">
        <v>3590.34</v>
      </c>
      <c r="D2703" s="7" t="s">
        <v>7814</v>
      </c>
      <c r="E2703" s="7" t="s">
        <v>4378</v>
      </c>
      <c r="G2703" s="9"/>
    </row>
    <row r="2704" spans="1:7" x14ac:dyDescent="0.3">
      <c r="A2704" s="9">
        <v>46056</v>
      </c>
      <c r="B2704" s="7" t="s">
        <v>7813</v>
      </c>
      <c r="C2704" s="3">
        <v>2142.64</v>
      </c>
      <c r="D2704" s="7" t="s">
        <v>7814</v>
      </c>
      <c r="E2704" s="7" t="s">
        <v>4819</v>
      </c>
      <c r="G2704" s="9"/>
    </row>
    <row r="2705" spans="1:7" x14ac:dyDescent="0.3">
      <c r="A2705" s="9">
        <v>46032</v>
      </c>
      <c r="B2705" s="7" t="s">
        <v>7813</v>
      </c>
      <c r="C2705" s="3">
        <v>3482.07</v>
      </c>
      <c r="D2705" s="7" t="s">
        <v>7814</v>
      </c>
      <c r="E2705" s="7" t="s">
        <v>4987</v>
      </c>
      <c r="G2705" s="9"/>
    </row>
    <row r="2706" spans="1:7" x14ac:dyDescent="0.3">
      <c r="A2706" s="9">
        <v>46024</v>
      </c>
      <c r="B2706" s="7" t="s">
        <v>7815</v>
      </c>
      <c r="C2706" s="3">
        <v>-2897.58</v>
      </c>
      <c r="D2706" s="7" t="s">
        <v>7816</v>
      </c>
      <c r="E2706" s="7" t="s">
        <v>7396</v>
      </c>
      <c r="G2706" s="9"/>
    </row>
    <row r="2707" spans="1:7" x14ac:dyDescent="0.3">
      <c r="A2707" s="9">
        <v>46025</v>
      </c>
      <c r="B2707" s="7" t="s">
        <v>7813</v>
      </c>
      <c r="C2707" s="3">
        <v>9809.51</v>
      </c>
      <c r="D2707" s="7" t="s">
        <v>7814</v>
      </c>
      <c r="E2707" s="7" t="s">
        <v>3225</v>
      </c>
      <c r="G2707" s="9"/>
    </row>
    <row r="2708" spans="1:7" x14ac:dyDescent="0.3">
      <c r="A2708" s="9">
        <v>46008</v>
      </c>
      <c r="B2708" s="7" t="s">
        <v>7813</v>
      </c>
      <c r="C2708" s="3">
        <v>1496.47</v>
      </c>
      <c r="D2708" s="7" t="s">
        <v>7814</v>
      </c>
      <c r="E2708" s="7" t="s">
        <v>3475</v>
      </c>
      <c r="G2708" s="9"/>
    </row>
    <row r="2709" spans="1:7" x14ac:dyDescent="0.3">
      <c r="A2709" s="9">
        <v>46041</v>
      </c>
      <c r="B2709" s="7" t="s">
        <v>7813</v>
      </c>
      <c r="C2709" s="3">
        <v>4010.78</v>
      </c>
      <c r="D2709" s="7" t="s">
        <v>7814</v>
      </c>
      <c r="E2709" s="7" t="s">
        <v>3737</v>
      </c>
      <c r="G2709" s="9"/>
    </row>
    <row r="2710" spans="1:7" x14ac:dyDescent="0.3">
      <c r="A2710" s="9">
        <v>46067</v>
      </c>
      <c r="B2710" s="7" t="s">
        <v>7813</v>
      </c>
      <c r="C2710" s="3">
        <v>1930.05</v>
      </c>
      <c r="D2710" s="7" t="s">
        <v>7814</v>
      </c>
      <c r="E2710" s="7" t="s">
        <v>5339</v>
      </c>
      <c r="G2710" s="9"/>
    </row>
    <row r="2711" spans="1:7" x14ac:dyDescent="0.3">
      <c r="A2711" s="9">
        <v>46029</v>
      </c>
      <c r="B2711" s="7" t="s">
        <v>7813</v>
      </c>
      <c r="C2711" s="3">
        <v>13528.21</v>
      </c>
      <c r="D2711" s="7" t="s">
        <v>7814</v>
      </c>
      <c r="E2711" s="7" t="s">
        <v>3405</v>
      </c>
      <c r="G2711" s="9"/>
    </row>
    <row r="2712" spans="1:7" x14ac:dyDescent="0.3">
      <c r="A2712" s="9">
        <v>46032</v>
      </c>
      <c r="B2712" s="7" t="s">
        <v>7813</v>
      </c>
      <c r="C2712" s="3">
        <v>2883.42</v>
      </c>
      <c r="D2712" s="7" t="s">
        <v>7814</v>
      </c>
      <c r="E2712" s="7" t="s">
        <v>3533</v>
      </c>
      <c r="G2712" s="9"/>
    </row>
    <row r="2713" spans="1:7" x14ac:dyDescent="0.3">
      <c r="A2713" s="9">
        <v>46053</v>
      </c>
      <c r="B2713" s="7" t="s">
        <v>7813</v>
      </c>
      <c r="C2713" s="3">
        <v>1710.92</v>
      </c>
      <c r="D2713" s="7" t="s">
        <v>7814</v>
      </c>
      <c r="E2713" s="7" t="s">
        <v>3580</v>
      </c>
      <c r="G2713" s="9"/>
    </row>
    <row r="2714" spans="1:7" x14ac:dyDescent="0.3">
      <c r="A2714" s="9">
        <v>45985</v>
      </c>
      <c r="B2714" s="7" t="s">
        <v>7813</v>
      </c>
      <c r="C2714" s="3">
        <v>4832.21</v>
      </c>
      <c r="D2714" s="7" t="s">
        <v>7814</v>
      </c>
      <c r="E2714" s="7" t="s">
        <v>3722</v>
      </c>
      <c r="G2714" s="9"/>
    </row>
    <row r="2715" spans="1:7" x14ac:dyDescent="0.3">
      <c r="A2715" s="9">
        <v>46000</v>
      </c>
      <c r="B2715" s="7" t="s">
        <v>7813</v>
      </c>
      <c r="C2715" s="3">
        <v>1497.65</v>
      </c>
      <c r="D2715" s="7" t="s">
        <v>7814</v>
      </c>
      <c r="E2715" s="7" t="s">
        <v>4037</v>
      </c>
      <c r="G2715" s="9"/>
    </row>
    <row r="2716" spans="1:7" x14ac:dyDescent="0.3">
      <c r="A2716" s="9">
        <v>46076</v>
      </c>
      <c r="B2716" s="7" t="s">
        <v>7813</v>
      </c>
      <c r="C2716" s="3">
        <v>3106.99</v>
      </c>
      <c r="D2716" s="7" t="s">
        <v>7814</v>
      </c>
      <c r="E2716" s="7" t="s">
        <v>4089</v>
      </c>
      <c r="G2716" s="9"/>
    </row>
    <row r="2717" spans="1:7" x14ac:dyDescent="0.3">
      <c r="A2717" s="9">
        <v>45965</v>
      </c>
      <c r="B2717" s="7" t="s">
        <v>7813</v>
      </c>
      <c r="C2717" s="3">
        <v>1720.76</v>
      </c>
      <c r="D2717" s="7" t="s">
        <v>7814</v>
      </c>
      <c r="E2717" s="7" t="s">
        <v>4214</v>
      </c>
      <c r="G2717" s="9"/>
    </row>
    <row r="2718" spans="1:7" x14ac:dyDescent="0.3">
      <c r="A2718" s="9">
        <v>46080</v>
      </c>
      <c r="B2718" s="7" t="s">
        <v>7813</v>
      </c>
      <c r="C2718" s="3">
        <v>2185.3000000000002</v>
      </c>
      <c r="D2718" s="7" t="s">
        <v>7814</v>
      </c>
      <c r="E2718" s="7" t="s">
        <v>4865</v>
      </c>
      <c r="G2718" s="9"/>
    </row>
    <row r="2719" spans="1:7" x14ac:dyDescent="0.3">
      <c r="A2719" s="9">
        <v>45988</v>
      </c>
      <c r="B2719" s="7" t="s">
        <v>7815</v>
      </c>
      <c r="C2719" s="3">
        <v>-5458.87</v>
      </c>
      <c r="D2719" s="7" t="s">
        <v>7816</v>
      </c>
      <c r="E2719" s="7" t="s">
        <v>6954</v>
      </c>
      <c r="G2719" s="9"/>
    </row>
    <row r="2720" spans="1:7" x14ac:dyDescent="0.3">
      <c r="A2720" s="9">
        <v>46029</v>
      </c>
      <c r="B2720" s="7" t="s">
        <v>7815</v>
      </c>
      <c r="C2720" s="3">
        <v>-2855.29</v>
      </c>
      <c r="D2720" s="7" t="s">
        <v>7816</v>
      </c>
      <c r="E2720" s="7" t="s">
        <v>7593</v>
      </c>
      <c r="G2720" s="9"/>
    </row>
    <row r="2721" spans="1:7" x14ac:dyDescent="0.3">
      <c r="A2721" s="9">
        <v>45965</v>
      </c>
      <c r="B2721" s="7" t="s">
        <v>7815</v>
      </c>
      <c r="C2721" s="3">
        <v>-5471.54</v>
      </c>
      <c r="D2721" s="7" t="s">
        <v>7816</v>
      </c>
      <c r="E2721" s="7" t="s">
        <v>7803</v>
      </c>
      <c r="G2721" s="9"/>
    </row>
    <row r="2722" spans="1:7" x14ac:dyDescent="0.3">
      <c r="A2722" s="9">
        <v>46081</v>
      </c>
      <c r="B2722" s="7" t="s">
        <v>7813</v>
      </c>
      <c r="C2722" s="3">
        <v>5762.01</v>
      </c>
      <c r="D2722" s="7" t="s">
        <v>7814</v>
      </c>
      <c r="E2722" s="7" t="s">
        <v>4377</v>
      </c>
      <c r="G2722" s="9"/>
    </row>
    <row r="2723" spans="1:7" x14ac:dyDescent="0.3">
      <c r="A2723" s="9">
        <v>46001</v>
      </c>
      <c r="B2723" s="7" t="s">
        <v>7813</v>
      </c>
      <c r="C2723" s="3">
        <v>4990.05</v>
      </c>
      <c r="D2723" s="7" t="s">
        <v>7814</v>
      </c>
      <c r="E2723" s="7" t="s">
        <v>4540</v>
      </c>
      <c r="G2723" s="9"/>
    </row>
    <row r="2724" spans="1:7" x14ac:dyDescent="0.3">
      <c r="A2724" s="9">
        <v>46011</v>
      </c>
      <c r="B2724" s="7" t="s">
        <v>7813</v>
      </c>
      <c r="C2724" s="3">
        <v>3095.09</v>
      </c>
      <c r="D2724" s="7" t="s">
        <v>7814</v>
      </c>
      <c r="E2724" s="7" t="s">
        <v>4847</v>
      </c>
      <c r="G2724" s="9"/>
    </row>
    <row r="2725" spans="1:7" x14ac:dyDescent="0.3">
      <c r="A2725" s="9">
        <v>46084</v>
      </c>
      <c r="B2725" s="7" t="s">
        <v>7813</v>
      </c>
      <c r="C2725" s="3">
        <v>1729.23</v>
      </c>
      <c r="D2725" s="7" t="s">
        <v>7814</v>
      </c>
      <c r="E2725" s="7" t="s">
        <v>5066</v>
      </c>
      <c r="G2725" s="9"/>
    </row>
    <row r="2726" spans="1:7" x14ac:dyDescent="0.3">
      <c r="A2726" s="9">
        <v>46019</v>
      </c>
      <c r="B2726" s="7" t="s">
        <v>7813</v>
      </c>
      <c r="C2726" s="3">
        <v>1466.36</v>
      </c>
      <c r="D2726" s="7" t="s">
        <v>7814</v>
      </c>
      <c r="E2726" s="7" t="s">
        <v>5074</v>
      </c>
      <c r="G2726" s="9"/>
    </row>
    <row r="2727" spans="1:7" x14ac:dyDescent="0.3">
      <c r="A2727" s="9">
        <v>46006</v>
      </c>
      <c r="B2727" s="7" t="s">
        <v>7813</v>
      </c>
      <c r="C2727" s="3">
        <v>6264.06</v>
      </c>
      <c r="D2727" s="7" t="s">
        <v>7814</v>
      </c>
      <c r="E2727" s="7" t="s">
        <v>5113</v>
      </c>
      <c r="G2727" s="9"/>
    </row>
    <row r="2728" spans="1:7" x14ac:dyDescent="0.3">
      <c r="A2728" s="9">
        <v>46081</v>
      </c>
      <c r="B2728" s="7" t="s">
        <v>7813</v>
      </c>
      <c r="C2728" s="3">
        <v>1761.07</v>
      </c>
      <c r="D2728" s="7" t="s">
        <v>7814</v>
      </c>
      <c r="E2728" s="7" t="s">
        <v>5382</v>
      </c>
      <c r="G2728" s="9"/>
    </row>
    <row r="2729" spans="1:7" x14ac:dyDescent="0.3">
      <c r="A2729" s="9">
        <v>46081</v>
      </c>
      <c r="B2729" s="7" t="s">
        <v>7815</v>
      </c>
      <c r="C2729" s="3">
        <v>-1687.61</v>
      </c>
      <c r="D2729" s="7" t="s">
        <v>7816</v>
      </c>
      <c r="E2729" s="7" t="s">
        <v>7268</v>
      </c>
      <c r="G2729" s="9"/>
    </row>
    <row r="2730" spans="1:7" x14ac:dyDescent="0.3">
      <c r="A2730" s="9">
        <v>45974</v>
      </c>
      <c r="B2730" s="7" t="s">
        <v>7815</v>
      </c>
      <c r="C2730" s="3">
        <v>-4041.69</v>
      </c>
      <c r="D2730" s="7" t="s">
        <v>7816</v>
      </c>
      <c r="E2730" s="7" t="s">
        <v>7723</v>
      </c>
      <c r="G2730" s="9"/>
    </row>
    <row r="2731" spans="1:7" x14ac:dyDescent="0.3">
      <c r="A2731" s="9">
        <v>46010</v>
      </c>
      <c r="B2731" s="7" t="s">
        <v>7813</v>
      </c>
      <c r="C2731" s="3">
        <v>2698.68</v>
      </c>
      <c r="D2731" s="7" t="s">
        <v>7814</v>
      </c>
      <c r="E2731" s="7" t="s">
        <v>3560</v>
      </c>
      <c r="G2731" s="9"/>
    </row>
    <row r="2732" spans="1:7" x14ac:dyDescent="0.3">
      <c r="A2732" s="9">
        <v>45962</v>
      </c>
      <c r="B2732" s="7" t="s">
        <v>7813</v>
      </c>
      <c r="C2732" s="3">
        <v>4112.9799999999996</v>
      </c>
      <c r="D2732" s="7" t="s">
        <v>7814</v>
      </c>
      <c r="E2732" s="7" t="s">
        <v>3960</v>
      </c>
      <c r="G2732" s="9"/>
    </row>
    <row r="2733" spans="1:7" x14ac:dyDescent="0.3">
      <c r="A2733" s="9">
        <v>46057</v>
      </c>
      <c r="B2733" s="7" t="s">
        <v>7813</v>
      </c>
      <c r="C2733" s="3">
        <v>2486.15</v>
      </c>
      <c r="D2733" s="7" t="s">
        <v>7814</v>
      </c>
      <c r="E2733" s="7" t="s">
        <v>4123</v>
      </c>
      <c r="G2733" s="9"/>
    </row>
    <row r="2734" spans="1:7" x14ac:dyDescent="0.3">
      <c r="A2734" s="9">
        <v>46054</v>
      </c>
      <c r="B2734" s="7" t="s">
        <v>7813</v>
      </c>
      <c r="C2734" s="3">
        <v>2798.15</v>
      </c>
      <c r="D2734" s="7" t="s">
        <v>7814</v>
      </c>
      <c r="E2734" s="7" t="s">
        <v>4259</v>
      </c>
      <c r="G2734" s="9"/>
    </row>
    <row r="2735" spans="1:7" x14ac:dyDescent="0.3">
      <c r="A2735" s="9">
        <v>45964</v>
      </c>
      <c r="B2735" s="7" t="s">
        <v>7813</v>
      </c>
      <c r="C2735" s="3">
        <v>12303.77</v>
      </c>
      <c r="D2735" s="7" t="s">
        <v>7814</v>
      </c>
      <c r="E2735" s="7" t="s">
        <v>5152</v>
      </c>
      <c r="G2735" s="9"/>
    </row>
    <row r="2736" spans="1:7" x14ac:dyDescent="0.3">
      <c r="A2736" s="9">
        <v>46087</v>
      </c>
      <c r="B2736" s="7" t="s">
        <v>7815</v>
      </c>
      <c r="C2736" s="3">
        <v>-4420.07</v>
      </c>
      <c r="D2736" s="7" t="s">
        <v>7816</v>
      </c>
      <c r="E2736" s="7" t="s">
        <v>7358</v>
      </c>
      <c r="G2736" s="9"/>
    </row>
    <row r="2737" spans="1:7" x14ac:dyDescent="0.3">
      <c r="A2737" s="9">
        <v>45969</v>
      </c>
      <c r="B2737" s="7" t="s">
        <v>7813</v>
      </c>
      <c r="C2737" s="3">
        <v>1555.62</v>
      </c>
      <c r="D2737" s="7" t="s">
        <v>7814</v>
      </c>
      <c r="E2737" s="7" t="s">
        <v>4206</v>
      </c>
      <c r="G2737" s="9"/>
    </row>
    <row r="2738" spans="1:7" x14ac:dyDescent="0.3">
      <c r="A2738" s="9">
        <v>46052</v>
      </c>
      <c r="B2738" s="7" t="s">
        <v>7813</v>
      </c>
      <c r="C2738" s="3">
        <v>3191.02</v>
      </c>
      <c r="D2738" s="7" t="s">
        <v>7814</v>
      </c>
      <c r="E2738" s="7" t="s">
        <v>4929</v>
      </c>
      <c r="G2738" s="9"/>
    </row>
    <row r="2739" spans="1:7" x14ac:dyDescent="0.3">
      <c r="A2739" s="9">
        <v>46033</v>
      </c>
      <c r="B2739" s="7" t="s">
        <v>7815</v>
      </c>
      <c r="C2739" s="3">
        <v>-2161.56</v>
      </c>
      <c r="D2739" s="7" t="s">
        <v>7816</v>
      </c>
      <c r="E2739" s="7" t="s">
        <v>7100</v>
      </c>
      <c r="G2739" s="9"/>
    </row>
    <row r="2740" spans="1:7" x14ac:dyDescent="0.3">
      <c r="A2740" s="9">
        <v>45977</v>
      </c>
      <c r="B2740" s="7" t="s">
        <v>7815</v>
      </c>
      <c r="C2740" s="3">
        <v>-1198.1300000000001</v>
      </c>
      <c r="D2740" s="7" t="s">
        <v>7816</v>
      </c>
      <c r="E2740" s="7" t="s">
        <v>7334</v>
      </c>
      <c r="G2740" s="9"/>
    </row>
    <row r="2741" spans="1:7" x14ac:dyDescent="0.3">
      <c r="A2741" s="9">
        <v>46044</v>
      </c>
      <c r="B2741" s="7" t="s">
        <v>7813</v>
      </c>
      <c r="C2741" s="3">
        <v>5236.49</v>
      </c>
      <c r="D2741" s="7" t="s">
        <v>7814</v>
      </c>
      <c r="E2741" s="7" t="s">
        <v>3653</v>
      </c>
      <c r="G2741" s="9"/>
    </row>
    <row r="2742" spans="1:7" x14ac:dyDescent="0.3">
      <c r="A2742" s="9">
        <v>45979</v>
      </c>
      <c r="B2742" s="7" t="s">
        <v>7813</v>
      </c>
      <c r="C2742" s="3">
        <v>5441.95</v>
      </c>
      <c r="D2742" s="7" t="s">
        <v>7814</v>
      </c>
      <c r="E2742" s="7" t="s">
        <v>3723</v>
      </c>
      <c r="G2742" s="9"/>
    </row>
    <row r="2743" spans="1:7" x14ac:dyDescent="0.3">
      <c r="A2743" s="9">
        <v>46058</v>
      </c>
      <c r="B2743" s="7" t="s">
        <v>7813</v>
      </c>
      <c r="C2743" s="3">
        <v>2025.15</v>
      </c>
      <c r="D2743" s="7" t="s">
        <v>7814</v>
      </c>
      <c r="E2743" s="7" t="s">
        <v>4479</v>
      </c>
      <c r="G2743" s="9"/>
    </row>
    <row r="2744" spans="1:7" x14ac:dyDescent="0.3">
      <c r="A2744" s="9">
        <v>46074</v>
      </c>
      <c r="B2744" s="7" t="s">
        <v>7813</v>
      </c>
      <c r="C2744" s="3">
        <v>3002.61</v>
      </c>
      <c r="D2744" s="7" t="s">
        <v>7814</v>
      </c>
      <c r="E2744" s="7" t="s">
        <v>4691</v>
      </c>
      <c r="G2744" s="9"/>
    </row>
    <row r="2745" spans="1:7" x14ac:dyDescent="0.3">
      <c r="A2745" s="9">
        <v>45979</v>
      </c>
      <c r="B2745" s="7" t="s">
        <v>7813</v>
      </c>
      <c r="C2745" s="3">
        <v>2932.4</v>
      </c>
      <c r="D2745" s="7" t="s">
        <v>7814</v>
      </c>
      <c r="E2745" s="7" t="s">
        <v>5075</v>
      </c>
      <c r="G2745" s="9"/>
    </row>
    <row r="2746" spans="1:7" x14ac:dyDescent="0.3">
      <c r="A2746" s="9">
        <v>46040</v>
      </c>
      <c r="B2746" s="7" t="s">
        <v>7813</v>
      </c>
      <c r="C2746" s="3">
        <v>1493.27</v>
      </c>
      <c r="D2746" s="7" t="s">
        <v>7814</v>
      </c>
      <c r="E2746" s="7" t="s">
        <v>5162</v>
      </c>
      <c r="G2746" s="9"/>
    </row>
    <row r="2747" spans="1:7" x14ac:dyDescent="0.3">
      <c r="A2747" s="9">
        <v>46001</v>
      </c>
      <c r="B2747" s="7" t="s">
        <v>7813</v>
      </c>
      <c r="C2747" s="3">
        <v>1690.98</v>
      </c>
      <c r="D2747" s="7" t="s">
        <v>7814</v>
      </c>
      <c r="E2747" s="7" t="s">
        <v>4497</v>
      </c>
      <c r="G2747" s="9"/>
    </row>
    <row r="2748" spans="1:7" x14ac:dyDescent="0.3">
      <c r="A2748" s="9">
        <v>46049</v>
      </c>
      <c r="B2748" s="7" t="s">
        <v>7813</v>
      </c>
      <c r="C2748" s="3">
        <v>3094.93</v>
      </c>
      <c r="D2748" s="7" t="s">
        <v>7814</v>
      </c>
      <c r="E2748" s="7" t="s">
        <v>5035</v>
      </c>
      <c r="G2748" s="9"/>
    </row>
    <row r="2749" spans="1:7" x14ac:dyDescent="0.3">
      <c r="A2749" s="9">
        <v>46090</v>
      </c>
      <c r="B2749" s="7" t="s">
        <v>7813</v>
      </c>
      <c r="C2749" s="3">
        <v>7311.82</v>
      </c>
      <c r="D2749" s="7" t="s">
        <v>7814</v>
      </c>
      <c r="E2749" s="7" t="s">
        <v>5114</v>
      </c>
      <c r="G2749" s="9"/>
    </row>
    <row r="2750" spans="1:7" x14ac:dyDescent="0.3">
      <c r="A2750" s="9">
        <v>46034</v>
      </c>
      <c r="B2750" s="7" t="s">
        <v>7813</v>
      </c>
      <c r="C2750" s="3">
        <v>2908.83</v>
      </c>
      <c r="D2750" s="7" t="s">
        <v>7814</v>
      </c>
      <c r="E2750" s="7" t="s">
        <v>5253</v>
      </c>
      <c r="G2750" s="9"/>
    </row>
    <row r="2751" spans="1:7" x14ac:dyDescent="0.3">
      <c r="A2751" s="9">
        <v>46042</v>
      </c>
      <c r="B2751" s="7" t="s">
        <v>7815</v>
      </c>
      <c r="C2751" s="3">
        <v>-3359.81</v>
      </c>
      <c r="D2751" s="7" t="s">
        <v>7816</v>
      </c>
      <c r="E2751" s="7" t="s">
        <v>6938</v>
      </c>
      <c r="G2751" s="9"/>
    </row>
    <row r="2752" spans="1:7" x14ac:dyDescent="0.3">
      <c r="A2752" s="9">
        <v>46070</v>
      </c>
      <c r="B2752" s="7" t="s">
        <v>7815</v>
      </c>
      <c r="C2752" s="3">
        <v>-6340.49</v>
      </c>
      <c r="D2752" s="7" t="s">
        <v>7816</v>
      </c>
      <c r="E2752" s="7" t="s">
        <v>7430</v>
      </c>
      <c r="G2752" s="9"/>
    </row>
    <row r="2753" spans="1:7" x14ac:dyDescent="0.3">
      <c r="A2753" s="9">
        <v>46074</v>
      </c>
      <c r="B2753" s="7" t="s">
        <v>7815</v>
      </c>
      <c r="C2753" s="3">
        <v>-6336.47</v>
      </c>
      <c r="D2753" s="7" t="s">
        <v>7816</v>
      </c>
      <c r="E2753" s="7" t="s">
        <v>7626</v>
      </c>
      <c r="G2753" s="9"/>
    </row>
    <row r="2754" spans="1:7" x14ac:dyDescent="0.3">
      <c r="A2754" s="9">
        <v>46077</v>
      </c>
      <c r="B2754" s="7" t="s">
        <v>7813</v>
      </c>
      <c r="C2754" s="3">
        <v>1765.22</v>
      </c>
      <c r="D2754" s="7" t="s">
        <v>7814</v>
      </c>
      <c r="E2754" s="7" t="s">
        <v>3959</v>
      </c>
      <c r="G2754" s="9"/>
    </row>
    <row r="2755" spans="1:7" x14ac:dyDescent="0.3">
      <c r="A2755" s="9">
        <v>46022</v>
      </c>
      <c r="B2755" s="7" t="s">
        <v>7813</v>
      </c>
      <c r="C2755" s="3">
        <v>1816.77</v>
      </c>
      <c r="D2755" s="7" t="s">
        <v>7814</v>
      </c>
      <c r="E2755" s="7" t="s">
        <v>4696</v>
      </c>
      <c r="G2755" s="9"/>
    </row>
    <row r="2756" spans="1:7" x14ac:dyDescent="0.3">
      <c r="A2756" s="9">
        <v>46071</v>
      </c>
      <c r="B2756" s="7" t="s">
        <v>7813</v>
      </c>
      <c r="C2756" s="3">
        <v>12873.32</v>
      </c>
      <c r="D2756" s="7" t="s">
        <v>7814</v>
      </c>
      <c r="E2756" s="7" t="s">
        <v>4877</v>
      </c>
      <c r="G2756" s="9"/>
    </row>
    <row r="2757" spans="1:7" x14ac:dyDescent="0.3">
      <c r="A2757" s="9">
        <v>46072</v>
      </c>
      <c r="B2757" s="7" t="s">
        <v>7815</v>
      </c>
      <c r="C2757" s="3">
        <v>-2666.87</v>
      </c>
      <c r="D2757" s="7" t="s">
        <v>7816</v>
      </c>
      <c r="E2757" s="7" t="s">
        <v>7197</v>
      </c>
      <c r="G2757" s="9"/>
    </row>
    <row r="2758" spans="1:7" x14ac:dyDescent="0.3">
      <c r="A2758" s="9">
        <v>46012</v>
      </c>
      <c r="B2758" s="7" t="s">
        <v>7815</v>
      </c>
      <c r="C2758" s="3">
        <v>-6696.72</v>
      </c>
      <c r="D2758" s="7" t="s">
        <v>7816</v>
      </c>
      <c r="E2758" s="7" t="s">
        <v>7345</v>
      </c>
      <c r="G2758" s="9"/>
    </row>
    <row r="2759" spans="1:7" x14ac:dyDescent="0.3">
      <c r="A2759" s="9">
        <v>46041</v>
      </c>
      <c r="B2759" s="7" t="s">
        <v>7815</v>
      </c>
      <c r="C2759" s="3">
        <v>-875.87</v>
      </c>
      <c r="D2759" s="7" t="s">
        <v>7816</v>
      </c>
      <c r="E2759" s="7" t="s">
        <v>7453</v>
      </c>
      <c r="G2759" s="9"/>
    </row>
    <row r="2760" spans="1:7" x14ac:dyDescent="0.3">
      <c r="A2760" s="9">
        <v>46016</v>
      </c>
      <c r="B2760" s="7" t="s">
        <v>7813</v>
      </c>
      <c r="C2760" s="3">
        <v>12915.93</v>
      </c>
      <c r="D2760" s="7" t="s">
        <v>7814</v>
      </c>
      <c r="E2760" s="7" t="s">
        <v>4161</v>
      </c>
      <c r="G2760" s="9"/>
    </row>
    <row r="2761" spans="1:7" x14ac:dyDescent="0.3">
      <c r="A2761" s="9">
        <v>46030</v>
      </c>
      <c r="B2761" s="7" t="s">
        <v>7813</v>
      </c>
      <c r="C2761" s="3">
        <v>4112.09</v>
      </c>
      <c r="D2761" s="7" t="s">
        <v>7814</v>
      </c>
      <c r="E2761" s="7" t="s">
        <v>4531</v>
      </c>
      <c r="G2761" s="9"/>
    </row>
    <row r="2762" spans="1:7" x14ac:dyDescent="0.3">
      <c r="A2762" s="9">
        <v>46056</v>
      </c>
      <c r="B2762" s="7" t="s">
        <v>7813</v>
      </c>
      <c r="C2762" s="3">
        <v>4013.91</v>
      </c>
      <c r="D2762" s="7" t="s">
        <v>7814</v>
      </c>
      <c r="E2762" s="7" t="s">
        <v>5068</v>
      </c>
      <c r="G2762" s="9"/>
    </row>
    <row r="2763" spans="1:7" x14ac:dyDescent="0.3">
      <c r="A2763" s="9">
        <v>46084</v>
      </c>
      <c r="B2763" s="7" t="s">
        <v>7815</v>
      </c>
      <c r="C2763" s="3">
        <v>-6491.42</v>
      </c>
      <c r="D2763" s="7" t="s">
        <v>7816</v>
      </c>
      <c r="E2763" s="7" t="s">
        <v>7519</v>
      </c>
      <c r="G2763" s="9"/>
    </row>
    <row r="2764" spans="1:7" x14ac:dyDescent="0.3">
      <c r="A2764" s="9">
        <v>46007</v>
      </c>
      <c r="B2764" s="7" t="s">
        <v>7813</v>
      </c>
      <c r="C2764" s="3">
        <v>2002.27</v>
      </c>
      <c r="D2764" s="7" t="s">
        <v>7814</v>
      </c>
      <c r="E2764" s="7" t="s">
        <v>4065</v>
      </c>
      <c r="G2764" s="9"/>
    </row>
    <row r="2765" spans="1:7" x14ac:dyDescent="0.3">
      <c r="A2765" s="9">
        <v>46032</v>
      </c>
      <c r="B2765" s="7" t="s">
        <v>7813</v>
      </c>
      <c r="C2765" s="3">
        <v>2524.2399999999998</v>
      </c>
      <c r="D2765" s="7" t="s">
        <v>7814</v>
      </c>
      <c r="E2765" s="7" t="s">
        <v>5226</v>
      </c>
      <c r="G2765" s="9"/>
    </row>
    <row r="2766" spans="1:7" x14ac:dyDescent="0.3">
      <c r="A2766" s="9">
        <v>45967</v>
      </c>
      <c r="B2766" s="7" t="s">
        <v>7815</v>
      </c>
      <c r="C2766" s="3">
        <v>-3014.4</v>
      </c>
      <c r="D2766" s="7" t="s">
        <v>7816</v>
      </c>
      <c r="E2766" s="7" t="s">
        <v>7404</v>
      </c>
      <c r="G2766" s="9"/>
    </row>
    <row r="2767" spans="1:7" x14ac:dyDescent="0.3">
      <c r="A2767" s="9">
        <v>46080</v>
      </c>
      <c r="B2767" s="7" t="s">
        <v>7813</v>
      </c>
      <c r="C2767" s="3">
        <v>1206.52</v>
      </c>
      <c r="D2767" s="7" t="s">
        <v>7814</v>
      </c>
      <c r="E2767" s="7" t="s">
        <v>4315</v>
      </c>
      <c r="G2767" s="9"/>
    </row>
    <row r="2768" spans="1:7" x14ac:dyDescent="0.3">
      <c r="A2768" s="9">
        <v>46055</v>
      </c>
      <c r="B2768" s="7" t="s">
        <v>7813</v>
      </c>
      <c r="C2768" s="3">
        <v>2558.61</v>
      </c>
      <c r="D2768" s="7" t="s">
        <v>7814</v>
      </c>
      <c r="E2768" s="7" t="s">
        <v>4646</v>
      </c>
      <c r="G2768" s="9"/>
    </row>
    <row r="2769" spans="1:7" x14ac:dyDescent="0.3">
      <c r="A2769" s="9">
        <v>45964</v>
      </c>
      <c r="B2769" s="7" t="s">
        <v>7815</v>
      </c>
      <c r="C2769" s="3">
        <v>-4737.68</v>
      </c>
      <c r="D2769" s="7" t="s">
        <v>7816</v>
      </c>
      <c r="E2769" s="7" t="s">
        <v>6838</v>
      </c>
      <c r="G2769" s="9"/>
    </row>
    <row r="2770" spans="1:7" x14ac:dyDescent="0.3">
      <c r="A2770" s="9">
        <v>46045</v>
      </c>
      <c r="B2770" s="7" t="s">
        <v>7815</v>
      </c>
      <c r="C2770" s="3">
        <v>-1410.84</v>
      </c>
      <c r="D2770" s="7" t="s">
        <v>7816</v>
      </c>
      <c r="E2770" s="7" t="s">
        <v>6982</v>
      </c>
      <c r="G2770" s="9"/>
    </row>
    <row r="2771" spans="1:7" x14ac:dyDescent="0.3">
      <c r="A2771" s="9">
        <v>45977</v>
      </c>
      <c r="B2771" s="7" t="s">
        <v>7815</v>
      </c>
      <c r="C2771" s="3">
        <v>-1907.8</v>
      </c>
      <c r="D2771" s="7" t="s">
        <v>7816</v>
      </c>
      <c r="E2771" s="7" t="s">
        <v>7112</v>
      </c>
      <c r="G2771" s="9"/>
    </row>
    <row r="2772" spans="1:7" x14ac:dyDescent="0.3">
      <c r="A2772" s="9">
        <v>46023</v>
      </c>
      <c r="B2772" s="7" t="s">
        <v>7815</v>
      </c>
      <c r="C2772" s="3">
        <v>-6023.17</v>
      </c>
      <c r="D2772" s="7" t="s">
        <v>7816</v>
      </c>
      <c r="E2772" s="7" t="s">
        <v>7167</v>
      </c>
      <c r="G2772" s="9"/>
    </row>
    <row r="2773" spans="1:7" x14ac:dyDescent="0.3">
      <c r="A2773" s="9">
        <v>46066</v>
      </c>
      <c r="B2773" s="7" t="s">
        <v>7815</v>
      </c>
      <c r="C2773" s="3">
        <v>-6812.93</v>
      </c>
      <c r="D2773" s="7" t="s">
        <v>7816</v>
      </c>
      <c r="E2773" s="7" t="s">
        <v>7591</v>
      </c>
      <c r="G2773" s="9"/>
    </row>
    <row r="2774" spans="1:7" x14ac:dyDescent="0.3">
      <c r="A2774" s="9">
        <v>46019</v>
      </c>
      <c r="B2774" s="7" t="s">
        <v>7813</v>
      </c>
      <c r="C2774" s="3">
        <v>2015.07</v>
      </c>
      <c r="D2774" s="7" t="s">
        <v>7814</v>
      </c>
      <c r="E2774" s="7" t="s">
        <v>3886</v>
      </c>
      <c r="G2774" s="9"/>
    </row>
    <row r="2775" spans="1:7" x14ac:dyDescent="0.3">
      <c r="A2775" s="9">
        <v>45978</v>
      </c>
      <c r="B2775" s="7" t="s">
        <v>7813</v>
      </c>
      <c r="C2775" s="3">
        <v>1681.15</v>
      </c>
      <c r="D2775" s="7" t="s">
        <v>7814</v>
      </c>
      <c r="E2775" s="7" t="s">
        <v>4316</v>
      </c>
      <c r="G2775" s="9"/>
    </row>
    <row r="2776" spans="1:7" x14ac:dyDescent="0.3">
      <c r="A2776" s="9">
        <v>45967</v>
      </c>
      <c r="B2776" s="7" t="s">
        <v>7813</v>
      </c>
      <c r="C2776" s="3">
        <v>5863.56</v>
      </c>
      <c r="D2776" s="7" t="s">
        <v>7814</v>
      </c>
      <c r="E2776" s="7" t="s">
        <v>4528</v>
      </c>
      <c r="G2776" s="9"/>
    </row>
    <row r="2777" spans="1:7" x14ac:dyDescent="0.3">
      <c r="A2777" s="9">
        <v>45987</v>
      </c>
      <c r="B2777" s="7" t="s">
        <v>7813</v>
      </c>
      <c r="C2777" s="3">
        <v>2540.9699999999998</v>
      </c>
      <c r="D2777" s="7" t="s">
        <v>7814</v>
      </c>
      <c r="E2777" s="7" t="s">
        <v>5238</v>
      </c>
      <c r="G2777" s="9"/>
    </row>
    <row r="2778" spans="1:7" x14ac:dyDescent="0.3">
      <c r="A2778" s="9">
        <v>46008</v>
      </c>
      <c r="B2778" s="7" t="s">
        <v>7815</v>
      </c>
      <c r="C2778" s="3">
        <v>-2691.89</v>
      </c>
      <c r="D2778" s="7" t="s">
        <v>7816</v>
      </c>
      <c r="E2778" s="7" t="s">
        <v>7089</v>
      </c>
      <c r="G2778" s="9"/>
    </row>
    <row r="2779" spans="1:7" x14ac:dyDescent="0.3">
      <c r="A2779" s="9">
        <v>45990</v>
      </c>
      <c r="B2779" s="7" t="s">
        <v>7815</v>
      </c>
      <c r="C2779" s="3">
        <v>-5298.9</v>
      </c>
      <c r="D2779" s="7" t="s">
        <v>7816</v>
      </c>
      <c r="E2779" s="7" t="s">
        <v>7406</v>
      </c>
      <c r="G2779" s="9"/>
    </row>
    <row r="2780" spans="1:7" x14ac:dyDescent="0.3">
      <c r="A2780" s="9">
        <v>46065</v>
      </c>
      <c r="B2780" s="7" t="s">
        <v>7815</v>
      </c>
      <c r="C2780" s="3">
        <v>-4061.1</v>
      </c>
      <c r="D2780" s="7" t="s">
        <v>7816</v>
      </c>
      <c r="E2780" s="7" t="s">
        <v>7440</v>
      </c>
      <c r="G2780" s="9"/>
    </row>
    <row r="2781" spans="1:7" x14ac:dyDescent="0.3">
      <c r="A2781" s="9">
        <v>46011</v>
      </c>
      <c r="B2781" s="7" t="s">
        <v>7813</v>
      </c>
      <c r="C2781" s="3">
        <v>11193.47</v>
      </c>
      <c r="D2781" s="7" t="s">
        <v>7814</v>
      </c>
      <c r="E2781" s="7" t="s">
        <v>3719</v>
      </c>
      <c r="G2781" s="9"/>
    </row>
    <row r="2782" spans="1:7" x14ac:dyDescent="0.3">
      <c r="A2782" s="9">
        <v>46079</v>
      </c>
      <c r="B2782" s="7" t="s">
        <v>7813</v>
      </c>
      <c r="C2782" s="3">
        <v>12601.96</v>
      </c>
      <c r="D2782" s="7" t="s">
        <v>7814</v>
      </c>
      <c r="E2782" s="7" t="s">
        <v>3216</v>
      </c>
      <c r="G2782" s="9"/>
    </row>
    <row r="2783" spans="1:7" x14ac:dyDescent="0.3">
      <c r="A2783" s="9">
        <v>46049</v>
      </c>
      <c r="B2783" s="7" t="s">
        <v>7813</v>
      </c>
      <c r="C2783" s="3">
        <v>1801.98</v>
      </c>
      <c r="D2783" s="7" t="s">
        <v>7814</v>
      </c>
      <c r="E2783" s="7" t="s">
        <v>3643</v>
      </c>
      <c r="G2783" s="9"/>
    </row>
    <row r="2784" spans="1:7" x14ac:dyDescent="0.3">
      <c r="A2784" s="9">
        <v>46087</v>
      </c>
      <c r="B2784" s="7" t="s">
        <v>7813</v>
      </c>
      <c r="C2784" s="3">
        <v>2257.34</v>
      </c>
      <c r="D2784" s="7" t="s">
        <v>7814</v>
      </c>
      <c r="E2784" s="7" t="s">
        <v>4060</v>
      </c>
      <c r="G2784" s="9"/>
    </row>
    <row r="2785" spans="1:7" x14ac:dyDescent="0.3">
      <c r="A2785" s="9">
        <v>45979</v>
      </c>
      <c r="B2785" s="7" t="s">
        <v>7813</v>
      </c>
      <c r="C2785" s="3">
        <v>2769.37</v>
      </c>
      <c r="D2785" s="7" t="s">
        <v>7814</v>
      </c>
      <c r="E2785" s="7" t="s">
        <v>4302</v>
      </c>
      <c r="G2785" s="9"/>
    </row>
    <row r="2786" spans="1:7" x14ac:dyDescent="0.3">
      <c r="A2786" s="9">
        <v>46064</v>
      </c>
      <c r="B2786" s="7" t="s">
        <v>7813</v>
      </c>
      <c r="C2786" s="3">
        <v>2151.63</v>
      </c>
      <c r="D2786" s="7" t="s">
        <v>7814</v>
      </c>
      <c r="E2786" s="7" t="s">
        <v>4481</v>
      </c>
      <c r="G2786" s="9"/>
    </row>
    <row r="2787" spans="1:7" x14ac:dyDescent="0.3">
      <c r="A2787" s="9">
        <v>46047</v>
      </c>
      <c r="B2787" s="7" t="s">
        <v>7813</v>
      </c>
      <c r="C2787" s="3">
        <v>2610.88</v>
      </c>
      <c r="D2787" s="7" t="s">
        <v>7814</v>
      </c>
      <c r="E2787" s="7" t="s">
        <v>4576</v>
      </c>
      <c r="G2787" s="9"/>
    </row>
    <row r="2788" spans="1:7" x14ac:dyDescent="0.3">
      <c r="A2788" s="9">
        <v>46039</v>
      </c>
      <c r="B2788" s="7" t="s">
        <v>7813</v>
      </c>
      <c r="C2788" s="3">
        <v>4487.88</v>
      </c>
      <c r="D2788" s="7" t="s">
        <v>7814</v>
      </c>
      <c r="E2788" s="7" t="s">
        <v>5135</v>
      </c>
      <c r="G2788" s="9"/>
    </row>
    <row r="2789" spans="1:7" x14ac:dyDescent="0.3">
      <c r="A2789" s="9">
        <v>46045</v>
      </c>
      <c r="B2789" s="7" t="s">
        <v>7813</v>
      </c>
      <c r="C2789" s="3">
        <v>2955.32</v>
      </c>
      <c r="D2789" s="7" t="s">
        <v>7814</v>
      </c>
      <c r="E2789" s="7" t="s">
        <v>5312</v>
      </c>
      <c r="G2789" s="9"/>
    </row>
    <row r="2790" spans="1:7" x14ac:dyDescent="0.3">
      <c r="A2790" s="9">
        <v>46023</v>
      </c>
      <c r="B2790" s="7" t="s">
        <v>7815</v>
      </c>
      <c r="C2790" s="3">
        <v>-6278.28</v>
      </c>
      <c r="D2790" s="7" t="s">
        <v>7816</v>
      </c>
      <c r="E2790" s="7" t="s">
        <v>7342</v>
      </c>
      <c r="G2790" s="9"/>
    </row>
    <row r="2791" spans="1:7" x14ac:dyDescent="0.3">
      <c r="A2791" s="9">
        <v>45996</v>
      </c>
      <c r="B2791" s="7" t="s">
        <v>7815</v>
      </c>
      <c r="C2791" s="3">
        <v>-6906.7</v>
      </c>
      <c r="D2791" s="7" t="s">
        <v>7816</v>
      </c>
      <c r="E2791" s="7" t="s">
        <v>7685</v>
      </c>
      <c r="G2791" s="9"/>
    </row>
    <row r="2792" spans="1:7" x14ac:dyDescent="0.3">
      <c r="A2792" s="9">
        <v>46033</v>
      </c>
      <c r="B2792" s="7" t="s">
        <v>7813</v>
      </c>
      <c r="C2792" s="3">
        <v>2269.1999999999998</v>
      </c>
      <c r="D2792" s="7" t="s">
        <v>7814</v>
      </c>
      <c r="E2792" s="7" t="s">
        <v>3877</v>
      </c>
      <c r="G2792" s="9"/>
    </row>
    <row r="2793" spans="1:7" x14ac:dyDescent="0.3">
      <c r="A2793" s="9">
        <v>46041</v>
      </c>
      <c r="B2793" s="7" t="s">
        <v>7813</v>
      </c>
      <c r="C2793" s="3">
        <v>1922.12</v>
      </c>
      <c r="D2793" s="7" t="s">
        <v>7814</v>
      </c>
      <c r="E2793" s="7" t="s">
        <v>4017</v>
      </c>
      <c r="G2793" s="9"/>
    </row>
    <row r="2794" spans="1:7" x14ac:dyDescent="0.3">
      <c r="A2794" s="9">
        <v>46023</v>
      </c>
      <c r="B2794" s="7" t="s">
        <v>7813</v>
      </c>
      <c r="C2794" s="3">
        <v>13699.4</v>
      </c>
      <c r="D2794" s="7" t="s">
        <v>7814</v>
      </c>
      <c r="E2794" s="7" t="s">
        <v>4491</v>
      </c>
      <c r="G2794" s="9"/>
    </row>
    <row r="2795" spans="1:7" x14ac:dyDescent="0.3">
      <c r="A2795" s="9">
        <v>45969</v>
      </c>
      <c r="B2795" s="7" t="s">
        <v>7813</v>
      </c>
      <c r="C2795" s="3">
        <v>4632.72</v>
      </c>
      <c r="D2795" s="7" t="s">
        <v>7814</v>
      </c>
      <c r="E2795" s="7" t="s">
        <v>4572</v>
      </c>
      <c r="G2795" s="9"/>
    </row>
    <row r="2796" spans="1:7" x14ac:dyDescent="0.3">
      <c r="A2796" s="9">
        <v>45985</v>
      </c>
      <c r="B2796" s="7" t="s">
        <v>7813</v>
      </c>
      <c r="C2796" s="3">
        <v>2862.82</v>
      </c>
      <c r="D2796" s="7" t="s">
        <v>7814</v>
      </c>
      <c r="E2796" s="7" t="s">
        <v>4689</v>
      </c>
      <c r="G2796" s="9"/>
    </row>
    <row r="2797" spans="1:7" x14ac:dyDescent="0.3">
      <c r="A2797" s="9">
        <v>46024</v>
      </c>
      <c r="B2797" s="7" t="s">
        <v>7813</v>
      </c>
      <c r="C2797" s="3">
        <v>5537.1</v>
      </c>
      <c r="D2797" s="7" t="s">
        <v>7814</v>
      </c>
      <c r="E2797" s="7" t="s">
        <v>5318</v>
      </c>
      <c r="G2797" s="9"/>
    </row>
    <row r="2798" spans="1:7" x14ac:dyDescent="0.3">
      <c r="A2798" s="9">
        <v>46062</v>
      </c>
      <c r="B2798" s="7" t="s">
        <v>7815</v>
      </c>
      <c r="C2798" s="3">
        <v>-3906.1</v>
      </c>
      <c r="D2798" s="7" t="s">
        <v>7816</v>
      </c>
      <c r="E2798" s="7" t="s">
        <v>7120</v>
      </c>
      <c r="G2798" s="9"/>
    </row>
    <row r="2799" spans="1:7" x14ac:dyDescent="0.3">
      <c r="A2799" s="9">
        <v>46008</v>
      </c>
      <c r="B2799" s="7" t="s">
        <v>7815</v>
      </c>
      <c r="C2799" s="3">
        <v>-6820.66</v>
      </c>
      <c r="D2799" s="7" t="s">
        <v>7816</v>
      </c>
      <c r="E2799" s="7" t="s">
        <v>7374</v>
      </c>
      <c r="G2799" s="9"/>
    </row>
    <row r="2800" spans="1:7" x14ac:dyDescent="0.3">
      <c r="A2800" s="9">
        <v>45970</v>
      </c>
      <c r="B2800" s="7" t="s">
        <v>7815</v>
      </c>
      <c r="C2800" s="3">
        <v>-5262.01</v>
      </c>
      <c r="D2800" s="7" t="s">
        <v>7816</v>
      </c>
      <c r="E2800" s="7" t="s">
        <v>7476</v>
      </c>
      <c r="G2800" s="9"/>
    </row>
    <row r="2801" spans="1:7" x14ac:dyDescent="0.3">
      <c r="A2801" s="9">
        <v>46088</v>
      </c>
      <c r="B2801" s="7" t="s">
        <v>7813</v>
      </c>
      <c r="C2801" s="3">
        <v>2796.82</v>
      </c>
      <c r="D2801" s="7" t="s">
        <v>7814</v>
      </c>
      <c r="E2801" s="7" t="s">
        <v>3418</v>
      </c>
      <c r="G2801" s="9"/>
    </row>
    <row r="2802" spans="1:7" x14ac:dyDescent="0.3">
      <c r="A2802" s="9">
        <v>46015</v>
      </c>
      <c r="B2802" s="7" t="s">
        <v>7813</v>
      </c>
      <c r="C2802" s="3">
        <v>4860.13</v>
      </c>
      <c r="D2802" s="7" t="s">
        <v>7814</v>
      </c>
      <c r="E2802" s="7" t="s">
        <v>3945</v>
      </c>
      <c r="G2802" s="9"/>
    </row>
    <row r="2803" spans="1:7" x14ac:dyDescent="0.3">
      <c r="A2803" s="9">
        <v>46090</v>
      </c>
      <c r="B2803" s="7" t="s">
        <v>7813</v>
      </c>
      <c r="C2803" s="3">
        <v>1926.07</v>
      </c>
      <c r="D2803" s="7" t="s">
        <v>7814</v>
      </c>
      <c r="E2803" s="7" t="s">
        <v>4281</v>
      </c>
      <c r="G2803" s="9"/>
    </row>
    <row r="2804" spans="1:7" x14ac:dyDescent="0.3">
      <c r="A2804" s="9">
        <v>45975</v>
      </c>
      <c r="B2804" s="7" t="s">
        <v>7813</v>
      </c>
      <c r="C2804" s="3">
        <v>4662.42</v>
      </c>
      <c r="D2804" s="7" t="s">
        <v>7814</v>
      </c>
      <c r="E2804" s="7" t="s">
        <v>4625</v>
      </c>
      <c r="G2804" s="9"/>
    </row>
    <row r="2805" spans="1:7" x14ac:dyDescent="0.3">
      <c r="A2805" s="9">
        <v>46064</v>
      </c>
      <c r="B2805" s="7" t="s">
        <v>7815</v>
      </c>
      <c r="C2805" s="3">
        <v>-1082.6600000000001</v>
      </c>
      <c r="D2805" s="7" t="s">
        <v>7816</v>
      </c>
      <c r="E2805" s="7" t="s">
        <v>7502</v>
      </c>
      <c r="G2805" s="9"/>
    </row>
    <row r="2806" spans="1:7" x14ac:dyDescent="0.3">
      <c r="A2806" s="9">
        <v>46089</v>
      </c>
      <c r="B2806" s="7" t="s">
        <v>7815</v>
      </c>
      <c r="C2806" s="3">
        <v>-3738.22</v>
      </c>
      <c r="D2806" s="7" t="s">
        <v>7816</v>
      </c>
      <c r="E2806" s="7" t="s">
        <v>7756</v>
      </c>
      <c r="G2806" s="9"/>
    </row>
    <row r="2807" spans="1:7" x14ac:dyDescent="0.3">
      <c r="A2807" s="9">
        <v>46060</v>
      </c>
      <c r="B2807" s="7" t="s">
        <v>7813</v>
      </c>
      <c r="C2807" s="3">
        <v>1480.1</v>
      </c>
      <c r="D2807" s="7" t="s">
        <v>7814</v>
      </c>
      <c r="E2807" s="7" t="s">
        <v>3928</v>
      </c>
      <c r="G2807" s="9"/>
    </row>
    <row r="2808" spans="1:7" x14ac:dyDescent="0.3">
      <c r="A2808" s="9">
        <v>46071</v>
      </c>
      <c r="B2808" s="7" t="s">
        <v>7813</v>
      </c>
      <c r="C2808" s="3">
        <v>5194.22</v>
      </c>
      <c r="D2808" s="7" t="s">
        <v>7814</v>
      </c>
      <c r="E2808" s="7" t="s">
        <v>4687</v>
      </c>
      <c r="G2808" s="9"/>
    </row>
    <row r="2809" spans="1:7" x14ac:dyDescent="0.3">
      <c r="A2809" s="9">
        <v>46030</v>
      </c>
      <c r="B2809" s="7" t="s">
        <v>7815</v>
      </c>
      <c r="C2809" s="3">
        <v>-5069.55</v>
      </c>
      <c r="D2809" s="7" t="s">
        <v>7816</v>
      </c>
      <c r="E2809" s="7" t="s">
        <v>7755</v>
      </c>
      <c r="G2809" s="9"/>
    </row>
    <row r="2810" spans="1:7" x14ac:dyDescent="0.3">
      <c r="A2810" s="9">
        <v>46080</v>
      </c>
      <c r="B2810" s="7" t="s">
        <v>7813</v>
      </c>
      <c r="C2810" s="3">
        <v>13032.88</v>
      </c>
      <c r="D2810" s="7" t="s">
        <v>7814</v>
      </c>
      <c r="E2810" s="7" t="s">
        <v>4849</v>
      </c>
      <c r="G2810" s="9"/>
    </row>
    <row r="2811" spans="1:7" x14ac:dyDescent="0.3">
      <c r="A2811" s="9">
        <v>46013</v>
      </c>
      <c r="B2811" s="7" t="s">
        <v>7815</v>
      </c>
      <c r="C2811" s="3">
        <v>-2118.75</v>
      </c>
      <c r="D2811" s="7" t="s">
        <v>7816</v>
      </c>
      <c r="E2811" s="7" t="s">
        <v>7295</v>
      </c>
      <c r="G2811" s="9"/>
    </row>
    <row r="2812" spans="1:7" x14ac:dyDescent="0.3">
      <c r="A2812" s="9">
        <v>45999</v>
      </c>
      <c r="B2812" s="7" t="s">
        <v>7813</v>
      </c>
      <c r="C2812" s="3">
        <v>1682.47</v>
      </c>
      <c r="D2812" s="7" t="s">
        <v>7814</v>
      </c>
      <c r="E2812" s="7" t="s">
        <v>3317</v>
      </c>
      <c r="G2812" s="9"/>
    </row>
    <row r="2813" spans="1:7" x14ac:dyDescent="0.3">
      <c r="A2813" s="9">
        <v>45981</v>
      </c>
      <c r="B2813" s="7" t="s">
        <v>7813</v>
      </c>
      <c r="C2813" s="3">
        <v>2413.81</v>
      </c>
      <c r="D2813" s="7" t="s">
        <v>7814</v>
      </c>
      <c r="E2813" s="7" t="s">
        <v>3483</v>
      </c>
      <c r="G2813" s="9"/>
    </row>
    <row r="2814" spans="1:7" x14ac:dyDescent="0.3">
      <c r="A2814" s="9">
        <v>46082</v>
      </c>
      <c r="B2814" s="7" t="s">
        <v>7813</v>
      </c>
      <c r="C2814" s="3">
        <v>2859.21</v>
      </c>
      <c r="D2814" s="7" t="s">
        <v>7814</v>
      </c>
      <c r="E2814" s="7" t="s">
        <v>3833</v>
      </c>
      <c r="G2814" s="9"/>
    </row>
    <row r="2815" spans="1:7" x14ac:dyDescent="0.3">
      <c r="A2815" s="9">
        <v>46061</v>
      </c>
      <c r="B2815" s="7" t="s">
        <v>7813</v>
      </c>
      <c r="C2815" s="3">
        <v>13506.42</v>
      </c>
      <c r="D2815" s="7" t="s">
        <v>7814</v>
      </c>
      <c r="E2815" s="7" t="s">
        <v>4862</v>
      </c>
      <c r="G2815" s="9"/>
    </row>
    <row r="2816" spans="1:7" x14ac:dyDescent="0.3">
      <c r="A2816" s="9">
        <v>46016</v>
      </c>
      <c r="B2816" s="7" t="s">
        <v>7813</v>
      </c>
      <c r="C2816" s="3">
        <v>1875.49</v>
      </c>
      <c r="D2816" s="7" t="s">
        <v>7814</v>
      </c>
      <c r="E2816" s="7" t="s">
        <v>5179</v>
      </c>
      <c r="G2816" s="9"/>
    </row>
    <row r="2817" spans="1:7" x14ac:dyDescent="0.3">
      <c r="A2817" s="9">
        <v>46004</v>
      </c>
      <c r="B2817" s="7" t="s">
        <v>7813</v>
      </c>
      <c r="C2817" s="3">
        <v>2825.65</v>
      </c>
      <c r="D2817" s="7" t="s">
        <v>7814</v>
      </c>
      <c r="E2817" s="7" t="s">
        <v>5357</v>
      </c>
      <c r="G2817" s="9"/>
    </row>
    <row r="2818" spans="1:7" x14ac:dyDescent="0.3">
      <c r="A2818" s="9">
        <v>46000</v>
      </c>
      <c r="B2818" s="7" t="s">
        <v>7815</v>
      </c>
      <c r="C2818" s="3">
        <v>-4874.3900000000003</v>
      </c>
      <c r="D2818" s="7" t="s">
        <v>7816</v>
      </c>
      <c r="E2818" s="7" t="s">
        <v>7574</v>
      </c>
      <c r="G2818" s="9"/>
    </row>
    <row r="2819" spans="1:7" x14ac:dyDescent="0.3">
      <c r="A2819" s="9">
        <v>46038</v>
      </c>
      <c r="B2819" s="7" t="s">
        <v>7813</v>
      </c>
      <c r="C2819" s="3">
        <v>1492.47</v>
      </c>
      <c r="D2819" s="7" t="s">
        <v>7814</v>
      </c>
      <c r="E2819" s="7" t="s">
        <v>4858</v>
      </c>
      <c r="G2819" s="9"/>
    </row>
    <row r="2820" spans="1:7" x14ac:dyDescent="0.3">
      <c r="A2820" s="9">
        <v>46050</v>
      </c>
      <c r="B2820" s="7" t="s">
        <v>7815</v>
      </c>
      <c r="C2820" s="3">
        <v>-1349.39</v>
      </c>
      <c r="D2820" s="7" t="s">
        <v>7816</v>
      </c>
      <c r="E2820" s="7" t="s">
        <v>7503</v>
      </c>
      <c r="G2820" s="9"/>
    </row>
    <row r="2821" spans="1:7" x14ac:dyDescent="0.3">
      <c r="A2821" s="9">
        <v>45970</v>
      </c>
      <c r="B2821" s="7" t="s">
        <v>7813</v>
      </c>
      <c r="C2821" s="3">
        <v>2646.17</v>
      </c>
      <c r="D2821" s="7" t="s">
        <v>7814</v>
      </c>
      <c r="E2821" s="7" t="s">
        <v>3550</v>
      </c>
      <c r="G2821" s="9"/>
    </row>
    <row r="2822" spans="1:7" x14ac:dyDescent="0.3">
      <c r="A2822" s="9">
        <v>46010</v>
      </c>
      <c r="B2822" s="7" t="s">
        <v>7813</v>
      </c>
      <c r="C2822" s="3">
        <v>1204.45</v>
      </c>
      <c r="D2822" s="7" t="s">
        <v>7814</v>
      </c>
      <c r="E2822" s="7" t="s">
        <v>3644</v>
      </c>
      <c r="G2822" s="9"/>
    </row>
    <row r="2823" spans="1:7" x14ac:dyDescent="0.3">
      <c r="A2823" s="9">
        <v>46046</v>
      </c>
      <c r="B2823" s="7" t="s">
        <v>7813</v>
      </c>
      <c r="C2823" s="3">
        <v>1296.1099999999999</v>
      </c>
      <c r="D2823" s="7" t="s">
        <v>7814</v>
      </c>
      <c r="E2823" s="7" t="s">
        <v>3770</v>
      </c>
      <c r="G2823" s="9"/>
    </row>
    <row r="2824" spans="1:7" x14ac:dyDescent="0.3">
      <c r="A2824" s="9">
        <v>46079</v>
      </c>
      <c r="B2824" s="7" t="s">
        <v>7813</v>
      </c>
      <c r="C2824" s="3">
        <v>2875.36</v>
      </c>
      <c r="D2824" s="7" t="s">
        <v>7814</v>
      </c>
      <c r="E2824" s="7" t="s">
        <v>3860</v>
      </c>
      <c r="G2824" s="9"/>
    </row>
    <row r="2825" spans="1:7" x14ac:dyDescent="0.3">
      <c r="A2825" s="9">
        <v>45980</v>
      </c>
      <c r="B2825" s="7" t="s">
        <v>7813</v>
      </c>
      <c r="C2825" s="3">
        <v>2023.08</v>
      </c>
      <c r="D2825" s="7" t="s">
        <v>7814</v>
      </c>
      <c r="E2825" s="7" t="s">
        <v>4022</v>
      </c>
      <c r="G2825" s="9"/>
    </row>
    <row r="2826" spans="1:7" x14ac:dyDescent="0.3">
      <c r="A2826" s="9">
        <v>46075</v>
      </c>
      <c r="B2826" s="7" t="s">
        <v>7813</v>
      </c>
      <c r="C2826" s="3">
        <v>3307.79</v>
      </c>
      <c r="D2826" s="7" t="s">
        <v>7814</v>
      </c>
      <c r="E2826" s="7" t="s">
        <v>4266</v>
      </c>
      <c r="G2826" s="9"/>
    </row>
    <row r="2827" spans="1:7" x14ac:dyDescent="0.3">
      <c r="A2827" s="9">
        <v>46078</v>
      </c>
      <c r="B2827" s="7" t="s">
        <v>7813</v>
      </c>
      <c r="C2827" s="3">
        <v>1651.91</v>
      </c>
      <c r="D2827" s="7" t="s">
        <v>7814</v>
      </c>
      <c r="E2827" s="7" t="s">
        <v>4757</v>
      </c>
      <c r="G2827" s="9"/>
    </row>
    <row r="2828" spans="1:7" x14ac:dyDescent="0.3">
      <c r="A2828" s="9">
        <v>46067</v>
      </c>
      <c r="B2828" s="7" t="s">
        <v>7813</v>
      </c>
      <c r="C2828" s="3">
        <v>2243.0700000000002</v>
      </c>
      <c r="D2828" s="7" t="s">
        <v>7814</v>
      </c>
      <c r="E2828" s="7" t="s">
        <v>4915</v>
      </c>
      <c r="G2828" s="9"/>
    </row>
    <row r="2829" spans="1:7" x14ac:dyDescent="0.3">
      <c r="A2829" s="9">
        <v>45985</v>
      </c>
      <c r="B2829" s="7" t="s">
        <v>7813</v>
      </c>
      <c r="C2829" s="3">
        <v>2878.2</v>
      </c>
      <c r="D2829" s="7" t="s">
        <v>7814</v>
      </c>
      <c r="E2829" s="7" t="s">
        <v>5415</v>
      </c>
      <c r="G2829" s="9"/>
    </row>
    <row r="2830" spans="1:7" x14ac:dyDescent="0.3">
      <c r="A2830" s="9">
        <v>45988</v>
      </c>
      <c r="B2830" s="7" t="s">
        <v>7813</v>
      </c>
      <c r="C2830" s="3">
        <v>12714.46</v>
      </c>
      <c r="D2830" s="7" t="s">
        <v>7814</v>
      </c>
      <c r="E2830" s="7" t="s">
        <v>3704</v>
      </c>
      <c r="G2830" s="9"/>
    </row>
    <row r="2831" spans="1:7" x14ac:dyDescent="0.3">
      <c r="A2831" s="9">
        <v>45966</v>
      </c>
      <c r="B2831" s="7" t="s">
        <v>7813</v>
      </c>
      <c r="C2831" s="3">
        <v>1861.69</v>
      </c>
      <c r="D2831" s="7" t="s">
        <v>7814</v>
      </c>
      <c r="E2831" s="7" t="s">
        <v>4409</v>
      </c>
      <c r="G2831" s="9"/>
    </row>
    <row r="2832" spans="1:7" x14ac:dyDescent="0.3">
      <c r="A2832" s="9">
        <v>46015</v>
      </c>
      <c r="B2832" s="7" t="s">
        <v>7813</v>
      </c>
      <c r="C2832" s="3">
        <v>4024.67</v>
      </c>
      <c r="D2832" s="7" t="s">
        <v>7814</v>
      </c>
      <c r="E2832" s="7" t="s">
        <v>4504</v>
      </c>
      <c r="G2832" s="9"/>
    </row>
    <row r="2833" spans="1:7" x14ac:dyDescent="0.3">
      <c r="A2833" s="9">
        <v>46041</v>
      </c>
      <c r="B2833" s="7" t="s">
        <v>7813</v>
      </c>
      <c r="C2833" s="3">
        <v>2034.17</v>
      </c>
      <c r="D2833" s="7" t="s">
        <v>7814</v>
      </c>
      <c r="E2833" s="7" t="s">
        <v>4720</v>
      </c>
      <c r="G2833" s="9"/>
    </row>
    <row r="2834" spans="1:7" x14ac:dyDescent="0.3">
      <c r="A2834" s="9">
        <v>46066</v>
      </c>
      <c r="B2834" s="7" t="s">
        <v>7813</v>
      </c>
      <c r="C2834" s="3">
        <v>2855.37</v>
      </c>
      <c r="D2834" s="7" t="s">
        <v>7814</v>
      </c>
      <c r="E2834" s="7" t="s">
        <v>5009</v>
      </c>
      <c r="G2834" s="9"/>
    </row>
    <row r="2835" spans="1:7" x14ac:dyDescent="0.3">
      <c r="A2835" s="9">
        <v>46002</v>
      </c>
      <c r="B2835" s="7" t="s">
        <v>7815</v>
      </c>
      <c r="C2835" s="3">
        <v>-6691.13</v>
      </c>
      <c r="D2835" s="7" t="s">
        <v>7816</v>
      </c>
      <c r="E2835" s="7" t="s">
        <v>7617</v>
      </c>
      <c r="G2835" s="9"/>
    </row>
    <row r="2836" spans="1:7" x14ac:dyDescent="0.3">
      <c r="A2836" s="9">
        <v>46064</v>
      </c>
      <c r="B2836" s="7" t="s">
        <v>7813</v>
      </c>
      <c r="C2836" s="3">
        <v>5204.8</v>
      </c>
      <c r="D2836" s="7" t="s">
        <v>7814</v>
      </c>
      <c r="E2836" s="7" t="s">
        <v>3297</v>
      </c>
      <c r="G2836" s="9"/>
    </row>
    <row r="2837" spans="1:7" x14ac:dyDescent="0.3">
      <c r="A2837" s="9">
        <v>46089</v>
      </c>
      <c r="B2837" s="7" t="s">
        <v>7813</v>
      </c>
      <c r="C2837" s="3">
        <v>3733.64</v>
      </c>
      <c r="D2837" s="7" t="s">
        <v>7814</v>
      </c>
      <c r="E2837" s="7" t="s">
        <v>4130</v>
      </c>
      <c r="G2837" s="9"/>
    </row>
    <row r="2838" spans="1:7" x14ac:dyDescent="0.3">
      <c r="A2838" s="9">
        <v>46084</v>
      </c>
      <c r="B2838" s="7" t="s">
        <v>7813</v>
      </c>
      <c r="C2838" s="3">
        <v>3328.34</v>
      </c>
      <c r="D2838" s="7" t="s">
        <v>7814</v>
      </c>
      <c r="E2838" s="7" t="s">
        <v>4876</v>
      </c>
      <c r="G2838" s="9"/>
    </row>
    <row r="2839" spans="1:7" x14ac:dyDescent="0.3">
      <c r="A2839" s="9">
        <v>46010</v>
      </c>
      <c r="B2839" s="7" t="s">
        <v>7813</v>
      </c>
      <c r="C2839" s="3">
        <v>2454.0500000000002</v>
      </c>
      <c r="D2839" s="7" t="s">
        <v>7814</v>
      </c>
      <c r="E2839" s="7" t="s">
        <v>5171</v>
      </c>
      <c r="G2839" s="9"/>
    </row>
    <row r="2840" spans="1:7" x14ac:dyDescent="0.3">
      <c r="A2840" s="9">
        <v>46043</v>
      </c>
      <c r="B2840" s="7" t="s">
        <v>7813</v>
      </c>
      <c r="C2840" s="3">
        <v>1778.64</v>
      </c>
      <c r="D2840" s="7" t="s">
        <v>7814</v>
      </c>
      <c r="E2840" s="7" t="s">
        <v>5203</v>
      </c>
      <c r="G2840" s="9"/>
    </row>
    <row r="2841" spans="1:7" x14ac:dyDescent="0.3">
      <c r="A2841" s="9">
        <v>46077</v>
      </c>
      <c r="B2841" s="7" t="s">
        <v>7815</v>
      </c>
      <c r="C2841" s="3">
        <v>-5663.14</v>
      </c>
      <c r="D2841" s="7" t="s">
        <v>7816</v>
      </c>
      <c r="E2841" s="7" t="s">
        <v>6992</v>
      </c>
      <c r="G2841" s="9"/>
    </row>
    <row r="2842" spans="1:7" x14ac:dyDescent="0.3">
      <c r="A2842" s="9">
        <v>46091</v>
      </c>
      <c r="B2842" s="7" t="s">
        <v>7815</v>
      </c>
      <c r="C2842" s="3">
        <v>-6120.54</v>
      </c>
      <c r="D2842" s="7" t="s">
        <v>7816</v>
      </c>
      <c r="E2842" s="7" t="s">
        <v>7004</v>
      </c>
      <c r="G2842" s="9"/>
    </row>
    <row r="2843" spans="1:7" x14ac:dyDescent="0.3">
      <c r="A2843" s="9">
        <v>46087</v>
      </c>
      <c r="B2843" s="7" t="s">
        <v>7815</v>
      </c>
      <c r="C2843" s="3">
        <v>-2042.86</v>
      </c>
      <c r="D2843" s="7" t="s">
        <v>7816</v>
      </c>
      <c r="E2843" s="7" t="s">
        <v>7634</v>
      </c>
      <c r="G2843" s="9"/>
    </row>
    <row r="2844" spans="1:7" x14ac:dyDescent="0.3">
      <c r="A2844" s="9">
        <v>46010</v>
      </c>
      <c r="B2844" s="7" t="s">
        <v>7813</v>
      </c>
      <c r="C2844" s="3">
        <v>3470.41</v>
      </c>
      <c r="D2844" s="7" t="s">
        <v>7814</v>
      </c>
      <c r="E2844" s="7" t="s">
        <v>3686</v>
      </c>
      <c r="G2844" s="9"/>
    </row>
    <row r="2845" spans="1:7" x14ac:dyDescent="0.3">
      <c r="A2845" s="9">
        <v>46023</v>
      </c>
      <c r="B2845" s="7" t="s">
        <v>7813</v>
      </c>
      <c r="C2845" s="3">
        <v>1318.15</v>
      </c>
      <c r="D2845" s="7" t="s">
        <v>7814</v>
      </c>
      <c r="E2845" s="7" t="s">
        <v>3929</v>
      </c>
      <c r="G2845" s="9"/>
    </row>
    <row r="2846" spans="1:7" x14ac:dyDescent="0.3">
      <c r="A2846" s="9">
        <v>46036</v>
      </c>
      <c r="B2846" s="7" t="s">
        <v>7813</v>
      </c>
      <c r="C2846" s="3">
        <v>3072.91</v>
      </c>
      <c r="D2846" s="7" t="s">
        <v>7814</v>
      </c>
      <c r="E2846" s="7" t="s">
        <v>4114</v>
      </c>
      <c r="G2846" s="9"/>
    </row>
    <row r="2847" spans="1:7" x14ac:dyDescent="0.3">
      <c r="A2847" s="9">
        <v>45991</v>
      </c>
      <c r="B2847" s="7" t="s">
        <v>7813</v>
      </c>
      <c r="C2847" s="3">
        <v>2094.12</v>
      </c>
      <c r="D2847" s="7" t="s">
        <v>7814</v>
      </c>
      <c r="E2847" s="7" t="s">
        <v>4401</v>
      </c>
      <c r="G2847" s="9"/>
    </row>
    <row r="2848" spans="1:7" x14ac:dyDescent="0.3">
      <c r="A2848" s="9">
        <v>46069</v>
      </c>
      <c r="B2848" s="7" t="s">
        <v>7813</v>
      </c>
      <c r="C2848" s="3">
        <v>7380.93</v>
      </c>
      <c r="D2848" s="7" t="s">
        <v>7814</v>
      </c>
      <c r="E2848" s="7" t="s">
        <v>4427</v>
      </c>
      <c r="G2848" s="9"/>
    </row>
    <row r="2849" spans="1:7" x14ac:dyDescent="0.3">
      <c r="A2849" s="9">
        <v>46065</v>
      </c>
      <c r="B2849" s="7" t="s">
        <v>7813</v>
      </c>
      <c r="C2849" s="3">
        <v>1580.26</v>
      </c>
      <c r="D2849" s="7" t="s">
        <v>7814</v>
      </c>
      <c r="E2849" s="7" t="s">
        <v>5138</v>
      </c>
      <c r="G2849" s="9"/>
    </row>
    <row r="2850" spans="1:7" x14ac:dyDescent="0.3">
      <c r="A2850" s="9">
        <v>45997</v>
      </c>
      <c r="B2850" s="7" t="s">
        <v>7815</v>
      </c>
      <c r="C2850" s="3">
        <v>-2497.9899999999998</v>
      </c>
      <c r="D2850" s="7" t="s">
        <v>7816</v>
      </c>
      <c r="E2850" s="7" t="s">
        <v>7486</v>
      </c>
      <c r="G2850" s="9"/>
    </row>
    <row r="2851" spans="1:7" x14ac:dyDescent="0.3">
      <c r="A2851" s="9">
        <v>45978</v>
      </c>
      <c r="B2851" s="7" t="s">
        <v>7815</v>
      </c>
      <c r="C2851" s="3">
        <v>-2681.42</v>
      </c>
      <c r="D2851" s="7" t="s">
        <v>7816</v>
      </c>
      <c r="E2851" s="7" t="s">
        <v>7512</v>
      </c>
      <c r="G2851" s="9"/>
    </row>
    <row r="2852" spans="1:7" x14ac:dyDescent="0.3">
      <c r="A2852" s="9">
        <v>46030</v>
      </c>
      <c r="B2852" s="7" t="s">
        <v>7817</v>
      </c>
      <c r="C2852" s="3">
        <v>-89080.99</v>
      </c>
      <c r="D2852" s="7" t="s">
        <v>7816</v>
      </c>
      <c r="E2852" s="7" t="s">
        <v>7818</v>
      </c>
      <c r="G2852" s="9"/>
    </row>
    <row r="2853" spans="1:7" x14ac:dyDescent="0.3">
      <c r="A2853" s="9">
        <v>46076</v>
      </c>
      <c r="B2853" s="7" t="s">
        <v>7813</v>
      </c>
      <c r="C2853" s="3">
        <v>2829.89</v>
      </c>
      <c r="D2853" s="7" t="s">
        <v>7814</v>
      </c>
      <c r="E2853" s="7" t="s">
        <v>3259</v>
      </c>
      <c r="G2853" s="9"/>
    </row>
    <row r="2854" spans="1:7" x14ac:dyDescent="0.3">
      <c r="A2854" s="9">
        <v>46055</v>
      </c>
      <c r="B2854" s="7" t="s">
        <v>7813</v>
      </c>
      <c r="C2854" s="3">
        <v>2797.52</v>
      </c>
      <c r="D2854" s="7" t="s">
        <v>7814</v>
      </c>
      <c r="E2854" s="7" t="s">
        <v>4534</v>
      </c>
      <c r="G2854" s="9"/>
    </row>
    <row r="2855" spans="1:7" x14ac:dyDescent="0.3">
      <c r="A2855" s="9">
        <v>45972</v>
      </c>
      <c r="B2855" s="7" t="s">
        <v>7815</v>
      </c>
      <c r="C2855" s="3">
        <v>-5584.55</v>
      </c>
      <c r="D2855" s="7" t="s">
        <v>7816</v>
      </c>
      <c r="E2855" s="7" t="s">
        <v>7013</v>
      </c>
      <c r="G2855" s="9"/>
    </row>
    <row r="2856" spans="1:7" x14ac:dyDescent="0.3">
      <c r="A2856" s="9">
        <v>46035</v>
      </c>
      <c r="B2856" s="7" t="s">
        <v>7815</v>
      </c>
      <c r="C2856" s="3">
        <v>-3718.51</v>
      </c>
      <c r="D2856" s="7" t="s">
        <v>7816</v>
      </c>
      <c r="E2856" s="7" t="s">
        <v>7142</v>
      </c>
      <c r="G2856" s="9"/>
    </row>
    <row r="2857" spans="1:7" x14ac:dyDescent="0.3">
      <c r="A2857" s="9">
        <v>46006</v>
      </c>
      <c r="B2857" s="7" t="s">
        <v>7815</v>
      </c>
      <c r="C2857" s="3">
        <v>-3452.09</v>
      </c>
      <c r="D2857" s="7" t="s">
        <v>7816</v>
      </c>
      <c r="E2857" s="7" t="s">
        <v>7661</v>
      </c>
      <c r="G2857" s="9"/>
    </row>
    <row r="2858" spans="1:7" x14ac:dyDescent="0.3">
      <c r="A2858" s="9">
        <v>45964</v>
      </c>
      <c r="B2858" s="7" t="s">
        <v>7813</v>
      </c>
      <c r="C2858" s="3">
        <v>5589.23</v>
      </c>
      <c r="D2858" s="7" t="s">
        <v>7814</v>
      </c>
      <c r="E2858" s="7" t="s">
        <v>3801</v>
      </c>
      <c r="G2858" s="9"/>
    </row>
    <row r="2859" spans="1:7" x14ac:dyDescent="0.3">
      <c r="A2859" s="9">
        <v>46088</v>
      </c>
      <c r="B2859" s="7" t="s">
        <v>7813</v>
      </c>
      <c r="C2859" s="3">
        <v>1510.79</v>
      </c>
      <c r="D2859" s="7" t="s">
        <v>7814</v>
      </c>
      <c r="E2859" s="7" t="s">
        <v>4063</v>
      </c>
      <c r="G2859" s="9"/>
    </row>
    <row r="2860" spans="1:7" x14ac:dyDescent="0.3">
      <c r="A2860" s="9">
        <v>45991</v>
      </c>
      <c r="B2860" s="7" t="s">
        <v>7813</v>
      </c>
      <c r="C2860" s="3">
        <v>10467.23</v>
      </c>
      <c r="D2860" s="7" t="s">
        <v>7814</v>
      </c>
      <c r="E2860" s="7" t="s">
        <v>4579</v>
      </c>
      <c r="G2860" s="9"/>
    </row>
    <row r="2861" spans="1:7" x14ac:dyDescent="0.3">
      <c r="A2861" s="9">
        <v>46039</v>
      </c>
      <c r="B2861" s="7" t="s">
        <v>7813</v>
      </c>
      <c r="C2861" s="3">
        <v>2882.59</v>
      </c>
      <c r="D2861" s="7" t="s">
        <v>7814</v>
      </c>
      <c r="E2861" s="7" t="s">
        <v>4694</v>
      </c>
      <c r="G2861" s="9"/>
    </row>
    <row r="2862" spans="1:7" x14ac:dyDescent="0.3">
      <c r="A2862" s="9">
        <v>46089</v>
      </c>
      <c r="B2862" s="7" t="s">
        <v>7813</v>
      </c>
      <c r="C2862" s="3">
        <v>1755.56</v>
      </c>
      <c r="D2862" s="7" t="s">
        <v>7814</v>
      </c>
      <c r="E2862" s="7" t="s">
        <v>5227</v>
      </c>
      <c r="G2862" s="9"/>
    </row>
    <row r="2863" spans="1:7" x14ac:dyDescent="0.3">
      <c r="A2863" s="9">
        <v>46062</v>
      </c>
      <c r="B2863" s="7" t="s">
        <v>7813</v>
      </c>
      <c r="C2863" s="3">
        <v>2103.9699999999998</v>
      </c>
      <c r="D2863" s="7" t="s">
        <v>7814</v>
      </c>
      <c r="E2863" s="7" t="s">
        <v>5236</v>
      </c>
      <c r="G2863" s="9"/>
    </row>
    <row r="2864" spans="1:7" x14ac:dyDescent="0.3">
      <c r="A2864" s="9">
        <v>46051</v>
      </c>
      <c r="B2864" s="7" t="s">
        <v>7813</v>
      </c>
      <c r="C2864" s="3">
        <v>3528.24</v>
      </c>
      <c r="D2864" s="7" t="s">
        <v>7814</v>
      </c>
      <c r="E2864" s="7" t="s">
        <v>5241</v>
      </c>
      <c r="G2864" s="9"/>
    </row>
    <row r="2865" spans="1:7" x14ac:dyDescent="0.3">
      <c r="A2865" s="9">
        <v>45968</v>
      </c>
      <c r="B2865" s="7" t="s">
        <v>7815</v>
      </c>
      <c r="C2865" s="3">
        <v>-2529.1799999999998</v>
      </c>
      <c r="D2865" s="7" t="s">
        <v>7816</v>
      </c>
      <c r="E2865" s="7" t="s">
        <v>7302</v>
      </c>
      <c r="G2865" s="9"/>
    </row>
    <row r="2866" spans="1:7" x14ac:dyDescent="0.3">
      <c r="A2866" s="9">
        <v>45997</v>
      </c>
      <c r="B2866" s="7" t="s">
        <v>7815</v>
      </c>
      <c r="C2866" s="3">
        <v>-4202.51</v>
      </c>
      <c r="D2866" s="7" t="s">
        <v>7816</v>
      </c>
      <c r="E2866" s="7" t="s">
        <v>7448</v>
      </c>
      <c r="G2866" s="9"/>
    </row>
    <row r="2867" spans="1:7" x14ac:dyDescent="0.3">
      <c r="A2867" s="9">
        <v>46056</v>
      </c>
      <c r="B2867" s="7" t="s">
        <v>7815</v>
      </c>
      <c r="C2867" s="3">
        <v>-2803.61</v>
      </c>
      <c r="D2867" s="7" t="s">
        <v>7816</v>
      </c>
      <c r="E2867" s="7" t="s">
        <v>7555</v>
      </c>
      <c r="G2867" s="9"/>
    </row>
    <row r="2868" spans="1:7" x14ac:dyDescent="0.3">
      <c r="A2868" s="9">
        <v>46030</v>
      </c>
      <c r="B2868" s="7" t="s">
        <v>7813</v>
      </c>
      <c r="C2868" s="3">
        <v>4914.09</v>
      </c>
      <c r="D2868" s="7" t="s">
        <v>7814</v>
      </c>
      <c r="E2868" s="7" t="s">
        <v>3724</v>
      </c>
      <c r="G2868" s="9"/>
    </row>
    <row r="2869" spans="1:7" x14ac:dyDescent="0.3">
      <c r="A2869" s="9">
        <v>45983</v>
      </c>
      <c r="B2869" s="7" t="s">
        <v>7813</v>
      </c>
      <c r="C2869" s="3">
        <v>802.09</v>
      </c>
      <c r="D2869" s="7" t="s">
        <v>7814</v>
      </c>
      <c r="E2869" s="7" t="s">
        <v>3771</v>
      </c>
      <c r="G2869" s="9"/>
    </row>
    <row r="2870" spans="1:7" x14ac:dyDescent="0.3">
      <c r="A2870" s="9">
        <v>45990</v>
      </c>
      <c r="B2870" s="7" t="s">
        <v>7813</v>
      </c>
      <c r="C2870" s="3">
        <v>4800.63</v>
      </c>
      <c r="D2870" s="7" t="s">
        <v>7814</v>
      </c>
      <c r="E2870" s="7" t="s">
        <v>4406</v>
      </c>
      <c r="G2870" s="9"/>
    </row>
    <row r="2871" spans="1:7" x14ac:dyDescent="0.3">
      <c r="A2871" s="9">
        <v>45964</v>
      </c>
      <c r="B2871" s="7" t="s">
        <v>7815</v>
      </c>
      <c r="C2871" s="3">
        <v>-5675.85</v>
      </c>
      <c r="D2871" s="7" t="s">
        <v>7816</v>
      </c>
      <c r="E2871" s="7" t="s">
        <v>7226</v>
      </c>
      <c r="G2871" s="9"/>
    </row>
    <row r="2872" spans="1:7" x14ac:dyDescent="0.3">
      <c r="A2872" s="9">
        <v>45973</v>
      </c>
      <c r="B2872" s="7" t="s">
        <v>7813</v>
      </c>
      <c r="C2872" s="3">
        <v>2710.35</v>
      </c>
      <c r="D2872" s="7" t="s">
        <v>7814</v>
      </c>
      <c r="E2872" s="7" t="s">
        <v>3733</v>
      </c>
      <c r="G2872" s="9"/>
    </row>
    <row r="2873" spans="1:7" x14ac:dyDescent="0.3">
      <c r="A2873" s="9">
        <v>46076</v>
      </c>
      <c r="B2873" s="7" t="s">
        <v>7813</v>
      </c>
      <c r="C2873" s="3">
        <v>2013.47</v>
      </c>
      <c r="D2873" s="7" t="s">
        <v>7814</v>
      </c>
      <c r="E2873" s="7" t="s">
        <v>3963</v>
      </c>
      <c r="G2873" s="9"/>
    </row>
    <row r="2874" spans="1:7" x14ac:dyDescent="0.3">
      <c r="A2874" s="9">
        <v>46025</v>
      </c>
      <c r="B2874" s="7" t="s">
        <v>7813</v>
      </c>
      <c r="C2874" s="3">
        <v>3219.08</v>
      </c>
      <c r="D2874" s="7" t="s">
        <v>7814</v>
      </c>
      <c r="E2874" s="7" t="s">
        <v>3988</v>
      </c>
      <c r="G2874" s="9"/>
    </row>
    <row r="2875" spans="1:7" x14ac:dyDescent="0.3">
      <c r="A2875" s="9">
        <v>45986</v>
      </c>
      <c r="B2875" s="7" t="s">
        <v>7813</v>
      </c>
      <c r="C2875" s="3">
        <v>2632.46</v>
      </c>
      <c r="D2875" s="7" t="s">
        <v>7814</v>
      </c>
      <c r="E2875" s="7" t="s">
        <v>4090</v>
      </c>
      <c r="G2875" s="9"/>
    </row>
    <row r="2876" spans="1:7" x14ac:dyDescent="0.3">
      <c r="A2876" s="9">
        <v>46056</v>
      </c>
      <c r="B2876" s="7" t="s">
        <v>7813</v>
      </c>
      <c r="C2876" s="3">
        <v>1042.5899999999999</v>
      </c>
      <c r="D2876" s="7" t="s">
        <v>7814</v>
      </c>
      <c r="E2876" s="7" t="s">
        <v>4471</v>
      </c>
      <c r="G2876" s="9"/>
    </row>
    <row r="2877" spans="1:7" x14ac:dyDescent="0.3">
      <c r="A2877" s="9">
        <v>45993</v>
      </c>
      <c r="B2877" s="7" t="s">
        <v>7813</v>
      </c>
      <c r="C2877" s="3">
        <v>2547.14</v>
      </c>
      <c r="D2877" s="7" t="s">
        <v>7814</v>
      </c>
      <c r="E2877" s="7" t="s">
        <v>4699</v>
      </c>
      <c r="G2877" s="9"/>
    </row>
    <row r="2878" spans="1:7" x14ac:dyDescent="0.3">
      <c r="A2878" s="9">
        <v>45966</v>
      </c>
      <c r="B2878" s="7" t="s">
        <v>7815</v>
      </c>
      <c r="C2878" s="3">
        <v>-2654.76</v>
      </c>
      <c r="D2878" s="7" t="s">
        <v>7816</v>
      </c>
      <c r="E2878" s="7" t="s">
        <v>7362</v>
      </c>
      <c r="G2878" s="9"/>
    </row>
    <row r="2879" spans="1:7" x14ac:dyDescent="0.3">
      <c r="A2879" s="9">
        <v>46006</v>
      </c>
      <c r="B2879" s="7" t="s">
        <v>7815</v>
      </c>
      <c r="C2879" s="3">
        <v>-6403.78</v>
      </c>
      <c r="D2879" s="7" t="s">
        <v>7816</v>
      </c>
      <c r="E2879" s="7" t="s">
        <v>7487</v>
      </c>
      <c r="G2879" s="9"/>
    </row>
    <row r="2880" spans="1:7" x14ac:dyDescent="0.3">
      <c r="A2880" s="9">
        <v>45996</v>
      </c>
      <c r="B2880" s="7" t="s">
        <v>7813</v>
      </c>
      <c r="C2880" s="3">
        <v>4236.8999999999996</v>
      </c>
      <c r="D2880" s="7" t="s">
        <v>7814</v>
      </c>
      <c r="E2880" s="7" t="s">
        <v>3197</v>
      </c>
      <c r="G2880" s="9"/>
    </row>
    <row r="2881" spans="1:7" x14ac:dyDescent="0.3">
      <c r="A2881" s="9">
        <v>45991</v>
      </c>
      <c r="B2881" s="7" t="s">
        <v>7813</v>
      </c>
      <c r="C2881" s="3">
        <v>3092.82</v>
      </c>
      <c r="D2881" s="7" t="s">
        <v>7814</v>
      </c>
      <c r="E2881" s="7" t="s">
        <v>3511</v>
      </c>
      <c r="G2881" s="9"/>
    </row>
    <row r="2882" spans="1:7" x14ac:dyDescent="0.3">
      <c r="A2882" s="9">
        <v>46070</v>
      </c>
      <c r="B2882" s="7" t="s">
        <v>7813</v>
      </c>
      <c r="C2882" s="3">
        <v>3311.45</v>
      </c>
      <c r="D2882" s="7" t="s">
        <v>7814</v>
      </c>
      <c r="E2882" s="7" t="s">
        <v>4428</v>
      </c>
      <c r="G2882" s="9"/>
    </row>
    <row r="2883" spans="1:7" x14ac:dyDescent="0.3">
      <c r="A2883" s="9">
        <v>46025</v>
      </c>
      <c r="B2883" s="7" t="s">
        <v>7813</v>
      </c>
      <c r="C2883" s="3">
        <v>3571.23</v>
      </c>
      <c r="D2883" s="7" t="s">
        <v>7814</v>
      </c>
      <c r="E2883" s="7" t="s">
        <v>4640</v>
      </c>
      <c r="G2883" s="9"/>
    </row>
    <row r="2884" spans="1:7" x14ac:dyDescent="0.3">
      <c r="A2884" s="9">
        <v>46064</v>
      </c>
      <c r="B2884" s="7" t="s">
        <v>7813</v>
      </c>
      <c r="C2884" s="3">
        <v>5168.75</v>
      </c>
      <c r="D2884" s="7" t="s">
        <v>7814</v>
      </c>
      <c r="E2884" s="7" t="s">
        <v>5174</v>
      </c>
      <c r="G2884" s="9"/>
    </row>
    <row r="2885" spans="1:7" x14ac:dyDescent="0.3">
      <c r="A2885" s="9">
        <v>45966</v>
      </c>
      <c r="B2885" s="7" t="s">
        <v>7813</v>
      </c>
      <c r="C2885" s="3">
        <v>5483.93</v>
      </c>
      <c r="D2885" s="7" t="s">
        <v>7814</v>
      </c>
      <c r="E2885" s="7" t="s">
        <v>5189</v>
      </c>
      <c r="G2885" s="9"/>
    </row>
    <row r="2886" spans="1:7" x14ac:dyDescent="0.3">
      <c r="A2886" s="9">
        <v>46017</v>
      </c>
      <c r="B2886" s="7" t="s">
        <v>7813</v>
      </c>
      <c r="C2886" s="3">
        <v>3448.03</v>
      </c>
      <c r="D2886" s="7" t="s">
        <v>7814</v>
      </c>
      <c r="E2886" s="7" t="s">
        <v>5387</v>
      </c>
      <c r="G2886" s="9"/>
    </row>
    <row r="2887" spans="1:7" x14ac:dyDescent="0.3">
      <c r="A2887" s="9">
        <v>46009</v>
      </c>
      <c r="B2887" s="7" t="s">
        <v>7815</v>
      </c>
      <c r="C2887" s="3">
        <v>-5279.94</v>
      </c>
      <c r="D2887" s="7" t="s">
        <v>7816</v>
      </c>
      <c r="E2887" s="7" t="s">
        <v>7375</v>
      </c>
      <c r="G2887" s="9"/>
    </row>
    <row r="2888" spans="1:7" x14ac:dyDescent="0.3">
      <c r="A2888" s="9">
        <v>46070</v>
      </c>
      <c r="B2888" s="7" t="s">
        <v>7813</v>
      </c>
      <c r="C2888" s="3">
        <v>11231.4</v>
      </c>
      <c r="D2888" s="7" t="s">
        <v>7814</v>
      </c>
      <c r="E2888" s="7" t="s">
        <v>3221</v>
      </c>
      <c r="G2888" s="9"/>
    </row>
    <row r="2889" spans="1:7" x14ac:dyDescent="0.3">
      <c r="A2889" s="9">
        <v>46011</v>
      </c>
      <c r="B2889" s="7" t="s">
        <v>7813</v>
      </c>
      <c r="C2889" s="3">
        <v>2716.94</v>
      </c>
      <c r="D2889" s="7" t="s">
        <v>7814</v>
      </c>
      <c r="E2889" s="7" t="s">
        <v>3613</v>
      </c>
      <c r="G2889" s="9"/>
    </row>
    <row r="2890" spans="1:7" x14ac:dyDescent="0.3">
      <c r="A2890" s="9">
        <v>45984</v>
      </c>
      <c r="B2890" s="7" t="s">
        <v>7813</v>
      </c>
      <c r="C2890" s="3">
        <v>10606.75</v>
      </c>
      <c r="D2890" s="7" t="s">
        <v>7814</v>
      </c>
      <c r="E2890" s="7" t="s">
        <v>4199</v>
      </c>
      <c r="G2890" s="9"/>
    </row>
    <row r="2891" spans="1:7" x14ac:dyDescent="0.3">
      <c r="A2891" s="9">
        <v>46018</v>
      </c>
      <c r="B2891" s="7" t="s">
        <v>7813</v>
      </c>
      <c r="C2891" s="3">
        <v>3675.33</v>
      </c>
      <c r="D2891" s="7" t="s">
        <v>7814</v>
      </c>
      <c r="E2891" s="7" t="s">
        <v>4369</v>
      </c>
      <c r="G2891" s="9"/>
    </row>
    <row r="2892" spans="1:7" x14ac:dyDescent="0.3">
      <c r="A2892" s="9">
        <v>45999</v>
      </c>
      <c r="B2892" s="7" t="s">
        <v>7813</v>
      </c>
      <c r="C2892" s="3">
        <v>4543.72</v>
      </c>
      <c r="D2892" s="7" t="s">
        <v>7814</v>
      </c>
      <c r="E2892" s="7" t="s">
        <v>4488</v>
      </c>
      <c r="G2892" s="9"/>
    </row>
    <row r="2893" spans="1:7" x14ac:dyDescent="0.3">
      <c r="A2893" s="9">
        <v>45998</v>
      </c>
      <c r="B2893" s="7" t="s">
        <v>7813</v>
      </c>
      <c r="C2893" s="3">
        <v>1657.13</v>
      </c>
      <c r="D2893" s="7" t="s">
        <v>7814</v>
      </c>
      <c r="E2893" s="7" t="s">
        <v>4661</v>
      </c>
      <c r="G2893" s="9"/>
    </row>
    <row r="2894" spans="1:7" x14ac:dyDescent="0.3">
      <c r="A2894" s="9">
        <v>46014</v>
      </c>
      <c r="B2894" s="7" t="s">
        <v>7815</v>
      </c>
      <c r="C2894" s="3">
        <v>-6789.19</v>
      </c>
      <c r="D2894" s="7" t="s">
        <v>7816</v>
      </c>
      <c r="E2894" s="7" t="s">
        <v>7219</v>
      </c>
      <c r="G2894" s="9"/>
    </row>
    <row r="2895" spans="1:7" x14ac:dyDescent="0.3">
      <c r="A2895" s="9">
        <v>46057</v>
      </c>
      <c r="B2895" s="7" t="s">
        <v>7815</v>
      </c>
      <c r="C2895" s="3">
        <v>-2085.48</v>
      </c>
      <c r="D2895" s="7" t="s">
        <v>7816</v>
      </c>
      <c r="E2895" s="7" t="s">
        <v>7313</v>
      </c>
      <c r="G2895" s="9"/>
    </row>
    <row r="2896" spans="1:7" x14ac:dyDescent="0.3">
      <c r="A2896" s="9">
        <v>46067</v>
      </c>
      <c r="B2896" s="7" t="s">
        <v>7815</v>
      </c>
      <c r="C2896" s="3">
        <v>-1475.09</v>
      </c>
      <c r="D2896" s="7" t="s">
        <v>7816</v>
      </c>
      <c r="E2896" s="7" t="s">
        <v>7493</v>
      </c>
      <c r="G2896" s="9"/>
    </row>
    <row r="2897" spans="1:7" x14ac:dyDescent="0.3">
      <c r="A2897" s="9">
        <v>46063</v>
      </c>
      <c r="B2897" s="7" t="s">
        <v>7813</v>
      </c>
      <c r="C2897" s="3">
        <v>3366.52</v>
      </c>
      <c r="D2897" s="7" t="s">
        <v>7814</v>
      </c>
      <c r="E2897" s="7" t="s">
        <v>3671</v>
      </c>
      <c r="G2897" s="9"/>
    </row>
    <row r="2898" spans="1:7" x14ac:dyDescent="0.3">
      <c r="A2898" s="9">
        <v>45980</v>
      </c>
      <c r="B2898" s="7" t="s">
        <v>7813</v>
      </c>
      <c r="C2898" s="3">
        <v>2889.54</v>
      </c>
      <c r="D2898" s="7" t="s">
        <v>7814</v>
      </c>
      <c r="E2898" s="7" t="s">
        <v>4077</v>
      </c>
      <c r="G2898" s="9"/>
    </row>
    <row r="2899" spans="1:7" x14ac:dyDescent="0.3">
      <c r="A2899" s="9">
        <v>46073</v>
      </c>
      <c r="B2899" s="7" t="s">
        <v>7813</v>
      </c>
      <c r="C2899" s="3">
        <v>11241.69</v>
      </c>
      <c r="D2899" s="7" t="s">
        <v>7814</v>
      </c>
      <c r="E2899" s="7" t="s">
        <v>4717</v>
      </c>
      <c r="G2899" s="9"/>
    </row>
    <row r="2900" spans="1:7" x14ac:dyDescent="0.3">
      <c r="A2900" s="9">
        <v>45969</v>
      </c>
      <c r="B2900" s="7" t="s">
        <v>7813</v>
      </c>
      <c r="C2900" s="3">
        <v>1659.72</v>
      </c>
      <c r="D2900" s="7" t="s">
        <v>7814</v>
      </c>
      <c r="E2900" s="7" t="s">
        <v>4838</v>
      </c>
      <c r="G2900" s="9"/>
    </row>
    <row r="2901" spans="1:7" x14ac:dyDescent="0.3">
      <c r="A2901" s="9">
        <v>46062</v>
      </c>
      <c r="B2901" s="7" t="s">
        <v>7815</v>
      </c>
      <c r="C2901" s="3">
        <v>-5332.99</v>
      </c>
      <c r="D2901" s="7" t="s">
        <v>7816</v>
      </c>
      <c r="E2901" s="7" t="s">
        <v>6840</v>
      </c>
      <c r="G2901" s="9"/>
    </row>
    <row r="2902" spans="1:7" x14ac:dyDescent="0.3">
      <c r="A2902" s="9">
        <v>46025</v>
      </c>
      <c r="B2902" s="7" t="s">
        <v>7815</v>
      </c>
      <c r="C2902" s="3">
        <v>-2519.4499999999998</v>
      </c>
      <c r="D2902" s="7" t="s">
        <v>7816</v>
      </c>
      <c r="E2902" s="7" t="s">
        <v>6931</v>
      </c>
      <c r="G2902" s="9"/>
    </row>
    <row r="2903" spans="1:7" x14ac:dyDescent="0.3">
      <c r="A2903" s="9">
        <v>46033</v>
      </c>
      <c r="B2903" s="7" t="s">
        <v>7815</v>
      </c>
      <c r="C2903" s="3">
        <v>-3950.13</v>
      </c>
      <c r="D2903" s="7" t="s">
        <v>7816</v>
      </c>
      <c r="E2903" s="7" t="s">
        <v>7140</v>
      </c>
      <c r="G2903" s="9"/>
    </row>
    <row r="2904" spans="1:7" x14ac:dyDescent="0.3">
      <c r="A2904" s="9">
        <v>46075</v>
      </c>
      <c r="B2904" s="7" t="s">
        <v>7815</v>
      </c>
      <c r="C2904" s="3">
        <v>-2172</v>
      </c>
      <c r="D2904" s="7" t="s">
        <v>7816</v>
      </c>
      <c r="E2904" s="7" t="s">
        <v>7583</v>
      </c>
      <c r="G2904" s="9"/>
    </row>
    <row r="2905" spans="1:7" x14ac:dyDescent="0.3">
      <c r="A2905" s="9">
        <v>46038</v>
      </c>
      <c r="B2905" s="7" t="s">
        <v>7813</v>
      </c>
      <c r="C2905" s="3">
        <v>2156.2199999999998</v>
      </c>
      <c r="D2905" s="7" t="s">
        <v>7814</v>
      </c>
      <c r="E2905" s="7" t="s">
        <v>3674</v>
      </c>
      <c r="G2905" s="9"/>
    </row>
    <row r="2906" spans="1:7" x14ac:dyDescent="0.3">
      <c r="A2906" s="9">
        <v>45974</v>
      </c>
      <c r="B2906" s="7" t="s">
        <v>7813</v>
      </c>
      <c r="C2906" s="3">
        <v>3025.74</v>
      </c>
      <c r="D2906" s="7" t="s">
        <v>7814</v>
      </c>
      <c r="E2906" s="7" t="s">
        <v>3797</v>
      </c>
      <c r="G2906" s="9"/>
    </row>
    <row r="2907" spans="1:7" x14ac:dyDescent="0.3">
      <c r="A2907" s="9">
        <v>45986</v>
      </c>
      <c r="B2907" s="7" t="s">
        <v>7813</v>
      </c>
      <c r="C2907" s="3">
        <v>5311.5</v>
      </c>
      <c r="D2907" s="7" t="s">
        <v>7814</v>
      </c>
      <c r="E2907" s="7" t="s">
        <v>3902</v>
      </c>
      <c r="G2907" s="9"/>
    </row>
    <row r="2908" spans="1:7" x14ac:dyDescent="0.3">
      <c r="A2908" s="9">
        <v>46053</v>
      </c>
      <c r="B2908" s="7" t="s">
        <v>7813</v>
      </c>
      <c r="C2908" s="3">
        <v>2628.96</v>
      </c>
      <c r="D2908" s="7" t="s">
        <v>7814</v>
      </c>
      <c r="E2908" s="7" t="s">
        <v>4282</v>
      </c>
      <c r="G2908" s="9"/>
    </row>
    <row r="2909" spans="1:7" x14ac:dyDescent="0.3">
      <c r="A2909" s="9">
        <v>46090</v>
      </c>
      <c r="B2909" s="7" t="s">
        <v>7813</v>
      </c>
      <c r="C2909" s="3">
        <v>677.18</v>
      </c>
      <c r="D2909" s="7" t="s">
        <v>7814</v>
      </c>
      <c r="E2909" s="7" t="s">
        <v>4472</v>
      </c>
      <c r="G2909" s="9"/>
    </row>
    <row r="2910" spans="1:7" x14ac:dyDescent="0.3">
      <c r="A2910" s="9">
        <v>46033</v>
      </c>
      <c r="B2910" s="7" t="s">
        <v>7813</v>
      </c>
      <c r="C2910" s="3">
        <v>10463.06</v>
      </c>
      <c r="D2910" s="7" t="s">
        <v>7814</v>
      </c>
      <c r="E2910" s="7" t="s">
        <v>4899</v>
      </c>
      <c r="G2910" s="9"/>
    </row>
    <row r="2911" spans="1:7" x14ac:dyDescent="0.3">
      <c r="A2911" s="9">
        <v>46011</v>
      </c>
      <c r="B2911" s="7" t="s">
        <v>7815</v>
      </c>
      <c r="C2911" s="3">
        <v>-4805.9399999999996</v>
      </c>
      <c r="D2911" s="7" t="s">
        <v>7816</v>
      </c>
      <c r="E2911" s="7" t="s">
        <v>7094</v>
      </c>
      <c r="G2911" s="9"/>
    </row>
    <row r="2912" spans="1:7" x14ac:dyDescent="0.3">
      <c r="A2912" s="9">
        <v>46068</v>
      </c>
      <c r="B2912" s="7" t="s">
        <v>7815</v>
      </c>
      <c r="C2912" s="3">
        <v>-6603.28</v>
      </c>
      <c r="D2912" s="7" t="s">
        <v>7816</v>
      </c>
      <c r="E2912" s="7" t="s">
        <v>7541</v>
      </c>
      <c r="G2912" s="9"/>
    </row>
    <row r="2913" spans="1:7" x14ac:dyDescent="0.3">
      <c r="A2913" s="9">
        <v>46085</v>
      </c>
      <c r="B2913" s="7" t="s">
        <v>7813</v>
      </c>
      <c r="C2913" s="3">
        <v>14179.95</v>
      </c>
      <c r="D2913" s="7" t="s">
        <v>7814</v>
      </c>
      <c r="E2913" s="7" t="s">
        <v>4066</v>
      </c>
      <c r="G2913" s="9"/>
    </row>
    <row r="2914" spans="1:7" x14ac:dyDescent="0.3">
      <c r="A2914" s="9">
        <v>46062</v>
      </c>
      <c r="B2914" s="7" t="s">
        <v>7815</v>
      </c>
      <c r="C2914" s="3">
        <v>-2124.5</v>
      </c>
      <c r="D2914" s="7" t="s">
        <v>7816</v>
      </c>
      <c r="E2914" s="7" t="s">
        <v>7777</v>
      </c>
      <c r="G2914" s="9"/>
    </row>
    <row r="2915" spans="1:7" x14ac:dyDescent="0.3">
      <c r="A2915" s="9">
        <v>46023</v>
      </c>
      <c r="B2915" s="7" t="s">
        <v>7813</v>
      </c>
      <c r="C2915" s="3">
        <v>3296</v>
      </c>
      <c r="D2915" s="7" t="s">
        <v>7814</v>
      </c>
      <c r="E2915" s="7" t="s">
        <v>3401</v>
      </c>
      <c r="G2915" s="9"/>
    </row>
    <row r="2916" spans="1:7" x14ac:dyDescent="0.3">
      <c r="A2916" s="9">
        <v>46090</v>
      </c>
      <c r="B2916" s="7" t="s">
        <v>7813</v>
      </c>
      <c r="C2916" s="3">
        <v>1506.92</v>
      </c>
      <c r="D2916" s="7" t="s">
        <v>7814</v>
      </c>
      <c r="E2916" s="7" t="s">
        <v>3702</v>
      </c>
      <c r="G2916" s="9"/>
    </row>
    <row r="2917" spans="1:7" x14ac:dyDescent="0.3">
      <c r="A2917" s="9">
        <v>46081</v>
      </c>
      <c r="B2917" s="7" t="s">
        <v>7813</v>
      </c>
      <c r="C2917" s="3">
        <v>1621.19</v>
      </c>
      <c r="D2917" s="7" t="s">
        <v>7814</v>
      </c>
      <c r="E2917" s="7" t="s">
        <v>3859</v>
      </c>
      <c r="G2917" s="9"/>
    </row>
    <row r="2918" spans="1:7" x14ac:dyDescent="0.3">
      <c r="A2918" s="9">
        <v>46012</v>
      </c>
      <c r="B2918" s="7" t="s">
        <v>7813</v>
      </c>
      <c r="C2918" s="3">
        <v>3108.8</v>
      </c>
      <c r="D2918" s="7" t="s">
        <v>7814</v>
      </c>
      <c r="E2918" s="7" t="s">
        <v>4078</v>
      </c>
      <c r="G2918" s="9"/>
    </row>
    <row r="2919" spans="1:7" x14ac:dyDescent="0.3">
      <c r="A2919" s="9">
        <v>46091</v>
      </c>
      <c r="B2919" s="7" t="s">
        <v>7813</v>
      </c>
      <c r="C2919" s="3">
        <v>2144.71</v>
      </c>
      <c r="D2919" s="7" t="s">
        <v>7814</v>
      </c>
      <c r="E2919" s="7" t="s">
        <v>4639</v>
      </c>
      <c r="G2919" s="9"/>
    </row>
    <row r="2920" spans="1:7" x14ac:dyDescent="0.3">
      <c r="A2920" s="9">
        <v>46051</v>
      </c>
      <c r="B2920" s="7" t="s">
        <v>7813</v>
      </c>
      <c r="C2920" s="3">
        <v>10964.96</v>
      </c>
      <c r="D2920" s="7" t="s">
        <v>7814</v>
      </c>
      <c r="E2920" s="7" t="s">
        <v>4770</v>
      </c>
      <c r="G2920" s="9"/>
    </row>
    <row r="2921" spans="1:7" x14ac:dyDescent="0.3">
      <c r="A2921" s="9">
        <v>45964</v>
      </c>
      <c r="B2921" s="7" t="s">
        <v>7813</v>
      </c>
      <c r="C2921" s="3">
        <v>5163.33</v>
      </c>
      <c r="D2921" s="7" t="s">
        <v>7814</v>
      </c>
      <c r="E2921" s="7" t="s">
        <v>4641</v>
      </c>
      <c r="G2921" s="9"/>
    </row>
    <row r="2922" spans="1:7" x14ac:dyDescent="0.3">
      <c r="A2922" s="9">
        <v>46077</v>
      </c>
      <c r="B2922" s="7" t="s">
        <v>7813</v>
      </c>
      <c r="C2922" s="3">
        <v>2371.96</v>
      </c>
      <c r="D2922" s="7" t="s">
        <v>7814</v>
      </c>
      <c r="E2922" s="7" t="s">
        <v>4762</v>
      </c>
      <c r="G2922" s="9"/>
    </row>
    <row r="2923" spans="1:7" x14ac:dyDescent="0.3">
      <c r="A2923" s="9">
        <v>46073</v>
      </c>
      <c r="B2923" s="7" t="s">
        <v>7815</v>
      </c>
      <c r="C2923" s="3">
        <v>-5009.16</v>
      </c>
      <c r="D2923" s="7" t="s">
        <v>7816</v>
      </c>
      <c r="E2923" s="7" t="s">
        <v>7255</v>
      </c>
      <c r="G2923" s="9"/>
    </row>
    <row r="2924" spans="1:7" x14ac:dyDescent="0.3">
      <c r="A2924" s="9">
        <v>46075</v>
      </c>
      <c r="B2924" s="7" t="s">
        <v>7813</v>
      </c>
      <c r="C2924" s="3">
        <v>1827.68</v>
      </c>
      <c r="D2924" s="7" t="s">
        <v>7814</v>
      </c>
      <c r="E2924" s="7" t="s">
        <v>3853</v>
      </c>
      <c r="G2924" s="9"/>
    </row>
    <row r="2925" spans="1:7" x14ac:dyDescent="0.3">
      <c r="A2925" s="9">
        <v>46017</v>
      </c>
      <c r="B2925" s="7" t="s">
        <v>7813</v>
      </c>
      <c r="C2925" s="3">
        <v>4369.49</v>
      </c>
      <c r="D2925" s="7" t="s">
        <v>7814</v>
      </c>
      <c r="E2925" s="7" t="s">
        <v>3948</v>
      </c>
      <c r="G2925" s="9"/>
    </row>
    <row r="2926" spans="1:7" x14ac:dyDescent="0.3">
      <c r="A2926" s="9">
        <v>46008</v>
      </c>
      <c r="B2926" s="7" t="s">
        <v>7813</v>
      </c>
      <c r="C2926" s="3">
        <v>2079.48</v>
      </c>
      <c r="D2926" s="7" t="s">
        <v>7814</v>
      </c>
      <c r="E2926" s="7" t="s">
        <v>3950</v>
      </c>
      <c r="G2926" s="9"/>
    </row>
    <row r="2927" spans="1:7" x14ac:dyDescent="0.3">
      <c r="A2927" s="9">
        <v>45983</v>
      </c>
      <c r="B2927" s="7" t="s">
        <v>7813</v>
      </c>
      <c r="C2927" s="3">
        <v>2420.13</v>
      </c>
      <c r="D2927" s="7" t="s">
        <v>7814</v>
      </c>
      <c r="E2927" s="7" t="s">
        <v>4121</v>
      </c>
      <c r="G2927" s="9"/>
    </row>
    <row r="2928" spans="1:7" x14ac:dyDescent="0.3">
      <c r="A2928" s="9">
        <v>45972</v>
      </c>
      <c r="B2928" s="7" t="s">
        <v>7813</v>
      </c>
      <c r="C2928" s="3">
        <v>5199.6400000000003</v>
      </c>
      <c r="D2928" s="7" t="s">
        <v>7814</v>
      </c>
      <c r="E2928" s="7" t="s">
        <v>4213</v>
      </c>
      <c r="G2928" s="9"/>
    </row>
    <row r="2929" spans="1:7" x14ac:dyDescent="0.3">
      <c r="A2929" s="9">
        <v>46072</v>
      </c>
      <c r="B2929" s="7" t="s">
        <v>7813</v>
      </c>
      <c r="C2929" s="3">
        <v>3198.39</v>
      </c>
      <c r="D2929" s="7" t="s">
        <v>7814</v>
      </c>
      <c r="E2929" s="7" t="s">
        <v>4517</v>
      </c>
      <c r="G2929" s="9"/>
    </row>
    <row r="2930" spans="1:7" x14ac:dyDescent="0.3">
      <c r="A2930" s="9">
        <v>45989</v>
      </c>
      <c r="B2930" s="7" t="s">
        <v>7815</v>
      </c>
      <c r="C2930" s="3">
        <v>-2672.62</v>
      </c>
      <c r="D2930" s="7" t="s">
        <v>7816</v>
      </c>
      <c r="E2930" s="7" t="s">
        <v>7580</v>
      </c>
      <c r="G2930" s="9"/>
    </row>
    <row r="2931" spans="1:7" x14ac:dyDescent="0.3">
      <c r="A2931" s="9">
        <v>46023</v>
      </c>
      <c r="B2931" s="7" t="s">
        <v>7815</v>
      </c>
      <c r="C2931" s="3">
        <v>-995.46</v>
      </c>
      <c r="D2931" s="7" t="s">
        <v>7816</v>
      </c>
      <c r="E2931" s="7" t="s">
        <v>7794</v>
      </c>
      <c r="G2931" s="9"/>
    </row>
    <row r="2932" spans="1:7" x14ac:dyDescent="0.3">
      <c r="A2932" s="9">
        <v>46043</v>
      </c>
      <c r="B2932" s="7" t="s">
        <v>7813</v>
      </c>
      <c r="C2932" s="3">
        <v>3110.52</v>
      </c>
      <c r="D2932" s="7" t="s">
        <v>7814</v>
      </c>
      <c r="E2932" s="7" t="s">
        <v>3173</v>
      </c>
      <c r="G2932" s="9"/>
    </row>
    <row r="2933" spans="1:7" x14ac:dyDescent="0.3">
      <c r="A2933" s="9">
        <v>46000</v>
      </c>
      <c r="B2933" s="7" t="s">
        <v>7813</v>
      </c>
      <c r="C2933" s="3">
        <v>1348.46</v>
      </c>
      <c r="D2933" s="7" t="s">
        <v>7814</v>
      </c>
      <c r="E2933" s="7" t="s">
        <v>3234</v>
      </c>
      <c r="G2933" s="9"/>
    </row>
    <row r="2934" spans="1:7" x14ac:dyDescent="0.3">
      <c r="A2934" s="9">
        <v>46075</v>
      </c>
      <c r="B2934" s="7" t="s">
        <v>7813</v>
      </c>
      <c r="C2934" s="3">
        <v>5172.7700000000004</v>
      </c>
      <c r="D2934" s="7" t="s">
        <v>7814</v>
      </c>
      <c r="E2934" s="7" t="s">
        <v>3258</v>
      </c>
      <c r="G2934" s="9"/>
    </row>
    <row r="2935" spans="1:7" x14ac:dyDescent="0.3">
      <c r="A2935" s="9">
        <v>46052</v>
      </c>
      <c r="B2935" s="7" t="s">
        <v>7813</v>
      </c>
      <c r="C2935" s="3">
        <v>2872.68</v>
      </c>
      <c r="D2935" s="7" t="s">
        <v>7814</v>
      </c>
      <c r="E2935" s="7" t="s">
        <v>3389</v>
      </c>
      <c r="G2935" s="9"/>
    </row>
    <row r="2936" spans="1:7" x14ac:dyDescent="0.3">
      <c r="A2936" s="9">
        <v>46083</v>
      </c>
      <c r="B2936" s="7" t="s">
        <v>7813</v>
      </c>
      <c r="C2936" s="3">
        <v>13524.25</v>
      </c>
      <c r="D2936" s="7" t="s">
        <v>7814</v>
      </c>
      <c r="E2936" s="7" t="s">
        <v>4013</v>
      </c>
      <c r="G2936" s="9"/>
    </row>
    <row r="2937" spans="1:7" x14ac:dyDescent="0.3">
      <c r="A2937" s="9">
        <v>46081</v>
      </c>
      <c r="B2937" s="7" t="s">
        <v>7813</v>
      </c>
      <c r="C2937" s="3">
        <v>1507.67</v>
      </c>
      <c r="D2937" s="7" t="s">
        <v>7814</v>
      </c>
      <c r="E2937" s="7" t="s">
        <v>4064</v>
      </c>
      <c r="G2937" s="9"/>
    </row>
    <row r="2938" spans="1:7" x14ac:dyDescent="0.3">
      <c r="A2938" s="9">
        <v>46073</v>
      </c>
      <c r="B2938" s="7" t="s">
        <v>7813</v>
      </c>
      <c r="C2938" s="3">
        <v>3747.08</v>
      </c>
      <c r="D2938" s="7" t="s">
        <v>7814</v>
      </c>
      <c r="E2938" s="7" t="s">
        <v>4187</v>
      </c>
      <c r="G2938" s="9"/>
    </row>
    <row r="2939" spans="1:7" x14ac:dyDescent="0.3">
      <c r="A2939" s="9">
        <v>46037</v>
      </c>
      <c r="B2939" s="7" t="s">
        <v>7813</v>
      </c>
      <c r="C2939" s="3">
        <v>10967.69</v>
      </c>
      <c r="D2939" s="7" t="s">
        <v>7814</v>
      </c>
      <c r="E2939" s="7" t="s">
        <v>4262</v>
      </c>
      <c r="G2939" s="9"/>
    </row>
    <row r="2940" spans="1:7" x14ac:dyDescent="0.3">
      <c r="A2940" s="9">
        <v>45992</v>
      </c>
      <c r="B2940" s="7" t="s">
        <v>7813</v>
      </c>
      <c r="C2940" s="3">
        <v>4419.53</v>
      </c>
      <c r="D2940" s="7" t="s">
        <v>7814</v>
      </c>
      <c r="E2940" s="7" t="s">
        <v>4546</v>
      </c>
      <c r="G2940" s="9"/>
    </row>
    <row r="2941" spans="1:7" x14ac:dyDescent="0.3">
      <c r="A2941" s="9">
        <v>46026</v>
      </c>
      <c r="B2941" s="7" t="s">
        <v>7813</v>
      </c>
      <c r="C2941" s="3">
        <v>2146.33</v>
      </c>
      <c r="D2941" s="7" t="s">
        <v>7814</v>
      </c>
      <c r="E2941" s="7" t="s">
        <v>4575</v>
      </c>
      <c r="G2941" s="9"/>
    </row>
    <row r="2942" spans="1:7" x14ac:dyDescent="0.3">
      <c r="A2942" s="9">
        <v>45983</v>
      </c>
      <c r="B2942" s="7" t="s">
        <v>7813</v>
      </c>
      <c r="C2942" s="3">
        <v>1518.88</v>
      </c>
      <c r="D2942" s="7" t="s">
        <v>7814</v>
      </c>
      <c r="E2942" s="7" t="s">
        <v>5204</v>
      </c>
      <c r="G2942" s="9"/>
    </row>
    <row r="2943" spans="1:7" x14ac:dyDescent="0.3">
      <c r="A2943" s="9">
        <v>46003</v>
      </c>
      <c r="B2943" s="7" t="s">
        <v>7813</v>
      </c>
      <c r="C2943" s="3">
        <v>2980.27</v>
      </c>
      <c r="D2943" s="7" t="s">
        <v>7814</v>
      </c>
      <c r="E2943" s="7" t="s">
        <v>5264</v>
      </c>
      <c r="G2943" s="9"/>
    </row>
    <row r="2944" spans="1:7" x14ac:dyDescent="0.3">
      <c r="A2944" s="9">
        <v>46010</v>
      </c>
      <c r="B2944" s="7" t="s">
        <v>7813</v>
      </c>
      <c r="C2944" s="3">
        <v>13751.57</v>
      </c>
      <c r="D2944" s="7" t="s">
        <v>7814</v>
      </c>
      <c r="E2944" s="7" t="s">
        <v>3214</v>
      </c>
      <c r="G2944" s="9"/>
    </row>
    <row r="2945" spans="1:7" x14ac:dyDescent="0.3">
      <c r="A2945" s="9">
        <v>46048</v>
      </c>
      <c r="B2945" s="7" t="s">
        <v>7813</v>
      </c>
      <c r="C2945" s="3">
        <v>4120.07</v>
      </c>
      <c r="D2945" s="7" t="s">
        <v>7814</v>
      </c>
      <c r="E2945" s="7" t="s">
        <v>3849</v>
      </c>
      <c r="G2945" s="9"/>
    </row>
    <row r="2946" spans="1:7" x14ac:dyDescent="0.3">
      <c r="A2946" s="9">
        <v>46001</v>
      </c>
      <c r="B2946" s="7" t="s">
        <v>7813</v>
      </c>
      <c r="C2946" s="3">
        <v>2433.4699999999998</v>
      </c>
      <c r="D2946" s="7" t="s">
        <v>7814</v>
      </c>
      <c r="E2946" s="7" t="s">
        <v>4320</v>
      </c>
      <c r="G2946" s="9"/>
    </row>
    <row r="2947" spans="1:7" x14ac:dyDescent="0.3">
      <c r="A2947" s="9">
        <v>46058</v>
      </c>
      <c r="B2947" s="7" t="s">
        <v>7813</v>
      </c>
      <c r="C2947" s="3">
        <v>962.05</v>
      </c>
      <c r="D2947" s="7" t="s">
        <v>7814</v>
      </c>
      <c r="E2947" s="7" t="s">
        <v>4839</v>
      </c>
      <c r="G2947" s="9"/>
    </row>
    <row r="2948" spans="1:7" x14ac:dyDescent="0.3">
      <c r="A2948" s="9">
        <v>45993</v>
      </c>
      <c r="B2948" s="7" t="s">
        <v>7813</v>
      </c>
      <c r="C2948" s="3">
        <v>11451.94</v>
      </c>
      <c r="D2948" s="7" t="s">
        <v>7814</v>
      </c>
      <c r="E2948" s="7" t="s">
        <v>4842</v>
      </c>
      <c r="G2948" s="9"/>
    </row>
    <row r="2949" spans="1:7" x14ac:dyDescent="0.3">
      <c r="A2949" s="9">
        <v>46033</v>
      </c>
      <c r="B2949" s="7" t="s">
        <v>7813</v>
      </c>
      <c r="C2949" s="3">
        <v>3554.82</v>
      </c>
      <c r="D2949" s="7" t="s">
        <v>7814</v>
      </c>
      <c r="E2949" s="7" t="s">
        <v>5081</v>
      </c>
      <c r="G2949" s="9"/>
    </row>
    <row r="2950" spans="1:7" x14ac:dyDescent="0.3">
      <c r="A2950" s="9">
        <v>45997</v>
      </c>
      <c r="B2950" s="7" t="s">
        <v>7815</v>
      </c>
      <c r="C2950" s="3">
        <v>-5417</v>
      </c>
      <c r="D2950" s="7" t="s">
        <v>7816</v>
      </c>
      <c r="E2950" s="7" t="s">
        <v>6985</v>
      </c>
      <c r="G2950" s="9"/>
    </row>
    <row r="2951" spans="1:7" x14ac:dyDescent="0.3">
      <c r="A2951" s="9">
        <v>46037</v>
      </c>
      <c r="B2951" s="7" t="s">
        <v>7815</v>
      </c>
      <c r="C2951" s="3">
        <v>-1946.67</v>
      </c>
      <c r="D2951" s="7" t="s">
        <v>7816</v>
      </c>
      <c r="E2951" s="7" t="s">
        <v>7585</v>
      </c>
      <c r="G2951" s="9"/>
    </row>
    <row r="2952" spans="1:7" x14ac:dyDescent="0.3">
      <c r="A2952" s="9">
        <v>45962</v>
      </c>
      <c r="B2952" s="7" t="s">
        <v>7815</v>
      </c>
      <c r="C2952" s="3">
        <v>-1354.34</v>
      </c>
      <c r="D2952" s="7" t="s">
        <v>7816</v>
      </c>
      <c r="E2952" s="7" t="s">
        <v>7694</v>
      </c>
      <c r="G2952" s="9"/>
    </row>
    <row r="2953" spans="1:7" x14ac:dyDescent="0.3">
      <c r="A2953" s="9">
        <v>46054</v>
      </c>
      <c r="B2953" s="7" t="s">
        <v>7813</v>
      </c>
      <c r="C2953" s="3">
        <v>4089.29</v>
      </c>
      <c r="D2953" s="7" t="s">
        <v>7814</v>
      </c>
      <c r="E2953" s="7" t="s">
        <v>3558</v>
      </c>
      <c r="G2953" s="9"/>
    </row>
    <row r="2954" spans="1:7" x14ac:dyDescent="0.3">
      <c r="A2954" s="9">
        <v>46060</v>
      </c>
      <c r="B2954" s="7" t="s">
        <v>7813</v>
      </c>
      <c r="C2954" s="3">
        <v>2020.23</v>
      </c>
      <c r="D2954" s="7" t="s">
        <v>7814</v>
      </c>
      <c r="E2954" s="7" t="s">
        <v>3656</v>
      </c>
      <c r="G2954" s="9"/>
    </row>
    <row r="2955" spans="1:7" x14ac:dyDescent="0.3">
      <c r="A2955" s="9">
        <v>46004</v>
      </c>
      <c r="B2955" s="7" t="s">
        <v>7813</v>
      </c>
      <c r="C2955" s="3">
        <v>2602.02</v>
      </c>
      <c r="D2955" s="7" t="s">
        <v>7814</v>
      </c>
      <c r="E2955" s="7" t="s">
        <v>3795</v>
      </c>
      <c r="G2955" s="9"/>
    </row>
    <row r="2956" spans="1:7" x14ac:dyDescent="0.3">
      <c r="A2956" s="9">
        <v>46089</v>
      </c>
      <c r="B2956" s="7" t="s">
        <v>7813</v>
      </c>
      <c r="C2956" s="3">
        <v>2886.21</v>
      </c>
      <c r="D2956" s="7" t="s">
        <v>7814</v>
      </c>
      <c r="E2956" s="7" t="s">
        <v>4695</v>
      </c>
      <c r="G2956" s="9"/>
    </row>
    <row r="2957" spans="1:7" x14ac:dyDescent="0.3">
      <c r="A2957" s="9">
        <v>45995</v>
      </c>
      <c r="B2957" s="7" t="s">
        <v>7813</v>
      </c>
      <c r="C2957" s="3">
        <v>4165.6499999999996</v>
      </c>
      <c r="D2957" s="7" t="s">
        <v>7814</v>
      </c>
      <c r="E2957" s="7" t="s">
        <v>5016</v>
      </c>
      <c r="G2957" s="9"/>
    </row>
    <row r="2958" spans="1:7" x14ac:dyDescent="0.3">
      <c r="A2958" s="9">
        <v>45993</v>
      </c>
      <c r="B2958" s="7" t="s">
        <v>7813</v>
      </c>
      <c r="C2958" s="3">
        <v>1860.89</v>
      </c>
      <c r="D2958" s="7" t="s">
        <v>7814</v>
      </c>
      <c r="E2958" s="7" t="s">
        <v>5150</v>
      </c>
      <c r="G2958" s="9"/>
    </row>
    <row r="2959" spans="1:7" x14ac:dyDescent="0.3">
      <c r="A2959" s="9">
        <v>46005</v>
      </c>
      <c r="B2959" s="7" t="s">
        <v>7815</v>
      </c>
      <c r="C2959" s="3">
        <v>-2256.25</v>
      </c>
      <c r="D2959" s="7" t="s">
        <v>7816</v>
      </c>
      <c r="E2959" s="7" t="s">
        <v>6957</v>
      </c>
      <c r="G2959" s="9"/>
    </row>
    <row r="2960" spans="1:7" x14ac:dyDescent="0.3">
      <c r="A2960" s="9">
        <v>45999</v>
      </c>
      <c r="B2960" s="7" t="s">
        <v>7815</v>
      </c>
      <c r="C2960" s="3">
        <v>-2373.59</v>
      </c>
      <c r="D2960" s="7" t="s">
        <v>7816</v>
      </c>
      <c r="E2960" s="7" t="s">
        <v>7044</v>
      </c>
      <c r="G2960" s="9"/>
    </row>
    <row r="2961" spans="1:7" x14ac:dyDescent="0.3">
      <c r="A2961" s="9">
        <v>46080</v>
      </c>
      <c r="B2961" s="7" t="s">
        <v>7815</v>
      </c>
      <c r="C2961" s="3">
        <v>-1686.12</v>
      </c>
      <c r="D2961" s="7" t="s">
        <v>7816</v>
      </c>
      <c r="E2961" s="7" t="s">
        <v>7327</v>
      </c>
      <c r="G2961" s="9"/>
    </row>
    <row r="2962" spans="1:7" x14ac:dyDescent="0.3">
      <c r="A2962" s="9">
        <v>46022</v>
      </c>
      <c r="B2962" s="7" t="s">
        <v>7815</v>
      </c>
      <c r="C2962" s="3">
        <v>-6481.1</v>
      </c>
      <c r="D2962" s="7" t="s">
        <v>7816</v>
      </c>
      <c r="E2962" s="7" t="s">
        <v>7354</v>
      </c>
      <c r="G2962" s="9"/>
    </row>
    <row r="2963" spans="1:7" x14ac:dyDescent="0.3">
      <c r="A2963" s="9">
        <v>46086</v>
      </c>
      <c r="B2963" s="7" t="s">
        <v>7815</v>
      </c>
      <c r="C2963" s="3">
        <v>-5106.76</v>
      </c>
      <c r="D2963" s="7" t="s">
        <v>7816</v>
      </c>
      <c r="E2963" s="7" t="s">
        <v>7484</v>
      </c>
      <c r="G2963" s="9"/>
    </row>
    <row r="2964" spans="1:7" x14ac:dyDescent="0.3">
      <c r="A2964" s="9">
        <v>45967</v>
      </c>
      <c r="B2964" s="7" t="s">
        <v>7815</v>
      </c>
      <c r="C2964" s="3">
        <v>-6947.27</v>
      </c>
      <c r="D2964" s="7" t="s">
        <v>7816</v>
      </c>
      <c r="E2964" s="7" t="s">
        <v>7491</v>
      </c>
      <c r="G2964" s="9"/>
    </row>
    <row r="2965" spans="1:7" x14ac:dyDescent="0.3">
      <c r="A2965" s="9">
        <v>45978</v>
      </c>
      <c r="B2965" s="7" t="s">
        <v>7815</v>
      </c>
      <c r="C2965" s="3">
        <v>-3769.74</v>
      </c>
      <c r="D2965" s="7" t="s">
        <v>7816</v>
      </c>
      <c r="E2965" s="7" t="s">
        <v>7663</v>
      </c>
      <c r="G2965" s="9"/>
    </row>
    <row r="2966" spans="1:7" x14ac:dyDescent="0.3">
      <c r="A2966" s="9">
        <v>46080</v>
      </c>
      <c r="B2966" s="7" t="s">
        <v>7815</v>
      </c>
      <c r="C2966" s="3">
        <v>-4089.67</v>
      </c>
      <c r="D2966" s="7" t="s">
        <v>7816</v>
      </c>
      <c r="E2966" s="7" t="s">
        <v>7766</v>
      </c>
      <c r="G2966" s="9"/>
    </row>
    <row r="2967" spans="1:7" x14ac:dyDescent="0.3">
      <c r="A2967" s="9">
        <v>46031</v>
      </c>
      <c r="B2967" s="7" t="s">
        <v>7813</v>
      </c>
      <c r="C2967" s="3">
        <v>639.4</v>
      </c>
      <c r="D2967" s="7" t="s">
        <v>7814</v>
      </c>
      <c r="E2967" s="7" t="s">
        <v>3505</v>
      </c>
      <c r="G2967" s="9"/>
    </row>
    <row r="2968" spans="1:7" x14ac:dyDescent="0.3">
      <c r="A2968" s="9">
        <v>46015</v>
      </c>
      <c r="B2968" s="7" t="s">
        <v>7813</v>
      </c>
      <c r="C2968" s="3">
        <v>2391.09</v>
      </c>
      <c r="D2968" s="7" t="s">
        <v>7814</v>
      </c>
      <c r="E2968" s="7" t="s">
        <v>4452</v>
      </c>
      <c r="G2968" s="9"/>
    </row>
    <row r="2969" spans="1:7" x14ac:dyDescent="0.3">
      <c r="A2969" s="9">
        <v>46007</v>
      </c>
      <c r="B2969" s="7" t="s">
        <v>7813</v>
      </c>
      <c r="C2969" s="3">
        <v>12991.01</v>
      </c>
      <c r="D2969" s="7" t="s">
        <v>7814</v>
      </c>
      <c r="E2969" s="7" t="s">
        <v>4615</v>
      </c>
      <c r="G2969" s="9"/>
    </row>
    <row r="2970" spans="1:7" x14ac:dyDescent="0.3">
      <c r="A2970" s="9">
        <v>46076</v>
      </c>
      <c r="B2970" s="7" t="s">
        <v>7815</v>
      </c>
      <c r="C2970" s="3">
        <v>-943.83</v>
      </c>
      <c r="D2970" s="7" t="s">
        <v>7816</v>
      </c>
      <c r="E2970" s="7" t="s">
        <v>6975</v>
      </c>
      <c r="G2970" s="9"/>
    </row>
    <row r="2971" spans="1:7" x14ac:dyDescent="0.3">
      <c r="A2971" s="9">
        <v>46083</v>
      </c>
      <c r="B2971" s="7" t="s">
        <v>7815</v>
      </c>
      <c r="C2971" s="3">
        <v>-6932.8</v>
      </c>
      <c r="D2971" s="7" t="s">
        <v>7816</v>
      </c>
      <c r="E2971" s="7" t="s">
        <v>7005</v>
      </c>
      <c r="G2971" s="9"/>
    </row>
    <row r="2972" spans="1:7" x14ac:dyDescent="0.3">
      <c r="A2972" s="9">
        <v>46035</v>
      </c>
      <c r="B2972" s="7" t="s">
        <v>7815</v>
      </c>
      <c r="C2972" s="3">
        <v>-6428.76</v>
      </c>
      <c r="D2972" s="7" t="s">
        <v>7816</v>
      </c>
      <c r="E2972" s="7" t="s">
        <v>7607</v>
      </c>
      <c r="G2972" s="9"/>
    </row>
    <row r="2973" spans="1:7" x14ac:dyDescent="0.3">
      <c r="A2973" s="9">
        <v>46028</v>
      </c>
      <c r="B2973" s="7" t="s">
        <v>7815</v>
      </c>
      <c r="C2973" s="3">
        <v>-6594.99</v>
      </c>
      <c r="D2973" s="7" t="s">
        <v>7816</v>
      </c>
      <c r="E2973" s="7" t="s">
        <v>7671</v>
      </c>
      <c r="G2973" s="9"/>
    </row>
    <row r="2974" spans="1:7" x14ac:dyDescent="0.3">
      <c r="A2974" s="9">
        <v>45977</v>
      </c>
      <c r="B2974" s="7" t="s">
        <v>7813</v>
      </c>
      <c r="C2974" s="3">
        <v>2866.44</v>
      </c>
      <c r="D2974" s="7" t="s">
        <v>7814</v>
      </c>
      <c r="E2974" s="7" t="s">
        <v>4223</v>
      </c>
      <c r="G2974" s="9"/>
    </row>
    <row r="2975" spans="1:7" x14ac:dyDescent="0.3">
      <c r="A2975" s="9">
        <v>45996</v>
      </c>
      <c r="B2975" s="7" t="s">
        <v>7813</v>
      </c>
      <c r="C2975" s="3">
        <v>4998.42</v>
      </c>
      <c r="D2975" s="7" t="s">
        <v>7814</v>
      </c>
      <c r="E2975" s="7" t="s">
        <v>4248</v>
      </c>
      <c r="G2975" s="9"/>
    </row>
    <row r="2976" spans="1:7" x14ac:dyDescent="0.3">
      <c r="A2976" s="9">
        <v>46051</v>
      </c>
      <c r="B2976" s="7" t="s">
        <v>7813</v>
      </c>
      <c r="C2976" s="3">
        <v>1628.18</v>
      </c>
      <c r="D2976" s="7" t="s">
        <v>7814</v>
      </c>
      <c r="E2976" s="7" t="s">
        <v>4362</v>
      </c>
      <c r="G2976" s="9"/>
    </row>
    <row r="2977" spans="1:7" x14ac:dyDescent="0.3">
      <c r="A2977" s="9">
        <v>46038</v>
      </c>
      <c r="B2977" s="7" t="s">
        <v>7813</v>
      </c>
      <c r="C2977" s="3">
        <v>5067.8500000000004</v>
      </c>
      <c r="D2977" s="7" t="s">
        <v>7814</v>
      </c>
      <c r="E2977" s="7" t="s">
        <v>4499</v>
      </c>
      <c r="G2977" s="9"/>
    </row>
    <row r="2978" spans="1:7" x14ac:dyDescent="0.3">
      <c r="A2978" s="9">
        <v>46026</v>
      </c>
      <c r="B2978" s="7" t="s">
        <v>7813</v>
      </c>
      <c r="C2978" s="3">
        <v>3053.66</v>
      </c>
      <c r="D2978" s="7" t="s">
        <v>7814</v>
      </c>
      <c r="E2978" s="7" t="s">
        <v>4616</v>
      </c>
      <c r="G2978" s="9"/>
    </row>
    <row r="2979" spans="1:7" x14ac:dyDescent="0.3">
      <c r="A2979" s="9">
        <v>46031</v>
      </c>
      <c r="B2979" s="7" t="s">
        <v>7813</v>
      </c>
      <c r="C2979" s="3">
        <v>3835.8</v>
      </c>
      <c r="D2979" s="7" t="s">
        <v>7814</v>
      </c>
      <c r="E2979" s="7" t="s">
        <v>5249</v>
      </c>
      <c r="G2979" s="9"/>
    </row>
    <row r="2980" spans="1:7" x14ac:dyDescent="0.3">
      <c r="A2980" s="9">
        <v>45977</v>
      </c>
      <c r="B2980" s="7" t="s">
        <v>7815</v>
      </c>
      <c r="C2980" s="3">
        <v>-6276.47</v>
      </c>
      <c r="D2980" s="7" t="s">
        <v>7816</v>
      </c>
      <c r="E2980" s="7" t="s">
        <v>6906</v>
      </c>
      <c r="G2980" s="9"/>
    </row>
    <row r="2981" spans="1:7" x14ac:dyDescent="0.3">
      <c r="A2981" s="9">
        <v>45987</v>
      </c>
      <c r="B2981" s="7" t="s">
        <v>7813</v>
      </c>
      <c r="C2981" s="3">
        <v>12607.25</v>
      </c>
      <c r="D2981" s="7" t="s">
        <v>7814</v>
      </c>
      <c r="E2981" s="7" t="s">
        <v>3989</v>
      </c>
      <c r="G2981" s="9"/>
    </row>
    <row r="2982" spans="1:7" x14ac:dyDescent="0.3">
      <c r="A2982" s="9">
        <v>46041</v>
      </c>
      <c r="B2982" s="7" t="s">
        <v>7813</v>
      </c>
      <c r="C2982" s="3">
        <v>3783.17</v>
      </c>
      <c r="D2982" s="7" t="s">
        <v>7814</v>
      </c>
      <c r="E2982" s="7" t="s">
        <v>4157</v>
      </c>
      <c r="G2982" s="9"/>
    </row>
    <row r="2983" spans="1:7" x14ac:dyDescent="0.3">
      <c r="A2983" s="9">
        <v>46014</v>
      </c>
      <c r="B2983" s="7" t="s">
        <v>7813</v>
      </c>
      <c r="C2983" s="3">
        <v>3335.37</v>
      </c>
      <c r="D2983" s="7" t="s">
        <v>7814</v>
      </c>
      <c r="E2983" s="7" t="s">
        <v>4741</v>
      </c>
      <c r="G2983" s="9"/>
    </row>
    <row r="2984" spans="1:7" x14ac:dyDescent="0.3">
      <c r="A2984" s="9">
        <v>46068</v>
      </c>
      <c r="B2984" s="7" t="s">
        <v>7815</v>
      </c>
      <c r="C2984" s="3">
        <v>-6831.23</v>
      </c>
      <c r="D2984" s="7" t="s">
        <v>7816</v>
      </c>
      <c r="E2984" s="7" t="s">
        <v>6936</v>
      </c>
      <c r="G2984" s="9"/>
    </row>
    <row r="2985" spans="1:7" x14ac:dyDescent="0.3">
      <c r="A2985" s="9">
        <v>46067</v>
      </c>
      <c r="B2985" s="7" t="s">
        <v>7815</v>
      </c>
      <c r="C2985" s="3">
        <v>-3374.74</v>
      </c>
      <c r="D2985" s="7" t="s">
        <v>7816</v>
      </c>
      <c r="E2985" s="7" t="s">
        <v>7482</v>
      </c>
      <c r="G2985" s="9"/>
    </row>
    <row r="2986" spans="1:7" x14ac:dyDescent="0.3">
      <c r="A2986" s="9">
        <v>45980</v>
      </c>
      <c r="B2986" s="7" t="s">
        <v>7815</v>
      </c>
      <c r="C2986" s="3">
        <v>-855.26</v>
      </c>
      <c r="D2986" s="7" t="s">
        <v>7816</v>
      </c>
      <c r="E2986" s="7" t="s">
        <v>7681</v>
      </c>
      <c r="G2986" s="9"/>
    </row>
    <row r="2987" spans="1:7" x14ac:dyDescent="0.3">
      <c r="A2987" s="9">
        <v>46060</v>
      </c>
      <c r="B2987" s="7" t="s">
        <v>7813</v>
      </c>
      <c r="C2987" s="3">
        <v>2066.69</v>
      </c>
      <c r="D2987" s="7" t="s">
        <v>7814</v>
      </c>
      <c r="E2987" s="7" t="s">
        <v>3247</v>
      </c>
      <c r="G2987" s="9"/>
    </row>
    <row r="2988" spans="1:7" x14ac:dyDescent="0.3">
      <c r="A2988" s="9">
        <v>46004</v>
      </c>
      <c r="B2988" s="7" t="s">
        <v>7813</v>
      </c>
      <c r="C2988" s="3">
        <v>2560.0500000000002</v>
      </c>
      <c r="D2988" s="7" t="s">
        <v>7814</v>
      </c>
      <c r="E2988" s="7" t="s">
        <v>4081</v>
      </c>
      <c r="G2988" s="9"/>
    </row>
    <row r="2989" spans="1:7" x14ac:dyDescent="0.3">
      <c r="A2989" s="9">
        <v>46091</v>
      </c>
      <c r="B2989" s="7" t="s">
        <v>7813</v>
      </c>
      <c r="C2989" s="3">
        <v>1529.02</v>
      </c>
      <c r="D2989" s="7" t="s">
        <v>7814</v>
      </c>
      <c r="E2989" s="7" t="s">
        <v>4967</v>
      </c>
      <c r="G2989" s="9"/>
    </row>
    <row r="2990" spans="1:7" x14ac:dyDescent="0.3">
      <c r="A2990" s="9">
        <v>46021</v>
      </c>
      <c r="B2990" s="7" t="s">
        <v>7813</v>
      </c>
      <c r="C2990" s="3">
        <v>2674.37</v>
      </c>
      <c r="D2990" s="7" t="s">
        <v>7814</v>
      </c>
      <c r="E2990" s="7" t="s">
        <v>5315</v>
      </c>
      <c r="G2990" s="9"/>
    </row>
    <row r="2991" spans="1:7" x14ac:dyDescent="0.3">
      <c r="A2991" s="9">
        <v>46049</v>
      </c>
      <c r="B2991" s="7" t="s">
        <v>7815</v>
      </c>
      <c r="C2991" s="3">
        <v>-2410.19</v>
      </c>
      <c r="D2991" s="7" t="s">
        <v>7816</v>
      </c>
      <c r="E2991" s="7" t="s">
        <v>7028</v>
      </c>
      <c r="G2991" s="9"/>
    </row>
    <row r="2992" spans="1:7" x14ac:dyDescent="0.3">
      <c r="A2992" s="9">
        <v>46057</v>
      </c>
      <c r="B2992" s="7" t="s">
        <v>7815</v>
      </c>
      <c r="C2992" s="3">
        <v>-1338.43</v>
      </c>
      <c r="D2992" s="7" t="s">
        <v>7816</v>
      </c>
      <c r="E2992" s="7" t="s">
        <v>7102</v>
      </c>
      <c r="G2992" s="9"/>
    </row>
    <row r="2993" spans="1:7" x14ac:dyDescent="0.3">
      <c r="A2993" s="9">
        <v>45971</v>
      </c>
      <c r="B2993" s="7" t="s">
        <v>7815</v>
      </c>
      <c r="C2993" s="3">
        <v>-5727.67</v>
      </c>
      <c r="D2993" s="7" t="s">
        <v>7816</v>
      </c>
      <c r="E2993" s="7" t="s">
        <v>7230</v>
      </c>
      <c r="G2993" s="9"/>
    </row>
    <row r="2994" spans="1:7" x14ac:dyDescent="0.3">
      <c r="A2994" s="9">
        <v>46005</v>
      </c>
      <c r="B2994" s="7" t="s">
        <v>7815</v>
      </c>
      <c r="C2994" s="3">
        <v>-2548.3000000000002</v>
      </c>
      <c r="D2994" s="7" t="s">
        <v>7816</v>
      </c>
      <c r="E2994" s="7" t="s">
        <v>7568</v>
      </c>
      <c r="G2994" s="9"/>
    </row>
    <row r="2995" spans="1:7" x14ac:dyDescent="0.3">
      <c r="A2995" s="9">
        <v>46037</v>
      </c>
      <c r="B2995" s="7" t="s">
        <v>7813</v>
      </c>
      <c r="C2995" s="3">
        <v>1106.73</v>
      </c>
      <c r="D2995" s="7" t="s">
        <v>7814</v>
      </c>
      <c r="E2995" s="7" t="s">
        <v>3235</v>
      </c>
      <c r="G2995" s="9"/>
    </row>
    <row r="2996" spans="1:7" x14ac:dyDescent="0.3">
      <c r="A2996" s="9">
        <v>46012</v>
      </c>
      <c r="B2996" s="7" t="s">
        <v>7813</v>
      </c>
      <c r="C2996" s="3">
        <v>2049.04</v>
      </c>
      <c r="D2996" s="7" t="s">
        <v>7814</v>
      </c>
      <c r="E2996" s="7" t="s">
        <v>3325</v>
      </c>
      <c r="G2996" s="9"/>
    </row>
    <row r="2997" spans="1:7" x14ac:dyDescent="0.3">
      <c r="A2997" s="9">
        <v>45995</v>
      </c>
      <c r="B2997" s="7" t="s">
        <v>7813</v>
      </c>
      <c r="C2997" s="3">
        <v>1731.86</v>
      </c>
      <c r="D2997" s="7" t="s">
        <v>7814</v>
      </c>
      <c r="E2997" s="7" t="s">
        <v>4109</v>
      </c>
      <c r="G2997" s="9"/>
    </row>
    <row r="2998" spans="1:7" x14ac:dyDescent="0.3">
      <c r="A2998" s="9">
        <v>46066</v>
      </c>
      <c r="B2998" s="7" t="s">
        <v>7813</v>
      </c>
      <c r="C2998" s="3">
        <v>3281.06</v>
      </c>
      <c r="D2998" s="7" t="s">
        <v>7814</v>
      </c>
      <c r="E2998" s="7" t="s">
        <v>4180</v>
      </c>
      <c r="G2998" s="9"/>
    </row>
    <row r="2999" spans="1:7" x14ac:dyDescent="0.3">
      <c r="A2999" s="9">
        <v>46032</v>
      </c>
      <c r="B2999" s="7" t="s">
        <v>7813</v>
      </c>
      <c r="C2999" s="3">
        <v>1958.49</v>
      </c>
      <c r="D2999" s="7" t="s">
        <v>7814</v>
      </c>
      <c r="E2999" s="7" t="s">
        <v>4990</v>
      </c>
      <c r="G2999" s="9"/>
    </row>
    <row r="3000" spans="1:7" x14ac:dyDescent="0.3">
      <c r="A3000" s="9">
        <v>45978</v>
      </c>
      <c r="B3000" s="7" t="s">
        <v>7813</v>
      </c>
      <c r="C3000" s="3">
        <v>3072.83</v>
      </c>
      <c r="D3000" s="7" t="s">
        <v>7814</v>
      </c>
      <c r="E3000" s="7" t="s">
        <v>5213</v>
      </c>
      <c r="G3000" s="9"/>
    </row>
    <row r="3001" spans="1:7" x14ac:dyDescent="0.3">
      <c r="A3001" s="9">
        <v>45991</v>
      </c>
      <c r="B3001" s="7" t="s">
        <v>7815</v>
      </c>
      <c r="C3001" s="3">
        <v>-3688.63</v>
      </c>
      <c r="D3001" s="7" t="s">
        <v>7816</v>
      </c>
      <c r="E3001" s="7" t="s">
        <v>7157</v>
      </c>
      <c r="G3001" s="9"/>
    </row>
    <row r="3002" spans="1:7" x14ac:dyDescent="0.3">
      <c r="A3002" s="9">
        <v>45967</v>
      </c>
      <c r="B3002" s="7" t="s">
        <v>7815</v>
      </c>
      <c r="C3002" s="3">
        <v>-3473.76</v>
      </c>
      <c r="D3002" s="7" t="s">
        <v>7816</v>
      </c>
      <c r="E3002" s="7" t="s">
        <v>7223</v>
      </c>
      <c r="G3002" s="9"/>
    </row>
    <row r="3003" spans="1:7" x14ac:dyDescent="0.3">
      <c r="A3003" s="9">
        <v>46026</v>
      </c>
      <c r="B3003" s="7" t="s">
        <v>7815</v>
      </c>
      <c r="C3003" s="3">
        <v>-5518.51</v>
      </c>
      <c r="D3003" s="7" t="s">
        <v>7816</v>
      </c>
      <c r="E3003" s="7" t="s">
        <v>7759</v>
      </c>
      <c r="G3003" s="9"/>
    </row>
    <row r="3004" spans="1:7" x14ac:dyDescent="0.3">
      <c r="A3004" s="9">
        <v>45990</v>
      </c>
      <c r="B3004" s="7" t="s">
        <v>7813</v>
      </c>
      <c r="C3004" s="3">
        <v>2964.87</v>
      </c>
      <c r="D3004" s="7" t="s">
        <v>7814</v>
      </c>
      <c r="E3004" s="7" t="s">
        <v>3356</v>
      </c>
      <c r="G3004" s="9"/>
    </row>
    <row r="3005" spans="1:7" x14ac:dyDescent="0.3">
      <c r="A3005" s="9">
        <v>46043</v>
      </c>
      <c r="B3005" s="7" t="s">
        <v>7813</v>
      </c>
      <c r="C3005" s="3">
        <v>2375.5100000000002</v>
      </c>
      <c r="D3005" s="7" t="s">
        <v>7814</v>
      </c>
      <c r="E3005" s="7" t="s">
        <v>4353</v>
      </c>
      <c r="G3005" s="9"/>
    </row>
    <row r="3006" spans="1:7" x14ac:dyDescent="0.3">
      <c r="A3006" s="9">
        <v>46038</v>
      </c>
      <c r="B3006" s="7" t="s">
        <v>7813</v>
      </c>
      <c r="C3006" s="3">
        <v>4697.79</v>
      </c>
      <c r="D3006" s="7" t="s">
        <v>7814</v>
      </c>
      <c r="E3006" s="7" t="s">
        <v>4500</v>
      </c>
      <c r="G3006" s="9"/>
    </row>
    <row r="3007" spans="1:7" x14ac:dyDescent="0.3">
      <c r="A3007" s="9">
        <v>45980</v>
      </c>
      <c r="B3007" s="7" t="s">
        <v>7813</v>
      </c>
      <c r="C3007" s="3">
        <v>2834.67</v>
      </c>
      <c r="D3007" s="7" t="s">
        <v>7814</v>
      </c>
      <c r="E3007" s="7" t="s">
        <v>4547</v>
      </c>
      <c r="G3007" s="9"/>
    </row>
    <row r="3008" spans="1:7" x14ac:dyDescent="0.3">
      <c r="A3008" s="9">
        <v>46013</v>
      </c>
      <c r="B3008" s="7" t="s">
        <v>7813</v>
      </c>
      <c r="C3008" s="3">
        <v>2070.67</v>
      </c>
      <c r="D3008" s="7" t="s">
        <v>7814</v>
      </c>
      <c r="E3008" s="7" t="s">
        <v>4821</v>
      </c>
      <c r="G3008" s="9"/>
    </row>
    <row r="3009" spans="1:7" x14ac:dyDescent="0.3">
      <c r="A3009" s="9">
        <v>45971</v>
      </c>
      <c r="B3009" s="7" t="s">
        <v>7815</v>
      </c>
      <c r="C3009" s="3">
        <v>-6345.52</v>
      </c>
      <c r="D3009" s="7" t="s">
        <v>7816</v>
      </c>
      <c r="E3009" s="7" t="s">
        <v>6883</v>
      </c>
      <c r="G3009" s="9"/>
    </row>
    <row r="3010" spans="1:7" x14ac:dyDescent="0.3">
      <c r="A3010" s="9">
        <v>46046</v>
      </c>
      <c r="B3010" s="7" t="s">
        <v>7815</v>
      </c>
      <c r="C3010" s="3">
        <v>-5893.15</v>
      </c>
      <c r="D3010" s="7" t="s">
        <v>7816</v>
      </c>
      <c r="E3010" s="7" t="s">
        <v>6983</v>
      </c>
      <c r="G3010" s="9"/>
    </row>
    <row r="3011" spans="1:7" x14ac:dyDescent="0.3">
      <c r="A3011" s="9">
        <v>46046</v>
      </c>
      <c r="B3011" s="7" t="s">
        <v>7815</v>
      </c>
      <c r="C3011" s="3">
        <v>-6350.22</v>
      </c>
      <c r="D3011" s="7" t="s">
        <v>7816</v>
      </c>
      <c r="E3011" s="7" t="s">
        <v>7231</v>
      </c>
      <c r="G3011" s="9"/>
    </row>
    <row r="3012" spans="1:7" x14ac:dyDescent="0.3">
      <c r="A3012" s="9">
        <v>45995</v>
      </c>
      <c r="B3012" s="7" t="s">
        <v>7815</v>
      </c>
      <c r="C3012" s="3">
        <v>-2593.83</v>
      </c>
      <c r="D3012" s="7" t="s">
        <v>7816</v>
      </c>
      <c r="E3012" s="7" t="s">
        <v>7514</v>
      </c>
      <c r="G3012" s="9"/>
    </row>
    <row r="3013" spans="1:7" x14ac:dyDescent="0.3">
      <c r="A3013" s="9">
        <v>45967</v>
      </c>
      <c r="B3013" s="7" t="s">
        <v>7813</v>
      </c>
      <c r="C3013" s="3">
        <v>3071.47</v>
      </c>
      <c r="D3013" s="7" t="s">
        <v>7814</v>
      </c>
      <c r="E3013" s="7" t="s">
        <v>3295</v>
      </c>
      <c r="G3013" s="9"/>
    </row>
    <row r="3014" spans="1:7" x14ac:dyDescent="0.3">
      <c r="A3014" s="9">
        <v>46089</v>
      </c>
      <c r="B3014" s="7" t="s">
        <v>7813</v>
      </c>
      <c r="C3014" s="3">
        <v>4049.35</v>
      </c>
      <c r="D3014" s="7" t="s">
        <v>7814</v>
      </c>
      <c r="E3014" s="7" t="s">
        <v>4649</v>
      </c>
      <c r="G3014" s="9"/>
    </row>
    <row r="3015" spans="1:7" x14ac:dyDescent="0.3">
      <c r="A3015" s="9">
        <v>46042</v>
      </c>
      <c r="B3015" s="7" t="s">
        <v>7815</v>
      </c>
      <c r="C3015" s="3">
        <v>-2337.2800000000002</v>
      </c>
      <c r="D3015" s="7" t="s">
        <v>7816</v>
      </c>
      <c r="E3015" s="7" t="s">
        <v>7194</v>
      </c>
      <c r="G3015" s="9"/>
    </row>
    <row r="3016" spans="1:7" x14ac:dyDescent="0.3">
      <c r="A3016" s="9">
        <v>45993</v>
      </c>
      <c r="B3016" s="7" t="s">
        <v>7813</v>
      </c>
      <c r="C3016" s="3">
        <v>3985.11</v>
      </c>
      <c r="D3016" s="7" t="s">
        <v>7814</v>
      </c>
      <c r="E3016" s="7" t="s">
        <v>3607</v>
      </c>
      <c r="G3016" s="9"/>
    </row>
    <row r="3017" spans="1:7" x14ac:dyDescent="0.3">
      <c r="A3017" s="9">
        <v>46003</v>
      </c>
      <c r="B3017" s="7" t="s">
        <v>7813</v>
      </c>
      <c r="C3017" s="3">
        <v>2347.9299999999998</v>
      </c>
      <c r="D3017" s="7" t="s">
        <v>7814</v>
      </c>
      <c r="E3017" s="7" t="s">
        <v>3916</v>
      </c>
      <c r="G3017" s="9"/>
    </row>
    <row r="3018" spans="1:7" x14ac:dyDescent="0.3">
      <c r="A3018" s="9">
        <v>45973</v>
      </c>
      <c r="B3018" s="7" t="s">
        <v>7813</v>
      </c>
      <c r="C3018" s="3">
        <v>3421.92</v>
      </c>
      <c r="D3018" s="7" t="s">
        <v>7814</v>
      </c>
      <c r="E3018" s="7" t="s">
        <v>4344</v>
      </c>
      <c r="G3018" s="9"/>
    </row>
    <row r="3019" spans="1:7" x14ac:dyDescent="0.3">
      <c r="A3019" s="9">
        <v>46021</v>
      </c>
      <c r="B3019" s="7" t="s">
        <v>7813</v>
      </c>
      <c r="C3019" s="3">
        <v>1604.1</v>
      </c>
      <c r="D3019" s="7" t="s">
        <v>7814</v>
      </c>
      <c r="E3019" s="7" t="s">
        <v>5124</v>
      </c>
      <c r="G3019" s="9"/>
    </row>
    <row r="3020" spans="1:7" x14ac:dyDescent="0.3">
      <c r="A3020" s="9">
        <v>46050</v>
      </c>
      <c r="B3020" s="7" t="s">
        <v>7815</v>
      </c>
      <c r="C3020" s="3">
        <v>-2866.19</v>
      </c>
      <c r="D3020" s="7" t="s">
        <v>7816</v>
      </c>
      <c r="E3020" s="7" t="s">
        <v>7466</v>
      </c>
      <c r="G3020" s="9"/>
    </row>
    <row r="3021" spans="1:7" x14ac:dyDescent="0.3">
      <c r="A3021" s="9">
        <v>46091</v>
      </c>
      <c r="B3021" s="7" t="s">
        <v>7813</v>
      </c>
      <c r="C3021" s="3">
        <v>3312.09</v>
      </c>
      <c r="D3021" s="7" t="s">
        <v>7814</v>
      </c>
      <c r="E3021" s="7" t="s">
        <v>3249</v>
      </c>
      <c r="G3021" s="9"/>
    </row>
    <row r="3022" spans="1:7" x14ac:dyDescent="0.3">
      <c r="A3022" s="9">
        <v>46077</v>
      </c>
      <c r="B3022" s="7" t="s">
        <v>7813</v>
      </c>
      <c r="C3022" s="3">
        <v>2088.13</v>
      </c>
      <c r="D3022" s="7" t="s">
        <v>7814</v>
      </c>
      <c r="E3022" s="7" t="s">
        <v>3292</v>
      </c>
      <c r="G3022" s="9"/>
    </row>
    <row r="3023" spans="1:7" x14ac:dyDescent="0.3">
      <c r="A3023" s="9">
        <v>46022</v>
      </c>
      <c r="B3023" s="7" t="s">
        <v>7813</v>
      </c>
      <c r="C3023" s="3">
        <v>4262.55</v>
      </c>
      <c r="D3023" s="7" t="s">
        <v>7814</v>
      </c>
      <c r="E3023" s="7" t="s">
        <v>3863</v>
      </c>
      <c r="G3023" s="9"/>
    </row>
    <row r="3024" spans="1:7" x14ac:dyDescent="0.3">
      <c r="A3024" s="9">
        <v>46069</v>
      </c>
      <c r="B3024" s="7" t="s">
        <v>7813</v>
      </c>
      <c r="C3024" s="3">
        <v>3086.39</v>
      </c>
      <c r="D3024" s="7" t="s">
        <v>7814</v>
      </c>
      <c r="E3024" s="7" t="s">
        <v>4342</v>
      </c>
      <c r="G3024" s="9"/>
    </row>
    <row r="3025" spans="1:7" x14ac:dyDescent="0.3">
      <c r="A3025" s="9">
        <v>46054</v>
      </c>
      <c r="B3025" s="7" t="s">
        <v>7813</v>
      </c>
      <c r="C3025" s="3">
        <v>4549.16</v>
      </c>
      <c r="D3025" s="7" t="s">
        <v>7814</v>
      </c>
      <c r="E3025" s="7" t="s">
        <v>4996</v>
      </c>
      <c r="G3025" s="9"/>
    </row>
    <row r="3026" spans="1:7" x14ac:dyDescent="0.3">
      <c r="A3026" s="9">
        <v>46009</v>
      </c>
      <c r="B3026" s="7" t="s">
        <v>7813</v>
      </c>
      <c r="C3026" s="3">
        <v>2045.37</v>
      </c>
      <c r="D3026" s="7" t="s">
        <v>7814</v>
      </c>
      <c r="E3026" s="7" t="s">
        <v>5185</v>
      </c>
      <c r="G3026" s="9"/>
    </row>
    <row r="3027" spans="1:7" x14ac:dyDescent="0.3">
      <c r="A3027" s="9">
        <v>46054</v>
      </c>
      <c r="B3027" s="7" t="s">
        <v>7815</v>
      </c>
      <c r="C3027" s="3">
        <v>-3971.9</v>
      </c>
      <c r="D3027" s="7" t="s">
        <v>7816</v>
      </c>
      <c r="E3027" s="7" t="s">
        <v>7116</v>
      </c>
      <c r="G3027" s="9"/>
    </row>
    <row r="3028" spans="1:7" x14ac:dyDescent="0.3">
      <c r="A3028" s="9">
        <v>46062</v>
      </c>
      <c r="B3028" s="7" t="s">
        <v>7813</v>
      </c>
      <c r="C3028" s="3">
        <v>2076.73</v>
      </c>
      <c r="D3028" s="7" t="s">
        <v>7814</v>
      </c>
      <c r="E3028" s="7" t="s">
        <v>3304</v>
      </c>
      <c r="G3028" s="9"/>
    </row>
    <row r="3029" spans="1:7" x14ac:dyDescent="0.3">
      <c r="A3029" s="9">
        <v>46050</v>
      </c>
      <c r="B3029" s="7" t="s">
        <v>7813</v>
      </c>
      <c r="C3029" s="3">
        <v>1905.94</v>
      </c>
      <c r="D3029" s="7" t="s">
        <v>7814</v>
      </c>
      <c r="E3029" s="7" t="s">
        <v>4782</v>
      </c>
      <c r="G3029" s="9"/>
    </row>
    <row r="3030" spans="1:7" x14ac:dyDescent="0.3">
      <c r="A3030" s="9">
        <v>46044</v>
      </c>
      <c r="B3030" s="7" t="s">
        <v>7813</v>
      </c>
      <c r="C3030" s="3">
        <v>2061.86</v>
      </c>
      <c r="D3030" s="7" t="s">
        <v>7814</v>
      </c>
      <c r="E3030" s="7" t="s">
        <v>4815</v>
      </c>
      <c r="G3030" s="9"/>
    </row>
    <row r="3031" spans="1:7" x14ac:dyDescent="0.3">
      <c r="A3031" s="9">
        <v>46033</v>
      </c>
      <c r="B3031" s="7" t="s">
        <v>7813</v>
      </c>
      <c r="C3031" s="3">
        <v>2897.64</v>
      </c>
      <c r="D3031" s="7" t="s">
        <v>7814</v>
      </c>
      <c r="E3031" s="7" t="s">
        <v>4883</v>
      </c>
      <c r="G3031" s="9"/>
    </row>
    <row r="3032" spans="1:7" x14ac:dyDescent="0.3">
      <c r="A3032" s="9">
        <v>46030</v>
      </c>
      <c r="B3032" s="7" t="s">
        <v>7815</v>
      </c>
      <c r="C3032" s="3">
        <v>-6873.81</v>
      </c>
      <c r="D3032" s="7" t="s">
        <v>7816</v>
      </c>
      <c r="E3032" s="7" t="s">
        <v>6921</v>
      </c>
      <c r="G3032" s="9"/>
    </row>
    <row r="3033" spans="1:7" x14ac:dyDescent="0.3">
      <c r="A3033" s="9">
        <v>45989</v>
      </c>
      <c r="B3033" s="7" t="s">
        <v>7813</v>
      </c>
      <c r="C3033" s="3">
        <v>10224.959999999999</v>
      </c>
      <c r="D3033" s="7" t="s">
        <v>7814</v>
      </c>
      <c r="E3033" s="7" t="s">
        <v>4237</v>
      </c>
      <c r="G3033" s="9"/>
    </row>
    <row r="3034" spans="1:7" x14ac:dyDescent="0.3">
      <c r="A3034" s="9">
        <v>46017</v>
      </c>
      <c r="B3034" s="7" t="s">
        <v>7813</v>
      </c>
      <c r="C3034" s="3">
        <v>4518.7</v>
      </c>
      <c r="D3034" s="7" t="s">
        <v>7814</v>
      </c>
      <c r="E3034" s="7" t="s">
        <v>4513</v>
      </c>
      <c r="G3034" s="9"/>
    </row>
    <row r="3035" spans="1:7" x14ac:dyDescent="0.3">
      <c r="A3035" s="9">
        <v>46075</v>
      </c>
      <c r="B3035" s="7" t="s">
        <v>7813</v>
      </c>
      <c r="C3035" s="3">
        <v>11889.37</v>
      </c>
      <c r="D3035" s="7" t="s">
        <v>7814</v>
      </c>
      <c r="E3035" s="7" t="s">
        <v>4692</v>
      </c>
      <c r="G3035" s="9"/>
    </row>
    <row r="3036" spans="1:7" x14ac:dyDescent="0.3">
      <c r="A3036" s="9">
        <v>46053</v>
      </c>
      <c r="B3036" s="7" t="s">
        <v>7813</v>
      </c>
      <c r="C3036" s="3">
        <v>3961.8</v>
      </c>
      <c r="D3036" s="7" t="s">
        <v>7814</v>
      </c>
      <c r="E3036" s="7" t="s">
        <v>5037</v>
      </c>
      <c r="G3036" s="9"/>
    </row>
    <row r="3037" spans="1:7" x14ac:dyDescent="0.3">
      <c r="A3037" s="9">
        <v>45998</v>
      </c>
      <c r="B3037" s="7" t="s">
        <v>7813</v>
      </c>
      <c r="C3037" s="3">
        <v>1089.6300000000001</v>
      </c>
      <c r="D3037" s="7" t="s">
        <v>7814</v>
      </c>
      <c r="E3037" s="7" t="s">
        <v>3572</v>
      </c>
      <c r="G3037" s="9"/>
    </row>
    <row r="3038" spans="1:7" x14ac:dyDescent="0.3">
      <c r="A3038" s="9">
        <v>46049</v>
      </c>
      <c r="B3038" s="7" t="s">
        <v>7813</v>
      </c>
      <c r="C3038" s="3">
        <v>1706.66</v>
      </c>
      <c r="D3038" s="7" t="s">
        <v>7814</v>
      </c>
      <c r="E3038" s="7" t="s">
        <v>4829</v>
      </c>
      <c r="G3038" s="9"/>
    </row>
    <row r="3039" spans="1:7" x14ac:dyDescent="0.3">
      <c r="A3039" s="9">
        <v>46023</v>
      </c>
      <c r="B3039" s="7" t="s">
        <v>7813</v>
      </c>
      <c r="C3039" s="3">
        <v>2107.7399999999998</v>
      </c>
      <c r="D3039" s="7" t="s">
        <v>7814</v>
      </c>
      <c r="E3039" s="7" t="s">
        <v>4851</v>
      </c>
      <c r="G3039" s="9"/>
    </row>
    <row r="3040" spans="1:7" x14ac:dyDescent="0.3">
      <c r="A3040" s="9">
        <v>46061</v>
      </c>
      <c r="B3040" s="7" t="s">
        <v>7813</v>
      </c>
      <c r="C3040" s="3">
        <v>2986.04</v>
      </c>
      <c r="D3040" s="7" t="s">
        <v>7814</v>
      </c>
      <c r="E3040" s="7" t="s">
        <v>4937</v>
      </c>
      <c r="G3040" s="9"/>
    </row>
    <row r="3041" spans="1:7" x14ac:dyDescent="0.3">
      <c r="A3041" s="9">
        <v>45982</v>
      </c>
      <c r="B3041" s="7" t="s">
        <v>7813</v>
      </c>
      <c r="C3041" s="3">
        <v>3101.15</v>
      </c>
      <c r="D3041" s="7" t="s">
        <v>7814</v>
      </c>
      <c r="E3041" s="7" t="s">
        <v>4956</v>
      </c>
      <c r="G3041" s="9"/>
    </row>
    <row r="3042" spans="1:7" x14ac:dyDescent="0.3">
      <c r="A3042" s="9">
        <v>46056</v>
      </c>
      <c r="B3042" s="7" t="s">
        <v>7813</v>
      </c>
      <c r="C3042" s="3">
        <v>865.82</v>
      </c>
      <c r="D3042" s="7" t="s">
        <v>7814</v>
      </c>
      <c r="E3042" s="7" t="s">
        <v>5151</v>
      </c>
      <c r="G3042" s="9"/>
    </row>
    <row r="3043" spans="1:7" x14ac:dyDescent="0.3">
      <c r="A3043" s="9">
        <v>46014</v>
      </c>
      <c r="B3043" s="7" t="s">
        <v>7815</v>
      </c>
      <c r="C3043" s="3">
        <v>-1636.31</v>
      </c>
      <c r="D3043" s="7" t="s">
        <v>7816</v>
      </c>
      <c r="E3043" s="7" t="s">
        <v>7189</v>
      </c>
      <c r="G3043" s="9"/>
    </row>
    <row r="3044" spans="1:7" x14ac:dyDescent="0.3">
      <c r="A3044" s="9">
        <v>46020</v>
      </c>
      <c r="B3044" s="7" t="s">
        <v>7815</v>
      </c>
      <c r="C3044" s="3">
        <v>-3567.73</v>
      </c>
      <c r="D3044" s="7" t="s">
        <v>7816</v>
      </c>
      <c r="E3044" s="7" t="s">
        <v>7402</v>
      </c>
      <c r="G3044" s="9"/>
    </row>
    <row r="3045" spans="1:7" x14ac:dyDescent="0.3">
      <c r="A3045" s="9">
        <v>46036</v>
      </c>
      <c r="B3045" s="7" t="s">
        <v>7815</v>
      </c>
      <c r="C3045" s="3">
        <v>-4870.58</v>
      </c>
      <c r="D3045" s="7" t="s">
        <v>7816</v>
      </c>
      <c r="E3045" s="7" t="s">
        <v>7451</v>
      </c>
      <c r="G3045" s="9"/>
    </row>
    <row r="3046" spans="1:7" x14ac:dyDescent="0.3">
      <c r="A3046" s="9">
        <v>46018</v>
      </c>
      <c r="B3046" s="7" t="s">
        <v>7813</v>
      </c>
      <c r="C3046" s="3">
        <v>1468.38</v>
      </c>
      <c r="D3046" s="7" t="s">
        <v>7814</v>
      </c>
      <c r="E3046" s="7" t="s">
        <v>3244</v>
      </c>
      <c r="G3046" s="9"/>
    </row>
    <row r="3047" spans="1:7" x14ac:dyDescent="0.3">
      <c r="A3047" s="9">
        <v>46076</v>
      </c>
      <c r="B3047" s="7" t="s">
        <v>7813</v>
      </c>
      <c r="C3047" s="3">
        <v>883.46</v>
      </c>
      <c r="D3047" s="7" t="s">
        <v>7814</v>
      </c>
      <c r="E3047" s="7" t="s">
        <v>3506</v>
      </c>
      <c r="G3047" s="9"/>
    </row>
    <row r="3048" spans="1:7" x14ac:dyDescent="0.3">
      <c r="A3048" s="9">
        <v>46047</v>
      </c>
      <c r="B3048" s="7" t="s">
        <v>7813</v>
      </c>
      <c r="C3048" s="3">
        <v>1482.23</v>
      </c>
      <c r="D3048" s="7" t="s">
        <v>7814</v>
      </c>
      <c r="E3048" s="7" t="s">
        <v>3705</v>
      </c>
      <c r="G3048" s="9"/>
    </row>
    <row r="3049" spans="1:7" x14ac:dyDescent="0.3">
      <c r="A3049" s="9">
        <v>45996</v>
      </c>
      <c r="B3049" s="7" t="s">
        <v>7813</v>
      </c>
      <c r="C3049" s="3">
        <v>2635.3</v>
      </c>
      <c r="D3049" s="7" t="s">
        <v>7814</v>
      </c>
      <c r="E3049" s="7" t="s">
        <v>4371</v>
      </c>
      <c r="G3049" s="9"/>
    </row>
    <row r="3050" spans="1:7" x14ac:dyDescent="0.3">
      <c r="A3050" s="9">
        <v>45963</v>
      </c>
      <c r="B3050" s="7" t="s">
        <v>7815</v>
      </c>
      <c r="C3050" s="3">
        <v>-6387.77</v>
      </c>
      <c r="D3050" s="7" t="s">
        <v>7816</v>
      </c>
      <c r="E3050" s="7" t="s">
        <v>7161</v>
      </c>
      <c r="G3050" s="9"/>
    </row>
    <row r="3051" spans="1:7" x14ac:dyDescent="0.3">
      <c r="A3051" s="9">
        <v>45962</v>
      </c>
      <c r="B3051" s="7" t="s">
        <v>7815</v>
      </c>
      <c r="C3051" s="3">
        <v>-6076.72</v>
      </c>
      <c r="D3051" s="7" t="s">
        <v>7816</v>
      </c>
      <c r="E3051" s="7" t="s">
        <v>7515</v>
      </c>
      <c r="G3051" s="9"/>
    </row>
    <row r="3052" spans="1:7" x14ac:dyDescent="0.3">
      <c r="A3052" s="9">
        <v>46053</v>
      </c>
      <c r="B3052" s="7" t="s">
        <v>7813</v>
      </c>
      <c r="C3052" s="3">
        <v>4244.05</v>
      </c>
      <c r="D3052" s="7" t="s">
        <v>7814</v>
      </c>
      <c r="E3052" s="7" t="s">
        <v>3976</v>
      </c>
      <c r="G3052" s="9"/>
    </row>
    <row r="3053" spans="1:7" x14ac:dyDescent="0.3">
      <c r="A3053" s="9">
        <v>46079</v>
      </c>
      <c r="B3053" s="7" t="s">
        <v>7813</v>
      </c>
      <c r="C3053" s="3">
        <v>2053.54</v>
      </c>
      <c r="D3053" s="7" t="s">
        <v>7814</v>
      </c>
      <c r="E3053" s="7" t="s">
        <v>4827</v>
      </c>
      <c r="G3053" s="9"/>
    </row>
    <row r="3054" spans="1:7" x14ac:dyDescent="0.3">
      <c r="A3054" s="9">
        <v>46079</v>
      </c>
      <c r="B3054" s="7" t="s">
        <v>7813</v>
      </c>
      <c r="C3054" s="3">
        <v>2955.37</v>
      </c>
      <c r="D3054" s="7" t="s">
        <v>7814</v>
      </c>
      <c r="E3054" s="7" t="s">
        <v>4828</v>
      </c>
      <c r="G3054" s="9"/>
    </row>
    <row r="3055" spans="1:7" x14ac:dyDescent="0.3">
      <c r="A3055" s="9">
        <v>46022</v>
      </c>
      <c r="B3055" s="7" t="s">
        <v>7815</v>
      </c>
      <c r="C3055" s="3">
        <v>-6396.51</v>
      </c>
      <c r="D3055" s="7" t="s">
        <v>7816</v>
      </c>
      <c r="E3055" s="7" t="s">
        <v>6925</v>
      </c>
      <c r="G3055" s="9"/>
    </row>
    <row r="3056" spans="1:7" x14ac:dyDescent="0.3">
      <c r="A3056" s="9">
        <v>45978</v>
      </c>
      <c r="B3056" s="7" t="s">
        <v>7815</v>
      </c>
      <c r="C3056" s="3">
        <v>-6341.3</v>
      </c>
      <c r="D3056" s="7" t="s">
        <v>7816</v>
      </c>
      <c r="E3056" s="7" t="s">
        <v>6988</v>
      </c>
      <c r="G3056" s="9"/>
    </row>
    <row r="3057" spans="1:7" x14ac:dyDescent="0.3">
      <c r="A3057" s="9">
        <v>46084</v>
      </c>
      <c r="B3057" s="7" t="s">
        <v>7813</v>
      </c>
      <c r="C3057" s="3">
        <v>1742.28</v>
      </c>
      <c r="D3057" s="7" t="s">
        <v>7814</v>
      </c>
      <c r="E3057" s="7" t="s">
        <v>3593</v>
      </c>
      <c r="G3057" s="9"/>
    </row>
    <row r="3058" spans="1:7" x14ac:dyDescent="0.3">
      <c r="A3058" s="9">
        <v>46088</v>
      </c>
      <c r="B3058" s="7" t="s">
        <v>7813</v>
      </c>
      <c r="C3058" s="3">
        <v>3898.03</v>
      </c>
      <c r="D3058" s="7" t="s">
        <v>7814</v>
      </c>
      <c r="E3058" s="7" t="s">
        <v>3738</v>
      </c>
      <c r="G3058" s="9"/>
    </row>
    <row r="3059" spans="1:7" x14ac:dyDescent="0.3">
      <c r="A3059" s="9">
        <v>46068</v>
      </c>
      <c r="B3059" s="7" t="s">
        <v>7813</v>
      </c>
      <c r="C3059" s="3">
        <v>3195.21</v>
      </c>
      <c r="D3059" s="7" t="s">
        <v>7814</v>
      </c>
      <c r="E3059" s="7" t="s">
        <v>3784</v>
      </c>
      <c r="G3059" s="9"/>
    </row>
    <row r="3060" spans="1:7" x14ac:dyDescent="0.3">
      <c r="A3060" s="9">
        <v>46049</v>
      </c>
      <c r="B3060" s="7" t="s">
        <v>7813</v>
      </c>
      <c r="C3060" s="3">
        <v>2694.38</v>
      </c>
      <c r="D3060" s="7" t="s">
        <v>7814</v>
      </c>
      <c r="E3060" s="7" t="s">
        <v>4307</v>
      </c>
      <c r="G3060" s="9"/>
    </row>
    <row r="3061" spans="1:7" x14ac:dyDescent="0.3">
      <c r="A3061" s="9">
        <v>45994</v>
      </c>
      <c r="B3061" s="7" t="s">
        <v>7813</v>
      </c>
      <c r="C3061" s="3">
        <v>2667.66</v>
      </c>
      <c r="D3061" s="7" t="s">
        <v>7814</v>
      </c>
      <c r="E3061" s="7" t="s">
        <v>4709</v>
      </c>
      <c r="G3061" s="9"/>
    </row>
    <row r="3062" spans="1:7" x14ac:dyDescent="0.3">
      <c r="A3062" s="9">
        <v>46041</v>
      </c>
      <c r="B3062" s="7" t="s">
        <v>7813</v>
      </c>
      <c r="C3062" s="3">
        <v>3415.01</v>
      </c>
      <c r="D3062" s="7" t="s">
        <v>7814</v>
      </c>
      <c r="E3062" s="7" t="s">
        <v>4253</v>
      </c>
      <c r="G3062" s="9"/>
    </row>
    <row r="3063" spans="1:7" x14ac:dyDescent="0.3">
      <c r="A3063" s="9">
        <v>45972</v>
      </c>
      <c r="B3063" s="7" t="s">
        <v>7813</v>
      </c>
      <c r="C3063" s="3">
        <v>2090.09</v>
      </c>
      <c r="D3063" s="7" t="s">
        <v>7814</v>
      </c>
      <c r="E3063" s="7" t="s">
        <v>4272</v>
      </c>
      <c r="G3063" s="9"/>
    </row>
    <row r="3064" spans="1:7" x14ac:dyDescent="0.3">
      <c r="A3064" s="9">
        <v>45988</v>
      </c>
      <c r="B3064" s="7" t="s">
        <v>7813</v>
      </c>
      <c r="C3064" s="3">
        <v>5887.1</v>
      </c>
      <c r="D3064" s="7" t="s">
        <v>7814</v>
      </c>
      <c r="E3064" s="7" t="s">
        <v>4386</v>
      </c>
      <c r="G3064" s="9"/>
    </row>
    <row r="3065" spans="1:7" x14ac:dyDescent="0.3">
      <c r="A3065" s="9">
        <v>46060</v>
      </c>
      <c r="B3065" s="7" t="s">
        <v>7813</v>
      </c>
      <c r="C3065" s="3">
        <v>2675.58</v>
      </c>
      <c r="D3065" s="7" t="s">
        <v>7814</v>
      </c>
      <c r="E3065" s="7" t="s">
        <v>5366</v>
      </c>
      <c r="G3065" s="9"/>
    </row>
    <row r="3066" spans="1:7" x14ac:dyDescent="0.3">
      <c r="A3066" s="9">
        <v>46085</v>
      </c>
      <c r="B3066" s="7" t="s">
        <v>7815</v>
      </c>
      <c r="C3066" s="3">
        <v>-6824.35</v>
      </c>
      <c r="D3066" s="7" t="s">
        <v>7816</v>
      </c>
      <c r="E3066" s="7" t="s">
        <v>6832</v>
      </c>
      <c r="G3066" s="9"/>
    </row>
    <row r="3067" spans="1:7" x14ac:dyDescent="0.3">
      <c r="A3067" s="9">
        <v>46007</v>
      </c>
      <c r="B3067" s="7" t="s">
        <v>7815</v>
      </c>
      <c r="C3067" s="3">
        <v>-4685.5200000000004</v>
      </c>
      <c r="D3067" s="7" t="s">
        <v>7816</v>
      </c>
      <c r="E3067" s="7" t="s">
        <v>6875</v>
      </c>
      <c r="G3067" s="9"/>
    </row>
    <row r="3068" spans="1:7" x14ac:dyDescent="0.3">
      <c r="A3068" s="9">
        <v>46042</v>
      </c>
      <c r="B3068" s="7" t="s">
        <v>7815</v>
      </c>
      <c r="C3068" s="3">
        <v>-5332.75</v>
      </c>
      <c r="D3068" s="7" t="s">
        <v>7816</v>
      </c>
      <c r="E3068" s="7" t="s">
        <v>7203</v>
      </c>
      <c r="G3068" s="9"/>
    </row>
    <row r="3069" spans="1:7" x14ac:dyDescent="0.3">
      <c r="A3069" s="9">
        <v>46042</v>
      </c>
      <c r="B3069" s="7" t="s">
        <v>7815</v>
      </c>
      <c r="C3069" s="3">
        <v>-815.38</v>
      </c>
      <c r="D3069" s="7" t="s">
        <v>7816</v>
      </c>
      <c r="E3069" s="7" t="s">
        <v>7433</v>
      </c>
      <c r="G3069" s="9"/>
    </row>
    <row r="3070" spans="1:7" x14ac:dyDescent="0.3">
      <c r="A3070" s="9">
        <v>46001</v>
      </c>
      <c r="B3070" s="7" t="s">
        <v>7813</v>
      </c>
      <c r="C3070" s="3">
        <v>1586.26</v>
      </c>
      <c r="D3070" s="7" t="s">
        <v>7814</v>
      </c>
      <c r="E3070" s="7" t="s">
        <v>4236</v>
      </c>
      <c r="G3070" s="9"/>
    </row>
    <row r="3071" spans="1:7" x14ac:dyDescent="0.3">
      <c r="A3071" s="9">
        <v>46034</v>
      </c>
      <c r="B3071" s="7" t="s">
        <v>7813</v>
      </c>
      <c r="C3071" s="3">
        <v>11056.41</v>
      </c>
      <c r="D3071" s="7" t="s">
        <v>7814</v>
      </c>
      <c r="E3071" s="7" t="s">
        <v>4875</v>
      </c>
      <c r="G3071" s="9"/>
    </row>
    <row r="3072" spans="1:7" x14ac:dyDescent="0.3">
      <c r="A3072" s="9">
        <v>45998</v>
      </c>
      <c r="B3072" s="7" t="s">
        <v>7815</v>
      </c>
      <c r="C3072" s="3">
        <v>-3440.74</v>
      </c>
      <c r="D3072" s="7" t="s">
        <v>7816</v>
      </c>
      <c r="E3072" s="7" t="s">
        <v>7036</v>
      </c>
      <c r="G3072" s="9"/>
    </row>
    <row r="3073" spans="1:7" x14ac:dyDescent="0.3">
      <c r="A3073" s="9">
        <v>46033</v>
      </c>
      <c r="B3073" s="7" t="s">
        <v>7815</v>
      </c>
      <c r="C3073" s="3">
        <v>-5370.11</v>
      </c>
      <c r="D3073" s="7" t="s">
        <v>7816</v>
      </c>
      <c r="E3073" s="7" t="s">
        <v>7090</v>
      </c>
      <c r="G3073" s="9"/>
    </row>
    <row r="3074" spans="1:7" x14ac:dyDescent="0.3">
      <c r="A3074" s="9">
        <v>46010</v>
      </c>
      <c r="B3074" s="7" t="s">
        <v>7815</v>
      </c>
      <c r="C3074" s="3">
        <v>-4552.22</v>
      </c>
      <c r="D3074" s="7" t="s">
        <v>7816</v>
      </c>
      <c r="E3074" s="7" t="s">
        <v>7518</v>
      </c>
      <c r="G3074" s="9"/>
    </row>
    <row r="3075" spans="1:7" x14ac:dyDescent="0.3">
      <c r="A3075" s="9">
        <v>46015</v>
      </c>
      <c r="B3075" s="7" t="s">
        <v>7815</v>
      </c>
      <c r="C3075" s="3">
        <v>-4520.58</v>
      </c>
      <c r="D3075" s="7" t="s">
        <v>7816</v>
      </c>
      <c r="E3075" s="7" t="s">
        <v>7578</v>
      </c>
      <c r="G3075" s="9"/>
    </row>
    <row r="3076" spans="1:7" x14ac:dyDescent="0.3">
      <c r="A3076" s="9">
        <v>46015</v>
      </c>
      <c r="B3076" s="7" t="s">
        <v>7813</v>
      </c>
      <c r="C3076" s="3">
        <v>3348.24</v>
      </c>
      <c r="D3076" s="7" t="s">
        <v>7814</v>
      </c>
      <c r="E3076" s="7" t="s">
        <v>3617</v>
      </c>
      <c r="G3076" s="9"/>
    </row>
    <row r="3077" spans="1:7" x14ac:dyDescent="0.3">
      <c r="A3077" s="9">
        <v>45986</v>
      </c>
      <c r="B3077" s="7" t="s">
        <v>7813</v>
      </c>
      <c r="C3077" s="3">
        <v>4398.5200000000004</v>
      </c>
      <c r="D3077" s="7" t="s">
        <v>7814</v>
      </c>
      <c r="E3077" s="7" t="s">
        <v>4140</v>
      </c>
      <c r="G3077" s="9"/>
    </row>
    <row r="3078" spans="1:7" x14ac:dyDescent="0.3">
      <c r="A3078" s="9">
        <v>45997</v>
      </c>
      <c r="B3078" s="7" t="s">
        <v>7813</v>
      </c>
      <c r="C3078" s="3">
        <v>1986.76</v>
      </c>
      <c r="D3078" s="7" t="s">
        <v>7814</v>
      </c>
      <c r="E3078" s="7" t="s">
        <v>4345</v>
      </c>
      <c r="G3078" s="9"/>
    </row>
    <row r="3079" spans="1:7" x14ac:dyDescent="0.3">
      <c r="A3079" s="9">
        <v>45984</v>
      </c>
      <c r="B3079" s="7" t="s">
        <v>7813</v>
      </c>
      <c r="C3079" s="3">
        <v>2852.87</v>
      </c>
      <c r="D3079" s="7" t="s">
        <v>7814</v>
      </c>
      <c r="E3079" s="7" t="s">
        <v>4388</v>
      </c>
      <c r="G3079" s="9"/>
    </row>
    <row r="3080" spans="1:7" x14ac:dyDescent="0.3">
      <c r="A3080" s="9">
        <v>46052</v>
      </c>
      <c r="B3080" s="7" t="s">
        <v>7813</v>
      </c>
      <c r="C3080" s="3">
        <v>9906.8700000000008</v>
      </c>
      <c r="D3080" s="7" t="s">
        <v>7814</v>
      </c>
      <c r="E3080" s="7" t="s">
        <v>4557</v>
      </c>
      <c r="G3080" s="9"/>
    </row>
    <row r="3081" spans="1:7" x14ac:dyDescent="0.3">
      <c r="A3081" s="9">
        <v>46030</v>
      </c>
      <c r="B3081" s="7" t="s">
        <v>7813</v>
      </c>
      <c r="C3081" s="3">
        <v>2166.56</v>
      </c>
      <c r="D3081" s="7" t="s">
        <v>7814</v>
      </c>
      <c r="E3081" s="7" t="s">
        <v>4679</v>
      </c>
      <c r="G3081" s="9"/>
    </row>
    <row r="3082" spans="1:7" x14ac:dyDescent="0.3">
      <c r="A3082" s="9">
        <v>46029</v>
      </c>
      <c r="B3082" s="7" t="s">
        <v>7815</v>
      </c>
      <c r="C3082" s="3">
        <v>-5814.88</v>
      </c>
      <c r="D3082" s="7" t="s">
        <v>7816</v>
      </c>
      <c r="E3082" s="7" t="s">
        <v>7115</v>
      </c>
      <c r="G3082" s="9"/>
    </row>
    <row r="3083" spans="1:7" x14ac:dyDescent="0.3">
      <c r="A3083" s="9">
        <v>46003</v>
      </c>
      <c r="B3083" s="7" t="s">
        <v>7813</v>
      </c>
      <c r="C3083" s="3">
        <v>580.72</v>
      </c>
      <c r="D3083" s="7" t="s">
        <v>7814</v>
      </c>
      <c r="E3083" s="7" t="s">
        <v>3573</v>
      </c>
      <c r="G3083" s="9"/>
    </row>
    <row r="3084" spans="1:7" x14ac:dyDescent="0.3">
      <c r="A3084" s="9">
        <v>46020</v>
      </c>
      <c r="B3084" s="7" t="s">
        <v>7813</v>
      </c>
      <c r="C3084" s="3">
        <v>1489.51</v>
      </c>
      <c r="D3084" s="7" t="s">
        <v>7814</v>
      </c>
      <c r="E3084" s="7" t="s">
        <v>4445</v>
      </c>
      <c r="G3084" s="9"/>
    </row>
    <row r="3085" spans="1:7" x14ac:dyDescent="0.3">
      <c r="A3085" s="9">
        <v>45968</v>
      </c>
      <c r="B3085" s="7" t="s">
        <v>7813</v>
      </c>
      <c r="C3085" s="3">
        <v>910.29</v>
      </c>
      <c r="D3085" s="7" t="s">
        <v>7814</v>
      </c>
      <c r="E3085" s="7" t="s">
        <v>4816</v>
      </c>
      <c r="G3085" s="9"/>
    </row>
    <row r="3086" spans="1:7" x14ac:dyDescent="0.3">
      <c r="A3086" s="9">
        <v>45983</v>
      </c>
      <c r="B3086" s="7" t="s">
        <v>7815</v>
      </c>
      <c r="C3086" s="3">
        <v>-4707.71</v>
      </c>
      <c r="D3086" s="7" t="s">
        <v>7816</v>
      </c>
      <c r="E3086" s="7" t="s">
        <v>6847</v>
      </c>
      <c r="G3086" s="9"/>
    </row>
    <row r="3087" spans="1:7" x14ac:dyDescent="0.3">
      <c r="A3087" s="9">
        <v>46045</v>
      </c>
      <c r="B3087" s="7" t="s">
        <v>7815</v>
      </c>
      <c r="C3087" s="3">
        <v>-1863.24</v>
      </c>
      <c r="D3087" s="7" t="s">
        <v>7816</v>
      </c>
      <c r="E3087" s="7" t="s">
        <v>7171</v>
      </c>
      <c r="G3087" s="9"/>
    </row>
    <row r="3088" spans="1:7" x14ac:dyDescent="0.3">
      <c r="A3088" s="9">
        <v>46059</v>
      </c>
      <c r="B3088" s="7" t="s">
        <v>7815</v>
      </c>
      <c r="C3088" s="3">
        <v>-1727.59</v>
      </c>
      <c r="D3088" s="7" t="s">
        <v>7816</v>
      </c>
      <c r="E3088" s="7" t="s">
        <v>7237</v>
      </c>
      <c r="G3088" s="9"/>
    </row>
    <row r="3089" spans="1:7" x14ac:dyDescent="0.3">
      <c r="A3089" s="9">
        <v>46022</v>
      </c>
      <c r="B3089" s="7" t="s">
        <v>7815</v>
      </c>
      <c r="C3089" s="3">
        <v>-6818.03</v>
      </c>
      <c r="D3089" s="7" t="s">
        <v>7816</v>
      </c>
      <c r="E3089" s="7" t="s">
        <v>7513</v>
      </c>
      <c r="G3089" s="9"/>
    </row>
    <row r="3090" spans="1:7" x14ac:dyDescent="0.3">
      <c r="A3090" s="9">
        <v>45965</v>
      </c>
      <c r="B3090" s="7" t="s">
        <v>7815</v>
      </c>
      <c r="C3090" s="3">
        <v>-3497.52</v>
      </c>
      <c r="D3090" s="7" t="s">
        <v>7816</v>
      </c>
      <c r="E3090" s="7" t="s">
        <v>7577</v>
      </c>
      <c r="G3090" s="9"/>
    </row>
    <row r="3091" spans="1:7" x14ac:dyDescent="0.3">
      <c r="A3091" s="9">
        <v>46013</v>
      </c>
      <c r="B3091" s="7" t="s">
        <v>7813</v>
      </c>
      <c r="C3091" s="3">
        <v>2340.34</v>
      </c>
      <c r="D3091" s="7" t="s">
        <v>7814</v>
      </c>
      <c r="E3091" s="7" t="s">
        <v>3181</v>
      </c>
      <c r="G3091" s="9"/>
    </row>
    <row r="3092" spans="1:7" x14ac:dyDescent="0.3">
      <c r="A3092" s="9">
        <v>45964</v>
      </c>
      <c r="B3092" s="7" t="s">
        <v>7813</v>
      </c>
      <c r="C3092" s="3">
        <v>2726.05</v>
      </c>
      <c r="D3092" s="7" t="s">
        <v>7814</v>
      </c>
      <c r="E3092" s="7" t="s">
        <v>3222</v>
      </c>
      <c r="G3092" s="9"/>
    </row>
    <row r="3093" spans="1:7" x14ac:dyDescent="0.3">
      <c r="A3093" s="9">
        <v>46070</v>
      </c>
      <c r="B3093" s="7" t="s">
        <v>7813</v>
      </c>
      <c r="C3093" s="3">
        <v>5936.41</v>
      </c>
      <c r="D3093" s="7" t="s">
        <v>7814</v>
      </c>
      <c r="E3093" s="7" t="s">
        <v>3257</v>
      </c>
      <c r="G3093" s="9"/>
    </row>
    <row r="3094" spans="1:7" x14ac:dyDescent="0.3">
      <c r="A3094" s="9">
        <v>45986</v>
      </c>
      <c r="B3094" s="7" t="s">
        <v>7813</v>
      </c>
      <c r="C3094" s="3">
        <v>13438.82</v>
      </c>
      <c r="D3094" s="7" t="s">
        <v>7814</v>
      </c>
      <c r="E3094" s="7" t="s">
        <v>4298</v>
      </c>
      <c r="G3094" s="9"/>
    </row>
    <row r="3095" spans="1:7" x14ac:dyDescent="0.3">
      <c r="A3095" s="9">
        <v>45977</v>
      </c>
      <c r="B3095" s="7" t="s">
        <v>7813</v>
      </c>
      <c r="C3095" s="3">
        <v>2474.63</v>
      </c>
      <c r="D3095" s="7" t="s">
        <v>7814</v>
      </c>
      <c r="E3095" s="7" t="s">
        <v>4326</v>
      </c>
      <c r="G3095" s="9"/>
    </row>
    <row r="3096" spans="1:7" x14ac:dyDescent="0.3">
      <c r="A3096" s="9">
        <v>46036</v>
      </c>
      <c r="B3096" s="7" t="s">
        <v>7815</v>
      </c>
      <c r="C3096" s="3">
        <v>-4674.38</v>
      </c>
      <c r="D3096" s="7" t="s">
        <v>7816</v>
      </c>
      <c r="E3096" s="7" t="s">
        <v>7173</v>
      </c>
      <c r="G3096" s="9"/>
    </row>
    <row r="3097" spans="1:7" x14ac:dyDescent="0.3">
      <c r="A3097" s="9">
        <v>46081</v>
      </c>
      <c r="B3097" s="7" t="s">
        <v>7815</v>
      </c>
      <c r="C3097" s="3">
        <v>-4157.2700000000004</v>
      </c>
      <c r="D3097" s="7" t="s">
        <v>7816</v>
      </c>
      <c r="E3097" s="7" t="s">
        <v>7534</v>
      </c>
      <c r="G3097" s="9"/>
    </row>
    <row r="3098" spans="1:7" x14ac:dyDescent="0.3">
      <c r="A3098" s="9">
        <v>46046</v>
      </c>
      <c r="B3098" s="7" t="s">
        <v>7815</v>
      </c>
      <c r="C3098" s="3">
        <v>-4919.7299999999996</v>
      </c>
      <c r="D3098" s="7" t="s">
        <v>7816</v>
      </c>
      <c r="E3098" s="7" t="s">
        <v>7775</v>
      </c>
      <c r="G3098" s="9"/>
    </row>
    <row r="3099" spans="1:7" x14ac:dyDescent="0.3">
      <c r="A3099" s="9">
        <v>46061</v>
      </c>
      <c r="B3099" s="7" t="s">
        <v>7813</v>
      </c>
      <c r="C3099" s="3">
        <v>10189.26</v>
      </c>
      <c r="D3099" s="7" t="s">
        <v>7814</v>
      </c>
      <c r="E3099" s="7" t="s">
        <v>4173</v>
      </c>
      <c r="G3099" s="9"/>
    </row>
    <row r="3100" spans="1:7" x14ac:dyDescent="0.3">
      <c r="A3100" s="9">
        <v>46059</v>
      </c>
      <c r="B3100" s="7" t="s">
        <v>7813</v>
      </c>
      <c r="C3100" s="3">
        <v>1054.3900000000001</v>
      </c>
      <c r="D3100" s="7" t="s">
        <v>7814</v>
      </c>
      <c r="E3100" s="7" t="s">
        <v>4968</v>
      </c>
      <c r="G3100" s="9"/>
    </row>
    <row r="3101" spans="1:7" x14ac:dyDescent="0.3">
      <c r="A3101" s="9">
        <v>45980</v>
      </c>
      <c r="B3101" s="7" t="s">
        <v>7813</v>
      </c>
      <c r="C3101" s="3">
        <v>5233.95</v>
      </c>
      <c r="D3101" s="7" t="s">
        <v>7814</v>
      </c>
      <c r="E3101" s="7" t="s">
        <v>5010</v>
      </c>
      <c r="G3101" s="9"/>
    </row>
    <row r="3102" spans="1:7" x14ac:dyDescent="0.3">
      <c r="A3102" s="9">
        <v>46072</v>
      </c>
      <c r="B3102" s="7" t="s">
        <v>7813</v>
      </c>
      <c r="C3102" s="3">
        <v>2882.17</v>
      </c>
      <c r="D3102" s="7" t="s">
        <v>7814</v>
      </c>
      <c r="E3102" s="7" t="s">
        <v>5367</v>
      </c>
      <c r="G3102" s="9"/>
    </row>
    <row r="3103" spans="1:7" x14ac:dyDescent="0.3">
      <c r="A3103" s="9">
        <v>46084</v>
      </c>
      <c r="B3103" s="7" t="s">
        <v>7813</v>
      </c>
      <c r="C3103" s="3">
        <v>11688.52</v>
      </c>
      <c r="D3103" s="7" t="s">
        <v>7814</v>
      </c>
      <c r="E3103" s="7" t="s">
        <v>5392</v>
      </c>
      <c r="G3103" s="9"/>
    </row>
    <row r="3104" spans="1:7" x14ac:dyDescent="0.3">
      <c r="A3104" s="9">
        <v>46082</v>
      </c>
      <c r="B3104" s="7" t="s">
        <v>7815</v>
      </c>
      <c r="C3104" s="3">
        <v>-6498.65</v>
      </c>
      <c r="D3104" s="7" t="s">
        <v>7816</v>
      </c>
      <c r="E3104" s="7" t="s">
        <v>7066</v>
      </c>
      <c r="G3104" s="9"/>
    </row>
    <row r="3105" spans="1:7" x14ac:dyDescent="0.3">
      <c r="A3105" s="9">
        <v>46027</v>
      </c>
      <c r="B3105" s="7" t="s">
        <v>7815</v>
      </c>
      <c r="C3105" s="3">
        <v>-4268.3500000000004</v>
      </c>
      <c r="D3105" s="7" t="s">
        <v>7816</v>
      </c>
      <c r="E3105" s="7" t="s">
        <v>7123</v>
      </c>
      <c r="G3105" s="9"/>
    </row>
    <row r="3106" spans="1:7" x14ac:dyDescent="0.3">
      <c r="A3106" s="9">
        <v>46068</v>
      </c>
      <c r="B3106" s="7" t="s">
        <v>7815</v>
      </c>
      <c r="C3106" s="3">
        <v>-5629.08</v>
      </c>
      <c r="D3106" s="7" t="s">
        <v>7816</v>
      </c>
      <c r="E3106" s="7" t="s">
        <v>7182</v>
      </c>
      <c r="G3106" s="9"/>
    </row>
    <row r="3107" spans="1:7" x14ac:dyDescent="0.3">
      <c r="A3107" s="9">
        <v>46089</v>
      </c>
      <c r="B3107" s="7" t="s">
        <v>7813</v>
      </c>
      <c r="C3107" s="3">
        <v>3572.34</v>
      </c>
      <c r="D3107" s="7" t="s">
        <v>7814</v>
      </c>
      <c r="E3107" s="7" t="s">
        <v>4580</v>
      </c>
      <c r="G3107" s="9"/>
    </row>
    <row r="3108" spans="1:7" x14ac:dyDescent="0.3">
      <c r="A3108" s="9">
        <v>45982</v>
      </c>
      <c r="B3108" s="7" t="s">
        <v>7813</v>
      </c>
      <c r="C3108" s="3">
        <v>3291.56</v>
      </c>
      <c r="D3108" s="7" t="s">
        <v>7814</v>
      </c>
      <c r="E3108" s="7" t="s">
        <v>5107</v>
      </c>
      <c r="G3108" s="9"/>
    </row>
    <row r="3109" spans="1:7" x14ac:dyDescent="0.3">
      <c r="A3109" s="9">
        <v>46080</v>
      </c>
      <c r="B3109" s="7" t="s">
        <v>7813</v>
      </c>
      <c r="C3109" s="3">
        <v>4261.43</v>
      </c>
      <c r="D3109" s="7" t="s">
        <v>7814</v>
      </c>
      <c r="E3109" s="7" t="s">
        <v>3591</v>
      </c>
      <c r="G3109" s="9"/>
    </row>
    <row r="3110" spans="1:7" x14ac:dyDescent="0.3">
      <c r="A3110" s="9">
        <v>46011</v>
      </c>
      <c r="B3110" s="7" t="s">
        <v>7813</v>
      </c>
      <c r="C3110" s="3">
        <v>1743.81</v>
      </c>
      <c r="D3110" s="7" t="s">
        <v>7814</v>
      </c>
      <c r="E3110" s="7" t="s">
        <v>3594</v>
      </c>
      <c r="G3110" s="9"/>
    </row>
    <row r="3111" spans="1:7" x14ac:dyDescent="0.3">
      <c r="A3111" s="9">
        <v>46087</v>
      </c>
      <c r="B3111" s="7" t="s">
        <v>7813</v>
      </c>
      <c r="C3111" s="3">
        <v>2570.37</v>
      </c>
      <c r="D3111" s="7" t="s">
        <v>7814</v>
      </c>
      <c r="E3111" s="7" t="s">
        <v>4905</v>
      </c>
      <c r="G3111" s="9"/>
    </row>
    <row r="3112" spans="1:7" x14ac:dyDescent="0.3">
      <c r="A3112" s="9">
        <v>46038</v>
      </c>
      <c r="B3112" s="7" t="s">
        <v>7813</v>
      </c>
      <c r="C3112" s="3">
        <v>2926.23</v>
      </c>
      <c r="D3112" s="7" t="s">
        <v>7814</v>
      </c>
      <c r="E3112" s="7" t="s">
        <v>5112</v>
      </c>
      <c r="G3112" s="9"/>
    </row>
    <row r="3113" spans="1:7" x14ac:dyDescent="0.3">
      <c r="A3113" s="9">
        <v>46033</v>
      </c>
      <c r="B3113" s="7" t="s">
        <v>7813</v>
      </c>
      <c r="C3113" s="3">
        <v>2104.81</v>
      </c>
      <c r="D3113" s="7" t="s">
        <v>7814</v>
      </c>
      <c r="E3113" s="7" t="s">
        <v>5265</v>
      </c>
      <c r="G3113" s="9"/>
    </row>
    <row r="3114" spans="1:7" x14ac:dyDescent="0.3">
      <c r="A3114" s="9">
        <v>45970</v>
      </c>
      <c r="B3114" s="7" t="s">
        <v>7815</v>
      </c>
      <c r="C3114" s="3">
        <v>-1910.73</v>
      </c>
      <c r="D3114" s="7" t="s">
        <v>7816</v>
      </c>
      <c r="E3114" s="7" t="s">
        <v>6839</v>
      </c>
      <c r="G3114" s="9"/>
    </row>
    <row r="3115" spans="1:7" x14ac:dyDescent="0.3">
      <c r="A3115" s="9">
        <v>45978</v>
      </c>
      <c r="B3115" s="7" t="s">
        <v>7815</v>
      </c>
      <c r="C3115" s="3">
        <v>-4729.3100000000004</v>
      </c>
      <c r="D3115" s="7" t="s">
        <v>7816</v>
      </c>
      <c r="E3115" s="7" t="s">
        <v>6871</v>
      </c>
      <c r="G3115" s="9"/>
    </row>
    <row r="3116" spans="1:7" x14ac:dyDescent="0.3">
      <c r="A3116" s="9">
        <v>45970</v>
      </c>
      <c r="B3116" s="7" t="s">
        <v>7813</v>
      </c>
      <c r="C3116" s="3">
        <v>991.03</v>
      </c>
      <c r="D3116" s="7" t="s">
        <v>7814</v>
      </c>
      <c r="E3116" s="7" t="s">
        <v>4670</v>
      </c>
      <c r="G3116" s="9"/>
    </row>
    <row r="3117" spans="1:7" x14ac:dyDescent="0.3">
      <c r="A3117" s="9">
        <v>46025</v>
      </c>
      <c r="B3117" s="7" t="s">
        <v>7813</v>
      </c>
      <c r="C3117" s="3">
        <v>758.97</v>
      </c>
      <c r="D3117" s="7" t="s">
        <v>7814</v>
      </c>
      <c r="E3117" s="7" t="s">
        <v>4830</v>
      </c>
      <c r="G3117" s="9"/>
    </row>
    <row r="3118" spans="1:7" x14ac:dyDescent="0.3">
      <c r="A3118" s="9">
        <v>46002</v>
      </c>
      <c r="B3118" s="7" t="s">
        <v>7815</v>
      </c>
      <c r="C3118" s="3">
        <v>-1208.94</v>
      </c>
      <c r="D3118" s="7" t="s">
        <v>7816</v>
      </c>
      <c r="E3118" s="7" t="s">
        <v>7003</v>
      </c>
      <c r="G3118" s="9"/>
    </row>
    <row r="3119" spans="1:7" x14ac:dyDescent="0.3">
      <c r="A3119" s="9">
        <v>46052</v>
      </c>
      <c r="B3119" s="7" t="s">
        <v>7815</v>
      </c>
      <c r="C3119" s="3">
        <v>-6569.28</v>
      </c>
      <c r="D3119" s="7" t="s">
        <v>7816</v>
      </c>
      <c r="E3119" s="7" t="s">
        <v>7640</v>
      </c>
      <c r="G3119" s="9"/>
    </row>
    <row r="3120" spans="1:7" x14ac:dyDescent="0.3">
      <c r="A3120" s="9">
        <v>45967</v>
      </c>
      <c r="B3120" s="7" t="s">
        <v>7813</v>
      </c>
      <c r="C3120" s="3">
        <v>1730.52</v>
      </c>
      <c r="D3120" s="7" t="s">
        <v>7814</v>
      </c>
      <c r="E3120" s="7" t="s">
        <v>4051</v>
      </c>
      <c r="G3120" s="9"/>
    </row>
    <row r="3121" spans="1:7" x14ac:dyDescent="0.3">
      <c r="A3121" s="9">
        <v>46052</v>
      </c>
      <c r="B3121" s="7" t="s">
        <v>7813</v>
      </c>
      <c r="C3121" s="3">
        <v>11466.08</v>
      </c>
      <c r="D3121" s="7" t="s">
        <v>7814</v>
      </c>
      <c r="E3121" s="7" t="s">
        <v>4071</v>
      </c>
      <c r="G3121" s="9"/>
    </row>
    <row r="3122" spans="1:7" x14ac:dyDescent="0.3">
      <c r="A3122" s="9">
        <v>46035</v>
      </c>
      <c r="B3122" s="7" t="s">
        <v>7813</v>
      </c>
      <c r="C3122" s="3">
        <v>876.22</v>
      </c>
      <c r="D3122" s="7" t="s">
        <v>7814</v>
      </c>
      <c r="E3122" s="7" t="s">
        <v>4346</v>
      </c>
      <c r="G3122" s="9"/>
    </row>
    <row r="3123" spans="1:7" x14ac:dyDescent="0.3">
      <c r="A3123" s="9">
        <v>45962</v>
      </c>
      <c r="B3123" s="7" t="s">
        <v>7815</v>
      </c>
      <c r="C3123" s="3">
        <v>-2421.62</v>
      </c>
      <c r="D3123" s="7" t="s">
        <v>7816</v>
      </c>
      <c r="E3123" s="7" t="s">
        <v>7639</v>
      </c>
      <c r="G3123" s="9"/>
    </row>
    <row r="3124" spans="1:7" x14ac:dyDescent="0.3">
      <c r="A3124" s="9">
        <v>46077</v>
      </c>
      <c r="B3124" s="7" t="s">
        <v>7815</v>
      </c>
      <c r="C3124" s="3">
        <v>-2637.59</v>
      </c>
      <c r="D3124" s="7" t="s">
        <v>7816</v>
      </c>
      <c r="E3124" s="7" t="s">
        <v>7716</v>
      </c>
      <c r="G3124" s="9"/>
    </row>
    <row r="3125" spans="1:7" x14ac:dyDescent="0.3">
      <c r="A3125" s="9">
        <v>45993</v>
      </c>
      <c r="B3125" s="7" t="s">
        <v>7813</v>
      </c>
      <c r="C3125" s="3">
        <v>14301.54</v>
      </c>
      <c r="D3125" s="7" t="s">
        <v>7814</v>
      </c>
      <c r="E3125" s="7" t="s">
        <v>4289</v>
      </c>
      <c r="G3125" s="9"/>
    </row>
    <row r="3126" spans="1:7" x14ac:dyDescent="0.3">
      <c r="A3126" s="9">
        <v>46074</v>
      </c>
      <c r="B3126" s="7" t="s">
        <v>7815</v>
      </c>
      <c r="C3126" s="3">
        <v>-2358.15</v>
      </c>
      <c r="D3126" s="7" t="s">
        <v>7816</v>
      </c>
      <c r="E3126" s="7" t="s">
        <v>6989</v>
      </c>
      <c r="G3126" s="9"/>
    </row>
    <row r="3127" spans="1:7" x14ac:dyDescent="0.3">
      <c r="A3127" s="9">
        <v>46060</v>
      </c>
      <c r="B3127" s="7" t="s">
        <v>7813</v>
      </c>
      <c r="C3127" s="3">
        <v>3169.41</v>
      </c>
      <c r="D3127" s="7" t="s">
        <v>7814</v>
      </c>
      <c r="E3127" s="7" t="s">
        <v>3324</v>
      </c>
      <c r="G3127" s="9"/>
    </row>
    <row r="3128" spans="1:7" x14ac:dyDescent="0.3">
      <c r="A3128" s="9">
        <v>45984</v>
      </c>
      <c r="B3128" s="7" t="s">
        <v>7813</v>
      </c>
      <c r="C3128" s="3">
        <v>4172.95</v>
      </c>
      <c r="D3128" s="7" t="s">
        <v>7814</v>
      </c>
      <c r="E3128" s="7" t="s">
        <v>4100</v>
      </c>
      <c r="G3128" s="9"/>
    </row>
    <row r="3129" spans="1:7" x14ac:dyDescent="0.3">
      <c r="A3129" s="9">
        <v>46007</v>
      </c>
      <c r="B3129" s="7" t="s">
        <v>7813</v>
      </c>
      <c r="C3129" s="3">
        <v>3160.71</v>
      </c>
      <c r="D3129" s="7" t="s">
        <v>7814</v>
      </c>
      <c r="E3129" s="7" t="s">
        <v>4205</v>
      </c>
      <c r="G3129" s="9"/>
    </row>
    <row r="3130" spans="1:7" x14ac:dyDescent="0.3">
      <c r="A3130" s="9">
        <v>46018</v>
      </c>
      <c r="B3130" s="7" t="s">
        <v>7813</v>
      </c>
      <c r="C3130" s="3">
        <v>1674.16</v>
      </c>
      <c r="D3130" s="7" t="s">
        <v>7814</v>
      </c>
      <c r="E3130" s="7" t="s">
        <v>4340</v>
      </c>
      <c r="G3130" s="9"/>
    </row>
    <row r="3131" spans="1:7" x14ac:dyDescent="0.3">
      <c r="A3131" s="9">
        <v>46019</v>
      </c>
      <c r="B3131" s="7" t="s">
        <v>7813</v>
      </c>
      <c r="C3131" s="3">
        <v>3520.93</v>
      </c>
      <c r="D3131" s="7" t="s">
        <v>7814</v>
      </c>
      <c r="E3131" s="7" t="s">
        <v>4775</v>
      </c>
      <c r="G3131" s="9"/>
    </row>
    <row r="3132" spans="1:7" x14ac:dyDescent="0.3">
      <c r="A3132" s="9">
        <v>46023</v>
      </c>
      <c r="B3132" s="7" t="s">
        <v>7815</v>
      </c>
      <c r="C3132" s="3">
        <v>-2201.4299999999998</v>
      </c>
      <c r="D3132" s="7" t="s">
        <v>7816</v>
      </c>
      <c r="E3132" s="7" t="s">
        <v>7064</v>
      </c>
      <c r="G3132" s="9"/>
    </row>
    <row r="3133" spans="1:7" x14ac:dyDescent="0.3">
      <c r="A3133" s="9">
        <v>46060</v>
      </c>
      <c r="B3133" s="7" t="s">
        <v>7815</v>
      </c>
      <c r="C3133" s="3">
        <v>-4760.62</v>
      </c>
      <c r="D3133" s="7" t="s">
        <v>7816</v>
      </c>
      <c r="E3133" s="7" t="s">
        <v>7403</v>
      </c>
      <c r="G3133" s="9"/>
    </row>
    <row r="3134" spans="1:7" x14ac:dyDescent="0.3">
      <c r="A3134" s="9">
        <v>45994</v>
      </c>
      <c r="B3134" s="7" t="s">
        <v>7813</v>
      </c>
      <c r="C3134" s="3">
        <v>12344.5</v>
      </c>
      <c r="D3134" s="7" t="s">
        <v>7814</v>
      </c>
      <c r="E3134" s="7" t="s">
        <v>3631</v>
      </c>
      <c r="G3134" s="9"/>
    </row>
    <row r="3135" spans="1:7" x14ac:dyDescent="0.3">
      <c r="A3135" s="9">
        <v>46028</v>
      </c>
      <c r="B3135" s="7" t="s">
        <v>7813</v>
      </c>
      <c r="C3135" s="3">
        <v>10028.1</v>
      </c>
      <c r="D3135" s="7" t="s">
        <v>7814</v>
      </c>
      <c r="E3135" s="7" t="s">
        <v>4261</v>
      </c>
      <c r="G3135" s="9"/>
    </row>
    <row r="3136" spans="1:7" x14ac:dyDescent="0.3">
      <c r="A3136" s="9">
        <v>46045</v>
      </c>
      <c r="B3136" s="7" t="s">
        <v>7815</v>
      </c>
      <c r="C3136" s="3">
        <v>-6246.52</v>
      </c>
      <c r="D3136" s="7" t="s">
        <v>7816</v>
      </c>
      <c r="E3136" s="7" t="s">
        <v>7130</v>
      </c>
      <c r="G3136" s="9"/>
    </row>
    <row r="3137" spans="1:7" x14ac:dyDescent="0.3">
      <c r="A3137" s="9">
        <v>45963</v>
      </c>
      <c r="B3137" s="7" t="s">
        <v>7813</v>
      </c>
      <c r="C3137" s="3">
        <v>3740.83</v>
      </c>
      <c r="D3137" s="7" t="s">
        <v>7814</v>
      </c>
      <c r="E3137" s="7" t="s">
        <v>3442</v>
      </c>
      <c r="G3137" s="9"/>
    </row>
    <row r="3138" spans="1:7" x14ac:dyDescent="0.3">
      <c r="A3138" s="9">
        <v>45974</v>
      </c>
      <c r="B3138" s="7" t="s">
        <v>7813</v>
      </c>
      <c r="C3138" s="3">
        <v>2420.4699999999998</v>
      </c>
      <c r="D3138" s="7" t="s">
        <v>7814</v>
      </c>
      <c r="E3138" s="7" t="s">
        <v>3677</v>
      </c>
      <c r="G3138" s="9"/>
    </row>
    <row r="3139" spans="1:7" x14ac:dyDescent="0.3">
      <c r="A3139" s="9">
        <v>46048</v>
      </c>
      <c r="B3139" s="7" t="s">
        <v>7813</v>
      </c>
      <c r="C3139" s="3">
        <v>10403.129999999999</v>
      </c>
      <c r="D3139" s="7" t="s">
        <v>7814</v>
      </c>
      <c r="E3139" s="7" t="s">
        <v>3858</v>
      </c>
      <c r="G3139" s="9"/>
    </row>
    <row r="3140" spans="1:7" x14ac:dyDescent="0.3">
      <c r="A3140" s="9">
        <v>46027</v>
      </c>
      <c r="B3140" s="7" t="s">
        <v>7813</v>
      </c>
      <c r="C3140" s="3">
        <v>13121.56</v>
      </c>
      <c r="D3140" s="7" t="s">
        <v>7814</v>
      </c>
      <c r="E3140" s="7" t="s">
        <v>3895</v>
      </c>
      <c r="G3140" s="9"/>
    </row>
    <row r="3141" spans="1:7" x14ac:dyDescent="0.3">
      <c r="A3141" s="9">
        <v>46086</v>
      </c>
      <c r="B3141" s="7" t="s">
        <v>7813</v>
      </c>
      <c r="C3141" s="3">
        <v>1855.18</v>
      </c>
      <c r="D3141" s="7" t="s">
        <v>7814</v>
      </c>
      <c r="E3141" s="7" t="s">
        <v>4680</v>
      </c>
      <c r="G3141" s="9"/>
    </row>
    <row r="3142" spans="1:7" x14ac:dyDescent="0.3">
      <c r="A3142" s="9">
        <v>46091</v>
      </c>
      <c r="B3142" s="7" t="s">
        <v>7813</v>
      </c>
      <c r="C3142" s="3">
        <v>12990.56</v>
      </c>
      <c r="D3142" s="7" t="s">
        <v>7814</v>
      </c>
      <c r="E3142" s="7" t="s">
        <v>5288</v>
      </c>
      <c r="G3142" s="9"/>
    </row>
    <row r="3143" spans="1:7" x14ac:dyDescent="0.3">
      <c r="A3143" s="9">
        <v>46053</v>
      </c>
      <c r="B3143" s="7" t="s">
        <v>7815</v>
      </c>
      <c r="C3143" s="3">
        <v>-2555.31</v>
      </c>
      <c r="D3143" s="7" t="s">
        <v>7816</v>
      </c>
      <c r="E3143" s="7" t="s">
        <v>7110</v>
      </c>
      <c r="G3143" s="9"/>
    </row>
    <row r="3144" spans="1:7" x14ac:dyDescent="0.3">
      <c r="A3144" s="9">
        <v>46074</v>
      </c>
      <c r="B3144" s="7" t="s">
        <v>7815</v>
      </c>
      <c r="C3144" s="3">
        <v>-4424.8599999999997</v>
      </c>
      <c r="D3144" s="7" t="s">
        <v>7816</v>
      </c>
      <c r="E3144" s="7" t="s">
        <v>7806</v>
      </c>
      <c r="G3144" s="9"/>
    </row>
    <row r="3145" spans="1:7" x14ac:dyDescent="0.3">
      <c r="A3145" s="9">
        <v>46049</v>
      </c>
      <c r="B3145" s="7" t="s">
        <v>7813</v>
      </c>
      <c r="C3145" s="3">
        <v>2838.43</v>
      </c>
      <c r="D3145" s="7" t="s">
        <v>7814</v>
      </c>
      <c r="E3145" s="7" t="s">
        <v>4068</v>
      </c>
      <c r="G3145" s="9"/>
    </row>
    <row r="3146" spans="1:7" x14ac:dyDescent="0.3">
      <c r="A3146" s="9">
        <v>46074</v>
      </c>
      <c r="B3146" s="7" t="s">
        <v>7813</v>
      </c>
      <c r="C3146" s="3">
        <v>12602.26</v>
      </c>
      <c r="D3146" s="7" t="s">
        <v>7814</v>
      </c>
      <c r="E3146" s="7" t="s">
        <v>4867</v>
      </c>
      <c r="G3146" s="9"/>
    </row>
    <row r="3147" spans="1:7" x14ac:dyDescent="0.3">
      <c r="A3147" s="9">
        <v>46084</v>
      </c>
      <c r="B3147" s="7" t="s">
        <v>7813</v>
      </c>
      <c r="C3147" s="3">
        <v>1708.69</v>
      </c>
      <c r="D3147" s="7" t="s">
        <v>7814</v>
      </c>
      <c r="E3147" s="7" t="s">
        <v>5191</v>
      </c>
      <c r="G3147" s="9"/>
    </row>
    <row r="3148" spans="1:7" x14ac:dyDescent="0.3">
      <c r="A3148" s="9">
        <v>46027</v>
      </c>
      <c r="B3148" s="7" t="s">
        <v>7815</v>
      </c>
      <c r="C3148" s="3">
        <v>-5480.89</v>
      </c>
      <c r="D3148" s="7" t="s">
        <v>7816</v>
      </c>
      <c r="E3148" s="7" t="s">
        <v>7092</v>
      </c>
      <c r="G3148" s="9"/>
    </row>
    <row r="3149" spans="1:7" x14ac:dyDescent="0.3">
      <c r="A3149" s="9">
        <v>46025</v>
      </c>
      <c r="B3149" s="7" t="s">
        <v>7813</v>
      </c>
      <c r="C3149" s="3">
        <v>2400.96</v>
      </c>
      <c r="D3149" s="7" t="s">
        <v>7814</v>
      </c>
      <c r="E3149" s="7" t="s">
        <v>3322</v>
      </c>
      <c r="G3149" s="9"/>
    </row>
    <row r="3150" spans="1:7" x14ac:dyDescent="0.3">
      <c r="A3150" s="9">
        <v>46085</v>
      </c>
      <c r="B3150" s="7" t="s">
        <v>7813</v>
      </c>
      <c r="C3150" s="3">
        <v>3588.85</v>
      </c>
      <c r="D3150" s="7" t="s">
        <v>7814</v>
      </c>
      <c r="E3150" s="7" t="s">
        <v>4181</v>
      </c>
      <c r="G3150" s="9"/>
    </row>
    <row r="3151" spans="1:7" x14ac:dyDescent="0.3">
      <c r="A3151" s="9">
        <v>45996</v>
      </c>
      <c r="B3151" s="7" t="s">
        <v>7813</v>
      </c>
      <c r="C3151" s="3">
        <v>2640.59</v>
      </c>
      <c r="D3151" s="7" t="s">
        <v>7814</v>
      </c>
      <c r="E3151" s="7" t="s">
        <v>3670</v>
      </c>
      <c r="G3151" s="9"/>
    </row>
    <row r="3152" spans="1:7" x14ac:dyDescent="0.3">
      <c r="A3152" s="9">
        <v>46083</v>
      </c>
      <c r="B3152" s="7" t="s">
        <v>7813</v>
      </c>
      <c r="C3152" s="3">
        <v>1896.26</v>
      </c>
      <c r="D3152" s="7" t="s">
        <v>7814</v>
      </c>
      <c r="E3152" s="7" t="s">
        <v>4038</v>
      </c>
      <c r="G3152" s="9"/>
    </row>
    <row r="3153" spans="1:7" x14ac:dyDescent="0.3">
      <c r="A3153" s="9">
        <v>46026</v>
      </c>
      <c r="B3153" s="7" t="s">
        <v>7813</v>
      </c>
      <c r="C3153" s="3">
        <v>2863.17</v>
      </c>
      <c r="D3153" s="7" t="s">
        <v>7814</v>
      </c>
      <c r="E3153" s="7" t="s">
        <v>4188</v>
      </c>
      <c r="G3153" s="9"/>
    </row>
    <row r="3154" spans="1:7" x14ac:dyDescent="0.3">
      <c r="A3154" s="9">
        <v>46022</v>
      </c>
      <c r="B3154" s="7" t="s">
        <v>7813</v>
      </c>
      <c r="C3154" s="3">
        <v>2966.72</v>
      </c>
      <c r="D3154" s="7" t="s">
        <v>7814</v>
      </c>
      <c r="E3154" s="7" t="s">
        <v>4277</v>
      </c>
      <c r="G3154" s="9"/>
    </row>
    <row r="3155" spans="1:7" x14ac:dyDescent="0.3">
      <c r="A3155" s="9">
        <v>46021</v>
      </c>
      <c r="B3155" s="7" t="s">
        <v>7813</v>
      </c>
      <c r="C3155" s="3">
        <v>10328.540000000001</v>
      </c>
      <c r="D3155" s="7" t="s">
        <v>7814</v>
      </c>
      <c r="E3155" s="7" t="s">
        <v>5090</v>
      </c>
      <c r="G3155" s="9"/>
    </row>
    <row r="3156" spans="1:7" x14ac:dyDescent="0.3">
      <c r="A3156" s="9">
        <v>46048</v>
      </c>
      <c r="B3156" s="7" t="s">
        <v>7815</v>
      </c>
      <c r="C3156" s="3">
        <v>-6769.81</v>
      </c>
      <c r="D3156" s="7" t="s">
        <v>7816</v>
      </c>
      <c r="E3156" s="7" t="s">
        <v>7097</v>
      </c>
      <c r="G3156" s="9"/>
    </row>
    <row r="3157" spans="1:7" x14ac:dyDescent="0.3">
      <c r="A3157" s="9">
        <v>46034</v>
      </c>
      <c r="B3157" s="7" t="s">
        <v>7815</v>
      </c>
      <c r="C3157" s="3">
        <v>-5815.76</v>
      </c>
      <c r="D3157" s="7" t="s">
        <v>7816</v>
      </c>
      <c r="E3157" s="7" t="s">
        <v>7572</v>
      </c>
      <c r="G3157" s="9"/>
    </row>
    <row r="3158" spans="1:7" x14ac:dyDescent="0.3">
      <c r="A3158" s="9">
        <v>46017</v>
      </c>
      <c r="B3158" s="7" t="s">
        <v>7813</v>
      </c>
      <c r="C3158" s="3">
        <v>4088.73</v>
      </c>
      <c r="D3158" s="7" t="s">
        <v>7814</v>
      </c>
      <c r="E3158" s="7" t="s">
        <v>3400</v>
      </c>
      <c r="G3158" s="9"/>
    </row>
    <row r="3159" spans="1:7" x14ac:dyDescent="0.3">
      <c r="A3159" s="9">
        <v>46021</v>
      </c>
      <c r="B3159" s="7" t="s">
        <v>7813</v>
      </c>
      <c r="C3159" s="3">
        <v>12249.86</v>
      </c>
      <c r="D3159" s="7" t="s">
        <v>7814</v>
      </c>
      <c r="E3159" s="7" t="s">
        <v>3648</v>
      </c>
      <c r="G3159" s="9"/>
    </row>
    <row r="3160" spans="1:7" x14ac:dyDescent="0.3">
      <c r="A3160" s="9">
        <v>46040</v>
      </c>
      <c r="B3160" s="7" t="s">
        <v>7813</v>
      </c>
      <c r="C3160" s="3">
        <v>1961.87</v>
      </c>
      <c r="D3160" s="7" t="s">
        <v>7814</v>
      </c>
      <c r="E3160" s="7" t="s">
        <v>4052</v>
      </c>
      <c r="G3160" s="9"/>
    </row>
    <row r="3161" spans="1:7" x14ac:dyDescent="0.3">
      <c r="A3161" s="9">
        <v>46039</v>
      </c>
      <c r="B3161" s="7" t="s">
        <v>7813</v>
      </c>
      <c r="C3161" s="3">
        <v>1369.83</v>
      </c>
      <c r="D3161" s="7" t="s">
        <v>7814</v>
      </c>
      <c r="E3161" s="7" t="s">
        <v>4671</v>
      </c>
      <c r="G3161" s="9"/>
    </row>
    <row r="3162" spans="1:7" x14ac:dyDescent="0.3">
      <c r="A3162" s="9">
        <v>45981</v>
      </c>
      <c r="B3162" s="7" t="s">
        <v>7813</v>
      </c>
      <c r="C3162" s="3">
        <v>5689.44</v>
      </c>
      <c r="D3162" s="7" t="s">
        <v>7814</v>
      </c>
      <c r="E3162" s="7" t="s">
        <v>5248</v>
      </c>
      <c r="G3162" s="9"/>
    </row>
    <row r="3163" spans="1:7" x14ac:dyDescent="0.3">
      <c r="A3163" s="9">
        <v>46001</v>
      </c>
      <c r="B3163" s="7" t="s">
        <v>7813</v>
      </c>
      <c r="C3163" s="3">
        <v>13424.5</v>
      </c>
      <c r="D3163" s="7" t="s">
        <v>7814</v>
      </c>
      <c r="E3163" s="7" t="s">
        <v>3762</v>
      </c>
      <c r="G3163" s="9"/>
    </row>
    <row r="3164" spans="1:7" x14ac:dyDescent="0.3">
      <c r="A3164" s="9">
        <v>46002</v>
      </c>
      <c r="B3164" s="7" t="s">
        <v>7813</v>
      </c>
      <c r="C3164" s="3">
        <v>4635.2</v>
      </c>
      <c r="D3164" s="7" t="s">
        <v>7814</v>
      </c>
      <c r="E3164" s="7" t="s">
        <v>3946</v>
      </c>
      <c r="G3164" s="9"/>
    </row>
    <row r="3165" spans="1:7" x14ac:dyDescent="0.3">
      <c r="A3165" s="9">
        <v>46077</v>
      </c>
      <c r="B3165" s="7" t="s">
        <v>7813</v>
      </c>
      <c r="C3165" s="3">
        <v>3403.14</v>
      </c>
      <c r="D3165" s="7" t="s">
        <v>7814</v>
      </c>
      <c r="E3165" s="7" t="s">
        <v>3990</v>
      </c>
      <c r="G3165" s="9"/>
    </row>
    <row r="3166" spans="1:7" x14ac:dyDescent="0.3">
      <c r="A3166" s="9">
        <v>46068</v>
      </c>
      <c r="B3166" s="7" t="s">
        <v>7813</v>
      </c>
      <c r="C3166" s="3">
        <v>1016.78</v>
      </c>
      <c r="D3166" s="7" t="s">
        <v>7814</v>
      </c>
      <c r="E3166" s="7" t="s">
        <v>4969</v>
      </c>
      <c r="G3166" s="9"/>
    </row>
    <row r="3167" spans="1:7" x14ac:dyDescent="0.3">
      <c r="A3167" s="9">
        <v>46053</v>
      </c>
      <c r="B3167" s="7" t="s">
        <v>7815</v>
      </c>
      <c r="C3167" s="3">
        <v>-5874.23</v>
      </c>
      <c r="D3167" s="7" t="s">
        <v>7816</v>
      </c>
      <c r="E3167" s="7" t="s">
        <v>7622</v>
      </c>
      <c r="G3167" s="9"/>
    </row>
    <row r="3168" spans="1:7" x14ac:dyDescent="0.3">
      <c r="A3168" s="9">
        <v>45997</v>
      </c>
      <c r="B3168" s="7" t="s">
        <v>7815</v>
      </c>
      <c r="C3168" s="3">
        <v>-3491.89</v>
      </c>
      <c r="D3168" s="7" t="s">
        <v>7816</v>
      </c>
      <c r="E3168" s="7" t="s">
        <v>7736</v>
      </c>
      <c r="G3168" s="9"/>
    </row>
    <row r="3169" spans="1:7" x14ac:dyDescent="0.3">
      <c r="A3169" s="9">
        <v>46060</v>
      </c>
      <c r="B3169" s="7" t="s">
        <v>7813</v>
      </c>
      <c r="C3169" s="3">
        <v>2809.24</v>
      </c>
      <c r="D3169" s="7" t="s">
        <v>7814</v>
      </c>
      <c r="E3169" s="7" t="s">
        <v>3793</v>
      </c>
      <c r="G3169" s="9"/>
    </row>
    <row r="3170" spans="1:7" x14ac:dyDescent="0.3">
      <c r="A3170" s="9">
        <v>45989</v>
      </c>
      <c r="B3170" s="7" t="s">
        <v>7813</v>
      </c>
      <c r="C3170" s="3">
        <v>13131.76</v>
      </c>
      <c r="D3170" s="7" t="s">
        <v>7814</v>
      </c>
      <c r="E3170" s="7" t="s">
        <v>3819</v>
      </c>
      <c r="G3170" s="9"/>
    </row>
    <row r="3171" spans="1:7" x14ac:dyDescent="0.3">
      <c r="A3171" s="9">
        <v>46066</v>
      </c>
      <c r="B3171" s="7" t="s">
        <v>7815</v>
      </c>
      <c r="C3171" s="3">
        <v>-5441.42</v>
      </c>
      <c r="D3171" s="7" t="s">
        <v>7816</v>
      </c>
      <c r="E3171" s="7" t="s">
        <v>6877</v>
      </c>
      <c r="G3171" s="9"/>
    </row>
    <row r="3172" spans="1:7" x14ac:dyDescent="0.3">
      <c r="A3172" s="9">
        <v>46048</v>
      </c>
      <c r="B3172" s="7" t="s">
        <v>7815</v>
      </c>
      <c r="C3172" s="3">
        <v>-5750.1</v>
      </c>
      <c r="D3172" s="7" t="s">
        <v>7816</v>
      </c>
      <c r="E3172" s="7" t="s">
        <v>6994</v>
      </c>
      <c r="G3172" s="9"/>
    </row>
    <row r="3173" spans="1:7" x14ac:dyDescent="0.3">
      <c r="A3173" s="9">
        <v>45981</v>
      </c>
      <c r="B3173" s="7" t="s">
        <v>7815</v>
      </c>
      <c r="C3173" s="3">
        <v>-1252.29</v>
      </c>
      <c r="D3173" s="7" t="s">
        <v>7816</v>
      </c>
      <c r="E3173" s="7" t="s">
        <v>7624</v>
      </c>
      <c r="G3173" s="9"/>
    </row>
    <row r="3174" spans="1:7" x14ac:dyDescent="0.3">
      <c r="A3174" s="9">
        <v>45975</v>
      </c>
      <c r="B3174" s="7" t="s">
        <v>7813</v>
      </c>
      <c r="C3174" s="3">
        <v>3427.34</v>
      </c>
      <c r="D3174" s="7" t="s">
        <v>7814</v>
      </c>
      <c r="E3174" s="7" t="s">
        <v>3716</v>
      </c>
      <c r="G3174" s="9"/>
    </row>
    <row r="3175" spans="1:7" x14ac:dyDescent="0.3">
      <c r="A3175" s="9">
        <v>45987</v>
      </c>
      <c r="B3175" s="7" t="s">
        <v>7813</v>
      </c>
      <c r="C3175" s="3">
        <v>1593.18</v>
      </c>
      <c r="D3175" s="7" t="s">
        <v>7814</v>
      </c>
      <c r="E3175" s="7" t="s">
        <v>4360</v>
      </c>
      <c r="G3175" s="9"/>
    </row>
    <row r="3176" spans="1:7" x14ac:dyDescent="0.3">
      <c r="A3176" s="9">
        <v>46040</v>
      </c>
      <c r="B3176" s="7" t="s">
        <v>7815</v>
      </c>
      <c r="C3176" s="3">
        <v>-5768.88</v>
      </c>
      <c r="D3176" s="7" t="s">
        <v>7816</v>
      </c>
      <c r="E3176" s="7" t="s">
        <v>7719</v>
      </c>
      <c r="G3176" s="9"/>
    </row>
    <row r="3177" spans="1:7" x14ac:dyDescent="0.3">
      <c r="A3177" s="9">
        <v>45992</v>
      </c>
      <c r="B3177" s="7" t="s">
        <v>7815</v>
      </c>
      <c r="C3177" s="3">
        <v>-4424.5200000000004</v>
      </c>
      <c r="D3177" s="7" t="s">
        <v>7816</v>
      </c>
      <c r="E3177" s="7" t="s">
        <v>7753</v>
      </c>
      <c r="G3177" s="9"/>
    </row>
    <row r="3178" spans="1:7" x14ac:dyDescent="0.3">
      <c r="A3178" s="9">
        <v>45992</v>
      </c>
      <c r="B3178" s="7" t="s">
        <v>7813</v>
      </c>
      <c r="C3178" s="3">
        <v>4209.7</v>
      </c>
      <c r="D3178" s="7" t="s">
        <v>7814</v>
      </c>
      <c r="E3178" s="7" t="s">
        <v>4404</v>
      </c>
      <c r="G3178" s="9"/>
    </row>
    <row r="3179" spans="1:7" x14ac:dyDescent="0.3">
      <c r="A3179" s="9">
        <v>46091</v>
      </c>
      <c r="B3179" s="7" t="s">
        <v>7815</v>
      </c>
      <c r="C3179" s="3">
        <v>-4378.17</v>
      </c>
      <c r="D3179" s="7" t="s">
        <v>7816</v>
      </c>
      <c r="E3179" s="7" t="s">
        <v>7038</v>
      </c>
      <c r="G3179" s="9"/>
    </row>
    <row r="3180" spans="1:7" x14ac:dyDescent="0.3">
      <c r="A3180" s="9">
        <v>45982</v>
      </c>
      <c r="B3180" s="7" t="s">
        <v>7815</v>
      </c>
      <c r="C3180" s="3">
        <v>-3108.18</v>
      </c>
      <c r="D3180" s="7" t="s">
        <v>7816</v>
      </c>
      <c r="E3180" s="7" t="s">
        <v>7452</v>
      </c>
      <c r="G3180" s="9"/>
    </row>
    <row r="3181" spans="1:7" x14ac:dyDescent="0.3">
      <c r="A3181" s="9">
        <v>46003</v>
      </c>
      <c r="B3181" s="7" t="s">
        <v>7815</v>
      </c>
      <c r="C3181" s="3">
        <v>-6161.99</v>
      </c>
      <c r="D3181" s="7" t="s">
        <v>7816</v>
      </c>
      <c r="E3181" s="7" t="s">
        <v>7655</v>
      </c>
      <c r="G3181" s="9"/>
    </row>
    <row r="3182" spans="1:7" x14ac:dyDescent="0.3">
      <c r="A3182" s="9">
        <v>46068</v>
      </c>
      <c r="B3182" s="7" t="s">
        <v>7813</v>
      </c>
      <c r="C3182" s="3">
        <v>1808.85</v>
      </c>
      <c r="D3182" s="7" t="s">
        <v>7814</v>
      </c>
      <c r="E3182" s="7" t="s">
        <v>3730</v>
      </c>
      <c r="G3182" s="9"/>
    </row>
    <row r="3183" spans="1:7" x14ac:dyDescent="0.3">
      <c r="A3183" s="9">
        <v>46038</v>
      </c>
      <c r="B3183" s="7" t="s">
        <v>7813</v>
      </c>
      <c r="C3183" s="3">
        <v>12743.37</v>
      </c>
      <c r="D3183" s="7" t="s">
        <v>7814</v>
      </c>
      <c r="E3183" s="7" t="s">
        <v>4411</v>
      </c>
      <c r="G3183" s="9"/>
    </row>
    <row r="3184" spans="1:7" x14ac:dyDescent="0.3">
      <c r="A3184" s="9">
        <v>46071</v>
      </c>
      <c r="B3184" s="7" t="s">
        <v>7813</v>
      </c>
      <c r="C3184" s="3">
        <v>4034.33</v>
      </c>
      <c r="D3184" s="7" t="s">
        <v>7814</v>
      </c>
      <c r="E3184" s="7" t="s">
        <v>4413</v>
      </c>
      <c r="G3184" s="9"/>
    </row>
    <row r="3185" spans="1:7" x14ac:dyDescent="0.3">
      <c r="A3185" s="9">
        <v>46041</v>
      </c>
      <c r="B3185" s="7" t="s">
        <v>7813</v>
      </c>
      <c r="C3185" s="3">
        <v>2728.14</v>
      </c>
      <c r="D3185" s="7" t="s">
        <v>7814</v>
      </c>
      <c r="E3185" s="7" t="s">
        <v>4539</v>
      </c>
      <c r="G3185" s="9"/>
    </row>
    <row r="3186" spans="1:7" x14ac:dyDescent="0.3">
      <c r="A3186" s="9">
        <v>46011</v>
      </c>
      <c r="B3186" s="7" t="s">
        <v>7813</v>
      </c>
      <c r="C3186" s="3">
        <v>3430.13</v>
      </c>
      <c r="D3186" s="7" t="s">
        <v>7814</v>
      </c>
      <c r="E3186" s="7" t="s">
        <v>4707</v>
      </c>
      <c r="G3186" s="9"/>
    </row>
    <row r="3187" spans="1:7" x14ac:dyDescent="0.3">
      <c r="A3187" s="9">
        <v>45999</v>
      </c>
      <c r="B3187" s="7" t="s">
        <v>7813</v>
      </c>
      <c r="C3187" s="3">
        <v>2502.09</v>
      </c>
      <c r="D3187" s="7" t="s">
        <v>7814</v>
      </c>
      <c r="E3187" s="7" t="s">
        <v>4725</v>
      </c>
      <c r="G3187" s="9"/>
    </row>
    <row r="3188" spans="1:7" x14ac:dyDescent="0.3">
      <c r="A3188" s="9">
        <v>45980</v>
      </c>
      <c r="B3188" s="7" t="s">
        <v>7813</v>
      </c>
      <c r="C3188" s="3">
        <v>1536.83</v>
      </c>
      <c r="D3188" s="7" t="s">
        <v>7814</v>
      </c>
      <c r="E3188" s="7" t="s">
        <v>5263</v>
      </c>
      <c r="G3188" s="9"/>
    </row>
    <row r="3189" spans="1:7" x14ac:dyDescent="0.3">
      <c r="A3189" s="9">
        <v>46023</v>
      </c>
      <c r="B3189" s="7" t="s">
        <v>7815</v>
      </c>
      <c r="C3189" s="3">
        <v>-1710.6</v>
      </c>
      <c r="D3189" s="7" t="s">
        <v>7816</v>
      </c>
      <c r="E3189" s="7" t="s">
        <v>7184</v>
      </c>
      <c r="G3189" s="9"/>
    </row>
    <row r="3190" spans="1:7" x14ac:dyDescent="0.3">
      <c r="A3190" s="9">
        <v>45985</v>
      </c>
      <c r="B3190" s="7" t="s">
        <v>7815</v>
      </c>
      <c r="C3190" s="3">
        <v>-6441.71</v>
      </c>
      <c r="D3190" s="7" t="s">
        <v>7816</v>
      </c>
      <c r="E3190" s="7" t="s">
        <v>7455</v>
      </c>
      <c r="G3190" s="9"/>
    </row>
    <row r="3191" spans="1:7" x14ac:dyDescent="0.3">
      <c r="A3191" s="9">
        <v>46018</v>
      </c>
      <c r="B3191" s="7" t="s">
        <v>7815</v>
      </c>
      <c r="C3191" s="3">
        <v>-6434.91</v>
      </c>
      <c r="D3191" s="7" t="s">
        <v>7816</v>
      </c>
      <c r="E3191" s="7" t="s">
        <v>7748</v>
      </c>
      <c r="G3191" s="9"/>
    </row>
    <row r="3192" spans="1:7" x14ac:dyDescent="0.3">
      <c r="A3192" s="9">
        <v>46012</v>
      </c>
      <c r="B3192" s="7" t="s">
        <v>7815</v>
      </c>
      <c r="C3192" s="3">
        <v>-2310.84</v>
      </c>
      <c r="D3192" s="7" t="s">
        <v>7816</v>
      </c>
      <c r="E3192" s="7" t="s">
        <v>7791</v>
      </c>
      <c r="G3192" s="9"/>
    </row>
    <row r="3193" spans="1:7" x14ac:dyDescent="0.3">
      <c r="A3193" s="9">
        <v>46052</v>
      </c>
      <c r="B3193" s="7" t="s">
        <v>7815</v>
      </c>
      <c r="C3193" s="3">
        <v>-5995.29</v>
      </c>
      <c r="D3193" s="7" t="s">
        <v>7816</v>
      </c>
      <c r="E3193" s="7" t="s">
        <v>7801</v>
      </c>
      <c r="G3193" s="9"/>
    </row>
    <row r="3194" spans="1:7" x14ac:dyDescent="0.3">
      <c r="A3194" s="9">
        <v>45966</v>
      </c>
      <c r="B3194" s="7" t="s">
        <v>7813</v>
      </c>
      <c r="C3194" s="3">
        <v>3232.82</v>
      </c>
      <c r="D3194" s="7" t="s">
        <v>7814</v>
      </c>
      <c r="E3194" s="7" t="s">
        <v>3323</v>
      </c>
      <c r="G3194" s="9"/>
    </row>
    <row r="3195" spans="1:7" x14ac:dyDescent="0.3">
      <c r="A3195" s="9">
        <v>46076</v>
      </c>
      <c r="B3195" s="7" t="s">
        <v>7813</v>
      </c>
      <c r="C3195" s="3">
        <v>10569.21</v>
      </c>
      <c r="D3195" s="7" t="s">
        <v>7814</v>
      </c>
      <c r="E3195" s="7" t="s">
        <v>3646</v>
      </c>
      <c r="G3195" s="9"/>
    </row>
    <row r="3196" spans="1:7" x14ac:dyDescent="0.3">
      <c r="A3196" s="9">
        <v>46077</v>
      </c>
      <c r="B3196" s="7" t="s">
        <v>7815</v>
      </c>
      <c r="C3196" s="3">
        <v>-3306.03</v>
      </c>
      <c r="D3196" s="7" t="s">
        <v>7816</v>
      </c>
      <c r="E3196" s="7" t="s">
        <v>7507</v>
      </c>
      <c r="G3196" s="9"/>
    </row>
    <row r="3197" spans="1:7" x14ac:dyDescent="0.3">
      <c r="A3197" s="9">
        <v>46044</v>
      </c>
      <c r="B3197" s="7" t="s">
        <v>7813</v>
      </c>
      <c r="C3197" s="3">
        <v>2808.86</v>
      </c>
      <c r="D3197" s="7" t="s">
        <v>7814</v>
      </c>
      <c r="E3197" s="7" t="s">
        <v>4015</v>
      </c>
      <c r="G3197" s="9"/>
    </row>
    <row r="3198" spans="1:7" x14ac:dyDescent="0.3">
      <c r="A3198" s="9">
        <v>46034</v>
      </c>
      <c r="B3198" s="7" t="s">
        <v>7813</v>
      </c>
      <c r="C3198" s="3">
        <v>1989.48</v>
      </c>
      <c r="D3198" s="7" t="s">
        <v>7814</v>
      </c>
      <c r="E3198" s="7" t="s">
        <v>4228</v>
      </c>
      <c r="G3198" s="9"/>
    </row>
    <row r="3199" spans="1:7" x14ac:dyDescent="0.3">
      <c r="A3199" s="9">
        <v>46065</v>
      </c>
      <c r="B3199" s="7" t="s">
        <v>7815</v>
      </c>
      <c r="C3199" s="3">
        <v>-1636.56</v>
      </c>
      <c r="D3199" s="7" t="s">
        <v>7816</v>
      </c>
      <c r="E3199" s="7" t="s">
        <v>7359</v>
      </c>
      <c r="G3199" s="9"/>
    </row>
    <row r="3200" spans="1:7" x14ac:dyDescent="0.3">
      <c r="A3200" s="9">
        <v>46021</v>
      </c>
      <c r="B3200" s="7" t="s">
        <v>7813</v>
      </c>
      <c r="C3200" s="3">
        <v>12712.21</v>
      </c>
      <c r="D3200" s="7" t="s">
        <v>7814</v>
      </c>
      <c r="E3200" s="7" t="s">
        <v>5127</v>
      </c>
      <c r="G3200" s="9"/>
    </row>
    <row r="3201" spans="1:7" x14ac:dyDescent="0.3">
      <c r="A3201" s="9">
        <v>45996</v>
      </c>
      <c r="B3201" s="7" t="s">
        <v>7815</v>
      </c>
      <c r="C3201" s="3">
        <v>-1001.96</v>
      </c>
      <c r="D3201" s="7" t="s">
        <v>7816</v>
      </c>
      <c r="E3201" s="7" t="s">
        <v>7060</v>
      </c>
      <c r="G3201" s="9"/>
    </row>
    <row r="3202" spans="1:7" x14ac:dyDescent="0.3">
      <c r="A3202" s="9">
        <v>46061</v>
      </c>
      <c r="B3202" s="7" t="s">
        <v>7815</v>
      </c>
      <c r="C3202" s="3">
        <v>-5645.31</v>
      </c>
      <c r="D3202" s="7" t="s">
        <v>7816</v>
      </c>
      <c r="E3202" s="7" t="s">
        <v>7318</v>
      </c>
      <c r="G3202" s="9"/>
    </row>
    <row r="3203" spans="1:7" x14ac:dyDescent="0.3">
      <c r="A3203" s="9">
        <v>46063</v>
      </c>
      <c r="B3203" s="7" t="s">
        <v>7815</v>
      </c>
      <c r="C3203" s="3">
        <v>-2142.17</v>
      </c>
      <c r="D3203" s="7" t="s">
        <v>7816</v>
      </c>
      <c r="E3203" s="7" t="s">
        <v>7328</v>
      </c>
      <c r="G3203" s="9"/>
    </row>
    <row r="3204" spans="1:7" x14ac:dyDescent="0.3">
      <c r="A3204" s="9">
        <v>45966</v>
      </c>
      <c r="B3204" s="7" t="s">
        <v>7813</v>
      </c>
      <c r="C3204" s="3">
        <v>2788.78</v>
      </c>
      <c r="D3204" s="7" t="s">
        <v>7814</v>
      </c>
      <c r="E3204" s="7" t="s">
        <v>4010</v>
      </c>
      <c r="G3204" s="9"/>
    </row>
    <row r="3205" spans="1:7" x14ac:dyDescent="0.3">
      <c r="A3205" s="9">
        <v>45998</v>
      </c>
      <c r="B3205" s="7" t="s">
        <v>7813</v>
      </c>
      <c r="C3205" s="3">
        <v>5926.63</v>
      </c>
      <c r="D3205" s="7" t="s">
        <v>7814</v>
      </c>
      <c r="E3205" s="7" t="s">
        <v>4217</v>
      </c>
      <c r="G3205" s="9"/>
    </row>
    <row r="3206" spans="1:7" x14ac:dyDescent="0.3">
      <c r="A3206" s="9">
        <v>46025</v>
      </c>
      <c r="B3206" s="7" t="s">
        <v>7813</v>
      </c>
      <c r="C3206" s="3">
        <v>3023.74</v>
      </c>
      <c r="D3206" s="7" t="s">
        <v>7814</v>
      </c>
      <c r="E3206" s="7" t="s">
        <v>5348</v>
      </c>
      <c r="G3206" s="9"/>
    </row>
    <row r="3207" spans="1:7" x14ac:dyDescent="0.3">
      <c r="A3207" s="9">
        <v>45983</v>
      </c>
      <c r="B3207" s="7" t="s">
        <v>7815</v>
      </c>
      <c r="C3207" s="3">
        <v>-1489.64</v>
      </c>
      <c r="D3207" s="7" t="s">
        <v>7816</v>
      </c>
      <c r="E3207" s="7" t="s">
        <v>7532</v>
      </c>
      <c r="G3207" s="9"/>
    </row>
    <row r="3208" spans="1:7" x14ac:dyDescent="0.3">
      <c r="A3208" s="9">
        <v>46011</v>
      </c>
      <c r="B3208" s="7" t="s">
        <v>7813</v>
      </c>
      <c r="C3208" s="3">
        <v>3310.13</v>
      </c>
      <c r="D3208" s="7" t="s">
        <v>7814</v>
      </c>
      <c r="E3208" s="7" t="s">
        <v>3975</v>
      </c>
      <c r="G3208" s="9"/>
    </row>
    <row r="3209" spans="1:7" x14ac:dyDescent="0.3">
      <c r="A3209" s="9">
        <v>46031</v>
      </c>
      <c r="B3209" s="7" t="s">
        <v>7815</v>
      </c>
      <c r="C3209" s="3">
        <v>-5290.02</v>
      </c>
      <c r="D3209" s="7" t="s">
        <v>7816</v>
      </c>
      <c r="E3209" s="7" t="s">
        <v>6836</v>
      </c>
      <c r="G3209" s="9"/>
    </row>
    <row r="3210" spans="1:7" x14ac:dyDescent="0.3">
      <c r="A3210" s="9">
        <v>45992</v>
      </c>
      <c r="B3210" s="7" t="s">
        <v>7815</v>
      </c>
      <c r="C3210" s="3">
        <v>-2168.0700000000002</v>
      </c>
      <c r="D3210" s="7" t="s">
        <v>7816</v>
      </c>
      <c r="E3210" s="7" t="s">
        <v>7683</v>
      </c>
      <c r="G3210" s="9"/>
    </row>
    <row r="3211" spans="1:7" x14ac:dyDescent="0.3">
      <c r="A3211" s="9">
        <v>46081</v>
      </c>
      <c r="B3211" s="7" t="s">
        <v>7813</v>
      </c>
      <c r="C3211" s="3">
        <v>14339.19</v>
      </c>
      <c r="D3211" s="7" t="s">
        <v>7814</v>
      </c>
      <c r="E3211" s="7" t="s">
        <v>4812</v>
      </c>
      <c r="G3211" s="9"/>
    </row>
    <row r="3212" spans="1:7" x14ac:dyDescent="0.3">
      <c r="A3212" s="9">
        <v>45984</v>
      </c>
      <c r="B3212" s="7" t="s">
        <v>7813</v>
      </c>
      <c r="C3212" s="3">
        <v>2471.66</v>
      </c>
      <c r="D3212" s="7" t="s">
        <v>7814</v>
      </c>
      <c r="E3212" s="7" t="s">
        <v>4890</v>
      </c>
      <c r="G3212" s="9"/>
    </row>
    <row r="3213" spans="1:7" x14ac:dyDescent="0.3">
      <c r="A3213" s="9">
        <v>46006</v>
      </c>
      <c r="B3213" s="7" t="s">
        <v>7813</v>
      </c>
      <c r="C3213" s="3">
        <v>3504.12</v>
      </c>
      <c r="D3213" s="7" t="s">
        <v>7814</v>
      </c>
      <c r="E3213" s="7" t="s">
        <v>5157</v>
      </c>
      <c r="G3213" s="9"/>
    </row>
    <row r="3214" spans="1:7" x14ac:dyDescent="0.3">
      <c r="A3214" s="9">
        <v>45978</v>
      </c>
      <c r="B3214" s="7" t="s">
        <v>7815</v>
      </c>
      <c r="C3214" s="3">
        <v>-5206.22</v>
      </c>
      <c r="D3214" s="7" t="s">
        <v>7816</v>
      </c>
      <c r="E3214" s="7" t="s">
        <v>7032</v>
      </c>
      <c r="G3214" s="9"/>
    </row>
    <row r="3215" spans="1:7" x14ac:dyDescent="0.3">
      <c r="A3215" s="9">
        <v>46073</v>
      </c>
      <c r="B3215" s="7" t="s">
        <v>7813</v>
      </c>
      <c r="C3215" s="3">
        <v>1787.24</v>
      </c>
      <c r="D3215" s="7" t="s">
        <v>7814</v>
      </c>
      <c r="E3215" s="7" t="s">
        <v>3991</v>
      </c>
      <c r="G3215" s="9"/>
    </row>
    <row r="3216" spans="1:7" x14ac:dyDescent="0.3">
      <c r="A3216" s="9">
        <v>45994</v>
      </c>
      <c r="B3216" s="7" t="s">
        <v>7813</v>
      </c>
      <c r="C3216" s="3">
        <v>5970.43</v>
      </c>
      <c r="D3216" s="7" t="s">
        <v>7814</v>
      </c>
      <c r="E3216" s="7" t="s">
        <v>4963</v>
      </c>
      <c r="G3216" s="9"/>
    </row>
    <row r="3217" spans="1:7" x14ac:dyDescent="0.3">
      <c r="A3217" s="9">
        <v>45978</v>
      </c>
      <c r="B3217" s="7" t="s">
        <v>7813</v>
      </c>
      <c r="C3217" s="3">
        <v>12849.16</v>
      </c>
      <c r="D3217" s="7" t="s">
        <v>7814</v>
      </c>
      <c r="E3217" s="7" t="s">
        <v>4257</v>
      </c>
      <c r="G3217" s="9"/>
    </row>
    <row r="3218" spans="1:7" x14ac:dyDescent="0.3">
      <c r="A3218" s="9">
        <v>45988</v>
      </c>
      <c r="B3218" s="7" t="s">
        <v>7813</v>
      </c>
      <c r="C3218" s="3">
        <v>3688.01</v>
      </c>
      <c r="D3218" s="7" t="s">
        <v>7814</v>
      </c>
      <c r="E3218" s="7" t="s">
        <v>3559</v>
      </c>
      <c r="G3218" s="9"/>
    </row>
    <row r="3219" spans="1:7" x14ac:dyDescent="0.3">
      <c r="A3219" s="9">
        <v>46025</v>
      </c>
      <c r="B3219" s="7" t="s">
        <v>7813</v>
      </c>
      <c r="C3219" s="3">
        <v>3244.54</v>
      </c>
      <c r="D3219" s="7" t="s">
        <v>7814</v>
      </c>
      <c r="E3219" s="7" t="s">
        <v>4942</v>
      </c>
      <c r="G3219" s="9"/>
    </row>
    <row r="3220" spans="1:7" x14ac:dyDescent="0.3">
      <c r="A3220" s="9">
        <v>46056</v>
      </c>
      <c r="B3220" s="7" t="s">
        <v>7813</v>
      </c>
      <c r="C3220" s="3">
        <v>2187.75</v>
      </c>
      <c r="D3220" s="7" t="s">
        <v>7814</v>
      </c>
      <c r="E3220" s="7" t="s">
        <v>5207</v>
      </c>
      <c r="G3220" s="9"/>
    </row>
    <row r="3221" spans="1:7" x14ac:dyDescent="0.3">
      <c r="A3221" s="9">
        <v>45998</v>
      </c>
      <c r="B3221" s="7" t="s">
        <v>7813</v>
      </c>
      <c r="C3221" s="3">
        <v>4032.19</v>
      </c>
      <c r="D3221" s="7" t="s">
        <v>7814</v>
      </c>
      <c r="E3221" s="7" t="s">
        <v>3651</v>
      </c>
      <c r="G3221" s="9"/>
    </row>
    <row r="3222" spans="1:7" x14ac:dyDescent="0.3">
      <c r="A3222" s="9">
        <v>46047</v>
      </c>
      <c r="B3222" s="7" t="s">
        <v>7813</v>
      </c>
      <c r="C3222" s="3">
        <v>2626.02</v>
      </c>
      <c r="D3222" s="7" t="s">
        <v>7814</v>
      </c>
      <c r="E3222" s="7" t="s">
        <v>4118</v>
      </c>
      <c r="G3222" s="9"/>
    </row>
    <row r="3223" spans="1:7" x14ac:dyDescent="0.3">
      <c r="A3223" s="9">
        <v>46039</v>
      </c>
      <c r="B3223" s="7" t="s">
        <v>7813</v>
      </c>
      <c r="C3223" s="3">
        <v>10337.65</v>
      </c>
      <c r="D3223" s="7" t="s">
        <v>7814</v>
      </c>
      <c r="E3223" s="7" t="s">
        <v>5228</v>
      </c>
      <c r="G3223" s="9"/>
    </row>
    <row r="3224" spans="1:7" x14ac:dyDescent="0.3">
      <c r="A3224" s="9">
        <v>45990</v>
      </c>
      <c r="B3224" s="7" t="s">
        <v>7815</v>
      </c>
      <c r="C3224" s="3">
        <v>-4670.75</v>
      </c>
      <c r="D3224" s="7" t="s">
        <v>7816</v>
      </c>
      <c r="E3224" s="7" t="s">
        <v>7383</v>
      </c>
      <c r="G3224" s="9"/>
    </row>
    <row r="3225" spans="1:7" x14ac:dyDescent="0.3">
      <c r="A3225" s="9">
        <v>46036</v>
      </c>
      <c r="B3225" s="7" t="s">
        <v>7813</v>
      </c>
      <c r="C3225" s="3">
        <v>3622.26</v>
      </c>
      <c r="D3225" s="7" t="s">
        <v>7814</v>
      </c>
      <c r="E3225" s="7" t="s">
        <v>4415</v>
      </c>
      <c r="G3225" s="9"/>
    </row>
    <row r="3226" spans="1:7" x14ac:dyDescent="0.3">
      <c r="A3226" s="9">
        <v>46068</v>
      </c>
      <c r="B3226" s="7" t="s">
        <v>7813</v>
      </c>
      <c r="C3226" s="3">
        <v>2157.34</v>
      </c>
      <c r="D3226" s="7" t="s">
        <v>7814</v>
      </c>
      <c r="E3226" s="7" t="s">
        <v>4525</v>
      </c>
      <c r="G3226" s="9"/>
    </row>
    <row r="3227" spans="1:7" x14ac:dyDescent="0.3">
      <c r="A3227" s="9">
        <v>45964</v>
      </c>
      <c r="B3227" s="7" t="s">
        <v>7813</v>
      </c>
      <c r="C3227" s="3">
        <v>4155.74</v>
      </c>
      <c r="D3227" s="7" t="s">
        <v>7814</v>
      </c>
      <c r="E3227" s="7" t="s">
        <v>4416</v>
      </c>
      <c r="G3227" s="9"/>
    </row>
    <row r="3228" spans="1:7" x14ac:dyDescent="0.3">
      <c r="A3228" s="9">
        <v>46041</v>
      </c>
      <c r="B3228" s="7" t="s">
        <v>7815</v>
      </c>
      <c r="C3228" s="3">
        <v>-2578.62</v>
      </c>
      <c r="D3228" s="7" t="s">
        <v>7816</v>
      </c>
      <c r="E3228" s="7" t="s">
        <v>7627</v>
      </c>
      <c r="G3228" s="9"/>
    </row>
    <row r="3229" spans="1:7" x14ac:dyDescent="0.3">
      <c r="A3229" s="9">
        <v>46059</v>
      </c>
      <c r="B3229" s="7" t="s">
        <v>7813</v>
      </c>
      <c r="C3229" s="3">
        <v>1972.9</v>
      </c>
      <c r="D3229" s="7" t="s">
        <v>7814</v>
      </c>
      <c r="E3229" s="7" t="s">
        <v>3763</v>
      </c>
      <c r="G3229" s="9"/>
    </row>
    <row r="3230" spans="1:7" x14ac:dyDescent="0.3">
      <c r="A3230" s="9">
        <v>46051</v>
      </c>
      <c r="B3230" s="7" t="s">
        <v>7813</v>
      </c>
      <c r="C3230" s="3">
        <v>2140.6799999999998</v>
      </c>
      <c r="D3230" s="7" t="s">
        <v>7814</v>
      </c>
      <c r="E3230" s="7" t="s">
        <v>4555</v>
      </c>
      <c r="G3230" s="9"/>
    </row>
    <row r="3231" spans="1:7" x14ac:dyDescent="0.3">
      <c r="A3231" s="9">
        <v>46053</v>
      </c>
      <c r="B3231" s="7" t="s">
        <v>7815</v>
      </c>
      <c r="C3231" s="3">
        <v>-2668.39</v>
      </c>
      <c r="D3231" s="7" t="s">
        <v>7816</v>
      </c>
      <c r="E3231" s="7" t="s">
        <v>7057</v>
      </c>
      <c r="G3231" s="9"/>
    </row>
    <row r="3232" spans="1:7" x14ac:dyDescent="0.3">
      <c r="A3232" s="9">
        <v>46067</v>
      </c>
      <c r="B3232" s="7" t="s">
        <v>7813</v>
      </c>
      <c r="C3232" s="3">
        <v>3122.29</v>
      </c>
      <c r="D3232" s="7" t="s">
        <v>7814</v>
      </c>
      <c r="E3232" s="7" t="s">
        <v>4520</v>
      </c>
      <c r="G3232" s="9"/>
    </row>
    <row r="3233" spans="1:7" x14ac:dyDescent="0.3">
      <c r="A3233" s="9">
        <v>46048</v>
      </c>
      <c r="B3233" s="7" t="s">
        <v>7815</v>
      </c>
      <c r="C3233" s="3">
        <v>-6281.46</v>
      </c>
      <c r="D3233" s="7" t="s">
        <v>7816</v>
      </c>
      <c r="E3233" s="7" t="s">
        <v>6981</v>
      </c>
      <c r="G3233" s="9"/>
    </row>
    <row r="3234" spans="1:7" x14ac:dyDescent="0.3">
      <c r="A3234" s="9">
        <v>46081</v>
      </c>
      <c r="B3234" s="7" t="s">
        <v>7813</v>
      </c>
      <c r="C3234" s="3">
        <v>3764.79</v>
      </c>
      <c r="D3234" s="7" t="s">
        <v>7814</v>
      </c>
      <c r="E3234" s="7" t="s">
        <v>3527</v>
      </c>
      <c r="G3234" s="9"/>
    </row>
    <row r="3235" spans="1:7" x14ac:dyDescent="0.3">
      <c r="A3235" s="9">
        <v>45969</v>
      </c>
      <c r="B3235" s="7" t="s">
        <v>7813</v>
      </c>
      <c r="C3235" s="3">
        <v>1773.44</v>
      </c>
      <c r="D3235" s="7" t="s">
        <v>7814</v>
      </c>
      <c r="E3235" s="7" t="s">
        <v>4693</v>
      </c>
      <c r="G3235" s="9"/>
    </row>
    <row r="3236" spans="1:7" x14ac:dyDescent="0.3">
      <c r="A3236" s="9">
        <v>46059</v>
      </c>
      <c r="B3236" s="7" t="s">
        <v>7813</v>
      </c>
      <c r="C3236" s="3">
        <v>14280.31</v>
      </c>
      <c r="D3236" s="7" t="s">
        <v>7814</v>
      </c>
      <c r="E3236" s="7" t="s">
        <v>4787</v>
      </c>
      <c r="G3236" s="9"/>
    </row>
    <row r="3237" spans="1:7" x14ac:dyDescent="0.3">
      <c r="A3237" s="9">
        <v>46060</v>
      </c>
      <c r="B3237" s="7" t="s">
        <v>7815</v>
      </c>
      <c r="C3237" s="3">
        <v>-1127.8</v>
      </c>
      <c r="D3237" s="7" t="s">
        <v>7816</v>
      </c>
      <c r="E3237" s="7" t="s">
        <v>6977</v>
      </c>
      <c r="G3237" s="9"/>
    </row>
    <row r="3238" spans="1:7" x14ac:dyDescent="0.3">
      <c r="A3238" s="9">
        <v>46009</v>
      </c>
      <c r="B3238" s="7" t="s">
        <v>7813</v>
      </c>
      <c r="C3238" s="3">
        <v>2623.21</v>
      </c>
      <c r="D3238" s="7" t="s">
        <v>7814</v>
      </c>
      <c r="E3238" s="7" t="s">
        <v>3764</v>
      </c>
      <c r="G3238" s="9"/>
    </row>
    <row r="3239" spans="1:7" x14ac:dyDescent="0.3">
      <c r="A3239" s="9">
        <v>46012</v>
      </c>
      <c r="B3239" s="7" t="s">
        <v>7813</v>
      </c>
      <c r="C3239" s="3">
        <v>2451.4899999999998</v>
      </c>
      <c r="D3239" s="7" t="s">
        <v>7814</v>
      </c>
      <c r="E3239" s="7" t="s">
        <v>4229</v>
      </c>
      <c r="G3239" s="9"/>
    </row>
    <row r="3240" spans="1:7" x14ac:dyDescent="0.3">
      <c r="A3240" s="9">
        <v>46084</v>
      </c>
      <c r="B3240" s="7" t="s">
        <v>7813</v>
      </c>
      <c r="C3240" s="3">
        <v>1115.8399999999999</v>
      </c>
      <c r="D3240" s="7" t="s">
        <v>7814</v>
      </c>
      <c r="E3240" s="7" t="s">
        <v>4556</v>
      </c>
      <c r="G3240" s="9"/>
    </row>
    <row r="3241" spans="1:7" x14ac:dyDescent="0.3">
      <c r="A3241" s="9">
        <v>46085</v>
      </c>
      <c r="B3241" s="7" t="s">
        <v>7813</v>
      </c>
      <c r="C3241" s="3">
        <v>2021.03</v>
      </c>
      <c r="D3241" s="7" t="s">
        <v>7814</v>
      </c>
      <c r="E3241" s="7" t="s">
        <v>5368</v>
      </c>
      <c r="G3241" s="9"/>
    </row>
    <row r="3242" spans="1:7" x14ac:dyDescent="0.3">
      <c r="A3242" s="9">
        <v>46048</v>
      </c>
      <c r="B3242" s="7" t="s">
        <v>7813</v>
      </c>
      <c r="C3242" s="3">
        <v>3775.41</v>
      </c>
      <c r="D3242" s="7" t="s">
        <v>7814</v>
      </c>
      <c r="E3242" s="7" t="s">
        <v>4634</v>
      </c>
      <c r="G3242" s="9"/>
    </row>
    <row r="3243" spans="1:7" x14ac:dyDescent="0.3">
      <c r="A3243" s="9">
        <v>46087</v>
      </c>
      <c r="B3243" s="7" t="s">
        <v>7813</v>
      </c>
      <c r="C3243" s="3">
        <v>1663.01</v>
      </c>
      <c r="D3243" s="7" t="s">
        <v>7814</v>
      </c>
      <c r="E3243" s="7" t="s">
        <v>5306</v>
      </c>
      <c r="G3243" s="9"/>
    </row>
    <row r="3244" spans="1:7" x14ac:dyDescent="0.3">
      <c r="A3244" s="9">
        <v>46008</v>
      </c>
      <c r="B3244" s="7" t="s">
        <v>7815</v>
      </c>
      <c r="C3244" s="3">
        <v>-3651.32</v>
      </c>
      <c r="D3244" s="7" t="s">
        <v>7816</v>
      </c>
      <c r="E3244" s="7" t="s">
        <v>7709</v>
      </c>
      <c r="G3244" s="9"/>
    </row>
    <row r="3245" spans="1:7" x14ac:dyDescent="0.3">
      <c r="A3245" s="9">
        <v>46064</v>
      </c>
      <c r="B3245" s="7" t="s">
        <v>7815</v>
      </c>
      <c r="C3245" s="3">
        <v>-5139.03</v>
      </c>
      <c r="D3245" s="7" t="s">
        <v>7816</v>
      </c>
      <c r="E3245" s="7" t="s">
        <v>7311</v>
      </c>
      <c r="G3245" s="9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showGridLines="0" workbookViewId="0">
      <pane ySplit="3" topLeftCell="A4" activePane="bottomLeft" state="frozen"/>
      <selection pane="bottomLeft" sqref="A1:B1"/>
    </sheetView>
  </sheetViews>
  <sheetFormatPr defaultRowHeight="14.4" x14ac:dyDescent="0.3"/>
  <cols>
    <col min="1" max="1" width="32.77734375" customWidth="1"/>
    <col min="2" max="2" width="18.77734375" customWidth="1"/>
  </cols>
  <sheetData>
    <row r="1" spans="1:4" ht="21" x14ac:dyDescent="0.4">
      <c r="A1" s="48" t="s">
        <v>7836</v>
      </c>
      <c r="B1" s="48"/>
      <c r="C1" s="47"/>
      <c r="D1" s="47"/>
    </row>
    <row r="2" spans="1:4" ht="18" x14ac:dyDescent="0.35">
      <c r="A2" s="50" t="s">
        <v>7843</v>
      </c>
      <c r="B2" s="50"/>
      <c r="C2" s="49"/>
      <c r="D2" s="49"/>
    </row>
    <row r="3" spans="1:4" x14ac:dyDescent="0.3">
      <c r="A3" s="52" t="s">
        <v>7844</v>
      </c>
      <c r="B3" s="52"/>
      <c r="C3" s="51"/>
      <c r="D3" s="51"/>
    </row>
    <row r="6" spans="1:4" x14ac:dyDescent="0.3">
      <c r="A6" s="57" t="s">
        <v>7851</v>
      </c>
      <c r="B6" s="57"/>
    </row>
    <row r="7" spans="1:4" x14ac:dyDescent="0.3">
      <c r="A7" s="53" t="s">
        <v>7845</v>
      </c>
      <c r="B7" s="54">
        <f>SUM(Sales_Invoices!F:F)</f>
        <v>13108097.160000006</v>
      </c>
    </row>
    <row r="8" spans="1:4" x14ac:dyDescent="0.3">
      <c r="A8" s="53" t="s">
        <v>7852</v>
      </c>
      <c r="B8" s="54">
        <f>SUM(Vendor_Bills!E:E)</f>
        <v>5427727.8599999947</v>
      </c>
    </row>
    <row r="9" spans="1:4" x14ac:dyDescent="0.3">
      <c r="A9" s="53" t="s">
        <v>7849</v>
      </c>
      <c r="B9" s="54">
        <f>B7-B8</f>
        <v>7680369.300000011</v>
      </c>
    </row>
    <row r="10" spans="1:4" x14ac:dyDescent="0.3">
      <c r="A10" s="53" t="s">
        <v>7853</v>
      </c>
      <c r="B10" s="55">
        <f>B9/B7</f>
        <v>0.58592556999325807</v>
      </c>
    </row>
    <row r="12" spans="1:4" x14ac:dyDescent="0.3">
      <c r="A12" s="57" t="s">
        <v>7854</v>
      </c>
      <c r="B12" s="57"/>
    </row>
    <row r="13" spans="1:4" x14ac:dyDescent="0.3">
      <c r="A13" s="53" t="s">
        <v>7848</v>
      </c>
      <c r="B13" s="54">
        <f>SUM(AR_Aging!H:H)</f>
        <v>3204466.888499998</v>
      </c>
    </row>
    <row r="14" spans="1:4" x14ac:dyDescent="0.3">
      <c r="A14" s="53" t="s">
        <v>7846</v>
      </c>
      <c r="B14" s="54">
        <f>SUM(AP_Aging!H:H)</f>
        <v>1579907.14</v>
      </c>
    </row>
    <row r="15" spans="1:4" x14ac:dyDescent="0.3">
      <c r="A15" s="53" t="s">
        <v>7847</v>
      </c>
      <c r="B15" s="54">
        <f>SUM(Bank_Transactions!C:C)</f>
        <v>4320290.7600000063</v>
      </c>
    </row>
    <row r="16" spans="1:4" x14ac:dyDescent="0.3">
      <c r="B16" s="3"/>
    </row>
    <row r="17" spans="1:2" x14ac:dyDescent="0.3">
      <c r="A17" s="57" t="s">
        <v>7855</v>
      </c>
      <c r="B17" s="57"/>
    </row>
    <row r="18" spans="1:2" x14ac:dyDescent="0.3">
      <c r="A18" s="53" t="s">
        <v>7856</v>
      </c>
      <c r="B18" s="56">
        <f>B13/(B7/365)</f>
        <v>89.229611287264731</v>
      </c>
    </row>
    <row r="19" spans="1:2" x14ac:dyDescent="0.3">
      <c r="A19" s="53" t="s">
        <v>7857</v>
      </c>
      <c r="B19" s="56">
        <f>B14/(B8/365)</f>
        <v>106.24447668973598</v>
      </c>
    </row>
    <row r="20" spans="1:2" x14ac:dyDescent="0.3">
      <c r="A20" s="53" t="s">
        <v>7850</v>
      </c>
      <c r="B20" s="56">
        <f>B18-B19</f>
        <v>-17.014865402471244</v>
      </c>
    </row>
    <row r="21" spans="1:2" x14ac:dyDescent="0.3">
      <c r="B21" s="3"/>
    </row>
  </sheetData>
  <mergeCells count="6">
    <mergeCell ref="A6:B6"/>
    <mergeCell ref="A12:B12"/>
    <mergeCell ref="A17:B17"/>
    <mergeCell ref="A1:B1"/>
    <mergeCell ref="A2:B2"/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Customers</vt:lpstr>
      <vt:lpstr>Vendors</vt:lpstr>
      <vt:lpstr>Services</vt:lpstr>
      <vt:lpstr>Sales_Invoices</vt:lpstr>
      <vt:lpstr>Customer_Payments</vt:lpstr>
      <vt:lpstr>AR_Aging</vt:lpstr>
      <vt:lpstr>AR_Aging_Summary</vt:lpstr>
      <vt:lpstr>Vendor_Bills</vt:lpstr>
      <vt:lpstr>Vendor_Payments</vt:lpstr>
      <vt:lpstr>AP_Aging</vt:lpstr>
      <vt:lpstr>AP_Aging_Summary</vt:lpstr>
      <vt:lpstr>Bank_Transactions</vt:lpstr>
      <vt:lpstr>Finance_KPIs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Waleed</dc:creator>
  <cp:lastModifiedBy>Waleed</cp:lastModifiedBy>
  <dcterms:created xsi:type="dcterms:W3CDTF">2026-03-10T12:32:49Z</dcterms:created>
  <dcterms:modified xsi:type="dcterms:W3CDTF">2026-03-10T19:21:05Z</dcterms:modified>
</cp:coreProperties>
</file>